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输入" sheetId="1" state="visible" r:id="rId1"/>
    <sheet xmlns:r="http://schemas.openxmlformats.org/officeDocument/2006/relationships" name="单路线基准指标" sheetId="2" state="visible" r:id="rId2"/>
    <sheet xmlns:r="http://schemas.openxmlformats.org/officeDocument/2006/relationships" name="单路线压力指标" sheetId="3" state="visible" r:id="rId3"/>
    <sheet xmlns:r="http://schemas.openxmlformats.org/officeDocument/2006/relationships" name="组合方案比较" sheetId="4" state="visible" r:id="rId4"/>
    <sheet xmlns:r="http://schemas.openxmlformats.org/officeDocument/2006/relationships" name="预算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参数名称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year_days</t>
        </is>
      </c>
      <c r="B2" s="2" t="n">
        <v>360</v>
      </c>
      <c r="C2" s="2" t="inlineStr">
        <is>
          <t>一年游戏日数</t>
        </is>
      </c>
    </row>
    <row r="3">
      <c r="A3" s="2" t="inlineStr">
        <is>
          <t>fleet_limit</t>
        </is>
      </c>
      <c r="B3" s="2" t="n">
        <v>4</v>
      </c>
      <c r="C3" s="2" t="inlineStr">
        <is>
          <t>最大车队总数</t>
        </is>
      </c>
    </row>
    <row r="4">
      <c r="A4" s="2" t="inlineStr">
        <is>
          <t>max_per_option</t>
        </is>
      </c>
      <c r="B4" s="2" t="n">
        <v>3</v>
      </c>
      <c r="C4" s="2" t="inlineStr">
        <is>
          <t>单路线最大车辆数</t>
        </is>
      </c>
    </row>
    <row r="5">
      <c r="A5" s="2" t="inlineStr">
        <is>
          <t>stress_demand_percent</t>
        </is>
      </c>
      <c r="B5" s="2" t="n">
        <v>80</v>
      </c>
      <c r="C5" s="2" t="inlineStr">
        <is>
          <t>压力情景需求比例 (%)</t>
        </is>
      </c>
    </row>
    <row r="6">
      <c r="A6" s="2" t="inlineStr">
        <is>
          <t>stress_age_periods</t>
        </is>
      </c>
      <c r="B6" s="2" t="n">
        <v>4</v>
      </c>
      <c r="C6" s="2" t="inlineStr">
        <is>
          <t>压力情景老化周期增量</t>
        </is>
      </c>
    </row>
    <row r="7">
      <c r="A7" s="2" t="inlineStr">
        <is>
          <t>stress_cycle_days</t>
        </is>
      </c>
      <c r="B7" s="2" t="n">
        <v>10</v>
      </c>
      <c r="C7" s="2" t="inlineStr">
        <is>
          <t>压力情景循环天数增量</t>
        </is>
      </c>
    </row>
    <row r="8">
      <c r="A8" s="2" t="inlineStr">
        <is>
          <t>minimum_stress_net</t>
        </is>
      </c>
      <c r="B8" s="2" t="n">
        <v>50000</v>
      </c>
      <c r="C8" s="2" t="inlineStr">
        <is>
          <t>压力净现金最低门槛</t>
        </is>
      </c>
    </row>
    <row r="9">
      <c r="A9" s="2" t="inlineStr">
        <is>
          <t>budget_standard</t>
        </is>
      </c>
      <c r="B9" s="2" t="n">
        <v>100000</v>
      </c>
      <c r="C9" s="2" t="inlineStr">
        <is>
          <t>标准预算额度</t>
        </is>
      </c>
    </row>
    <row r="10">
      <c r="A10" s="2" t="inlineStr">
        <is>
          <t>budget_reduced</t>
        </is>
      </c>
      <c r="B10" s="2" t="n">
        <v>70000</v>
      </c>
      <c r="C10" s="2" t="inlineStr">
        <is>
          <t>缩减预算额度</t>
        </is>
      </c>
    </row>
    <row r="11">
      <c r="A11" s="2" t="inlineStr">
        <is>
          <t>currency</t>
        </is>
      </c>
      <c r="B11" s="2" t="inlineStr">
        <is>
          <t>GBP</t>
        </is>
      </c>
      <c r="C11" s="2" t="inlineStr">
        <is>
          <t>货币单位</t>
        </is>
      </c>
    </row>
    <row r="13">
      <c r="A13" s="3" t="inlineStr">
        <is>
          <t>路线参数</t>
        </is>
      </c>
    </row>
    <row r="14">
      <c r="A14" s="1" t="inlineStr">
        <is>
          <t>ID</t>
        </is>
      </c>
      <c r="B14" s="1" t="inlineStr">
        <is>
          <t>货物</t>
        </is>
      </c>
      <c r="C14" s="1" t="inlineStr">
        <is>
          <t>起</t>
        </is>
      </c>
      <c r="D14" s="1" t="inlineStr">
        <is>
          <t>终</t>
        </is>
      </c>
      <c r="E14" s="1" t="inlineStr">
        <is>
          <t>曼哈顿距离</t>
        </is>
      </c>
      <c r="F14" s="1" t="inlineStr">
        <is>
          <t>cycle_days</t>
        </is>
      </c>
      <c r="G14" s="1" t="inlineStr">
        <is>
          <t>age_periods</t>
        </is>
      </c>
      <c r="H14" s="1" t="inlineStr">
        <is>
          <t>capacity</t>
        </is>
      </c>
      <c r="I14" s="1" t="inlineStr">
        <is>
          <t>demand</t>
        </is>
      </c>
      <c r="J14" s="1" t="inlineStr">
        <is>
          <t>capex</t>
        </is>
      </c>
      <c r="K14" s="1" t="inlineStr">
        <is>
          <t>annual_running</t>
        </is>
      </c>
      <c r="L14" s="1" t="inlineStr">
        <is>
          <t>exclusive_group</t>
        </is>
      </c>
    </row>
    <row r="15">
      <c r="A15" s="2" t="inlineStr">
        <is>
          <t>C1</t>
        </is>
      </c>
      <c r="B15" s="2" t="inlineStr">
        <is>
          <t>Coal</t>
        </is>
      </c>
      <c r="C15" s="2" t="inlineStr">
        <is>
          <t>(见routes.json)</t>
        </is>
      </c>
      <c r="D15" s="2" t="inlineStr">
        <is>
          <t>(见routes.json)</t>
        </is>
      </c>
      <c r="E15" s="2" t="n">
        <v>200</v>
      </c>
      <c r="F15" s="2" t="n">
        <v>90</v>
      </c>
      <c r="G15" s="2" t="n">
        <v>28</v>
      </c>
      <c r="H15" s="2" t="n">
        <v>120</v>
      </c>
      <c r="I15" s="2" t="n">
        <v>1200</v>
      </c>
      <c r="J15" s="2" t="n">
        <v>22000</v>
      </c>
      <c r="K15" s="2" t="n">
        <v>7000</v>
      </c>
      <c r="L15" s="2" t="inlineStr">
        <is>
          <t>coal</t>
        </is>
      </c>
    </row>
    <row r="16">
      <c r="A16" s="2" t="inlineStr">
        <is>
          <t>G1</t>
        </is>
      </c>
      <c r="B16" s="2" t="inlineStr">
        <is>
          <t>Goods</t>
        </is>
      </c>
      <c r="C16" s="2" t="inlineStr">
        <is>
          <t>(见routes.json)</t>
        </is>
      </c>
      <c r="D16" s="2" t="inlineStr">
        <is>
          <t>(见routes.json)</t>
        </is>
      </c>
      <c r="E16" s="2" t="n">
        <v>300</v>
      </c>
      <c r="F16" s="2" t="n">
        <v>60</v>
      </c>
      <c r="G16" s="2" t="n">
        <v>18</v>
      </c>
      <c r="H16" s="2" t="n">
        <v>80</v>
      </c>
      <c r="I16" s="2" t="n">
        <v>1600</v>
      </c>
      <c r="J16" s="2" t="n">
        <v>28000</v>
      </c>
      <c r="K16" s="2" t="n">
        <v>10000</v>
      </c>
      <c r="L16" s="2" t="inlineStr">
        <is>
          <t>goods</t>
        </is>
      </c>
    </row>
    <row r="17">
      <c r="A17" s="2" t="inlineStr">
        <is>
          <t>G2</t>
        </is>
      </c>
      <c r="B17" s="2" t="inlineStr">
        <is>
          <t>Goods</t>
        </is>
      </c>
      <c r="C17" s="2" t="inlineStr">
        <is>
          <t>(见routes.json)</t>
        </is>
      </c>
      <c r="D17" s="2" t="inlineStr">
        <is>
          <t>(见routes.json)</t>
        </is>
      </c>
      <c r="E17" s="2" t="n">
        <v>300</v>
      </c>
      <c r="F17" s="2" t="n">
        <v>40</v>
      </c>
      <c r="G17" s="2" t="n">
        <v>8</v>
      </c>
      <c r="H17" s="2" t="n">
        <v>50</v>
      </c>
      <c r="I17" s="2" t="n">
        <v>1600</v>
      </c>
      <c r="J17" s="2" t="n">
        <v>45000</v>
      </c>
      <c r="K17" s="2" t="n">
        <v>18000</v>
      </c>
      <c r="L17" s="2" t="inlineStr">
        <is>
          <t>goods</t>
        </is>
      </c>
    </row>
    <row r="18">
      <c r="A18" s="2" t="inlineStr">
        <is>
          <t>P1</t>
        </is>
      </c>
      <c r="B18" s="2" t="inlineStr">
        <is>
          <t>Passengers</t>
        </is>
      </c>
      <c r="C18" s="2" t="inlineStr">
        <is>
          <t>(见routes.json)</t>
        </is>
      </c>
      <c r="D18" s="2" t="inlineStr">
        <is>
          <t>(见routes.json)</t>
        </is>
      </c>
      <c r="E18" s="2" t="n">
        <v>160</v>
      </c>
      <c r="F18" s="2" t="n">
        <v>48</v>
      </c>
      <c r="G18" s="2" t="n">
        <v>12</v>
      </c>
      <c r="H18" s="2" t="n">
        <v>100</v>
      </c>
      <c r="I18" s="2" t="n">
        <v>2050</v>
      </c>
      <c r="J18" s="2" t="n">
        <v>20000</v>
      </c>
      <c r="K18" s="2" t="n">
        <v>8000</v>
      </c>
      <c r="L18" s="2" t="inlineStr">
        <is>
          <t>passengers</t>
        </is>
      </c>
    </row>
    <row r="19">
      <c r="A19" s="2" t="inlineStr">
        <is>
          <t>P2</t>
        </is>
      </c>
      <c r="B19" s="2" t="inlineStr">
        <is>
          <t>Passengers</t>
        </is>
      </c>
      <c r="C19" s="2" t="inlineStr">
        <is>
          <t>(见routes.json)</t>
        </is>
      </c>
      <c r="D19" s="2" t="inlineStr">
        <is>
          <t>(见routes.json)</t>
        </is>
      </c>
      <c r="E19" s="2" t="n">
        <v>160</v>
      </c>
      <c r="F19" s="2" t="n">
        <v>30</v>
      </c>
      <c r="G19" s="2" t="n">
        <v>6</v>
      </c>
      <c r="H19" s="2" t="n">
        <v>70</v>
      </c>
      <c r="I19" s="2" t="n">
        <v>2050</v>
      </c>
      <c r="J19" s="2" t="n">
        <v>30000</v>
      </c>
      <c r="K19" s="2" t="n">
        <v>12000</v>
      </c>
      <c r="L19" s="2" t="inlineStr">
        <is>
          <t>passengers</t>
        </is>
      </c>
    </row>
    <row r="20">
      <c r="A20" s="2" t="inlineStr">
        <is>
          <t>M1</t>
        </is>
      </c>
      <c r="B20" s="2" t="inlineStr">
        <is>
          <t>Mail</t>
        </is>
      </c>
      <c r="C20" s="2" t="inlineStr">
        <is>
          <t>(见routes.json)</t>
        </is>
      </c>
      <c r="D20" s="2" t="inlineStr">
        <is>
          <t>(见routes.json)</t>
        </is>
      </c>
      <c r="E20" s="2" t="n">
        <v>240</v>
      </c>
      <c r="F20" s="2" t="n">
        <v>90</v>
      </c>
      <c r="G20" s="2" t="n">
        <v>24</v>
      </c>
      <c r="H20" s="2" t="n">
        <v>60</v>
      </c>
      <c r="I20" s="2" t="n">
        <v>677</v>
      </c>
      <c r="J20" s="2" t="n">
        <v>25000</v>
      </c>
      <c r="K20" s="2" t="n">
        <v>6000</v>
      </c>
      <c r="L20" s="2" t="inlineStr">
        <is>
          <t>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路线</t>
        </is>
      </c>
      <c r="B1" s="1" t="inlineStr">
        <is>
          <t>车辆数</t>
        </is>
      </c>
      <c r="C1" s="1" t="inlineStr">
        <is>
          <t>计费距离</t>
        </is>
      </c>
      <c r="D1" s="1" t="inlineStr">
        <is>
          <t>时间因子f</t>
        </is>
      </c>
      <c r="E1" s="1" t="inlineStr">
        <is>
          <t>循环天数</t>
        </is>
      </c>
      <c r="F1" s="1" t="inlineStr">
        <is>
          <t>年 trips</t>
        </is>
      </c>
      <c r="G1" s="1" t="inlineStr">
        <is>
          <t>需求</t>
        </is>
      </c>
      <c r="H1" s="1" t="inlineStr">
        <is>
          <t>运送量</t>
        </is>
      </c>
      <c r="I1" s="1" t="inlineStr">
        <is>
          <t>收入</t>
        </is>
      </c>
      <c r="J1" s="1" t="inlineStr">
        <is>
          <t>采购额</t>
        </is>
      </c>
      <c r="K1" s="1" t="inlineStr">
        <is>
          <t>年运行费</t>
        </is>
      </c>
      <c r="L1" s="1" t="inlineStr">
        <is>
          <t>净现金</t>
        </is>
      </c>
    </row>
    <row r="2">
      <c r="A2" s="2" t="inlineStr">
        <is>
          <t>C1</t>
        </is>
      </c>
      <c r="B2" s="2" t="n">
        <v>0</v>
      </c>
      <c r="C2" s="2" t="n">
        <v>200</v>
      </c>
      <c r="D2" s="2" t="n">
        <v>234</v>
      </c>
      <c r="E2" s="2" t="n">
        <v>90</v>
      </c>
      <c r="F2" s="2" t="n">
        <v>0</v>
      </c>
      <c r="G2" s="2" t="n">
        <v>1200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inlineStr">
        <is>
          <t>C1</t>
        </is>
      </c>
      <c r="B3" s="2" t="n">
        <v>1</v>
      </c>
      <c r="C3" s="2" t="n">
        <v>200</v>
      </c>
      <c r="D3" s="2" t="n">
        <v>234</v>
      </c>
      <c r="E3" s="2" t="n">
        <v>90</v>
      </c>
      <c r="F3" s="2" t="n">
        <v>4</v>
      </c>
      <c r="G3" s="2" t="n">
        <v>1200</v>
      </c>
      <c r="H3" s="2" t="n">
        <v>480</v>
      </c>
      <c r="I3" s="2" t="n">
        <v>63368</v>
      </c>
      <c r="J3" s="2" t="n">
        <v>22000</v>
      </c>
      <c r="K3" s="2" t="n">
        <v>7000</v>
      </c>
      <c r="L3" s="2" t="n">
        <v>34368</v>
      </c>
    </row>
    <row r="4">
      <c r="A4" s="2" t="inlineStr">
        <is>
          <t>C1</t>
        </is>
      </c>
      <c r="B4" s="2" t="n">
        <v>2</v>
      </c>
      <c r="C4" s="2" t="n">
        <v>200</v>
      </c>
      <c r="D4" s="2" t="n">
        <v>234</v>
      </c>
      <c r="E4" s="2" t="n">
        <v>90</v>
      </c>
      <c r="F4" s="2" t="n">
        <v>8</v>
      </c>
      <c r="G4" s="2" t="n">
        <v>1200</v>
      </c>
      <c r="H4" s="2" t="n">
        <v>960</v>
      </c>
      <c r="I4" s="2" t="n">
        <v>126736</v>
      </c>
      <c r="J4" s="2" t="n">
        <v>44000</v>
      </c>
      <c r="K4" s="2" t="n">
        <v>14000</v>
      </c>
      <c r="L4" s="2" t="n">
        <v>68736</v>
      </c>
    </row>
    <row r="5">
      <c r="A5" s="2" t="inlineStr">
        <is>
          <t>C1</t>
        </is>
      </c>
      <c r="B5" s="2" t="n">
        <v>3</v>
      </c>
      <c r="C5" s="2" t="n">
        <v>200</v>
      </c>
      <c r="D5" s="2" t="n">
        <v>234</v>
      </c>
      <c r="E5" s="2" t="n">
        <v>90</v>
      </c>
      <c r="F5" s="2" t="n">
        <v>12</v>
      </c>
      <c r="G5" s="2" t="n">
        <v>1200</v>
      </c>
      <c r="H5" s="2" t="n">
        <v>1200</v>
      </c>
      <c r="I5" s="2" t="n">
        <v>158420</v>
      </c>
      <c r="J5" s="2" t="n">
        <v>66000</v>
      </c>
      <c r="K5" s="2" t="n">
        <v>21000</v>
      </c>
      <c r="L5" s="2" t="n">
        <v>71420</v>
      </c>
    </row>
    <row r="6">
      <c r="A6" s="2" t="inlineStr">
        <is>
          <t>G1</t>
        </is>
      </c>
      <c r="B6" s="2" t="n">
        <v>0</v>
      </c>
      <c r="C6" s="2" t="n">
        <v>300</v>
      </c>
      <c r="D6" s="2" t="n">
        <v>242</v>
      </c>
      <c r="E6" s="2" t="n">
        <v>60</v>
      </c>
      <c r="F6" s="2" t="n">
        <v>0</v>
      </c>
      <c r="G6" s="2" t="n">
        <v>1600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inlineStr">
        <is>
          <t>G1</t>
        </is>
      </c>
      <c r="B7" s="2" t="n">
        <v>1</v>
      </c>
      <c r="C7" s="2" t="n">
        <v>300</v>
      </c>
      <c r="D7" s="2" t="n">
        <v>242</v>
      </c>
      <c r="E7" s="2" t="n">
        <v>60</v>
      </c>
      <c r="F7" s="2" t="n">
        <v>6</v>
      </c>
      <c r="G7" s="2" t="n">
        <v>1600</v>
      </c>
      <c r="H7" s="2" t="n">
        <v>480</v>
      </c>
      <c r="I7" s="2" t="n">
        <v>102090</v>
      </c>
      <c r="J7" s="2" t="n">
        <v>28000</v>
      </c>
      <c r="K7" s="2" t="n">
        <v>10000</v>
      </c>
      <c r="L7" s="2" t="n">
        <v>64090</v>
      </c>
    </row>
    <row r="8">
      <c r="A8" s="2" t="inlineStr">
        <is>
          <t>G1</t>
        </is>
      </c>
      <c r="B8" s="2" t="n">
        <v>2</v>
      </c>
      <c r="C8" s="2" t="n">
        <v>300</v>
      </c>
      <c r="D8" s="2" t="n">
        <v>242</v>
      </c>
      <c r="E8" s="2" t="n">
        <v>60</v>
      </c>
      <c r="F8" s="2" t="n">
        <v>12</v>
      </c>
      <c r="G8" s="2" t="n">
        <v>1600</v>
      </c>
      <c r="H8" s="2" t="n">
        <v>960</v>
      </c>
      <c r="I8" s="2" t="n">
        <v>204180</v>
      </c>
      <c r="J8" s="2" t="n">
        <v>56000</v>
      </c>
      <c r="K8" s="2" t="n">
        <v>20000</v>
      </c>
      <c r="L8" s="2" t="n">
        <v>128180</v>
      </c>
    </row>
    <row r="9">
      <c r="A9" s="2" t="inlineStr">
        <is>
          <t>G1</t>
        </is>
      </c>
      <c r="B9" s="2" t="n">
        <v>3</v>
      </c>
      <c r="C9" s="2" t="n">
        <v>300</v>
      </c>
      <c r="D9" s="2" t="n">
        <v>242</v>
      </c>
      <c r="E9" s="2" t="n">
        <v>60</v>
      </c>
      <c r="F9" s="2" t="n">
        <v>18</v>
      </c>
      <c r="G9" s="2" t="n">
        <v>1600</v>
      </c>
      <c r="H9" s="2" t="n">
        <v>1440</v>
      </c>
      <c r="I9" s="2" t="n">
        <v>306270</v>
      </c>
      <c r="J9" s="2" t="n">
        <v>84000</v>
      </c>
      <c r="K9" s="2" t="n">
        <v>30000</v>
      </c>
      <c r="L9" s="2" t="n">
        <v>192270</v>
      </c>
    </row>
    <row r="10">
      <c r="A10" s="2" t="inlineStr">
        <is>
          <t>G2</t>
        </is>
      </c>
      <c r="B10" s="2" t="n">
        <v>0</v>
      </c>
      <c r="C10" s="2" t="n">
        <v>300</v>
      </c>
      <c r="D10" s="2" t="n">
        <v>252</v>
      </c>
      <c r="E10" s="2" t="n">
        <v>40</v>
      </c>
      <c r="F10" s="2" t="n">
        <v>0</v>
      </c>
      <c r="G10" s="2" t="n">
        <v>1600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inlineStr">
        <is>
          <t>G2</t>
        </is>
      </c>
      <c r="B11" s="2" t="n">
        <v>1</v>
      </c>
      <c r="C11" s="2" t="n">
        <v>300</v>
      </c>
      <c r="D11" s="2" t="n">
        <v>252</v>
      </c>
      <c r="E11" s="2" t="n">
        <v>40</v>
      </c>
      <c r="F11" s="2" t="n">
        <v>9</v>
      </c>
      <c r="G11" s="2" t="n">
        <v>1600</v>
      </c>
      <c r="H11" s="2" t="n">
        <v>450</v>
      </c>
      <c r="I11" s="2" t="n">
        <v>99666</v>
      </c>
      <c r="J11" s="2" t="n">
        <v>45000</v>
      </c>
      <c r="K11" s="2" t="n">
        <v>18000</v>
      </c>
      <c r="L11" s="2" t="n">
        <v>36666</v>
      </c>
    </row>
    <row r="12">
      <c r="A12" s="2" t="inlineStr">
        <is>
          <t>G2</t>
        </is>
      </c>
      <c r="B12" s="2" t="n">
        <v>2</v>
      </c>
      <c r="C12" s="2" t="n">
        <v>300</v>
      </c>
      <c r="D12" s="2" t="n">
        <v>252</v>
      </c>
      <c r="E12" s="2" t="n">
        <v>40</v>
      </c>
      <c r="F12" s="2" t="n">
        <v>18</v>
      </c>
      <c r="G12" s="2" t="n">
        <v>1600</v>
      </c>
      <c r="H12" s="2" t="n">
        <v>900</v>
      </c>
      <c r="I12" s="2" t="n">
        <v>199332</v>
      </c>
      <c r="J12" s="2" t="n">
        <v>90000</v>
      </c>
      <c r="K12" s="2" t="n">
        <v>36000</v>
      </c>
      <c r="L12" s="2" t="n">
        <v>73332</v>
      </c>
    </row>
    <row r="13">
      <c r="A13" s="2" t="inlineStr">
        <is>
          <t>G2</t>
        </is>
      </c>
      <c r="B13" s="2" t="n">
        <v>3</v>
      </c>
      <c r="C13" s="2" t="n">
        <v>300</v>
      </c>
      <c r="D13" s="2" t="n">
        <v>252</v>
      </c>
      <c r="E13" s="2" t="n">
        <v>40</v>
      </c>
      <c r="F13" s="2" t="n">
        <v>27</v>
      </c>
      <c r="G13" s="2" t="n">
        <v>1600</v>
      </c>
      <c r="H13" s="2" t="n">
        <v>1350</v>
      </c>
      <c r="I13" s="2" t="n">
        <v>298998</v>
      </c>
      <c r="J13" s="2" t="n">
        <v>135000</v>
      </c>
      <c r="K13" s="2" t="n">
        <v>54000</v>
      </c>
      <c r="L13" s="2" t="n">
        <v>109998</v>
      </c>
    </row>
    <row r="14">
      <c r="A14" s="2" t="inlineStr">
        <is>
          <t>P1</t>
        </is>
      </c>
      <c r="B14" s="2" t="n">
        <v>0</v>
      </c>
      <c r="C14" s="2" t="n">
        <v>160</v>
      </c>
      <c r="D14" s="2" t="n">
        <v>243</v>
      </c>
      <c r="E14" s="2" t="n">
        <v>48</v>
      </c>
      <c r="F14" s="2" t="n">
        <v>0</v>
      </c>
      <c r="G14" s="2" t="n">
        <v>2050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P1</t>
        </is>
      </c>
      <c r="B15" s="2" t="n">
        <v>1</v>
      </c>
      <c r="C15" s="2" t="n">
        <v>160</v>
      </c>
      <c r="D15" s="2" t="n">
        <v>243</v>
      </c>
      <c r="E15" s="2" t="n">
        <v>48</v>
      </c>
      <c r="F15" s="2" t="n">
        <v>7</v>
      </c>
      <c r="G15" s="2" t="n">
        <v>2050</v>
      </c>
      <c r="H15" s="2" t="n">
        <v>700</v>
      </c>
      <c r="I15" s="2" t="n">
        <v>41328</v>
      </c>
      <c r="J15" s="2" t="n">
        <v>20000</v>
      </c>
      <c r="K15" s="2" t="n">
        <v>8000</v>
      </c>
      <c r="L15" s="2" t="n">
        <v>13328</v>
      </c>
    </row>
    <row r="16">
      <c r="A16" s="2" t="inlineStr">
        <is>
          <t>P1</t>
        </is>
      </c>
      <c r="B16" s="2" t="n">
        <v>2</v>
      </c>
      <c r="C16" s="2" t="n">
        <v>160</v>
      </c>
      <c r="D16" s="2" t="n">
        <v>243</v>
      </c>
      <c r="E16" s="2" t="n">
        <v>48</v>
      </c>
      <c r="F16" s="2" t="n">
        <v>14</v>
      </c>
      <c r="G16" s="2" t="n">
        <v>2050</v>
      </c>
      <c r="H16" s="2" t="n">
        <v>1400</v>
      </c>
      <c r="I16" s="2" t="n">
        <v>82656</v>
      </c>
      <c r="J16" s="2" t="n">
        <v>40000</v>
      </c>
      <c r="K16" s="2" t="n">
        <v>16000</v>
      </c>
      <c r="L16" s="2" t="n">
        <v>26656</v>
      </c>
    </row>
    <row r="17">
      <c r="A17" s="2" t="inlineStr">
        <is>
          <t>P1</t>
        </is>
      </c>
      <c r="B17" s="2" t="n">
        <v>3</v>
      </c>
      <c r="C17" s="2" t="n">
        <v>160</v>
      </c>
      <c r="D17" s="2" t="n">
        <v>243</v>
      </c>
      <c r="E17" s="2" t="n">
        <v>48</v>
      </c>
      <c r="F17" s="2" t="n">
        <v>21</v>
      </c>
      <c r="G17" s="2" t="n">
        <v>2050</v>
      </c>
      <c r="H17" s="2" t="n">
        <v>2050</v>
      </c>
      <c r="I17" s="2" t="n">
        <v>121032</v>
      </c>
      <c r="J17" s="2" t="n">
        <v>60000</v>
      </c>
      <c r="K17" s="2" t="n">
        <v>24000</v>
      </c>
      <c r="L17" s="2" t="n">
        <v>37032</v>
      </c>
    </row>
    <row r="18">
      <c r="A18" s="2" t="inlineStr">
        <is>
          <t>P2</t>
        </is>
      </c>
      <c r="B18" s="2" t="n">
        <v>0</v>
      </c>
      <c r="C18" s="2" t="n">
        <v>160</v>
      </c>
      <c r="D18" s="2" t="n">
        <v>249</v>
      </c>
      <c r="E18" s="2" t="n">
        <v>30</v>
      </c>
      <c r="F18" s="2" t="n">
        <v>0</v>
      </c>
      <c r="G18" s="2" t="n">
        <v>2050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P2</t>
        </is>
      </c>
      <c r="B19" s="2" t="n">
        <v>1</v>
      </c>
      <c r="C19" s="2" t="n">
        <v>160</v>
      </c>
      <c r="D19" s="2" t="n">
        <v>249</v>
      </c>
      <c r="E19" s="2" t="n">
        <v>30</v>
      </c>
      <c r="F19" s="2" t="n">
        <v>12</v>
      </c>
      <c r="G19" s="2" t="n">
        <v>2050</v>
      </c>
      <c r="H19" s="2" t="n">
        <v>840</v>
      </c>
      <c r="I19" s="2" t="n">
        <v>50820</v>
      </c>
      <c r="J19" s="2" t="n">
        <v>30000</v>
      </c>
      <c r="K19" s="2" t="n">
        <v>12000</v>
      </c>
      <c r="L19" s="2" t="n">
        <v>8820</v>
      </c>
    </row>
    <row r="20">
      <c r="A20" s="2" t="inlineStr">
        <is>
          <t>P2</t>
        </is>
      </c>
      <c r="B20" s="2" t="n">
        <v>2</v>
      </c>
      <c r="C20" s="2" t="n">
        <v>160</v>
      </c>
      <c r="D20" s="2" t="n">
        <v>249</v>
      </c>
      <c r="E20" s="2" t="n">
        <v>30</v>
      </c>
      <c r="F20" s="2" t="n">
        <v>24</v>
      </c>
      <c r="G20" s="2" t="n">
        <v>2050</v>
      </c>
      <c r="H20" s="2" t="n">
        <v>1680</v>
      </c>
      <c r="I20" s="2" t="n">
        <v>101640</v>
      </c>
      <c r="J20" s="2" t="n">
        <v>60000</v>
      </c>
      <c r="K20" s="2" t="n">
        <v>24000</v>
      </c>
      <c r="L20" s="2" t="n">
        <v>17640</v>
      </c>
    </row>
    <row r="21">
      <c r="A21" s="2" t="inlineStr">
        <is>
          <t>P2</t>
        </is>
      </c>
      <c r="B21" s="2" t="n">
        <v>3</v>
      </c>
      <c r="C21" s="2" t="n">
        <v>160</v>
      </c>
      <c r="D21" s="2" t="n">
        <v>249</v>
      </c>
      <c r="E21" s="2" t="n">
        <v>30</v>
      </c>
      <c r="F21" s="2" t="n">
        <v>36</v>
      </c>
      <c r="G21" s="2" t="n">
        <v>2050</v>
      </c>
      <c r="H21" s="2" t="n">
        <v>2050</v>
      </c>
      <c r="I21" s="2" t="n">
        <v>124025</v>
      </c>
      <c r="J21" s="2" t="n">
        <v>90000</v>
      </c>
      <c r="K21" s="2" t="n">
        <v>36000</v>
      </c>
      <c r="L21" s="2" t="n">
        <v>-1975</v>
      </c>
    </row>
    <row r="22">
      <c r="A22" s="2" t="inlineStr">
        <is>
          <t>M1</t>
        </is>
      </c>
      <c r="B22" s="2" t="n">
        <v>0</v>
      </c>
      <c r="C22" s="2" t="n">
        <v>240</v>
      </c>
      <c r="D22" s="2" t="n">
        <v>251</v>
      </c>
      <c r="E22" s="2" t="n">
        <v>90</v>
      </c>
      <c r="F22" s="2" t="n">
        <v>0</v>
      </c>
      <c r="G22" s="2" t="n">
        <v>677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M1</t>
        </is>
      </c>
      <c r="B23" s="2" t="n">
        <v>1</v>
      </c>
      <c r="C23" s="2" t="n">
        <v>240</v>
      </c>
      <c r="D23" s="2" t="n">
        <v>251</v>
      </c>
      <c r="E23" s="2" t="n">
        <v>90</v>
      </c>
      <c r="F23" s="2" t="n">
        <v>4</v>
      </c>
      <c r="G23" s="2" t="n">
        <v>677</v>
      </c>
      <c r="H23" s="2" t="n">
        <v>240</v>
      </c>
      <c r="I23" s="2" t="n">
        <v>31364</v>
      </c>
      <c r="J23" s="2" t="n">
        <v>25000</v>
      </c>
      <c r="K23" s="2" t="n">
        <v>6000</v>
      </c>
      <c r="L23" s="2" t="n">
        <v>364</v>
      </c>
    </row>
    <row r="24">
      <c r="A24" s="2" t="inlineStr">
        <is>
          <t>M1</t>
        </is>
      </c>
      <c r="B24" s="2" t="n">
        <v>2</v>
      </c>
      <c r="C24" s="2" t="n">
        <v>240</v>
      </c>
      <c r="D24" s="2" t="n">
        <v>251</v>
      </c>
      <c r="E24" s="2" t="n">
        <v>90</v>
      </c>
      <c r="F24" s="2" t="n">
        <v>8</v>
      </c>
      <c r="G24" s="2" t="n">
        <v>677</v>
      </c>
      <c r="H24" s="2" t="n">
        <v>480</v>
      </c>
      <c r="I24" s="2" t="n">
        <v>62728</v>
      </c>
      <c r="J24" s="2" t="n">
        <v>50000</v>
      </c>
      <c r="K24" s="2" t="n">
        <v>12000</v>
      </c>
      <c r="L24" s="2" t="n">
        <v>728</v>
      </c>
    </row>
    <row r="25">
      <c r="A25" s="2" t="inlineStr">
        <is>
          <t>M1</t>
        </is>
      </c>
      <c r="B25" s="2" t="n">
        <v>3</v>
      </c>
      <c r="C25" s="2" t="n">
        <v>240</v>
      </c>
      <c r="D25" s="2" t="n">
        <v>251</v>
      </c>
      <c r="E25" s="2" t="n">
        <v>90</v>
      </c>
      <c r="F25" s="2" t="n">
        <v>12</v>
      </c>
      <c r="G25" s="2" t="n">
        <v>677</v>
      </c>
      <c r="H25" s="2" t="n">
        <v>677</v>
      </c>
      <c r="I25" s="2" t="n">
        <v>88472</v>
      </c>
      <c r="J25" s="2" t="n">
        <v>75000</v>
      </c>
      <c r="K25" s="2" t="n">
        <v>18000</v>
      </c>
      <c r="L25" s="2" t="n">
        <v>-4528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路线</t>
        </is>
      </c>
      <c r="B1" s="1" t="inlineStr">
        <is>
          <t>车辆数</t>
        </is>
      </c>
      <c r="C1" s="1" t="inlineStr">
        <is>
          <t>计费距离</t>
        </is>
      </c>
      <c r="D1" s="1" t="inlineStr">
        <is>
          <t>时间因子f</t>
        </is>
      </c>
      <c r="E1" s="1" t="inlineStr">
        <is>
          <t>循环天数</t>
        </is>
      </c>
      <c r="F1" s="1" t="inlineStr">
        <is>
          <t>年 trips</t>
        </is>
      </c>
      <c r="G1" s="1" t="inlineStr">
        <is>
          <t>需求</t>
        </is>
      </c>
      <c r="H1" s="1" t="inlineStr">
        <is>
          <t>运送量</t>
        </is>
      </c>
      <c r="I1" s="1" t="inlineStr">
        <is>
          <t>收入</t>
        </is>
      </c>
      <c r="J1" s="1" t="inlineStr">
        <is>
          <t>采购额</t>
        </is>
      </c>
      <c r="K1" s="1" t="inlineStr">
        <is>
          <t>年运行费</t>
        </is>
      </c>
      <c r="L1" s="1" t="inlineStr">
        <is>
          <t>净现金</t>
        </is>
      </c>
    </row>
    <row r="2">
      <c r="A2" s="2" t="inlineStr">
        <is>
          <t>C1</t>
        </is>
      </c>
      <c r="B2" s="2" t="n">
        <v>0</v>
      </c>
      <c r="C2" s="2" t="n">
        <v>200</v>
      </c>
      <c r="D2" s="2" t="n">
        <v>230</v>
      </c>
      <c r="E2" s="2" t="n">
        <v>100</v>
      </c>
      <c r="F2" s="2" t="n">
        <v>0</v>
      </c>
      <c r="G2" s="2" t="n">
        <v>960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inlineStr">
        <is>
          <t>C1</t>
        </is>
      </c>
      <c r="B3" s="2" t="n">
        <v>1</v>
      </c>
      <c r="C3" s="2" t="n">
        <v>200</v>
      </c>
      <c r="D3" s="2" t="n">
        <v>230</v>
      </c>
      <c r="E3" s="2" t="n">
        <v>100</v>
      </c>
      <c r="F3" s="2" t="n">
        <v>3</v>
      </c>
      <c r="G3" s="2" t="n">
        <v>960</v>
      </c>
      <c r="H3" s="2" t="n">
        <v>360</v>
      </c>
      <c r="I3" s="2" t="n">
        <v>46713</v>
      </c>
      <c r="J3" s="2" t="n">
        <v>22000</v>
      </c>
      <c r="K3" s="2" t="n">
        <v>7000</v>
      </c>
      <c r="L3" s="2" t="n">
        <v>17713</v>
      </c>
    </row>
    <row r="4">
      <c r="A4" s="2" t="inlineStr">
        <is>
          <t>C1</t>
        </is>
      </c>
      <c r="B4" s="2" t="n">
        <v>2</v>
      </c>
      <c r="C4" s="2" t="n">
        <v>200</v>
      </c>
      <c r="D4" s="2" t="n">
        <v>230</v>
      </c>
      <c r="E4" s="2" t="n">
        <v>100</v>
      </c>
      <c r="F4" s="2" t="n">
        <v>6</v>
      </c>
      <c r="G4" s="2" t="n">
        <v>960</v>
      </c>
      <c r="H4" s="2" t="n">
        <v>720</v>
      </c>
      <c r="I4" s="2" t="n">
        <v>93426</v>
      </c>
      <c r="J4" s="2" t="n">
        <v>44000</v>
      </c>
      <c r="K4" s="2" t="n">
        <v>14000</v>
      </c>
      <c r="L4" s="2" t="n">
        <v>35426</v>
      </c>
    </row>
    <row r="5">
      <c r="A5" s="2" t="inlineStr">
        <is>
          <t>C1</t>
        </is>
      </c>
      <c r="B5" s="2" t="n">
        <v>3</v>
      </c>
      <c r="C5" s="2" t="n">
        <v>200</v>
      </c>
      <c r="D5" s="2" t="n">
        <v>230</v>
      </c>
      <c r="E5" s="2" t="n">
        <v>100</v>
      </c>
      <c r="F5" s="2" t="n">
        <v>9</v>
      </c>
      <c r="G5" s="2" t="n">
        <v>960</v>
      </c>
      <c r="H5" s="2" t="n">
        <v>960</v>
      </c>
      <c r="I5" s="2" t="n">
        <v>124568</v>
      </c>
      <c r="J5" s="2" t="n">
        <v>66000</v>
      </c>
      <c r="K5" s="2" t="n">
        <v>21000</v>
      </c>
      <c r="L5" s="2" t="n">
        <v>37568</v>
      </c>
    </row>
    <row r="6">
      <c r="A6" s="2" t="inlineStr">
        <is>
          <t>G1</t>
        </is>
      </c>
      <c r="B6" s="2" t="n">
        <v>0</v>
      </c>
      <c r="C6" s="2" t="n">
        <v>300</v>
      </c>
      <c r="D6" s="2" t="n">
        <v>238</v>
      </c>
      <c r="E6" s="2" t="n">
        <v>70</v>
      </c>
      <c r="F6" s="2" t="n">
        <v>0</v>
      </c>
      <c r="G6" s="2" t="n">
        <v>1280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inlineStr">
        <is>
          <t>G1</t>
        </is>
      </c>
      <c r="B7" s="2" t="n">
        <v>1</v>
      </c>
      <c r="C7" s="2" t="n">
        <v>300</v>
      </c>
      <c r="D7" s="2" t="n">
        <v>238</v>
      </c>
      <c r="E7" s="2" t="n">
        <v>70</v>
      </c>
      <c r="F7" s="2" t="n">
        <v>5</v>
      </c>
      <c r="G7" s="2" t="n">
        <v>1280</v>
      </c>
      <c r="H7" s="2" t="n">
        <v>400</v>
      </c>
      <c r="I7" s="2" t="n">
        <v>83670</v>
      </c>
      <c r="J7" s="2" t="n">
        <v>28000</v>
      </c>
      <c r="K7" s="2" t="n">
        <v>10000</v>
      </c>
      <c r="L7" s="2" t="n">
        <v>45670</v>
      </c>
    </row>
    <row r="8">
      <c r="A8" s="2" t="inlineStr">
        <is>
          <t>G1</t>
        </is>
      </c>
      <c r="B8" s="2" t="n">
        <v>2</v>
      </c>
      <c r="C8" s="2" t="n">
        <v>300</v>
      </c>
      <c r="D8" s="2" t="n">
        <v>238</v>
      </c>
      <c r="E8" s="2" t="n">
        <v>70</v>
      </c>
      <c r="F8" s="2" t="n">
        <v>10</v>
      </c>
      <c r="G8" s="2" t="n">
        <v>1280</v>
      </c>
      <c r="H8" s="2" t="n">
        <v>800</v>
      </c>
      <c r="I8" s="2" t="n">
        <v>167340</v>
      </c>
      <c r="J8" s="2" t="n">
        <v>56000</v>
      </c>
      <c r="K8" s="2" t="n">
        <v>20000</v>
      </c>
      <c r="L8" s="2" t="n">
        <v>91340</v>
      </c>
    </row>
    <row r="9">
      <c r="A9" s="2" t="inlineStr">
        <is>
          <t>G1</t>
        </is>
      </c>
      <c r="B9" s="2" t="n">
        <v>3</v>
      </c>
      <c r="C9" s="2" t="n">
        <v>300</v>
      </c>
      <c r="D9" s="2" t="n">
        <v>238</v>
      </c>
      <c r="E9" s="2" t="n">
        <v>70</v>
      </c>
      <c r="F9" s="2" t="n">
        <v>15</v>
      </c>
      <c r="G9" s="2" t="n">
        <v>1280</v>
      </c>
      <c r="H9" s="2" t="n">
        <v>1200</v>
      </c>
      <c r="I9" s="2" t="n">
        <v>251010</v>
      </c>
      <c r="J9" s="2" t="n">
        <v>84000</v>
      </c>
      <c r="K9" s="2" t="n">
        <v>30000</v>
      </c>
      <c r="L9" s="2" t="n">
        <v>137010</v>
      </c>
    </row>
    <row r="10">
      <c r="A10" s="2" t="inlineStr">
        <is>
          <t>G2</t>
        </is>
      </c>
      <c r="B10" s="2" t="n">
        <v>0</v>
      </c>
      <c r="C10" s="2" t="n">
        <v>300</v>
      </c>
      <c r="D10" s="2" t="n">
        <v>248</v>
      </c>
      <c r="E10" s="2" t="n">
        <v>50</v>
      </c>
      <c r="F10" s="2" t="n">
        <v>0</v>
      </c>
      <c r="G10" s="2" t="n">
        <v>1280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inlineStr">
        <is>
          <t>G2</t>
        </is>
      </c>
      <c r="B11" s="2" t="n">
        <v>1</v>
      </c>
      <c r="C11" s="2" t="n">
        <v>300</v>
      </c>
      <c r="D11" s="2" t="n">
        <v>248</v>
      </c>
      <c r="E11" s="2" t="n">
        <v>50</v>
      </c>
      <c r="F11" s="2" t="n">
        <v>7</v>
      </c>
      <c r="G11" s="2" t="n">
        <v>1280</v>
      </c>
      <c r="H11" s="2" t="n">
        <v>350</v>
      </c>
      <c r="I11" s="2" t="n">
        <v>76286</v>
      </c>
      <c r="J11" s="2" t="n">
        <v>45000</v>
      </c>
      <c r="K11" s="2" t="n">
        <v>18000</v>
      </c>
      <c r="L11" s="2" t="n">
        <v>13286</v>
      </c>
    </row>
    <row r="12">
      <c r="A12" s="2" t="inlineStr">
        <is>
          <t>G2</t>
        </is>
      </c>
      <c r="B12" s="2" t="n">
        <v>2</v>
      </c>
      <c r="C12" s="2" t="n">
        <v>300</v>
      </c>
      <c r="D12" s="2" t="n">
        <v>248</v>
      </c>
      <c r="E12" s="2" t="n">
        <v>50</v>
      </c>
      <c r="F12" s="2" t="n">
        <v>14</v>
      </c>
      <c r="G12" s="2" t="n">
        <v>1280</v>
      </c>
      <c r="H12" s="2" t="n">
        <v>700</v>
      </c>
      <c r="I12" s="2" t="n">
        <v>152572</v>
      </c>
      <c r="J12" s="2" t="n">
        <v>90000</v>
      </c>
      <c r="K12" s="2" t="n">
        <v>36000</v>
      </c>
      <c r="L12" s="2" t="n">
        <v>26572</v>
      </c>
    </row>
    <row r="13">
      <c r="A13" s="2" t="inlineStr">
        <is>
          <t>G2</t>
        </is>
      </c>
      <c r="B13" s="2" t="n">
        <v>3</v>
      </c>
      <c r="C13" s="2" t="n">
        <v>300</v>
      </c>
      <c r="D13" s="2" t="n">
        <v>248</v>
      </c>
      <c r="E13" s="2" t="n">
        <v>50</v>
      </c>
      <c r="F13" s="2" t="n">
        <v>21</v>
      </c>
      <c r="G13" s="2" t="n">
        <v>1280</v>
      </c>
      <c r="H13" s="2" t="n">
        <v>1050</v>
      </c>
      <c r="I13" s="2" t="n">
        <v>228858</v>
      </c>
      <c r="J13" s="2" t="n">
        <v>135000</v>
      </c>
      <c r="K13" s="2" t="n">
        <v>54000</v>
      </c>
      <c r="L13" s="2" t="n">
        <v>39858</v>
      </c>
    </row>
    <row r="14">
      <c r="A14" s="2" t="inlineStr">
        <is>
          <t>P1</t>
        </is>
      </c>
      <c r="B14" s="2" t="n">
        <v>0</v>
      </c>
      <c r="C14" s="2" t="n">
        <v>160</v>
      </c>
      <c r="D14" s="2" t="n">
        <v>239</v>
      </c>
      <c r="E14" s="2" t="n">
        <v>58</v>
      </c>
      <c r="F14" s="2" t="n">
        <v>0</v>
      </c>
      <c r="G14" s="2" t="n">
        <v>1640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P1</t>
        </is>
      </c>
      <c r="B15" s="2" t="n">
        <v>1</v>
      </c>
      <c r="C15" s="2" t="n">
        <v>160</v>
      </c>
      <c r="D15" s="2" t="n">
        <v>239</v>
      </c>
      <c r="E15" s="2" t="n">
        <v>58</v>
      </c>
      <c r="F15" s="2" t="n">
        <v>6</v>
      </c>
      <c r="G15" s="2" t="n">
        <v>1640</v>
      </c>
      <c r="H15" s="2" t="n">
        <v>600</v>
      </c>
      <c r="I15" s="2" t="n">
        <v>34842</v>
      </c>
      <c r="J15" s="2" t="n">
        <v>20000</v>
      </c>
      <c r="K15" s="2" t="n">
        <v>8000</v>
      </c>
      <c r="L15" s="2" t="n">
        <v>6842</v>
      </c>
    </row>
    <row r="16">
      <c r="A16" s="2" t="inlineStr">
        <is>
          <t>P1</t>
        </is>
      </c>
      <c r="B16" s="2" t="n">
        <v>2</v>
      </c>
      <c r="C16" s="2" t="n">
        <v>160</v>
      </c>
      <c r="D16" s="2" t="n">
        <v>239</v>
      </c>
      <c r="E16" s="2" t="n">
        <v>58</v>
      </c>
      <c r="F16" s="2" t="n">
        <v>12</v>
      </c>
      <c r="G16" s="2" t="n">
        <v>1640</v>
      </c>
      <c r="H16" s="2" t="n">
        <v>1200</v>
      </c>
      <c r="I16" s="2" t="n">
        <v>69684</v>
      </c>
      <c r="J16" s="2" t="n">
        <v>40000</v>
      </c>
      <c r="K16" s="2" t="n">
        <v>16000</v>
      </c>
      <c r="L16" s="2" t="n">
        <v>13684</v>
      </c>
    </row>
    <row r="17">
      <c r="A17" s="2" t="inlineStr">
        <is>
          <t>P1</t>
        </is>
      </c>
      <c r="B17" s="2" t="n">
        <v>3</v>
      </c>
      <c r="C17" s="2" t="n">
        <v>160</v>
      </c>
      <c r="D17" s="2" t="n">
        <v>239</v>
      </c>
      <c r="E17" s="2" t="n">
        <v>58</v>
      </c>
      <c r="F17" s="2" t="n">
        <v>18</v>
      </c>
      <c r="G17" s="2" t="n">
        <v>1640</v>
      </c>
      <c r="H17" s="2" t="n">
        <v>1640</v>
      </c>
      <c r="I17" s="2" t="n">
        <v>95235</v>
      </c>
      <c r="J17" s="2" t="n">
        <v>60000</v>
      </c>
      <c r="K17" s="2" t="n">
        <v>24000</v>
      </c>
      <c r="L17" s="2" t="n">
        <v>11235</v>
      </c>
    </row>
    <row r="18">
      <c r="A18" s="2" t="inlineStr">
        <is>
          <t>P2</t>
        </is>
      </c>
      <c r="B18" s="2" t="n">
        <v>0</v>
      </c>
      <c r="C18" s="2" t="n">
        <v>160</v>
      </c>
      <c r="D18" s="2" t="n">
        <v>245</v>
      </c>
      <c r="E18" s="2" t="n">
        <v>40</v>
      </c>
      <c r="F18" s="2" t="n">
        <v>0</v>
      </c>
      <c r="G18" s="2" t="n">
        <v>1640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P2</t>
        </is>
      </c>
      <c r="B19" s="2" t="n">
        <v>1</v>
      </c>
      <c r="C19" s="2" t="n">
        <v>160</v>
      </c>
      <c r="D19" s="2" t="n">
        <v>245</v>
      </c>
      <c r="E19" s="2" t="n">
        <v>40</v>
      </c>
      <c r="F19" s="2" t="n">
        <v>9</v>
      </c>
      <c r="G19" s="2" t="n">
        <v>1640</v>
      </c>
      <c r="H19" s="2" t="n">
        <v>630</v>
      </c>
      <c r="I19" s="2" t="n">
        <v>37503</v>
      </c>
      <c r="J19" s="2" t="n">
        <v>30000</v>
      </c>
      <c r="K19" s="2" t="n">
        <v>12000</v>
      </c>
      <c r="L19" s="2" t="n">
        <v>-4497</v>
      </c>
    </row>
    <row r="20">
      <c r="A20" s="2" t="inlineStr">
        <is>
          <t>P2</t>
        </is>
      </c>
      <c r="B20" s="2" t="n">
        <v>2</v>
      </c>
      <c r="C20" s="2" t="n">
        <v>160</v>
      </c>
      <c r="D20" s="2" t="n">
        <v>245</v>
      </c>
      <c r="E20" s="2" t="n">
        <v>40</v>
      </c>
      <c r="F20" s="2" t="n">
        <v>18</v>
      </c>
      <c r="G20" s="2" t="n">
        <v>1640</v>
      </c>
      <c r="H20" s="2" t="n">
        <v>1260</v>
      </c>
      <c r="I20" s="2" t="n">
        <v>75006</v>
      </c>
      <c r="J20" s="2" t="n">
        <v>60000</v>
      </c>
      <c r="K20" s="2" t="n">
        <v>24000</v>
      </c>
      <c r="L20" s="2" t="n">
        <v>-8994</v>
      </c>
    </row>
    <row r="21">
      <c r="A21" s="2" t="inlineStr">
        <is>
          <t>P2</t>
        </is>
      </c>
      <c r="B21" s="2" t="n">
        <v>3</v>
      </c>
      <c r="C21" s="2" t="n">
        <v>160</v>
      </c>
      <c r="D21" s="2" t="n">
        <v>245</v>
      </c>
      <c r="E21" s="2" t="n">
        <v>40</v>
      </c>
      <c r="F21" s="2" t="n">
        <v>27</v>
      </c>
      <c r="G21" s="2" t="n">
        <v>1640</v>
      </c>
      <c r="H21" s="2" t="n">
        <v>1640</v>
      </c>
      <c r="I21" s="2" t="n">
        <v>97627</v>
      </c>
      <c r="J21" s="2" t="n">
        <v>90000</v>
      </c>
      <c r="K21" s="2" t="n">
        <v>36000</v>
      </c>
      <c r="L21" s="2" t="n">
        <v>-28373</v>
      </c>
    </row>
    <row r="22">
      <c r="A22" s="2" t="inlineStr">
        <is>
          <t>M1</t>
        </is>
      </c>
      <c r="B22" s="2" t="n">
        <v>0</v>
      </c>
      <c r="C22" s="2" t="n">
        <v>240</v>
      </c>
      <c r="D22" s="2" t="n">
        <v>247</v>
      </c>
      <c r="E22" s="2" t="n">
        <v>100</v>
      </c>
      <c r="F22" s="2" t="n">
        <v>0</v>
      </c>
      <c r="G22" s="2" t="n">
        <v>541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M1</t>
        </is>
      </c>
      <c r="B23" s="2" t="n">
        <v>1</v>
      </c>
      <c r="C23" s="2" t="n">
        <v>240</v>
      </c>
      <c r="D23" s="2" t="n">
        <v>247</v>
      </c>
      <c r="E23" s="2" t="n">
        <v>100</v>
      </c>
      <c r="F23" s="2" t="n">
        <v>3</v>
      </c>
      <c r="G23" s="2" t="n">
        <v>541</v>
      </c>
      <c r="H23" s="2" t="n">
        <v>180</v>
      </c>
      <c r="I23" s="2" t="n">
        <v>23148</v>
      </c>
      <c r="J23" s="2" t="n">
        <v>25000</v>
      </c>
      <c r="K23" s="2" t="n">
        <v>6000</v>
      </c>
      <c r="L23" s="2" t="n">
        <v>-7852</v>
      </c>
    </row>
    <row r="24">
      <c r="A24" s="2" t="inlineStr">
        <is>
          <t>M1</t>
        </is>
      </c>
      <c r="B24" s="2" t="n">
        <v>2</v>
      </c>
      <c r="C24" s="2" t="n">
        <v>240</v>
      </c>
      <c r="D24" s="2" t="n">
        <v>247</v>
      </c>
      <c r="E24" s="2" t="n">
        <v>100</v>
      </c>
      <c r="F24" s="2" t="n">
        <v>6</v>
      </c>
      <c r="G24" s="2" t="n">
        <v>541</v>
      </c>
      <c r="H24" s="2" t="n">
        <v>360</v>
      </c>
      <c r="I24" s="2" t="n">
        <v>46296</v>
      </c>
      <c r="J24" s="2" t="n">
        <v>50000</v>
      </c>
      <c r="K24" s="2" t="n">
        <v>12000</v>
      </c>
      <c r="L24" s="2" t="n">
        <v>-15704</v>
      </c>
    </row>
    <row r="25">
      <c r="A25" s="2" t="inlineStr">
        <is>
          <t>M1</t>
        </is>
      </c>
      <c r="B25" s="2" t="n">
        <v>3</v>
      </c>
      <c r="C25" s="2" t="n">
        <v>240</v>
      </c>
      <c r="D25" s="2" t="n">
        <v>247</v>
      </c>
      <c r="E25" s="2" t="n">
        <v>100</v>
      </c>
      <c r="F25" s="2" t="n">
        <v>9</v>
      </c>
      <c r="G25" s="2" t="n">
        <v>541</v>
      </c>
      <c r="H25" s="2" t="n">
        <v>540</v>
      </c>
      <c r="I25" s="2" t="n">
        <v>69444</v>
      </c>
      <c r="J25" s="2" t="n">
        <v>75000</v>
      </c>
      <c r="K25" s="2" t="n">
        <v>18000</v>
      </c>
      <c r="L25" s="2" t="n">
        <v>-23556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情景</t>
        </is>
      </c>
      <c r="B1" s="1" t="inlineStr">
        <is>
          <t>排名</t>
        </is>
      </c>
      <c r="C1" s="1" t="inlineStr">
        <is>
          <t>车队</t>
        </is>
      </c>
      <c r="D1" s="1" t="inlineStr">
        <is>
          <t>采购额</t>
        </is>
      </c>
      <c r="E1" s="1" t="inlineStr">
        <is>
          <t>基准净现金</t>
        </is>
      </c>
      <c r="F1" s="1" t="inlineStr">
        <is>
          <t>压力净现金</t>
        </is>
      </c>
      <c r="G1" s="1" t="inlineStr">
        <is>
          <t>预算余额</t>
        </is>
      </c>
    </row>
    <row r="2">
      <c r="A2" s="2" t="inlineStr">
        <is>
          <t>standard</t>
        </is>
      </c>
      <c r="B2" s="2" t="n">
        <v>1</v>
      </c>
      <c r="C2" s="2" t="inlineStr">
        <is>
          <t>G1:3</t>
        </is>
      </c>
      <c r="D2" s="2" t="n">
        <v>84000</v>
      </c>
      <c r="E2" s="2" t="n">
        <v>192270</v>
      </c>
      <c r="F2" s="2" t="n">
        <v>137010</v>
      </c>
      <c r="G2" s="2">
        <f>100000-D2</f>
        <v/>
      </c>
    </row>
    <row r="3">
      <c r="A3" s="2" t="inlineStr">
        <is>
          <t>standard</t>
        </is>
      </c>
      <c r="B3" s="2" t="n">
        <v>2</v>
      </c>
      <c r="C3" s="2" t="inlineStr">
        <is>
          <t>C1:2, G1:2</t>
        </is>
      </c>
      <c r="D3" s="2" t="n">
        <v>100000</v>
      </c>
      <c r="E3" s="2" t="n">
        <v>196916</v>
      </c>
      <c r="F3" s="2" t="n">
        <v>126766</v>
      </c>
      <c r="G3" s="2">
        <f>100000-D3</f>
        <v/>
      </c>
    </row>
    <row r="4">
      <c r="A4" s="2" t="inlineStr">
        <is>
          <t>standard</t>
        </is>
      </c>
      <c r="B4" s="2" t="n">
        <v>3</v>
      </c>
      <c r="C4" s="2" t="inlineStr">
        <is>
          <t>C1:1, G1:2, P1:1</t>
        </is>
      </c>
      <c r="D4" s="2" t="n">
        <v>98000</v>
      </c>
      <c r="E4" s="2" t="n">
        <v>175876</v>
      </c>
      <c r="F4" s="2" t="n">
        <v>115895</v>
      </c>
      <c r="G4" s="2">
        <f>100000-D4</f>
        <v/>
      </c>
    </row>
    <row r="5">
      <c r="A5" s="2" t="inlineStr">
        <is>
          <t>standard</t>
        </is>
      </c>
      <c r="B5" s="2" t="n">
        <v>4</v>
      </c>
      <c r="C5" s="2" t="inlineStr">
        <is>
          <t>C1:1, G1:2</t>
        </is>
      </c>
      <c r="D5" s="2" t="n">
        <v>78000</v>
      </c>
      <c r="E5" s="2" t="n">
        <v>162548</v>
      </c>
      <c r="F5" s="2" t="n">
        <v>109053</v>
      </c>
      <c r="G5" s="2">
        <f>100000-D5</f>
        <v/>
      </c>
    </row>
    <row r="6">
      <c r="A6" s="2" t="inlineStr">
        <is>
          <t>reduced</t>
        </is>
      </c>
      <c r="B6" s="2" t="n">
        <v>1</v>
      </c>
      <c r="C6" s="2" t="inlineStr">
        <is>
          <t>G1:2</t>
        </is>
      </c>
      <c r="D6" s="2" t="n">
        <v>56000</v>
      </c>
      <c r="E6" s="2" t="n">
        <v>128180</v>
      </c>
      <c r="F6" s="2" t="n">
        <v>91340</v>
      </c>
      <c r="G6" s="2">
        <f>70000-D6</f>
        <v/>
      </c>
    </row>
    <row r="7">
      <c r="A7" s="2" t="inlineStr">
        <is>
          <t>reduced</t>
        </is>
      </c>
      <c r="B7" s="2" t="n">
        <v>2</v>
      </c>
      <c r="C7" s="2" t="inlineStr">
        <is>
          <t>C1:1, G1:1, P1:1</t>
        </is>
      </c>
      <c r="D7" s="2" t="n">
        <v>70000</v>
      </c>
      <c r="E7" s="2" t="n">
        <v>111786</v>
      </c>
      <c r="F7" s="2" t="n">
        <v>70225</v>
      </c>
      <c r="G7" s="2">
        <f>70000-D7</f>
        <v/>
      </c>
    </row>
    <row r="8">
      <c r="A8" s="2" t="inlineStr">
        <is>
          <t>reduced</t>
        </is>
      </c>
      <c r="B8" s="2" t="n">
        <v>3</v>
      </c>
      <c r="C8" s="2" t="inlineStr">
        <is>
          <t>C1:1, G1:1</t>
        </is>
      </c>
      <c r="D8" s="2" t="n">
        <v>50000</v>
      </c>
      <c r="E8" s="2" t="n">
        <v>98458</v>
      </c>
      <c r="F8" s="2" t="n">
        <v>63383</v>
      </c>
      <c r="G8" s="2">
        <f>70000-D8</f>
        <v/>
      </c>
    </row>
    <row r="9">
      <c r="A9" s="2" t="inlineStr">
        <is>
          <t>reduced</t>
        </is>
      </c>
      <c r="B9" s="2" t="n">
        <v>4</v>
      </c>
      <c r="C9" s="2" t="inlineStr">
        <is>
          <t>G1:1, P1:2</t>
        </is>
      </c>
      <c r="D9" s="2" t="n">
        <v>68000</v>
      </c>
      <c r="E9" s="2" t="n">
        <v>90746</v>
      </c>
      <c r="F9" s="2" t="n">
        <v>59354</v>
      </c>
      <c r="G9" s="2">
        <f>70000-D9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对比项</t>
        </is>
      </c>
      <c r="B1" s="1" t="inlineStr">
        <is>
          <t>标准预算</t>
        </is>
      </c>
      <c r="C1" s="1" t="inlineStr">
        <is>
          <t>缩减预算</t>
        </is>
      </c>
      <c r="D1" s="1" t="inlineStr">
        <is>
          <t>差值/比例</t>
        </is>
      </c>
    </row>
    <row r="2">
      <c r="A2" s="2" t="inlineStr">
        <is>
          <t>预算额度</t>
        </is>
      </c>
      <c r="B2" s="2" t="n">
        <v>100000</v>
      </c>
      <c r="C2" s="2" t="n">
        <v>70000</v>
      </c>
      <c r="D2" s="2" t="n">
        <v>30000</v>
      </c>
    </row>
    <row r="3">
      <c r="A3" s="2" t="inlineStr">
        <is>
          <t>可行方案数</t>
        </is>
      </c>
      <c r="B3" s="2" t="n">
        <v>23</v>
      </c>
      <c r="C3" s="2" t="n">
        <v>5</v>
      </c>
      <c r="D3" s="2" t="n">
        <v>18</v>
      </c>
    </row>
    <row r="4">
      <c r="A4" s="2" t="inlineStr">
        <is>
          <t>最优采购额</t>
        </is>
      </c>
      <c r="B4" s="2" t="n">
        <v>84000</v>
      </c>
      <c r="C4" s="2" t="n">
        <v>56000</v>
      </c>
      <c r="D4" s="2" t="n">
        <v>28000</v>
      </c>
    </row>
    <row r="5">
      <c r="A5" s="2" t="inlineStr">
        <is>
          <t>最优基准净现金</t>
        </is>
      </c>
      <c r="B5" s="2" t="n">
        <v>192270</v>
      </c>
      <c r="C5" s="2" t="n">
        <v>128180</v>
      </c>
      <c r="D5" s="2" t="n">
        <v>64090</v>
      </c>
    </row>
    <row r="6">
      <c r="A6" s="2" t="inlineStr">
        <is>
          <t>最优压力净现金</t>
        </is>
      </c>
      <c r="B6" s="2" t="n">
        <v>137010</v>
      </c>
      <c r="C6" s="2" t="n">
        <v>91340</v>
      </c>
      <c r="D6" s="2" t="n">
        <v>45670</v>
      </c>
    </row>
    <row r="7">
      <c r="A7" s="2" t="inlineStr">
        <is>
          <t>采购节省</t>
        </is>
      </c>
      <c r="B7" s="2" t="inlineStr"/>
      <c r="C7" s="2" t="inlineStr"/>
      <c r="D7" s="2" t="n">
        <v>28000</v>
      </c>
    </row>
    <row r="8">
      <c r="A8" s="2" t="inlineStr">
        <is>
          <t>压力净现金损失</t>
        </is>
      </c>
      <c r="B8" s="2" t="inlineStr"/>
      <c r="C8" s="2" t="inlineStr"/>
      <c r="D8" s="2" t="n">
        <v>45670</v>
      </c>
    </row>
    <row r="9">
      <c r="A9" s="2" t="inlineStr">
        <is>
          <t>保留比例</t>
        </is>
      </c>
      <c r="B9" s="2" t="inlineStr"/>
      <c r="C9" s="2" t="inlineStr"/>
      <c r="D9" s="2" t="inlineStr">
        <is>
          <t>0.6667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2026-10-21T09:55:32Z</dcterms:created>
  <dcterms:modified xmlns:dcterms="http://purl.org/dc/terms/" xmlns:xsi="http://www.w3.org/2001/XMLSchema-instance" xsi:type="dcterms:W3CDTF">2026-10-21T09:55:32Z</dcterms:modified>
</cp:coreProperties>
</file>