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决策比较" sheetId="1" state="visible" r:id="rId2"/>
    <sheet name="收益公式" sheetId="2" state="visible" r:id="rId3"/>
    <sheet name="组合取舍" sheetId="3" state="visible" r:id="rId4"/>
    <sheet name="模型输入" sheetId="4" state="visible" r:id="rId5"/>
  </sheets>
  <definedNames>
    <definedName function="false" hidden="false" localSheetId="0" name="_xlnm.Print_Area" vbProcedure="false">决策比较!$A$1:$C$11</definedName>
    <definedName function="false" hidden="false" localSheetId="0" name="_xlnm.Print_Titles" vbProcedure="false">决策比较!$1:$1</definedName>
    <definedName function="false" hidden="true" localSheetId="0" name="_xlnm._FilterDatabase" vbProcedure="false">决策比较!$A$1:$C$11</definedName>
    <definedName function="false" hidden="false" localSheetId="1" name="_xlnm.Print_Area" vbProcedure="false">收益公式!$A$1:$R$49</definedName>
    <definedName function="false" hidden="false" localSheetId="1" name="_xlnm.Print_Titles" vbProcedure="false">收益公式!$1:$1</definedName>
    <definedName function="false" hidden="true" localSheetId="1" name="_xlnm._FilterDatabase" vbProcedure="false">收益公式!$A$1:$AE$49</definedName>
    <definedName function="false" hidden="false" localSheetId="3" name="_xlnm.Print_Titles" vbProcedure="false">模型输入!$1:$1</definedName>
    <definedName function="false" hidden="true" localSheetId="3" name="_xlnm._FilterDatabase" vbProcedure="false">模型输入!$A$1:$C$88</definedName>
    <definedName function="false" hidden="false" localSheetId="2" name="_xlnm.Print_Titles" vbProcedure="false">组合取舍!$1:$1</definedName>
    <definedName function="false" hidden="true" localSheetId="2" name="_xlnm._FilterDatabase" vbProcedure="false">组合取舍!$A$1:$G$9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<sst xmlns="http://schemas.openxmlformats.org/spreadsheetml/2006/main" count="429" uniqueCount="230">
  <si>
    <t xml:space="preserve">决策指标</t>
  </si>
  <si>
    <r>
      <rPr>
        <b val="true"/>
        <sz val="12"/>
        <color rgb="FFFFFFFF"/>
        <rFont val="Cambria"/>
        <family val="0"/>
        <charset val="1"/>
      </rPr>
      <t xml:space="preserve">10</t>
    </r>
    <r>
      <rPr>
        <b val="true"/>
        <sz val="12"/>
        <color rgb="FFFFFFFF"/>
        <rFont val="Noto Sans SC"/>
        <family val="2"/>
      </rPr>
      <t xml:space="preserve">万英镑预算</t>
    </r>
  </si>
  <si>
    <r>
      <rPr>
        <b val="true"/>
        <sz val="12"/>
        <color rgb="FFFFFFFF"/>
        <rFont val="Cambria"/>
        <family val="0"/>
        <charset val="1"/>
      </rPr>
      <t xml:space="preserve">7</t>
    </r>
    <r>
      <rPr>
        <b val="true"/>
        <sz val="12"/>
        <color rgb="FFFFFFFF"/>
        <rFont val="Noto Sans SC"/>
        <family val="2"/>
      </rPr>
      <t xml:space="preserve">万英镑预算</t>
    </r>
  </si>
  <si>
    <r>
      <rPr>
        <sz val="12"/>
        <color rgb="FF173D38"/>
        <rFont val="Noto Sans SC"/>
        <family val="2"/>
      </rPr>
      <t xml:space="preserve">预算上限 </t>
    </r>
    <r>
      <rPr>
        <sz val="12"/>
        <color rgb="FF173D38"/>
        <rFont val="Cambria"/>
        <family val="0"/>
        <charset val="1"/>
      </rPr>
      <t xml:space="preserve">GBP</t>
    </r>
  </si>
  <si>
    <t xml:space="preserve">推荐车辆</t>
  </si>
  <si>
    <r>
      <rPr>
        <b val="true"/>
        <sz val="12"/>
        <color rgb="FF173D38"/>
        <rFont val="Noto Sans SC"/>
        <family val="2"/>
      </rPr>
      <t xml:space="preserve">货物线 </t>
    </r>
    <r>
      <rPr>
        <b val="true"/>
        <sz val="12"/>
        <color rgb="FF173D38"/>
        <rFont val="Cambria"/>
        <family val="0"/>
        <charset val="1"/>
      </rPr>
      <t xml:space="preserve">G1</t>
    </r>
    <r>
      <rPr>
        <b val="true"/>
        <sz val="12"/>
        <color rgb="FF173D38"/>
        <rFont val="Noto Sans SC"/>
        <family val="2"/>
      </rPr>
      <t xml:space="preserve">：</t>
    </r>
    <r>
      <rPr>
        <b val="true"/>
        <sz val="12"/>
        <color rgb="FF173D38"/>
        <rFont val="Cambria"/>
        <family val="0"/>
        <charset val="1"/>
      </rPr>
      <t xml:space="preserve">3</t>
    </r>
    <r>
      <rPr>
        <b val="true"/>
        <sz val="12"/>
        <color rgb="FF173D38"/>
        <rFont val="Noto Sans SC"/>
        <family val="2"/>
      </rPr>
      <t xml:space="preserve">辆</t>
    </r>
  </si>
  <si>
    <r>
      <rPr>
        <b val="true"/>
        <sz val="12"/>
        <color rgb="FF173D38"/>
        <rFont val="Noto Sans SC"/>
        <family val="2"/>
      </rPr>
      <t xml:space="preserve">货物线 </t>
    </r>
    <r>
      <rPr>
        <b val="true"/>
        <sz val="12"/>
        <color rgb="FF173D38"/>
        <rFont val="Cambria"/>
        <family val="0"/>
        <charset val="1"/>
      </rPr>
      <t xml:space="preserve">G1</t>
    </r>
    <r>
      <rPr>
        <b val="true"/>
        <sz val="12"/>
        <color rgb="FF173D38"/>
        <rFont val="Noto Sans SC"/>
        <family val="2"/>
      </rPr>
      <t xml:space="preserve">：</t>
    </r>
    <r>
      <rPr>
        <b val="true"/>
        <sz val="12"/>
        <color rgb="FF173D38"/>
        <rFont val="Cambria"/>
        <family val="0"/>
        <charset val="1"/>
      </rPr>
      <t xml:space="preserve">2</t>
    </r>
    <r>
      <rPr>
        <b val="true"/>
        <sz val="12"/>
        <color rgb="FF173D38"/>
        <rFont val="Noto Sans SC"/>
        <family val="2"/>
      </rPr>
      <t xml:space="preserve">辆</t>
    </r>
  </si>
  <si>
    <r>
      <rPr>
        <sz val="12"/>
        <color rgb="FF173D38"/>
        <rFont val="Noto Sans SC"/>
        <family val="2"/>
      </rPr>
      <t xml:space="preserve">实际采购 </t>
    </r>
    <r>
      <rPr>
        <sz val="12"/>
        <color rgb="FF173D38"/>
        <rFont val="Cambria"/>
        <family val="0"/>
        <charset val="1"/>
      </rPr>
      <t xml:space="preserve">GBP</t>
    </r>
  </si>
  <si>
    <r>
      <rPr>
        <sz val="12"/>
        <color rgb="FF173D38"/>
        <rFont val="Noto Sans SC"/>
        <family val="2"/>
      </rPr>
      <t xml:space="preserve">预算余额 </t>
    </r>
    <r>
      <rPr>
        <sz val="12"/>
        <color rgb="FF173D38"/>
        <rFont val="Cambria"/>
        <family val="0"/>
        <charset val="1"/>
      </rPr>
      <t xml:space="preserve">GBP</t>
    </r>
  </si>
  <si>
    <r>
      <rPr>
        <sz val="12"/>
        <color rgb="FF173D38"/>
        <rFont val="Noto Sans SC"/>
        <family val="2"/>
      </rPr>
      <t xml:space="preserve">基准首年净现金 </t>
    </r>
    <r>
      <rPr>
        <sz val="12"/>
        <color rgb="FF173D38"/>
        <rFont val="Cambria"/>
        <family val="0"/>
        <charset val="1"/>
      </rPr>
      <t xml:space="preserve">GBP</t>
    </r>
  </si>
  <si>
    <r>
      <rPr>
        <b val="true"/>
        <sz val="12"/>
        <color rgb="FF173D38"/>
        <rFont val="Noto Sans SC"/>
        <family val="2"/>
      </rPr>
      <t xml:space="preserve">压力首年净现金 </t>
    </r>
    <r>
      <rPr>
        <b val="true"/>
        <sz val="12"/>
        <color rgb="FF173D38"/>
        <rFont val="Cambria"/>
        <family val="0"/>
        <charset val="1"/>
      </rPr>
      <t xml:space="preserve">GBP</t>
    </r>
  </si>
  <si>
    <t xml:space="preserve">可行组合数</t>
  </si>
  <si>
    <r>
      <rPr>
        <sz val="12"/>
        <color rgb="FF173D38"/>
        <rFont val="Noto Sans SC"/>
        <family val="2"/>
      </rPr>
      <t xml:space="preserve">较</t>
    </r>
    <r>
      <rPr>
        <sz val="12"/>
        <color rgb="FF173D38"/>
        <rFont val="Cambria"/>
        <family val="0"/>
        <charset val="1"/>
      </rPr>
      <t xml:space="preserve">10</t>
    </r>
    <r>
      <rPr>
        <sz val="12"/>
        <color rgb="FF173D38"/>
        <rFont val="Noto Sans SC"/>
        <family val="2"/>
      </rPr>
      <t xml:space="preserve">万方案节省采购 </t>
    </r>
    <r>
      <rPr>
        <sz val="12"/>
        <color rgb="FF173D38"/>
        <rFont val="Cambria"/>
        <family val="0"/>
        <charset val="1"/>
      </rPr>
      <t xml:space="preserve">GBP</t>
    </r>
  </si>
  <si>
    <r>
      <rPr>
        <sz val="12"/>
        <color rgb="FF173D38"/>
        <rFont val="Noto Sans SC"/>
        <family val="2"/>
      </rPr>
      <t xml:space="preserve">较</t>
    </r>
    <r>
      <rPr>
        <sz val="12"/>
        <color rgb="FF173D38"/>
        <rFont val="Cambria"/>
        <family val="0"/>
        <charset val="1"/>
      </rPr>
      <t xml:space="preserve">10</t>
    </r>
    <r>
      <rPr>
        <sz val="12"/>
        <color rgb="FF173D38"/>
        <rFont val="Noto Sans SC"/>
        <family val="2"/>
      </rPr>
      <t xml:space="preserve">万方案少获压力净现金 </t>
    </r>
    <r>
      <rPr>
        <sz val="12"/>
        <color rgb="FF173D38"/>
        <rFont val="Cambria"/>
        <family val="0"/>
        <charset val="1"/>
      </rPr>
      <t xml:space="preserve">GBP</t>
    </r>
  </si>
  <si>
    <t xml:space="preserve">压力净现金保留比例</t>
  </si>
  <si>
    <t xml:space="preserve">选项</t>
  </si>
  <si>
    <t xml:space="preserve">车数</t>
  </si>
  <si>
    <t xml:space="preserve">情景</t>
  </si>
  <si>
    <t xml:space="preserve">Base</t>
  </si>
  <si>
    <t xml:space="preserve">距离</t>
  </si>
  <si>
    <t xml:space="preserve">时间因子</t>
  </si>
  <si>
    <t xml:space="preserve">批容量</t>
  </si>
  <si>
    <t xml:space="preserve">总运量</t>
  </si>
  <si>
    <t xml:space="preserve">满批数</t>
  </si>
  <si>
    <t xml:space="preserve">尾批量</t>
  </si>
  <si>
    <t xml:space="preserve">采购单价</t>
  </si>
  <si>
    <t xml:space="preserve">年运行单价</t>
  </si>
  <si>
    <t xml:space="preserve">满批收入</t>
  </si>
  <si>
    <t xml:space="preserve">尾批收入</t>
  </si>
  <si>
    <t xml:space="preserve">年收入</t>
  </si>
  <si>
    <t xml:space="preserve">采购额</t>
  </si>
  <si>
    <t xml:space="preserve">年运行费</t>
  </si>
  <si>
    <t xml:space="preserve">首年净现金</t>
  </si>
  <si>
    <r>
      <rPr>
        <b val="true"/>
        <sz val="11"/>
        <color rgb="FFFFFFFF"/>
        <rFont val="Noto Sans SC"/>
        <family val="2"/>
      </rPr>
      <t xml:space="preserve">起点</t>
    </r>
    <r>
      <rPr>
        <b val="true"/>
        <sz val="11"/>
        <color rgb="FFFFFFFF"/>
        <rFont val="Cambria"/>
        <family val="0"/>
        <charset val="1"/>
      </rPr>
      <t xml:space="preserve">X</t>
    </r>
  </si>
  <si>
    <r>
      <rPr>
        <b val="true"/>
        <sz val="11"/>
        <color rgb="FFFFFFFF"/>
        <rFont val="Noto Sans SC"/>
        <family val="2"/>
      </rPr>
      <t xml:space="preserve">起点</t>
    </r>
    <r>
      <rPr>
        <b val="true"/>
        <sz val="11"/>
        <color rgb="FFFFFFFF"/>
        <rFont val="Cambria"/>
        <family val="0"/>
        <charset val="1"/>
      </rPr>
      <t xml:space="preserve">Y</t>
    </r>
  </si>
  <si>
    <r>
      <rPr>
        <b val="true"/>
        <sz val="11"/>
        <color rgb="FFFFFFFF"/>
        <rFont val="Noto Sans SC"/>
        <family val="2"/>
      </rPr>
      <t xml:space="preserve">终点</t>
    </r>
    <r>
      <rPr>
        <b val="true"/>
        <sz val="11"/>
        <color rgb="FFFFFFFF"/>
        <rFont val="Cambria"/>
        <family val="0"/>
        <charset val="1"/>
      </rPr>
      <t xml:space="preserve">X</t>
    </r>
  </si>
  <si>
    <r>
      <rPr>
        <b val="true"/>
        <sz val="11"/>
        <color rgb="FFFFFFFF"/>
        <rFont val="Noto Sans SC"/>
        <family val="2"/>
      </rPr>
      <t xml:space="preserve">终点</t>
    </r>
    <r>
      <rPr>
        <b val="true"/>
        <sz val="11"/>
        <color rgb="FFFFFFFF"/>
        <rFont val="Cambria"/>
        <family val="0"/>
        <charset val="1"/>
      </rPr>
      <t xml:space="preserve">Y</t>
    </r>
  </si>
  <si>
    <t xml:space="preserve">源老化周期</t>
  </si>
  <si>
    <t xml:space="preserve">days1</t>
  </si>
  <si>
    <t xml:space="preserve">days2</t>
  </si>
  <si>
    <t xml:space="preserve">源循环天数</t>
  </si>
  <si>
    <t xml:space="preserve">年天数</t>
  </si>
  <si>
    <t xml:space="preserve">源需求</t>
  </si>
  <si>
    <t xml:space="preserve">需求百分比</t>
  </si>
  <si>
    <t xml:space="preserve">压力老化增量</t>
  </si>
  <si>
    <t xml:space="preserve">压力循环增量</t>
  </si>
  <si>
    <t xml:space="preserve">C1</t>
  </si>
  <si>
    <t xml:space="preserve">base</t>
  </si>
  <si>
    <t xml:space="preserve">stress</t>
  </si>
  <si>
    <t xml:space="preserve">G1</t>
  </si>
  <si>
    <t xml:space="preserve">G2</t>
  </si>
  <si>
    <t xml:space="preserve">P1</t>
  </si>
  <si>
    <t xml:space="preserve">P2</t>
  </si>
  <si>
    <t xml:space="preserve">M1</t>
  </si>
  <si>
    <t xml:space="preserve">预算案例</t>
  </si>
  <si>
    <t xml:space="preserve">排名</t>
  </si>
  <si>
    <t xml:space="preserve">车辆组合</t>
  </si>
  <si>
    <r>
      <rPr>
        <b val="true"/>
        <sz val="11"/>
        <color rgb="FFFFFFFF"/>
        <rFont val="Noto Sans SC"/>
        <family val="2"/>
      </rPr>
      <t xml:space="preserve">采购额 </t>
    </r>
    <r>
      <rPr>
        <b val="true"/>
        <sz val="11"/>
        <color rgb="FFFFFFFF"/>
        <rFont val="Cambria"/>
        <family val="0"/>
        <charset val="1"/>
      </rPr>
      <t xml:space="preserve">GBP</t>
    </r>
  </si>
  <si>
    <r>
      <rPr>
        <b val="true"/>
        <sz val="11"/>
        <color rgb="FFFFFFFF"/>
        <rFont val="Noto Sans SC"/>
        <family val="2"/>
      </rPr>
      <t xml:space="preserve">基准净现金 </t>
    </r>
    <r>
      <rPr>
        <b val="true"/>
        <sz val="11"/>
        <color rgb="FFFFFFFF"/>
        <rFont val="Cambria"/>
        <family val="0"/>
        <charset val="1"/>
      </rPr>
      <t xml:space="preserve">GBP</t>
    </r>
  </si>
  <si>
    <r>
      <rPr>
        <b val="true"/>
        <sz val="11"/>
        <color rgb="FFFFFFFF"/>
        <rFont val="Noto Sans SC"/>
        <family val="2"/>
      </rPr>
      <t xml:space="preserve">压力净现金 </t>
    </r>
    <r>
      <rPr>
        <b val="true"/>
        <sz val="11"/>
        <color rgb="FFFFFFFF"/>
        <rFont val="Cambria"/>
        <family val="0"/>
        <charset val="1"/>
      </rPr>
      <t xml:space="preserve">GBP</t>
    </r>
  </si>
  <si>
    <r>
      <rPr>
        <b val="true"/>
        <sz val="11"/>
        <color rgb="FFFFFFFF"/>
        <rFont val="Noto Sans SC"/>
        <family val="2"/>
      </rPr>
      <t xml:space="preserve">压力收益距最优 </t>
    </r>
    <r>
      <rPr>
        <b val="true"/>
        <sz val="11"/>
        <color rgb="FFFFFFFF"/>
        <rFont val="Cambria"/>
        <family val="0"/>
        <charset val="1"/>
      </rPr>
      <t xml:space="preserve">GBP</t>
    </r>
  </si>
  <si>
    <r>
      <rPr>
        <sz val="10"/>
        <rFont val="Cambria"/>
        <family val="0"/>
        <charset val="1"/>
      </rPr>
      <t xml:space="preserve">10</t>
    </r>
    <r>
      <rPr>
        <sz val="10"/>
        <rFont val="Noto Sans SC"/>
        <family val="2"/>
      </rPr>
      <t xml:space="preserve">万预算</t>
    </r>
  </si>
  <si>
    <r>
      <rPr>
        <sz val="10"/>
        <rFont val="Noto Sans SC"/>
        <family val="2"/>
      </rPr>
      <t xml:space="preserve">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3</t>
    </r>
    <r>
      <rPr>
        <sz val="10"/>
        <rFont val="Noto Sans SC"/>
        <family val="2"/>
      </rPr>
      <t xml:space="preserve">辆</t>
    </r>
  </si>
  <si>
    <r>
      <rPr>
        <sz val="10"/>
        <rFont val="Noto Sans SC"/>
        <family val="2"/>
      </rPr>
      <t xml:space="preserve">煤炭线 </t>
    </r>
    <r>
      <rPr>
        <sz val="10"/>
        <rFont val="Cambria"/>
        <family val="0"/>
        <charset val="1"/>
      </rPr>
      <t xml:space="preserve">C1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2</t>
    </r>
    <r>
      <rPr>
        <sz val="10"/>
        <rFont val="Noto Sans SC"/>
        <family val="2"/>
      </rPr>
      <t xml:space="preserve">辆；货物线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2</t>
    </r>
    <r>
      <rPr>
        <sz val="10"/>
        <rFont val="Noto Sans SC"/>
        <family val="2"/>
      </rPr>
      <t xml:space="preserve">辆</t>
    </r>
  </si>
  <si>
    <r>
      <rPr>
        <sz val="10"/>
        <rFont val="Noto Sans SC"/>
        <family val="2"/>
      </rPr>
      <t xml:space="preserve">煤炭线 </t>
    </r>
    <r>
      <rPr>
        <sz val="10"/>
        <rFont val="Cambria"/>
        <family val="0"/>
        <charset val="1"/>
      </rPr>
      <t xml:space="preserve">C1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辆；货物线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2</t>
    </r>
    <r>
      <rPr>
        <sz val="10"/>
        <rFont val="Noto Sans SC"/>
        <family val="2"/>
      </rPr>
      <t xml:space="preserve">辆；客运线 </t>
    </r>
    <r>
      <rPr>
        <sz val="10"/>
        <rFont val="Cambria"/>
        <family val="0"/>
        <charset val="1"/>
      </rPr>
      <t xml:space="preserve">P1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</t>
    </r>
  </si>
  <si>
    <r>
      <rPr>
        <sz val="10"/>
        <rFont val="Noto Sans SC"/>
        <family val="2"/>
      </rPr>
      <t xml:space="preserve">煤炭线 </t>
    </r>
    <r>
      <rPr>
        <sz val="10"/>
        <rFont val="Cambria"/>
        <family val="0"/>
        <charset val="1"/>
      </rPr>
      <t xml:space="preserve">C1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辆；货物线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2</t>
    </r>
    <r>
      <rPr>
        <sz val="10"/>
        <rFont val="Noto Sans SC"/>
        <family val="2"/>
      </rPr>
      <t xml:space="preserve">辆</t>
    </r>
  </si>
  <si>
    <r>
      <rPr>
        <sz val="10"/>
        <rFont val="Cambria"/>
        <family val="0"/>
        <charset val="1"/>
      </rPr>
      <t xml:space="preserve">7</t>
    </r>
    <r>
      <rPr>
        <sz val="10"/>
        <rFont val="Noto Sans SC"/>
        <family val="2"/>
      </rPr>
      <t xml:space="preserve">万预算</t>
    </r>
  </si>
  <si>
    <r>
      <rPr>
        <sz val="10"/>
        <rFont val="Noto Sans SC"/>
        <family val="2"/>
      </rPr>
      <t xml:space="preserve">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2</t>
    </r>
    <r>
      <rPr>
        <sz val="10"/>
        <rFont val="Noto Sans SC"/>
        <family val="2"/>
      </rPr>
      <t xml:space="preserve">辆</t>
    </r>
  </si>
  <si>
    <r>
      <rPr>
        <sz val="10"/>
        <rFont val="Noto Sans SC"/>
        <family val="2"/>
      </rPr>
      <t xml:space="preserve">煤炭线 </t>
    </r>
    <r>
      <rPr>
        <sz val="10"/>
        <rFont val="Cambria"/>
        <family val="0"/>
        <charset val="1"/>
      </rPr>
      <t xml:space="preserve">C1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辆；货物线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辆；客运线 </t>
    </r>
    <r>
      <rPr>
        <sz val="10"/>
        <rFont val="Cambria"/>
        <family val="0"/>
        <charset val="1"/>
      </rPr>
      <t xml:space="preserve">P1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</t>
    </r>
  </si>
  <si>
    <r>
      <rPr>
        <sz val="10"/>
        <rFont val="Noto Sans SC"/>
        <family val="2"/>
      </rPr>
      <t xml:space="preserve">煤炭线 </t>
    </r>
    <r>
      <rPr>
        <sz val="10"/>
        <rFont val="Cambria"/>
        <family val="0"/>
        <charset val="1"/>
      </rPr>
      <t xml:space="preserve">C1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辆；货物线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</t>
    </r>
  </si>
  <si>
    <r>
      <rPr>
        <sz val="10"/>
        <rFont val="Noto Sans SC"/>
        <family val="2"/>
      </rPr>
      <t xml:space="preserve">货物线 </t>
    </r>
    <r>
      <rPr>
        <sz val="10"/>
        <rFont val="Cambria"/>
        <family val="0"/>
        <charset val="1"/>
      </rPr>
      <t xml:space="preserve">G1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1</t>
    </r>
    <r>
      <rPr>
        <sz val="10"/>
        <rFont val="Noto Sans SC"/>
        <family val="2"/>
      </rPr>
      <t xml:space="preserve">辆；客运线 </t>
    </r>
    <r>
      <rPr>
        <sz val="10"/>
        <rFont val="Cambria"/>
        <family val="0"/>
        <charset val="1"/>
      </rPr>
      <t xml:space="preserve">P1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2</t>
    </r>
    <r>
      <rPr>
        <sz val="10"/>
        <rFont val="Noto Sans SC"/>
        <family val="2"/>
      </rPr>
      <t xml:space="preserve">辆</t>
    </r>
  </si>
  <si>
    <t xml:space="preserve">输入项</t>
  </si>
  <si>
    <t xml:space="preserve">值</t>
  </si>
  <si>
    <t xml:space="preserve">来源</t>
  </si>
  <si>
    <t xml:space="preserve">year_days</t>
  </si>
  <si>
    <t xml:space="preserve">360</t>
  </si>
  <si>
    <t xml:space="preserve">planning_policy.json</t>
  </si>
  <si>
    <t xml:space="preserve">fleet_limit</t>
  </si>
  <si>
    <t xml:space="preserve">4</t>
  </si>
  <si>
    <t xml:space="preserve">stress_demand_percent</t>
  </si>
  <si>
    <t xml:space="preserve">80</t>
  </si>
  <si>
    <t xml:space="preserve">stress_age_periods</t>
  </si>
  <si>
    <t xml:space="preserve">stress_cycle_days</t>
  </si>
  <si>
    <t xml:space="preserve">10</t>
  </si>
  <si>
    <t xml:space="preserve">minimum_stress_net</t>
  </si>
  <si>
    <t xml:space="preserve">50000</t>
  </si>
  <si>
    <t xml:space="preserve">max_per_option</t>
  </si>
  <si>
    <t xml:space="preserve">3</t>
  </si>
  <si>
    <t xml:space="preserve">currency</t>
  </si>
  <si>
    <t xml:space="preserve">"GBP"</t>
  </si>
  <si>
    <t xml:space="preserve">budget_cases</t>
  </si>
  <si>
    <t xml:space="preserve">[{"id": "standard", "budget": 100000}, {"id": "reduced", "budget": 70000}]</t>
  </si>
  <si>
    <t xml:space="preserve">C1.id</t>
  </si>
  <si>
    <t xml:space="preserve">"C1"</t>
  </si>
  <si>
    <t xml:space="preserve">routes.json</t>
  </si>
  <si>
    <t xml:space="preserve">C1.cargo</t>
  </si>
  <si>
    <t xml:space="preserve">"Coal"</t>
  </si>
  <si>
    <t xml:space="preserve">C1.from</t>
  </si>
  <si>
    <t xml:space="preserve">[20, 20]</t>
  </si>
  <si>
    <t xml:space="preserve">C1.to</t>
  </si>
  <si>
    <t xml:space="preserve">[160, 80]</t>
  </si>
  <si>
    <t xml:space="preserve">C1.travelled_tiles</t>
  </si>
  <si>
    <t xml:space="preserve">280</t>
  </si>
  <si>
    <t xml:space="preserve">C1.station_wait_days</t>
  </si>
  <si>
    <t xml:space="preserve">12</t>
  </si>
  <si>
    <t xml:space="preserve">C1.age_periods</t>
  </si>
  <si>
    <t xml:space="preserve">28</t>
  </si>
  <si>
    <t xml:space="preserve">C1.cycle_days</t>
  </si>
  <si>
    <t xml:space="preserve">90</t>
  </si>
  <si>
    <t xml:space="preserve">C1.capacity</t>
  </si>
  <si>
    <t xml:space="preserve">120</t>
  </si>
  <si>
    <t xml:space="preserve">C1.demand</t>
  </si>
  <si>
    <t xml:space="preserve">1200</t>
  </si>
  <si>
    <t xml:space="preserve">C1.capex</t>
  </si>
  <si>
    <t xml:space="preserve">22000</t>
  </si>
  <si>
    <t xml:space="preserve">C1.annual_running</t>
  </si>
  <si>
    <t xml:space="preserve">7000</t>
  </si>
  <si>
    <t xml:space="preserve">C1.exclusive_group</t>
  </si>
  <si>
    <t xml:space="preserve">"coal"</t>
  </si>
  <si>
    <t xml:space="preserve">G1.id</t>
  </si>
  <si>
    <t xml:space="preserve">"G1"</t>
  </si>
  <si>
    <t xml:space="preserve">G1.cargo</t>
  </si>
  <si>
    <t xml:space="preserve">"Goods"</t>
  </si>
  <si>
    <t xml:space="preserve">G1.from</t>
  </si>
  <si>
    <t xml:space="preserve">[40, 60]</t>
  </si>
  <si>
    <t xml:space="preserve">G1.to</t>
  </si>
  <si>
    <t xml:space="preserve">[240, 160]</t>
  </si>
  <si>
    <t xml:space="preserve">G1.travelled_tiles</t>
  </si>
  <si>
    <t xml:space="preserve">420</t>
  </si>
  <si>
    <t xml:space="preserve">G1.station_wait_days</t>
  </si>
  <si>
    <t xml:space="preserve">G1.age_periods</t>
  </si>
  <si>
    <t xml:space="preserve">18</t>
  </si>
  <si>
    <t xml:space="preserve">G1.cycle_days</t>
  </si>
  <si>
    <t xml:space="preserve">60</t>
  </si>
  <si>
    <t xml:space="preserve">G1.capacity</t>
  </si>
  <si>
    <t xml:space="preserve">G1.demand</t>
  </si>
  <si>
    <t xml:space="preserve">1600</t>
  </si>
  <si>
    <t xml:space="preserve">G1.capex</t>
  </si>
  <si>
    <t xml:space="preserve">28000</t>
  </si>
  <si>
    <t xml:space="preserve">G1.annual_running</t>
  </si>
  <si>
    <t xml:space="preserve">10000</t>
  </si>
  <si>
    <t xml:space="preserve">G1.exclusive_group</t>
  </si>
  <si>
    <t xml:space="preserve">"goods"</t>
  </si>
  <si>
    <t xml:space="preserve">G2.id</t>
  </si>
  <si>
    <t xml:space="preserve">"G2"</t>
  </si>
  <si>
    <t xml:space="preserve">G2.cargo</t>
  </si>
  <si>
    <t xml:space="preserve">G2.from</t>
  </si>
  <si>
    <t xml:space="preserve">G2.to</t>
  </si>
  <si>
    <t xml:space="preserve">G2.travelled_tiles</t>
  </si>
  <si>
    <t xml:space="preserve">340</t>
  </si>
  <si>
    <t xml:space="preserve">G2.station_wait_days</t>
  </si>
  <si>
    <t xml:space="preserve">8</t>
  </si>
  <si>
    <t xml:space="preserve">G2.age_periods</t>
  </si>
  <si>
    <t xml:space="preserve">G2.cycle_days</t>
  </si>
  <si>
    <t xml:space="preserve">40</t>
  </si>
  <si>
    <t xml:space="preserve">G2.capacity</t>
  </si>
  <si>
    <t xml:space="preserve">50</t>
  </si>
  <si>
    <t xml:space="preserve">G2.demand</t>
  </si>
  <si>
    <t xml:space="preserve">G2.capex</t>
  </si>
  <si>
    <t xml:space="preserve">45000</t>
  </si>
  <si>
    <t xml:space="preserve">G2.annual_running</t>
  </si>
  <si>
    <t xml:space="preserve">18000</t>
  </si>
  <si>
    <t xml:space="preserve">G2.exclusive_group</t>
  </si>
  <si>
    <t xml:space="preserve">P1.id</t>
  </si>
  <si>
    <t xml:space="preserve">"P1"</t>
  </si>
  <si>
    <t xml:space="preserve">P1.cargo</t>
  </si>
  <si>
    <t xml:space="preserve">"Passengers"</t>
  </si>
  <si>
    <t xml:space="preserve">P1.from</t>
  </si>
  <si>
    <t xml:space="preserve">[15, 15]</t>
  </si>
  <si>
    <t xml:space="preserve">P1.to</t>
  </si>
  <si>
    <t xml:space="preserve">[115, 75]</t>
  </si>
  <si>
    <t xml:space="preserve">P1.travelled_tiles</t>
  </si>
  <si>
    <t xml:space="preserve">240</t>
  </si>
  <si>
    <t xml:space="preserve">P1.station_wait_days</t>
  </si>
  <si>
    <t xml:space="preserve">6</t>
  </si>
  <si>
    <t xml:space="preserve">P1.age_periods</t>
  </si>
  <si>
    <t xml:space="preserve">P1.cycle_days</t>
  </si>
  <si>
    <t xml:space="preserve">48</t>
  </si>
  <si>
    <t xml:space="preserve">P1.capacity</t>
  </si>
  <si>
    <t xml:space="preserve">100</t>
  </si>
  <si>
    <t xml:space="preserve">P1.demand</t>
  </si>
  <si>
    <t xml:space="preserve">2050</t>
  </si>
  <si>
    <t xml:space="preserve">P1.capex</t>
  </si>
  <si>
    <t xml:space="preserve">20000</t>
  </si>
  <si>
    <t xml:space="preserve">P1.annual_running</t>
  </si>
  <si>
    <t xml:space="preserve">8000</t>
  </si>
  <si>
    <t xml:space="preserve">P1.exclusive_group</t>
  </si>
  <si>
    <t xml:space="preserve">"passengers"</t>
  </si>
  <si>
    <t xml:space="preserve">P2.id</t>
  </si>
  <si>
    <t xml:space="preserve">"P2"</t>
  </si>
  <si>
    <t xml:space="preserve">P2.cargo</t>
  </si>
  <si>
    <t xml:space="preserve">P2.from</t>
  </si>
  <si>
    <t xml:space="preserve">P2.to</t>
  </si>
  <si>
    <t xml:space="preserve">P2.travelled_tiles</t>
  </si>
  <si>
    <t xml:space="preserve">180</t>
  </si>
  <si>
    <t xml:space="preserve">P2.station_wait_days</t>
  </si>
  <si>
    <t xml:space="preserve">P2.age_periods</t>
  </si>
  <si>
    <t xml:space="preserve">P2.cycle_days</t>
  </si>
  <si>
    <t xml:space="preserve">30</t>
  </si>
  <si>
    <t xml:space="preserve">P2.capacity</t>
  </si>
  <si>
    <t xml:space="preserve">70</t>
  </si>
  <si>
    <t xml:space="preserve">P2.demand</t>
  </si>
  <si>
    <t xml:space="preserve">P2.capex</t>
  </si>
  <si>
    <t xml:space="preserve">30000</t>
  </si>
  <si>
    <t xml:space="preserve">P2.annual_running</t>
  </si>
  <si>
    <t xml:space="preserve">12000</t>
  </si>
  <si>
    <t xml:space="preserve">P2.exclusive_group</t>
  </si>
  <si>
    <t xml:space="preserve">M1.id</t>
  </si>
  <si>
    <t xml:space="preserve">"M1"</t>
  </si>
  <si>
    <t xml:space="preserve">M1.cargo</t>
  </si>
  <si>
    <t xml:space="preserve">"Mail"</t>
  </si>
  <si>
    <t xml:space="preserve">M1.from</t>
  </si>
  <si>
    <t xml:space="preserve">[80, 10]</t>
  </si>
  <si>
    <t xml:space="preserve">M1.to</t>
  </si>
  <si>
    <t xml:space="preserve">[200, 130]</t>
  </si>
  <si>
    <t xml:space="preserve">M1.travelled_tiles</t>
  </si>
  <si>
    <t xml:space="preserve">310</t>
  </si>
  <si>
    <t xml:space="preserve">M1.station_wait_days</t>
  </si>
  <si>
    <t xml:space="preserve">M1.age_periods</t>
  </si>
  <si>
    <t xml:space="preserve">24</t>
  </si>
  <si>
    <t xml:space="preserve">M1.cycle_days</t>
  </si>
  <si>
    <t xml:space="preserve">M1.capacity</t>
  </si>
  <si>
    <t xml:space="preserve">M1.demand</t>
  </si>
  <si>
    <t xml:space="preserve">677</t>
  </si>
  <si>
    <t xml:space="preserve">M1.capex</t>
  </si>
  <si>
    <t xml:space="preserve">25000</t>
  </si>
  <si>
    <t xml:space="preserve">M1.annual_running</t>
  </si>
  <si>
    <t xml:space="preserve">6000</t>
  </si>
  <si>
    <t xml:space="preserve">M1.exclusive_group</t>
  </si>
  <si>
    <t xml:space="preserve">"mail"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</si>
</sst>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Noto Sans SC"/>
      <family val="2"/>
    </font>
    <font>
      <b val="true"/>
      <sz val="12"/>
      <color rgb="FFFFFFFF"/>
      <name val="Cambria"/>
      <family val="0"/>
      <charset val="1"/>
    </font>
    <font>
      <sz val="12"/>
      <color rgb="FF173D38"/>
      <name val="Noto Sans SC"/>
      <family val="2"/>
    </font>
    <font>
      <sz val="12"/>
      <color rgb="FF173D38"/>
      <name val="Cambria"/>
      <family val="0"/>
      <charset val="1"/>
    </font>
    <font>
      <b val="true"/>
      <sz val="12"/>
      <color rgb="FF173D38"/>
      <name val="Noto Sans SC"/>
      <family val="2"/>
    </font>
    <font>
      <b val="true"/>
      <sz val="12"/>
      <color rgb="FF173D38"/>
      <name val="Cambria"/>
      <family val="0"/>
      <charset val="1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164E46"/>
        <bgColor rgb="FF173D3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64E4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73D38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4E46"/>
      <rgbColor rgb="FF339966"/>
      <rgbColor rgb="FF003300"/>
      <rgbColor rgb="FF333300"/>
      <rgbColor rgb="FF993300"/>
      <rgbColor rgb="FF993366"/>
      <rgbColor rgb="FF333399"/>
      <rgbColor rgb="FF173D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3" min="2" style="0" width="27"/>
  </cols>
  <sheetData>
    <row r="1" customFormat="false" ht="36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36" hidden="false" customHeight="true" outlineLevel="0" collapsed="false">
      <c r="A2" s="3" t="s">
        <v>3</v>
      </c>
      <c r="B2" s="4" t="n">
        <v>100000</v>
      </c>
      <c r="C2" s="4" t="n">
        <v>70000</v>
      </c>
    </row>
    <row r="3" customFormat="false" ht="36" hidden="false" customHeight="true" outlineLevel="0" collapsed="false">
      <c r="A3" s="5" t="s">
        <v>4</v>
      </c>
      <c r="B3" s="5" t="s">
        <v>5</v>
      </c>
      <c r="C3" s="5" t="s">
        <v>6</v>
      </c>
    </row>
    <row r="4" customFormat="false" ht="36" hidden="false" customHeight="true" outlineLevel="0" collapsed="false">
      <c r="A4" s="3" t="s">
        <v>7</v>
      </c>
      <c r="B4" s="4" t="n">
        <v>84000</v>
      </c>
      <c r="C4" s="4" t="n">
        <v>56000</v>
      </c>
    </row>
    <row r="5" customFormat="false" ht="36" hidden="false" customHeight="true" outlineLevel="0" collapsed="false">
      <c r="A5" s="3" t="s">
        <v>8</v>
      </c>
      <c r="B5" s="4" t="n">
        <f aca="false">B2-B4</f>
        <v>16000</v>
      </c>
      <c r="C5" s="4" t="n">
        <f aca="false">C2-C4</f>
        <v>14000</v>
      </c>
    </row>
    <row r="6" customFormat="false" ht="36" hidden="false" customHeight="true" outlineLevel="0" collapsed="false">
      <c r="A6" s="3" t="s">
        <v>9</v>
      </c>
      <c r="B6" s="4" t="n">
        <v>192270</v>
      </c>
      <c r="C6" s="4" t="n">
        <v>128180</v>
      </c>
    </row>
    <row r="7" customFormat="false" ht="36" hidden="false" customHeight="true" outlineLevel="0" collapsed="false">
      <c r="A7" s="5" t="s">
        <v>10</v>
      </c>
      <c r="B7" s="6" t="n">
        <v>137010</v>
      </c>
      <c r="C7" s="6" t="n">
        <v>91340</v>
      </c>
    </row>
    <row r="8" customFormat="false" ht="36" hidden="false" customHeight="true" outlineLevel="0" collapsed="false">
      <c r="A8" s="3" t="s">
        <v>11</v>
      </c>
      <c r="B8" s="4" t="n">
        <v>23</v>
      </c>
      <c r="C8" s="4" t="n">
        <v>5</v>
      </c>
    </row>
    <row r="9" customFormat="false" ht="36" hidden="false" customHeight="true" outlineLevel="0" collapsed="false">
      <c r="A9" s="3" t="s">
        <v>12</v>
      </c>
      <c r="B9" s="4" t="n">
        <v>0</v>
      </c>
      <c r="C9" s="4" t="n">
        <f aca="false">B4-C4</f>
        <v>28000</v>
      </c>
    </row>
    <row r="10" customFormat="false" ht="36" hidden="false" customHeight="true" outlineLevel="0" collapsed="false">
      <c r="A10" s="3" t="s">
        <v>13</v>
      </c>
      <c r="B10" s="4" t="n">
        <v>0</v>
      </c>
      <c r="C10" s="4" t="n">
        <f aca="false">B7-C7</f>
        <v>45670</v>
      </c>
    </row>
    <row r="11" customFormat="false" ht="36" hidden="false" customHeight="true" outlineLevel="0" collapsed="false">
      <c r="A11" s="3" t="s">
        <v>14</v>
      </c>
      <c r="B11" s="7" t="n">
        <v>1</v>
      </c>
      <c r="C11" s="7" t="n">
        <f aca="false">C7/B7</f>
        <v>0.666666666666667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1" min="1" style="0" width="11"/>
  </cols>
  <sheetData>
    <row r="1" customFormat="false" ht="45.75" hidden="false" customHeight="true" outlineLevel="0" collapsed="false">
      <c r="A1" s="8" t="s">
        <v>15</v>
      </c>
      <c r="B1" s="8" t="s">
        <v>16</v>
      </c>
      <c r="C1" s="8" t="s">
        <v>17</v>
      </c>
      <c r="D1" s="9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  <c r="V1" s="8" t="s">
        <v>36</v>
      </c>
      <c r="W1" s="8" t="s">
        <v>37</v>
      </c>
      <c r="X1" s="9" t="s">
        <v>38</v>
      </c>
      <c r="Y1" s="9" t="s">
        <v>39</v>
      </c>
      <c r="Z1" s="8" t="s">
        <v>40</v>
      </c>
      <c r="AA1" s="8" t="s">
        <v>41</v>
      </c>
      <c r="AB1" s="8" t="s">
        <v>42</v>
      </c>
      <c r="AC1" s="8" t="s">
        <v>43</v>
      </c>
      <c r="AD1" s="8" t="s">
        <v>44</v>
      </c>
      <c r="AE1" s="8" t="s">
        <v>45</v>
      </c>
    </row>
    <row r="2" customFormat="false" ht="15" hidden="false" customHeight="false" outlineLevel="0" collapsed="false">
      <c r="A2" s="10" t="s">
        <v>46</v>
      </c>
      <c r="B2" s="10" t="n">
        <v>0</v>
      </c>
      <c r="C2" s="10" t="s">
        <v>47</v>
      </c>
      <c r="D2" s="10" t="n">
        <v>5916</v>
      </c>
      <c r="E2" s="10" t="n">
        <f aca="false">ABS(S2-U2)+ABS(T2-V2)</f>
        <v>200</v>
      </c>
      <c r="F2" s="10" t="n">
        <f aca="false">MAX(31,255-MAX(0,W2+AD2-X2)-MAX(0,W2+AD2-X2-Y2))</f>
        <v>234</v>
      </c>
      <c r="G2" s="10" t="n">
        <v>120</v>
      </c>
      <c r="H2" s="10" t="n">
        <f aca="false">MIN(INT(AB2*AC2/100),B2*INT(AA2/(Z2+AE2))*G2)</f>
        <v>0</v>
      </c>
      <c r="I2" s="10" t="n">
        <f aca="false">INT(H2/G2)</f>
        <v>0</v>
      </c>
      <c r="J2" s="10" t="n">
        <f aca="false">MOD(H2,G2)</f>
        <v>0</v>
      </c>
      <c r="K2" s="10" t="n">
        <v>22000</v>
      </c>
      <c r="L2" s="10" t="n">
        <v>7000</v>
      </c>
      <c r="M2" s="10" t="n">
        <f aca="false">INT(D2*E2*F2*G2/2097152)</f>
        <v>15842</v>
      </c>
      <c r="N2" s="10" t="n">
        <f aca="false">INT(D2*E2*F2*J2/2097152)</f>
        <v>0</v>
      </c>
      <c r="O2" s="10" t="n">
        <f aca="false">I2*M2+N2</f>
        <v>0</v>
      </c>
      <c r="P2" s="10" t="n">
        <f aca="false">B2*K2</f>
        <v>0</v>
      </c>
      <c r="Q2" s="10" t="n">
        <f aca="false">B2*L2</f>
        <v>0</v>
      </c>
      <c r="R2" s="10" t="n">
        <f aca="false">O2-P2-Q2</f>
        <v>0</v>
      </c>
      <c r="S2" s="10" t="n">
        <v>20</v>
      </c>
      <c r="T2" s="10" t="n">
        <v>20</v>
      </c>
      <c r="U2" s="10" t="n">
        <v>160</v>
      </c>
      <c r="V2" s="10" t="n">
        <v>80</v>
      </c>
      <c r="W2" s="10" t="n">
        <v>28</v>
      </c>
      <c r="X2" s="10" t="n">
        <v>7</v>
      </c>
      <c r="Y2" s="10" t="n">
        <v>255</v>
      </c>
      <c r="Z2" s="10" t="n">
        <v>90</v>
      </c>
      <c r="AA2" s="10" t="n">
        <v>360</v>
      </c>
      <c r="AB2" s="10" t="n">
        <v>1200</v>
      </c>
      <c r="AC2" s="10" t="n">
        <v>100</v>
      </c>
      <c r="AD2" s="10" t="n">
        <v>0</v>
      </c>
      <c r="AE2" s="10" t="n">
        <v>0</v>
      </c>
    </row>
    <row r="3" customFormat="false" ht="15" hidden="false" customHeight="false" outlineLevel="0" collapsed="false">
      <c r="A3" s="10" t="s">
        <v>46</v>
      </c>
      <c r="B3" s="10" t="n">
        <v>0</v>
      </c>
      <c r="C3" s="10" t="s">
        <v>48</v>
      </c>
      <c r="D3" s="10" t="n">
        <v>5916</v>
      </c>
      <c r="E3" s="10" t="n">
        <f aca="false">ABS(S3-U3)+ABS(T3-V3)</f>
        <v>200</v>
      </c>
      <c r="F3" s="10" t="n">
        <f aca="false">MAX(31,255-MAX(0,W3+AD3-X3)-MAX(0,W3+AD3-X3-Y3))</f>
        <v>230</v>
      </c>
      <c r="G3" s="10" t="n">
        <v>120</v>
      </c>
      <c r="H3" s="10" t="n">
        <f aca="false">MIN(INT(AB3*AC3/100),B3*INT(AA3/(Z3+AE3))*G3)</f>
        <v>0</v>
      </c>
      <c r="I3" s="10" t="n">
        <f aca="false">INT(H3/G3)</f>
        <v>0</v>
      </c>
      <c r="J3" s="10" t="n">
        <f aca="false">MOD(H3,G3)</f>
        <v>0</v>
      </c>
      <c r="K3" s="10" t="n">
        <v>22000</v>
      </c>
      <c r="L3" s="10" t="n">
        <v>7000</v>
      </c>
      <c r="M3" s="10" t="n">
        <f aca="false">INT(D3*E3*F3*G3/2097152)</f>
        <v>15571</v>
      </c>
      <c r="N3" s="10" t="n">
        <f aca="false">INT(D3*E3*F3*J3/2097152)</f>
        <v>0</v>
      </c>
      <c r="O3" s="10" t="n">
        <f aca="false">I3*M3+N3</f>
        <v>0</v>
      </c>
      <c r="P3" s="10" t="n">
        <f aca="false">B3*K3</f>
        <v>0</v>
      </c>
      <c r="Q3" s="10" t="n">
        <f aca="false">B3*L3</f>
        <v>0</v>
      </c>
      <c r="R3" s="10" t="n">
        <f aca="false">O3-P3-Q3</f>
        <v>0</v>
      </c>
      <c r="S3" s="10" t="n">
        <v>20</v>
      </c>
      <c r="T3" s="10" t="n">
        <v>20</v>
      </c>
      <c r="U3" s="10" t="n">
        <v>160</v>
      </c>
      <c r="V3" s="10" t="n">
        <v>80</v>
      </c>
      <c r="W3" s="10" t="n">
        <v>28</v>
      </c>
      <c r="X3" s="10" t="n">
        <v>7</v>
      </c>
      <c r="Y3" s="10" t="n">
        <v>255</v>
      </c>
      <c r="Z3" s="10" t="n">
        <v>90</v>
      </c>
      <c r="AA3" s="10" t="n">
        <v>360</v>
      </c>
      <c r="AB3" s="10" t="n">
        <v>1200</v>
      </c>
      <c r="AC3" s="10" t="n">
        <v>80</v>
      </c>
      <c r="AD3" s="10" t="n">
        <v>4</v>
      </c>
      <c r="AE3" s="10" t="n">
        <v>10</v>
      </c>
    </row>
    <row r="4" customFormat="false" ht="15" hidden="false" customHeight="false" outlineLevel="0" collapsed="false">
      <c r="A4" s="10" t="s">
        <v>46</v>
      </c>
      <c r="B4" s="10" t="n">
        <v>1</v>
      </c>
      <c r="C4" s="10" t="s">
        <v>47</v>
      </c>
      <c r="D4" s="10" t="n">
        <v>5916</v>
      </c>
      <c r="E4" s="10" t="n">
        <f aca="false">ABS(S4-U4)+ABS(T4-V4)</f>
        <v>200</v>
      </c>
      <c r="F4" s="10" t="n">
        <f aca="false">MAX(31,255-MAX(0,W4+AD4-X4)-MAX(0,W4+AD4-X4-Y4))</f>
        <v>234</v>
      </c>
      <c r="G4" s="10" t="n">
        <v>120</v>
      </c>
      <c r="H4" s="10" t="n">
        <f aca="false">MIN(INT(AB4*AC4/100),B4*INT(AA4/(Z4+AE4))*G4)</f>
        <v>480</v>
      </c>
      <c r="I4" s="10" t="n">
        <f aca="false">INT(H4/G4)</f>
        <v>4</v>
      </c>
      <c r="J4" s="10" t="n">
        <f aca="false">MOD(H4,G4)</f>
        <v>0</v>
      </c>
      <c r="K4" s="10" t="n">
        <v>22000</v>
      </c>
      <c r="L4" s="10" t="n">
        <v>7000</v>
      </c>
      <c r="M4" s="10" t="n">
        <f aca="false">INT(D4*E4*F4*G4/2097152)</f>
        <v>15842</v>
      </c>
      <c r="N4" s="10" t="n">
        <f aca="false">INT(D4*E4*F4*J4/2097152)</f>
        <v>0</v>
      </c>
      <c r="O4" s="10" t="n">
        <f aca="false">I4*M4+N4</f>
        <v>63368</v>
      </c>
      <c r="P4" s="10" t="n">
        <f aca="false">B4*K4</f>
        <v>22000</v>
      </c>
      <c r="Q4" s="10" t="n">
        <f aca="false">B4*L4</f>
        <v>7000</v>
      </c>
      <c r="R4" s="10" t="n">
        <f aca="false">O4-P4-Q4</f>
        <v>34368</v>
      </c>
      <c r="S4" s="10" t="n">
        <v>20</v>
      </c>
      <c r="T4" s="10" t="n">
        <v>20</v>
      </c>
      <c r="U4" s="10" t="n">
        <v>160</v>
      </c>
      <c r="V4" s="10" t="n">
        <v>80</v>
      </c>
      <c r="W4" s="10" t="n">
        <v>28</v>
      </c>
      <c r="X4" s="10" t="n">
        <v>7</v>
      </c>
      <c r="Y4" s="10" t="n">
        <v>255</v>
      </c>
      <c r="Z4" s="10" t="n">
        <v>90</v>
      </c>
      <c r="AA4" s="10" t="n">
        <v>360</v>
      </c>
      <c r="AB4" s="10" t="n">
        <v>1200</v>
      </c>
      <c r="AC4" s="10" t="n">
        <v>100</v>
      </c>
      <c r="AD4" s="10" t="n">
        <v>0</v>
      </c>
      <c r="AE4" s="10" t="n">
        <v>0</v>
      </c>
    </row>
    <row r="5" customFormat="false" ht="15" hidden="false" customHeight="false" outlineLevel="0" collapsed="false">
      <c r="A5" s="10" t="s">
        <v>46</v>
      </c>
      <c r="B5" s="10" t="n">
        <v>1</v>
      </c>
      <c r="C5" s="10" t="s">
        <v>48</v>
      </c>
      <c r="D5" s="10" t="n">
        <v>5916</v>
      </c>
      <c r="E5" s="10" t="n">
        <f aca="false">ABS(S5-U5)+ABS(T5-V5)</f>
        <v>200</v>
      </c>
      <c r="F5" s="10" t="n">
        <f aca="false">MAX(31,255-MAX(0,W5+AD5-X5)-MAX(0,W5+AD5-X5-Y5))</f>
        <v>230</v>
      </c>
      <c r="G5" s="10" t="n">
        <v>120</v>
      </c>
      <c r="H5" s="10" t="n">
        <f aca="false">MIN(INT(AB5*AC5/100),B5*INT(AA5/(Z5+AE5))*G5)</f>
        <v>360</v>
      </c>
      <c r="I5" s="10" t="n">
        <f aca="false">INT(H5/G5)</f>
        <v>3</v>
      </c>
      <c r="J5" s="10" t="n">
        <f aca="false">MOD(H5,G5)</f>
        <v>0</v>
      </c>
      <c r="K5" s="10" t="n">
        <v>22000</v>
      </c>
      <c r="L5" s="10" t="n">
        <v>7000</v>
      </c>
      <c r="M5" s="10" t="n">
        <f aca="false">INT(D5*E5*F5*G5/2097152)</f>
        <v>15571</v>
      </c>
      <c r="N5" s="10" t="n">
        <f aca="false">INT(D5*E5*F5*J5/2097152)</f>
        <v>0</v>
      </c>
      <c r="O5" s="10" t="n">
        <f aca="false">I5*M5+N5</f>
        <v>46713</v>
      </c>
      <c r="P5" s="10" t="n">
        <f aca="false">B5*K5</f>
        <v>22000</v>
      </c>
      <c r="Q5" s="10" t="n">
        <f aca="false">B5*L5</f>
        <v>7000</v>
      </c>
      <c r="R5" s="10" t="n">
        <f aca="false">O5-P5-Q5</f>
        <v>17713</v>
      </c>
      <c r="S5" s="10" t="n">
        <v>20</v>
      </c>
      <c r="T5" s="10" t="n">
        <v>20</v>
      </c>
      <c r="U5" s="10" t="n">
        <v>160</v>
      </c>
      <c r="V5" s="10" t="n">
        <v>80</v>
      </c>
      <c r="W5" s="10" t="n">
        <v>28</v>
      </c>
      <c r="X5" s="10" t="n">
        <v>7</v>
      </c>
      <c r="Y5" s="10" t="n">
        <v>255</v>
      </c>
      <c r="Z5" s="10" t="n">
        <v>90</v>
      </c>
      <c r="AA5" s="10" t="n">
        <v>360</v>
      </c>
      <c r="AB5" s="10" t="n">
        <v>1200</v>
      </c>
      <c r="AC5" s="10" t="n">
        <v>80</v>
      </c>
      <c r="AD5" s="10" t="n">
        <v>4</v>
      </c>
      <c r="AE5" s="10" t="n">
        <v>10</v>
      </c>
    </row>
    <row r="6" customFormat="false" ht="15" hidden="false" customHeight="false" outlineLevel="0" collapsed="false">
      <c r="A6" s="10" t="s">
        <v>46</v>
      </c>
      <c r="B6" s="10" t="n">
        <v>2</v>
      </c>
      <c r="C6" s="10" t="s">
        <v>47</v>
      </c>
      <c r="D6" s="10" t="n">
        <v>5916</v>
      </c>
      <c r="E6" s="10" t="n">
        <f aca="false">ABS(S6-U6)+ABS(T6-V6)</f>
        <v>200</v>
      </c>
      <c r="F6" s="10" t="n">
        <f aca="false">MAX(31,255-MAX(0,W6+AD6-X6)-MAX(0,W6+AD6-X6-Y6))</f>
        <v>234</v>
      </c>
      <c r="G6" s="10" t="n">
        <v>120</v>
      </c>
      <c r="H6" s="10" t="n">
        <f aca="false">MIN(INT(AB6*AC6/100),B6*INT(AA6/(Z6+AE6))*G6)</f>
        <v>960</v>
      </c>
      <c r="I6" s="10" t="n">
        <f aca="false">INT(H6/G6)</f>
        <v>8</v>
      </c>
      <c r="J6" s="10" t="n">
        <f aca="false">MOD(H6,G6)</f>
        <v>0</v>
      </c>
      <c r="K6" s="10" t="n">
        <v>22000</v>
      </c>
      <c r="L6" s="10" t="n">
        <v>7000</v>
      </c>
      <c r="M6" s="10" t="n">
        <f aca="false">INT(D6*E6*F6*G6/2097152)</f>
        <v>15842</v>
      </c>
      <c r="N6" s="10" t="n">
        <f aca="false">INT(D6*E6*F6*J6/2097152)</f>
        <v>0</v>
      </c>
      <c r="O6" s="10" t="n">
        <f aca="false">I6*M6+N6</f>
        <v>126736</v>
      </c>
      <c r="P6" s="10" t="n">
        <f aca="false">B6*K6</f>
        <v>44000</v>
      </c>
      <c r="Q6" s="10" t="n">
        <f aca="false">B6*L6</f>
        <v>14000</v>
      </c>
      <c r="R6" s="10" t="n">
        <f aca="false">O6-P6-Q6</f>
        <v>68736</v>
      </c>
      <c r="S6" s="10" t="n">
        <v>20</v>
      </c>
      <c r="T6" s="10" t="n">
        <v>20</v>
      </c>
      <c r="U6" s="10" t="n">
        <v>160</v>
      </c>
      <c r="V6" s="10" t="n">
        <v>80</v>
      </c>
      <c r="W6" s="10" t="n">
        <v>28</v>
      </c>
      <c r="X6" s="10" t="n">
        <v>7</v>
      </c>
      <c r="Y6" s="10" t="n">
        <v>255</v>
      </c>
      <c r="Z6" s="10" t="n">
        <v>90</v>
      </c>
      <c r="AA6" s="10" t="n">
        <v>360</v>
      </c>
      <c r="AB6" s="10" t="n">
        <v>1200</v>
      </c>
      <c r="AC6" s="10" t="n">
        <v>100</v>
      </c>
      <c r="AD6" s="10" t="n">
        <v>0</v>
      </c>
      <c r="AE6" s="10" t="n">
        <v>0</v>
      </c>
    </row>
    <row r="7" customFormat="false" ht="15" hidden="false" customHeight="false" outlineLevel="0" collapsed="false">
      <c r="A7" s="10" t="s">
        <v>46</v>
      </c>
      <c r="B7" s="10" t="n">
        <v>2</v>
      </c>
      <c r="C7" s="10" t="s">
        <v>48</v>
      </c>
      <c r="D7" s="10" t="n">
        <v>5916</v>
      </c>
      <c r="E7" s="10" t="n">
        <f aca="false">ABS(S7-U7)+ABS(T7-V7)</f>
        <v>200</v>
      </c>
      <c r="F7" s="10" t="n">
        <f aca="false">MAX(31,255-MAX(0,W7+AD7-X7)-MAX(0,W7+AD7-X7-Y7))</f>
        <v>230</v>
      </c>
      <c r="G7" s="10" t="n">
        <v>120</v>
      </c>
      <c r="H7" s="10" t="n">
        <f aca="false">MIN(INT(AB7*AC7/100),B7*INT(AA7/(Z7+AE7))*G7)</f>
        <v>720</v>
      </c>
      <c r="I7" s="10" t="n">
        <f aca="false">INT(H7/G7)</f>
        <v>6</v>
      </c>
      <c r="J7" s="10" t="n">
        <f aca="false">MOD(H7,G7)</f>
        <v>0</v>
      </c>
      <c r="K7" s="10" t="n">
        <v>22000</v>
      </c>
      <c r="L7" s="10" t="n">
        <v>7000</v>
      </c>
      <c r="M7" s="10" t="n">
        <f aca="false">INT(D7*E7*F7*G7/2097152)</f>
        <v>15571</v>
      </c>
      <c r="N7" s="10" t="n">
        <f aca="false">INT(D7*E7*F7*J7/2097152)</f>
        <v>0</v>
      </c>
      <c r="O7" s="10" t="n">
        <f aca="false">I7*M7+N7</f>
        <v>93426</v>
      </c>
      <c r="P7" s="10" t="n">
        <f aca="false">B7*K7</f>
        <v>44000</v>
      </c>
      <c r="Q7" s="10" t="n">
        <f aca="false">B7*L7</f>
        <v>14000</v>
      </c>
      <c r="R7" s="10" t="n">
        <f aca="false">O7-P7-Q7</f>
        <v>35426</v>
      </c>
      <c r="S7" s="10" t="n">
        <v>20</v>
      </c>
      <c r="T7" s="10" t="n">
        <v>20</v>
      </c>
      <c r="U7" s="10" t="n">
        <v>160</v>
      </c>
      <c r="V7" s="10" t="n">
        <v>80</v>
      </c>
      <c r="W7" s="10" t="n">
        <v>28</v>
      </c>
      <c r="X7" s="10" t="n">
        <v>7</v>
      </c>
      <c r="Y7" s="10" t="n">
        <v>255</v>
      </c>
      <c r="Z7" s="10" t="n">
        <v>90</v>
      </c>
      <c r="AA7" s="10" t="n">
        <v>360</v>
      </c>
      <c r="AB7" s="10" t="n">
        <v>1200</v>
      </c>
      <c r="AC7" s="10" t="n">
        <v>80</v>
      </c>
      <c r="AD7" s="10" t="n">
        <v>4</v>
      </c>
      <c r="AE7" s="10" t="n">
        <v>10</v>
      </c>
    </row>
    <row r="8" customFormat="false" ht="15" hidden="false" customHeight="false" outlineLevel="0" collapsed="false">
      <c r="A8" s="10" t="s">
        <v>46</v>
      </c>
      <c r="B8" s="10" t="n">
        <v>3</v>
      </c>
      <c r="C8" s="10" t="s">
        <v>47</v>
      </c>
      <c r="D8" s="10" t="n">
        <v>5916</v>
      </c>
      <c r="E8" s="10" t="n">
        <f aca="false">ABS(S8-U8)+ABS(T8-V8)</f>
        <v>200</v>
      </c>
      <c r="F8" s="10" t="n">
        <f aca="false">MAX(31,255-MAX(0,W8+AD8-X8)-MAX(0,W8+AD8-X8-Y8))</f>
        <v>234</v>
      </c>
      <c r="G8" s="10" t="n">
        <v>120</v>
      </c>
      <c r="H8" s="10" t="n">
        <f aca="false">MIN(INT(AB8*AC8/100),B8*INT(AA8/(Z8+AE8))*G8)</f>
        <v>1200</v>
      </c>
      <c r="I8" s="10" t="n">
        <f aca="false">INT(H8/G8)</f>
        <v>10</v>
      </c>
      <c r="J8" s="10" t="n">
        <f aca="false">MOD(H8,G8)</f>
        <v>0</v>
      </c>
      <c r="K8" s="10" t="n">
        <v>22000</v>
      </c>
      <c r="L8" s="10" t="n">
        <v>7000</v>
      </c>
      <c r="M8" s="10" t="n">
        <f aca="false">INT(D8*E8*F8*G8/2097152)</f>
        <v>15842</v>
      </c>
      <c r="N8" s="10" t="n">
        <f aca="false">INT(D8*E8*F8*J8/2097152)</f>
        <v>0</v>
      </c>
      <c r="O8" s="10" t="n">
        <f aca="false">I8*M8+N8</f>
        <v>158420</v>
      </c>
      <c r="P8" s="10" t="n">
        <f aca="false">B8*K8</f>
        <v>66000</v>
      </c>
      <c r="Q8" s="10" t="n">
        <f aca="false">B8*L8</f>
        <v>21000</v>
      </c>
      <c r="R8" s="10" t="n">
        <f aca="false">O8-P8-Q8</f>
        <v>71420</v>
      </c>
      <c r="S8" s="10" t="n">
        <v>20</v>
      </c>
      <c r="T8" s="10" t="n">
        <v>20</v>
      </c>
      <c r="U8" s="10" t="n">
        <v>160</v>
      </c>
      <c r="V8" s="10" t="n">
        <v>80</v>
      </c>
      <c r="W8" s="10" t="n">
        <v>28</v>
      </c>
      <c r="X8" s="10" t="n">
        <v>7</v>
      </c>
      <c r="Y8" s="10" t="n">
        <v>255</v>
      </c>
      <c r="Z8" s="10" t="n">
        <v>90</v>
      </c>
      <c r="AA8" s="10" t="n">
        <v>360</v>
      </c>
      <c r="AB8" s="10" t="n">
        <v>1200</v>
      </c>
      <c r="AC8" s="10" t="n">
        <v>100</v>
      </c>
      <c r="AD8" s="10" t="n">
        <v>0</v>
      </c>
      <c r="AE8" s="10" t="n">
        <v>0</v>
      </c>
    </row>
    <row r="9" customFormat="false" ht="15" hidden="false" customHeight="false" outlineLevel="0" collapsed="false">
      <c r="A9" s="10" t="s">
        <v>46</v>
      </c>
      <c r="B9" s="10" t="n">
        <v>3</v>
      </c>
      <c r="C9" s="10" t="s">
        <v>48</v>
      </c>
      <c r="D9" s="10" t="n">
        <v>5916</v>
      </c>
      <c r="E9" s="10" t="n">
        <f aca="false">ABS(S9-U9)+ABS(T9-V9)</f>
        <v>200</v>
      </c>
      <c r="F9" s="10" t="n">
        <f aca="false">MAX(31,255-MAX(0,W9+AD9-X9)-MAX(0,W9+AD9-X9-Y9))</f>
        <v>230</v>
      </c>
      <c r="G9" s="10" t="n">
        <v>120</v>
      </c>
      <c r="H9" s="10" t="n">
        <f aca="false">MIN(INT(AB9*AC9/100),B9*INT(AA9/(Z9+AE9))*G9)</f>
        <v>960</v>
      </c>
      <c r="I9" s="10" t="n">
        <f aca="false">INT(H9/G9)</f>
        <v>8</v>
      </c>
      <c r="J9" s="10" t="n">
        <f aca="false">MOD(H9,G9)</f>
        <v>0</v>
      </c>
      <c r="K9" s="10" t="n">
        <v>22000</v>
      </c>
      <c r="L9" s="10" t="n">
        <v>7000</v>
      </c>
      <c r="M9" s="10" t="n">
        <f aca="false">INT(D9*E9*F9*G9/2097152)</f>
        <v>15571</v>
      </c>
      <c r="N9" s="10" t="n">
        <f aca="false">INT(D9*E9*F9*J9/2097152)</f>
        <v>0</v>
      </c>
      <c r="O9" s="10" t="n">
        <f aca="false">I9*M9+N9</f>
        <v>124568</v>
      </c>
      <c r="P9" s="10" t="n">
        <f aca="false">B9*K9</f>
        <v>66000</v>
      </c>
      <c r="Q9" s="10" t="n">
        <f aca="false">B9*L9</f>
        <v>21000</v>
      </c>
      <c r="R9" s="10" t="n">
        <f aca="false">O9-P9-Q9</f>
        <v>37568</v>
      </c>
      <c r="S9" s="10" t="n">
        <v>20</v>
      </c>
      <c r="T9" s="10" t="n">
        <v>20</v>
      </c>
      <c r="U9" s="10" t="n">
        <v>160</v>
      </c>
      <c r="V9" s="10" t="n">
        <v>80</v>
      </c>
      <c r="W9" s="10" t="n">
        <v>28</v>
      </c>
      <c r="X9" s="10" t="n">
        <v>7</v>
      </c>
      <c r="Y9" s="10" t="n">
        <v>255</v>
      </c>
      <c r="Z9" s="10" t="n">
        <v>90</v>
      </c>
      <c r="AA9" s="10" t="n">
        <v>360</v>
      </c>
      <c r="AB9" s="10" t="n">
        <v>1200</v>
      </c>
      <c r="AC9" s="10" t="n">
        <v>80</v>
      </c>
      <c r="AD9" s="10" t="n">
        <v>4</v>
      </c>
      <c r="AE9" s="10" t="n">
        <v>10</v>
      </c>
    </row>
    <row r="10" customFormat="false" ht="15" hidden="false" customHeight="false" outlineLevel="0" collapsed="false">
      <c r="A10" s="10" t="s">
        <v>49</v>
      </c>
      <c r="B10" s="10" t="n">
        <v>0</v>
      </c>
      <c r="C10" s="10" t="s">
        <v>47</v>
      </c>
      <c r="D10" s="10" t="n">
        <v>6144</v>
      </c>
      <c r="E10" s="10" t="n">
        <f aca="false">ABS(S10-U10)+ABS(T10-V10)</f>
        <v>300</v>
      </c>
      <c r="F10" s="10" t="n">
        <f aca="false">MAX(31,255-MAX(0,W10+AD10-X10)-MAX(0,W10+AD10-X10-Y10))</f>
        <v>242</v>
      </c>
      <c r="G10" s="10" t="n">
        <v>80</v>
      </c>
      <c r="H10" s="10" t="n">
        <f aca="false">MIN(INT(AB10*AC10/100),B10*INT(AA10/(Z10+AE10))*G10)</f>
        <v>0</v>
      </c>
      <c r="I10" s="10" t="n">
        <f aca="false">INT(H10/G10)</f>
        <v>0</v>
      </c>
      <c r="J10" s="10" t="n">
        <f aca="false">MOD(H10,G10)</f>
        <v>0</v>
      </c>
      <c r="K10" s="10" t="n">
        <v>28000</v>
      </c>
      <c r="L10" s="10" t="n">
        <v>10000</v>
      </c>
      <c r="M10" s="10" t="n">
        <f aca="false">INT(D10*E10*F10*G10/2097152)</f>
        <v>17015</v>
      </c>
      <c r="N10" s="10" t="n">
        <f aca="false">INT(D10*E10*F10*J10/2097152)</f>
        <v>0</v>
      </c>
      <c r="O10" s="10" t="n">
        <f aca="false">I10*M10+N10</f>
        <v>0</v>
      </c>
      <c r="P10" s="10" t="n">
        <f aca="false">B10*K10</f>
        <v>0</v>
      </c>
      <c r="Q10" s="10" t="n">
        <f aca="false">B10*L10</f>
        <v>0</v>
      </c>
      <c r="R10" s="10" t="n">
        <f aca="false">O10-P10-Q10</f>
        <v>0</v>
      </c>
      <c r="S10" s="10" t="n">
        <v>40</v>
      </c>
      <c r="T10" s="10" t="n">
        <v>60</v>
      </c>
      <c r="U10" s="10" t="n">
        <v>240</v>
      </c>
      <c r="V10" s="10" t="n">
        <v>160</v>
      </c>
      <c r="W10" s="10" t="n">
        <v>18</v>
      </c>
      <c r="X10" s="10" t="n">
        <v>5</v>
      </c>
      <c r="Y10" s="10" t="n">
        <v>28</v>
      </c>
      <c r="Z10" s="10" t="n">
        <v>60</v>
      </c>
      <c r="AA10" s="10" t="n">
        <v>360</v>
      </c>
      <c r="AB10" s="10" t="n">
        <v>1600</v>
      </c>
      <c r="AC10" s="10" t="n">
        <v>100</v>
      </c>
      <c r="AD10" s="10" t="n">
        <v>0</v>
      </c>
      <c r="AE10" s="10" t="n">
        <v>0</v>
      </c>
    </row>
    <row r="11" customFormat="false" ht="15" hidden="false" customHeight="false" outlineLevel="0" collapsed="false">
      <c r="A11" s="10" t="s">
        <v>49</v>
      </c>
      <c r="B11" s="10" t="n">
        <v>0</v>
      </c>
      <c r="C11" s="10" t="s">
        <v>48</v>
      </c>
      <c r="D11" s="10" t="n">
        <v>6144</v>
      </c>
      <c r="E11" s="10" t="n">
        <f aca="false">ABS(S11-U11)+ABS(T11-V11)</f>
        <v>300</v>
      </c>
      <c r="F11" s="10" t="n">
        <f aca="false">MAX(31,255-MAX(0,W11+AD11-X11)-MAX(0,W11+AD11-X11-Y11))</f>
        <v>238</v>
      </c>
      <c r="G11" s="10" t="n">
        <v>80</v>
      </c>
      <c r="H11" s="10" t="n">
        <f aca="false">MIN(INT(AB11*AC11/100),B11*INT(AA11/(Z11+AE11))*G11)</f>
        <v>0</v>
      </c>
      <c r="I11" s="10" t="n">
        <f aca="false">INT(H11/G11)</f>
        <v>0</v>
      </c>
      <c r="J11" s="10" t="n">
        <f aca="false">MOD(H11,G11)</f>
        <v>0</v>
      </c>
      <c r="K11" s="10" t="n">
        <v>28000</v>
      </c>
      <c r="L11" s="10" t="n">
        <v>10000</v>
      </c>
      <c r="M11" s="10" t="n">
        <f aca="false">INT(D11*E11*F11*G11/2097152)</f>
        <v>16734</v>
      </c>
      <c r="N11" s="10" t="n">
        <f aca="false">INT(D11*E11*F11*J11/2097152)</f>
        <v>0</v>
      </c>
      <c r="O11" s="10" t="n">
        <f aca="false">I11*M11+N11</f>
        <v>0</v>
      </c>
      <c r="P11" s="10" t="n">
        <f aca="false">B11*K11</f>
        <v>0</v>
      </c>
      <c r="Q11" s="10" t="n">
        <f aca="false">B11*L11</f>
        <v>0</v>
      </c>
      <c r="R11" s="10" t="n">
        <f aca="false">O11-P11-Q11</f>
        <v>0</v>
      </c>
      <c r="S11" s="10" t="n">
        <v>40</v>
      </c>
      <c r="T11" s="10" t="n">
        <v>60</v>
      </c>
      <c r="U11" s="10" t="n">
        <v>240</v>
      </c>
      <c r="V11" s="10" t="n">
        <v>160</v>
      </c>
      <c r="W11" s="10" t="n">
        <v>18</v>
      </c>
      <c r="X11" s="10" t="n">
        <v>5</v>
      </c>
      <c r="Y11" s="10" t="n">
        <v>28</v>
      </c>
      <c r="Z11" s="10" t="n">
        <v>60</v>
      </c>
      <c r="AA11" s="10" t="n">
        <v>360</v>
      </c>
      <c r="AB11" s="10" t="n">
        <v>1600</v>
      </c>
      <c r="AC11" s="10" t="n">
        <v>80</v>
      </c>
      <c r="AD11" s="10" t="n">
        <v>4</v>
      </c>
      <c r="AE11" s="10" t="n">
        <v>10</v>
      </c>
    </row>
    <row r="12" customFormat="false" ht="15" hidden="false" customHeight="false" outlineLevel="0" collapsed="false">
      <c r="A12" s="10" t="s">
        <v>49</v>
      </c>
      <c r="B12" s="10" t="n">
        <v>1</v>
      </c>
      <c r="C12" s="10" t="s">
        <v>47</v>
      </c>
      <c r="D12" s="10" t="n">
        <v>6144</v>
      </c>
      <c r="E12" s="10" t="n">
        <f aca="false">ABS(S12-U12)+ABS(T12-V12)</f>
        <v>300</v>
      </c>
      <c r="F12" s="10" t="n">
        <f aca="false">MAX(31,255-MAX(0,W12+AD12-X12)-MAX(0,W12+AD12-X12-Y12))</f>
        <v>242</v>
      </c>
      <c r="G12" s="10" t="n">
        <v>80</v>
      </c>
      <c r="H12" s="10" t="n">
        <f aca="false">MIN(INT(AB12*AC12/100),B12*INT(AA12/(Z12+AE12))*G12)</f>
        <v>480</v>
      </c>
      <c r="I12" s="10" t="n">
        <f aca="false">INT(H12/G12)</f>
        <v>6</v>
      </c>
      <c r="J12" s="10" t="n">
        <f aca="false">MOD(H12,G12)</f>
        <v>0</v>
      </c>
      <c r="K12" s="10" t="n">
        <v>28000</v>
      </c>
      <c r="L12" s="10" t="n">
        <v>10000</v>
      </c>
      <c r="M12" s="10" t="n">
        <f aca="false">INT(D12*E12*F12*G12/2097152)</f>
        <v>17015</v>
      </c>
      <c r="N12" s="10" t="n">
        <f aca="false">INT(D12*E12*F12*J12/2097152)</f>
        <v>0</v>
      </c>
      <c r="O12" s="10" t="n">
        <f aca="false">I12*M12+N12</f>
        <v>102090</v>
      </c>
      <c r="P12" s="10" t="n">
        <f aca="false">B12*K12</f>
        <v>28000</v>
      </c>
      <c r="Q12" s="10" t="n">
        <f aca="false">B12*L12</f>
        <v>10000</v>
      </c>
      <c r="R12" s="10" t="n">
        <f aca="false">O12-P12-Q12</f>
        <v>64090</v>
      </c>
      <c r="S12" s="10" t="n">
        <v>40</v>
      </c>
      <c r="T12" s="10" t="n">
        <v>60</v>
      </c>
      <c r="U12" s="10" t="n">
        <v>240</v>
      </c>
      <c r="V12" s="10" t="n">
        <v>160</v>
      </c>
      <c r="W12" s="10" t="n">
        <v>18</v>
      </c>
      <c r="X12" s="10" t="n">
        <v>5</v>
      </c>
      <c r="Y12" s="10" t="n">
        <v>28</v>
      </c>
      <c r="Z12" s="10" t="n">
        <v>60</v>
      </c>
      <c r="AA12" s="10" t="n">
        <v>360</v>
      </c>
      <c r="AB12" s="10" t="n">
        <v>1600</v>
      </c>
      <c r="AC12" s="10" t="n">
        <v>100</v>
      </c>
      <c r="AD12" s="10" t="n">
        <v>0</v>
      </c>
      <c r="AE12" s="10" t="n">
        <v>0</v>
      </c>
    </row>
    <row r="13" customFormat="false" ht="15" hidden="false" customHeight="false" outlineLevel="0" collapsed="false">
      <c r="A13" s="10" t="s">
        <v>49</v>
      </c>
      <c r="B13" s="10" t="n">
        <v>1</v>
      </c>
      <c r="C13" s="10" t="s">
        <v>48</v>
      </c>
      <c r="D13" s="10" t="n">
        <v>6144</v>
      </c>
      <c r="E13" s="10" t="n">
        <f aca="false">ABS(S13-U13)+ABS(T13-V13)</f>
        <v>300</v>
      </c>
      <c r="F13" s="10" t="n">
        <f aca="false">MAX(31,255-MAX(0,W13+AD13-X13)-MAX(0,W13+AD13-X13-Y13))</f>
        <v>238</v>
      </c>
      <c r="G13" s="10" t="n">
        <v>80</v>
      </c>
      <c r="H13" s="10" t="n">
        <f aca="false">MIN(INT(AB13*AC13/100),B13*INT(AA13/(Z13+AE13))*G13)</f>
        <v>400</v>
      </c>
      <c r="I13" s="10" t="n">
        <f aca="false">INT(H13/G13)</f>
        <v>5</v>
      </c>
      <c r="J13" s="10" t="n">
        <f aca="false">MOD(H13,G13)</f>
        <v>0</v>
      </c>
      <c r="K13" s="10" t="n">
        <v>28000</v>
      </c>
      <c r="L13" s="10" t="n">
        <v>10000</v>
      </c>
      <c r="M13" s="10" t="n">
        <f aca="false">INT(D13*E13*F13*G13/2097152)</f>
        <v>16734</v>
      </c>
      <c r="N13" s="10" t="n">
        <f aca="false">INT(D13*E13*F13*J13/2097152)</f>
        <v>0</v>
      </c>
      <c r="O13" s="10" t="n">
        <f aca="false">I13*M13+N13</f>
        <v>83670</v>
      </c>
      <c r="P13" s="10" t="n">
        <f aca="false">B13*K13</f>
        <v>28000</v>
      </c>
      <c r="Q13" s="10" t="n">
        <f aca="false">B13*L13</f>
        <v>10000</v>
      </c>
      <c r="R13" s="10" t="n">
        <f aca="false">O13-P13-Q13</f>
        <v>45670</v>
      </c>
      <c r="S13" s="10" t="n">
        <v>40</v>
      </c>
      <c r="T13" s="10" t="n">
        <v>60</v>
      </c>
      <c r="U13" s="10" t="n">
        <v>240</v>
      </c>
      <c r="V13" s="10" t="n">
        <v>160</v>
      </c>
      <c r="W13" s="10" t="n">
        <v>18</v>
      </c>
      <c r="X13" s="10" t="n">
        <v>5</v>
      </c>
      <c r="Y13" s="10" t="n">
        <v>28</v>
      </c>
      <c r="Z13" s="10" t="n">
        <v>60</v>
      </c>
      <c r="AA13" s="10" t="n">
        <v>360</v>
      </c>
      <c r="AB13" s="10" t="n">
        <v>1600</v>
      </c>
      <c r="AC13" s="10" t="n">
        <v>80</v>
      </c>
      <c r="AD13" s="10" t="n">
        <v>4</v>
      </c>
      <c r="AE13" s="10" t="n">
        <v>10</v>
      </c>
    </row>
    <row r="14" customFormat="false" ht="15" hidden="false" customHeight="false" outlineLevel="0" collapsed="false">
      <c r="A14" s="10" t="s">
        <v>49</v>
      </c>
      <c r="B14" s="10" t="n">
        <v>2</v>
      </c>
      <c r="C14" s="10" t="s">
        <v>47</v>
      </c>
      <c r="D14" s="10" t="n">
        <v>6144</v>
      </c>
      <c r="E14" s="10" t="n">
        <f aca="false">ABS(S14-U14)+ABS(T14-V14)</f>
        <v>300</v>
      </c>
      <c r="F14" s="10" t="n">
        <f aca="false">MAX(31,255-MAX(0,W14+AD14-X14)-MAX(0,W14+AD14-X14-Y14))</f>
        <v>242</v>
      </c>
      <c r="G14" s="10" t="n">
        <v>80</v>
      </c>
      <c r="H14" s="10" t="n">
        <f aca="false">MIN(INT(AB14*AC14/100),B14*INT(AA14/(Z14+AE14))*G14)</f>
        <v>960</v>
      </c>
      <c r="I14" s="10" t="n">
        <f aca="false">INT(H14/G14)</f>
        <v>12</v>
      </c>
      <c r="J14" s="10" t="n">
        <f aca="false">MOD(H14,G14)</f>
        <v>0</v>
      </c>
      <c r="K14" s="10" t="n">
        <v>28000</v>
      </c>
      <c r="L14" s="10" t="n">
        <v>10000</v>
      </c>
      <c r="M14" s="10" t="n">
        <f aca="false">INT(D14*E14*F14*G14/2097152)</f>
        <v>17015</v>
      </c>
      <c r="N14" s="10" t="n">
        <f aca="false">INT(D14*E14*F14*J14/2097152)</f>
        <v>0</v>
      </c>
      <c r="O14" s="10" t="n">
        <f aca="false">I14*M14+N14</f>
        <v>204180</v>
      </c>
      <c r="P14" s="10" t="n">
        <f aca="false">B14*K14</f>
        <v>56000</v>
      </c>
      <c r="Q14" s="10" t="n">
        <f aca="false">B14*L14</f>
        <v>20000</v>
      </c>
      <c r="R14" s="10" t="n">
        <f aca="false">O14-P14-Q14</f>
        <v>128180</v>
      </c>
      <c r="S14" s="10" t="n">
        <v>40</v>
      </c>
      <c r="T14" s="10" t="n">
        <v>60</v>
      </c>
      <c r="U14" s="10" t="n">
        <v>240</v>
      </c>
      <c r="V14" s="10" t="n">
        <v>160</v>
      </c>
      <c r="W14" s="10" t="n">
        <v>18</v>
      </c>
      <c r="X14" s="10" t="n">
        <v>5</v>
      </c>
      <c r="Y14" s="10" t="n">
        <v>28</v>
      </c>
      <c r="Z14" s="10" t="n">
        <v>60</v>
      </c>
      <c r="AA14" s="10" t="n">
        <v>360</v>
      </c>
      <c r="AB14" s="10" t="n">
        <v>1600</v>
      </c>
      <c r="AC14" s="10" t="n">
        <v>100</v>
      </c>
      <c r="AD14" s="10" t="n">
        <v>0</v>
      </c>
      <c r="AE14" s="10" t="n">
        <v>0</v>
      </c>
    </row>
    <row r="15" customFormat="false" ht="15" hidden="false" customHeight="false" outlineLevel="0" collapsed="false">
      <c r="A15" s="10" t="s">
        <v>49</v>
      </c>
      <c r="B15" s="10" t="n">
        <v>2</v>
      </c>
      <c r="C15" s="10" t="s">
        <v>48</v>
      </c>
      <c r="D15" s="10" t="n">
        <v>6144</v>
      </c>
      <c r="E15" s="10" t="n">
        <f aca="false">ABS(S15-U15)+ABS(T15-V15)</f>
        <v>300</v>
      </c>
      <c r="F15" s="10" t="n">
        <f aca="false">MAX(31,255-MAX(0,W15+AD15-X15)-MAX(0,W15+AD15-X15-Y15))</f>
        <v>238</v>
      </c>
      <c r="G15" s="10" t="n">
        <v>80</v>
      </c>
      <c r="H15" s="10" t="n">
        <f aca="false">MIN(INT(AB15*AC15/100),B15*INT(AA15/(Z15+AE15))*G15)</f>
        <v>800</v>
      </c>
      <c r="I15" s="10" t="n">
        <f aca="false">INT(H15/G15)</f>
        <v>10</v>
      </c>
      <c r="J15" s="10" t="n">
        <f aca="false">MOD(H15,G15)</f>
        <v>0</v>
      </c>
      <c r="K15" s="10" t="n">
        <v>28000</v>
      </c>
      <c r="L15" s="10" t="n">
        <v>10000</v>
      </c>
      <c r="M15" s="10" t="n">
        <f aca="false">INT(D15*E15*F15*G15/2097152)</f>
        <v>16734</v>
      </c>
      <c r="N15" s="10" t="n">
        <f aca="false">INT(D15*E15*F15*J15/2097152)</f>
        <v>0</v>
      </c>
      <c r="O15" s="10" t="n">
        <f aca="false">I15*M15+N15</f>
        <v>167340</v>
      </c>
      <c r="P15" s="10" t="n">
        <f aca="false">B15*K15</f>
        <v>56000</v>
      </c>
      <c r="Q15" s="10" t="n">
        <f aca="false">B15*L15</f>
        <v>20000</v>
      </c>
      <c r="R15" s="10" t="n">
        <f aca="false">O15-P15-Q15</f>
        <v>91340</v>
      </c>
      <c r="S15" s="10" t="n">
        <v>40</v>
      </c>
      <c r="T15" s="10" t="n">
        <v>60</v>
      </c>
      <c r="U15" s="10" t="n">
        <v>240</v>
      </c>
      <c r="V15" s="10" t="n">
        <v>160</v>
      </c>
      <c r="W15" s="10" t="n">
        <v>18</v>
      </c>
      <c r="X15" s="10" t="n">
        <v>5</v>
      </c>
      <c r="Y15" s="10" t="n">
        <v>28</v>
      </c>
      <c r="Z15" s="10" t="n">
        <v>60</v>
      </c>
      <c r="AA15" s="10" t="n">
        <v>360</v>
      </c>
      <c r="AB15" s="10" t="n">
        <v>1600</v>
      </c>
      <c r="AC15" s="10" t="n">
        <v>80</v>
      </c>
      <c r="AD15" s="10" t="n">
        <v>4</v>
      </c>
      <c r="AE15" s="10" t="n">
        <v>10</v>
      </c>
    </row>
    <row r="16" customFormat="false" ht="15" hidden="false" customHeight="false" outlineLevel="0" collapsed="false">
      <c r="A16" s="10" t="s">
        <v>49</v>
      </c>
      <c r="B16" s="10" t="n">
        <v>3</v>
      </c>
      <c r="C16" s="10" t="s">
        <v>47</v>
      </c>
      <c r="D16" s="10" t="n">
        <v>6144</v>
      </c>
      <c r="E16" s="10" t="n">
        <f aca="false">ABS(S16-U16)+ABS(T16-V16)</f>
        <v>300</v>
      </c>
      <c r="F16" s="10" t="n">
        <f aca="false">MAX(31,255-MAX(0,W16+AD16-X16)-MAX(0,W16+AD16-X16-Y16))</f>
        <v>242</v>
      </c>
      <c r="G16" s="10" t="n">
        <v>80</v>
      </c>
      <c r="H16" s="10" t="n">
        <f aca="false">MIN(INT(AB16*AC16/100),B16*INT(AA16/(Z16+AE16))*G16)</f>
        <v>1440</v>
      </c>
      <c r="I16" s="10" t="n">
        <f aca="false">INT(H16/G16)</f>
        <v>18</v>
      </c>
      <c r="J16" s="10" t="n">
        <f aca="false">MOD(H16,G16)</f>
        <v>0</v>
      </c>
      <c r="K16" s="10" t="n">
        <v>28000</v>
      </c>
      <c r="L16" s="10" t="n">
        <v>10000</v>
      </c>
      <c r="M16" s="10" t="n">
        <f aca="false">INT(D16*E16*F16*G16/2097152)</f>
        <v>17015</v>
      </c>
      <c r="N16" s="10" t="n">
        <f aca="false">INT(D16*E16*F16*J16/2097152)</f>
        <v>0</v>
      </c>
      <c r="O16" s="10" t="n">
        <f aca="false">I16*M16+N16</f>
        <v>306270</v>
      </c>
      <c r="P16" s="10" t="n">
        <f aca="false">B16*K16</f>
        <v>84000</v>
      </c>
      <c r="Q16" s="10" t="n">
        <f aca="false">B16*L16</f>
        <v>30000</v>
      </c>
      <c r="R16" s="10" t="n">
        <f aca="false">O16-P16-Q16</f>
        <v>192270</v>
      </c>
      <c r="S16" s="10" t="n">
        <v>40</v>
      </c>
      <c r="T16" s="10" t="n">
        <v>60</v>
      </c>
      <c r="U16" s="10" t="n">
        <v>240</v>
      </c>
      <c r="V16" s="10" t="n">
        <v>160</v>
      </c>
      <c r="W16" s="10" t="n">
        <v>18</v>
      </c>
      <c r="X16" s="10" t="n">
        <v>5</v>
      </c>
      <c r="Y16" s="10" t="n">
        <v>28</v>
      </c>
      <c r="Z16" s="10" t="n">
        <v>60</v>
      </c>
      <c r="AA16" s="10" t="n">
        <v>360</v>
      </c>
      <c r="AB16" s="10" t="n">
        <v>1600</v>
      </c>
      <c r="AC16" s="10" t="n">
        <v>100</v>
      </c>
      <c r="AD16" s="10" t="n">
        <v>0</v>
      </c>
      <c r="AE16" s="10" t="n">
        <v>0</v>
      </c>
    </row>
    <row r="17" customFormat="false" ht="15" hidden="false" customHeight="false" outlineLevel="0" collapsed="false">
      <c r="A17" s="10" t="s">
        <v>49</v>
      </c>
      <c r="B17" s="10" t="n">
        <v>3</v>
      </c>
      <c r="C17" s="10" t="s">
        <v>48</v>
      </c>
      <c r="D17" s="10" t="n">
        <v>6144</v>
      </c>
      <c r="E17" s="10" t="n">
        <f aca="false">ABS(S17-U17)+ABS(T17-V17)</f>
        <v>300</v>
      </c>
      <c r="F17" s="10" t="n">
        <f aca="false">MAX(31,255-MAX(0,W17+AD17-X17)-MAX(0,W17+AD17-X17-Y17))</f>
        <v>238</v>
      </c>
      <c r="G17" s="10" t="n">
        <v>80</v>
      </c>
      <c r="H17" s="10" t="n">
        <f aca="false">MIN(INT(AB17*AC17/100),B17*INT(AA17/(Z17+AE17))*G17)</f>
        <v>1200</v>
      </c>
      <c r="I17" s="10" t="n">
        <f aca="false">INT(H17/G17)</f>
        <v>15</v>
      </c>
      <c r="J17" s="10" t="n">
        <f aca="false">MOD(H17,G17)</f>
        <v>0</v>
      </c>
      <c r="K17" s="10" t="n">
        <v>28000</v>
      </c>
      <c r="L17" s="10" t="n">
        <v>10000</v>
      </c>
      <c r="M17" s="10" t="n">
        <f aca="false">INT(D17*E17*F17*G17/2097152)</f>
        <v>16734</v>
      </c>
      <c r="N17" s="10" t="n">
        <f aca="false">INT(D17*E17*F17*J17/2097152)</f>
        <v>0</v>
      </c>
      <c r="O17" s="10" t="n">
        <f aca="false">I17*M17+N17</f>
        <v>251010</v>
      </c>
      <c r="P17" s="10" t="n">
        <f aca="false">B17*K17</f>
        <v>84000</v>
      </c>
      <c r="Q17" s="10" t="n">
        <f aca="false">B17*L17</f>
        <v>30000</v>
      </c>
      <c r="R17" s="10" t="n">
        <f aca="false">O17-P17-Q17</f>
        <v>137010</v>
      </c>
      <c r="S17" s="10" t="n">
        <v>40</v>
      </c>
      <c r="T17" s="10" t="n">
        <v>60</v>
      </c>
      <c r="U17" s="10" t="n">
        <v>240</v>
      </c>
      <c r="V17" s="10" t="n">
        <v>160</v>
      </c>
      <c r="W17" s="10" t="n">
        <v>18</v>
      </c>
      <c r="X17" s="10" t="n">
        <v>5</v>
      </c>
      <c r="Y17" s="10" t="n">
        <v>28</v>
      </c>
      <c r="Z17" s="10" t="n">
        <v>60</v>
      </c>
      <c r="AA17" s="10" t="n">
        <v>360</v>
      </c>
      <c r="AB17" s="10" t="n">
        <v>1600</v>
      </c>
      <c r="AC17" s="10" t="n">
        <v>80</v>
      </c>
      <c r="AD17" s="10" t="n">
        <v>4</v>
      </c>
      <c r="AE17" s="10" t="n">
        <v>10</v>
      </c>
    </row>
    <row r="18" customFormat="false" ht="15" hidden="false" customHeight="false" outlineLevel="0" collapsed="false">
      <c r="A18" s="10" t="s">
        <v>50</v>
      </c>
      <c r="B18" s="10" t="n">
        <v>0</v>
      </c>
      <c r="C18" s="10" t="s">
        <v>47</v>
      </c>
      <c r="D18" s="10" t="n">
        <v>6144</v>
      </c>
      <c r="E18" s="10" t="n">
        <f aca="false">ABS(S18-U18)+ABS(T18-V18)</f>
        <v>300</v>
      </c>
      <c r="F18" s="10" t="n">
        <f aca="false">MAX(31,255-MAX(0,W18+AD18-X18)-MAX(0,W18+AD18-X18-Y18))</f>
        <v>252</v>
      </c>
      <c r="G18" s="10" t="n">
        <v>50</v>
      </c>
      <c r="H18" s="10" t="n">
        <f aca="false">MIN(INT(AB18*AC18/100),B18*INT(AA18/(Z18+AE18))*G18)</f>
        <v>0</v>
      </c>
      <c r="I18" s="10" t="n">
        <f aca="false">INT(H18/G18)</f>
        <v>0</v>
      </c>
      <c r="J18" s="10" t="n">
        <f aca="false">MOD(H18,G18)</f>
        <v>0</v>
      </c>
      <c r="K18" s="10" t="n">
        <v>45000</v>
      </c>
      <c r="L18" s="10" t="n">
        <v>18000</v>
      </c>
      <c r="M18" s="10" t="n">
        <f aca="false">INT(D18*E18*F18*G18/2097152)</f>
        <v>11074</v>
      </c>
      <c r="N18" s="10" t="n">
        <f aca="false">INT(D18*E18*F18*J18/2097152)</f>
        <v>0</v>
      </c>
      <c r="O18" s="10" t="n">
        <f aca="false">I18*M18+N18</f>
        <v>0</v>
      </c>
      <c r="P18" s="10" t="n">
        <f aca="false">B18*K18</f>
        <v>0</v>
      </c>
      <c r="Q18" s="10" t="n">
        <f aca="false">B18*L18</f>
        <v>0</v>
      </c>
      <c r="R18" s="10" t="n">
        <f aca="false">O18-P18-Q18</f>
        <v>0</v>
      </c>
      <c r="S18" s="10" t="n">
        <v>40</v>
      </c>
      <c r="T18" s="10" t="n">
        <v>60</v>
      </c>
      <c r="U18" s="10" t="n">
        <v>240</v>
      </c>
      <c r="V18" s="10" t="n">
        <v>160</v>
      </c>
      <c r="W18" s="10" t="n">
        <v>8</v>
      </c>
      <c r="X18" s="10" t="n">
        <v>5</v>
      </c>
      <c r="Y18" s="10" t="n">
        <v>28</v>
      </c>
      <c r="Z18" s="10" t="n">
        <v>40</v>
      </c>
      <c r="AA18" s="10" t="n">
        <v>360</v>
      </c>
      <c r="AB18" s="10" t="n">
        <v>1600</v>
      </c>
      <c r="AC18" s="10" t="n">
        <v>100</v>
      </c>
      <c r="AD18" s="10" t="n">
        <v>0</v>
      </c>
      <c r="AE18" s="10" t="n">
        <v>0</v>
      </c>
    </row>
    <row r="19" customFormat="false" ht="15" hidden="false" customHeight="false" outlineLevel="0" collapsed="false">
      <c r="A19" s="10" t="s">
        <v>50</v>
      </c>
      <c r="B19" s="10" t="n">
        <v>0</v>
      </c>
      <c r="C19" s="10" t="s">
        <v>48</v>
      </c>
      <c r="D19" s="10" t="n">
        <v>6144</v>
      </c>
      <c r="E19" s="10" t="n">
        <f aca="false">ABS(S19-U19)+ABS(T19-V19)</f>
        <v>300</v>
      </c>
      <c r="F19" s="10" t="n">
        <f aca="false">MAX(31,255-MAX(0,W19+AD19-X19)-MAX(0,W19+AD19-X19-Y19))</f>
        <v>248</v>
      </c>
      <c r="G19" s="10" t="n">
        <v>50</v>
      </c>
      <c r="H19" s="10" t="n">
        <f aca="false">MIN(INT(AB19*AC19/100),B19*INT(AA19/(Z19+AE19))*G19)</f>
        <v>0</v>
      </c>
      <c r="I19" s="10" t="n">
        <f aca="false">INT(H19/G19)</f>
        <v>0</v>
      </c>
      <c r="J19" s="10" t="n">
        <f aca="false">MOD(H19,G19)</f>
        <v>0</v>
      </c>
      <c r="K19" s="10" t="n">
        <v>45000</v>
      </c>
      <c r="L19" s="10" t="n">
        <v>18000</v>
      </c>
      <c r="M19" s="10" t="n">
        <f aca="false">INT(D19*E19*F19*G19/2097152)</f>
        <v>10898</v>
      </c>
      <c r="N19" s="10" t="n">
        <f aca="false">INT(D19*E19*F19*J19/2097152)</f>
        <v>0</v>
      </c>
      <c r="O19" s="10" t="n">
        <f aca="false">I19*M19+N19</f>
        <v>0</v>
      </c>
      <c r="P19" s="10" t="n">
        <f aca="false">B19*K19</f>
        <v>0</v>
      </c>
      <c r="Q19" s="10" t="n">
        <f aca="false">B19*L19</f>
        <v>0</v>
      </c>
      <c r="R19" s="10" t="n">
        <f aca="false">O19-P19-Q19</f>
        <v>0</v>
      </c>
      <c r="S19" s="10" t="n">
        <v>40</v>
      </c>
      <c r="T19" s="10" t="n">
        <v>60</v>
      </c>
      <c r="U19" s="10" t="n">
        <v>240</v>
      </c>
      <c r="V19" s="10" t="n">
        <v>160</v>
      </c>
      <c r="W19" s="10" t="n">
        <v>8</v>
      </c>
      <c r="X19" s="10" t="n">
        <v>5</v>
      </c>
      <c r="Y19" s="10" t="n">
        <v>28</v>
      </c>
      <c r="Z19" s="10" t="n">
        <v>40</v>
      </c>
      <c r="AA19" s="10" t="n">
        <v>360</v>
      </c>
      <c r="AB19" s="10" t="n">
        <v>1600</v>
      </c>
      <c r="AC19" s="10" t="n">
        <v>80</v>
      </c>
      <c r="AD19" s="10" t="n">
        <v>4</v>
      </c>
      <c r="AE19" s="10" t="n">
        <v>10</v>
      </c>
    </row>
    <row r="20" customFormat="false" ht="15" hidden="false" customHeight="false" outlineLevel="0" collapsed="false">
      <c r="A20" s="10" t="s">
        <v>50</v>
      </c>
      <c r="B20" s="10" t="n">
        <v>1</v>
      </c>
      <c r="C20" s="10" t="s">
        <v>47</v>
      </c>
      <c r="D20" s="10" t="n">
        <v>6144</v>
      </c>
      <c r="E20" s="10" t="n">
        <f aca="false">ABS(S20-U20)+ABS(T20-V20)</f>
        <v>300</v>
      </c>
      <c r="F20" s="10" t="n">
        <f aca="false">MAX(31,255-MAX(0,W20+AD20-X20)-MAX(0,W20+AD20-X20-Y20))</f>
        <v>252</v>
      </c>
      <c r="G20" s="10" t="n">
        <v>50</v>
      </c>
      <c r="H20" s="10" t="n">
        <f aca="false">MIN(INT(AB20*AC20/100),B20*INT(AA20/(Z20+AE20))*G20)</f>
        <v>450</v>
      </c>
      <c r="I20" s="10" t="n">
        <f aca="false">INT(H20/G20)</f>
        <v>9</v>
      </c>
      <c r="J20" s="10" t="n">
        <f aca="false">MOD(H20,G20)</f>
        <v>0</v>
      </c>
      <c r="K20" s="10" t="n">
        <v>45000</v>
      </c>
      <c r="L20" s="10" t="n">
        <v>18000</v>
      </c>
      <c r="M20" s="10" t="n">
        <f aca="false">INT(D20*E20*F20*G20/2097152)</f>
        <v>11074</v>
      </c>
      <c r="N20" s="10" t="n">
        <f aca="false">INT(D20*E20*F20*J20/2097152)</f>
        <v>0</v>
      </c>
      <c r="O20" s="10" t="n">
        <f aca="false">I20*M20+N20</f>
        <v>99666</v>
      </c>
      <c r="P20" s="10" t="n">
        <f aca="false">B20*K20</f>
        <v>45000</v>
      </c>
      <c r="Q20" s="10" t="n">
        <f aca="false">B20*L20</f>
        <v>18000</v>
      </c>
      <c r="R20" s="10" t="n">
        <f aca="false">O20-P20-Q20</f>
        <v>36666</v>
      </c>
      <c r="S20" s="10" t="n">
        <v>40</v>
      </c>
      <c r="T20" s="10" t="n">
        <v>60</v>
      </c>
      <c r="U20" s="10" t="n">
        <v>240</v>
      </c>
      <c r="V20" s="10" t="n">
        <v>160</v>
      </c>
      <c r="W20" s="10" t="n">
        <v>8</v>
      </c>
      <c r="X20" s="10" t="n">
        <v>5</v>
      </c>
      <c r="Y20" s="10" t="n">
        <v>28</v>
      </c>
      <c r="Z20" s="10" t="n">
        <v>40</v>
      </c>
      <c r="AA20" s="10" t="n">
        <v>360</v>
      </c>
      <c r="AB20" s="10" t="n">
        <v>1600</v>
      </c>
      <c r="AC20" s="10" t="n">
        <v>100</v>
      </c>
      <c r="AD20" s="10" t="n">
        <v>0</v>
      </c>
      <c r="AE20" s="10" t="n">
        <v>0</v>
      </c>
    </row>
    <row r="21" customFormat="false" ht="15" hidden="false" customHeight="false" outlineLevel="0" collapsed="false">
      <c r="A21" s="10" t="s">
        <v>50</v>
      </c>
      <c r="B21" s="10" t="n">
        <v>1</v>
      </c>
      <c r="C21" s="10" t="s">
        <v>48</v>
      </c>
      <c r="D21" s="10" t="n">
        <v>6144</v>
      </c>
      <c r="E21" s="10" t="n">
        <f aca="false">ABS(S21-U21)+ABS(T21-V21)</f>
        <v>300</v>
      </c>
      <c r="F21" s="10" t="n">
        <f aca="false">MAX(31,255-MAX(0,W21+AD21-X21)-MAX(0,W21+AD21-X21-Y21))</f>
        <v>248</v>
      </c>
      <c r="G21" s="10" t="n">
        <v>50</v>
      </c>
      <c r="H21" s="10" t="n">
        <f aca="false">MIN(INT(AB21*AC21/100),B21*INT(AA21/(Z21+AE21))*G21)</f>
        <v>350</v>
      </c>
      <c r="I21" s="10" t="n">
        <f aca="false">INT(H21/G21)</f>
        <v>7</v>
      </c>
      <c r="J21" s="10" t="n">
        <f aca="false">MOD(H21,G21)</f>
        <v>0</v>
      </c>
      <c r="K21" s="10" t="n">
        <v>45000</v>
      </c>
      <c r="L21" s="10" t="n">
        <v>18000</v>
      </c>
      <c r="M21" s="10" t="n">
        <f aca="false">INT(D21*E21*F21*G21/2097152)</f>
        <v>10898</v>
      </c>
      <c r="N21" s="10" t="n">
        <f aca="false">INT(D21*E21*F21*J21/2097152)</f>
        <v>0</v>
      </c>
      <c r="O21" s="10" t="n">
        <f aca="false">I21*M21+N21</f>
        <v>76286</v>
      </c>
      <c r="P21" s="10" t="n">
        <f aca="false">B21*K21</f>
        <v>45000</v>
      </c>
      <c r="Q21" s="10" t="n">
        <f aca="false">B21*L21</f>
        <v>18000</v>
      </c>
      <c r="R21" s="10" t="n">
        <f aca="false">O21-P21-Q21</f>
        <v>13286</v>
      </c>
      <c r="S21" s="10" t="n">
        <v>40</v>
      </c>
      <c r="T21" s="10" t="n">
        <v>60</v>
      </c>
      <c r="U21" s="10" t="n">
        <v>240</v>
      </c>
      <c r="V21" s="10" t="n">
        <v>160</v>
      </c>
      <c r="W21" s="10" t="n">
        <v>8</v>
      </c>
      <c r="X21" s="10" t="n">
        <v>5</v>
      </c>
      <c r="Y21" s="10" t="n">
        <v>28</v>
      </c>
      <c r="Z21" s="10" t="n">
        <v>40</v>
      </c>
      <c r="AA21" s="10" t="n">
        <v>360</v>
      </c>
      <c r="AB21" s="10" t="n">
        <v>1600</v>
      </c>
      <c r="AC21" s="10" t="n">
        <v>80</v>
      </c>
      <c r="AD21" s="10" t="n">
        <v>4</v>
      </c>
      <c r="AE21" s="10" t="n">
        <v>10</v>
      </c>
    </row>
    <row r="22" customFormat="false" ht="15" hidden="false" customHeight="false" outlineLevel="0" collapsed="false">
      <c r="A22" s="10" t="s">
        <v>50</v>
      </c>
      <c r="B22" s="10" t="n">
        <v>2</v>
      </c>
      <c r="C22" s="10" t="s">
        <v>47</v>
      </c>
      <c r="D22" s="10" t="n">
        <v>6144</v>
      </c>
      <c r="E22" s="10" t="n">
        <f aca="false">ABS(S22-U22)+ABS(T22-V22)</f>
        <v>300</v>
      </c>
      <c r="F22" s="10" t="n">
        <f aca="false">MAX(31,255-MAX(0,W22+AD22-X22)-MAX(0,W22+AD22-X22-Y22))</f>
        <v>252</v>
      </c>
      <c r="G22" s="10" t="n">
        <v>50</v>
      </c>
      <c r="H22" s="10" t="n">
        <f aca="false">MIN(INT(AB22*AC22/100),B22*INT(AA22/(Z22+AE22))*G22)</f>
        <v>900</v>
      </c>
      <c r="I22" s="10" t="n">
        <f aca="false">INT(H22/G22)</f>
        <v>18</v>
      </c>
      <c r="J22" s="10" t="n">
        <f aca="false">MOD(H22,G22)</f>
        <v>0</v>
      </c>
      <c r="K22" s="10" t="n">
        <v>45000</v>
      </c>
      <c r="L22" s="10" t="n">
        <v>18000</v>
      </c>
      <c r="M22" s="10" t="n">
        <f aca="false">INT(D22*E22*F22*G22/2097152)</f>
        <v>11074</v>
      </c>
      <c r="N22" s="10" t="n">
        <f aca="false">INT(D22*E22*F22*J22/2097152)</f>
        <v>0</v>
      </c>
      <c r="O22" s="10" t="n">
        <f aca="false">I22*M22+N22</f>
        <v>199332</v>
      </c>
      <c r="P22" s="10" t="n">
        <f aca="false">B22*K22</f>
        <v>90000</v>
      </c>
      <c r="Q22" s="10" t="n">
        <f aca="false">B22*L22</f>
        <v>36000</v>
      </c>
      <c r="R22" s="10" t="n">
        <f aca="false">O22-P22-Q22</f>
        <v>73332</v>
      </c>
      <c r="S22" s="10" t="n">
        <v>40</v>
      </c>
      <c r="T22" s="10" t="n">
        <v>60</v>
      </c>
      <c r="U22" s="10" t="n">
        <v>240</v>
      </c>
      <c r="V22" s="10" t="n">
        <v>160</v>
      </c>
      <c r="W22" s="10" t="n">
        <v>8</v>
      </c>
      <c r="X22" s="10" t="n">
        <v>5</v>
      </c>
      <c r="Y22" s="10" t="n">
        <v>28</v>
      </c>
      <c r="Z22" s="10" t="n">
        <v>40</v>
      </c>
      <c r="AA22" s="10" t="n">
        <v>360</v>
      </c>
      <c r="AB22" s="10" t="n">
        <v>1600</v>
      </c>
      <c r="AC22" s="10" t="n">
        <v>100</v>
      </c>
      <c r="AD22" s="10" t="n">
        <v>0</v>
      </c>
      <c r="AE22" s="10" t="n">
        <v>0</v>
      </c>
    </row>
    <row r="23" customFormat="false" ht="15" hidden="false" customHeight="false" outlineLevel="0" collapsed="false">
      <c r="A23" s="10" t="s">
        <v>50</v>
      </c>
      <c r="B23" s="10" t="n">
        <v>2</v>
      </c>
      <c r="C23" s="10" t="s">
        <v>48</v>
      </c>
      <c r="D23" s="10" t="n">
        <v>6144</v>
      </c>
      <c r="E23" s="10" t="n">
        <f aca="false">ABS(S23-U23)+ABS(T23-V23)</f>
        <v>300</v>
      </c>
      <c r="F23" s="10" t="n">
        <f aca="false">MAX(31,255-MAX(0,W23+AD23-X23)-MAX(0,W23+AD23-X23-Y23))</f>
        <v>248</v>
      </c>
      <c r="G23" s="10" t="n">
        <v>50</v>
      </c>
      <c r="H23" s="10" t="n">
        <f aca="false">MIN(INT(AB23*AC23/100),B23*INT(AA23/(Z23+AE23))*G23)</f>
        <v>700</v>
      </c>
      <c r="I23" s="10" t="n">
        <f aca="false">INT(H23/G23)</f>
        <v>14</v>
      </c>
      <c r="J23" s="10" t="n">
        <f aca="false">MOD(H23,G23)</f>
        <v>0</v>
      </c>
      <c r="K23" s="10" t="n">
        <v>45000</v>
      </c>
      <c r="L23" s="10" t="n">
        <v>18000</v>
      </c>
      <c r="M23" s="10" t="n">
        <f aca="false">INT(D23*E23*F23*G23/2097152)</f>
        <v>10898</v>
      </c>
      <c r="N23" s="10" t="n">
        <f aca="false">INT(D23*E23*F23*J23/2097152)</f>
        <v>0</v>
      </c>
      <c r="O23" s="10" t="n">
        <f aca="false">I23*M23+N23</f>
        <v>152572</v>
      </c>
      <c r="P23" s="10" t="n">
        <f aca="false">B23*K23</f>
        <v>90000</v>
      </c>
      <c r="Q23" s="10" t="n">
        <f aca="false">B23*L23</f>
        <v>36000</v>
      </c>
      <c r="R23" s="10" t="n">
        <f aca="false">O23-P23-Q23</f>
        <v>26572</v>
      </c>
      <c r="S23" s="10" t="n">
        <v>40</v>
      </c>
      <c r="T23" s="10" t="n">
        <v>60</v>
      </c>
      <c r="U23" s="10" t="n">
        <v>240</v>
      </c>
      <c r="V23" s="10" t="n">
        <v>160</v>
      </c>
      <c r="W23" s="10" t="n">
        <v>8</v>
      </c>
      <c r="X23" s="10" t="n">
        <v>5</v>
      </c>
      <c r="Y23" s="10" t="n">
        <v>28</v>
      </c>
      <c r="Z23" s="10" t="n">
        <v>40</v>
      </c>
      <c r="AA23" s="10" t="n">
        <v>360</v>
      </c>
      <c r="AB23" s="10" t="n">
        <v>1600</v>
      </c>
      <c r="AC23" s="10" t="n">
        <v>80</v>
      </c>
      <c r="AD23" s="10" t="n">
        <v>4</v>
      </c>
      <c r="AE23" s="10" t="n">
        <v>10</v>
      </c>
    </row>
    <row r="24" customFormat="false" ht="15" hidden="false" customHeight="false" outlineLevel="0" collapsed="false">
      <c r="A24" s="10" t="s">
        <v>50</v>
      </c>
      <c r="B24" s="10" t="n">
        <v>3</v>
      </c>
      <c r="C24" s="10" t="s">
        <v>47</v>
      </c>
      <c r="D24" s="10" t="n">
        <v>6144</v>
      </c>
      <c r="E24" s="10" t="n">
        <f aca="false">ABS(S24-U24)+ABS(T24-V24)</f>
        <v>300</v>
      </c>
      <c r="F24" s="10" t="n">
        <f aca="false">MAX(31,255-MAX(0,W24+AD24-X24)-MAX(0,W24+AD24-X24-Y24))</f>
        <v>252</v>
      </c>
      <c r="G24" s="10" t="n">
        <v>50</v>
      </c>
      <c r="H24" s="10" t="n">
        <f aca="false">MIN(INT(AB24*AC24/100),B24*INT(AA24/(Z24+AE24))*G24)</f>
        <v>1350</v>
      </c>
      <c r="I24" s="10" t="n">
        <f aca="false">INT(H24/G24)</f>
        <v>27</v>
      </c>
      <c r="J24" s="10" t="n">
        <f aca="false">MOD(H24,G24)</f>
        <v>0</v>
      </c>
      <c r="K24" s="10" t="n">
        <v>45000</v>
      </c>
      <c r="L24" s="10" t="n">
        <v>18000</v>
      </c>
      <c r="M24" s="10" t="n">
        <f aca="false">INT(D24*E24*F24*G24/2097152)</f>
        <v>11074</v>
      </c>
      <c r="N24" s="10" t="n">
        <f aca="false">INT(D24*E24*F24*J24/2097152)</f>
        <v>0</v>
      </c>
      <c r="O24" s="10" t="n">
        <f aca="false">I24*M24+N24</f>
        <v>298998</v>
      </c>
      <c r="P24" s="10" t="n">
        <f aca="false">B24*K24</f>
        <v>135000</v>
      </c>
      <c r="Q24" s="10" t="n">
        <f aca="false">B24*L24</f>
        <v>54000</v>
      </c>
      <c r="R24" s="10" t="n">
        <f aca="false">O24-P24-Q24</f>
        <v>109998</v>
      </c>
      <c r="S24" s="10" t="n">
        <v>40</v>
      </c>
      <c r="T24" s="10" t="n">
        <v>60</v>
      </c>
      <c r="U24" s="10" t="n">
        <v>240</v>
      </c>
      <c r="V24" s="10" t="n">
        <v>160</v>
      </c>
      <c r="W24" s="10" t="n">
        <v>8</v>
      </c>
      <c r="X24" s="10" t="n">
        <v>5</v>
      </c>
      <c r="Y24" s="10" t="n">
        <v>28</v>
      </c>
      <c r="Z24" s="10" t="n">
        <v>40</v>
      </c>
      <c r="AA24" s="10" t="n">
        <v>360</v>
      </c>
      <c r="AB24" s="10" t="n">
        <v>1600</v>
      </c>
      <c r="AC24" s="10" t="n">
        <v>100</v>
      </c>
      <c r="AD24" s="10" t="n">
        <v>0</v>
      </c>
      <c r="AE24" s="10" t="n">
        <v>0</v>
      </c>
    </row>
    <row r="25" customFormat="false" ht="15" hidden="false" customHeight="false" outlineLevel="0" collapsed="false">
      <c r="A25" s="10" t="s">
        <v>50</v>
      </c>
      <c r="B25" s="10" t="n">
        <v>3</v>
      </c>
      <c r="C25" s="10" t="s">
        <v>48</v>
      </c>
      <c r="D25" s="10" t="n">
        <v>6144</v>
      </c>
      <c r="E25" s="10" t="n">
        <f aca="false">ABS(S25-U25)+ABS(T25-V25)</f>
        <v>300</v>
      </c>
      <c r="F25" s="10" t="n">
        <f aca="false">MAX(31,255-MAX(0,W25+AD25-X25)-MAX(0,W25+AD25-X25-Y25))</f>
        <v>248</v>
      </c>
      <c r="G25" s="10" t="n">
        <v>50</v>
      </c>
      <c r="H25" s="10" t="n">
        <f aca="false">MIN(INT(AB25*AC25/100),B25*INT(AA25/(Z25+AE25))*G25)</f>
        <v>1050</v>
      </c>
      <c r="I25" s="10" t="n">
        <f aca="false">INT(H25/G25)</f>
        <v>21</v>
      </c>
      <c r="J25" s="10" t="n">
        <f aca="false">MOD(H25,G25)</f>
        <v>0</v>
      </c>
      <c r="K25" s="10" t="n">
        <v>45000</v>
      </c>
      <c r="L25" s="10" t="n">
        <v>18000</v>
      </c>
      <c r="M25" s="10" t="n">
        <f aca="false">INT(D25*E25*F25*G25/2097152)</f>
        <v>10898</v>
      </c>
      <c r="N25" s="10" t="n">
        <f aca="false">INT(D25*E25*F25*J25/2097152)</f>
        <v>0</v>
      </c>
      <c r="O25" s="10" t="n">
        <f aca="false">I25*M25+N25</f>
        <v>228858</v>
      </c>
      <c r="P25" s="10" t="n">
        <f aca="false">B25*K25</f>
        <v>135000</v>
      </c>
      <c r="Q25" s="10" t="n">
        <f aca="false">B25*L25</f>
        <v>54000</v>
      </c>
      <c r="R25" s="10" t="n">
        <f aca="false">O25-P25-Q25</f>
        <v>39858</v>
      </c>
      <c r="S25" s="10" t="n">
        <v>40</v>
      </c>
      <c r="T25" s="10" t="n">
        <v>60</v>
      </c>
      <c r="U25" s="10" t="n">
        <v>240</v>
      </c>
      <c r="V25" s="10" t="n">
        <v>160</v>
      </c>
      <c r="W25" s="10" t="n">
        <v>8</v>
      </c>
      <c r="X25" s="10" t="n">
        <v>5</v>
      </c>
      <c r="Y25" s="10" t="n">
        <v>28</v>
      </c>
      <c r="Z25" s="10" t="n">
        <v>40</v>
      </c>
      <c r="AA25" s="10" t="n">
        <v>360</v>
      </c>
      <c r="AB25" s="10" t="n">
        <v>1600</v>
      </c>
      <c r="AC25" s="10" t="n">
        <v>80</v>
      </c>
      <c r="AD25" s="10" t="n">
        <v>4</v>
      </c>
      <c r="AE25" s="10" t="n">
        <v>10</v>
      </c>
    </row>
    <row r="26" customFormat="false" ht="15" hidden="false" customHeight="false" outlineLevel="0" collapsed="false">
      <c r="A26" s="10" t="s">
        <v>51</v>
      </c>
      <c r="B26" s="10" t="n">
        <v>0</v>
      </c>
      <c r="C26" s="10" t="s">
        <v>47</v>
      </c>
      <c r="D26" s="10" t="n">
        <v>3185</v>
      </c>
      <c r="E26" s="10" t="n">
        <f aca="false">ABS(S26-U26)+ABS(T26-V26)</f>
        <v>160</v>
      </c>
      <c r="F26" s="10" t="n">
        <f aca="false">MAX(31,255-MAX(0,W26+AD26-X26)-MAX(0,W26+AD26-X26-Y26))</f>
        <v>243</v>
      </c>
      <c r="G26" s="10" t="n">
        <v>100</v>
      </c>
      <c r="H26" s="10" t="n">
        <f aca="false">MIN(INT(AB26*AC26/100),B26*INT(AA26/(Z26+AE26))*G26)</f>
        <v>0</v>
      </c>
      <c r="I26" s="10" t="n">
        <f aca="false">INT(H26/G26)</f>
        <v>0</v>
      </c>
      <c r="J26" s="10" t="n">
        <f aca="false">MOD(H26,G26)</f>
        <v>0</v>
      </c>
      <c r="K26" s="10" t="n">
        <v>20000</v>
      </c>
      <c r="L26" s="10" t="n">
        <v>8000</v>
      </c>
      <c r="M26" s="10" t="n">
        <f aca="false">INT(D26*E26*F26*G26/2097152)</f>
        <v>5904</v>
      </c>
      <c r="N26" s="10" t="n">
        <f aca="false">INT(D26*E26*F26*J26/2097152)</f>
        <v>0</v>
      </c>
      <c r="O26" s="10" t="n">
        <f aca="false">I26*M26+N26</f>
        <v>0</v>
      </c>
      <c r="P26" s="10" t="n">
        <f aca="false">B26*K26</f>
        <v>0</v>
      </c>
      <c r="Q26" s="10" t="n">
        <f aca="false">B26*L26</f>
        <v>0</v>
      </c>
      <c r="R26" s="10" t="n">
        <f aca="false">O26-P26-Q26</f>
        <v>0</v>
      </c>
      <c r="S26" s="10" t="n">
        <v>15</v>
      </c>
      <c r="T26" s="10" t="n">
        <v>15</v>
      </c>
      <c r="U26" s="10" t="n">
        <v>115</v>
      </c>
      <c r="V26" s="10" t="n">
        <v>75</v>
      </c>
      <c r="W26" s="10" t="n">
        <v>12</v>
      </c>
      <c r="X26" s="10" t="n">
        <v>0</v>
      </c>
      <c r="Y26" s="10" t="n">
        <v>24</v>
      </c>
      <c r="Z26" s="10" t="n">
        <v>48</v>
      </c>
      <c r="AA26" s="10" t="n">
        <v>360</v>
      </c>
      <c r="AB26" s="10" t="n">
        <v>2050</v>
      </c>
      <c r="AC26" s="10" t="n">
        <v>100</v>
      </c>
      <c r="AD26" s="10" t="n">
        <v>0</v>
      </c>
      <c r="AE26" s="10" t="n">
        <v>0</v>
      </c>
    </row>
    <row r="27" customFormat="false" ht="15" hidden="false" customHeight="false" outlineLevel="0" collapsed="false">
      <c r="A27" s="10" t="s">
        <v>51</v>
      </c>
      <c r="B27" s="10" t="n">
        <v>0</v>
      </c>
      <c r="C27" s="10" t="s">
        <v>48</v>
      </c>
      <c r="D27" s="10" t="n">
        <v>3185</v>
      </c>
      <c r="E27" s="10" t="n">
        <f aca="false">ABS(S27-U27)+ABS(T27-V27)</f>
        <v>160</v>
      </c>
      <c r="F27" s="10" t="n">
        <f aca="false">MAX(31,255-MAX(0,W27+AD27-X27)-MAX(0,W27+AD27-X27-Y27))</f>
        <v>239</v>
      </c>
      <c r="G27" s="10" t="n">
        <v>100</v>
      </c>
      <c r="H27" s="10" t="n">
        <f aca="false">MIN(INT(AB27*AC27/100),B27*INT(AA27/(Z27+AE27))*G27)</f>
        <v>0</v>
      </c>
      <c r="I27" s="10" t="n">
        <f aca="false">INT(H27/G27)</f>
        <v>0</v>
      </c>
      <c r="J27" s="10" t="n">
        <f aca="false">MOD(H27,G27)</f>
        <v>0</v>
      </c>
      <c r="K27" s="10" t="n">
        <v>20000</v>
      </c>
      <c r="L27" s="10" t="n">
        <v>8000</v>
      </c>
      <c r="M27" s="10" t="n">
        <f aca="false">INT(D27*E27*F27*G27/2097152)</f>
        <v>5807</v>
      </c>
      <c r="N27" s="10" t="n">
        <f aca="false">INT(D27*E27*F27*J27/2097152)</f>
        <v>0</v>
      </c>
      <c r="O27" s="10" t="n">
        <f aca="false">I27*M27+N27</f>
        <v>0</v>
      </c>
      <c r="P27" s="10" t="n">
        <f aca="false">B27*K27</f>
        <v>0</v>
      </c>
      <c r="Q27" s="10" t="n">
        <f aca="false">B27*L27</f>
        <v>0</v>
      </c>
      <c r="R27" s="10" t="n">
        <f aca="false">O27-P27-Q27</f>
        <v>0</v>
      </c>
      <c r="S27" s="10" t="n">
        <v>15</v>
      </c>
      <c r="T27" s="10" t="n">
        <v>15</v>
      </c>
      <c r="U27" s="10" t="n">
        <v>115</v>
      </c>
      <c r="V27" s="10" t="n">
        <v>75</v>
      </c>
      <c r="W27" s="10" t="n">
        <v>12</v>
      </c>
      <c r="X27" s="10" t="n">
        <v>0</v>
      </c>
      <c r="Y27" s="10" t="n">
        <v>24</v>
      </c>
      <c r="Z27" s="10" t="n">
        <v>48</v>
      </c>
      <c r="AA27" s="10" t="n">
        <v>360</v>
      </c>
      <c r="AB27" s="10" t="n">
        <v>2050</v>
      </c>
      <c r="AC27" s="10" t="n">
        <v>80</v>
      </c>
      <c r="AD27" s="10" t="n">
        <v>4</v>
      </c>
      <c r="AE27" s="10" t="n">
        <v>10</v>
      </c>
    </row>
    <row r="28" customFormat="false" ht="15" hidden="false" customHeight="false" outlineLevel="0" collapsed="false">
      <c r="A28" s="10" t="s">
        <v>51</v>
      </c>
      <c r="B28" s="10" t="n">
        <v>1</v>
      </c>
      <c r="C28" s="10" t="s">
        <v>47</v>
      </c>
      <c r="D28" s="10" t="n">
        <v>3185</v>
      </c>
      <c r="E28" s="10" t="n">
        <f aca="false">ABS(S28-U28)+ABS(T28-V28)</f>
        <v>160</v>
      </c>
      <c r="F28" s="10" t="n">
        <f aca="false">MAX(31,255-MAX(0,W28+AD28-X28)-MAX(0,W28+AD28-X28-Y28))</f>
        <v>243</v>
      </c>
      <c r="G28" s="10" t="n">
        <v>100</v>
      </c>
      <c r="H28" s="10" t="n">
        <f aca="false">MIN(INT(AB28*AC28/100),B28*INT(AA28/(Z28+AE28))*G28)</f>
        <v>700</v>
      </c>
      <c r="I28" s="10" t="n">
        <f aca="false">INT(H28/G28)</f>
        <v>7</v>
      </c>
      <c r="J28" s="10" t="n">
        <f aca="false">MOD(H28,G28)</f>
        <v>0</v>
      </c>
      <c r="K28" s="10" t="n">
        <v>20000</v>
      </c>
      <c r="L28" s="10" t="n">
        <v>8000</v>
      </c>
      <c r="M28" s="10" t="n">
        <f aca="false">INT(D28*E28*F28*G28/2097152)</f>
        <v>5904</v>
      </c>
      <c r="N28" s="10" t="n">
        <f aca="false">INT(D28*E28*F28*J28/2097152)</f>
        <v>0</v>
      </c>
      <c r="O28" s="10" t="n">
        <f aca="false">I28*M28+N28</f>
        <v>41328</v>
      </c>
      <c r="P28" s="10" t="n">
        <f aca="false">B28*K28</f>
        <v>20000</v>
      </c>
      <c r="Q28" s="10" t="n">
        <f aca="false">B28*L28</f>
        <v>8000</v>
      </c>
      <c r="R28" s="10" t="n">
        <f aca="false">O28-P28-Q28</f>
        <v>13328</v>
      </c>
      <c r="S28" s="10" t="n">
        <v>15</v>
      </c>
      <c r="T28" s="10" t="n">
        <v>15</v>
      </c>
      <c r="U28" s="10" t="n">
        <v>115</v>
      </c>
      <c r="V28" s="10" t="n">
        <v>75</v>
      </c>
      <c r="W28" s="10" t="n">
        <v>12</v>
      </c>
      <c r="X28" s="10" t="n">
        <v>0</v>
      </c>
      <c r="Y28" s="10" t="n">
        <v>24</v>
      </c>
      <c r="Z28" s="10" t="n">
        <v>48</v>
      </c>
      <c r="AA28" s="10" t="n">
        <v>360</v>
      </c>
      <c r="AB28" s="10" t="n">
        <v>2050</v>
      </c>
      <c r="AC28" s="10" t="n">
        <v>100</v>
      </c>
      <c r="AD28" s="10" t="n">
        <v>0</v>
      </c>
      <c r="AE28" s="10" t="n">
        <v>0</v>
      </c>
    </row>
    <row r="29" customFormat="false" ht="15" hidden="false" customHeight="false" outlineLevel="0" collapsed="false">
      <c r="A29" s="10" t="s">
        <v>51</v>
      </c>
      <c r="B29" s="10" t="n">
        <v>1</v>
      </c>
      <c r="C29" s="10" t="s">
        <v>48</v>
      </c>
      <c r="D29" s="10" t="n">
        <v>3185</v>
      </c>
      <c r="E29" s="10" t="n">
        <f aca="false">ABS(S29-U29)+ABS(T29-V29)</f>
        <v>160</v>
      </c>
      <c r="F29" s="10" t="n">
        <f aca="false">MAX(31,255-MAX(0,W29+AD29-X29)-MAX(0,W29+AD29-X29-Y29))</f>
        <v>239</v>
      </c>
      <c r="G29" s="10" t="n">
        <v>100</v>
      </c>
      <c r="H29" s="10" t="n">
        <f aca="false">MIN(INT(AB29*AC29/100),B29*INT(AA29/(Z29+AE29))*G29)</f>
        <v>600</v>
      </c>
      <c r="I29" s="10" t="n">
        <f aca="false">INT(H29/G29)</f>
        <v>6</v>
      </c>
      <c r="J29" s="10" t="n">
        <f aca="false">MOD(H29,G29)</f>
        <v>0</v>
      </c>
      <c r="K29" s="10" t="n">
        <v>20000</v>
      </c>
      <c r="L29" s="10" t="n">
        <v>8000</v>
      </c>
      <c r="M29" s="10" t="n">
        <f aca="false">INT(D29*E29*F29*G29/2097152)</f>
        <v>5807</v>
      </c>
      <c r="N29" s="10" t="n">
        <f aca="false">INT(D29*E29*F29*J29/2097152)</f>
        <v>0</v>
      </c>
      <c r="O29" s="10" t="n">
        <f aca="false">I29*M29+N29</f>
        <v>34842</v>
      </c>
      <c r="P29" s="10" t="n">
        <f aca="false">B29*K29</f>
        <v>20000</v>
      </c>
      <c r="Q29" s="10" t="n">
        <f aca="false">B29*L29</f>
        <v>8000</v>
      </c>
      <c r="R29" s="10" t="n">
        <f aca="false">O29-P29-Q29</f>
        <v>6842</v>
      </c>
      <c r="S29" s="10" t="n">
        <v>15</v>
      </c>
      <c r="T29" s="10" t="n">
        <v>15</v>
      </c>
      <c r="U29" s="10" t="n">
        <v>115</v>
      </c>
      <c r="V29" s="10" t="n">
        <v>75</v>
      </c>
      <c r="W29" s="10" t="n">
        <v>12</v>
      </c>
      <c r="X29" s="10" t="n">
        <v>0</v>
      </c>
      <c r="Y29" s="10" t="n">
        <v>24</v>
      </c>
      <c r="Z29" s="10" t="n">
        <v>48</v>
      </c>
      <c r="AA29" s="10" t="n">
        <v>360</v>
      </c>
      <c r="AB29" s="10" t="n">
        <v>2050</v>
      </c>
      <c r="AC29" s="10" t="n">
        <v>80</v>
      </c>
      <c r="AD29" s="10" t="n">
        <v>4</v>
      </c>
      <c r="AE29" s="10" t="n">
        <v>10</v>
      </c>
    </row>
    <row r="30" customFormat="false" ht="15" hidden="false" customHeight="false" outlineLevel="0" collapsed="false">
      <c r="A30" s="10" t="s">
        <v>51</v>
      </c>
      <c r="B30" s="10" t="n">
        <v>2</v>
      </c>
      <c r="C30" s="10" t="s">
        <v>47</v>
      </c>
      <c r="D30" s="10" t="n">
        <v>3185</v>
      </c>
      <c r="E30" s="10" t="n">
        <f aca="false">ABS(S30-U30)+ABS(T30-V30)</f>
        <v>160</v>
      </c>
      <c r="F30" s="10" t="n">
        <f aca="false">MAX(31,255-MAX(0,W30+AD30-X30)-MAX(0,W30+AD30-X30-Y30))</f>
        <v>243</v>
      </c>
      <c r="G30" s="10" t="n">
        <v>100</v>
      </c>
      <c r="H30" s="10" t="n">
        <f aca="false">MIN(INT(AB30*AC30/100),B30*INT(AA30/(Z30+AE30))*G30)</f>
        <v>1400</v>
      </c>
      <c r="I30" s="10" t="n">
        <f aca="false">INT(H30/G30)</f>
        <v>14</v>
      </c>
      <c r="J30" s="10" t="n">
        <f aca="false">MOD(H30,G30)</f>
        <v>0</v>
      </c>
      <c r="K30" s="10" t="n">
        <v>20000</v>
      </c>
      <c r="L30" s="10" t="n">
        <v>8000</v>
      </c>
      <c r="M30" s="10" t="n">
        <f aca="false">INT(D30*E30*F30*G30/2097152)</f>
        <v>5904</v>
      </c>
      <c r="N30" s="10" t="n">
        <f aca="false">INT(D30*E30*F30*J30/2097152)</f>
        <v>0</v>
      </c>
      <c r="O30" s="10" t="n">
        <f aca="false">I30*M30+N30</f>
        <v>82656</v>
      </c>
      <c r="P30" s="10" t="n">
        <f aca="false">B30*K30</f>
        <v>40000</v>
      </c>
      <c r="Q30" s="10" t="n">
        <f aca="false">B30*L30</f>
        <v>16000</v>
      </c>
      <c r="R30" s="10" t="n">
        <f aca="false">O30-P30-Q30</f>
        <v>26656</v>
      </c>
      <c r="S30" s="10" t="n">
        <v>15</v>
      </c>
      <c r="T30" s="10" t="n">
        <v>15</v>
      </c>
      <c r="U30" s="10" t="n">
        <v>115</v>
      </c>
      <c r="V30" s="10" t="n">
        <v>75</v>
      </c>
      <c r="W30" s="10" t="n">
        <v>12</v>
      </c>
      <c r="X30" s="10" t="n">
        <v>0</v>
      </c>
      <c r="Y30" s="10" t="n">
        <v>24</v>
      </c>
      <c r="Z30" s="10" t="n">
        <v>48</v>
      </c>
      <c r="AA30" s="10" t="n">
        <v>360</v>
      </c>
      <c r="AB30" s="10" t="n">
        <v>2050</v>
      </c>
      <c r="AC30" s="10" t="n">
        <v>100</v>
      </c>
      <c r="AD30" s="10" t="n">
        <v>0</v>
      </c>
      <c r="AE30" s="10" t="n">
        <v>0</v>
      </c>
    </row>
    <row r="31" customFormat="false" ht="15" hidden="false" customHeight="false" outlineLevel="0" collapsed="false">
      <c r="A31" s="10" t="s">
        <v>51</v>
      </c>
      <c r="B31" s="10" t="n">
        <v>2</v>
      </c>
      <c r="C31" s="10" t="s">
        <v>48</v>
      </c>
      <c r="D31" s="10" t="n">
        <v>3185</v>
      </c>
      <c r="E31" s="10" t="n">
        <f aca="false">ABS(S31-U31)+ABS(T31-V31)</f>
        <v>160</v>
      </c>
      <c r="F31" s="10" t="n">
        <f aca="false">MAX(31,255-MAX(0,W31+AD31-X31)-MAX(0,W31+AD31-X31-Y31))</f>
        <v>239</v>
      </c>
      <c r="G31" s="10" t="n">
        <v>100</v>
      </c>
      <c r="H31" s="10" t="n">
        <f aca="false">MIN(INT(AB31*AC31/100),B31*INT(AA31/(Z31+AE31))*G31)</f>
        <v>1200</v>
      </c>
      <c r="I31" s="10" t="n">
        <f aca="false">INT(H31/G31)</f>
        <v>12</v>
      </c>
      <c r="J31" s="10" t="n">
        <f aca="false">MOD(H31,G31)</f>
        <v>0</v>
      </c>
      <c r="K31" s="10" t="n">
        <v>20000</v>
      </c>
      <c r="L31" s="10" t="n">
        <v>8000</v>
      </c>
      <c r="M31" s="10" t="n">
        <f aca="false">INT(D31*E31*F31*G31/2097152)</f>
        <v>5807</v>
      </c>
      <c r="N31" s="10" t="n">
        <f aca="false">INT(D31*E31*F31*J31/2097152)</f>
        <v>0</v>
      </c>
      <c r="O31" s="10" t="n">
        <f aca="false">I31*M31+N31</f>
        <v>69684</v>
      </c>
      <c r="P31" s="10" t="n">
        <f aca="false">B31*K31</f>
        <v>40000</v>
      </c>
      <c r="Q31" s="10" t="n">
        <f aca="false">B31*L31</f>
        <v>16000</v>
      </c>
      <c r="R31" s="10" t="n">
        <f aca="false">O31-P31-Q31</f>
        <v>13684</v>
      </c>
      <c r="S31" s="10" t="n">
        <v>15</v>
      </c>
      <c r="T31" s="10" t="n">
        <v>15</v>
      </c>
      <c r="U31" s="10" t="n">
        <v>115</v>
      </c>
      <c r="V31" s="10" t="n">
        <v>75</v>
      </c>
      <c r="W31" s="10" t="n">
        <v>12</v>
      </c>
      <c r="X31" s="10" t="n">
        <v>0</v>
      </c>
      <c r="Y31" s="10" t="n">
        <v>24</v>
      </c>
      <c r="Z31" s="10" t="n">
        <v>48</v>
      </c>
      <c r="AA31" s="10" t="n">
        <v>360</v>
      </c>
      <c r="AB31" s="10" t="n">
        <v>2050</v>
      </c>
      <c r="AC31" s="10" t="n">
        <v>80</v>
      </c>
      <c r="AD31" s="10" t="n">
        <v>4</v>
      </c>
      <c r="AE31" s="10" t="n">
        <v>10</v>
      </c>
    </row>
    <row r="32" customFormat="false" ht="15" hidden="false" customHeight="false" outlineLevel="0" collapsed="false">
      <c r="A32" s="10" t="s">
        <v>51</v>
      </c>
      <c r="B32" s="10" t="n">
        <v>3</v>
      </c>
      <c r="C32" s="10" t="s">
        <v>47</v>
      </c>
      <c r="D32" s="10" t="n">
        <v>3185</v>
      </c>
      <c r="E32" s="10" t="n">
        <f aca="false">ABS(S32-U32)+ABS(T32-V32)</f>
        <v>160</v>
      </c>
      <c r="F32" s="10" t="n">
        <f aca="false">MAX(31,255-MAX(0,W32+AD32-X32)-MAX(0,W32+AD32-X32-Y32))</f>
        <v>243</v>
      </c>
      <c r="G32" s="10" t="n">
        <v>100</v>
      </c>
      <c r="H32" s="10" t="n">
        <f aca="false">MIN(INT(AB32*AC32/100),B32*INT(AA32/(Z32+AE32))*G32)</f>
        <v>2050</v>
      </c>
      <c r="I32" s="10" t="n">
        <f aca="false">INT(H32/G32)</f>
        <v>20</v>
      </c>
      <c r="J32" s="10" t="n">
        <f aca="false">MOD(H32,G32)</f>
        <v>50</v>
      </c>
      <c r="K32" s="10" t="n">
        <v>20000</v>
      </c>
      <c r="L32" s="10" t="n">
        <v>8000</v>
      </c>
      <c r="M32" s="10" t="n">
        <f aca="false">INT(D32*E32*F32*G32/2097152)</f>
        <v>5904</v>
      </c>
      <c r="N32" s="10" t="n">
        <f aca="false">INT(D32*E32*F32*J32/2097152)</f>
        <v>2952</v>
      </c>
      <c r="O32" s="10" t="n">
        <f aca="false">I32*M32+N32</f>
        <v>121032</v>
      </c>
      <c r="P32" s="10" t="n">
        <f aca="false">B32*K32</f>
        <v>60000</v>
      </c>
      <c r="Q32" s="10" t="n">
        <f aca="false">B32*L32</f>
        <v>24000</v>
      </c>
      <c r="R32" s="10" t="n">
        <f aca="false">O32-P32-Q32</f>
        <v>37032</v>
      </c>
      <c r="S32" s="10" t="n">
        <v>15</v>
      </c>
      <c r="T32" s="10" t="n">
        <v>15</v>
      </c>
      <c r="U32" s="10" t="n">
        <v>115</v>
      </c>
      <c r="V32" s="10" t="n">
        <v>75</v>
      </c>
      <c r="W32" s="10" t="n">
        <v>12</v>
      </c>
      <c r="X32" s="10" t="n">
        <v>0</v>
      </c>
      <c r="Y32" s="10" t="n">
        <v>24</v>
      </c>
      <c r="Z32" s="10" t="n">
        <v>48</v>
      </c>
      <c r="AA32" s="10" t="n">
        <v>360</v>
      </c>
      <c r="AB32" s="10" t="n">
        <v>2050</v>
      </c>
      <c r="AC32" s="10" t="n">
        <v>100</v>
      </c>
      <c r="AD32" s="10" t="n">
        <v>0</v>
      </c>
      <c r="AE32" s="10" t="n">
        <v>0</v>
      </c>
    </row>
    <row r="33" customFormat="false" ht="15" hidden="false" customHeight="false" outlineLevel="0" collapsed="false">
      <c r="A33" s="10" t="s">
        <v>51</v>
      </c>
      <c r="B33" s="10" t="n">
        <v>3</v>
      </c>
      <c r="C33" s="10" t="s">
        <v>48</v>
      </c>
      <c r="D33" s="10" t="n">
        <v>3185</v>
      </c>
      <c r="E33" s="10" t="n">
        <f aca="false">ABS(S33-U33)+ABS(T33-V33)</f>
        <v>160</v>
      </c>
      <c r="F33" s="10" t="n">
        <f aca="false">MAX(31,255-MAX(0,W33+AD33-X33)-MAX(0,W33+AD33-X33-Y33))</f>
        <v>239</v>
      </c>
      <c r="G33" s="10" t="n">
        <v>100</v>
      </c>
      <c r="H33" s="10" t="n">
        <f aca="false">MIN(INT(AB33*AC33/100),B33*INT(AA33/(Z33+AE33))*G33)</f>
        <v>1640</v>
      </c>
      <c r="I33" s="10" t="n">
        <f aca="false">INT(H33/G33)</f>
        <v>16</v>
      </c>
      <c r="J33" s="10" t="n">
        <f aca="false">MOD(H33,G33)</f>
        <v>40</v>
      </c>
      <c r="K33" s="10" t="n">
        <v>20000</v>
      </c>
      <c r="L33" s="10" t="n">
        <v>8000</v>
      </c>
      <c r="M33" s="10" t="n">
        <f aca="false">INT(D33*E33*F33*G33/2097152)</f>
        <v>5807</v>
      </c>
      <c r="N33" s="10" t="n">
        <f aca="false">INT(D33*E33*F33*J33/2097152)</f>
        <v>2323</v>
      </c>
      <c r="O33" s="10" t="n">
        <f aca="false">I33*M33+N33</f>
        <v>95235</v>
      </c>
      <c r="P33" s="10" t="n">
        <f aca="false">B33*K33</f>
        <v>60000</v>
      </c>
      <c r="Q33" s="10" t="n">
        <f aca="false">B33*L33</f>
        <v>24000</v>
      </c>
      <c r="R33" s="10" t="n">
        <f aca="false">O33-P33-Q33</f>
        <v>11235</v>
      </c>
      <c r="S33" s="10" t="n">
        <v>15</v>
      </c>
      <c r="T33" s="10" t="n">
        <v>15</v>
      </c>
      <c r="U33" s="10" t="n">
        <v>115</v>
      </c>
      <c r="V33" s="10" t="n">
        <v>75</v>
      </c>
      <c r="W33" s="10" t="n">
        <v>12</v>
      </c>
      <c r="X33" s="10" t="n">
        <v>0</v>
      </c>
      <c r="Y33" s="10" t="n">
        <v>24</v>
      </c>
      <c r="Z33" s="10" t="n">
        <v>48</v>
      </c>
      <c r="AA33" s="10" t="n">
        <v>360</v>
      </c>
      <c r="AB33" s="10" t="n">
        <v>2050</v>
      </c>
      <c r="AC33" s="10" t="n">
        <v>80</v>
      </c>
      <c r="AD33" s="10" t="n">
        <v>4</v>
      </c>
      <c r="AE33" s="10" t="n">
        <v>10</v>
      </c>
    </row>
    <row r="34" customFormat="false" ht="15" hidden="false" customHeight="false" outlineLevel="0" collapsed="false">
      <c r="A34" s="10" t="s">
        <v>52</v>
      </c>
      <c r="B34" s="10" t="n">
        <v>0</v>
      </c>
      <c r="C34" s="10" t="s">
        <v>47</v>
      </c>
      <c r="D34" s="10" t="n">
        <v>3185</v>
      </c>
      <c r="E34" s="10" t="n">
        <f aca="false">ABS(S34-U34)+ABS(T34-V34)</f>
        <v>160</v>
      </c>
      <c r="F34" s="10" t="n">
        <f aca="false">MAX(31,255-MAX(0,W34+AD34-X34)-MAX(0,W34+AD34-X34-Y34))</f>
        <v>249</v>
      </c>
      <c r="G34" s="10" t="n">
        <v>70</v>
      </c>
      <c r="H34" s="10" t="n">
        <f aca="false">MIN(INT(AB34*AC34/100),B34*INT(AA34/(Z34+AE34))*G34)</f>
        <v>0</v>
      </c>
      <c r="I34" s="10" t="n">
        <f aca="false">INT(H34/G34)</f>
        <v>0</v>
      </c>
      <c r="J34" s="10" t="n">
        <f aca="false">MOD(H34,G34)</f>
        <v>0</v>
      </c>
      <c r="K34" s="10" t="n">
        <v>30000</v>
      </c>
      <c r="L34" s="10" t="n">
        <v>12000</v>
      </c>
      <c r="M34" s="10" t="n">
        <f aca="false">INT(D34*E34*F34*G34/2097152)</f>
        <v>4235</v>
      </c>
      <c r="N34" s="10" t="n">
        <f aca="false">INT(D34*E34*F34*J34/2097152)</f>
        <v>0</v>
      </c>
      <c r="O34" s="10" t="n">
        <f aca="false">I34*M34+N34</f>
        <v>0</v>
      </c>
      <c r="P34" s="10" t="n">
        <f aca="false">B34*K34</f>
        <v>0</v>
      </c>
      <c r="Q34" s="10" t="n">
        <f aca="false">B34*L34</f>
        <v>0</v>
      </c>
      <c r="R34" s="10" t="n">
        <f aca="false">O34-P34-Q34</f>
        <v>0</v>
      </c>
      <c r="S34" s="10" t="n">
        <v>15</v>
      </c>
      <c r="T34" s="10" t="n">
        <v>15</v>
      </c>
      <c r="U34" s="10" t="n">
        <v>115</v>
      </c>
      <c r="V34" s="10" t="n">
        <v>75</v>
      </c>
      <c r="W34" s="10" t="n">
        <v>6</v>
      </c>
      <c r="X34" s="10" t="n">
        <v>0</v>
      </c>
      <c r="Y34" s="10" t="n">
        <v>24</v>
      </c>
      <c r="Z34" s="10" t="n">
        <v>30</v>
      </c>
      <c r="AA34" s="10" t="n">
        <v>360</v>
      </c>
      <c r="AB34" s="10" t="n">
        <v>2050</v>
      </c>
      <c r="AC34" s="10" t="n">
        <v>100</v>
      </c>
      <c r="AD34" s="10" t="n">
        <v>0</v>
      </c>
      <c r="AE34" s="10" t="n">
        <v>0</v>
      </c>
    </row>
    <row r="35" customFormat="false" ht="15" hidden="false" customHeight="false" outlineLevel="0" collapsed="false">
      <c r="A35" s="10" t="s">
        <v>52</v>
      </c>
      <c r="B35" s="10" t="n">
        <v>0</v>
      </c>
      <c r="C35" s="10" t="s">
        <v>48</v>
      </c>
      <c r="D35" s="10" t="n">
        <v>3185</v>
      </c>
      <c r="E35" s="10" t="n">
        <f aca="false">ABS(S35-U35)+ABS(T35-V35)</f>
        <v>160</v>
      </c>
      <c r="F35" s="10" t="n">
        <f aca="false">MAX(31,255-MAX(0,W35+AD35-X35)-MAX(0,W35+AD35-X35-Y35))</f>
        <v>245</v>
      </c>
      <c r="G35" s="10" t="n">
        <v>70</v>
      </c>
      <c r="H35" s="10" t="n">
        <f aca="false">MIN(INT(AB35*AC35/100),B35*INT(AA35/(Z35+AE35))*G35)</f>
        <v>0</v>
      </c>
      <c r="I35" s="10" t="n">
        <f aca="false">INT(H35/G35)</f>
        <v>0</v>
      </c>
      <c r="J35" s="10" t="n">
        <f aca="false">MOD(H35,G35)</f>
        <v>0</v>
      </c>
      <c r="K35" s="10" t="n">
        <v>30000</v>
      </c>
      <c r="L35" s="10" t="n">
        <v>12000</v>
      </c>
      <c r="M35" s="10" t="n">
        <f aca="false">INT(D35*E35*F35*G35/2097152)</f>
        <v>4167</v>
      </c>
      <c r="N35" s="10" t="n">
        <f aca="false">INT(D35*E35*F35*J35/2097152)</f>
        <v>0</v>
      </c>
      <c r="O35" s="10" t="n">
        <f aca="false">I35*M35+N35</f>
        <v>0</v>
      </c>
      <c r="P35" s="10" t="n">
        <f aca="false">B35*K35</f>
        <v>0</v>
      </c>
      <c r="Q35" s="10" t="n">
        <f aca="false">B35*L35</f>
        <v>0</v>
      </c>
      <c r="R35" s="10" t="n">
        <f aca="false">O35-P35-Q35</f>
        <v>0</v>
      </c>
      <c r="S35" s="10" t="n">
        <v>15</v>
      </c>
      <c r="T35" s="10" t="n">
        <v>15</v>
      </c>
      <c r="U35" s="10" t="n">
        <v>115</v>
      </c>
      <c r="V35" s="10" t="n">
        <v>75</v>
      </c>
      <c r="W35" s="10" t="n">
        <v>6</v>
      </c>
      <c r="X35" s="10" t="n">
        <v>0</v>
      </c>
      <c r="Y35" s="10" t="n">
        <v>24</v>
      </c>
      <c r="Z35" s="10" t="n">
        <v>30</v>
      </c>
      <c r="AA35" s="10" t="n">
        <v>360</v>
      </c>
      <c r="AB35" s="10" t="n">
        <v>2050</v>
      </c>
      <c r="AC35" s="10" t="n">
        <v>80</v>
      </c>
      <c r="AD35" s="10" t="n">
        <v>4</v>
      </c>
      <c r="AE35" s="10" t="n">
        <v>10</v>
      </c>
    </row>
    <row r="36" customFormat="false" ht="15" hidden="false" customHeight="false" outlineLevel="0" collapsed="false">
      <c r="A36" s="10" t="s">
        <v>52</v>
      </c>
      <c r="B36" s="10" t="n">
        <v>1</v>
      </c>
      <c r="C36" s="10" t="s">
        <v>47</v>
      </c>
      <c r="D36" s="10" t="n">
        <v>3185</v>
      </c>
      <c r="E36" s="10" t="n">
        <f aca="false">ABS(S36-U36)+ABS(T36-V36)</f>
        <v>160</v>
      </c>
      <c r="F36" s="10" t="n">
        <f aca="false">MAX(31,255-MAX(0,W36+AD36-X36)-MAX(0,W36+AD36-X36-Y36))</f>
        <v>249</v>
      </c>
      <c r="G36" s="10" t="n">
        <v>70</v>
      </c>
      <c r="H36" s="10" t="n">
        <f aca="false">MIN(INT(AB36*AC36/100),B36*INT(AA36/(Z36+AE36))*G36)</f>
        <v>840</v>
      </c>
      <c r="I36" s="10" t="n">
        <f aca="false">INT(H36/G36)</f>
        <v>12</v>
      </c>
      <c r="J36" s="10" t="n">
        <f aca="false">MOD(H36,G36)</f>
        <v>0</v>
      </c>
      <c r="K36" s="10" t="n">
        <v>30000</v>
      </c>
      <c r="L36" s="10" t="n">
        <v>12000</v>
      </c>
      <c r="M36" s="10" t="n">
        <f aca="false">INT(D36*E36*F36*G36/2097152)</f>
        <v>4235</v>
      </c>
      <c r="N36" s="10" t="n">
        <f aca="false">INT(D36*E36*F36*J36/2097152)</f>
        <v>0</v>
      </c>
      <c r="O36" s="10" t="n">
        <f aca="false">I36*M36+N36</f>
        <v>50820</v>
      </c>
      <c r="P36" s="10" t="n">
        <f aca="false">B36*K36</f>
        <v>30000</v>
      </c>
      <c r="Q36" s="10" t="n">
        <f aca="false">B36*L36</f>
        <v>12000</v>
      </c>
      <c r="R36" s="10" t="n">
        <f aca="false">O36-P36-Q36</f>
        <v>8820</v>
      </c>
      <c r="S36" s="10" t="n">
        <v>15</v>
      </c>
      <c r="T36" s="10" t="n">
        <v>15</v>
      </c>
      <c r="U36" s="10" t="n">
        <v>115</v>
      </c>
      <c r="V36" s="10" t="n">
        <v>75</v>
      </c>
      <c r="W36" s="10" t="n">
        <v>6</v>
      </c>
      <c r="X36" s="10" t="n">
        <v>0</v>
      </c>
      <c r="Y36" s="10" t="n">
        <v>24</v>
      </c>
      <c r="Z36" s="10" t="n">
        <v>30</v>
      </c>
      <c r="AA36" s="10" t="n">
        <v>360</v>
      </c>
      <c r="AB36" s="10" t="n">
        <v>2050</v>
      </c>
      <c r="AC36" s="10" t="n">
        <v>100</v>
      </c>
      <c r="AD36" s="10" t="n">
        <v>0</v>
      </c>
      <c r="AE36" s="10" t="n">
        <v>0</v>
      </c>
    </row>
    <row r="37" customFormat="false" ht="15" hidden="false" customHeight="false" outlineLevel="0" collapsed="false">
      <c r="A37" s="10" t="s">
        <v>52</v>
      </c>
      <c r="B37" s="10" t="n">
        <v>1</v>
      </c>
      <c r="C37" s="10" t="s">
        <v>48</v>
      </c>
      <c r="D37" s="10" t="n">
        <v>3185</v>
      </c>
      <c r="E37" s="10" t="n">
        <f aca="false">ABS(S37-U37)+ABS(T37-V37)</f>
        <v>160</v>
      </c>
      <c r="F37" s="10" t="n">
        <f aca="false">MAX(31,255-MAX(0,W37+AD37-X37)-MAX(0,W37+AD37-X37-Y37))</f>
        <v>245</v>
      </c>
      <c r="G37" s="10" t="n">
        <v>70</v>
      </c>
      <c r="H37" s="10" t="n">
        <f aca="false">MIN(INT(AB37*AC37/100),B37*INT(AA37/(Z37+AE37))*G37)</f>
        <v>630</v>
      </c>
      <c r="I37" s="10" t="n">
        <f aca="false">INT(H37/G37)</f>
        <v>9</v>
      </c>
      <c r="J37" s="10" t="n">
        <f aca="false">MOD(H37,G37)</f>
        <v>0</v>
      </c>
      <c r="K37" s="10" t="n">
        <v>30000</v>
      </c>
      <c r="L37" s="10" t="n">
        <v>12000</v>
      </c>
      <c r="M37" s="10" t="n">
        <f aca="false">INT(D37*E37*F37*G37/2097152)</f>
        <v>4167</v>
      </c>
      <c r="N37" s="10" t="n">
        <f aca="false">INT(D37*E37*F37*J37/2097152)</f>
        <v>0</v>
      </c>
      <c r="O37" s="10" t="n">
        <f aca="false">I37*M37+N37</f>
        <v>37503</v>
      </c>
      <c r="P37" s="10" t="n">
        <f aca="false">B37*K37</f>
        <v>30000</v>
      </c>
      <c r="Q37" s="10" t="n">
        <f aca="false">B37*L37</f>
        <v>12000</v>
      </c>
      <c r="R37" s="10" t="n">
        <f aca="false">O37-P37-Q37</f>
        <v>-4497</v>
      </c>
      <c r="S37" s="10" t="n">
        <v>15</v>
      </c>
      <c r="T37" s="10" t="n">
        <v>15</v>
      </c>
      <c r="U37" s="10" t="n">
        <v>115</v>
      </c>
      <c r="V37" s="10" t="n">
        <v>75</v>
      </c>
      <c r="W37" s="10" t="n">
        <v>6</v>
      </c>
      <c r="X37" s="10" t="n">
        <v>0</v>
      </c>
      <c r="Y37" s="10" t="n">
        <v>24</v>
      </c>
      <c r="Z37" s="10" t="n">
        <v>30</v>
      </c>
      <c r="AA37" s="10" t="n">
        <v>360</v>
      </c>
      <c r="AB37" s="10" t="n">
        <v>2050</v>
      </c>
      <c r="AC37" s="10" t="n">
        <v>80</v>
      </c>
      <c r="AD37" s="10" t="n">
        <v>4</v>
      </c>
      <c r="AE37" s="10" t="n">
        <v>10</v>
      </c>
    </row>
    <row r="38" customFormat="false" ht="15" hidden="false" customHeight="false" outlineLevel="0" collapsed="false">
      <c r="A38" s="10" t="s">
        <v>52</v>
      </c>
      <c r="B38" s="10" t="n">
        <v>2</v>
      </c>
      <c r="C38" s="10" t="s">
        <v>47</v>
      </c>
      <c r="D38" s="10" t="n">
        <v>3185</v>
      </c>
      <c r="E38" s="10" t="n">
        <f aca="false">ABS(S38-U38)+ABS(T38-V38)</f>
        <v>160</v>
      </c>
      <c r="F38" s="10" t="n">
        <f aca="false">MAX(31,255-MAX(0,W38+AD38-X38)-MAX(0,W38+AD38-X38-Y38))</f>
        <v>249</v>
      </c>
      <c r="G38" s="10" t="n">
        <v>70</v>
      </c>
      <c r="H38" s="10" t="n">
        <f aca="false">MIN(INT(AB38*AC38/100),B38*INT(AA38/(Z38+AE38))*G38)</f>
        <v>1680</v>
      </c>
      <c r="I38" s="10" t="n">
        <f aca="false">INT(H38/G38)</f>
        <v>24</v>
      </c>
      <c r="J38" s="10" t="n">
        <f aca="false">MOD(H38,G38)</f>
        <v>0</v>
      </c>
      <c r="K38" s="10" t="n">
        <v>30000</v>
      </c>
      <c r="L38" s="10" t="n">
        <v>12000</v>
      </c>
      <c r="M38" s="10" t="n">
        <f aca="false">INT(D38*E38*F38*G38/2097152)</f>
        <v>4235</v>
      </c>
      <c r="N38" s="10" t="n">
        <f aca="false">INT(D38*E38*F38*J38/2097152)</f>
        <v>0</v>
      </c>
      <c r="O38" s="10" t="n">
        <f aca="false">I38*M38+N38</f>
        <v>101640</v>
      </c>
      <c r="P38" s="10" t="n">
        <f aca="false">B38*K38</f>
        <v>60000</v>
      </c>
      <c r="Q38" s="10" t="n">
        <f aca="false">B38*L38</f>
        <v>24000</v>
      </c>
      <c r="R38" s="10" t="n">
        <f aca="false">O38-P38-Q38</f>
        <v>17640</v>
      </c>
      <c r="S38" s="10" t="n">
        <v>15</v>
      </c>
      <c r="T38" s="10" t="n">
        <v>15</v>
      </c>
      <c r="U38" s="10" t="n">
        <v>115</v>
      </c>
      <c r="V38" s="10" t="n">
        <v>75</v>
      </c>
      <c r="W38" s="10" t="n">
        <v>6</v>
      </c>
      <c r="X38" s="10" t="n">
        <v>0</v>
      </c>
      <c r="Y38" s="10" t="n">
        <v>24</v>
      </c>
      <c r="Z38" s="10" t="n">
        <v>30</v>
      </c>
      <c r="AA38" s="10" t="n">
        <v>360</v>
      </c>
      <c r="AB38" s="10" t="n">
        <v>2050</v>
      </c>
      <c r="AC38" s="10" t="n">
        <v>100</v>
      </c>
      <c r="AD38" s="10" t="n">
        <v>0</v>
      </c>
      <c r="AE38" s="10" t="n">
        <v>0</v>
      </c>
    </row>
    <row r="39" customFormat="false" ht="15" hidden="false" customHeight="false" outlineLevel="0" collapsed="false">
      <c r="A39" s="10" t="s">
        <v>52</v>
      </c>
      <c r="B39" s="10" t="n">
        <v>2</v>
      </c>
      <c r="C39" s="10" t="s">
        <v>48</v>
      </c>
      <c r="D39" s="10" t="n">
        <v>3185</v>
      </c>
      <c r="E39" s="10" t="n">
        <f aca="false">ABS(S39-U39)+ABS(T39-V39)</f>
        <v>160</v>
      </c>
      <c r="F39" s="10" t="n">
        <f aca="false">MAX(31,255-MAX(0,W39+AD39-X39)-MAX(0,W39+AD39-X39-Y39))</f>
        <v>245</v>
      </c>
      <c r="G39" s="10" t="n">
        <v>70</v>
      </c>
      <c r="H39" s="10" t="n">
        <f aca="false">MIN(INT(AB39*AC39/100),B39*INT(AA39/(Z39+AE39))*G39)</f>
        <v>1260</v>
      </c>
      <c r="I39" s="10" t="n">
        <f aca="false">INT(H39/G39)</f>
        <v>18</v>
      </c>
      <c r="J39" s="10" t="n">
        <f aca="false">MOD(H39,G39)</f>
        <v>0</v>
      </c>
      <c r="K39" s="10" t="n">
        <v>30000</v>
      </c>
      <c r="L39" s="10" t="n">
        <v>12000</v>
      </c>
      <c r="M39" s="10" t="n">
        <f aca="false">INT(D39*E39*F39*G39/2097152)</f>
        <v>4167</v>
      </c>
      <c r="N39" s="10" t="n">
        <f aca="false">INT(D39*E39*F39*J39/2097152)</f>
        <v>0</v>
      </c>
      <c r="O39" s="10" t="n">
        <f aca="false">I39*M39+N39</f>
        <v>75006</v>
      </c>
      <c r="P39" s="10" t="n">
        <f aca="false">B39*K39</f>
        <v>60000</v>
      </c>
      <c r="Q39" s="10" t="n">
        <f aca="false">B39*L39</f>
        <v>24000</v>
      </c>
      <c r="R39" s="10" t="n">
        <f aca="false">O39-P39-Q39</f>
        <v>-8994</v>
      </c>
      <c r="S39" s="10" t="n">
        <v>15</v>
      </c>
      <c r="T39" s="10" t="n">
        <v>15</v>
      </c>
      <c r="U39" s="10" t="n">
        <v>115</v>
      </c>
      <c r="V39" s="10" t="n">
        <v>75</v>
      </c>
      <c r="W39" s="10" t="n">
        <v>6</v>
      </c>
      <c r="X39" s="10" t="n">
        <v>0</v>
      </c>
      <c r="Y39" s="10" t="n">
        <v>24</v>
      </c>
      <c r="Z39" s="10" t="n">
        <v>30</v>
      </c>
      <c r="AA39" s="10" t="n">
        <v>360</v>
      </c>
      <c r="AB39" s="10" t="n">
        <v>2050</v>
      </c>
      <c r="AC39" s="10" t="n">
        <v>80</v>
      </c>
      <c r="AD39" s="10" t="n">
        <v>4</v>
      </c>
      <c r="AE39" s="10" t="n">
        <v>10</v>
      </c>
    </row>
    <row r="40" customFormat="false" ht="15" hidden="false" customHeight="false" outlineLevel="0" collapsed="false">
      <c r="A40" s="10" t="s">
        <v>52</v>
      </c>
      <c r="B40" s="10" t="n">
        <v>3</v>
      </c>
      <c r="C40" s="10" t="s">
        <v>47</v>
      </c>
      <c r="D40" s="10" t="n">
        <v>3185</v>
      </c>
      <c r="E40" s="10" t="n">
        <f aca="false">ABS(S40-U40)+ABS(T40-V40)</f>
        <v>160</v>
      </c>
      <c r="F40" s="10" t="n">
        <f aca="false">MAX(31,255-MAX(0,W40+AD40-X40)-MAX(0,W40+AD40-X40-Y40))</f>
        <v>249</v>
      </c>
      <c r="G40" s="10" t="n">
        <v>70</v>
      </c>
      <c r="H40" s="10" t="n">
        <f aca="false">MIN(INT(AB40*AC40/100),B40*INT(AA40/(Z40+AE40))*G40)</f>
        <v>2050</v>
      </c>
      <c r="I40" s="10" t="n">
        <f aca="false">INT(H40/G40)</f>
        <v>29</v>
      </c>
      <c r="J40" s="10" t="n">
        <f aca="false">MOD(H40,G40)</f>
        <v>20</v>
      </c>
      <c r="K40" s="10" t="n">
        <v>30000</v>
      </c>
      <c r="L40" s="10" t="n">
        <v>12000</v>
      </c>
      <c r="M40" s="10" t="n">
        <f aca="false">INT(D40*E40*F40*G40/2097152)</f>
        <v>4235</v>
      </c>
      <c r="N40" s="10" t="n">
        <f aca="false">INT(D40*E40*F40*J40/2097152)</f>
        <v>1210</v>
      </c>
      <c r="O40" s="10" t="n">
        <f aca="false">I40*M40+N40</f>
        <v>124025</v>
      </c>
      <c r="P40" s="10" t="n">
        <f aca="false">B40*K40</f>
        <v>90000</v>
      </c>
      <c r="Q40" s="10" t="n">
        <f aca="false">B40*L40</f>
        <v>36000</v>
      </c>
      <c r="R40" s="10" t="n">
        <f aca="false">O40-P40-Q40</f>
        <v>-1975</v>
      </c>
      <c r="S40" s="10" t="n">
        <v>15</v>
      </c>
      <c r="T40" s="10" t="n">
        <v>15</v>
      </c>
      <c r="U40" s="10" t="n">
        <v>115</v>
      </c>
      <c r="V40" s="10" t="n">
        <v>75</v>
      </c>
      <c r="W40" s="10" t="n">
        <v>6</v>
      </c>
      <c r="X40" s="10" t="n">
        <v>0</v>
      </c>
      <c r="Y40" s="10" t="n">
        <v>24</v>
      </c>
      <c r="Z40" s="10" t="n">
        <v>30</v>
      </c>
      <c r="AA40" s="10" t="n">
        <v>360</v>
      </c>
      <c r="AB40" s="10" t="n">
        <v>2050</v>
      </c>
      <c r="AC40" s="10" t="n">
        <v>100</v>
      </c>
      <c r="AD40" s="10" t="n">
        <v>0</v>
      </c>
      <c r="AE40" s="10" t="n">
        <v>0</v>
      </c>
    </row>
    <row r="41" customFormat="false" ht="15" hidden="false" customHeight="false" outlineLevel="0" collapsed="false">
      <c r="A41" s="10" t="s">
        <v>52</v>
      </c>
      <c r="B41" s="10" t="n">
        <v>3</v>
      </c>
      <c r="C41" s="10" t="s">
        <v>48</v>
      </c>
      <c r="D41" s="10" t="n">
        <v>3185</v>
      </c>
      <c r="E41" s="10" t="n">
        <f aca="false">ABS(S41-U41)+ABS(T41-V41)</f>
        <v>160</v>
      </c>
      <c r="F41" s="10" t="n">
        <f aca="false">MAX(31,255-MAX(0,W41+AD41-X41)-MAX(0,W41+AD41-X41-Y41))</f>
        <v>245</v>
      </c>
      <c r="G41" s="10" t="n">
        <v>70</v>
      </c>
      <c r="H41" s="10" t="n">
        <f aca="false">MIN(INT(AB41*AC41/100),B41*INT(AA41/(Z41+AE41))*G41)</f>
        <v>1640</v>
      </c>
      <c r="I41" s="10" t="n">
        <f aca="false">INT(H41/G41)</f>
        <v>23</v>
      </c>
      <c r="J41" s="10" t="n">
        <f aca="false">MOD(H41,G41)</f>
        <v>30</v>
      </c>
      <c r="K41" s="10" t="n">
        <v>30000</v>
      </c>
      <c r="L41" s="10" t="n">
        <v>12000</v>
      </c>
      <c r="M41" s="10" t="n">
        <f aca="false">INT(D41*E41*F41*G41/2097152)</f>
        <v>4167</v>
      </c>
      <c r="N41" s="10" t="n">
        <f aca="false">INT(D41*E41*F41*J41/2097152)</f>
        <v>1786</v>
      </c>
      <c r="O41" s="10" t="n">
        <f aca="false">I41*M41+N41</f>
        <v>97627</v>
      </c>
      <c r="P41" s="10" t="n">
        <f aca="false">B41*K41</f>
        <v>90000</v>
      </c>
      <c r="Q41" s="10" t="n">
        <f aca="false">B41*L41</f>
        <v>36000</v>
      </c>
      <c r="R41" s="10" t="n">
        <f aca="false">O41-P41-Q41</f>
        <v>-28373</v>
      </c>
      <c r="S41" s="10" t="n">
        <v>15</v>
      </c>
      <c r="T41" s="10" t="n">
        <v>15</v>
      </c>
      <c r="U41" s="10" t="n">
        <v>115</v>
      </c>
      <c r="V41" s="10" t="n">
        <v>75</v>
      </c>
      <c r="W41" s="10" t="n">
        <v>6</v>
      </c>
      <c r="X41" s="10" t="n">
        <v>0</v>
      </c>
      <c r="Y41" s="10" t="n">
        <v>24</v>
      </c>
      <c r="Z41" s="10" t="n">
        <v>30</v>
      </c>
      <c r="AA41" s="10" t="n">
        <v>360</v>
      </c>
      <c r="AB41" s="10" t="n">
        <v>2050</v>
      </c>
      <c r="AC41" s="10" t="n">
        <v>80</v>
      </c>
      <c r="AD41" s="10" t="n">
        <v>4</v>
      </c>
      <c r="AE41" s="10" t="n">
        <v>10</v>
      </c>
    </row>
    <row r="42" customFormat="false" ht="15" hidden="false" customHeight="false" outlineLevel="0" collapsed="false">
      <c r="A42" s="10" t="s">
        <v>53</v>
      </c>
      <c r="B42" s="10" t="n">
        <v>0</v>
      </c>
      <c r="C42" s="10" t="s">
        <v>47</v>
      </c>
      <c r="D42" s="10" t="n">
        <v>4550</v>
      </c>
      <c r="E42" s="10" t="n">
        <f aca="false">ABS(S42-U42)+ABS(T42-V42)</f>
        <v>240</v>
      </c>
      <c r="F42" s="10" t="n">
        <f aca="false">MAX(31,255-MAX(0,W42+AD42-X42)-MAX(0,W42+AD42-X42-Y42))</f>
        <v>251</v>
      </c>
      <c r="G42" s="10" t="n">
        <v>60</v>
      </c>
      <c r="H42" s="10" t="n">
        <f aca="false">MIN(INT(AB42*AC42/100),B42*INT(AA42/(Z42+AE42))*G42)</f>
        <v>0</v>
      </c>
      <c r="I42" s="10" t="n">
        <f aca="false">INT(H42/G42)</f>
        <v>0</v>
      </c>
      <c r="J42" s="10" t="n">
        <f aca="false">MOD(H42,G42)</f>
        <v>0</v>
      </c>
      <c r="K42" s="10" t="n">
        <v>25000</v>
      </c>
      <c r="L42" s="10" t="n">
        <v>6000</v>
      </c>
      <c r="M42" s="10" t="n">
        <f aca="false">INT(D42*E42*F42*G42/2097152)</f>
        <v>7841</v>
      </c>
      <c r="N42" s="10" t="n">
        <f aca="false">INT(D42*E42*F42*J42/2097152)</f>
        <v>0</v>
      </c>
      <c r="O42" s="10" t="n">
        <f aca="false">I42*M42+N42</f>
        <v>0</v>
      </c>
      <c r="P42" s="10" t="n">
        <f aca="false">B42*K42</f>
        <v>0</v>
      </c>
      <c r="Q42" s="10" t="n">
        <f aca="false">B42*L42</f>
        <v>0</v>
      </c>
      <c r="R42" s="10" t="n">
        <f aca="false">O42-P42-Q42</f>
        <v>0</v>
      </c>
      <c r="S42" s="10" t="n">
        <v>80</v>
      </c>
      <c r="T42" s="10" t="n">
        <v>10</v>
      </c>
      <c r="U42" s="10" t="n">
        <v>200</v>
      </c>
      <c r="V42" s="10" t="n">
        <v>130</v>
      </c>
      <c r="W42" s="10" t="n">
        <v>24</v>
      </c>
      <c r="X42" s="10" t="n">
        <v>20</v>
      </c>
      <c r="Y42" s="10" t="n">
        <v>90</v>
      </c>
      <c r="Z42" s="10" t="n">
        <v>90</v>
      </c>
      <c r="AA42" s="10" t="n">
        <v>360</v>
      </c>
      <c r="AB42" s="10" t="n">
        <v>677</v>
      </c>
      <c r="AC42" s="10" t="n">
        <v>100</v>
      </c>
      <c r="AD42" s="10" t="n">
        <v>0</v>
      </c>
      <c r="AE42" s="10" t="n">
        <v>0</v>
      </c>
    </row>
    <row r="43" customFormat="false" ht="15" hidden="false" customHeight="false" outlineLevel="0" collapsed="false">
      <c r="A43" s="10" t="s">
        <v>53</v>
      </c>
      <c r="B43" s="10" t="n">
        <v>0</v>
      </c>
      <c r="C43" s="10" t="s">
        <v>48</v>
      </c>
      <c r="D43" s="10" t="n">
        <v>4550</v>
      </c>
      <c r="E43" s="10" t="n">
        <f aca="false">ABS(S43-U43)+ABS(T43-V43)</f>
        <v>240</v>
      </c>
      <c r="F43" s="10" t="n">
        <f aca="false">MAX(31,255-MAX(0,W43+AD43-X43)-MAX(0,W43+AD43-X43-Y43))</f>
        <v>247</v>
      </c>
      <c r="G43" s="10" t="n">
        <v>60</v>
      </c>
      <c r="H43" s="10" t="n">
        <f aca="false">MIN(INT(AB43*AC43/100),B43*INT(AA43/(Z43+AE43))*G43)</f>
        <v>0</v>
      </c>
      <c r="I43" s="10" t="n">
        <f aca="false">INT(H43/G43)</f>
        <v>0</v>
      </c>
      <c r="J43" s="10" t="n">
        <f aca="false">MOD(H43,G43)</f>
        <v>0</v>
      </c>
      <c r="K43" s="10" t="n">
        <v>25000</v>
      </c>
      <c r="L43" s="10" t="n">
        <v>6000</v>
      </c>
      <c r="M43" s="10" t="n">
        <f aca="false">INT(D43*E43*F43*G43/2097152)</f>
        <v>7716</v>
      </c>
      <c r="N43" s="10" t="n">
        <f aca="false">INT(D43*E43*F43*J43/2097152)</f>
        <v>0</v>
      </c>
      <c r="O43" s="10" t="n">
        <f aca="false">I43*M43+N43</f>
        <v>0</v>
      </c>
      <c r="P43" s="10" t="n">
        <f aca="false">B43*K43</f>
        <v>0</v>
      </c>
      <c r="Q43" s="10" t="n">
        <f aca="false">B43*L43</f>
        <v>0</v>
      </c>
      <c r="R43" s="10" t="n">
        <f aca="false">O43-P43-Q43</f>
        <v>0</v>
      </c>
      <c r="S43" s="10" t="n">
        <v>80</v>
      </c>
      <c r="T43" s="10" t="n">
        <v>10</v>
      </c>
      <c r="U43" s="10" t="n">
        <v>200</v>
      </c>
      <c r="V43" s="10" t="n">
        <v>130</v>
      </c>
      <c r="W43" s="10" t="n">
        <v>24</v>
      </c>
      <c r="X43" s="10" t="n">
        <v>20</v>
      </c>
      <c r="Y43" s="10" t="n">
        <v>90</v>
      </c>
      <c r="Z43" s="10" t="n">
        <v>90</v>
      </c>
      <c r="AA43" s="10" t="n">
        <v>360</v>
      </c>
      <c r="AB43" s="10" t="n">
        <v>677</v>
      </c>
      <c r="AC43" s="10" t="n">
        <v>80</v>
      </c>
      <c r="AD43" s="10" t="n">
        <v>4</v>
      </c>
      <c r="AE43" s="10" t="n">
        <v>10</v>
      </c>
    </row>
    <row r="44" customFormat="false" ht="15" hidden="false" customHeight="false" outlineLevel="0" collapsed="false">
      <c r="A44" s="10" t="s">
        <v>53</v>
      </c>
      <c r="B44" s="10" t="n">
        <v>1</v>
      </c>
      <c r="C44" s="10" t="s">
        <v>47</v>
      </c>
      <c r="D44" s="10" t="n">
        <v>4550</v>
      </c>
      <c r="E44" s="10" t="n">
        <f aca="false">ABS(S44-U44)+ABS(T44-V44)</f>
        <v>240</v>
      </c>
      <c r="F44" s="10" t="n">
        <f aca="false">MAX(31,255-MAX(0,W44+AD44-X44)-MAX(0,W44+AD44-X44-Y44))</f>
        <v>251</v>
      </c>
      <c r="G44" s="10" t="n">
        <v>60</v>
      </c>
      <c r="H44" s="10" t="n">
        <f aca="false">MIN(INT(AB44*AC44/100),B44*INT(AA44/(Z44+AE44))*G44)</f>
        <v>240</v>
      </c>
      <c r="I44" s="10" t="n">
        <f aca="false">INT(H44/G44)</f>
        <v>4</v>
      </c>
      <c r="J44" s="10" t="n">
        <f aca="false">MOD(H44,G44)</f>
        <v>0</v>
      </c>
      <c r="K44" s="10" t="n">
        <v>25000</v>
      </c>
      <c r="L44" s="10" t="n">
        <v>6000</v>
      </c>
      <c r="M44" s="10" t="n">
        <f aca="false">INT(D44*E44*F44*G44/2097152)</f>
        <v>7841</v>
      </c>
      <c r="N44" s="10" t="n">
        <f aca="false">INT(D44*E44*F44*J44/2097152)</f>
        <v>0</v>
      </c>
      <c r="O44" s="10" t="n">
        <f aca="false">I44*M44+N44</f>
        <v>31364</v>
      </c>
      <c r="P44" s="10" t="n">
        <f aca="false">B44*K44</f>
        <v>25000</v>
      </c>
      <c r="Q44" s="10" t="n">
        <f aca="false">B44*L44</f>
        <v>6000</v>
      </c>
      <c r="R44" s="10" t="n">
        <f aca="false">O44-P44-Q44</f>
        <v>364</v>
      </c>
      <c r="S44" s="10" t="n">
        <v>80</v>
      </c>
      <c r="T44" s="10" t="n">
        <v>10</v>
      </c>
      <c r="U44" s="10" t="n">
        <v>200</v>
      </c>
      <c r="V44" s="10" t="n">
        <v>130</v>
      </c>
      <c r="W44" s="10" t="n">
        <v>24</v>
      </c>
      <c r="X44" s="10" t="n">
        <v>20</v>
      </c>
      <c r="Y44" s="10" t="n">
        <v>90</v>
      </c>
      <c r="Z44" s="10" t="n">
        <v>90</v>
      </c>
      <c r="AA44" s="10" t="n">
        <v>360</v>
      </c>
      <c r="AB44" s="10" t="n">
        <v>677</v>
      </c>
      <c r="AC44" s="10" t="n">
        <v>100</v>
      </c>
      <c r="AD44" s="10" t="n">
        <v>0</v>
      </c>
      <c r="AE44" s="10" t="n">
        <v>0</v>
      </c>
    </row>
    <row r="45" customFormat="false" ht="15" hidden="false" customHeight="false" outlineLevel="0" collapsed="false">
      <c r="A45" s="10" t="s">
        <v>53</v>
      </c>
      <c r="B45" s="10" t="n">
        <v>1</v>
      </c>
      <c r="C45" s="10" t="s">
        <v>48</v>
      </c>
      <c r="D45" s="10" t="n">
        <v>4550</v>
      </c>
      <c r="E45" s="10" t="n">
        <f aca="false">ABS(S45-U45)+ABS(T45-V45)</f>
        <v>240</v>
      </c>
      <c r="F45" s="10" t="n">
        <f aca="false">MAX(31,255-MAX(0,W45+AD45-X45)-MAX(0,W45+AD45-X45-Y45))</f>
        <v>247</v>
      </c>
      <c r="G45" s="10" t="n">
        <v>60</v>
      </c>
      <c r="H45" s="10" t="n">
        <f aca="false">MIN(INT(AB45*AC45/100),B45*INT(AA45/(Z45+AE45))*G45)</f>
        <v>180</v>
      </c>
      <c r="I45" s="10" t="n">
        <f aca="false">INT(H45/G45)</f>
        <v>3</v>
      </c>
      <c r="J45" s="10" t="n">
        <f aca="false">MOD(H45,G45)</f>
        <v>0</v>
      </c>
      <c r="K45" s="10" t="n">
        <v>25000</v>
      </c>
      <c r="L45" s="10" t="n">
        <v>6000</v>
      </c>
      <c r="M45" s="10" t="n">
        <f aca="false">INT(D45*E45*F45*G45/2097152)</f>
        <v>7716</v>
      </c>
      <c r="N45" s="10" t="n">
        <f aca="false">INT(D45*E45*F45*J45/2097152)</f>
        <v>0</v>
      </c>
      <c r="O45" s="10" t="n">
        <f aca="false">I45*M45+N45</f>
        <v>23148</v>
      </c>
      <c r="P45" s="10" t="n">
        <f aca="false">B45*K45</f>
        <v>25000</v>
      </c>
      <c r="Q45" s="10" t="n">
        <f aca="false">B45*L45</f>
        <v>6000</v>
      </c>
      <c r="R45" s="10" t="n">
        <f aca="false">O45-P45-Q45</f>
        <v>-7852</v>
      </c>
      <c r="S45" s="10" t="n">
        <v>80</v>
      </c>
      <c r="T45" s="10" t="n">
        <v>10</v>
      </c>
      <c r="U45" s="10" t="n">
        <v>200</v>
      </c>
      <c r="V45" s="10" t="n">
        <v>130</v>
      </c>
      <c r="W45" s="10" t="n">
        <v>24</v>
      </c>
      <c r="X45" s="10" t="n">
        <v>20</v>
      </c>
      <c r="Y45" s="10" t="n">
        <v>90</v>
      </c>
      <c r="Z45" s="10" t="n">
        <v>90</v>
      </c>
      <c r="AA45" s="10" t="n">
        <v>360</v>
      </c>
      <c r="AB45" s="10" t="n">
        <v>677</v>
      </c>
      <c r="AC45" s="10" t="n">
        <v>80</v>
      </c>
      <c r="AD45" s="10" t="n">
        <v>4</v>
      </c>
      <c r="AE45" s="10" t="n">
        <v>10</v>
      </c>
    </row>
    <row r="46" customFormat="false" ht="15" hidden="false" customHeight="false" outlineLevel="0" collapsed="false">
      <c r="A46" s="10" t="s">
        <v>53</v>
      </c>
      <c r="B46" s="10" t="n">
        <v>2</v>
      </c>
      <c r="C46" s="10" t="s">
        <v>47</v>
      </c>
      <c r="D46" s="10" t="n">
        <v>4550</v>
      </c>
      <c r="E46" s="10" t="n">
        <f aca="false">ABS(S46-U46)+ABS(T46-V46)</f>
        <v>240</v>
      </c>
      <c r="F46" s="10" t="n">
        <f aca="false">MAX(31,255-MAX(0,W46+AD46-X46)-MAX(0,W46+AD46-X46-Y46))</f>
        <v>251</v>
      </c>
      <c r="G46" s="10" t="n">
        <v>60</v>
      </c>
      <c r="H46" s="10" t="n">
        <f aca="false">MIN(INT(AB46*AC46/100),B46*INT(AA46/(Z46+AE46))*G46)</f>
        <v>480</v>
      </c>
      <c r="I46" s="10" t="n">
        <f aca="false">INT(H46/G46)</f>
        <v>8</v>
      </c>
      <c r="J46" s="10" t="n">
        <f aca="false">MOD(H46,G46)</f>
        <v>0</v>
      </c>
      <c r="K46" s="10" t="n">
        <v>25000</v>
      </c>
      <c r="L46" s="10" t="n">
        <v>6000</v>
      </c>
      <c r="M46" s="10" t="n">
        <f aca="false">INT(D46*E46*F46*G46/2097152)</f>
        <v>7841</v>
      </c>
      <c r="N46" s="10" t="n">
        <f aca="false">INT(D46*E46*F46*J46/2097152)</f>
        <v>0</v>
      </c>
      <c r="O46" s="10" t="n">
        <f aca="false">I46*M46+N46</f>
        <v>62728</v>
      </c>
      <c r="P46" s="10" t="n">
        <f aca="false">B46*K46</f>
        <v>50000</v>
      </c>
      <c r="Q46" s="10" t="n">
        <f aca="false">B46*L46</f>
        <v>12000</v>
      </c>
      <c r="R46" s="10" t="n">
        <f aca="false">O46-P46-Q46</f>
        <v>728</v>
      </c>
      <c r="S46" s="10" t="n">
        <v>80</v>
      </c>
      <c r="T46" s="10" t="n">
        <v>10</v>
      </c>
      <c r="U46" s="10" t="n">
        <v>200</v>
      </c>
      <c r="V46" s="10" t="n">
        <v>130</v>
      </c>
      <c r="W46" s="10" t="n">
        <v>24</v>
      </c>
      <c r="X46" s="10" t="n">
        <v>20</v>
      </c>
      <c r="Y46" s="10" t="n">
        <v>90</v>
      </c>
      <c r="Z46" s="10" t="n">
        <v>90</v>
      </c>
      <c r="AA46" s="10" t="n">
        <v>360</v>
      </c>
      <c r="AB46" s="10" t="n">
        <v>677</v>
      </c>
      <c r="AC46" s="10" t="n">
        <v>100</v>
      </c>
      <c r="AD46" s="10" t="n">
        <v>0</v>
      </c>
      <c r="AE46" s="10" t="n">
        <v>0</v>
      </c>
    </row>
    <row r="47" customFormat="false" ht="15" hidden="false" customHeight="false" outlineLevel="0" collapsed="false">
      <c r="A47" s="10" t="s">
        <v>53</v>
      </c>
      <c r="B47" s="10" t="n">
        <v>2</v>
      </c>
      <c r="C47" s="10" t="s">
        <v>48</v>
      </c>
      <c r="D47" s="10" t="n">
        <v>4550</v>
      </c>
      <c r="E47" s="10" t="n">
        <f aca="false">ABS(S47-U47)+ABS(T47-V47)</f>
        <v>240</v>
      </c>
      <c r="F47" s="10" t="n">
        <f aca="false">MAX(31,255-MAX(0,W47+AD47-X47)-MAX(0,W47+AD47-X47-Y47))</f>
        <v>247</v>
      </c>
      <c r="G47" s="10" t="n">
        <v>60</v>
      </c>
      <c r="H47" s="10" t="n">
        <f aca="false">MIN(INT(AB47*AC47/100),B47*INT(AA47/(Z47+AE47))*G47)</f>
        <v>360</v>
      </c>
      <c r="I47" s="10" t="n">
        <f aca="false">INT(H47/G47)</f>
        <v>6</v>
      </c>
      <c r="J47" s="10" t="n">
        <f aca="false">MOD(H47,G47)</f>
        <v>0</v>
      </c>
      <c r="K47" s="10" t="n">
        <v>25000</v>
      </c>
      <c r="L47" s="10" t="n">
        <v>6000</v>
      </c>
      <c r="M47" s="10" t="n">
        <f aca="false">INT(D47*E47*F47*G47/2097152)</f>
        <v>7716</v>
      </c>
      <c r="N47" s="10" t="n">
        <f aca="false">INT(D47*E47*F47*J47/2097152)</f>
        <v>0</v>
      </c>
      <c r="O47" s="10" t="n">
        <f aca="false">I47*M47+N47</f>
        <v>46296</v>
      </c>
      <c r="P47" s="10" t="n">
        <f aca="false">B47*K47</f>
        <v>50000</v>
      </c>
      <c r="Q47" s="10" t="n">
        <f aca="false">B47*L47</f>
        <v>12000</v>
      </c>
      <c r="R47" s="10" t="n">
        <f aca="false">O47-P47-Q47</f>
        <v>-15704</v>
      </c>
      <c r="S47" s="10" t="n">
        <v>80</v>
      </c>
      <c r="T47" s="10" t="n">
        <v>10</v>
      </c>
      <c r="U47" s="10" t="n">
        <v>200</v>
      </c>
      <c r="V47" s="10" t="n">
        <v>130</v>
      </c>
      <c r="W47" s="10" t="n">
        <v>24</v>
      </c>
      <c r="X47" s="10" t="n">
        <v>20</v>
      </c>
      <c r="Y47" s="10" t="n">
        <v>90</v>
      </c>
      <c r="Z47" s="10" t="n">
        <v>90</v>
      </c>
      <c r="AA47" s="10" t="n">
        <v>360</v>
      </c>
      <c r="AB47" s="10" t="n">
        <v>677</v>
      </c>
      <c r="AC47" s="10" t="n">
        <v>80</v>
      </c>
      <c r="AD47" s="10" t="n">
        <v>4</v>
      </c>
      <c r="AE47" s="10" t="n">
        <v>10</v>
      </c>
    </row>
    <row r="48" customFormat="false" ht="15" hidden="false" customHeight="false" outlineLevel="0" collapsed="false">
      <c r="A48" s="10" t="s">
        <v>53</v>
      </c>
      <c r="B48" s="10" t="n">
        <v>3</v>
      </c>
      <c r="C48" s="10" t="s">
        <v>47</v>
      </c>
      <c r="D48" s="10" t="n">
        <v>4550</v>
      </c>
      <c r="E48" s="10" t="n">
        <f aca="false">ABS(S48-U48)+ABS(T48-V48)</f>
        <v>240</v>
      </c>
      <c r="F48" s="10" t="n">
        <f aca="false">MAX(31,255-MAX(0,W48+AD48-X48)-MAX(0,W48+AD48-X48-Y48))</f>
        <v>251</v>
      </c>
      <c r="G48" s="10" t="n">
        <v>60</v>
      </c>
      <c r="H48" s="10" t="n">
        <f aca="false">MIN(INT(AB48*AC48/100),B48*INT(AA48/(Z48+AE48))*G48)</f>
        <v>677</v>
      </c>
      <c r="I48" s="10" t="n">
        <f aca="false">INT(H48/G48)</f>
        <v>11</v>
      </c>
      <c r="J48" s="10" t="n">
        <f aca="false">MOD(H48,G48)</f>
        <v>17</v>
      </c>
      <c r="K48" s="10" t="n">
        <v>25000</v>
      </c>
      <c r="L48" s="10" t="n">
        <v>6000</v>
      </c>
      <c r="M48" s="10" t="n">
        <f aca="false">INT(D48*E48*F48*G48/2097152)</f>
        <v>7841</v>
      </c>
      <c r="N48" s="10" t="n">
        <f aca="false">INT(D48*E48*F48*J48/2097152)</f>
        <v>2221</v>
      </c>
      <c r="O48" s="10" t="n">
        <f aca="false">I48*M48+N48</f>
        <v>88472</v>
      </c>
      <c r="P48" s="10" t="n">
        <f aca="false">B48*K48</f>
        <v>75000</v>
      </c>
      <c r="Q48" s="10" t="n">
        <f aca="false">B48*L48</f>
        <v>18000</v>
      </c>
      <c r="R48" s="10" t="n">
        <f aca="false">O48-P48-Q48</f>
        <v>-4528</v>
      </c>
      <c r="S48" s="10" t="n">
        <v>80</v>
      </c>
      <c r="T48" s="10" t="n">
        <v>10</v>
      </c>
      <c r="U48" s="10" t="n">
        <v>200</v>
      </c>
      <c r="V48" s="10" t="n">
        <v>130</v>
      </c>
      <c r="W48" s="10" t="n">
        <v>24</v>
      </c>
      <c r="X48" s="10" t="n">
        <v>20</v>
      </c>
      <c r="Y48" s="10" t="n">
        <v>90</v>
      </c>
      <c r="Z48" s="10" t="n">
        <v>90</v>
      </c>
      <c r="AA48" s="10" t="n">
        <v>360</v>
      </c>
      <c r="AB48" s="10" t="n">
        <v>677</v>
      </c>
      <c r="AC48" s="10" t="n">
        <v>100</v>
      </c>
      <c r="AD48" s="10" t="n">
        <v>0</v>
      </c>
      <c r="AE48" s="10" t="n">
        <v>0</v>
      </c>
    </row>
    <row r="49" customFormat="false" ht="15" hidden="false" customHeight="false" outlineLevel="0" collapsed="false">
      <c r="A49" s="10" t="s">
        <v>53</v>
      </c>
      <c r="B49" s="10" t="n">
        <v>3</v>
      </c>
      <c r="C49" s="10" t="s">
        <v>48</v>
      </c>
      <c r="D49" s="10" t="n">
        <v>4550</v>
      </c>
      <c r="E49" s="10" t="n">
        <f aca="false">ABS(S49-U49)+ABS(T49-V49)</f>
        <v>240</v>
      </c>
      <c r="F49" s="10" t="n">
        <f aca="false">MAX(31,255-MAX(0,W49+AD49-X49)-MAX(0,W49+AD49-X49-Y49))</f>
        <v>247</v>
      </c>
      <c r="G49" s="10" t="n">
        <v>60</v>
      </c>
      <c r="H49" s="10" t="n">
        <f aca="false">MIN(INT(AB49*AC49/100),B49*INT(AA49/(Z49+AE49))*G49)</f>
        <v>540</v>
      </c>
      <c r="I49" s="10" t="n">
        <f aca="false">INT(H49/G49)</f>
        <v>9</v>
      </c>
      <c r="J49" s="10" t="n">
        <f aca="false">MOD(H49,G49)</f>
        <v>0</v>
      </c>
      <c r="K49" s="10" t="n">
        <v>25000</v>
      </c>
      <c r="L49" s="10" t="n">
        <v>6000</v>
      </c>
      <c r="M49" s="10" t="n">
        <f aca="false">INT(D49*E49*F49*G49/2097152)</f>
        <v>7716</v>
      </c>
      <c r="N49" s="10" t="n">
        <f aca="false">INT(D49*E49*F49*J49/2097152)</f>
        <v>0</v>
      </c>
      <c r="O49" s="10" t="n">
        <f aca="false">I49*M49+N49</f>
        <v>69444</v>
      </c>
      <c r="P49" s="10" t="n">
        <f aca="false">B49*K49</f>
        <v>75000</v>
      </c>
      <c r="Q49" s="10" t="n">
        <f aca="false">B49*L49</f>
        <v>18000</v>
      </c>
      <c r="R49" s="10" t="n">
        <f aca="false">O49-P49-Q49</f>
        <v>-23556</v>
      </c>
      <c r="S49" s="10" t="n">
        <v>80</v>
      </c>
      <c r="T49" s="10" t="n">
        <v>10</v>
      </c>
      <c r="U49" s="10" t="n">
        <v>200</v>
      </c>
      <c r="V49" s="10" t="n">
        <v>130</v>
      </c>
      <c r="W49" s="10" t="n">
        <v>24</v>
      </c>
      <c r="X49" s="10" t="n">
        <v>20</v>
      </c>
      <c r="Y49" s="10" t="n">
        <v>90</v>
      </c>
      <c r="Z49" s="10" t="n">
        <v>90</v>
      </c>
      <c r="AA49" s="10" t="n">
        <v>360</v>
      </c>
      <c r="AB49" s="10" t="n">
        <v>677</v>
      </c>
      <c r="AC49" s="10" t="n">
        <v>80</v>
      </c>
      <c r="AD49" s="10" t="n">
        <v>4</v>
      </c>
      <c r="AE49" s="10" t="n">
        <v>10</v>
      </c>
    </row>
  </sheetData>
  <autoFilter ref="A1:AE4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53"/>
    <col collapsed="false" customWidth="true" hidden="false" outlineLevel="0" max="7" min="4" style="0" width="22"/>
  </cols>
  <sheetData>
    <row r="1" customFormat="false" ht="15" hidden="false" customHeight="false" outlineLevel="0" collapsed="false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</row>
    <row r="2" customFormat="false" ht="15" hidden="false" customHeight="false" outlineLevel="0" collapsed="false">
      <c r="A2" s="10" t="s">
        <v>61</v>
      </c>
      <c r="B2" s="10" t="n">
        <v>1</v>
      </c>
      <c r="C2" s="11" t="s">
        <v>62</v>
      </c>
      <c r="D2" s="10" t="n">
        <v>84000</v>
      </c>
      <c r="E2" s="10" t="n">
        <v>192270</v>
      </c>
      <c r="F2" s="10" t="n">
        <v>137010</v>
      </c>
      <c r="G2" s="10" t="n">
        <v>0</v>
      </c>
    </row>
    <row r="3" customFormat="false" ht="15" hidden="false" customHeight="false" outlineLevel="0" collapsed="false">
      <c r="A3" s="10" t="s">
        <v>61</v>
      </c>
      <c r="B3" s="10" t="n">
        <v>2</v>
      </c>
      <c r="C3" s="11" t="s">
        <v>63</v>
      </c>
      <c r="D3" s="10" t="n">
        <v>100000</v>
      </c>
      <c r="E3" s="10" t="n">
        <v>196916</v>
      </c>
      <c r="F3" s="10" t="n">
        <v>126766</v>
      </c>
      <c r="G3" s="10" t="n">
        <v>10244</v>
      </c>
    </row>
    <row r="4" customFormat="false" ht="15" hidden="false" customHeight="false" outlineLevel="0" collapsed="false">
      <c r="A4" s="10" t="s">
        <v>61</v>
      </c>
      <c r="B4" s="10" t="n">
        <v>3</v>
      </c>
      <c r="C4" s="11" t="s">
        <v>64</v>
      </c>
      <c r="D4" s="10" t="n">
        <v>98000</v>
      </c>
      <c r="E4" s="10" t="n">
        <v>175876</v>
      </c>
      <c r="F4" s="10" t="n">
        <v>115895</v>
      </c>
      <c r="G4" s="10" t="n">
        <v>21115</v>
      </c>
    </row>
    <row r="5" customFormat="false" ht="15" hidden="false" customHeight="false" outlineLevel="0" collapsed="false">
      <c r="A5" s="10" t="s">
        <v>61</v>
      </c>
      <c r="B5" s="10" t="n">
        <v>4</v>
      </c>
      <c r="C5" s="11" t="s">
        <v>65</v>
      </c>
      <c r="D5" s="10" t="n">
        <v>78000</v>
      </c>
      <c r="E5" s="10" t="n">
        <v>162548</v>
      </c>
      <c r="F5" s="10" t="n">
        <v>109053</v>
      </c>
      <c r="G5" s="10" t="n">
        <v>27957</v>
      </c>
    </row>
    <row r="6" customFormat="false" ht="15" hidden="false" customHeight="false" outlineLevel="0" collapsed="false">
      <c r="A6" s="10" t="s">
        <v>66</v>
      </c>
      <c r="B6" s="10" t="n">
        <v>1</v>
      </c>
      <c r="C6" s="11" t="s">
        <v>67</v>
      </c>
      <c r="D6" s="10" t="n">
        <v>56000</v>
      </c>
      <c r="E6" s="10" t="n">
        <v>128180</v>
      </c>
      <c r="F6" s="10" t="n">
        <v>91340</v>
      </c>
      <c r="G6" s="10" t="n">
        <v>0</v>
      </c>
    </row>
    <row r="7" customFormat="false" ht="15" hidden="false" customHeight="false" outlineLevel="0" collapsed="false">
      <c r="A7" s="10" t="s">
        <v>66</v>
      </c>
      <c r="B7" s="10" t="n">
        <v>2</v>
      </c>
      <c r="C7" s="11" t="s">
        <v>68</v>
      </c>
      <c r="D7" s="10" t="n">
        <v>70000</v>
      </c>
      <c r="E7" s="10" t="n">
        <v>111786</v>
      </c>
      <c r="F7" s="10" t="n">
        <v>70225</v>
      </c>
      <c r="G7" s="10" t="n">
        <v>21115</v>
      </c>
    </row>
    <row r="8" customFormat="false" ht="15" hidden="false" customHeight="false" outlineLevel="0" collapsed="false">
      <c r="A8" s="10" t="s">
        <v>66</v>
      </c>
      <c r="B8" s="10" t="n">
        <v>3</v>
      </c>
      <c r="C8" s="11" t="s">
        <v>69</v>
      </c>
      <c r="D8" s="10" t="n">
        <v>50000</v>
      </c>
      <c r="E8" s="10" t="n">
        <v>98458</v>
      </c>
      <c r="F8" s="10" t="n">
        <v>63383</v>
      </c>
      <c r="G8" s="10" t="n">
        <v>27957</v>
      </c>
    </row>
    <row r="9" customFormat="false" ht="15" hidden="false" customHeight="false" outlineLevel="0" collapsed="false">
      <c r="A9" s="10" t="s">
        <v>66</v>
      </c>
      <c r="B9" s="10" t="n">
        <v>4</v>
      </c>
      <c r="C9" s="11" t="s">
        <v>70</v>
      </c>
      <c r="D9" s="10" t="n">
        <v>68000</v>
      </c>
      <c r="E9" s="10" t="n">
        <v>90746</v>
      </c>
      <c r="F9" s="10" t="n">
        <v>59354</v>
      </c>
      <c r="G9" s="10" t="n">
        <v>31986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53"/>
  </cols>
  <sheetData>
    <row r="1" customFormat="false" ht="15" hidden="false" customHeight="false" outlineLevel="0" collapsed="false">
      <c r="A1" s="8" t="s">
        <v>71</v>
      </c>
      <c r="B1" s="8" t="s">
        <v>72</v>
      </c>
      <c r="C1" s="8" t="s">
        <v>73</v>
      </c>
    </row>
    <row r="2" customFormat="false" ht="15" hidden="false" customHeight="false" outlineLevel="0" collapsed="false">
      <c r="A2" s="10" t="s">
        <v>74</v>
      </c>
      <c r="B2" s="10" t="s">
        <v>75</v>
      </c>
      <c r="C2" s="10" t="s">
        <v>76</v>
      </c>
    </row>
    <row r="3" customFormat="false" ht="15" hidden="false" customHeight="false" outlineLevel="0" collapsed="false">
      <c r="A3" s="10" t="s">
        <v>77</v>
      </c>
      <c r="B3" s="10" t="s">
        <v>78</v>
      </c>
      <c r="C3" s="10" t="s">
        <v>76</v>
      </c>
    </row>
    <row r="4" customFormat="false" ht="15" hidden="false" customHeight="false" outlineLevel="0" collapsed="false">
      <c r="A4" s="10" t="s">
        <v>79</v>
      </c>
      <c r="B4" s="10" t="s">
        <v>80</v>
      </c>
      <c r="C4" s="10" t="s">
        <v>76</v>
      </c>
    </row>
    <row r="5" customFormat="false" ht="15" hidden="false" customHeight="false" outlineLevel="0" collapsed="false">
      <c r="A5" s="10" t="s">
        <v>81</v>
      </c>
      <c r="B5" s="10" t="s">
        <v>78</v>
      </c>
      <c r="C5" s="10" t="s">
        <v>76</v>
      </c>
    </row>
    <row r="6" customFormat="false" ht="15" hidden="false" customHeight="false" outlineLevel="0" collapsed="false">
      <c r="A6" s="10" t="s">
        <v>82</v>
      </c>
      <c r="B6" s="10" t="s">
        <v>83</v>
      </c>
      <c r="C6" s="10" t="s">
        <v>76</v>
      </c>
    </row>
    <row r="7" customFormat="false" ht="15" hidden="false" customHeight="false" outlineLevel="0" collapsed="false">
      <c r="A7" s="10" t="s">
        <v>84</v>
      </c>
      <c r="B7" s="10" t="s">
        <v>85</v>
      </c>
      <c r="C7" s="10" t="s">
        <v>76</v>
      </c>
    </row>
    <row r="8" customFormat="false" ht="15" hidden="false" customHeight="false" outlineLevel="0" collapsed="false">
      <c r="A8" s="10" t="s">
        <v>86</v>
      </c>
      <c r="B8" s="10" t="s">
        <v>87</v>
      </c>
      <c r="C8" s="10" t="s">
        <v>76</v>
      </c>
    </row>
    <row r="9" customFormat="false" ht="15" hidden="false" customHeight="false" outlineLevel="0" collapsed="false">
      <c r="A9" s="10" t="s">
        <v>88</v>
      </c>
      <c r="B9" s="10" t="s">
        <v>89</v>
      </c>
      <c r="C9" s="10" t="s">
        <v>76</v>
      </c>
    </row>
    <row r="10" customFormat="false" ht="15" hidden="false" customHeight="false" outlineLevel="0" collapsed="false">
      <c r="A10" s="10" t="s">
        <v>90</v>
      </c>
      <c r="B10" s="10" t="s">
        <v>91</v>
      </c>
      <c r="C10" s="10" t="s">
        <v>76</v>
      </c>
    </row>
    <row r="11" customFormat="false" ht="15" hidden="false" customHeight="false" outlineLevel="0" collapsed="false">
      <c r="A11" s="10" t="s">
        <v>92</v>
      </c>
      <c r="B11" s="10" t="s">
        <v>93</v>
      </c>
      <c r="C11" s="10" t="s">
        <v>94</v>
      </c>
    </row>
    <row r="12" customFormat="false" ht="15" hidden="false" customHeight="false" outlineLevel="0" collapsed="false">
      <c r="A12" s="10" t="s">
        <v>95</v>
      </c>
      <c r="B12" s="10" t="s">
        <v>96</v>
      </c>
      <c r="C12" s="10" t="s">
        <v>94</v>
      </c>
    </row>
    <row r="13" customFormat="false" ht="15" hidden="false" customHeight="false" outlineLevel="0" collapsed="false">
      <c r="A13" s="10" t="s">
        <v>97</v>
      </c>
      <c r="B13" s="10" t="s">
        <v>98</v>
      </c>
      <c r="C13" s="10" t="s">
        <v>94</v>
      </c>
    </row>
    <row r="14" customFormat="false" ht="15" hidden="false" customHeight="false" outlineLevel="0" collapsed="false">
      <c r="A14" s="10" t="s">
        <v>99</v>
      </c>
      <c r="B14" s="10" t="s">
        <v>100</v>
      </c>
      <c r="C14" s="10" t="s">
        <v>94</v>
      </c>
    </row>
    <row r="15" customFormat="false" ht="15" hidden="false" customHeight="false" outlineLevel="0" collapsed="false">
      <c r="A15" s="10" t="s">
        <v>101</v>
      </c>
      <c r="B15" s="10" t="s">
        <v>102</v>
      </c>
      <c r="C15" s="10" t="s">
        <v>94</v>
      </c>
    </row>
    <row r="16" customFormat="false" ht="15" hidden="false" customHeight="false" outlineLevel="0" collapsed="false">
      <c r="A16" s="10" t="s">
        <v>103</v>
      </c>
      <c r="B16" s="10" t="s">
        <v>104</v>
      </c>
      <c r="C16" s="10" t="s">
        <v>94</v>
      </c>
    </row>
    <row r="17" customFormat="false" ht="15" hidden="false" customHeight="false" outlineLevel="0" collapsed="false">
      <c r="A17" s="10" t="s">
        <v>105</v>
      </c>
      <c r="B17" s="10" t="s">
        <v>106</v>
      </c>
      <c r="C17" s="10" t="s">
        <v>94</v>
      </c>
    </row>
    <row r="18" customFormat="false" ht="15" hidden="false" customHeight="false" outlineLevel="0" collapsed="false">
      <c r="A18" s="10" t="s">
        <v>107</v>
      </c>
      <c r="B18" s="10" t="s">
        <v>108</v>
      </c>
      <c r="C18" s="10" t="s">
        <v>94</v>
      </c>
    </row>
    <row r="19" customFormat="false" ht="15" hidden="false" customHeight="false" outlineLevel="0" collapsed="false">
      <c r="A19" s="10" t="s">
        <v>109</v>
      </c>
      <c r="B19" s="10" t="s">
        <v>110</v>
      </c>
      <c r="C19" s="10" t="s">
        <v>94</v>
      </c>
    </row>
    <row r="20" customFormat="false" ht="15" hidden="false" customHeight="false" outlineLevel="0" collapsed="false">
      <c r="A20" s="10" t="s">
        <v>111</v>
      </c>
      <c r="B20" s="10" t="s">
        <v>112</v>
      </c>
      <c r="C20" s="10" t="s">
        <v>94</v>
      </c>
    </row>
    <row r="21" customFormat="false" ht="15" hidden="false" customHeight="false" outlineLevel="0" collapsed="false">
      <c r="A21" s="10" t="s">
        <v>113</v>
      </c>
      <c r="B21" s="10" t="s">
        <v>114</v>
      </c>
      <c r="C21" s="10" t="s">
        <v>94</v>
      </c>
    </row>
    <row r="22" customFormat="false" ht="15" hidden="false" customHeight="false" outlineLevel="0" collapsed="false">
      <c r="A22" s="10" t="s">
        <v>115</v>
      </c>
      <c r="B22" s="10" t="s">
        <v>116</v>
      </c>
      <c r="C22" s="10" t="s">
        <v>94</v>
      </c>
    </row>
    <row r="23" customFormat="false" ht="15" hidden="false" customHeight="false" outlineLevel="0" collapsed="false">
      <c r="A23" s="10" t="s">
        <v>117</v>
      </c>
      <c r="B23" s="10" t="s">
        <v>118</v>
      </c>
      <c r="C23" s="10" t="s">
        <v>94</v>
      </c>
    </row>
    <row r="24" customFormat="false" ht="15" hidden="false" customHeight="false" outlineLevel="0" collapsed="false">
      <c r="A24" s="10" t="s">
        <v>119</v>
      </c>
      <c r="B24" s="10" t="s">
        <v>120</v>
      </c>
      <c r="C24" s="10" t="s">
        <v>94</v>
      </c>
    </row>
    <row r="25" customFormat="false" ht="15" hidden="false" customHeight="false" outlineLevel="0" collapsed="false">
      <c r="A25" s="10" t="s">
        <v>121</v>
      </c>
      <c r="B25" s="10" t="s">
        <v>122</v>
      </c>
      <c r="C25" s="10" t="s">
        <v>94</v>
      </c>
    </row>
    <row r="26" customFormat="false" ht="15" hidden="false" customHeight="false" outlineLevel="0" collapsed="false">
      <c r="A26" s="10" t="s">
        <v>123</v>
      </c>
      <c r="B26" s="10" t="s">
        <v>124</v>
      </c>
      <c r="C26" s="10" t="s">
        <v>94</v>
      </c>
    </row>
    <row r="27" customFormat="false" ht="15" hidden="false" customHeight="false" outlineLevel="0" collapsed="false">
      <c r="A27" s="10" t="s">
        <v>125</v>
      </c>
      <c r="B27" s="10" t="s">
        <v>126</v>
      </c>
      <c r="C27" s="10" t="s">
        <v>94</v>
      </c>
    </row>
    <row r="28" customFormat="false" ht="15" hidden="false" customHeight="false" outlineLevel="0" collapsed="false">
      <c r="A28" s="10" t="s">
        <v>127</v>
      </c>
      <c r="B28" s="10" t="s">
        <v>128</v>
      </c>
      <c r="C28" s="10" t="s">
        <v>94</v>
      </c>
    </row>
    <row r="29" customFormat="false" ht="15" hidden="false" customHeight="false" outlineLevel="0" collapsed="false">
      <c r="A29" s="10" t="s">
        <v>129</v>
      </c>
      <c r="B29" s="10" t="s">
        <v>78</v>
      </c>
      <c r="C29" s="10" t="s">
        <v>94</v>
      </c>
    </row>
    <row r="30" customFormat="false" ht="15" hidden="false" customHeight="false" outlineLevel="0" collapsed="false">
      <c r="A30" s="10" t="s">
        <v>130</v>
      </c>
      <c r="B30" s="10" t="s">
        <v>131</v>
      </c>
      <c r="C30" s="10" t="s">
        <v>94</v>
      </c>
    </row>
    <row r="31" customFormat="false" ht="15" hidden="false" customHeight="false" outlineLevel="0" collapsed="false">
      <c r="A31" s="10" t="s">
        <v>132</v>
      </c>
      <c r="B31" s="10" t="s">
        <v>133</v>
      </c>
      <c r="C31" s="10" t="s">
        <v>94</v>
      </c>
    </row>
    <row r="32" customFormat="false" ht="15" hidden="false" customHeight="false" outlineLevel="0" collapsed="false">
      <c r="A32" s="10" t="s">
        <v>134</v>
      </c>
      <c r="B32" s="10" t="s">
        <v>80</v>
      </c>
      <c r="C32" s="10" t="s">
        <v>94</v>
      </c>
    </row>
    <row r="33" customFormat="false" ht="15" hidden="false" customHeight="false" outlineLevel="0" collapsed="false">
      <c r="A33" s="10" t="s">
        <v>135</v>
      </c>
      <c r="B33" s="10" t="s">
        <v>136</v>
      </c>
      <c r="C33" s="10" t="s">
        <v>94</v>
      </c>
    </row>
    <row r="34" customFormat="false" ht="15" hidden="false" customHeight="false" outlineLevel="0" collapsed="false">
      <c r="A34" s="10" t="s">
        <v>137</v>
      </c>
      <c r="B34" s="10" t="s">
        <v>138</v>
      </c>
      <c r="C34" s="10" t="s">
        <v>94</v>
      </c>
    </row>
    <row r="35" customFormat="false" ht="15" hidden="false" customHeight="false" outlineLevel="0" collapsed="false">
      <c r="A35" s="10" t="s">
        <v>139</v>
      </c>
      <c r="B35" s="10" t="s">
        <v>140</v>
      </c>
      <c r="C35" s="10" t="s">
        <v>94</v>
      </c>
    </row>
    <row r="36" customFormat="false" ht="15" hidden="false" customHeight="false" outlineLevel="0" collapsed="false">
      <c r="A36" s="10" t="s">
        <v>141</v>
      </c>
      <c r="B36" s="10" t="s">
        <v>142</v>
      </c>
      <c r="C36" s="10" t="s">
        <v>94</v>
      </c>
    </row>
    <row r="37" customFormat="false" ht="15" hidden="false" customHeight="false" outlineLevel="0" collapsed="false">
      <c r="A37" s="10" t="s">
        <v>143</v>
      </c>
      <c r="B37" s="10" t="s">
        <v>144</v>
      </c>
      <c r="C37" s="10" t="s">
        <v>94</v>
      </c>
    </row>
    <row r="38" customFormat="false" ht="15" hidden="false" customHeight="false" outlineLevel="0" collapsed="false">
      <c r="A38" s="10" t="s">
        <v>145</v>
      </c>
      <c r="B38" s="10" t="s">
        <v>122</v>
      </c>
      <c r="C38" s="10" t="s">
        <v>94</v>
      </c>
    </row>
    <row r="39" customFormat="false" ht="15" hidden="false" customHeight="false" outlineLevel="0" collapsed="false">
      <c r="A39" s="10" t="s">
        <v>146</v>
      </c>
      <c r="B39" s="10" t="s">
        <v>124</v>
      </c>
      <c r="C39" s="10" t="s">
        <v>94</v>
      </c>
    </row>
    <row r="40" customFormat="false" ht="15" hidden="false" customHeight="false" outlineLevel="0" collapsed="false">
      <c r="A40" s="10" t="s">
        <v>147</v>
      </c>
      <c r="B40" s="10" t="s">
        <v>126</v>
      </c>
      <c r="C40" s="10" t="s">
        <v>94</v>
      </c>
    </row>
    <row r="41" customFormat="false" ht="15" hidden="false" customHeight="false" outlineLevel="0" collapsed="false">
      <c r="A41" s="10" t="s">
        <v>148</v>
      </c>
      <c r="B41" s="10" t="s">
        <v>149</v>
      </c>
      <c r="C41" s="10" t="s">
        <v>94</v>
      </c>
    </row>
    <row r="42" customFormat="false" ht="15" hidden="false" customHeight="false" outlineLevel="0" collapsed="false">
      <c r="A42" s="10" t="s">
        <v>150</v>
      </c>
      <c r="B42" s="10" t="s">
        <v>151</v>
      </c>
      <c r="C42" s="10" t="s">
        <v>94</v>
      </c>
    </row>
    <row r="43" customFormat="false" ht="15" hidden="false" customHeight="false" outlineLevel="0" collapsed="false">
      <c r="A43" s="10" t="s">
        <v>152</v>
      </c>
      <c r="B43" s="10" t="s">
        <v>151</v>
      </c>
      <c r="C43" s="10" t="s">
        <v>94</v>
      </c>
    </row>
    <row r="44" customFormat="false" ht="15" hidden="false" customHeight="false" outlineLevel="0" collapsed="false">
      <c r="A44" s="10" t="s">
        <v>153</v>
      </c>
      <c r="B44" s="10" t="s">
        <v>154</v>
      </c>
      <c r="C44" s="10" t="s">
        <v>94</v>
      </c>
    </row>
    <row r="45" customFormat="false" ht="15" hidden="false" customHeight="false" outlineLevel="0" collapsed="false">
      <c r="A45" s="10" t="s">
        <v>155</v>
      </c>
      <c r="B45" s="10" t="s">
        <v>156</v>
      </c>
      <c r="C45" s="10" t="s">
        <v>94</v>
      </c>
    </row>
    <row r="46" customFormat="false" ht="15" hidden="false" customHeight="false" outlineLevel="0" collapsed="false">
      <c r="A46" s="10" t="s">
        <v>157</v>
      </c>
      <c r="B46" s="10" t="s">
        <v>136</v>
      </c>
      <c r="C46" s="10" t="s">
        <v>94</v>
      </c>
    </row>
    <row r="47" customFormat="false" ht="15" hidden="false" customHeight="false" outlineLevel="0" collapsed="false">
      <c r="A47" s="10" t="s">
        <v>158</v>
      </c>
      <c r="B47" s="10" t="s">
        <v>159</v>
      </c>
      <c r="C47" s="10" t="s">
        <v>94</v>
      </c>
    </row>
    <row r="48" customFormat="false" ht="15" hidden="false" customHeight="false" outlineLevel="0" collapsed="false">
      <c r="A48" s="10" t="s">
        <v>160</v>
      </c>
      <c r="B48" s="10" t="s">
        <v>161</v>
      </c>
      <c r="C48" s="10" t="s">
        <v>94</v>
      </c>
    </row>
    <row r="49" customFormat="false" ht="15" hidden="false" customHeight="false" outlineLevel="0" collapsed="false">
      <c r="A49" s="10" t="s">
        <v>162</v>
      </c>
      <c r="B49" s="10" t="s">
        <v>142</v>
      </c>
      <c r="C49" s="10" t="s">
        <v>94</v>
      </c>
    </row>
    <row r="50" customFormat="false" ht="15" hidden="false" customHeight="false" outlineLevel="0" collapsed="false">
      <c r="A50" s="10" t="s">
        <v>163</v>
      </c>
      <c r="B50" s="10" t="s">
        <v>164</v>
      </c>
      <c r="C50" s="10" t="s">
        <v>94</v>
      </c>
    </row>
    <row r="51" customFormat="false" ht="15" hidden="false" customHeight="false" outlineLevel="0" collapsed="false">
      <c r="A51" s="10" t="s">
        <v>165</v>
      </c>
      <c r="B51" s="10" t="s">
        <v>166</v>
      </c>
      <c r="C51" s="10" t="s">
        <v>94</v>
      </c>
    </row>
    <row r="52" customFormat="false" ht="15" hidden="false" customHeight="false" outlineLevel="0" collapsed="false">
      <c r="A52" s="10" t="s">
        <v>167</v>
      </c>
      <c r="B52" s="10" t="s">
        <v>168</v>
      </c>
      <c r="C52" s="10" t="s">
        <v>94</v>
      </c>
    </row>
    <row r="53" customFormat="false" ht="15" hidden="false" customHeight="false" outlineLevel="0" collapsed="false">
      <c r="A53" s="10" t="s">
        <v>169</v>
      </c>
      <c r="B53" s="10" t="s">
        <v>170</v>
      </c>
      <c r="C53" s="10" t="s">
        <v>94</v>
      </c>
    </row>
    <row r="54" customFormat="false" ht="15" hidden="false" customHeight="false" outlineLevel="0" collapsed="false">
      <c r="A54" s="10" t="s">
        <v>171</v>
      </c>
      <c r="B54" s="10" t="s">
        <v>172</v>
      </c>
      <c r="C54" s="10" t="s">
        <v>94</v>
      </c>
    </row>
    <row r="55" customFormat="false" ht="15" hidden="false" customHeight="false" outlineLevel="0" collapsed="false">
      <c r="A55" s="10" t="s">
        <v>173</v>
      </c>
      <c r="B55" s="10" t="s">
        <v>174</v>
      </c>
      <c r="C55" s="10" t="s">
        <v>94</v>
      </c>
    </row>
    <row r="56" customFormat="false" ht="15" hidden="false" customHeight="false" outlineLevel="0" collapsed="false">
      <c r="A56" s="10" t="s">
        <v>175</v>
      </c>
      <c r="B56" s="10" t="s">
        <v>104</v>
      </c>
      <c r="C56" s="10" t="s">
        <v>94</v>
      </c>
    </row>
    <row r="57" customFormat="false" ht="15" hidden="false" customHeight="false" outlineLevel="0" collapsed="false">
      <c r="A57" s="10" t="s">
        <v>176</v>
      </c>
      <c r="B57" s="10" t="s">
        <v>177</v>
      </c>
      <c r="C57" s="10" t="s">
        <v>94</v>
      </c>
    </row>
    <row r="58" customFormat="false" ht="15" hidden="false" customHeight="false" outlineLevel="0" collapsed="false">
      <c r="A58" s="10" t="s">
        <v>178</v>
      </c>
      <c r="B58" s="10" t="s">
        <v>179</v>
      </c>
      <c r="C58" s="10" t="s">
        <v>94</v>
      </c>
    </row>
    <row r="59" customFormat="false" ht="15" hidden="false" customHeight="false" outlineLevel="0" collapsed="false">
      <c r="A59" s="10" t="s">
        <v>180</v>
      </c>
      <c r="B59" s="10" t="s">
        <v>181</v>
      </c>
      <c r="C59" s="10" t="s">
        <v>94</v>
      </c>
    </row>
    <row r="60" customFormat="false" ht="15" hidden="false" customHeight="false" outlineLevel="0" collapsed="false">
      <c r="A60" s="10" t="s">
        <v>182</v>
      </c>
      <c r="B60" s="10" t="s">
        <v>183</v>
      </c>
      <c r="C60" s="10" t="s">
        <v>94</v>
      </c>
    </row>
    <row r="61" customFormat="false" ht="15" hidden="false" customHeight="false" outlineLevel="0" collapsed="false">
      <c r="A61" s="10" t="s">
        <v>184</v>
      </c>
      <c r="B61" s="10" t="s">
        <v>185</v>
      </c>
      <c r="C61" s="10" t="s">
        <v>94</v>
      </c>
    </row>
    <row r="62" customFormat="false" ht="15" hidden="false" customHeight="false" outlineLevel="0" collapsed="false">
      <c r="A62" s="10" t="s">
        <v>186</v>
      </c>
      <c r="B62" s="10" t="s">
        <v>187</v>
      </c>
      <c r="C62" s="10" t="s">
        <v>94</v>
      </c>
    </row>
    <row r="63" customFormat="false" ht="15" hidden="false" customHeight="false" outlineLevel="0" collapsed="false">
      <c r="A63" s="10" t="s">
        <v>188</v>
      </c>
      <c r="B63" s="10" t="s">
        <v>189</v>
      </c>
      <c r="C63" s="10" t="s">
        <v>94</v>
      </c>
    </row>
    <row r="64" customFormat="false" ht="15" hidden="false" customHeight="false" outlineLevel="0" collapsed="false">
      <c r="A64" s="10" t="s">
        <v>190</v>
      </c>
      <c r="B64" s="10" t="s">
        <v>166</v>
      </c>
      <c r="C64" s="10" t="s">
        <v>94</v>
      </c>
    </row>
    <row r="65" customFormat="false" ht="15" hidden="false" customHeight="false" outlineLevel="0" collapsed="false">
      <c r="A65" s="10" t="s">
        <v>191</v>
      </c>
      <c r="B65" s="10" t="s">
        <v>168</v>
      </c>
      <c r="C65" s="10" t="s">
        <v>94</v>
      </c>
    </row>
    <row r="66" customFormat="false" ht="15" hidden="false" customHeight="false" outlineLevel="0" collapsed="false">
      <c r="A66" s="10" t="s">
        <v>192</v>
      </c>
      <c r="B66" s="10" t="s">
        <v>170</v>
      </c>
      <c r="C66" s="10" t="s">
        <v>94</v>
      </c>
    </row>
    <row r="67" customFormat="false" ht="15" hidden="false" customHeight="false" outlineLevel="0" collapsed="false">
      <c r="A67" s="10" t="s">
        <v>193</v>
      </c>
      <c r="B67" s="10" t="s">
        <v>194</v>
      </c>
      <c r="C67" s="10" t="s">
        <v>94</v>
      </c>
    </row>
    <row r="68" customFormat="false" ht="15" hidden="false" customHeight="false" outlineLevel="0" collapsed="false">
      <c r="A68" s="10" t="s">
        <v>195</v>
      </c>
      <c r="B68" s="10" t="s">
        <v>78</v>
      </c>
      <c r="C68" s="10" t="s">
        <v>94</v>
      </c>
    </row>
    <row r="69" customFormat="false" ht="15" hidden="false" customHeight="false" outlineLevel="0" collapsed="false">
      <c r="A69" s="10" t="s">
        <v>196</v>
      </c>
      <c r="B69" s="10" t="s">
        <v>174</v>
      </c>
      <c r="C69" s="10" t="s">
        <v>94</v>
      </c>
    </row>
    <row r="70" customFormat="false" ht="15" hidden="false" customHeight="false" outlineLevel="0" collapsed="false">
      <c r="A70" s="10" t="s">
        <v>197</v>
      </c>
      <c r="B70" s="10" t="s">
        <v>198</v>
      </c>
      <c r="C70" s="10" t="s">
        <v>94</v>
      </c>
    </row>
    <row r="71" customFormat="false" ht="15" hidden="false" customHeight="false" outlineLevel="0" collapsed="false">
      <c r="A71" s="10" t="s">
        <v>199</v>
      </c>
      <c r="B71" s="10" t="s">
        <v>200</v>
      </c>
      <c r="C71" s="10" t="s">
        <v>94</v>
      </c>
    </row>
    <row r="72" customFormat="false" ht="15" hidden="false" customHeight="false" outlineLevel="0" collapsed="false">
      <c r="A72" s="10" t="s">
        <v>201</v>
      </c>
      <c r="B72" s="10" t="s">
        <v>181</v>
      </c>
      <c r="C72" s="10" t="s">
        <v>94</v>
      </c>
    </row>
    <row r="73" customFormat="false" ht="15" hidden="false" customHeight="false" outlineLevel="0" collapsed="false">
      <c r="A73" s="10" t="s">
        <v>202</v>
      </c>
      <c r="B73" s="10" t="s">
        <v>203</v>
      </c>
      <c r="C73" s="10" t="s">
        <v>94</v>
      </c>
    </row>
    <row r="74" customFormat="false" ht="15" hidden="false" customHeight="false" outlineLevel="0" collapsed="false">
      <c r="A74" s="10" t="s">
        <v>204</v>
      </c>
      <c r="B74" s="10" t="s">
        <v>205</v>
      </c>
      <c r="C74" s="10" t="s">
        <v>94</v>
      </c>
    </row>
    <row r="75" customFormat="false" ht="15" hidden="false" customHeight="false" outlineLevel="0" collapsed="false">
      <c r="A75" s="10" t="s">
        <v>206</v>
      </c>
      <c r="B75" s="10" t="s">
        <v>187</v>
      </c>
      <c r="C75" s="10" t="s">
        <v>94</v>
      </c>
    </row>
    <row r="76" customFormat="false" ht="15" hidden="false" customHeight="false" outlineLevel="0" collapsed="false">
      <c r="A76" s="10" t="s">
        <v>207</v>
      </c>
      <c r="B76" s="10" t="s">
        <v>208</v>
      </c>
      <c r="C76" s="10" t="s">
        <v>94</v>
      </c>
    </row>
    <row r="77" customFormat="false" ht="15" hidden="false" customHeight="false" outlineLevel="0" collapsed="false">
      <c r="A77" s="10" t="s">
        <v>209</v>
      </c>
      <c r="B77" s="10" t="s">
        <v>210</v>
      </c>
      <c r="C77" s="10" t="s">
        <v>94</v>
      </c>
    </row>
    <row r="78" customFormat="false" ht="15" hidden="false" customHeight="false" outlineLevel="0" collapsed="false">
      <c r="A78" s="10" t="s">
        <v>211</v>
      </c>
      <c r="B78" s="10" t="s">
        <v>212</v>
      </c>
      <c r="C78" s="10" t="s">
        <v>94</v>
      </c>
    </row>
    <row r="79" customFormat="false" ht="15" hidden="false" customHeight="false" outlineLevel="0" collapsed="false">
      <c r="A79" s="10" t="s">
        <v>213</v>
      </c>
      <c r="B79" s="10" t="s">
        <v>214</v>
      </c>
      <c r="C79" s="10" t="s">
        <v>94</v>
      </c>
    </row>
    <row r="80" customFormat="false" ht="15" hidden="false" customHeight="false" outlineLevel="0" collapsed="false">
      <c r="A80" s="10" t="s">
        <v>215</v>
      </c>
      <c r="B80" s="10" t="s">
        <v>216</v>
      </c>
      <c r="C80" s="10" t="s">
        <v>94</v>
      </c>
    </row>
    <row r="81" customFormat="false" ht="15" hidden="false" customHeight="false" outlineLevel="0" collapsed="false">
      <c r="A81" s="10" t="s">
        <v>217</v>
      </c>
      <c r="B81" s="10" t="s">
        <v>104</v>
      </c>
      <c r="C81" s="10" t="s">
        <v>94</v>
      </c>
    </row>
    <row r="82" customFormat="false" ht="15" hidden="false" customHeight="false" outlineLevel="0" collapsed="false">
      <c r="A82" s="10" t="s">
        <v>218</v>
      </c>
      <c r="B82" s="10" t="s">
        <v>219</v>
      </c>
      <c r="C82" s="10" t="s">
        <v>94</v>
      </c>
    </row>
    <row r="83" customFormat="false" ht="15" hidden="false" customHeight="false" outlineLevel="0" collapsed="false">
      <c r="A83" s="10" t="s">
        <v>220</v>
      </c>
      <c r="B83" s="10" t="s">
        <v>108</v>
      </c>
      <c r="C83" s="10" t="s">
        <v>94</v>
      </c>
    </row>
    <row r="84" customFormat="false" ht="15" hidden="false" customHeight="false" outlineLevel="0" collapsed="false">
      <c r="A84" s="10" t="s">
        <v>221</v>
      </c>
      <c r="B84" s="10" t="s">
        <v>133</v>
      </c>
      <c r="C84" s="10" t="s">
        <v>94</v>
      </c>
    </row>
    <row r="85" customFormat="false" ht="15" hidden="false" customHeight="false" outlineLevel="0" collapsed="false">
      <c r="A85" s="10" t="s">
        <v>222</v>
      </c>
      <c r="B85" s="10" t="s">
        <v>223</v>
      </c>
      <c r="C85" s="10" t="s">
        <v>94</v>
      </c>
    </row>
    <row r="86" customFormat="false" ht="15" hidden="false" customHeight="false" outlineLevel="0" collapsed="false">
      <c r="A86" s="10" t="s">
        <v>224</v>
      </c>
      <c r="B86" s="10" t="s">
        <v>225</v>
      </c>
      <c r="C86" s="10" t="s">
        <v>94</v>
      </c>
    </row>
    <row r="87" customFormat="false" ht="15" hidden="false" customHeight="false" outlineLevel="0" collapsed="false">
      <c r="A87" s="10" t="s">
        <v>226</v>
      </c>
      <c r="B87" s="10" t="s">
        <v>227</v>
      </c>
      <c r="C87" s="10" t="s">
        <v>94</v>
      </c>
    </row>
    <row r="88" customFormat="false" ht="15" hidden="false" customHeight="false" outlineLevel="0" collapsed="false">
      <c r="A88" s="10" t="s">
        <v>228</v>
      </c>
      <c r="B88" s="10" t="s">
        <v>229</v>
      </c>
      <c r="C88" s="10" t="s">
        <v>94</v>
      </c>
    </row>
  </sheetData>
  <autoFilter ref="A1:C88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2026-10-21T09:51:08Z</dcterms:created>
  <dc:creator>openpyxl</dc:creator>
  <dc:description/>
  <dc:language>en-US</dc:language>
  <cp:lastModifiedBy/>
  <dcterms:modified xsi:type="dcterms:W3CDTF">2026-10-21T09:51:08Z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