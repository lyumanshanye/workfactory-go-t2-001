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licy" sheetId="1" state="visible" r:id="rId1"/>
    <sheet xmlns:r="http://schemas.openxmlformats.org/officeDocument/2006/relationships" name="Rates" sheetId="2" state="visible" r:id="rId2"/>
    <sheet xmlns:r="http://schemas.openxmlformats.org/officeDocument/2006/relationships" name="Routes" sheetId="3" state="visible" r:id="rId3"/>
    <sheet xmlns:r="http://schemas.openxmlformats.org/officeDocument/2006/relationships" name="Options" sheetId="4" state="visible" r:id="rId4"/>
    <sheet xmlns:r="http://schemas.openxmlformats.org/officeDocument/2006/relationships" name="Selected" sheetId="5" state="visible" r:id="rId5"/>
    <sheet xmlns:r="http://schemas.openxmlformats.org/officeDocument/2006/relationships" name="Ranking" sheetId="6" state="visible" r:id="rId6"/>
    <sheet xmlns:r="http://schemas.openxmlformats.org/officeDocument/2006/relationships" name="基准对照" sheetId="7" state="visible" r:id="rId7"/>
    <sheet xmlns:r="http://schemas.openxmlformats.org/officeDocument/2006/relationships" name="压力对照" sheetId="8" state="visible" r:id="rId8"/>
  </sheets>
  <definedNames>
    <definedName name="_xlnm._FilterDatabase" localSheetId="0" hidden="1">'Policy'!$A$1:$B$10</definedName>
    <definedName name="_xlnm.Print_Titles" localSheetId="0">'Policy'!$1:$1</definedName>
    <definedName name="_xlnm._FilterDatabase" localSheetId="1" hidden="1">'Rates'!$A$1:$D$5</definedName>
    <definedName name="_xlnm.Print_Titles" localSheetId="1">'Rates'!$1:$1</definedName>
    <definedName name="_xlnm._FilterDatabase" localSheetId="2" hidden="1">'Routes'!$A$1:$O$7</definedName>
    <definedName name="_xlnm.Print_Titles" localSheetId="2">'Routes'!$1:$1</definedName>
    <definedName name="_xlnm._FilterDatabase" localSheetId="3" hidden="1">'Options'!$A$1:$Y$19</definedName>
    <definedName name="_xlnm.Print_Titles" localSheetId="3">'Options'!$1:$1</definedName>
    <definedName name="_xlnm._FilterDatabase" localSheetId="4" hidden="1">'Selected'!$A$1:$F$8</definedName>
    <definedName name="_xlnm.Print_Titles" localSheetId="4">'Selected'!$1:$1</definedName>
    <definedName name="_xlnm._FilterDatabase" localSheetId="5" hidden="1">'Ranking'!$A$1:$E$5</definedName>
    <definedName name="_xlnm.Print_Titles" localSheetId="5">'Ranking'!$1:$1</definedName>
    <definedName name="_xlnm._FilterDatabase" localSheetId="6" hidden="1">'基准对照'!$A$1:$J$19</definedName>
    <definedName name="_xlnm.Print_Titles" localSheetId="6">'基准对照'!$1:$1</definedName>
    <definedName name="_xlnm._FilterDatabase" localSheetId="7" hidden="1">'压力对照'!$A$1:$J$19</definedName>
    <definedName name="_xlnm.Print_Titles" localSheetId="7">'压力对照'!$1:$1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Noto Sans CJK SC"/>
      <b val="1"/>
      <color rgb="00FFFFFF"/>
      <sz val="10"/>
    </font>
    <font>
      <name val="Noto Sans CJK SC"/>
      <color rgb="0020252B"/>
      <sz val="10"/>
    </font>
  </fonts>
  <fills count="4">
    <fill>
      <patternFill/>
    </fill>
    <fill>
      <patternFill patternType="gray125"/>
    </fill>
    <fill>
      <patternFill patternType="solid">
        <fgColor rgb="00255B53"/>
      </patternFill>
    </fill>
    <fill>
      <patternFill patternType="solid">
        <fgColor rgb="00EDF3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top" wrapText="1" indent="1"/>
    </xf>
    <xf numFmtId="0" fontId="2" fillId="3" borderId="0" applyAlignment="1" pivotButton="0" quotePrefix="0" xfId="0">
      <alignment horizontal="left" vertical="top" wrapText="1" indent="1"/>
    </xf>
    <xf numFmtId="0" fontId="2" fillId="3" borderId="0" applyAlignment="1" pivotButton="0" quotePrefix="0" xfId="0">
      <alignment horizontal="center" vertical="top" wrapText="1" indent="1"/>
    </xf>
    <xf numFmtId="0" fontId="2" fillId="0" borderId="0" applyAlignment="1" pivotButton="0" quotePrefix="0" xfId="0">
      <alignment horizontal="left" vertical="top" wrapText="1" indent="1"/>
    </xf>
    <xf numFmtId="0" fontId="2" fillId="0" borderId="0" applyAlignment="1" pivotButton="0" quotePrefix="0" xfId="0">
      <alignment horizontal="center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0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</cols>
  <sheetData>
    <row r="1" ht="32" customHeight="1">
      <c r="A1" s="1" t="inlineStr">
        <is>
          <t>Parameter</t>
        </is>
      </c>
      <c r="B1" s="1" t="inlineStr">
        <is>
          <t>Approved value</t>
        </is>
      </c>
    </row>
    <row r="2" ht="32" customHeight="1">
      <c r="A2" s="2" t="inlineStr">
        <is>
          <t>year_days</t>
        </is>
      </c>
      <c r="B2" s="3" t="n">
        <v>360</v>
      </c>
    </row>
    <row r="3" ht="32" customHeight="1">
      <c r="A3" s="4" t="inlineStr">
        <is>
          <t>budget</t>
        </is>
      </c>
      <c r="B3" s="5" t="n">
        <v>100000</v>
      </c>
    </row>
    <row r="4" ht="32" customHeight="1">
      <c r="A4" s="2" t="inlineStr">
        <is>
          <t>fleet_limit</t>
        </is>
      </c>
      <c r="B4" s="3" t="n">
        <v>4</v>
      </c>
    </row>
    <row r="5" ht="32" customHeight="1">
      <c r="A5" s="4" t="inlineStr">
        <is>
          <t>stress_demand_percent</t>
        </is>
      </c>
      <c r="B5" s="5" t="n">
        <v>80</v>
      </c>
    </row>
    <row r="6" ht="32" customHeight="1">
      <c r="A6" s="2" t="inlineStr">
        <is>
          <t>stress_age_periods</t>
        </is>
      </c>
      <c r="B6" s="3" t="n">
        <v>4</v>
      </c>
    </row>
    <row r="7" ht="32" customHeight="1">
      <c r="A7" s="4" t="inlineStr">
        <is>
          <t>stress_cycle_days</t>
        </is>
      </c>
      <c r="B7" s="5" t="n">
        <v>10</v>
      </c>
    </row>
    <row r="8" ht="32" customHeight="1">
      <c r="A8" s="2" t="inlineStr">
        <is>
          <t>minimum_stress_net</t>
        </is>
      </c>
      <c r="B8" s="3" t="n">
        <v>50000</v>
      </c>
    </row>
    <row r="9" ht="32" customHeight="1">
      <c r="A9" s="4" t="inlineStr">
        <is>
          <t>max_per_option</t>
        </is>
      </c>
      <c r="B9" s="5" t="n">
        <v>3</v>
      </c>
    </row>
    <row r="10" ht="32" customHeight="1">
      <c r="A10" s="2" t="inlineStr">
        <is>
          <t>version</t>
        </is>
      </c>
      <c r="B10" s="2" t="inlineStr">
        <is>
          <t>V2</t>
        </is>
      </c>
    </row>
  </sheetData>
  <autoFilter ref="A1:B10"/>
  <printOptions horizontalCentered="1"/>
  <pageMargins left="0.75" right="0.75" top="1" bottom="1" header="0.5" footer="0.5"/>
  <pageSetup orientation="landscape" paperSize="8" fitToHeight="0" fitToWidth="1"/>
  <headerFooter>
    <oddHeader/>
    <oddFooter>&amp;C&amp;A |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5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24" customWidth="1" min="4" max="4"/>
  </cols>
  <sheetData>
    <row r="1" ht="32" customHeight="1">
      <c r="A1" s="1" t="inlineStr">
        <is>
          <t>Cargo</t>
        </is>
      </c>
      <c r="B1" s="1" t="inlineStr">
        <is>
          <t>Base</t>
        </is>
      </c>
      <c r="C1" s="1" t="inlineStr">
        <is>
          <t>days1</t>
        </is>
      </c>
      <c r="D1" s="1" t="inlineStr">
        <is>
          <t>days2 duration</t>
        </is>
      </c>
    </row>
    <row r="2" ht="32" customHeight="1">
      <c r="A2" s="2" t="inlineStr">
        <is>
          <t>Coal</t>
        </is>
      </c>
      <c r="B2" s="3" t="n">
        <v>5916</v>
      </c>
      <c r="C2" s="3" t="n">
        <v>7</v>
      </c>
      <c r="D2" s="3" t="n">
        <v>255</v>
      </c>
    </row>
    <row r="3" ht="32" customHeight="1">
      <c r="A3" s="4" t="inlineStr">
        <is>
          <t>Goods</t>
        </is>
      </c>
      <c r="B3" s="5" t="n">
        <v>6144</v>
      </c>
      <c r="C3" s="5" t="n">
        <v>5</v>
      </c>
      <c r="D3" s="5" t="n">
        <v>28</v>
      </c>
    </row>
    <row r="4" ht="32" customHeight="1">
      <c r="A4" s="2" t="inlineStr">
        <is>
          <t>Mail</t>
        </is>
      </c>
      <c r="B4" s="3" t="n">
        <v>4550</v>
      </c>
      <c r="C4" s="3" t="n">
        <v>20</v>
      </c>
      <c r="D4" s="3" t="n">
        <v>90</v>
      </c>
    </row>
    <row r="5" ht="32" customHeight="1">
      <c r="A5" s="4" t="inlineStr">
        <is>
          <t>Passengers</t>
        </is>
      </c>
      <c r="B5" s="5" t="n">
        <v>3185</v>
      </c>
      <c r="C5" s="5" t="n">
        <v>0</v>
      </c>
      <c r="D5" s="5" t="n">
        <v>24</v>
      </c>
    </row>
  </sheetData>
  <autoFilter ref="A1:D5"/>
  <printOptions horizontalCentered="1"/>
  <pageMargins left="0.75" right="0.75" top="1" bottom="1" header="0.5" footer="0.5"/>
  <pageSetup orientation="landscape" paperSize="8" fitToHeight="0" fitToWidth="1"/>
  <headerFooter>
    <oddHeader/>
    <oddFooter>&amp;C&amp;A |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O7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50" customHeight="1">
      <c r="A1" s="1" t="inlineStr">
        <is>
          <t>ID</t>
        </is>
      </c>
      <c r="B1" s="1" t="inlineStr">
        <is>
          <t>Cargo</t>
        </is>
      </c>
      <c r="C1" s="1" t="inlineStr">
        <is>
          <t>x1</t>
        </is>
      </c>
      <c r="D1" s="1" t="inlineStr">
        <is>
          <t>y1</t>
        </is>
      </c>
      <c r="E1" s="1" t="inlineStr">
        <is>
          <t>x2</t>
        </is>
      </c>
      <c r="F1" s="1" t="inlineStr">
        <is>
          <t>y2</t>
        </is>
      </c>
      <c r="G1" s="1" t="inlineStr">
        <is>
          <t>Travelled tiles</t>
        </is>
      </c>
      <c r="H1" s="1" t="inlineStr">
        <is>
          <t>Station wait</t>
        </is>
      </c>
      <c r="I1" s="1" t="inlineStr">
        <is>
          <t>Age periods</t>
        </is>
      </c>
      <c r="J1" s="1" t="inlineStr">
        <is>
          <t>Cycle days</t>
        </is>
      </c>
      <c r="K1" s="1" t="inlineStr">
        <is>
          <t>Capacity</t>
        </is>
      </c>
      <c r="L1" s="1" t="inlineStr">
        <is>
          <t>Demand</t>
        </is>
      </c>
      <c r="M1" s="1" t="inlineStr">
        <is>
          <t>Purchase</t>
        </is>
      </c>
      <c r="N1" s="1" t="inlineStr">
        <is>
          <t>Annual running</t>
        </is>
      </c>
      <c r="O1" s="1" t="inlineStr">
        <is>
          <t>Exclusive group</t>
        </is>
      </c>
    </row>
    <row r="2" ht="32" customHeight="1">
      <c r="A2" s="2" t="inlineStr">
        <is>
          <t>C1</t>
        </is>
      </c>
      <c r="B2" s="2" t="inlineStr">
        <is>
          <t>Coal</t>
        </is>
      </c>
      <c r="C2" s="3" t="n">
        <v>20</v>
      </c>
      <c r="D2" s="3" t="n">
        <v>20</v>
      </c>
      <c r="E2" s="3" t="n">
        <v>160</v>
      </c>
      <c r="F2" s="3" t="n">
        <v>80</v>
      </c>
      <c r="G2" s="3" t="n">
        <v>280</v>
      </c>
      <c r="H2" s="3" t="n">
        <v>12</v>
      </c>
      <c r="I2" s="3" t="n">
        <v>28</v>
      </c>
      <c r="J2" s="3" t="n">
        <v>90</v>
      </c>
      <c r="K2" s="3" t="n">
        <v>120</v>
      </c>
      <c r="L2" s="3" t="n">
        <v>1200</v>
      </c>
      <c r="M2" s="3" t="n">
        <v>22000</v>
      </c>
      <c r="N2" s="3" t="n">
        <v>7000</v>
      </c>
      <c r="O2" s="2" t="inlineStr">
        <is>
          <t>coal</t>
        </is>
      </c>
    </row>
    <row r="3" ht="32" customHeight="1">
      <c r="A3" s="4" t="inlineStr">
        <is>
          <t>G1</t>
        </is>
      </c>
      <c r="B3" s="4" t="inlineStr">
        <is>
          <t>Goods</t>
        </is>
      </c>
      <c r="C3" s="5" t="n">
        <v>40</v>
      </c>
      <c r="D3" s="5" t="n">
        <v>60</v>
      </c>
      <c r="E3" s="5" t="n">
        <v>240</v>
      </c>
      <c r="F3" s="5" t="n">
        <v>160</v>
      </c>
      <c r="G3" s="5" t="n">
        <v>420</v>
      </c>
      <c r="H3" s="5" t="n">
        <v>4</v>
      </c>
      <c r="I3" s="5" t="n">
        <v>18</v>
      </c>
      <c r="J3" s="5" t="n">
        <v>60</v>
      </c>
      <c r="K3" s="5" t="n">
        <v>80</v>
      </c>
      <c r="L3" s="5" t="n">
        <v>1600</v>
      </c>
      <c r="M3" s="5" t="n">
        <v>28000</v>
      </c>
      <c r="N3" s="5" t="n">
        <v>10000</v>
      </c>
      <c r="O3" s="4" t="inlineStr">
        <is>
          <t>goods</t>
        </is>
      </c>
    </row>
    <row r="4" ht="32" customHeight="1">
      <c r="A4" s="2" t="inlineStr">
        <is>
          <t>G2</t>
        </is>
      </c>
      <c r="B4" s="2" t="inlineStr">
        <is>
          <t>Goods</t>
        </is>
      </c>
      <c r="C4" s="3" t="n">
        <v>40</v>
      </c>
      <c r="D4" s="3" t="n">
        <v>60</v>
      </c>
      <c r="E4" s="3" t="n">
        <v>240</v>
      </c>
      <c r="F4" s="3" t="n">
        <v>160</v>
      </c>
      <c r="G4" s="3" t="n">
        <v>340</v>
      </c>
      <c r="H4" s="3" t="n">
        <v>8</v>
      </c>
      <c r="I4" s="3" t="n">
        <v>8</v>
      </c>
      <c r="J4" s="3" t="n">
        <v>40</v>
      </c>
      <c r="K4" s="3" t="n">
        <v>50</v>
      </c>
      <c r="L4" s="3" t="n">
        <v>1600</v>
      </c>
      <c r="M4" s="3" t="n">
        <v>45000</v>
      </c>
      <c r="N4" s="3" t="n">
        <v>18000</v>
      </c>
      <c r="O4" s="2" t="inlineStr">
        <is>
          <t>goods</t>
        </is>
      </c>
    </row>
    <row r="5" ht="32" customHeight="1">
      <c r="A5" s="4" t="inlineStr">
        <is>
          <t>P1</t>
        </is>
      </c>
      <c r="B5" s="4" t="inlineStr">
        <is>
          <t>Passengers</t>
        </is>
      </c>
      <c r="C5" s="5" t="n">
        <v>15</v>
      </c>
      <c r="D5" s="5" t="n">
        <v>15</v>
      </c>
      <c r="E5" s="5" t="n">
        <v>115</v>
      </c>
      <c r="F5" s="5" t="n">
        <v>75</v>
      </c>
      <c r="G5" s="5" t="n">
        <v>240</v>
      </c>
      <c r="H5" s="5" t="n">
        <v>6</v>
      </c>
      <c r="I5" s="5" t="n">
        <v>12</v>
      </c>
      <c r="J5" s="5" t="n">
        <v>48</v>
      </c>
      <c r="K5" s="5" t="n">
        <v>100</v>
      </c>
      <c r="L5" s="5" t="n">
        <v>2050</v>
      </c>
      <c r="M5" s="5" t="n">
        <v>20000</v>
      </c>
      <c r="N5" s="5" t="n">
        <v>8000</v>
      </c>
      <c r="O5" s="4" t="inlineStr">
        <is>
          <t>passengers</t>
        </is>
      </c>
    </row>
    <row r="6" ht="32" customHeight="1">
      <c r="A6" s="2" t="inlineStr">
        <is>
          <t>P2</t>
        </is>
      </c>
      <c r="B6" s="2" t="inlineStr">
        <is>
          <t>Passengers</t>
        </is>
      </c>
      <c r="C6" s="3" t="n">
        <v>15</v>
      </c>
      <c r="D6" s="3" t="n">
        <v>15</v>
      </c>
      <c r="E6" s="3" t="n">
        <v>115</v>
      </c>
      <c r="F6" s="3" t="n">
        <v>75</v>
      </c>
      <c r="G6" s="3" t="n">
        <v>180</v>
      </c>
      <c r="H6" s="3" t="n">
        <v>4</v>
      </c>
      <c r="I6" s="3" t="n">
        <v>6</v>
      </c>
      <c r="J6" s="3" t="n">
        <v>30</v>
      </c>
      <c r="K6" s="3" t="n">
        <v>70</v>
      </c>
      <c r="L6" s="3" t="n">
        <v>2050</v>
      </c>
      <c r="M6" s="3" t="n">
        <v>30000</v>
      </c>
      <c r="N6" s="3" t="n">
        <v>12000</v>
      </c>
      <c r="O6" s="2" t="inlineStr">
        <is>
          <t>passengers</t>
        </is>
      </c>
    </row>
    <row r="7" ht="32" customHeight="1">
      <c r="A7" s="4" t="inlineStr">
        <is>
          <t>M1</t>
        </is>
      </c>
      <c r="B7" s="4" t="inlineStr">
        <is>
          <t>Mail</t>
        </is>
      </c>
      <c r="C7" s="5" t="n">
        <v>80</v>
      </c>
      <c r="D7" s="5" t="n">
        <v>10</v>
      </c>
      <c r="E7" s="5" t="n">
        <v>200</v>
      </c>
      <c r="F7" s="5" t="n">
        <v>130</v>
      </c>
      <c r="G7" s="5" t="n">
        <v>310</v>
      </c>
      <c r="H7" s="5" t="n">
        <v>12</v>
      </c>
      <c r="I7" s="5" t="n">
        <v>24</v>
      </c>
      <c r="J7" s="5" t="n">
        <v>90</v>
      </c>
      <c r="K7" s="5" t="n">
        <v>60</v>
      </c>
      <c r="L7" s="5" t="n">
        <v>677</v>
      </c>
      <c r="M7" s="5" t="n">
        <v>25000</v>
      </c>
      <c r="N7" s="5" t="n">
        <v>6000</v>
      </c>
      <c r="O7" s="4" t="inlineStr">
        <is>
          <t>mail</t>
        </is>
      </c>
    </row>
  </sheetData>
  <autoFilter ref="A1:O7"/>
  <printOptions horizontalCentered="1"/>
  <pageMargins left="0.75" right="0.75" top="1" bottom="1" header="0.5" footer="0.5"/>
  <pageSetup orientation="landscape" paperSize="8" fitToHeight="0" fitToWidth="1"/>
  <headerFooter>
    <oddHeader/>
    <oddFooter>&amp;C&amp;A |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Y19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</cols>
  <sheetData>
    <row r="1" ht="50" customHeight="1">
      <c r="A1" s="1" t="inlineStr">
        <is>
          <t>ID</t>
        </is>
      </c>
      <c r="B1" s="1" t="inlineStr">
        <is>
          <t>Vehicles</t>
        </is>
      </c>
      <c r="C1" s="1" t="inlineStr">
        <is>
          <t>Cargo</t>
        </is>
      </c>
      <c r="D1" s="1" t="inlineStr">
        <is>
          <t>Rate</t>
        </is>
      </c>
      <c r="E1" s="1" t="inlineStr">
        <is>
          <t>days1</t>
        </is>
      </c>
      <c r="F1" s="1" t="inlineStr">
        <is>
          <t>days2</t>
        </is>
      </c>
      <c r="G1" s="1" t="inlineStr">
        <is>
          <t>Pay distance</t>
        </is>
      </c>
      <c r="H1" s="1" t="inlineStr">
        <is>
          <t>Age</t>
        </is>
      </c>
      <c r="I1" s="1" t="inlineStr">
        <is>
          <t>Cycles/year</t>
        </is>
      </c>
      <c r="J1" s="1" t="inlineStr">
        <is>
          <t>Capacity</t>
        </is>
      </c>
      <c r="K1" s="1" t="inlineStr">
        <is>
          <t>Demand</t>
        </is>
      </c>
      <c r="L1" s="1" t="inlineStr">
        <is>
          <t>Trips</t>
        </is>
      </c>
      <c r="M1" s="1" t="inlineStr">
        <is>
          <t>Delivered</t>
        </is>
      </c>
      <c r="N1" s="1" t="inlineStr">
        <is>
          <t>Time factor</t>
        </is>
      </c>
      <c r="O1" s="1" t="inlineStr">
        <is>
          <t>Revenue</t>
        </is>
      </c>
      <c r="P1" s="1" t="inlineStr">
        <is>
          <t>Purchase</t>
        </is>
      </c>
      <c r="Q1" s="1" t="inlineStr">
        <is>
          <t>Running</t>
        </is>
      </c>
      <c r="R1" s="1" t="inlineStr">
        <is>
          <t>Base net</t>
        </is>
      </c>
      <c r="S1" s="1" t="inlineStr">
        <is>
          <t>Stress age</t>
        </is>
      </c>
      <c r="T1" s="1" t="inlineStr">
        <is>
          <t>Stress cycles</t>
        </is>
      </c>
      <c r="U1" s="1" t="inlineStr">
        <is>
          <t>Stress demand</t>
        </is>
      </c>
      <c r="V1" s="1" t="inlineStr">
        <is>
          <t>Stress units</t>
        </is>
      </c>
      <c r="W1" s="1" t="inlineStr">
        <is>
          <t>Stress factor</t>
        </is>
      </c>
      <c r="X1" s="1" t="inlineStr">
        <is>
          <t>Stress revenue</t>
        </is>
      </c>
      <c r="Y1" s="1" t="inlineStr">
        <is>
          <t>Stress net</t>
        </is>
      </c>
    </row>
    <row r="2" ht="32" customHeight="1">
      <c r="A2" s="2" t="inlineStr">
        <is>
          <t>C1</t>
        </is>
      </c>
      <c r="B2" s="3" t="n">
        <v>1</v>
      </c>
      <c r="C2" s="2" t="inlineStr">
        <is>
          <t>Coal</t>
        </is>
      </c>
      <c r="D2" s="2">
        <f>Rates!B2</f>
        <v/>
      </c>
      <c r="E2" s="2">
        <f>Rates!C2</f>
        <v/>
      </c>
      <c r="F2" s="2">
        <f>Rates!D2</f>
        <v/>
      </c>
      <c r="G2" s="2">
        <f>ABS(Routes!C2-Routes!E2)+ABS(Routes!D2-Routes!F2)</f>
        <v/>
      </c>
      <c r="H2" s="2">
        <f>Routes!I2</f>
        <v/>
      </c>
      <c r="I2" s="2">
        <f>INT(Policy!B2/Routes!J2)</f>
        <v/>
      </c>
      <c r="J2" s="2">
        <f>Routes!K2</f>
        <v/>
      </c>
      <c r="K2" s="2">
        <f>Routes!L2</f>
        <v/>
      </c>
      <c r="L2" s="2">
        <f>B2*I2</f>
        <v/>
      </c>
      <c r="M2" s="2">
        <f>MIN(K2,J2*L2)</f>
        <v/>
      </c>
      <c r="N2" s="2">
        <f>MAX(31,255-MAX(0,H2-E2)-MAX(0,H2-E2-F2))</f>
        <v/>
      </c>
      <c r="O2" s="2">
        <f>INT(J2*D2*G2*N2/2097152)*INT(M2/J2)+INT(MOD(M2,J2)*D2*G2*N2/2097152)</f>
        <v/>
      </c>
      <c r="P2" s="2">
        <f>B2*Routes!M2</f>
        <v/>
      </c>
      <c r="Q2" s="2">
        <f>B2*Routes!N2</f>
        <v/>
      </c>
      <c r="R2" s="2">
        <f>O2-P2-Q2</f>
        <v/>
      </c>
      <c r="S2" s="2">
        <f>H2+Policy!B6</f>
        <v/>
      </c>
      <c r="T2" s="2">
        <f>INT(Policy!B2/(Routes!J2+Policy!B7))</f>
        <v/>
      </c>
      <c r="U2" s="2">
        <f>INT(K2*Policy!B5/100)</f>
        <v/>
      </c>
      <c r="V2" s="2">
        <f>MIN(U2,B2*T2*J2)</f>
        <v/>
      </c>
      <c r="W2" s="2">
        <f>MAX(31,255-MAX(0,S2-E2)-MAX(0,S2-E2-F2))</f>
        <v/>
      </c>
      <c r="X2" s="2">
        <f>INT(J2*D2*G2*W2/2097152)*INT(V2/J2)+INT(MOD(V2,J2)*D2*G2*W2/2097152)</f>
        <v/>
      </c>
      <c r="Y2" s="2">
        <f>X2-P2-Q2</f>
        <v/>
      </c>
    </row>
    <row r="3" ht="32" customHeight="1">
      <c r="A3" s="4" t="inlineStr">
        <is>
          <t>C1</t>
        </is>
      </c>
      <c r="B3" s="5" t="n">
        <v>2</v>
      </c>
      <c r="C3" s="4" t="inlineStr">
        <is>
          <t>Coal</t>
        </is>
      </c>
      <c r="D3" s="4">
        <f>Rates!B2</f>
        <v/>
      </c>
      <c r="E3" s="4">
        <f>Rates!C2</f>
        <v/>
      </c>
      <c r="F3" s="4">
        <f>Rates!D2</f>
        <v/>
      </c>
      <c r="G3" s="4">
        <f>ABS(Routes!C2-Routes!E2)+ABS(Routes!D2-Routes!F2)</f>
        <v/>
      </c>
      <c r="H3" s="4">
        <f>Routes!I2</f>
        <v/>
      </c>
      <c r="I3" s="4">
        <f>INT(Policy!B2/Routes!J2)</f>
        <v/>
      </c>
      <c r="J3" s="4">
        <f>Routes!K2</f>
        <v/>
      </c>
      <c r="K3" s="4">
        <f>Routes!L2</f>
        <v/>
      </c>
      <c r="L3" s="4">
        <f>B3*I3</f>
        <v/>
      </c>
      <c r="M3" s="4">
        <f>MIN(K3,J3*L3)</f>
        <v/>
      </c>
      <c r="N3" s="4">
        <f>MAX(31,255-MAX(0,H3-E3)-MAX(0,H3-E3-F3))</f>
        <v/>
      </c>
      <c r="O3" s="4">
        <f>INT(J3*D3*G3*N3/2097152)*INT(M3/J3)+INT(MOD(M3,J3)*D3*G3*N3/2097152)</f>
        <v/>
      </c>
      <c r="P3" s="4">
        <f>B3*Routes!M2</f>
        <v/>
      </c>
      <c r="Q3" s="4">
        <f>B3*Routes!N2</f>
        <v/>
      </c>
      <c r="R3" s="4">
        <f>O3-P3-Q3</f>
        <v/>
      </c>
      <c r="S3" s="4">
        <f>H3+Policy!B6</f>
        <v/>
      </c>
      <c r="T3" s="4">
        <f>INT(Policy!B2/(Routes!J2+Policy!B7))</f>
        <v/>
      </c>
      <c r="U3" s="4">
        <f>INT(K3*Policy!B5/100)</f>
        <v/>
      </c>
      <c r="V3" s="4">
        <f>MIN(U3,B3*T3*J3)</f>
        <v/>
      </c>
      <c r="W3" s="4">
        <f>MAX(31,255-MAX(0,S3-E3)-MAX(0,S3-E3-F3))</f>
        <v/>
      </c>
      <c r="X3" s="4">
        <f>INT(J3*D3*G3*W3/2097152)*INT(V3/J3)+INT(MOD(V3,J3)*D3*G3*W3/2097152)</f>
        <v/>
      </c>
      <c r="Y3" s="4">
        <f>X3-P3-Q3</f>
        <v/>
      </c>
    </row>
    <row r="4" ht="32" customHeight="1">
      <c r="A4" s="2" t="inlineStr">
        <is>
          <t>C1</t>
        </is>
      </c>
      <c r="B4" s="3" t="n">
        <v>3</v>
      </c>
      <c r="C4" s="2" t="inlineStr">
        <is>
          <t>Coal</t>
        </is>
      </c>
      <c r="D4" s="2">
        <f>Rates!B2</f>
        <v/>
      </c>
      <c r="E4" s="2">
        <f>Rates!C2</f>
        <v/>
      </c>
      <c r="F4" s="2">
        <f>Rates!D2</f>
        <v/>
      </c>
      <c r="G4" s="2">
        <f>ABS(Routes!C2-Routes!E2)+ABS(Routes!D2-Routes!F2)</f>
        <v/>
      </c>
      <c r="H4" s="2">
        <f>Routes!I2</f>
        <v/>
      </c>
      <c r="I4" s="2">
        <f>INT(Policy!B2/Routes!J2)</f>
        <v/>
      </c>
      <c r="J4" s="2">
        <f>Routes!K2</f>
        <v/>
      </c>
      <c r="K4" s="2">
        <f>Routes!L2</f>
        <v/>
      </c>
      <c r="L4" s="2">
        <f>B4*I4</f>
        <v/>
      </c>
      <c r="M4" s="2">
        <f>MIN(K4,J4*L4)</f>
        <v/>
      </c>
      <c r="N4" s="2">
        <f>MAX(31,255-MAX(0,H4-E4)-MAX(0,H4-E4-F4))</f>
        <v/>
      </c>
      <c r="O4" s="2">
        <f>INT(J4*D4*G4*N4/2097152)*INT(M4/J4)+INT(MOD(M4,J4)*D4*G4*N4/2097152)</f>
        <v/>
      </c>
      <c r="P4" s="2">
        <f>B4*Routes!M2</f>
        <v/>
      </c>
      <c r="Q4" s="2">
        <f>B4*Routes!N2</f>
        <v/>
      </c>
      <c r="R4" s="2">
        <f>O4-P4-Q4</f>
        <v/>
      </c>
      <c r="S4" s="2">
        <f>H4+Policy!B6</f>
        <v/>
      </c>
      <c r="T4" s="2">
        <f>INT(Policy!B2/(Routes!J2+Policy!B7))</f>
        <v/>
      </c>
      <c r="U4" s="2">
        <f>INT(K4*Policy!B5/100)</f>
        <v/>
      </c>
      <c r="V4" s="2">
        <f>MIN(U4,B4*T4*J4)</f>
        <v/>
      </c>
      <c r="W4" s="2">
        <f>MAX(31,255-MAX(0,S4-E4)-MAX(0,S4-E4-F4))</f>
        <v/>
      </c>
      <c r="X4" s="2">
        <f>INT(J4*D4*G4*W4/2097152)*INT(V4/J4)+INT(MOD(V4,J4)*D4*G4*W4/2097152)</f>
        <v/>
      </c>
      <c r="Y4" s="2">
        <f>X4-P4-Q4</f>
        <v/>
      </c>
    </row>
    <row r="5" ht="32" customHeight="1">
      <c r="A5" s="4" t="inlineStr">
        <is>
          <t>G1</t>
        </is>
      </c>
      <c r="B5" s="5" t="n">
        <v>1</v>
      </c>
      <c r="C5" s="4" t="inlineStr">
        <is>
          <t>Goods</t>
        </is>
      </c>
      <c r="D5" s="4">
        <f>Rates!B3</f>
        <v/>
      </c>
      <c r="E5" s="4">
        <f>Rates!C3</f>
        <v/>
      </c>
      <c r="F5" s="4">
        <f>Rates!D3</f>
        <v/>
      </c>
      <c r="G5" s="4">
        <f>ABS(Routes!C3-Routes!E3)+ABS(Routes!D3-Routes!F3)</f>
        <v/>
      </c>
      <c r="H5" s="4">
        <f>Routes!I3</f>
        <v/>
      </c>
      <c r="I5" s="4">
        <f>INT(Policy!B2/Routes!J3)</f>
        <v/>
      </c>
      <c r="J5" s="4">
        <f>Routes!K3</f>
        <v/>
      </c>
      <c r="K5" s="4">
        <f>Routes!L3</f>
        <v/>
      </c>
      <c r="L5" s="4">
        <f>B5*I5</f>
        <v/>
      </c>
      <c r="M5" s="4">
        <f>MIN(K5,J5*L5)</f>
        <v/>
      </c>
      <c r="N5" s="4">
        <f>MAX(31,255-MAX(0,H5-E5)-MAX(0,H5-E5-F5))</f>
        <v/>
      </c>
      <c r="O5" s="4">
        <f>INT(J5*D5*G5*N5/2097152)*INT(M5/J5)+INT(MOD(M5,J5)*D5*G5*N5/2097152)</f>
        <v/>
      </c>
      <c r="P5" s="4">
        <f>B5*Routes!M3</f>
        <v/>
      </c>
      <c r="Q5" s="4">
        <f>B5*Routes!N3</f>
        <v/>
      </c>
      <c r="R5" s="4">
        <f>O5-P5-Q5</f>
        <v/>
      </c>
      <c r="S5" s="4">
        <f>H5+Policy!B6</f>
        <v/>
      </c>
      <c r="T5" s="4">
        <f>INT(Policy!B2/(Routes!J3+Policy!B7))</f>
        <v/>
      </c>
      <c r="U5" s="4">
        <f>INT(K5*Policy!B5/100)</f>
        <v/>
      </c>
      <c r="V5" s="4">
        <f>MIN(U5,B5*T5*J5)</f>
        <v/>
      </c>
      <c r="W5" s="4">
        <f>MAX(31,255-MAX(0,S5-E5)-MAX(0,S5-E5-F5))</f>
        <v/>
      </c>
      <c r="X5" s="4">
        <f>INT(J5*D5*G5*W5/2097152)*INT(V5/J5)+INT(MOD(V5,J5)*D5*G5*W5/2097152)</f>
        <v/>
      </c>
      <c r="Y5" s="4">
        <f>X5-P5-Q5</f>
        <v/>
      </c>
    </row>
    <row r="6" ht="32" customHeight="1">
      <c r="A6" s="2" t="inlineStr">
        <is>
          <t>G1</t>
        </is>
      </c>
      <c r="B6" s="3" t="n">
        <v>2</v>
      </c>
      <c r="C6" s="2" t="inlineStr">
        <is>
          <t>Goods</t>
        </is>
      </c>
      <c r="D6" s="2">
        <f>Rates!B3</f>
        <v/>
      </c>
      <c r="E6" s="2">
        <f>Rates!C3</f>
        <v/>
      </c>
      <c r="F6" s="2">
        <f>Rates!D3</f>
        <v/>
      </c>
      <c r="G6" s="2">
        <f>ABS(Routes!C3-Routes!E3)+ABS(Routes!D3-Routes!F3)</f>
        <v/>
      </c>
      <c r="H6" s="2">
        <f>Routes!I3</f>
        <v/>
      </c>
      <c r="I6" s="2">
        <f>INT(Policy!B2/Routes!J3)</f>
        <v/>
      </c>
      <c r="J6" s="2">
        <f>Routes!K3</f>
        <v/>
      </c>
      <c r="K6" s="2">
        <f>Routes!L3</f>
        <v/>
      </c>
      <c r="L6" s="2">
        <f>B6*I6</f>
        <v/>
      </c>
      <c r="M6" s="2">
        <f>MIN(K6,J6*L6)</f>
        <v/>
      </c>
      <c r="N6" s="2">
        <f>MAX(31,255-MAX(0,H6-E6)-MAX(0,H6-E6-F6))</f>
        <v/>
      </c>
      <c r="O6" s="2">
        <f>INT(J6*D6*G6*N6/2097152)*INT(M6/J6)+INT(MOD(M6,J6)*D6*G6*N6/2097152)</f>
        <v/>
      </c>
      <c r="P6" s="2">
        <f>B6*Routes!M3</f>
        <v/>
      </c>
      <c r="Q6" s="2">
        <f>B6*Routes!N3</f>
        <v/>
      </c>
      <c r="R6" s="2">
        <f>O6-P6-Q6</f>
        <v/>
      </c>
      <c r="S6" s="2">
        <f>H6+Policy!B6</f>
        <v/>
      </c>
      <c r="T6" s="2">
        <f>INT(Policy!B2/(Routes!J3+Policy!B7))</f>
        <v/>
      </c>
      <c r="U6" s="2">
        <f>INT(K6*Policy!B5/100)</f>
        <v/>
      </c>
      <c r="V6" s="2">
        <f>MIN(U6,B6*T6*J6)</f>
        <v/>
      </c>
      <c r="W6" s="2">
        <f>MAX(31,255-MAX(0,S6-E6)-MAX(0,S6-E6-F6))</f>
        <v/>
      </c>
      <c r="X6" s="2">
        <f>INT(J6*D6*G6*W6/2097152)*INT(V6/J6)+INT(MOD(V6,J6)*D6*G6*W6/2097152)</f>
        <v/>
      </c>
      <c r="Y6" s="2">
        <f>X6-P6-Q6</f>
        <v/>
      </c>
    </row>
    <row r="7" ht="32" customHeight="1">
      <c r="A7" s="4" t="inlineStr">
        <is>
          <t>G1</t>
        </is>
      </c>
      <c r="B7" s="5" t="n">
        <v>3</v>
      </c>
      <c r="C7" s="4" t="inlineStr">
        <is>
          <t>Goods</t>
        </is>
      </c>
      <c r="D7" s="4">
        <f>Rates!B3</f>
        <v/>
      </c>
      <c r="E7" s="4">
        <f>Rates!C3</f>
        <v/>
      </c>
      <c r="F7" s="4">
        <f>Rates!D3</f>
        <v/>
      </c>
      <c r="G7" s="4">
        <f>ABS(Routes!C3-Routes!E3)+ABS(Routes!D3-Routes!F3)</f>
        <v/>
      </c>
      <c r="H7" s="4">
        <f>Routes!I3</f>
        <v/>
      </c>
      <c r="I7" s="4">
        <f>INT(Policy!B2/Routes!J3)</f>
        <v/>
      </c>
      <c r="J7" s="4">
        <f>Routes!K3</f>
        <v/>
      </c>
      <c r="K7" s="4">
        <f>Routes!L3</f>
        <v/>
      </c>
      <c r="L7" s="4">
        <f>B7*I7</f>
        <v/>
      </c>
      <c r="M7" s="4">
        <f>MIN(K7,J7*L7)</f>
        <v/>
      </c>
      <c r="N7" s="4">
        <f>MAX(31,255-MAX(0,H7-E7)-MAX(0,H7-E7-F7))</f>
        <v/>
      </c>
      <c r="O7" s="4">
        <f>INT(J7*D7*G7*N7/2097152)*INT(M7/J7)+INT(MOD(M7,J7)*D7*G7*N7/2097152)</f>
        <v/>
      </c>
      <c r="P7" s="4">
        <f>B7*Routes!M3</f>
        <v/>
      </c>
      <c r="Q7" s="4">
        <f>B7*Routes!N3</f>
        <v/>
      </c>
      <c r="R7" s="4">
        <f>O7-P7-Q7</f>
        <v/>
      </c>
      <c r="S7" s="4">
        <f>H7+Policy!B6</f>
        <v/>
      </c>
      <c r="T7" s="4">
        <f>INT(Policy!B2/(Routes!J3+Policy!B7))</f>
        <v/>
      </c>
      <c r="U7" s="4">
        <f>INT(K7*Policy!B5/100)</f>
        <v/>
      </c>
      <c r="V7" s="4">
        <f>MIN(U7,B7*T7*J7)</f>
        <v/>
      </c>
      <c r="W7" s="4">
        <f>MAX(31,255-MAX(0,S7-E7)-MAX(0,S7-E7-F7))</f>
        <v/>
      </c>
      <c r="X7" s="4">
        <f>INT(J7*D7*G7*W7/2097152)*INT(V7/J7)+INT(MOD(V7,J7)*D7*G7*W7/2097152)</f>
        <v/>
      </c>
      <c r="Y7" s="4">
        <f>X7-P7-Q7</f>
        <v/>
      </c>
    </row>
    <row r="8" ht="32" customHeight="1">
      <c r="A8" s="2" t="inlineStr">
        <is>
          <t>G2</t>
        </is>
      </c>
      <c r="B8" s="3" t="n">
        <v>1</v>
      </c>
      <c r="C8" s="2" t="inlineStr">
        <is>
          <t>Goods</t>
        </is>
      </c>
      <c r="D8" s="2">
        <f>Rates!B3</f>
        <v/>
      </c>
      <c r="E8" s="2">
        <f>Rates!C3</f>
        <v/>
      </c>
      <c r="F8" s="2">
        <f>Rates!D3</f>
        <v/>
      </c>
      <c r="G8" s="2">
        <f>ABS(Routes!C4-Routes!E4)+ABS(Routes!D4-Routes!F4)</f>
        <v/>
      </c>
      <c r="H8" s="2">
        <f>Routes!I4</f>
        <v/>
      </c>
      <c r="I8" s="2">
        <f>INT(Policy!B2/Routes!J4)</f>
        <v/>
      </c>
      <c r="J8" s="2">
        <f>Routes!K4</f>
        <v/>
      </c>
      <c r="K8" s="2">
        <f>Routes!L4</f>
        <v/>
      </c>
      <c r="L8" s="2">
        <f>B8*I8</f>
        <v/>
      </c>
      <c r="M8" s="2">
        <f>MIN(K8,J8*L8)</f>
        <v/>
      </c>
      <c r="N8" s="2">
        <f>MAX(31,255-MAX(0,H8-E8)-MAX(0,H8-E8-F8))</f>
        <v/>
      </c>
      <c r="O8" s="2">
        <f>INT(J8*D8*G8*N8/2097152)*INT(M8/J8)+INT(MOD(M8,J8)*D8*G8*N8/2097152)</f>
        <v/>
      </c>
      <c r="P8" s="2">
        <f>B8*Routes!M4</f>
        <v/>
      </c>
      <c r="Q8" s="2">
        <f>B8*Routes!N4</f>
        <v/>
      </c>
      <c r="R8" s="2">
        <f>O8-P8-Q8</f>
        <v/>
      </c>
      <c r="S8" s="2">
        <f>H8+Policy!B6</f>
        <v/>
      </c>
      <c r="T8" s="2">
        <f>INT(Policy!B2/(Routes!J4+Policy!B7))</f>
        <v/>
      </c>
      <c r="U8" s="2">
        <f>INT(K8*Policy!B5/100)</f>
        <v/>
      </c>
      <c r="V8" s="2">
        <f>MIN(U8,B8*T8*J8)</f>
        <v/>
      </c>
      <c r="W8" s="2">
        <f>MAX(31,255-MAX(0,S8-E8)-MAX(0,S8-E8-F8))</f>
        <v/>
      </c>
      <c r="X8" s="2">
        <f>INT(J8*D8*G8*W8/2097152)*INT(V8/J8)+INT(MOD(V8,J8)*D8*G8*W8/2097152)</f>
        <v/>
      </c>
      <c r="Y8" s="2">
        <f>X8-P8-Q8</f>
        <v/>
      </c>
    </row>
    <row r="9" ht="32" customHeight="1">
      <c r="A9" s="4" t="inlineStr">
        <is>
          <t>G2</t>
        </is>
      </c>
      <c r="B9" s="5" t="n">
        <v>2</v>
      </c>
      <c r="C9" s="4" t="inlineStr">
        <is>
          <t>Goods</t>
        </is>
      </c>
      <c r="D9" s="4">
        <f>Rates!B3</f>
        <v/>
      </c>
      <c r="E9" s="4">
        <f>Rates!C3</f>
        <v/>
      </c>
      <c r="F9" s="4">
        <f>Rates!D3</f>
        <v/>
      </c>
      <c r="G9" s="4">
        <f>ABS(Routes!C4-Routes!E4)+ABS(Routes!D4-Routes!F4)</f>
        <v/>
      </c>
      <c r="H9" s="4">
        <f>Routes!I4</f>
        <v/>
      </c>
      <c r="I9" s="4">
        <f>INT(Policy!B2/Routes!J4)</f>
        <v/>
      </c>
      <c r="J9" s="4">
        <f>Routes!K4</f>
        <v/>
      </c>
      <c r="K9" s="4">
        <f>Routes!L4</f>
        <v/>
      </c>
      <c r="L9" s="4">
        <f>B9*I9</f>
        <v/>
      </c>
      <c r="M9" s="4">
        <f>MIN(K9,J9*L9)</f>
        <v/>
      </c>
      <c r="N9" s="4">
        <f>MAX(31,255-MAX(0,H9-E9)-MAX(0,H9-E9-F9))</f>
        <v/>
      </c>
      <c r="O9" s="4">
        <f>INT(J9*D9*G9*N9/2097152)*INT(M9/J9)+INT(MOD(M9,J9)*D9*G9*N9/2097152)</f>
        <v/>
      </c>
      <c r="P9" s="4">
        <f>B9*Routes!M4</f>
        <v/>
      </c>
      <c r="Q9" s="4">
        <f>B9*Routes!N4</f>
        <v/>
      </c>
      <c r="R9" s="4">
        <f>O9-P9-Q9</f>
        <v/>
      </c>
      <c r="S9" s="4">
        <f>H9+Policy!B6</f>
        <v/>
      </c>
      <c r="T9" s="4">
        <f>INT(Policy!B2/(Routes!J4+Policy!B7))</f>
        <v/>
      </c>
      <c r="U9" s="4">
        <f>INT(K9*Policy!B5/100)</f>
        <v/>
      </c>
      <c r="V9" s="4">
        <f>MIN(U9,B9*T9*J9)</f>
        <v/>
      </c>
      <c r="W9" s="4">
        <f>MAX(31,255-MAX(0,S9-E9)-MAX(0,S9-E9-F9))</f>
        <v/>
      </c>
      <c r="X9" s="4">
        <f>INT(J9*D9*G9*W9/2097152)*INT(V9/J9)+INT(MOD(V9,J9)*D9*G9*W9/2097152)</f>
        <v/>
      </c>
      <c r="Y9" s="4">
        <f>X9-P9-Q9</f>
        <v/>
      </c>
    </row>
    <row r="10" ht="32" customHeight="1">
      <c r="A10" s="2" t="inlineStr">
        <is>
          <t>G2</t>
        </is>
      </c>
      <c r="B10" s="3" t="n">
        <v>3</v>
      </c>
      <c r="C10" s="2" t="inlineStr">
        <is>
          <t>Goods</t>
        </is>
      </c>
      <c r="D10" s="2">
        <f>Rates!B3</f>
        <v/>
      </c>
      <c r="E10" s="2">
        <f>Rates!C3</f>
        <v/>
      </c>
      <c r="F10" s="2">
        <f>Rates!D3</f>
        <v/>
      </c>
      <c r="G10" s="2">
        <f>ABS(Routes!C4-Routes!E4)+ABS(Routes!D4-Routes!F4)</f>
        <v/>
      </c>
      <c r="H10" s="2">
        <f>Routes!I4</f>
        <v/>
      </c>
      <c r="I10" s="2">
        <f>INT(Policy!B2/Routes!J4)</f>
        <v/>
      </c>
      <c r="J10" s="2">
        <f>Routes!K4</f>
        <v/>
      </c>
      <c r="K10" s="2">
        <f>Routes!L4</f>
        <v/>
      </c>
      <c r="L10" s="2">
        <f>B10*I10</f>
        <v/>
      </c>
      <c r="M10" s="2">
        <f>MIN(K10,J10*L10)</f>
        <v/>
      </c>
      <c r="N10" s="2">
        <f>MAX(31,255-MAX(0,H10-E10)-MAX(0,H10-E10-F10))</f>
        <v/>
      </c>
      <c r="O10" s="2">
        <f>INT(J10*D10*G10*N10/2097152)*INT(M10/J10)+INT(MOD(M10,J10)*D10*G10*N10/2097152)</f>
        <v/>
      </c>
      <c r="P10" s="2">
        <f>B10*Routes!M4</f>
        <v/>
      </c>
      <c r="Q10" s="2">
        <f>B10*Routes!N4</f>
        <v/>
      </c>
      <c r="R10" s="2">
        <f>O10-P10-Q10</f>
        <v/>
      </c>
      <c r="S10" s="2">
        <f>H10+Policy!B6</f>
        <v/>
      </c>
      <c r="T10" s="2">
        <f>INT(Policy!B2/(Routes!J4+Policy!B7))</f>
        <v/>
      </c>
      <c r="U10" s="2">
        <f>INT(K10*Policy!B5/100)</f>
        <v/>
      </c>
      <c r="V10" s="2">
        <f>MIN(U10,B10*T10*J10)</f>
        <v/>
      </c>
      <c r="W10" s="2">
        <f>MAX(31,255-MAX(0,S10-E10)-MAX(0,S10-E10-F10))</f>
        <v/>
      </c>
      <c r="X10" s="2">
        <f>INT(J10*D10*G10*W10/2097152)*INT(V10/J10)+INT(MOD(V10,J10)*D10*G10*W10/2097152)</f>
        <v/>
      </c>
      <c r="Y10" s="2">
        <f>X10-P10-Q10</f>
        <v/>
      </c>
    </row>
    <row r="11" ht="32" customHeight="1">
      <c r="A11" s="4" t="inlineStr">
        <is>
          <t>P1</t>
        </is>
      </c>
      <c r="B11" s="5" t="n">
        <v>1</v>
      </c>
      <c r="C11" s="4" t="inlineStr">
        <is>
          <t>Passengers</t>
        </is>
      </c>
      <c r="D11" s="4">
        <f>Rates!B5</f>
        <v/>
      </c>
      <c r="E11" s="4">
        <f>Rates!C5</f>
        <v/>
      </c>
      <c r="F11" s="4">
        <f>Rates!D5</f>
        <v/>
      </c>
      <c r="G11" s="4">
        <f>ABS(Routes!C5-Routes!E5)+ABS(Routes!D5-Routes!F5)</f>
        <v/>
      </c>
      <c r="H11" s="4">
        <f>Routes!I5</f>
        <v/>
      </c>
      <c r="I11" s="4">
        <f>INT(Policy!B2/Routes!J5)</f>
        <v/>
      </c>
      <c r="J11" s="4">
        <f>Routes!K5</f>
        <v/>
      </c>
      <c r="K11" s="4">
        <f>Routes!L5</f>
        <v/>
      </c>
      <c r="L11" s="4">
        <f>B11*I11</f>
        <v/>
      </c>
      <c r="M11" s="4">
        <f>MIN(K11,J11*L11)</f>
        <v/>
      </c>
      <c r="N11" s="4">
        <f>MAX(31,255-MAX(0,H11-E11)-MAX(0,H11-E11-F11))</f>
        <v/>
      </c>
      <c r="O11" s="4">
        <f>INT(J11*D11*G11*N11/2097152)*INT(M11/J11)+INT(MOD(M11,J11)*D11*G11*N11/2097152)</f>
        <v/>
      </c>
      <c r="P11" s="4">
        <f>B11*Routes!M5</f>
        <v/>
      </c>
      <c r="Q11" s="4">
        <f>B11*Routes!N5</f>
        <v/>
      </c>
      <c r="R11" s="4">
        <f>O11-P11-Q11</f>
        <v/>
      </c>
      <c r="S11" s="4">
        <f>H11+Policy!B6</f>
        <v/>
      </c>
      <c r="T11" s="4">
        <f>INT(Policy!B2/(Routes!J5+Policy!B7))</f>
        <v/>
      </c>
      <c r="U11" s="4">
        <f>INT(K11*Policy!B5/100)</f>
        <v/>
      </c>
      <c r="V11" s="4">
        <f>MIN(U11,B11*T11*J11)</f>
        <v/>
      </c>
      <c r="W11" s="4">
        <f>MAX(31,255-MAX(0,S11-E11)-MAX(0,S11-E11-F11))</f>
        <v/>
      </c>
      <c r="X11" s="4">
        <f>INT(J11*D11*G11*W11/2097152)*INT(V11/J11)+INT(MOD(V11,J11)*D11*G11*W11/2097152)</f>
        <v/>
      </c>
      <c r="Y11" s="4">
        <f>X11-P11-Q11</f>
        <v/>
      </c>
    </row>
    <row r="12" ht="32" customHeight="1">
      <c r="A12" s="2" t="inlineStr">
        <is>
          <t>P1</t>
        </is>
      </c>
      <c r="B12" s="3" t="n">
        <v>2</v>
      </c>
      <c r="C12" s="2" t="inlineStr">
        <is>
          <t>Passengers</t>
        </is>
      </c>
      <c r="D12" s="2">
        <f>Rates!B5</f>
        <v/>
      </c>
      <c r="E12" s="2">
        <f>Rates!C5</f>
        <v/>
      </c>
      <c r="F12" s="2">
        <f>Rates!D5</f>
        <v/>
      </c>
      <c r="G12" s="2">
        <f>ABS(Routes!C5-Routes!E5)+ABS(Routes!D5-Routes!F5)</f>
        <v/>
      </c>
      <c r="H12" s="2">
        <f>Routes!I5</f>
        <v/>
      </c>
      <c r="I12" s="2">
        <f>INT(Policy!B2/Routes!J5)</f>
        <v/>
      </c>
      <c r="J12" s="2">
        <f>Routes!K5</f>
        <v/>
      </c>
      <c r="K12" s="2">
        <f>Routes!L5</f>
        <v/>
      </c>
      <c r="L12" s="2">
        <f>B12*I12</f>
        <v/>
      </c>
      <c r="M12" s="2">
        <f>MIN(K12,J12*L12)</f>
        <v/>
      </c>
      <c r="N12" s="2">
        <f>MAX(31,255-MAX(0,H12-E12)-MAX(0,H12-E12-F12))</f>
        <v/>
      </c>
      <c r="O12" s="2">
        <f>INT(J12*D12*G12*N12/2097152)*INT(M12/J12)+INT(MOD(M12,J12)*D12*G12*N12/2097152)</f>
        <v/>
      </c>
      <c r="P12" s="2">
        <f>B12*Routes!M5</f>
        <v/>
      </c>
      <c r="Q12" s="2">
        <f>B12*Routes!N5</f>
        <v/>
      </c>
      <c r="R12" s="2">
        <f>O12-P12-Q12</f>
        <v/>
      </c>
      <c r="S12" s="2">
        <f>H12+Policy!B6</f>
        <v/>
      </c>
      <c r="T12" s="2">
        <f>INT(Policy!B2/(Routes!J5+Policy!B7))</f>
        <v/>
      </c>
      <c r="U12" s="2">
        <f>INT(K12*Policy!B5/100)</f>
        <v/>
      </c>
      <c r="V12" s="2">
        <f>MIN(U12,B12*T12*J12)</f>
        <v/>
      </c>
      <c r="W12" s="2">
        <f>MAX(31,255-MAX(0,S12-E12)-MAX(0,S12-E12-F12))</f>
        <v/>
      </c>
      <c r="X12" s="2">
        <f>INT(J12*D12*G12*W12/2097152)*INT(V12/J12)+INT(MOD(V12,J12)*D12*G12*W12/2097152)</f>
        <v/>
      </c>
      <c r="Y12" s="2">
        <f>X12-P12-Q12</f>
        <v/>
      </c>
    </row>
    <row r="13" ht="32" customHeight="1">
      <c r="A13" s="4" t="inlineStr">
        <is>
          <t>P1</t>
        </is>
      </c>
      <c r="B13" s="5" t="n">
        <v>3</v>
      </c>
      <c r="C13" s="4" t="inlineStr">
        <is>
          <t>Passengers</t>
        </is>
      </c>
      <c r="D13" s="4">
        <f>Rates!B5</f>
        <v/>
      </c>
      <c r="E13" s="4">
        <f>Rates!C5</f>
        <v/>
      </c>
      <c r="F13" s="4">
        <f>Rates!D5</f>
        <v/>
      </c>
      <c r="G13" s="4">
        <f>ABS(Routes!C5-Routes!E5)+ABS(Routes!D5-Routes!F5)</f>
        <v/>
      </c>
      <c r="H13" s="4">
        <f>Routes!I5</f>
        <v/>
      </c>
      <c r="I13" s="4">
        <f>INT(Policy!B2/Routes!J5)</f>
        <v/>
      </c>
      <c r="J13" s="4">
        <f>Routes!K5</f>
        <v/>
      </c>
      <c r="K13" s="4">
        <f>Routes!L5</f>
        <v/>
      </c>
      <c r="L13" s="4">
        <f>B13*I13</f>
        <v/>
      </c>
      <c r="M13" s="4">
        <f>MIN(K13,J13*L13)</f>
        <v/>
      </c>
      <c r="N13" s="4">
        <f>MAX(31,255-MAX(0,H13-E13)-MAX(0,H13-E13-F13))</f>
        <v/>
      </c>
      <c r="O13" s="4">
        <f>INT(J13*D13*G13*N13/2097152)*INT(M13/J13)+INT(MOD(M13,J13)*D13*G13*N13/2097152)</f>
        <v/>
      </c>
      <c r="P13" s="4">
        <f>B13*Routes!M5</f>
        <v/>
      </c>
      <c r="Q13" s="4">
        <f>B13*Routes!N5</f>
        <v/>
      </c>
      <c r="R13" s="4">
        <f>O13-P13-Q13</f>
        <v/>
      </c>
      <c r="S13" s="4">
        <f>H13+Policy!B6</f>
        <v/>
      </c>
      <c r="T13" s="4">
        <f>INT(Policy!B2/(Routes!J5+Policy!B7))</f>
        <v/>
      </c>
      <c r="U13" s="4">
        <f>INT(K13*Policy!B5/100)</f>
        <v/>
      </c>
      <c r="V13" s="4">
        <f>MIN(U13,B13*T13*J13)</f>
        <v/>
      </c>
      <c r="W13" s="4">
        <f>MAX(31,255-MAX(0,S13-E13)-MAX(0,S13-E13-F13))</f>
        <v/>
      </c>
      <c r="X13" s="4">
        <f>INT(J13*D13*G13*W13/2097152)*INT(V13/J13)+INT(MOD(V13,J13)*D13*G13*W13/2097152)</f>
        <v/>
      </c>
      <c r="Y13" s="4">
        <f>X13-P13-Q13</f>
        <v/>
      </c>
    </row>
    <row r="14" ht="32" customHeight="1">
      <c r="A14" s="2" t="inlineStr">
        <is>
          <t>P2</t>
        </is>
      </c>
      <c r="B14" s="3" t="n">
        <v>1</v>
      </c>
      <c r="C14" s="2" t="inlineStr">
        <is>
          <t>Passengers</t>
        </is>
      </c>
      <c r="D14" s="2">
        <f>Rates!B5</f>
        <v/>
      </c>
      <c r="E14" s="2">
        <f>Rates!C5</f>
        <v/>
      </c>
      <c r="F14" s="2">
        <f>Rates!D5</f>
        <v/>
      </c>
      <c r="G14" s="2">
        <f>ABS(Routes!C6-Routes!E6)+ABS(Routes!D6-Routes!F6)</f>
        <v/>
      </c>
      <c r="H14" s="2">
        <f>Routes!I6</f>
        <v/>
      </c>
      <c r="I14" s="2">
        <f>INT(Policy!B2/Routes!J6)</f>
        <v/>
      </c>
      <c r="J14" s="2">
        <f>Routes!K6</f>
        <v/>
      </c>
      <c r="K14" s="2">
        <f>Routes!L6</f>
        <v/>
      </c>
      <c r="L14" s="2">
        <f>B14*I14</f>
        <v/>
      </c>
      <c r="M14" s="2">
        <f>MIN(K14,J14*L14)</f>
        <v/>
      </c>
      <c r="N14" s="2">
        <f>MAX(31,255-MAX(0,H14-E14)-MAX(0,H14-E14-F14))</f>
        <v/>
      </c>
      <c r="O14" s="2">
        <f>INT(J14*D14*G14*N14/2097152)*INT(M14/J14)+INT(MOD(M14,J14)*D14*G14*N14/2097152)</f>
        <v/>
      </c>
      <c r="P14" s="2">
        <f>B14*Routes!M6</f>
        <v/>
      </c>
      <c r="Q14" s="2">
        <f>B14*Routes!N6</f>
        <v/>
      </c>
      <c r="R14" s="2">
        <f>O14-P14-Q14</f>
        <v/>
      </c>
      <c r="S14" s="2">
        <f>H14+Policy!B6</f>
        <v/>
      </c>
      <c r="T14" s="2">
        <f>INT(Policy!B2/(Routes!J6+Policy!B7))</f>
        <v/>
      </c>
      <c r="U14" s="2">
        <f>INT(K14*Policy!B5/100)</f>
        <v/>
      </c>
      <c r="V14" s="2">
        <f>MIN(U14,B14*T14*J14)</f>
        <v/>
      </c>
      <c r="W14" s="2">
        <f>MAX(31,255-MAX(0,S14-E14)-MAX(0,S14-E14-F14))</f>
        <v/>
      </c>
      <c r="X14" s="2">
        <f>INT(J14*D14*G14*W14/2097152)*INT(V14/J14)+INT(MOD(V14,J14)*D14*G14*W14/2097152)</f>
        <v/>
      </c>
      <c r="Y14" s="2">
        <f>X14-P14-Q14</f>
        <v/>
      </c>
    </row>
    <row r="15" ht="32" customHeight="1">
      <c r="A15" s="4" t="inlineStr">
        <is>
          <t>P2</t>
        </is>
      </c>
      <c r="B15" s="5" t="n">
        <v>2</v>
      </c>
      <c r="C15" s="4" t="inlineStr">
        <is>
          <t>Passengers</t>
        </is>
      </c>
      <c r="D15" s="4">
        <f>Rates!B5</f>
        <v/>
      </c>
      <c r="E15" s="4">
        <f>Rates!C5</f>
        <v/>
      </c>
      <c r="F15" s="4">
        <f>Rates!D5</f>
        <v/>
      </c>
      <c r="G15" s="4">
        <f>ABS(Routes!C6-Routes!E6)+ABS(Routes!D6-Routes!F6)</f>
        <v/>
      </c>
      <c r="H15" s="4">
        <f>Routes!I6</f>
        <v/>
      </c>
      <c r="I15" s="4">
        <f>INT(Policy!B2/Routes!J6)</f>
        <v/>
      </c>
      <c r="J15" s="4">
        <f>Routes!K6</f>
        <v/>
      </c>
      <c r="K15" s="4">
        <f>Routes!L6</f>
        <v/>
      </c>
      <c r="L15" s="4">
        <f>B15*I15</f>
        <v/>
      </c>
      <c r="M15" s="4">
        <f>MIN(K15,J15*L15)</f>
        <v/>
      </c>
      <c r="N15" s="4">
        <f>MAX(31,255-MAX(0,H15-E15)-MAX(0,H15-E15-F15))</f>
        <v/>
      </c>
      <c r="O15" s="4">
        <f>INT(J15*D15*G15*N15/2097152)*INT(M15/J15)+INT(MOD(M15,J15)*D15*G15*N15/2097152)</f>
        <v/>
      </c>
      <c r="P15" s="4">
        <f>B15*Routes!M6</f>
        <v/>
      </c>
      <c r="Q15" s="4">
        <f>B15*Routes!N6</f>
        <v/>
      </c>
      <c r="R15" s="4">
        <f>O15-P15-Q15</f>
        <v/>
      </c>
      <c r="S15" s="4">
        <f>H15+Policy!B6</f>
        <v/>
      </c>
      <c r="T15" s="4">
        <f>INT(Policy!B2/(Routes!J6+Policy!B7))</f>
        <v/>
      </c>
      <c r="U15" s="4">
        <f>INT(K15*Policy!B5/100)</f>
        <v/>
      </c>
      <c r="V15" s="4">
        <f>MIN(U15,B15*T15*J15)</f>
        <v/>
      </c>
      <c r="W15" s="4">
        <f>MAX(31,255-MAX(0,S15-E15)-MAX(0,S15-E15-F15))</f>
        <v/>
      </c>
      <c r="X15" s="4">
        <f>INT(J15*D15*G15*W15/2097152)*INT(V15/J15)+INT(MOD(V15,J15)*D15*G15*W15/2097152)</f>
        <v/>
      </c>
      <c r="Y15" s="4">
        <f>X15-P15-Q15</f>
        <v/>
      </c>
    </row>
    <row r="16" ht="32" customHeight="1">
      <c r="A16" s="2" t="inlineStr">
        <is>
          <t>P2</t>
        </is>
      </c>
      <c r="B16" s="3" t="n">
        <v>3</v>
      </c>
      <c r="C16" s="2" t="inlineStr">
        <is>
          <t>Passengers</t>
        </is>
      </c>
      <c r="D16" s="2">
        <f>Rates!B5</f>
        <v/>
      </c>
      <c r="E16" s="2">
        <f>Rates!C5</f>
        <v/>
      </c>
      <c r="F16" s="2">
        <f>Rates!D5</f>
        <v/>
      </c>
      <c r="G16" s="2">
        <f>ABS(Routes!C6-Routes!E6)+ABS(Routes!D6-Routes!F6)</f>
        <v/>
      </c>
      <c r="H16" s="2">
        <f>Routes!I6</f>
        <v/>
      </c>
      <c r="I16" s="2">
        <f>INT(Policy!B2/Routes!J6)</f>
        <v/>
      </c>
      <c r="J16" s="2">
        <f>Routes!K6</f>
        <v/>
      </c>
      <c r="K16" s="2">
        <f>Routes!L6</f>
        <v/>
      </c>
      <c r="L16" s="2">
        <f>B16*I16</f>
        <v/>
      </c>
      <c r="M16" s="2">
        <f>MIN(K16,J16*L16)</f>
        <v/>
      </c>
      <c r="N16" s="2">
        <f>MAX(31,255-MAX(0,H16-E16)-MAX(0,H16-E16-F16))</f>
        <v/>
      </c>
      <c r="O16" s="2">
        <f>INT(J16*D16*G16*N16/2097152)*INT(M16/J16)+INT(MOD(M16,J16)*D16*G16*N16/2097152)</f>
        <v/>
      </c>
      <c r="P16" s="2">
        <f>B16*Routes!M6</f>
        <v/>
      </c>
      <c r="Q16" s="2">
        <f>B16*Routes!N6</f>
        <v/>
      </c>
      <c r="R16" s="2">
        <f>O16-P16-Q16</f>
        <v/>
      </c>
      <c r="S16" s="2">
        <f>H16+Policy!B6</f>
        <v/>
      </c>
      <c r="T16" s="2">
        <f>INT(Policy!B2/(Routes!J6+Policy!B7))</f>
        <v/>
      </c>
      <c r="U16" s="2">
        <f>INT(K16*Policy!B5/100)</f>
        <v/>
      </c>
      <c r="V16" s="2">
        <f>MIN(U16,B16*T16*J16)</f>
        <v/>
      </c>
      <c r="W16" s="2">
        <f>MAX(31,255-MAX(0,S16-E16)-MAX(0,S16-E16-F16))</f>
        <v/>
      </c>
      <c r="X16" s="2">
        <f>INT(J16*D16*G16*W16/2097152)*INT(V16/J16)+INT(MOD(V16,J16)*D16*G16*W16/2097152)</f>
        <v/>
      </c>
      <c r="Y16" s="2">
        <f>X16-P16-Q16</f>
        <v/>
      </c>
    </row>
    <row r="17" ht="32" customHeight="1">
      <c r="A17" s="4" t="inlineStr">
        <is>
          <t>M1</t>
        </is>
      </c>
      <c r="B17" s="5" t="n">
        <v>1</v>
      </c>
      <c r="C17" s="4" t="inlineStr">
        <is>
          <t>Mail</t>
        </is>
      </c>
      <c r="D17" s="4">
        <f>Rates!B4</f>
        <v/>
      </c>
      <c r="E17" s="4">
        <f>Rates!C4</f>
        <v/>
      </c>
      <c r="F17" s="4">
        <f>Rates!D4</f>
        <v/>
      </c>
      <c r="G17" s="4">
        <f>ABS(Routes!C7-Routes!E7)+ABS(Routes!D7-Routes!F7)</f>
        <v/>
      </c>
      <c r="H17" s="4">
        <f>Routes!I7</f>
        <v/>
      </c>
      <c r="I17" s="4">
        <f>INT(Policy!B2/Routes!J7)</f>
        <v/>
      </c>
      <c r="J17" s="4">
        <f>Routes!K7</f>
        <v/>
      </c>
      <c r="K17" s="4">
        <f>Routes!L7</f>
        <v/>
      </c>
      <c r="L17" s="4">
        <f>B17*I17</f>
        <v/>
      </c>
      <c r="M17" s="4">
        <f>MIN(K17,J17*L17)</f>
        <v/>
      </c>
      <c r="N17" s="4">
        <f>MAX(31,255-MAX(0,H17-E17)-MAX(0,H17-E17-F17))</f>
        <v/>
      </c>
      <c r="O17" s="4">
        <f>INT(J17*D17*G17*N17/2097152)*INT(M17/J17)+INT(MOD(M17,J17)*D17*G17*N17/2097152)</f>
        <v/>
      </c>
      <c r="P17" s="4">
        <f>B17*Routes!M7</f>
        <v/>
      </c>
      <c r="Q17" s="4">
        <f>B17*Routes!N7</f>
        <v/>
      </c>
      <c r="R17" s="4">
        <f>O17-P17-Q17</f>
        <v/>
      </c>
      <c r="S17" s="4">
        <f>H17+Policy!B6</f>
        <v/>
      </c>
      <c r="T17" s="4">
        <f>INT(Policy!B2/(Routes!J7+Policy!B7))</f>
        <v/>
      </c>
      <c r="U17" s="4">
        <f>INT(K17*Policy!B5/100)</f>
        <v/>
      </c>
      <c r="V17" s="4">
        <f>MIN(U17,B17*T17*J17)</f>
        <v/>
      </c>
      <c r="W17" s="4">
        <f>MAX(31,255-MAX(0,S17-E17)-MAX(0,S17-E17-F17))</f>
        <v/>
      </c>
      <c r="X17" s="4">
        <f>INT(J17*D17*G17*W17/2097152)*INT(V17/J17)+INT(MOD(V17,J17)*D17*G17*W17/2097152)</f>
        <v/>
      </c>
      <c r="Y17" s="4">
        <f>X17-P17-Q17</f>
        <v/>
      </c>
    </row>
    <row r="18" ht="32" customHeight="1">
      <c r="A18" s="2" t="inlineStr">
        <is>
          <t>M1</t>
        </is>
      </c>
      <c r="B18" s="3" t="n">
        <v>2</v>
      </c>
      <c r="C18" s="2" t="inlineStr">
        <is>
          <t>Mail</t>
        </is>
      </c>
      <c r="D18" s="2">
        <f>Rates!B4</f>
        <v/>
      </c>
      <c r="E18" s="2">
        <f>Rates!C4</f>
        <v/>
      </c>
      <c r="F18" s="2">
        <f>Rates!D4</f>
        <v/>
      </c>
      <c r="G18" s="2">
        <f>ABS(Routes!C7-Routes!E7)+ABS(Routes!D7-Routes!F7)</f>
        <v/>
      </c>
      <c r="H18" s="2">
        <f>Routes!I7</f>
        <v/>
      </c>
      <c r="I18" s="2">
        <f>INT(Policy!B2/Routes!J7)</f>
        <v/>
      </c>
      <c r="J18" s="2">
        <f>Routes!K7</f>
        <v/>
      </c>
      <c r="K18" s="2">
        <f>Routes!L7</f>
        <v/>
      </c>
      <c r="L18" s="2">
        <f>B18*I18</f>
        <v/>
      </c>
      <c r="M18" s="2">
        <f>MIN(K18,J18*L18)</f>
        <v/>
      </c>
      <c r="N18" s="2">
        <f>MAX(31,255-MAX(0,H18-E18)-MAX(0,H18-E18-F18))</f>
        <v/>
      </c>
      <c r="O18" s="2">
        <f>INT(J18*D18*G18*N18/2097152)*INT(M18/J18)+INT(MOD(M18,J18)*D18*G18*N18/2097152)</f>
        <v/>
      </c>
      <c r="P18" s="2">
        <f>B18*Routes!M7</f>
        <v/>
      </c>
      <c r="Q18" s="2">
        <f>B18*Routes!N7</f>
        <v/>
      </c>
      <c r="R18" s="2">
        <f>O18-P18-Q18</f>
        <v/>
      </c>
      <c r="S18" s="2">
        <f>H18+Policy!B6</f>
        <v/>
      </c>
      <c r="T18" s="2">
        <f>INT(Policy!B2/(Routes!J7+Policy!B7))</f>
        <v/>
      </c>
      <c r="U18" s="2">
        <f>INT(K18*Policy!B5/100)</f>
        <v/>
      </c>
      <c r="V18" s="2">
        <f>MIN(U18,B18*T18*J18)</f>
        <v/>
      </c>
      <c r="W18" s="2">
        <f>MAX(31,255-MAX(0,S18-E18)-MAX(0,S18-E18-F18))</f>
        <v/>
      </c>
      <c r="X18" s="2">
        <f>INT(J18*D18*G18*W18/2097152)*INT(V18/J18)+INT(MOD(V18,J18)*D18*G18*W18/2097152)</f>
        <v/>
      </c>
      <c r="Y18" s="2">
        <f>X18-P18-Q18</f>
        <v/>
      </c>
    </row>
    <row r="19" ht="32" customHeight="1">
      <c r="A19" s="4" t="inlineStr">
        <is>
          <t>M1</t>
        </is>
      </c>
      <c r="B19" s="5" t="n">
        <v>3</v>
      </c>
      <c r="C19" s="4" t="inlineStr">
        <is>
          <t>Mail</t>
        </is>
      </c>
      <c r="D19" s="4">
        <f>Rates!B4</f>
        <v/>
      </c>
      <c r="E19" s="4">
        <f>Rates!C4</f>
        <v/>
      </c>
      <c r="F19" s="4">
        <f>Rates!D4</f>
        <v/>
      </c>
      <c r="G19" s="4">
        <f>ABS(Routes!C7-Routes!E7)+ABS(Routes!D7-Routes!F7)</f>
        <v/>
      </c>
      <c r="H19" s="4">
        <f>Routes!I7</f>
        <v/>
      </c>
      <c r="I19" s="4">
        <f>INT(Policy!B2/Routes!J7)</f>
        <v/>
      </c>
      <c r="J19" s="4">
        <f>Routes!K7</f>
        <v/>
      </c>
      <c r="K19" s="4">
        <f>Routes!L7</f>
        <v/>
      </c>
      <c r="L19" s="4">
        <f>B19*I19</f>
        <v/>
      </c>
      <c r="M19" s="4">
        <f>MIN(K19,J19*L19)</f>
        <v/>
      </c>
      <c r="N19" s="4">
        <f>MAX(31,255-MAX(0,H19-E19)-MAX(0,H19-E19-F19))</f>
        <v/>
      </c>
      <c r="O19" s="4">
        <f>INT(J19*D19*G19*N19/2097152)*INT(M19/J19)+INT(MOD(M19,J19)*D19*G19*N19/2097152)</f>
        <v/>
      </c>
      <c r="P19" s="4">
        <f>B19*Routes!M7</f>
        <v/>
      </c>
      <c r="Q19" s="4">
        <f>B19*Routes!N7</f>
        <v/>
      </c>
      <c r="R19" s="4">
        <f>O19-P19-Q19</f>
        <v/>
      </c>
      <c r="S19" s="4">
        <f>H19+Policy!B6</f>
        <v/>
      </c>
      <c r="T19" s="4">
        <f>INT(Policy!B2/(Routes!J7+Policy!B7))</f>
        <v/>
      </c>
      <c r="U19" s="4">
        <f>INT(K19*Policy!B5/100)</f>
        <v/>
      </c>
      <c r="V19" s="4">
        <f>MIN(U19,B19*T19*J19)</f>
        <v/>
      </c>
      <c r="W19" s="4">
        <f>MAX(31,255-MAX(0,S19-E19)-MAX(0,S19-E19-F19))</f>
        <v/>
      </c>
      <c r="X19" s="4">
        <f>INT(J19*D19*G19*W19/2097152)*INT(V19/J19)+INT(MOD(V19,J19)*D19*G19*W19/2097152)</f>
        <v/>
      </c>
      <c r="Y19" s="4">
        <f>X19-P19-Q19</f>
        <v/>
      </c>
    </row>
  </sheetData>
  <autoFilter ref="A1:Y19"/>
  <printOptions horizontalCentered="1"/>
  <pageMargins left="0.75" right="0.75" top="1" bottom="1" header="0.5" footer="0.5"/>
  <pageSetup orientation="landscape" paperSize="8" fitToHeight="0" fitToWidth="1"/>
  <headerFooter>
    <oddHeader/>
    <oddFooter>&amp;C&amp;A | 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2" customWidth="1" min="3" max="3"/>
    <col width="22" customWidth="1" min="4" max="4"/>
    <col width="22" customWidth="1" min="5" max="5"/>
    <col width="55" customWidth="1" min="6" max="6"/>
  </cols>
  <sheetData>
    <row r="1" ht="32" customHeight="1">
      <c r="A1" s="1" t="inlineStr">
        <is>
          <t>ID</t>
        </is>
      </c>
      <c r="B1" s="1" t="inlineStr">
        <is>
          <t>Vehicles</t>
        </is>
      </c>
      <c r="C1" s="1" t="inlineStr">
        <is>
          <t>Purchase</t>
        </is>
      </c>
      <c r="D1" s="1" t="inlineStr">
        <is>
          <t>Base net</t>
        </is>
      </c>
      <c r="E1" s="1" t="inlineStr">
        <is>
          <t>Stress net</t>
        </is>
      </c>
      <c r="F1" s="1" t="inlineStr">
        <is>
          <t>Formula origin</t>
        </is>
      </c>
    </row>
    <row r="2" ht="32" customHeight="1">
      <c r="A2" s="2" t="inlineStr">
        <is>
          <t>C1</t>
        </is>
      </c>
      <c r="B2" s="3" t="n">
        <v>0</v>
      </c>
      <c r="C2" s="2">
        <f>0</f>
        <v/>
      </c>
      <c r="D2" s="2">
        <f>0</f>
        <v/>
      </c>
      <c r="E2" s="2">
        <f>0</f>
        <v/>
      </c>
      <c r="F2" s="2" t="inlineStr">
        <is>
          <t>not purchased</t>
        </is>
      </c>
    </row>
    <row r="3" ht="32" customHeight="1">
      <c r="A3" s="4" t="inlineStr">
        <is>
          <t>G1</t>
        </is>
      </c>
      <c r="B3" s="5" t="n">
        <v>3</v>
      </c>
      <c r="C3" s="4">
        <f>Options!P7</f>
        <v/>
      </c>
      <c r="D3" s="4">
        <f>Options!R7</f>
        <v/>
      </c>
      <c r="E3" s="4">
        <f>Options!Y7</f>
        <v/>
      </c>
      <c r="F3" s="4" t="inlineStr">
        <is>
          <t>Options row 7</t>
        </is>
      </c>
    </row>
    <row r="4" ht="32" customHeight="1">
      <c r="A4" s="2" t="inlineStr">
        <is>
          <t>G2</t>
        </is>
      </c>
      <c r="B4" s="3" t="n">
        <v>0</v>
      </c>
      <c r="C4" s="2">
        <f>0</f>
        <v/>
      </c>
      <c r="D4" s="2">
        <f>0</f>
        <v/>
      </c>
      <c r="E4" s="2">
        <f>0</f>
        <v/>
      </c>
      <c r="F4" s="2" t="inlineStr">
        <is>
          <t>not purchased</t>
        </is>
      </c>
    </row>
    <row r="5" ht="32" customHeight="1">
      <c r="A5" s="4" t="inlineStr">
        <is>
          <t>P1</t>
        </is>
      </c>
      <c r="B5" s="5" t="n">
        <v>0</v>
      </c>
      <c r="C5" s="4">
        <f>0</f>
        <v/>
      </c>
      <c r="D5" s="4">
        <f>0</f>
        <v/>
      </c>
      <c r="E5" s="4">
        <f>0</f>
        <v/>
      </c>
      <c r="F5" s="4" t="inlineStr">
        <is>
          <t>not purchased</t>
        </is>
      </c>
    </row>
    <row r="6" ht="32" customHeight="1">
      <c r="A6" s="2" t="inlineStr">
        <is>
          <t>P2</t>
        </is>
      </c>
      <c r="B6" s="3" t="n">
        <v>0</v>
      </c>
      <c r="C6" s="2">
        <f>0</f>
        <v/>
      </c>
      <c r="D6" s="2">
        <f>0</f>
        <v/>
      </c>
      <c r="E6" s="2">
        <f>0</f>
        <v/>
      </c>
      <c r="F6" s="2" t="inlineStr">
        <is>
          <t>not purchased</t>
        </is>
      </c>
    </row>
    <row r="7" ht="32" customHeight="1">
      <c r="A7" s="4" t="inlineStr">
        <is>
          <t>M1</t>
        </is>
      </c>
      <c r="B7" s="5" t="n">
        <v>0</v>
      </c>
      <c r="C7" s="4">
        <f>0</f>
        <v/>
      </c>
      <c r="D7" s="4">
        <f>0</f>
        <v/>
      </c>
      <c r="E7" s="4">
        <f>0</f>
        <v/>
      </c>
      <c r="F7" s="4" t="inlineStr">
        <is>
          <t>not purchased</t>
        </is>
      </c>
    </row>
    <row r="8" ht="50" customHeight="1">
      <c r="A8" s="2" t="inlineStr">
        <is>
          <t>TOTAL</t>
        </is>
      </c>
      <c r="B8" s="2">
        <f>SUM(B2:B7)</f>
        <v/>
      </c>
      <c r="C8" s="2">
        <f>SUM(C2:C7)</f>
        <v/>
      </c>
      <c r="D8" s="2">
        <f>SUM(D2:D7)</f>
        <v/>
      </c>
      <c r="E8" s="2">
        <f>SUM(E2:E7)</f>
        <v/>
      </c>
      <c r="F8" s="2" t="inlineStr">
        <is>
          <t>First-year net deducts purchase and full-year running costs</t>
        </is>
      </c>
    </row>
  </sheetData>
  <autoFilter ref="A1:F8"/>
  <printOptions horizontalCentered="1"/>
  <pageMargins left="0.75" right="0.75" top="1" bottom="1" header="0.5" footer="0.5"/>
  <pageSetup orientation="landscape" paperSize="8" fitToHeight="0" fitToWidth="1"/>
  <headerFooter>
    <oddHeader/>
    <oddFooter>&amp;C&amp;A | &amp;P /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5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6" customWidth="1" min="2" max="2"/>
    <col width="22" customWidth="1" min="3" max="3"/>
    <col width="22" customWidth="1" min="4" max="4"/>
    <col width="22" customWidth="1" min="5" max="5"/>
  </cols>
  <sheetData>
    <row r="1" ht="32" customHeight="1">
      <c r="A1" s="1" t="inlineStr">
        <is>
          <t>Rank</t>
        </is>
      </c>
      <c r="B1" s="1" t="inlineStr">
        <is>
          <t>Fleet vector</t>
        </is>
      </c>
      <c r="C1" s="1" t="inlineStr">
        <is>
          <t>Purchase</t>
        </is>
      </c>
      <c r="D1" s="1" t="inlineStr">
        <is>
          <t>Base net</t>
        </is>
      </c>
      <c r="E1" s="1" t="inlineStr">
        <is>
          <t>Stress net</t>
        </is>
      </c>
    </row>
    <row r="2" ht="32" customHeight="1">
      <c r="A2" s="3" t="n">
        <v>1</v>
      </c>
      <c r="B2" s="2" t="inlineStr">
        <is>
          <t>{"C1": 0, "G1": 3, "G2": 0, "M1": 0, "P1": 0, "P2": 0}</t>
        </is>
      </c>
      <c r="C2" s="3" t="n">
        <v>84000</v>
      </c>
      <c r="D2" s="3" t="n">
        <v>192270</v>
      </c>
      <c r="E2" s="3" t="n">
        <v>137010</v>
      </c>
    </row>
    <row r="3" ht="32" customHeight="1">
      <c r="A3" s="5" t="n">
        <v>2</v>
      </c>
      <c r="B3" s="4" t="inlineStr">
        <is>
          <t>{"C1": 2, "G1": 2, "G2": 0, "M1": 0, "P1": 0, "P2": 0}</t>
        </is>
      </c>
      <c r="C3" s="5" t="n">
        <v>100000</v>
      </c>
      <c r="D3" s="5" t="n">
        <v>196916</v>
      </c>
      <c r="E3" s="5" t="n">
        <v>126766</v>
      </c>
    </row>
    <row r="4" ht="32" customHeight="1">
      <c r="A4" s="3" t="n">
        <v>3</v>
      </c>
      <c r="B4" s="2" t="inlineStr">
        <is>
          <t>{"C1": 1, "G1": 2, "G2": 0, "M1": 0, "P1": 1, "P2": 0}</t>
        </is>
      </c>
      <c r="C4" s="3" t="n">
        <v>98000</v>
      </c>
      <c r="D4" s="3" t="n">
        <v>175876</v>
      </c>
      <c r="E4" s="3" t="n">
        <v>115895</v>
      </c>
    </row>
    <row r="5" ht="32" customHeight="1">
      <c r="A5" s="5" t="n">
        <v>4</v>
      </c>
      <c r="B5" s="4" t="inlineStr">
        <is>
          <t>{"C1": 1, "G1": 2, "G2": 0, "M1": 0, "P1": 0, "P2": 0}</t>
        </is>
      </c>
      <c r="C5" s="5" t="n">
        <v>78000</v>
      </c>
      <c r="D5" s="5" t="n">
        <v>162548</v>
      </c>
      <c r="E5" s="5" t="n">
        <v>109053</v>
      </c>
    </row>
  </sheetData>
  <autoFilter ref="A1:E5"/>
  <printOptions horizontalCentered="1"/>
  <pageMargins left="0.75" right="0.75" top="1" bottom="1" header="0.5" footer="0.5"/>
  <pageSetup orientation="landscape" paperSize="8" fitToHeight="0" fitToWidth="1"/>
  <headerFooter>
    <oddHeader/>
    <oddFooter>&amp;C&amp;A | &amp;P /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J19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</cols>
  <sheetData>
    <row r="1" ht="32" customHeight="1">
      <c r="A1" s="1" t="inlineStr">
        <is>
          <t>选项</t>
        </is>
      </c>
      <c r="B1" s="1" t="inlineStr">
        <is>
          <t>计费距离/格</t>
        </is>
      </c>
      <c r="C1" s="1" t="inlineStr">
        <is>
          <t>车辆数</t>
        </is>
      </c>
      <c r="D1" s="1" t="inlineStr">
        <is>
          <t>年循环/辆</t>
        </is>
      </c>
      <c r="E1" s="1" t="inlineStr">
        <is>
          <t>总循环</t>
        </is>
      </c>
      <c r="F1" s="1" t="inlineStr">
        <is>
          <t>交付量</t>
        </is>
      </c>
      <c r="G1" s="1" t="inlineStr">
        <is>
          <t>收入/英镑</t>
        </is>
      </c>
      <c r="H1" s="1" t="inlineStr">
        <is>
          <t>购车/英镑</t>
        </is>
      </c>
      <c r="I1" s="1" t="inlineStr">
        <is>
          <t>年运行费/英镑</t>
        </is>
      </c>
      <c r="J1" s="1" t="inlineStr">
        <is>
          <t>首年净现金/英镑</t>
        </is>
      </c>
    </row>
    <row r="2" ht="32" customHeight="1">
      <c r="A2" s="2">
        <f>Options!A2</f>
        <v/>
      </c>
      <c r="B2" s="2">
        <f>Options!G2</f>
        <v/>
      </c>
      <c r="C2" s="2">
        <f>Options!B2</f>
        <v/>
      </c>
      <c r="D2" s="2">
        <f>Options!I2</f>
        <v/>
      </c>
      <c r="E2" s="2">
        <f>Options!L2</f>
        <v/>
      </c>
      <c r="F2" s="2">
        <f>Options!M2</f>
        <v/>
      </c>
      <c r="G2" s="2">
        <f>Options!O2</f>
        <v/>
      </c>
      <c r="H2" s="2">
        <f>Options!P2</f>
        <v/>
      </c>
      <c r="I2" s="2">
        <f>Options!Q2</f>
        <v/>
      </c>
      <c r="J2" s="2">
        <f>Options!R2</f>
        <v/>
      </c>
    </row>
    <row r="3" ht="32" customHeight="1">
      <c r="A3" s="4">
        <f>Options!A3</f>
        <v/>
      </c>
      <c r="B3" s="4">
        <f>Options!G3</f>
        <v/>
      </c>
      <c r="C3" s="4">
        <f>Options!B3</f>
        <v/>
      </c>
      <c r="D3" s="4">
        <f>Options!I3</f>
        <v/>
      </c>
      <c r="E3" s="4">
        <f>Options!L3</f>
        <v/>
      </c>
      <c r="F3" s="4">
        <f>Options!M3</f>
        <v/>
      </c>
      <c r="G3" s="4">
        <f>Options!O3</f>
        <v/>
      </c>
      <c r="H3" s="4">
        <f>Options!P3</f>
        <v/>
      </c>
      <c r="I3" s="4">
        <f>Options!Q3</f>
        <v/>
      </c>
      <c r="J3" s="4">
        <f>Options!R3</f>
        <v/>
      </c>
    </row>
    <row r="4" ht="32" customHeight="1">
      <c r="A4" s="2">
        <f>Options!A4</f>
        <v/>
      </c>
      <c r="B4" s="2">
        <f>Options!G4</f>
        <v/>
      </c>
      <c r="C4" s="2">
        <f>Options!B4</f>
        <v/>
      </c>
      <c r="D4" s="2">
        <f>Options!I4</f>
        <v/>
      </c>
      <c r="E4" s="2">
        <f>Options!L4</f>
        <v/>
      </c>
      <c r="F4" s="2">
        <f>Options!M4</f>
        <v/>
      </c>
      <c r="G4" s="2">
        <f>Options!O4</f>
        <v/>
      </c>
      <c r="H4" s="2">
        <f>Options!P4</f>
        <v/>
      </c>
      <c r="I4" s="2">
        <f>Options!Q4</f>
        <v/>
      </c>
      <c r="J4" s="2">
        <f>Options!R4</f>
        <v/>
      </c>
    </row>
    <row r="5" ht="32" customHeight="1">
      <c r="A5" s="4">
        <f>Options!A5</f>
        <v/>
      </c>
      <c r="B5" s="4">
        <f>Options!G5</f>
        <v/>
      </c>
      <c r="C5" s="4">
        <f>Options!B5</f>
        <v/>
      </c>
      <c r="D5" s="4">
        <f>Options!I5</f>
        <v/>
      </c>
      <c r="E5" s="4">
        <f>Options!L5</f>
        <v/>
      </c>
      <c r="F5" s="4">
        <f>Options!M5</f>
        <v/>
      </c>
      <c r="G5" s="4">
        <f>Options!O5</f>
        <v/>
      </c>
      <c r="H5" s="4">
        <f>Options!P5</f>
        <v/>
      </c>
      <c r="I5" s="4">
        <f>Options!Q5</f>
        <v/>
      </c>
      <c r="J5" s="4">
        <f>Options!R5</f>
        <v/>
      </c>
    </row>
    <row r="6" ht="32" customHeight="1">
      <c r="A6" s="2">
        <f>Options!A6</f>
        <v/>
      </c>
      <c r="B6" s="2">
        <f>Options!G6</f>
        <v/>
      </c>
      <c r="C6" s="2">
        <f>Options!B6</f>
        <v/>
      </c>
      <c r="D6" s="2">
        <f>Options!I6</f>
        <v/>
      </c>
      <c r="E6" s="2">
        <f>Options!L6</f>
        <v/>
      </c>
      <c r="F6" s="2">
        <f>Options!M6</f>
        <v/>
      </c>
      <c r="G6" s="2">
        <f>Options!O6</f>
        <v/>
      </c>
      <c r="H6" s="2">
        <f>Options!P6</f>
        <v/>
      </c>
      <c r="I6" s="2">
        <f>Options!Q6</f>
        <v/>
      </c>
      <c r="J6" s="2">
        <f>Options!R6</f>
        <v/>
      </c>
    </row>
    <row r="7" ht="32" customHeight="1">
      <c r="A7" s="4">
        <f>Options!A7</f>
        <v/>
      </c>
      <c r="B7" s="4">
        <f>Options!G7</f>
        <v/>
      </c>
      <c r="C7" s="4">
        <f>Options!B7</f>
        <v/>
      </c>
      <c r="D7" s="4">
        <f>Options!I7</f>
        <v/>
      </c>
      <c r="E7" s="4">
        <f>Options!L7</f>
        <v/>
      </c>
      <c r="F7" s="4">
        <f>Options!M7</f>
        <v/>
      </c>
      <c r="G7" s="4">
        <f>Options!O7</f>
        <v/>
      </c>
      <c r="H7" s="4">
        <f>Options!P7</f>
        <v/>
      </c>
      <c r="I7" s="4">
        <f>Options!Q7</f>
        <v/>
      </c>
      <c r="J7" s="4">
        <f>Options!R7</f>
        <v/>
      </c>
    </row>
    <row r="8" ht="32" customHeight="1">
      <c r="A8" s="2">
        <f>Options!A8</f>
        <v/>
      </c>
      <c r="B8" s="2">
        <f>Options!G8</f>
        <v/>
      </c>
      <c r="C8" s="2">
        <f>Options!B8</f>
        <v/>
      </c>
      <c r="D8" s="2">
        <f>Options!I8</f>
        <v/>
      </c>
      <c r="E8" s="2">
        <f>Options!L8</f>
        <v/>
      </c>
      <c r="F8" s="2">
        <f>Options!M8</f>
        <v/>
      </c>
      <c r="G8" s="2">
        <f>Options!O8</f>
        <v/>
      </c>
      <c r="H8" s="2">
        <f>Options!P8</f>
        <v/>
      </c>
      <c r="I8" s="2">
        <f>Options!Q8</f>
        <v/>
      </c>
      <c r="J8" s="2">
        <f>Options!R8</f>
        <v/>
      </c>
    </row>
    <row r="9" ht="32" customHeight="1">
      <c r="A9" s="4">
        <f>Options!A9</f>
        <v/>
      </c>
      <c r="B9" s="4">
        <f>Options!G9</f>
        <v/>
      </c>
      <c r="C9" s="4">
        <f>Options!B9</f>
        <v/>
      </c>
      <c r="D9" s="4">
        <f>Options!I9</f>
        <v/>
      </c>
      <c r="E9" s="4">
        <f>Options!L9</f>
        <v/>
      </c>
      <c r="F9" s="4">
        <f>Options!M9</f>
        <v/>
      </c>
      <c r="G9" s="4">
        <f>Options!O9</f>
        <v/>
      </c>
      <c r="H9" s="4">
        <f>Options!P9</f>
        <v/>
      </c>
      <c r="I9" s="4">
        <f>Options!Q9</f>
        <v/>
      </c>
      <c r="J9" s="4">
        <f>Options!R9</f>
        <v/>
      </c>
    </row>
    <row r="10" ht="32" customHeight="1">
      <c r="A10" s="2">
        <f>Options!A10</f>
        <v/>
      </c>
      <c r="B10" s="2">
        <f>Options!G10</f>
        <v/>
      </c>
      <c r="C10" s="2">
        <f>Options!B10</f>
        <v/>
      </c>
      <c r="D10" s="2">
        <f>Options!I10</f>
        <v/>
      </c>
      <c r="E10" s="2">
        <f>Options!L10</f>
        <v/>
      </c>
      <c r="F10" s="2">
        <f>Options!M10</f>
        <v/>
      </c>
      <c r="G10" s="2">
        <f>Options!O10</f>
        <v/>
      </c>
      <c r="H10" s="2">
        <f>Options!P10</f>
        <v/>
      </c>
      <c r="I10" s="2">
        <f>Options!Q10</f>
        <v/>
      </c>
      <c r="J10" s="2">
        <f>Options!R10</f>
        <v/>
      </c>
    </row>
    <row r="11" ht="32" customHeight="1">
      <c r="A11" s="4">
        <f>Options!A11</f>
        <v/>
      </c>
      <c r="B11" s="4">
        <f>Options!G11</f>
        <v/>
      </c>
      <c r="C11" s="4">
        <f>Options!B11</f>
        <v/>
      </c>
      <c r="D11" s="4">
        <f>Options!I11</f>
        <v/>
      </c>
      <c r="E11" s="4">
        <f>Options!L11</f>
        <v/>
      </c>
      <c r="F11" s="4">
        <f>Options!M11</f>
        <v/>
      </c>
      <c r="G11" s="4">
        <f>Options!O11</f>
        <v/>
      </c>
      <c r="H11" s="4">
        <f>Options!P11</f>
        <v/>
      </c>
      <c r="I11" s="4">
        <f>Options!Q11</f>
        <v/>
      </c>
      <c r="J11" s="4">
        <f>Options!R11</f>
        <v/>
      </c>
    </row>
    <row r="12" ht="32" customHeight="1">
      <c r="A12" s="2">
        <f>Options!A12</f>
        <v/>
      </c>
      <c r="B12" s="2">
        <f>Options!G12</f>
        <v/>
      </c>
      <c r="C12" s="2">
        <f>Options!B12</f>
        <v/>
      </c>
      <c r="D12" s="2">
        <f>Options!I12</f>
        <v/>
      </c>
      <c r="E12" s="2">
        <f>Options!L12</f>
        <v/>
      </c>
      <c r="F12" s="2">
        <f>Options!M12</f>
        <v/>
      </c>
      <c r="G12" s="2">
        <f>Options!O12</f>
        <v/>
      </c>
      <c r="H12" s="2">
        <f>Options!P12</f>
        <v/>
      </c>
      <c r="I12" s="2">
        <f>Options!Q12</f>
        <v/>
      </c>
      <c r="J12" s="2">
        <f>Options!R12</f>
        <v/>
      </c>
    </row>
    <row r="13" ht="32" customHeight="1">
      <c r="A13" s="4">
        <f>Options!A13</f>
        <v/>
      </c>
      <c r="B13" s="4">
        <f>Options!G13</f>
        <v/>
      </c>
      <c r="C13" s="4">
        <f>Options!B13</f>
        <v/>
      </c>
      <c r="D13" s="4">
        <f>Options!I13</f>
        <v/>
      </c>
      <c r="E13" s="4">
        <f>Options!L13</f>
        <v/>
      </c>
      <c r="F13" s="4">
        <f>Options!M13</f>
        <v/>
      </c>
      <c r="G13" s="4">
        <f>Options!O13</f>
        <v/>
      </c>
      <c r="H13" s="4">
        <f>Options!P13</f>
        <v/>
      </c>
      <c r="I13" s="4">
        <f>Options!Q13</f>
        <v/>
      </c>
      <c r="J13" s="4">
        <f>Options!R13</f>
        <v/>
      </c>
    </row>
    <row r="14" ht="32" customHeight="1">
      <c r="A14" s="2">
        <f>Options!A14</f>
        <v/>
      </c>
      <c r="B14" s="2">
        <f>Options!G14</f>
        <v/>
      </c>
      <c r="C14" s="2">
        <f>Options!B14</f>
        <v/>
      </c>
      <c r="D14" s="2">
        <f>Options!I14</f>
        <v/>
      </c>
      <c r="E14" s="2">
        <f>Options!L14</f>
        <v/>
      </c>
      <c r="F14" s="2">
        <f>Options!M14</f>
        <v/>
      </c>
      <c r="G14" s="2">
        <f>Options!O14</f>
        <v/>
      </c>
      <c r="H14" s="2">
        <f>Options!P14</f>
        <v/>
      </c>
      <c r="I14" s="2">
        <f>Options!Q14</f>
        <v/>
      </c>
      <c r="J14" s="2">
        <f>Options!R14</f>
        <v/>
      </c>
    </row>
    <row r="15" ht="32" customHeight="1">
      <c r="A15" s="4">
        <f>Options!A15</f>
        <v/>
      </c>
      <c r="B15" s="4">
        <f>Options!G15</f>
        <v/>
      </c>
      <c r="C15" s="4">
        <f>Options!B15</f>
        <v/>
      </c>
      <c r="D15" s="4">
        <f>Options!I15</f>
        <v/>
      </c>
      <c r="E15" s="4">
        <f>Options!L15</f>
        <v/>
      </c>
      <c r="F15" s="4">
        <f>Options!M15</f>
        <v/>
      </c>
      <c r="G15" s="4">
        <f>Options!O15</f>
        <v/>
      </c>
      <c r="H15" s="4">
        <f>Options!P15</f>
        <v/>
      </c>
      <c r="I15" s="4">
        <f>Options!Q15</f>
        <v/>
      </c>
      <c r="J15" s="4">
        <f>Options!R15</f>
        <v/>
      </c>
    </row>
    <row r="16" ht="32" customHeight="1">
      <c r="A16" s="2">
        <f>Options!A16</f>
        <v/>
      </c>
      <c r="B16" s="2">
        <f>Options!G16</f>
        <v/>
      </c>
      <c r="C16" s="2">
        <f>Options!B16</f>
        <v/>
      </c>
      <c r="D16" s="2">
        <f>Options!I16</f>
        <v/>
      </c>
      <c r="E16" s="2">
        <f>Options!L16</f>
        <v/>
      </c>
      <c r="F16" s="2">
        <f>Options!M16</f>
        <v/>
      </c>
      <c r="G16" s="2">
        <f>Options!O16</f>
        <v/>
      </c>
      <c r="H16" s="2">
        <f>Options!P16</f>
        <v/>
      </c>
      <c r="I16" s="2">
        <f>Options!Q16</f>
        <v/>
      </c>
      <c r="J16" s="2">
        <f>Options!R16</f>
        <v/>
      </c>
    </row>
    <row r="17" ht="32" customHeight="1">
      <c r="A17" s="4">
        <f>Options!A17</f>
        <v/>
      </c>
      <c r="B17" s="4">
        <f>Options!G17</f>
        <v/>
      </c>
      <c r="C17" s="4">
        <f>Options!B17</f>
        <v/>
      </c>
      <c r="D17" s="4">
        <f>Options!I17</f>
        <v/>
      </c>
      <c r="E17" s="4">
        <f>Options!L17</f>
        <v/>
      </c>
      <c r="F17" s="4">
        <f>Options!M17</f>
        <v/>
      </c>
      <c r="G17" s="4">
        <f>Options!O17</f>
        <v/>
      </c>
      <c r="H17" s="4">
        <f>Options!P17</f>
        <v/>
      </c>
      <c r="I17" s="4">
        <f>Options!Q17</f>
        <v/>
      </c>
      <c r="J17" s="4">
        <f>Options!R17</f>
        <v/>
      </c>
    </row>
    <row r="18" ht="32" customHeight="1">
      <c r="A18" s="2">
        <f>Options!A18</f>
        <v/>
      </c>
      <c r="B18" s="2">
        <f>Options!G18</f>
        <v/>
      </c>
      <c r="C18" s="2">
        <f>Options!B18</f>
        <v/>
      </c>
      <c r="D18" s="2">
        <f>Options!I18</f>
        <v/>
      </c>
      <c r="E18" s="2">
        <f>Options!L18</f>
        <v/>
      </c>
      <c r="F18" s="2">
        <f>Options!M18</f>
        <v/>
      </c>
      <c r="G18" s="2">
        <f>Options!O18</f>
        <v/>
      </c>
      <c r="H18" s="2">
        <f>Options!P18</f>
        <v/>
      </c>
      <c r="I18" s="2">
        <f>Options!Q18</f>
        <v/>
      </c>
      <c r="J18" s="2">
        <f>Options!R18</f>
        <v/>
      </c>
    </row>
    <row r="19" ht="32" customHeight="1">
      <c r="A19" s="4">
        <f>Options!A19</f>
        <v/>
      </c>
      <c r="B19" s="4">
        <f>Options!G19</f>
        <v/>
      </c>
      <c r="C19" s="4">
        <f>Options!B19</f>
        <v/>
      </c>
      <c r="D19" s="4">
        <f>Options!I19</f>
        <v/>
      </c>
      <c r="E19" s="4">
        <f>Options!L19</f>
        <v/>
      </c>
      <c r="F19" s="4">
        <f>Options!M19</f>
        <v/>
      </c>
      <c r="G19" s="4">
        <f>Options!O19</f>
        <v/>
      </c>
      <c r="H19" s="4">
        <f>Options!P19</f>
        <v/>
      </c>
      <c r="I19" s="4">
        <f>Options!Q19</f>
        <v/>
      </c>
      <c r="J19" s="4">
        <f>Options!R19</f>
        <v/>
      </c>
    </row>
  </sheetData>
  <autoFilter ref="A1:J19"/>
  <printOptions horizontalCentered="1"/>
  <pageMargins left="0.75" right="0.75" top="1" bottom="1" header="0.5" footer="0.5"/>
  <pageSetup orientation="landscape" paperSize="8" fitToHeight="0" fitToWidth="1"/>
  <headerFooter>
    <oddHeader/>
    <oddFooter>&amp;C&amp;A | &amp;P /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J19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</cols>
  <sheetData>
    <row r="1" ht="32" customHeight="1">
      <c r="A1" s="1" t="inlineStr">
        <is>
          <t>选项</t>
        </is>
      </c>
      <c r="B1" s="1" t="inlineStr">
        <is>
          <t>计费距离/格</t>
        </is>
      </c>
      <c r="C1" s="1" t="inlineStr">
        <is>
          <t>车辆数</t>
        </is>
      </c>
      <c r="D1" s="1" t="inlineStr">
        <is>
          <t>老化/周期</t>
        </is>
      </c>
      <c r="E1" s="1" t="inlineStr">
        <is>
          <t>年循环/辆</t>
        </is>
      </c>
      <c r="F1" s="1" t="inlineStr">
        <is>
          <t>年度需求</t>
        </is>
      </c>
      <c r="G1" s="1" t="inlineStr">
        <is>
          <t>交付量</t>
        </is>
      </c>
      <c r="H1" s="1" t="inlineStr">
        <is>
          <t>收入/英镑</t>
        </is>
      </c>
      <c r="I1" s="1" t="inlineStr">
        <is>
          <t>购车/英镑</t>
        </is>
      </c>
      <c r="J1" s="1" t="inlineStr">
        <is>
          <t>首年净现金/英镑</t>
        </is>
      </c>
    </row>
    <row r="2" ht="32" customHeight="1">
      <c r="A2" s="2">
        <f>Options!A2</f>
        <v/>
      </c>
      <c r="B2" s="2">
        <f>Options!G2</f>
        <v/>
      </c>
      <c r="C2" s="2">
        <f>Options!B2</f>
        <v/>
      </c>
      <c r="D2" s="2">
        <f>Options!S2</f>
        <v/>
      </c>
      <c r="E2" s="2">
        <f>Options!T2</f>
        <v/>
      </c>
      <c r="F2" s="2">
        <f>Options!U2</f>
        <v/>
      </c>
      <c r="G2" s="2">
        <f>Options!V2</f>
        <v/>
      </c>
      <c r="H2" s="2">
        <f>Options!X2</f>
        <v/>
      </c>
      <c r="I2" s="2">
        <f>Options!P2</f>
        <v/>
      </c>
      <c r="J2" s="2">
        <f>Options!Y2</f>
        <v/>
      </c>
    </row>
    <row r="3" ht="32" customHeight="1">
      <c r="A3" s="4">
        <f>Options!A3</f>
        <v/>
      </c>
      <c r="B3" s="4">
        <f>Options!G3</f>
        <v/>
      </c>
      <c r="C3" s="4">
        <f>Options!B3</f>
        <v/>
      </c>
      <c r="D3" s="4">
        <f>Options!S3</f>
        <v/>
      </c>
      <c r="E3" s="4">
        <f>Options!T3</f>
        <v/>
      </c>
      <c r="F3" s="4">
        <f>Options!U3</f>
        <v/>
      </c>
      <c r="G3" s="4">
        <f>Options!V3</f>
        <v/>
      </c>
      <c r="H3" s="4">
        <f>Options!X3</f>
        <v/>
      </c>
      <c r="I3" s="4">
        <f>Options!P3</f>
        <v/>
      </c>
      <c r="J3" s="4">
        <f>Options!Y3</f>
        <v/>
      </c>
    </row>
    <row r="4" ht="32" customHeight="1">
      <c r="A4" s="2">
        <f>Options!A4</f>
        <v/>
      </c>
      <c r="B4" s="2">
        <f>Options!G4</f>
        <v/>
      </c>
      <c r="C4" s="2">
        <f>Options!B4</f>
        <v/>
      </c>
      <c r="D4" s="2">
        <f>Options!S4</f>
        <v/>
      </c>
      <c r="E4" s="2">
        <f>Options!T4</f>
        <v/>
      </c>
      <c r="F4" s="2">
        <f>Options!U4</f>
        <v/>
      </c>
      <c r="G4" s="2">
        <f>Options!V4</f>
        <v/>
      </c>
      <c r="H4" s="2">
        <f>Options!X4</f>
        <v/>
      </c>
      <c r="I4" s="2">
        <f>Options!P4</f>
        <v/>
      </c>
      <c r="J4" s="2">
        <f>Options!Y4</f>
        <v/>
      </c>
    </row>
    <row r="5" ht="32" customHeight="1">
      <c r="A5" s="4">
        <f>Options!A5</f>
        <v/>
      </c>
      <c r="B5" s="4">
        <f>Options!G5</f>
        <v/>
      </c>
      <c r="C5" s="4">
        <f>Options!B5</f>
        <v/>
      </c>
      <c r="D5" s="4">
        <f>Options!S5</f>
        <v/>
      </c>
      <c r="E5" s="4">
        <f>Options!T5</f>
        <v/>
      </c>
      <c r="F5" s="4">
        <f>Options!U5</f>
        <v/>
      </c>
      <c r="G5" s="4">
        <f>Options!V5</f>
        <v/>
      </c>
      <c r="H5" s="4">
        <f>Options!X5</f>
        <v/>
      </c>
      <c r="I5" s="4">
        <f>Options!P5</f>
        <v/>
      </c>
      <c r="J5" s="4">
        <f>Options!Y5</f>
        <v/>
      </c>
    </row>
    <row r="6" ht="32" customHeight="1">
      <c r="A6" s="2">
        <f>Options!A6</f>
        <v/>
      </c>
      <c r="B6" s="2">
        <f>Options!G6</f>
        <v/>
      </c>
      <c r="C6" s="2">
        <f>Options!B6</f>
        <v/>
      </c>
      <c r="D6" s="2">
        <f>Options!S6</f>
        <v/>
      </c>
      <c r="E6" s="2">
        <f>Options!T6</f>
        <v/>
      </c>
      <c r="F6" s="2">
        <f>Options!U6</f>
        <v/>
      </c>
      <c r="G6" s="2">
        <f>Options!V6</f>
        <v/>
      </c>
      <c r="H6" s="2">
        <f>Options!X6</f>
        <v/>
      </c>
      <c r="I6" s="2">
        <f>Options!P6</f>
        <v/>
      </c>
      <c r="J6" s="2">
        <f>Options!Y6</f>
        <v/>
      </c>
    </row>
    <row r="7" ht="32" customHeight="1">
      <c r="A7" s="4">
        <f>Options!A7</f>
        <v/>
      </c>
      <c r="B7" s="4">
        <f>Options!G7</f>
        <v/>
      </c>
      <c r="C7" s="4">
        <f>Options!B7</f>
        <v/>
      </c>
      <c r="D7" s="4">
        <f>Options!S7</f>
        <v/>
      </c>
      <c r="E7" s="4">
        <f>Options!T7</f>
        <v/>
      </c>
      <c r="F7" s="4">
        <f>Options!U7</f>
        <v/>
      </c>
      <c r="G7" s="4">
        <f>Options!V7</f>
        <v/>
      </c>
      <c r="H7" s="4">
        <f>Options!X7</f>
        <v/>
      </c>
      <c r="I7" s="4">
        <f>Options!P7</f>
        <v/>
      </c>
      <c r="J7" s="4">
        <f>Options!Y7</f>
        <v/>
      </c>
    </row>
    <row r="8" ht="32" customHeight="1">
      <c r="A8" s="2">
        <f>Options!A8</f>
        <v/>
      </c>
      <c r="B8" s="2">
        <f>Options!G8</f>
        <v/>
      </c>
      <c r="C8" s="2">
        <f>Options!B8</f>
        <v/>
      </c>
      <c r="D8" s="2">
        <f>Options!S8</f>
        <v/>
      </c>
      <c r="E8" s="2">
        <f>Options!T8</f>
        <v/>
      </c>
      <c r="F8" s="2">
        <f>Options!U8</f>
        <v/>
      </c>
      <c r="G8" s="2">
        <f>Options!V8</f>
        <v/>
      </c>
      <c r="H8" s="2">
        <f>Options!X8</f>
        <v/>
      </c>
      <c r="I8" s="2">
        <f>Options!P8</f>
        <v/>
      </c>
      <c r="J8" s="2">
        <f>Options!Y8</f>
        <v/>
      </c>
    </row>
    <row r="9" ht="32" customHeight="1">
      <c r="A9" s="4">
        <f>Options!A9</f>
        <v/>
      </c>
      <c r="B9" s="4">
        <f>Options!G9</f>
        <v/>
      </c>
      <c r="C9" s="4">
        <f>Options!B9</f>
        <v/>
      </c>
      <c r="D9" s="4">
        <f>Options!S9</f>
        <v/>
      </c>
      <c r="E9" s="4">
        <f>Options!T9</f>
        <v/>
      </c>
      <c r="F9" s="4">
        <f>Options!U9</f>
        <v/>
      </c>
      <c r="G9" s="4">
        <f>Options!V9</f>
        <v/>
      </c>
      <c r="H9" s="4">
        <f>Options!X9</f>
        <v/>
      </c>
      <c r="I9" s="4">
        <f>Options!P9</f>
        <v/>
      </c>
      <c r="J9" s="4">
        <f>Options!Y9</f>
        <v/>
      </c>
    </row>
    <row r="10" ht="32" customHeight="1">
      <c r="A10" s="2">
        <f>Options!A10</f>
        <v/>
      </c>
      <c r="B10" s="2">
        <f>Options!G10</f>
        <v/>
      </c>
      <c r="C10" s="2">
        <f>Options!B10</f>
        <v/>
      </c>
      <c r="D10" s="2">
        <f>Options!S10</f>
        <v/>
      </c>
      <c r="E10" s="2">
        <f>Options!T10</f>
        <v/>
      </c>
      <c r="F10" s="2">
        <f>Options!U10</f>
        <v/>
      </c>
      <c r="G10" s="2">
        <f>Options!V10</f>
        <v/>
      </c>
      <c r="H10" s="2">
        <f>Options!X10</f>
        <v/>
      </c>
      <c r="I10" s="2">
        <f>Options!P10</f>
        <v/>
      </c>
      <c r="J10" s="2">
        <f>Options!Y10</f>
        <v/>
      </c>
    </row>
    <row r="11" ht="32" customHeight="1">
      <c r="A11" s="4">
        <f>Options!A11</f>
        <v/>
      </c>
      <c r="B11" s="4">
        <f>Options!G11</f>
        <v/>
      </c>
      <c r="C11" s="4">
        <f>Options!B11</f>
        <v/>
      </c>
      <c r="D11" s="4">
        <f>Options!S11</f>
        <v/>
      </c>
      <c r="E11" s="4">
        <f>Options!T11</f>
        <v/>
      </c>
      <c r="F11" s="4">
        <f>Options!U11</f>
        <v/>
      </c>
      <c r="G11" s="4">
        <f>Options!V11</f>
        <v/>
      </c>
      <c r="H11" s="4">
        <f>Options!X11</f>
        <v/>
      </c>
      <c r="I11" s="4">
        <f>Options!P11</f>
        <v/>
      </c>
      <c r="J11" s="4">
        <f>Options!Y11</f>
        <v/>
      </c>
    </row>
    <row r="12" ht="32" customHeight="1">
      <c r="A12" s="2">
        <f>Options!A12</f>
        <v/>
      </c>
      <c r="B12" s="2">
        <f>Options!G12</f>
        <v/>
      </c>
      <c r="C12" s="2">
        <f>Options!B12</f>
        <v/>
      </c>
      <c r="D12" s="2">
        <f>Options!S12</f>
        <v/>
      </c>
      <c r="E12" s="2">
        <f>Options!T12</f>
        <v/>
      </c>
      <c r="F12" s="2">
        <f>Options!U12</f>
        <v/>
      </c>
      <c r="G12" s="2">
        <f>Options!V12</f>
        <v/>
      </c>
      <c r="H12" s="2">
        <f>Options!X12</f>
        <v/>
      </c>
      <c r="I12" s="2">
        <f>Options!P12</f>
        <v/>
      </c>
      <c r="J12" s="2">
        <f>Options!Y12</f>
        <v/>
      </c>
    </row>
    <row r="13" ht="32" customHeight="1">
      <c r="A13" s="4">
        <f>Options!A13</f>
        <v/>
      </c>
      <c r="B13" s="4">
        <f>Options!G13</f>
        <v/>
      </c>
      <c r="C13" s="4">
        <f>Options!B13</f>
        <v/>
      </c>
      <c r="D13" s="4">
        <f>Options!S13</f>
        <v/>
      </c>
      <c r="E13" s="4">
        <f>Options!T13</f>
        <v/>
      </c>
      <c r="F13" s="4">
        <f>Options!U13</f>
        <v/>
      </c>
      <c r="G13" s="4">
        <f>Options!V13</f>
        <v/>
      </c>
      <c r="H13" s="4">
        <f>Options!X13</f>
        <v/>
      </c>
      <c r="I13" s="4">
        <f>Options!P13</f>
        <v/>
      </c>
      <c r="J13" s="4">
        <f>Options!Y13</f>
        <v/>
      </c>
    </row>
    <row r="14" ht="32" customHeight="1">
      <c r="A14" s="2">
        <f>Options!A14</f>
        <v/>
      </c>
      <c r="B14" s="2">
        <f>Options!G14</f>
        <v/>
      </c>
      <c r="C14" s="2">
        <f>Options!B14</f>
        <v/>
      </c>
      <c r="D14" s="2">
        <f>Options!S14</f>
        <v/>
      </c>
      <c r="E14" s="2">
        <f>Options!T14</f>
        <v/>
      </c>
      <c r="F14" s="2">
        <f>Options!U14</f>
        <v/>
      </c>
      <c r="G14" s="2">
        <f>Options!V14</f>
        <v/>
      </c>
      <c r="H14" s="2">
        <f>Options!X14</f>
        <v/>
      </c>
      <c r="I14" s="2">
        <f>Options!P14</f>
        <v/>
      </c>
      <c r="J14" s="2">
        <f>Options!Y14</f>
        <v/>
      </c>
    </row>
    <row r="15" ht="32" customHeight="1">
      <c r="A15" s="4">
        <f>Options!A15</f>
        <v/>
      </c>
      <c r="B15" s="4">
        <f>Options!G15</f>
        <v/>
      </c>
      <c r="C15" s="4">
        <f>Options!B15</f>
        <v/>
      </c>
      <c r="D15" s="4">
        <f>Options!S15</f>
        <v/>
      </c>
      <c r="E15" s="4">
        <f>Options!T15</f>
        <v/>
      </c>
      <c r="F15" s="4">
        <f>Options!U15</f>
        <v/>
      </c>
      <c r="G15" s="4">
        <f>Options!V15</f>
        <v/>
      </c>
      <c r="H15" s="4">
        <f>Options!X15</f>
        <v/>
      </c>
      <c r="I15" s="4">
        <f>Options!P15</f>
        <v/>
      </c>
      <c r="J15" s="4">
        <f>Options!Y15</f>
        <v/>
      </c>
    </row>
    <row r="16" ht="32" customHeight="1">
      <c r="A16" s="2">
        <f>Options!A16</f>
        <v/>
      </c>
      <c r="B16" s="2">
        <f>Options!G16</f>
        <v/>
      </c>
      <c r="C16" s="2">
        <f>Options!B16</f>
        <v/>
      </c>
      <c r="D16" s="2">
        <f>Options!S16</f>
        <v/>
      </c>
      <c r="E16" s="2">
        <f>Options!T16</f>
        <v/>
      </c>
      <c r="F16" s="2">
        <f>Options!U16</f>
        <v/>
      </c>
      <c r="G16" s="2">
        <f>Options!V16</f>
        <v/>
      </c>
      <c r="H16" s="2">
        <f>Options!X16</f>
        <v/>
      </c>
      <c r="I16" s="2">
        <f>Options!P16</f>
        <v/>
      </c>
      <c r="J16" s="2">
        <f>Options!Y16</f>
        <v/>
      </c>
    </row>
    <row r="17" ht="32" customHeight="1">
      <c r="A17" s="4">
        <f>Options!A17</f>
        <v/>
      </c>
      <c r="B17" s="4">
        <f>Options!G17</f>
        <v/>
      </c>
      <c r="C17" s="4">
        <f>Options!B17</f>
        <v/>
      </c>
      <c r="D17" s="4">
        <f>Options!S17</f>
        <v/>
      </c>
      <c r="E17" s="4">
        <f>Options!T17</f>
        <v/>
      </c>
      <c r="F17" s="4">
        <f>Options!U17</f>
        <v/>
      </c>
      <c r="G17" s="4">
        <f>Options!V17</f>
        <v/>
      </c>
      <c r="H17" s="4">
        <f>Options!X17</f>
        <v/>
      </c>
      <c r="I17" s="4">
        <f>Options!P17</f>
        <v/>
      </c>
      <c r="J17" s="4">
        <f>Options!Y17</f>
        <v/>
      </c>
    </row>
    <row r="18" ht="32" customHeight="1">
      <c r="A18" s="2">
        <f>Options!A18</f>
        <v/>
      </c>
      <c r="B18" s="2">
        <f>Options!G18</f>
        <v/>
      </c>
      <c r="C18" s="2">
        <f>Options!B18</f>
        <v/>
      </c>
      <c r="D18" s="2">
        <f>Options!S18</f>
        <v/>
      </c>
      <c r="E18" s="2">
        <f>Options!T18</f>
        <v/>
      </c>
      <c r="F18" s="2">
        <f>Options!U18</f>
        <v/>
      </c>
      <c r="G18" s="2">
        <f>Options!V18</f>
        <v/>
      </c>
      <c r="H18" s="2">
        <f>Options!X18</f>
        <v/>
      </c>
      <c r="I18" s="2">
        <f>Options!P18</f>
        <v/>
      </c>
      <c r="J18" s="2">
        <f>Options!Y18</f>
        <v/>
      </c>
    </row>
    <row r="19" ht="32" customHeight="1">
      <c r="A19" s="4">
        <f>Options!A19</f>
        <v/>
      </c>
      <c r="B19" s="4">
        <f>Options!G19</f>
        <v/>
      </c>
      <c r="C19" s="4">
        <f>Options!B19</f>
        <v/>
      </c>
      <c r="D19" s="4">
        <f>Options!S19</f>
        <v/>
      </c>
      <c r="E19" s="4">
        <f>Options!T19</f>
        <v/>
      </c>
      <c r="F19" s="4">
        <f>Options!U19</f>
        <v/>
      </c>
      <c r="G19" s="4">
        <f>Options!V19</f>
        <v/>
      </c>
      <c r="H19" s="4">
        <f>Options!X19</f>
        <v/>
      </c>
      <c r="I19" s="4">
        <f>Options!P19</f>
        <v/>
      </c>
      <c r="J19" s="4">
        <f>Options!Y19</f>
        <v/>
      </c>
    </row>
  </sheetData>
  <autoFilter ref="A1:J19"/>
  <printOptions horizontalCentered="1"/>
  <pageMargins left="0.75" right="0.75" top="1" bottom="1" header="0.5" footer="0.5"/>
  <pageSetup orientation="landscape" paperSize="8" fitToHeight="0" fitToWidth="1"/>
  <headerFooter>
    <oddHeader/>
    <oddFooter>&amp;C&amp;A |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creator>openpyxl</dc:creator>
  <ns2:created xsi:type="dcterms:W3CDTF">2000-01-01T00:00:00Z</ns2:created>
  <ns2:modified xsi:type="dcterms:W3CDTF">2000-01-01T00:00:00Z</ns2:modified>
</ns0:coreProperties>
</file>