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条审查" sheetId="1" state="visible" r:id="rId1"/>
    <sheet xmlns:r="http://schemas.openxmlformats.org/officeDocument/2006/relationships" name="政策版本" sheetId="2" state="visible" r:id="rId2"/>
    <sheet xmlns:r="http://schemas.openxmlformats.org/officeDocument/2006/relationships" name="上限演算" sheetId="3" state="visible" r:id="rId3"/>
    <sheet xmlns:r="http://schemas.openxmlformats.org/officeDocument/2006/relationships" name="发布与补证" sheetId="4" state="visible" r:id="rId4"/>
  </sheets>
  <definedNames>
    <definedName name="_xlnm._FilterDatabase" localSheetId="0" hidden="1">'逐条审查'!$A$1:$F$15</definedName>
    <definedName name="_xlnm.Print_Titles" localSheetId="0">'逐条审查'!$1:$1</definedName>
    <definedName name="_xlnm._FilterDatabase" localSheetId="1" hidden="1">'政策版本'!$A$1:$G$4</definedName>
    <definedName name="_xlnm.Print_Titles" localSheetId="1">'政策版本'!$1:$1</definedName>
    <definedName name="_xlnm._FilterDatabase" localSheetId="2" hidden="1">'上限演算'!$A$1:$H$10</definedName>
    <definedName name="_xlnm.Print_Titles" localSheetId="2">'上限演算'!$1:$1</definedName>
    <definedName name="_xlnm._FilterDatabase" localSheetId="3" hidden="1">'发布与补证'!$A$1:$F$5</definedName>
    <definedName name="_xlnm.Print_Titles" localSheetId="3">'发布与补证'!$1:$1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10" fontId="2" fillId="3" borderId="0" applyAlignment="1" pivotButton="0" quotePrefix="0" xfId="0">
      <alignment horizontal="left" vertical="top" wrapText="1" indent="1"/>
    </xf>
    <xf numFmtId="4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center" vertical="top" wrapText="1" indent="1"/>
    </xf>
    <xf numFmtId="10" fontId="2" fillId="0" borderId="0" applyAlignment="1" pivotButton="0" quotePrefix="0" xfId="0">
      <alignment horizontal="left" vertical="top" wrapText="1" indent="1"/>
    </xf>
    <xf numFmtId="4" fontId="2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48" customWidth="1" min="4" max="4"/>
    <col width="23" customWidth="1" min="5" max="5"/>
    <col width="30" customWidth="1" min="6" max="6"/>
  </cols>
  <sheetData>
    <row r="1" ht="32" customHeight="1">
      <c r="A1" s="1" t="inlineStr">
        <is>
          <t>ID</t>
        </is>
      </c>
      <c r="B1" s="1" t="inlineStr">
        <is>
          <t>原草稿</t>
        </is>
      </c>
      <c r="C1" s="1" t="inlineStr">
        <is>
          <t>结论</t>
        </is>
      </c>
      <c r="D1" s="1" t="inlineStr">
        <is>
          <t>替换口径与理由</t>
        </is>
      </c>
      <c r="E1" s="1" t="inlineStr">
        <is>
          <t>原文定位</t>
        </is>
      </c>
      <c r="F1" s="1" t="inlineStr">
        <is>
          <t>下一步</t>
        </is>
      </c>
    </row>
    <row r="2" ht="68" customHeight="1">
      <c r="A2" s="2" t="inlineStr">
        <is>
          <t>Q01</t>
        </is>
      </c>
      <c r="B2" s="2" t="inlineStr">
        <is>
          <t>2025年4月30日发布新政策，5月15日就可以按它确认扶持。</t>
        </is>
      </c>
      <c r="C2" s="2" t="inlineStr">
        <is>
          <t>改写</t>
        </is>
      </c>
      <c r="D2" s="2" t="inlineStr">
        <is>
          <t>发布不等于试行。AI25于2025年5月31日起试行；回看5月15日不能用其确认扶持。</t>
        </is>
      </c>
      <c r="E2" s="2" t="inlineStr">
        <is>
          <t>AI25附则5；OLD22只有发文通知</t>
        </is>
      </c>
      <c r="F2" s="2" t="inlineStr">
        <is>
          <t>法务保存发布与试行日期，旧口径待取得完整附件</t>
        </is>
      </c>
    </row>
    <row r="3" ht="68" customHeight="1">
      <c r="A3" s="3" t="inlineStr">
        <is>
          <t>Q02</t>
        </is>
      </c>
      <c r="B3" s="3" t="inlineStr">
        <is>
          <t>只有公司法人能成为2025产业意见的支持对象。</t>
        </is>
      </c>
      <c r="C3" s="3" t="inlineStr">
        <is>
          <t>改写</t>
        </is>
      </c>
      <c r="D3" s="3" t="inlineStr">
        <is>
          <t>支持对象包括依法经营的产业法人或非法人组织机构，以及其他依法经区政府批准的对象；仍须符合区域产业导向、经营良好、无严重违法失信。</t>
        </is>
      </c>
      <c r="E3" s="3" t="inlineStr">
        <is>
          <t>AI25一、支持对象</t>
        </is>
      </c>
      <c r="F3" s="3" t="inlineStr">
        <is>
          <t>招商主管核对主体资格及所需认定，不能只凭企业名称判断</t>
        </is>
      </c>
    </row>
    <row r="4" ht="68" customHeight="1">
      <c r="A4" s="2" t="inlineStr">
        <is>
          <t>Q03</t>
        </is>
      </c>
      <c r="B4" s="2" t="inlineStr">
        <is>
          <t>AI企业落地即可领取5000万元现金，招商人员可签字保证。</t>
        </is>
      </c>
      <c r="C4" s="2" t="inlineStr">
        <is>
          <t>改写</t>
        </is>
      </c>
      <c r="D4" s="2" t="inlineStr">
        <is>
          <t>对符合区域产业导向的优质主体，经综合评估，可给予单个经营主体最高5000万元支持；这是条件性上限，不是落地即付或招商主管承诺付款的授权。</t>
        </is>
      </c>
      <c r="E4" s="2" t="inlineStr">
        <is>
          <t>AI25二（一）及附则3</t>
        </is>
      </c>
      <c r="F4" s="2" t="inlineStr">
        <is>
          <t>删除保底到账承诺，待有权机关依程序认定</t>
        </is>
      </c>
    </row>
    <row r="5" ht="68" customHeight="1">
      <c r="A5" s="3" t="inlineStr">
        <is>
          <t>Q04</t>
        </is>
      </c>
      <c r="B5" s="3" t="inlineStr">
        <is>
          <t>产业规模提升每年可自动领取1亿元。</t>
        </is>
      </c>
      <c r="C5" s="3" t="inlineStr">
        <is>
          <t>改写</t>
        </is>
      </c>
      <c r="D5" s="3" t="inlineStr">
        <is>
          <t>产业规模提升须结合经营水平、成长发展能力等综合评估，可给予最高1亿元支持；条文未写每年自动领取，不能补成年度普发待遇。</t>
        </is>
      </c>
      <c r="E5" s="3" t="inlineStr">
        <is>
          <t>AI25二（二）</t>
        </is>
      </c>
      <c r="F5" s="3" t="inlineStr">
        <is>
          <t>保留综合评估和最高，删除每年及自动</t>
        </is>
      </c>
    </row>
    <row r="6" ht="86" customHeight="1">
      <c r="A6" s="2" t="inlineStr">
        <is>
          <t>Q05</t>
        </is>
      </c>
      <c r="B6" s="2" t="inlineStr">
        <is>
          <t>研发投入达到营业收入5%，就能拿满研发投入30%，无封顶。</t>
        </is>
      </c>
      <c r="C6" s="2" t="inlineStr">
        <is>
          <t>改写</t>
        </is>
      </c>
      <c r="D6" s="2" t="inlineStr">
        <is>
          <t>达到5%以上只满足该条比例条件之一；经综合评估，可按不超过研发投入30%，单个主体年度最高5000万元。示例上界须同时处理比例、封顶和资格，不能当核定金额。</t>
        </is>
      </c>
      <c r="E6" s="2" t="inlineStr">
        <is>
          <t>AI25二（五）</t>
        </is>
      </c>
      <c r="F6" s="2" t="inlineStr">
        <is>
          <t>审核主体、投入、营业收入与评估材料</t>
        </is>
      </c>
    </row>
    <row r="7" ht="68" customHeight="1">
      <c r="A7" s="3" t="inlineStr">
        <is>
          <t>Q06</t>
        </is>
      </c>
      <c r="B7" s="3" t="inlineStr">
        <is>
          <t>算力投入统一补30%，最高5000万元；算力券还可对同笔费用另领。</t>
        </is>
      </c>
      <c r="C7" s="3" t="inlineStr">
        <is>
          <t>改写</t>
        </is>
      </c>
      <c r="D7" s="3" t="inlineStr">
        <is>
          <t>购买或租用算力经评审，不超过实际算力投入30%，单个主体年度最高2000万元。同类政策就高不重复，不对同笔费用直接叠加算力券。</t>
        </is>
      </c>
      <c r="E7" s="3" t="inlineStr">
        <is>
          <t>AI25二（六）及附则1；OPC25附则1</t>
        </is>
      </c>
      <c r="F7" s="3" t="inlineStr">
        <is>
          <t>比较适用对象及费用范围，再请执行机关确认适用方式</t>
        </is>
      </c>
    </row>
    <row r="8" ht="86" customHeight="1">
      <c r="A8" s="2" t="inlineStr">
        <is>
          <t>Q07</t>
        </is>
      </c>
      <c r="B8" s="2" t="inlineStr">
        <is>
          <t>超级创业者三种券合计300万元，全部无条件现金打到账户。</t>
        </is>
      </c>
      <c r="C8" s="2" t="inlineStr">
        <is>
          <t>改写</t>
        </is>
      </c>
      <c r="D8" s="2" t="inlineStr">
        <is>
          <t>符合条件的超级创业者可获最高100%支持的100万元算力券、100万元模型券、100万元语料券补贴及先用后付等组合支持。300万元仅为三类券面上限相加，不是现金保证；兑换、比例和资格须按执行条件核实。</t>
        </is>
      </c>
      <c r="E8" s="2" t="inlineStr">
        <is>
          <t>OPC25三4</t>
        </is>
      </c>
      <c r="F8" s="2" t="inlineStr">
        <is>
          <t>不得把券面额度当已获补助或到账现金</t>
        </is>
      </c>
    </row>
    <row r="9" ht="68" customHeight="1">
      <c r="A9" s="3" t="inlineStr">
        <is>
          <t>Q08</t>
        </is>
      </c>
      <c r="B9" s="3" t="inlineStr">
        <is>
          <t>只要不超过20人，都自动属于超级创业者支持对象。</t>
        </is>
      </c>
      <c r="C9" s="3" t="inlineStr">
        <is>
          <t>改写</t>
        </is>
      </c>
      <c r="D9" s="3" t="inlineStr">
        <is>
          <t>人员规模一般不超过10人；特别优秀且经认定可放宽到20人。超过10人不能仅因未超过20人就自行认定，其他对象须依法经区政府批准。</t>
        </is>
      </c>
      <c r="E9" s="3" t="inlineStr">
        <is>
          <t>OPC25二、支持对象</t>
        </is>
      </c>
      <c r="F9" s="3" t="inlineStr">
        <is>
          <t>超过一般规模的取得认定，不承诺一律入选</t>
        </is>
      </c>
    </row>
    <row r="10" ht="86" customHeight="1">
      <c r="A10" s="2" t="inlineStr">
        <is>
          <t>Q09</t>
        </is>
      </c>
      <c r="B10" s="2" t="inlineStr">
        <is>
          <t>每个人都可以立即一次领取7.2万元人才租房补贴。</t>
        </is>
      </c>
      <c r="C10" s="2" t="inlineStr">
        <is>
          <t>改写</t>
        </is>
      </c>
      <c r="D10" s="2" t="inlineStr">
        <is>
          <t>超级创业者创新创业人才可申请每月不超过2000元、最长3年的人才租房补贴。7.2万元只是2000元乘36个月的理论累计上界，不能改写为每个人立即一次领取。</t>
        </is>
      </c>
      <c r="E10" s="2" t="inlineStr">
        <is>
          <t>OPC25三3</t>
        </is>
      </c>
      <c r="F10" s="2" t="inlineStr">
        <is>
          <t>核对申请资格、期限与执行口径，不承诺一次性发放</t>
        </is>
      </c>
    </row>
    <row r="11" ht="68" customHeight="1">
      <c r="A11" s="3" t="inlineStr">
        <is>
          <t>Q10</t>
        </is>
      </c>
      <c r="B11" s="3" t="inlineStr">
        <is>
          <t>工位费和财务法务服务永久全免，次年无须评估。</t>
        </is>
      </c>
      <c r="C11" s="3" t="inlineStr">
        <is>
          <t>改写</t>
        </is>
      </c>
      <c r="D11" s="3" t="inlineStr">
        <is>
          <t>符合条件的工位费和专业综合服务实行首年全免、次年评估续免；次年须评估，不是永久免除，也不是所有租金或任意外部服务费均免。</t>
        </is>
      </c>
      <c r="E11" s="3" t="inlineStr">
        <is>
          <t>OPC25三1、三7</t>
        </is>
      </c>
      <c r="F11" s="3" t="inlineStr">
        <is>
          <t>说明对应集聚空间和服务范围，准备次年评估</t>
        </is>
      </c>
    </row>
    <row r="12" ht="86" customHeight="1">
      <c r="A12" s="2" t="inlineStr">
        <is>
          <t>Q11</t>
        </is>
      </c>
      <c r="B12" s="2" t="inlineStr">
        <is>
          <t>同一个场景项目可把产业意见1000万与创业者措施300万相加领取1300万。</t>
        </is>
      </c>
      <c r="C12" s="2" t="inlineStr">
        <is>
          <t>改写</t>
        </is>
      </c>
      <c r="D12" s="2" t="inlineStr">
        <is>
          <t>两项场景条款各有适用对象、不超过核定总投入50%及最高1000万元或300万元的限制；同类政策从高不重复，不能相加保证1300万元。先按相同费用口径比较条件性上限，再由执行机关认定。</t>
        </is>
      </c>
      <c r="E12" s="2" t="inlineStr">
        <is>
          <t>AI25二（十）、附则1；OPC25三5、附则1</t>
        </is>
      </c>
      <c r="F12" s="2" t="inlineStr">
        <is>
          <t>保留两个方案及费用范围，停止重复申领承诺</t>
        </is>
      </c>
    </row>
    <row r="13" ht="68" customHeight="1">
      <c r="A13" s="3" t="inlineStr">
        <is>
          <t>Q12</t>
        </is>
      </c>
      <c r="B13" s="3" t="inlineStr">
        <is>
          <t>完成生成式AI登记备案后，每年自动奖励500万元。</t>
        </is>
      </c>
      <c r="C13" s="3" t="inlineStr">
        <is>
          <t>改写</t>
        </is>
      </c>
      <c r="D13" s="3" t="inlineStr">
        <is>
          <t>产业意见要求经认定，可给予单个经营主体累计最高500万元奖励；创业者措施也使用累计最高口径。累计不是每年，登记备案不能直接当到账凭证。</t>
        </is>
      </c>
      <c r="E13" s="3" t="inlineStr">
        <is>
          <t>AI25二（十一）；OPC25三11</t>
        </is>
      </c>
      <c r="F13" s="3" t="inlineStr">
        <is>
          <t>核对登记备案与认定记录、已享受金额</t>
        </is>
      </c>
    </row>
    <row r="14" ht="86" customHeight="1">
      <c r="A14" s="2" t="inlineStr">
        <is>
          <t>Q13</t>
        </is>
      </c>
      <c r="B14" s="2" t="inlineStr">
        <is>
          <t>2022政策的PDF打不开，说明旧政策已废止，里面的额度可以按网上印象补齐。</t>
        </is>
      </c>
      <c r="C14" s="2" t="inlineStr">
        <is>
          <t>暂缓旧口径</t>
        </is>
      </c>
      <c r="D14" s="2" t="inlineStr">
        <is>
          <t>现有2022发文通知可以确认发文机关、文号和2022年9月16日，但不含完整扶持意见；附件获取404不是废止证据。不能确认旧额度、有效期、适用与新旧衔接，须补完整原件及有效性依据。</t>
        </is>
      </c>
      <c r="E14" s="2" t="inlineStr">
        <is>
          <t>OLD22通知正文；附件失败记录</t>
        </is>
      </c>
      <c r="F14" s="2" t="inlineStr">
        <is>
          <t>仅暂缓2022口径，其余已获原文问题继续修订</t>
        </is>
      </c>
    </row>
    <row r="15" ht="104" customHeight="1">
      <c r="A15" s="3" t="inlineStr">
        <is>
          <t>Q14</t>
        </is>
      </c>
      <c r="B15" s="3" t="inlineStr">
        <is>
          <t>页面地址带2026，所以超级创业者措施2026年才生效；教育局是唯一解释机关。</t>
        </is>
      </c>
      <c r="C15" s="3" t="inlineStr">
        <is>
          <t>改写</t>
        </is>
      </c>
      <c r="D15" s="3" t="inlineStr">
        <is>
          <t>OPC25正文注明2025年12月30日起试行二年，落款为区科委，解释条款为科委会同新工办、数据局、财政局等。路径年份及搜索元数据部门字段不能替代正文；部门字段冲突应记录待核，不擅自改写官方元数据。</t>
        </is>
      </c>
      <c r="E15" s="3" t="inlineStr">
        <is>
          <t>OPC25落款及附则4、5；检索部门字段</t>
        </is>
      </c>
      <c r="F15" s="3" t="inlineStr">
        <is>
          <t>保存正文与索引差异，请网站维护方核对，不宣称已纠错</t>
        </is>
      </c>
    </row>
  </sheetData>
  <autoFilter ref="A1:F1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3" manualBreakCount="3">
    <brk id="5" min="0" max="16383" man="1"/>
    <brk id="9" min="0" max="16383" man="1"/>
    <brk id="1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5" customWidth="1" min="3" max="3"/>
    <col width="15" customWidth="1" min="4" max="4"/>
    <col width="12" customWidth="1" min="5" max="5"/>
    <col width="38" customWidth="1" min="6" max="6"/>
    <col width="35" customWidth="1" min="7" max="7"/>
  </cols>
  <sheetData>
    <row r="1" ht="32" customHeight="1">
      <c r="A1" s="1" t="inlineStr">
        <is>
          <t>简称</t>
        </is>
      </c>
      <c r="B1" s="1" t="inlineStr">
        <is>
          <t>文号</t>
        </is>
      </c>
      <c r="C1" s="1" t="inlineStr">
        <is>
          <t>发布日期</t>
        </is>
      </c>
      <c r="D1" s="1" t="inlineStr">
        <is>
          <t>试行日期</t>
        </is>
      </c>
      <c r="E1" s="1" t="inlineStr">
        <is>
          <t>原文期限</t>
        </is>
      </c>
      <c r="F1" s="1" t="inlineStr">
        <is>
          <t>时点与资料状态</t>
        </is>
      </c>
      <c r="G1" s="1" t="inlineStr">
        <is>
          <t>保留问题</t>
        </is>
      </c>
    </row>
    <row r="2" ht="50" customHeight="1">
      <c r="A2" s="2" t="inlineStr">
        <is>
          <t>AI25</t>
        </is>
      </c>
      <c r="B2" s="2" t="inlineStr">
        <is>
          <t>徐新工办规〔2025〕6号</t>
        </is>
      </c>
      <c r="C2" s="2" t="inlineStr">
        <is>
          <t>2025-04-30</t>
        </is>
      </c>
      <c r="D2" s="2" t="inlineStr">
        <is>
          <t>2025-05-31</t>
        </is>
      </c>
      <c r="E2" s="2" t="inlineStr">
        <is>
          <t>试行二年</t>
        </is>
      </c>
      <c r="F2" s="2" t="inlineStr">
        <is>
          <t>有完整正文；2025-05-15尚未试行，2026-01-05在所述试行期内</t>
        </is>
      </c>
      <c r="G2" s="2" t="inlineStr">
        <is>
          <t>不据正文之外信息推断终止或整体新旧衔接</t>
        </is>
      </c>
    </row>
    <row r="3" ht="50" customHeight="1">
      <c r="A3" s="3" t="inlineStr">
        <is>
          <t>OPC25</t>
        </is>
      </c>
      <c r="B3" s="3" t="inlineStr">
        <is>
          <t>徐科委〔2025〕13号</t>
        </is>
      </c>
      <c r="C3" s="3" t="inlineStr">
        <is>
          <t>2025-12-30</t>
        </is>
      </c>
      <c r="D3" s="3" t="inlineStr">
        <is>
          <t>2025-12-30</t>
        </is>
      </c>
      <c r="E3" s="3" t="inlineStr">
        <is>
          <t>试行二年</t>
        </is>
      </c>
      <c r="F3" s="3" t="inlineStr">
        <is>
          <t>有完整正文；2026-01-05在所述试行期内</t>
        </is>
      </c>
      <c r="G3" s="3" t="inlineStr">
        <is>
          <t>路径年份不等于施行；检索部门字段与正文有差异</t>
        </is>
      </c>
    </row>
    <row r="4" ht="50" customHeight="1">
      <c r="A4" s="2" t="inlineStr">
        <is>
          <t>OLD22</t>
        </is>
      </c>
      <c r="B4" s="2" t="inlineStr">
        <is>
          <t>徐科委规〔2022〕2号</t>
        </is>
      </c>
      <c r="C4" s="2" t="inlineStr">
        <is>
          <t>2022-09-16</t>
        </is>
      </c>
      <c r="D4" s="2" t="inlineStr">
        <is>
          <t>未取得</t>
        </is>
      </c>
      <c r="E4" s="2" t="inlineStr">
        <is>
          <t>未取得</t>
        </is>
      </c>
      <c r="F4" s="2" t="inlineStr">
        <is>
          <t>仅有发文通知，实际附件404，不能确定旧额度/期限/衔接</t>
        </is>
      </c>
      <c r="G4" s="2" t="inlineStr">
        <is>
          <t>补全文及有效性依据；不得补猜或宣称废止</t>
        </is>
      </c>
    </row>
  </sheetData>
  <autoFilter ref="A1:G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2" customWidth="1" min="5" max="5"/>
    <col width="22" customWidth="1" min="6" max="6"/>
    <col width="17" customWidth="1" min="7" max="7"/>
    <col width="40" customWidth="1" min="8" max="8"/>
  </cols>
  <sheetData>
    <row r="1" ht="50" customHeight="1">
      <c r="A1" s="1" t="inlineStr">
        <is>
          <t>ID</t>
        </is>
      </c>
      <c r="B1" s="1" t="inlineStr">
        <is>
          <t>类型</t>
        </is>
      </c>
      <c r="C1" s="1" t="inlineStr">
        <is>
          <t>投入或月额</t>
        </is>
      </c>
      <c r="D1" s="1" t="inlineStr">
        <is>
          <t>收入或月数或类别数</t>
        </is>
      </c>
      <c r="E1" s="1" t="inlineStr">
        <is>
          <t>研发占比</t>
        </is>
      </c>
      <c r="F1" s="1" t="inlineStr">
        <is>
          <t>条件判断</t>
        </is>
      </c>
      <c r="G1" s="1" t="inlineStr">
        <is>
          <t>条件性上界</t>
        </is>
      </c>
      <c r="H1" s="1" t="inlineStr">
        <is>
          <t>单位与结论边界</t>
        </is>
      </c>
    </row>
    <row r="2" ht="50" customHeight="1">
      <c r="A2" s="2" t="inlineStr">
        <is>
          <t>E01</t>
        </is>
      </c>
      <c r="B2" s="2" t="inlineStr">
        <is>
          <t>研发</t>
        </is>
      </c>
      <c r="C2" s="4" t="n">
        <v>500</v>
      </c>
      <c r="D2" s="4" t="n">
        <v>10000</v>
      </c>
      <c r="E2" s="5">
        <f>C2/D2</f>
        <v/>
      </c>
      <c r="F2" s="2" t="inlineStr">
        <is>
          <t>达到5%比例条件</t>
        </is>
      </c>
      <c r="G2" s="6">
        <f>MIN(C2*0.3,5000)</f>
        <v/>
      </c>
      <c r="H2" s="2" t="inlineStr">
        <is>
          <t>万元；年度条件性上限150，仍需主体条件和综合评估</t>
        </is>
      </c>
    </row>
    <row r="3" ht="50" customHeight="1">
      <c r="A3" s="3" t="inlineStr">
        <is>
          <t>E02</t>
        </is>
      </c>
      <c r="B3" s="3" t="inlineStr">
        <is>
          <t>研发</t>
        </is>
      </c>
      <c r="C3" s="7" t="n">
        <v>499</v>
      </c>
      <c r="D3" s="7" t="n">
        <v>10000</v>
      </c>
      <c r="E3" s="8">
        <f>C3/D3</f>
        <v/>
      </c>
      <c r="F3" s="3" t="inlineStr">
        <is>
          <t>低于5%比例条件</t>
        </is>
      </c>
      <c r="G3" s="9" t="n"/>
      <c r="H3" s="3" t="inlineStr">
        <is>
          <t>不进入该条上限测算；空值不是核定0元，也不证明其他政策不能适用</t>
        </is>
      </c>
    </row>
    <row r="4" ht="32" customHeight="1">
      <c r="A4" s="2" t="inlineStr">
        <is>
          <t>E03</t>
        </is>
      </c>
      <c r="B4" s="2" t="inlineStr">
        <is>
          <t>研发</t>
        </is>
      </c>
      <c r="C4" s="4" t="n">
        <v>20000</v>
      </c>
      <c r="D4" s="4" t="n">
        <v>100000</v>
      </c>
      <c r="E4" s="5">
        <f>C4/D4</f>
        <v/>
      </c>
      <c r="F4" s="2" t="inlineStr">
        <is>
          <t>达到5%比例条件</t>
        </is>
      </c>
      <c r="G4" s="6">
        <f>MIN(C4*0.3,5000)</f>
        <v/>
      </c>
      <c r="H4" s="2" t="inlineStr">
        <is>
          <t>万元；年度条件性上限5000</t>
        </is>
      </c>
    </row>
    <row r="5" ht="32" customHeight="1">
      <c r="A5" s="3" t="inlineStr">
        <is>
          <t>E04</t>
        </is>
      </c>
      <c r="B5" s="3" t="inlineStr">
        <is>
          <t>算力</t>
        </is>
      </c>
      <c r="C5" s="7" t="n">
        <v>1000</v>
      </c>
      <c r="D5" s="3" t="n"/>
      <c r="E5" s="8" t="n"/>
      <c r="F5" s="3" t="inlineStr">
        <is>
          <t>仍需评审</t>
        </is>
      </c>
      <c r="G5" s="9">
        <f>MIN(C5*0.3,2000)</f>
        <v/>
      </c>
      <c r="H5" s="3" t="inlineStr">
        <is>
          <t>万元；年度条件性上限300</t>
        </is>
      </c>
    </row>
    <row r="6" ht="32" customHeight="1">
      <c r="A6" s="2" t="inlineStr">
        <is>
          <t>E05</t>
        </is>
      </c>
      <c r="B6" s="2" t="inlineStr">
        <is>
          <t>算力</t>
        </is>
      </c>
      <c r="C6" s="4" t="n">
        <v>10000</v>
      </c>
      <c r="D6" s="2" t="n"/>
      <c r="E6" s="5" t="n"/>
      <c r="F6" s="2" t="inlineStr">
        <is>
          <t>仍需评审</t>
        </is>
      </c>
      <c r="G6" s="6">
        <f>MIN(C6*0.3,2000)</f>
        <v/>
      </c>
      <c r="H6" s="2" t="inlineStr">
        <is>
          <t>万元；年度条件性上限2000</t>
        </is>
      </c>
    </row>
    <row r="7" ht="50" customHeight="1">
      <c r="A7" s="3" t="inlineStr">
        <is>
          <t>E06-AI</t>
        </is>
      </c>
      <c r="B7" s="3" t="inlineStr">
        <is>
          <t>同一场景</t>
        </is>
      </c>
      <c r="C7" s="7" t="n">
        <v>3000</v>
      </c>
      <c r="D7" s="3" t="n"/>
      <c r="E7" s="8" t="n"/>
      <c r="F7" s="3" t="inlineStr">
        <is>
          <t>产业意见；仍需综合评估</t>
        </is>
      </c>
      <c r="G7" s="9">
        <f>MIN(C7*0.5,1000)</f>
        <v/>
      </c>
      <c r="H7" s="3" t="inlineStr">
        <is>
          <t>万元；条件性上限1000，不加OPC的300</t>
        </is>
      </c>
    </row>
    <row r="8" ht="50" customHeight="1">
      <c r="A8" s="2" t="inlineStr">
        <is>
          <t>E06-OPC</t>
        </is>
      </c>
      <c r="B8" s="2" t="inlineStr">
        <is>
          <t>同一场景</t>
        </is>
      </c>
      <c r="C8" s="4" t="n">
        <v>3000</v>
      </c>
      <c r="D8" s="2" t="n"/>
      <c r="E8" s="5" t="n"/>
      <c r="F8" s="2" t="inlineStr">
        <is>
          <t>创业者措施；须符合对象</t>
        </is>
      </c>
      <c r="G8" s="6">
        <f>MIN(C8*0.5,300)</f>
        <v/>
      </c>
      <c r="H8" s="2" t="inlineStr">
        <is>
          <t>万元；条件性上限300，不得合计1300</t>
        </is>
      </c>
    </row>
    <row r="9" ht="32" customHeight="1">
      <c r="A9" s="3" t="inlineStr">
        <is>
          <t>E07</t>
        </is>
      </c>
      <c r="B9" s="3" t="inlineStr">
        <is>
          <t>人才租房</t>
        </is>
      </c>
      <c r="C9" s="7" t="n">
        <v>2000</v>
      </c>
      <c r="D9" s="7" t="n">
        <v>36</v>
      </c>
      <c r="E9" s="8" t="n"/>
      <c r="F9" s="3" t="inlineStr">
        <is>
          <t>只演算理论累计上界</t>
        </is>
      </c>
      <c r="G9" s="9">
        <f>C9*D9</f>
        <v/>
      </c>
      <c r="H9" s="3" t="inlineStr">
        <is>
          <t>元；72000元=7.2万元，不是一次性批准</t>
        </is>
      </c>
    </row>
    <row r="10" ht="50" customHeight="1">
      <c r="A10" s="2" t="inlineStr">
        <is>
          <t>E08</t>
        </is>
      </c>
      <c r="B10" s="2" t="inlineStr">
        <is>
          <t>三类券</t>
        </is>
      </c>
      <c r="C10" s="4" t="n">
        <v>100</v>
      </c>
      <c r="D10" s="4" t="n">
        <v>3</v>
      </c>
      <c r="E10" s="5" t="n"/>
      <c r="F10" s="2" t="inlineStr">
        <is>
          <t>三类均符合条件的理论券面</t>
        </is>
      </c>
      <c r="G10" s="6">
        <f>C10*D10</f>
        <v/>
      </c>
      <c r="H10" s="2" t="inlineStr">
        <is>
          <t>万元券面；300万元，不是现金</t>
        </is>
      </c>
    </row>
  </sheetData>
  <autoFilter ref="A1:H10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3" customWidth="1" min="3" max="3"/>
    <col width="18" customWidth="1" min="4" max="4"/>
    <col width="37" customWidth="1" min="5" max="5"/>
    <col width="37" customWidth="1" min="6" max="6"/>
  </cols>
  <sheetData>
    <row r="1" ht="32" customHeight="1">
      <c r="A1" s="1" t="inlineStr">
        <is>
          <t>ID</t>
        </is>
      </c>
      <c r="B1" s="1" t="inlineStr">
        <is>
          <t>事项</t>
        </is>
      </c>
      <c r="C1" s="1" t="inlineStr">
        <is>
          <t>当前状态</t>
        </is>
      </c>
      <c r="D1" s="1" t="inlineStr">
        <is>
          <t>责任人</t>
        </is>
      </c>
      <c r="E1" s="1" t="inlineStr">
        <is>
          <t>关闭材料</t>
        </is>
      </c>
      <c r="F1" s="1" t="inlineStr">
        <is>
          <t>注意</t>
        </is>
      </c>
    </row>
    <row r="2" ht="50" customHeight="1">
      <c r="A2" s="2" t="inlineStr">
        <is>
          <t>A01</t>
        </is>
      </c>
      <c r="B2" s="2" t="inlineStr">
        <is>
          <t>审稿状态</t>
        </is>
      </c>
      <c r="C2" s="2" t="inlineStr">
        <is>
          <t>内部修订候选，未发布</t>
        </is>
      </c>
      <c r="D2" s="2" t="inlineStr">
        <is>
          <t>法务负责人</t>
        </is>
      </c>
      <c r="E2" s="2" t="inlineStr">
        <is>
          <t>14条问答复核及发布签批</t>
        </is>
      </c>
      <c r="F2" s="2" t="inlineStr">
        <is>
          <t>V2确定工作范围；V3无权，补签晚于10:00截点</t>
        </is>
      </c>
    </row>
    <row r="3" ht="32" customHeight="1">
      <c r="A3" s="3" t="inlineStr">
        <is>
          <t>A02</t>
        </is>
      </c>
      <c r="B3" s="3" t="inlineStr">
        <is>
          <t>2022口径</t>
        </is>
      </c>
      <c r="C3" s="3" t="inlineStr">
        <is>
          <t>暂缓对外写旧额度</t>
        </is>
      </c>
      <c r="D3" s="3" t="inlineStr">
        <is>
          <t>资料管理员</t>
        </is>
      </c>
      <c r="E3" s="3" t="inlineStr">
        <is>
          <t>完整旧附件、有效期和新旧衔接依据</t>
        </is>
      </c>
      <c r="F3" s="3" t="inlineStr">
        <is>
          <t>不能因404终止其他13条内容修订</t>
        </is>
      </c>
    </row>
    <row r="4" ht="50" customHeight="1">
      <c r="A4" s="2" t="inlineStr">
        <is>
          <t>A03</t>
        </is>
      </c>
      <c r="B4" s="2" t="inlineStr">
        <is>
          <t>补贴资格</t>
        </is>
      </c>
      <c r="C4" s="2" t="inlineStr">
        <is>
          <t>不对具体企业作获批判断</t>
        </is>
      </c>
      <c r="D4" s="2" t="inlineStr">
        <is>
          <t>招商主管与执行机关</t>
        </is>
      </c>
      <c r="E4" s="2" t="inlineStr">
        <is>
          <t>主体、投入、规模、既往享受及相关认定材料</t>
        </is>
      </c>
      <c r="F4" s="2" t="inlineStr">
        <is>
          <t>8组参数仅作演算，非真实企业或申报记录</t>
        </is>
      </c>
    </row>
    <row r="5" ht="50" customHeight="1">
      <c r="A5" s="3" t="inlineStr">
        <is>
          <t>A04</t>
        </is>
      </c>
      <c r="B5" s="3" t="inlineStr">
        <is>
          <t>网页索引差异</t>
        </is>
      </c>
      <c r="C5" s="3" t="inlineStr">
        <is>
          <t>记录待核，未改官方记录</t>
        </is>
      </c>
      <c r="D5" s="3" t="inlineStr">
        <is>
          <t>资料管理员</t>
        </is>
      </c>
      <c r="E5" s="3" t="inlineStr">
        <is>
          <t>保留索引部门字段与正文落款/解释机关比对</t>
        </is>
      </c>
      <c r="F5" s="3" t="inlineStr">
        <is>
          <t>元数据不替代正文，未联系或取得网站纠错确认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