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llocation_Model" sheetId="4" state="visible" r:id="rId4"/>
    <sheet xmlns:r="http://schemas.openxmlformats.org/officeDocument/2006/relationships" name="Result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i val="1"/>
      <color rgb="00CC0000"/>
      <sz val="10"/>
    </font>
    <font>
      <b val="1"/>
      <color rgb="00333333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FY23-FY25 Segment Financial Data (Recast Basis)</t>
        </is>
      </c>
    </row>
    <row r="2">
      <c r="A2" s="2" t="inlineStr">
        <is>
          <t>Source: S01_FY25_公开分部表.docx | Unit: USD Millions</t>
        </is>
      </c>
    </row>
    <row r="3">
      <c r="A3" s="3" t="inlineStr">
        <is>
          <t>Note: S01 states 'We have recast certain prior period amounts to conform to the way we internally manage and monitor our business.'</t>
        </is>
      </c>
    </row>
    <row r="5">
      <c r="A5" s="4" t="inlineStr">
        <is>
          <t>Revenue (USD Millions)</t>
        </is>
      </c>
    </row>
    <row r="6">
      <c r="A6" s="5" t="inlineStr">
        <is>
          <t>Division</t>
        </is>
      </c>
      <c r="B6" s="5" t="inlineStr">
        <is>
          <t>FY23</t>
        </is>
      </c>
      <c r="C6" s="5" t="inlineStr">
        <is>
          <t>FY24</t>
        </is>
      </c>
      <c r="D6" s="5" t="inlineStr">
        <is>
          <t>FY25</t>
        </is>
      </c>
    </row>
    <row r="7">
      <c r="A7" s="6" t="inlineStr">
        <is>
          <t>Productivity and Business Processes</t>
        </is>
      </c>
      <c r="B7" s="7" t="n">
        <v>94151</v>
      </c>
      <c r="C7" s="7" t="n">
        <v>106820</v>
      </c>
      <c r="D7" s="7" t="n">
        <v>120810</v>
      </c>
    </row>
    <row r="8">
      <c r="A8" s="6" t="inlineStr">
        <is>
          <t>Intelligent Cloud</t>
        </is>
      </c>
      <c r="B8" s="7" t="n">
        <v>72944</v>
      </c>
      <c r="C8" s="7" t="n">
        <v>87464</v>
      </c>
      <c r="D8" s="7" t="n">
        <v>106265</v>
      </c>
    </row>
    <row r="9">
      <c r="A9" s="6" t="inlineStr">
        <is>
          <t>More Personal Computing</t>
        </is>
      </c>
      <c r="B9" s="7" t="n">
        <v>44820</v>
      </c>
      <c r="C9" s="7" t="n">
        <v>50838</v>
      </c>
      <c r="D9" s="7" t="n">
        <v>54649</v>
      </c>
    </row>
    <row r="11">
      <c r="A11" s="4" t="inlineStr">
        <is>
          <t>Operating Income (USD Millions)</t>
        </is>
      </c>
    </row>
    <row r="12">
      <c r="A12" s="5" t="inlineStr">
        <is>
          <t>Division</t>
        </is>
      </c>
      <c r="B12" s="5" t="inlineStr">
        <is>
          <t>FY23</t>
        </is>
      </c>
      <c r="C12" s="5" t="inlineStr">
        <is>
          <t>FY24</t>
        </is>
      </c>
      <c r="D12" s="5" t="inlineStr">
        <is>
          <t>FY25</t>
        </is>
      </c>
    </row>
    <row r="13">
      <c r="A13" s="6" t="inlineStr">
        <is>
          <t>Productivity and Business Processes</t>
        </is>
      </c>
      <c r="B13" s="7" t="n">
        <v>50074</v>
      </c>
      <c r="C13" s="7" t="n">
        <v>59661</v>
      </c>
      <c r="D13" s="7" t="n">
        <v>69773</v>
      </c>
    </row>
    <row r="14">
      <c r="A14" s="6" t="inlineStr">
        <is>
          <t>Intelligent Cloud</t>
        </is>
      </c>
      <c r="B14" s="7" t="n">
        <v>28411</v>
      </c>
      <c r="C14" s="7" t="n">
        <v>37813</v>
      </c>
      <c r="D14" s="7" t="n">
        <v>44589</v>
      </c>
    </row>
    <row r="15">
      <c r="A15" s="6" t="inlineStr">
        <is>
          <t>More Personal Computing</t>
        </is>
      </c>
      <c r="B15" s="7" t="n">
        <v>10038</v>
      </c>
      <c r="C15" s="7" t="n">
        <v>11959</v>
      </c>
      <c r="D15" s="7" t="n">
        <v>14166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8" customWidth="1" min="3" max="3"/>
  </cols>
  <sheetData>
    <row r="1">
      <c r="A1" s="1" t="inlineStr">
        <is>
          <t>FY26 Budget Allocation Assumptions</t>
        </is>
      </c>
    </row>
    <row r="2">
      <c r="A2" s="2" t="inlineStr">
        <is>
          <t>Source: internal_budget_proposals.csv</t>
        </is>
      </c>
    </row>
    <row r="4">
      <c r="A4" s="5" t="inlineStr">
        <is>
          <t>Budget Parameter</t>
        </is>
      </c>
      <c r="B4" s="5" t="inlineStr">
        <is>
          <t>Value</t>
        </is>
      </c>
      <c r="C4" s="5" t="inlineStr">
        <is>
          <t>Unit / Note</t>
        </is>
      </c>
    </row>
    <row r="5">
      <c r="A5" s="6" t="inlineStr">
        <is>
          <t>Total Incremental Budget</t>
        </is>
      </c>
      <c r="B5" s="7" t="n">
        <v>5000</v>
      </c>
      <c r="C5" s="6" t="inlineStr">
        <is>
          <t>USD Millions</t>
        </is>
      </c>
    </row>
    <row r="6">
      <c r="A6" s="6" t="inlineStr">
        <is>
          <t>Number of Divisions to Select</t>
        </is>
      </c>
      <c r="B6" s="7" t="n">
        <v>2</v>
      </c>
      <c r="C6" s="6" t="inlineStr">
        <is>
          <t>count</t>
        </is>
      </c>
    </row>
    <row r="7">
      <c r="A7" s="6" t="inlineStr">
        <is>
          <t>Minimum Allocation per Division</t>
        </is>
      </c>
      <c r="B7" s="7" t="n">
        <v>1000</v>
      </c>
      <c r="C7" s="6" t="inlineStr">
        <is>
          <t>USD Millions</t>
        </is>
      </c>
    </row>
    <row r="8">
      <c r="A8" s="6" t="inlineStr">
        <is>
          <t>Maximum Allocation (% of Request)</t>
        </is>
      </c>
      <c r="B8" s="8" t="n">
        <v>0.8</v>
      </c>
      <c r="C8" s="6" t="inlineStr">
        <is>
          <t>percentage</t>
        </is>
      </c>
    </row>
    <row r="10">
      <c r="A10" s="4" t="inlineStr">
        <is>
          <t>Internal Budget Proposals (FY26)</t>
        </is>
      </c>
    </row>
    <row r="11">
      <c r="A11" s="5" t="inlineStr">
        <is>
          <t>Division</t>
        </is>
      </c>
      <c r="B11" s="5" t="inlineStr">
        <is>
          <t>Requested Incremental Budget (USD M)</t>
        </is>
      </c>
      <c r="C11" s="5" t="inlineStr">
        <is>
          <t>Marginal OI Conversion Rate</t>
        </is>
      </c>
    </row>
    <row r="12">
      <c r="A12" s="6" t="inlineStr">
        <is>
          <t>Productivity and Business Processes</t>
        </is>
      </c>
      <c r="B12" s="7" t="n">
        <v>3000</v>
      </c>
      <c r="C12" s="8" t="n">
        <v>0.25</v>
      </c>
    </row>
    <row r="13">
      <c r="A13" s="6" t="inlineStr">
        <is>
          <t>Intelligent Cloud</t>
        </is>
      </c>
      <c r="B13" s="7" t="n">
        <v>4000</v>
      </c>
      <c r="C13" s="8" t="n">
        <v>0.35</v>
      </c>
    </row>
    <row r="14">
      <c r="A14" s="6" t="inlineStr">
        <is>
          <t>More Personal Computing</t>
        </is>
      </c>
      <c r="B14" s="7" t="n">
        <v>2000</v>
      </c>
      <c r="C14" s="8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4" customWidth="1" min="4" max="4"/>
    <col width="28" customWidth="1" min="5" max="5"/>
    <col width="18" customWidth="1" min="6" max="6"/>
  </cols>
  <sheetData>
    <row r="1">
      <c r="A1" s="1" t="inlineStr">
        <is>
          <t>FY23-FY25 Financial Performance Analysis</t>
        </is>
      </c>
    </row>
    <row r="2">
      <c r="A2" s="2" t="inlineStr">
        <is>
          <t>CAGR and Operating Margin calculations based on S01 recast data only</t>
        </is>
      </c>
    </row>
    <row r="4">
      <c r="A4" s="5" t="inlineStr">
        <is>
          <t>Division</t>
        </is>
      </c>
      <c r="B4" s="5" t="inlineStr">
        <is>
          <t>FY23 Revenue (USD M)</t>
        </is>
      </c>
      <c r="C4" s="5" t="inlineStr">
        <is>
          <t>FY25 Revenue (USD M)</t>
        </is>
      </c>
      <c r="D4" s="5" t="inlineStr">
        <is>
          <t>Revenue CAGR (FY23 to FY25)</t>
        </is>
      </c>
      <c r="E4" s="5" t="inlineStr">
        <is>
          <t>FY25 Operating Income (USD M)</t>
        </is>
      </c>
      <c r="F4" s="5" t="inlineStr">
        <is>
          <t>FY25 OI Margin</t>
        </is>
      </c>
    </row>
    <row r="5">
      <c r="A5" s="6" t="inlineStr">
        <is>
          <t>Productivity and Business Processes</t>
        </is>
      </c>
      <c r="B5" s="7">
        <f>Data_Source!B7</f>
        <v/>
      </c>
      <c r="C5" s="7">
        <f>Data_Source!D7</f>
        <v/>
      </c>
      <c r="D5" s="8">
        <f>(C5/B5)^(1/2)-1</f>
        <v/>
      </c>
      <c r="E5" s="7">
        <f>Data_Source!D13</f>
        <v/>
      </c>
      <c r="F5" s="8">
        <f>E5/C5</f>
        <v/>
      </c>
    </row>
    <row r="6">
      <c r="A6" s="6" t="inlineStr">
        <is>
          <t>Intelligent Cloud</t>
        </is>
      </c>
      <c r="B6" s="7">
        <f>Data_Source!B8</f>
        <v/>
      </c>
      <c r="C6" s="7">
        <f>Data_Source!D8</f>
        <v/>
      </c>
      <c r="D6" s="8">
        <f>(C6/B6)^(1/2)-1</f>
        <v/>
      </c>
      <c r="E6" s="7">
        <f>Data_Source!D14</f>
        <v/>
      </c>
      <c r="F6" s="8">
        <f>E6/C6</f>
        <v/>
      </c>
    </row>
    <row r="7">
      <c r="A7" s="6" t="inlineStr">
        <is>
          <t>More Personal Computing</t>
        </is>
      </c>
      <c r="B7" s="7">
        <f>Data_Source!B9</f>
        <v/>
      </c>
      <c r="C7" s="7">
        <f>Data_Source!D9</f>
        <v/>
      </c>
      <c r="D7" s="8">
        <f>(C7/B7)^(1/2)-1</f>
        <v/>
      </c>
      <c r="E7" s="7">
        <f>Data_Source!D15</f>
        <v/>
      </c>
      <c r="F7" s="8">
        <f>E7/C7</f>
        <v/>
      </c>
    </row>
    <row r="9">
      <c r="A9" s="4" t="inlineStr">
        <is>
          <t>Marginal OI Conversion Rate Ranking (Descending)</t>
        </is>
      </c>
    </row>
    <row r="10">
      <c r="A10" s="5" t="inlineStr">
        <is>
          <t>Rank</t>
        </is>
      </c>
      <c r="B10" s="5" t="inlineStr">
        <is>
          <t>Division</t>
        </is>
      </c>
      <c r="C10" s="5" t="inlineStr">
        <is>
          <t>Marginal OI Conversion Rate</t>
        </is>
      </c>
      <c r="D10" s="5" t="inlineStr">
        <is>
          <t>Requested Budget (USD M)</t>
        </is>
      </c>
      <c r="E10" s="5" t="inlineStr">
        <is>
          <t>Max Allocation 80% Cap (USD M)</t>
        </is>
      </c>
    </row>
    <row r="11">
      <c r="A11" s="6" t="n">
        <v>1</v>
      </c>
      <c r="B11" s="6" t="inlineStr">
        <is>
          <t>Intelligent Cloud</t>
        </is>
      </c>
      <c r="C11" s="8">
        <f>Assumptions!C13</f>
        <v/>
      </c>
      <c r="D11" s="7">
        <f>Assumptions!B13</f>
        <v/>
      </c>
      <c r="E11" s="7">
        <f>D11*Assumptions!B8</f>
        <v/>
      </c>
    </row>
    <row r="12">
      <c r="A12" s="6" t="n">
        <v>2</v>
      </c>
      <c r="B12" s="6" t="inlineStr">
        <is>
          <t>Productivity and Business Processes</t>
        </is>
      </c>
      <c r="C12" s="8">
        <f>Assumptions!C12</f>
        <v/>
      </c>
      <c r="D12" s="7">
        <f>Assumptions!B12</f>
        <v/>
      </c>
      <c r="E12" s="7">
        <f>D12*Assumptions!B8</f>
        <v/>
      </c>
    </row>
    <row r="13">
      <c r="A13" s="6" t="n">
        <v>3</v>
      </c>
      <c r="B13" s="6" t="inlineStr">
        <is>
          <t>More Personal Computing</t>
        </is>
      </c>
      <c r="C13" s="8">
        <f>Assumptions!C14</f>
        <v/>
      </c>
      <c r="D13" s="7">
        <f>Assumptions!B14</f>
        <v/>
      </c>
      <c r="E13" s="7">
        <f>D13*Assumptions!B8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0" customWidth="1" min="4" max="4"/>
    <col width="20" customWidth="1" min="5" max="5"/>
    <col width="20" customWidth="1" min="6" max="6"/>
    <col width="28" customWidth="1" min="7" max="7"/>
  </cols>
  <sheetData>
    <row r="1">
      <c r="A1" s="1" t="inlineStr">
        <is>
          <t>FY26 Incremental Budget Allocation Model</t>
        </is>
      </c>
    </row>
    <row r="2">
      <c r="A2" s="2" t="inlineStr">
        <is>
          <t>Logic: Prioritize highest marginal OI conversion rate; allocate up to 80% of request, then remainder to 2nd highest</t>
        </is>
      </c>
    </row>
    <row r="4">
      <c r="A4" s="5" t="inlineStr">
        <is>
          <t>Parameter</t>
        </is>
      </c>
      <c r="B4" s="5" t="inlineStr">
        <is>
          <t>Value</t>
        </is>
      </c>
      <c r="C4" s="5" t="inlineStr">
        <is>
          <t>Source</t>
        </is>
      </c>
    </row>
    <row r="5">
      <c r="A5" s="6" t="inlineStr">
        <is>
          <t>Total Budget (USD M)</t>
        </is>
      </c>
      <c r="B5" s="6">
        <f>Assumptions!B5</f>
        <v/>
      </c>
      <c r="C5" s="6" t="inlineStr">
        <is>
          <t>Assumptions!B5</t>
        </is>
      </c>
    </row>
    <row r="6">
      <c r="A6" s="6" t="inlineStr">
        <is>
          <t>Divisions to Select</t>
        </is>
      </c>
      <c r="B6" s="6">
        <f>Assumptions!B6</f>
        <v/>
      </c>
      <c r="C6" s="6" t="inlineStr">
        <is>
          <t>Assumptions!B6</t>
        </is>
      </c>
    </row>
    <row r="7">
      <c r="A7" s="6" t="inlineStr">
        <is>
          <t>Min per Division (USD M)</t>
        </is>
      </c>
      <c r="B7" s="6">
        <f>Assumptions!B7</f>
        <v/>
      </c>
      <c r="C7" s="6" t="inlineStr">
        <is>
          <t>Assumptions!B7</t>
        </is>
      </c>
    </row>
    <row r="8">
      <c r="A8" s="6" t="inlineStr">
        <is>
          <t>Max % of Request</t>
        </is>
      </c>
      <c r="B8" s="8">
        <f>Assumptions!B8</f>
        <v/>
      </c>
      <c r="C8" s="6" t="inlineStr">
        <is>
          <t>Assumptions!B8</t>
        </is>
      </c>
    </row>
    <row r="10">
      <c r="A10" s="5" t="inlineStr">
        <is>
          <t>Rank</t>
        </is>
      </c>
      <c r="B10" s="5" t="inlineStr">
        <is>
          <t>Division</t>
        </is>
      </c>
      <c r="C10" s="5" t="inlineStr">
        <is>
          <t>Marginal Rate</t>
        </is>
      </c>
      <c r="D10" s="5" t="inlineStr">
        <is>
          <t>Requested (USD M)</t>
        </is>
      </c>
      <c r="E10" s="5" t="inlineStr">
        <is>
          <t>80% Cap (USD M)</t>
        </is>
      </c>
      <c r="F10" s="5" t="inlineStr">
        <is>
          <t>Allocated (USD M)</t>
        </is>
      </c>
      <c r="G10" s="5" t="inlineStr">
        <is>
          <t>Expected Marginal OI (USD M)</t>
        </is>
      </c>
    </row>
    <row r="11">
      <c r="A11" s="6">
        <f>Analysis!A11</f>
        <v/>
      </c>
      <c r="B11" s="6">
        <f>Analysis!B11</f>
        <v/>
      </c>
      <c r="C11" s="8">
        <f>Analysis!C11</f>
        <v/>
      </c>
      <c r="D11" s="7">
        <f>Analysis!D11</f>
        <v/>
      </c>
      <c r="E11" s="7">
        <f>Analysis!E11</f>
        <v/>
      </c>
      <c r="F11" s="7">
        <f>MIN(B5, E11)</f>
        <v/>
      </c>
      <c r="G11" s="7">
        <f>F11*C11</f>
        <v/>
      </c>
    </row>
    <row r="12">
      <c r="A12" s="6">
        <f>Analysis!A12</f>
        <v/>
      </c>
      <c r="B12" s="6">
        <f>Analysis!B12</f>
        <v/>
      </c>
      <c r="C12" s="8">
        <f>Analysis!C12</f>
        <v/>
      </c>
      <c r="D12" s="7">
        <f>Analysis!D12</f>
        <v/>
      </c>
      <c r="E12" s="7">
        <f>Analysis!E12</f>
        <v/>
      </c>
      <c r="F12" s="7">
        <f>MIN(B5-F11, E12)</f>
        <v/>
      </c>
      <c r="G12" s="7">
        <f>F12*C12</f>
        <v/>
      </c>
    </row>
    <row r="13">
      <c r="A13" s="6">
        <f>Analysis!A13</f>
        <v/>
      </c>
      <c r="B13" s="6">
        <f>Analysis!B13</f>
        <v/>
      </c>
      <c r="C13" s="8">
        <f>Analysis!C13</f>
        <v/>
      </c>
      <c r="D13" s="7">
        <f>Analysis!D13</f>
        <v/>
      </c>
      <c r="E13" s="7">
        <f>Analysis!E13</f>
        <v/>
      </c>
      <c r="F13" s="7" t="n">
        <v>0</v>
      </c>
      <c r="G13" s="7">
        <f>F13*C13</f>
        <v/>
      </c>
    </row>
    <row r="15">
      <c r="A15" s="4" t="inlineStr">
        <is>
          <t>Validation Checks</t>
        </is>
      </c>
    </row>
    <row r="16">
      <c r="A16" s="6" t="inlineStr">
        <is>
          <t>Total Allocated (USD M)</t>
        </is>
      </c>
      <c r="B16" s="7">
        <f>SUM(F11:F13)</f>
        <v/>
      </c>
      <c r="C16" s="6" t="inlineStr">
        <is>
          <t>Must equal Total Budget (B5)</t>
        </is>
      </c>
    </row>
    <row r="17">
      <c r="A17" s="6" t="inlineStr">
        <is>
          <t>Budget Match?</t>
        </is>
      </c>
      <c r="B17" s="6">
        <f>IF(B16=B5,"YES","NO - MISMATCH!")</f>
        <v/>
      </c>
      <c r="C17" s="6" t="n"/>
    </row>
    <row r="18">
      <c r="A18" s="6" t="inlineStr">
        <is>
          <t>Selected Count</t>
        </is>
      </c>
      <c r="B18" s="6">
        <f>COUNTIF(F11:F13,"&gt;0")</f>
        <v/>
      </c>
      <c r="C18" s="6" t="inlineStr">
        <is>
          <t>Must equal 2</t>
        </is>
      </c>
    </row>
    <row r="19">
      <c r="A19" s="6" t="inlineStr">
        <is>
          <t>Min Allocation Check (&gt;= 1,000)</t>
        </is>
      </c>
      <c r="B19" s="6">
        <f>IF(AND(F11&gt;=B7,F12&gt;=B7),"PASS","FAIL")</f>
        <v/>
      </c>
      <c r="C19" s="6" t="inlineStr">
        <is>
          <t>All selected divisions &gt;= Min</t>
        </is>
      </c>
    </row>
    <row r="20">
      <c r="A20" s="6" t="inlineStr">
        <is>
          <t>Max Cap Check (&lt;= 80% Request)</t>
        </is>
      </c>
      <c r="B20" s="6">
        <f>IF(AND(F11&lt;=E11,F12&lt;=E12),"PASS","FAIL")</f>
        <v/>
      </c>
      <c r="C20" s="6" t="inlineStr">
        <is>
          <t>All selected divisions &lt;= 80%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8" customWidth="1" min="3" max="3"/>
    <col width="28" customWidth="1" min="4" max="4"/>
  </cols>
  <sheetData>
    <row r="1">
      <c r="A1" s="1" t="inlineStr">
        <is>
          <t>Final FY26 Incremental Budget Allocation Results</t>
        </is>
      </c>
    </row>
    <row r="2">
      <c r="A2" s="2" t="inlineStr">
        <is>
          <t>Unit: USD Millions</t>
        </is>
      </c>
    </row>
    <row r="4">
      <c r="A4" s="5" t="inlineStr">
        <is>
          <t>Division</t>
        </is>
      </c>
      <c r="B4" s="5" t="inlineStr">
        <is>
          <t>Allocated Budget (USD M)</t>
        </is>
      </c>
      <c r="C4" s="5" t="inlineStr">
        <is>
          <t>Marginal OI Conversion Rate</t>
        </is>
      </c>
      <c r="D4" s="5" t="inlineStr">
        <is>
          <t>Expected Marginal OI (USD M)</t>
        </is>
      </c>
    </row>
    <row r="5">
      <c r="A5" s="6">
        <f>Allocation_Model!B11</f>
        <v/>
      </c>
      <c r="B5" s="7">
        <f>Allocation_Model!F11</f>
        <v/>
      </c>
      <c r="C5" s="8">
        <f>Allocation_Model!C11</f>
        <v/>
      </c>
      <c r="D5" s="7">
        <f>Allocation_Model!G11</f>
        <v/>
      </c>
    </row>
    <row r="6">
      <c r="A6" s="6">
        <f>Allocation_Model!B12</f>
        <v/>
      </c>
      <c r="B6" s="7">
        <f>Allocation_Model!F12</f>
        <v/>
      </c>
      <c r="C6" s="8">
        <f>Allocation_Model!C12</f>
        <v/>
      </c>
      <c r="D6" s="7">
        <f>Allocation_Model!G12</f>
        <v/>
      </c>
    </row>
    <row r="7">
      <c r="A7" s="9" t="inlineStr">
        <is>
          <t>Total</t>
        </is>
      </c>
      <c r="B7" s="10">
        <f>SUM(B5:B6)</f>
        <v/>
      </c>
      <c r="C7" s="9" t="n"/>
      <c r="D7" s="10">
        <f>SUM(D5:D6)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2026-10-21T05:43:10Z</dcterms:created>
  <dcterms:modified xmlns:dcterms="http://purl.org/dc/terms/" xmlns:xsi="http://www.w3.org/2001/XMLSchema-instance" xsi:type="dcterms:W3CDTF">2026-10-21T05:43:10Z</dcterms:modified>
</cp:coreProperties>
</file>