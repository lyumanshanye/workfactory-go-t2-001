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与边界" sheetId="1" state="visible" r:id="rId1"/>
    <sheet xmlns:r="http://schemas.openxmlformats.org/officeDocument/2006/relationships" name="原行处置" sheetId="2" state="visible" r:id="rId2"/>
    <sheet xmlns:r="http://schemas.openxmlformats.org/officeDocument/2006/relationships" name="有效流水复算" sheetId="3" state="visible" r:id="rId3"/>
    <sheet xmlns:r="http://schemas.openxmlformats.org/officeDocument/2006/relationships" name="员工年度汇总" sheetId="4" state="visible" r:id="rId4"/>
    <sheet xmlns:r="http://schemas.openxmlformats.org/officeDocument/2006/relationships" name="草案调整桥接" sheetId="5" state="visible" r:id="rId5"/>
    <sheet xmlns:r="http://schemas.openxmlformats.org/officeDocument/2006/relationships" name="控制交接" sheetId="6" state="visible" r:id="rId6"/>
  </sheets>
  <definedNames>
    <definedName name="_xlnm._FilterDatabase" localSheetId="0" hidden="1">'规则与边界'!$A$1:$C$7</definedName>
    <definedName name="_xlnm.Print_Titles" localSheetId="0">'规则与边界'!$1:$1</definedName>
    <definedName name="_xlnm._FilterDatabase" localSheetId="1" hidden="1">'原行处置'!$A$1:$D$16</definedName>
    <definedName name="_xlnm.Print_Titles" localSheetId="1">'原行处置'!$1:$1</definedName>
    <definedName name="_xlnm._FilterDatabase" localSheetId="2" hidden="1">'有效流水复算'!$A$1:$J$11</definedName>
    <definedName name="_xlnm.Print_Titles" localSheetId="2">'有效流水复算'!$1:$1</definedName>
    <definedName name="_xlnm._FilterDatabase" localSheetId="3" hidden="1">'员工年度汇总'!$A$1:$G$9</definedName>
    <definedName name="_xlnm.Print_Titles" localSheetId="3">'员工年度汇总'!$1:$1</definedName>
    <definedName name="_xlnm._FilterDatabase" localSheetId="4" hidden="1">'草案调整桥接'!$A$1:$E$18</definedName>
    <definedName name="_xlnm.Print_Titles" localSheetId="4">'草案调整桥接'!$1:$1</definedName>
    <definedName name="_xlnm._FilterDatabase" localSheetId="5" hidden="1">'控制交接'!$A$1:$E$5</definedName>
    <definedName name="_xlnm.Print_Titles" localSheetId="5">'控制交接'!$1:$1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102" customWidth="1" min="3" max="3"/>
  </cols>
  <sheetData>
    <row r="1" ht="32" customHeight="1">
      <c r="A1" s="1" t="inlineStr">
        <is>
          <t>对象</t>
        </is>
      </c>
      <c r="B1" s="1" t="inlineStr">
        <is>
          <t>数值或处理</t>
        </is>
      </c>
      <c r="C1" s="1" t="inlineStr">
        <is>
          <t>依据与限制</t>
        </is>
      </c>
    </row>
    <row r="2" ht="32" customHeight="1">
      <c r="A2" s="2" t="inlineStr">
        <is>
          <t>2024一般OASDI上限</t>
        </is>
      </c>
      <c r="B2" s="3" t="n">
        <v>168600</v>
      </c>
      <c r="C2" s="2" t="inlineStr">
        <is>
          <t>SSA 2023-23317，2023-10-23公布，PDF3页OASDI General，适用2024支付报酬；不是2023支付年。</t>
        </is>
      </c>
    </row>
    <row r="3" ht="50" customHeight="1">
      <c r="A3" s="4" t="inlineStr">
        <is>
          <t>2025一般OASDI上限</t>
        </is>
      </c>
      <c r="B3" s="5" t="n">
        <v>176100</v>
      </c>
      <c r="C3" s="4" t="inlineStr">
        <is>
          <t>SSA 2024-24871，2024-10-25公布，PDF4页OASDI General/Amount，适用2025支付报酬，不因劳务期在2024而换年。</t>
        </is>
      </c>
    </row>
    <row r="4" ht="50" customHeight="1">
      <c r="A4" s="2" t="inlineStr">
        <is>
          <t>2026事后材料</t>
        </is>
      </c>
      <c r="B4" s="3" t="n">
        <v>184500</v>
      </c>
      <c r="C4" s="2" t="inlineStr">
        <is>
          <t>SSA 2025-19763，2025-11-03公布，PDF1页；晚于2025-01-31截点，且只适用2026。仅标记事后干扰，不用于2024/2025计算。</t>
        </is>
      </c>
    </row>
    <row r="5" ht="50" customHeight="1">
      <c r="A5" s="4" t="inlineStr">
        <is>
          <t>2025计算</t>
        </is>
      </c>
      <c r="B5" s="4" t="inlineStr">
        <is>
          <t>60600*66621.80/22935.42，最近300取整，并与168600取大</t>
        </is>
      </c>
      <c r="C5" s="4" t="inlineStr">
        <is>
          <t>SSA25 PDF4页：未取整约176028.22，取整176100。不是用168600乘福利COLA 2.5%；也不是old-law 130800或月度福利门槛。</t>
        </is>
      </c>
    </row>
    <row r="6" ht="50" customHeight="1">
      <c r="A6" s="2" t="inlineStr">
        <is>
          <t>范围</t>
        </is>
      </c>
      <c r="B6" s="2" t="inlineStr">
        <is>
          <t>同一普通美国雇主、均为覆盖雇员；只核工资基数</t>
        </is>
      </c>
      <c r="C6" s="2" t="inlineStr">
        <is>
          <t>不计算税率、税款、Medicare、所得税、退款或待遇；不判断特殊覆盖例外。期初2024截至12-26，2025归零。</t>
        </is>
      </c>
    </row>
    <row r="7" ht="32" customHeight="1">
      <c r="A7" s="4" t="inlineStr">
        <is>
          <t>事实及时间</t>
        </is>
      </c>
      <c r="B7" s="4" t="inlineStr">
        <is>
          <t>2025-01-31 17:00 America/New_York历史分析</t>
        </is>
      </c>
      <c r="C7" s="4" t="inlineStr">
        <is>
          <t>2026实际抓取，不冒充2025历史采集。内部流水和草案原创且未审；拟2025-02-03 10:00交接不代表完成。</t>
        </is>
      </c>
    </row>
  </sheetData>
  <autoFilter ref="A1:C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  <col width="105" customWidth="1" min="4" max="4"/>
  </cols>
  <sheetData>
    <row r="1" ht="32" customHeight="1">
      <c r="A1" s="1" t="inlineStr">
        <is>
          <t>原始行号含表头</t>
        </is>
      </c>
      <c r="B1" s="1" t="inlineStr">
        <is>
          <t>ID与修订</t>
        </is>
      </c>
      <c r="C1" s="1" t="inlineStr">
        <is>
          <t>处理</t>
        </is>
      </c>
      <c r="D1" s="1" t="inlineStr">
        <is>
          <t>理由</t>
        </is>
      </c>
    </row>
    <row r="2" ht="32" customHeight="1">
      <c r="A2" s="3" t="n">
        <v>2</v>
      </c>
      <c r="B2" s="2" t="inlineStr">
        <is>
          <t>P01/r1</t>
        </is>
      </c>
      <c r="C2" s="2" t="inlineStr">
        <is>
          <t>纳入</t>
        </is>
      </c>
      <c r="D2" s="2" t="inlineStr">
        <is>
          <t>PAID，截点前有效；2024支付年。</t>
        </is>
      </c>
    </row>
    <row r="3" ht="32" customHeight="1">
      <c r="A3" s="5" t="n">
        <v>3</v>
      </c>
      <c r="B3" s="4" t="inlineStr">
        <is>
          <t>P02/r1</t>
        </is>
      </c>
      <c r="C3" s="4" t="inlineStr">
        <is>
          <t>纳入</t>
        </is>
      </c>
      <c r="D3" s="4" t="inlineStr">
        <is>
          <t>PAID，2024支付年；是否已封顶在计算层判断。</t>
        </is>
      </c>
    </row>
    <row r="4" ht="32" customHeight="1">
      <c r="A4" s="3" t="n">
        <v>4</v>
      </c>
      <c r="B4" s="2" t="inlineStr">
        <is>
          <t>P03/r1</t>
        </is>
      </c>
      <c r="C4" s="2" t="inlineStr">
        <is>
          <t>纳入</t>
        </is>
      </c>
      <c r="D4" s="2" t="inlineStr">
        <is>
          <t>PAID，2024支付年。</t>
        </is>
      </c>
    </row>
    <row r="5" ht="32" customHeight="1">
      <c r="A5" s="5" t="n">
        <v>5</v>
      </c>
      <c r="B5" s="4" t="inlineStr">
        <is>
          <t>P04/r1</t>
        </is>
      </c>
      <c r="C5" s="4" t="inlineStr">
        <is>
          <t>纳入</t>
        </is>
      </c>
      <c r="D5" s="4" t="inlineStr">
        <is>
          <t>PAID，2024支付年。</t>
        </is>
      </c>
    </row>
    <row r="6" ht="32" customHeight="1">
      <c r="A6" s="3" t="n">
        <v>6</v>
      </c>
      <c r="B6" s="2" t="inlineStr">
        <is>
          <t>P05/r1</t>
        </is>
      </c>
      <c r="C6" s="2" t="inlineStr">
        <is>
          <t>排除</t>
        </is>
      </c>
      <c r="D6" s="2" t="inlineStr">
        <is>
          <t>被截点前P05/r2替代，不把5000和6000相加。</t>
        </is>
      </c>
    </row>
    <row r="7" ht="32" customHeight="1">
      <c r="A7" s="5" t="n">
        <v>7</v>
      </c>
      <c r="B7" s="4" t="inlineStr">
        <is>
          <t>P05/r2</t>
        </is>
      </c>
      <c r="C7" s="4" t="inlineStr">
        <is>
          <t>纳入</t>
        </is>
      </c>
      <c r="D7" s="4" t="inlineStr">
        <is>
          <t>截点前最新有效修订，工资6000；支付年2025，劳务期2024-12不改年。</t>
        </is>
      </c>
    </row>
    <row r="8" ht="32" customHeight="1">
      <c r="A8" s="3" t="n">
        <v>8</v>
      </c>
      <c r="B8" s="2" t="inlineStr">
        <is>
          <t>P06/r1</t>
        </is>
      </c>
      <c r="C8" s="2" t="inlineStr">
        <is>
          <t>纳入</t>
        </is>
      </c>
      <c r="D8" s="2" t="inlineStr">
        <is>
          <t>2025支付年，从该年0起累计，不继承B在2024封顶。</t>
        </is>
      </c>
    </row>
    <row r="9" ht="32" customHeight="1">
      <c r="A9" s="5" t="n">
        <v>9</v>
      </c>
      <c r="B9" s="4" t="inlineStr">
        <is>
          <t>P07/r1</t>
        </is>
      </c>
      <c r="C9" s="4" t="inlineStr">
        <is>
          <t>纳入</t>
        </is>
      </c>
      <c r="D9" s="4" t="inlineStr">
        <is>
          <t>PAID，2025支付年。</t>
        </is>
      </c>
    </row>
    <row r="10" ht="32" customHeight="1">
      <c r="A10" s="3" t="n">
        <v>10</v>
      </c>
      <c r="B10" s="2" t="inlineStr">
        <is>
          <t>P08/r1</t>
        </is>
      </c>
      <c r="C10" s="2" t="inlineStr">
        <is>
          <t>纳入</t>
        </is>
      </c>
      <c r="D10" s="2" t="inlineStr">
        <is>
          <t>PAID，2025支付年。</t>
        </is>
      </c>
    </row>
    <row r="11" ht="32" customHeight="1">
      <c r="A11" s="5" t="n">
        <v>11</v>
      </c>
      <c r="B11" s="4" t="inlineStr">
        <is>
          <t>P09/r1</t>
        </is>
      </c>
      <c r="C11" s="4" t="inlineStr">
        <is>
          <t>纳入</t>
        </is>
      </c>
      <c r="D11" s="4" t="inlineStr">
        <is>
          <t>2025第二笔，A须承接该年P05/r2覆盖工资6000。</t>
        </is>
      </c>
    </row>
    <row r="12" ht="32" customHeight="1">
      <c r="A12" s="3" t="n">
        <v>12</v>
      </c>
      <c r="B12" s="2" t="inlineStr">
        <is>
          <t>P10/r1</t>
        </is>
      </c>
      <c r="C12" s="2" t="inlineStr">
        <is>
          <t>纳入</t>
        </is>
      </c>
      <c r="D12" s="2" t="inlineStr">
        <is>
          <t>2025第二笔，B须承接该年P06覆盖工资8000。</t>
        </is>
      </c>
    </row>
    <row r="13" ht="32" customHeight="1">
      <c r="A13" s="5" t="n">
        <v>13</v>
      </c>
      <c r="B13" s="4" t="inlineStr">
        <is>
          <t>P11/r1</t>
        </is>
      </c>
      <c r="C13" s="4" t="inlineStr">
        <is>
          <t>排除</t>
        </is>
      </c>
      <c r="D13" s="4" t="inlineStr">
        <is>
          <t>P11/r2在截点前作VOID，不复活旧PAID。</t>
        </is>
      </c>
    </row>
    <row r="14" ht="32" customHeight="1">
      <c r="A14" s="3" t="n">
        <v>14</v>
      </c>
      <c r="B14" s="2" t="inlineStr">
        <is>
          <t>P11/r2</t>
        </is>
      </c>
      <c r="C14" s="2" t="inlineStr">
        <is>
          <t>排除</t>
        </is>
      </c>
      <c r="D14" s="2" t="inlineStr">
        <is>
          <t>有效最新状态VOID；本截点不计。</t>
        </is>
      </c>
    </row>
    <row r="15" ht="32" customHeight="1">
      <c r="A15" s="5" t="n">
        <v>15</v>
      </c>
      <c r="B15" s="4" t="inlineStr">
        <is>
          <t>P12/r1</t>
        </is>
      </c>
      <c r="C15" s="4" t="inlineStr">
        <is>
          <t>排除</t>
        </is>
      </c>
      <c r="D15" s="4" t="inlineStr">
        <is>
          <t>PENDING，计划支付日期已到不证明已付。</t>
        </is>
      </c>
    </row>
    <row r="16" ht="32" customHeight="1">
      <c r="A16" s="3" t="n">
        <v>16</v>
      </c>
      <c r="B16" s="2" t="inlineStr">
        <is>
          <t>P13/r1</t>
        </is>
      </c>
      <c r="C16" s="2" t="inlineStr">
        <is>
          <t>排除</t>
        </is>
      </c>
      <c r="D16" s="2" t="inlineStr">
        <is>
          <t>修订和支付均晚于截点；属于事后污染，不计本次截点。</t>
        </is>
      </c>
    </row>
  </sheetData>
  <autoFilter ref="A1:D16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22" customWidth="1" min="5" max="5"/>
    <col width="25" customWidth="1" min="6" max="6"/>
    <col width="22" customWidth="1" min="7" max="7"/>
    <col width="25" customWidth="1" min="8" max="8"/>
    <col width="24" customWidth="1" min="9" max="9"/>
    <col width="24" customWidth="1" min="10" max="10"/>
  </cols>
  <sheetData>
    <row r="1" ht="32" customHeight="1">
      <c r="A1" s="1" t="inlineStr">
        <is>
          <t>流水ID</t>
        </is>
      </c>
      <c r="B1" s="1" t="inlineStr">
        <is>
          <t>雇员</t>
        </is>
      </c>
      <c r="C1" s="1" t="inlineStr">
        <is>
          <t>支付年</t>
        </is>
      </c>
      <c r="D1" s="1" t="inlineStr">
        <is>
          <t>支付日</t>
        </is>
      </c>
      <c r="E1" s="1" t="inlineStr">
        <is>
          <t>覆盖工资USD</t>
        </is>
      </c>
      <c r="F1" s="1" t="inlineStr">
        <is>
          <t>本笔前累计覆盖工资</t>
        </is>
      </c>
      <c r="G1" s="1" t="inlineStr">
        <is>
          <t>年度上限USD</t>
        </is>
      </c>
      <c r="H1" s="1" t="inlineStr">
        <is>
          <t>本笔应计基数USD</t>
        </is>
      </c>
      <c r="I1" s="1" t="inlineStr">
        <is>
          <t>本笔后覆盖工资</t>
        </is>
      </c>
      <c r="J1" s="1" t="inlineStr">
        <is>
          <t>本笔后累计基数</t>
        </is>
      </c>
    </row>
    <row r="2" ht="32" customHeight="1">
      <c r="A2" s="2" t="inlineStr">
        <is>
          <t>P01</t>
        </is>
      </c>
      <c r="B2" s="2" t="inlineStr">
        <is>
          <t>A</t>
        </is>
      </c>
      <c r="C2" s="3" t="n">
        <v>2024</v>
      </c>
      <c r="D2" s="2" t="inlineStr">
        <is>
          <t>2024-12-27</t>
        </is>
      </c>
      <c r="E2" s="3" t="n">
        <v>5000</v>
      </c>
      <c r="F2" s="3" t="n">
        <v>165000</v>
      </c>
      <c r="G2" s="3" t="n">
        <v>168600</v>
      </c>
      <c r="H2" s="2">
        <f>MIN(E2,MAX(0,G2-F2))</f>
        <v/>
      </c>
      <c r="I2" s="2">
        <f>F2+E2</f>
        <v/>
      </c>
      <c r="J2" s="2">
        <f>MIN(I2,G2)</f>
        <v/>
      </c>
    </row>
    <row r="3" ht="32" customHeight="1">
      <c r="A3" s="4" t="inlineStr">
        <is>
          <t>P02</t>
        </is>
      </c>
      <c r="B3" s="4" t="inlineStr">
        <is>
          <t>B</t>
        </is>
      </c>
      <c r="C3" s="5" t="n">
        <v>2024</v>
      </c>
      <c r="D3" s="4" t="inlineStr">
        <is>
          <t>2024-12-27</t>
        </is>
      </c>
      <c r="E3" s="5" t="n">
        <v>8000</v>
      </c>
      <c r="F3" s="5" t="n">
        <v>168600</v>
      </c>
      <c r="G3" s="5" t="n">
        <v>168600</v>
      </c>
      <c r="H3" s="4">
        <f>MIN(E3,MAX(0,G3-F3))</f>
        <v/>
      </c>
      <c r="I3" s="4">
        <f>F3+E3</f>
        <v/>
      </c>
      <c r="J3" s="4">
        <f>MIN(I3,G3)</f>
        <v/>
      </c>
    </row>
    <row r="4" ht="32" customHeight="1">
      <c r="A4" s="2" t="inlineStr">
        <is>
          <t>P03</t>
        </is>
      </c>
      <c r="B4" s="2" t="inlineStr">
        <is>
          <t>C</t>
        </is>
      </c>
      <c r="C4" s="3" t="n">
        <v>2024</v>
      </c>
      <c r="D4" s="2" t="inlineStr">
        <is>
          <t>2024-12-27</t>
        </is>
      </c>
      <c r="E4" s="3" t="n">
        <v>170000</v>
      </c>
      <c r="F4" s="3" t="n">
        <v>0</v>
      </c>
      <c r="G4" s="3" t="n">
        <v>168600</v>
      </c>
      <c r="H4" s="2">
        <f>MIN(E4,MAX(0,G4-F4))</f>
        <v/>
      </c>
      <c r="I4" s="2">
        <f>F4+E4</f>
        <v/>
      </c>
      <c r="J4" s="2">
        <f>MIN(I4,G4)</f>
        <v/>
      </c>
    </row>
    <row r="5" ht="32" customHeight="1">
      <c r="A5" s="4" t="inlineStr">
        <is>
          <t>P04</t>
        </is>
      </c>
      <c r="B5" s="4" t="inlineStr">
        <is>
          <t>D</t>
        </is>
      </c>
      <c r="C5" s="5" t="n">
        <v>2024</v>
      </c>
      <c r="D5" s="4" t="inlineStr">
        <is>
          <t>2024-12-27</t>
        </is>
      </c>
      <c r="E5" s="5" t="n">
        <v>50000</v>
      </c>
      <c r="F5" s="5" t="n">
        <v>100000</v>
      </c>
      <c r="G5" s="5" t="n">
        <v>168600</v>
      </c>
      <c r="H5" s="4">
        <f>MIN(E5,MAX(0,G5-F5))</f>
        <v/>
      </c>
      <c r="I5" s="4">
        <f>F5+E5</f>
        <v/>
      </c>
      <c r="J5" s="4">
        <f>MIN(I5,G5)</f>
        <v/>
      </c>
    </row>
    <row r="6" ht="32" customHeight="1">
      <c r="A6" s="2" t="inlineStr">
        <is>
          <t>P05</t>
        </is>
      </c>
      <c r="B6" s="2" t="inlineStr">
        <is>
          <t>A</t>
        </is>
      </c>
      <c r="C6" s="3" t="n">
        <v>2025</v>
      </c>
      <c r="D6" s="2" t="inlineStr">
        <is>
          <t>2025-01-17</t>
        </is>
      </c>
      <c r="E6" s="3" t="n">
        <v>6000</v>
      </c>
      <c r="F6" s="3" t="n">
        <v>0</v>
      </c>
      <c r="G6" s="3" t="n">
        <v>176100</v>
      </c>
      <c r="H6" s="2">
        <f>MIN(E6,MAX(0,G6-F6))</f>
        <v/>
      </c>
      <c r="I6" s="2">
        <f>F6+E6</f>
        <v/>
      </c>
      <c r="J6" s="2">
        <f>MIN(I6,G6)</f>
        <v/>
      </c>
    </row>
    <row r="7" ht="32" customHeight="1">
      <c r="A7" s="4" t="inlineStr">
        <is>
          <t>P06</t>
        </is>
      </c>
      <c r="B7" s="4" t="inlineStr">
        <is>
          <t>B</t>
        </is>
      </c>
      <c r="C7" s="5" t="n">
        <v>2025</v>
      </c>
      <c r="D7" s="4" t="inlineStr">
        <is>
          <t>2025-01-17</t>
        </is>
      </c>
      <c r="E7" s="5" t="n">
        <v>8000</v>
      </c>
      <c r="F7" s="5" t="n">
        <v>0</v>
      </c>
      <c r="G7" s="5" t="n">
        <v>176100</v>
      </c>
      <c r="H7" s="4">
        <f>MIN(E7,MAX(0,G7-F7))</f>
        <v/>
      </c>
      <c r="I7" s="4">
        <f>F7+E7</f>
        <v/>
      </c>
      <c r="J7" s="4">
        <f>MIN(I7,G7)</f>
        <v/>
      </c>
    </row>
    <row r="8" ht="32" customHeight="1">
      <c r="A8" s="2" t="inlineStr">
        <is>
          <t>P07</t>
        </is>
      </c>
      <c r="B8" s="2" t="inlineStr">
        <is>
          <t>C</t>
        </is>
      </c>
      <c r="C8" s="3" t="n">
        <v>2025</v>
      </c>
      <c r="D8" s="2" t="inlineStr">
        <is>
          <t>2025-01-17</t>
        </is>
      </c>
      <c r="E8" s="3" t="n">
        <v>180000</v>
      </c>
      <c r="F8" s="3" t="n">
        <v>0</v>
      </c>
      <c r="G8" s="3" t="n">
        <v>176100</v>
      </c>
      <c r="H8" s="2">
        <f>MIN(E8,MAX(0,G8-F8))</f>
        <v/>
      </c>
      <c r="I8" s="2">
        <f>F8+E8</f>
        <v/>
      </c>
      <c r="J8" s="2">
        <f>MIN(I8,G8)</f>
        <v/>
      </c>
    </row>
    <row r="9" ht="32" customHeight="1">
      <c r="A9" s="4" t="inlineStr">
        <is>
          <t>P08</t>
        </is>
      </c>
      <c r="B9" s="4" t="inlineStr">
        <is>
          <t>D</t>
        </is>
      </c>
      <c r="C9" s="5" t="n">
        <v>2025</v>
      </c>
      <c r="D9" s="4" t="inlineStr">
        <is>
          <t>2025-01-17</t>
        </is>
      </c>
      <c r="E9" s="5" t="n">
        <v>190000</v>
      </c>
      <c r="F9" s="5" t="n">
        <v>0</v>
      </c>
      <c r="G9" s="5" t="n">
        <v>176100</v>
      </c>
      <c r="H9" s="4">
        <f>MIN(E9,MAX(0,G9-F9))</f>
        <v/>
      </c>
      <c r="I9" s="4">
        <f>F9+E9</f>
        <v/>
      </c>
      <c r="J9" s="4">
        <f>MIN(I9,G9)</f>
        <v/>
      </c>
    </row>
    <row r="10" ht="50" customHeight="1">
      <c r="A10" s="2" t="inlineStr">
        <is>
          <t>P09</t>
        </is>
      </c>
      <c r="B10" s="2" t="inlineStr">
        <is>
          <t>A</t>
        </is>
      </c>
      <c r="C10" s="3" t="n">
        <v>2025</v>
      </c>
      <c r="D10" s="2" t="inlineStr">
        <is>
          <t>2025-01-31</t>
        </is>
      </c>
      <c r="E10" s="3" t="n">
        <v>175000</v>
      </c>
      <c r="F10" s="2">
        <f>I6</f>
        <v/>
      </c>
      <c r="G10" s="3" t="n">
        <v>176100</v>
      </c>
      <c r="H10" s="2">
        <f>MIN(E10,MAX(0,G10-F10))</f>
        <v/>
      </c>
      <c r="I10" s="2">
        <f>F10+E10</f>
        <v/>
      </c>
      <c r="J10" s="2">
        <f>MIN(I10,G10)</f>
        <v/>
      </c>
    </row>
    <row r="11" ht="50" customHeight="1">
      <c r="A11" s="4" t="inlineStr">
        <is>
          <t>P10</t>
        </is>
      </c>
      <c r="B11" s="4" t="inlineStr">
        <is>
          <t>B</t>
        </is>
      </c>
      <c r="C11" s="5" t="n">
        <v>2025</v>
      </c>
      <c r="D11" s="4" t="inlineStr">
        <is>
          <t>2025-01-31</t>
        </is>
      </c>
      <c r="E11" s="5" t="n">
        <v>170000</v>
      </c>
      <c r="F11" s="4">
        <f>I7</f>
        <v/>
      </c>
      <c r="G11" s="5" t="n">
        <v>176100</v>
      </c>
      <c r="H11" s="4">
        <f>MIN(E11,MAX(0,G11-F11))</f>
        <v/>
      </c>
      <c r="I11" s="4">
        <f>F11+E11</f>
        <v/>
      </c>
      <c r="J11" s="4">
        <f>MIN(I11,G11)</f>
        <v/>
      </c>
    </row>
  </sheetData>
  <autoFilter ref="A1:J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26" customWidth="1" min="4" max="4"/>
    <col width="25" customWidth="1" min="5" max="5"/>
    <col width="29" customWidth="1" min="6" max="6"/>
    <col width="29" customWidth="1" min="7" max="7"/>
  </cols>
  <sheetData>
    <row r="1" ht="32" customHeight="1">
      <c r="A1" s="1" t="inlineStr">
        <is>
          <t>雇员</t>
        </is>
      </c>
      <c r="B1" s="1" t="inlineStr">
        <is>
          <t>支付年</t>
        </is>
      </c>
      <c r="C1" s="1" t="inlineStr">
        <is>
          <t>期初覆盖工资USD</t>
        </is>
      </c>
      <c r="D1" s="1" t="inlineStr">
        <is>
          <t>本次纳入覆盖工资</t>
        </is>
      </c>
      <c r="E1" s="1" t="inlineStr">
        <is>
          <t>本次应计基数</t>
        </is>
      </c>
      <c r="F1" s="1" t="inlineStr">
        <is>
          <t>截点累计覆盖工资</t>
        </is>
      </c>
      <c r="G1" s="1" t="inlineStr">
        <is>
          <t>截点累计工资基数</t>
        </is>
      </c>
    </row>
    <row r="2" ht="32" customHeight="1">
      <c r="A2" s="2" t="inlineStr">
        <is>
          <t>A</t>
        </is>
      </c>
      <c r="B2" s="3" t="n">
        <v>2024</v>
      </c>
      <c r="C2" s="3" t="n">
        <v>165000</v>
      </c>
      <c r="D2" s="3" t="n">
        <v>5000</v>
      </c>
      <c r="E2" s="2">
        <f>'有效流水复算'!H2</f>
        <v/>
      </c>
      <c r="F2" s="2">
        <f>'有效流水复算'!I2</f>
        <v/>
      </c>
      <c r="G2" s="2">
        <f>'有效流水复算'!J2</f>
        <v/>
      </c>
    </row>
    <row r="3" ht="32" customHeight="1">
      <c r="A3" s="4" t="inlineStr">
        <is>
          <t>B</t>
        </is>
      </c>
      <c r="B3" s="5" t="n">
        <v>2024</v>
      </c>
      <c r="C3" s="5" t="n">
        <v>168600</v>
      </c>
      <c r="D3" s="5" t="n">
        <v>8000</v>
      </c>
      <c r="E3" s="4">
        <f>'有效流水复算'!H3</f>
        <v/>
      </c>
      <c r="F3" s="4">
        <f>'有效流水复算'!I3</f>
        <v/>
      </c>
      <c r="G3" s="4">
        <f>'有效流水复算'!J3</f>
        <v/>
      </c>
    </row>
    <row r="4" ht="32" customHeight="1">
      <c r="A4" s="2" t="inlineStr">
        <is>
          <t>C</t>
        </is>
      </c>
      <c r="B4" s="3" t="n">
        <v>2024</v>
      </c>
      <c r="C4" s="3" t="n">
        <v>0</v>
      </c>
      <c r="D4" s="3" t="n">
        <v>170000</v>
      </c>
      <c r="E4" s="2">
        <f>'有效流水复算'!H4</f>
        <v/>
      </c>
      <c r="F4" s="2">
        <f>'有效流水复算'!I4</f>
        <v/>
      </c>
      <c r="G4" s="2">
        <f>'有效流水复算'!J4</f>
        <v/>
      </c>
    </row>
    <row r="5" ht="32" customHeight="1">
      <c r="A5" s="4" t="inlineStr">
        <is>
          <t>D</t>
        </is>
      </c>
      <c r="B5" s="5" t="n">
        <v>2024</v>
      </c>
      <c r="C5" s="5" t="n">
        <v>100000</v>
      </c>
      <c r="D5" s="5" t="n">
        <v>50000</v>
      </c>
      <c r="E5" s="4">
        <f>'有效流水复算'!H5</f>
        <v/>
      </c>
      <c r="F5" s="4">
        <f>'有效流水复算'!I5</f>
        <v/>
      </c>
      <c r="G5" s="4">
        <f>'有效流水复算'!J5</f>
        <v/>
      </c>
    </row>
    <row r="6" ht="50" customHeight="1">
      <c r="A6" s="2" t="inlineStr">
        <is>
          <t>A</t>
        </is>
      </c>
      <c r="B6" s="3" t="n">
        <v>2025</v>
      </c>
      <c r="C6" s="3" t="n">
        <v>0</v>
      </c>
      <c r="D6" s="2">
        <f>'有效流水复算'!E6+'有效流水复算'!E10</f>
        <v/>
      </c>
      <c r="E6" s="2">
        <f>'有效流水复算'!H6+'有效流水复算'!H10</f>
        <v/>
      </c>
      <c r="F6" s="2">
        <f>'有效流水复算'!I10</f>
        <v/>
      </c>
      <c r="G6" s="2">
        <f>'有效流水复算'!J10</f>
        <v/>
      </c>
    </row>
    <row r="7" ht="50" customHeight="1">
      <c r="A7" s="4" t="inlineStr">
        <is>
          <t>B</t>
        </is>
      </c>
      <c r="B7" s="5" t="n">
        <v>2025</v>
      </c>
      <c r="C7" s="5" t="n">
        <v>0</v>
      </c>
      <c r="D7" s="4">
        <f>'有效流水复算'!E7+'有效流水复算'!E11</f>
        <v/>
      </c>
      <c r="E7" s="4">
        <f>'有效流水复算'!H7+'有效流水复算'!H11</f>
        <v/>
      </c>
      <c r="F7" s="4">
        <f>'有效流水复算'!I11</f>
        <v/>
      </c>
      <c r="G7" s="4">
        <f>'有效流水复算'!J11</f>
        <v/>
      </c>
    </row>
    <row r="8" ht="32" customHeight="1">
      <c r="A8" s="2" t="inlineStr">
        <is>
          <t>C</t>
        </is>
      </c>
      <c r="B8" s="3" t="n">
        <v>2025</v>
      </c>
      <c r="C8" s="3" t="n">
        <v>0</v>
      </c>
      <c r="D8" s="3" t="n">
        <v>180000</v>
      </c>
      <c r="E8" s="2">
        <f>'有效流水复算'!H8</f>
        <v/>
      </c>
      <c r="F8" s="2">
        <f>'有效流水复算'!I8</f>
        <v/>
      </c>
      <c r="G8" s="2">
        <f>'有效流水复算'!J8</f>
        <v/>
      </c>
    </row>
    <row r="9" ht="32" customHeight="1">
      <c r="A9" s="4" t="inlineStr">
        <is>
          <t>D</t>
        </is>
      </c>
      <c r="B9" s="5" t="n">
        <v>2025</v>
      </c>
      <c r="C9" s="5" t="n">
        <v>0</v>
      </c>
      <c r="D9" s="5" t="n">
        <v>190000</v>
      </c>
      <c r="E9" s="4">
        <f>'有效流水复算'!H9</f>
        <v/>
      </c>
      <c r="F9" s="4">
        <f>'有效流水复算'!I9</f>
        <v/>
      </c>
      <c r="G9" s="4">
        <f>'有效流水复算'!J9</f>
        <v/>
      </c>
    </row>
  </sheetData>
  <autoFilter ref="A1:G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9" customWidth="1" min="3" max="3"/>
    <col width="25" customWidth="1" min="4" max="4"/>
    <col width="83" customWidth="1" min="5" max="5"/>
  </cols>
  <sheetData>
    <row r="1" ht="32" customHeight="1">
      <c r="A1" s="1" t="inlineStr">
        <is>
          <t>流水ID</t>
        </is>
      </c>
      <c r="B1" s="1" t="inlineStr">
        <is>
          <t>草案基数USD</t>
        </is>
      </c>
      <c r="C1" s="1" t="inlineStr">
        <is>
          <t>本截点应计基数USD</t>
        </is>
      </c>
      <c r="D1" s="1" t="inlineStr">
        <is>
          <t>建议差额USD</t>
        </is>
      </c>
      <c r="E1" s="1" t="inlineStr">
        <is>
          <t>原因</t>
        </is>
      </c>
    </row>
    <row r="2" ht="32" customHeight="1">
      <c r="A2" s="2" t="inlineStr">
        <is>
          <t>P01</t>
        </is>
      </c>
      <c r="B2" s="3" t="n">
        <v>5000</v>
      </c>
      <c r="C2" s="2">
        <f>'有效流水复算'!H2</f>
        <v/>
      </c>
      <c r="D2" s="2">
        <f>C2-B2</f>
        <v/>
      </c>
      <c r="E2" s="2" t="inlineStr">
        <is>
          <t>A在2024仅剩3600上限空间。</t>
        </is>
      </c>
    </row>
    <row r="3" ht="32" customHeight="1">
      <c r="A3" s="4" t="inlineStr">
        <is>
          <t>P02</t>
        </is>
      </c>
      <c r="B3" s="5" t="n">
        <v>8000</v>
      </c>
      <c r="C3" s="4">
        <f>'有效流水复算'!H3</f>
        <v/>
      </c>
      <c r="D3" s="4">
        <f>C3-B3</f>
        <v/>
      </c>
      <c r="E3" s="4" t="inlineStr">
        <is>
          <t>B在2024已到168600，增量0。</t>
        </is>
      </c>
    </row>
    <row r="4" ht="32" customHeight="1">
      <c r="A4" s="2" t="inlineStr">
        <is>
          <t>P03</t>
        </is>
      </c>
      <c r="B4" s="3" t="n">
        <v>168600</v>
      </c>
      <c r="C4" s="2">
        <f>'有效流水复算'!H4</f>
        <v/>
      </c>
      <c r="D4" s="2">
        <f>C4-B4</f>
        <v/>
      </c>
      <c r="E4" s="2" t="inlineStr">
        <is>
          <t>2024正确封顶，无调整。</t>
        </is>
      </c>
    </row>
    <row r="5" ht="32" customHeight="1">
      <c r="A5" s="4" t="inlineStr">
        <is>
          <t>P04</t>
        </is>
      </c>
      <c r="B5" s="5" t="n">
        <v>50000</v>
      </c>
      <c r="C5" s="4">
        <f>'有效流水复算'!H5</f>
        <v/>
      </c>
      <c r="D5" s="4">
        <f>C5-B5</f>
        <v/>
      </c>
      <c r="E5" s="4" t="inlineStr">
        <is>
          <t>D在2024未到上限，当前50000全计。</t>
        </is>
      </c>
    </row>
    <row r="6" ht="32" customHeight="1">
      <c r="A6" s="2" t="inlineStr">
        <is>
          <t>P05</t>
        </is>
      </c>
      <c r="B6" s="3" t="n">
        <v>5000</v>
      </c>
      <c r="C6" s="2">
        <f>'有效流水复算'!H6</f>
        <v/>
      </c>
      <c r="D6" s="2">
        <f>C6-B6</f>
        <v/>
      </c>
      <c r="E6" s="2" t="inlineStr">
        <is>
          <t>取r2的6000且归2025；不是两版本相加。</t>
        </is>
      </c>
    </row>
    <row r="7" ht="32" customHeight="1">
      <c r="A7" s="4" t="inlineStr">
        <is>
          <t>P06</t>
        </is>
      </c>
      <c r="B7" s="5" t="n">
        <v>0</v>
      </c>
      <c r="C7" s="4">
        <f>'有效流水复算'!H7</f>
        <v/>
      </c>
      <c r="D7" s="4">
        <f>C7-B7</f>
        <v/>
      </c>
      <c r="E7" s="4" t="inlineStr">
        <is>
          <t>2025重开年度，不能沿用2024已封顶。</t>
        </is>
      </c>
    </row>
    <row r="8" ht="32" customHeight="1">
      <c r="A8" s="2" t="inlineStr">
        <is>
          <t>P07</t>
        </is>
      </c>
      <c r="B8" s="3" t="n">
        <v>168600</v>
      </c>
      <c r="C8" s="2">
        <f>'有效流水复算'!H8</f>
        <v/>
      </c>
      <c r="D8" s="2">
        <f>C8-B8</f>
        <v/>
      </c>
      <c r="E8" s="2" t="inlineStr">
        <is>
          <t>2025上限176100，非168600。</t>
        </is>
      </c>
    </row>
    <row r="9" ht="32" customHeight="1">
      <c r="A9" s="4" t="inlineStr">
        <is>
          <t>P08</t>
        </is>
      </c>
      <c r="B9" s="5" t="n">
        <v>190000</v>
      </c>
      <c r="C9" s="4">
        <f>'有效流水复算'!H9</f>
        <v/>
      </c>
      <c r="D9" s="4">
        <f>C9-B9</f>
        <v/>
      </c>
      <c r="E9" s="4" t="inlineStr">
        <is>
          <t>当前工资超过2025上限，基数只176100。</t>
        </is>
      </c>
    </row>
    <row r="10" ht="32" customHeight="1">
      <c r="A10" s="2" t="inlineStr">
        <is>
          <t>P09</t>
        </is>
      </c>
      <c r="B10" s="3" t="n">
        <v>175000</v>
      </c>
      <c r="C10" s="2">
        <f>'有效流水复算'!H10</f>
        <v/>
      </c>
      <c r="D10" s="2">
        <f>C10-B10</f>
        <v/>
      </c>
      <c r="E10" s="2" t="inlineStr">
        <is>
          <t>A承接2025先前6000，本笔剩余170100。</t>
        </is>
      </c>
    </row>
    <row r="11" ht="32" customHeight="1">
      <c r="A11" s="4" t="inlineStr">
        <is>
          <t>P10</t>
        </is>
      </c>
      <c r="B11" s="5" t="n">
        <v>168100</v>
      </c>
      <c r="C11" s="4">
        <f>'有效流水复算'!H11</f>
        <v/>
      </c>
      <c r="D11" s="4">
        <f>C11-B11</f>
        <v/>
      </c>
      <c r="E11" s="4" t="inlineStr">
        <is>
          <t>B承接8000，本笔168100，草案正确。</t>
        </is>
      </c>
    </row>
    <row r="12" ht="32" customHeight="1">
      <c r="A12" s="2" t="inlineStr">
        <is>
          <t>P11</t>
        </is>
      </c>
      <c r="B12" s="3" t="n">
        <v>1000</v>
      </c>
      <c r="C12" s="3" t="n">
        <v>0</v>
      </c>
      <c r="D12" s="2">
        <f>C12-B12</f>
        <v/>
      </c>
      <c r="E12" s="2" t="inlineStr">
        <is>
          <t>最新VOID，旧PAID不可复活。</t>
        </is>
      </c>
    </row>
    <row r="13" ht="32" customHeight="1">
      <c r="A13" s="4" t="inlineStr">
        <is>
          <t>P12</t>
        </is>
      </c>
      <c r="B13" s="5" t="n">
        <v>1000</v>
      </c>
      <c r="C13" s="5" t="n">
        <v>0</v>
      </c>
      <c r="D13" s="4">
        <f>C13-B13</f>
        <v/>
      </c>
      <c r="E13" s="4" t="inlineStr">
        <is>
          <t>PENDING未付，不计。</t>
        </is>
      </c>
    </row>
    <row r="14" ht="32" customHeight="1">
      <c r="A14" s="2" t="inlineStr">
        <is>
          <t>P13</t>
        </is>
      </c>
      <c r="B14" s="3" t="n">
        <v>4000</v>
      </c>
      <c r="C14" s="3" t="n">
        <v>0</v>
      </c>
      <c r="D14" s="2">
        <f>C14-B14</f>
        <v/>
      </c>
      <c r="E14" s="2" t="inlineStr">
        <is>
          <t>截点后的事后修订及支付，排除。</t>
        </is>
      </c>
    </row>
    <row r="15" ht="32" customHeight="1">
      <c r="A15" s="4" t="inlineStr">
        <is>
          <t>合计</t>
        </is>
      </c>
      <c r="B15" s="4">
        <f>SUM(B2:B14)</f>
        <v/>
      </c>
      <c r="C15" s="4">
        <f>SUM(C2:C14)</f>
        <v/>
      </c>
      <c r="D15" s="4">
        <f>SUM(D2:D14)</f>
        <v/>
      </c>
      <c r="E15" s="4" t="inlineStr">
        <is>
          <t>草案944300，应计926600，差额-17700；只是工资基数，不是税款。</t>
        </is>
      </c>
    </row>
    <row r="16" ht="32" customHeight="1">
      <c r="A16" s="2" t="inlineStr">
        <is>
          <t>2024本次应计</t>
        </is>
      </c>
      <c r="B16" s="3" t="n">
        <v>0</v>
      </c>
      <c r="C16" s="2">
        <f>SUM('有效流水复算'!H2:H5)</f>
        <v/>
      </c>
      <c r="D16" s="3" t="n">
        <v>0</v>
      </c>
      <c r="E16" s="2" t="inlineStr">
        <is>
          <t>222200；不含2024期初累计。</t>
        </is>
      </c>
    </row>
    <row r="17" ht="32" customHeight="1">
      <c r="A17" s="4" t="inlineStr">
        <is>
          <t>2025本次应计</t>
        </is>
      </c>
      <c r="B17" s="5" t="n">
        <v>0</v>
      </c>
      <c r="C17" s="4">
        <f>SUM('有效流水复算'!H6:H11)</f>
        <v/>
      </c>
      <c r="D17" s="5" t="n">
        <v>0</v>
      </c>
      <c r="E17" s="4" t="inlineStr">
        <is>
          <t>704400；截至2025-01-31而非全年预测。</t>
        </is>
      </c>
    </row>
    <row r="18" ht="50" customHeight="1">
      <c r="A18" s="2" t="inlineStr">
        <is>
          <t>有效流水与桥接校验</t>
        </is>
      </c>
      <c r="B18" s="3" t="n">
        <v>0</v>
      </c>
      <c r="C18" s="2">
        <f>C15-C16-C17</f>
        <v/>
      </c>
      <c r="D18" s="3" t="n">
        <v>0</v>
      </c>
      <c r="E18" s="2" t="inlineStr">
        <is>
          <t>应为0；原始15行，13个ID，10笔有效支付。</t>
        </is>
      </c>
    </row>
  </sheetData>
  <autoFilter ref="A1:E18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4" customWidth="1" min="3" max="3"/>
    <col width="86" customWidth="1" min="4" max="4"/>
    <col width="20" customWidth="1" min="5" max="5"/>
  </cols>
  <sheetData>
    <row r="1" ht="32" customHeight="1">
      <c r="A1" s="1" t="inlineStr">
        <is>
          <t>次序</t>
        </is>
      </c>
      <c r="B1" s="1" t="inlineStr">
        <is>
          <t>负责角色</t>
        </is>
      </c>
      <c r="C1" s="1" t="inlineStr">
        <is>
          <t>动作</t>
        </is>
      </c>
      <c r="D1" s="1" t="inlineStr">
        <is>
          <t>前置与关闭证据</t>
        </is>
      </c>
      <c r="E1" s="1" t="inlineStr">
        <is>
          <t>现状</t>
        </is>
      </c>
    </row>
    <row r="2" ht="32" customHeight="1">
      <c r="A2" s="3" t="n">
        <v>1</v>
      </c>
      <c r="B2" s="2" t="inlineStr">
        <is>
          <t>分析师</t>
        </is>
      </c>
      <c r="C2" s="2" t="inlineStr">
        <is>
          <t>保存原件及有效流水选择</t>
        </is>
      </c>
      <c r="D2" s="2" t="inlineStr">
        <is>
          <t>保留15原行到13ID最新状态、10有效支付及13项桥接；输入只读。</t>
        </is>
      </c>
      <c r="E2" s="2" t="inlineStr">
        <is>
          <t>待经理复核</t>
        </is>
      </c>
    </row>
    <row r="3" ht="32" customHeight="1">
      <c r="A3" s="5" t="n">
        <v>2</v>
      </c>
      <c r="B3" s="4" t="inlineStr">
        <is>
          <t>薪酬经理</t>
        </is>
      </c>
      <c r="C3" s="4" t="inlineStr">
        <is>
          <t>复核年度参数和工资基数</t>
        </is>
      </c>
      <c r="D3" s="4" t="inlineStr">
        <is>
          <t>复核SSA公告页码、支付年、累计逻辑、修订/撤销；保存逐项差异复核记录。</t>
        </is>
      </c>
      <c r="E3" s="4" t="inlineStr">
        <is>
          <t>待复核</t>
        </is>
      </c>
    </row>
    <row r="4" ht="50" customHeight="1">
      <c r="A4" s="3" t="n">
        <v>3</v>
      </c>
      <c r="B4" s="2" t="inlineStr">
        <is>
          <t>系统配置负责人</t>
        </is>
      </c>
      <c r="C4" s="2" t="inlineStr">
        <is>
          <t>在批准后制定变更与回归方案</t>
        </is>
      </c>
      <c r="D4" s="2" t="inlineStr">
        <is>
          <t>须先取得经理书面批准、配置差异及测试计划；用跨年、恰封顶、已封顶、多版本边界验证并留实际日志。</t>
        </is>
      </c>
      <c r="E4" s="2" t="inlineStr">
        <is>
          <t>未执行</t>
        </is>
      </c>
    </row>
    <row r="5" ht="32" customHeight="1">
      <c r="A5" s="5" t="n">
        <v>4</v>
      </c>
      <c r="B5" s="4" t="inlineStr">
        <is>
          <t>有权工资/申报负责人</t>
        </is>
      </c>
      <c r="C5" s="4" t="inlineStr">
        <is>
          <t>另行审核税额及必要申报</t>
        </is>
      </c>
      <c r="D5" s="4" t="inlineStr">
        <is>
          <t>本题仅为基数；需要税率、实际账簿、支付/申报状态及适用规则另核，不据-17700直接退款。</t>
        </is>
      </c>
      <c r="E5" s="4" t="inlineStr">
        <is>
          <t>未授权未执行</t>
        </is>
      </c>
    </row>
  </sheetData>
  <autoFilter ref="A1:E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