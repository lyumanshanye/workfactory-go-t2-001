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请求分流" sheetId="1" state="visible" r:id="rId1"/>
    <sheet xmlns:r="http://schemas.openxmlformats.org/officeDocument/2006/relationships" name="日期复算" sheetId="2" state="visible" r:id="rId2"/>
    <sheet xmlns:r="http://schemas.openxmlformats.org/officeDocument/2006/relationships" name="费用复算" sheetId="3" state="visible" r:id="rId3"/>
    <sheet xmlns:r="http://schemas.openxmlformats.org/officeDocument/2006/relationships" name="搜索范围" sheetId="4" state="visible" r:id="rId4"/>
    <sheet xmlns:r="http://schemas.openxmlformats.org/officeDocument/2006/relationships" name="草案与交接" sheetId="5" state="visible" r:id="rId5"/>
  </sheets>
  <definedNames>
    <definedName name="_xlnm._FilterDatabase" localSheetId="0" hidden="1">'请求分流'!$A$1:$F$10</definedName>
    <definedName name="_xlnm.Print_Titles" localSheetId="0">'请求分流'!$1:$1</definedName>
    <definedName name="_xlnm._FilterDatabase" localSheetId="1" hidden="1">'日期复算'!$A$1:$F$11</definedName>
    <definedName name="_xlnm.Print_Titles" localSheetId="1">'日期复算'!$1:$1</definedName>
    <definedName name="_xlnm._FilterDatabase" localSheetId="2" hidden="1">'费用复算'!$A$1:$I$5</definedName>
    <definedName name="_xlnm.Print_Titles" localSheetId="2">'费用复算'!$1:$1</definedName>
    <definedName name="_xlnm._FilterDatabase" localSheetId="3" hidden="1">'搜索范围'!$A$1:$F$5</definedName>
    <definedName name="_xlnm.Print_Titles" localSheetId="3">'搜索范围'!$1:$1</definedName>
    <definedName name="_xlnm._FilterDatabase" localSheetId="4" hidden="1">'草案与交接'!$A$1:$C$13</definedName>
    <definedName name="_xlnm.Print_Titles" localSheetId="4">'草案与交接'!$1:$1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center" vertical="top" wrapText="1" indent="1"/>
    </xf>
    <xf numFmtId="2" fontId="2" fillId="3" borderId="0" applyAlignment="1" pivotButton="0" quotePrefix="0" xfId="0">
      <alignment horizontal="left" vertical="top" wrapText="1" indent="1"/>
    </xf>
    <xf numFmtId="2" fontId="2" fillId="3" borderId="0" applyAlignment="1" pivotButton="0" quotePrefix="0" xfId="0">
      <alignment horizontal="center" vertical="top" wrapText="1" indent="1"/>
    </xf>
    <xf numFmtId="2" fontId="2" fillId="0" borderId="0" applyAlignment="1" pivotButton="0" quotePrefix="0" xfId="0">
      <alignment horizontal="left" vertical="top" wrapText="1" indent="1"/>
    </xf>
    <xf numFmtId="2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3" customWidth="1" min="3" max="3"/>
    <col width="52" customWidth="1" min="4" max="4"/>
    <col width="51" customWidth="1" min="5" max="5"/>
    <col width="30" customWidth="1" min="6" max="6"/>
  </cols>
  <sheetData>
    <row r="1" ht="32" customHeight="1">
      <c r="A1" s="1" t="inlineStr">
        <is>
          <t>ID</t>
        </is>
      </c>
      <c r="B1" s="1" t="inlineStr">
        <is>
          <t>状态及下一站</t>
        </is>
      </c>
      <c r="C1" s="1" t="inlineStr">
        <is>
          <t>起算/计划基线</t>
        </is>
      </c>
      <c r="D1" s="1" t="inlineStr">
        <is>
          <t>截点动作及依赖</t>
        </is>
      </c>
      <c r="E1" s="1" t="inlineStr">
        <is>
          <t>负责角色及关闭证据</t>
        </is>
      </c>
      <c r="F1" s="1" t="inlineStr">
        <is>
          <t>依据</t>
        </is>
      </c>
    </row>
    <row r="2" ht="50" customHeight="1">
      <c r="A2" s="2" t="inlineStr">
        <is>
          <t>Q01</t>
        </is>
      </c>
      <c r="B2" s="2" t="inlineStr">
        <is>
          <t>错投，指引Postal Service</t>
        </is>
      </c>
      <c r="C2" s="2" t="inlineStr">
        <is>
          <t>不承诺PRC记录处理/披露日期</t>
        </is>
      </c>
      <c r="D2" s="2" t="inlineStr">
        <is>
          <t>解释PRC与Postal Service不同；给定不持有控制，协助找正确机构，不声称已转送。</t>
        </is>
      </c>
      <c r="E2" s="2" t="inlineStr">
        <is>
          <t>接件人员→Chief/designee按需复核；保存指引待办，不伪造联系。</t>
        </is>
      </c>
      <c r="F2" s="2" t="inlineStr">
        <is>
          <t>FINAL PDF2前言；PDF4 §3006.202(a)</t>
        </is>
      </c>
    </row>
    <row r="3" ht="50" customHeight="1">
      <c r="A3" s="3" t="inlineStr">
        <is>
          <t>Q02</t>
        </is>
      </c>
      <c r="B3" s="3" t="inlineStr">
        <is>
          <t>及时补件，按确认处理</t>
        </is>
      </c>
      <c r="C3" s="3" t="inlineStr">
        <is>
          <t>2024-09-11起，20工作日基线2024-10-09</t>
        </is>
      </c>
      <c r="D3" s="3" t="inlineStr">
        <is>
          <t>16:20在通知16:30截止前；确认资料齐后正常队列。超过10工作日处理应确认、给tracking和简述。</t>
        </is>
      </c>
      <c r="E3" s="3" t="inlineStr">
        <is>
          <t>接件人员记录补件确认、tracking和范围，处理者推进；不把通知期限说成统一法定30天。</t>
        </is>
      </c>
      <c r="F3" s="3" t="inlineStr">
        <is>
          <t>FINAL PDF3 §3006.200(d)(1)-(2)；PDF4 .202(b)；演练起算</t>
        </is>
      </c>
    </row>
    <row r="4" ht="50" customHeight="1">
      <c r="A4" s="2" t="inlineStr">
        <is>
          <t>Q03</t>
        </is>
      </c>
      <c r="B4" s="2" t="inlineStr">
        <is>
          <t>关闭后补件，新请求</t>
        </is>
      </c>
      <c r="C4" s="2" t="inlineStr">
        <is>
          <t>2024-09-12起，20工作日基线2024-10-10</t>
        </is>
      </c>
      <c r="D4" s="2" t="inlineStr">
        <is>
          <t>09:00关闭早于10:00补件，通知按新请求处理；不回溯9月9日。</t>
        </is>
      </c>
      <c r="E4" s="2" t="inlineStr">
        <is>
          <t>接件人员保存关闭、新受理通知与新tracking关系；后续仍待处理。</t>
        </is>
      </c>
      <c r="F4" s="2" t="inlineStr">
        <is>
          <t>FINAL PDF3 §3006.200(d)(3)；演练起算</t>
        </is>
      </c>
    </row>
    <row r="5" ht="50" customHeight="1">
      <c r="A5" s="3" t="inlineStr">
        <is>
          <t>Q04</t>
        </is>
      </c>
      <c r="B5" s="3" t="inlineStr">
        <is>
          <t>加急决定逾期，立即升级</t>
        </is>
      </c>
      <c r="C5" s="3" t="inlineStr">
        <is>
          <t>常规基线2024-10-11；加急决定2024-09-26已过</t>
        </is>
      </c>
      <c r="D5" s="3" t="inlineStr">
        <is>
          <t>9月16日+10自然日；仅决定加急与否逾期，不是全部披露逾期/自动批准。并行维护普通队列。</t>
        </is>
      </c>
      <c r="E5" s="3" t="inlineStr">
        <is>
          <t>Chief FOIA Officer/designee决定、书面通知；准予则优先尽快处理，否决告知申诉权及程序。</t>
        </is>
      </c>
      <c r="F5" s="3" t="inlineStr">
        <is>
          <t>FINAL PDF3 .200(e)；PDF4 .201(c)(2)</t>
        </is>
      </c>
    </row>
    <row r="6" ht="68" customHeight="1">
      <c r="A6" s="2" t="inlineStr">
        <is>
          <t>Q05</t>
        </is>
      </c>
      <c r="B6" s="2" t="inlineStr">
        <is>
          <t>延期通知不齐备，修复升级</t>
        </is>
      </c>
      <c r="C6" s="2" t="inlineStr">
        <is>
          <t>2024-09-09起，普通基线2024-10-07仍跟踪</t>
        </is>
      </c>
      <c r="D6" s="2" t="inlineStr">
        <is>
          <t>9月26日早于基线，但缺完成日；延长超过10工作日还缺缩窄/替代机会、liaison和OGIS。不能自动认可15天后新终日。</t>
        </is>
      </c>
      <c r="E6" s="2" t="inlineStr">
        <is>
          <t>Chief/designee修复通知及安排，留送达和协商证据；复杂track不解除时限。额外日历范围未给，不编日期。</t>
        </is>
      </c>
      <c r="F6" s="2" t="inlineStr">
        <is>
          <t>FINAL PDF4 §3006.201(b),(d)</t>
        </is>
      </c>
    </row>
    <row r="7" ht="50" customHeight="1">
      <c r="A7" s="3" t="inlineStr">
        <is>
          <t>Q06</t>
        </is>
      </c>
      <c r="B7" s="3" t="inlineStr">
        <is>
          <t>已收要求的预付款，进入处理</t>
        </is>
      </c>
      <c r="C7" s="3" t="inlineStr">
        <is>
          <t>2024-09-12实际收款起，基线2024-10-10</t>
        </is>
      </c>
      <c r="D7" s="3" t="inlineStr">
        <is>
          <t>F02为250.10；可要求不等于已要求，本案9月10日实际要求、9月12日收款；9月11日承诺不启动。</t>
        </is>
      </c>
      <c r="E7" s="3" t="inlineStr">
        <is>
          <t>费用人员核对实收→接件者记录起点/tracking→处理；不是估价即暂停所有请求。</t>
        </is>
      </c>
      <c r="F7" s="3" t="inlineStr">
        <is>
          <t>FINAL PDF8 §3006.304(a)(2)；给定付款事实</t>
        </is>
      </c>
    </row>
    <row r="8" ht="50" customHeight="1">
      <c r="A8" s="2" t="inlineStr">
        <is>
          <t>Q07</t>
        </is>
      </c>
      <c r="B8" s="2" t="inlineStr">
        <is>
          <t>及时普通申诉，转有权者</t>
        </is>
      </c>
      <c r="C8" s="2" t="inlineStr">
        <is>
          <t>9月11日回应+90自然日=2024-12-10；申诉通常基线2024-10-11</t>
        </is>
      </c>
      <c r="D8" s="2" t="inlineStr">
        <is>
          <t>9月13日电子传送在期内；书面、tracking、关联材料、挑战/特定删节、所求救济及理由按适用核对。</t>
        </is>
      </c>
      <c r="E8" s="2" t="inlineStr">
        <is>
          <t>接件者核要素→Commission裁决；延期累计不超额外10工作日，未给延期不能宣称已延。</t>
        </is>
      </c>
      <c r="F8" s="2" t="inlineStr">
        <is>
          <t>FINAL PDF5 §3006.203(b)-(c)</t>
        </is>
      </c>
    </row>
    <row r="9" ht="50" customHeight="1">
      <c r="A9" s="3" t="inlineStr">
        <is>
          <t>Q08</t>
        </is>
      </c>
      <c r="B9" s="3" t="inlineStr">
        <is>
          <t>诉讼事项，法务及有权者升级</t>
        </is>
      </c>
      <c r="C9" s="3" t="inlineStr">
        <is>
          <t>普通比较基线2024-10-11，非承诺</t>
        </is>
      </c>
      <c r="D9" s="3" t="inlineStr">
        <is>
          <t>9月23日已成为FOIA诉讼事项，申诉通常不再裁决；保留案卷和法务指示，不擅自宣布撤回、赢诉或常规审结。</t>
        </is>
      </c>
      <c r="E9" s="3" t="inlineStr">
        <is>
          <t>法务/Commission确认处置路径，留真实指示后再更新状态；分析员仅建议。</t>
        </is>
      </c>
      <c r="F9" s="3" t="inlineStr">
        <is>
          <t>FINAL PDF5 §3006.203(c)(2)</t>
        </is>
      </c>
    </row>
    <row r="10" ht="50" customHeight="1">
      <c r="A10" s="2" t="inlineStr">
        <is>
          <t>Q09</t>
        </is>
      </c>
      <c r="B10" s="2" t="inlineStr">
        <is>
          <t>按搜索开始控制范围筛选</t>
        </is>
      </c>
      <c r="C10" s="2" t="inlineStr">
        <is>
          <t>处理起点2024-09-09，基线2024-10-07；范围日2024-09-12</t>
        </is>
      </c>
      <c r="D10" s="2" t="inlineStr">
        <is>
          <t>R01/R02纳入默认响应范围，R03/R04不纳入；与收件日起算不同，未判任何豁免或承诺披露。</t>
        </is>
      </c>
      <c r="E10" s="2" t="inlineStr">
        <is>
          <t>搜索人员记录范围日、对象及理由；如用其他日期须告知申请人。后续实体审核由有权者。</t>
        </is>
      </c>
      <c r="F10" s="2" t="inlineStr">
        <is>
          <t>FINAL PDF4 §3006.202(a)；记录给定事实</t>
        </is>
      </c>
    </row>
  </sheetData>
  <autoFilter ref="A1:F10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0" customWidth="1" min="4" max="4"/>
    <col width="26" customWidth="1" min="5" max="5"/>
    <col width="78" customWidth="1" min="6" max="6"/>
  </cols>
  <sheetData>
    <row r="1" ht="32" customHeight="1">
      <c r="A1" s="1" t="inlineStr">
        <is>
          <t>对象</t>
        </is>
      </c>
      <c r="B1" s="1" t="inlineStr">
        <is>
          <t>起算事件日</t>
        </is>
      </c>
      <c r="C1" s="1" t="inlineStr">
        <is>
          <t>加计数量</t>
        </is>
      </c>
      <c r="D1" s="1" t="inlineStr">
        <is>
          <t>日历类型</t>
        </is>
      </c>
      <c r="E1" s="1" t="inlineStr">
        <is>
          <t>计算日期</t>
        </is>
      </c>
      <c r="F1" s="1" t="inlineStr">
        <is>
          <t>用途及限定</t>
        </is>
      </c>
    </row>
    <row r="2" ht="50" customHeight="1">
      <c r="A2" s="2" t="inlineStr">
        <is>
          <t>Q02普通</t>
        </is>
      </c>
      <c r="B2" s="2" t="inlineStr">
        <is>
          <t>2024-09-11</t>
        </is>
      </c>
      <c r="C2" s="4" t="n">
        <v>20</v>
      </c>
      <c r="D2" s="2" t="inlineStr">
        <is>
          <t>工作日</t>
        </is>
      </c>
      <c r="E2" s="2">
        <f>TEXT(WORKDAY(DATEVALUE(B2),C2),"yyyy-mm-dd")</f>
        <v/>
      </c>
      <c r="F2" s="2" t="inlineStr">
        <is>
          <t>2024-10-09；演练排班，非额外暂停后的保证</t>
        </is>
      </c>
    </row>
    <row r="3" ht="50" customHeight="1">
      <c r="A3" s="3" t="inlineStr">
        <is>
          <t>Q03新请求</t>
        </is>
      </c>
      <c r="B3" s="3" t="inlineStr">
        <is>
          <t>2024-09-12</t>
        </is>
      </c>
      <c r="C3" s="5" t="n">
        <v>20</v>
      </c>
      <c r="D3" s="3" t="inlineStr">
        <is>
          <t>工作日</t>
        </is>
      </c>
      <c r="E3" s="3">
        <f>TEXT(WORKDAY(DATEVALUE(B3),C3),"yyyy-mm-dd")</f>
        <v/>
      </c>
      <c r="F3" s="3" t="inlineStr">
        <is>
          <t>2024-10-10；不回溯最初请求</t>
        </is>
      </c>
    </row>
    <row r="4" ht="50" customHeight="1">
      <c r="A4" s="2" t="inlineStr">
        <is>
          <t>Q04普通</t>
        </is>
      </c>
      <c r="B4" s="2" t="inlineStr">
        <is>
          <t>2024-09-13</t>
        </is>
      </c>
      <c r="C4" s="4" t="n">
        <v>20</v>
      </c>
      <c r="D4" s="2" t="inlineStr">
        <is>
          <t>工作日</t>
        </is>
      </c>
      <c r="E4" s="2">
        <f>TEXT(WORKDAY(DATEVALUE(B4),C4),"yyyy-mm-dd")</f>
        <v/>
      </c>
      <c r="F4" s="2" t="inlineStr">
        <is>
          <t>2024-10-11；与加急决定分开</t>
        </is>
      </c>
    </row>
    <row r="5" ht="50" customHeight="1">
      <c r="A5" s="3" t="inlineStr">
        <is>
          <t>Q04加急决定</t>
        </is>
      </c>
      <c r="B5" s="3" t="inlineStr">
        <is>
          <t>2024-09-16</t>
        </is>
      </c>
      <c r="C5" s="5" t="n">
        <v>10</v>
      </c>
      <c r="D5" s="3" t="inlineStr">
        <is>
          <t>自然日</t>
        </is>
      </c>
      <c r="E5" s="3">
        <f>TEXT(DATEVALUE(B5)+C5,"yyyy-mm-dd")</f>
        <v/>
      </c>
      <c r="F5" s="3" t="inlineStr">
        <is>
          <t>2024-09-26；截至9月27日已逾期，非全部披露日期</t>
        </is>
      </c>
    </row>
    <row r="6" ht="50" customHeight="1">
      <c r="A6" s="2" t="inlineStr">
        <is>
          <t>Q05普通</t>
        </is>
      </c>
      <c r="B6" s="2" t="inlineStr">
        <is>
          <t>2024-09-09</t>
        </is>
      </c>
      <c r="C6" s="4" t="n">
        <v>20</v>
      </c>
      <c r="D6" s="2" t="inlineStr">
        <is>
          <t>工作日</t>
        </is>
      </c>
      <c r="E6" s="2">
        <f>TEXT(WORKDAY(DATEVALUE(B6),C6),"yyyy-mm-dd")</f>
        <v/>
      </c>
      <c r="F6" s="2" t="inlineStr">
        <is>
          <t>2024-10-07；延期通知有缺口，未自动确认额外15天</t>
        </is>
      </c>
    </row>
    <row r="7" ht="50" customHeight="1">
      <c r="A7" s="3" t="inlineStr">
        <is>
          <t>Q06收款后</t>
        </is>
      </c>
      <c r="B7" s="3" t="inlineStr">
        <is>
          <t>2024-09-12</t>
        </is>
      </c>
      <c r="C7" s="5" t="n">
        <v>20</v>
      </c>
      <c r="D7" s="3" t="inlineStr">
        <is>
          <t>工作日</t>
        </is>
      </c>
      <c r="E7" s="3">
        <f>TEXT(WORKDAY(DATEVALUE(B7),C7),"yyyy-mm-dd")</f>
        <v/>
      </c>
      <c r="F7" s="3" t="inlineStr">
        <is>
          <t>2024-10-10；actual receipt而非付款承诺</t>
        </is>
      </c>
    </row>
    <row r="8" ht="50" customHeight="1">
      <c r="A8" s="2" t="inlineStr">
        <is>
          <t>Q07普通申诉</t>
        </is>
      </c>
      <c r="B8" s="2" t="inlineStr">
        <is>
          <t>2024-09-13</t>
        </is>
      </c>
      <c r="C8" s="4" t="n">
        <v>20</v>
      </c>
      <c r="D8" s="2" t="inlineStr">
        <is>
          <t>工作日</t>
        </is>
      </c>
      <c r="E8" s="2">
        <f>TEXT(WORKDAY(DATEVALUE(B8),C8),"yyyy-mm-dd")</f>
        <v/>
      </c>
      <c r="F8" s="2" t="inlineStr">
        <is>
          <t>2024-10-11；通常基线，未给延期</t>
        </is>
      </c>
    </row>
    <row r="9" ht="50" customHeight="1">
      <c r="A9" s="3" t="inlineStr">
        <is>
          <t>Q07及时性末日</t>
        </is>
      </c>
      <c r="B9" s="3" t="inlineStr">
        <is>
          <t>2024-09-11</t>
        </is>
      </c>
      <c r="C9" s="5" t="n">
        <v>90</v>
      </c>
      <c r="D9" s="3" t="inlineStr">
        <is>
          <t>自然日</t>
        </is>
      </c>
      <c r="E9" s="3">
        <f>TEXT(DATEVALUE(B9)+C9,"yyyy-mm-dd")</f>
        <v/>
      </c>
      <c r="F9" s="3" t="inlineStr">
        <is>
          <t>2024-12-10；电子传送/邮戳，不是申诉决定日期</t>
        </is>
      </c>
    </row>
    <row r="10" ht="50" customHeight="1">
      <c r="A10" s="2" t="inlineStr">
        <is>
          <t>Q08普通比较</t>
        </is>
      </c>
      <c r="B10" s="2" t="inlineStr">
        <is>
          <t>2024-09-13</t>
        </is>
      </c>
      <c r="C10" s="4" t="n">
        <v>20</v>
      </c>
      <c r="D10" s="2" t="inlineStr">
        <is>
          <t>工作日</t>
        </is>
      </c>
      <c r="E10" s="2">
        <f>TEXT(WORKDAY(DATEVALUE(B10),C10),"yyyy-mm-dd")</f>
        <v/>
      </c>
      <c r="F10" s="2" t="inlineStr">
        <is>
          <t>2024-10-11仅比较；已诉讼，通常不再裁决</t>
        </is>
      </c>
    </row>
    <row r="11" ht="50" customHeight="1">
      <c r="A11" s="3" t="inlineStr">
        <is>
          <t>Q09普通</t>
        </is>
      </c>
      <c r="B11" s="3" t="inlineStr">
        <is>
          <t>2024-09-09</t>
        </is>
      </c>
      <c r="C11" s="5" t="n">
        <v>20</v>
      </c>
      <c r="D11" s="3" t="inlineStr">
        <is>
          <t>工作日</t>
        </is>
      </c>
      <c r="E11" s="3">
        <f>TEXT(WORKDAY(DATEVALUE(B11),C11),"yyyy-mm-dd")</f>
        <v/>
      </c>
      <c r="F11" s="3" t="inlineStr">
        <is>
          <t>2024-10-07；不同于9月12日搜索范围日</t>
        </is>
      </c>
    </row>
  </sheetData>
  <autoFilter ref="A1:F1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0" customWidth="1" min="3" max="3"/>
    <col width="19" customWidth="1" min="4" max="4"/>
    <col width="24" customWidth="1" min="5" max="5"/>
    <col width="22" customWidth="1" min="6" max="6"/>
    <col width="24" customWidth="1" min="7" max="7"/>
    <col width="65" customWidth="1" min="8" max="8"/>
    <col width="34" customWidth="1" min="9" max="9"/>
  </cols>
  <sheetData>
    <row r="1" ht="32" customHeight="1">
      <c r="A1" s="1" t="inlineStr">
        <is>
          <t>ID</t>
        </is>
      </c>
      <c r="B1" s="1" t="inlineStr">
        <is>
          <t>搜索USD</t>
        </is>
      </c>
      <c r="C1" s="1" t="inlineStr">
        <is>
          <t>首次复核USD</t>
        </is>
      </c>
      <c r="D1" s="1" t="inlineStr">
        <is>
          <t>复制USD</t>
        </is>
      </c>
      <c r="E1" s="1" t="inlineStr">
        <is>
          <t>扣额度后合计USD</t>
        </is>
      </c>
      <c r="F1" s="1" t="inlineStr">
        <is>
          <t>收取成本USD</t>
        </is>
      </c>
      <c r="G1" s="1" t="inlineStr">
        <is>
          <t>成本规则后USD</t>
        </is>
      </c>
      <c r="H1" s="1" t="inlineStr">
        <is>
          <t>预付门槛/减免</t>
        </is>
      </c>
      <c r="I1" s="1" t="inlineStr">
        <is>
          <t>依据</t>
        </is>
      </c>
    </row>
    <row r="2" ht="50" customHeight="1">
      <c r="A2" s="2" t="inlineStr">
        <is>
          <t>F01</t>
        </is>
      </c>
      <c r="B2" s="6">
        <f>3*40*1.16</f>
        <v/>
      </c>
      <c r="C2" s="6">
        <f>1.5*50*1.16</f>
        <v/>
      </c>
      <c r="D2" s="6">
        <f>238*0.1</f>
        <v/>
      </c>
      <c r="E2" s="6">
        <f>SUM(B2:D2)</f>
        <v/>
      </c>
      <c r="F2" s="7" t="n">
        <v>4</v>
      </c>
      <c r="G2" s="6">
        <f>IF(F2&gt;=E2,0,E2)</f>
        <v/>
      </c>
      <c r="H2" s="2" t="inlineStr">
        <is>
          <t>250.00恰等于，不触发预计超过250事由；may非must；无给定其他事由，不提出实际预收。</t>
        </is>
      </c>
      <c r="I2" s="2" t="inlineStr">
        <is>
          <t>FINAL PDF7 .301(a)(1),.302(c),.303；PDF8 .304(a)</t>
        </is>
      </c>
    </row>
    <row r="3" ht="50" customHeight="1">
      <c r="A3" s="3" t="inlineStr">
        <is>
          <t>F02</t>
        </is>
      </c>
      <c r="B3" s="8">
        <f>3*40*1.16</f>
        <v/>
      </c>
      <c r="C3" s="8">
        <f>1.5*50*1.16</f>
        <v/>
      </c>
      <c r="D3" s="8">
        <f>239*0.1</f>
        <v/>
      </c>
      <c r="E3" s="8">
        <f>SUM(B3:D3)</f>
        <v/>
      </c>
      <c r="F3" s="9" t="n">
        <v>4</v>
      </c>
      <c r="G3" s="8">
        <f>IF(F3&gt;=E3,0,E3)</f>
        <v/>
      </c>
      <c r="H3" s="3" t="inlineStr">
        <is>
          <t>250.10超过250，可要求；Q06另给已要求和已收款事实，才据实起算。</t>
        </is>
      </c>
      <c r="I3" s="3" t="inlineStr">
        <is>
          <t>FINAL PDF7 .301/.303；PDF8 .304(a)(2)</t>
        </is>
      </c>
    </row>
    <row r="4" ht="50" customHeight="1">
      <c r="A4" s="2" t="inlineStr">
        <is>
          <t>F03</t>
        </is>
      </c>
      <c r="B4" s="7" t="n">
        <v>0</v>
      </c>
      <c r="C4" s="7" t="n">
        <v>0</v>
      </c>
      <c r="D4" s="6">
        <f>(350-100)*0.1</f>
        <v/>
      </c>
      <c r="E4" s="6">
        <f>SUM(B4:D4)</f>
        <v/>
      </c>
      <c r="F4" s="7" t="n">
        <v>25</v>
      </c>
      <c r="G4" s="6">
        <f>IF(F4&gt;=E4,0,E4)</f>
        <v/>
      </c>
      <c r="H4" s="2" t="inlineStr">
        <is>
          <t>资格已核实，新闻媒体只收扣100页后复制25；成本等于25，最终不收。</t>
        </is>
      </c>
      <c r="I4" s="2" t="inlineStr">
        <is>
          <t>FINAL PDF7 §3006.301(a)(3),.302(c)</t>
        </is>
      </c>
    </row>
    <row r="5" ht="50" customHeight="1">
      <c r="A5" s="3" t="inlineStr">
        <is>
          <t>F04</t>
        </is>
      </c>
      <c r="B5" s="9" t="n">
        <v>0</v>
      </c>
      <c r="C5" s="9" t="n">
        <v>0</v>
      </c>
      <c r="D5" s="8">
        <f>(350-100)*0.1</f>
        <v/>
      </c>
      <c r="E5" s="8">
        <f>SUM(B5:D5)</f>
        <v/>
      </c>
      <c r="F5" s="9" t="n">
        <v>4</v>
      </c>
      <c r="G5" s="8">
        <f>IF(F5&gt;=E5,0,E5)</f>
        <v/>
      </c>
      <c r="H5" s="3" t="inlineStr">
        <is>
          <t>25为减免决定前暂计；公共利益减免需实质审查和有权者决定，当前待办，不宣称必收或已免。</t>
        </is>
      </c>
      <c r="I5" s="3" t="inlineStr">
        <is>
          <t>FINAL PDF7 §3006.301(a)(2),.302(d)；演练事实</t>
        </is>
      </c>
    </row>
  </sheetData>
  <autoFilter ref="A1:I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25" customWidth="1" min="5" max="5"/>
    <col width="75" customWidth="1" min="6" max="6"/>
  </cols>
  <sheetData>
    <row r="1" ht="32" customHeight="1">
      <c r="A1" s="1" t="inlineStr">
        <is>
          <t>ID</t>
        </is>
      </c>
      <c r="B1" s="1" t="inlineStr">
        <is>
          <t>创建日</t>
        </is>
      </c>
      <c r="C1" s="1" t="inlineStr">
        <is>
          <t>开始控制日</t>
        </is>
      </c>
      <c r="D1" s="1" t="inlineStr">
        <is>
          <t>范围日</t>
        </is>
      </c>
      <c r="E1" s="1" t="inlineStr">
        <is>
          <t>默认范围判断</t>
        </is>
      </c>
      <c r="F1" s="1" t="inlineStr">
        <is>
          <t>理由及边界</t>
        </is>
      </c>
    </row>
    <row r="2" ht="32" customHeight="1">
      <c r="A2" s="2" t="inlineStr">
        <is>
          <t>R01</t>
        </is>
      </c>
      <c r="B2" s="2" t="inlineStr">
        <is>
          <t>2024-09-08</t>
        </is>
      </c>
      <c r="C2" s="2" t="inlineStr">
        <is>
          <t>2024-09-08</t>
        </is>
      </c>
      <c r="D2" s="2" t="inlineStr">
        <is>
          <t>2024-09-12</t>
        </is>
      </c>
      <c r="E2" s="2" t="inlineStr">
        <is>
          <t>纳入</t>
        </is>
      </c>
      <c r="F2" s="2" t="inlineStr">
        <is>
          <t>搜索开始日已持有控制且主题相关；范围纳入不等于已准披露。</t>
        </is>
      </c>
    </row>
    <row r="3" ht="32" customHeight="1">
      <c r="A3" s="3" t="inlineStr">
        <is>
          <t>R02</t>
        </is>
      </c>
      <c r="B3" s="3" t="inlineStr">
        <is>
          <t>2024-09-10</t>
        </is>
      </c>
      <c r="C3" s="3" t="inlineStr">
        <is>
          <t>2024-09-11</t>
        </is>
      </c>
      <c r="D3" s="3" t="inlineStr">
        <is>
          <t>2024-09-12</t>
        </is>
      </c>
      <c r="E3" s="3" t="inlineStr">
        <is>
          <t>纳入</t>
        </is>
      </c>
      <c r="F3" s="3" t="inlineStr">
        <is>
          <t>虽然收件后创建，搜索前已控制，不能仅按9月9日筛掉。</t>
        </is>
      </c>
    </row>
    <row r="4" ht="32" customHeight="1">
      <c r="A4" s="2" t="inlineStr">
        <is>
          <t>R03</t>
        </is>
      </c>
      <c r="B4" s="2" t="inlineStr">
        <is>
          <t>2024-09-09</t>
        </is>
      </c>
      <c r="C4" s="2" t="inlineStr">
        <is>
          <t>2024-09-13</t>
        </is>
      </c>
      <c r="D4" s="2" t="inlineStr">
        <is>
          <t>2024-09-12</t>
        </is>
      </c>
      <c r="E4" s="2" t="inlineStr">
        <is>
          <t>不纳入</t>
        </is>
      </c>
      <c r="F4" s="2" t="inlineStr">
        <is>
          <t>创建早不足，搜索日尚未控制；用其他范围日须告知。</t>
        </is>
      </c>
    </row>
    <row r="5" ht="32" customHeight="1">
      <c r="A5" s="3" t="inlineStr">
        <is>
          <t>R04</t>
        </is>
      </c>
      <c r="B5" s="3" t="inlineStr">
        <is>
          <t>2024-09-13</t>
        </is>
      </c>
      <c r="C5" s="3" t="inlineStr">
        <is>
          <t>2024-09-13</t>
        </is>
      </c>
      <c r="D5" s="3" t="inlineStr">
        <is>
          <t>2024-09-12</t>
        </is>
      </c>
      <c r="E5" s="3" t="inlineStr">
        <is>
          <t>不纳入</t>
        </is>
      </c>
      <c r="F5" s="3" t="inlineStr">
        <is>
          <t>搜索后才创建/控制；不判实体豁免。</t>
        </is>
      </c>
    </row>
  </sheetData>
  <autoFilter ref="A1:F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30" customWidth="1" min="3" max="3"/>
  </cols>
  <sheetData>
    <row r="1" ht="32" customHeight="1">
      <c r="A1" s="1" t="inlineStr">
        <is>
          <t>ID</t>
        </is>
      </c>
      <c r="B1" s="1" t="inlineStr">
        <is>
          <t>结论或动作</t>
        </is>
      </c>
      <c r="C1" s="1" t="inlineStr">
        <is>
          <t>依据及可操作表述</t>
        </is>
      </c>
    </row>
    <row r="2" ht="32" customHeight="1">
      <c r="A2" s="2" t="inlineStr">
        <is>
          <t>D01</t>
        </is>
      </c>
      <c r="B2" s="2" t="inlineStr">
        <is>
          <t>修订</t>
        </is>
      </c>
      <c r="C2" s="2" t="inlineStr">
        <is>
          <t>最终2024-08-09发布，2024-09-09生效；4月拟议不作现行授权，不宣称逐字相同。FINAL PDF1 DATES。</t>
        </is>
      </c>
    </row>
    <row r="3" ht="32" customHeight="1">
      <c r="A3" s="3" t="inlineStr">
        <is>
          <t>D02</t>
        </is>
      </c>
      <c r="B3" s="3" t="inlineStr">
        <is>
          <t>修订</t>
        </is>
      </c>
      <c r="C3" s="3" t="inlineStr">
        <is>
          <t>期限由通知给定，不造统一30天；及时补件确认，关闭后补件按新请求，Q03从9月12日起。FINAL PDF3 .200(d)。</t>
        </is>
      </c>
    </row>
    <row r="4" ht="32" customHeight="1">
      <c r="A4" s="2" t="inlineStr">
        <is>
          <t>D03</t>
        </is>
      </c>
      <c r="B4" s="2" t="inlineStr">
        <is>
          <t>修订</t>
        </is>
      </c>
      <c r="C4" s="2" t="inlineStr">
        <is>
          <t>10自然日决定是否加急，不是全部披露；Chief/designee决定，分析员不得自动批准；Q04决定已逾期。FINAL PDF4 .201(c)。</t>
        </is>
      </c>
    </row>
    <row r="5" ht="32" customHeight="1">
      <c r="A5" s="3" t="inlineStr">
        <is>
          <t>D04</t>
        </is>
      </c>
      <c r="B5" s="3" t="inlineStr">
        <is>
          <t>修订</t>
        </is>
      </c>
      <c r="C5" s="3" t="inlineStr">
        <is>
          <t>复杂track不免时限；Q05缺完成日及&gt;10工作日附加告知/协商，升级修复而非自动延期。FINAL PDF4 .201(d)。</t>
        </is>
      </c>
    </row>
    <row r="6" ht="32" customHeight="1">
      <c r="A6" s="2" t="inlineStr">
        <is>
          <t>D05</t>
        </is>
      </c>
      <c r="B6" s="2" t="inlineStr">
        <is>
          <t>修订</t>
        </is>
      </c>
      <c r="C6" s="2" t="inlineStr">
        <is>
          <t>250.00非超过，may不等于must；Q06已实际要求时，收到款后才起算，不凭承诺。FINAL PDF8 .304(a)。</t>
        </is>
      </c>
    </row>
    <row r="7" ht="32" customHeight="1">
      <c r="A7" s="3" t="inlineStr">
        <is>
          <t>D06</t>
        </is>
      </c>
      <c r="B7" s="3" t="inlineStr">
        <is>
          <t>修订</t>
        </is>
      </c>
      <c r="C7" s="3" t="inlineStr">
        <is>
          <t>范围日为搜索开始9月12日，R02纳入；若用其他日期应告知。FINAL PDF4 .202(a)。</t>
        </is>
      </c>
    </row>
    <row r="8" ht="32" customHeight="1">
      <c r="A8" s="2" t="inlineStr">
        <is>
          <t>D07</t>
        </is>
      </c>
      <c r="B8" s="2" t="inlineStr">
        <is>
          <t>保留并限定</t>
        </is>
      </c>
      <c r="C8" s="2" t="inlineStr">
        <is>
          <t>Q07及时；核受理要素再转Commission，不保证申诉成功；90自然日期限和普通20工作日决定分开。FINAL PDF5 .203。</t>
        </is>
      </c>
    </row>
    <row r="9" ht="32" customHeight="1">
      <c r="A9" s="3" t="inlineStr">
        <is>
          <t>D08</t>
        </is>
      </c>
      <c r="B9" s="3" t="inlineStr">
        <is>
          <t>修订</t>
        </is>
      </c>
      <c r="C9" s="3" t="inlineStr">
        <is>
          <t>F03扣额度后25与成本25相等，故不收；F04减免待实质决定，不是勾框自动免。FINAL PDF7 .302(c)-(d)。</t>
        </is>
      </c>
    </row>
    <row r="10" ht="32" customHeight="1">
      <c r="A10" s="2" t="inlineStr">
        <is>
          <t>ACK</t>
        </is>
      </c>
      <c r="B10" s="2" t="inlineStr">
        <is>
          <t>确认与tracking</t>
        </is>
      </c>
      <c r="C10" s="2" t="inlineStr">
        <is>
          <t>预计超过10工作日的请求应确认、给个体tracking及所求记录简述；Q02等给定正式请求应检查，不能编造已发。FINAL PDF4 .202(b)。</t>
        </is>
      </c>
    </row>
    <row r="11" ht="50" customHeight="1">
      <c r="A11" s="3" t="inlineStr">
        <is>
          <t>DENIAL</t>
        </is>
      </c>
      <c r="B11" s="3" t="inlineStr">
        <is>
          <t>不利通知交接清单</t>
        </is>
      </c>
      <c r="C11" s="3" t="inlineStr">
        <is>
          <t>Chief/designee签署；姓名职务、理由/适用豁免、扣留量估计及例外、申诉权和要求、liaison/OGIS；未判实体理由，不能捏造具体豁免。FINAL PDF4 .202(d)-(e)。</t>
        </is>
      </c>
    </row>
    <row r="12" ht="50" customHeight="1">
      <c r="A12" s="2" t="inlineStr">
        <is>
          <t>APPEAL</t>
        </is>
      </c>
      <c r="B12" s="2" t="inlineStr">
        <is>
          <t>申诉交接清单</t>
        </is>
      </c>
      <c r="C12" s="2" t="inlineStr">
        <is>
          <t>书面/标题、原请求及相关往来、tracking、挑战行为/特定删节、救济、理由按适用核对；Commission裁决，普通延期额外累计≤10工作日；诉讼通常不再裁决。FINAL PDF5 .203(b)-(c)。</t>
        </is>
      </c>
    </row>
    <row r="13" ht="50" customHeight="1">
      <c r="A13" s="3" t="inlineStr">
        <is>
          <t>CALENDAR</t>
        </is>
      </c>
      <c r="B13" s="3" t="inlineStr">
        <is>
          <t>演练排班及版本边界</t>
        </is>
      </c>
      <c r="C13" s="3" t="inlineStr">
        <is>
          <t>9月9日至10月11日周一至五工作、无其他排班休息日，事件日不计；自然日另算，不延伸排班假设到未知区间。2026抓取非2024实采，不执行真实收费、联系或披露。</t>
        </is>
      </c>
    </row>
  </sheetData>
  <autoFilter ref="A1:C1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