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版本与证据" sheetId="1" state="visible" r:id="rId1"/>
    <sheet xmlns:r="http://schemas.openxmlformats.org/officeDocument/2006/relationships" name="结局复算" sheetId="2" state="visible" r:id="rId2"/>
    <sheet xmlns:r="http://schemas.openxmlformats.org/officeDocument/2006/relationships" name="完整性" sheetId="3" state="visible" r:id="rId3"/>
    <sheet xmlns:r="http://schemas.openxmlformats.org/officeDocument/2006/relationships" name="交集核查" sheetId="4" state="visible" r:id="rId4"/>
    <sheet xmlns:r="http://schemas.openxmlformats.org/officeDocument/2006/relationships" name="发布处置" sheetId="5" state="visible" r:id="rId5"/>
    <sheet xmlns:r="http://schemas.openxmlformats.org/officeDocument/2006/relationships" name="NNT说明" sheetId="6" state="visible" r:id="rId6"/>
  </sheets>
  <definedNames>
    <definedName name="_xlnm._FilterDatabase" localSheetId="0" hidden="1">'版本与证据'!$A$1:$E$3</definedName>
    <definedName name="_xlnm.Print_Titles" localSheetId="0">'版本与证据'!$1:$1</definedName>
    <definedName name="_xlnm._FilterDatabase" localSheetId="1" hidden="1">'结局复算'!$A$1:$N$11</definedName>
    <definedName name="_xlnm.Print_Titles" localSheetId="1">'结局复算'!$1:$1</definedName>
    <definedName name="_xlnm._FilterDatabase" localSheetId="2" hidden="1">'完整性'!$A$1:$H$4</definedName>
    <definedName name="_xlnm.Print_Titles" localSheetId="2">'完整性'!$1:$1</definedName>
    <definedName name="_xlnm._FilterDatabase" localSheetId="3" hidden="1">'交集核查'!$A$1:$F$5</definedName>
    <definedName name="_xlnm.Print_Titles" localSheetId="3">'交集核查'!$1:$1</definedName>
    <definedName name="_xlnm._FilterDatabase" localSheetId="4" hidden="1">'发布处置'!$A$1:$D$12</definedName>
    <definedName name="_xlnm.Print_Titles" localSheetId="4">'发布处置'!$1:$1</definedName>
    <definedName name="_xlnm._FilterDatabase" localSheetId="5" hidden="1">'NNT说明'!$A$1:$F$3</definedName>
    <definedName name="_xlnm.Print_Titles" localSheetId="5">'NNT说明'!$1:$1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%"/>
  </numFmts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164" fontId="2" fillId="3" borderId="0" applyAlignment="1" pivotButton="0" quotePrefix="0" xfId="0">
      <alignment horizontal="center" vertical="top" wrapText="1"/>
    </xf>
    <xf numFmtId="2" fontId="2" fillId="3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2" fontId="2" fillId="0" borderId="0" applyAlignment="1" pivotButton="0" quotePrefix="0" xfId="0">
      <alignment horizontal="center" vertical="top" wrapText="1"/>
    </xf>
    <xf numFmtId="165" fontId="2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1" fontId="2" fillId="3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48" customWidth="1" min="3" max="3"/>
    <col width="46" customWidth="1" min="4" max="4"/>
    <col width="54" customWidth="1" min="5" max="5"/>
  </cols>
  <sheetData>
    <row r="1" ht="32" customHeight="1">
      <c r="A1" s="1" t="inlineStr">
        <is>
          <t>版本</t>
        </is>
      </c>
      <c r="B1" s="1" t="inlineStr">
        <is>
          <t>身份</t>
        </is>
      </c>
      <c r="C1" s="1" t="inlineStr">
        <is>
          <t>时间边界</t>
        </is>
      </c>
      <c r="D1" s="1" t="inlineStr">
        <is>
          <t>原文定位</t>
        </is>
      </c>
      <c r="E1" s="1" t="inlineStr">
        <is>
          <t>关键更新</t>
        </is>
      </c>
    </row>
    <row r="2" ht="32" customHeight="1">
      <c r="A2" s="2" t="inlineStr">
        <is>
          <t>JUNE</t>
        </is>
      </c>
      <c r="B2" s="2" t="inlineStr">
        <is>
          <t>2020-06-22预印本，未同行评审</t>
        </is>
      </c>
      <c r="C2" s="2" t="inlineStr">
        <is>
          <t>数据截止6月10日；未满28日者部分在6月8日删失</t>
        </is>
      </c>
      <c r="D2" s="2" t="inlineStr">
        <is>
          <t>Table2；统计分析pp.6–7</t>
        </is>
      </c>
      <c r="E2" s="2" t="inlineStr">
        <is>
          <t>死亡454/1065；随访完整6119；全平台11320</t>
        </is>
      </c>
    </row>
    <row r="3" ht="50" customHeight="1">
      <c r="A3" s="3" t="inlineStr">
        <is>
          <t>JULY</t>
        </is>
      </c>
      <c r="B3" s="3" t="inlineStr">
        <is>
          <t>2020-07-17存档正文，标题仍为Preliminary Report</t>
        </is>
      </c>
      <c r="C3" s="3" t="inlineStr">
        <is>
          <t>数据截止7月6日</t>
        </is>
      </c>
      <c r="D3" s="3" t="inlineStr">
        <is>
          <t>Table2；Statistical Analysis；Results/Patients</t>
        </is>
      </c>
      <c r="E3" s="3" t="inlineStr">
        <is>
          <t>死亡482/1110；主要终点随访完整6418；全平台11303</t>
        </is>
      </c>
    </row>
  </sheetData>
  <autoFilter ref="A1:E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  <col width="12" customWidth="1" min="5" max="5"/>
    <col width="10" customWidth="1" min="6" max="6"/>
    <col width="16" customWidth="1" min="7" max="7"/>
    <col width="16" customWidth="1" min="8" max="8"/>
    <col width="16" customWidth="1" min="9" max="9"/>
    <col width="18" customWidth="1" min="10" max="10"/>
    <col width="16" customWidth="1" min="11" max="11"/>
    <col width="12" customWidth="1" min="12" max="12"/>
    <col width="12" customWidth="1" min="13" max="13"/>
    <col width="18" customWidth="1" min="14" max="14"/>
  </cols>
  <sheetData>
    <row r="1" ht="32" customHeight="1">
      <c r="A1" s="1" t="inlineStr">
        <is>
          <t>版本</t>
        </is>
      </c>
      <c r="B1" s="1" t="inlineStr">
        <is>
          <t>结局</t>
        </is>
      </c>
      <c r="C1" s="1" t="inlineStr">
        <is>
          <t>治疗事件</t>
        </is>
      </c>
      <c r="D1" s="1" t="inlineStr">
        <is>
          <t>治疗N</t>
        </is>
      </c>
      <c r="E1" s="1" t="inlineStr">
        <is>
          <t>对照事件</t>
        </is>
      </c>
      <c r="F1" s="1" t="inlineStr">
        <is>
          <t>对照N</t>
        </is>
      </c>
      <c r="G1" s="1" t="inlineStr">
        <is>
          <t>治疗风险(比例)</t>
        </is>
      </c>
      <c r="H1" s="1" t="inlineStr">
        <is>
          <t>对照风险(比例)</t>
        </is>
      </c>
      <c r="I1" s="1" t="inlineStr">
        <is>
          <t>粗risk ratio</t>
        </is>
      </c>
      <c r="J1" s="1" t="inlineStr">
        <is>
          <t>对照-治疗百分点</t>
        </is>
      </c>
      <c r="K1" s="1" t="inlineStr">
        <is>
          <t>发表调整比值</t>
        </is>
      </c>
      <c r="L1" s="1" t="inlineStr">
        <is>
          <t>CI下界</t>
        </is>
      </c>
      <c r="M1" s="1" t="inlineStr">
        <is>
          <t>CI上界</t>
        </is>
      </c>
      <c r="N1" s="1" t="inlineStr">
        <is>
          <t>发表估计类型</t>
        </is>
      </c>
    </row>
    <row r="2" ht="32" customHeight="1">
      <c r="A2" s="2" t="inlineStr">
        <is>
          <t>JUNE</t>
        </is>
      </c>
      <c r="B2" s="2" t="inlineStr">
        <is>
          <t>28日死亡</t>
        </is>
      </c>
      <c r="C2" s="4" t="n">
        <v>454</v>
      </c>
      <c r="D2" s="4" t="n">
        <v>2104</v>
      </c>
      <c r="E2" s="4" t="n">
        <v>1065</v>
      </c>
      <c r="F2" s="4" t="n">
        <v>4321</v>
      </c>
      <c r="G2" s="5">
        <f>C2/D2</f>
        <v/>
      </c>
      <c r="H2" s="5">
        <f>E2/F2</f>
        <v/>
      </c>
      <c r="I2" s="5">
        <f>G2/H2</f>
        <v/>
      </c>
      <c r="J2" s="6">
        <f>100*(H2-G2)</f>
        <v/>
      </c>
      <c r="K2" s="6" t="n">
        <v>0.83</v>
      </c>
      <c r="L2" s="6" t="n">
        <v>0.74</v>
      </c>
      <c r="M2" s="6" t="n">
        <v>0.92</v>
      </c>
      <c r="N2" s="2" t="inlineStr">
        <is>
          <t>rate ratio</t>
        </is>
      </c>
    </row>
    <row r="3" ht="32" customHeight="1">
      <c r="A3" s="3" t="inlineStr">
        <is>
          <t>JUNE</t>
        </is>
      </c>
      <c r="B3" s="3" t="inlineStr">
        <is>
          <t>28日出院</t>
        </is>
      </c>
      <c r="C3" s="7" t="n">
        <v>1360</v>
      </c>
      <c r="D3" s="7" t="n">
        <v>2104</v>
      </c>
      <c r="E3" s="7" t="n">
        <v>2639</v>
      </c>
      <c r="F3" s="7" t="n">
        <v>4321</v>
      </c>
      <c r="G3" s="8">
        <f>C3/D3</f>
        <v/>
      </c>
      <c r="H3" s="8">
        <f>E3/F3</f>
        <v/>
      </c>
      <c r="I3" s="8">
        <f>G3/H3</f>
        <v/>
      </c>
      <c r="J3" s="9">
        <f>100*(H3-G3)</f>
        <v/>
      </c>
      <c r="K3" s="9" t="n">
        <v>1.11</v>
      </c>
      <c r="L3" s="9" t="n">
        <v>1.04</v>
      </c>
      <c r="M3" s="9" t="n">
        <v>1.19</v>
      </c>
      <c r="N3" s="3" t="inlineStr">
        <is>
          <t>rate ratio</t>
        </is>
      </c>
    </row>
    <row r="4" ht="32" customHeight="1">
      <c r="A4" s="2" t="inlineStr">
        <is>
          <t>JUNE</t>
        </is>
      </c>
      <c r="B4" s="2" t="inlineStr">
        <is>
          <t>基线未IMV：IMV或死亡</t>
        </is>
      </c>
      <c r="C4" s="4" t="n">
        <v>425</v>
      </c>
      <c r="D4" s="4" t="n">
        <v>1780</v>
      </c>
      <c r="E4" s="4" t="n">
        <v>939</v>
      </c>
      <c r="F4" s="4" t="n">
        <v>3638</v>
      </c>
      <c r="G4" s="5">
        <f>C4/D4</f>
        <v/>
      </c>
      <c r="H4" s="5">
        <f>E4/F4</f>
        <v/>
      </c>
      <c r="I4" s="5">
        <f>G4/H4</f>
        <v/>
      </c>
      <c r="J4" s="6">
        <f>100*(H4-G4)</f>
        <v/>
      </c>
      <c r="K4" s="6" t="n">
        <v>0.91</v>
      </c>
      <c r="L4" s="6" t="n">
        <v>0.82</v>
      </c>
      <c r="M4" s="6" t="n">
        <v>1</v>
      </c>
      <c r="N4" s="2" t="inlineStr">
        <is>
          <t>risk ratio</t>
        </is>
      </c>
    </row>
    <row r="5" ht="32" customHeight="1">
      <c r="A5" s="3" t="inlineStr">
        <is>
          <t>JUNE</t>
        </is>
      </c>
      <c r="B5" s="3" t="inlineStr">
        <is>
          <t>基线未IMV：IMV</t>
        </is>
      </c>
      <c r="C5" s="7" t="n">
        <v>92</v>
      </c>
      <c r="D5" s="7" t="n">
        <v>1780</v>
      </c>
      <c r="E5" s="7" t="n">
        <v>258</v>
      </c>
      <c r="F5" s="7" t="n">
        <v>3638</v>
      </c>
      <c r="G5" s="8">
        <f>C5/D5</f>
        <v/>
      </c>
      <c r="H5" s="8">
        <f>E5/F5</f>
        <v/>
      </c>
      <c r="I5" s="8">
        <f>G5/H5</f>
        <v/>
      </c>
      <c r="J5" s="9">
        <f>100*(H5-G5)</f>
        <v/>
      </c>
      <c r="K5" s="9" t="n">
        <v>0.76</v>
      </c>
      <c r="L5" s="9" t="n">
        <v>0.61</v>
      </c>
      <c r="M5" s="9" t="n">
        <v>0.96</v>
      </c>
      <c r="N5" s="3" t="inlineStr">
        <is>
          <t>risk ratio</t>
        </is>
      </c>
    </row>
    <row r="6" ht="32" customHeight="1">
      <c r="A6" s="2" t="inlineStr">
        <is>
          <t>JUNE</t>
        </is>
      </c>
      <c r="B6" s="2" t="inlineStr">
        <is>
          <t>基线未IMV：死亡</t>
        </is>
      </c>
      <c r="C6" s="4" t="n">
        <v>360</v>
      </c>
      <c r="D6" s="4" t="n">
        <v>1780</v>
      </c>
      <c r="E6" s="4" t="n">
        <v>787</v>
      </c>
      <c r="F6" s="4" t="n">
        <v>3638</v>
      </c>
      <c r="G6" s="5">
        <f>C6/D6</f>
        <v/>
      </c>
      <c r="H6" s="5">
        <f>E6/F6</f>
        <v/>
      </c>
      <c r="I6" s="5">
        <f>G6/H6</f>
        <v/>
      </c>
      <c r="J6" s="6">
        <f>100*(H6-G6)</f>
        <v/>
      </c>
      <c r="K6" s="6" t="n">
        <v>0.91</v>
      </c>
      <c r="L6" s="6" t="n">
        <v>0.82</v>
      </c>
      <c r="M6" s="6" t="n">
        <v>1.01</v>
      </c>
      <c r="N6" s="2" t="inlineStr">
        <is>
          <t>risk ratio</t>
        </is>
      </c>
    </row>
    <row r="7" ht="32" customHeight="1">
      <c r="A7" s="3" t="inlineStr">
        <is>
          <t>JULY</t>
        </is>
      </c>
      <c r="B7" s="3" t="inlineStr">
        <is>
          <t>28日死亡</t>
        </is>
      </c>
      <c r="C7" s="7" t="n">
        <v>482</v>
      </c>
      <c r="D7" s="7" t="n">
        <v>2104</v>
      </c>
      <c r="E7" s="7" t="n">
        <v>1110</v>
      </c>
      <c r="F7" s="7" t="n">
        <v>4321</v>
      </c>
      <c r="G7" s="8">
        <f>C7/D7</f>
        <v/>
      </c>
      <c r="H7" s="8">
        <f>E7/F7</f>
        <v/>
      </c>
      <c r="I7" s="8">
        <f>G7/H7</f>
        <v/>
      </c>
      <c r="J7" s="9">
        <f>100*(H7-G7)</f>
        <v/>
      </c>
      <c r="K7" s="9" t="n">
        <v>0.83</v>
      </c>
      <c r="L7" s="9" t="n">
        <v>0.75</v>
      </c>
      <c r="M7" s="9" t="n">
        <v>0.93</v>
      </c>
      <c r="N7" s="3" t="inlineStr">
        <is>
          <t>rate ratio</t>
        </is>
      </c>
    </row>
    <row r="8" ht="32" customHeight="1">
      <c r="A8" s="2" t="inlineStr">
        <is>
          <t>JULY</t>
        </is>
      </c>
      <c r="B8" s="2" t="inlineStr">
        <is>
          <t>28日出院</t>
        </is>
      </c>
      <c r="C8" s="4" t="n">
        <v>1413</v>
      </c>
      <c r="D8" s="4" t="n">
        <v>2104</v>
      </c>
      <c r="E8" s="4" t="n">
        <v>2745</v>
      </c>
      <c r="F8" s="4" t="n">
        <v>4321</v>
      </c>
      <c r="G8" s="5">
        <f>C8/D8</f>
        <v/>
      </c>
      <c r="H8" s="5">
        <f>E8/F8</f>
        <v/>
      </c>
      <c r="I8" s="5">
        <f>G8/H8</f>
        <v/>
      </c>
      <c r="J8" s="6">
        <f>100*(H8-G8)</f>
        <v/>
      </c>
      <c r="K8" s="6" t="n">
        <v>1.1</v>
      </c>
      <c r="L8" s="6" t="n">
        <v>1.03</v>
      </c>
      <c r="M8" s="6" t="n">
        <v>1.17</v>
      </c>
      <c r="N8" s="2" t="inlineStr">
        <is>
          <t>rate ratio</t>
        </is>
      </c>
    </row>
    <row r="9" ht="32" customHeight="1">
      <c r="A9" s="3" t="inlineStr">
        <is>
          <t>JULY</t>
        </is>
      </c>
      <c r="B9" s="3" t="inlineStr">
        <is>
          <t>基线未IMV：IMV或死亡</t>
        </is>
      </c>
      <c r="C9" s="7" t="n">
        <v>456</v>
      </c>
      <c r="D9" s="7" t="n">
        <v>1780</v>
      </c>
      <c r="E9" s="7" t="n">
        <v>994</v>
      </c>
      <c r="F9" s="7" t="n">
        <v>3638</v>
      </c>
      <c r="G9" s="8">
        <f>C9/D9</f>
        <v/>
      </c>
      <c r="H9" s="8">
        <f>E9/F9</f>
        <v/>
      </c>
      <c r="I9" s="8">
        <f>G9/H9</f>
        <v/>
      </c>
      <c r="J9" s="9">
        <f>100*(H9-G9)</f>
        <v/>
      </c>
      <c r="K9" s="9" t="n">
        <v>0.92</v>
      </c>
      <c r="L9" s="9" t="n">
        <v>0.84</v>
      </c>
      <c r="M9" s="9" t="n">
        <v>1.01</v>
      </c>
      <c r="N9" s="3" t="inlineStr">
        <is>
          <t>risk ratio</t>
        </is>
      </c>
    </row>
    <row r="10" ht="32" customHeight="1">
      <c r="A10" s="2" t="inlineStr">
        <is>
          <t>JULY</t>
        </is>
      </c>
      <c r="B10" s="2" t="inlineStr">
        <is>
          <t>基线未IMV：IMV</t>
        </is>
      </c>
      <c r="C10" s="4" t="n">
        <v>102</v>
      </c>
      <c r="D10" s="4" t="n">
        <v>1780</v>
      </c>
      <c r="E10" s="4" t="n">
        <v>285</v>
      </c>
      <c r="F10" s="4" t="n">
        <v>3638</v>
      </c>
      <c r="G10" s="5">
        <f>C10/D10</f>
        <v/>
      </c>
      <c r="H10" s="5">
        <f>E10/F10</f>
        <v/>
      </c>
      <c r="I10" s="5">
        <f>G10/H10</f>
        <v/>
      </c>
      <c r="J10" s="6">
        <f>100*(H10-G10)</f>
        <v/>
      </c>
      <c r="K10" s="6" t="n">
        <v>0.77</v>
      </c>
      <c r="L10" s="6" t="n">
        <v>0.62</v>
      </c>
      <c r="M10" s="6" t="n">
        <v>0.95</v>
      </c>
      <c r="N10" s="2" t="inlineStr">
        <is>
          <t>risk ratio</t>
        </is>
      </c>
    </row>
    <row r="11" ht="32" customHeight="1">
      <c r="A11" s="3" t="inlineStr">
        <is>
          <t>JULY</t>
        </is>
      </c>
      <c r="B11" s="3" t="inlineStr">
        <is>
          <t>基线未IMV：死亡</t>
        </is>
      </c>
      <c r="C11" s="7" t="n">
        <v>387</v>
      </c>
      <c r="D11" s="7" t="n">
        <v>1780</v>
      </c>
      <c r="E11" s="7" t="n">
        <v>827</v>
      </c>
      <c r="F11" s="7" t="n">
        <v>3638</v>
      </c>
      <c r="G11" s="8">
        <f>C11/D11</f>
        <v/>
      </c>
      <c r="H11" s="8">
        <f>E11/F11</f>
        <v/>
      </c>
      <c r="I11" s="8">
        <f>G11/H11</f>
        <v/>
      </c>
      <c r="J11" s="9">
        <f>100*(H11-G11)</f>
        <v/>
      </c>
      <c r="K11" s="9" t="n">
        <v>0.93</v>
      </c>
      <c r="L11" s="9" t="n">
        <v>0.84</v>
      </c>
      <c r="M11" s="9" t="n">
        <v>1.03</v>
      </c>
      <c r="N11" s="3" t="inlineStr">
        <is>
          <t>risk ratio</t>
        </is>
      </c>
    </row>
  </sheetData>
  <autoFilter ref="A1:N11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2" customWidth="1" min="4" max="4"/>
    <col width="18" customWidth="1" min="5" max="5"/>
    <col width="20" customWidth="1" min="6" max="6"/>
    <col width="18" customWidth="1" min="7" max="7"/>
    <col width="55" customWidth="1" min="8" max="8"/>
  </cols>
  <sheetData>
    <row r="1" ht="32" customHeight="1">
      <c r="A1" s="1" t="inlineStr">
        <is>
          <t>版本</t>
        </is>
      </c>
      <c r="B1" s="1" t="inlineStr">
        <is>
          <t>口径</t>
        </is>
      </c>
      <c r="C1" s="1" t="inlineStr">
        <is>
          <t>完整/完成数</t>
        </is>
      </c>
      <c r="D1" s="1" t="inlineStr">
        <is>
          <t>分母</t>
        </is>
      </c>
      <c r="E1" s="1" t="inlineStr">
        <is>
          <t>完整比例</t>
        </is>
      </c>
      <c r="F1" s="1" t="inlineStr">
        <is>
          <t>未完整/缺表</t>
        </is>
      </c>
      <c r="G1" s="1" t="inlineStr">
        <is>
          <t>未完整比例</t>
        </is>
      </c>
      <c r="H1" s="1" t="inlineStr">
        <is>
          <t>解释</t>
        </is>
      </c>
    </row>
    <row r="2" ht="32" customHeight="1">
      <c r="A2" s="2" t="inlineStr">
        <is>
          <t>JUNE</t>
        </is>
      </c>
      <c r="B2" s="2" t="inlineStr">
        <is>
          <t>主要比较随访完整</t>
        </is>
      </c>
      <c r="C2" s="2" t="n">
        <v>6119</v>
      </c>
      <c r="D2" s="2" t="n">
        <v>6425</v>
      </c>
      <c r="E2" s="10">
        <f>C2/D2</f>
        <v/>
      </c>
      <c r="F2" s="2" t="n">
        <v>306</v>
      </c>
      <c r="G2" s="10">
        <f>F2/D2</f>
        <v/>
      </c>
      <c r="H2" s="2" t="inlineStr">
        <is>
          <t>原文95%；精算95.24%，未完整4.76%</t>
        </is>
      </c>
    </row>
    <row r="3" ht="32" customHeight="1">
      <c r="A3" s="3" t="inlineStr">
        <is>
          <t>JULY</t>
        </is>
      </c>
      <c r="B3" s="3" t="inlineStr">
        <is>
          <t>主要终点随访完整</t>
        </is>
      </c>
      <c r="C3" s="3" t="n">
        <v>6418</v>
      </c>
      <c r="D3" s="3" t="n">
        <v>6425</v>
      </c>
      <c r="E3" s="11">
        <f>C3/D3</f>
        <v/>
      </c>
      <c r="F3" s="3" t="n">
        <v>7</v>
      </c>
      <c r="G3" s="11">
        <f>F3/D3</f>
        <v/>
      </c>
      <c r="H3" s="3" t="inlineStr">
        <is>
          <t>原文99.9%；精算99.891%</t>
        </is>
      </c>
    </row>
    <row r="4" ht="32" customHeight="1">
      <c r="A4" s="2" t="inlineStr">
        <is>
          <t>JULY</t>
        </is>
      </c>
      <c r="B4" s="2" t="inlineStr">
        <is>
          <t>随访表完成</t>
        </is>
      </c>
      <c r="C4" s="2" t="n">
        <v>6357</v>
      </c>
      <c r="D4" s="2" t="n">
        <v>6425</v>
      </c>
      <c r="E4" s="10">
        <f>C4/D4</f>
        <v/>
      </c>
      <c r="F4" s="2" t="n">
        <v>68</v>
      </c>
      <c r="G4" s="10">
        <f>F4/D4</f>
        <v/>
      </c>
      <c r="H4" s="2" t="inlineStr">
        <is>
          <t>2079+4278；25+43；与主要终点缺失不等同</t>
        </is>
      </c>
    </row>
  </sheetData>
  <autoFilter ref="A1:H4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25" customWidth="1" min="5" max="5"/>
    <col width="25" customWidth="1" min="6" max="6"/>
  </cols>
  <sheetData>
    <row r="1" ht="32" customHeight="1">
      <c r="A1" s="1" t="inlineStr">
        <is>
          <t>版本</t>
        </is>
      </c>
      <c r="B1" s="1" t="inlineStr">
        <is>
          <t>组</t>
        </is>
      </c>
      <c r="C1" s="1" t="inlineStr">
        <is>
          <t>IMV</t>
        </is>
      </c>
      <c r="D1" s="1" t="inlineStr">
        <is>
          <t>死亡</t>
        </is>
      </c>
      <c r="E1" s="1" t="inlineStr">
        <is>
          <t>IMV或死亡</t>
        </is>
      </c>
      <c r="F1" s="1" t="inlineStr">
        <is>
          <t>两者均发生</t>
        </is>
      </c>
    </row>
    <row r="2" ht="32" customHeight="1">
      <c r="A2" s="2" t="inlineStr">
        <is>
          <t>JUNE</t>
        </is>
      </c>
      <c r="B2" s="2" t="inlineStr">
        <is>
          <t>治疗</t>
        </is>
      </c>
      <c r="C2" s="2" t="n">
        <v>92</v>
      </c>
      <c r="D2" s="2" t="n">
        <v>360</v>
      </c>
      <c r="E2" s="2" t="n">
        <v>425</v>
      </c>
      <c r="F2" s="2">
        <f>C2+D2-E2</f>
        <v/>
      </c>
    </row>
    <row r="3" ht="32" customHeight="1">
      <c r="A3" s="3" t="inlineStr">
        <is>
          <t>JUNE</t>
        </is>
      </c>
      <c r="B3" s="3" t="inlineStr">
        <is>
          <t>对照</t>
        </is>
      </c>
      <c r="C3" s="3" t="n">
        <v>258</v>
      </c>
      <c r="D3" s="3" t="n">
        <v>787</v>
      </c>
      <c r="E3" s="3" t="n">
        <v>939</v>
      </c>
      <c r="F3" s="3">
        <f>C3+D3-E3</f>
        <v/>
      </c>
    </row>
    <row r="4" ht="32" customHeight="1">
      <c r="A4" s="2" t="inlineStr">
        <is>
          <t>JULY</t>
        </is>
      </c>
      <c r="B4" s="2" t="inlineStr">
        <is>
          <t>治疗</t>
        </is>
      </c>
      <c r="C4" s="2" t="n">
        <v>102</v>
      </c>
      <c r="D4" s="2" t="n">
        <v>387</v>
      </c>
      <c r="E4" s="2" t="n">
        <v>456</v>
      </c>
      <c r="F4" s="2">
        <f>C4+D4-E4</f>
        <v/>
      </c>
    </row>
    <row r="5" ht="32" customHeight="1">
      <c r="A5" s="3" t="inlineStr">
        <is>
          <t>JULY</t>
        </is>
      </c>
      <c r="B5" s="3" t="inlineStr">
        <is>
          <t>对照</t>
        </is>
      </c>
      <c r="C5" s="3" t="n">
        <v>285</v>
      </c>
      <c r="D5" s="3" t="n">
        <v>827</v>
      </c>
      <c r="E5" s="3" t="n">
        <v>994</v>
      </c>
      <c r="F5" s="3">
        <f>C5+D5-E5</f>
        <v/>
      </c>
    </row>
  </sheetData>
  <autoFilter ref="A1:F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8" customWidth="1" min="3" max="3"/>
    <col width="72" customWidth="1" min="4" max="4"/>
  </cols>
  <sheetData>
    <row r="1" ht="32" customHeight="1">
      <c r="A1" s="1" t="inlineStr">
        <is>
          <t>争议</t>
        </is>
      </c>
      <c r="B1" s="1" t="inlineStr">
        <is>
          <t>观察</t>
        </is>
      </c>
      <c r="C1" s="1" t="inlineStr">
        <is>
          <t>证据</t>
        </is>
      </c>
      <c r="D1" s="1" t="inlineStr">
        <is>
          <t>处置/待核实</t>
        </is>
      </c>
    </row>
    <row r="2" ht="32" customHeight="1">
      <c r="A2" s="2" t="inlineStr">
        <is>
          <t>同一队列</t>
        </is>
      </c>
      <c r="B2" s="2" t="inlineStr">
        <is>
          <t>不可合并为两试验</t>
        </is>
      </c>
      <c r="C2" s="2" t="inlineStr">
        <is>
          <t>两版本相同试验注册、同一比较分母；是信息更新</t>
        </is>
      </c>
      <c r="D2" s="2" t="inlineStr">
        <is>
          <t>保留版本标识，不把样本翻倍</t>
        </is>
      </c>
    </row>
    <row r="3" ht="50" customHeight="1">
      <c r="A3" s="3" t="inlineStr">
        <is>
          <t>全平台总人数</t>
        </is>
      </c>
      <c r="B3" s="3" t="inlineStr">
        <is>
          <t>11320→11303</t>
        </is>
      </c>
      <c r="C3" s="3" t="inlineStr">
        <is>
          <t>JUNE Results/Patients pp.7–8；JULY Results/Patients</t>
        </is>
      </c>
      <c r="D3" s="3" t="inlineStr">
        <is>
          <t>差异原因未给，向作者核实，不推断本比较剔除17人</t>
        </is>
      </c>
    </row>
    <row r="4" ht="32" customHeight="1">
      <c r="A4" s="2" t="inlineStr">
        <is>
          <t>数据时间</t>
        </is>
      </c>
      <c r="B4" s="2" t="inlineStr">
        <is>
          <t>6月10日截止与6月8日删失并存</t>
        </is>
      </c>
      <c r="C4" s="2" t="inlineStr">
        <is>
          <t>JUNE Statistical Analysis p.6</t>
        </is>
      </c>
      <c r="D4" s="2" t="inlineStr">
        <is>
          <t>忠实保留并核实，不能自改成同一天</t>
        </is>
      </c>
    </row>
    <row r="5" ht="32" customHeight="1">
      <c r="A5" s="3" t="inlineStr">
        <is>
          <t>随访表与结局</t>
        </is>
      </c>
      <c r="B5" s="3" t="inlineStr">
        <is>
          <t>缺表68，主要终点未完整7</t>
        </is>
      </c>
      <c r="C5" s="3" t="inlineStr">
        <is>
          <t>JULY Results/Patients两段</t>
        </is>
      </c>
      <c r="D5" s="3" t="inlineStr">
        <is>
          <t>常规医疗/登记数据可补充；无个体交叉表不能定位缺失交集</t>
        </is>
      </c>
    </row>
    <row r="6" ht="50" customHeight="1">
      <c r="A6" s="2" t="inlineStr">
        <is>
          <t>调整模型</t>
        </is>
      </c>
      <c r="B6" s="2" t="inlineStr">
        <is>
          <t>Cox rate ratio vs log-binomial risk ratio</t>
        </is>
      </c>
      <c r="C6" s="2" t="inlineStr">
        <is>
          <t>两版本Statistical Analysis及Table2脚注</t>
        </is>
      </c>
      <c r="D6" s="2" t="inlineStr">
        <is>
          <t>粗风险比不冒充发表年龄调整结果；无个体数据不能复现模型</t>
        </is>
      </c>
    </row>
    <row r="7" ht="32" customHeight="1">
      <c r="A7" s="3" t="inlineStr">
        <is>
          <t>年龄调整</t>
        </is>
      </c>
      <c r="B7" s="3" t="inlineStr">
        <is>
          <t>不是原SAP预设</t>
        </is>
      </c>
      <c r="C7" s="3" t="inlineStr">
        <is>
          <t>两版本Statistical Analysis</t>
        </is>
      </c>
      <c r="D7" s="3" t="inlineStr">
        <is>
          <t>标明发现年龄不平衡后加入；正文报告未调整敏感性类似，不称独立拟合</t>
        </is>
      </c>
    </row>
    <row r="8" ht="32" customHeight="1">
      <c r="A8" s="2" t="inlineStr">
        <is>
          <t>复合终点</t>
        </is>
      </c>
      <c r="B8" s="2" t="inlineStr">
        <is>
          <t>6月P=.049；7月95%CI跨1</t>
        </is>
      </c>
      <c r="C8" s="2" t="inlineStr">
        <is>
          <t>JUNE Table2；JULY Table2</t>
        </is>
      </c>
      <c r="D8" s="2" t="inlineStr">
        <is>
          <t>不用旧P值描述新分析，不宣称7月显著降低复合终点</t>
        </is>
      </c>
    </row>
    <row r="9" ht="32" customHeight="1">
      <c r="A9" s="3" t="inlineStr">
        <is>
          <t>区间置信水平</t>
        </is>
      </c>
      <c r="B9" s="3" t="inlineStr">
        <is>
          <t>6月16日新闻稿的亚组区间为99%</t>
        </is>
      </c>
      <c r="C9" s="3" t="inlineStr">
        <is>
          <t>JUNE图1/图2说明pp.19–20</t>
        </is>
      </c>
      <c r="D9" s="3" t="inlineStr">
        <is>
          <t>与论文95%区间分开，不拿端点不同判错</t>
        </is>
      </c>
    </row>
    <row r="10" ht="32" customHeight="1">
      <c r="A10" s="2" t="inlineStr">
        <is>
          <t>无氧亚组</t>
        </is>
      </c>
      <c r="B10" s="2" t="inlineStr">
        <is>
          <t>7月1.19，95%CI .91–1.55</t>
        </is>
      </c>
      <c r="C10" s="2" t="inlineStr">
        <is>
          <t>JULY Abstract/Primary Outcome</t>
        </is>
      </c>
      <c r="D10" s="2" t="inlineStr">
        <is>
          <t>未显示获益，不能排除伤害；不称证明显著伤害</t>
        </is>
      </c>
    </row>
    <row r="11" ht="32" customHeight="1">
      <c r="A11" s="3" t="inlineStr">
        <is>
          <t>元数据版本</t>
        </is>
      </c>
      <c r="B11" s="3" t="inlineStr">
        <is>
          <t>存档正文仍有Preliminary标题</t>
        </is>
      </c>
      <c r="C11" s="3" t="inlineStr">
        <is>
          <t>JULY article-title及结尾7月17日发表注</t>
        </is>
      </c>
      <c r="D11" s="3" t="inlineStr">
        <is>
          <t>检索元数据后来更新不能替代未给出的最终稿</t>
        </is>
      </c>
    </row>
    <row r="12" ht="32" customHeight="1">
      <c r="A12" s="2" t="inlineStr">
        <is>
          <t>结局交集</t>
        </is>
      </c>
      <c r="B12" s="2" t="inlineStr">
        <is>
          <t>同组IMV和死亡可重叠</t>
        </is>
      </c>
      <c r="C12" s="2" t="inlineStr">
        <is>
          <t>两版本Table2</t>
        </is>
      </c>
      <c r="D12" s="2" t="inlineStr">
        <is>
          <t>交集=IMV+死亡-复合终点，仅集合推导，不能定因果或先后</t>
        </is>
      </c>
    </row>
  </sheetData>
  <autoFilter ref="A1:D12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7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0" customWidth="1" min="4" max="4"/>
    <col width="30" customWidth="1" min="5" max="5"/>
    <col width="70" customWidth="1" min="6" max="6"/>
  </cols>
  <sheetData>
    <row r="1" ht="32" customHeight="1">
      <c r="A1" s="1" t="inlineStr">
        <is>
          <t>版本</t>
        </is>
      </c>
      <c r="B1" s="1" t="inlineStr">
        <is>
          <t>治疗死亡/分母</t>
        </is>
      </c>
      <c r="C1" s="1" t="inlineStr">
        <is>
          <t>对照死亡/分母</t>
        </is>
      </c>
      <c r="D1" s="1" t="inlineStr">
        <is>
          <t>粗ARR</t>
        </is>
      </c>
      <c r="E1" s="1" t="inlineStr">
        <is>
          <t>描述性NNT向上取整</t>
        </is>
      </c>
      <c r="F1" s="1" t="inlineStr">
        <is>
          <t>限制</t>
        </is>
      </c>
    </row>
    <row r="2" ht="50" customHeight="1">
      <c r="A2" s="2" t="inlineStr">
        <is>
          <t>JUNE</t>
        </is>
      </c>
      <c r="B2" s="2" t="inlineStr">
        <is>
          <t>454/2104</t>
        </is>
      </c>
      <c r="C2" s="2" t="inlineStr">
        <is>
          <t>1065/4321</t>
        </is>
      </c>
      <c r="D2" s="12">
        <f>1065/4321-454/2104</f>
        <v/>
      </c>
      <c r="E2" s="13">
        <f>ROUNDUP(1/D2,0)</f>
        <v/>
      </c>
      <c r="F2" s="2" t="inlineStr">
        <is>
          <t>粗28日风险差的描述性倒数，不是年龄调整模型结果</t>
        </is>
      </c>
    </row>
    <row r="3" ht="50" customHeight="1">
      <c r="A3" s="3" t="inlineStr">
        <is>
          <t>JULY</t>
        </is>
      </c>
      <c r="B3" s="3" t="inlineStr">
        <is>
          <t>482/2104</t>
        </is>
      </c>
      <c r="C3" s="3" t="inlineStr">
        <is>
          <t>1110/4321</t>
        </is>
      </c>
      <c r="D3" s="14">
        <f>1110/4321-482/2104</f>
        <v/>
      </c>
      <c r="E3" s="15">
        <f>ROUNDUP(1/D3,0)</f>
        <v/>
      </c>
      <c r="F3" s="3" t="inlineStr">
        <is>
          <t>不得推广给无呼吸支持患者；不等于个体临床处方结论</t>
        </is>
      </c>
    </row>
  </sheetData>
  <autoFilter ref="A1:F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