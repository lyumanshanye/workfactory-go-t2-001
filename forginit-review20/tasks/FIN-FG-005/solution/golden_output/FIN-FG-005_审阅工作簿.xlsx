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来源台账" sheetId="1" state="visible" r:id="rId1"/>
    <sheet xmlns:r="http://schemas.openxmlformats.org/officeDocument/2006/relationships" name="指标字典" sheetId="2" state="visible" r:id="rId2"/>
    <sheet xmlns:r="http://schemas.openxmlformats.org/officeDocument/2006/relationships" name="年度桥接" sheetId="3" state="visible" r:id="rId3"/>
    <sheet xmlns:r="http://schemas.openxmlformats.org/officeDocument/2006/relationships" name="发布关口" sheetId="4" state="visible" r:id="rId4"/>
    <sheet xmlns:r="http://schemas.openxmlformats.org/officeDocument/2006/relationships" name="草案审阅" sheetId="5" state="visible" r:id="rId5"/>
  </sheets>
  <definedNames>
    <definedName name="_xlnm._FilterDatabase" localSheetId="0" hidden="1">'来源台账'!$A$1:$G$25</definedName>
    <definedName name="_xlnm.Print_Titles" localSheetId="0">'来源台账'!$1:$1</definedName>
    <definedName name="_xlnm._FilterDatabase" localSheetId="1" hidden="1">'指标字典'!$A$1:$C$9</definedName>
    <definedName name="_xlnm.Print_Titles" localSheetId="1">'指标字典'!$1:$1</definedName>
    <definedName name="_xlnm._FilterDatabase" localSheetId="2" hidden="1">'年度桥接'!$A$1:$F$14</definedName>
    <definedName name="_xlnm.Print_Titles" localSheetId="2">'年度桥接'!$1:$1</definedName>
    <definedName name="_xlnm._FilterDatabase" localSheetId="3" hidden="1">'发布关口'!$A$1:$D$9</definedName>
    <definedName name="_xlnm.Print_Titles" localSheetId="3">'发布关口'!$1:$1</definedName>
    <definedName name="_xlnm._FilterDatabase" localSheetId="4" hidden="1">'草案审阅'!$A$1:$C$9</definedName>
    <definedName name="_xlnm.Print_Titles" localSheetId="4">'草案审阅'!$1:$1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3" fontId="2" fillId="3" borderId="0" applyAlignment="1" pivotButton="0" quotePrefix="0" xfId="0">
      <alignment horizontal="center" vertical="top" wrapText="1" indent="1"/>
    </xf>
    <xf numFmtId="4" fontId="2" fillId="3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center" vertical="top" wrapText="1" indent="1"/>
    </xf>
    <xf numFmtId="3" fontId="2" fillId="0" borderId="0" applyAlignment="1" pivotButton="0" quotePrefix="0" xfId="0">
      <alignment horizontal="center" vertical="top" wrapText="1" indent="1"/>
    </xf>
    <xf numFmtId="4" fontId="2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0" customWidth="1" min="4" max="4"/>
    <col width="17" customWidth="1" min="5" max="5"/>
    <col width="20" customWidth="1" min="6" max="6"/>
    <col width="20" customWidth="1" min="7" max="7"/>
  </cols>
  <sheetData>
    <row r="1" ht="32" customHeight="1">
      <c r="A1" s="1" t="inlineStr">
        <is>
          <t>别名</t>
        </is>
      </c>
      <c r="B1" s="1" t="inlineStr">
        <is>
          <t>经济年</t>
        </is>
      </c>
      <c r="C1" s="1" t="inlineStr">
        <is>
          <t>原始USD</t>
        </is>
      </c>
      <c r="D1" s="1" t="inlineStr">
        <is>
          <t>USD百万</t>
        </is>
      </c>
      <c r="E1" s="1" t="inlineStr">
        <is>
          <t>USD数组索引</t>
        </is>
      </c>
      <c r="F1" s="1" t="inlineStr">
        <is>
          <t>期间开始</t>
        </is>
      </c>
      <c r="G1" s="1" t="inlineStr">
        <is>
          <t>期间结束</t>
        </is>
      </c>
    </row>
    <row r="2" ht="32" customHeight="1">
      <c r="A2" s="2" t="inlineStr">
        <is>
          <t>INC</t>
        </is>
      </c>
      <c r="B2" s="3" t="n">
        <v>2022</v>
      </c>
      <c r="C2" s="4" t="n">
        <v>72565000000</v>
      </c>
      <c r="D2" s="5">
        <f>C2/1000000</f>
        <v/>
      </c>
      <c r="E2" s="3" t="n">
        <v>199</v>
      </c>
      <c r="F2" s="2" t="inlineStr">
        <is>
          <t>2022-01-01</t>
        </is>
      </c>
      <c r="G2" s="2" t="inlineStr">
        <is>
          <t>2022-12-31</t>
        </is>
      </c>
    </row>
    <row r="3" ht="32" customHeight="1">
      <c r="A3" s="6" t="inlineStr">
        <is>
          <t>NII</t>
        </is>
      </c>
      <c r="B3" s="7" t="n">
        <v>2022</v>
      </c>
      <c r="C3" s="8" t="n">
        <v>52462000000</v>
      </c>
      <c r="D3" s="9">
        <f>C3/1000000</f>
        <v/>
      </c>
      <c r="E3" s="7" t="n">
        <v>199</v>
      </c>
      <c r="F3" s="6" t="inlineStr">
        <is>
          <t>2022-01-01</t>
        </is>
      </c>
      <c r="G3" s="6" t="inlineStr">
        <is>
          <t>2022-12-31</t>
        </is>
      </c>
    </row>
    <row r="4" ht="32" customHeight="1">
      <c r="A4" s="2" t="inlineStr">
        <is>
          <t>EXP</t>
        </is>
      </c>
      <c r="B4" s="3" t="n">
        <v>2022</v>
      </c>
      <c r="C4" s="4" t="n">
        <v>20103000000</v>
      </c>
      <c r="D4" s="5">
        <f>C4/1000000</f>
        <v/>
      </c>
      <c r="E4" s="3" t="n">
        <v>0</v>
      </c>
      <c r="F4" s="2" t="inlineStr">
        <is>
          <t>2022-01-01</t>
        </is>
      </c>
      <c r="G4" s="2" t="inlineStr">
        <is>
          <t>2022-12-31</t>
        </is>
      </c>
    </row>
    <row r="5" ht="32" customHeight="1">
      <c r="A5" s="6" t="inlineStr">
        <is>
          <t>DEP</t>
        </is>
      </c>
      <c r="B5" s="7" t="n">
        <v>2022</v>
      </c>
      <c r="C5" s="8" t="n">
        <v>4718000000</v>
      </c>
      <c r="D5" s="9">
        <f>C5/1000000</f>
        <v/>
      </c>
      <c r="E5" s="7" t="n">
        <v>199</v>
      </c>
      <c r="F5" s="6" t="inlineStr">
        <is>
          <t>2022-01-01</t>
        </is>
      </c>
      <c r="G5" s="6" t="inlineStr">
        <is>
          <t>2022-12-31</t>
        </is>
      </c>
    </row>
    <row r="6" ht="32" customHeight="1">
      <c r="A6" s="2" t="inlineStr">
        <is>
          <t>ST</t>
        </is>
      </c>
      <c r="B6" s="3" t="n">
        <v>2022</v>
      </c>
      <c r="C6" s="4" t="n">
        <v>6978000000</v>
      </c>
      <c r="D6" s="5">
        <f>C6/1000000</f>
        <v/>
      </c>
      <c r="E6" s="3" t="n">
        <v>199</v>
      </c>
      <c r="F6" s="2" t="inlineStr">
        <is>
          <t>2022-01-01</t>
        </is>
      </c>
      <c r="G6" s="2" t="inlineStr">
        <is>
          <t>2022-12-31</t>
        </is>
      </c>
    </row>
    <row r="7" ht="32" customHeight="1">
      <c r="A7" s="6" t="inlineStr">
        <is>
          <t>LT</t>
        </is>
      </c>
      <c r="B7" s="7" t="n">
        <v>2022</v>
      </c>
      <c r="C7" s="8" t="n">
        <v>6869000000</v>
      </c>
      <c r="D7" s="9">
        <f>C7/1000000</f>
        <v/>
      </c>
      <c r="E7" s="7" t="n">
        <v>199</v>
      </c>
      <c r="F7" s="6" t="inlineStr">
        <is>
          <t>2022-01-01</t>
        </is>
      </c>
      <c r="G7" s="6" t="inlineStr">
        <is>
          <t>2022-12-31</t>
        </is>
      </c>
    </row>
    <row r="8" ht="32" customHeight="1">
      <c r="A8" s="2" t="inlineStr">
        <is>
          <t>TRD</t>
        </is>
      </c>
      <c r="B8" s="3" t="n">
        <v>2022</v>
      </c>
      <c r="C8" s="4" t="n">
        <v>1538000000</v>
      </c>
      <c r="D8" s="5">
        <f>C8/1000000</f>
        <v/>
      </c>
      <c r="E8" s="3" t="n">
        <v>199</v>
      </c>
      <c r="F8" s="2" t="inlineStr">
        <is>
          <t>2022-01-01</t>
        </is>
      </c>
      <c r="G8" s="2" t="inlineStr">
        <is>
          <t>2022-12-31</t>
        </is>
      </c>
    </row>
    <row r="9" ht="32" customHeight="1">
      <c r="A9" s="6" t="inlineStr">
        <is>
          <t>CASH</t>
        </is>
      </c>
      <c r="B9" s="7" t="n">
        <v>2022</v>
      </c>
      <c r="C9" s="8" t="n">
        <v>18526000000</v>
      </c>
      <c r="D9" s="9">
        <f>C9/1000000</f>
        <v/>
      </c>
      <c r="E9" s="7" t="n">
        <v>56</v>
      </c>
      <c r="F9" s="6" t="inlineStr">
        <is>
          <t>2022-01-01</t>
        </is>
      </c>
      <c r="G9" s="6" t="inlineStr">
        <is>
          <t>2022-12-31</t>
        </is>
      </c>
    </row>
    <row r="10" ht="32" customHeight="1">
      <c r="A10" s="2" t="inlineStr">
        <is>
          <t>INC</t>
        </is>
      </c>
      <c r="B10" s="3" t="n">
        <v>2023</v>
      </c>
      <c r="C10" s="4" t="n">
        <v>130262000000</v>
      </c>
      <c r="D10" s="5">
        <f>C10/1000000</f>
        <v/>
      </c>
      <c r="E10" s="3" t="n">
        <v>211</v>
      </c>
      <c r="F10" s="2" t="inlineStr">
        <is>
          <t>2023-01-01</t>
        </is>
      </c>
      <c r="G10" s="2" t="inlineStr">
        <is>
          <t>2023-12-31</t>
        </is>
      </c>
    </row>
    <row r="11" ht="32" customHeight="1">
      <c r="A11" s="6" t="inlineStr">
        <is>
          <t>NII</t>
        </is>
      </c>
      <c r="B11" s="7" t="n">
        <v>2023</v>
      </c>
      <c r="C11" s="8" t="n">
        <v>56931000000</v>
      </c>
      <c r="D11" s="9">
        <f>C11/1000000</f>
        <v/>
      </c>
      <c r="E11" s="7" t="n">
        <v>211</v>
      </c>
      <c r="F11" s="6" t="inlineStr">
        <is>
          <t>2023-01-01</t>
        </is>
      </c>
      <c r="G11" s="6" t="inlineStr">
        <is>
          <t>2023-12-31</t>
        </is>
      </c>
    </row>
    <row r="12" ht="32" customHeight="1">
      <c r="A12" s="2" t="inlineStr">
        <is>
          <t>EXP</t>
        </is>
      </c>
      <c r="B12" s="3" t="n">
        <v>2023</v>
      </c>
      <c r="C12" s="4" t="n">
        <v>73331000000</v>
      </c>
      <c r="D12" s="5">
        <f>C12/1000000</f>
        <v/>
      </c>
      <c r="E12" s="3" t="n">
        <v>5</v>
      </c>
      <c r="F12" s="2" t="inlineStr">
        <is>
          <t>2023-01-01</t>
        </is>
      </c>
      <c r="G12" s="2" t="inlineStr">
        <is>
          <t>2023-12-31</t>
        </is>
      </c>
    </row>
    <row r="13" ht="32" customHeight="1">
      <c r="A13" s="6" t="inlineStr">
        <is>
          <t>DEP</t>
        </is>
      </c>
      <c r="B13" s="7" t="n">
        <v>2023</v>
      </c>
      <c r="C13" s="8" t="n">
        <v>26163000000</v>
      </c>
      <c r="D13" s="9">
        <f>C13/1000000</f>
        <v/>
      </c>
      <c r="E13" s="7" t="n">
        <v>211</v>
      </c>
      <c r="F13" s="6" t="inlineStr">
        <is>
          <t>2023-01-01</t>
        </is>
      </c>
      <c r="G13" s="6" t="inlineStr">
        <is>
          <t>2023-12-31</t>
        </is>
      </c>
    </row>
    <row r="14" ht="32" customHeight="1">
      <c r="A14" s="2" t="inlineStr">
        <is>
          <t>ST</t>
        </is>
      </c>
      <c r="B14" s="3" t="n">
        <v>2023</v>
      </c>
      <c r="C14" s="4" t="n">
        <v>30553000000</v>
      </c>
      <c r="D14" s="5">
        <f>C14/1000000</f>
        <v/>
      </c>
      <c r="E14" s="3" t="n">
        <v>211</v>
      </c>
      <c r="F14" s="2" t="inlineStr">
        <is>
          <t>2023-01-01</t>
        </is>
      </c>
      <c r="G14" s="2" t="inlineStr">
        <is>
          <t>2023-12-31</t>
        </is>
      </c>
    </row>
    <row r="15" ht="32" customHeight="1">
      <c r="A15" s="6" t="inlineStr">
        <is>
          <t>LT</t>
        </is>
      </c>
      <c r="B15" s="7" t="n">
        <v>2023</v>
      </c>
      <c r="C15" s="8" t="n">
        <v>14572000000</v>
      </c>
      <c r="D15" s="9">
        <f>C15/1000000</f>
        <v/>
      </c>
      <c r="E15" s="7" t="n">
        <v>211</v>
      </c>
      <c r="F15" s="6" t="inlineStr">
        <is>
          <t>2023-01-01</t>
        </is>
      </c>
      <c r="G15" s="6" t="inlineStr">
        <is>
          <t>2023-12-31</t>
        </is>
      </c>
    </row>
    <row r="16" ht="32" customHeight="1">
      <c r="A16" s="2" t="inlineStr">
        <is>
          <t>TRD</t>
        </is>
      </c>
      <c r="B16" s="3" t="n">
        <v>2023</v>
      </c>
      <c r="C16" s="4" t="n">
        <v>2043000000</v>
      </c>
      <c r="D16" s="5">
        <f>C16/1000000</f>
        <v/>
      </c>
      <c r="E16" s="3" t="n">
        <v>211</v>
      </c>
      <c r="F16" s="2" t="inlineStr">
        <is>
          <t>2023-01-01</t>
        </is>
      </c>
      <c r="G16" s="2" t="inlineStr">
        <is>
          <t>2023-12-31</t>
        </is>
      </c>
    </row>
    <row r="17" ht="32" customHeight="1">
      <c r="A17" s="6" t="inlineStr">
        <is>
          <t>CASH</t>
        </is>
      </c>
      <c r="B17" s="7" t="n">
        <v>2023</v>
      </c>
      <c r="C17" s="8" t="n">
        <v>69604000000</v>
      </c>
      <c r="D17" s="9">
        <f>C17/1000000</f>
        <v/>
      </c>
      <c r="E17" s="7" t="n">
        <v>58</v>
      </c>
      <c r="F17" s="6" t="inlineStr">
        <is>
          <t>2023-01-01</t>
        </is>
      </c>
      <c r="G17" s="6" t="inlineStr">
        <is>
          <t>2023-12-31</t>
        </is>
      </c>
    </row>
    <row r="18" ht="32" customHeight="1">
      <c r="A18" s="2" t="inlineStr">
        <is>
          <t>INC</t>
        </is>
      </c>
      <c r="B18" s="3" t="n">
        <v>2024</v>
      </c>
      <c r="C18" s="4" t="n">
        <v>146607000000</v>
      </c>
      <c r="D18" s="5">
        <f>C18/1000000</f>
        <v/>
      </c>
      <c r="E18" s="3" t="n">
        <v>223</v>
      </c>
      <c r="F18" s="2" t="inlineStr">
        <is>
          <t>2024-01-01</t>
        </is>
      </c>
      <c r="G18" s="2" t="inlineStr">
        <is>
          <t>2024-12-31</t>
        </is>
      </c>
    </row>
    <row r="19" ht="32" customHeight="1">
      <c r="A19" s="6" t="inlineStr">
        <is>
          <t>NII</t>
        </is>
      </c>
      <c r="B19" s="7" t="n">
        <v>2024</v>
      </c>
      <c r="C19" s="8" t="n">
        <v>56060000000</v>
      </c>
      <c r="D19" s="9">
        <f>C19/1000000</f>
        <v/>
      </c>
      <c r="E19" s="7" t="n">
        <v>223</v>
      </c>
      <c r="F19" s="6" t="inlineStr">
        <is>
          <t>2024-01-01</t>
        </is>
      </c>
      <c r="G19" s="6" t="inlineStr">
        <is>
          <t>2024-12-31</t>
        </is>
      </c>
    </row>
    <row r="20" ht="32" customHeight="1">
      <c r="A20" s="2" t="inlineStr">
        <is>
          <t>EXP</t>
        </is>
      </c>
      <c r="B20" s="3" t="n">
        <v>2024</v>
      </c>
      <c r="C20" s="4" t="n">
        <v>90547000000</v>
      </c>
      <c r="D20" s="5">
        <f>C20/1000000</f>
        <v/>
      </c>
      <c r="E20" s="3" t="n">
        <v>16</v>
      </c>
      <c r="F20" s="2" t="inlineStr">
        <is>
          <t>2024-01-01</t>
        </is>
      </c>
      <c r="G20" s="2" t="inlineStr">
        <is>
          <t>2024-12-31</t>
        </is>
      </c>
    </row>
    <row r="21" ht="32" customHeight="1">
      <c r="A21" s="6" t="inlineStr">
        <is>
          <t>DEP</t>
        </is>
      </c>
      <c r="B21" s="7" t="n">
        <v>2024</v>
      </c>
      <c r="C21" s="8" t="n">
        <v>38442000000</v>
      </c>
      <c r="D21" s="9">
        <f>C21/1000000</f>
        <v/>
      </c>
      <c r="E21" s="7" t="n">
        <v>223</v>
      </c>
      <c r="F21" s="6" t="inlineStr">
        <is>
          <t>2024-01-01</t>
        </is>
      </c>
      <c r="G21" s="6" t="inlineStr">
        <is>
          <t>2024-12-31</t>
        </is>
      </c>
    </row>
    <row r="22" ht="32" customHeight="1">
      <c r="A22" s="2" t="inlineStr">
        <is>
          <t>ST</t>
        </is>
      </c>
      <c r="B22" s="3" t="n">
        <v>2024</v>
      </c>
      <c r="C22" s="4" t="n">
        <v>34538000000</v>
      </c>
      <c r="D22" s="5">
        <f>C22/1000000</f>
        <v/>
      </c>
      <c r="E22" s="3" t="n">
        <v>223</v>
      </c>
      <c r="F22" s="2" t="inlineStr">
        <is>
          <t>2024-01-01</t>
        </is>
      </c>
      <c r="G22" s="2" t="inlineStr">
        <is>
          <t>2024-12-31</t>
        </is>
      </c>
    </row>
    <row r="23" ht="32" customHeight="1">
      <c r="A23" s="6" t="inlineStr">
        <is>
          <t>LT</t>
        </is>
      </c>
      <c r="B23" s="7" t="n">
        <v>2024</v>
      </c>
      <c r="C23" s="8" t="n">
        <v>15376000000</v>
      </c>
      <c r="D23" s="9">
        <f>C23/1000000</f>
        <v/>
      </c>
      <c r="E23" s="7" t="n">
        <v>223</v>
      </c>
      <c r="F23" s="6" t="inlineStr">
        <is>
          <t>2024-01-01</t>
        </is>
      </c>
      <c r="G23" s="6" t="inlineStr">
        <is>
          <t>2024-12-31</t>
        </is>
      </c>
    </row>
    <row r="24" ht="32" customHeight="1">
      <c r="A24" s="2" t="inlineStr">
        <is>
          <t>TRD</t>
        </is>
      </c>
      <c r="B24" s="3" t="n">
        <v>2024</v>
      </c>
      <c r="C24" s="4" t="n">
        <v>2191000000</v>
      </c>
      <c r="D24" s="5">
        <f>C24/1000000</f>
        <v/>
      </c>
      <c r="E24" s="3" t="n">
        <v>223</v>
      </c>
      <c r="F24" s="2" t="inlineStr">
        <is>
          <t>2024-01-01</t>
        </is>
      </c>
      <c r="G24" s="2" t="inlineStr">
        <is>
          <t>2024-12-31</t>
        </is>
      </c>
    </row>
    <row r="25" ht="32" customHeight="1">
      <c r="A25" s="6" t="inlineStr">
        <is>
          <t>CASH</t>
        </is>
      </c>
      <c r="B25" s="7" t="n">
        <v>2024</v>
      </c>
      <c r="C25" s="8" t="n">
        <v>89687000000</v>
      </c>
      <c r="D25" s="9">
        <f>C25/1000000</f>
        <v/>
      </c>
      <c r="E25" s="7" t="n">
        <v>60</v>
      </c>
      <c r="F25" s="6" t="inlineStr">
        <is>
          <t>2024-01-01</t>
        </is>
      </c>
      <c r="G25" s="6" t="inlineStr">
        <is>
          <t>2024-12-31</t>
        </is>
      </c>
    </row>
  </sheetData>
  <autoFilter ref="A1:G2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1" manualBreakCount="1">
    <brk id="1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5" customWidth="1" min="2" max="2"/>
    <col width="80" customWidth="1" min="3" max="3"/>
  </cols>
  <sheetData>
    <row r="1" ht="32" customHeight="1">
      <c r="A1" s="1" t="inlineStr">
        <is>
          <t>别名</t>
        </is>
      </c>
      <c r="B1" s="1" t="inlineStr">
        <is>
          <t>us-gaap标签</t>
        </is>
      </c>
      <c r="C1" s="1" t="inlineStr">
        <is>
          <t>字段定位与选择契约</t>
        </is>
      </c>
    </row>
    <row r="2" ht="50" customHeight="1">
      <c r="A2" s="2" t="inlineStr">
        <is>
          <t>INC</t>
        </is>
      </c>
      <c r="B2" s="2" t="inlineStr">
        <is>
          <t>InterestAndDividendIncomeOperating</t>
        </is>
      </c>
      <c r="C2" s="2" t="inlineStr">
        <is>
          <t>SEC_companyfacts_70858.json；/facts/us-gaap/{标签}/units/USD/{索引}。索引见来源台账，零起始；单位USD。</t>
        </is>
      </c>
    </row>
    <row r="3" ht="50" customHeight="1">
      <c r="A3" s="6" t="inlineStr">
        <is>
          <t>NII</t>
        </is>
      </c>
      <c r="B3" s="6" t="inlineStr">
        <is>
          <t>InterestIncomeExpenseNet</t>
        </is>
      </c>
      <c r="C3" s="6" t="inlineStr">
        <is>
          <t>所有24条限定accn=0000070858-25-000139，form=10-K，filed=2025-02-25；逐经济年按start/end，不用fy代替。</t>
        </is>
      </c>
    </row>
    <row r="4" ht="32" customHeight="1">
      <c r="A4" s="2" t="inlineStr">
        <is>
          <t>EXP</t>
        </is>
      </c>
      <c r="B4" s="2" t="inlineStr">
        <is>
          <t>InterestExpenseOperating</t>
        </is>
      </c>
      <c r="C4" s="2" t="inlineStr">
        <is>
          <t>EXP不要误用InterestExpense或CASH。USD百万=原USD/1000000。</t>
        </is>
      </c>
    </row>
    <row r="5" ht="32" customHeight="1">
      <c r="A5" s="6" t="inlineStr">
        <is>
          <t>DEP</t>
        </is>
      </c>
      <c r="B5" s="6" t="inlineStr">
        <is>
          <t>InterestExpenseDeposits</t>
        </is>
      </c>
      <c r="C5" s="6" t="inlineStr">
        <is>
          <t>与ST、LT、TRD组成所选总费用；金额组成不等于利率/业务量因果。</t>
        </is>
      </c>
    </row>
    <row r="6" ht="32" customHeight="1">
      <c r="A6" s="2" t="inlineStr">
        <is>
          <t>ST</t>
        </is>
      </c>
      <c r="B6" s="2" t="inlineStr">
        <is>
          <t>InterestExpenseShortTermBorrowings</t>
        </is>
      </c>
      <c r="C6" s="2" t="inlineStr">
        <is>
          <t>2022/2023/2024完整自然年，不混季度或其他accession比较值。</t>
        </is>
      </c>
    </row>
    <row r="7" ht="32" customHeight="1">
      <c r="A7" s="6" t="inlineStr">
        <is>
          <t>LT</t>
        </is>
      </c>
      <c r="B7" s="6" t="inlineStr">
        <is>
          <t>InterestExpenseLongTermDebt</t>
        </is>
      </c>
      <c r="C7" s="6" t="inlineStr">
        <is>
          <t>2026年当前API按历史filed筛选，不是2025-02-26历史API快照。</t>
        </is>
      </c>
    </row>
    <row r="8" ht="32" customHeight="1">
      <c r="A8" s="2" t="inlineStr">
        <is>
          <t>TRD</t>
        </is>
      </c>
      <c r="B8" s="2" t="inlineStr">
        <is>
          <t>InterestExpenseTradingLiabilities</t>
        </is>
      </c>
      <c r="C8" s="2" t="inlineStr">
        <is>
          <t>frame可缺；不是必须按frame选年度。</t>
        </is>
      </c>
    </row>
    <row r="9" ht="32" customHeight="1">
      <c r="A9" s="6" t="inlineStr">
        <is>
          <t>CASH</t>
        </is>
      </c>
      <c r="B9" s="6" t="inlineStr">
        <is>
          <t>InterestPaidNet</t>
        </is>
      </c>
      <c r="C9" s="6" t="inlineStr">
        <is>
          <t>现金净付息不同权责EXP；差额不独自证明应计项目成因。</t>
        </is>
      </c>
    </row>
  </sheetData>
  <autoFilter ref="A1:C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25" customWidth="1" min="5" max="5"/>
    <col width="25" customWidth="1" min="6" max="6"/>
  </cols>
  <sheetData>
    <row r="1" ht="32" customHeight="1">
      <c r="A1" s="1" t="inlineStr">
        <is>
          <t>指标/单位USD百万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2022至2023增量</t>
        </is>
      </c>
      <c r="F1" s="1" t="inlineStr">
        <is>
          <t>2023至2024增量</t>
        </is>
      </c>
    </row>
    <row r="2" ht="32" customHeight="1">
      <c r="A2" s="2" t="inlineStr">
        <is>
          <t>INC 利息及股息收入</t>
        </is>
      </c>
      <c r="B2" s="5">
        <f>'来源台账'!D2</f>
        <v/>
      </c>
      <c r="C2" s="5">
        <f>'来源台账'!D10</f>
        <v/>
      </c>
      <c r="D2" s="5">
        <f>'来源台账'!D18</f>
        <v/>
      </c>
      <c r="E2" s="5">
        <f>C2-B2</f>
        <v/>
      </c>
      <c r="F2" s="5">
        <f>D2-C2</f>
        <v/>
      </c>
    </row>
    <row r="3" ht="32" customHeight="1">
      <c r="A3" s="6" t="inlineStr">
        <is>
          <t>EXP 权责利息费用</t>
        </is>
      </c>
      <c r="B3" s="9">
        <f>'来源台账'!D4</f>
        <v/>
      </c>
      <c r="C3" s="9">
        <f>'来源台账'!D12</f>
        <v/>
      </c>
      <c r="D3" s="9">
        <f>'来源台账'!D20</f>
        <v/>
      </c>
      <c r="E3" s="9">
        <f>C3-B3</f>
        <v/>
      </c>
      <c r="F3" s="9">
        <f>D3-C3</f>
        <v/>
      </c>
    </row>
    <row r="4" ht="32" customHeight="1">
      <c r="A4" s="2" t="inlineStr">
        <is>
          <t>NII 净利息收入</t>
        </is>
      </c>
      <c r="B4" s="5">
        <f>'来源台账'!D3</f>
        <v/>
      </c>
      <c r="C4" s="5">
        <f>'来源台账'!D11</f>
        <v/>
      </c>
      <c r="D4" s="5">
        <f>'来源台账'!D19</f>
        <v/>
      </c>
      <c r="E4" s="5">
        <f>C4-B4</f>
        <v/>
      </c>
      <c r="F4" s="5">
        <f>D4-C4</f>
        <v/>
      </c>
    </row>
    <row r="5" ht="32" customHeight="1">
      <c r="A5" s="6" t="inlineStr">
        <is>
          <t>DEP 存款利息费用</t>
        </is>
      </c>
      <c r="B5" s="9">
        <f>'来源台账'!D5</f>
        <v/>
      </c>
      <c r="C5" s="9">
        <f>'来源台账'!D13</f>
        <v/>
      </c>
      <c r="D5" s="9">
        <f>'来源台账'!D21</f>
        <v/>
      </c>
      <c r="E5" s="9">
        <f>C5-B5</f>
        <v/>
      </c>
      <c r="F5" s="9">
        <f>D5-C5</f>
        <v/>
      </c>
    </row>
    <row r="6" ht="32" customHeight="1">
      <c r="A6" s="2" t="inlineStr">
        <is>
          <t>ST 短期借款利息费用</t>
        </is>
      </c>
      <c r="B6" s="5">
        <f>'来源台账'!D6</f>
        <v/>
      </c>
      <c r="C6" s="5">
        <f>'来源台账'!D14</f>
        <v/>
      </c>
      <c r="D6" s="5">
        <f>'来源台账'!D22</f>
        <v/>
      </c>
      <c r="E6" s="5">
        <f>C6-B6</f>
        <v/>
      </c>
      <c r="F6" s="5">
        <f>D6-C6</f>
        <v/>
      </c>
    </row>
    <row r="7" ht="32" customHeight="1">
      <c r="A7" s="6" t="inlineStr">
        <is>
          <t>LT 长期债务利息费用</t>
        </is>
      </c>
      <c r="B7" s="9">
        <f>'来源台账'!D7</f>
        <v/>
      </c>
      <c r="C7" s="9">
        <f>'来源台账'!D15</f>
        <v/>
      </c>
      <c r="D7" s="9">
        <f>'来源台账'!D23</f>
        <v/>
      </c>
      <c r="E7" s="9">
        <f>C7-B7</f>
        <v/>
      </c>
      <c r="F7" s="9">
        <f>D7-C7</f>
        <v/>
      </c>
    </row>
    <row r="8" ht="32" customHeight="1">
      <c r="A8" s="2" t="inlineStr">
        <is>
          <t>TRD 交易负债利息费用</t>
        </is>
      </c>
      <c r="B8" s="5">
        <f>'来源台账'!D8</f>
        <v/>
      </c>
      <c r="C8" s="5">
        <f>'来源台账'!D16</f>
        <v/>
      </c>
      <c r="D8" s="5">
        <f>'来源台账'!D24</f>
        <v/>
      </c>
      <c r="E8" s="5">
        <f>C8-B8</f>
        <v/>
      </c>
      <c r="F8" s="5">
        <f>D8-C8</f>
        <v/>
      </c>
    </row>
    <row r="9" ht="32" customHeight="1">
      <c r="A9" s="6" t="inlineStr">
        <is>
          <t>CASH 现金净付息</t>
        </is>
      </c>
      <c r="B9" s="9">
        <f>'来源台账'!D9</f>
        <v/>
      </c>
      <c r="C9" s="9">
        <f>'来源台账'!D17</f>
        <v/>
      </c>
      <c r="D9" s="9">
        <f>'来源台账'!D25</f>
        <v/>
      </c>
      <c r="E9" s="9">
        <f>C9-B9</f>
        <v/>
      </c>
      <c r="F9" s="9">
        <f>D9-C9</f>
        <v/>
      </c>
    </row>
    <row r="10" ht="32" customHeight="1">
      <c r="A10" s="2" t="inlineStr">
        <is>
          <t>收入-费用-NII残差</t>
        </is>
      </c>
      <c r="B10" s="5">
        <f>B2-B3-B4</f>
        <v/>
      </c>
      <c r="C10" s="5">
        <f>C2-C3-C4</f>
        <v/>
      </c>
      <c r="D10" s="5">
        <f>D2-D3-D4</f>
        <v/>
      </c>
      <c r="E10" s="5">
        <f>E2-E3-E4</f>
        <v/>
      </c>
      <c r="F10" s="5">
        <f>F2-F3-F4</f>
        <v/>
      </c>
    </row>
    <row r="11" ht="32" customHeight="1">
      <c r="A11" s="6" t="inlineStr">
        <is>
          <t>四费用合计-EXP残差</t>
        </is>
      </c>
      <c r="B11" s="9">
        <f>SUM(B5:B8)-B3</f>
        <v/>
      </c>
      <c r="C11" s="9">
        <f>SUM(C5:C8)-C3</f>
        <v/>
      </c>
      <c r="D11" s="9">
        <f>SUM(D5:D8)-D3</f>
        <v/>
      </c>
      <c r="E11" s="9">
        <f>SUM(E5:E8)-E3</f>
        <v/>
      </c>
      <c r="F11" s="9">
        <f>SUM(F5:F8)-F3</f>
        <v/>
      </c>
    </row>
    <row r="12" ht="32" customHeight="1">
      <c r="A12" s="2" t="inlineStr">
        <is>
          <t>权责费用减现金净付息</t>
        </is>
      </c>
      <c r="B12" s="5">
        <f>B3-B9</f>
        <v/>
      </c>
      <c r="C12" s="5">
        <f>C3-C9</f>
        <v/>
      </c>
      <c r="D12" s="5">
        <f>D3-D9</f>
        <v/>
      </c>
      <c r="E12" s="5">
        <f>C12-B12</f>
        <v/>
      </c>
      <c r="F12" s="5">
        <f>D12-C12</f>
        <v/>
      </c>
    </row>
    <row r="13" ht="32" customHeight="1">
      <c r="A13" s="6" t="inlineStr">
        <is>
          <t>存款费用增量/总费用增量（%）</t>
        </is>
      </c>
      <c r="B13" s="9" t="inlineStr">
        <is>
          <t>不适用</t>
        </is>
      </c>
      <c r="C13" s="9" t="inlineStr">
        <is>
          <t>不适用</t>
        </is>
      </c>
      <c r="D13" s="9" t="inlineStr">
        <is>
          <t>不适用</t>
        </is>
      </c>
      <c r="E13" s="9">
        <f>E5/E3*100</f>
        <v/>
      </c>
      <c r="F13" s="9">
        <f>F5/F3*100</f>
        <v/>
      </c>
    </row>
    <row r="14" ht="68" customHeight="1">
      <c r="A14" s="2" t="inlineStr">
        <is>
          <t>解释</t>
        </is>
      </c>
      <c r="B14" s="5" t="inlineStr">
        <is>
          <t>仅金额复算</t>
        </is>
      </c>
      <c r="C14" s="5" t="inlineStr">
        <is>
          <t>收入增57697，费用增53228，NII增4469</t>
        </is>
      </c>
      <c r="D14" s="5" t="inlineStr">
        <is>
          <t>收入增16345，费用增17216，NII减871</t>
        </is>
      </c>
      <c r="E14" s="5" t="inlineStr">
        <is>
          <t>存款增21445，占费用增量约40.29%</t>
        </is>
      </c>
      <c r="F14" s="5" t="inlineStr">
        <is>
          <t>存款增12279，占费用增量约71.32%；不是NII跌幅因果贡献率</t>
        </is>
      </c>
    </row>
  </sheetData>
  <autoFilter ref="A1:F14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2" customWidth="1" min="2" max="2"/>
    <col width="60" customWidth="1" min="3" max="3"/>
    <col width="65" customWidth="1" min="4" max="4"/>
  </cols>
  <sheetData>
    <row r="1" ht="32" customHeight="1">
      <c r="A1" s="1" t="inlineStr">
        <is>
          <t>对象</t>
        </is>
      </c>
      <c r="B1" s="1" t="inlineStr">
        <is>
          <t>截点状态/依据</t>
        </is>
      </c>
      <c r="C1" s="1" t="inlineStr">
        <is>
          <t>下一动作与负责角色</t>
        </is>
      </c>
      <c r="D1" s="1" t="inlineStr">
        <is>
          <t>关闭证据或边界</t>
        </is>
      </c>
    </row>
    <row r="2" ht="68" customHeight="1">
      <c r="A2" s="2" t="inlineStr">
        <is>
          <t>主体差异</t>
        </is>
      </c>
      <c r="B2" s="2" t="inlineStr">
        <is>
          <t>CIK=70858；companyfacts.entityName=BofA Finance LLC；submissions.name=BANK OF AMERICA CORP /DE/。名称差异未解决，不能改输入或推断更名。</t>
        </is>
      </c>
      <c r="C2" s="2" t="inlineStr">
        <is>
          <t>资料管理员取得原申报封面及报告范围交研究负责人核验；10:00起按V2增加数据负责人签字。</t>
        </is>
      </c>
      <c r="D2" s="2" t="inlineStr">
        <is>
          <t>同CIK和accession目录匹配不等于已确认主体范围；现无原10-K全文，不得说已读年报附注。</t>
        </is>
      </c>
    </row>
    <row r="3" ht="50" customHeight="1">
      <c r="A3" s="6" t="inlineStr">
        <is>
          <t>目标申报定位</t>
        </is>
      </c>
      <c r="B3" s="6" t="inlineStr">
        <is>
          <t>history004索引526：10-K；accession 0000070858-25-000139；报告期2024-12-31；filingDate 2025-02-25。</t>
        </is>
      </c>
      <c r="C3" s="6" t="inlineStr">
        <is>
          <t>acceptanceDateTime 2025-02-26T03:07:15Z = 2025-02-25 22:07:15 America/New_York，早于09:30截点。</t>
        </is>
      </c>
      <c r="D3" s="6" t="inlineStr">
        <is>
          <t>目录不同于全文。目标不在recent不等于未提交；申报日和UTC受理时间均保留，不互相改写。</t>
        </is>
      </c>
    </row>
    <row r="4" ht="50" customHeight="1">
      <c r="A4" s="2" t="inlineStr">
        <is>
          <t>当前政策</t>
        </is>
      </c>
      <c r="B4" s="2" t="inlineStr">
        <is>
          <t>2025-02-26 09:30 America/New_York适用V1；V2虽已发布，10:00才生效。</t>
        </is>
      </c>
      <c r="C4" s="2" t="inlineStr">
        <is>
          <t>不要把V2追溯生效；若流程跨10:00重新按V2检查新增签字依赖。</t>
        </is>
      </c>
      <c r="D4" s="2" t="inlineStr">
        <is>
          <t>E04为09:40后到且无证明，不纳入截点已知；未来邮件或计划签字都不等于已闭环。</t>
        </is>
      </c>
    </row>
    <row r="5" ht="50" customHeight="1">
      <c r="A5" s="6" t="inlineStr">
        <is>
          <t>内部复核与正式流转</t>
        </is>
      </c>
      <c r="B5" s="6" t="inlineStr">
        <is>
          <t>24条数值台账可作为初步限定材料送同级复核；E02仅提出请求、尚无回签，未获内部正式流转批准。</t>
        </is>
      </c>
      <c r="C5" s="6" t="inlineStr">
        <is>
          <t>分析员提交台账及残差给同级复核者，标明主体待核与证据限度。</t>
        </is>
      </c>
      <c r="D5" s="6" t="inlineStr">
        <is>
          <t>同级复核签字且初步/范围标识具备后才内部正式流转；不把可复算说成已批准。</t>
        </is>
      </c>
    </row>
    <row r="6" ht="50" customHeight="1">
      <c r="A6" s="2" t="inlineStr">
        <is>
          <t>对外发布</t>
        </is>
      </c>
      <c r="B6" s="2" t="inlineStr">
        <is>
          <t>暂缓。主体/报告范围和其他关键解释缺口未关闭；E01没有研究负责人批准。</t>
        </is>
      </c>
      <c r="C6" s="2" t="inlineStr">
        <is>
          <t>资料管理员补原文，研究负责人核验适用范围并作最终批准；跨10:00时先取得V2数据负责人核验签字。</t>
        </is>
      </c>
      <c r="D6" s="2" t="inlineStr">
        <is>
          <t>未有原文核验及适用审批链就不外发；分析员无代批权，不造签字或发送证据。</t>
        </is>
      </c>
    </row>
    <row r="7" ht="50" customHeight="1">
      <c r="A7" s="6" t="inlineStr">
        <is>
          <t>净息差NIM</t>
        </is>
      </c>
      <c r="B7" s="6" t="inlineStr">
        <is>
          <t>不可由NII除期末总资产替代；缺同口径平均生息资产及指标定义。</t>
        </is>
      </c>
      <c r="C7" s="6" t="inlineStr">
        <is>
          <t>资料管理员补平均生息资产口径和对应期间，交银行研究复核者核。</t>
        </is>
      </c>
      <c r="D7" s="6" t="inlineStr">
        <is>
          <t>分子/分母期间、范围和FTE选择对齐后才计算或比较；不输出虚构净息差排名。</t>
        </is>
      </c>
    </row>
    <row r="8" ht="32" customHeight="1">
      <c r="A8" s="2" t="inlineStr">
        <is>
          <t>FTE调整</t>
        </is>
      </c>
      <c r="B8" s="2" t="inlineStr">
        <is>
          <t>当前选定值仅按原标签作金额核对，没有已核实FTE桥接。</t>
        </is>
      </c>
      <c r="C8" s="2" t="inlineStr">
        <is>
          <t>补GAAP到FTE调节表及定义，由银行研究复核者确认可比口径。</t>
        </is>
      </c>
      <c r="D8" s="2" t="inlineStr">
        <is>
          <t>原始数与调整项可追溯后才称FTE，不把已算NII直接贴FTE标签。</t>
        </is>
      </c>
    </row>
    <row r="9" ht="50" customHeight="1">
      <c r="A9" s="6" t="inlineStr">
        <is>
          <t>利率/业务量归因</t>
        </is>
      </c>
      <c r="B9" s="6" t="inlineStr">
        <is>
          <t>费用增量与NII金额桥接可复算；不能推出具体存款利率或数量因果。</t>
        </is>
      </c>
      <c r="C9" s="6" t="inlineStr">
        <is>
          <t>补rate/volume明细、平均余额及利率数据与分摊方法，研究复核者核验。</t>
        </is>
      </c>
      <c r="D9" s="6" t="inlineStr">
        <is>
          <t>71.32%仅为存款费用增量/总费用增量；不称NII下降中71.32%由存款利率造成。</t>
        </is>
      </c>
    </row>
  </sheetData>
  <autoFilter ref="A1:D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8" customWidth="1" min="3" max="3"/>
  </cols>
  <sheetData>
    <row r="1" ht="32" customHeight="1">
      <c r="A1" s="1" t="inlineStr">
        <is>
          <t>ID</t>
        </is>
      </c>
      <c r="B1" s="1" t="inlineStr">
        <is>
          <t>结论</t>
        </is>
      </c>
      <c r="C1" s="1" t="inlineStr">
        <is>
          <t>替换/保留要点</t>
        </is>
      </c>
    </row>
    <row r="2" ht="32" customHeight="1">
      <c r="A2" s="2" t="inlineStr">
        <is>
          <t>D01</t>
        </is>
      </c>
      <c r="B2" s="2" t="inlineStr">
        <is>
          <t>退回修正</t>
        </is>
      </c>
      <c r="C2" s="2" t="inlineStr">
        <is>
          <t>保留两名称与同CIK；无法据此确认更名或主体范围，不能改原始输入；补原申报核验。</t>
        </is>
      </c>
    </row>
    <row r="3" ht="32" customHeight="1">
      <c r="A3" s="6" t="inlineStr">
        <is>
          <t>D02</t>
        </is>
      </c>
      <c r="B3" s="6" t="inlineStr">
        <is>
          <t>退回修正</t>
        </is>
      </c>
      <c r="C3" s="6" t="inlineStr">
        <is>
          <t>经济年由start/end决定，目标10-K的fy2024含三年比较；按accession/form/期间/单位/filed筛选，不取最新回填。</t>
        </is>
      </c>
    </row>
    <row r="4" ht="32" customHeight="1">
      <c r="A4" s="2" t="inlineStr">
        <is>
          <t>D03</t>
        </is>
      </c>
      <c r="B4" s="2" t="inlineStr">
        <is>
          <t>退回修正</t>
        </is>
      </c>
      <c r="C4" s="2" t="inlineStr">
        <is>
          <t>2024收入增16345，权责费用增17216，NII减871；现金净付息89687不是权责90547，差860，单位USD百万。</t>
        </is>
      </c>
    </row>
    <row r="5" ht="32" customHeight="1">
      <c r="A5" s="6" t="inlineStr">
        <is>
          <t>D04</t>
        </is>
      </c>
      <c r="B5" s="6" t="inlineStr">
        <is>
          <t>退回修正</t>
        </is>
      </c>
      <c r="C5" s="6" t="inlineStr">
        <is>
          <t>没有同口径平均生息资产或FTE调节；不能用期末总资产计算净息差或直接给同行排名。</t>
        </is>
      </c>
    </row>
    <row r="6" ht="32" customHeight="1">
      <c r="A6" s="2" t="inlineStr">
        <is>
          <t>D05</t>
        </is>
      </c>
      <c r="B6" s="2" t="inlineStr">
        <is>
          <t>退回修正</t>
        </is>
      </c>
      <c r="C6" s="2" t="inlineStr">
        <is>
          <t>存款费用增12279/总费用增17216=71.3232%左右；只反映费用增量组成，不是利率或NII跌幅因果贡献。</t>
        </is>
      </c>
    </row>
    <row r="7" ht="32" customHeight="1">
      <c r="A7" s="6" t="inlineStr">
        <is>
          <t>D06</t>
        </is>
      </c>
      <c r="B7" s="6" t="inlineStr">
        <is>
          <t>退回修正</t>
        </is>
      </c>
      <c r="C7" s="6" t="inlineStr">
        <is>
          <t>09:30适用V1，V2 10:00后才生效；未来数据负责人签字不代现有研究负责人批准，分析员无代批。</t>
        </is>
      </c>
    </row>
    <row r="8" ht="32" customHeight="1">
      <c r="A8" s="2" t="inlineStr">
        <is>
          <t>D07</t>
        </is>
      </c>
      <c r="B8" s="2" t="inlineStr">
        <is>
          <t>保留并限定</t>
        </is>
      </c>
      <c r="C8" s="2" t="inlineStr">
        <is>
          <t>初步台账可送复核；E02尚无回签，未获内部正式流转或外发批准；主体异常及其他缺口继续保留。</t>
        </is>
      </c>
    </row>
    <row r="9" ht="32" customHeight="1">
      <c r="A9" s="6" t="inlineStr">
        <is>
          <t>D08</t>
        </is>
      </c>
      <c r="B9" s="6" t="inlineStr">
        <is>
          <t>退回修正</t>
        </is>
      </c>
      <c r="C9" s="6" t="inlineStr">
        <is>
          <t>history004索引526定位目标10-K；filingDate 2025-02-25和acceptance 2025-02-26T03:07:15Z不冲突，NY为2月25日22:07:15。</t>
        </is>
      </c>
    </row>
  </sheetData>
  <autoFilter ref="A1:C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