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数据" sheetId="1" state="visible" r:id="rId1"/>
    <sheet xmlns:r="http://schemas.openxmlformats.org/officeDocument/2006/relationships" name="走廊复算" sheetId="2" state="visible" r:id="rId2"/>
    <sheet xmlns:r="http://schemas.openxmlformats.org/officeDocument/2006/relationships" name="草案审阅" sheetId="3" state="visible" r:id="rId3"/>
    <sheet xmlns:r="http://schemas.openxmlformats.org/officeDocument/2006/relationships" name="指标字典" sheetId="4" state="visible" r:id="rId4"/>
    <sheet xmlns:r="http://schemas.openxmlformats.org/officeDocument/2006/relationships" name="六周试点" sheetId="5" state="visible" r:id="rId5"/>
    <sheet xmlns:r="http://schemas.openxmlformats.org/officeDocument/2006/relationships" name="决定与证据" sheetId="6" state="visible" r:id="rId6"/>
  </sheets>
  <definedNames>
    <definedName name="_xlnm._FilterDatabase" localSheetId="0" hidden="1">'论文数据'!$A$1:$G$11</definedName>
    <definedName name="_xlnm.Print_Titles" localSheetId="0">'论文数据'!$1:$1</definedName>
    <definedName name="_xlnm._FilterDatabase" localSheetId="1" hidden="1">'走廊复算'!$A$1:$F$9</definedName>
    <definedName name="_xlnm.Print_Titles" localSheetId="1">'走廊复算'!$1:$1</definedName>
    <definedName name="_xlnm._FilterDatabase" localSheetId="2" hidden="1">'草案审阅'!$A$1:$D$11</definedName>
    <definedName name="_xlnm.Print_Titles" localSheetId="2">'草案审阅'!$1:$1</definedName>
    <definedName name="_xlnm._FilterDatabase" localSheetId="3" hidden="1">'指标字典'!$A$1:$D$8</definedName>
    <definedName name="_xlnm.Print_Titles" localSheetId="3">'指标字典'!$1:$1</definedName>
    <definedName name="_xlnm._FilterDatabase" localSheetId="4" hidden="1">'六周试点'!$A$1:$F$9</definedName>
    <definedName name="_xlnm.Print_Titles" localSheetId="4">'六周试点'!$1:$1</definedName>
    <definedName name="_xlnm._FilterDatabase" localSheetId="5" hidden="1">'决定与证据'!$A$1:$C$6</definedName>
    <definedName name="_xlnm.Print_Titles" localSheetId="5">'决定与证据'!$1:$1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</cols>
  <sheetData>
    <row r="1" ht="32" customHeight="1">
      <c r="A1" s="1" t="inlineStr">
        <is>
          <t>比较组</t>
        </is>
      </c>
      <c r="B1" s="1" t="inlineStr">
        <is>
          <t>病房中位数</t>
        </is>
      </c>
      <c r="C1" s="1" t="inlineStr">
        <is>
          <t>走廊中位数</t>
        </is>
      </c>
      <c r="D1" s="1" t="inlineStr">
        <is>
          <t>总体中位数</t>
        </is>
      </c>
      <c r="E1" s="1" t="inlineStr">
        <is>
          <t>病房p</t>
        </is>
      </c>
      <c r="F1" s="1" t="inlineStr">
        <is>
          <t>走廊p</t>
        </is>
      </c>
      <c r="G1" s="1" t="inlineStr">
        <is>
          <t>总体p</t>
        </is>
      </c>
    </row>
    <row r="2" ht="32" customHeight="1">
      <c r="A2" s="2" t="inlineStr">
        <is>
          <t>Exposed</t>
        </is>
      </c>
      <c r="B2" s="3" t="n">
        <v>0</v>
      </c>
      <c r="C2" s="3" t="n">
        <v>3.75</v>
      </c>
      <c r="D2" s="3" t="n">
        <v>1.43</v>
      </c>
      <c r="E2" s="2" t="inlineStr">
        <is>
          <t>不适用</t>
        </is>
      </c>
      <c r="F2" s="2" t="inlineStr">
        <is>
          <t>不适用</t>
        </is>
      </c>
      <c r="G2" s="2" t="inlineStr">
        <is>
          <t>不适用</t>
        </is>
      </c>
    </row>
    <row r="3" ht="32" customHeight="1">
      <c r="A3" s="4" t="inlineStr">
        <is>
          <t>Unexposed location</t>
        </is>
      </c>
      <c r="B3" s="5" t="n">
        <v>0</v>
      </c>
      <c r="C3" s="5" t="n">
        <v>1.48</v>
      </c>
      <c r="D3" s="5" t="n">
        <v>0.67</v>
      </c>
      <c r="E3" s="4" t="inlineStr">
        <is>
          <t>0.90</t>
        </is>
      </c>
      <c r="F3" s="4" t="inlineStr">
        <is>
          <t>0.001</t>
        </is>
      </c>
      <c r="G3" s="4" t="inlineStr">
        <is>
          <t>0.008</t>
        </is>
      </c>
    </row>
    <row r="4" ht="32" customHeight="1">
      <c r="A4" s="2" t="inlineStr">
        <is>
          <t>1 week prior</t>
        </is>
      </c>
      <c r="B4" s="3" t="n">
        <v>0</v>
      </c>
      <c r="C4" s="3" t="n">
        <v>1.07</v>
      </c>
      <c r="D4" s="3" t="n">
        <v>0.58</v>
      </c>
      <c r="E4" s="2" t="inlineStr">
        <is>
          <t>0.97</t>
        </is>
      </c>
      <c r="F4" s="2" t="inlineStr">
        <is>
          <t>&lt;0.001</t>
        </is>
      </c>
      <c r="G4" s="2" t="inlineStr">
        <is>
          <t>&lt;0.001</t>
        </is>
      </c>
    </row>
    <row r="5" ht="32" customHeight="1">
      <c r="A5" s="4" t="inlineStr">
        <is>
          <t>2 weeks prior</t>
        </is>
      </c>
      <c r="B5" s="5" t="n">
        <v>0</v>
      </c>
      <c r="C5" s="5" t="n">
        <v>1.5</v>
      </c>
      <c r="D5" s="5" t="n">
        <v>0.63</v>
      </c>
      <c r="E5" s="4" t="inlineStr">
        <is>
          <t>0.77</t>
        </is>
      </c>
      <c r="F5" s="4" t="inlineStr">
        <is>
          <t>&lt;0.001</t>
        </is>
      </c>
      <c r="G5" s="4" t="inlineStr">
        <is>
          <t>&lt;0.001</t>
        </is>
      </c>
    </row>
    <row r="6" ht="32" customHeight="1">
      <c r="A6" s="2" t="inlineStr">
        <is>
          <t>3 weeks prior</t>
        </is>
      </c>
      <c r="B6" s="3" t="n">
        <v>0</v>
      </c>
      <c r="C6" s="3" t="n">
        <v>1.25</v>
      </c>
      <c r="D6" s="3" t="n">
        <v>0.65</v>
      </c>
      <c r="E6" s="2" t="inlineStr">
        <is>
          <t>0.53</t>
        </is>
      </c>
      <c r="F6" s="2" t="inlineStr">
        <is>
          <t>&lt;0.001</t>
        </is>
      </c>
      <c r="G6" s="2" t="inlineStr">
        <is>
          <t>&lt;0.001</t>
        </is>
      </c>
    </row>
    <row r="7" ht="32" customHeight="1">
      <c r="A7" s="4" t="inlineStr">
        <is>
          <t>Prior to auditor</t>
        </is>
      </c>
      <c r="B7" s="5" t="n">
        <v>0</v>
      </c>
      <c r="C7" s="5" t="n">
        <v>1.5</v>
      </c>
      <c r="D7" s="5" t="n">
        <v>0.6</v>
      </c>
      <c r="E7" s="4" t="inlineStr">
        <is>
          <t>0.08</t>
        </is>
      </c>
      <c r="F7" s="4" t="inlineStr">
        <is>
          <t>0.009</t>
        </is>
      </c>
      <c r="G7" s="4" t="inlineStr">
        <is>
          <t>0.003</t>
        </is>
      </c>
    </row>
    <row r="8" ht="50" customHeight="1">
      <c r="A8" s="2" t="inlineStr">
        <is>
          <t>来源/单位</t>
        </is>
      </c>
      <c r="B8" s="2" t="inlineStr">
        <is>
          <t>Table 1</t>
        </is>
      </c>
      <c r="C8" s="2" t="inlineStr">
        <is>
          <t>事件/消毒器/小时</t>
        </is>
      </c>
      <c r="D8" s="2" t="inlineStr">
        <is>
          <t>三列都是中位数</t>
        </is>
      </c>
      <c r="E8" s="2" t="inlineStr">
        <is>
          <t>与暴露比较</t>
        </is>
      </c>
      <c r="F8" s="2" t="inlineStr">
        <is>
          <t>原文双侧检验</t>
        </is>
      </c>
      <c r="G8" s="2" t="inlineStr">
        <is>
          <t>非本院数据</t>
        </is>
      </c>
    </row>
    <row r="9" ht="50" customHeight="1">
      <c r="A9" s="4" t="inlineStr">
        <is>
          <t>样本范围</t>
        </is>
      </c>
      <c r="B9" s="4" t="inlineStr">
        <is>
          <t>12次audit</t>
        </is>
      </c>
      <c r="C9" s="4" t="inlineStr">
        <is>
          <t>37个时空段</t>
        </is>
      </c>
      <c r="D9" s="4" t="inlineStr">
        <is>
          <t>2个移植病区</t>
        </is>
      </c>
      <c r="E9" s="4" t="inlineStr">
        <is>
          <t>2012-11-29</t>
        </is>
      </c>
      <c r="F9" s="4" t="inlineStr">
        <is>
          <t>至2013-03-11</t>
        </is>
      </c>
      <c r="G9" s="4" t="inlineStr">
        <is>
          <t>非37个人</t>
        </is>
      </c>
    </row>
    <row r="10" ht="32" customHeight="1">
      <c r="A10" s="2" t="inlineStr">
        <is>
          <t>总事件计数</t>
        </is>
      </c>
      <c r="B10" s="3" t="n">
        <v>562304</v>
      </c>
      <c r="C10" s="3" t="n">
        <v>218473</v>
      </c>
      <c r="D10" s="2" t="inlineStr">
        <is>
          <t>合计780777</t>
        </is>
      </c>
      <c r="E10" s="2" t="inlineStr">
        <is>
          <t>ABHR/soap</t>
        </is>
      </c>
      <c r="F10" s="2" t="inlineStr">
        <is>
          <t>全数据期</t>
        </is>
      </c>
      <c r="G10" s="2" t="inlineStr">
        <is>
          <t>非机会数</t>
        </is>
      </c>
    </row>
    <row r="11" ht="50" customHeight="1">
      <c r="A11" s="4" t="inlineStr">
        <is>
          <t>暴露段事件</t>
        </is>
      </c>
      <c r="B11" s="5" t="n">
        <v>230</v>
      </c>
      <c r="C11" s="5" t="n">
        <v>31</v>
      </c>
      <c r="D11" s="5" t="n">
        <v>199</v>
      </c>
      <c r="E11" s="4" t="inlineStr">
        <is>
          <t>总/病房/走廊</t>
        </is>
      </c>
      <c r="F11" s="4" t="inlineStr">
        <is>
          <t>无机会数</t>
        </is>
      </c>
      <c r="G11" s="4" t="inlineStr">
        <is>
          <t>不得算依从率</t>
        </is>
      </c>
    </row>
  </sheetData>
  <autoFilter ref="A1:G1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6" customWidth="1" min="4" max="4"/>
    <col width="16" customWidth="1" min="5" max="5"/>
    <col width="48" customWidth="1" min="6" max="6"/>
  </cols>
  <sheetData>
    <row r="1" ht="32" customHeight="1">
      <c r="A1" s="1" t="inlineStr">
        <is>
          <t>比较组</t>
        </is>
      </c>
      <c r="B1" s="1" t="inlineStr">
        <is>
          <t>暴露中位数</t>
        </is>
      </c>
      <c r="C1" s="1" t="inlineStr">
        <is>
          <t>比较中位数</t>
        </is>
      </c>
      <c r="D1" s="1" t="inlineStr">
        <is>
          <t>中位数比值</t>
        </is>
      </c>
      <c r="E1" s="1" t="inlineStr">
        <is>
          <t>相对增加%</t>
        </is>
      </c>
      <c r="F1" s="1" t="inlineStr">
        <is>
          <t>解释边界</t>
        </is>
      </c>
    </row>
    <row r="2" ht="50" customHeight="1">
      <c r="A2" s="2" t="inlineStr">
        <is>
          <t>同时不可见位置</t>
        </is>
      </c>
      <c r="B2" s="2">
        <f>'论文数据'!C2</f>
        <v/>
      </c>
      <c r="C2" s="2">
        <f>'论文数据'!C3</f>
        <v/>
      </c>
      <c r="D2" s="2">
        <f>B2/C2</f>
        <v/>
      </c>
      <c r="E2" s="2">
        <f>(D2-1)*100</f>
        <v/>
      </c>
      <c r="F2" s="2" t="inlineStr">
        <is>
          <t>约2.534倍；相对增加153.38%，非依从率百分点。</t>
        </is>
      </c>
    </row>
    <row r="3" ht="50" customHeight="1">
      <c r="A3" s="4" t="inlineStr">
        <is>
          <t>一周前同位置</t>
        </is>
      </c>
      <c r="B3" s="4">
        <f>'论文数据'!C2</f>
        <v/>
      </c>
      <c r="C3" s="4">
        <f>'论文数据'!C4</f>
        <v/>
      </c>
      <c r="D3" s="4">
        <f>B3/C3</f>
        <v/>
      </c>
      <c r="E3" s="4">
        <f>(D3-1)*100</f>
        <v/>
      </c>
      <c r="F3" s="4" t="inlineStr">
        <is>
          <t>约3.505倍；相对增加250.47%，不是增加350%。</t>
        </is>
      </c>
    </row>
    <row r="4" ht="50" customHeight="1">
      <c r="A4" s="2" t="inlineStr">
        <is>
          <t>两周前同位置</t>
        </is>
      </c>
      <c r="B4" s="2">
        <f>'论文数据'!C2</f>
        <v/>
      </c>
      <c r="C4" s="2">
        <f>'论文数据'!C5</f>
        <v/>
      </c>
      <c r="D4" s="2">
        <f>B4/C4</f>
        <v/>
      </c>
      <c r="E4" s="2">
        <f>(D4-1)*100</f>
        <v/>
      </c>
      <c r="F4" s="2" t="inlineStr">
        <is>
          <t>2.5倍；相对增加150%。</t>
        </is>
      </c>
    </row>
    <row r="5" ht="50" customHeight="1">
      <c r="A5" s="4" t="inlineStr">
        <is>
          <t>三周前同位置</t>
        </is>
      </c>
      <c r="B5" s="4">
        <f>'论文数据'!C2</f>
        <v/>
      </c>
      <c r="C5" s="4">
        <f>'论文数据'!C6</f>
        <v/>
      </c>
      <c r="D5" s="4">
        <f>B5/C5</f>
        <v/>
      </c>
      <c r="E5" s="4">
        <f>(D5-1)*100</f>
        <v/>
      </c>
      <c r="F5" s="4" t="inlineStr">
        <is>
          <t>3倍；相对增加200%。</t>
        </is>
      </c>
    </row>
    <row r="6" ht="50" customHeight="1">
      <c r="A6" s="2" t="inlineStr">
        <is>
          <t>到达前1-5分钟</t>
        </is>
      </c>
      <c r="B6" s="2">
        <f>'论文数据'!C2</f>
        <v/>
      </c>
      <c r="C6" s="2">
        <f>'论文数据'!C7</f>
        <v/>
      </c>
      <c r="D6" s="2">
        <f>B6/C6</f>
        <v/>
      </c>
      <c r="E6" s="2">
        <f>(D6-1)*100</f>
        <v/>
      </c>
      <c r="F6" s="2" t="inlineStr">
        <is>
          <t>2.5倍；相对增加150%，与到达后有关联。</t>
        </is>
      </c>
    </row>
    <row r="7" ht="50" customHeight="1">
      <c r="A7" s="4" t="inlineStr">
        <is>
          <t>统计量边界</t>
        </is>
      </c>
      <c r="B7" s="4" t="inlineStr">
        <is>
          <t>汇总中位数</t>
        </is>
      </c>
      <c r="C7" s="4" t="inlineStr">
        <is>
          <t>非原始时空段</t>
        </is>
      </c>
      <c r="D7" s="4" t="inlineStr">
        <is>
          <t>不重跑检验</t>
        </is>
      </c>
      <c r="E7" s="4" t="inlineStr">
        <is>
          <t>不补造CI</t>
        </is>
      </c>
      <c r="F7" s="4" t="inlineStr">
        <is>
          <t>比值是两个中位数之比，不是逐对比值的中位数或合并率比。</t>
        </is>
      </c>
    </row>
    <row r="8" ht="50" customHeight="1">
      <c r="A8" s="2" t="inlineStr">
        <is>
          <t>原文措辞复核</t>
        </is>
      </c>
      <c r="B8" s="2" t="inlineStr">
        <is>
          <t>Discussion</t>
        </is>
      </c>
      <c r="C8" s="2" t="inlineStr">
        <is>
          <t>250%-350%</t>
        </is>
      </c>
      <c r="D8" s="2" t="inlineStr">
        <is>
          <t>不是复算标准</t>
        </is>
      </c>
      <c r="E8" s="2" t="inlineStr">
        <is>
          <t>保留差异说明</t>
        </is>
      </c>
      <c r="F8" s="2" t="inlineStr">
        <is>
          <t>表1约2.5-3.5倍对应相对增加约150%-250%；不默改原文引语。</t>
        </is>
      </c>
    </row>
    <row r="9" ht="50" customHeight="1">
      <c r="A9" s="4" t="inlineStr">
        <is>
          <t>总体边界</t>
        </is>
      </c>
      <c r="B9" s="4" t="inlineStr">
        <is>
          <t>总体1.43</t>
        </is>
      </c>
      <c r="C9" s="4" t="inlineStr">
        <is>
          <t>病房0/走廊3.75</t>
        </is>
      </c>
      <c r="D9" s="4" t="inlineStr">
        <is>
          <t>不可简单平均</t>
        </is>
      </c>
      <c r="E9" s="4" t="inlineStr">
        <is>
          <t>权重不可得</t>
        </is>
      </c>
      <c r="F9" s="4" t="inlineStr">
        <is>
          <t>中位数不可加，不能由两位置中位数复现总体。</t>
        </is>
      </c>
    </row>
  </sheetData>
  <autoFilter ref="A1:F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65" customWidth="1" min="3" max="3"/>
    <col width="31" customWidth="1" min="4" max="4"/>
  </cols>
  <sheetData>
    <row r="1" ht="32" customHeight="1">
      <c r="A1" s="1" t="inlineStr">
        <is>
          <t>ID</t>
        </is>
      </c>
      <c r="B1" s="1" t="inlineStr">
        <is>
          <t>结论</t>
        </is>
      </c>
      <c r="C1" s="1" t="inlineStr">
        <is>
          <t>替换表述</t>
        </is>
      </c>
      <c r="D1" s="1" t="inlineStr">
        <is>
          <t>原文定位</t>
        </is>
      </c>
    </row>
    <row r="2" ht="50" customHeight="1">
      <c r="A2" s="2" t="inlineStr">
        <is>
          <t>D01</t>
        </is>
      </c>
      <c r="B2" s="2" t="inlineStr">
        <is>
          <t>改写</t>
        </is>
      </c>
      <c r="C2" s="2" t="inlineStr">
        <is>
          <t>3.75是外院暴露走廊中位事件率，单位次/消毒器/小时；没有机会数，不能称375%依从率。</t>
        </is>
      </c>
      <c r="D2" s="2" t="inlineStr">
        <is>
          <t>Methods Measures / Discussion</t>
        </is>
      </c>
    </row>
    <row r="3" ht="50" customHeight="1">
      <c r="A3" s="4" t="inlineStr">
        <is>
          <t>D02</t>
        </is>
      </c>
      <c r="B3" s="4" t="inlineStr">
        <is>
          <t>改写</t>
        </is>
      </c>
      <c r="C3" s="4" t="inlineStr">
        <is>
          <t>3.75/1.07约3.505倍，相对增加约250.47%；相对增加、达到基线百分比、百分点必须分清。</t>
        </is>
      </c>
      <c r="D3" s="4" t="inlineStr">
        <is>
          <t>Table 1 / 走廊复算E3</t>
        </is>
      </c>
    </row>
    <row r="4" ht="32" customHeight="1">
      <c r="A4" s="2" t="inlineStr">
        <is>
          <t>D03</t>
        </is>
      </c>
      <c r="B4" s="2" t="inlineStr">
        <is>
          <t>改写</t>
        </is>
      </c>
      <c r="C4" s="2" t="inlineStr">
        <is>
          <t>原文总体中位数1.43独立列示，不能平均位置中位数。</t>
        </is>
      </c>
      <c r="D4" s="2" t="inlineStr">
        <is>
          <t>Table 1</t>
        </is>
      </c>
    </row>
    <row r="5" ht="32" customHeight="1">
      <c r="A5" s="4" t="inlineStr">
        <is>
          <t>D04</t>
        </is>
      </c>
      <c r="B5" s="4" t="inlineStr">
        <is>
          <t>改写</t>
        </is>
      </c>
      <c r="C5" s="4" t="inlineStr">
        <is>
          <t>p=0.90未检出差异，不证明绝无效应；不能转成等效性结论。</t>
        </is>
      </c>
      <c r="D5" s="4" t="inlineStr">
        <is>
          <t>Findings / Table 1</t>
        </is>
      </c>
    </row>
    <row r="6" ht="50" customHeight="1">
      <c r="A6" s="2" t="inlineStr">
        <is>
          <t>D05</t>
        </is>
      </c>
      <c r="B6" s="2" t="inlineStr">
        <is>
          <t>改写</t>
        </is>
      </c>
      <c r="C6" s="2" t="inlineStr">
        <is>
          <t>回顾性队列：12次audit分37个时空段，非37人随机试验；未证明采购因果或感染降低。</t>
        </is>
      </c>
      <c r="D6" s="2" t="inlineStr">
        <is>
          <t>Methods Study design / Findings</t>
        </is>
      </c>
    </row>
    <row r="7" ht="50" customHeight="1">
      <c r="A7" s="4" t="inlineStr">
        <is>
          <t>D06</t>
        </is>
      </c>
      <c r="B7" s="4" t="inlineStr">
        <is>
          <t>保留</t>
        </is>
      </c>
      <c r="C7" s="4" t="inlineStr">
        <is>
          <t>同一消毒器4秒内多次dispense合为一个事件；这是本研究记录规则，不代表适用所有系统。</t>
        </is>
      </c>
      <c r="D7" s="4" t="inlineStr">
        <is>
          <t>Methods Measures</t>
        </is>
      </c>
    </row>
    <row r="8" ht="50" customHeight="1">
      <c r="A8" s="2" t="inlineStr">
        <is>
          <t>D07</t>
        </is>
      </c>
      <c r="B8" s="2" t="inlineStr">
        <is>
          <t>改写</t>
        </is>
      </c>
      <c r="C8" s="2" t="inlineStr">
        <is>
          <t>230为暴露段事件，780777为全期ABHR+soap事件，两者范围不同且均非机会数；不能相除当依从率。</t>
        </is>
      </c>
      <c r="D8" s="2" t="inlineStr">
        <is>
          <t>Findings Exposed group / Discussion</t>
        </is>
      </c>
    </row>
    <row r="9" ht="50" customHeight="1">
      <c r="A9" s="4" t="inlineStr">
        <is>
          <t>D08</t>
        </is>
      </c>
      <c r="B9" s="4" t="inlineStr">
        <is>
          <t>改写</t>
        </is>
      </c>
      <c r="C9" s="4" t="inlineStr">
        <is>
          <t>保留直接观察的教育、技术及指征时刻评估作用；RTLS与观察有互补性，不能用事件计数替代全部指征。</t>
        </is>
      </c>
      <c r="D9" s="4" t="inlineStr">
        <is>
          <t>Discussion</t>
        </is>
      </c>
    </row>
    <row r="10" ht="50" customHeight="1">
      <c r="A10" s="2" t="inlineStr">
        <is>
          <t>D09</t>
        </is>
      </c>
      <c r="B10" s="2" t="inlineStr">
        <is>
          <t>改写</t>
        </is>
      </c>
      <c r="C10" s="2" t="inlineStr">
        <is>
          <t>表1只有汇总中位数及原文检验结果，缺37时空段配对数据；不重跑检验或伪造CI。</t>
        </is>
      </c>
      <c r="D10" s="2" t="inlineStr">
        <is>
          <t>Methods Data analysis / Table 1</t>
        </is>
      </c>
    </row>
    <row r="11" ht="50" customHeight="1">
      <c r="A11" s="4" t="inlineStr">
        <is>
          <t>D10</t>
        </is>
      </c>
      <c r="B11" s="4" t="inlineStr">
        <is>
          <t>改写</t>
        </is>
      </c>
      <c r="C11" s="4" t="inlineStr">
        <is>
          <t>两移植病区外部证据不能直接迁移成本院当前绩效；不建员工排名。先本地治理批准并确认数据可用。</t>
        </is>
      </c>
      <c r="D11" s="4" t="inlineStr">
        <is>
          <t>Discussion局限 / 委托</t>
        </is>
      </c>
    </row>
  </sheetData>
  <autoFilter ref="A1:D1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6" customWidth="1" min="3" max="3"/>
    <col width="49" customWidth="1" min="4" max="4"/>
  </cols>
  <sheetData>
    <row r="1" ht="32" customHeight="1">
      <c r="A1" s="1" t="inlineStr">
        <is>
          <t>指标/控制</t>
        </is>
      </c>
      <c r="B1" s="1" t="inlineStr">
        <is>
          <t>分子或字段</t>
        </is>
      </c>
      <c r="C1" s="1" t="inlineStr">
        <is>
          <t>分母/规则</t>
        </is>
      </c>
      <c r="D1" s="1" t="inlineStr">
        <is>
          <t>用途与限制</t>
        </is>
      </c>
    </row>
    <row r="2" ht="50" customHeight="1">
      <c r="A2" s="2" t="inlineStr">
        <is>
          <t>RTLS事件率</t>
        </is>
      </c>
      <c r="B2" s="2" t="inlineStr">
        <is>
          <t>经同消毒器4秒合并事件数</t>
        </is>
      </c>
      <c r="C2" s="2" t="inlineStr">
        <is>
          <t>启用消毒器数与可用小时；按空间/时间算暴露量</t>
        </is>
      </c>
      <c r="D2" s="2" t="inlineStr">
        <is>
          <t>事件/消毒器/小时；缺失在线时长不得当零事件；不能评机会依从率。</t>
        </is>
      </c>
    </row>
    <row r="3" ht="50" customHeight="1">
      <c r="A3" s="4" t="inlineStr">
        <is>
          <t>直接观察依从率</t>
        </is>
      </c>
      <c r="B3" s="4" t="inlineStr">
        <is>
          <t>观察到的合规机会数</t>
        </is>
      </c>
      <c r="C3" s="4" t="inlineStr">
        <is>
          <t>同观察窗所有可判定机会数；未知机会单列</t>
        </is>
      </c>
      <c r="D3" s="4" t="inlineStr">
        <is>
          <t>记录指征、技术和教育反馈；可见性与抽样偏倚仍存在，不与RTLS事件数直接拼分母。</t>
        </is>
      </c>
    </row>
    <row r="4" ht="50" customHeight="1">
      <c r="A4" s="2" t="inlineStr">
        <is>
          <t>最小RTLS字段</t>
        </is>
      </c>
      <c r="B4" s="2" t="inlineStr">
        <is>
          <t>时间戳、消毒器代号、位置、在线段</t>
        </is>
      </c>
      <c r="C4" s="2" t="inlineStr">
        <is>
          <t>去重规则/时区版本、缺失状态、观察员可见时空段</t>
        </is>
      </c>
      <c r="D4" s="2" t="inlineStr">
        <is>
          <t>不采员工姓名/轨迹排名；数据接口和时钟先验证，未获授权不采集。</t>
        </is>
      </c>
    </row>
    <row r="5" ht="50" customHeight="1">
      <c r="A5" s="4" t="inlineStr">
        <is>
          <t>三个比较控制</t>
        </is>
      </c>
      <c r="B5" s="4" t="inlineStr">
        <is>
          <t>同期不可见区；同位置既往同日时；到达前1-5分钟</t>
        </is>
      </c>
      <c r="C5" s="4" t="inlineStr">
        <is>
          <t>前1分钟可能进入视野，研究将其排除</t>
        </is>
      </c>
      <c r="D5" s="4" t="inlineStr">
        <is>
          <t>分别控制日时、空间/工作负荷及反向因果；并非消除全部混杂。</t>
        </is>
      </c>
    </row>
    <row r="6" ht="50" customHeight="1">
      <c r="A6" s="2" t="inlineStr">
        <is>
          <t>观察分层</t>
        </is>
      </c>
      <c r="B6" s="2" t="inlineStr">
        <is>
          <t>病房/走廊、日夜/工作日、可见性</t>
        </is>
      </c>
      <c r="C6" s="2" t="inlineStr">
        <is>
          <t>事先定义位置与时间窗，避免只选繁忙或高分段</t>
        </is>
      </c>
      <c r="D6" s="2" t="inlineStr">
        <is>
          <t>原研究只证明特定场景关联；不把病房不显著当已证等效。</t>
        </is>
      </c>
    </row>
    <row r="7" ht="50" customHeight="1">
      <c r="A7" s="4" t="inlineStr">
        <is>
          <t>质量检查</t>
        </is>
      </c>
      <c r="B7" s="4" t="inlineStr">
        <is>
          <t>校时、在线状态、四秒边界重复、空间匹配</t>
        </is>
      </c>
      <c r="C7" s="4" t="inlineStr">
        <is>
          <t>模拟脚本与预先指定抽样核对；保留异常日志</t>
        </is>
      </c>
      <c r="D7" s="4" t="inlineStr">
        <is>
          <t>论文模拟环境100%检出不代表本院现场100%；先本地验证。</t>
        </is>
      </c>
    </row>
    <row r="8" ht="50" customHeight="1">
      <c r="A8" s="2" t="inlineStr">
        <is>
          <t>发布条件</t>
        </is>
      </c>
      <c r="B8" s="2" t="inlineStr">
        <is>
          <t>实际可判定分母、采集覆盖、缺失原因</t>
        </is>
      </c>
      <c r="C8" s="2" t="inlineStr">
        <is>
          <t>质量/院感/信息治理审批与许可确认均到位</t>
        </is>
      </c>
      <c r="D8" s="2" t="inlineStr">
        <is>
          <t>无机会数只报告事件率；无批准不采集；不输出排名或感染因果。</t>
        </is>
      </c>
    </row>
  </sheetData>
  <autoFilter ref="A1:D8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9" customWidth="1" min="2" max="2"/>
    <col width="14" customWidth="1" min="3" max="3"/>
    <col width="12" customWidth="1" min="4" max="4"/>
    <col width="12" customWidth="1" min="5" max="5"/>
    <col width="48" customWidth="1" min="6" max="6"/>
  </cols>
  <sheetData>
    <row r="1" ht="32" customHeight="1">
      <c r="A1" s="1" t="inlineStr">
        <is>
          <t>周</t>
        </is>
      </c>
      <c r="B1" s="1" t="inlineStr">
        <is>
          <t>工作包与依赖</t>
        </is>
      </c>
      <c r="C1" s="1" t="inlineStr">
        <is>
          <t>分析员小时</t>
        </is>
      </c>
      <c r="D1" s="1" t="inlineStr">
        <is>
          <t>护士小时</t>
        </is>
      </c>
      <c r="E1" s="1" t="inlineStr">
        <is>
          <t>治理小时</t>
        </is>
      </c>
      <c r="F1" s="1" t="inlineStr">
        <is>
          <t>退出证据/失败分流</t>
        </is>
      </c>
    </row>
    <row r="2" ht="50" customHeight="1">
      <c r="A2" s="3" t="n">
        <v>1</v>
      </c>
      <c r="B2" s="2" t="inlineStr">
        <is>
          <t>指标契约/方案/字段与保存期；前置质量及治理批准</t>
        </is>
      </c>
      <c r="C2" s="3" t="n">
        <v>6</v>
      </c>
      <c r="D2" s="3" t="n">
        <v>2</v>
      </c>
      <c r="E2" s="3" t="n">
        <v>2</v>
      </c>
      <c r="F2" s="2" t="inlineStr">
        <is>
          <t>方案、字段、批准清单；未批准则桌面修订，不采集。</t>
        </is>
      </c>
    </row>
    <row r="3" ht="50" customHeight="1">
      <c r="A3" s="5" t="n">
        <v>2</v>
      </c>
      <c r="B3" s="4" t="inlineStr">
        <is>
          <t>数据接口可行性、校时与四秒合并测试；依赖周1</t>
        </is>
      </c>
      <c r="C3" s="5" t="n">
        <v>6</v>
      </c>
      <c r="D3" s="5" t="n">
        <v>2</v>
      </c>
      <c r="E3" s="5" t="n">
        <v>1</v>
      </c>
      <c r="F3" s="4" t="inlineStr">
        <is>
          <t>接口/规则测试记录；无RTLS则做观察设计及演示，不捏造事件结果。</t>
        </is>
      </c>
    </row>
    <row r="4" ht="50" customHeight="1">
      <c r="A4" s="3" t="n">
        <v>3</v>
      </c>
      <c r="B4" s="2" t="inlineStr">
        <is>
          <t>按批准方案开展有限采集/观察教育；依赖周2质量门槛</t>
        </is>
      </c>
      <c r="C4" s="3" t="n">
        <v>6</v>
      </c>
      <c r="D4" s="3" t="n">
        <v>2</v>
      </c>
      <c r="E4" s="3" t="n">
        <v>1</v>
      </c>
      <c r="F4" s="2" t="inlineStr">
        <is>
          <t>覆盖与缺失清单、观察培训；规则或隐私异常暂停。</t>
        </is>
      </c>
    </row>
    <row r="5" ht="32" customHeight="1">
      <c r="A5" s="5" t="n">
        <v>4</v>
      </c>
      <c r="B5" s="4" t="inlineStr">
        <is>
          <t>检查时间/位置/可见性平衡与异常修复</t>
        </is>
      </c>
      <c r="C5" s="5" t="n">
        <v>6</v>
      </c>
      <c r="D5" s="5" t="n">
        <v>2</v>
      </c>
      <c r="E5" s="5" t="n">
        <v>1</v>
      </c>
      <c r="F5" s="4" t="inlineStr">
        <is>
          <t>缺失与抽样偏倚复核；数据不全仅报可用范围。</t>
        </is>
      </c>
    </row>
    <row r="6" ht="50" customHeight="1">
      <c r="A6" s="3" t="n">
        <v>5</v>
      </c>
      <c r="B6" s="2" t="inlineStr">
        <is>
          <t>分别汇总事件率与有分母的观察依从率</t>
        </is>
      </c>
      <c r="C6" s="3" t="n">
        <v>6</v>
      </c>
      <c r="D6" s="3" t="n">
        <v>2</v>
      </c>
      <c r="E6" s="3" t="n">
        <v>1</v>
      </c>
      <c r="F6" s="2" t="inlineStr">
        <is>
          <t>单位/分母复核；无机会数不报依从率，不重跑原论文检验。</t>
        </is>
      </c>
    </row>
    <row r="7" ht="50" customHeight="1">
      <c r="A7" s="5" t="n">
        <v>6</v>
      </c>
      <c r="B7" s="4" t="inlineStr">
        <is>
          <t>负责人评审与教育反馈，决定继续/修订/停止</t>
        </is>
      </c>
      <c r="C7" s="5" t="n">
        <v>6</v>
      </c>
      <c r="D7" s="5" t="n">
        <v>2</v>
      </c>
      <c r="E7" s="5" t="n">
        <v>0</v>
      </c>
      <c r="F7" s="4" t="inlineStr">
        <is>
          <t>签审待办及局限；只提建议，不声称已上线或采购获批。</t>
        </is>
      </c>
    </row>
    <row r="8" ht="50" customHeight="1">
      <c r="A8" s="2" t="inlineStr">
        <is>
          <t>合计</t>
        </is>
      </c>
      <c r="B8" s="2" t="inlineStr">
        <is>
          <t>6周总量，不是每周预算</t>
        </is>
      </c>
      <c r="C8" s="2">
        <f>SUM(C2:C7)</f>
        <v/>
      </c>
      <c r="D8" s="2">
        <f>SUM(D2:D7)</f>
        <v/>
      </c>
      <c r="E8" s="2">
        <f>SUM(E2:E7)</f>
        <v/>
      </c>
      <c r="F8" s="2" t="inlineStr">
        <is>
          <t>36/12/6小时，均不超委托上限。</t>
        </is>
      </c>
    </row>
    <row r="9" ht="50" customHeight="1">
      <c r="A9" s="4" t="inlineStr">
        <is>
          <t>预算核验</t>
        </is>
      </c>
      <c r="B9" s="4" t="inlineStr">
        <is>
          <t>不得靠增加未声明人手</t>
        </is>
      </c>
      <c r="C9" s="4">
        <f>C8&lt;=36</f>
        <v/>
      </c>
      <c r="D9" s="4">
        <f>D8&lt;=12</f>
        <v/>
      </c>
      <c r="E9" s="4">
        <f>E8&lt;=6</f>
        <v/>
      </c>
      <c r="F9" s="4" t="inlineStr">
        <is>
          <t>信息治理不足或审批延迟时延后采集，不能默认为已批准。</t>
        </is>
      </c>
    </row>
  </sheetData>
  <autoFilter ref="A1:F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4" customWidth="1" min="2" max="2"/>
    <col width="55" customWidth="1" min="3" max="3"/>
  </cols>
  <sheetData>
    <row r="1" ht="32" customHeight="1">
      <c r="A1" s="1" t="inlineStr">
        <is>
          <t>主题</t>
        </is>
      </c>
      <c r="B1" s="1" t="inlineStr">
        <is>
          <t>当前建议</t>
        </is>
      </c>
      <c r="C1" s="1" t="inlineStr">
        <is>
          <t>条件/边界</t>
        </is>
      </c>
    </row>
    <row r="2" ht="50" customHeight="1">
      <c r="A2" s="2" t="inlineStr">
        <is>
          <t>采用证据</t>
        </is>
      </c>
      <c r="B2" s="2" t="inlineStr">
        <is>
          <t>可将研究作为观察偏倚风险信号</t>
        </is>
      </c>
      <c r="C2" s="2" t="inlineStr">
        <is>
          <t>支持与观察员可见性有关联；局限为单中心两移植病区，未量到机会依从率。</t>
        </is>
      </c>
    </row>
    <row r="3" ht="50" customHeight="1">
      <c r="A3" s="4" t="inlineStr">
        <is>
          <t>不采纳结论</t>
        </is>
      </c>
      <c r="B3" s="4" t="inlineStr">
        <is>
          <t>不采用375%、感染已下降或本院当前排名</t>
        </is>
      </c>
      <c r="C3" s="4" t="inlineStr">
        <is>
          <t>无机会数/患者结局、本地代表性或批准证据；不凭本研究取消直接观察。</t>
        </is>
      </c>
    </row>
    <row r="4" ht="50" customHeight="1">
      <c r="A4" s="2" t="inlineStr">
        <is>
          <t>方案决定</t>
        </is>
      </c>
      <c r="B4" s="2" t="inlineStr">
        <is>
          <t>建议先桌面审核，再按门槛分阶段试点</t>
        </is>
      </c>
      <c r="C4" s="2" t="inlineStr">
        <is>
          <t>总小时36/12/6；质量、院感、信息治理各审批/确认到位后才采集。</t>
        </is>
      </c>
    </row>
    <row r="5" ht="50" customHeight="1">
      <c r="A5" s="4" t="inlineStr">
        <is>
          <t>研究解释</t>
        </is>
      </c>
      <c r="B5" s="4" t="inlineStr">
        <is>
          <t>三控制、回顾性设计与剩余混杂一并报告</t>
        </is>
      </c>
      <c r="C5" s="4" t="inlineStr">
        <is>
          <t>到达后上升有时序支持但不等于随机因果；RTLS本身也可能诱发观察效应。</t>
        </is>
      </c>
    </row>
    <row r="6" ht="50" customHeight="1">
      <c r="A6" s="2" t="inlineStr">
        <is>
          <t>来源与权利</t>
        </is>
      </c>
      <c r="B6" s="2" t="inlineStr">
        <is>
          <t>Srigley等2014，BMJ Quality &amp; Safety；DOI 10.1136/bmjqs-2014-003080</t>
        </is>
      </c>
      <c r="C6" s="2" t="inlineStr">
        <is>
          <t>CC BY-NC 4.0；商用和再分发许可待核，不公开。实际抓取2026，非本院现场资料。</t>
        </is>
      </c>
    </row>
  </sheetData>
  <autoFilter ref="A1:C6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