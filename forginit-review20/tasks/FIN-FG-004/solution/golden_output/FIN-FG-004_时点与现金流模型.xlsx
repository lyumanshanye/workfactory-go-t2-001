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来源记录" sheetId="1" state="visible" r:id="rId1"/>
    <sheet xmlns:r="http://schemas.openxmlformats.org/officeDocument/2006/relationships" name="指标字典" sheetId="2" state="visible" r:id="rId2"/>
    <sheet xmlns:r="http://schemas.openxmlformats.org/officeDocument/2006/relationships" name="指标复算" sheetId="3" state="visible" r:id="rId3"/>
    <sheet xmlns:r="http://schemas.openxmlformats.org/officeDocument/2006/relationships" name="年度比较" sheetId="4" state="visible" r:id="rId4"/>
    <sheet xmlns:r="http://schemas.openxmlformats.org/officeDocument/2006/relationships" name="静态压力" sheetId="5" state="visible" r:id="rId5"/>
    <sheet xmlns:r="http://schemas.openxmlformats.org/officeDocument/2006/relationships" name="决策与待补" sheetId="6" state="visible" r:id="rId6"/>
  </sheets>
  <definedNames>
    <definedName name="_xlnm._FilterDatabase" localSheetId="0" hidden="1">'来源记录'!$A$1:$I$28</definedName>
    <definedName name="_xlnm.Print_Titles" localSheetId="0">'来源记录'!$1:$1</definedName>
    <definedName name="_xlnm.Print_Area" localSheetId="0">'来源记录'!$A$1:$I$28</definedName>
    <definedName name="_xlnm._FilterDatabase" localSheetId="1" hidden="1">'指标字典'!$A$1:$D$10</definedName>
    <definedName name="_xlnm.Print_Titles" localSheetId="1">'指标字典'!$1:$1</definedName>
    <definedName name="_xlnm.Print_Area" localSheetId="1">'指标字典'!$A$1:$D$10</definedName>
    <definedName name="_xlnm._FilterDatabase" localSheetId="2" hidden="1">'指标复算'!$A$1:$D$22</definedName>
    <definedName name="_xlnm.Print_Titles" localSheetId="2">'指标复算'!$1:$1</definedName>
    <definedName name="_xlnm.Print_Area" localSheetId="2">'指标复算'!$A$1:$D$22</definedName>
    <definedName name="_xlnm._FilterDatabase" localSheetId="3" hidden="1">'年度比较'!$A$1:$C$11</definedName>
    <definedName name="_xlnm.Print_Titles" localSheetId="3">'年度比较'!$1:$1</definedName>
    <definedName name="_xlnm.Print_Area" localSheetId="3">'年度比较'!$A$1:$C$11</definedName>
    <definedName name="_xlnm._FilterDatabase" localSheetId="4" hidden="1">'静态压力'!$A$1:$C$11</definedName>
    <definedName name="_xlnm.Print_Titles" localSheetId="4">'静态压力'!$1:$1</definedName>
    <definedName name="_xlnm.Print_Area" localSheetId="4">'静态压力'!$A$1:$C$11</definedName>
    <definedName name="_xlnm._FilterDatabase" localSheetId="5" hidden="1">'决策与待补'!$A$1:$D$7</definedName>
    <definedName name="_xlnm.Print_Titles" localSheetId="5">'决策与待补'!$1:$1</definedName>
    <definedName name="_xlnm.Print_Area" localSheetId="5">'决策与待补'!$A$1:$D$7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Noto Sans CJK SC"/>
      <b val="1"/>
      <color rgb="00FFFFFF"/>
      <sz val="10"/>
    </font>
    <font>
      <name val="Noto Sans CJK SC"/>
      <color rgb="0020252B"/>
      <sz val="10"/>
    </font>
  </fonts>
  <fills count="4">
    <fill>
      <patternFill/>
    </fill>
    <fill>
      <patternFill patternType="gray125"/>
    </fill>
    <fill>
      <patternFill patternType="solid">
        <fgColor rgb="00255B53"/>
      </patternFill>
    </fill>
    <fill>
      <patternFill patternType="solid">
        <fgColor rgb="00EDF3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28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3" customWidth="1" min="3" max="3"/>
    <col width="19" customWidth="1" min="4" max="4"/>
    <col width="15" customWidth="1" min="5" max="5"/>
    <col width="15" customWidth="1" min="6" max="6"/>
    <col width="33" customWidth="1" min="7" max="7"/>
    <col width="15" customWidth="1" min="8" max="8"/>
    <col width="15" customWidth="1" min="9" max="9"/>
  </cols>
  <sheetData>
    <row r="1" ht="32" customHeight="1">
      <c r="A1" s="1" t="inlineStr">
        <is>
          <t>指标</t>
        </is>
      </c>
      <c r="B1" s="1" t="inlineStr">
        <is>
          <t>经济财年</t>
        </is>
      </c>
      <c r="C1" s="1" t="inlineStr">
        <is>
          <t>原始USD</t>
        </is>
      </c>
      <c r="D1" s="1" t="inlineStr">
        <is>
          <t>USD million</t>
        </is>
      </c>
      <c r="E1" s="1" t="inlineStr">
        <is>
          <t>start</t>
        </is>
      </c>
      <c r="F1" s="1" t="inlineStr">
        <is>
          <t>end</t>
        </is>
      </c>
      <c r="G1" s="1" t="inlineStr">
        <is>
          <t>accn</t>
        </is>
      </c>
      <c r="H1" s="1" t="inlineStr">
        <is>
          <t>filed</t>
        </is>
      </c>
      <c r="I1" s="1" t="inlineStr">
        <is>
          <t>JSON数组索引</t>
        </is>
      </c>
    </row>
    <row r="2" ht="32" customHeight="1">
      <c r="A2" s="2" t="inlineStr">
        <is>
          <t>净利润</t>
        </is>
      </c>
      <c r="B2" s="4" t="n">
        <v>2022</v>
      </c>
      <c r="C2" s="4" t="n">
        <v>99803000000</v>
      </c>
      <c r="D2" s="4">
        <f>C2/1000000</f>
        <v/>
      </c>
      <c r="E2" s="2" t="inlineStr">
        <is>
          <t>2021-09-26</t>
        </is>
      </c>
      <c r="F2" s="2" t="inlineStr">
        <is>
          <t>2022-09-24</t>
        </is>
      </c>
      <c r="G2" s="2" t="inlineStr">
        <is>
          <t>0000320193-24-000123</t>
        </is>
      </c>
      <c r="H2" s="2" t="inlineStr">
        <is>
          <t>2024-11-01</t>
        </is>
      </c>
      <c r="I2" s="4" t="n">
        <v>296</v>
      </c>
    </row>
    <row r="3" ht="32" customHeight="1">
      <c r="A3" s="3" t="inlineStr">
        <is>
          <t>净利润</t>
        </is>
      </c>
      <c r="B3" s="5" t="n">
        <v>2023</v>
      </c>
      <c r="C3" s="5" t="n">
        <v>96995000000</v>
      </c>
      <c r="D3" s="5">
        <f>C3/1000000</f>
        <v/>
      </c>
      <c r="E3" s="3" t="inlineStr">
        <is>
          <t>2022-09-25</t>
        </is>
      </c>
      <c r="F3" s="3" t="inlineStr">
        <is>
          <t>2023-09-30</t>
        </is>
      </c>
      <c r="G3" s="3" t="inlineStr">
        <is>
          <t>0000320193-24-000123</t>
        </is>
      </c>
      <c r="H3" s="3" t="inlineStr">
        <is>
          <t>2024-11-01</t>
        </is>
      </c>
      <c r="I3" s="5" t="n">
        <v>308</v>
      </c>
    </row>
    <row r="4" ht="32" customHeight="1">
      <c r="A4" s="2" t="inlineStr">
        <is>
          <t>净利润</t>
        </is>
      </c>
      <c r="B4" s="4" t="n">
        <v>2024</v>
      </c>
      <c r="C4" s="4" t="n">
        <v>93736000000</v>
      </c>
      <c r="D4" s="4">
        <f>C4/1000000</f>
        <v/>
      </c>
      <c r="E4" s="2" t="inlineStr">
        <is>
          <t>2023-10-01</t>
        </is>
      </c>
      <c r="F4" s="2" t="inlineStr">
        <is>
          <t>2024-09-28</t>
        </is>
      </c>
      <c r="G4" s="2" t="inlineStr">
        <is>
          <t>0000320193-24-000123</t>
        </is>
      </c>
      <c r="H4" s="2" t="inlineStr">
        <is>
          <t>2024-11-01</t>
        </is>
      </c>
      <c r="I4" s="4" t="n">
        <v>320</v>
      </c>
    </row>
    <row r="5" ht="32" customHeight="1">
      <c r="A5" s="3" t="inlineStr">
        <is>
          <t>经营现金流</t>
        </is>
      </c>
      <c r="B5" s="5" t="n">
        <v>2022</v>
      </c>
      <c r="C5" s="5" t="n">
        <v>122151000000</v>
      </c>
      <c r="D5" s="5">
        <f>C5/1000000</f>
        <v/>
      </c>
      <c r="E5" s="3" t="inlineStr">
        <is>
          <t>2021-09-26</t>
        </is>
      </c>
      <c r="F5" s="3" t="inlineStr">
        <is>
          <t>2022-09-24</t>
        </is>
      </c>
      <c r="G5" s="3" t="inlineStr">
        <is>
          <t>0000320193-24-000123</t>
        </is>
      </c>
      <c r="H5" s="3" t="inlineStr">
        <is>
          <t>2024-11-01</t>
        </is>
      </c>
      <c r="I5" s="5" t="n">
        <v>106</v>
      </c>
    </row>
    <row r="6" ht="32" customHeight="1">
      <c r="A6" s="2" t="inlineStr">
        <is>
          <t>经营现金流</t>
        </is>
      </c>
      <c r="B6" s="4" t="n">
        <v>2023</v>
      </c>
      <c r="C6" s="4" t="n">
        <v>110543000000</v>
      </c>
      <c r="D6" s="4">
        <f>C6/1000000</f>
        <v/>
      </c>
      <c r="E6" s="2" t="inlineStr">
        <is>
          <t>2022-09-25</t>
        </is>
      </c>
      <c r="F6" s="2" t="inlineStr">
        <is>
          <t>2023-09-30</t>
        </is>
      </c>
      <c r="G6" s="2" t="inlineStr">
        <is>
          <t>0000320193-24-000123</t>
        </is>
      </c>
      <c r="H6" s="2" t="inlineStr">
        <is>
          <t>2024-11-01</t>
        </is>
      </c>
      <c r="I6" s="4" t="n">
        <v>114</v>
      </c>
    </row>
    <row r="7" ht="32" customHeight="1">
      <c r="A7" s="3" t="inlineStr">
        <is>
          <t>经营现金流</t>
        </is>
      </c>
      <c r="B7" s="5" t="n">
        <v>2024</v>
      </c>
      <c r="C7" s="5" t="n">
        <v>118254000000</v>
      </c>
      <c r="D7" s="5">
        <f>C7/1000000</f>
        <v/>
      </c>
      <c r="E7" s="3" t="inlineStr">
        <is>
          <t>2023-10-01</t>
        </is>
      </c>
      <c r="F7" s="3" t="inlineStr">
        <is>
          <t>2024-09-28</t>
        </is>
      </c>
      <c r="G7" s="3" t="inlineStr">
        <is>
          <t>0000320193-24-000123</t>
        </is>
      </c>
      <c r="H7" s="3" t="inlineStr">
        <is>
          <t>2024-11-01</t>
        </is>
      </c>
      <c r="I7" s="5" t="n">
        <v>122</v>
      </c>
    </row>
    <row r="8" ht="32" customHeight="1">
      <c r="A8" s="2" t="inlineStr">
        <is>
          <t>折旧摊销</t>
        </is>
      </c>
      <c r="B8" s="4" t="n">
        <v>2022</v>
      </c>
      <c r="C8" s="4" t="n">
        <v>11104000000</v>
      </c>
      <c r="D8" s="4">
        <f>C8/1000000</f>
        <v/>
      </c>
      <c r="E8" s="2" t="inlineStr">
        <is>
          <t>2021-09-26</t>
        </is>
      </c>
      <c r="F8" s="2" t="inlineStr">
        <is>
          <t>2022-09-24</t>
        </is>
      </c>
      <c r="G8" s="2" t="inlineStr">
        <is>
          <t>0000320193-24-000123</t>
        </is>
      </c>
      <c r="H8" s="2" t="inlineStr">
        <is>
          <t>2024-11-01</t>
        </is>
      </c>
      <c r="I8" s="4" t="n">
        <v>47</v>
      </c>
    </row>
    <row r="9" ht="32" customHeight="1">
      <c r="A9" s="3" t="inlineStr">
        <is>
          <t>折旧摊销</t>
        </is>
      </c>
      <c r="B9" s="5" t="n">
        <v>2023</v>
      </c>
      <c r="C9" s="5" t="n">
        <v>11519000000</v>
      </c>
      <c r="D9" s="5">
        <f>C9/1000000</f>
        <v/>
      </c>
      <c r="E9" s="3" t="inlineStr">
        <is>
          <t>2022-09-25</t>
        </is>
      </c>
      <c r="F9" s="3" t="inlineStr">
        <is>
          <t>2023-09-30</t>
        </is>
      </c>
      <c r="G9" s="3" t="inlineStr">
        <is>
          <t>0000320193-24-000123</t>
        </is>
      </c>
      <c r="H9" s="3" t="inlineStr">
        <is>
          <t>2024-11-01</t>
        </is>
      </c>
      <c r="I9" s="5" t="n">
        <v>55</v>
      </c>
    </row>
    <row r="10" ht="32" customHeight="1">
      <c r="A10" s="2" t="inlineStr">
        <is>
          <t>折旧摊销</t>
        </is>
      </c>
      <c r="B10" s="4" t="n">
        <v>2024</v>
      </c>
      <c r="C10" s="4" t="n">
        <v>11445000000</v>
      </c>
      <c r="D10" s="4">
        <f>C10/1000000</f>
        <v/>
      </c>
      <c r="E10" s="2" t="inlineStr">
        <is>
          <t>2023-10-01</t>
        </is>
      </c>
      <c r="F10" s="2" t="inlineStr">
        <is>
          <t>2024-09-28</t>
        </is>
      </c>
      <c r="G10" s="2" t="inlineStr">
        <is>
          <t>0000320193-24-000123</t>
        </is>
      </c>
      <c r="H10" s="2" t="inlineStr">
        <is>
          <t>2024-11-01</t>
        </is>
      </c>
      <c r="I10" s="4" t="n">
        <v>63</v>
      </c>
    </row>
    <row r="11" ht="32" customHeight="1">
      <c r="A11" s="3" t="inlineStr">
        <is>
          <t>股份报酬</t>
        </is>
      </c>
      <c r="B11" s="5" t="n">
        <v>2022</v>
      </c>
      <c r="C11" s="5" t="n">
        <v>9038000000</v>
      </c>
      <c r="D11" s="5">
        <f>C11/1000000</f>
        <v/>
      </c>
      <c r="E11" s="3" t="inlineStr">
        <is>
          <t>2021-09-26</t>
        </is>
      </c>
      <c r="F11" s="3" t="inlineStr">
        <is>
          <t>2022-09-24</t>
        </is>
      </c>
      <c r="G11" s="3" t="inlineStr">
        <is>
          <t>0000320193-24-000123</t>
        </is>
      </c>
      <c r="H11" s="3" t="inlineStr">
        <is>
          <t>2024-11-01</t>
        </is>
      </c>
      <c r="I11" s="5" t="n">
        <v>152</v>
      </c>
    </row>
    <row r="12" ht="32" customHeight="1">
      <c r="A12" s="2" t="inlineStr">
        <is>
          <t>股份报酬</t>
        </is>
      </c>
      <c r="B12" s="4" t="n">
        <v>2023</v>
      </c>
      <c r="C12" s="4" t="n">
        <v>10833000000</v>
      </c>
      <c r="D12" s="4">
        <f>C12/1000000</f>
        <v/>
      </c>
      <c r="E12" s="2" t="inlineStr">
        <is>
          <t>2022-09-25</t>
        </is>
      </c>
      <c r="F12" s="2" t="inlineStr">
        <is>
          <t>2023-09-30</t>
        </is>
      </c>
      <c r="G12" s="2" t="inlineStr">
        <is>
          <t>0000320193-24-000123</t>
        </is>
      </c>
      <c r="H12" s="2" t="inlineStr">
        <is>
          <t>2024-11-01</t>
        </is>
      </c>
      <c r="I12" s="4" t="n">
        <v>160</v>
      </c>
    </row>
    <row r="13" ht="32" customHeight="1">
      <c r="A13" s="3" t="inlineStr">
        <is>
          <t>股份报酬</t>
        </is>
      </c>
      <c r="B13" s="5" t="n">
        <v>2024</v>
      </c>
      <c r="C13" s="5" t="n">
        <v>11688000000</v>
      </c>
      <c r="D13" s="5">
        <f>C13/1000000</f>
        <v/>
      </c>
      <c r="E13" s="3" t="inlineStr">
        <is>
          <t>2023-10-01</t>
        </is>
      </c>
      <c r="F13" s="3" t="inlineStr">
        <is>
          <t>2024-09-28</t>
        </is>
      </c>
      <c r="G13" s="3" t="inlineStr">
        <is>
          <t>0000320193-24-000123</t>
        </is>
      </c>
      <c r="H13" s="3" t="inlineStr">
        <is>
          <t>2024-11-01</t>
        </is>
      </c>
      <c r="I13" s="5" t="n">
        <v>168</v>
      </c>
    </row>
    <row r="14" ht="32" customHeight="1">
      <c r="A14" s="2" t="inlineStr">
        <is>
          <t>购建固定资产支付</t>
        </is>
      </c>
      <c r="B14" s="4" t="n">
        <v>2022</v>
      </c>
      <c r="C14" s="4" t="n">
        <v>10708000000</v>
      </c>
      <c r="D14" s="4">
        <f>C14/1000000</f>
        <v/>
      </c>
      <c r="E14" s="2" t="inlineStr">
        <is>
          <t>2021-09-26</t>
        </is>
      </c>
      <c r="F14" s="2" t="inlineStr">
        <is>
          <t>2022-09-24</t>
        </is>
      </c>
      <c r="G14" s="2" t="inlineStr">
        <is>
          <t>0000320193-24-000123</t>
        </is>
      </c>
      <c r="H14" s="2" t="inlineStr">
        <is>
          <t>2024-11-01</t>
        </is>
      </c>
      <c r="I14" s="4" t="n">
        <v>77</v>
      </c>
    </row>
    <row r="15" ht="32" customHeight="1">
      <c r="A15" s="3" t="inlineStr">
        <is>
          <t>购建固定资产支付</t>
        </is>
      </c>
      <c r="B15" s="5" t="n">
        <v>2023</v>
      </c>
      <c r="C15" s="5" t="n">
        <v>10959000000</v>
      </c>
      <c r="D15" s="5">
        <f>C15/1000000</f>
        <v/>
      </c>
      <c r="E15" s="3" t="inlineStr">
        <is>
          <t>2022-09-25</t>
        </is>
      </c>
      <c r="F15" s="3" t="inlineStr">
        <is>
          <t>2023-09-30</t>
        </is>
      </c>
      <c r="G15" s="3" t="inlineStr">
        <is>
          <t>0000320193-24-000123</t>
        </is>
      </c>
      <c r="H15" s="3" t="inlineStr">
        <is>
          <t>2024-11-01</t>
        </is>
      </c>
      <c r="I15" s="5" t="n">
        <v>85</v>
      </c>
    </row>
    <row r="16" ht="32" customHeight="1">
      <c r="A16" s="2" t="inlineStr">
        <is>
          <t>购建固定资产支付</t>
        </is>
      </c>
      <c r="B16" s="4" t="n">
        <v>2024</v>
      </c>
      <c r="C16" s="4" t="n">
        <v>9447000000</v>
      </c>
      <c r="D16" s="4">
        <f>C16/1000000</f>
        <v/>
      </c>
      <c r="E16" s="2" t="inlineStr">
        <is>
          <t>2023-10-01</t>
        </is>
      </c>
      <c r="F16" s="2" t="inlineStr">
        <is>
          <t>2024-09-28</t>
        </is>
      </c>
      <c r="G16" s="2" t="inlineStr">
        <is>
          <t>0000320193-24-000123</t>
        </is>
      </c>
      <c r="H16" s="2" t="inlineStr">
        <is>
          <t>2024-11-01</t>
        </is>
      </c>
      <c r="I16" s="4" t="n">
        <v>93</v>
      </c>
    </row>
    <row r="17" ht="32" customHeight="1">
      <c r="A17" s="3" t="inlineStr">
        <is>
          <t>普通股回购支付</t>
        </is>
      </c>
      <c r="B17" s="5" t="n">
        <v>2022</v>
      </c>
      <c r="C17" s="5" t="n">
        <v>89402000000</v>
      </c>
      <c r="D17" s="5">
        <f>C17/1000000</f>
        <v/>
      </c>
      <c r="E17" s="3" t="inlineStr">
        <is>
          <t>2021-09-26</t>
        </is>
      </c>
      <c r="F17" s="3" t="inlineStr">
        <is>
          <t>2022-09-24</t>
        </is>
      </c>
      <c r="G17" s="3" t="inlineStr">
        <is>
          <t>0000320193-24-000123</t>
        </is>
      </c>
      <c r="H17" s="3" t="inlineStr">
        <is>
          <t>2024-11-01</t>
        </is>
      </c>
      <c r="I17" s="5" t="n">
        <v>98</v>
      </c>
    </row>
    <row r="18" ht="32" customHeight="1">
      <c r="A18" s="2" t="inlineStr">
        <is>
          <t>普通股回购支付</t>
        </is>
      </c>
      <c r="B18" s="4" t="n">
        <v>2023</v>
      </c>
      <c r="C18" s="4" t="n">
        <v>77550000000</v>
      </c>
      <c r="D18" s="4">
        <f>C18/1000000</f>
        <v/>
      </c>
      <c r="E18" s="2" t="inlineStr">
        <is>
          <t>2022-09-25</t>
        </is>
      </c>
      <c r="F18" s="2" t="inlineStr">
        <is>
          <t>2023-09-30</t>
        </is>
      </c>
      <c r="G18" s="2" t="inlineStr">
        <is>
          <t>0000320193-24-000123</t>
        </is>
      </c>
      <c r="H18" s="2" t="inlineStr">
        <is>
          <t>2024-11-01</t>
        </is>
      </c>
      <c r="I18" s="4" t="n">
        <v>106</v>
      </c>
    </row>
    <row r="19" ht="32" customHeight="1">
      <c r="A19" s="3" t="inlineStr">
        <is>
          <t>普通股回购支付</t>
        </is>
      </c>
      <c r="B19" s="5" t="n">
        <v>2024</v>
      </c>
      <c r="C19" s="5" t="n">
        <v>94949000000</v>
      </c>
      <c r="D19" s="5">
        <f>C19/1000000</f>
        <v/>
      </c>
      <c r="E19" s="3" t="inlineStr">
        <is>
          <t>2023-10-01</t>
        </is>
      </c>
      <c r="F19" s="3" t="inlineStr">
        <is>
          <t>2024-09-28</t>
        </is>
      </c>
      <c r="G19" s="3" t="inlineStr">
        <is>
          <t>0000320193-24-000123</t>
        </is>
      </c>
      <c r="H19" s="3" t="inlineStr">
        <is>
          <t>2024-11-01</t>
        </is>
      </c>
      <c r="I19" s="5" t="n">
        <v>114</v>
      </c>
    </row>
    <row r="20" ht="32" customHeight="1">
      <c r="A20" s="2" t="inlineStr">
        <is>
          <t>股息支付</t>
        </is>
      </c>
      <c r="B20" s="4" t="n">
        <v>2022</v>
      </c>
      <c r="C20" s="4" t="n">
        <v>14841000000</v>
      </c>
      <c r="D20" s="4">
        <f>C20/1000000</f>
        <v/>
      </c>
      <c r="E20" s="2" t="inlineStr">
        <is>
          <t>2021-09-26</t>
        </is>
      </c>
      <c r="F20" s="2" t="inlineStr">
        <is>
          <t>2022-09-24</t>
        </is>
      </c>
      <c r="G20" s="2" t="inlineStr">
        <is>
          <t>0000320193-24-000123</t>
        </is>
      </c>
      <c r="H20" s="2" t="inlineStr">
        <is>
          <t>2024-11-01</t>
        </is>
      </c>
      <c r="I20" s="4" t="n">
        <v>200</v>
      </c>
    </row>
    <row r="21" ht="32" customHeight="1">
      <c r="A21" s="3" t="inlineStr">
        <is>
          <t>股息支付</t>
        </is>
      </c>
      <c r="B21" s="5" t="n">
        <v>2023</v>
      </c>
      <c r="C21" s="5" t="n">
        <v>15025000000</v>
      </c>
      <c r="D21" s="5">
        <f>C21/1000000</f>
        <v/>
      </c>
      <c r="E21" s="3" t="inlineStr">
        <is>
          <t>2022-09-25</t>
        </is>
      </c>
      <c r="F21" s="3" t="inlineStr">
        <is>
          <t>2023-09-30</t>
        </is>
      </c>
      <c r="G21" s="3" t="inlineStr">
        <is>
          <t>0000320193-24-000123</t>
        </is>
      </c>
      <c r="H21" s="3" t="inlineStr">
        <is>
          <t>2024-11-01</t>
        </is>
      </c>
      <c r="I21" s="5" t="n">
        <v>208</v>
      </c>
    </row>
    <row r="22" ht="32" customHeight="1">
      <c r="A22" s="2" t="inlineStr">
        <is>
          <t>股息支付</t>
        </is>
      </c>
      <c r="B22" s="4" t="n">
        <v>2024</v>
      </c>
      <c r="C22" s="4" t="n">
        <v>15234000000</v>
      </c>
      <c r="D22" s="4">
        <f>C22/1000000</f>
        <v/>
      </c>
      <c r="E22" s="2" t="inlineStr">
        <is>
          <t>2023-10-01</t>
        </is>
      </c>
      <c r="F22" s="2" t="inlineStr">
        <is>
          <t>2024-09-28</t>
        </is>
      </c>
      <c r="G22" s="2" t="inlineStr">
        <is>
          <t>0000320193-24-000123</t>
        </is>
      </c>
      <c r="H22" s="2" t="inlineStr">
        <is>
          <t>2024-11-01</t>
        </is>
      </c>
      <c r="I22" s="4" t="n">
        <v>216</v>
      </c>
    </row>
    <row r="23" ht="32" customHeight="1">
      <c r="A23" s="3" t="inlineStr">
        <is>
          <t>所得税费用</t>
        </is>
      </c>
      <c r="B23" s="5" t="n">
        <v>2022</v>
      </c>
      <c r="C23" s="5" t="n">
        <v>19300000000</v>
      </c>
      <c r="D23" s="5">
        <f>C23/1000000</f>
        <v/>
      </c>
      <c r="E23" s="3" t="inlineStr">
        <is>
          <t>2021-09-26</t>
        </is>
      </c>
      <c r="F23" s="3" t="inlineStr">
        <is>
          <t>2022-09-24</t>
        </is>
      </c>
      <c r="G23" s="3" t="inlineStr">
        <is>
          <t>0000320193-24-000123</t>
        </is>
      </c>
      <c r="H23" s="3" t="inlineStr">
        <is>
          <t>2024-11-01</t>
        </is>
      </c>
      <c r="I23" s="5" t="n">
        <v>192</v>
      </c>
    </row>
    <row r="24" ht="32" customHeight="1">
      <c r="A24" s="2" t="inlineStr">
        <is>
          <t>所得税费用</t>
        </is>
      </c>
      <c r="B24" s="4" t="n">
        <v>2023</v>
      </c>
      <c r="C24" s="4" t="n">
        <v>16741000000</v>
      </c>
      <c r="D24" s="4">
        <f>C24/1000000</f>
        <v/>
      </c>
      <c r="E24" s="2" t="inlineStr">
        <is>
          <t>2022-09-25</t>
        </is>
      </c>
      <c r="F24" s="2" t="inlineStr">
        <is>
          <t>2023-09-30</t>
        </is>
      </c>
      <c r="G24" s="2" t="inlineStr">
        <is>
          <t>0000320193-24-000123</t>
        </is>
      </c>
      <c r="H24" s="2" t="inlineStr">
        <is>
          <t>2024-11-01</t>
        </is>
      </c>
      <c r="I24" s="4" t="n">
        <v>204</v>
      </c>
    </row>
    <row r="25" ht="32" customHeight="1">
      <c r="A25" s="3" t="inlineStr">
        <is>
          <t>所得税费用</t>
        </is>
      </c>
      <c r="B25" s="5" t="n">
        <v>2024</v>
      </c>
      <c r="C25" s="5" t="n">
        <v>29749000000</v>
      </c>
      <c r="D25" s="5">
        <f>C25/1000000</f>
        <v/>
      </c>
      <c r="E25" s="3" t="inlineStr">
        <is>
          <t>2023-10-01</t>
        </is>
      </c>
      <c r="F25" s="3" t="inlineStr">
        <is>
          <t>2024-09-28</t>
        </is>
      </c>
      <c r="G25" s="3" t="inlineStr">
        <is>
          <t>0000320193-24-000123</t>
        </is>
      </c>
      <c r="H25" s="3" t="inlineStr">
        <is>
          <t>2024-11-01</t>
        </is>
      </c>
      <c r="I25" s="5" t="n">
        <v>216</v>
      </c>
    </row>
    <row r="26" ht="32" customHeight="1">
      <c r="A26" s="2" t="inlineStr">
        <is>
          <t>税前利润</t>
        </is>
      </c>
      <c r="B26" s="4" t="n">
        <v>2022</v>
      </c>
      <c r="C26" s="4" t="n">
        <v>119103000000</v>
      </c>
      <c r="D26" s="4">
        <f>C26/1000000</f>
        <v/>
      </c>
      <c r="E26" s="2" t="inlineStr">
        <is>
          <t>2021-09-26</t>
        </is>
      </c>
      <c r="F26" s="2" t="inlineStr">
        <is>
          <t>2022-09-24</t>
        </is>
      </c>
      <c r="G26" s="2" t="inlineStr">
        <is>
          <t>0000320193-24-000123</t>
        </is>
      </c>
      <c r="H26" s="2" t="inlineStr">
        <is>
          <t>2024-11-01</t>
        </is>
      </c>
      <c r="I26" s="4" t="n">
        <v>134</v>
      </c>
    </row>
    <row r="27" ht="32" customHeight="1">
      <c r="A27" s="3" t="inlineStr">
        <is>
          <t>税前利润</t>
        </is>
      </c>
      <c r="B27" s="5" t="n">
        <v>2023</v>
      </c>
      <c r="C27" s="5" t="n">
        <v>113736000000</v>
      </c>
      <c r="D27" s="5">
        <f>C27/1000000</f>
        <v/>
      </c>
      <c r="E27" s="3" t="inlineStr">
        <is>
          <t>2022-09-25</t>
        </is>
      </c>
      <c r="F27" s="3" t="inlineStr">
        <is>
          <t>2023-09-30</t>
        </is>
      </c>
      <c r="G27" s="3" t="inlineStr">
        <is>
          <t>0000320193-24-000123</t>
        </is>
      </c>
      <c r="H27" s="3" t="inlineStr">
        <is>
          <t>2024-11-01</t>
        </is>
      </c>
      <c r="I27" s="5" t="n">
        <v>146</v>
      </c>
    </row>
    <row r="28" ht="32" customHeight="1">
      <c r="A28" s="2" t="inlineStr">
        <is>
          <t>税前利润</t>
        </is>
      </c>
      <c r="B28" s="4" t="n">
        <v>2024</v>
      </c>
      <c r="C28" s="4" t="n">
        <v>123485000000</v>
      </c>
      <c r="D28" s="4">
        <f>C28/1000000</f>
        <v/>
      </c>
      <c r="E28" s="2" t="inlineStr">
        <is>
          <t>2023-10-01</t>
        </is>
      </c>
      <c r="F28" s="2" t="inlineStr">
        <is>
          <t>2024-09-28</t>
        </is>
      </c>
      <c r="G28" s="2" t="inlineStr">
        <is>
          <t>0000320193-24-000123</t>
        </is>
      </c>
      <c r="H28" s="2" t="inlineStr">
        <is>
          <t>2024-11-01</t>
        </is>
      </c>
      <c r="I28" s="4" t="n">
        <v>158</v>
      </c>
    </row>
  </sheetData>
  <autoFilter ref="A1:I28"/>
  <printOptions horizontalCentered="1"/>
  <pageMargins left="0.75" right="0.75" top="1" bottom="1" header="0.5" footer="0.5"/>
  <pageSetup orientation="landscape" paperSize="8" fitToHeight="1" fitToWidth="1"/>
  <headerFooter>
    <oddHeader/>
    <oddFooter>&amp;C&amp;A |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0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10" customWidth="1" min="3" max="3"/>
    <col width="14" customWidth="1" min="4" max="4"/>
  </cols>
  <sheetData>
    <row r="1" ht="32" customHeight="1">
      <c r="A1" s="1" t="inlineStr">
        <is>
          <t>来源记录中的指标</t>
        </is>
      </c>
      <c r="B1" s="1" t="inlineStr">
        <is>
          <t>别名</t>
        </is>
      </c>
      <c r="C1" s="1" t="inlineStr">
        <is>
          <t>SEC us-gaap tag</t>
        </is>
      </c>
      <c r="D1" s="1" t="inlineStr">
        <is>
          <t>原始单位</t>
        </is>
      </c>
    </row>
    <row r="2" ht="32" customHeight="1">
      <c r="A2" s="2" t="inlineStr">
        <is>
          <t>净利润</t>
        </is>
      </c>
      <c r="B2" s="2" t="inlineStr">
        <is>
          <t>NI</t>
        </is>
      </c>
      <c r="C2" s="2" t="inlineStr">
        <is>
          <t>NetIncomeLoss</t>
        </is>
      </c>
      <c r="D2" s="2" t="inlineStr">
        <is>
          <t>USD</t>
        </is>
      </c>
    </row>
    <row r="3" ht="32" customHeight="1">
      <c r="A3" s="3" t="inlineStr">
        <is>
          <t>经营现金流</t>
        </is>
      </c>
      <c r="B3" s="3" t="inlineStr">
        <is>
          <t>CFO</t>
        </is>
      </c>
      <c r="C3" s="3" t="inlineStr">
        <is>
          <t>NetCashProvidedByUsedInOperatingActivities</t>
        </is>
      </c>
      <c r="D3" s="3" t="inlineStr">
        <is>
          <t>USD</t>
        </is>
      </c>
    </row>
    <row r="4" ht="32" customHeight="1">
      <c r="A4" s="2" t="inlineStr">
        <is>
          <t>折旧摊销</t>
        </is>
      </c>
      <c r="B4" s="2" t="inlineStr">
        <is>
          <t>DA</t>
        </is>
      </c>
      <c r="C4" s="2" t="inlineStr">
        <is>
          <t>DepreciationDepletionAndAmortization</t>
        </is>
      </c>
      <c r="D4" s="2" t="inlineStr">
        <is>
          <t>USD</t>
        </is>
      </c>
    </row>
    <row r="5" ht="32" customHeight="1">
      <c r="A5" s="3" t="inlineStr">
        <is>
          <t>股份报酬</t>
        </is>
      </c>
      <c r="B5" s="3" t="inlineStr">
        <is>
          <t>SBC</t>
        </is>
      </c>
      <c r="C5" s="3" t="inlineStr">
        <is>
          <t>ShareBasedCompensation</t>
        </is>
      </c>
      <c r="D5" s="3" t="inlineStr">
        <is>
          <t>USD</t>
        </is>
      </c>
    </row>
    <row r="6" ht="32" customHeight="1">
      <c r="A6" s="2" t="inlineStr">
        <is>
          <t>购建固定资产支付</t>
        </is>
      </c>
      <c r="B6" s="2" t="inlineStr">
        <is>
          <t>CAPEX</t>
        </is>
      </c>
      <c r="C6" s="2" t="inlineStr">
        <is>
          <t>PaymentsToAcquirePropertyPlantAndEquipment</t>
        </is>
      </c>
      <c r="D6" s="2" t="inlineStr">
        <is>
          <t>USD</t>
        </is>
      </c>
    </row>
    <row r="7" ht="32" customHeight="1">
      <c r="A7" s="3" t="inlineStr">
        <is>
          <t>普通股回购支付</t>
        </is>
      </c>
      <c r="B7" s="3" t="inlineStr">
        <is>
          <t>BUYBACK</t>
        </is>
      </c>
      <c r="C7" s="3" t="inlineStr">
        <is>
          <t>PaymentsForRepurchaseOfCommonStock</t>
        </is>
      </c>
      <c r="D7" s="3" t="inlineStr">
        <is>
          <t>USD</t>
        </is>
      </c>
    </row>
    <row r="8" ht="32" customHeight="1">
      <c r="A8" s="2" t="inlineStr">
        <is>
          <t>股息支付</t>
        </is>
      </c>
      <c r="B8" s="2" t="inlineStr">
        <is>
          <t>DIV</t>
        </is>
      </c>
      <c r="C8" s="2" t="inlineStr">
        <is>
          <t>PaymentsOfDividends</t>
        </is>
      </c>
      <c r="D8" s="2" t="inlineStr">
        <is>
          <t>USD</t>
        </is>
      </c>
    </row>
    <row r="9" ht="32" customHeight="1">
      <c r="A9" s="3" t="inlineStr">
        <is>
          <t>所得税费用</t>
        </is>
      </c>
      <c r="B9" s="3" t="inlineStr">
        <is>
          <t>TAX</t>
        </is>
      </c>
      <c r="C9" s="3" t="inlineStr">
        <is>
          <t>IncomeTaxExpenseBenefit</t>
        </is>
      </c>
      <c r="D9" s="3" t="inlineStr">
        <is>
          <t>USD</t>
        </is>
      </c>
    </row>
    <row r="10" ht="32" customHeight="1">
      <c r="A10" s="2" t="inlineStr">
        <is>
          <t>税前利润</t>
        </is>
      </c>
      <c r="B10" s="2" t="inlineStr">
        <is>
          <t>PRETAX</t>
        </is>
      </c>
      <c r="C10" s="2" t="inlineStr">
        <is>
          <t>IncomeLossFromContinuingOperationsBeforeIncomeTaxesExtraordinaryItemsNoncontrollingInterest</t>
        </is>
      </c>
      <c r="D10" s="2" t="inlineStr">
        <is>
          <t>USD</t>
        </is>
      </c>
    </row>
  </sheetData>
  <autoFilter ref="A1:D10"/>
  <printOptions horizontalCentered="1"/>
  <pageMargins left="0.75" right="0.75" top="1" bottom="1" header="0.5" footer="0.5"/>
  <pageSetup orientation="landscape" paperSize="8" fitToHeight="1" fitToWidth="1"/>
  <headerFooter>
    <oddHeader/>
    <oddFooter>&amp;C&amp;A |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21" customWidth="1" min="2" max="2"/>
    <col width="21" customWidth="1" min="3" max="3"/>
    <col width="21" customWidth="1" min="4" max="4"/>
  </cols>
  <sheetData>
    <row r="1" ht="32" customHeight="1">
      <c r="A1" s="1" t="inlineStr">
        <is>
          <t>指标与单位</t>
        </is>
      </c>
      <c r="B1" s="1" t="inlineStr">
        <is>
          <t>FY2022</t>
        </is>
      </c>
      <c r="C1" s="1" t="inlineStr">
        <is>
          <t>FY2023</t>
        </is>
      </c>
      <c r="D1" s="1" t="inlineStr">
        <is>
          <t>FY2024</t>
        </is>
      </c>
    </row>
    <row r="2" ht="32" customHeight="1">
      <c r="A2" s="2" t="inlineStr">
        <is>
          <t>NI / USD million</t>
        </is>
      </c>
      <c r="B2" s="4">
        <f>'来源记录'!D2</f>
        <v/>
      </c>
      <c r="C2" s="4">
        <f>'来源记录'!D3</f>
        <v/>
      </c>
      <c r="D2" s="4">
        <f>'来源记录'!D4</f>
        <v/>
      </c>
    </row>
    <row r="3" ht="32" customHeight="1">
      <c r="A3" s="3" t="inlineStr">
        <is>
          <t>CFO / USD million</t>
        </is>
      </c>
      <c r="B3" s="5">
        <f>'来源记录'!D5</f>
        <v/>
      </c>
      <c r="C3" s="5">
        <f>'来源记录'!D6</f>
        <v/>
      </c>
      <c r="D3" s="5">
        <f>'来源记录'!D7</f>
        <v/>
      </c>
    </row>
    <row r="4" ht="32" customHeight="1">
      <c r="A4" s="2" t="inlineStr">
        <is>
          <t>D&amp;A / USD million</t>
        </is>
      </c>
      <c r="B4" s="4">
        <f>'来源记录'!D8</f>
        <v/>
      </c>
      <c r="C4" s="4">
        <f>'来源记录'!D9</f>
        <v/>
      </c>
      <c r="D4" s="4">
        <f>'来源记录'!D10</f>
        <v/>
      </c>
    </row>
    <row r="5" ht="32" customHeight="1">
      <c r="A5" s="3" t="inlineStr">
        <is>
          <t>SBC / USD million</t>
        </is>
      </c>
      <c r="B5" s="5">
        <f>'来源记录'!D11</f>
        <v/>
      </c>
      <c r="C5" s="5">
        <f>'来源记录'!D12</f>
        <v/>
      </c>
      <c r="D5" s="5">
        <f>'来源记录'!D13</f>
        <v/>
      </c>
    </row>
    <row r="6" ht="32" customHeight="1">
      <c r="A6" s="2" t="inlineStr">
        <is>
          <t>CFO-NI / USD million</t>
        </is>
      </c>
      <c r="B6" s="4">
        <f>B3-B2</f>
        <v/>
      </c>
      <c r="C6" s="4">
        <f>C3-C2</f>
        <v/>
      </c>
      <c r="D6" s="4">
        <f>D3-D2</f>
        <v/>
      </c>
    </row>
    <row r="7" ht="32" customHeight="1">
      <c r="A7" s="3" t="inlineStr">
        <is>
          <t>D&amp;A+SBC / USD million</t>
        </is>
      </c>
      <c r="B7" s="5">
        <f>B4+B5</f>
        <v/>
      </c>
      <c r="C7" s="5">
        <f>C4+C5</f>
        <v/>
      </c>
      <c r="D7" s="5">
        <f>D4+D5</f>
        <v/>
      </c>
    </row>
    <row r="8" ht="32" customHeight="1">
      <c r="A8" s="2" t="inlineStr">
        <is>
          <t>残差（非全部营运资本）/ USD million</t>
        </is>
      </c>
      <c r="B8" s="4">
        <f>B6-B7</f>
        <v/>
      </c>
      <c r="C8" s="4">
        <f>C6-C7</f>
        <v/>
      </c>
      <c r="D8" s="4">
        <f>D6-D7</f>
        <v/>
      </c>
    </row>
    <row r="9" ht="32" customHeight="1">
      <c r="A9" s="3" t="inlineStr">
        <is>
          <t>CFO/NI / 倍</t>
        </is>
      </c>
      <c r="B9" s="5">
        <f>ROUND(B3/B2,4)</f>
        <v/>
      </c>
      <c r="C9" s="5">
        <f>ROUND(C3/C2,4)</f>
        <v/>
      </c>
      <c r="D9" s="5">
        <f>ROUND(D3/D2,4)</f>
        <v/>
      </c>
    </row>
    <row r="10" ht="32" customHeight="1">
      <c r="A10" s="2" t="inlineStr">
        <is>
          <t>含首尾期间天数 / 天</t>
        </is>
      </c>
      <c r="B10" s="4" t="n">
        <v>364</v>
      </c>
      <c r="C10" s="4" t="n">
        <v>371</v>
      </c>
      <c r="D10" s="4" t="n">
        <v>364</v>
      </c>
    </row>
    <row r="11" ht="32" customHeight="1">
      <c r="A11" s="3" t="inlineStr">
        <is>
          <t>CFO/天 / USD million</t>
        </is>
      </c>
      <c r="B11" s="5">
        <f>ROUND(B3/B10,4)</f>
        <v/>
      </c>
      <c r="C11" s="5">
        <f>ROUND(C3/C10,4)</f>
        <v/>
      </c>
      <c r="D11" s="5">
        <f>ROUND(D3/D10,4)</f>
        <v/>
      </c>
    </row>
    <row r="12" ht="32" customHeight="1">
      <c r="A12" s="2" t="inlineStr">
        <is>
          <t>CAPEX / USD million</t>
        </is>
      </c>
      <c r="B12" s="4">
        <f>'来源记录'!D14</f>
        <v/>
      </c>
      <c r="C12" s="4">
        <f>'来源记录'!D15</f>
        <v/>
      </c>
      <c r="D12" s="4">
        <f>'来源记录'!D16</f>
        <v/>
      </c>
    </row>
    <row r="13" ht="32" customHeight="1">
      <c r="A13" s="3" t="inlineStr">
        <is>
          <t>FCF / USD million</t>
        </is>
      </c>
      <c r="B13" s="5">
        <f>B3-B12</f>
        <v/>
      </c>
      <c r="C13" s="5">
        <f>C3-C12</f>
        <v/>
      </c>
      <c r="D13" s="5">
        <f>D3-D12</f>
        <v/>
      </c>
    </row>
    <row r="14" ht="32" customHeight="1">
      <c r="A14" s="2" t="inlineStr">
        <is>
          <t>回购 / USD million</t>
        </is>
      </c>
      <c r="B14" s="4">
        <f>'来源记录'!D17</f>
        <v/>
      </c>
      <c r="C14" s="4">
        <f>'来源记录'!D18</f>
        <v/>
      </c>
      <c r="D14" s="4">
        <f>'来源记录'!D19</f>
        <v/>
      </c>
    </row>
    <row r="15" ht="32" customHeight="1">
      <c r="A15" s="3" t="inlineStr">
        <is>
          <t>股息 / USD million</t>
        </is>
      </c>
      <c r="B15" s="5">
        <f>'来源记录'!D20</f>
        <v/>
      </c>
      <c r="C15" s="5">
        <f>'来源记录'!D21</f>
        <v/>
      </c>
      <c r="D15" s="5">
        <f>'来源记录'!D22</f>
        <v/>
      </c>
    </row>
    <row r="16" ht="32" customHeight="1">
      <c r="A16" s="2" t="inlineStr">
        <is>
          <t>资本回报 / USD million</t>
        </is>
      </c>
      <c r="B16" s="4">
        <f>B14+B15</f>
        <v/>
      </c>
      <c r="C16" s="4">
        <f>C14+C15</f>
        <v/>
      </c>
      <c r="D16" s="4">
        <f>D14+D15</f>
        <v/>
      </c>
    </row>
    <row r="17" ht="32" customHeight="1">
      <c r="A17" s="3" t="inlineStr">
        <is>
          <t>FCF/资本回报 / 倍</t>
        </is>
      </c>
      <c r="B17" s="5">
        <f>ROUND(B13/B16,4)</f>
        <v/>
      </c>
      <c r="C17" s="5">
        <f>ROUND(C13/C16,4)</f>
        <v/>
      </c>
      <c r="D17" s="5">
        <f>ROUND(D13/D16,4)</f>
        <v/>
      </c>
    </row>
    <row r="18" ht="32" customHeight="1">
      <c r="A18" s="2" t="inlineStr">
        <is>
          <t>FCF-资本回报 / USD million</t>
        </is>
      </c>
      <c r="B18" s="4">
        <f>B13-B16</f>
        <v/>
      </c>
      <c r="C18" s="4">
        <f>C13-C16</f>
        <v/>
      </c>
      <c r="D18" s="4">
        <f>D13-D16</f>
        <v/>
      </c>
    </row>
    <row r="19" ht="32" customHeight="1">
      <c r="A19" s="3" t="inlineStr">
        <is>
          <t>税前利润 / USD million</t>
        </is>
      </c>
      <c r="B19" s="5">
        <f>'来源记录'!D26</f>
        <v/>
      </c>
      <c r="C19" s="5">
        <f>'来源记录'!D27</f>
        <v/>
      </c>
      <c r="D19" s="5">
        <f>'来源记录'!D28</f>
        <v/>
      </c>
    </row>
    <row r="20" ht="32" customHeight="1">
      <c r="A20" s="2" t="inlineStr">
        <is>
          <t>所得税费用 / USD million</t>
        </is>
      </c>
      <c r="B20" s="4">
        <f>'来源记录'!D23</f>
        <v/>
      </c>
      <c r="C20" s="4">
        <f>'来源记录'!D24</f>
        <v/>
      </c>
      <c r="D20" s="4">
        <f>'来源记录'!D25</f>
        <v/>
      </c>
    </row>
    <row r="21" ht="32" customHeight="1">
      <c r="A21" s="3" t="inlineStr">
        <is>
          <t>ETR / 比例</t>
        </is>
      </c>
      <c r="B21" s="5">
        <f>ROUND(B20/B19,4)</f>
        <v/>
      </c>
      <c r="C21" s="5">
        <f>ROUND(C20/C19,4)</f>
        <v/>
      </c>
      <c r="D21" s="5">
        <f>ROUND(D20/D19,4)</f>
        <v/>
      </c>
    </row>
    <row r="22" ht="32" customHeight="1">
      <c r="A22" s="2" t="inlineStr">
        <is>
          <t>税前-税费-NI复核 / USD million</t>
        </is>
      </c>
      <c r="B22" s="4">
        <f>B19-B20-B2</f>
        <v/>
      </c>
      <c r="C22" s="4">
        <f>C19-C20-C2</f>
        <v/>
      </c>
      <c r="D22" s="4">
        <f>D19-D20-D2</f>
        <v/>
      </c>
    </row>
  </sheetData>
  <autoFilter ref="A1:D22"/>
  <printOptions horizontalCentered="1"/>
  <pageMargins left="0.75" right="0.75" top="1" bottom="1" header="0.5" footer="0.5"/>
  <pageSetup orientation="landscape" paperSize="8" fitToHeight="1" fitToWidth="1"/>
  <headerFooter>
    <oddHeader/>
    <oddFooter>&amp;C&amp;A |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30" customWidth="1" min="2" max="2"/>
    <col width="30" customWidth="1" min="3" max="3"/>
  </cols>
  <sheetData>
    <row r="1" ht="32" customHeight="1">
      <c r="A1" s="1" t="inlineStr">
        <is>
          <t>变化与单位</t>
        </is>
      </c>
      <c r="B1" s="1" t="inlineStr">
        <is>
          <t>FY2023 vs FY2022</t>
        </is>
      </c>
      <c r="C1" s="1" t="inlineStr">
        <is>
          <t>FY2024 vs FY2023</t>
        </is>
      </c>
    </row>
    <row r="2" ht="50" customHeight="1">
      <c r="A2" s="2" t="inlineStr">
        <is>
          <t>NI同比 / 比例</t>
        </is>
      </c>
      <c r="B2" s="4">
        <f>ROUND('指标复算'!C2/'指标复算'!B2-1,4)</f>
        <v/>
      </c>
      <c r="C2" s="4">
        <f>ROUND('指标复算'!D2/'指标复算'!C2-1,4)</f>
        <v/>
      </c>
    </row>
    <row r="3" ht="50" customHeight="1">
      <c r="A3" s="3" t="inlineStr">
        <is>
          <t>CFO同比 / 比例</t>
        </is>
      </c>
      <c r="B3" s="5">
        <f>ROUND('指标复算'!C3/'指标复算'!B3-1,4)</f>
        <v/>
      </c>
      <c r="C3" s="5">
        <f>ROUND('指标复算'!D3/'指标复算'!C3-1,4)</f>
        <v/>
      </c>
    </row>
    <row r="4" ht="50" customHeight="1">
      <c r="A4" s="2" t="inlineStr">
        <is>
          <t>CFO/天同比 / 比例</t>
        </is>
      </c>
      <c r="B4" s="4">
        <f>ROUND('指标复算'!C11/'指标复算'!B11-1,4)</f>
        <v/>
      </c>
      <c r="C4" s="4">
        <f>ROUND('指标复算'!D11/'指标复算'!C11-1,4)</f>
        <v/>
      </c>
    </row>
    <row r="5" ht="50" customHeight="1">
      <c r="A5" s="3" t="inlineStr">
        <is>
          <t>FCF同比 / 比例</t>
        </is>
      </c>
      <c r="B5" s="5">
        <f>ROUND('指标复算'!C13/'指标复算'!B13-1,4)</f>
        <v/>
      </c>
      <c r="C5" s="5">
        <f>ROUND('指标复算'!D13/'指标复算'!C13-1,4)</f>
        <v/>
      </c>
    </row>
    <row r="6" ht="50" customHeight="1">
      <c r="A6" s="2" t="inlineStr">
        <is>
          <t>资本回报同比 / 比例</t>
        </is>
      </c>
      <c r="B6" s="4">
        <f>ROUND('指标复算'!C16/'指标复算'!B16-1,4)</f>
        <v/>
      </c>
      <c r="C6" s="4">
        <f>ROUND('指标复算'!D16/'指标复算'!C16-1,4)</f>
        <v/>
      </c>
    </row>
    <row r="7" ht="50" customHeight="1">
      <c r="A7" s="3" t="inlineStr">
        <is>
          <t>税前利润同比 / 比例</t>
        </is>
      </c>
      <c r="B7" s="5">
        <f>ROUND('指标复算'!C19/'指标复算'!B19-1,4)</f>
        <v/>
      </c>
      <c r="C7" s="5">
        <f>ROUND('指标复算'!D19/'指标复算'!C19-1,4)</f>
        <v/>
      </c>
    </row>
    <row r="8" ht="50" customHeight="1">
      <c r="A8" s="2" t="inlineStr">
        <is>
          <t>所得税费用同比 / 比例</t>
        </is>
      </c>
      <c r="B8" s="4">
        <f>ROUND('指标复算'!C20/'指标复算'!B20-1,4)</f>
        <v/>
      </c>
      <c r="C8" s="4">
        <f>ROUND('指标复算'!D20/'指标复算'!C20-1,4)</f>
        <v/>
      </c>
    </row>
    <row r="9" ht="32" customHeight="1">
      <c r="A9" s="3" t="inlineStr">
        <is>
          <t>CFO增量 / USD million</t>
        </is>
      </c>
      <c r="B9" s="5">
        <f>'指标复算'!C3-'指标复算'!B3</f>
        <v/>
      </c>
      <c r="C9" s="5">
        <f>'指标复算'!D3-'指标复算'!C3</f>
        <v/>
      </c>
    </row>
    <row r="10" ht="32" customHeight="1">
      <c r="A10" s="2" t="inlineStr">
        <is>
          <t>NI增量 / USD million</t>
        </is>
      </c>
      <c r="B10" s="4">
        <f>'指标复算'!C2-'指标复算'!B2</f>
        <v/>
      </c>
      <c r="C10" s="4">
        <f>'指标复算'!D2-'指标复算'!C2</f>
        <v/>
      </c>
    </row>
    <row r="11" ht="68" customHeight="1">
      <c r="A11" s="3" t="inlineStr">
        <is>
          <t>税前增量-税费增量 / USD million</t>
        </is>
      </c>
      <c r="B11" s="5">
        <f>('指标复算'!C19-'指标复算'!B19)-('指标复算'!C20-'指标复算'!B20)</f>
        <v/>
      </c>
      <c r="C11" s="5">
        <f>('指标复算'!D19-'指标复算'!C19)-('指标复算'!D20-'指标复算'!C20)</f>
        <v/>
      </c>
    </row>
  </sheetData>
  <autoFilter ref="A1:C11"/>
  <printOptions horizontalCentered="1"/>
  <pageMargins left="0.75" right="0.75" top="1" bottom="1" header="0.5" footer="0.5"/>
  <pageSetup orientation="landscape" paperSize="8" fitToHeight="1" fitToWidth="1"/>
  <headerFooter>
    <oddHeader/>
    <oddFooter>&amp;C&amp;A | 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30" customWidth="1" min="2" max="2"/>
    <col width="30" customWidth="1" min="3" max="3"/>
  </cols>
  <sheetData>
    <row r="1" ht="32" customHeight="1">
      <c r="A1" s="1" t="inlineStr">
        <is>
          <t>指标与单位</t>
        </is>
      </c>
      <c r="B1" s="1" t="inlineStr">
        <is>
          <t>2024基准</t>
        </is>
      </c>
      <c r="C1" s="1" t="inlineStr">
        <is>
          <t>规划压力假设</t>
        </is>
      </c>
    </row>
    <row r="2" ht="32" customHeight="1">
      <c r="A2" s="2" t="inlineStr">
        <is>
          <t>CFO / USD million</t>
        </is>
      </c>
      <c r="B2" s="4">
        <f>'指标复算'!D3</f>
        <v/>
      </c>
      <c r="C2" s="4">
        <f>ROUND(B2*0.9,4)</f>
        <v/>
      </c>
    </row>
    <row r="3" ht="32" customHeight="1">
      <c r="A3" s="3" t="inlineStr">
        <is>
          <t>CAPEX / USD million</t>
        </is>
      </c>
      <c r="B3" s="5">
        <f>'指标复算'!D12</f>
        <v/>
      </c>
      <c r="C3" s="5">
        <f>ROUND(B3*1.2,4)</f>
        <v/>
      </c>
    </row>
    <row r="4" ht="32" customHeight="1">
      <c r="A4" s="2" t="inlineStr">
        <is>
          <t>FCF / USD million</t>
        </is>
      </c>
      <c r="B4" s="4">
        <f>B2-B3</f>
        <v/>
      </c>
      <c r="C4" s="4">
        <f>C2-C3</f>
        <v/>
      </c>
    </row>
    <row r="5" ht="32" customHeight="1">
      <c r="A5" s="3" t="inlineStr">
        <is>
          <t>股息 / USD million</t>
        </is>
      </c>
      <c r="B5" s="5">
        <f>'指标复算'!D15</f>
        <v/>
      </c>
      <c r="C5" s="5">
        <f>B5</f>
        <v/>
      </c>
    </row>
    <row r="6" ht="32" customHeight="1">
      <c r="A6" s="2" t="inlineStr">
        <is>
          <t>回购 / USD million</t>
        </is>
      </c>
      <c r="B6" s="4">
        <f>'指标复算'!D14</f>
        <v/>
      </c>
      <c r="C6" s="4">
        <f>B6</f>
        <v/>
      </c>
    </row>
    <row r="7" ht="32" customHeight="1">
      <c r="A7" s="3" t="inlineStr">
        <is>
          <t>资本回报 / USD million</t>
        </is>
      </c>
      <c r="B7" s="5">
        <f>B5+B6</f>
        <v/>
      </c>
      <c r="C7" s="5">
        <f>C5+C6</f>
        <v/>
      </c>
    </row>
    <row r="8" ht="32" customHeight="1">
      <c r="A8" s="2" t="inlineStr">
        <is>
          <t>覆盖率 / 倍</t>
        </is>
      </c>
      <c r="B8" s="4">
        <f>ROUND(B4/B7,4)</f>
        <v/>
      </c>
      <c r="C8" s="4">
        <f>ROUND(C4/C7,4)</f>
        <v/>
      </c>
    </row>
    <row r="9" ht="32" customHeight="1">
      <c r="A9" s="3" t="inlineStr">
        <is>
          <t>FCF-回报 / USD million</t>
        </is>
      </c>
      <c r="B9" s="5">
        <f>B4-B7</f>
        <v/>
      </c>
      <c r="C9" s="5">
        <f>C4-C7</f>
        <v/>
      </c>
    </row>
    <row r="10" ht="32" customHeight="1">
      <c r="A10" s="2" t="inlineStr">
        <is>
          <t>非负余额的最大回购 / USD million</t>
        </is>
      </c>
      <c r="B10" s="4">
        <f>MAX(0,B4-B5)</f>
        <v/>
      </c>
      <c r="C10" s="4">
        <f>MAX(0,C4-C5)</f>
        <v/>
      </c>
    </row>
    <row r="11" ht="32" customHeight="1">
      <c r="A11" s="3" t="inlineStr">
        <is>
          <t>相对2024回购所需减少额 / USD million</t>
        </is>
      </c>
      <c r="B11" s="5">
        <f>MAX(0,B6-B10)</f>
        <v/>
      </c>
      <c r="C11" s="5">
        <f>MAX(0,B6-C10)</f>
        <v/>
      </c>
    </row>
  </sheetData>
  <autoFilter ref="A1:C11"/>
  <printOptions horizontalCentered="1"/>
  <pageMargins left="0.75" right="0.75" top="1" bottom="1" header="0.5" footer="0.5"/>
  <pageSetup orientation="landscape" paperSize="8" fitToHeight="1" fitToWidth="1"/>
  <headerFooter>
    <oddHeader/>
    <oddFooter>&amp;C&amp;A | &amp;P /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2" customWidth="1" min="2" max="2"/>
    <col width="56" customWidth="1" min="3" max="3"/>
    <col width="48" customWidth="1" min="4" max="4"/>
  </cols>
  <sheetData>
    <row r="1" ht="32" customHeight="1">
      <c r="A1" s="1" t="inlineStr">
        <is>
          <t>问题</t>
        </is>
      </c>
      <c r="B1" s="1" t="inlineStr">
        <is>
          <t>观察/判断</t>
        </is>
      </c>
      <c r="C1" s="1" t="inlineStr">
        <is>
          <t>限制</t>
        </is>
      </c>
      <c r="D1" s="1" t="inlineStr">
        <is>
          <t>动作</t>
        </is>
      </c>
    </row>
    <row r="2" ht="50" customHeight="1">
      <c r="A2" s="2" t="inlineStr">
        <is>
          <t>时间选择</t>
        </is>
      </c>
      <c r="B2" s="2" t="inlineStr">
        <is>
          <t>filed不晚于2024-11-01，统一2024 accn，按start/end区分三个财年</t>
        </is>
      </c>
      <c r="C2" s="2" t="inlineStr">
        <is>
          <t>2026快照包含未来记录；fy=2024不意味着每条都是2024经济期间</t>
        </is>
      </c>
      <c r="D2" s="2" t="inlineStr">
        <is>
          <t>保留JSON路径、索引和筛选记录</t>
        </is>
      </c>
    </row>
    <row r="3" ht="50" customHeight="1">
      <c r="A3" s="3" t="inlineStr">
        <is>
          <t>现金质量</t>
        </is>
      </c>
      <c r="B3" s="3" t="inlineStr">
        <is>
          <t>2024 CFO上升但NI下降，转换比上升不能等于盈利全面改善</t>
        </is>
      </c>
      <c r="C3" s="3" t="inlineStr">
        <is>
          <t>部分来自分母下降；税前/税费拆解只是会计关系，不能编原因</t>
        </is>
      </c>
      <c r="D3" s="3" t="inlineStr">
        <is>
          <t>索取税务和现金流附注</t>
        </is>
      </c>
    </row>
    <row r="4" ht="32" customHeight="1">
      <c r="A4" s="2" t="inlineStr">
        <is>
          <t>残差</t>
        </is>
      </c>
      <c r="B4" s="2" t="inlineStr">
        <is>
          <t>分别为2206、-8804、1385 USD million</t>
        </is>
      </c>
      <c r="C4" s="2" t="inlineStr">
        <is>
          <t>排除D&amp;A/SBC后的余项含其他调节，不可称全部营运资本</t>
        </is>
      </c>
      <c r="D4" s="2" t="inlineStr">
        <is>
          <t>取得完整CFO调节项目后细分</t>
        </is>
      </c>
    </row>
    <row r="5" ht="50" customHeight="1">
      <c r="A5" s="3" t="inlineStr">
        <is>
          <t>资本回报</t>
        </is>
      </c>
      <c r="B5" s="3" t="inlineStr">
        <is>
          <t>2024 FCF108807、回报110183、差额-1376；压力差额-15090.8</t>
        </is>
      </c>
      <c r="C5" s="3" t="inlineStr">
        <is>
          <t>余额小于0不等于资不抵债，也不证明公司借款来源</t>
        </is>
      </c>
      <c r="D5" s="3" t="inlineStr">
        <is>
          <t>静态压力最大回购79858.2；提交经理作为讨论约束，非批准</t>
        </is>
      </c>
    </row>
    <row r="6" ht="50" customHeight="1">
      <c r="A6" s="2" t="inlineStr">
        <is>
          <t>期间与单位</t>
        </is>
      </c>
      <c r="B6" s="2" t="inlineStr">
        <is>
          <t>2022/24各364天、2023为371天；金额百万美元，ETR用比例</t>
        </is>
      </c>
      <c r="C6" s="2" t="inlineStr">
        <is>
          <t>天数标准化是本委托诊断，不是现金流重述；费用非现金税</t>
        </is>
      </c>
      <c r="D6" s="2" t="inlineStr">
        <is>
          <t>原数、公式、单位与memo一致</t>
        </is>
      </c>
    </row>
    <row r="7" ht="32" customHeight="1">
      <c r="A7" s="3" t="inlineStr">
        <is>
          <t>完整性</t>
        </is>
      </c>
      <c r="B7" s="3" t="inlineStr">
        <is>
          <t>API不是10-K全文或历史API原样，缺完整债务与现金信息</t>
        </is>
      </c>
      <c r="C7" s="3" t="inlineStr">
        <is>
          <t>不能据当前快照补编2024已知税务原因、现金储备或审计意见</t>
        </is>
      </c>
      <c r="D7" s="3" t="inlineStr">
        <is>
          <t>索取已披露原文和可动用现金、债务到期、回报政策</t>
        </is>
      </c>
    </row>
  </sheetData>
  <autoFilter ref="A1:D7"/>
  <printOptions horizontalCentered="1"/>
  <pageMargins left="0.75" right="0.75" top="1" bottom="1" header="0.5" footer="0.5"/>
  <pageSetup orientation="landscape" paperSize="8" fitToHeight="1" fitToWidth="1"/>
  <headerFooter>
    <oddHeader/>
    <oddFooter>&amp;C&amp;A |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2026-10-20T20:22:04Z</dcterms:modified>
</cp:coreProperties>
</file>