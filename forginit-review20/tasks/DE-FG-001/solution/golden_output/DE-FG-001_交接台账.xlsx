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值" sheetId="1" state="visible" r:id="rId1"/>
    <sheet xmlns:r="http://schemas.openxmlformats.org/officeDocument/2006/relationships" name="计算" sheetId="2" state="visible" r:id="rId2"/>
    <sheet xmlns:r="http://schemas.openxmlformats.org/officeDocument/2006/relationships" name="版本" sheetId="3" state="visible" r:id="rId3"/>
    <sheet xmlns:r="http://schemas.openxmlformats.org/officeDocument/2006/relationships" name="设计交接" sheetId="4" state="visible" r:id="rId4"/>
  </sheets>
  <definedNames>
    <definedName name="_xlnm._FilterDatabase" localSheetId="0" hidden="1">'原始数值'!$A$1:$E$11</definedName>
    <definedName name="_xlnm.Print_Titles" localSheetId="0">'原始数值'!$1:$1</definedName>
    <definedName name="_xlnm._FilterDatabase" localSheetId="1" hidden="1">'计算'!$A$1:$E$8</definedName>
    <definedName name="_xlnm.Print_Titles" localSheetId="1">'计算'!$1:$1</definedName>
    <definedName name="_xlnm._FilterDatabase" localSheetId="2" hidden="1">'版本'!$A$1:$F$7</definedName>
    <definedName name="_xlnm.Print_Titles" localSheetId="2">'版本'!$1:$1</definedName>
    <definedName name="_xlnm._FilterDatabase" localSheetId="3" hidden="1">'设计交接'!$A$1:$D$9</definedName>
    <definedName name="_xlnm.Print_Titles" localSheetId="3">'设计交接'!$1:$1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3">
    <font>
      <name val="Calibri"/>
      <family val="2"/>
      <color theme="1"/>
      <sz val="11"/>
      <scheme val="minor"/>
    </font>
    <font>
      <name val="Noto Sans CJK SC"/>
      <b val="1"/>
      <color rgb="00FFFFFF"/>
      <sz val="10"/>
    </font>
    <font>
      <name val="Noto Sans CJK SC"/>
      <color rgb="0020252B"/>
      <sz val="10"/>
    </font>
  </fonts>
  <fills count="4">
    <fill>
      <patternFill/>
    </fill>
    <fill>
      <patternFill patternType="gray125"/>
    </fill>
    <fill>
      <patternFill patternType="solid">
        <fgColor rgb="00255B53"/>
      </patternFill>
    </fill>
    <fill>
      <patternFill patternType="solid">
        <fgColor rgb="00EDF3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top" wrapText="1" indent="1"/>
    </xf>
    <xf numFmtId="0" fontId="2" fillId="3" borderId="0" applyAlignment="1" pivotButton="0" quotePrefix="0" xfId="0">
      <alignment horizontal="left" vertical="top" wrapText="1" indent="1"/>
    </xf>
    <xf numFmtId="164" fontId="2" fillId="3" borderId="0" applyAlignment="1" pivotButton="0" quotePrefix="0" xfId="0">
      <alignment horizontal="center" vertical="top" wrapText="1" indent="1"/>
    </xf>
    <xf numFmtId="0" fontId="2" fillId="0" borderId="0" applyAlignment="1" pivotButton="0" quotePrefix="0" xfId="0">
      <alignment horizontal="left" vertical="top" wrapText="1" indent="1"/>
    </xf>
    <xf numFmtId="164" fontId="2" fillId="0" borderId="0" applyAlignment="1" pivotButton="0" quotePrefix="0" xfId="0">
      <alignment horizontal="center" vertical="top" wrapText="1" indent="1"/>
    </xf>
    <xf numFmtId="165" fontId="2" fillId="3" borderId="0" applyAlignment="1" pivotButton="0" quotePrefix="0" xfId="0">
      <alignment horizontal="left" vertical="top" wrapText="1" indent="1"/>
    </xf>
    <xf numFmtId="165" fontId="2" fillId="0" borderId="0" applyAlignment="1" pivotButton="0" quotePrefix="0" xfId="0">
      <alignment horizontal="left" vertical="top" wrapText="1" indent="1"/>
    </xf>
    <xf numFmtId="165" fontId="2" fillId="0" borderId="0" applyAlignment="1" pivotButton="0" quotePrefix="0" xfId="0">
      <alignment horizontal="center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1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7" customWidth="1" min="2" max="2"/>
    <col width="18" customWidth="1" min="3" max="3"/>
    <col width="16" customWidth="1" min="4" max="4"/>
    <col width="24" customWidth="1" min="5" max="5"/>
  </cols>
  <sheetData>
    <row r="1" ht="32" customHeight="1">
      <c r="A1" s="1" t="inlineStr">
        <is>
          <t>序列</t>
        </is>
      </c>
      <c r="B1" s="1" t="inlineStr">
        <is>
          <t>期间</t>
        </is>
      </c>
      <c r="C1" s="1" t="inlineStr">
        <is>
          <t>数值</t>
        </is>
      </c>
      <c r="D1" s="1" t="inlineStr">
        <is>
          <t>单位</t>
        </is>
      </c>
      <c r="E1" s="1" t="inlineStr">
        <is>
          <t>来源</t>
        </is>
      </c>
    </row>
    <row r="2" ht="32" customHeight="1">
      <c r="A2" s="2" t="inlineStr">
        <is>
          <t>CPI-W</t>
        </is>
      </c>
      <c r="B2" s="2" t="inlineStr">
        <is>
          <t>2023-07</t>
        </is>
      </c>
      <c r="C2" s="3" t="n">
        <v>299.899</v>
      </c>
      <c r="D2" s="2" t="inlineStr">
        <is>
          <t>指数</t>
        </is>
      </c>
      <c r="E2" s="2" t="inlineStr">
        <is>
          <t>89 FR85277</t>
        </is>
      </c>
    </row>
    <row r="3" ht="32" customHeight="1">
      <c r="A3" s="4" t="inlineStr">
        <is>
          <t>CPI-W</t>
        </is>
      </c>
      <c r="B3" s="4" t="inlineStr">
        <is>
          <t>2023-08</t>
        </is>
      </c>
      <c r="C3" s="5" t="n">
        <v>301.551</v>
      </c>
      <c r="D3" s="4" t="inlineStr">
        <is>
          <t>指数</t>
        </is>
      </c>
      <c r="E3" s="4" t="inlineStr">
        <is>
          <t>89 FR85277</t>
        </is>
      </c>
    </row>
    <row r="4" ht="32" customHeight="1">
      <c r="A4" s="2" t="inlineStr">
        <is>
          <t>CPI-W</t>
        </is>
      </c>
      <c r="B4" s="2" t="inlineStr">
        <is>
          <t>2023-09</t>
        </is>
      </c>
      <c r="C4" s="3" t="n">
        <v>302.257</v>
      </c>
      <c r="D4" s="2" t="inlineStr">
        <is>
          <t>指数</t>
        </is>
      </c>
      <c r="E4" s="2" t="inlineStr">
        <is>
          <t>89 FR85277</t>
        </is>
      </c>
    </row>
    <row r="5" ht="32" customHeight="1">
      <c r="A5" s="4" t="inlineStr">
        <is>
          <t>CPI-W</t>
        </is>
      </c>
      <c r="B5" s="4" t="inlineStr">
        <is>
          <t>2024-07</t>
        </is>
      </c>
      <c r="C5" s="5" t="n">
        <v>308.501</v>
      </c>
      <c r="D5" s="4" t="inlineStr">
        <is>
          <t>指数</t>
        </is>
      </c>
      <c r="E5" s="4" t="inlineStr">
        <is>
          <t>89 FR85277</t>
        </is>
      </c>
    </row>
    <row r="6" ht="32" customHeight="1">
      <c r="A6" s="2" t="inlineStr">
        <is>
          <t>CPI-W</t>
        </is>
      </c>
      <c r="B6" s="2" t="inlineStr">
        <is>
          <t>2024-08</t>
        </is>
      </c>
      <c r="C6" s="3" t="n">
        <v>308.64</v>
      </c>
      <c r="D6" s="2" t="inlineStr">
        <is>
          <t>指数</t>
        </is>
      </c>
      <c r="E6" s="2" t="inlineStr">
        <is>
          <t>89 FR85277</t>
        </is>
      </c>
    </row>
    <row r="7" ht="32" customHeight="1">
      <c r="A7" s="4" t="inlineStr">
        <is>
          <t>CPI-W</t>
        </is>
      </c>
      <c r="B7" s="4" t="inlineStr">
        <is>
          <t>2024-09</t>
        </is>
      </c>
      <c r="C7" s="5" t="n">
        <v>309.046</v>
      </c>
      <c r="D7" s="4" t="inlineStr">
        <is>
          <t>指数</t>
        </is>
      </c>
      <c r="E7" s="4" t="inlineStr">
        <is>
          <t>89 FR85277</t>
        </is>
      </c>
    </row>
    <row r="8" ht="32" customHeight="1">
      <c r="A8" s="2" t="inlineStr">
        <is>
          <t>全国平均工资指数</t>
        </is>
      </c>
      <c r="B8" s="2" t="inlineStr">
        <is>
          <t>2022</t>
        </is>
      </c>
      <c r="C8" s="3" t="n">
        <v>63795.13</v>
      </c>
      <c r="D8" s="2" t="inlineStr">
        <is>
          <t>美元</t>
        </is>
      </c>
      <c r="E8" s="2" t="inlineStr">
        <is>
          <t>89 FR85278</t>
        </is>
      </c>
    </row>
    <row r="9" ht="32" customHeight="1">
      <c r="A9" s="4" t="inlineStr">
        <is>
          <t>全国平均工资指数</t>
        </is>
      </c>
      <c r="B9" s="4" t="inlineStr">
        <is>
          <t>2023</t>
        </is>
      </c>
      <c r="C9" s="5" t="n">
        <v>66621.8</v>
      </c>
      <c r="D9" s="4" t="inlineStr">
        <is>
          <t>美元</t>
        </is>
      </c>
      <c r="E9" s="4" t="inlineStr">
        <is>
          <t>89 FR85279</t>
        </is>
      </c>
    </row>
    <row r="10" ht="32" customHeight="1">
      <c r="A10" s="2" t="inlineStr">
        <is>
          <t>OASDI基数</t>
        </is>
      </c>
      <c r="B10" s="2" t="inlineStr">
        <is>
          <t>2024</t>
        </is>
      </c>
      <c r="C10" s="3" t="n">
        <v>168600</v>
      </c>
      <c r="D10" s="2" t="inlineStr">
        <is>
          <t>美元/年</t>
        </is>
      </c>
      <c r="E10" s="2" t="inlineStr">
        <is>
          <t>89 FR85279</t>
        </is>
      </c>
    </row>
    <row r="11" ht="32" customHeight="1">
      <c r="A11" s="4" t="inlineStr">
        <is>
          <t>OASDI基数</t>
        </is>
      </c>
      <c r="B11" s="4" t="inlineStr">
        <is>
          <t>2025</t>
        </is>
      </c>
      <c r="C11" s="5" t="n">
        <v>176100</v>
      </c>
      <c r="D11" s="4" t="inlineStr">
        <is>
          <t>美元/年</t>
        </is>
      </c>
      <c r="E11" s="4" t="inlineStr">
        <is>
          <t>89 FR85279</t>
        </is>
      </c>
    </row>
  </sheetData>
  <autoFilter ref="A1:E11"/>
  <printOptions horizontalCentered="1"/>
  <pageMargins left="0.75" right="0.75" top="1" bottom="1" header="0.5" footer="0.5"/>
  <pageSetup orientation="landscape" paperSize="8" fitToHeight="0" fitToWidth="1"/>
  <headerFooter>
    <oddHeader/>
    <oddFooter>&amp;C&amp;A |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8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17" customWidth="1" min="3" max="3"/>
    <col width="27" customWidth="1" min="4" max="4"/>
    <col width="55" customWidth="1" min="5" max="5"/>
  </cols>
  <sheetData>
    <row r="1" ht="32" customHeight="1">
      <c r="A1" s="1" t="inlineStr">
        <is>
          <t>量</t>
        </is>
      </c>
      <c r="B1" s="1" t="inlineStr">
        <is>
          <t>计算/数值</t>
        </is>
      </c>
      <c r="C1" s="1" t="inlineStr">
        <is>
          <t>单位</t>
        </is>
      </c>
      <c r="D1" s="1" t="inlineStr">
        <is>
          <t>范围</t>
        </is>
      </c>
      <c r="E1" s="1" t="inlineStr">
        <is>
          <t>说明</t>
        </is>
      </c>
    </row>
    <row r="2" ht="50" customHeight="1">
      <c r="A2" s="2" t="inlineStr">
        <is>
          <t>2023Q3均值</t>
        </is>
      </c>
      <c r="B2" s="6">
        <f>ROUND(AVERAGE('原始数值'!C2:C4),3)</f>
        <v/>
      </c>
      <c r="C2" s="2" t="inlineStr">
        <is>
          <t>指数</t>
        </is>
      </c>
      <c r="D2" s="2" t="inlineStr">
        <is>
          <t>逐月→季度均值</t>
        </is>
      </c>
      <c r="E2" s="2" t="inlineStr">
        <is>
          <t>保留3位小数</t>
        </is>
      </c>
    </row>
    <row r="3" ht="50" customHeight="1">
      <c r="A3" s="4" t="inlineStr">
        <is>
          <t>2024Q3均值</t>
        </is>
      </c>
      <c r="B3" s="7">
        <f>ROUND(AVERAGE('原始数值'!C5:C7),3)</f>
        <v/>
      </c>
      <c r="C3" s="4" t="inlineStr">
        <is>
          <t>指数</t>
        </is>
      </c>
      <c r="D3" s="4" t="inlineStr">
        <is>
          <t>逐月→季度均值</t>
        </is>
      </c>
      <c r="E3" s="4" t="inlineStr">
        <is>
          <t>保留3位小数</t>
        </is>
      </c>
    </row>
    <row r="4" ht="32" customHeight="1">
      <c r="A4" s="2" t="inlineStr">
        <is>
          <t>CPI季度变化</t>
        </is>
      </c>
      <c r="B4" s="6">
        <f>B3/B2-1</f>
        <v/>
      </c>
      <c r="C4" s="2" t="inlineStr">
        <is>
          <t>比例</t>
        </is>
      </c>
      <c r="D4" s="2" t="inlineStr">
        <is>
          <t>2023Q3→2024Q3</t>
        </is>
      </c>
      <c r="E4" s="2" t="inlineStr">
        <is>
          <t>约2.4874%；非2.5%原始值</t>
        </is>
      </c>
    </row>
    <row r="5" ht="32" customHeight="1">
      <c r="A5" s="4" t="inlineStr">
        <is>
          <t>公告COLA</t>
        </is>
      </c>
      <c r="B5" s="8" t="n">
        <v>0.025</v>
      </c>
      <c r="C5" s="4" t="inlineStr">
        <is>
          <t>比例</t>
        </is>
      </c>
      <c r="D5" s="4" t="inlineStr">
        <is>
          <t>按公告最终值</t>
        </is>
      </c>
      <c r="E5" s="4" t="inlineStr">
        <is>
          <t>2024年12月待遇；不是2025-01才生效</t>
        </is>
      </c>
    </row>
    <row r="6" ht="50" customHeight="1">
      <c r="A6" s="2" t="inlineStr">
        <is>
          <t>工资指数变化</t>
        </is>
      </c>
      <c r="B6" s="6">
        <f>'原始数值'!C9/'原始数值'!C8-1</f>
        <v/>
      </c>
      <c r="C6" s="2" t="inlineStr">
        <is>
          <t>比例</t>
        </is>
      </c>
      <c r="D6" s="2" t="inlineStr">
        <is>
          <t>2022→2023</t>
        </is>
      </c>
      <c r="E6" s="2" t="inlineStr">
        <is>
          <t>不是61,220.07和63,932.64这组原始均值</t>
        </is>
      </c>
    </row>
    <row r="7" ht="50" customHeight="1">
      <c r="A7" s="4" t="inlineStr">
        <is>
          <t>基数绝对变化</t>
        </is>
      </c>
      <c r="B7" s="7">
        <f>'原始数值'!C11-'原始数值'!C10</f>
        <v/>
      </c>
      <c r="C7" s="4" t="inlineStr">
        <is>
          <t>美元/年</t>
        </is>
      </c>
      <c r="D7" s="4" t="inlineStr">
        <is>
          <t>2024→2025</t>
        </is>
      </c>
      <c r="E7" s="4" t="inlineStr">
        <is>
          <t>不是个人税款或福利增额</t>
        </is>
      </c>
    </row>
    <row r="8" ht="50" customHeight="1">
      <c r="A8" s="2" t="inlineStr">
        <is>
          <t>基数相对变化</t>
        </is>
      </c>
      <c r="B8" s="6">
        <f>'原始数值'!C11/'原始数值'!C10-1</f>
        <v/>
      </c>
      <c r="C8" s="2" t="inlineStr">
        <is>
          <t>比例</t>
        </is>
      </c>
      <c r="D8" s="2" t="inlineStr">
        <is>
          <t>2024→2025</t>
        </is>
      </c>
      <c r="E8" s="2" t="inlineStr">
        <is>
          <t>百分比显示约4.45%</t>
        </is>
      </c>
    </row>
  </sheetData>
  <autoFilter ref="A1:E8"/>
  <printOptions horizontalCentered="1"/>
  <pageMargins left="0.75" right="0.75" top="1" bottom="1" header="0.5" footer="0.5"/>
  <pageSetup orientation="landscape" paperSize="8" fitToHeight="0" fitToWidth="1"/>
  <headerFooter>
    <oddHeader/>
    <oddFooter>&amp;C&amp;A |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5" customWidth="1" min="2" max="2"/>
    <col width="18" customWidth="1" min="3" max="3"/>
    <col width="30" customWidth="1" min="4" max="4"/>
    <col width="30" customWidth="1" min="5" max="5"/>
    <col width="55" customWidth="1" min="6" max="6"/>
  </cols>
  <sheetData>
    <row r="1" ht="32" customHeight="1">
      <c r="A1" s="1" t="inlineStr">
        <is>
          <t>版本/事项</t>
        </is>
      </c>
      <c r="B1" s="1" t="inlineStr">
        <is>
          <t>接收/计划时刻</t>
        </is>
      </c>
      <c r="C1" s="1" t="inlineStr">
        <is>
          <t>状态</t>
        </is>
      </c>
      <c r="D1" s="1" t="inlineStr">
        <is>
          <t>授权/来源</t>
        </is>
      </c>
      <c r="E1" s="1" t="inlineStr">
        <is>
          <t>取舍</t>
        </is>
      </c>
      <c r="F1" s="1" t="inlineStr">
        <is>
          <t>具体内容</t>
        </is>
      </c>
    </row>
    <row r="2" ht="32" customHeight="1">
      <c r="A2" s="2" t="inlineStr">
        <is>
          <t>V1</t>
        </is>
      </c>
      <c r="B2" s="2" t="inlineStr">
        <is>
          <t>2024-10-27 16:00</t>
        </is>
      </c>
      <c r="C2" s="2" t="inlineStr">
        <is>
          <t>已收到</t>
        </is>
      </c>
      <c r="D2" s="2" t="inlineStr">
        <is>
          <t>旧口头草案</t>
        </is>
      </c>
      <c r="E2" s="2" t="inlineStr">
        <is>
          <t>不再作为发布依据</t>
        </is>
      </c>
      <c r="F2" s="2" t="inlineStr">
        <is>
          <t>制作人草案；把所有变化统称个人收入</t>
        </is>
      </c>
    </row>
    <row r="3" ht="50" customHeight="1">
      <c r="A3" s="4" t="inlineStr">
        <is>
          <t>V2</t>
        </is>
      </c>
      <c r="B3" s="4" t="inlineStr">
        <is>
          <t>2024-10-28 13:50</t>
        </is>
      </c>
      <c r="C3" s="4" t="inlineStr">
        <is>
          <t>已收到</t>
        </is>
      </c>
      <c r="D3" s="4" t="inlineStr">
        <is>
          <t>客户负责人13:30确认</t>
        </is>
      </c>
      <c r="E3" s="4" t="inlineStr">
        <is>
          <t>本轮适用</t>
        </is>
      </c>
      <c r="F3" s="4" t="inlineStr">
        <is>
          <t>更正为CPI-W；分开期间；无政府背书；三页投影、两页A4讲义</t>
        </is>
      </c>
    </row>
    <row r="4" ht="32" customHeight="1">
      <c r="A4" s="2" t="inlineStr">
        <is>
          <t>V3</t>
        </is>
      </c>
      <c r="B4" s="2" t="inlineStr">
        <is>
          <t>2024-10-28 14:30</t>
        </is>
      </c>
      <c r="C4" s="2" t="inlineStr">
        <is>
          <t>截点后</t>
        </is>
      </c>
      <c r="D4" s="2" t="inlineStr">
        <is>
          <t>制作人未签草案</t>
        </is>
      </c>
      <c r="E4" s="2" t="inlineStr">
        <is>
          <t>不回填</t>
        </is>
      </c>
      <c r="F4" s="2" t="inlineStr">
        <is>
          <t>声称应换2026数字和政府印章；没有官方原件或客户批准</t>
        </is>
      </c>
    </row>
    <row r="5" ht="32" customHeight="1">
      <c r="A5" s="4" t="inlineStr">
        <is>
          <t>截点</t>
        </is>
      </c>
      <c r="B5" s="4" t="inlineStr">
        <is>
          <t>2024-10-28 14:00</t>
        </is>
      </c>
      <c r="C5" s="4" t="inlineStr">
        <is>
          <t>America/New_York</t>
        </is>
      </c>
      <c r="D5" s="4" t="inlineStr">
        <is>
          <t>封闭资料集</t>
        </is>
      </c>
      <c r="E5" s="4" t="inlineStr">
        <is>
          <t>保留事件时间和接收时间</t>
        </is>
      </c>
      <c r="F5" s="4" t="inlineStr">
        <is>
          <t>演练事实，不是真实客户审批</t>
        </is>
      </c>
    </row>
    <row r="6" ht="50" customHeight="1">
      <c r="A6" s="2" t="inlineStr">
        <is>
          <t>印刷</t>
        </is>
      </c>
      <c r="B6" s="2" t="inlineStr">
        <is>
          <t>2024-10-28 18:00</t>
        </is>
      </c>
      <c r="C6" s="2" t="inlineStr">
        <is>
          <t>计划</t>
        </is>
      </c>
      <c r="D6" s="2" t="inlineStr">
        <is>
          <t>制版负责人</t>
        </is>
      </c>
      <c r="E6" s="2" t="inlineStr">
        <is>
          <t>交付前核字体、尺寸、数值、版本</t>
        </is>
      </c>
      <c r="F6" s="2" t="inlineStr">
        <is>
          <t>不能把计划当已印刷</t>
        </is>
      </c>
    </row>
    <row r="7" ht="32" customHeight="1">
      <c r="A7" s="4" t="inlineStr">
        <is>
          <t>演讲</t>
        </is>
      </c>
      <c r="B7" s="4" t="inlineStr">
        <is>
          <t>2024-10-29 09:00</t>
        </is>
      </c>
      <c r="C7" s="4" t="inlineStr">
        <is>
          <t>计划</t>
        </is>
      </c>
      <c r="D7" s="4" t="inlineStr">
        <is>
          <t>讲者</t>
        </is>
      </c>
      <c r="E7" s="4" t="inlineStr">
        <is>
          <t>使用投影版；发放独立阅读讲义</t>
        </is>
      </c>
      <c r="F7" s="4" t="inlineStr">
        <is>
          <t>不能声称已发布</t>
        </is>
      </c>
    </row>
  </sheetData>
  <autoFilter ref="A1:F7"/>
  <printOptions horizontalCentered="1"/>
  <pageMargins left="0.75" right="0.75" top="1" bottom="1" header="0.5" footer="0.5"/>
  <pageSetup orientation="landscape" paperSize="8" fitToHeight="0" fitToWidth="1"/>
  <headerFooter>
    <oddHeader/>
    <oddFooter>&amp;C&amp;A |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9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90" customWidth="1" min="3" max="3"/>
    <col width="50" customWidth="1" min="4" max="4"/>
  </cols>
  <sheetData>
    <row r="1" ht="32" customHeight="1">
      <c r="A1" s="1" t="inlineStr">
        <is>
          <t>ID</t>
        </is>
      </c>
      <c r="B1" s="1" t="inlineStr">
        <is>
          <t>工作</t>
        </is>
      </c>
      <c r="C1" s="1" t="inlineStr">
        <is>
          <t>处理</t>
        </is>
      </c>
      <c r="D1" s="1" t="inlineStr">
        <is>
          <t>依据/边界</t>
        </is>
      </c>
    </row>
    <row r="2" ht="32" customHeight="1">
      <c r="A2" s="2" t="inlineStr">
        <is>
          <t>D01</t>
        </is>
      </c>
      <c r="B2" s="2" t="inlineStr">
        <is>
          <t>重建可编辑图表</t>
        </is>
      </c>
      <c r="C2" s="2" t="inlineStr">
        <is>
          <t>PPTX使用原生图表/内嵌工作簿而非整页截图</t>
        </is>
      </c>
      <c r="D2" s="2" t="inlineStr">
        <is>
          <t>三页投影及印刷源</t>
        </is>
      </c>
    </row>
    <row r="3" ht="32" customHeight="1">
      <c r="A3" s="4" t="inlineStr">
        <is>
          <t>D02</t>
        </is>
      </c>
      <c r="B3" s="4" t="inlineStr">
        <is>
          <t>媒介分工</t>
        </is>
      </c>
      <c r="C3" s="4" t="inlineStr">
        <is>
          <t>投影强调消息与较大标签；A4讲义有精确表、引用和自足说明，不把投影页缩印</t>
        </is>
      </c>
      <c r="D3" s="4" t="inlineStr">
        <is>
          <t>Rule3/4</t>
        </is>
      </c>
    </row>
    <row r="4" ht="32" customHeight="1">
      <c r="A4" s="2" t="inlineStr">
        <is>
          <t>D03</t>
        </is>
      </c>
      <c r="B4" s="2" t="inlineStr">
        <is>
          <t>不误导</t>
        </is>
      </c>
      <c r="C4" s="2" t="inlineStr">
        <is>
          <t>柱形轴从0起；不截断制造差异；本Gold不使用圆面积或3D</t>
        </is>
      </c>
      <c r="D4" s="2" t="inlineStr">
        <is>
          <t>Rule7</t>
        </is>
      </c>
    </row>
    <row r="5" ht="32" customHeight="1">
      <c r="A5" s="4" t="inlineStr">
        <is>
          <t>D04</t>
        </is>
      </c>
      <c r="B5" s="4" t="inlineStr">
        <is>
          <t>可区分</t>
        </is>
      </c>
      <c r="C5" s="4" t="inlineStr">
        <is>
          <t>年份文字、数值直接标注与颜色共同识别；灰度仍可靠系列位置/标签辨认</t>
        </is>
      </c>
      <c r="D5" s="4" t="inlineStr">
        <is>
          <t>Rule6；并非完整WCAG认证</t>
        </is>
      </c>
    </row>
    <row r="6" ht="32" customHeight="1">
      <c r="A6" s="2" t="inlineStr">
        <is>
          <t>D05</t>
        </is>
      </c>
      <c r="B6" s="2" t="inlineStr">
        <is>
          <t>版面检查</t>
        </is>
      </c>
      <c r="C6" s="2" t="inlineStr">
        <is>
          <t>图注、轴标、图例与数据不重叠；投影/印刷各自查看最终渲染</t>
        </is>
      </c>
      <c r="D6" s="2" t="inlineStr">
        <is>
          <t>Rule8；实际视觉审查仍待独立复核</t>
        </is>
      </c>
    </row>
    <row r="7" ht="32" customHeight="1">
      <c r="A7" s="4" t="inlineStr">
        <is>
          <t>D06</t>
        </is>
      </c>
      <c r="B7" s="4" t="inlineStr">
        <is>
          <t>V2与资料边界</t>
        </is>
      </c>
      <c r="C7" s="4" t="inlineStr">
        <is>
          <t>V3截点后且未批准；官方公告2024-10-25，不是客户发布；没有政府印章/背书</t>
        </is>
      </c>
      <c r="D7" s="4" t="inlineStr">
        <is>
          <t>原始事件/公告</t>
        </is>
      </c>
    </row>
    <row r="8" ht="32" customHeight="1">
      <c r="A8" s="2" t="inlineStr">
        <is>
          <t>D07</t>
        </is>
      </c>
      <c r="B8" s="2" t="inlineStr">
        <is>
          <t>交接顺序</t>
        </is>
      </c>
      <c r="C8" s="2" t="inlineStr">
        <is>
          <t>设计者修订→数据分析员复算→讲者核投影→制版负责人核A4/字体→客户负责人确认后使用</t>
        </is>
      </c>
      <c r="D8" s="2" t="inlineStr">
        <is>
          <t>分析员/制作人不能代客户批准</t>
        </is>
      </c>
    </row>
    <row r="9" ht="32" customHeight="1">
      <c r="A9" s="4" t="inlineStr">
        <is>
          <t>D08</t>
        </is>
      </c>
      <c r="B9" s="4" t="inlineStr">
        <is>
          <t>未完成和替代方案</t>
        </is>
      </c>
      <c r="C9" s="4" t="inlineStr">
        <is>
          <t>未实际发布/印刷；若校验未过先修复。可用点图/分面等价布局，只要口径、精确数值和可用性保持</t>
        </is>
      </c>
      <c r="D9" s="4" t="inlineStr">
        <is>
          <t>不强制复刻Gold</t>
        </is>
      </c>
    </row>
  </sheetData>
  <autoFilter ref="A1:D9"/>
  <printOptions horizontalCentered="1"/>
  <pageMargins left="0.75" right="0.75" top="1" bottom="1" header="0.5" footer="0.5"/>
  <pageSetup orientation="landscape" paperSize="8" fitToHeight="0" fitToWidth="1"/>
  <headerFooter>
    <oddHeader/>
    <oddFooter>&amp;C&amp;A |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>openpyxl</dc:creator>
  <ns2:created xsi:type="dcterms:W3CDTF">2000-01-01T00:00:00Z</ns2:created>
  <ns2:modified xsi:type="dcterms:W3CDTF">2000-01-01T00:00:00Z</ns2:modified>
</ns0:coreProperties>
</file>