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数台账" sheetId="1" state="visible" r:id="rId1"/>
    <sheet xmlns:r="http://schemas.openxmlformats.org/officeDocument/2006/relationships" name="费用复算" sheetId="2" state="visible" r:id="rId2"/>
    <sheet xmlns:r="http://schemas.openxmlformats.org/officeDocument/2006/relationships" name="规范与版本" sheetId="3" state="visible" r:id="rId3"/>
    <sheet xmlns:r="http://schemas.openxmlformats.org/officeDocument/2006/relationships" name="合同处置" sheetId="4" state="visible" r:id="rId4"/>
    <sheet xmlns:r="http://schemas.openxmlformats.org/officeDocument/2006/relationships" name="条款审阅" sheetId="5" state="visible" r:id="rId5"/>
  </sheets>
  <definedNames>
    <definedName name="_xlnm._FilterDatabase" localSheetId="0" hidden="1">'取数台账'!$A$1:$I$10</definedName>
    <definedName name="_xlnm.Print_Titles" localSheetId="0">'取数台账'!$1:$1</definedName>
    <definedName name="_xlnm._FilterDatabase" localSheetId="1" hidden="1">'费用复算'!$A$1:$H$10</definedName>
    <definedName name="_xlnm.Print_Titles" localSheetId="1">'费用复算'!$1:$1</definedName>
    <definedName name="_xlnm._FilterDatabase" localSheetId="2" hidden="1">'规范与版本'!$A$1:$C$7</definedName>
    <definedName name="_xlnm.Print_Titles" localSheetId="2">'规范与版本'!$1:$1</definedName>
    <definedName name="_xlnm._FilterDatabase" localSheetId="3" hidden="1">'合同处置'!$A$1:$D$10</definedName>
    <definedName name="_xlnm.Print_Titles" localSheetId="3">'合同处置'!$1:$1</definedName>
    <definedName name="_xlnm._FilterDatabase" localSheetId="4" hidden="1">'条款审阅'!$A$1:$C$7</definedName>
    <definedName name="_xlnm.Print_Titles" localSheetId="4">'条款审阅'!$1:$1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2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2" fontId="2" fillId="0" borderId="0" applyAlignment="1" pivotButton="0" quotePrefix="0" xfId="0">
      <alignment horizontal="center" vertical="top" wrapText="1" indent="1"/>
    </xf>
    <xf numFmtId="2" fontId="2" fillId="3" borderId="0" applyAlignment="1" pivotButton="0" quotePrefix="0" xfId="0">
      <alignment horizontal="left" vertical="top" wrapText="1" indent="1"/>
    </xf>
    <xf numFmtId="10" fontId="2" fillId="3" borderId="0" applyAlignment="1" pivotButton="0" quotePrefix="0" xfId="0">
      <alignment horizontal="left" vertical="top" wrapText="1" indent="1"/>
    </xf>
    <xf numFmtId="2" fontId="2" fillId="0" borderId="0" applyAlignment="1" pivotButton="0" quotePrefix="0" xfId="0">
      <alignment horizontal="left" vertical="top" wrapText="1" indent="1"/>
    </xf>
    <xf numFmtId="10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5" customWidth="1" min="4" max="4"/>
    <col width="18" customWidth="1" min="5" max="5"/>
    <col width="18" customWidth="1" min="6" max="6"/>
    <col width="18" customWidth="1" min="7" max="7"/>
    <col width="18" customWidth="1" min="8" max="8"/>
    <col width="74" customWidth="1" min="9" max="9"/>
  </cols>
  <sheetData>
    <row r="1" ht="32" customHeight="1">
      <c r="A1" s="1" t="inlineStr">
        <is>
          <t>ID</t>
        </is>
      </c>
      <c r="B1" s="1" t="inlineStr">
        <is>
          <t>机构与模式</t>
        </is>
      </c>
      <c r="C1" s="1" t="inlineStr">
        <is>
          <t>原施工估算USD</t>
        </is>
      </c>
      <c r="D1" s="1" t="inlineStr">
        <is>
          <t>修订总额或重设计特征USD</t>
        </is>
      </c>
      <c r="E1" s="1" t="inlineStr">
        <is>
          <t>原设计USD</t>
        </is>
      </c>
      <c r="F1" s="1" t="inlineStr">
        <is>
          <t>本次设计USD</t>
        </is>
      </c>
      <c r="G1" s="1" t="inlineStr">
        <is>
          <t>其他USD</t>
        </is>
      </c>
      <c r="H1" s="1" t="inlineStr">
        <is>
          <t>总报价USD</t>
        </is>
      </c>
      <c r="I1" s="1" t="inlineStr">
        <is>
          <t>采用版本与边界</t>
        </is>
      </c>
    </row>
    <row r="2" ht="32" customHeight="1">
      <c r="A2" s="2" t="inlineStr">
        <is>
          <t>P01</t>
        </is>
      </c>
      <c r="B2" s="2" t="inlineStr">
        <is>
          <t>Army/新设计</t>
        </is>
      </c>
      <c r="C2" s="3" t="n">
        <v>2000000</v>
      </c>
      <c r="D2" s="3" t="n">
        <v>0</v>
      </c>
      <c r="E2" s="3" t="n">
        <v>0</v>
      </c>
      <c r="F2" s="3" t="n">
        <v>190000</v>
      </c>
      <c r="G2" s="3" t="n">
        <v>40000</v>
      </c>
      <c r="H2" s="3" t="n">
        <v>230000</v>
      </c>
      <c r="I2" s="2" t="inlineStr">
        <is>
          <t>输入P01；设计价含全部设计成本及利润，其他服务按给定分类排除本项上限。</t>
        </is>
      </c>
    </row>
    <row r="3" ht="32" customHeight="1">
      <c r="A3" s="4" t="inlineStr">
        <is>
          <t>P02</t>
        </is>
      </c>
      <c r="B3" s="4" t="inlineStr">
        <is>
          <t>Navy/新增工作</t>
        </is>
      </c>
      <c r="C3" s="5" t="n">
        <v>3000000</v>
      </c>
      <c r="D3" s="5" t="n">
        <v>4000000</v>
      </c>
      <c r="E3" s="5" t="n">
        <v>180000</v>
      </c>
      <c r="F3" s="5" t="n">
        <v>240000</v>
      </c>
      <c r="G3" s="5" t="n">
        <v>40000</v>
      </c>
      <c r="H3" s="5" t="n">
        <v>460000</v>
      </c>
      <c r="I3" s="4" t="inlineStr">
        <is>
          <t>4000000是修订总额，不再叠原3000000；设计要180000+240000。</t>
        </is>
      </c>
    </row>
    <row r="4" ht="32" customHeight="1">
      <c r="A4" s="2" t="inlineStr">
        <is>
          <t>P03</t>
        </is>
      </c>
      <c r="B4" s="2" t="inlineStr">
        <is>
          <t>Air Force/重设计</t>
        </is>
      </c>
      <c r="C4" s="3" t="n">
        <v>5000000</v>
      </c>
      <c r="D4" s="3" t="n">
        <v>1000000</v>
      </c>
      <c r="E4" s="3" t="n">
        <v>350000</v>
      </c>
      <c r="F4" s="3" t="n">
        <v>260000</v>
      </c>
      <c r="G4" s="3" t="n">
        <v>60000</v>
      </c>
      <c r="H4" s="3" t="n">
        <v>670000</v>
      </c>
      <c r="I4" s="2" t="inlineStr">
        <is>
          <t>原5000000+重设计特征1000000，原350000+重设计260000；不要仅检本次。</t>
        </is>
      </c>
    </row>
    <row r="5" ht="32" customHeight="1">
      <c r="A5" s="4" t="inlineStr">
        <is>
          <t>P04</t>
        </is>
      </c>
      <c r="B5" s="4" t="inlineStr">
        <is>
          <t>DLA/新设计</t>
        </is>
      </c>
      <c r="C5" s="5" t="n">
        <v>1000000</v>
      </c>
      <c r="D5" s="5" t="n">
        <v>0</v>
      </c>
      <c r="E5" s="5" t="n">
        <v>0</v>
      </c>
      <c r="F5" s="5" t="n">
        <v>80000</v>
      </c>
      <c r="G5" s="5" t="n">
        <v>10000</v>
      </c>
      <c r="H5" s="5" t="n">
        <v>90000</v>
      </c>
      <c r="I5" s="4" t="inlineStr">
        <is>
          <t>仅描述性取数，不授权DLA套本规则10%；其他适用法缺失。</t>
        </is>
      </c>
    </row>
    <row r="6" ht="32" customHeight="1">
      <c r="A6" s="2" t="inlineStr">
        <is>
          <t>P05</t>
        </is>
      </c>
      <c r="B6" s="2" t="inlineStr">
        <is>
          <t>NASA/新设计</t>
        </is>
      </c>
      <c r="C6" s="3" t="n">
        <v>2000000</v>
      </c>
      <c r="D6" s="3" t="n">
        <v>0</v>
      </c>
      <c r="E6" s="3" t="n">
        <v>0</v>
      </c>
      <c r="F6" s="3" t="n">
        <v>160000</v>
      </c>
      <c r="G6" s="3" t="n">
        <v>20000</v>
      </c>
      <c r="H6" s="3" t="n">
        <v>180000</v>
      </c>
      <c r="I6" s="2" t="inlineStr">
        <is>
          <t>民事机构不适用本规则；不能据此推定其应为6%或10%。</t>
        </is>
      </c>
    </row>
    <row r="7" ht="32" customHeight="1">
      <c r="A7" s="4" t="inlineStr">
        <is>
          <t>P06</t>
        </is>
      </c>
      <c r="B7" s="4" t="inlineStr">
        <is>
          <t>Army/补足请求</t>
        </is>
      </c>
      <c r="C7" s="5" t="n">
        <v>2000000</v>
      </c>
      <c r="D7" s="5" t="n">
        <v>0</v>
      </c>
      <c r="E7" s="5" t="n">
        <v>120000</v>
      </c>
      <c r="F7" s="5" t="n">
        <v>80000</v>
      </c>
      <c r="G7" s="5" t="n">
        <v>30000</v>
      </c>
      <c r="H7" s="5" t="n">
        <v>230000</v>
      </c>
      <c r="I7" s="4" t="inlineStr">
        <is>
          <t>提议设计总200000，原签设计120000仍有效；80000仅请求，不是已批准应收。</t>
        </is>
      </c>
    </row>
    <row r="8" ht="32" customHeight="1">
      <c r="A8" s="2" t="inlineStr">
        <is>
          <t>P07</t>
        </is>
      </c>
      <c r="B8" s="2" t="inlineStr">
        <is>
          <t>Navy/未分项</t>
        </is>
      </c>
      <c r="C8" s="3" t="n">
        <v>1500000</v>
      </c>
      <c r="D8" s="3" t="n">
        <v>0</v>
      </c>
      <c r="E8" s="3" t="n">
        <v>0</v>
      </c>
      <c r="F8" s="6" t="inlineStr">
        <is>
          <t>未知</t>
        </is>
      </c>
      <c r="G8" s="6" t="inlineStr">
        <is>
          <t>未知</t>
        </is>
      </c>
      <c r="H8" s="3" t="n">
        <v>170000</v>
      </c>
      <c r="I8" s="2" t="inlineStr">
        <is>
          <t>总价170000不等于设计价；需对方分项和支持文件，不自行估拆。</t>
        </is>
      </c>
    </row>
    <row r="9" ht="50" customHeight="1">
      <c r="A9" s="4" t="inlineStr">
        <is>
          <t>P08</t>
        </is>
      </c>
      <c r="B9" s="4" t="inlineStr">
        <is>
          <t>Air Force/新设计</t>
        </is>
      </c>
      <c r="C9" s="5" t="n">
        <v>4000000</v>
      </c>
      <c r="D9" s="5" t="n">
        <v>0</v>
      </c>
      <c r="E9" s="5" t="n">
        <v>0</v>
      </c>
      <c r="F9" s="5" t="n">
        <v>410000</v>
      </c>
      <c r="G9" s="5" t="n">
        <v>10000</v>
      </c>
      <c r="H9" s="5" t="n">
        <v>420000</v>
      </c>
      <c r="I9" s="4" t="inlineStr">
        <is>
          <t>09:40报价V2取代V1；10:10 V3截点后排除，09:20估算4200000未批，批准基准仍4000000。</t>
        </is>
      </c>
    </row>
    <row r="10" ht="32" customHeight="1">
      <c r="A10" s="2" t="inlineStr">
        <is>
          <t>P09</t>
        </is>
      </c>
      <c r="B10" s="2" t="inlineStr">
        <is>
          <t>Air Force/重设计</t>
        </is>
      </c>
      <c r="C10" s="3" t="n">
        <v>2000000</v>
      </c>
      <c r="D10" s="3" t="n">
        <v>500000</v>
      </c>
      <c r="E10" s="3" t="n">
        <v>150000</v>
      </c>
      <c r="F10" s="3" t="n">
        <v>100000</v>
      </c>
      <c r="G10" s="3" t="n">
        <v>30000</v>
      </c>
      <c r="H10" s="3" t="n">
        <v>280000</v>
      </c>
      <c r="I10" s="2" t="inlineStr">
        <is>
          <t>重设计合并分子和分母；准确等号可过，不用舍入先做阈值判定。</t>
        </is>
      </c>
    </row>
  </sheetData>
  <autoFilter ref="A1:I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0" customWidth="1" min="4" max="4"/>
    <col width="25" customWidth="1" min="5" max="5"/>
    <col width="18" customWidth="1" min="6" max="6"/>
    <col width="23" customWidth="1" min="7" max="7"/>
    <col width="77" customWidth="1" min="8" max="8"/>
  </cols>
  <sheetData>
    <row r="1" ht="32" customHeight="1">
      <c r="A1" s="1" t="inlineStr">
        <is>
          <t>ID</t>
        </is>
      </c>
      <c r="B1" s="1" t="inlineStr">
        <is>
          <t>分母USD</t>
        </is>
      </c>
      <c r="C1" s="1" t="inlineStr">
        <is>
          <t>设计合计USD</t>
        </is>
      </c>
      <c r="D1" s="1" t="inlineStr">
        <is>
          <t>其他USD</t>
        </is>
      </c>
      <c r="E1" s="1" t="inlineStr">
        <is>
          <t>本项上限USD</t>
        </is>
      </c>
      <c r="F1" s="1" t="inlineStr">
        <is>
          <t>设计比率</t>
        </is>
      </c>
      <c r="G1" s="1" t="inlineStr">
        <is>
          <t>超限USD</t>
        </is>
      </c>
      <c r="H1" s="1" t="inlineStr">
        <is>
          <t>测试结论</t>
        </is>
      </c>
    </row>
    <row r="2" ht="50" customHeight="1">
      <c r="A2" s="2" t="inlineStr">
        <is>
          <t>P01</t>
        </is>
      </c>
      <c r="B2" s="6">
        <f>'取数台账'!C2</f>
        <v/>
      </c>
      <c r="C2" s="6">
        <f>'取数台账'!E2+'取数台账'!F2</f>
        <v/>
      </c>
      <c r="D2" s="6">
        <f>'取数台账'!G2</f>
        <v/>
      </c>
      <c r="E2" s="6">
        <f>B2*10%</f>
        <v/>
      </c>
      <c r="F2" s="7">
        <f>C2/B2</f>
        <v/>
      </c>
      <c r="G2" s="6">
        <f>MAX(C2-E2,0)</f>
        <v/>
      </c>
      <c r="H2" s="2" t="inlineStr">
        <is>
          <t>9.50%；设计未超，余量10000。总价230000/2000000=11.50%不是本项设计上限测试。</t>
        </is>
      </c>
    </row>
    <row r="3" ht="50" customHeight="1">
      <c r="A3" s="4" t="inlineStr">
        <is>
          <t>P02</t>
        </is>
      </c>
      <c r="B3" s="8">
        <f>'取数台账'!D3</f>
        <v/>
      </c>
      <c r="C3" s="8">
        <f>'取数台账'!E3+'取数台账'!F3</f>
        <v/>
      </c>
      <c r="D3" s="8">
        <f>'取数台账'!G3</f>
        <v/>
      </c>
      <c r="E3" s="8">
        <f>B3*10%</f>
        <v/>
      </c>
      <c r="F3" s="9">
        <f>C3/B3</f>
        <v/>
      </c>
      <c r="G3" s="8">
        <f>MAX(C3-E3,0)</f>
        <v/>
      </c>
      <c r="H3" s="4" t="inlineStr">
        <is>
          <t>10.50%；超20000，先改设计价或取得合法已批准基准后重算，不仅算新增价。</t>
        </is>
      </c>
    </row>
    <row r="4" ht="50" customHeight="1">
      <c r="A4" s="2" t="inlineStr">
        <is>
          <t>P03</t>
        </is>
      </c>
      <c r="B4" s="6">
        <f>'取数台账'!C4+'取数台账'!D4</f>
        <v/>
      </c>
      <c r="C4" s="6">
        <f>'取数台账'!E4+'取数台账'!F4</f>
        <v/>
      </c>
      <c r="D4" s="6">
        <f>'取数台账'!G4</f>
        <v/>
      </c>
      <c r="E4" s="6">
        <f>B4*10%</f>
        <v/>
      </c>
      <c r="F4" s="7">
        <f>C4/B4</f>
        <v/>
      </c>
      <c r="G4" s="6">
        <f>MAX(C4-E4,0)</f>
        <v/>
      </c>
      <c r="H4" s="2" t="inlineStr">
        <is>
          <t>10.166666...%；超10000；显示10.17%不是先舍入再决定。</t>
        </is>
      </c>
    </row>
    <row r="5" ht="32" customHeight="1">
      <c r="A5" s="4" t="inlineStr">
        <is>
          <t>P04</t>
        </is>
      </c>
      <c r="B5" s="8">
        <f>'取数台账'!C5</f>
        <v/>
      </c>
      <c r="C5" s="8">
        <f>'取数台账'!F5</f>
        <v/>
      </c>
      <c r="D5" s="8">
        <f>'取数台账'!G5</f>
        <v/>
      </c>
      <c r="E5" s="8" t="inlineStr">
        <is>
          <t>本规则不适用</t>
        </is>
      </c>
      <c r="F5" s="9">
        <f>C5/B5</f>
        <v/>
      </c>
      <c r="G5" s="8" t="inlineStr">
        <is>
          <t>不判定</t>
        </is>
      </c>
      <c r="H5" s="4" t="inlineStr">
        <is>
          <t>描述性8%；DLA非三军事部门，不可据本规则批准10%上限或付款。</t>
        </is>
      </c>
    </row>
    <row r="6" ht="32" customHeight="1">
      <c r="A6" s="2" t="inlineStr">
        <is>
          <t>P05</t>
        </is>
      </c>
      <c r="B6" s="6">
        <f>'取数台账'!C6</f>
        <v/>
      </c>
      <c r="C6" s="6">
        <f>'取数台账'!F6</f>
        <v/>
      </c>
      <c r="D6" s="6">
        <f>'取数台账'!G6</f>
        <v/>
      </c>
      <c r="E6" s="6" t="inlineStr">
        <is>
          <t>本规则不适用</t>
        </is>
      </c>
      <c r="F6" s="7">
        <f>C6/B6</f>
        <v/>
      </c>
      <c r="G6" s="6" t="inlineStr">
        <is>
          <t>不判定</t>
        </is>
      </c>
      <c r="H6" s="2" t="inlineStr">
        <is>
          <t>描述性8%；NASA为民事机构，需另核其规则，不推断6%或10%。</t>
        </is>
      </c>
    </row>
    <row r="7" ht="50" customHeight="1">
      <c r="A7" s="4" t="inlineStr">
        <is>
          <t>P06</t>
        </is>
      </c>
      <c r="B7" s="8">
        <f>'取数台账'!C7</f>
        <v/>
      </c>
      <c r="C7" s="8">
        <f>'取数台账'!E7+'取数台账'!F7</f>
        <v/>
      </c>
      <c r="D7" s="8">
        <f>'取数台账'!G7</f>
        <v/>
      </c>
      <c r="E7" s="8">
        <f>B7*10%</f>
        <v/>
      </c>
      <c r="F7" s="9">
        <f>C7/B7</f>
        <v/>
      </c>
      <c r="G7" s="8">
        <f>MAX(C7-E7,0)</f>
        <v/>
      </c>
      <c r="H7" s="4" t="inlineStr">
        <is>
          <t>提议200000恰为10%，未超本项法定上限；原签设计120000不自动上调，80000不可直接开票。</t>
        </is>
      </c>
    </row>
    <row r="8" ht="50" customHeight="1">
      <c r="A8" s="2" t="inlineStr">
        <is>
          <t>P07</t>
        </is>
      </c>
      <c r="B8" s="6">
        <f>'取数台账'!C8</f>
        <v/>
      </c>
      <c r="C8" s="6" t="inlineStr">
        <is>
          <t>未知</t>
        </is>
      </c>
      <c r="D8" s="6" t="inlineStr">
        <is>
          <t>未知</t>
        </is>
      </c>
      <c r="E8" s="6">
        <f>B8*10%</f>
        <v/>
      </c>
      <c r="F8" s="7" t="inlineStr">
        <is>
          <t>待分项</t>
        </is>
      </c>
      <c r="G8" s="6" t="inlineStr">
        <is>
          <t>待分项</t>
        </is>
      </c>
      <c r="H8" s="2" t="inlineStr">
        <is>
          <t>设计上限150000；若可证设计≤150000则本项不过限，否则超；总170000不能单独决定。</t>
        </is>
      </c>
    </row>
    <row r="9" ht="50" customHeight="1">
      <c r="A9" s="4" t="inlineStr">
        <is>
          <t>P08</t>
        </is>
      </c>
      <c r="B9" s="8">
        <f>'取数台账'!C9</f>
        <v/>
      </c>
      <c r="C9" s="8">
        <f>'取数台账'!E9+'取数台账'!F9</f>
        <v/>
      </c>
      <c r="D9" s="8">
        <f>'取数台账'!G9</f>
        <v/>
      </c>
      <c r="E9" s="8">
        <f>B9*10%</f>
        <v/>
      </c>
      <c r="F9" s="9">
        <f>C9/B9</f>
        <v/>
      </c>
      <c r="G9" s="8">
        <f>MAX(C9-E9,0)</f>
        <v/>
      </c>
      <c r="H9" s="4" t="inlineStr">
        <is>
          <t>10.25%；截点前V2超10000。未批4200000和未来V3不能用来过关。</t>
        </is>
      </c>
    </row>
    <row r="10" ht="50" customHeight="1">
      <c r="A10" s="2" t="inlineStr">
        <is>
          <t>P09</t>
        </is>
      </c>
      <c r="B10" s="6">
        <f>'取数台账'!C10+'取数台账'!D10</f>
        <v/>
      </c>
      <c r="C10" s="6">
        <f>'取数台账'!E10+'取数台账'!F10</f>
        <v/>
      </c>
      <c r="D10" s="6">
        <f>'取数台账'!G10</f>
        <v/>
      </c>
      <c r="E10" s="6">
        <f>B10*10%</f>
        <v/>
      </c>
      <c r="F10" s="7">
        <f>C10/B10</f>
        <v/>
      </c>
      <c r="G10" s="6">
        <f>MAX(C10-E10,0)</f>
        <v/>
      </c>
      <c r="H10" s="2" t="inlineStr">
        <is>
          <t>10.00%恰等于上限，超限0；可继续谈判/签署流程，不等于已验收或应付款。</t>
        </is>
      </c>
    </row>
  </sheetData>
  <autoFilter ref="A1:H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  <col width="65" customWidth="1" min="3" max="3"/>
  </cols>
  <sheetData>
    <row r="1" ht="32" customHeight="1">
      <c r="A1" s="1" t="inlineStr">
        <is>
          <t>项目</t>
        </is>
      </c>
      <c r="B1" s="1" t="inlineStr">
        <is>
          <t>结论</t>
        </is>
      </c>
      <c r="C1" s="1" t="inlineStr">
        <is>
          <t>依据与边界</t>
        </is>
      </c>
    </row>
    <row r="2" ht="32" customHeight="1">
      <c r="A2" s="2" t="inlineStr">
        <is>
          <t>时点</t>
        </is>
      </c>
      <c r="B2" s="2" t="inlineStr">
        <is>
          <t>2024-09-06 10:00 America/New_York；规则2024-06-27公布、2024-08-26生效。</t>
        </is>
      </c>
      <c r="C2" s="2" t="inlineStr">
        <is>
          <t>RULE PDF1；不把公布日当生效，不判断生效前追溯或2026现行法。</t>
        </is>
      </c>
    </row>
    <row r="3" ht="50" customHeight="1">
      <c r="A3" s="4" t="inlineStr">
        <is>
          <t>主体与对象</t>
        </is>
      </c>
      <c r="B3" s="4" t="inlineStr">
        <is>
          <t>仅Army/Navy/Air Force特定设计服务的完整contract price(or fee)，不是所有DoD或政府，也不是只限制利润。</t>
        </is>
      </c>
      <c r="C3" s="4" t="inlineStr">
        <is>
          <t>RULE PDF1范围说明、PDF3 236.606-70(a)、(c)。</t>
        </is>
      </c>
    </row>
    <row r="4" ht="50" customHeight="1">
      <c r="A4" s="2" t="inlineStr">
        <is>
          <t>修改计算</t>
        </is>
      </c>
      <c r="B4" s="2" t="inlineStr">
        <is>
          <t>新增工作用修订总施工估算；重设计用原估算+重设计特征估算，设计价均汇总原+新增/重设计。</t>
        </is>
      </c>
      <c r="C4" s="2" t="inlineStr">
        <is>
          <t>RULE PDF3 (b)(1)、(b)(2)(i)-(iii)；其他服务排除本项，不等于免审。</t>
        </is>
      </c>
    </row>
    <row r="5" ht="50" customHeight="1">
      <c r="A5" s="4" t="inlineStr">
        <is>
          <t>上限非定价</t>
        </is>
      </c>
      <c r="B5" s="4" t="inlineStr">
        <is>
          <t>10%是上限，不是承诺费率或自动补款；报价需成本说明并协商，原合同调价依给定双方书面修改。</t>
        </is>
      </c>
      <c r="C5" s="4" t="inlineStr">
        <is>
          <t>RULE PDF2；内部合同既定条件与签署/验收约定是演练事实，不称联邦法。</t>
        </is>
      </c>
    </row>
    <row r="6" ht="32" customHeight="1">
      <c r="A6" s="2" t="inlineStr">
        <is>
          <t>P08选版</t>
        </is>
      </c>
      <c r="B6" s="2" t="inlineStr">
        <is>
          <t>已收到09:40 V2采用；10:10 V3在截点后排除；4200000预算草案未批，批准估算仍4000000。</t>
        </is>
      </c>
      <c r="C6" s="2" t="inlineStr">
        <is>
          <t>输入报价事件；版本日期、取得时刻与批准状态分别判断。</t>
        </is>
      </c>
    </row>
    <row r="7" ht="50" customHeight="1">
      <c r="A7" s="4" t="inlineStr">
        <is>
          <t>数值材料边界</t>
        </is>
      </c>
      <c r="B7" s="4" t="inlineStr">
        <is>
          <t>本题项目数据原创模拟，不是真实政府采购下载；PDF经济影响3.25%/5.42%及例子不是本项目费率。</t>
        </is>
      </c>
      <c r="C7" s="4" t="inlineStr">
        <is>
          <t>经济影响段数字不一致不用于项目复算；未核未附FAR全套或其他机构规则。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60" customWidth="1" min="3" max="3"/>
    <col width="72" customWidth="1" min="4" max="4"/>
  </cols>
  <sheetData>
    <row r="1" ht="32" customHeight="1">
      <c r="A1" s="1" t="inlineStr">
        <is>
          <t>ID</t>
        </is>
      </c>
      <c r="B1" s="1" t="inlineStr">
        <is>
          <t>当前处理</t>
        </is>
      </c>
      <c r="C1" s="1" t="inlineStr">
        <is>
          <t>责任与动作</t>
        </is>
      </c>
      <c r="D1" s="1" t="inlineStr">
        <is>
          <t>关闭材料与依据</t>
        </is>
      </c>
    </row>
    <row r="2" ht="32" customHeight="1">
      <c r="A2" s="2" t="inlineStr">
        <is>
          <t>P01</t>
        </is>
      </c>
      <c r="B2" s="2" t="inlineStr">
        <is>
          <t>费用测试可过，继续议价，不按10%顶格承诺。</t>
        </is>
      </c>
      <c r="C2" s="2" t="inlineStr">
        <is>
          <t>商务核设计与其他分类及成本说明，双方授权人协商。</t>
        </is>
      </c>
      <c r="D2" s="2" t="inlineStr">
        <is>
          <t>双方书面价款/范围后再按验收材料核票；RULE PDF3(a)(c)、合同既定条件。</t>
        </is>
      </c>
    </row>
    <row r="3" ht="32" customHeight="1">
      <c r="A3" s="4" t="inlineStr">
        <is>
          <t>P02</t>
        </is>
      </c>
      <c r="B3" s="4" t="inlineStr">
        <is>
          <t>超20000，当前报价不得按合规价签。</t>
        </is>
      </c>
      <c r="C3" s="4" t="inlineStr">
        <is>
          <t>商务请对方改设计总价至≤400000或提供真实批准变更后重算。</t>
        </is>
      </c>
      <c r="D3" s="4" t="inlineStr">
        <is>
          <t>修订范围、批准总估算、设计价分项及重新测试；RULE PDF3(b)(1)。</t>
        </is>
      </c>
    </row>
    <row r="4" ht="32" customHeight="1">
      <c r="A4" s="2" t="inlineStr">
        <is>
          <t>P03</t>
        </is>
      </c>
      <c r="B4" s="2" t="inlineStr">
        <is>
          <t>超10000，不能只让本次260000单独过关。</t>
        </is>
      </c>
      <c r="C4" s="2" t="inlineStr">
        <is>
          <t>商务核重设计特征估算与原价，重新议价。</t>
        </is>
      </c>
      <c r="D4" s="2" t="inlineStr">
        <is>
          <t>合并设计≤600000及分母6000000证据、双方书面修改；PDF3(b)(2)。</t>
        </is>
      </c>
    </row>
    <row r="5" ht="32" customHeight="1">
      <c r="A5" s="4" t="inlineStr">
        <is>
          <t>P04</t>
        </is>
      </c>
      <c r="B5" s="4" t="inlineStr">
        <is>
          <t>本规则不适用；不下DLA法定上限结论。</t>
        </is>
      </c>
      <c r="C5" s="4" t="inlineStr">
        <is>
          <t>法务请求适用规则/合同条款，商务暂不依10%承诺。</t>
        </is>
      </c>
      <c r="D5" s="4" t="inlineStr">
        <is>
          <t>适用机构规则与合同文本后另审；其他项目可继续，不套回6%。</t>
        </is>
      </c>
    </row>
    <row r="6" ht="32" customHeight="1">
      <c r="A6" s="2" t="inlineStr">
        <is>
          <t>P05</t>
        </is>
      </c>
      <c r="B6" s="2" t="inlineStr">
        <is>
          <t>本规则不适用；NASA另核。</t>
        </is>
      </c>
      <c r="C6" s="2" t="inlineStr">
        <is>
          <t>法务索取民事机构适用条款，保留描述性8%。</t>
        </is>
      </c>
      <c r="D6" s="2" t="inlineStr">
        <is>
          <t>适用规则、采购范围和合同文本，不用本规则批准付款。</t>
        </is>
      </c>
    </row>
    <row r="7" ht="50" customHeight="1">
      <c r="A7" s="4" t="inlineStr">
        <is>
          <t>P06</t>
        </is>
      </c>
      <c r="B7" s="4" t="inlineStr">
        <is>
          <t>法定上限测试不超但80000非既定应收，暂停补差开票。</t>
        </is>
      </c>
      <c r="C7" s="4" t="inlineStr">
        <is>
          <t>商务告知原设计120000/其他30000保留；新价须双方授权人书面同意。</t>
        </is>
      </c>
      <c r="D7" s="4" t="inlineStr">
        <is>
          <t>双方修改与对应验收才进核票；当前均缺。不得擅填已签/已验收/已付。</t>
        </is>
      </c>
    </row>
    <row r="8" ht="32" customHeight="1">
      <c r="A8" s="2" t="inlineStr">
        <is>
          <t>P07</t>
        </is>
      </c>
      <c r="B8" s="2" t="inlineStr">
        <is>
          <t>待分项，不能硬判全过或全超。</t>
        </is>
      </c>
      <c r="C8" s="2" t="inlineStr">
        <is>
          <t>商务向报价方索170000设计/其他拆分与分类支持。</t>
        </is>
      </c>
      <c r="D8" s="2" t="inlineStr">
        <is>
          <t>设计部分≤150000的可核证据或修价；有材料再测，不由财务估拆。</t>
        </is>
      </c>
    </row>
    <row r="9" ht="50" customHeight="1">
      <c r="A9" s="4" t="inlineStr">
        <is>
          <t>P08</t>
        </is>
      </c>
      <c r="B9" s="4" t="inlineStr">
        <is>
          <t>V2超10000，未批草案/未来V3不能关闭。</t>
        </is>
      </c>
      <c r="C9" s="4" t="inlineStr">
        <is>
          <t>商务保留报价事件，要求截点后新资料进入下一轮并重新冻结时点。</t>
        </is>
      </c>
      <c r="D9" s="4" t="inlineStr">
        <is>
          <t>真实批准估算或合规新报价及重算；不回填10:00包，也不把报价当已签。</t>
        </is>
      </c>
    </row>
    <row r="10" ht="32" customHeight="1">
      <c r="A10" s="2" t="inlineStr">
        <is>
          <t>P09</t>
        </is>
      </c>
      <c r="B10" s="2" t="inlineStr">
        <is>
          <t>恰10%，费用测试通过，继续协商和书面修改。</t>
        </is>
      </c>
      <c r="C10" s="2" t="inlineStr">
        <is>
          <t>商务备齐重设计分子/分母，双方授权人签，指定人验收。</t>
        </is>
      </c>
      <c r="D10" s="2" t="inlineStr">
        <is>
          <t>设计250000/分母2500000；本项通过不替代合同和验收程序。</t>
        </is>
      </c>
    </row>
  </sheetData>
  <autoFilter ref="A1:D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105" customWidth="1" min="3" max="3"/>
  </cols>
  <sheetData>
    <row r="1" ht="32" customHeight="1">
      <c r="A1" s="1" t="inlineStr">
        <is>
          <t>条号</t>
        </is>
      </c>
      <c r="B1" s="1" t="inlineStr">
        <is>
          <t>问题与保留</t>
        </is>
      </c>
      <c r="C1" s="1" t="inlineStr">
        <is>
          <t>修订方向</t>
        </is>
      </c>
    </row>
    <row r="2" ht="32" customHeight="1">
      <c r="A2" s="2" t="inlineStr">
        <is>
          <t>S1</t>
        </is>
      </c>
      <c r="B2" s="2" t="inlineStr">
        <is>
          <t>10%数字有范围；不可统一所有机构或作费率。</t>
        </is>
      </c>
      <c r="C2" s="2" t="inlineStr">
        <is>
          <t>限定三军事部门、特定设计服务；范围外另核，不推定6%或10%。</t>
        </is>
      </c>
    </row>
    <row r="3" ht="32" customHeight="1">
      <c r="A3" s="4" t="inlineStr">
        <is>
          <t>S2</t>
        </is>
      </c>
      <c r="B3" s="4" t="inlineStr">
        <is>
          <t>应保留其他服务不受本项10%限制的意思；利润限定错误，其他费用仍需合同审核。</t>
        </is>
      </c>
      <c r="C3" s="4" t="inlineStr">
        <is>
          <t>全设计价含成本/间接费/利润；有依据的其他服务分项；不以移项规避。</t>
        </is>
      </c>
    </row>
    <row r="4" ht="32" customHeight="1">
      <c r="A4" s="2" t="inlineStr">
        <is>
          <t>S3</t>
        </is>
      </c>
      <c r="B4" s="2" t="inlineStr">
        <is>
          <t>新增与重设计的分母、原设计价均错误。</t>
        </is>
      </c>
      <c r="C4" s="2" t="inlineStr">
        <is>
          <t>新增按修订总额，重设计加原估算与重设计特征估算；合并设计价复核。</t>
        </is>
      </c>
    </row>
    <row r="5" ht="32" customHeight="1">
      <c r="A5" s="4" t="inlineStr">
        <is>
          <t>S4</t>
        </is>
      </c>
      <c r="B5" s="4" t="inlineStr">
        <is>
          <t>公布/生效和上限/应付款混同；原合同不自动补差。</t>
        </is>
      </c>
      <c r="C5" s="4" t="inlineStr">
        <is>
          <t>2024-08-26生效仅作为规则时点；调价经双方书面同意，不直接变原价。</t>
        </is>
      </c>
    </row>
    <row r="6" ht="32" customHeight="1">
      <c r="A6" s="2" t="inlineStr">
        <is>
          <t>S5</t>
        </is>
      </c>
      <c r="B6" s="2" t="inlineStr">
        <is>
          <t>法务/项目经理越过授权及验收；不能邮件代全部凭证。</t>
        </is>
      </c>
      <c r="C6" s="2" t="inlineStr">
        <is>
          <t>双方授权人签范围/价格，指定验收人验收，财务凭材料核票，缺则留待补证。</t>
        </is>
      </c>
    </row>
    <row r="7" ht="32" customHeight="1">
      <c r="A7" s="4" t="inlineStr">
        <is>
          <t>S6</t>
        </is>
      </c>
      <c r="B7" s="4" t="inlineStr">
        <is>
          <t>最新标记不能越过截点和批准条件，缺分项不能猜。</t>
        </is>
      </c>
      <c r="C7" s="4" t="inlineStr">
        <is>
          <t>记录收到时刻与批准状态；后到资料另轮复核，未分项先向报价方补证。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