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文计数" sheetId="1" state="visible" r:id="rId1"/>
    <sheet xmlns:r="http://schemas.openxmlformats.org/officeDocument/2006/relationships" name="比例与分流" sheetId="2" state="visible" r:id="rId2"/>
    <sheet xmlns:r="http://schemas.openxmlformats.org/officeDocument/2006/relationships" name="单位映射" sheetId="3" state="visible" r:id="rId3"/>
    <sheet xmlns:r="http://schemas.openxmlformats.org/officeDocument/2006/relationships" name="原文疑点与缺口" sheetId="4" state="visible" r:id="rId4"/>
    <sheet xmlns:r="http://schemas.openxmlformats.org/officeDocument/2006/relationships" name="时点与发布" sheetId="5" state="visible" r:id="rId5"/>
    <sheet xmlns:r="http://schemas.openxmlformats.org/officeDocument/2006/relationships" name="厂商审阅" sheetId="6" state="visible" r:id="rId6"/>
  </sheets>
  <definedNames>
    <definedName name="_xlnm._FilterDatabase" localSheetId="0" hidden="1">'原文计数'!$A$1:$F$13</definedName>
    <definedName name="_xlnm.Print_Titles" localSheetId="0">'原文计数'!$1:$1</definedName>
    <definedName name="_xlnm._FilterDatabase" localSheetId="1" hidden="1">'比例与分流'!$A$1:$F$13</definedName>
    <definedName name="_xlnm.Print_Titles" localSheetId="1">'比例与分流'!$1:$1</definedName>
    <definedName name="_xlnm._FilterDatabase" localSheetId="2" hidden="1">'单位映射'!$A$1:$H$8</definedName>
    <definedName name="_xlnm.Print_Titles" localSheetId="2">'单位映射'!$1:$1</definedName>
    <definedName name="_xlnm._FilterDatabase" localSheetId="3" hidden="1">'原文疑点与缺口'!$A$1:$D$9</definedName>
    <definedName name="_xlnm.Print_Titles" localSheetId="3">'原文疑点与缺口'!$1:$1</definedName>
    <definedName name="_xlnm._FilterDatabase" localSheetId="4" hidden="1">'时点与发布'!$A$1:$D$7</definedName>
    <definedName name="_xlnm.Print_Titles" localSheetId="4">'时点与发布'!$1:$1</definedName>
    <definedName name="_xlnm._FilterDatabase" localSheetId="5" hidden="1">'厂商审阅'!$A$1:$D$11</definedName>
    <definedName name="_xlnm.Print_Titles" localSheetId="5">'厂商审阅'!$1:$1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  <xf numFmtId="10" fontId="2" fillId="3" borderId="0" applyAlignment="1" pivotButton="0" quotePrefix="0" xfId="0">
      <alignment horizontal="left" vertical="top" wrapText="1" indent="1"/>
    </xf>
    <xf numFmtId="10" fontId="2" fillId="0" borderId="0" applyAlignment="1" pivotButton="0" quotePrefix="0" xfId="0">
      <alignment horizontal="left" vertical="top" wrapText="1" indent="1"/>
    </xf>
    <xf numFmtId="2" fontId="2" fillId="3" borderId="0" applyAlignment="1" pivotButton="0" quotePrefix="0" xfId="0">
      <alignment horizontal="center" vertical="top" wrapText="1" indent="1"/>
    </xf>
    <xf numFmtId="164" fontId="2" fillId="3" borderId="0" applyAlignment="1" pivotButton="0" quotePrefix="0" xfId="0">
      <alignment horizontal="center" vertical="top" wrapText="1" indent="1"/>
    </xf>
    <xf numFmtId="2" fontId="2" fillId="3" borderId="0" applyAlignment="1" pivotButton="0" quotePrefix="0" xfId="0">
      <alignment horizontal="left" vertical="top" wrapText="1" indent="1"/>
    </xf>
    <xf numFmtId="2" fontId="2" fillId="0" borderId="0" applyAlignment="1" pivotButton="0" quotePrefix="0" xfId="0">
      <alignment horizontal="center" vertical="top" wrapText="1" indent="1"/>
    </xf>
    <xf numFmtId="164" fontId="2" fillId="0" borderId="0" applyAlignment="1" pivotButton="0" quotePrefix="0" xfId="0">
      <alignment horizontal="center" vertical="top" wrapText="1" indent="1"/>
    </xf>
    <xf numFmtId="2" fontId="2" fillId="0" borderId="0" applyAlignment="1" pivotButton="0" quotePrefix="0" xfId="0">
      <alignment horizontal="left" vertical="top" wrapText="1" indent="1"/>
    </xf>
    <xf numFmtId="164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8" customWidth="1" min="3" max="3"/>
    <col width="15" customWidth="1" min="4" max="4"/>
    <col width="18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组别与来源</t>
        </is>
      </c>
      <c r="C1" s="1" t="inlineStr">
        <is>
          <t>区间</t>
        </is>
      </c>
      <c r="D1" s="1" t="inlineStr">
        <is>
          <t>组内人数</t>
        </is>
      </c>
      <c r="E1" s="1" t="inlineStr">
        <is>
          <t>区间内人数</t>
        </is>
      </c>
      <c r="F1" s="1" t="inlineStr">
        <is>
          <t>边界</t>
        </is>
      </c>
    </row>
    <row r="2" ht="32" customHeight="1">
      <c r="A2" s="2" t="inlineStr">
        <is>
          <t>C01</t>
        </is>
      </c>
      <c r="B2" s="2" t="inlineStr">
        <is>
          <t>表5 原总Ca/首组</t>
        </is>
      </c>
      <c r="C2" s="2" t="inlineStr">
        <is>
          <t>2.14-2.53 mmol/L</t>
        </is>
      </c>
      <c r="D2" s="3" t="n">
        <v>20</v>
      </c>
      <c r="E2" s="3" t="n">
        <v>15</v>
      </c>
      <c r="F2" s="2" t="inlineStr">
        <is>
          <t>表5 N=40是两组总量；本行分母20。</t>
        </is>
      </c>
    </row>
    <row r="3" ht="32" customHeight="1">
      <c r="A3" s="4" t="inlineStr">
        <is>
          <t>C02</t>
        </is>
      </c>
      <c r="B3" s="4" t="inlineStr">
        <is>
          <t>表5 原总Ca/第二组</t>
        </is>
      </c>
      <c r="C3" s="4" t="inlineStr">
        <is>
          <t>2.14-2.53 mmol/L</t>
        </is>
      </c>
      <c r="D3" s="5" t="n">
        <v>20</v>
      </c>
      <c r="E3" s="5" t="n">
        <v>16</v>
      </c>
      <c r="F3" s="4" t="inlineStr">
        <is>
          <t>第二组仍未达论文18/20流程。</t>
        </is>
      </c>
    </row>
    <row r="4" ht="32" customHeight="1">
      <c r="A4" s="2" t="inlineStr">
        <is>
          <t>C03</t>
        </is>
      </c>
      <c r="B4" s="2" t="inlineStr">
        <is>
          <t>表5 原男性ALP/首组</t>
        </is>
      </c>
      <c r="C4" s="2" t="inlineStr">
        <is>
          <t>60-142 U/L</t>
        </is>
      </c>
      <c r="D4" s="3" t="n">
        <v>20</v>
      </c>
      <c r="E4" s="3" t="n">
        <v>15</v>
      </c>
      <c r="F4" s="2" t="inlineStr">
        <is>
          <t>男性，不能省略分层。</t>
        </is>
      </c>
    </row>
    <row r="5" ht="32" customHeight="1">
      <c r="A5" s="4" t="inlineStr">
        <is>
          <t>C04</t>
        </is>
      </c>
      <c r="B5" s="4" t="inlineStr">
        <is>
          <t>表5 原男性ALP/第二组</t>
        </is>
      </c>
      <c r="C5" s="4" t="inlineStr">
        <is>
          <t>60-142 U/L</t>
        </is>
      </c>
      <c r="D5" s="5" t="n">
        <v>20</v>
      </c>
      <c r="E5" s="5" t="n">
        <v>13</v>
      </c>
      <c r="F5" s="4" t="inlineStr">
        <is>
          <t>保留第二组，不以合并结果替代。</t>
        </is>
      </c>
    </row>
    <row r="6" ht="32" customHeight="1">
      <c r="A6" s="2" t="inlineStr">
        <is>
          <t>C05</t>
        </is>
      </c>
      <c r="B6" s="2" t="inlineStr">
        <is>
          <t>表5 原女性&lt;50 ALP/首组</t>
        </is>
      </c>
      <c r="C6" s="2" t="inlineStr">
        <is>
          <t>54-119 U/L</t>
        </is>
      </c>
      <c r="D6" s="3" t="n">
        <v>20</v>
      </c>
      <c r="E6" s="3" t="n">
        <v>10</v>
      </c>
      <c r="F6" s="2" t="inlineStr">
        <is>
          <t>女性&lt;50。</t>
        </is>
      </c>
    </row>
    <row r="7" ht="32" customHeight="1">
      <c r="A7" s="4" t="inlineStr">
        <is>
          <t>C06</t>
        </is>
      </c>
      <c r="B7" s="4" t="inlineStr">
        <is>
          <t>表5 原女性&lt;50 ALP/第二组</t>
        </is>
      </c>
      <c r="C7" s="4" t="inlineStr">
        <is>
          <t>54-119 U/L</t>
        </is>
      </c>
      <c r="D7" s="5" t="n">
        <v>20</v>
      </c>
      <c r="E7" s="5" t="n">
        <v>11</v>
      </c>
      <c r="F7" s="4" t="inlineStr">
        <is>
          <t>女性&lt;50。</t>
        </is>
      </c>
    </row>
    <row r="8" ht="50" customHeight="1">
      <c r="A8" s="2" t="inlineStr">
        <is>
          <t>C07</t>
        </is>
      </c>
      <c r="B8" s="2" t="inlineStr">
        <is>
          <t>表6 国际总Ca/首组</t>
        </is>
      </c>
      <c r="C8" s="2" t="inlineStr">
        <is>
          <t>2.20-2.60 mmol/L</t>
        </is>
      </c>
      <c r="D8" s="3" t="n">
        <v>20</v>
      </c>
      <c r="E8" s="3" t="n">
        <v>19</v>
      </c>
      <c r="F8" s="2" t="inlineStr">
        <is>
          <t>厂家2.20-2.65是另一来源区间，虽本组计数相同也不可混同。</t>
        </is>
      </c>
    </row>
    <row r="9" ht="32" customHeight="1">
      <c r="A9" s="4" t="inlineStr">
        <is>
          <t>C08</t>
        </is>
      </c>
      <c r="B9" s="4" t="inlineStr">
        <is>
          <t>表6 国际总Ca/第二组</t>
        </is>
      </c>
      <c r="C9" s="4" t="inlineStr">
        <is>
          <t>2.20-2.60 mmol/L</t>
        </is>
      </c>
      <c r="D9" s="5" t="n">
        <v>20</v>
      </c>
      <c r="E9" s="5" t="n">
        <v>20</v>
      </c>
      <c r="F9" s="4" t="inlineStr">
        <is>
          <t>不得改成原区间验证成功。</t>
        </is>
      </c>
    </row>
    <row r="10" ht="32" customHeight="1">
      <c r="A10" s="2" t="inlineStr">
        <is>
          <t>C09</t>
        </is>
      </c>
      <c r="B10" s="2" t="inlineStr">
        <is>
          <t>表6 国际男性ALP/首组</t>
        </is>
      </c>
      <c r="C10" s="2" t="inlineStr">
        <is>
          <t>43-115 U/L</t>
        </is>
      </c>
      <c r="D10" s="3" t="n">
        <v>20</v>
      </c>
      <c r="E10" s="3" t="n">
        <v>20</v>
      </c>
      <c r="F10" s="2" t="inlineStr">
        <is>
          <t>本研究中的相应男性分层。</t>
        </is>
      </c>
    </row>
    <row r="11" ht="32" customHeight="1">
      <c r="A11" s="4" t="inlineStr">
        <is>
          <t>C10</t>
        </is>
      </c>
      <c r="B11" s="4" t="inlineStr">
        <is>
          <t>表6 国际男性ALP/第二组</t>
        </is>
      </c>
      <c r="C11" s="4" t="inlineStr">
        <is>
          <t>43-115 U/L</t>
        </is>
      </c>
      <c r="D11" s="5" t="n">
        <v>20</v>
      </c>
      <c r="E11" s="5" t="n">
        <v>19</v>
      </c>
      <c r="F11" s="4" t="inlineStr">
        <is>
          <t>不能作为本地已验证。</t>
        </is>
      </c>
    </row>
    <row r="12" ht="32" customHeight="1">
      <c r="A12" s="2" t="inlineStr">
        <is>
          <t>C11</t>
        </is>
      </c>
      <c r="B12" s="2" t="inlineStr">
        <is>
          <t>表6 国际女性&lt;50 ALP/首组</t>
        </is>
      </c>
      <c r="C12" s="2" t="inlineStr">
        <is>
          <t>33-98 U/L</t>
        </is>
      </c>
      <c r="D12" s="3" t="n">
        <v>20</v>
      </c>
      <c r="E12" s="3" t="n">
        <v>19</v>
      </c>
      <c r="F12" s="2" t="inlineStr">
        <is>
          <t>不借男性区间。</t>
        </is>
      </c>
    </row>
    <row r="13" ht="32" customHeight="1">
      <c r="A13" s="4" t="inlineStr">
        <is>
          <t>C12</t>
        </is>
      </c>
      <c r="B13" s="4" t="inlineStr">
        <is>
          <t>表6 国际女性&lt;50 ALP/第二组</t>
        </is>
      </c>
      <c r="C13" s="4" t="inlineStr">
        <is>
          <t>33-98 U/L</t>
        </is>
      </c>
      <c r="D13" s="5" t="n">
        <v>20</v>
      </c>
      <c r="E13" s="5" t="n">
        <v>20</v>
      </c>
      <c r="F13" s="4" t="inlineStr">
        <is>
          <t>女性&gt;=50替代区间没有验证。</t>
        </is>
      </c>
    </row>
  </sheetData>
  <autoFilter ref="A1:F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37" customWidth="1" min="5" max="5"/>
    <col width="74" customWidth="1" min="6" max="6"/>
  </cols>
  <sheetData>
    <row r="1" ht="32" customHeight="1">
      <c r="A1" s="1" t="inlineStr">
        <is>
          <t>ID</t>
        </is>
      </c>
      <c r="B1" s="1" t="inlineStr">
        <is>
          <t>分母</t>
        </is>
      </c>
      <c r="C1" s="1" t="inlineStr">
        <is>
          <t>分子</t>
        </is>
      </c>
      <c r="D1" s="1" t="inlineStr">
        <is>
          <t>比例</t>
        </is>
      </c>
      <c r="E1" s="1" t="inlineStr">
        <is>
          <t>按论文所述流程</t>
        </is>
      </c>
      <c r="F1" s="1" t="inlineStr">
        <is>
          <t>适用范围及限制</t>
        </is>
      </c>
    </row>
    <row r="2" ht="50" customHeight="1">
      <c r="A2" s="2" t="inlineStr">
        <is>
          <t>C01</t>
        </is>
      </c>
      <c r="B2" s="2">
        <f>'原文计数'!D2</f>
        <v/>
      </c>
      <c r="C2" s="2">
        <f>'原文计数'!E2</f>
        <v/>
      </c>
      <c r="D2" s="6">
        <f>C2/B2</f>
        <v/>
      </c>
      <c r="E2" s="2" t="inlineStr">
        <is>
          <t>75%；首组未满足，需第二组</t>
        </is>
      </c>
      <c r="F2" s="2" t="inlineStr">
        <is>
          <t>阈值为该论文方法18/20；不是重建本地RI或直接签批。</t>
        </is>
      </c>
    </row>
    <row r="3" ht="50" customHeight="1">
      <c r="A3" s="4" t="inlineStr">
        <is>
          <t>C02</t>
        </is>
      </c>
      <c r="B3" s="4">
        <f>'原文计数'!D3</f>
        <v/>
      </c>
      <c r="C3" s="4">
        <f>'原文计数'!E3</f>
        <v/>
      </c>
      <c r="D3" s="7">
        <f>C3/B3</f>
        <v/>
      </c>
      <c r="E3" s="4" t="inlineStr">
        <is>
          <t>80%；第二组仍未满足</t>
        </is>
      </c>
      <c r="F3" s="4" t="inlineStr">
        <is>
          <t>原总Ca未验证，不能用国际区间成绩改写。</t>
        </is>
      </c>
    </row>
    <row r="4" ht="50" customHeight="1">
      <c r="A4" s="2" t="inlineStr">
        <is>
          <t>C03</t>
        </is>
      </c>
      <c r="B4" s="2">
        <f>'原文计数'!D4</f>
        <v/>
      </c>
      <c r="C4" s="2">
        <f>'原文计数'!E4</f>
        <v/>
      </c>
      <c r="D4" s="6">
        <f>C4/B4</f>
        <v/>
      </c>
      <c r="E4" s="2" t="inlineStr">
        <is>
          <t>75%；首组未满足</t>
        </is>
      </c>
      <c r="F4" s="2" t="inlineStr">
        <is>
          <t>男性原ALP。</t>
        </is>
      </c>
    </row>
    <row r="5" ht="50" customHeight="1">
      <c r="A5" s="4" t="inlineStr">
        <is>
          <t>C04</t>
        </is>
      </c>
      <c r="B5" s="4">
        <f>'原文计数'!D5</f>
        <v/>
      </c>
      <c r="C5" s="4">
        <f>'原文计数'!E5</f>
        <v/>
      </c>
      <c r="D5" s="7">
        <f>C5/B5</f>
        <v/>
      </c>
      <c r="E5" s="4" t="inlineStr">
        <is>
          <t>65%；第二组仍未满足</t>
        </is>
      </c>
      <c r="F5" s="4" t="inlineStr">
        <is>
          <t>不将15+13合并来替代两组判定。</t>
        </is>
      </c>
    </row>
    <row r="6" ht="50" customHeight="1">
      <c r="A6" s="2" t="inlineStr">
        <is>
          <t>C05</t>
        </is>
      </c>
      <c r="B6" s="2">
        <f>'原文计数'!D6</f>
        <v/>
      </c>
      <c r="C6" s="2">
        <f>'原文计数'!E6</f>
        <v/>
      </c>
      <c r="D6" s="6">
        <f>C6/B6</f>
        <v/>
      </c>
      <c r="E6" s="2" t="inlineStr">
        <is>
          <t>50%；首组未满足</t>
        </is>
      </c>
      <c r="F6" s="2" t="inlineStr">
        <is>
          <t>女性&lt;50原ALP。</t>
        </is>
      </c>
    </row>
    <row r="7" ht="50" customHeight="1">
      <c r="A7" s="4" t="inlineStr">
        <is>
          <t>C06</t>
        </is>
      </c>
      <c r="B7" s="4">
        <f>'原文计数'!D7</f>
        <v/>
      </c>
      <c r="C7" s="4">
        <f>'原文计数'!E7</f>
        <v/>
      </c>
      <c r="D7" s="7">
        <f>C7/B7</f>
        <v/>
      </c>
      <c r="E7" s="4" t="inlineStr">
        <is>
          <t>55%；第二组仍未满足</t>
        </is>
      </c>
      <c r="F7" s="4" t="inlineStr">
        <is>
          <t>不借男性或&gt;=50区间。</t>
        </is>
      </c>
    </row>
    <row r="8" ht="50" customHeight="1">
      <c r="A8" s="2" t="inlineStr">
        <is>
          <t>C07</t>
        </is>
      </c>
      <c r="B8" s="2">
        <f>'原文计数'!D8</f>
        <v/>
      </c>
      <c r="C8" s="2">
        <f>'原文计数'!E8</f>
        <v/>
      </c>
      <c r="D8" s="6">
        <f>C8/B8</f>
        <v/>
      </c>
      <c r="E8" s="2" t="inlineStr">
        <is>
          <t>95%；本研究替代区间满足</t>
        </is>
      </c>
      <c r="F8" s="2" t="inlineStr">
        <is>
          <t>国际2.20-2.60，非厂家2.20-2.65。</t>
        </is>
      </c>
    </row>
    <row r="9" ht="50" customHeight="1">
      <c r="A9" s="4" t="inlineStr">
        <is>
          <t>C08</t>
        </is>
      </c>
      <c r="B9" s="4">
        <f>'原文计数'!D9</f>
        <v/>
      </c>
      <c r="C9" s="4">
        <f>'原文计数'!E9</f>
        <v/>
      </c>
      <c r="D9" s="7">
        <f>C9/B9</f>
        <v/>
      </c>
      <c r="E9" s="4" t="inlineStr">
        <is>
          <t>100%；本研究替代区间满足</t>
        </is>
      </c>
      <c r="F9" s="4" t="inlineStr">
        <is>
          <t>两组分别报告。</t>
        </is>
      </c>
    </row>
    <row r="10" ht="50" customHeight="1">
      <c r="A10" s="2" t="inlineStr">
        <is>
          <t>C09</t>
        </is>
      </c>
      <c r="B10" s="2">
        <f>'原文计数'!D10</f>
        <v/>
      </c>
      <c r="C10" s="2">
        <f>'原文计数'!E10</f>
        <v/>
      </c>
      <c r="D10" s="6">
        <f>C10/B10</f>
        <v/>
      </c>
      <c r="E10" s="2" t="inlineStr">
        <is>
          <t>100%；本研究替代区间满足</t>
        </is>
      </c>
      <c r="F10" s="2" t="inlineStr">
        <is>
          <t>男性43-115。</t>
        </is>
      </c>
    </row>
    <row r="11" ht="50" customHeight="1">
      <c r="A11" s="4" t="inlineStr">
        <is>
          <t>C10</t>
        </is>
      </c>
      <c r="B11" s="4">
        <f>'原文计数'!D11</f>
        <v/>
      </c>
      <c r="C11" s="4">
        <f>'原文计数'!E11</f>
        <v/>
      </c>
      <c r="D11" s="7">
        <f>C11/B11</f>
        <v/>
      </c>
      <c r="E11" s="4" t="inlineStr">
        <is>
          <t>95%；本研究替代区间满足</t>
        </is>
      </c>
      <c r="F11" s="4" t="inlineStr">
        <is>
          <t>不等于全院迁移批准。</t>
        </is>
      </c>
    </row>
    <row r="12" ht="50" customHeight="1">
      <c r="A12" s="2" t="inlineStr">
        <is>
          <t>C11</t>
        </is>
      </c>
      <c r="B12" s="2">
        <f>'原文计数'!D12</f>
        <v/>
      </c>
      <c r="C12" s="2">
        <f>'原文计数'!E12</f>
        <v/>
      </c>
      <c r="D12" s="6">
        <f>C12/B12</f>
        <v/>
      </c>
      <c r="E12" s="2" t="inlineStr">
        <is>
          <t>95%；本研究替代区间满足</t>
        </is>
      </c>
      <c r="F12" s="2" t="inlineStr">
        <is>
          <t>女性&lt;50为33-98。</t>
        </is>
      </c>
    </row>
    <row r="13" ht="50" customHeight="1">
      <c r="A13" s="4" t="inlineStr">
        <is>
          <t>C12</t>
        </is>
      </c>
      <c r="B13" s="4">
        <f>'原文计数'!D13</f>
        <v/>
      </c>
      <c r="C13" s="4">
        <f>'原文计数'!E13</f>
        <v/>
      </c>
      <c r="D13" s="7">
        <f>C13/B13</f>
        <v/>
      </c>
      <c r="E13" s="4" t="inlineStr">
        <is>
          <t>100%；本研究替代区间满足</t>
        </is>
      </c>
      <c r="F13" s="4" t="inlineStr">
        <is>
          <t>女性&gt;=50原组19/20=95%，但表6替代区间NA，不填。</t>
        </is>
      </c>
    </row>
  </sheetData>
  <autoFilter ref="A1:F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17" customWidth="1" min="7" max="7"/>
    <col width="73" customWidth="1" min="8" max="8"/>
  </cols>
  <sheetData>
    <row r="1" ht="32" customHeight="1">
      <c r="A1" s="1" t="inlineStr">
        <is>
          <t>ID</t>
        </is>
      </c>
      <c r="B1" s="1" t="inlineStr">
        <is>
          <t>原下限</t>
        </is>
      </c>
      <c r="C1" s="1" t="inlineStr">
        <is>
          <t>原上限</t>
        </is>
      </c>
      <c r="D1" s="1" t="inlineStr">
        <is>
          <t>因子</t>
        </is>
      </c>
      <c r="E1" s="1" t="inlineStr">
        <is>
          <t>目标下限</t>
        </is>
      </c>
      <c r="F1" s="1" t="inlineStr">
        <is>
          <t>目标上限</t>
        </is>
      </c>
      <c r="G1" s="1" t="inlineStr">
        <is>
          <t>目标单位</t>
        </is>
      </c>
      <c r="H1" s="1" t="inlineStr">
        <is>
          <t>处置与依据</t>
        </is>
      </c>
    </row>
    <row r="2" ht="32" customHeight="1">
      <c r="A2" s="2" t="inlineStr">
        <is>
          <t>U01</t>
        </is>
      </c>
      <c r="B2" s="8" t="n">
        <v>138</v>
      </c>
      <c r="C2" s="8" t="n">
        <v>175</v>
      </c>
      <c r="D2" s="9" t="n">
        <v>0.1</v>
      </c>
      <c r="E2" s="10">
        <f>B2*D2</f>
        <v/>
      </c>
      <c r="F2" s="10">
        <f>C2*D2</f>
        <v/>
      </c>
      <c r="G2" s="2" t="inlineStr">
        <is>
          <t>g/dL</t>
        </is>
      </c>
      <c r="H2" s="2" t="inlineStr">
        <is>
          <t>13.80-17.50；NIST PDF19 Table5 deci；数值与单位同步，Hb原表疑点另核。</t>
        </is>
      </c>
    </row>
    <row r="3" ht="32" customHeight="1">
      <c r="A3" s="4" t="inlineStr">
        <is>
          <t>U02</t>
        </is>
      </c>
      <c r="B3" s="11" t="n">
        <v>40.6</v>
      </c>
      <c r="C3" s="11" t="n">
        <v>51.4</v>
      </c>
      <c r="D3" s="12" t="n">
        <v>0.1</v>
      </c>
      <c r="E3" s="13">
        <f>B3*D3</f>
        <v/>
      </c>
      <c r="F3" s="13">
        <f>C3*D3</f>
        <v/>
      </c>
      <c r="G3" s="4" t="inlineStr">
        <is>
          <t>g/dL</t>
        </is>
      </c>
      <c r="H3" s="4" t="inlineStr">
        <is>
          <t>4.06-5.14；保留&lt;70，非&gt;=70。NIST PDF19/20。</t>
        </is>
      </c>
    </row>
    <row r="4" ht="32" customHeight="1">
      <c r="A4" s="2" t="inlineStr">
        <is>
          <t>U03</t>
        </is>
      </c>
      <c r="B4" s="8" t="n">
        <v>66</v>
      </c>
      <c r="C4" s="8" t="n">
        <v>81</v>
      </c>
      <c r="D4" s="9" t="n">
        <v>0.1</v>
      </c>
      <c r="E4" s="10">
        <f>B4*D4</f>
        <v/>
      </c>
      <c r="F4" s="10">
        <f>C4*D4</f>
        <v/>
      </c>
      <c r="G4" s="2" t="inlineStr">
        <is>
          <t>g/dL</t>
        </is>
      </c>
      <c r="H4" s="2" t="inlineStr">
        <is>
          <t>6.60-8.10；保留&lt;70且不代表本地验证。</t>
        </is>
      </c>
    </row>
    <row r="5" ht="32" customHeight="1">
      <c r="A5" s="4" t="inlineStr">
        <is>
          <t>U04</t>
        </is>
      </c>
      <c r="B5" s="11" t="n">
        <v>2.14</v>
      </c>
      <c r="C5" s="11" t="n">
        <v>2.53</v>
      </c>
      <c r="D5" s="12" t="n">
        <v>1000</v>
      </c>
      <c r="E5" s="13">
        <f>B5*D5</f>
        <v/>
      </c>
      <c r="F5" s="13">
        <f>C5*D5</f>
        <v/>
      </c>
      <c r="G5" s="4" t="inlineStr">
        <is>
          <t>umol/L</t>
        </is>
      </c>
      <c r="H5" s="4" t="inlineStr">
        <is>
          <t>2140.00-2530.00；milli/micro为10^-3/10^-6，因子1000；原区间未验证。</t>
        </is>
      </c>
    </row>
    <row r="6" ht="32" customHeight="1">
      <c r="A6" s="2" t="inlineStr">
        <is>
          <t>U05</t>
        </is>
      </c>
      <c r="B6" s="8" t="n">
        <v>2.2</v>
      </c>
      <c r="C6" s="8" t="n">
        <v>2.6</v>
      </c>
      <c r="D6" s="9" t="n">
        <v>1000</v>
      </c>
      <c r="E6" s="10">
        <f>B6*D6</f>
        <v/>
      </c>
      <c r="F6" s="10">
        <f>C6*D6</f>
        <v/>
      </c>
      <c r="G6" s="2" t="inlineStr">
        <is>
          <t>umol/L</t>
        </is>
      </c>
      <c r="H6" s="2" t="inlineStr">
        <is>
          <t>2200.00-2600.00；国际上限2.60，不借厂家2.65。</t>
        </is>
      </c>
    </row>
    <row r="7" ht="50" customHeight="1">
      <c r="A7" s="4" t="inlineStr">
        <is>
          <t>U06</t>
        </is>
      </c>
      <c r="B7" s="11" t="n">
        <v>2.2</v>
      </c>
      <c r="C7" s="11" t="n">
        <v>2.6</v>
      </c>
      <c r="D7" s="14" t="inlineStr">
        <is>
          <t>待核</t>
        </is>
      </c>
      <c r="E7" s="13" t="inlineStr">
        <is>
          <t>待核</t>
        </is>
      </c>
      <c r="F7" s="13" t="inlineStr">
        <is>
          <t>待核</t>
        </is>
      </c>
      <c r="G7" s="4" t="inlineStr">
        <is>
          <t>mg/dL</t>
        </is>
      </c>
      <c r="H7" s="4" t="inlineStr">
        <is>
          <t>物质的量浓度到质量浓度不是纯前缀变换，缺经确认摩尔质量/变换定义；索材料后复核，不猜值。</t>
        </is>
      </c>
    </row>
    <row r="8" ht="32" customHeight="1">
      <c r="A8" s="2" t="inlineStr">
        <is>
          <t>U07</t>
        </is>
      </c>
      <c r="B8" s="8" t="n">
        <v>43</v>
      </c>
      <c r="C8" s="8" t="n">
        <v>115</v>
      </c>
      <c r="D8" s="9" t="n">
        <v>1</v>
      </c>
      <c r="E8" s="10">
        <f>B8*D8</f>
        <v/>
      </c>
      <c r="F8" s="10">
        <f>C8*D8</f>
        <v/>
      </c>
      <c r="G8" s="2" t="inlineStr">
        <is>
          <t>U/L</t>
        </is>
      </c>
      <c r="H8" s="2" t="inlineStr">
        <is>
          <t>同单位不改数值，仅映射男性ALP；不授权跨人群/平台或实际发布。</t>
        </is>
      </c>
    </row>
  </sheetData>
  <autoFilter ref="A1:H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9" customWidth="1" min="3" max="3"/>
    <col width="47" customWidth="1" min="4" max="4"/>
  </cols>
  <sheetData>
    <row r="1" ht="32" customHeight="1">
      <c r="A1" s="1" t="inlineStr">
        <is>
          <t>对象</t>
        </is>
      </c>
      <c r="B1" s="1" t="inlineStr">
        <is>
          <t>原始区间/统计</t>
        </is>
      </c>
      <c r="C1" s="1" t="inlineStr">
        <is>
          <t>一致性或适用性结论</t>
        </is>
      </c>
      <c r="D1" s="1" t="inlineStr">
        <is>
          <t>下一步</t>
        </is>
      </c>
    </row>
    <row r="2" ht="50" customHeight="1">
      <c r="A2" s="2" t="inlineStr">
        <is>
          <t>男性RBC/表3</t>
        </is>
      </c>
      <c r="B2" s="2" t="inlineStr">
        <is>
          <t>4.34-5.72；中位4.81，IQR4.27-5.63；20/20</t>
        </is>
      </c>
      <c r="C2" s="2" t="inlineStr">
        <is>
          <t>Q1=4.27低于下限4.34，与20/20全部区间内不能同时成立；不推正确计数。</t>
        </is>
      </c>
      <c r="D2" s="2" t="inlineStr">
        <is>
          <t>向文献责任人索原表/原始核对或勘误；本题不实际联络。</t>
        </is>
      </c>
    </row>
    <row r="3" ht="50" customHeight="1">
      <c r="A3" s="4" t="inlineStr">
        <is>
          <t>男性Hb/表3</t>
        </is>
      </c>
      <c r="B3" s="4" t="inlineStr">
        <is>
          <t>138-175 g/L；中位144，IQR128-155；20/20</t>
        </is>
      </c>
      <c r="C3" s="4" t="inlineStr">
        <is>
          <t>Q1=128低于138，与20/20有冲突；不能默改为18/20或扩大区间。</t>
        </is>
      </c>
      <c r="D3" s="4" t="inlineStr">
        <is>
          <t>保留两个陈述及表3定位，专业澄清前不作为无疑点依据。</t>
        </is>
      </c>
    </row>
    <row r="4" ht="50" customHeight="1">
      <c r="A4" s="2" t="inlineStr">
        <is>
          <t>男性Hct/表3</t>
        </is>
      </c>
      <c r="B4" s="2" t="inlineStr">
        <is>
          <t>0.415-0.530 L/L；中位0.416，IQR0.382-0.439；20/20</t>
        </is>
      </c>
      <c r="C4" s="2" t="inlineStr">
        <is>
          <t>Q1=0.382低于0.415，与20/20有冲突；不能重建个体分布或p值。</t>
        </is>
      </c>
      <c r="D4" s="2" t="inlineStr">
        <is>
          <t>记录汇总一致性疑点，不直接断言整篇或患者结论无效。</t>
        </is>
      </c>
    </row>
    <row r="5" ht="50" customHeight="1">
      <c r="A5" s="4" t="inlineStr">
        <is>
          <t>女性&gt;=50 ALP</t>
        </is>
      </c>
      <c r="B5" s="4" t="inlineStr">
        <is>
          <t>原表5 64-153 U/L，19/20；表6替代区间NA</t>
        </is>
      </c>
      <c r="C5" s="4" t="inlineStr">
        <is>
          <t>原分组95%与替代区间未验证分开；不能借男性43-115或女性&lt;50的33-98。</t>
        </is>
      </c>
      <c r="D5" s="4" t="inlineStr">
        <is>
          <t>如本地需替代方案，由检验专业人员补该年龄方法匹配证据。</t>
        </is>
      </c>
    </row>
    <row r="6" ht="32" customHeight="1">
      <c r="A6" s="2" t="inlineStr">
        <is>
          <t>Alb/TP &gt;=70</t>
        </is>
      </c>
      <c r="B6" s="2" t="inlineStr">
        <is>
          <t>表5各N=2，NA；39.6-48.4及66-80 g/L</t>
        </is>
      </c>
      <c r="C6" s="2" t="inlineStr">
        <is>
          <t>未完成验证，不能以2人/其他年龄成功冒充通过；不补造区间内人数。</t>
        </is>
      </c>
      <c r="D6" s="2" t="inlineStr">
        <is>
          <t>补相应人群证据；本地未验证不发布新配置。</t>
        </is>
      </c>
    </row>
    <row r="7" ht="32" customHeight="1">
      <c r="A7" s="4" t="inlineStr">
        <is>
          <t>方法和人群</t>
        </is>
      </c>
      <c r="B7" s="4" t="inlineStr">
        <is>
          <t>单中心成人，指定平台；每亚组20用于验证</t>
        </is>
      </c>
      <c r="C7" s="4" t="inlineStr">
        <is>
          <t>不等于儿童、所有平台适用，也不够从零建立RI；论文不是本院已验证。</t>
        </is>
      </c>
      <c r="D7" s="4" t="inlineStr">
        <is>
          <t>先本地专业适用性审查，再按本地批准方案验证。</t>
        </is>
      </c>
    </row>
    <row r="8" ht="50" customHeight="1">
      <c r="A8" s="2" t="inlineStr">
        <is>
          <t>复核时间</t>
        </is>
      </c>
      <c r="B8" s="2" t="inlineStr">
        <is>
          <t>Discussion说明标准未定义固定复核间隔</t>
        </is>
      </c>
      <c r="C8" s="2" t="inlineStr">
        <is>
          <t>只能转述论文：方法/平台/试剂/校准/人群变化等触发复核；未读CLSI/ISO原件。</t>
        </is>
      </c>
      <c r="D8" s="2" t="inlineStr">
        <is>
          <t>不杜撰固定年度日期或宣称审过标准全文。</t>
        </is>
      </c>
    </row>
    <row r="9" ht="50" customHeight="1">
      <c r="A9" s="4" t="inlineStr">
        <is>
          <t>许可文字冲突</t>
        </is>
      </c>
      <c r="B9" s="4" t="inlineStr">
        <is>
          <t>permissions链接CC BY4.0，但正文non-commercial</t>
        </is>
      </c>
      <c r="C9" s="4" t="inlineStr">
        <is>
          <t>不能直接判已获商用/再分发许可；先保留rights待核，不公开全文。</t>
        </is>
      </c>
      <c r="D9" s="4" t="inlineStr">
        <is>
          <t>由资料/合规责任人澄清许可文本和本次用途，保留实际证据。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70" customWidth="1" min="3" max="3"/>
    <col width="65" customWidth="1" min="4" max="4"/>
  </cols>
  <sheetData>
    <row r="1" ht="32" customHeight="1">
      <c r="A1" s="1" t="inlineStr">
        <is>
          <t>事项</t>
        </is>
      </c>
      <c r="B1" s="1" t="inlineStr">
        <is>
          <t>截至或适用时点</t>
        </is>
      </c>
      <c r="C1" s="1" t="inlineStr">
        <is>
          <t>当前判断</t>
        </is>
      </c>
      <c r="D1" s="1" t="inlineStr">
        <is>
          <t>关闭条件/责任</t>
        </is>
      </c>
    </row>
    <row r="2" ht="32" customHeight="1">
      <c r="A2" s="2" t="inlineStr">
        <is>
          <t>本轮厂商包</t>
        </is>
      </c>
      <c r="B2" s="2" t="inlineStr">
        <is>
          <t>2026-10-19 10:00 Asia/Shanghai</t>
        </is>
      </c>
      <c r="C2" s="2" t="inlineStr">
        <is>
          <t>采用09:10收到V2；不采用早稿V1或10:20收到V3。</t>
        </is>
      </c>
      <c r="D2" s="2" t="inlineStr">
        <is>
          <t>后到V3另轮冻结审查，声称有回函不等于取得原件。</t>
        </is>
      </c>
    </row>
    <row r="3" ht="32" customHeight="1">
      <c r="A3" s="4" t="inlineStr">
        <is>
          <t>当前审阅</t>
        </is>
      </c>
      <c r="B3" s="4" t="inlineStr">
        <is>
          <t>2026-10-19 10:00</t>
        </is>
      </c>
      <c r="C3" s="4" t="inlineStr">
        <is>
          <t>SOP V1仍生效；V2于18日签发但20日00:00才生效。</t>
        </is>
      </c>
      <c r="D3" s="4" t="inlineStr">
        <is>
          <t>按V1：专业通过+QA通过+主任发布单；现仅导入QA完成。</t>
        </is>
      </c>
    </row>
    <row r="4" ht="50" customHeight="1">
      <c r="A4" s="2" t="inlineStr">
        <is>
          <t>拟发布窗口</t>
        </is>
      </c>
      <c r="B4" s="2" t="inlineStr">
        <is>
          <t>2026-10-20 08:00</t>
        </is>
      </c>
      <c r="C4" s="2" t="inlineStr">
        <is>
          <t>届时适用V2，需主任和医疗质量负责人联合签署；不按V1单签。</t>
        </is>
      </c>
      <c r="D4" s="2" t="inlineStr">
        <is>
          <t>专业通过、变更后相应QA证据、主任/医疗质量双签齐备，IT方执行；否则延后。</t>
        </is>
      </c>
    </row>
    <row r="5" ht="50" customHeight="1">
      <c r="A5" s="4" t="inlineStr">
        <is>
          <t>导入QA</t>
        </is>
      </c>
      <c r="B5" s="4" t="inlineStr">
        <is>
          <t>2026-10-19 08:40</t>
        </is>
      </c>
      <c r="C5" s="4" t="inlineStr">
        <is>
          <t>字段/编码/checksum通过，不是临床区间适用性批准或摩尔质量复核。</t>
        </is>
      </c>
      <c r="D5" s="4" t="inlineStr">
        <is>
          <t>QA负责人对修订后配置重测留版本哈希，不能复用未覆盖更改的旧结果。</t>
        </is>
      </c>
    </row>
    <row r="6" ht="50" customHeight="1">
      <c r="A6" s="2" t="inlineStr">
        <is>
          <t>临床及发布签批</t>
        </is>
      </c>
      <c r="B6" s="2" t="inlineStr">
        <is>
          <t>2026-10-19 09:20及截点</t>
        </is>
      </c>
      <c r="C6" s="2" t="inlineStr">
        <is>
          <t>专业审查仅草案，主任/医疗质量负责人均未签；不得预填。</t>
        </is>
      </c>
      <c r="D6" s="2" t="inlineStr">
        <is>
          <t>质量分析员提问题，检验专业人员签结适用性；授权人签发布单，厂商/分析员不得代签。</t>
        </is>
      </c>
    </row>
    <row r="7" ht="50" customHeight="1">
      <c r="A7" s="4" t="inlineStr">
        <is>
          <t>本轮决定</t>
        </is>
      </c>
      <c r="B7" s="4" t="inlineStr">
        <is>
          <t>10:00审阅的建议</t>
        </is>
      </c>
      <c r="C7" s="4" t="inlineStr">
        <is>
          <t>暂缓次日实际发布；可在隔离环境整理映射、修订草案和补证，不全线停工。</t>
        </is>
      </c>
      <c r="D7" s="4" t="inlineStr">
        <is>
          <t>未知转换、人群缺口、原文疑点/权利审查分别闭环；版本变化使相应测试和审批重核。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1" customWidth="1" min="3" max="3"/>
    <col width="55" customWidth="1" min="4" max="4"/>
  </cols>
  <sheetData>
    <row r="1" ht="32" customHeight="1">
      <c r="A1" s="1" t="inlineStr">
        <is>
          <t>ID</t>
        </is>
      </c>
      <c r="B1" s="1" t="inlineStr">
        <is>
          <t>结论</t>
        </is>
      </c>
      <c r="C1" s="1" t="inlineStr">
        <is>
          <t>替换说法</t>
        </is>
      </c>
      <c r="D1" s="1" t="inlineStr">
        <is>
          <t>定位</t>
        </is>
      </c>
    </row>
    <row r="2" ht="32" customHeight="1">
      <c r="A2" s="2" t="inlineStr">
        <is>
          <t>D01</t>
        </is>
      </c>
      <c r="B2" s="2" t="inlineStr">
        <is>
          <t>改写</t>
        </is>
      </c>
      <c r="C2" s="2" t="inlineStr">
        <is>
          <t>总Ca两组分别15/20=75%、16/20=80%，均未达本研究18/20；N=40是两组总数，不替代组内分母。</t>
        </is>
      </c>
      <c r="D2" s="2" t="inlineStr">
        <is>
          <t>STUDY Methods Statistical analysis / Table5</t>
        </is>
      </c>
    </row>
    <row r="3" ht="32" customHeight="1">
      <c r="A3" s="4" t="inlineStr">
        <is>
          <t>D02</t>
        </is>
      </c>
      <c r="B3" s="4" t="inlineStr">
        <is>
          <t>改写</t>
        </is>
      </c>
      <c r="C3" s="4" t="inlineStr">
        <is>
          <t>国际替代男性43-115、女性&lt;50为33-98；女性&gt;=50替代区间未验证，不借另一分组。</t>
        </is>
      </c>
      <c r="D3" s="4" t="inlineStr">
        <is>
          <t>STUDY Table6及NA脚注</t>
        </is>
      </c>
    </row>
    <row r="4" ht="32" customHeight="1">
      <c r="A4" s="2" t="inlineStr">
        <is>
          <t>D03</t>
        </is>
      </c>
      <c r="B4" s="2" t="inlineStr">
        <is>
          <t>改写</t>
        </is>
      </c>
      <c r="C4" s="2" t="inlineStr">
        <is>
          <t>Alb/TP&gt;=70仅2人，未完成验证；&lt;70的区间不能直接覆盖，需相应人群证据。</t>
        </is>
      </c>
      <c r="D4" s="2" t="inlineStr">
        <is>
          <t>STUDY Table5及Discussion</t>
        </is>
      </c>
    </row>
    <row r="5" ht="32" customHeight="1">
      <c r="A5" s="4" t="inlineStr">
        <is>
          <t>D04</t>
        </is>
      </c>
      <c r="B5" s="4" t="inlineStr">
        <is>
          <t>改写</t>
        </is>
      </c>
      <c r="C5" s="4" t="inlineStr">
        <is>
          <t>Hb换g/dL应13.8-17.5；原Ca换umol/L应2140-2530。同步改数值和单位，映射正确仍非临床批准。</t>
        </is>
      </c>
      <c r="D5" s="4" t="inlineStr">
        <is>
          <t>STUDY Table3/5；NIST PDF19 Table5</t>
        </is>
      </c>
    </row>
    <row r="6" ht="32" customHeight="1">
      <c r="A6" s="2" t="inlineStr">
        <is>
          <t>D05</t>
        </is>
      </c>
      <c r="B6" s="2" t="inlineStr">
        <is>
          <t>改写</t>
        </is>
      </c>
      <c r="C6" s="2" t="inlineStr">
        <is>
          <t>三项男性指标Q1低于对应区间下限，却各报20/20，存在汇总一致性疑点；保留原数并索澄清，不编正确计数。</t>
        </is>
      </c>
      <c r="D6" s="2" t="inlineStr">
        <is>
          <t>STUDY Table3</t>
        </is>
      </c>
    </row>
    <row r="7" ht="32" customHeight="1">
      <c r="A7" s="4" t="inlineStr">
        <is>
          <t>D06</t>
        </is>
      </c>
      <c r="B7" s="4" t="inlineStr">
        <is>
          <t>改写</t>
        </is>
      </c>
      <c r="C7" s="4" t="inlineStr">
        <is>
          <t>截至10:00只采用09:10 V2；10:20 V3另轮复核，不回填；09:20专业草案不是通过意见。</t>
        </is>
      </c>
      <c r="D7" s="4" t="inlineStr">
        <is>
          <t>演练E05/E06/E07</t>
        </is>
      </c>
    </row>
    <row r="8" ht="32" customHeight="1">
      <c r="A8" s="2" t="inlineStr">
        <is>
          <t>D07</t>
        </is>
      </c>
      <c r="B8" s="2" t="inlineStr">
        <is>
          <t>改写</t>
        </is>
      </c>
      <c r="C8" s="2" t="inlineStr">
        <is>
          <t>V2于20日00:00生效，19日审阅仍V1；拟20日08:00发布适用V2双签。导入QA不代临床批准，厂商无发布权。</t>
        </is>
      </c>
      <c r="D8" s="2" t="inlineStr">
        <is>
          <t>演练E01/E02/E03/E08</t>
        </is>
      </c>
    </row>
    <row r="9" ht="50" customHeight="1">
      <c r="A9" s="4" t="inlineStr">
        <is>
          <t>D08</t>
        </is>
      </c>
      <c r="B9" s="4" t="inlineStr">
        <is>
          <t>改写</t>
        </is>
      </c>
      <c r="C9" s="4" t="inlineStr">
        <is>
          <t>论文讨论称未定义固定复核间隔；方法/平台等变化触发复核。单中心成人指定平台不直接证明儿童/其他平台适用，未读取标准原件。</t>
        </is>
      </c>
      <c r="D9" s="4" t="inlineStr">
        <is>
          <t>STUDY Discussion</t>
        </is>
      </c>
    </row>
    <row r="10" ht="32" customHeight="1">
      <c r="A10" s="2" t="inlineStr">
        <is>
          <t>D09</t>
        </is>
      </c>
      <c r="B10" s="2" t="inlineStr">
        <is>
          <t>改写</t>
        </is>
      </c>
      <c r="C10" s="2" t="inlineStr">
        <is>
          <t>CC BY链接与non-commercial文字冲突须合规澄清，本轮不公开全文，不假称已获许可。</t>
        </is>
      </c>
      <c r="D10" s="2" t="inlineStr">
        <is>
          <t>STUDY front/article-meta/permissions</t>
        </is>
      </c>
    </row>
    <row r="11" ht="50" customHeight="1">
      <c r="A11" s="4" t="inlineStr">
        <is>
          <t>D10</t>
        </is>
      </c>
      <c r="B11" s="4" t="inlineStr">
        <is>
          <t>改写</t>
        </is>
      </c>
      <c r="C11" s="4" t="inlineStr">
        <is>
          <t>国际总Ca为2.20-2.60，厂家2.20-2.65；相同通过计数不等于区间相同。mmol/L到mg/dL另需确认摩尔质量/定义，不能仅前缀替换。</t>
        </is>
      </c>
      <c r="D11" s="4" t="inlineStr">
        <is>
          <t>STUDY Table6；NIST PDF19</t>
        </is>
      </c>
    </row>
  </sheetData>
  <autoFilter ref="A1:D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