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Method &amp; QA" sheetId="2" state="visible" r:id="rId2"/>
  </sheets>
  <definedNames>
    <definedName name="FreightBasisList">'Method &amp; QA'!$M$5:$M$6</definedName>
    <definedName name="JurisdictionList">'Method &amp; QA'!$N$5:$N$6</definedName>
    <definedName name="IncludeList">'Method &amp; QA'!$O$5:$O$6</definedName>
    <definedName name="UOMList">'Method &amp; QA'!$P$5:$P$7</definedName>
    <definedName name="TermsEarnedList">'Method &amp; QA'!$Q$5:$Q$6</definedName>
    <definedName name="QuoteTermsRate">'Method &amp; QA'!$B$5</definedName>
    <definedName name="QuoteCompPAThreshold">'Method &amp; QA'!$B$6</definedName>
    <definedName name="QuoteCompPACharge">'Method &amp; QA'!$B$7</definedName>
    <definedName name="QuoteCompNJThreshold">'Method &amp; QA'!$B$8</definedName>
    <definedName name="QuoteCompNJCharge">'Method &amp; QA'!$B$9</definedName>
    <definedName name="QuoteCompNJComponent">'Method &amp; QA'!$B$10</definedName>
    <definedName name="StonePAThreshold">'Method &amp; QA'!$B$11</definedName>
    <definedName name="StonePACharge">'Method &amp; QA'!$B$12</definedName>
    <definedName name="StoneNJThreshold">'Method &amp; QA'!$B$13</definedName>
    <definedName name="StoneNJCharge">'Method &amp; QA'!$B$14</definedName>
    <definedName name="StoneNJComponent">'Method &amp; QA'!$B$15</definedName>
    <definedName name="TotalRequestedUnits">Comparison!$B$13</definedName>
    <definedName name="_xlnm.Print_Titles" localSheetId="0">'Comparison'!$18:$18</definedName>
    <definedName name="_xlnm.Print_Area" localSheetId="0">'Comparison'!$A$1:$AC$30</definedName>
    <definedName name="_xlnm.Print_Area" localSheetId="1">'Method &amp; QA'!$A$1:$K$80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;[Red]-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  <font>
      <b val="1"/>
      <color rgb="00FFFFFF"/>
      <sz val="9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3" borderId="0" applyAlignment="1" applyProtection="1" pivotButton="0" quotePrefix="0" xfId="0">
      <alignment wrapText="1"/>
      <protection locked="0" hidden="0"/>
    </xf>
    <xf numFmtId="164" fontId="0" fillId="3" borderId="0" applyAlignment="1" applyProtection="1" pivotButton="0" quotePrefix="0" xfId="0">
      <alignment wrapText="1"/>
      <protection locked="0" hidden="0"/>
    </xf>
    <xf numFmtId="165" fontId="0" fillId="3" borderId="0" applyAlignment="1" applyProtection="1" pivotButton="0" quotePrefix="0" xfId="0">
      <alignment wrapText="1"/>
      <protection locked="0" hidden="0"/>
    </xf>
    <xf numFmtId="0" fontId="0" fillId="3" borderId="0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0" fillId="4" borderId="0" pivotButton="0" quotePrefix="0" xfId="0"/>
    <xf numFmtId="165" fontId="0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165" fontId="0" fillId="3" borderId="1" applyProtection="1" pivotButton="0" quotePrefix="0" xfId="0">
      <protection locked="0" hidden="0"/>
    </xf>
    <xf numFmtId="0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5" fillId="0" borderId="0" pivotButton="0" quotePrefix="0" xfId="0"/>
    <xf numFmtId="0" fontId="0" fillId="5" borderId="0" pivotButton="0" quotePrefix="0" xfId="0"/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3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0"/>
  <sheetViews>
    <sheetView showGridLines="0" zoomScale="75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1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Stonebridge Health Network | Competitive PVF Price Normalization</t>
        </is>
      </c>
    </row>
    <row r="2">
      <c r="A2" s="2" t="inlineStr">
        <is>
          <t>Yellow = enter / select   Blue = calculated   Gray = controlled</t>
        </is>
      </c>
    </row>
    <row r="3">
      <c r="A3" s="3" t="inlineStr">
        <is>
          <t>Quote ID</t>
        </is>
      </c>
      <c r="B3" s="4" t="inlineStr"/>
    </row>
    <row r="4">
      <c r="A4" s="3" t="inlineStr">
        <is>
          <t>Account</t>
        </is>
      </c>
      <c r="B4" s="4" t="inlineStr"/>
    </row>
    <row r="5">
      <c r="A5" s="3" t="inlineStr">
        <is>
          <t>Quote Date</t>
        </is>
      </c>
      <c r="B5" s="5" t="inlineStr"/>
    </row>
    <row r="6">
      <c r="A6" s="3" t="inlineStr">
        <is>
          <t>Destination Jurisdiction</t>
        </is>
      </c>
      <c r="B6" s="4" t="inlineStr"/>
    </row>
    <row r="7">
      <c r="A7" s="3" t="inlineStr">
        <is>
          <t>Freight Basis</t>
        </is>
      </c>
      <c r="B7" s="4" t="inlineStr"/>
    </row>
    <row r="8">
      <c r="A8" s="3" t="inlineStr">
        <is>
          <t>Competitor Representative Order Subtotal</t>
        </is>
      </c>
      <c r="B8" s="6" t="inlineStr"/>
    </row>
    <row r="9">
      <c r="A9" s="3" t="inlineStr">
        <is>
          <t>Stonebridge Representative Order Subtotal</t>
        </is>
      </c>
      <c r="B9" s="6" t="inlineStr"/>
    </row>
    <row r="10">
      <c r="A10" s="3" t="inlineStr">
        <is>
          <t>Freight Basis Rationale</t>
        </is>
      </c>
      <c r="B10" s="7" t="inlineStr"/>
      <c r="C10" s="8" t="n"/>
      <c r="D10" s="8" t="n"/>
      <c r="E10" s="8" t="n"/>
      <c r="F10" s="8" t="n"/>
    </row>
    <row r="11">
      <c r="B11" s="8" t="n"/>
      <c r="C11" s="8" t="n"/>
      <c r="D11" s="8" t="n"/>
      <c r="E11" s="8" t="n"/>
      <c r="F11" s="8" t="n"/>
    </row>
    <row r="12">
      <c r="A12" s="3" t="inlineStr">
        <is>
          <t>Active Line Count</t>
        </is>
      </c>
      <c r="B12" s="9">
        <f>COUNTIFS(A19:A30,"YES",M19:M30,"&gt;0")</f>
        <v/>
      </c>
      <c r="D12" s="3" t="inlineStr">
        <is>
          <t>Stonebridge Gross Summary</t>
        </is>
      </c>
      <c r="E12" s="10">
        <f>IF(B12=0,"",SUM(W19:W30))</f>
        <v/>
      </c>
    </row>
    <row r="13">
      <c r="A13" s="3" t="inlineStr">
        <is>
          <t>Total Requested Units</t>
        </is>
      </c>
      <c r="B13" s="9">
        <f>IF(B12=0,"",SUMIFS(F19:F30,A19:A30,"YES",M19:M30,"&gt;0"))</f>
        <v/>
      </c>
      <c r="D13" s="3" t="inlineStr">
        <is>
          <t>Stonebridge Freight Total</t>
        </is>
      </c>
      <c r="E13" s="10">
        <f>IF(B12=0,"",IF(B6="PA",IF(IF(B7="QUOTE_ORDER",E12,B9)&gt;=StonePAThreshold,0,StonePACharge),IF(IF(B7="QUOTE_ORDER",E12,B9)&gt;=StoneNJThreshold,0,StoneNJCharge+StoneNJComponent)))</f>
        <v/>
      </c>
    </row>
    <row r="14">
      <c r="A14" s="3" t="inlineStr">
        <is>
          <t>Competitor Gross Summary</t>
        </is>
      </c>
      <c r="B14" s="10">
        <f>IF(B12=0,"",SUM(O19:O30))</f>
        <v/>
      </c>
      <c r="D14" s="3" t="inlineStr">
        <is>
          <t>Stonebridge Net Summary</t>
        </is>
      </c>
      <c r="E14" s="10">
        <f>IF(B12=0,"",E12+E13)</f>
        <v/>
      </c>
    </row>
    <row r="15">
      <c r="A15" s="3" t="inlineStr">
        <is>
          <t>Competitor Terms Summary</t>
        </is>
      </c>
      <c r="B15" s="10">
        <f>IF(B12=0,"",SUM(Q19:Q30))</f>
        <v/>
      </c>
      <c r="D15" s="3" t="inlineStr">
        <is>
          <t>Overall Difference</t>
        </is>
      </c>
      <c r="E15" s="10">
        <f>IF(B12=0,"",E14-B17)</f>
        <v/>
      </c>
    </row>
    <row r="16">
      <c r="A16" s="3" t="inlineStr">
        <is>
          <t>Competitor Freight Total</t>
        </is>
      </c>
      <c r="B16" s="10">
        <f>IF(B12=0,"",IF(B6="PA",IF(IF(B7="QUOTE_ORDER",B14,B8)&gt;=QuoteCompPAThreshold,0,QuoteCompPACharge),IF(IF(B7="QUOTE_ORDER",B14,B8)&gt;=QuoteCompNJThreshold,0,QuoteCompNJCharge+QuoteCompNJComponent)))</f>
        <v/>
      </c>
    </row>
    <row r="17">
      <c r="A17" s="3" t="inlineStr">
        <is>
          <t>Competitor Net Summary</t>
        </is>
      </c>
      <c r="B17" s="10">
        <f>IF(B12=0,"",B14-B15+B16)</f>
        <v/>
      </c>
    </row>
    <row r="18" ht="36" customHeight="1">
      <c r="A18" s="11" t="inlineStr">
        <is>
          <t>Include</t>
        </is>
      </c>
      <c r="B18" s="11" t="inlineStr">
        <is>
          <t>Stonebridge SKU</t>
        </is>
      </c>
      <c r="C18" s="11" t="inlineStr">
        <is>
          <t>Competitor Item</t>
        </is>
      </c>
      <c r="D18" s="11" t="inlineStr">
        <is>
          <t>Description</t>
        </is>
      </c>
      <c r="E18" s="11" t="inlineStr">
        <is>
          <t>Comparison UOM</t>
        </is>
      </c>
      <c r="F18" s="11" t="inlineStr">
        <is>
          <t>Requested Units</t>
        </is>
      </c>
      <c r="G18" s="11" t="inlineStr">
        <is>
          <t>Competitor Case Pack</t>
        </is>
      </c>
      <c r="H18" s="11" t="inlineStr">
        <is>
          <t>Competitor Case Price</t>
        </is>
      </c>
      <c r="I18" s="11" t="inlineStr">
        <is>
          <t>Competitor Terms Earned</t>
        </is>
      </c>
      <c r="J18" s="11" t="inlineStr">
        <is>
          <t>Stonebridge Pack Quantity</t>
        </is>
      </c>
      <c r="K18" s="11" t="inlineStr">
        <is>
          <t>Stonebridge Pack Price</t>
        </is>
      </c>
      <c r="L18" s="11" t="inlineStr">
        <is>
          <t>Notes</t>
        </is>
      </c>
      <c r="M18" s="11" t="inlineStr">
        <is>
          <t>Competitor Cases Required</t>
        </is>
      </c>
      <c r="N18" s="11" t="inlineStr">
        <is>
          <t>Competitor Delivered Units</t>
        </is>
      </c>
      <c r="O18" s="11" t="inlineStr">
        <is>
          <t>Competitor Gross</t>
        </is>
      </c>
      <c r="P18" s="11" t="inlineStr">
        <is>
          <t>Competitor Terms Rate</t>
        </is>
      </c>
      <c r="Q18" s="11" t="inlineStr">
        <is>
          <t>Competitor Terms Credit</t>
        </is>
      </c>
      <c r="R18" s="11" t="inlineStr">
        <is>
          <t>Competitor Freight Share</t>
        </is>
      </c>
      <c r="S18" s="11" t="inlineStr">
        <is>
          <t>Competitor Net Delivered Total</t>
        </is>
      </c>
      <c r="T18" s="11" t="inlineStr">
        <is>
          <t>Competitor Delivered Unit Cost</t>
        </is>
      </c>
      <c r="U18" s="11" t="inlineStr">
        <is>
          <t>Stonebridge Packs Required</t>
        </is>
      </c>
      <c r="V18" s="11" t="inlineStr">
        <is>
          <t>Stonebridge Delivered Units</t>
        </is>
      </c>
      <c r="W18" s="11" t="inlineStr">
        <is>
          <t>Stonebridge Gross</t>
        </is>
      </c>
      <c r="X18" s="11" t="inlineStr">
        <is>
          <t>Stonebridge Freight Share</t>
        </is>
      </c>
      <c r="Y18" s="11" t="inlineStr">
        <is>
          <t>Stonebridge Net Delivered Total</t>
        </is>
      </c>
      <c r="Z18" s="11" t="inlineStr">
        <is>
          <t>Stonebridge Delivered Unit Cost</t>
        </is>
      </c>
      <c r="AA18" s="11" t="inlineStr">
        <is>
          <t>Unit Difference</t>
        </is>
      </c>
      <c r="AB18" s="11" t="inlineStr">
        <is>
          <t>Unit Difference Percent</t>
        </is>
      </c>
      <c r="AC18" s="11" t="inlineStr">
        <is>
          <t>Result</t>
        </is>
      </c>
    </row>
    <row r="19">
      <c r="A19" s="12" t="n"/>
      <c r="B19" s="12" t="n"/>
      <c r="C19" s="12" t="n"/>
      <c r="D19" s="12" t="n"/>
      <c r="E19" s="12" t="n"/>
      <c r="F19" s="12" t="n"/>
      <c r="G19" s="12" t="n"/>
      <c r="H19" s="13" t="n"/>
      <c r="I19" s="12" t="n"/>
      <c r="J19" s="12" t="n"/>
      <c r="K19" s="13" t="n"/>
      <c r="L19" s="12" t="n"/>
      <c r="M19" s="14">
        <f>IF(AND($A19="YES",$B19&lt;&gt;"",$C19&lt;&gt;"",$D19&lt;&gt;"",$E19&lt;&gt;"",$F19&lt;&gt;"",$G19&lt;&gt;"",$H19&lt;&gt;"",$I19&lt;&gt;"",$J19&lt;&gt;"",$K19&lt;&gt;""),ROUNDUP($F19/$G19,0),"")</f>
        <v/>
      </c>
      <c r="N19" s="14">
        <f>IF(M19="","",M19*$G19)</f>
        <v/>
      </c>
      <c r="O19" s="15">
        <f>IF(M19="","",M19*$H19)</f>
        <v/>
      </c>
      <c r="P19" s="14">
        <f>IF(M19="","",IF($I19="YES",QuoteTermsRate,0))</f>
        <v/>
      </c>
      <c r="Q19" s="15">
        <f>IF(M19="","",O19*P19)</f>
        <v/>
      </c>
      <c r="R19" s="15">
        <f>IF(M19="","",IFERROR($B$16*O19/$B$14,0))</f>
        <v/>
      </c>
      <c r="S19" s="15">
        <f>IF(M19="","",O19-Q19+R19)</f>
        <v/>
      </c>
      <c r="T19" s="15">
        <f>IFERROR(IF(M19="","",S19/N19),"")</f>
        <v/>
      </c>
      <c r="U19" s="14">
        <f>IF(AND($A19="YES",$B19&lt;&gt;"",$C19&lt;&gt;"",$D19&lt;&gt;"",$E19&lt;&gt;"",$F19&lt;&gt;"",$G19&lt;&gt;"",$H19&lt;&gt;"",$I19&lt;&gt;"",$J19&lt;&gt;"",$K19&lt;&gt;""),ROUNDUP($F19/$J19,0),"")</f>
        <v/>
      </c>
      <c r="V19" s="14">
        <f>IF(U19="","",U19*$J19)</f>
        <v/>
      </c>
      <c r="W19" s="15">
        <f>IF(U19="","",U19*$K19)</f>
        <v/>
      </c>
      <c r="X19" s="15">
        <f>IF(U19="","",IFERROR($E$13*W19/$E$12,0))</f>
        <v/>
      </c>
      <c r="Y19" s="15">
        <f>IF(U19="","",W19+X19)</f>
        <v/>
      </c>
      <c r="Z19" s="15">
        <f>IFERROR(IF(U19="","",Y19/V19),"")</f>
        <v/>
      </c>
      <c r="AA19" s="15">
        <f>IF(OR(T19="",Z19=""),"",Z19-T19)</f>
        <v/>
      </c>
      <c r="AB19" s="16">
        <f>IFERROR(IF(AA19="","",AA19/T19),"")</f>
        <v/>
      </c>
      <c r="AC19" s="14">
        <f>IF(AA19="","",IF(AA19&lt;0,"LOWER",IF(AA19=0,"EQUAL","HIGHER")))</f>
        <v/>
      </c>
    </row>
    <row r="20">
      <c r="A20" s="12" t="n"/>
      <c r="B20" s="12" t="n"/>
      <c r="C20" s="12" t="n"/>
      <c r="D20" s="12" t="n"/>
      <c r="E20" s="12" t="n"/>
      <c r="F20" s="12" t="n"/>
      <c r="G20" s="12" t="n"/>
      <c r="H20" s="13" t="n"/>
      <c r="I20" s="12" t="n"/>
      <c r="J20" s="12" t="n"/>
      <c r="K20" s="13" t="n"/>
      <c r="L20" s="12" t="n"/>
      <c r="M20" s="14">
        <f>IF(AND($A20="YES",$B20&lt;&gt;"",$C20&lt;&gt;"",$D20&lt;&gt;"",$E20&lt;&gt;"",$F20&lt;&gt;"",$G20&lt;&gt;"",$H20&lt;&gt;"",$I20&lt;&gt;"",$J20&lt;&gt;"",$K20&lt;&gt;""),ROUNDUP($F20/$G20,0),"")</f>
        <v/>
      </c>
      <c r="N20" s="14">
        <f>IF(M20="","",M20*$G20)</f>
        <v/>
      </c>
      <c r="O20" s="15">
        <f>IF(M20="","",M20*$H20)</f>
        <v/>
      </c>
      <c r="P20" s="14">
        <f>IF(M20="","",IF($I20="YES",QuoteTermsRate,0))</f>
        <v/>
      </c>
      <c r="Q20" s="15">
        <f>IF(M20="","",O20*P20)</f>
        <v/>
      </c>
      <c r="R20" s="15">
        <f>IF(M20="","",IFERROR($B$16*O20/$B$14,0))</f>
        <v/>
      </c>
      <c r="S20" s="15">
        <f>IF(M20="","",O20-Q20+R20)</f>
        <v/>
      </c>
      <c r="T20" s="15">
        <f>IFERROR(IF(M20="","",S20/N20),"")</f>
        <v/>
      </c>
      <c r="U20" s="14">
        <f>IF(AND($A20="YES",$B20&lt;&gt;"",$C20&lt;&gt;"",$D20&lt;&gt;"",$E20&lt;&gt;"",$F20&lt;&gt;"",$G20&lt;&gt;"",$H20&lt;&gt;"",$I20&lt;&gt;"",$J20&lt;&gt;"",$K20&lt;&gt;""),ROUNDUP($F20/$J20,0),"")</f>
        <v/>
      </c>
      <c r="V20" s="14">
        <f>IF(U20="","",U20*$J20)</f>
        <v/>
      </c>
      <c r="W20" s="15">
        <f>IF(U20="","",U20*$K20)</f>
        <v/>
      </c>
      <c r="X20" s="15">
        <f>IF(U20="","",IFERROR($E$13*W20/$E$12,0))</f>
        <v/>
      </c>
      <c r="Y20" s="15">
        <f>IF(U20="","",W20+X20)</f>
        <v/>
      </c>
      <c r="Z20" s="15">
        <f>IFERROR(IF(U20="","",Y20/V20),"")</f>
        <v/>
      </c>
      <c r="AA20" s="15">
        <f>IF(OR(T20="",Z20=""),"",Z20-T20)</f>
        <v/>
      </c>
      <c r="AB20" s="16">
        <f>IFERROR(IF(AA20="","",AA20/T20),"")</f>
        <v/>
      </c>
      <c r="AC20" s="14">
        <f>IF(AA20="","",IF(AA20&lt;0,"LOWER",IF(AA20=0,"EQUAL","HIGHER")))</f>
        <v/>
      </c>
    </row>
    <row r="21">
      <c r="A21" s="12" t="n"/>
      <c r="B21" s="12" t="n"/>
      <c r="C21" s="12" t="n"/>
      <c r="D21" s="12" t="n"/>
      <c r="E21" s="12" t="n"/>
      <c r="F21" s="12" t="n"/>
      <c r="G21" s="12" t="n"/>
      <c r="H21" s="13" t="n"/>
      <c r="I21" s="12" t="n"/>
      <c r="J21" s="12" t="n"/>
      <c r="K21" s="13" t="n"/>
      <c r="L21" s="12" t="n"/>
      <c r="M21" s="14">
        <f>IF(AND($A21="YES",$B21&lt;&gt;"",$C21&lt;&gt;"",$D21&lt;&gt;"",$E21&lt;&gt;"",$F21&lt;&gt;"",$G21&lt;&gt;"",$H21&lt;&gt;"",$I21&lt;&gt;"",$J21&lt;&gt;"",$K21&lt;&gt;""),ROUNDUP($F21/$G21,0),"")</f>
        <v/>
      </c>
      <c r="N21" s="14">
        <f>IF(M21="","",M21*$G21)</f>
        <v/>
      </c>
      <c r="O21" s="15">
        <f>IF(M21="","",M21*$H21)</f>
        <v/>
      </c>
      <c r="P21" s="14">
        <f>IF(M21="","",IF($I21="YES",QuoteTermsRate,0))</f>
        <v/>
      </c>
      <c r="Q21" s="15">
        <f>IF(M21="","",O21*P21)</f>
        <v/>
      </c>
      <c r="R21" s="15">
        <f>IF(M21="","",IFERROR($B$16*O21/$B$14,0))</f>
        <v/>
      </c>
      <c r="S21" s="15">
        <f>IF(M21="","",O21-Q21+R21)</f>
        <v/>
      </c>
      <c r="T21" s="15">
        <f>IFERROR(IF(M21="","",S21/N21),"")</f>
        <v/>
      </c>
      <c r="U21" s="14">
        <f>IF(AND($A21="YES",$B21&lt;&gt;"",$C21&lt;&gt;"",$D21&lt;&gt;"",$E21&lt;&gt;"",$F21&lt;&gt;"",$G21&lt;&gt;"",$H21&lt;&gt;"",$I21&lt;&gt;"",$J21&lt;&gt;"",$K21&lt;&gt;""),ROUNDUP($F21/$J21,0),"")</f>
        <v/>
      </c>
      <c r="V21" s="14">
        <f>IF(U21="","",U21*$J21)</f>
        <v/>
      </c>
      <c r="W21" s="15">
        <f>IF(U21="","",U21*$K21)</f>
        <v/>
      </c>
      <c r="X21" s="15">
        <f>IF(U21="","",IFERROR($E$13*W21/$E$12,0))</f>
        <v/>
      </c>
      <c r="Y21" s="15">
        <f>IF(U21="","",W21+X21)</f>
        <v/>
      </c>
      <c r="Z21" s="15">
        <f>IFERROR(IF(U21="","",Y21/V21),"")</f>
        <v/>
      </c>
      <c r="AA21" s="15">
        <f>IF(OR(T21="",Z21=""),"",Z21-T21)</f>
        <v/>
      </c>
      <c r="AB21" s="16">
        <f>IFERROR(IF(AA21="","",AA21/T21),"")</f>
        <v/>
      </c>
      <c r="AC21" s="14">
        <f>IF(AA21="","",IF(AA21&lt;0,"LOWER",IF(AA21=0,"EQUAL","HIGHER")))</f>
        <v/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3" t="n"/>
      <c r="I22" s="12" t="n"/>
      <c r="J22" s="12" t="n"/>
      <c r="K22" s="13" t="n"/>
      <c r="L22" s="12" t="n"/>
      <c r="M22" s="14">
        <f>IF(AND($A22="YES",$B22&lt;&gt;"",$C22&lt;&gt;"",$D22&lt;&gt;"",$E22&lt;&gt;"",$F22&lt;&gt;"",$G22&lt;&gt;"",$H22&lt;&gt;"",$I22&lt;&gt;"",$J22&lt;&gt;"",$K22&lt;&gt;""),ROUNDUP($F22/$G22,0),"")</f>
        <v/>
      </c>
      <c r="N22" s="14">
        <f>IF(M22="","",M22*$G22)</f>
        <v/>
      </c>
      <c r="O22" s="15">
        <f>IF(M22="","",M22*$H22)</f>
        <v/>
      </c>
      <c r="P22" s="14">
        <f>IF(M22="","",IF($I22="YES",QuoteTermsRate,0))</f>
        <v/>
      </c>
      <c r="Q22" s="15">
        <f>IF(M22="","",O22*P22)</f>
        <v/>
      </c>
      <c r="R22" s="15">
        <f>IF(M22="","",IFERROR($B$16*O22/$B$14,0))</f>
        <v/>
      </c>
      <c r="S22" s="15">
        <f>IF(M22="","",O22-Q22+R22)</f>
        <v/>
      </c>
      <c r="T22" s="15">
        <f>IFERROR(IF(M22="","",S22/N22),"")</f>
        <v/>
      </c>
      <c r="U22" s="14">
        <f>IF(AND($A22="YES",$B22&lt;&gt;"",$C22&lt;&gt;"",$D22&lt;&gt;"",$E22&lt;&gt;"",$F22&lt;&gt;"",$G22&lt;&gt;"",$H22&lt;&gt;"",$I22&lt;&gt;"",$J22&lt;&gt;"",$K22&lt;&gt;""),ROUNDUP($F22/$J22,0),"")</f>
        <v/>
      </c>
      <c r="V22" s="14">
        <f>IF(U22="","",U22*$J22)</f>
        <v/>
      </c>
      <c r="W22" s="15">
        <f>IF(U22="","",U22*$K22)</f>
        <v/>
      </c>
      <c r="X22" s="15">
        <f>IF(U22="","",IFERROR($E$13*W22/$E$12,0))</f>
        <v/>
      </c>
      <c r="Y22" s="15">
        <f>IF(U22="","",W22+X22)</f>
        <v/>
      </c>
      <c r="Z22" s="15">
        <f>IFERROR(IF(U22="","",Y22/V22),"")</f>
        <v/>
      </c>
      <c r="AA22" s="15">
        <f>IF(OR(T22="",Z22=""),"",Z22-T22)</f>
        <v/>
      </c>
      <c r="AB22" s="16">
        <f>IFERROR(IF(AA22="","",AA22/T22),"")</f>
        <v/>
      </c>
      <c r="AC22" s="14">
        <f>IF(AA22="","",IF(AA22&lt;0,"LOWER",IF(AA22=0,"EQUAL","HIGHER")))</f>
        <v/>
      </c>
    </row>
    <row r="23">
      <c r="A23" s="12" t="n"/>
      <c r="B23" s="12" t="n"/>
      <c r="C23" s="12" t="n"/>
      <c r="D23" s="12" t="n"/>
      <c r="E23" s="12" t="n"/>
      <c r="F23" s="12" t="n"/>
      <c r="G23" s="12" t="n"/>
      <c r="H23" s="13" t="n"/>
      <c r="I23" s="12" t="n"/>
      <c r="J23" s="12" t="n"/>
      <c r="K23" s="13" t="n"/>
      <c r="L23" s="12" t="n"/>
      <c r="M23" s="14">
        <f>IF(AND($A23="YES",$B23&lt;&gt;"",$C23&lt;&gt;"",$D23&lt;&gt;"",$E23&lt;&gt;"",$F23&lt;&gt;"",$G23&lt;&gt;"",$H23&lt;&gt;"",$I23&lt;&gt;"",$J23&lt;&gt;"",$K23&lt;&gt;""),ROUNDUP($F23/$G23,0),"")</f>
        <v/>
      </c>
      <c r="N23" s="14">
        <f>IF(M23="","",M23*$G23)</f>
        <v/>
      </c>
      <c r="O23" s="15">
        <f>IF(M23="","",M23*$H23)</f>
        <v/>
      </c>
      <c r="P23" s="14">
        <f>IF(M23="","",IF($I23="YES",QuoteTermsRate,0))</f>
        <v/>
      </c>
      <c r="Q23" s="15">
        <f>IF(M23="","",O23*P23)</f>
        <v/>
      </c>
      <c r="R23" s="15">
        <f>IF(M23="","",IFERROR($B$16*O23/$B$14,0))</f>
        <v/>
      </c>
      <c r="S23" s="15">
        <f>IF(M23="","",O23-Q23+R23)</f>
        <v/>
      </c>
      <c r="T23" s="15">
        <f>IFERROR(IF(M23="","",S23/N23),"")</f>
        <v/>
      </c>
      <c r="U23" s="14">
        <f>IF(AND($A23="YES",$B23&lt;&gt;"",$C23&lt;&gt;"",$D23&lt;&gt;"",$E23&lt;&gt;"",$F23&lt;&gt;"",$G23&lt;&gt;"",$H23&lt;&gt;"",$I23&lt;&gt;"",$J23&lt;&gt;"",$K23&lt;&gt;""),ROUNDUP($F23/$J23,0),"")</f>
        <v/>
      </c>
      <c r="V23" s="14">
        <f>IF(U23="","",U23*$J23)</f>
        <v/>
      </c>
      <c r="W23" s="15">
        <f>IF(U23="","",U23*$K23)</f>
        <v/>
      </c>
      <c r="X23" s="15">
        <f>IF(U23="","",IFERROR($E$13*W23/$E$12,0))</f>
        <v/>
      </c>
      <c r="Y23" s="15">
        <f>IF(U23="","",W23+X23)</f>
        <v/>
      </c>
      <c r="Z23" s="15">
        <f>IFERROR(IF(U23="","",Y23/V23),"")</f>
        <v/>
      </c>
      <c r="AA23" s="15">
        <f>IF(OR(T23="",Z23=""),"",Z23-T23)</f>
        <v/>
      </c>
      <c r="AB23" s="16">
        <f>IFERROR(IF(AA23="","",AA23/T23),"")</f>
        <v/>
      </c>
      <c r="AC23" s="14">
        <f>IF(AA23="","",IF(AA23&lt;0,"LOWER",IF(AA23=0,"EQUAL","HIGHER")))</f>
        <v/>
      </c>
    </row>
    <row r="24">
      <c r="A24" s="12" t="n"/>
      <c r="B24" s="12" t="n"/>
      <c r="C24" s="12" t="n"/>
      <c r="D24" s="12" t="n"/>
      <c r="E24" s="12" t="n"/>
      <c r="F24" s="12" t="n"/>
      <c r="G24" s="12" t="n"/>
      <c r="H24" s="13" t="n"/>
      <c r="I24" s="12" t="n"/>
      <c r="J24" s="12" t="n"/>
      <c r="K24" s="13" t="n"/>
      <c r="L24" s="12" t="n"/>
      <c r="M24" s="14">
        <f>IF(AND($A24="YES",$B24&lt;&gt;"",$C24&lt;&gt;"",$D24&lt;&gt;"",$E24&lt;&gt;"",$F24&lt;&gt;"",$G24&lt;&gt;"",$H24&lt;&gt;"",$I24&lt;&gt;"",$J24&lt;&gt;"",$K24&lt;&gt;""),ROUNDUP($F24/$G24,0),"")</f>
        <v/>
      </c>
      <c r="N24" s="14">
        <f>IF(M24="","",M24*$G24)</f>
        <v/>
      </c>
      <c r="O24" s="15">
        <f>IF(M24="","",M24*$H24)</f>
        <v/>
      </c>
      <c r="P24" s="14">
        <f>IF(M24="","",IF($I24="YES",QuoteTermsRate,0))</f>
        <v/>
      </c>
      <c r="Q24" s="15">
        <f>IF(M24="","",O24*P24)</f>
        <v/>
      </c>
      <c r="R24" s="15">
        <f>IF(M24="","",IFERROR($B$16*O24/$B$14,0))</f>
        <v/>
      </c>
      <c r="S24" s="15">
        <f>IF(M24="","",O24-Q24+R24)</f>
        <v/>
      </c>
      <c r="T24" s="15">
        <f>IFERROR(IF(M24="","",S24/N24),"")</f>
        <v/>
      </c>
      <c r="U24" s="14">
        <f>IF(AND($A24="YES",$B24&lt;&gt;"",$C24&lt;&gt;"",$D24&lt;&gt;"",$E24&lt;&gt;"",$F24&lt;&gt;"",$G24&lt;&gt;"",$H24&lt;&gt;"",$I24&lt;&gt;"",$J24&lt;&gt;"",$K24&lt;&gt;""),ROUNDUP($F24/$J24,0),"")</f>
        <v/>
      </c>
      <c r="V24" s="14">
        <f>IF(U24="","",U24*$J24)</f>
        <v/>
      </c>
      <c r="W24" s="15">
        <f>IF(U24="","",U24*$K24)</f>
        <v/>
      </c>
      <c r="X24" s="15">
        <f>IF(U24="","",IFERROR($E$13*W24/$E$12,0))</f>
        <v/>
      </c>
      <c r="Y24" s="15">
        <f>IF(U24="","",W24+X24)</f>
        <v/>
      </c>
      <c r="Z24" s="15">
        <f>IFERROR(IF(U24="","",Y24/V24),"")</f>
        <v/>
      </c>
      <c r="AA24" s="15">
        <f>IF(OR(T24="",Z24=""),"",Z24-T24)</f>
        <v/>
      </c>
      <c r="AB24" s="16">
        <f>IFERROR(IF(AA24="","",AA24/T24),"")</f>
        <v/>
      </c>
      <c r="AC24" s="14">
        <f>IF(AA24="","",IF(AA24&lt;0,"LOWER",IF(AA24=0,"EQUAL","HIGHER")))</f>
        <v/>
      </c>
    </row>
    <row r="25">
      <c r="A25" s="12" t="n"/>
      <c r="B25" s="12" t="n"/>
      <c r="C25" s="12" t="n"/>
      <c r="D25" s="12" t="n"/>
      <c r="E25" s="12" t="n"/>
      <c r="F25" s="12" t="n"/>
      <c r="G25" s="12" t="n"/>
      <c r="H25" s="13" t="n"/>
      <c r="I25" s="12" t="n"/>
      <c r="J25" s="12" t="n"/>
      <c r="K25" s="13" t="n"/>
      <c r="L25" s="12" t="n"/>
      <c r="M25" s="14">
        <f>IF(AND($A25="YES",$B25&lt;&gt;"",$C25&lt;&gt;"",$D25&lt;&gt;"",$E25&lt;&gt;"",$F25&lt;&gt;"",$G25&lt;&gt;"",$H25&lt;&gt;"",$I25&lt;&gt;"",$J25&lt;&gt;"",$K25&lt;&gt;""),ROUNDUP($F25/$G25,0),"")</f>
        <v/>
      </c>
      <c r="N25" s="14">
        <f>IF(M25="","",M25*$G25)</f>
        <v/>
      </c>
      <c r="O25" s="15">
        <f>IF(M25="","",M25*$H25)</f>
        <v/>
      </c>
      <c r="P25" s="14">
        <f>IF(M25="","",IF($I25="YES",QuoteTermsRate,0))</f>
        <v/>
      </c>
      <c r="Q25" s="15">
        <f>IF(M25="","",O25*P25)</f>
        <v/>
      </c>
      <c r="R25" s="15">
        <f>IF(M25="","",IFERROR($B$16*O25/$B$14,0))</f>
        <v/>
      </c>
      <c r="S25" s="15">
        <f>IF(M25="","",O25-Q25+R25)</f>
        <v/>
      </c>
      <c r="T25" s="15">
        <f>IFERROR(IF(M25="","",S25/N25),"")</f>
        <v/>
      </c>
      <c r="U25" s="14">
        <f>IF(AND($A25="YES",$B25&lt;&gt;"",$C25&lt;&gt;"",$D25&lt;&gt;"",$E25&lt;&gt;"",$F25&lt;&gt;"",$G25&lt;&gt;"",$H25&lt;&gt;"",$I25&lt;&gt;"",$J25&lt;&gt;"",$K25&lt;&gt;""),ROUNDUP($F25/$J25,0),"")</f>
        <v/>
      </c>
      <c r="V25" s="14">
        <f>IF(U25="","",U25*$J25)</f>
        <v/>
      </c>
      <c r="W25" s="15">
        <f>IF(U25="","",U25*$K25)</f>
        <v/>
      </c>
      <c r="X25" s="15">
        <f>IF(U25="","",IFERROR($E$13*W25/$E$12,0))</f>
        <v/>
      </c>
      <c r="Y25" s="15">
        <f>IF(U25="","",W25+X25)</f>
        <v/>
      </c>
      <c r="Z25" s="15">
        <f>IFERROR(IF(U25="","",Y25/V25),"")</f>
        <v/>
      </c>
      <c r="AA25" s="15">
        <f>IF(OR(T25="",Z25=""),"",Z25-T25)</f>
        <v/>
      </c>
      <c r="AB25" s="16">
        <f>IFERROR(IF(AA25="","",AA25/T25),"")</f>
        <v/>
      </c>
      <c r="AC25" s="14">
        <f>IF(AA25="","",IF(AA25&lt;0,"LOWER",IF(AA25=0,"EQUAL","HIGHER")))</f>
        <v/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3" t="n"/>
      <c r="I26" s="12" t="n"/>
      <c r="J26" s="12" t="n"/>
      <c r="K26" s="13" t="n"/>
      <c r="L26" s="12" t="n"/>
      <c r="M26" s="14">
        <f>IF(AND($A26="YES",$B26&lt;&gt;"",$C26&lt;&gt;"",$D26&lt;&gt;"",$E26&lt;&gt;"",$F26&lt;&gt;"",$G26&lt;&gt;"",$H26&lt;&gt;"",$I26&lt;&gt;"",$J26&lt;&gt;"",$K26&lt;&gt;""),ROUNDUP($F26/$G26,0),"")</f>
        <v/>
      </c>
      <c r="N26" s="14">
        <f>IF(M26="","",M26*$G26)</f>
        <v/>
      </c>
      <c r="O26" s="15">
        <f>IF(M26="","",M26*$H26)</f>
        <v/>
      </c>
      <c r="P26" s="14">
        <f>IF(M26="","",IF($I26="YES",QuoteTermsRate,0))</f>
        <v/>
      </c>
      <c r="Q26" s="15">
        <f>IF(M26="","",O26*P26)</f>
        <v/>
      </c>
      <c r="R26" s="15">
        <f>IF(M26="","",IFERROR($B$16*O26/$B$14,0))</f>
        <v/>
      </c>
      <c r="S26" s="15">
        <f>IF(M26="","",O26-Q26+R26)</f>
        <v/>
      </c>
      <c r="T26" s="15">
        <f>IFERROR(IF(M26="","",S26/N26),"")</f>
        <v/>
      </c>
      <c r="U26" s="14">
        <f>IF(AND($A26="YES",$B26&lt;&gt;"",$C26&lt;&gt;"",$D26&lt;&gt;"",$E26&lt;&gt;"",$F26&lt;&gt;"",$G26&lt;&gt;"",$H26&lt;&gt;"",$I26&lt;&gt;"",$J26&lt;&gt;"",$K26&lt;&gt;""),ROUNDUP($F26/$J26,0),"")</f>
        <v/>
      </c>
      <c r="V26" s="14">
        <f>IF(U26="","",U26*$J26)</f>
        <v/>
      </c>
      <c r="W26" s="15">
        <f>IF(U26="","",U26*$K26)</f>
        <v/>
      </c>
      <c r="X26" s="15">
        <f>IF(U26="","",IFERROR($E$13*W26/$E$12,0))</f>
        <v/>
      </c>
      <c r="Y26" s="15">
        <f>IF(U26="","",W26+X26)</f>
        <v/>
      </c>
      <c r="Z26" s="15">
        <f>IFERROR(IF(U26="","",Y26/V26),"")</f>
        <v/>
      </c>
      <c r="AA26" s="15">
        <f>IF(OR(T26="",Z26=""),"",Z26-T26)</f>
        <v/>
      </c>
      <c r="AB26" s="16">
        <f>IFERROR(IF(AA26="","",AA26/T26),"")</f>
        <v/>
      </c>
      <c r="AC26" s="14">
        <f>IF(AA26="","",IF(AA26&lt;0,"LOWER",IF(AA26=0,"EQUAL","HIGHER")))</f>
        <v/>
      </c>
    </row>
    <row r="27">
      <c r="A27" s="12" t="n"/>
      <c r="B27" s="12" t="n"/>
      <c r="C27" s="12" t="n"/>
      <c r="D27" s="12" t="n"/>
      <c r="E27" s="12" t="n"/>
      <c r="F27" s="12" t="n"/>
      <c r="G27" s="12" t="n"/>
      <c r="H27" s="13" t="n"/>
      <c r="I27" s="12" t="n"/>
      <c r="J27" s="12" t="n"/>
      <c r="K27" s="13" t="n"/>
      <c r="L27" s="12" t="n"/>
      <c r="M27" s="14">
        <f>IF(AND($A27="YES",$B27&lt;&gt;"",$C27&lt;&gt;"",$D27&lt;&gt;"",$E27&lt;&gt;"",$F27&lt;&gt;"",$G27&lt;&gt;"",$H27&lt;&gt;"",$I27&lt;&gt;"",$J27&lt;&gt;"",$K27&lt;&gt;""),ROUNDUP($F27/$G27,0),"")</f>
        <v/>
      </c>
      <c r="N27" s="14">
        <f>IF(M27="","",M27*$G27)</f>
        <v/>
      </c>
      <c r="O27" s="15">
        <f>IF(M27="","",M27*$H27)</f>
        <v/>
      </c>
      <c r="P27" s="14">
        <f>IF(M27="","",IF($I27="YES",QuoteTermsRate,0))</f>
        <v/>
      </c>
      <c r="Q27" s="15">
        <f>IF(M27="","",O27*P27)</f>
        <v/>
      </c>
      <c r="R27" s="15">
        <f>IF(M27="","",IFERROR($B$16*O27/$B$14,0))</f>
        <v/>
      </c>
      <c r="S27" s="15">
        <f>IF(M27="","",O27-Q27+R27)</f>
        <v/>
      </c>
      <c r="T27" s="15">
        <f>IFERROR(IF(M27="","",S27/N27),"")</f>
        <v/>
      </c>
      <c r="U27" s="14">
        <f>IF(AND($A27="YES",$B27&lt;&gt;"",$C27&lt;&gt;"",$D27&lt;&gt;"",$E27&lt;&gt;"",$F27&lt;&gt;"",$G27&lt;&gt;"",$H27&lt;&gt;"",$I27&lt;&gt;"",$J27&lt;&gt;"",$K27&lt;&gt;""),ROUNDUP($F27/$J27,0),"")</f>
        <v/>
      </c>
      <c r="V27" s="14">
        <f>IF(U27="","",U27*$J27)</f>
        <v/>
      </c>
      <c r="W27" s="15">
        <f>IF(U27="","",U27*$K27)</f>
        <v/>
      </c>
      <c r="X27" s="15">
        <f>IF(U27="","",IFERROR($E$13*W27/$E$12,0))</f>
        <v/>
      </c>
      <c r="Y27" s="15">
        <f>IF(U27="","",W27+X27)</f>
        <v/>
      </c>
      <c r="Z27" s="15">
        <f>IFERROR(IF(U27="","",Y27/V27),"")</f>
        <v/>
      </c>
      <c r="AA27" s="15">
        <f>IF(OR(T27="",Z27=""),"",Z27-T27)</f>
        <v/>
      </c>
      <c r="AB27" s="16">
        <f>IFERROR(IF(AA27="","",AA27/T27),"")</f>
        <v/>
      </c>
      <c r="AC27" s="14">
        <f>IF(AA27="","",IF(AA27&lt;0,"LOWER",IF(AA27=0,"EQUAL","HIGHER")))</f>
        <v/>
      </c>
    </row>
    <row r="28">
      <c r="A28" s="12" t="n"/>
      <c r="B28" s="12" t="n"/>
      <c r="C28" s="12" t="n"/>
      <c r="D28" s="12" t="n"/>
      <c r="E28" s="12" t="n"/>
      <c r="F28" s="12" t="n"/>
      <c r="G28" s="12" t="n"/>
      <c r="H28" s="13" t="n"/>
      <c r="I28" s="12" t="n"/>
      <c r="J28" s="12" t="n"/>
      <c r="K28" s="13" t="n"/>
      <c r="L28" s="12" t="n"/>
      <c r="M28" s="14">
        <f>IF(AND($A28="YES",$B28&lt;&gt;"",$C28&lt;&gt;"",$D28&lt;&gt;"",$E28&lt;&gt;"",$F28&lt;&gt;"",$G28&lt;&gt;"",$H28&lt;&gt;"",$I28&lt;&gt;"",$J28&lt;&gt;"",$K28&lt;&gt;""),ROUNDUP($F28/$G28,0),"")</f>
        <v/>
      </c>
      <c r="N28" s="14">
        <f>IF(M28="","",M28*$G28)</f>
        <v/>
      </c>
      <c r="O28" s="15">
        <f>IF(M28="","",M28*$H28)</f>
        <v/>
      </c>
      <c r="P28" s="14">
        <f>IF(M28="","",IF($I28="YES",QuoteTermsRate,0))</f>
        <v/>
      </c>
      <c r="Q28" s="15">
        <f>IF(M28="","",O28*P28)</f>
        <v/>
      </c>
      <c r="R28" s="15">
        <f>IF(M28="","",IFERROR($B$16*O28/$B$14,0))</f>
        <v/>
      </c>
      <c r="S28" s="15">
        <f>IF(M28="","",O28-Q28+R28)</f>
        <v/>
      </c>
      <c r="T28" s="15">
        <f>IFERROR(IF(M28="","",S28/N28),"")</f>
        <v/>
      </c>
      <c r="U28" s="14">
        <f>IF(AND($A28="YES",$B28&lt;&gt;"",$C28&lt;&gt;"",$D28&lt;&gt;"",$E28&lt;&gt;"",$F28&lt;&gt;"",$G28&lt;&gt;"",$H28&lt;&gt;"",$I28&lt;&gt;"",$J28&lt;&gt;"",$K28&lt;&gt;""),ROUNDUP($F28/$J28,0),"")</f>
        <v/>
      </c>
      <c r="V28" s="14">
        <f>IF(U28="","",U28*$J28)</f>
        <v/>
      </c>
      <c r="W28" s="15">
        <f>IF(U28="","",U28*$K28)</f>
        <v/>
      </c>
      <c r="X28" s="15">
        <f>IF(U28="","",IFERROR($E$13*W28/$E$12,0))</f>
        <v/>
      </c>
      <c r="Y28" s="15">
        <f>IF(U28="","",W28+X28)</f>
        <v/>
      </c>
      <c r="Z28" s="15">
        <f>IFERROR(IF(U28="","",Y28/V28),"")</f>
        <v/>
      </c>
      <c r="AA28" s="15">
        <f>IF(OR(T28="",Z28=""),"",Z28-T28)</f>
        <v/>
      </c>
      <c r="AB28" s="16">
        <f>IFERROR(IF(AA28="","",AA28/T28),"")</f>
        <v/>
      </c>
      <c r="AC28" s="14">
        <f>IF(AA28="","",IF(AA28&lt;0,"LOWER",IF(AA28=0,"EQUAL","HIGHER")))</f>
        <v/>
      </c>
    </row>
    <row r="29">
      <c r="A29" s="12" t="n"/>
      <c r="B29" s="12" t="n"/>
      <c r="C29" s="12" t="n"/>
      <c r="D29" s="12" t="n"/>
      <c r="E29" s="12" t="n"/>
      <c r="F29" s="12" t="n"/>
      <c r="G29" s="12" t="n"/>
      <c r="H29" s="13" t="n"/>
      <c r="I29" s="12" t="n"/>
      <c r="J29" s="12" t="n"/>
      <c r="K29" s="13" t="n"/>
      <c r="L29" s="12" t="n"/>
      <c r="M29" s="14">
        <f>IF(AND($A29="YES",$B29&lt;&gt;"",$C29&lt;&gt;"",$D29&lt;&gt;"",$E29&lt;&gt;"",$F29&lt;&gt;"",$G29&lt;&gt;"",$H29&lt;&gt;"",$I29&lt;&gt;"",$J29&lt;&gt;"",$K29&lt;&gt;""),ROUNDUP($F29/$G29,0),"")</f>
        <v/>
      </c>
      <c r="N29" s="14">
        <f>IF(M29="","",M29*$G29)</f>
        <v/>
      </c>
      <c r="O29" s="15">
        <f>IF(M29="","",M29*$H29)</f>
        <v/>
      </c>
      <c r="P29" s="14">
        <f>IF(M29="","",IF($I29="YES",QuoteTermsRate,0))</f>
        <v/>
      </c>
      <c r="Q29" s="15">
        <f>IF(M29="","",O29*P29)</f>
        <v/>
      </c>
      <c r="R29" s="15">
        <f>IF(M29="","",IFERROR($B$16*O29/$B$14,0))</f>
        <v/>
      </c>
      <c r="S29" s="15">
        <f>IF(M29="","",O29-Q29+R29)</f>
        <v/>
      </c>
      <c r="T29" s="15">
        <f>IFERROR(IF(M29="","",S29/N29),"")</f>
        <v/>
      </c>
      <c r="U29" s="14">
        <f>IF(AND($A29="YES",$B29&lt;&gt;"",$C29&lt;&gt;"",$D29&lt;&gt;"",$E29&lt;&gt;"",$F29&lt;&gt;"",$G29&lt;&gt;"",$H29&lt;&gt;"",$I29&lt;&gt;"",$J29&lt;&gt;"",$K29&lt;&gt;""),ROUNDUP($F29/$J29,0),"")</f>
        <v/>
      </c>
      <c r="V29" s="14">
        <f>IF(U29="","",U29*$J29)</f>
        <v/>
      </c>
      <c r="W29" s="15">
        <f>IF(U29="","",U29*$K29)</f>
        <v/>
      </c>
      <c r="X29" s="15">
        <f>IF(U29="","",IFERROR($E$13*W29/$E$12,0))</f>
        <v/>
      </c>
      <c r="Y29" s="15">
        <f>IF(U29="","",W29+X29)</f>
        <v/>
      </c>
      <c r="Z29" s="15">
        <f>IFERROR(IF(U29="","",Y29/V29),"")</f>
        <v/>
      </c>
      <c r="AA29" s="15">
        <f>IF(OR(T29="",Z29=""),"",Z29-T29)</f>
        <v/>
      </c>
      <c r="AB29" s="16">
        <f>IFERROR(IF(AA29="","",AA29/T29),"")</f>
        <v/>
      </c>
      <c r="AC29" s="14">
        <f>IF(AA29="","",IF(AA29&lt;0,"LOWER",IF(AA29=0,"EQUAL","HIGHER")))</f>
        <v/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13" t="n"/>
      <c r="I30" s="12" t="n"/>
      <c r="J30" s="12" t="n"/>
      <c r="K30" s="13" t="n"/>
      <c r="L30" s="12" t="n"/>
      <c r="M30" s="14">
        <f>IF(AND($A30="YES",$B30&lt;&gt;"",$C30&lt;&gt;"",$D30&lt;&gt;"",$E30&lt;&gt;"",$F30&lt;&gt;"",$G30&lt;&gt;"",$H30&lt;&gt;"",$I30&lt;&gt;"",$J30&lt;&gt;"",$K30&lt;&gt;""),ROUNDUP($F30/$G30,0),"")</f>
        <v/>
      </c>
      <c r="N30" s="14">
        <f>IF(M30="","",M30*$G30)</f>
        <v/>
      </c>
      <c r="O30" s="15">
        <f>IF(M30="","",M30*$H30)</f>
        <v/>
      </c>
      <c r="P30" s="14">
        <f>IF(M30="","",IF($I30="YES",QuoteTermsRate,0))</f>
        <v/>
      </c>
      <c r="Q30" s="15">
        <f>IF(M30="","",O30*P30)</f>
        <v/>
      </c>
      <c r="R30" s="15">
        <f>IF(M30="","",IFERROR($B$16*O30/$B$14,0))</f>
        <v/>
      </c>
      <c r="S30" s="15">
        <f>IF(M30="","",O30-Q30+R30)</f>
        <v/>
      </c>
      <c r="T30" s="15">
        <f>IFERROR(IF(M30="","",S30/N30),"")</f>
        <v/>
      </c>
      <c r="U30" s="14">
        <f>IF(AND($A30="YES",$B30&lt;&gt;"",$C30&lt;&gt;"",$D30&lt;&gt;"",$E30&lt;&gt;"",$F30&lt;&gt;"",$G30&lt;&gt;"",$H30&lt;&gt;"",$I30&lt;&gt;"",$J30&lt;&gt;"",$K30&lt;&gt;""),ROUNDUP($F30/$J30,0),"")</f>
        <v/>
      </c>
      <c r="V30" s="14">
        <f>IF(U30="","",U30*$J30)</f>
        <v/>
      </c>
      <c r="W30" s="15">
        <f>IF(U30="","",U30*$K30)</f>
        <v/>
      </c>
      <c r="X30" s="15">
        <f>IF(U30="","",IFERROR($E$13*W30/$E$12,0))</f>
        <v/>
      </c>
      <c r="Y30" s="15">
        <f>IF(U30="","",W30+X30)</f>
        <v/>
      </c>
      <c r="Z30" s="15">
        <f>IFERROR(IF(U30="","",Y30/V30),"")</f>
        <v/>
      </c>
      <c r="AA30" s="15">
        <f>IF(OR(T30="",Z30=""),"",Z30-T30)</f>
        <v/>
      </c>
      <c r="AB30" s="16">
        <f>IFERROR(IF(AA30="","",AA30/T30),"")</f>
        <v/>
      </c>
      <c r="AC30" s="14">
        <f>IF(AA30="","",IF(AA30&lt;0,"LOWER",IF(AA30=0,"EQUAL","HIGHER")))</f>
        <v/>
      </c>
    </row>
  </sheetData>
  <sheetProtection selectLockedCells="1" selectUnlockedCells="1" sheet="1" objects="0" insertRows="1" insertHyperlinks="1" autoFilter="0" scenarios="0" formatColumns="1" deleteColumns="1" insertColumns="1" pivotTables="1" deleteRows="1" formatCells="1" formatRows="1" sort="1"/>
  <mergeCells count="2">
    <mergeCell ref="A1:AC1"/>
    <mergeCell ref="B10:F11"/>
  </mergeCells>
  <conditionalFormatting sqref="AC19:AC30">
    <cfRule type="expression" priority="1" dxfId="0">
      <formula>AC19="LOWER"</formula>
    </cfRule>
    <cfRule type="expression" priority="2" dxfId="1">
      <formula>AC19="EQUAL"</formula>
    </cfRule>
    <cfRule type="expression" priority="3" dxfId="2">
      <formula>AC19="HIGHER"</formula>
    </cfRule>
  </conditionalFormatting>
  <dataValidations count="5">
    <dataValidation sqref="B6" showDropDown="0" showInputMessage="1" showErrorMessage="1" allowBlank="1" promptTitle="Required decision" prompt="Choose PA or NJ; this selects the policy schedule." type="list" errorStyle="stop">
      <formula1>=JurisdictionList</formula1>
    </dataValidation>
    <dataValidation sqref="B7" showDropDown="0" showInputMessage="1" showErrorMessage="1" allowBlank="1" promptTitle="Required decision" prompt="Choose QUOTE_ORDER for this quote or REPLENISHMENT_ORDER for representative economics." type="list" errorStyle="stop">
      <formula1>=FreightBasisList</formula1>
    </dataValidation>
    <dataValidation sqref="A19:A30" showDropDown="0" showInputMessage="0" showErrorMessage="1" allowBlank="1" type="list" errorStyle="stop">
      <formula1>=IncludeList</formula1>
    </dataValidation>
    <dataValidation sqref="E19:E30" showDropDown="0" showInputMessage="0" showErrorMessage="1" allowBlank="1" type="list" errorStyle="stop">
      <formula1>=UOMList</formula1>
    </dataValidation>
    <dataValidation sqref="I19:I30" showDropDown="0" showInputMessage="0" showErrorMessage="1" allowBlank="1" type="list" errorStyle="stop">
      <formula1>=TermsEarnedList</formula1>
    </dataValidation>
  </dataValidations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80"/>
  <sheetViews>
    <sheetView showGridLines="0" zoomScale="85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Method, Policy Map &amp; Verification</t>
        </is>
      </c>
    </row>
    <row r="2">
      <c r="A2" s="2" t="inlineStr">
        <is>
          <t>Controlled cells are gray; yellow cells are keyed verification inputs; blue cells calculate.</t>
        </is>
      </c>
    </row>
    <row r="4">
      <c r="A4" s="17" t="inlineStr">
        <is>
          <t>Controlled policy values</t>
        </is>
      </c>
      <c r="D4" s="17" t="inlineStr">
        <is>
          <t>Linked review snapshot</t>
        </is>
      </c>
    </row>
    <row r="5">
      <c r="A5" t="inlineStr">
        <is>
          <t>QuoteTermsRate</t>
        </is>
      </c>
      <c r="B5" s="18" t="n">
        <v>0.02</v>
      </c>
      <c r="D5" t="inlineStr">
        <is>
          <t>Freight Basis</t>
        </is>
      </c>
      <c r="E5" s="9">
        <f>Comparison!B7</f>
        <v/>
      </c>
      <c r="M5" s="18" t="inlineStr">
        <is>
          <t>QUOTE_ORDER</t>
        </is>
      </c>
      <c r="N5" s="18" t="inlineStr">
        <is>
          <t>PA</t>
        </is>
      </c>
      <c r="O5" s="18" t="inlineStr">
        <is>
          <t>YES</t>
        </is>
      </c>
      <c r="P5" s="18" t="inlineStr">
        <is>
          <t>EA</t>
        </is>
      </c>
      <c r="Q5" s="18" t="inlineStr">
        <is>
          <t>YES</t>
        </is>
      </c>
    </row>
    <row r="6">
      <c r="A6" t="inlineStr">
        <is>
          <t>QuoteCompPAThreshold</t>
        </is>
      </c>
      <c r="B6" s="18" t="n">
        <v>1500</v>
      </c>
      <c r="D6" t="inlineStr">
        <is>
          <t>Destination Jurisdiction</t>
        </is>
      </c>
      <c r="E6" s="9">
        <f>Comparison!B6</f>
        <v/>
      </c>
      <c r="M6" s="18" t="inlineStr">
        <is>
          <t>REPLENISHMENT_ORDER</t>
        </is>
      </c>
      <c r="N6" s="18" t="inlineStr">
        <is>
          <t>NJ</t>
        </is>
      </c>
      <c r="O6" s="18" t="inlineStr">
        <is>
          <t>NO</t>
        </is>
      </c>
      <c r="P6" s="18" t="inlineStr">
        <is>
          <t>FT</t>
        </is>
      </c>
      <c r="Q6" s="18" t="inlineStr">
        <is>
          <t>NO</t>
        </is>
      </c>
    </row>
    <row r="7">
      <c r="A7" t="inlineStr">
        <is>
          <t>QuoteCompPACharge</t>
        </is>
      </c>
      <c r="B7" s="18" t="n">
        <v>145</v>
      </c>
      <c r="D7" t="inlineStr">
        <is>
          <t>Total Requested Units</t>
        </is>
      </c>
      <c r="E7" s="9">
        <f>Comparison!B13</f>
        <v/>
      </c>
      <c r="P7" s="18" t="inlineStr">
        <is>
          <t>KIT</t>
        </is>
      </c>
    </row>
    <row r="8">
      <c r="A8" t="inlineStr">
        <is>
          <t>QuoteCompNJThreshold</t>
        </is>
      </c>
      <c r="B8" s="18" t="n">
        <v>1800</v>
      </c>
      <c r="D8" t="inlineStr">
        <is>
          <t>Freight Basis Rationale</t>
        </is>
      </c>
      <c r="E8" s="19">
        <f>Comparison!B10</f>
        <v/>
      </c>
    </row>
    <row r="9">
      <c r="A9" t="inlineStr">
        <is>
          <t>QuoteCompNJCharge</t>
        </is>
      </c>
      <c r="B9" s="18" t="n">
        <v>175</v>
      </c>
      <c r="D9" t="inlineStr">
        <is>
          <t>Overall QA Status</t>
        </is>
      </c>
    </row>
    <row r="10">
      <c r="A10" t="inlineStr">
        <is>
          <t>QuoteCompNJComponent</t>
        </is>
      </c>
      <c r="B10" s="18" t="n">
        <v>25</v>
      </c>
    </row>
    <row r="11">
      <c r="A11" t="inlineStr">
        <is>
          <t>StonePAThreshold</t>
        </is>
      </c>
      <c r="B11" s="18" t="n">
        <v>1000</v>
      </c>
    </row>
    <row r="12">
      <c r="A12" t="inlineStr">
        <is>
          <t>StonePACharge</t>
        </is>
      </c>
      <c r="B12" s="18" t="n">
        <v>95</v>
      </c>
    </row>
    <row r="13">
      <c r="A13" t="inlineStr">
        <is>
          <t>StoneNJThreshold</t>
        </is>
      </c>
      <c r="B13" s="18" t="n">
        <v>1200</v>
      </c>
    </row>
    <row r="14">
      <c r="A14" t="inlineStr">
        <is>
          <t>StoneNJCharge</t>
        </is>
      </c>
      <c r="B14" s="18" t="n">
        <v>125</v>
      </c>
    </row>
    <row r="15">
      <c r="A15" t="inlineStr">
        <is>
          <t>StoneNJComponent</t>
        </is>
      </c>
      <c r="B15" s="18" t="n">
        <v>25</v>
      </c>
    </row>
    <row r="18">
      <c r="A18" s="17" t="inlineStr">
        <is>
          <t>Method guide</t>
        </is>
      </c>
    </row>
    <row r="19" ht="30" customHeight="1">
      <c r="A19" s="20" t="inlineStr">
        <is>
          <t>Purpose: compare competitor and Stonebridge offers on a delivered per-unit basis for a selected destination and freight view.</t>
        </is>
      </c>
    </row>
    <row r="20" ht="30" customHeight="1">
      <c r="A20" s="20" t="inlineStr">
        <is>
          <t>QUOTE_ORDER uses each party’s included-line quote subtotal. It best reflects the economics of this specific contested quote, but can overstate freight when the quote is unusually small.</t>
        </is>
      </c>
    </row>
    <row r="21" ht="30" customHeight="1">
      <c r="A21" s="20" t="inlineStr">
        <is>
          <t>REPLENISHMENT_ORDER uses the entered representative replenishment subtotals. It can better reflect normal ordering behavior, but is less specific to the present quote and requires a defensible replenishment estimate.</t>
        </is>
      </c>
    </row>
    <row r="22" ht="30" customHeight="1">
      <c r="A22" s="20" t="inlineStr">
        <is>
          <t>Reviewer standard: accept the selected basis when the rationale names the ordering pattern, explains why the basis fits Foxhollow’s situation, and acknowledges its limitation. Reject unsupported or blank rationale.</t>
        </is>
      </c>
    </row>
    <row r="23" ht="30" customHeight="1">
      <c r="A23" s="20" t="inlineStr">
        <is>
          <t>Enter requested units in the approved Comparison UOM. Case/pack rounding is upward; delivered units expose overage. Competitor terms credit is 2% only when documented and marked YES. Stonebridge receives no prompt-payment credit.</t>
        </is>
      </c>
    </row>
    <row r="24" ht="30" customHeight="1">
      <c r="A24" s="20" t="inlineStr">
        <is>
          <t>Select PA or NJ; minimums are inclusive. Freight is calculated once per party and allocated across active lines by line gross, preserving cents only for display. Unit Difference is Stonebridge minus competitor: negative means LOWER.</t>
        </is>
      </c>
    </row>
    <row r="25" ht="30" customHeight="1">
      <c r="A25" s="20" t="inlineStr">
        <is>
          <t>Reference map: Foxhollow_competitor_quote.pdf controls competitor packs, prices, freight minimum and terms; Stonebridge_price_export.xlsx controls Stonebridge SKU, selling unit, packs and prices; PA_NJ_delivery_policy.pdf controls jurisdictional thresholds, charges and NJ handling; customer_terms_policy.docx controls terms eligibility; PVF_item_crosswalk.xlsx controls item/SKU/UOM mapping; Normalization_control_catalog.xlsx controls labels, lists, named ranges and QA cases.</t>
        </is>
      </c>
    </row>
    <row r="28">
      <c r="A28" s="17" t="inlineStr">
        <is>
          <t>Field guide</t>
        </is>
      </c>
    </row>
    <row r="29" ht="34" customHeight="1">
      <c r="A29" s="20" t="inlineStr">
        <is>
          <t>Inputs: Quote ID, Account, Quote Date, destination, freight basis, representative subtotals, rationale, Include, SKU/item, description, UOM, requested units, case/pack quantities and prices, terms earned, notes. Outputs: required cases/packs, delivered units, gross, terms rate/credit, freight share, net delivered total, delivered unit cost, Unit Difference, Unit Difference Percent and Result.</t>
        </is>
      </c>
    </row>
    <row r="30"/>
    <row r="32">
      <c r="A32" s="17" t="inlineStr">
        <is>
          <t>Scoring guide</t>
        </is>
      </c>
    </row>
    <row r="33">
      <c r="A33" t="inlineStr">
        <is>
          <t>Control</t>
        </is>
      </c>
      <c r="B33" t="inlineStr">
        <is>
          <t>Status</t>
        </is>
      </c>
      <c r="C33" t="inlineStr">
        <is>
          <t>Reviewer cue</t>
        </is>
      </c>
    </row>
    <row r="34">
      <c r="A34" t="inlineStr">
        <is>
          <t>Decision fields complete</t>
        </is>
      </c>
      <c r="B34" s="9">
        <f>IF(AND(Comparison!B6&lt;&gt;"",Comparison!B7&lt;&gt;""),"PASS","FAIL")</f>
        <v/>
      </c>
      <c r="C34" t="inlineStr">
        <is>
          <t>Jurisdiction and freight basis selected</t>
        </is>
      </c>
    </row>
    <row r="35">
      <c r="A35" t="inlineStr">
        <is>
          <t>Rationale usable</t>
        </is>
      </c>
      <c r="B35" s="9">
        <f>IF(LEN(Comparison!B10)&gt;=20,"PASS","FAIL")</f>
        <v/>
      </c>
      <c r="C35" t="inlineStr">
        <is>
          <t>Explain commercial fit and limitation</t>
        </is>
      </c>
    </row>
    <row r="36">
      <c r="A36" t="inlineStr">
        <is>
          <t>Active lines / commercial inputs</t>
        </is>
      </c>
      <c r="B36" s="9">
        <f>IF(Comparison!B12&gt;0,"PASS","FAIL")</f>
        <v/>
      </c>
      <c r="C36" t="inlineStr">
        <is>
          <t>At least one complete included line</t>
        </is>
      </c>
    </row>
    <row r="37">
      <c r="A37" t="inlineStr">
        <is>
          <t>QA status</t>
        </is>
      </c>
      <c r="B37" s="9">
        <f>K80</f>
        <v/>
      </c>
      <c r="C37" t="inlineStr">
        <is>
          <t>All keyed assertions pass</t>
        </is>
      </c>
    </row>
    <row r="40">
      <c r="A40" s="17" t="inlineStr">
        <is>
          <t>Keyed verification cases</t>
        </is>
      </c>
    </row>
    <row r="41">
      <c r="A41" s="21" t="inlineStr">
        <is>
          <t>Case ID</t>
        </is>
      </c>
      <c r="B41" s="21" t="inlineStr">
        <is>
          <t>Scenario</t>
        </is>
      </c>
      <c r="C41" s="21" t="inlineStr">
        <is>
          <t>Jurisdiction</t>
        </is>
      </c>
      <c r="D41" s="21" t="inlineStr">
        <is>
          <t>Basis</t>
        </is>
      </c>
      <c r="E41" s="21" t="inlineStr">
        <is>
          <t>Requested</t>
        </is>
      </c>
      <c r="F41" s="21" t="inlineStr">
        <is>
          <t>Comp Pack</t>
        </is>
      </c>
      <c r="G41" s="21" t="inlineStr">
        <is>
          <t>Comp Price</t>
        </is>
      </c>
      <c r="H41" s="21" t="inlineStr">
        <is>
          <t>SB Pack</t>
        </is>
      </c>
      <c r="I41" s="21" t="inlineStr">
        <is>
          <t>SB Price</t>
        </is>
      </c>
      <c r="J41" s="21" t="inlineStr">
        <is>
          <t>Terms Earned</t>
        </is>
      </c>
      <c r="K41" s="21" t="inlineStr">
        <is>
          <t>Comp Rep Subtotal</t>
        </is>
      </c>
      <c r="L41" s="21" t="inlineStr">
        <is>
          <t>SB Rep Subtotal</t>
        </is>
      </c>
      <c r="M41" s="21" t="inlineStr">
        <is>
          <t>Expected 1</t>
        </is>
      </c>
      <c r="N41" s="21" t="inlineStr">
        <is>
          <t>Actual 1</t>
        </is>
      </c>
      <c r="O41" s="21" t="inlineStr">
        <is>
          <t>Expected 2</t>
        </is>
      </c>
      <c r="P41" s="21" t="inlineStr">
        <is>
          <t>Actual 2</t>
        </is>
      </c>
      <c r="Q41" s="21" t="inlineStr">
        <is>
          <t>Expected 3</t>
        </is>
      </c>
      <c r="R41" s="21" t="inlineStr">
        <is>
          <t>Actual 3</t>
        </is>
      </c>
      <c r="S41" s="21" t="inlineStr">
        <is>
          <t>Status</t>
        </is>
      </c>
    </row>
    <row r="42">
      <c r="A42" s="22" t="inlineStr">
        <is>
          <t>QA-1</t>
        </is>
      </c>
      <c r="B42" s="22" t="inlineStr">
        <is>
          <t>Pack rounding and delivered-unit overage</t>
        </is>
      </c>
      <c r="C42" s="22" t="inlineStr">
        <is>
          <t>PA</t>
        </is>
      </c>
      <c r="D42" s="22" t="inlineStr">
        <is>
          <t>QUOTE_ORDER</t>
        </is>
      </c>
      <c r="E42" s="22" t="n">
        <v>13</v>
      </c>
      <c r="F42" s="22" t="n">
        <v>8</v>
      </c>
      <c r="G42" s="22" t="n">
        <v>84</v>
      </c>
      <c r="H42" s="22" t="n">
        <v>10</v>
      </c>
      <c r="I42" s="22" t="n">
        <v>72</v>
      </c>
      <c r="J42" s="22" t="inlineStr">
        <is>
          <t>NO</t>
        </is>
      </c>
      <c r="K42" s="22" t="n">
        <v>1000</v>
      </c>
      <c r="L42" s="22" t="n">
        <v>1000</v>
      </c>
      <c r="M42" s="18" t="n">
        <v>2</v>
      </c>
      <c r="N42" s="9">
        <f>ROUNDUP(E42/F42,0)</f>
        <v/>
      </c>
      <c r="O42" s="18" t="n">
        <v>2</v>
      </c>
      <c r="P42" s="9">
        <f>ROUNDUP(E42/H42,0)</f>
        <v/>
      </c>
      <c r="Q42" s="18" t="n"/>
      <c r="R42" s="9">
        <f>ROUND(G42*0%,2)</f>
        <v/>
      </c>
      <c r="S42" s="9">
        <f>IF(AND(ABS(N42-M42)&lt;0.01,ABS(P42-O42)&lt;0.01,ABS(R42-Q42)&lt;0.01),"PASS","FAIL")</f>
        <v/>
      </c>
    </row>
    <row r="43">
      <c r="A43" s="22" t="inlineStr">
        <is>
          <t>QA-2</t>
        </is>
      </c>
      <c r="B43" s="22" t="inlineStr">
        <is>
          <t>Freight boundary: below versus at minimum</t>
        </is>
      </c>
      <c r="C43" s="22" t="inlineStr">
        <is>
          <t>PA</t>
        </is>
      </c>
      <c r="D43" s="22" t="inlineStr">
        <is>
          <t>QUOTE_ORDER</t>
        </is>
      </c>
      <c r="E43" s="22" t="n">
        <v>12</v>
      </c>
      <c r="F43" s="22" t="n">
        <v>12</v>
      </c>
      <c r="G43" s="22" t="n">
        <v>100</v>
      </c>
      <c r="H43" s="22" t="n">
        <v>10</v>
      </c>
      <c r="I43" s="22" t="n">
        <v>80</v>
      </c>
      <c r="J43" s="22" t="inlineStr">
        <is>
          <t>NO</t>
        </is>
      </c>
      <c r="K43" s="22" t="n">
        <v>1499.99</v>
      </c>
      <c r="L43" s="22" t="n">
        <v>1000</v>
      </c>
      <c r="M43" s="18" t="n">
        <v>145</v>
      </c>
      <c r="N43" s="9">
        <f>IF(K43&lt;QuoteCompPAThreshold,QuoteCompPACharge,0)</f>
        <v/>
      </c>
      <c r="O43" s="18" t="n">
        <v>0</v>
      </c>
      <c r="P43" s="9">
        <f>IF(K43+0.01&gt;=QuoteCompPAThreshold,0,QuoteCompPACharge)</f>
        <v/>
      </c>
      <c r="Q43" s="18" t="n"/>
      <c r="R43" s="9">
        <f>0</f>
        <v/>
      </c>
      <c r="S43" s="9">
        <f>IF(AND(ABS(N43-M43)&lt;0.01,ABS(P43-O43)&lt;0.01,ABS(R43-Q43)&lt;0.01),"PASS","FAIL")</f>
        <v/>
      </c>
    </row>
    <row r="44">
      <c r="A44" s="22" t="inlineStr">
        <is>
          <t>QA-3</t>
        </is>
      </c>
      <c r="B44" s="22" t="inlineStr">
        <is>
          <t>PA versus NJ jurisdiction treatment</t>
        </is>
      </c>
      <c r="C44" s="22" t="inlineStr">
        <is>
          <t>PA</t>
        </is>
      </c>
      <c r="D44" s="22" t="inlineStr">
        <is>
          <t>QUOTE_ORDER</t>
        </is>
      </c>
      <c r="E44" s="22" t="n">
        <v>10</v>
      </c>
      <c r="F44" s="22" t="n">
        <v>10</v>
      </c>
      <c r="G44" s="22" t="n">
        <v>160</v>
      </c>
      <c r="H44" s="22" t="n">
        <v>10</v>
      </c>
      <c r="I44" s="22" t="n">
        <v>80</v>
      </c>
      <c r="J44" s="22" t="inlineStr">
        <is>
          <t>NO</t>
        </is>
      </c>
      <c r="K44" s="22" t="n">
        <v>1600</v>
      </c>
      <c r="L44" s="22" t="n">
        <v>1600</v>
      </c>
      <c r="M44" s="18" t="n">
        <v>0</v>
      </c>
      <c r="N44" s="9">
        <f>IF(C44="PA",IF(K44&gt;=QuoteCompPAThreshold,0,QuoteCompPACharge),IF(K44&gt;=QuoteCompNJThreshold,0,QuoteCompNJCharge+QuoteCompNJComponent))</f>
        <v/>
      </c>
      <c r="O44" s="18" t="n">
        <v>0</v>
      </c>
      <c r="P44" s="9">
        <f>IF(C44="PA",IF(K44&gt;=StonePAThreshold,0,StonePACharge),IF(K44&gt;=StoneNJThreshold,0,StoneNJCharge+StoneNJComponent))</f>
        <v/>
      </c>
      <c r="Q44" s="18" t="n">
        <v>200</v>
      </c>
      <c r="R44" s="9">
        <f>IF(K44&lt;QuoteCompNJThreshold,QuoteCompNJCharge+QuoteCompNJComponent,0)</f>
        <v/>
      </c>
      <c r="S44" s="9">
        <f>IF(AND(ABS(N44-M44)&lt;0.01,ABS(P44-O44)&lt;0.01,ABS(R44-Q44)&lt;0.01),"PASS","FAIL")</f>
        <v/>
      </c>
    </row>
    <row r="45">
      <c r="A45" s="22" t="inlineStr">
        <is>
          <t>QA-4</t>
        </is>
      </c>
      <c r="B45" s="22" t="inlineStr">
        <is>
          <t>Competitor terms earned versus not earned</t>
        </is>
      </c>
      <c r="C45" s="22" t="inlineStr">
        <is>
          <t>PA</t>
        </is>
      </c>
      <c r="D45" s="22" t="inlineStr">
        <is>
          <t>QUOTE_ORDER</t>
        </is>
      </c>
      <c r="E45" s="22" t="n">
        <v>10</v>
      </c>
      <c r="F45" s="22" t="n">
        <v>10</v>
      </c>
      <c r="G45" s="22" t="n">
        <v>100</v>
      </c>
      <c r="H45" s="22" t="n">
        <v>10</v>
      </c>
      <c r="I45" s="22" t="n">
        <v>80</v>
      </c>
      <c r="J45" s="22" t="inlineStr">
        <is>
          <t>YES</t>
        </is>
      </c>
      <c r="K45" s="22" t="n">
        <v>1000</v>
      </c>
      <c r="L45" s="22" t="n">
        <v>1000</v>
      </c>
      <c r="M45" s="18" t="n">
        <v>2</v>
      </c>
      <c r="N45" s="9">
        <f>G45*IF(J45="YES",QuoteTermsRate,0)</f>
        <v/>
      </c>
      <c r="O45" s="18" t="n">
        <v>0</v>
      </c>
      <c r="P45" s="9">
        <f>G45*IF("NO"="YES",QuoteTermsRate,0)</f>
        <v/>
      </c>
      <c r="Q45" s="18" t="n"/>
      <c r="R45" s="9">
        <f>G45*0%</f>
        <v/>
      </c>
      <c r="S45" s="9">
        <f>IF(AND(ABS(N45-M45)&lt;0.01,ABS(P45-O45)&lt;0.01,ABS(R45-Q45)&lt;0.01),"PASS","FAIL")</f>
        <v/>
      </c>
    </row>
    <row r="48">
      <c r="A48" s="23" t="inlineStr">
        <is>
          <t>QA notes: Actual columns are formulas; Expected columns are controlled key values. Change an expected value to confirm its assertion fails.</t>
        </is>
      </c>
    </row>
    <row r="80">
      <c r="A80" t="inlineStr">
        <is>
          <t>Overall QA Status</t>
        </is>
      </c>
      <c r="K80" s="24">
        <f>IF(COUNTIF(S42:S45,"FAIL")=0,"PASS","FAIL")</f>
        <v/>
      </c>
    </row>
  </sheetData>
  <sheetProtection selectLockedCells="1" selectUnlockedCells="1" sheet="1" objects="0" insertRows="1" insertHyperlinks="1" autoFilter="0" scenarios="0" formatColumns="1" deleteColumns="1" insertColumns="1" pivotTables="1" deleteRows="1" formatCells="1" formatRows="1" sort="1"/>
  <mergeCells count="11">
    <mergeCell ref="A22:K22"/>
    <mergeCell ref="A20:K20"/>
    <mergeCell ref="A21:K21"/>
    <mergeCell ref="E8:K9"/>
    <mergeCell ref="A25:K25"/>
    <mergeCell ref="A29:K30"/>
    <mergeCell ref="A24:K24"/>
    <mergeCell ref="A19:K19"/>
    <mergeCell ref="A48:S48"/>
    <mergeCell ref="A1:K1"/>
    <mergeCell ref="A23:K23"/>
  </mergeCells>
  <conditionalFormatting sqref="S42:S45">
    <cfRule type="expression" priority="1" dxfId="0">
      <formula>S42="PASS"</formula>
    </cfRule>
    <cfRule type="expression" priority="2" dxfId="2">
      <formula>S42="FAIL"</formula>
    </cfRule>
  </conditionalFormatting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2026-08-24T13:13:31Z</dcterms:created>
  <dcterms:modified xmlns:dcterms="http://purl.org/dc/terms/" xmlns:xsi="http://www.w3.org/2001/XMLSchema-instance" xsi:type="dcterms:W3CDTF">2026-08-24T13:13:31Z</dcterms:modified>
</cp:coreProperties>
</file>