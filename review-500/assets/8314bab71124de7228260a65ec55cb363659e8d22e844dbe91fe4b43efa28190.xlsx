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Recommendation" sheetId="3" state="visible" r:id="rId3"/>
  </sheets>
  <definedNames>
    <definedName name="_xlnm.Print_Area" localSheetId="0">'Instructions'!$A$1:$H$18</definedName>
    <definedName name="_xlnm.Print_Area" localSheetId="1">'Assessment'!$A$1:$J$18</definedName>
    <definedName name="_xlnm.Print_Area" localSheetId="2">'Recommendation'!$A$1:$H$16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1F2937"/>
    </font>
    <font>
      <i val="1"/>
      <color rgb="005B6573"/>
      <sz val="9"/>
    </font>
    <font>
      <b val="1"/>
      <color rgb="00FFFFFF"/>
      <sz val="15"/>
    </font>
    <font>
      <i val="1"/>
      <color rgb="005B6573"/>
    </font>
    <font>
      <b val="1"/>
      <color rgb="00FFFFFF"/>
    </font>
    <font>
      <b val="1"/>
      <color rgb="001F2937"/>
      <sz val="13"/>
    </font>
    <font>
      <name val="Aptos"/>
      <b val="1"/>
      <color rgb="00FFFFFF"/>
      <sz val="16"/>
    </font>
    <font>
      <name val="Aptos"/>
      <b val="1"/>
      <color rgb="00FFFFFF"/>
      <sz val="11"/>
    </font>
    <font>
      <name val="Aptos"/>
      <family val="2"/>
      <color theme="1"/>
      <sz val="11"/>
      <scheme val="minor"/>
    </font>
    <font>
      <name val="Aptos"/>
      <b val="1"/>
      <color rgb="001F2937"/>
    </font>
    <font>
      <name val="Aptos"/>
      <i val="1"/>
      <color rgb="005B6573"/>
      <sz val="9"/>
    </font>
    <font>
      <name val="Aptos"/>
      <b val="1"/>
      <color rgb="00FFFFFF"/>
      <sz val="15"/>
    </font>
    <font>
      <name val="Aptos"/>
      <i val="1"/>
      <color rgb="005B6573"/>
    </font>
    <font>
      <name val="Aptos"/>
      <b val="1"/>
      <color rgb="00FFFFFF"/>
    </font>
    <font>
      <name val="Aptos"/>
      <b val="1"/>
      <color rgb="001F2937"/>
      <sz val="13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FCE4D6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vertical="center"/>
    </xf>
    <xf numFmtId="0" fontId="11" fillId="3" borderId="0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 wrapText="1"/>
    </xf>
    <xf numFmtId="0" fontId="11" fillId="7" borderId="0" applyAlignment="1" pivotButton="0" quotePrefix="0" xfId="0">
      <alignment vertical="top" wrapText="1"/>
    </xf>
    <xf numFmtId="0" fontId="13" fillId="0" borderId="0" applyAlignment="1" pivotButton="0" quotePrefix="0" xfId="0">
      <alignment vertical="center"/>
    </xf>
    <xf numFmtId="0" fontId="14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6" fillId="8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/>
    </xf>
    <xf numFmtId="0" fontId="0" fillId="4" borderId="0" applyProtection="1" pivotButton="0" quotePrefix="0" xfId="0">
      <protection locked="0" hidden="0"/>
    </xf>
    <xf numFmtId="0" fontId="11" fillId="5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3" borderId="0" applyAlignment="1" pivotButton="0" quotePrefix="0" xfId="0">
      <alignment vertical="center" wrapText="1"/>
    </xf>
    <xf numFmtId="0" fontId="17" fillId="5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center" vertical="center" wrapText="1"/>
    </xf>
    <xf numFmtId="0" fontId="0" fillId="6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ill>
        <patternFill patternType="solid">
          <fgColor rgb="00C6E0B4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F4B0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2" customHeight="1">
      <c r="A1" s="1" t="inlineStr">
        <is>
          <t>Tillingford price-schedule structure recommendation</t>
        </is>
      </c>
    </row>
    <row r="2" ht="22" customHeight="1"/>
    <row r="3" ht="22" customHeight="1">
      <c r="A3" s="2" t="inlineStr">
        <is>
          <t>Purpose</t>
        </is>
      </c>
    </row>
    <row r="4" ht="25" customHeight="1">
      <c r="A4" s="3" t="inlineStr">
        <is>
          <t>Use this blank workbook to capture the approved source facts, compare candidate price-schedule structures, and prepare a D365 migration approval for four sales regions.</t>
        </is>
      </c>
    </row>
    <row r="5" ht="25" customHeight="1"/>
    <row r="6" ht="22" customHeight="1"/>
    <row r="7" ht="22" customHeight="1">
      <c r="A7" s="2" t="inlineStr">
        <is>
          <t>How to use</t>
        </is>
      </c>
    </row>
    <row r="8" ht="25" customHeight="1">
      <c r="A8" s="3" t="inlineStr">
        <is>
          <t>1. On Assessment, enter the four region source facts and choose one status for each candidate dimension. 2. Review the calculated status and operational-exception score. 3. On Recommendation, read the formula-driven recommended structure, record the rationale, migration notes, reviewer, and approval decision.</t>
        </is>
      </c>
    </row>
    <row r="9" ht="25" customHeight="1"/>
    <row r="10" ht="25" customHeight="1"/>
    <row r="11" ht="22" customHeight="1"/>
    <row r="12" ht="22" customHeight="1">
      <c r="A12" s="2" t="inlineStr">
        <is>
          <t>Legend</t>
        </is>
      </c>
    </row>
    <row r="13" ht="22" customHeight="1">
      <c r="A13" s="4" t="inlineStr">
        <is>
          <t>User entry</t>
        </is>
      </c>
      <c r="C13" s="5" t="inlineStr">
        <is>
          <t>Calculated</t>
        </is>
      </c>
      <c r="E13" s="6" t="inlineStr">
        <is>
          <t>Review</t>
        </is>
      </c>
      <c r="G13" s="7" t="inlineStr">
        <is>
          <t>Blank cells are intentional</t>
        </is>
      </c>
    </row>
    <row r="14" ht="22" customHeight="1"/>
    <row r="15" ht="25" customHeight="1">
      <c r="A15" s="8" t="inlineStr">
        <is>
          <t>This is a blank working instrument, not an example: enter facts and assessments later; no customers, prices, dates, scores, or recommendation are prefilled.</t>
        </is>
      </c>
    </row>
    <row r="16" ht="25" customHeight="1"/>
    <row r="17" ht="22" customHeight="1"/>
    <row r="18" ht="22" customHeight="1">
      <c r="A18" s="9" t="inlineStr">
        <is>
          <t>Source files: tillingford_pricing_constraints.pdf  |  candidate_schedule_notes.xlsx</t>
        </is>
      </c>
    </row>
  </sheetData>
  <mergeCells count="12">
    <mergeCell ref="A8:H10"/>
    <mergeCell ref="A12:H12"/>
    <mergeCell ref="A18:H18"/>
    <mergeCell ref="A3:H3"/>
    <mergeCell ref="A4:H5"/>
    <mergeCell ref="A7:H7"/>
    <mergeCell ref="A15:H16"/>
    <mergeCell ref="A13:B13"/>
    <mergeCell ref="E13:F13"/>
    <mergeCell ref="C13:D13"/>
    <mergeCell ref="A1:H1"/>
    <mergeCell ref="G13:H13"/>
  </mergeCells>
  <pageMargins left="0.25" right="0.25" top="0.35" bottom="0.35" header="0.15" footer="0.15"/>
  <pageSetup orientation="landscape" paperSize="9" fitToHeight="1" fitToWidth="1"/>
  <headerFooter>
    <oddHeader/>
    <oddFooter>&amp;C&amp;8 Tillingford pricing design |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22" customWidth="1" min="4" max="4"/>
    <col width="20" customWidth="1" min="5" max="5"/>
    <col width="16" customWidth="1" min="6" max="6"/>
    <col width="22" customWidth="1" min="7" max="7"/>
    <col width="24" customWidth="1" min="8" max="8"/>
    <col width="18" customWidth="1" min="9" max="9"/>
    <col width="20" customWidth="1" min="10" max="10"/>
  </cols>
  <sheetData>
    <row r="1">
      <c r="A1" s="10" t="inlineStr">
        <is>
          <t>Assessment — source facts and candidate structures</t>
        </is>
      </c>
    </row>
    <row r="2">
      <c r="A2" s="11" t="inlineStr">
        <is>
          <t>Yellow cells are later-entry fields. Green cells calculate. Use the status list exactly as supplied.</t>
        </is>
      </c>
    </row>
    <row r="3">
      <c r="A3" s="12" t="inlineStr">
        <is>
          <t>Region source facts (four rows)</t>
        </is>
      </c>
    </row>
    <row r="4" ht="38" customHeight="1">
      <c r="A4" s="13" t="inlineStr">
        <is>
          <t>Slot</t>
        </is>
      </c>
      <c r="B4" s="13" t="inlineStr">
        <is>
          <t>Candidate structure</t>
        </is>
      </c>
      <c r="C4" s="13" t="inlineStr">
        <is>
          <t>Published tier pricing</t>
        </is>
      </c>
      <c r="D4" s="13" t="inlineStr">
        <is>
          <t>Documented cost difference</t>
        </is>
      </c>
      <c r="E4" s="13" t="inlineStr">
        <is>
          <t>Counter-rep quote time</t>
        </is>
      </c>
      <c r="F4" s="13" t="inlineStr">
        <is>
          <t>SAP overlap</t>
        </is>
      </c>
      <c r="G4" s="13" t="inlineStr">
        <is>
          <t>Region-by-region migration</t>
        </is>
      </c>
      <c r="H4" s="13" t="inlineStr">
        <is>
          <t>One active price per account</t>
        </is>
      </c>
      <c r="I4" s="13" t="inlineStr">
        <is>
          <t>Assessment status</t>
        </is>
      </c>
      <c r="J4" s="13" t="inlineStr">
        <is>
          <t>Operational exceptions</t>
        </is>
      </c>
    </row>
    <row r="5">
      <c r="A5" s="14" t="inlineStr">
        <is>
          <t>Region 1</t>
        </is>
      </c>
      <c r="B5" s="15" t="n"/>
      <c r="C5" s="15" t="n"/>
      <c r="D5" s="15" t="n"/>
      <c r="E5" s="15" t="n"/>
      <c r="F5" s="15" t="n"/>
      <c r="G5" s="15" t="n"/>
      <c r="H5" s="15" t="n"/>
      <c r="I5" s="15" t="n"/>
      <c r="J5" s="16">
        <f>IF(COUNTA(B5:I5)=0,"",IF(COUNTIF(B5:I5,"Does not meet")&gt;0,"Does not meet","Entered"))</f>
        <v/>
      </c>
    </row>
    <row r="6">
      <c r="A6" s="14" t="inlineStr">
        <is>
          <t>Region 2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6">
        <f>IF(COUNTA(B6:I6)=0,"",IF(COUNTIF(B6:I6,"Does not meet")&gt;0,"Does not meet","Entered"))</f>
        <v/>
      </c>
    </row>
    <row r="7">
      <c r="A7" s="14" t="inlineStr">
        <is>
          <t>Region 3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6">
        <f>IF(COUNTA(B7:I7)=0,"",IF(COUNTIF(B7:I7,"Does not meet")&gt;0,"Does not meet","Entered"))</f>
        <v/>
      </c>
    </row>
    <row r="8">
      <c r="A8" s="14" t="inlineStr">
        <is>
          <t>Region 4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6">
        <f>IF(COUNTA(B8:I8)=0,"",IF(COUNTIF(B8:I8,"Does not meet")&gt;0,"Does not meet","Entered"))</f>
        <v/>
      </c>
    </row>
    <row r="9"/>
    <row r="10">
      <c r="A10" s="12" t="inlineStr">
        <is>
          <t>Candidate assessment (three rows)</t>
        </is>
      </c>
    </row>
    <row r="11" ht="38" customHeight="1">
      <c r="A11" s="13" t="inlineStr">
        <is>
          <t>Slot</t>
        </is>
      </c>
      <c r="B11" s="13" t="inlineStr">
        <is>
          <t>Candidate structure</t>
        </is>
      </c>
      <c r="C11" s="13" t="inlineStr">
        <is>
          <t>Published tier pricing</t>
        </is>
      </c>
      <c r="D11" s="13" t="inlineStr">
        <is>
          <t>Documented cost difference</t>
        </is>
      </c>
      <c r="E11" s="13" t="inlineStr">
        <is>
          <t>Counter-rep quote time</t>
        </is>
      </c>
      <c r="F11" s="13" t="inlineStr">
        <is>
          <t>SAP overlap</t>
        </is>
      </c>
      <c r="G11" s="13" t="inlineStr">
        <is>
          <t>Region-by-region migration</t>
        </is>
      </c>
      <c r="H11" s="13" t="inlineStr">
        <is>
          <t>One active price per account</t>
        </is>
      </c>
      <c r="I11" s="13" t="inlineStr">
        <is>
          <t>Assessment status</t>
        </is>
      </c>
      <c r="J11" s="13" t="inlineStr">
        <is>
          <t>Operational exceptions</t>
        </is>
      </c>
    </row>
    <row r="12">
      <c r="A12" s="17" t="inlineStr">
        <is>
          <t>Candidate 1</t>
        </is>
      </c>
      <c r="B12" s="14" t="inlineStr">
        <is>
          <t>Global tier schedule</t>
        </is>
      </c>
      <c r="C12" s="15" t="n"/>
      <c r="D12" s="15" t="n"/>
      <c r="E12" s="15" t="n"/>
      <c r="F12" s="15" t="n"/>
      <c r="G12" s="15" t="n"/>
      <c r="H12" s="15" t="n"/>
      <c r="I12" s="16">
        <f>IF(COUNTA(C12:H12)=0,"",IF(COUNTIF(C12:H12,"Does not meet")&gt;0,"Does not meet",IF(COUNTIF(C12:H12,"Partially meets")&gt;0,"Partially meets","Meets")))</f>
        <v/>
      </c>
      <c r="J12" s="16">
        <f>IF(COUNTA(C12:H12)=0,"",COUNTIF(C12:H12,"Does not meet")*2+COUNTIF(C12:H12,"Partially meets"))</f>
        <v/>
      </c>
    </row>
    <row r="13">
      <c r="A13" s="17" t="inlineStr">
        <is>
          <t>Candidate 2</t>
        </is>
      </c>
      <c r="B13" s="14" t="inlineStr">
        <is>
          <t>Region-specific tier schedules</t>
        </is>
      </c>
      <c r="C13" s="15" t="n"/>
      <c r="D13" s="15" t="n"/>
      <c r="E13" s="15" t="n"/>
      <c r="F13" s="15" t="n"/>
      <c r="G13" s="15" t="n"/>
      <c r="H13" s="15" t="n"/>
      <c r="I13" s="16">
        <f>IF(COUNTA(C13:H13)=0,"",IF(COUNTIF(C13:H13,"Does not meet")&gt;0,"Does not meet",IF(COUNTIF(C13:H13,"Partially meets")&gt;0,"Partially meets","Meets")))</f>
        <v/>
      </c>
      <c r="J13" s="16">
        <f>IF(COUNTA(C13:H13)=0,"",COUNTIF(C13:H13,"Does not meet")*2+COUNTIF(C13:H13,"Partially meets"))</f>
        <v/>
      </c>
    </row>
    <row r="14">
      <c r="A14" s="17" t="inlineStr">
        <is>
          <t>Candidate 3</t>
        </is>
      </c>
      <c r="B14" s="14" t="inlineStr">
        <is>
          <t>Hybrid tier + legacy contract bridge</t>
        </is>
      </c>
      <c r="C14" s="15" t="n"/>
      <c r="D14" s="15" t="n"/>
      <c r="E14" s="15" t="n"/>
      <c r="F14" s="15" t="n"/>
      <c r="G14" s="15" t="n"/>
      <c r="H14" s="15" t="n"/>
      <c r="I14" s="16">
        <f>IF(COUNTA(C14:H14)=0,"",IF(COUNTIF(C14:H14,"Does not meet")&gt;0,"Does not meet",IF(COUNTIF(C14:H14,"Partially meets")&gt;0,"Partially meets","Meets")))</f>
        <v/>
      </c>
      <c r="J14" s="16">
        <f>IF(COUNTA(C14:H14)=0,"",COUNTIF(C14:H14,"Does not meet")*2+COUNTIF(C14:H14,"Partially meets"))</f>
        <v/>
      </c>
    </row>
    <row r="15"/>
    <row r="16">
      <c r="A16" s="18" t="inlineStr">
        <is>
          <t>Calculated rule: a candidate must have status “Meets”; among those, the lowest operational-exceptions score is preferred.</t>
        </is>
      </c>
    </row>
    <row r="17"/>
    <row r="18">
      <c r="A18" s="9" t="inlineStr">
        <is>
          <t>Entry fields remain unlocked under sheet protection; calculated status and score cells are locked.</t>
        </is>
      </c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6">
    <mergeCell ref="A1:J1"/>
    <mergeCell ref="A2:J2"/>
    <mergeCell ref="A18:J18"/>
    <mergeCell ref="A3:J3"/>
    <mergeCell ref="A16:J16"/>
    <mergeCell ref="A10:J10"/>
  </mergeCells>
  <conditionalFormatting sqref="I12:I14">
    <cfRule type="expression" priority="1" dxfId="0">
      <formula>I12="Meets"</formula>
    </cfRule>
    <cfRule type="expression" priority="2" dxfId="1">
      <formula>I12="Partially meets"</formula>
    </cfRule>
    <cfRule type="expression" priority="3" dxfId="2">
      <formula>I12="Does not meet"</formula>
    </cfRule>
  </conditionalFormatting>
  <conditionalFormatting sqref="J12:J14">
    <cfRule type="expression" priority="4" dxfId="0">
      <formula>J12="0"</formula>
    </cfRule>
  </conditionalFormatting>
  <dataValidations count="2">
    <dataValidation sqref="C12:H14" showDropDown="0" showInputMessage="0" showErrorMessage="0" allowBlank="1" errorTitle="Status required" error="Choose a supplied status." promptTitle="Controlled vocabulary" prompt="Select one supplied status." type="list">
      <formula1>"Meets,Partially meets,Does not meet"</formula1>
    </dataValidation>
    <dataValidation sqref="B5:I8" showDropDown="0" showInputMessage="0" showErrorMessage="0" allowBlank="1" type="list">
      <formula1>"Meets,Partially meets,Does not meet"</formula1>
    </dataValidation>
  </dataValidations>
  <pageMargins left="0.25" right="0.25" top="0.35" bottom="0.35" header="0.15" footer="0.15"/>
  <pageSetup orientation="landscape" paperSize="9" fitToHeight="1" fitToWidth="1"/>
  <headerFooter>
    <oddHeader/>
    <oddFooter>&amp;C&amp;8 Tillingford pricing design |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38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0" t="inlineStr">
        <is>
          <t>Recommendation — approval summary</t>
        </is>
      </c>
    </row>
    <row r="2" ht="24" customHeight="1"/>
    <row r="3" ht="24" customHeight="1">
      <c r="A3" s="12" t="inlineStr">
        <is>
          <t>Approval summary</t>
        </is>
      </c>
      <c r="C3" s="12" t="inlineStr">
        <is>
          <t>Recommended structure</t>
        </is>
      </c>
    </row>
    <row r="4" ht="30" customHeight="1">
      <c r="A4" s="3" t="inlineStr">
        <is>
          <t>Review the calculated result, then record the meeting decision and rationale below.</t>
        </is>
      </c>
      <c r="C4" s="19">
        <f>IF(COUNTIF(Assessment!$I$12:$I$14,"Meets")=0,"",INDEX(Assessment!$B$12:$B$14,MATCH(MINIFS(Assessment!$J$12:$J$14,Assessment!$I$12:$I$14,"Meets"),Assessment!$J$12:$J$14,0)))</f>
        <v/>
      </c>
    </row>
    <row r="5" ht="30" customHeight="1"/>
    <row r="6" ht="24" customHeight="1"/>
    <row r="7" ht="24" customHeight="1">
      <c r="A7" s="12" t="inlineStr">
        <is>
          <t>Candidate comparison / rejection rationale</t>
        </is>
      </c>
    </row>
    <row r="8" ht="24" customHeight="1">
      <c r="A8" s="20" t="inlineStr">
        <is>
          <t>Candidate structure</t>
        </is>
      </c>
      <c r="B8" s="20" t="inlineStr">
        <is>
          <t>Assessment status</t>
        </is>
      </c>
      <c r="C8" s="20" t="inlineStr">
        <is>
          <t>Operational exceptions</t>
        </is>
      </c>
      <c r="D8" s="20" t="inlineStr">
        <is>
          <t>Why selected / rejected</t>
        </is>
      </c>
    </row>
    <row r="9" ht="24" customHeight="1">
      <c r="A9" s="16">
        <f>Assessment!B12</f>
        <v/>
      </c>
      <c r="B9" s="16">
        <f>Assessment!I12</f>
        <v/>
      </c>
      <c r="C9" s="16">
        <f>Assessment!J12</f>
        <v/>
      </c>
      <c r="D9" s="21" t="n"/>
    </row>
    <row r="10" ht="24" customHeight="1">
      <c r="A10" s="16">
        <f>Assessment!B13</f>
        <v/>
      </c>
      <c r="B10" s="16">
        <f>Assessment!I13</f>
        <v/>
      </c>
      <c r="C10" s="16">
        <f>Assessment!J13</f>
        <v/>
      </c>
      <c r="D10" s="21" t="n"/>
    </row>
    <row r="11" ht="24" customHeight="1">
      <c r="A11" s="16">
        <f>Assessment!B14</f>
        <v/>
      </c>
      <c r="B11" s="16">
        <f>Assessment!I14</f>
        <v/>
      </c>
      <c r="C11" s="16">
        <f>Assessment!J14</f>
        <v/>
      </c>
      <c r="D11" s="21" t="n"/>
    </row>
    <row r="12" ht="24" customHeight="1"/>
    <row r="13" ht="24" customHeight="1">
      <c r="A13" s="12" t="inlineStr">
        <is>
          <t>Region migration notes</t>
        </is>
      </c>
      <c r="C13" s="12" t="inlineStr">
        <is>
          <t>Reviewer</t>
        </is>
      </c>
    </row>
    <row r="14" ht="28" customHeight="1">
      <c r="A14" s="21" t="n"/>
      <c r="C14" s="21" t="n"/>
    </row>
    <row r="15" ht="28" customHeight="1"/>
    <row r="16" ht="24" customHeight="1">
      <c r="A16" s="12" t="inlineStr">
        <is>
          <t>Approval decision</t>
        </is>
      </c>
      <c r="B16" s="21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mergeCells count="11">
    <mergeCell ref="A1:H1"/>
    <mergeCell ref="A4:B5"/>
    <mergeCell ref="A7:H7"/>
    <mergeCell ref="C13:H13"/>
    <mergeCell ref="C14:H15"/>
    <mergeCell ref="A13:B13"/>
    <mergeCell ref="B16:H16"/>
    <mergeCell ref="A14:B15"/>
    <mergeCell ref="C3:H3"/>
    <mergeCell ref="C4:H5"/>
    <mergeCell ref="A3:B3"/>
  </mergeCells>
  <pageMargins left="0.25" right="0.25" top="0.35" bottom="0.35" header="0.15" footer="0.15"/>
  <pageSetup orientation="landscape" paperSize="9" fitToHeight="1" fitToWidth="1"/>
  <headerFooter>
    <oddHeader/>
    <oddFooter>&amp;C&amp;8 Tillingford pricing design |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2026-08-20T18:40:08Z</dcterms:created>
  <dcterms:modified xmlns:dcterms="http://purl.org/dc/terms/" xmlns:xsi="http://www.w3.org/2001/XMLSchema-instance" xsi:type="dcterms:W3CDTF">2026-08-20T18:40:08Z</dcterms:modified>
</cp:coreProperties>
</file>