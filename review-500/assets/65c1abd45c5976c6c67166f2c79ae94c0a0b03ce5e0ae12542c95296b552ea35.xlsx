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Option Assessment" sheetId="3" state="visible" r:id="rId3"/>
    <sheet xmlns:r="http://schemas.openxmlformats.org/officeDocument/2006/relationships" name="Flow &amp; Controls" sheetId="4" state="visible" r:id="rId4"/>
    <sheet xmlns:r="http://schemas.openxmlformats.org/officeDocument/2006/relationships" name="Decision Key" sheetId="5" state="visible" r:id="rId5"/>
  </sheets>
  <definedNames>
    <definedName name="CurrentDemand">'Inputs'!$C$8</definedName>
    <definedName name="LaunchDemand">'Inputs'!$D$8</definedName>
    <definedName name="OneWayMiles">'Inputs'!$C$11</definedName>
    <definedName name="VehicleCapacity">'Inputs'!$C$12</definedName>
    <definedName name="CurrentTruckLoops">'Inputs'!$C$22</definedName>
    <definedName name="LaunchTruckLoops">'Inputs'!$D$22</definedName>
    <definedName name="CurrentTransportCost">'Inputs'!$C$23</definedName>
    <definedName name="LaunchTransportCost">'Inputs'!$D$23</definedName>
    <definedName name="TotalDecisionWeight">'Option Assessment'!$B$11</definedName>
    <definedName name="DecisionRecommendation">'Decision Key'!$A$5</definedName>
    <definedName name="_xlnm.Print_Titles" localSheetId="0">'Read Me'!$4:$4</definedName>
    <definedName name="_xlnm.Print_Titles" localSheetId="1">'Inputs'!$7:$7</definedName>
    <definedName name="_xlnm.Print_Titles" localSheetId="2">'Option Assessment'!$5:$5</definedName>
    <definedName name="_xlnm.Print_Titles" localSheetId="3">'Flow &amp; Controls'!$6:$6</definedName>
    <definedName name="_xlnm.Print_Titles" localSheetId="4">'Decision Key'!$4:$4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$#,##0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3" borderId="1" applyAlignment="1" applyProtection="1" pivotButton="0" quotePrefix="0" xfId="0">
      <alignment vertical="top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64" fontId="0" fillId="3" borderId="1" applyAlignment="1" applyProtection="1" pivotButton="0" quotePrefix="0" xfId="0">
      <alignment vertical="top" wrapText="1"/>
      <protection locked="0" hidden="0"/>
    </xf>
    <xf numFmtId="9" fontId="0" fillId="3" borderId="1" applyAlignment="1" applyProtection="1" pivotButton="0" quotePrefix="0" xfId="0">
      <alignment vertical="top" wrapText="1"/>
      <protection locked="0" hidden="0"/>
    </xf>
    <xf numFmtId="165" fontId="0" fillId="4" borderId="1" applyAlignment="1" pivotButton="0" quotePrefix="0" xfId="0">
      <alignment vertical="top" wrapText="1"/>
    </xf>
    <xf numFmtId="166" fontId="0" fillId="4" borderId="1" applyAlignment="1" pivotButton="0" quotePrefix="0" xfId="0">
      <alignment vertical="top" wrapText="1"/>
    </xf>
    <xf numFmtId="9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OperatingInputs" displayName="tblOperatingInputs" ref="A6:E17" headerRowCount="1">
  <autoFilter ref="A6:E17"/>
  <tableColumns count="5">
    <tableColumn id="1" name="Operating input"/>
    <tableColumn id="2" name="Unit"/>
    <tableColumn id="3" name="Current state"/>
    <tableColumn id="4" name="Launch state"/>
    <tableColumn id="5" name="Controlled source / us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PeriodComparison" displayName="tblPeriodComparison" ref="A20:G23" headerRowCount="1">
  <autoFilter ref="A20:G23"/>
  <tableColumns count="7">
    <tableColumn id="1" name="Metric"/>
    <tableColumn id="2" name="Unit"/>
    <tableColumn id="3" name="Current state"/>
    <tableColumn id="4" name="Launch state"/>
    <tableColumn id="5" name="Absolute change"/>
    <tableColumn id="6" name="% change"/>
    <tableColumn id="7" name="Material change?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Criteria" displayName="tblCriteria" ref="A5:B10" headerRowCount="1">
  <autoFilter ref="A5:B10"/>
  <tableColumns count="2">
    <tableColumn id="1" name="Criterion"/>
    <tableColumn id="2" name="Weight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OptionAssessment" displayName="tblOptionAssessment" ref="A13:S16" headerRowCount="1">
  <autoFilter ref="A13:S16"/>
  <tableColumns count="19">
    <tableColumn id="1" name="Alternative"/>
    <tableColumn id="2" name="Lot gate"/>
    <tableColumn id="3" name="Dock gate"/>
    <tableColumn id="4" name="ERP gate"/>
    <tableColumn id="5" name="Feasibility"/>
    <tableColumn id="6" name="Cost rating"/>
    <tableColumn id="7" name="Trace rating"/>
    <tableColumn id="8" name="ERP rating"/>
    <tableColumn id="9" name="Dock rating"/>
    <tableColumn id="10" name="Records rating"/>
    <tableColumn id="11" name="Cost weighted"/>
    <tableColumn id="12" name="Trace weighted"/>
    <tableColumn id="13" name="ERP weighted"/>
    <tableColumn id="14" name="Dock weighted"/>
    <tableColumn id="15" name="Records weighted"/>
    <tableColumn id="16" name="Policy score"/>
    <tableColumn id="17" name="Tie trace"/>
    <tableColumn id="18" name="Tie cost"/>
    <tableColumn id="19" name="Recommendation rank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FlowControls" displayName="tblFlowControls" ref="A6:J15" headerRowCount="1">
  <autoFilter ref="A6:J15"/>
  <tableColumns count="10">
    <tableColumn id="1" name="Event"/>
    <tableColumn id="2" name="Direction"/>
    <tableColumn id="3" name="Transaction code"/>
    <tableColumn id="4" name="Physical movement / status"/>
    <tableColumn id="5" name="Custody after handoff"/>
    <tableColumn id="6" name="Control owner"/>
    <tableColumn id="7" name="Customer-lot control"/>
    <tableColumn id="8" name="Required record / evidence"/>
    <tableColumn id="9" name="Required control"/>
    <tableColumn id="10" name="ISO 9001 / Ohio basis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blRatingRationales" displayName="tblRatingRationales" ref="A18:D33" headerRowCount="1">
  <autoFilter ref="A18:D33"/>
  <tableColumns count="4">
    <tableColumn id="1" name="Alternative"/>
    <tableColumn id="2" name="Criterion"/>
    <tableColumn id="3" name="Rating"/>
    <tableColumn id="4" name="Source-grounded rational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29" customWidth="1" min="2" max="2"/>
    <col width="29" customWidth="1" min="3" max="3"/>
    <col width="26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5" customHeight="1">
      <c r="A1" s="1" t="inlineStr">
        <is>
          <t>Fallowbrook | Interplant flow and transaction model</t>
        </is>
      </c>
    </row>
    <row r="2"/>
    <row r="3">
      <c r="A3" s="2" t="inlineStr">
        <is>
          <t>Use of this model</t>
        </is>
      </c>
      <c r="B3" s="2" t="inlineStr">
        <is>
          <t>Operating instruction</t>
        </is>
      </c>
    </row>
    <row r="4">
      <c r="A4" s="3" t="inlineStr">
        <is>
          <t>1. Update assumptions</t>
        </is>
      </c>
      <c r="B4" s="3" t="inlineStr">
        <is>
          <t>Edit yellow, unlocked cells only. Keep source units and use the lists where a drop-down appears.</t>
        </is>
      </c>
      <c r="C4" s="4" t="n"/>
      <c r="D4" s="4" t="n"/>
      <c r="E4" s="4" t="n"/>
      <c r="F4" s="4" t="n"/>
      <c r="G4" s="4" t="n"/>
      <c r="H4" s="5" t="n"/>
    </row>
    <row r="5">
      <c r="A5" s="3" t="inlineStr">
        <is>
          <t>2. Recalculate</t>
        </is>
      </c>
      <c r="B5" s="3" t="inlineStr">
        <is>
          <t>Open in Excel or LibreOffice and recalculate. Blue cells are locked formulas or keyed outputs.</t>
        </is>
      </c>
      <c r="C5" s="4" t="n"/>
      <c r="D5" s="4" t="n"/>
      <c r="E5" s="4" t="n"/>
      <c r="F5" s="4" t="n"/>
      <c r="G5" s="4" t="n"/>
      <c r="H5" s="5" t="n"/>
    </row>
    <row r="6">
      <c r="A6" s="3" t="inlineStr">
        <is>
          <t>3. Read warnings</t>
        </is>
      </c>
      <c r="B6" s="3" t="inlineStr">
        <is>
          <t>ELIGIBLE is required before a score can rank for recommendation. “Material” flags mean the stated threshold is met.</t>
        </is>
      </c>
      <c r="C6" s="4" t="n"/>
      <c r="D6" s="4" t="n"/>
      <c r="E6" s="4" t="n"/>
      <c r="F6" s="4" t="n"/>
      <c r="G6" s="4" t="n"/>
      <c r="H6" s="5" t="n"/>
    </row>
    <row r="7">
      <c r="A7" s="3" t="inlineStr">
        <is>
          <t>4. Check the flow</t>
        </is>
      </c>
      <c r="B7" s="3" t="inlineStr">
        <is>
          <t>Confirm appointments before release; no waiting or staging is allowed at the paint-cell dock.</t>
        </is>
      </c>
      <c r="C7" s="4" t="n"/>
      <c r="D7" s="4" t="n"/>
      <c r="E7" s="4" t="n"/>
      <c r="F7" s="4" t="n"/>
      <c r="G7" s="4" t="n"/>
      <c r="H7" s="5" t="n"/>
    </row>
    <row r="8">
      <c r="A8" s="3" t="inlineStr">
        <is>
          <t>5. Publish</t>
        </is>
      </c>
      <c r="B8" s="3" t="inlineStr">
        <is>
          <t>Check the Decision Key, then carry the same recommendation and figures into the plain-language brief.</t>
        </is>
      </c>
      <c r="C8" s="4" t="n"/>
      <c r="D8" s="4" t="n"/>
      <c r="E8" s="4" t="n"/>
      <c r="F8" s="4" t="n"/>
      <c r="G8" s="4" t="n"/>
      <c r="H8" s="5" t="n"/>
    </row>
    <row r="9">
      <c r="A9" s="3" t="inlineStr">
        <is>
          <t>Legend</t>
        </is>
      </c>
      <c r="B9" s="6" t="inlineStr">
        <is>
          <t>Yellow = user-editable input (unlocked). Blue = calculated/protected output (locked).</t>
        </is>
      </c>
      <c r="C9" s="7" t="n"/>
      <c r="D9" s="7" t="n"/>
      <c r="E9" s="7" t="n"/>
      <c r="F9" s="7" t="n"/>
      <c r="G9" s="7" t="n"/>
      <c r="H9" s="8" t="n"/>
    </row>
    <row r="10"/>
    <row r="11"/>
    <row r="12">
      <c r="A12" t="inlineStr">
        <is>
          <t>Model scope</t>
        </is>
      </c>
      <c r="B12" t="inlineStr">
        <is>
          <t>Ohio fabrication plant ↔ leased paint cell, controlled requirements dated 15 January 2025.</t>
        </is>
      </c>
    </row>
    <row r="13"/>
    <row r="14">
      <c r="A14" t="inlineStr">
        <is>
          <t>Terminology reminder</t>
        </is>
      </c>
      <c r="B14" t="inlineStr">
        <is>
          <t>Physical location and ERP configuration are deliberately assessed separately in the Decision Key.</t>
        </is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/>
  <mergeCells count="9">
    <mergeCell ref="B8:H8"/>
    <mergeCell ref="B14:H14"/>
    <mergeCell ref="B9:H9"/>
    <mergeCell ref="B4:H4"/>
    <mergeCell ref="B12:H12"/>
    <mergeCell ref="B6:H6"/>
    <mergeCell ref="B7:H7"/>
    <mergeCell ref="A1:H1"/>
    <mergeCell ref="B5:H5"/>
  </mergeCells>
  <pageMargins left="0.25" right="0.25" top="0.45" bottom="0.4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18" customWidth="1" min="3" max="3"/>
    <col width="18" customWidth="1" min="4" max="4"/>
    <col width="18" customWidth="1" min="5" max="5"/>
    <col width="16" customWidth="1" min="6" max="6"/>
  </cols>
  <sheetData>
    <row r="1" ht="25" customHeight="1">
      <c r="A1" s="1" t="inlineStr">
        <is>
          <t>Inputs and period comparison</t>
        </is>
      </c>
    </row>
    <row r="2"/>
    <row r="3">
      <c r="A3" s="2" t="inlineStr">
        <is>
          <t>Legend</t>
        </is>
      </c>
      <c r="B3" s="6" t="inlineStr">
        <is>
          <t>Yellow: user-editable / unlocked</t>
        </is>
      </c>
      <c r="C3" s="9" t="inlineStr">
        <is>
          <t>Blue: formula output / locked</t>
        </is>
      </c>
    </row>
    <row r="4"/>
    <row r="5"/>
    <row r="6">
      <c r="A6" s="2" t="inlineStr">
        <is>
          <t>Operating input</t>
        </is>
      </c>
      <c r="B6" s="2" t="inlineStr">
        <is>
          <t>Unit</t>
        </is>
      </c>
      <c r="C6" s="2" t="inlineStr">
        <is>
          <t>Current state</t>
        </is>
      </c>
      <c r="D6" s="2" t="inlineStr">
        <is>
          <t>Launch state</t>
        </is>
      </c>
      <c r="E6" s="2" t="inlineStr">
        <is>
          <t>Controlled source / use</t>
        </is>
      </c>
    </row>
    <row r="7">
      <c r="A7" s="3" t="inlineStr">
        <is>
          <t>Period identity</t>
        </is>
      </c>
      <c r="B7" s="3" t="inlineStr">
        <is>
          <t>text</t>
        </is>
      </c>
      <c r="C7" s="6" t="inlineStr"/>
      <c r="D7" s="6" t="inlineStr"/>
      <c r="E7" s="3" t="inlineStr">
        <is>
          <t>Source-defined comparison periods</t>
        </is>
      </c>
    </row>
    <row r="8">
      <c r="A8" s="3" t="inlineStr">
        <is>
          <t>Paint-bound demand</t>
        </is>
      </c>
      <c r="B8" s="3" t="inlineStr">
        <is>
          <t>assemblies/week</t>
        </is>
      </c>
      <c r="C8" s="6" t="inlineStr"/>
      <c r="D8" s="6" t="inlineStr"/>
      <c r="E8" s="3" t="inlineStr">
        <is>
          <t>Demand used for truck-loop calculation</t>
        </is>
      </c>
    </row>
    <row r="9">
      <c r="A9" s="3" t="inlineStr">
        <is>
          <t>Customer lot unit</t>
        </is>
      </c>
      <c r="B9" s="3" t="inlineStr">
        <is>
          <t>assemblies</t>
        </is>
      </c>
      <c r="C9" s="6" t="inlineStr"/>
      <c r="D9" s="6" t="inlineStr"/>
      <c r="E9" s="3" t="inlineStr">
        <is>
          <t>Lot remains the customer lot</t>
        </is>
      </c>
    </row>
    <row r="10">
      <c r="A10" s="3" t="inlineStr">
        <is>
          <t>Shipment frequency</t>
        </is>
      </c>
      <c r="B10" s="3" t="inlineStr">
        <is>
          <t>loops/week</t>
        </is>
      </c>
      <c r="C10" s="6" t="inlineStr"/>
      <c r="D10" s="6" t="inlineStr"/>
      <c r="E10" s="3" t="inlineStr">
        <is>
          <t>Appointment-controlled</t>
        </is>
      </c>
    </row>
    <row r="11">
      <c r="A11" s="3" t="inlineStr">
        <is>
          <t>One-way plant-to-cell distance</t>
        </is>
      </c>
      <c r="B11" s="3" t="inlineStr">
        <is>
          <t>miles</t>
        </is>
      </c>
      <c r="C11" s="6" t="inlineStr"/>
      <c r="D11" s="3" t="inlineStr"/>
      <c r="E11" s="3" t="inlineStr">
        <is>
          <t>One-way controlled route distance</t>
        </is>
      </c>
    </row>
    <row r="12">
      <c r="A12" s="3" t="inlineStr">
        <is>
          <t>Usable vehicle capacity</t>
        </is>
      </c>
      <c r="B12" s="3" t="inlineStr">
        <is>
          <t>assemblies/loop</t>
        </is>
      </c>
      <c r="C12" s="6" t="inlineStr"/>
      <c r="D12" s="3" t="inlineStr"/>
      <c r="E12" s="3" t="inlineStr">
        <is>
          <t>Usable capacity, not nominal capacity</t>
        </is>
      </c>
    </row>
    <row r="13">
      <c r="A13" s="3" t="inlineStr">
        <is>
          <t>Variable transport rate</t>
        </is>
      </c>
      <c r="B13" s="3" t="inlineStr">
        <is>
          <t>$/mile</t>
        </is>
      </c>
      <c r="C13" s="6" t="inlineStr"/>
      <c r="D13" s="10" t="inlineStr"/>
      <c r="E13" s="3" t="inlineStr">
        <is>
          <t>Applied to round-trip miles</t>
        </is>
      </c>
    </row>
    <row r="14">
      <c r="A14" s="3" t="inlineStr">
        <is>
          <t>Driver component</t>
        </is>
      </c>
      <c r="B14" s="3" t="inlineStr">
        <is>
          <t>$/loop</t>
        </is>
      </c>
      <c r="C14" s="6" t="inlineStr"/>
      <c r="D14" s="10" t="inlineStr"/>
      <c r="E14" s="3" t="inlineStr">
        <is>
          <t>Per completed loop</t>
        </is>
      </c>
    </row>
    <row r="15">
      <c r="A15" s="3" t="inlineStr">
        <is>
          <t>Handling component</t>
        </is>
      </c>
      <c r="B15" s="3" t="inlineStr">
        <is>
          <t>$/loop</t>
        </is>
      </c>
      <c r="C15" s="6" t="inlineStr"/>
      <c r="D15" s="10" t="inlineStr"/>
      <c r="E15" s="3" t="inlineStr">
        <is>
          <t>Per completed loop</t>
        </is>
      </c>
    </row>
    <row r="16">
      <c r="A16" s="3" t="inlineStr">
        <is>
          <t>Material % threshold</t>
        </is>
      </c>
      <c r="B16" s="3" t="inlineStr">
        <is>
          <t>%</t>
        </is>
      </c>
      <c r="C16" s="11" t="inlineStr"/>
      <c r="D16" s="10" t="inlineStr"/>
      <c r="E16" s="3" t="inlineStr">
        <is>
          <t>Absolute percentage-change trigger</t>
        </is>
      </c>
    </row>
    <row r="17">
      <c r="A17" s="3" t="inlineStr">
        <is>
          <t>Material loops threshold</t>
        </is>
      </c>
      <c r="B17" s="3" t="inlineStr">
        <is>
          <t>loops</t>
        </is>
      </c>
      <c r="C17" s="12" t="inlineStr"/>
      <c r="D17" s="10" t="inlineStr"/>
      <c r="E17" s="3" t="inlineStr">
        <is>
          <t>Absolute loop-change trigger</t>
        </is>
      </c>
    </row>
    <row r="18"/>
    <row r="19"/>
    <row r="20">
      <c r="A20" s="2" t="inlineStr">
        <is>
          <t>Metric</t>
        </is>
      </c>
      <c r="B20" s="2" t="inlineStr">
        <is>
          <t>Unit</t>
        </is>
      </c>
      <c r="C20" s="2" t="inlineStr">
        <is>
          <t>Current state</t>
        </is>
      </c>
      <c r="D20" s="2" t="inlineStr">
        <is>
          <t>Launch state</t>
        </is>
      </c>
      <c r="E20" s="2" t="inlineStr">
        <is>
          <t>Absolute change</t>
        </is>
      </c>
      <c r="F20" s="2" t="inlineStr">
        <is>
          <t>% change</t>
        </is>
      </c>
      <c r="G20" s="2" t="inlineStr">
        <is>
          <t>Material change?</t>
        </is>
      </c>
    </row>
    <row r="21">
      <c r="A21" s="3" t="inlineStr">
        <is>
          <t>Paint-bound demand</t>
        </is>
      </c>
      <c r="B21" s="3" t="inlineStr">
        <is>
          <t>assemblies/week</t>
        </is>
      </c>
      <c r="C21" s="9">
        <f>C8</f>
        <v/>
      </c>
      <c r="D21" s="9">
        <f>D8</f>
        <v/>
      </c>
      <c r="E21" s="9">
        <f>D21-C21</f>
        <v/>
      </c>
      <c r="F21" s="13">
        <f>IFERROR(E21/C21,0)</f>
        <v/>
      </c>
      <c r="G21" s="9">
        <f>IF(ABS(F21)&gt;=$C$16,"MATERIAL","No")</f>
        <v/>
      </c>
    </row>
    <row r="22">
      <c r="A22" s="3" t="inlineStr">
        <is>
          <t>Required truck loops</t>
        </is>
      </c>
      <c r="B22" s="3" t="inlineStr">
        <is>
          <t>loops/week</t>
        </is>
      </c>
      <c r="C22" s="9">
        <f>CEILING(C8/$C$12,1)</f>
        <v/>
      </c>
      <c r="D22" s="9">
        <f>CEILING(D8/$C$12,1)</f>
        <v/>
      </c>
      <c r="E22" s="9">
        <f>D22-C22</f>
        <v/>
      </c>
      <c r="F22" s="13">
        <f>IFERROR(E22/C22,0)</f>
        <v/>
      </c>
      <c r="G22" s="9">
        <f>IF(ABS(E22)&gt;=$C$17,"MATERIAL","No")</f>
        <v/>
      </c>
    </row>
    <row r="23">
      <c r="A23" s="3" t="inlineStr">
        <is>
          <t>Transport cost</t>
        </is>
      </c>
      <c r="B23" s="3" t="inlineStr">
        <is>
          <t>$/week</t>
        </is>
      </c>
      <c r="C23" s="14">
        <f>C22*(($C$11*2*$C$13)+$C$14+$C$15)</f>
        <v/>
      </c>
      <c r="D23" s="14">
        <f>D22*(($C$11*2*$C$13)+$C$14+$C$15)</f>
        <v/>
      </c>
      <c r="E23" s="14">
        <f>D23-C23</f>
        <v/>
      </c>
      <c r="F23" s="13">
        <f>IFERROR(E23/C23,0)</f>
        <v/>
      </c>
      <c r="G23" s="9">
        <f>IF(ABS(F23)&gt;=$C$16,"MATERIAL","No")</f>
        <v/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/>
  <mergeCells count="1">
    <mergeCell ref="A1:F1"/>
  </mergeCells>
  <pageMargins left="0.25" right="0.25" top="0.45" bottom="0.45" header="0.5" footer="0.5"/>
  <pageSetup orientation="landscape" fitToHeight="0" fitToWidth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  <col width="12" customWidth="1" min="4" max="4"/>
    <col width="13" customWidth="1" min="5" max="5"/>
    <col width="10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3" customWidth="1" min="12" max="12"/>
    <col width="12" customWidth="1" min="13" max="13"/>
    <col width="12" customWidth="1" min="14" max="14"/>
    <col width="12" customWidth="1" min="15" max="15"/>
    <col width="13" customWidth="1" min="16" max="16"/>
    <col width="10" customWidth="1" min="17" max="17"/>
    <col width="10" customWidth="1" min="18" max="18"/>
    <col width="11" customWidth="1" min="19" max="19"/>
  </cols>
  <sheetData>
    <row r="1" ht="25" customHeight="1">
      <c r="A1" s="1" t="inlineStr">
        <is>
          <t>Alternative assessment — controlled policy</t>
        </is>
      </c>
    </row>
    <row r="2"/>
    <row r="3">
      <c r="A3" s="2" t="inlineStr">
        <is>
          <t>Policy note</t>
        </is>
      </c>
      <c r="B3" s="9" t="inlineStr">
        <is>
          <t>Mandatory gates: unbroken customer lot, appointment/direct handoff at the one dock, and ERP capability ready by launch. Tie-break: higher traceability rating, then higher transport-cost rating.</t>
        </is>
      </c>
    </row>
    <row r="4"/>
    <row r="5">
      <c r="A5" s="2" t="inlineStr">
        <is>
          <t>Criterion</t>
        </is>
      </c>
      <c r="B5" s="2" t="inlineStr">
        <is>
          <t>Weight</t>
        </is>
      </c>
    </row>
    <row r="6">
      <c r="A6" s="3" t="inlineStr">
        <is>
          <t>Transport cost</t>
        </is>
      </c>
      <c r="B6" s="6" t="inlineStr"/>
    </row>
    <row r="7">
      <c r="A7" s="3" t="inlineStr">
        <is>
          <t>Customer-lot traceability</t>
        </is>
      </c>
      <c r="B7" s="6" t="inlineStr"/>
    </row>
    <row r="8">
      <c r="A8" s="3" t="inlineStr">
        <is>
          <t>ERP launch readiness</t>
        </is>
      </c>
      <c r="B8" s="6" t="inlineStr"/>
    </row>
    <row r="9">
      <c r="A9" s="3" t="inlineStr">
        <is>
          <t>One-dock operating control</t>
        </is>
      </c>
      <c r="B9" s="6" t="inlineStr"/>
    </row>
    <row r="10">
      <c r="A10" s="3" t="inlineStr">
        <is>
          <t>Custody &amp; records</t>
        </is>
      </c>
      <c r="B10" s="6" t="inlineStr"/>
    </row>
    <row r="11">
      <c r="A11" s="2" t="inlineStr">
        <is>
          <t>Total weight</t>
        </is>
      </c>
      <c r="B11" s="15">
        <f>SUM(B6:B10)</f>
        <v/>
      </c>
    </row>
    <row r="12"/>
    <row r="13">
      <c r="A13" s="2" t="inlineStr">
        <is>
          <t>Alternative</t>
        </is>
      </c>
      <c r="B13" s="2" t="inlineStr">
        <is>
          <t>Lot gate</t>
        </is>
      </c>
      <c r="C13" s="2" t="inlineStr">
        <is>
          <t>Dock gate</t>
        </is>
      </c>
      <c r="D13" s="2" t="inlineStr">
        <is>
          <t>ERP gate</t>
        </is>
      </c>
      <c r="E13" s="2" t="inlineStr">
        <is>
          <t>Feasibility</t>
        </is>
      </c>
      <c r="F13" s="2" t="inlineStr">
        <is>
          <t>Cost rating</t>
        </is>
      </c>
      <c r="G13" s="2" t="inlineStr">
        <is>
          <t>Trace rating</t>
        </is>
      </c>
      <c r="H13" s="2" t="inlineStr">
        <is>
          <t>ERP rating</t>
        </is>
      </c>
      <c r="I13" s="2" t="inlineStr">
        <is>
          <t>Dock rating</t>
        </is>
      </c>
      <c r="J13" s="2" t="inlineStr">
        <is>
          <t>Records rating</t>
        </is>
      </c>
      <c r="K13" s="2" t="inlineStr">
        <is>
          <t>Cost weighted</t>
        </is>
      </c>
      <c r="L13" s="2" t="inlineStr">
        <is>
          <t>Trace weighted</t>
        </is>
      </c>
      <c r="M13" s="2" t="inlineStr">
        <is>
          <t>ERP weighted</t>
        </is>
      </c>
      <c r="N13" s="2" t="inlineStr">
        <is>
          <t>Dock weighted</t>
        </is>
      </c>
      <c r="O13" s="2" t="inlineStr">
        <is>
          <t>Records weighted</t>
        </is>
      </c>
      <c r="P13" s="2" t="inlineStr">
        <is>
          <t>Policy score</t>
        </is>
      </c>
      <c r="Q13" s="2" t="inlineStr">
        <is>
          <t>Tie trace</t>
        </is>
      </c>
      <c r="R13" s="2" t="inlineStr">
        <is>
          <t>Tie cost</t>
        </is>
      </c>
      <c r="S13" s="2" t="inlineStr">
        <is>
          <t>Recommendation rank</t>
        </is>
      </c>
    </row>
    <row r="14">
      <c r="A14" s="6" t="inlineStr">
        <is>
          <t>Remote warehouse within current ERP site</t>
        </is>
      </c>
      <c r="B14" s="6" t="inlineStr"/>
      <c r="C14" s="6" t="inlineStr"/>
      <c r="D14" s="6" t="inlineStr"/>
      <c r="E14" s="9">
        <f>IF(AND(B14="YES",C14="YES",D14="YES"),"ELIGIBLE","INELIGIBLE")</f>
        <v/>
      </c>
      <c r="F14" s="9" t="inlineStr"/>
      <c r="G14" s="9" t="inlineStr"/>
      <c r="H14" s="9" t="inlineStr"/>
      <c r="I14" s="9" t="inlineStr"/>
      <c r="J14" s="9" t="inlineStr"/>
      <c r="K14" s="16">
        <f>F14*$B$6</f>
        <v/>
      </c>
      <c r="L14" s="16">
        <f>G14*$B$7</f>
        <v/>
      </c>
      <c r="M14" s="16">
        <f>H14*$B$8</f>
        <v/>
      </c>
      <c r="N14" s="16">
        <f>I14*$B$9</f>
        <v/>
      </c>
      <c r="O14" s="16">
        <f>J14*$B$10</f>
        <v/>
      </c>
      <c r="P14" s="16">
        <f>SUM(K14:O14)</f>
        <v/>
      </c>
      <c r="Q14" s="9">
        <f>G14</f>
        <v/>
      </c>
      <c r="R14" s="9">
        <f>F14</f>
        <v/>
      </c>
      <c r="S14" s="9">
        <f>IF(E14="ELIGIBLE",1+COUNTIFS($E$14:$E$16,"ELIGIBLE",$P$14:$P$16,"&gt;"&amp;P14)+COUNTIFS($E$14:$E$16,"ELIGIBLE",$P$14:$P$16,P14,$Q$14:$Q$16,"&gt;"&amp;Q14)+COUNTIFS($E$14:$E$16,"ELIGIBLE",$P$14:$P$16,P14,$Q$14:$Q$16,Q14,$R$14:$R$16,"&gt;"&amp;R14),99)</f>
        <v/>
      </c>
    </row>
    <row r="15">
      <c r="A15" s="6" t="inlineStr">
        <is>
          <t>Licensed second ERP site</t>
        </is>
      </c>
      <c r="B15" s="6" t="inlineStr"/>
      <c r="C15" s="6" t="inlineStr"/>
      <c r="D15" s="6" t="inlineStr"/>
      <c r="E15" s="9">
        <f>IF(AND(B15="YES",C15="YES",D15="YES"),"ELIGIBLE","INELIGIBLE")</f>
        <v/>
      </c>
      <c r="F15" s="9" t="inlineStr"/>
      <c r="G15" s="9" t="inlineStr"/>
      <c r="H15" s="9" t="inlineStr"/>
      <c r="I15" s="9" t="inlineStr"/>
      <c r="J15" s="9" t="inlineStr"/>
      <c r="K15" s="16">
        <f>F15*$B$6</f>
        <v/>
      </c>
      <c r="L15" s="16">
        <f>G15*$B$7</f>
        <v/>
      </c>
      <c r="M15" s="16">
        <f>H15*$B$8</f>
        <v/>
      </c>
      <c r="N15" s="16">
        <f>I15*$B$9</f>
        <v/>
      </c>
      <c r="O15" s="16">
        <f>J15*$B$10</f>
        <v/>
      </c>
      <c r="P15" s="16">
        <f>SUM(K15:O15)</f>
        <v/>
      </c>
      <c r="Q15" s="9">
        <f>G15</f>
        <v/>
      </c>
      <c r="R15" s="9">
        <f>F15</f>
        <v/>
      </c>
      <c r="S15" s="9">
        <f>IF(E15="ELIGIBLE",1+COUNTIFS($E$14:$E$16,"ELIGIBLE",$P$14:$P$16,"&gt;"&amp;P15)+COUNTIFS($E$14:$E$16,"ELIGIBLE",$P$14:$P$16,P15,$Q$14:$Q$16,"&gt;"&amp;Q15)+COUNTIFS($E$14:$E$16,"ELIGIBLE",$P$14:$P$16,P15,$Q$14:$Q$16,Q15,$R$14:$R$16,"&gt;"&amp;R15),99)</f>
        <v/>
      </c>
    </row>
    <row r="16">
      <c r="A16" s="6" t="inlineStr">
        <is>
          <t>Outside-processing purchase order</t>
        </is>
      </c>
      <c r="B16" s="6" t="inlineStr"/>
      <c r="C16" s="6" t="inlineStr"/>
      <c r="D16" s="6" t="inlineStr"/>
      <c r="E16" s="9">
        <f>IF(AND(B16="YES",C16="YES",D16="YES"),"ELIGIBLE","INELIGIBLE")</f>
        <v/>
      </c>
      <c r="F16" s="9" t="inlineStr"/>
      <c r="G16" s="9" t="inlineStr"/>
      <c r="H16" s="9" t="inlineStr"/>
      <c r="I16" s="9" t="inlineStr"/>
      <c r="J16" s="9" t="inlineStr"/>
      <c r="K16" s="16">
        <f>F16*$B$6</f>
        <v/>
      </c>
      <c r="L16" s="16">
        <f>G16*$B$7</f>
        <v/>
      </c>
      <c r="M16" s="16">
        <f>H16*$B$8</f>
        <v/>
      </c>
      <c r="N16" s="16">
        <f>I16*$B$9</f>
        <v/>
      </c>
      <c r="O16" s="16">
        <f>J16*$B$10</f>
        <v/>
      </c>
      <c r="P16" s="16">
        <f>SUM(K16:O16)</f>
        <v/>
      </c>
      <c r="Q16" s="9">
        <f>G16</f>
        <v/>
      </c>
      <c r="R16" s="9">
        <f>F16</f>
        <v/>
      </c>
      <c r="S16" s="9">
        <f>IF(E16="ELIGIBLE",1+COUNTIFS($E$14:$E$16,"ELIGIBLE",$P$14:$P$16,"&gt;"&amp;P16)+COUNTIFS($E$14:$E$16,"ELIGIBLE",$P$14:$P$16,P16,$Q$14:$Q$16,"&gt;"&amp;Q16)+COUNTIFS($E$14:$E$16,"ELIGIBLE",$P$14:$P$16,P16,$Q$14:$Q$16,Q16,$R$14:$R$16,"&gt;"&amp;R16),99)</f>
        <v/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/>
  <mergeCells count="2">
    <mergeCell ref="B3:S3"/>
    <mergeCell ref="A1:S1"/>
  </mergeCells>
  <dataValidations count="3">
    <dataValidation sqref="A14:A16" showDropDown="0" showInputMessage="0" showErrorMessage="0" allowBlank="0" error="Select one of the three controlled alternatives." type="list">
      <formula1>"Remote warehouse within current ERP site,Licensed second ERP site,Outside-processing purchase order"</formula1>
    </dataValidation>
    <dataValidation sqref="E14:E16" showDropDown="0" showInputMessage="0" showErrorMessage="0" allowBlank="0" type="list">
      <formula1>"ELIGIBLE,INELIGIBLE"</formula1>
    </dataValidation>
    <dataValidation sqref="B14:D16" showDropDown="0" showInputMessage="0" showErrorMessage="0" allowBlank="0" type="list">
      <formula1>"YES,NO"</formula1>
    </dataValidation>
  </dataValidations>
  <pageMargins left="0.25" right="0.25" top="0.45" bottom="0.45" header="0.5" footer="0.5"/>
  <pageSetup orientation="landscape" fitToHeight="0" fitToWidth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6" customWidth="1" min="3" max="3"/>
    <col width="34" customWidth="1" min="4" max="4"/>
    <col width="19" customWidth="1" min="5" max="5"/>
    <col width="20" customWidth="1" min="6" max="6"/>
    <col width="28" customWidth="1" min="7" max="7"/>
    <col width="34" customWidth="1" min="8" max="8"/>
    <col width="38" customWidth="1" min="9" max="9"/>
    <col width="26" customWidth="1" min="10" max="10"/>
  </cols>
  <sheetData>
    <row r="1" ht="25" customHeight="1">
      <c r="A1" s="1" t="inlineStr">
        <is>
          <t>Physical flow, transactions and controls</t>
        </is>
      </c>
    </row>
    <row r="2"/>
    <row r="3"/>
    <row r="4"/>
    <row r="5"/>
    <row r="6">
      <c r="A6" s="2" t="inlineStr">
        <is>
          <t>Event</t>
        </is>
      </c>
      <c r="B6" s="2" t="inlineStr">
        <is>
          <t>Direction</t>
        </is>
      </c>
      <c r="C6" s="2" t="inlineStr">
        <is>
          <t>Transaction code</t>
        </is>
      </c>
      <c r="D6" s="2" t="inlineStr">
        <is>
          <t>Physical movement / status</t>
        </is>
      </c>
      <c r="E6" s="2" t="inlineStr">
        <is>
          <t>Custody after handoff</t>
        </is>
      </c>
      <c r="F6" s="2" t="inlineStr">
        <is>
          <t>Control owner</t>
        </is>
      </c>
      <c r="G6" s="2" t="inlineStr">
        <is>
          <t>Customer-lot control</t>
        </is>
      </c>
      <c r="H6" s="2" t="inlineStr">
        <is>
          <t>Required record / evidence</t>
        </is>
      </c>
      <c r="I6" s="2" t="inlineStr">
        <is>
          <t>Required control</t>
        </is>
      </c>
      <c r="J6" s="2" t="inlineStr">
        <is>
          <t>ISO 9001 / Ohio basis</t>
        </is>
      </c>
    </row>
    <row r="7">
      <c r="A7" s="3" t="inlineStr">
        <is>
          <t>Complete controlled flow events</t>
        </is>
      </c>
      <c r="B7" s="6" t="inlineStr">
        <is>
          <t>Outbound</t>
        </is>
      </c>
      <c r="C7" s="3" t="inlineStr"/>
      <c r="D7" s="3" t="inlineStr"/>
      <c r="E7" s="3" t="inlineStr"/>
      <c r="F7" s="6" t="inlineStr">
        <is>
          <t>Main plant clerk</t>
        </is>
      </c>
      <c r="G7" s="3" t="inlineStr"/>
      <c r="H7" s="3" t="inlineStr"/>
      <c r="I7" s="3" t="inlineStr"/>
      <c r="J7" s="3" t="inlineStr"/>
    </row>
    <row r="8">
      <c r="A8" s="3" t="inlineStr"/>
      <c r="B8" s="6" t="inlineStr">
        <is>
          <t>Outbound</t>
        </is>
      </c>
      <c r="C8" s="3" t="inlineStr"/>
      <c r="D8" s="3" t="inlineStr"/>
      <c r="E8" s="3" t="inlineStr"/>
      <c r="F8" s="6" t="inlineStr">
        <is>
          <t>Main plant clerk</t>
        </is>
      </c>
      <c r="G8" s="3" t="inlineStr"/>
      <c r="H8" s="3" t="inlineStr"/>
      <c r="I8" s="3" t="inlineStr"/>
      <c r="J8" s="3" t="inlineStr"/>
    </row>
    <row r="9">
      <c r="A9" s="3" t="inlineStr"/>
      <c r="B9" s="6" t="inlineStr">
        <is>
          <t>At paint cell</t>
        </is>
      </c>
      <c r="C9" s="3" t="inlineStr"/>
      <c r="D9" s="3" t="inlineStr"/>
      <c r="E9" s="3" t="inlineStr"/>
      <c r="F9" s="6" t="inlineStr">
        <is>
          <t>Paint-cell lead</t>
        </is>
      </c>
      <c r="G9" s="3" t="inlineStr"/>
      <c r="H9" s="3" t="inlineStr"/>
      <c r="I9" s="3" t="inlineStr"/>
      <c r="J9" s="3" t="inlineStr"/>
    </row>
    <row r="10">
      <c r="A10" s="3" t="inlineStr"/>
      <c r="B10" s="6" t="inlineStr">
        <is>
          <t>At paint cell</t>
        </is>
      </c>
      <c r="C10" s="3" t="inlineStr"/>
      <c r="D10" s="3" t="inlineStr"/>
      <c r="E10" s="3" t="inlineStr"/>
      <c r="F10" s="6" t="inlineStr">
        <is>
          <t>Paint-cell lead</t>
        </is>
      </c>
      <c r="G10" s="3" t="inlineStr"/>
      <c r="H10" s="3" t="inlineStr"/>
      <c r="I10" s="3" t="inlineStr"/>
      <c r="J10" s="3" t="inlineStr"/>
    </row>
    <row r="11">
      <c r="A11" s="3" t="inlineStr"/>
      <c r="B11" s="6" t="inlineStr">
        <is>
          <t>At paint cell</t>
        </is>
      </c>
      <c r="C11" s="3" t="inlineStr"/>
      <c r="D11" s="3" t="inlineStr"/>
      <c r="E11" s="3" t="inlineStr"/>
      <c r="F11" s="6" t="inlineStr">
        <is>
          <t>Paint-cell lead</t>
        </is>
      </c>
      <c r="G11" s="3" t="inlineStr"/>
      <c r="H11" s="3" t="inlineStr"/>
      <c r="I11" s="3" t="inlineStr"/>
      <c r="J11" s="3" t="inlineStr"/>
    </row>
    <row r="12">
      <c r="A12" s="3" t="inlineStr"/>
      <c r="B12" s="6" t="inlineStr">
        <is>
          <t>Return</t>
        </is>
      </c>
      <c r="C12" s="3" t="inlineStr"/>
      <c r="D12" s="3" t="inlineStr"/>
      <c r="E12" s="3" t="inlineStr"/>
      <c r="F12" s="6" t="inlineStr">
        <is>
          <t>Paint-cell lead</t>
        </is>
      </c>
      <c r="G12" s="3" t="inlineStr"/>
      <c r="H12" s="3" t="inlineStr"/>
      <c r="I12" s="3" t="inlineStr"/>
      <c r="J12" s="3" t="inlineStr"/>
    </row>
    <row r="13">
      <c r="A13" s="3" t="inlineStr"/>
      <c r="B13" s="6" t="inlineStr">
        <is>
          <t>Return</t>
        </is>
      </c>
      <c r="C13" s="3" t="inlineStr"/>
      <c r="D13" s="3" t="inlineStr"/>
      <c r="E13" s="3" t="inlineStr"/>
      <c r="F13" s="6" t="inlineStr">
        <is>
          <t>ERP inventory control</t>
        </is>
      </c>
      <c r="G13" s="3" t="inlineStr"/>
      <c r="H13" s="3" t="inlineStr"/>
      <c r="I13" s="3" t="inlineStr"/>
      <c r="J13" s="3" t="inlineStr"/>
    </row>
    <row r="14">
      <c r="A14" s="3" t="inlineStr"/>
      <c r="B14" s="6" t="inlineStr">
        <is>
          <t>Exception</t>
        </is>
      </c>
      <c r="C14" s="3" t="inlineStr"/>
      <c r="D14" s="3" t="inlineStr"/>
      <c r="E14" s="3" t="inlineStr"/>
      <c r="F14" s="6" t="inlineStr">
        <is>
          <t>Quality manager</t>
        </is>
      </c>
      <c r="G14" s="3" t="inlineStr"/>
      <c r="H14" s="3" t="inlineStr"/>
      <c r="I14" s="3" t="inlineStr"/>
      <c r="J14" s="3" t="inlineStr"/>
    </row>
    <row r="15">
      <c r="A15" s="3" t="inlineStr"/>
      <c r="B15" s="6" t="inlineStr">
        <is>
          <t>Exception</t>
        </is>
      </c>
      <c r="C15" s="3" t="inlineStr"/>
      <c r="D15" s="3" t="inlineStr"/>
      <c r="E15" s="3" t="inlineStr"/>
      <c r="F15" s="6" t="inlineStr">
        <is>
          <t>Quality manager</t>
        </is>
      </c>
      <c r="G15" s="3" t="inlineStr"/>
      <c r="H15" s="3" t="inlineStr"/>
      <c r="I15" s="3" t="inlineStr"/>
      <c r="J15" s="3" t="inlineStr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/>
  <mergeCells count="1">
    <mergeCell ref="A1:J1"/>
  </mergeCells>
  <dataValidations count="2">
    <dataValidation sqref="B7:B16" showDropDown="0" showInputMessage="0" showErrorMessage="0" allowBlank="0" type="list">
      <formula1>"Outbound,At paint cell,Return,Exception"</formula1>
    </dataValidation>
    <dataValidation sqref="F7:F16" showDropDown="0" showInputMessage="0" showErrorMessage="0" allowBlank="0" type="list">
      <formula1>"Main plant clerk,Paint-cell lead,Carrier,Quality manager,ERP inventory control"</formula1>
    </dataValidation>
  </dataValidations>
  <pageMargins left="0.25" right="0.25" top="0.45" bottom="0.4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28" customWidth="1" min="2" max="2"/>
    <col width="22" customWidth="1" min="3" max="3"/>
    <col width="29" customWidth="1" min="4" max="4"/>
    <col width="28" customWidth="1" min="5" max="5"/>
    <col width="22" customWidth="1" min="6" max="6"/>
    <col width="22" customWidth="1" min="7" max="7"/>
  </cols>
  <sheetData>
    <row r="1" ht="25" customHeight="1">
      <c r="A1" s="1" t="inlineStr">
        <is>
          <t>Decision key — launch recommendation</t>
        </is>
      </c>
    </row>
    <row r="2"/>
    <row r="3"/>
    <row r="4">
      <c r="A4" s="2" t="inlineStr">
        <is>
          <t>Formula-derived recommendation</t>
        </is>
      </c>
      <c r="B4" s="2" t="inlineStr">
        <is>
          <t>Eligible score</t>
        </is>
      </c>
      <c r="C4" s="2" t="inlineStr">
        <is>
          <t>Policy instruction</t>
        </is>
      </c>
    </row>
    <row r="5">
      <c r="A5" s="9" t="inlineStr"/>
      <c r="B5" s="16" t="inlineStr"/>
      <c r="C5" s="9" t="inlineStr">
        <is>
          <t>Highest eligible score; ties: traceability, then cost.</t>
        </is>
      </c>
    </row>
    <row r="6"/>
    <row r="7">
      <c r="A7" s="2" t="inlineStr">
        <is>
          <t>Why this design</t>
        </is>
      </c>
      <c r="B7" s="9" t="inlineStr"/>
    </row>
    <row r="8"/>
    <row r="9">
      <c r="A9" s="2" t="inlineStr">
        <is>
          <t>Alternative set aside</t>
        </is>
      </c>
      <c r="B9" s="2" t="inlineStr">
        <is>
          <t>Reason tied to assessment</t>
        </is>
      </c>
    </row>
    <row r="10">
      <c r="A10" s="3" t="inlineStr">
        <is>
          <t>Licensed second ERP site</t>
        </is>
      </c>
      <c r="B10" s="9" t="inlineStr"/>
      <c r="C10" s="4" t="n"/>
      <c r="D10" s="4" t="n"/>
      <c r="E10" s="4" t="n"/>
      <c r="F10" s="4" t="n"/>
      <c r="G10" s="5" t="n"/>
    </row>
    <row r="11">
      <c r="A11" s="3" t="inlineStr">
        <is>
          <t>Outside-processing purchase order</t>
        </is>
      </c>
      <c r="B11" s="9" t="inlineStr"/>
      <c r="C11" s="4" t="n"/>
      <c r="D11" s="4" t="n"/>
      <c r="E11" s="4" t="n"/>
      <c r="F11" s="4" t="n"/>
      <c r="G11" s="5" t="n"/>
    </row>
    <row r="12"/>
    <row r="13">
      <c r="A13" s="2" t="inlineStr">
        <is>
          <t>Site interpretation</t>
        </is>
      </c>
      <c r="B13" s="9" t="inlineStr"/>
    </row>
    <row r="14"/>
    <row r="15">
      <c r="A15" s="2" t="inlineStr">
        <is>
          <t>Compliance basis</t>
        </is>
      </c>
      <c r="B15" s="9" t="inlineStr"/>
    </row>
    <row r="16"/>
    <row r="17">
      <c r="A17" s="2" t="inlineStr">
        <is>
          <t>Rating key and rationale</t>
        </is>
      </c>
    </row>
    <row r="18">
      <c r="A18" s="2" t="inlineStr">
        <is>
          <t>Alternative</t>
        </is>
      </c>
      <c r="B18" s="2" t="inlineStr">
        <is>
          <t>Criterion</t>
        </is>
      </c>
      <c r="C18" s="2" t="inlineStr">
        <is>
          <t>Rating</t>
        </is>
      </c>
      <c r="D18" s="2" t="inlineStr">
        <is>
          <t>Source-grounded rationale</t>
        </is>
      </c>
    </row>
    <row r="19" ht="29" customHeight="1">
      <c r="A19" s="3" t="inlineStr"/>
      <c r="B19" s="3" t="inlineStr"/>
      <c r="C19" s="3" t="inlineStr"/>
      <c r="D19" s="9" t="inlineStr"/>
    </row>
    <row r="20" ht="29" customHeight="1">
      <c r="A20" s="3" t="inlineStr"/>
      <c r="B20" s="3" t="inlineStr"/>
      <c r="C20" s="3" t="inlineStr"/>
      <c r="D20" s="9" t="inlineStr"/>
    </row>
    <row r="21" ht="29" customHeight="1">
      <c r="A21" s="3" t="inlineStr"/>
      <c r="B21" s="3" t="inlineStr"/>
      <c r="C21" s="3" t="inlineStr"/>
      <c r="D21" s="9" t="inlineStr"/>
    </row>
    <row r="22" ht="29" customHeight="1">
      <c r="A22" s="3" t="inlineStr"/>
      <c r="B22" s="3" t="inlineStr"/>
      <c r="C22" s="3" t="inlineStr"/>
      <c r="D22" s="9" t="inlineStr"/>
    </row>
    <row r="23" ht="29" customHeight="1">
      <c r="A23" s="3" t="inlineStr"/>
      <c r="B23" s="3" t="inlineStr"/>
      <c r="C23" s="3" t="inlineStr"/>
      <c r="D23" s="9" t="inlineStr"/>
    </row>
    <row r="24" ht="29" customHeight="1">
      <c r="A24" s="3" t="inlineStr"/>
      <c r="B24" s="3" t="inlineStr"/>
      <c r="C24" s="3" t="inlineStr"/>
      <c r="D24" s="9" t="inlineStr"/>
    </row>
    <row r="25" ht="29" customHeight="1">
      <c r="A25" s="3" t="inlineStr"/>
      <c r="B25" s="3" t="inlineStr"/>
      <c r="C25" s="3" t="inlineStr"/>
      <c r="D25" s="9" t="inlineStr"/>
    </row>
    <row r="26" ht="29" customHeight="1">
      <c r="A26" s="3" t="inlineStr"/>
      <c r="B26" s="3" t="inlineStr"/>
      <c r="C26" s="3" t="inlineStr"/>
      <c r="D26" s="9" t="inlineStr"/>
    </row>
    <row r="27" ht="29" customHeight="1">
      <c r="A27" s="3" t="inlineStr"/>
      <c r="B27" s="3" t="inlineStr"/>
      <c r="C27" s="3" t="inlineStr"/>
      <c r="D27" s="9" t="inlineStr"/>
    </row>
    <row r="28" ht="29" customHeight="1">
      <c r="A28" s="3" t="inlineStr"/>
      <c r="B28" s="3" t="inlineStr"/>
      <c r="C28" s="3" t="inlineStr"/>
      <c r="D28" s="9" t="inlineStr"/>
    </row>
    <row r="29" ht="29" customHeight="1">
      <c r="A29" s="3" t="inlineStr"/>
      <c r="B29" s="3" t="inlineStr"/>
      <c r="C29" s="3" t="inlineStr"/>
      <c r="D29" s="9" t="inlineStr"/>
    </row>
    <row r="30" ht="29" customHeight="1">
      <c r="A30" s="3" t="inlineStr"/>
      <c r="B30" s="3" t="inlineStr"/>
      <c r="C30" s="3" t="inlineStr"/>
      <c r="D30" s="9" t="inlineStr"/>
    </row>
    <row r="31" ht="29" customHeight="1">
      <c r="A31" s="3" t="inlineStr"/>
      <c r="B31" s="3" t="inlineStr"/>
      <c r="C31" s="3" t="inlineStr"/>
      <c r="D31" s="9" t="inlineStr"/>
    </row>
    <row r="32" ht="29" customHeight="1">
      <c r="A32" s="3" t="inlineStr"/>
      <c r="B32" s="3" t="inlineStr"/>
      <c r="C32" s="3" t="inlineStr"/>
      <c r="D32" s="9" t="inlineStr"/>
    </row>
    <row r="33" ht="29" customHeight="1">
      <c r="A33" s="3" t="inlineStr"/>
      <c r="B33" s="3" t="inlineStr"/>
      <c r="C33" s="3" t="inlineStr"/>
      <c r="D33" s="9" t="inlineStr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/>
  <mergeCells count="6">
    <mergeCell ref="B10:G10"/>
    <mergeCell ref="A1:G1"/>
    <mergeCell ref="B13:G13"/>
    <mergeCell ref="B15:G15"/>
    <mergeCell ref="B7:G7"/>
    <mergeCell ref="B11:G11"/>
  </mergeCells>
  <pageMargins left="0.25" right="0.25" top="0.45" bottom="0.4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2026-08-25T09:09:32Z</dcterms:created>
  <dcterms:modified xmlns:dcterms="http://purl.org/dc/terms/" xmlns:xsi="http://www.w3.org/2001/XMLSchema-instance" xsi:type="dcterms:W3CDTF">2026-08-25T09:09:32Z</dcterms:modified>
</cp:coreProperties>
</file>