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Plan" sheetId="1" state="visible" r:id="rId1"/>
  </sheets>
  <definedNames>
    <definedName name="_xlnm._FilterDatabase" localSheetId="0" hidden="1">'Draft Plan'!$A$4:$N$12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0" customWidth="1" min="4" max="4"/>
    <col width="20" customWidth="1" min="5" max="5"/>
    <col width="14" customWidth="1" min="6" max="6"/>
    <col width="12" customWidth="1" min="7" max="7"/>
    <col width="11" customWidth="1" min="8" max="8"/>
    <col width="14" customWidth="1" min="9" max="9"/>
    <col width="13" customWidth="1" min="10" max="10"/>
    <col width="15" customWidth="1" min="11" max="11"/>
    <col width="14" customWidth="1" min="12" max="12"/>
    <col width="14" customWidth="1" min="13" max="13"/>
    <col width="52" customWidth="1" min="14" max="14"/>
  </cols>
  <sheetData>
    <row r="1">
      <c r="A1" s="1" t="inlineStr">
        <is>
          <t>Kingsferry Regional Office – Move Draft</t>
        </is>
      </c>
    </row>
    <row r="2">
      <c r="A2" t="inlineStr">
        <is>
          <t>Prepared by Maren Chakraborty | 18 Dec 2025 | Draft for review</t>
        </is>
      </c>
    </row>
    <row r="4">
      <c r="A4" s="2" t="inlineStr">
        <is>
          <t>Package ID</t>
        </is>
      </c>
      <c r="B4" s="2" t="inlineStr">
        <is>
          <t>Department</t>
        </is>
      </c>
      <c r="C4" s="2" t="inlineStr">
        <is>
          <t>Origin</t>
        </is>
      </c>
      <c r="D4" s="2" t="inlineStr">
        <is>
          <t>Draft Destination</t>
        </is>
      </c>
      <c r="E4" s="2" t="inlineStr">
        <is>
          <t>Readiness</t>
        </is>
      </c>
      <c r="F4" s="2" t="inlineStr">
        <is>
          <t>Dependency</t>
        </is>
      </c>
      <c r="G4" s="2" t="inlineStr">
        <is>
          <t>Qty (cu ft)</t>
        </is>
      </c>
      <c r="H4" s="2" t="inlineStr">
        <is>
          <t>Crew</t>
        </is>
      </c>
      <c r="I4" s="2" t="inlineStr">
        <is>
          <t>Base Crew Hrs</t>
        </is>
      </c>
      <c r="J4" s="2" t="inlineStr">
        <is>
          <t>Elevator Trips</t>
        </is>
      </c>
      <c r="K4" s="2" t="inlineStr">
        <is>
          <t>Freight Vehicles</t>
        </is>
      </c>
      <c r="L4" s="2" t="inlineStr">
        <is>
          <t>Draft Weekend</t>
        </is>
      </c>
      <c r="M4" s="2" t="inlineStr">
        <is>
          <t>Draft Cost</t>
        </is>
      </c>
      <c r="N4" s="2" t="inlineStr">
        <is>
          <t>Notes</t>
        </is>
      </c>
    </row>
    <row r="5">
      <c r="A5" s="3" t="inlineStr">
        <is>
          <t>FIN-01</t>
        </is>
      </c>
      <c r="B5" s="3" t="inlineStr">
        <is>
          <t>Finance</t>
        </is>
      </c>
      <c r="C5" s="3" t="inlineStr">
        <is>
          <t>Floor 1</t>
        </is>
      </c>
      <c r="D5" s="3" t="inlineStr">
        <is>
          <t>Annex Floor 1</t>
        </is>
      </c>
      <c r="E5" s="3" t="inlineStr">
        <is>
          <t>2026-02-07 07:00</t>
        </is>
      </c>
      <c r="F5" s="3" t="inlineStr">
        <is>
          <t>None</t>
        </is>
      </c>
      <c r="G5" s="3" t="n">
        <v>420</v>
      </c>
      <c r="H5" s="3" t="inlineStr">
        <is>
          <t>Crew A</t>
        </is>
      </c>
      <c r="I5" s="3" t="n">
        <v>3</v>
      </c>
      <c r="J5" s="3" t="n">
        <v>3</v>
      </c>
      <c r="K5" s="3" t="n">
        <v>1</v>
      </c>
      <c r="L5" s="3" t="inlineStr">
        <is>
          <t>Weekend 1</t>
        </is>
      </c>
      <c r="M5" s="3" t="n">
        <v>5200</v>
      </c>
      <c r="N5" s="3" t="inlineStr">
        <is>
          <t>Included return trip for empty totes; bill 1 vehicle block.</t>
        </is>
      </c>
    </row>
    <row r="6">
      <c r="A6" s="3" t="inlineStr">
        <is>
          <t>HR-01</t>
        </is>
      </c>
      <c r="B6" s="3" t="inlineStr">
        <is>
          <t>People Services</t>
        </is>
      </c>
      <c r="C6" s="3" t="inlineStr">
        <is>
          <t>Floor 1</t>
        </is>
      </c>
      <c r="D6" s="3" t="inlineStr">
        <is>
          <t>Annex Floor 2</t>
        </is>
      </c>
      <c r="E6" s="3" t="inlineStr">
        <is>
          <t>2026-02-07 08:00</t>
        </is>
      </c>
      <c r="F6" s="3" t="inlineStr">
        <is>
          <t>FIN-01</t>
        </is>
      </c>
      <c r="G6" s="3" t="n">
        <v>300</v>
      </c>
      <c r="H6" s="3" t="inlineStr">
        <is>
          <t>Crew A</t>
        </is>
      </c>
      <c r="I6" s="3" t="n">
        <v>2.5</v>
      </c>
      <c r="J6" s="3" t="n">
        <v>2</v>
      </c>
      <c r="K6" s="3" t="n">
        <v>1</v>
      </c>
      <c r="L6" s="3" t="inlineStr">
        <is>
          <t>Weekend 1</t>
        </is>
      </c>
      <c r="M6" s="3" t="n">
        <v>4300</v>
      </c>
      <c r="N6" s="3" t="inlineStr">
        <is>
          <t>Destination confirmed as Annex Floor 2.</t>
        </is>
      </c>
    </row>
    <row r="7">
      <c r="A7" s="3" t="inlineStr">
        <is>
          <t>IT-01A</t>
        </is>
      </c>
      <c r="B7" s="3" t="inlineStr">
        <is>
          <t>IT</t>
        </is>
      </c>
      <c r="C7" s="3" t="inlineStr">
        <is>
          <t>Floor 2</t>
        </is>
      </c>
      <c r="D7" s="3" t="inlineStr">
        <is>
          <t>Swing Floor</t>
        </is>
      </c>
      <c r="E7" s="3" t="inlineStr">
        <is>
          <t>2026-02-07 07:00</t>
        </is>
      </c>
      <c r="F7" s="3" t="inlineStr">
        <is>
          <t>None</t>
        </is>
      </c>
      <c r="G7" s="3" t="n">
        <v>500</v>
      </c>
      <c r="H7" s="3" t="inlineStr">
        <is>
          <t>Crew A</t>
        </is>
      </c>
      <c r="I7" s="3" t="n">
        <v>1.5</v>
      </c>
      <c r="J7" s="3" t="n">
        <v>2</v>
      </c>
      <c r="K7" s="3" t="n">
        <v>1</v>
      </c>
      <c r="L7" s="3" t="inlineStr">
        <is>
          <t>Weekend 1</t>
        </is>
      </c>
      <c r="M7" s="3" t="n">
        <v>3800</v>
      </c>
      <c r="N7" s="3" t="inlineStr">
        <is>
          <t>Stage to swing floor first; paid staging is 1.0 hour before onward move.</t>
        </is>
      </c>
    </row>
    <row r="8">
      <c r="A8" s="3" t="inlineStr">
        <is>
          <t>IT-01B</t>
        </is>
      </c>
      <c r="B8" s="3" t="inlineStr">
        <is>
          <t>IT</t>
        </is>
      </c>
      <c r="C8" s="3" t="inlineStr">
        <is>
          <t>Swing Floor</t>
        </is>
      </c>
      <c r="D8" s="3" t="inlineStr">
        <is>
          <t>Annex Floor 3</t>
        </is>
      </c>
      <c r="E8" s="3" t="inlineStr">
        <is>
          <t>2026-02-14 08:00</t>
        </is>
      </c>
      <c r="F8" s="3" t="inlineStr">
        <is>
          <t>IT-01A</t>
        </is>
      </c>
      <c r="G8" s="3" t="n">
        <v>500</v>
      </c>
      <c r="H8" s="3" t="inlineStr">
        <is>
          <t>Crew B</t>
        </is>
      </c>
      <c r="I8" s="3" t="n">
        <v>2</v>
      </c>
      <c r="J8" s="3" t="n">
        <v>2</v>
      </c>
      <c r="K8" s="3" t="n">
        <v>1</v>
      </c>
      <c r="L8" s="3" t="inlineStr">
        <is>
          <t>Weekend 2</t>
        </is>
      </c>
      <c r="M8" s="3" t="n">
        <v>4100</v>
      </c>
      <c r="N8" s="3" t="inlineStr">
        <is>
          <t>Final placement after network cutover.</t>
        </is>
      </c>
    </row>
    <row r="9">
      <c r="A9" s="3" t="inlineStr">
        <is>
          <t>REC-01</t>
        </is>
      </c>
      <c r="B9" s="3" t="inlineStr">
        <is>
          <t>Records</t>
        </is>
      </c>
      <c r="C9" s="3" t="inlineStr">
        <is>
          <t>Floor 2 Vault</t>
        </is>
      </c>
      <c r="D9" s="3" t="inlineStr">
        <is>
          <t>Annex Floor 2</t>
        </is>
      </c>
      <c r="E9" s="3" t="inlineStr">
        <is>
          <t>2026-02-14 09:00</t>
        </is>
      </c>
      <c r="F9" s="3" t="inlineStr">
        <is>
          <t>None</t>
        </is>
      </c>
      <c r="G9" s="3" t="n">
        <v>260</v>
      </c>
      <c r="H9" s="3" t="inlineStr">
        <is>
          <t>Crew B</t>
        </is>
      </c>
      <c r="I9" s="3" t="n">
        <v>2</v>
      </c>
      <c r="J9" s="3" t="n">
        <v>3</v>
      </c>
      <c r="K9" s="3" t="n">
        <v>1</v>
      </c>
      <c r="L9" s="3" t="inlineStr">
        <is>
          <t>Weekend 2</t>
        </is>
      </c>
      <c r="M9" s="3" t="n">
        <v>3600</v>
      </c>
      <c r="N9" s="3" t="inlineStr">
        <is>
          <t>Vault opening/closing included; escort required.</t>
        </is>
      </c>
    </row>
    <row r="10">
      <c r="A10" s="3" t="inlineStr">
        <is>
          <t>OPS-01</t>
        </is>
      </c>
      <c r="B10" s="3" t="inlineStr">
        <is>
          <t>Operations</t>
        </is>
      </c>
      <c r="C10" s="3" t="inlineStr">
        <is>
          <t>Floor 1</t>
        </is>
      </c>
      <c r="D10" s="3" t="inlineStr">
        <is>
          <t>Annex Floor 1</t>
        </is>
      </c>
      <c r="E10" s="3" t="inlineStr">
        <is>
          <t>2026-02-21 07:00</t>
        </is>
      </c>
      <c r="F10" s="3" t="inlineStr">
        <is>
          <t>HR-01</t>
        </is>
      </c>
      <c r="G10" s="3" t="n">
        <v>600</v>
      </c>
      <c r="H10" s="3" t="inlineStr">
        <is>
          <t>Crew C</t>
        </is>
      </c>
      <c r="I10" s="3" t="n">
        <v>4</v>
      </c>
      <c r="J10" s="3" t="n">
        <v>4</v>
      </c>
      <c r="K10" s="3" t="n">
        <v>2</v>
      </c>
      <c r="L10" s="3" t="inlineStr">
        <is>
          <t>Weekend 3</t>
        </is>
      </c>
      <c r="M10" s="3" t="n">
        <v>6900</v>
      </c>
      <c r="N10" s="3" t="inlineStr">
        <is>
          <t>Requires two vehicle blocks.</t>
        </is>
      </c>
    </row>
    <row r="11">
      <c r="A11" s="3" t="inlineStr">
        <is>
          <t>LEG-01</t>
        </is>
      </c>
      <c r="B11" s="3" t="inlineStr">
        <is>
          <t>Legal</t>
        </is>
      </c>
      <c r="C11" s="3" t="inlineStr">
        <is>
          <t>Floor 2</t>
        </is>
      </c>
      <c r="D11" s="3" t="inlineStr">
        <is>
          <t>Annex Floor 3</t>
        </is>
      </c>
      <c r="E11" s="3" t="inlineStr">
        <is>
          <t>2026-02-21 08:00</t>
        </is>
      </c>
      <c r="F11" s="3" t="inlineStr">
        <is>
          <t>REC-01</t>
        </is>
      </c>
      <c r="G11" s="3" t="n">
        <v>180</v>
      </c>
      <c r="H11" s="3" t="inlineStr">
        <is>
          <t>Crew C</t>
        </is>
      </c>
      <c r="I11" s="3" t="n">
        <v>1.5</v>
      </c>
      <c r="J11" s="3" t="n">
        <v>2</v>
      </c>
      <c r="K11" s="3" t="n">
        <v>1</v>
      </c>
      <c r="L11" s="3" t="inlineStr">
        <is>
          <t>Weekend 3</t>
        </is>
      </c>
      <c r="M11" s="3" t="n">
        <v>2900</v>
      </c>
      <c r="N11" s="3" t="inlineStr">
        <is>
          <t>Final destination subject to review.</t>
        </is>
      </c>
    </row>
    <row r="12">
      <c r="A12" s="3" t="inlineStr">
        <is>
          <t>COM-01</t>
        </is>
      </c>
      <c r="B12" s="3" t="inlineStr">
        <is>
          <t>Communications</t>
        </is>
      </c>
      <c r="C12" s="3" t="inlineStr">
        <is>
          <t>Floor 1</t>
        </is>
      </c>
      <c r="D12" s="3" t="inlineStr">
        <is>
          <t>Annex Floor 2</t>
        </is>
      </c>
      <c r="E12" s="3" t="inlineStr">
        <is>
          <t>2026-02-21 10:00</t>
        </is>
      </c>
      <c r="F12" s="3" t="inlineStr">
        <is>
          <t>OPS-01</t>
        </is>
      </c>
      <c r="G12" s="3" t="n">
        <v>220</v>
      </c>
      <c r="H12" s="3" t="inlineStr">
        <is>
          <t>Crew C</t>
        </is>
      </c>
      <c r="I12" s="3" t="n">
        <v>1.5</v>
      </c>
      <c r="J12" s="3" t="n">
        <v>2</v>
      </c>
      <c r="K12" s="3" t="n">
        <v>1</v>
      </c>
      <c r="L12" s="3" t="inlineStr">
        <is>
          <t>Weekend 3</t>
        </is>
      </c>
      <c r="M12" s="3" t="n">
        <v>3100</v>
      </c>
      <c r="N12" s="3" t="inlineStr">
        <is>
          <t>Can move after Operations clears loading area.</t>
        </is>
      </c>
    </row>
    <row r="15">
      <c r="A15" s="4" t="inlineStr">
        <is>
          <t>Draft summary (old analyst)</t>
        </is>
      </c>
    </row>
    <row r="16">
      <c r="A16" t="inlineStr">
        <is>
          <t>Valid detail total</t>
        </is>
      </c>
      <c r="B16">
        <f>SUM(M5:M12)</f>
        <v/>
      </c>
    </row>
    <row r="17">
      <c r="A17" t="inlineStr">
        <is>
          <t>Old headline total (residual formula error)</t>
        </is>
      </c>
      <c r="B17">
        <f>B16+1234</f>
        <v/>
      </c>
    </row>
    <row r="18">
      <c r="A18" t="inlineStr">
        <is>
          <t>Note</t>
        </is>
      </c>
      <c r="B18" t="inlineStr">
        <is>
          <t>Old headline contains a residual analyst formula error; recompute from row detail.</t>
        </is>
      </c>
    </row>
  </sheetData>
  <autoFilter ref="A4:N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2026-08-20T19:26:11Z</dcterms:created>
  <dcterms:modified xmlns:dcterms="http://purl.org/dc/terms/" xmlns:xsi="http://www.w3.org/2001/XMLSchema-instance" xsi:type="dcterms:W3CDTF">2026-08-20T19:26:11Z</dcterms:modified>
</cp:coreProperties>
</file>