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ecision Summary" sheetId="1" state="visible" r:id="rId3"/>
    <sheet name="Reconciliation" sheetId="2" state="visible" r:id="rId4"/>
    <sheet name="Option Comparison" sheetId="3" state="visible" r:id="rId5"/>
    <sheet name="Customer Response" sheetId="4" state="visible" r:id="rId6"/>
    <sheet name="Action Register" sheetId="5" state="visible" r:id="rId7"/>
  </sheets>
  <definedNames>
    <definedName function="false" hidden="false" localSheetId="4" name="_xlnm.Print_Area" vbProcedure="false">'Action Register'!$A$1:$G$14</definedName>
    <definedName function="false" hidden="false" localSheetId="3" name="_xlnm.Print_Area" vbProcedure="false">'Customer Response'!$A$1:$F$23</definedName>
    <definedName function="false" hidden="false" localSheetId="0" name="_xlnm.Print_Area" vbProcedure="false">'Decision Summary'!$A$1:$H$37</definedName>
    <definedName function="false" hidden="false" localSheetId="2" name="_xlnm.Print_Area" vbProcedure="false">'Option Comparison'!$A$1:$G$34</definedName>
    <definedName function="false" hidden="false" localSheetId="1" name="_xlnm.Print_Area" vbProcedure="false">Reconciliation!$A$1:$K$32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<sst xmlns="http://schemas.openxmlformats.org/spreadsheetml/2006/main" count="310" uniqueCount="250">
  <si>
    <t xml:space="preserve">Inglewood Institute - Customer Case Response</t>
  </si>
  <si>
    <t xml:space="preserve">Prepared by Jelena Desrosiers | Pinehollow Energy, Commercial Equipment</t>
  </si>
  <si>
    <t xml:space="preserve">Case and Decision Control</t>
  </si>
  <si>
    <t xml:space="preserve">Customer</t>
  </si>
  <si>
    <t xml:space="preserve">Inglewood Institute</t>
  </si>
  <si>
    <t xml:space="preserve">Compliance reviewer</t>
  </si>
  <si>
    <t xml:space="preserve">Efua Calloway</t>
  </si>
  <si>
    <t xml:space="preserve">Case owner</t>
  </si>
  <si>
    <t xml:space="preserve">Jelena Desrosiers</t>
  </si>
  <si>
    <t xml:space="preserve">Approval authority</t>
  </si>
  <si>
    <t xml:space="preserve">Gitta Rutkowski, Operations Manager</t>
  </si>
  <si>
    <t xml:space="preserve">Jurisdiction</t>
  </si>
  <si>
    <t xml:space="preserve">England and Wales</t>
  </si>
  <si>
    <t xml:space="preserve">Currency</t>
  </si>
  <si>
    <t xml:space="preserve">GBP</t>
  </si>
  <si>
    <t xml:space="preserve">Freight snapshot</t>
  </si>
  <si>
    <t xml:space="preserve">8 April 2030</t>
  </si>
  <si>
    <t xml:space="preserve">Decision status</t>
  </si>
  <si>
    <t xml:space="preserve">PENDING GITTA RUTKOWSKI APPROVAL</t>
  </si>
  <si>
    <t xml:space="preserve">Approval Record - Complete Only After Decision</t>
  </si>
  <si>
    <t xml:space="preserve">Approver name</t>
  </si>
  <si>
    <t xml:space="preserve">Pending approval</t>
  </si>
  <si>
    <t xml:space="preserve">Approval decision</t>
  </si>
  <si>
    <t xml:space="preserve">Approval date</t>
  </si>
  <si>
    <t xml:space="preserve">Signature</t>
  </si>
  <si>
    <t xml:space="preserve">Recommendation</t>
  </si>
  <si>
    <t xml:space="preserve">Recommend Gitta Rutkowski approve Option B - credit and replacement, subject to recorded approval.</t>
  </si>
  <si>
    <t xml:space="preserve">Confirmed replacement quantity</t>
  </si>
  <si>
    <t xml:space="preserve">individual stands</t>
  </si>
  <si>
    <t xml:space="preserve">Control</t>
  </si>
  <si>
    <t xml:space="preserve">Pending recorded approval</t>
  </si>
  <si>
    <t xml:space="preserve">Proposed cash credit</t>
  </si>
  <si>
    <t xml:space="preserve">Replacement merchandise value</t>
  </si>
  <si>
    <t xml:space="preserve">Replacement freight borne by Pinehollow</t>
  </si>
  <si>
    <t xml:space="preserve">Estimated Pinehollow outlay</t>
  </si>
  <si>
    <t xml:space="preserve">Incremental outlay versus Option A</t>
  </si>
  <si>
    <t xml:space="preserve">Cash-credit increment</t>
  </si>
  <si>
    <t xml:space="preserve">Selected Interpretation and Review Rationale</t>
  </si>
  <si>
    <t xml:space="preserve">Selected merchandise-credit basis: eligible damaged individual stands. CT-7.1 ties a price adjustment to affected goods and final receiving evidence; REV-02 leaves both eligible-damage and normalised-invoiced readings open. This evidence-led reading credits only final eligible damage and avoids extending a damage-linked credit to accepted or unaffected units.</t>
  </si>
  <si>
    <t xml:space="preserve">Date treatment: the mixed receiving entry 06/04/30 is interpreted as 6 April 2030 (day/month/year), consistent with the England and Wales terms and the surrounding 5-7 April 2030 chronology.</t>
  </si>
  <si>
    <t xml:space="preserve">Tradeoffs and Release Control</t>
  </si>
  <si>
    <t xml:space="preserve">Service: restores 27 confirmed eligible damaged stands in one Friday 12 April 2030 consolidated release. Evidence: applies receiving-note overrides, corrected shipment routes, contracted per-stand pricing, and the 8 April 2030 snapshot. Cost: Option B adds £398.82 to Pinehollow outlay versus replacement only, matching the substantiated cash credit. Timing and control: Gitta's decision is due by 16:00 Thursday 11 April 2030; credit, customer communication, and release remain pending her recorded approval.</t>
  </si>
  <si>
    <t xml:space="preserve">Trace: INV-77421 / INV-77422; REC-9401 to REC-9404; FL-2030-4810 / FL-2030-4811; REV-01 to REV-06; CT-4.1, CT-4.2, CT-6.3, CT-7.1 and CT-8.2.</t>
  </si>
  <si>
    <t xml:space="preserve">Evidence Reconciliation</t>
  </si>
  <si>
    <t xml:space="preserve">Source pack references retained; quantities compared in individual stands and freight counted once per shipment.</t>
  </si>
  <si>
    <t xml:space="preserve">A. Product Mapping and Quantity Reconciliation</t>
  </si>
  <si>
    <t xml:space="preserve">Source order /
invoice line</t>
  </si>
  <si>
    <t xml:space="preserve">Product code</t>
  </si>
  <si>
    <t xml:space="preserve">PO / order label</t>
  </si>
  <si>
    <t xml:space="preserve">Invoice label</t>
  </si>
  <si>
    <t xml:space="preserve">Invoice qty</t>
  </si>
  <si>
    <t xml:space="preserve">Qty basis</t>
  </si>
  <si>
    <t xml:space="preserve">Pack size
(stands)</t>
  </si>
  <si>
    <t xml:space="preserve">Normalised
invoiced stands</t>
  </si>
  <si>
    <t xml:space="preserve">Receiving records /
source trace</t>
  </si>
  <si>
    <t xml:space="preserve">PH-IO-2030-118 / INV-77421 line 10</t>
  </si>
  <si>
    <t xml:space="preserve">MD-ALP-8</t>
  </si>
  <si>
    <t xml:space="preserve">Atlas 8-stand carton</t>
  </si>
  <si>
    <t xml:space="preserve">MDS Atlas display stand pack</t>
  </si>
  <si>
    <t xml:space="preserve">packs</t>
  </si>
  <si>
    <t xml:space="preserve">SO-118 / Inv ln 10; REC-9401</t>
  </si>
  <si>
    <t xml:space="preserve">PH-IO-2030-118 / INV-77421 line 20</t>
  </si>
  <si>
    <t xml:space="preserve">MD-VRT-1</t>
  </si>
  <si>
    <t xml:space="preserve">Vertex single display stand</t>
  </si>
  <si>
    <t xml:space="preserve">Vertex modular display unit</t>
  </si>
  <si>
    <t xml:space="preserve">SO-118 / Inv ln 20; REC-9402</t>
  </si>
  <si>
    <t xml:space="preserve">PH-IO-2030-119 / INV-77422 line 10</t>
  </si>
  <si>
    <t xml:space="preserve">MD-NEX-4</t>
  </si>
  <si>
    <t xml:space="preserve">Nexus 4-stand kit</t>
  </si>
  <si>
    <t xml:space="preserve">Nexus display stand quad</t>
  </si>
  <si>
    <t xml:space="preserve">SO-119 / Inv ln 10; REC-9403, REC-9404</t>
  </si>
  <si>
    <t xml:space="preserve">B. Price Adjustment and Replacement Basis</t>
  </si>
  <si>
    <t xml:space="preserve">Contract
GBP / stand</t>
  </si>
  <si>
    <t xml:space="preserve">Billed GBP /
stated basis</t>
  </si>
  <si>
    <t xml:space="preserve">Billed
GBP / stand</t>
  </si>
  <si>
    <t xml:space="preserve">Positive difference
GBP / stand</t>
  </si>
  <si>
    <t xml:space="preserve">Internal repl. cost
GBP / stand</t>
  </si>
  <si>
    <t xml:space="preserve">Note-adjusted eligible
damaged stands</t>
  </si>
  <si>
    <t xml:space="preserve">Replacement
qty stands</t>
  </si>
  <si>
    <t xml:space="preserve">Selected credit
qty stands</t>
  </si>
  <si>
    <t xml:space="preserve">Merchandise
credit GBP</t>
  </si>
  <si>
    <t xml:space="preserve">Evidence / decision reference</t>
  </si>
  <si>
    <t xml:space="preserve">CT-4.1 / CT-7.1 / REV-02; receiving-note basis</t>
  </si>
  <si>
    <t xml:space="preserve">Merchandise credit subtotal</t>
  </si>
  <si>
    <t xml:space="preserve">C. Shipment Freight Reconciliation</t>
  </si>
  <si>
    <t xml:space="preserve">Shipment ID</t>
  </si>
  <si>
    <t xml:space="preserve">Invoice no.</t>
  </si>
  <si>
    <t xml:space="preserve">Source zone /
service label</t>
  </si>
  <si>
    <t xml:space="preserve">Route-note resolution</t>
  </si>
  <si>
    <t xml:space="preserve">Contract merchandise
value GBP</t>
  </si>
  <si>
    <t xml:space="preserve">Snapshot
rate</t>
  </si>
  <si>
    <t xml:space="preserve">Allowed freight
GBP</t>
  </si>
  <si>
    <t xml:space="preserve">Billed freight
GBP</t>
  </si>
  <si>
    <t xml:space="preserve">Original freight
overcharge credit GBP</t>
  </si>
  <si>
    <t xml:space="preserve">Count control</t>
  </si>
  <si>
    <t xml:space="preserve">Source evidence / note</t>
  </si>
  <si>
    <t xml:space="preserve">SHP-4810</t>
  </si>
  <si>
    <t xml:space="preserve">INV-77421</t>
  </si>
  <si>
    <t xml:space="preserve">London Inner / Priority 12</t>
  </si>
  <si>
    <t xml:space="preserve">EM-2 East Midlands / EXP-12</t>
  </si>
  <si>
    <t xml:space="preserve">One amount per shipment</t>
  </si>
  <si>
    <t xml:space="preserve">Freight ledger FL-2030-4810; FS-01; Scan exception: delivery route recorded as East Midlands (EM-2); use EM-2 with EXP-12.</t>
  </si>
  <si>
    <t xml:space="preserve">SHP-4811</t>
  </si>
  <si>
    <t xml:space="preserve">INV-77422</t>
  </si>
  <si>
    <t xml:space="preserve">Central South / Std service 48</t>
  </si>
  <si>
    <t xml:space="preserve">NM-4 North Midlands / STD-48</t>
  </si>
  <si>
    <t xml:space="preserve">Freight ledger FL-2030-4811; FS-02; Manifest amendment: route confirmed North Midlands (NM-4); retain STD-48 service code.</t>
  </si>
  <si>
    <t xml:space="preserve">Original freight credit subtotal</t>
  </si>
  <si>
    <t xml:space="preserve">D. Receiving Evidence Normalisation</t>
  </si>
  <si>
    <t xml:space="preserve">Receiving record</t>
  </si>
  <si>
    <t xml:space="preserve">Source date / time</t>
  </si>
  <si>
    <t xml:space="preserve">Normalised date / time</t>
  </si>
  <si>
    <t xml:space="preserve">Recorded description</t>
  </si>
  <si>
    <t xml:space="preserve">Main damage qty / unit</t>
  </si>
  <si>
    <t xml:space="preserve">Main status</t>
  </si>
  <si>
    <t xml:space="preserve">Note-resolved remedy
qty stands</t>
  </si>
  <si>
    <t xml:space="preserve">Final eligibility</t>
  </si>
  <si>
    <t xml:space="preserve">Note / evidence reference</t>
  </si>
  <si>
    <t xml:space="preserve">REC-9401</t>
  </si>
  <si>
    <t xml:space="preserve">2030-04-05 09:35</t>
  </si>
  <si>
    <t xml:space="preserve">05 Apr 2030 09:35</t>
  </si>
  <si>
    <t xml:space="preserve">Atlas display carton</t>
  </si>
  <si>
    <t xml:space="preserve">3 cartons</t>
  </si>
  <si>
    <t xml:space="preserve">Eligible replacement</t>
  </si>
  <si>
    <t xml:space="preserve">Eligible - note override</t>
  </si>
  <si>
    <t xml:space="preserve">Dock recount: confirmed remedy quantity is 19 individual stands; one carton partly recoverable. [PHOTO-ING-05-1]</t>
  </si>
  <si>
    <t xml:space="preserve">REC-9402</t>
  </si>
  <si>
    <t xml:space="preserve">06/04/30</t>
  </si>
  <si>
    <t xml:space="preserve">06 Apr 2030</t>
  </si>
  <si>
    <t xml:space="preserve">Vertex stand</t>
  </si>
  <si>
    <t xml:space="preserve">5 individual stands</t>
  </si>
  <si>
    <t xml:space="preserve">Eligible</t>
  </si>
  <si>
    <t xml:space="preserve">Five individual stands crushed; customer held pending remedy. [PHOTO-ING-06-A to C]</t>
  </si>
  <si>
    <t xml:space="preserve">REC-9403</t>
  </si>
  <si>
    <t xml:space="preserve">2030-04-06 15:18</t>
  </si>
  <si>
    <t xml:space="preserve">06 Apr 2030 15:18</t>
  </si>
  <si>
    <t xml:space="preserve">Nexus floor stand</t>
  </si>
  <si>
    <t xml:space="preserve">4 individual stands</t>
  </si>
  <si>
    <t xml:space="preserve">Ineligible - accepted after inspection</t>
  </si>
  <si>
    <t xml:space="preserve">Accepted after inspection; cosmetic marks accepted by Inglewood. Do not replace or credit as damage. [REC-9403 follow-up]</t>
  </si>
  <si>
    <t xml:space="preserve">REC-9404</t>
  </si>
  <si>
    <t xml:space="preserve">2030-04-07 08:20</t>
  </si>
  <si>
    <t xml:space="preserve">07 Apr 2030 08:20</t>
  </si>
  <si>
    <t xml:space="preserve">Nexus floor unit</t>
  </si>
  <si>
    <t xml:space="preserve">3 individual stands</t>
  </si>
  <si>
    <t xml:space="preserve">Confirmed bent legs; eligible for replacement. [PHOTO-ING-07-2]</t>
  </si>
  <si>
    <t xml:space="preserve">Control note: all receiving-row notes have been applied before eligibility, replacement, or credit aggregation. REC-9402 is read as 6 April 2030 under the England and Wales date context.</t>
  </si>
  <si>
    <t xml:space="preserve">Remedy Options</t>
  </si>
  <si>
    <t xml:space="preserve">Both options use the same note-adjusted replacement schedule and one consolidated replacement shipment.</t>
  </si>
  <si>
    <t xml:space="preserve">Replacement Schedule</t>
  </si>
  <si>
    <t xml:space="preserve">Product / invoice label</t>
  </si>
  <si>
    <t xml:space="preserve">Eligible replacement
qty stands</t>
  </si>
  <si>
    <t xml:space="preserve">Replacement merchandise
value GBP</t>
  </si>
  <si>
    <t xml:space="preserve">Estimated internal
replacement cost GBP</t>
  </si>
  <si>
    <t xml:space="preserve">Total</t>
  </si>
  <si>
    <t xml:space="preserve">Consolidated Replacement Freight Plan</t>
  </si>
  <si>
    <t xml:space="preserve">Release plan</t>
  </si>
  <si>
    <t xml:space="preserve">One consolidated shipment</t>
  </si>
  <si>
    <t xml:space="preserve">Source</t>
  </si>
  <si>
    <t xml:space="preserve">REV-03 / CT-6.3</t>
  </si>
  <si>
    <t xml:space="preserve">Route / service</t>
  </si>
  <si>
    <t xml:space="preserve">EM-2 / EXP-12</t>
  </si>
  <si>
    <t xml:space="preserve">Snapshot line</t>
  </si>
  <si>
    <t xml:space="preserve">FS-01</t>
  </si>
  <si>
    <t xml:space="preserve">Snapshot date</t>
  </si>
  <si>
    <t xml:space="preserve">Tariff</t>
  </si>
  <si>
    <t xml:space="preserve">Freight basis</t>
  </si>
  <si>
    <t xml:space="preserve">Replacement freight GBP</t>
  </si>
  <si>
    <t xml:space="preserve">Side-by-Side Remedy Comparison</t>
  </si>
  <si>
    <t xml:space="preserve">Metric</t>
  </si>
  <si>
    <t xml:space="preserve">Option A - Replacement only</t>
  </si>
  <si>
    <t xml:space="preserve">Option B - Credit and replacement</t>
  </si>
  <si>
    <t xml:space="preserve">Difference B - A</t>
  </si>
  <si>
    <t xml:space="preserve">Replacement quantity (individual stands)</t>
  </si>
  <si>
    <t xml:space="preserve">Replacement merchandise value (GBP)</t>
  </si>
  <si>
    <t xml:space="preserve">Replacement freight treatment</t>
  </si>
  <si>
    <t xml:space="preserve">Pinehollow bears one consolidated shipment</t>
  </si>
  <si>
    <t xml:space="preserve">No difference</t>
  </si>
  <si>
    <t xml:space="preserve">Replacement freight borne by Pinehollow (GBP)</t>
  </si>
  <si>
    <t xml:space="preserve">Merchandise overcharge credit (GBP)</t>
  </si>
  <si>
    <t xml:space="preserve">Original freight overcharge credit (GBP)</t>
  </si>
  <si>
    <t xml:space="preserve">Cash credit (GBP)</t>
  </si>
  <si>
    <t xml:space="preserve">Total customer remedy value (GBP)</t>
  </si>
  <si>
    <t xml:space="preserve">Estimated internal replacement merchandise cost (GBP)</t>
  </si>
  <si>
    <t xml:space="preserve">Estimated Pinehollow outlay (GBP)</t>
  </si>
  <si>
    <t xml:space="preserve">Displayed outlay difference (Option B - Option A)</t>
  </si>
  <si>
    <t xml:space="preserve">Recommendation: Option B is proposed because it restores confirmed damage and returns the supported merchandise and original-freight overcharges. Approval remains pending.</t>
  </si>
  <si>
    <t xml:space="preserve">Customer-Ready Revised Response</t>
  </si>
  <si>
    <t xml:space="preserve">Draft for release after approval - do not send while status is pending.</t>
  </si>
  <si>
    <t xml:space="preserve">To</t>
  </si>
  <si>
    <t xml:space="preserve">Efua Calloway, Compliance Reviewer</t>
  </si>
  <si>
    <t xml:space="preserve">From</t>
  </si>
  <si>
    <t xml:space="preserve">Jelena Desrosiers, Wholesale Account Representative, Pinehollow Energy</t>
  </si>
  <si>
    <t xml:space="preserve">Subject</t>
  </si>
  <si>
    <t xml:space="preserve">Revised proposed remedy - disputed modular display-stand order</t>
  </si>
  <si>
    <t xml:space="preserve">Status</t>
  </si>
  <si>
    <t xml:space="preserve">Dear Efua,</t>
  </si>
  <si>
    <t xml:space="preserve">We have reconciled the affected lines in invoices INV-77421 and INV-77422 with receiving records REC-9401 to REC-9404. After applying the inspection notes, this confirms 27 eligible damaged individual stands: 19 MD-ALP-8; 5 MD-VRT-1; 3 MD-NEX-4.</t>
  </si>
  <si>
    <t xml:space="preserve">Subject to Gitta Rutkowski's approval, Pinehollow proposes one consolidated replacement release of 27 individual stands on Friday 12 April 2030. The replacement merchandise is valued at £2,383.25 at the contracted per-stand prices. Pinehollow would bear one consolidated replacement freight charge of £413.49, calculated using EM-2 / EXP-12 in the 8 April 2030 freight snapshot.</t>
  </si>
  <si>
    <t xml:space="preserve">Our review also substantiates merchandise and original-freight overcharges. Using the selected eligible damaged individual-stand credit basis, Pinehollow proposes a cash credit of £398.82, comprising £329.10 merchandise price adjustment and £69.72 original freight adjustment.</t>
  </si>
  <si>
    <t xml:space="preserve">The proposed outcome remains pending Gitta Rutkowski's approval. It is not yet authorized, issued, or released. Following recorded approval, we will confirm the credit, communicate the outcome, and proceed with the Friday release.</t>
  </si>
  <si>
    <t xml:space="preserve">Regards,
Jelena Desrosiers
Wholesale Account Representative
Pinehollow Energy, Commercial Equipment</t>
  </si>
  <si>
    <t xml:space="preserve">Control reference: CT-8.2; REV-04; REV-05. Send only after the approval record is completed.</t>
  </si>
  <si>
    <t xml:space="preserve">Approval and Release Action Register</t>
  </si>
  <si>
    <t xml:space="preserve">Execution sequence for the Thursday approval cutoff and Friday release. All unapproved actions remain on hold.</t>
  </si>
  <si>
    <t xml:space="preserve">Overall status</t>
  </si>
  <si>
    <t xml:space="preserve">Action ID</t>
  </si>
  <si>
    <t xml:space="preserve">Next step</t>
  </si>
  <si>
    <t xml:space="preserve">Owner / operating function</t>
  </si>
  <si>
    <t xml:space="preserve">Due date / time</t>
  </si>
  <si>
    <t xml:space="preserve">Dependency</t>
  </si>
  <si>
    <t xml:space="preserve">Current status</t>
  </si>
  <si>
    <t xml:space="preserve">Evidence / control</t>
  </si>
  <si>
    <t xml:space="preserve">ACT-01</t>
  </si>
  <si>
    <t xml:space="preserve">Submit the reconciled recommendation and supporting option comparison for decision.</t>
  </si>
  <si>
    <t xml:space="preserve">Jelena Desrosiers, Wholesale account representative</t>
  </si>
  <si>
    <t xml:space="preserve">Thu 11 Apr 2030, 15:45</t>
  </si>
  <si>
    <t xml:space="preserve">Reconciliation and recommendation complete</t>
  </si>
  <si>
    <t xml:space="preserve">Ready for approval review</t>
  </si>
  <si>
    <t xml:space="preserve">REV-01 / REV-02 / REV-04</t>
  </si>
  <si>
    <t xml:space="preserve">ACT-02</t>
  </si>
  <si>
    <t xml:space="preserve">Record the approval decision for the recommended credit-and-replacement remedy.</t>
  </si>
  <si>
    <t xml:space="preserve">Thu 11 Apr 2030, 16:00</t>
  </si>
  <si>
    <t xml:space="preserve">ACT-01; approval record remains blank until decision</t>
  </si>
  <si>
    <t xml:space="preserve">REV-04 / CT-8.2</t>
  </si>
  <si>
    <t xml:space="preserve">ACT-03</t>
  </si>
  <si>
    <t xml:space="preserve">Place provisional inventory lock for 19 MD-ALP-8; 5 MD-VRT-1; 3 MD-NEX-4; prepare one EM-2 / EXP-12 dispatch and hold it.</t>
  </si>
  <si>
    <t xml:space="preserve">Ivo Novotny, Operations release</t>
  </si>
  <si>
    <t xml:space="preserve">Thu 11 Apr 2030, 15:00</t>
  </si>
  <si>
    <t xml:space="preserve">Confirmed replacement schedule; no dispatch before ACT-02</t>
  </si>
  <si>
    <t xml:space="preserve">Prepared / hold pending approval</t>
  </si>
  <si>
    <t xml:space="preserve">REV-03 / REV-06 / CT-6.3</t>
  </si>
  <si>
    <t xml:space="preserve">ACT-04</t>
  </si>
  <si>
    <t xml:space="preserve">Set up and issue the £398.82 cash credit in GBP on the same day after approval.</t>
  </si>
  <si>
    <t xml:space="preserve">Credit Desk</t>
  </si>
  <si>
    <t xml:space="preserve">Thu 11 Apr 2030, same day after approval</t>
  </si>
  <si>
    <t xml:space="preserve">ACT-02 recorded approval; selected credit basis and cash-credit calculation</t>
  </si>
  <si>
    <t xml:space="preserve">REV-05 / CT-7.1 / CT-8.2</t>
  </si>
  <si>
    <t xml:space="preserve">ACT-05</t>
  </si>
  <si>
    <t xml:space="preserve">Send the approved revised outcome and release timing to Efua Calloway.</t>
  </si>
  <si>
    <t xml:space="preserve">Thu 11 Apr 2030, immediately after ACT-02</t>
  </si>
  <si>
    <t xml:space="preserve">ACT-02 recorded approval; ACT-04 credit reference available</t>
  </si>
  <si>
    <t xml:space="preserve">REV-01 / REV-05 / CT-8.2</t>
  </si>
  <si>
    <t xml:space="preserve">ACT-06</t>
  </si>
  <si>
    <t xml:space="preserve">Release the one consolidated replacement of 27 individual stands for dispatch.</t>
  </si>
  <si>
    <t xml:space="preserve">Fri 12 Apr 2030, 09:00</t>
  </si>
  <si>
    <t xml:space="preserve">ACT-02 recorded approval; ACT-03 lock; ACT-05 customer communication</t>
  </si>
  <si>
    <t xml:space="preserve">REV-03 / REV-05 / REV-06 / CT-6.3 / CT-8.2</t>
  </si>
  <si>
    <t xml:space="preserve">Release gate</t>
  </si>
  <si>
    <t xml:space="preserve">No credit issue, customer communication, or dispatch is authorized before Gitta Rutkowski's recorded approval.</t>
  </si>
</sst>
</file>

<file path=xl/styles.xml><?xml version="1.0" encoding="utf-8"?>
<styleSheet xmlns="http://schemas.openxmlformats.org/spreadsheetml/2006/main">
  <numFmts count="5">
    <numFmt numFmtId="164" formatCode="General"/>
    <numFmt numFmtId="165" formatCode="#,##0"/>
    <numFmt numFmtId="166" formatCode="\£#,##0.00"/>
    <numFmt numFmtId="167" formatCode="0.00%"/>
    <numFmt numFmtId="168" formatCode="General"/>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sz val="10"/>
      <color rgb="FF404040"/>
      <name val="Calibri"/>
      <family val="0"/>
      <charset val="1"/>
    </font>
    <font>
      <b val="true"/>
      <sz val="11"/>
      <color rgb="FFFFFFFF"/>
      <name val="Calibri"/>
      <family val="0"/>
      <charset val="1"/>
    </font>
    <font>
      <b val="true"/>
      <sz val="10"/>
      <color rgb="FF17324D"/>
      <name val="Calibri"/>
      <family val="0"/>
      <charset val="1"/>
    </font>
    <font>
      <sz val="10"/>
      <color rgb="FF000000"/>
      <name val="Calibri"/>
      <family val="0"/>
      <charset val="1"/>
    </font>
    <font>
      <b val="true"/>
      <sz val="10"/>
      <color rgb="FF9C6500"/>
      <name val="Calibri"/>
      <family val="0"/>
      <charset val="1"/>
    </font>
    <font>
      <i val="true"/>
      <sz val="10"/>
      <color rgb="FF9C6500"/>
      <name val="Calibri"/>
      <family val="0"/>
      <charset val="1"/>
    </font>
    <font>
      <b val="true"/>
      <sz val="12"/>
      <color rgb="FF1F1F1F"/>
      <name val="Calibri"/>
      <family val="0"/>
      <charset val="1"/>
    </font>
    <font>
      <b val="true"/>
      <sz val="10"/>
      <color rgb="FF1F1F1F"/>
      <name val="Calibri"/>
      <family val="0"/>
      <charset val="1"/>
    </font>
    <font>
      <sz val="10"/>
      <name val="Calibri"/>
      <family val="0"/>
      <charset val="1"/>
    </font>
    <font>
      <i val="true"/>
      <sz val="8"/>
      <color rgb="FF666666"/>
      <name val="Calibri"/>
      <family val="0"/>
      <charset val="1"/>
    </font>
    <font>
      <b val="true"/>
      <sz val="9"/>
      <color rgb="FFFFFFFF"/>
      <name val="Calibri"/>
      <family val="0"/>
      <charset val="1"/>
    </font>
    <font>
      <sz val="9"/>
      <color rgb="FF000000"/>
      <name val="Calibri"/>
      <family val="0"/>
      <charset val="1"/>
    </font>
    <font>
      <i val="true"/>
      <sz val="9"/>
      <color rgb="FF404040"/>
      <name val="Calibri"/>
      <family val="0"/>
      <charset val="1"/>
    </font>
    <font>
      <b val="true"/>
      <sz val="10"/>
      <name val="Calibri"/>
      <family val="0"/>
      <charset val="1"/>
    </font>
    <font>
      <sz val="9"/>
      <name val="Calibri"/>
      <family val="0"/>
      <charset val="1"/>
    </font>
    <font>
      <b val="true"/>
      <sz val="9"/>
      <color rgb="FF9C6500"/>
      <name val="Calibri"/>
      <family val="0"/>
      <charset val="1"/>
    </font>
  </fonts>
  <fills count="13">
    <fill>
      <patternFill patternType="none"/>
    </fill>
    <fill>
      <patternFill patternType="gray125"/>
    </fill>
    <fill>
      <patternFill patternType="solid">
        <fgColor rgb="FF17324D"/>
        <bgColor rgb="FF1F1F1F"/>
      </patternFill>
    </fill>
    <fill>
      <patternFill patternType="solid">
        <fgColor rgb="FF1F6D77"/>
        <bgColor rgb="FF3B6C8E"/>
      </patternFill>
    </fill>
    <fill>
      <patternFill patternType="solid">
        <fgColor rgb="FFFFF2CC"/>
        <bgColor rgb="FFF2F2F2"/>
      </patternFill>
    </fill>
    <fill>
      <patternFill patternType="solid">
        <fgColor rgb="FF7F6000"/>
        <bgColor rgb="FF9C6500"/>
      </patternFill>
    </fill>
    <fill>
      <patternFill patternType="solid">
        <fgColor rgb="FFF2F2F2"/>
        <bgColor rgb="FFF7FAFC"/>
      </patternFill>
    </fill>
    <fill>
      <patternFill patternType="solid">
        <fgColor rgb="FF548235"/>
        <bgColor rgb="FF666666"/>
      </patternFill>
    </fill>
    <fill>
      <patternFill patternType="solid">
        <fgColor rgb="FFE2F0D9"/>
        <bgColor rgb="FFDDEFEF"/>
      </patternFill>
    </fill>
    <fill>
      <patternFill patternType="solid">
        <fgColor rgb="FFDDEFEF"/>
        <bgColor rgb="FFDCEAF2"/>
      </patternFill>
    </fill>
    <fill>
      <patternFill patternType="solid">
        <fgColor rgb="FFDCEAF2"/>
        <bgColor rgb="FFDDEFEF"/>
      </patternFill>
    </fill>
    <fill>
      <patternFill patternType="solid">
        <fgColor rgb="FF3B6C8E"/>
        <bgColor rgb="FF1F6D77"/>
      </patternFill>
    </fill>
    <fill>
      <patternFill patternType="solid">
        <fgColor rgb="FFF7FAFC"/>
        <bgColor rgb="FFFFFFFF"/>
      </patternFill>
    </fill>
  </fills>
  <borders count="6">
    <border diagonalUp="false" diagonalDown="false">
      <left/>
      <right/>
      <top/>
      <bottom/>
      <diagonal/>
    </border>
    <border diagonalUp="false" diagonalDown="false">
      <left style="thin">
        <color rgb="FFB7C9D3"/>
      </left>
      <right style="thin">
        <color rgb="FFB7C9D3"/>
      </right>
      <top style="thin">
        <color rgb="FFB7C9D3"/>
      </top>
      <bottom style="thin">
        <color rgb="FFB7C9D3"/>
      </bottom>
      <diagonal/>
    </border>
    <border diagonalUp="false" diagonalDown="false">
      <left style="thin">
        <color rgb="FFB7C9D3"/>
      </left>
      <right/>
      <top style="thin">
        <color rgb="FFB7C9D3"/>
      </top>
      <bottom style="thin">
        <color rgb="FFB7C9D3"/>
      </bottom>
      <diagonal/>
    </border>
    <border diagonalUp="false" diagonalDown="false">
      <left style="thin">
        <color rgb="FFB7C9D3"/>
      </left>
      <right/>
      <top style="thin">
        <color rgb="FFB7C9D3"/>
      </top>
      <bottom/>
      <diagonal/>
    </border>
    <border diagonalUp="false" diagonalDown="false">
      <left style="thin">
        <color rgb="FFB7C9D3"/>
      </left>
      <right style="thin">
        <color rgb="FFB7C9D3"/>
      </right>
      <top style="medium">
        <color rgb="FF17324D"/>
      </top>
      <bottom style="medium">
        <color rgb="FF17324D"/>
      </bottom>
      <diagonal/>
    </border>
    <border diagonalUp="false" diagonalDown="false">
      <left/>
      <right/>
      <top/>
      <bottom style="hair">
        <color rgb="FFD9E1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5" borderId="0" xfId="0" applyFont="true" applyBorder="true" applyAlignment="true" applyProtection="false">
      <alignment horizontal="general" vertical="center" textRotation="0" wrapText="false" indent="0" shrinkToFit="false"/>
      <protection locked="true" hidden="false"/>
    </xf>
    <xf numFmtId="164" fontId="8" fillId="6" borderId="2" xfId="0" applyFont="true" applyBorder="true" applyAlignment="true" applyProtection="false">
      <alignment horizontal="general" vertical="top" textRotation="0" wrapText="tru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4" fontId="6" fillId="7" borderId="0" xfId="0" applyFont="true" applyBorder="true" applyAlignment="true" applyProtection="false">
      <alignment horizontal="general" vertical="center" textRotation="0" wrapText="false" indent="0" shrinkToFit="false"/>
      <protection locked="true" hidden="false"/>
    </xf>
    <xf numFmtId="164" fontId="11" fillId="8" borderId="2" xfId="0" applyFont="true" applyBorder="true" applyAlignment="true" applyProtection="false">
      <alignment horizontal="general" vertical="center" textRotation="0" wrapText="true" indent="0" shrinkToFit="false"/>
      <protection locked="true" hidden="false"/>
    </xf>
    <xf numFmtId="165" fontId="12" fillId="8"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6" fontId="12" fillId="8" borderId="2" xfId="0" applyFont="true" applyBorder="true" applyAlignment="true" applyProtection="false">
      <alignment horizontal="general" vertical="top" textRotation="0" wrapText="true" indent="0" shrinkToFit="false"/>
      <protection locked="true" hidden="false"/>
    </xf>
    <xf numFmtId="164" fontId="13" fillId="9" borderId="3" xfId="0" applyFont="true" applyBorder="true" applyAlignment="true" applyProtection="false">
      <alignment horizontal="general" vertical="top" textRotation="0" wrapText="true" indent="0" shrinkToFit="false"/>
      <protection locked="true" hidden="false"/>
    </xf>
    <xf numFmtId="164" fontId="13" fillId="10" borderId="3" xfId="0" applyFont="true" applyBorder="true" applyAlignment="true" applyProtection="false">
      <alignment horizontal="general" vertical="top" textRotation="0" wrapText="true" indent="0" shrinkToFit="false"/>
      <protection locked="true" hidden="false"/>
    </xf>
    <xf numFmtId="164" fontId="13" fillId="0" borderId="3"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5" fillId="11" borderId="4"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12"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general" vertical="top" textRotation="0" wrapText="true" indent="0" shrinkToFit="false"/>
      <protection locked="true" hidden="false"/>
    </xf>
    <xf numFmtId="166" fontId="16" fillId="1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general" vertical="top" textRotation="0" wrapText="true" indent="0" shrinkToFit="false"/>
      <protection locked="true" hidden="false"/>
    </xf>
    <xf numFmtId="167" fontId="16" fillId="12" borderId="1" xfId="0" applyFont="true" applyBorder="true" applyAlignment="true" applyProtection="false">
      <alignment horizontal="general" vertical="top" textRotation="0" wrapText="true" indent="0" shrinkToFit="false"/>
      <protection locked="true" hidden="false"/>
    </xf>
    <xf numFmtId="164" fontId="17" fillId="4" borderId="0" xfId="0" applyFont="true" applyBorder="true" applyAlignment="true" applyProtection="false">
      <alignment horizontal="general" vertical="center" textRotation="0" wrapText="tru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6" fontId="18" fillId="9" borderId="1" xfId="0" applyFont="true" applyBorder="true" applyAlignment="true" applyProtection="false">
      <alignment horizontal="general" vertical="top" textRotation="0" wrapText="true" indent="0" shrinkToFit="false"/>
      <protection locked="true" hidden="false"/>
    </xf>
    <xf numFmtId="164" fontId="15" fillId="7" borderId="4"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general" vertical="center" textRotation="0" wrapText="true" indent="0" shrinkToFit="false"/>
      <protection locked="true" hidden="false"/>
    </xf>
    <xf numFmtId="165" fontId="19" fillId="0" borderId="1" xfId="0" applyFont="true" applyBorder="true" applyAlignment="true" applyProtection="false">
      <alignment horizontal="general" vertical="center" textRotation="0" wrapText="true" indent="0" shrinkToFit="false"/>
      <protection locked="true" hidden="false"/>
    </xf>
    <xf numFmtId="166" fontId="19" fillId="0"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xf numFmtId="166" fontId="7" fillId="8" borderId="1" xfId="0" applyFont="true" applyBorder="true" applyAlignment="true" applyProtection="false">
      <alignment horizontal="general" vertical="center" textRotation="0" wrapText="tru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true" applyAlignment="true" applyProtection="false">
      <alignment horizontal="general" vertical="center" textRotation="0" wrapText="tru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1F6D77"/>
      <rgbColor rgb="FFB7C9D3"/>
      <rgbColor rgb="FF808080"/>
      <rgbColor rgb="FF9999FF"/>
      <rgbColor rgb="FF993366"/>
      <rgbColor rgb="FFFFF2CC"/>
      <rgbColor rgb="FFDDEFEF"/>
      <rgbColor rgb="FF660066"/>
      <rgbColor rgb="FFFF8080"/>
      <rgbColor rgb="FF0066CC"/>
      <rgbColor rgb="FFD9E1F2"/>
      <rgbColor rgb="FF000080"/>
      <rgbColor rgb="FFFF00FF"/>
      <rgbColor rgb="FFFFFF00"/>
      <rgbColor rgb="FF00FFFF"/>
      <rgbColor rgb="FF800080"/>
      <rgbColor rgb="FF800000"/>
      <rgbColor rgb="FF3B6C8E"/>
      <rgbColor rgb="FF0000FF"/>
      <rgbColor rgb="FF00CCFF"/>
      <rgbColor rgb="FFDCEAF2"/>
      <rgbColor rgb="FFE2F0D9"/>
      <rgbColor rgb="FFF2F2F2"/>
      <rgbColor rgb="FF99CCFF"/>
      <rgbColor rgb="FFFF99CC"/>
      <rgbColor rgb="FFCC99FF"/>
      <rgbColor rgb="FFF7FAFC"/>
      <rgbColor rgb="FF3366FF"/>
      <rgbColor rgb="FF33CCCC"/>
      <rgbColor rgb="FF99CC00"/>
      <rgbColor rgb="FFFFCC00"/>
      <rgbColor rgb="FFFF9900"/>
      <rgbColor rgb="FFFF6600"/>
      <rgbColor rgb="FF666666"/>
      <rgbColor rgb="FF969696"/>
      <rgbColor rgb="FF17324D"/>
      <rgbColor rgb="FF548235"/>
      <rgbColor rgb="FF003300"/>
      <rgbColor rgb="FF1F1F1F"/>
      <rgbColor rgb="FF9C65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1"/>
    <col collapsed="false" customWidth="true" hidden="false" outlineLevel="0" max="2" min="2" style="0" width="18"/>
    <col collapsed="false" customWidth="true" hidden="false" outlineLevel="0" max="3" min="3" style="0" width="10"/>
    <col collapsed="false" customWidth="true" hidden="false" outlineLevel="0" max="4" min="4" style="0" width="18"/>
    <col collapsed="false" customWidth="true" hidden="false" outlineLevel="0" max="5" min="5" style="0" width="13"/>
    <col collapsed="false" customWidth="true" hidden="false" outlineLevel="0" max="6" min="6" style="0" width="27"/>
    <col collapsed="false" customWidth="true" hidden="false" outlineLevel="0" max="7" min="7" style="0" width="19"/>
    <col collapsed="false" customWidth="true" hidden="false" outlineLevel="0" max="8" min="8" style="0" width="12"/>
  </cols>
  <sheetData>
    <row r="1" customFormat="false" ht="27.75"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3" customFormat="false" ht="7.5" hidden="false" customHeight="true" outlineLevel="0" collapsed="false"/>
    <row r="4" customFormat="false" ht="21" hidden="false" customHeight="true" outlineLevel="0" collapsed="false">
      <c r="A4" s="3" t="s">
        <v>2</v>
      </c>
      <c r="B4" s="3"/>
      <c r="C4" s="3"/>
      <c r="D4" s="3"/>
      <c r="E4" s="3"/>
      <c r="F4" s="3"/>
      <c r="G4" s="3"/>
      <c r="H4" s="3"/>
    </row>
    <row r="5" customFormat="false" ht="22.5" hidden="false" customHeight="true" outlineLevel="0" collapsed="false">
      <c r="A5" s="4" t="s">
        <v>3</v>
      </c>
      <c r="B5" s="5" t="s">
        <v>4</v>
      </c>
      <c r="C5" s="5"/>
      <c r="D5" s="5"/>
      <c r="E5" s="4" t="s">
        <v>5</v>
      </c>
      <c r="F5" s="5" t="s">
        <v>6</v>
      </c>
      <c r="G5" s="5"/>
      <c r="H5" s="5"/>
    </row>
    <row r="6" customFormat="false" ht="22.5" hidden="false" customHeight="true" outlineLevel="0" collapsed="false">
      <c r="A6" s="4" t="s">
        <v>7</v>
      </c>
      <c r="B6" s="5" t="s">
        <v>8</v>
      </c>
      <c r="C6" s="5"/>
      <c r="D6" s="5"/>
      <c r="E6" s="4" t="s">
        <v>9</v>
      </c>
      <c r="F6" s="5" t="s">
        <v>10</v>
      </c>
      <c r="G6" s="5"/>
      <c r="H6" s="5"/>
    </row>
    <row r="7" customFormat="false" ht="22.5" hidden="false" customHeight="true" outlineLevel="0" collapsed="false">
      <c r="A7" s="4" t="s">
        <v>11</v>
      </c>
      <c r="B7" s="5" t="s">
        <v>12</v>
      </c>
      <c r="C7" s="5"/>
      <c r="D7" s="5"/>
      <c r="E7" s="4" t="s">
        <v>13</v>
      </c>
      <c r="F7" s="5" t="s">
        <v>14</v>
      </c>
      <c r="G7" s="5"/>
      <c r="H7" s="5"/>
    </row>
    <row r="8" customFormat="false" ht="22.5" hidden="false" customHeight="true" outlineLevel="0" collapsed="false">
      <c r="A8" s="4" t="s">
        <v>15</v>
      </c>
      <c r="B8" s="6" t="s">
        <v>16</v>
      </c>
      <c r="C8" s="6"/>
      <c r="D8" s="6"/>
      <c r="E8" s="4" t="s">
        <v>17</v>
      </c>
      <c r="F8" s="7" t="s">
        <v>18</v>
      </c>
      <c r="G8" s="7"/>
      <c r="H8" s="7"/>
    </row>
    <row r="10" customFormat="false" ht="21" hidden="false" customHeight="true" outlineLevel="0" collapsed="false">
      <c r="A10" s="8" t="s">
        <v>19</v>
      </c>
      <c r="B10" s="8"/>
      <c r="C10" s="8"/>
      <c r="D10" s="8"/>
      <c r="E10" s="8"/>
      <c r="F10" s="8"/>
      <c r="G10" s="8"/>
      <c r="H10" s="8"/>
    </row>
    <row r="11" customFormat="false" ht="22.5" hidden="false" customHeight="true" outlineLevel="0" collapsed="false">
      <c r="A11" s="4" t="s">
        <v>20</v>
      </c>
      <c r="B11" s="9"/>
      <c r="C11" s="9"/>
      <c r="D11" s="9"/>
      <c r="E11" s="10" t="s">
        <v>21</v>
      </c>
      <c r="F11" s="10"/>
      <c r="G11" s="10"/>
      <c r="H11" s="10"/>
    </row>
    <row r="12" customFormat="false" ht="22.5" hidden="false" customHeight="true" outlineLevel="0" collapsed="false">
      <c r="A12" s="4" t="s">
        <v>22</v>
      </c>
      <c r="B12" s="9"/>
      <c r="C12" s="9"/>
      <c r="D12" s="9"/>
      <c r="E12" s="10" t="s">
        <v>21</v>
      </c>
      <c r="F12" s="10"/>
      <c r="G12" s="10"/>
      <c r="H12" s="10"/>
    </row>
    <row r="13" customFormat="false" ht="22.5" hidden="false" customHeight="true" outlineLevel="0" collapsed="false">
      <c r="A13" s="4" t="s">
        <v>23</v>
      </c>
      <c r="B13" s="9"/>
      <c r="C13" s="9"/>
      <c r="D13" s="9"/>
      <c r="E13" s="10" t="s">
        <v>21</v>
      </c>
      <c r="F13" s="10"/>
      <c r="G13" s="10"/>
      <c r="H13" s="10"/>
    </row>
    <row r="14" customFormat="false" ht="22.5" hidden="false" customHeight="true" outlineLevel="0" collapsed="false">
      <c r="A14" s="4" t="s">
        <v>24</v>
      </c>
      <c r="B14" s="9"/>
      <c r="C14" s="9"/>
      <c r="D14" s="9"/>
      <c r="E14" s="10" t="s">
        <v>21</v>
      </c>
      <c r="F14" s="10"/>
      <c r="G14" s="10"/>
      <c r="H14" s="10"/>
    </row>
    <row r="16" customFormat="false" ht="21" hidden="false" customHeight="true" outlineLevel="0" collapsed="false">
      <c r="A16" s="11" t="s">
        <v>25</v>
      </c>
      <c r="B16" s="11"/>
      <c r="C16" s="11"/>
      <c r="D16" s="11"/>
      <c r="E16" s="11"/>
      <c r="F16" s="11"/>
      <c r="G16" s="11"/>
      <c r="H16" s="11"/>
    </row>
    <row r="17" customFormat="false" ht="30.75" hidden="false" customHeight="true" outlineLevel="0" collapsed="false">
      <c r="A17" s="12" t="s">
        <v>26</v>
      </c>
      <c r="B17" s="12"/>
      <c r="C17" s="12"/>
      <c r="D17" s="12"/>
      <c r="E17" s="12"/>
      <c r="F17" s="12"/>
      <c r="G17" s="12"/>
      <c r="H17" s="12"/>
    </row>
    <row r="19" customFormat="false" ht="22.5" hidden="false" customHeight="true" outlineLevel="0" collapsed="false">
      <c r="A19" s="4" t="s">
        <v>27</v>
      </c>
      <c r="B19" s="13" t="n">
        <f aca="false">'Option Comparison'!C21</f>
        <v>27</v>
      </c>
      <c r="C19" s="13"/>
      <c r="D19" s="14" t="s">
        <v>28</v>
      </c>
      <c r="E19" s="14"/>
      <c r="F19" s="4" t="s">
        <v>29</v>
      </c>
      <c r="G19" s="15" t="s">
        <v>30</v>
      </c>
      <c r="H19" s="15"/>
    </row>
    <row r="20" customFormat="false" ht="22.5" hidden="false" customHeight="true" outlineLevel="0" collapsed="false">
      <c r="A20" s="4" t="s">
        <v>31</v>
      </c>
      <c r="B20" s="16" t="n">
        <f aca="false">'Option Comparison'!C27</f>
        <v>398.82</v>
      </c>
      <c r="C20" s="16"/>
      <c r="D20" s="14" t="s">
        <v>14</v>
      </c>
      <c r="E20" s="14"/>
      <c r="F20" s="4" t="s">
        <v>29</v>
      </c>
      <c r="G20" s="15" t="s">
        <v>30</v>
      </c>
      <c r="H20" s="15"/>
    </row>
    <row r="21" customFormat="false" ht="22.5" hidden="false" customHeight="true" outlineLevel="0" collapsed="false">
      <c r="A21" s="4" t="s">
        <v>32</v>
      </c>
      <c r="B21" s="16" t="n">
        <f aca="false">'Option Comparison'!C22</f>
        <v>2383.25</v>
      </c>
      <c r="C21" s="16"/>
      <c r="D21" s="14" t="s">
        <v>14</v>
      </c>
      <c r="E21" s="14"/>
      <c r="F21" s="4" t="s">
        <v>29</v>
      </c>
      <c r="G21" s="15" t="s">
        <v>30</v>
      </c>
      <c r="H21" s="15"/>
    </row>
    <row r="22" customFormat="false" ht="22.5" hidden="false" customHeight="true" outlineLevel="0" collapsed="false">
      <c r="A22" s="4" t="s">
        <v>33</v>
      </c>
      <c r="B22" s="16" t="n">
        <f aca="false">'Option Comparison'!C24</f>
        <v>413.49</v>
      </c>
      <c r="C22" s="16"/>
      <c r="D22" s="14" t="s">
        <v>14</v>
      </c>
      <c r="E22" s="14"/>
      <c r="F22" s="4" t="s">
        <v>29</v>
      </c>
      <c r="G22" s="15" t="s">
        <v>30</v>
      </c>
      <c r="H22" s="15"/>
    </row>
    <row r="23" customFormat="false" ht="22.5" hidden="false" customHeight="true" outlineLevel="0" collapsed="false">
      <c r="A23" s="4" t="s">
        <v>34</v>
      </c>
      <c r="B23" s="16" t="n">
        <f aca="false">'Option Comparison'!C30</f>
        <v>2294.31</v>
      </c>
      <c r="C23" s="16"/>
      <c r="D23" s="14" t="s">
        <v>14</v>
      </c>
      <c r="E23" s="14"/>
      <c r="F23" s="4" t="s">
        <v>29</v>
      </c>
      <c r="G23" s="15" t="s">
        <v>30</v>
      </c>
      <c r="H23" s="15"/>
    </row>
    <row r="24" customFormat="false" ht="22.5" hidden="false" customHeight="true" outlineLevel="0" collapsed="false">
      <c r="A24" s="4" t="s">
        <v>35</v>
      </c>
      <c r="B24" s="16" t="n">
        <f aca="false">'Option Comparison'!B32</f>
        <v>398.82</v>
      </c>
      <c r="C24" s="16"/>
      <c r="D24" s="14" t="s">
        <v>14</v>
      </c>
      <c r="E24" s="14"/>
      <c r="F24" s="4" t="s">
        <v>29</v>
      </c>
      <c r="G24" s="9" t="s">
        <v>36</v>
      </c>
      <c r="H24" s="9"/>
    </row>
    <row r="26" customFormat="false" ht="21" hidden="false" customHeight="true" outlineLevel="0" collapsed="false">
      <c r="A26" s="3" t="s">
        <v>37</v>
      </c>
      <c r="B26" s="3"/>
      <c r="C26" s="3"/>
      <c r="D26" s="3"/>
      <c r="E26" s="3"/>
      <c r="F26" s="3"/>
      <c r="G26" s="3"/>
      <c r="H26" s="3"/>
    </row>
    <row r="27" customFormat="false" ht="28.5" hidden="false" customHeight="true" outlineLevel="0" collapsed="false">
      <c r="A27" s="17" t="s">
        <v>38</v>
      </c>
      <c r="B27" s="17"/>
      <c r="C27" s="17"/>
      <c r="D27" s="17"/>
      <c r="E27" s="17"/>
      <c r="F27" s="17"/>
      <c r="G27" s="17"/>
      <c r="H27" s="17"/>
    </row>
    <row r="28" customFormat="false" ht="28.5" hidden="false" customHeight="true" outlineLevel="0" collapsed="false">
      <c r="A28" s="17"/>
      <c r="B28" s="17"/>
      <c r="C28" s="17"/>
      <c r="D28" s="17"/>
      <c r="E28" s="17"/>
      <c r="F28" s="17"/>
      <c r="G28" s="17"/>
      <c r="H28" s="17"/>
    </row>
    <row r="29" customFormat="false" ht="27.75" hidden="false" customHeight="true" outlineLevel="0" collapsed="false">
      <c r="A29" s="18" t="s">
        <v>39</v>
      </c>
      <c r="B29" s="18"/>
      <c r="C29" s="18"/>
      <c r="D29" s="18"/>
      <c r="E29" s="18"/>
      <c r="F29" s="18"/>
      <c r="G29" s="18"/>
      <c r="H29" s="18"/>
    </row>
    <row r="30" customFormat="false" ht="27.75" hidden="false" customHeight="true" outlineLevel="0" collapsed="false">
      <c r="A30" s="18"/>
      <c r="B30" s="18"/>
      <c r="C30" s="18"/>
      <c r="D30" s="18"/>
      <c r="E30" s="18"/>
      <c r="F30" s="18"/>
      <c r="G30" s="18"/>
      <c r="H30" s="18"/>
    </row>
    <row r="32" customFormat="false" ht="21" hidden="false" customHeight="true" outlineLevel="0" collapsed="false">
      <c r="A32" s="3" t="s">
        <v>40</v>
      </c>
      <c r="B32" s="3"/>
      <c r="C32" s="3"/>
      <c r="D32" s="3"/>
      <c r="E32" s="3"/>
      <c r="F32" s="3"/>
      <c r="G32" s="3"/>
      <c r="H32" s="3"/>
    </row>
    <row r="33" customFormat="false" ht="33" hidden="false" customHeight="true" outlineLevel="0" collapsed="false">
      <c r="A33" s="19" t="s">
        <v>41</v>
      </c>
      <c r="B33" s="19"/>
      <c r="C33" s="19"/>
      <c r="D33" s="19"/>
      <c r="E33" s="19"/>
      <c r="F33" s="19"/>
      <c r="G33" s="19"/>
      <c r="H33" s="19"/>
    </row>
    <row r="34" customFormat="false" ht="33" hidden="false" customHeight="true" outlineLevel="0" collapsed="false">
      <c r="A34" s="19"/>
      <c r="B34" s="19"/>
      <c r="C34" s="19"/>
      <c r="D34" s="19"/>
      <c r="E34" s="19"/>
      <c r="F34" s="19"/>
      <c r="G34" s="19"/>
      <c r="H34" s="19"/>
    </row>
    <row r="35" customFormat="false" ht="33" hidden="false" customHeight="true" outlineLevel="0" collapsed="false">
      <c r="A35" s="19"/>
      <c r="B35" s="19"/>
      <c r="C35" s="19"/>
      <c r="D35" s="19"/>
      <c r="E35" s="19"/>
      <c r="F35" s="19"/>
      <c r="G35" s="19"/>
      <c r="H35" s="19"/>
    </row>
    <row r="37" customFormat="false" ht="24.75" hidden="false" customHeight="true" outlineLevel="0" collapsed="false">
      <c r="A37" s="20" t="s">
        <v>42</v>
      </c>
      <c r="B37" s="20"/>
      <c r="C37" s="20"/>
      <c r="D37" s="20"/>
      <c r="E37" s="20"/>
      <c r="F37" s="20"/>
      <c r="G37" s="20"/>
      <c r="H37" s="20"/>
    </row>
  </sheetData>
  <mergeCells count="46">
    <mergeCell ref="A1:H1"/>
    <mergeCell ref="A2:H2"/>
    <mergeCell ref="A4:H4"/>
    <mergeCell ref="B5:D5"/>
    <mergeCell ref="F5:H5"/>
    <mergeCell ref="B6:D6"/>
    <mergeCell ref="F6:H6"/>
    <mergeCell ref="B7:D7"/>
    <mergeCell ref="F7:H7"/>
    <mergeCell ref="B8:D8"/>
    <mergeCell ref="F8:H8"/>
    <mergeCell ref="A10:H10"/>
    <mergeCell ref="B11:D11"/>
    <mergeCell ref="E11:H11"/>
    <mergeCell ref="B12:D12"/>
    <mergeCell ref="E12:H12"/>
    <mergeCell ref="B13:D13"/>
    <mergeCell ref="E13:H13"/>
    <mergeCell ref="B14:D14"/>
    <mergeCell ref="E14:H14"/>
    <mergeCell ref="A16:H16"/>
    <mergeCell ref="A17:H17"/>
    <mergeCell ref="B19:C19"/>
    <mergeCell ref="D19:E19"/>
    <mergeCell ref="G19:H19"/>
    <mergeCell ref="B20:C20"/>
    <mergeCell ref="D20:E20"/>
    <mergeCell ref="G20:H20"/>
    <mergeCell ref="B21:C21"/>
    <mergeCell ref="D21:E21"/>
    <mergeCell ref="G21:H21"/>
    <mergeCell ref="B22:C22"/>
    <mergeCell ref="D22:E22"/>
    <mergeCell ref="G22:H22"/>
    <mergeCell ref="B23:C23"/>
    <mergeCell ref="D23:E23"/>
    <mergeCell ref="G23:H23"/>
    <mergeCell ref="B24:C24"/>
    <mergeCell ref="D24:E24"/>
    <mergeCell ref="G24:H24"/>
    <mergeCell ref="A26:H26"/>
    <mergeCell ref="A27:H28"/>
    <mergeCell ref="A29:H30"/>
    <mergeCell ref="A32:H32"/>
    <mergeCell ref="A33:H35"/>
    <mergeCell ref="A37:H37"/>
  </mergeCells>
  <printOptions headings="false" gridLines="false" gridLinesSet="true" horizontalCentered="false" verticalCentered="false"/>
  <pageMargins left="0.25" right="0.25" top="0.45" bottom="0.4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&amp;LPinehollow Energy | Commercial Equipment&amp;RPage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4" min="3" style="0" width="24"/>
    <col collapsed="false" customWidth="true" hidden="false" outlineLevel="0" max="5" min="5" style="0" width="13"/>
    <col collapsed="false" customWidth="true" hidden="false" outlineLevel="0" max="6" min="6" style="0" width="15"/>
    <col collapsed="false" customWidth="true" hidden="false" outlineLevel="0" max="8" min="7" style="0" width="16"/>
    <col collapsed="false" customWidth="true" hidden="false" outlineLevel="0" max="9" min="9" style="0" width="19"/>
    <col collapsed="false" customWidth="true" hidden="false" outlineLevel="0" max="10" min="10" style="0" width="18"/>
    <col collapsed="false" customWidth="true" hidden="false" outlineLevel="0" max="11" min="11" style="0" width="40"/>
  </cols>
  <sheetData>
    <row r="1" customFormat="false" ht="27.75" hidden="false" customHeight="true" outlineLevel="0" collapsed="false">
      <c r="A1" s="1" t="s">
        <v>43</v>
      </c>
      <c r="B1" s="1"/>
      <c r="C1" s="1"/>
      <c r="D1" s="1"/>
      <c r="E1" s="1"/>
      <c r="F1" s="1"/>
      <c r="G1" s="1"/>
      <c r="H1" s="1"/>
      <c r="I1" s="1"/>
      <c r="J1" s="1"/>
      <c r="K1" s="1"/>
    </row>
    <row r="2" customFormat="false" ht="19.5" hidden="false" customHeight="true" outlineLevel="0" collapsed="false">
      <c r="A2" s="2" t="s">
        <v>44</v>
      </c>
      <c r="B2" s="2"/>
      <c r="C2" s="2"/>
      <c r="D2" s="2"/>
      <c r="E2" s="2"/>
      <c r="F2" s="2"/>
      <c r="G2" s="2"/>
      <c r="H2" s="2"/>
      <c r="I2" s="2"/>
      <c r="J2" s="2"/>
      <c r="K2" s="2"/>
    </row>
    <row r="4" customFormat="false" ht="21" hidden="false" customHeight="true" outlineLevel="0" collapsed="false">
      <c r="A4" s="3" t="s">
        <v>45</v>
      </c>
      <c r="B4" s="3"/>
      <c r="C4" s="3"/>
      <c r="D4" s="3"/>
      <c r="E4" s="3"/>
      <c r="F4" s="3"/>
      <c r="G4" s="3"/>
      <c r="H4" s="3"/>
      <c r="I4" s="3"/>
      <c r="J4" s="3"/>
      <c r="K4" s="3"/>
    </row>
    <row r="5" customFormat="false" ht="30.75" hidden="false" customHeight="true" outlineLevel="0" collapsed="false">
      <c r="A5" s="21" t="s">
        <v>46</v>
      </c>
      <c r="B5" s="21" t="s">
        <v>47</v>
      </c>
      <c r="C5" s="21" t="s">
        <v>48</v>
      </c>
      <c r="D5" s="21" t="s">
        <v>49</v>
      </c>
      <c r="E5" s="21" t="s">
        <v>50</v>
      </c>
      <c r="F5" s="21" t="s">
        <v>51</v>
      </c>
      <c r="G5" s="21" t="s">
        <v>52</v>
      </c>
      <c r="H5" s="21" t="s">
        <v>53</v>
      </c>
      <c r="I5" s="21" t="s">
        <v>54</v>
      </c>
    </row>
    <row r="6" customFormat="false" ht="34.5" hidden="false" customHeight="true" outlineLevel="0" collapsed="false">
      <c r="A6" s="22" t="s">
        <v>55</v>
      </c>
      <c r="B6" s="22" t="s">
        <v>56</v>
      </c>
      <c r="C6" s="22" t="s">
        <v>57</v>
      </c>
      <c r="D6" s="22" t="s">
        <v>58</v>
      </c>
      <c r="E6" s="22" t="n">
        <v>5</v>
      </c>
      <c r="F6" s="22" t="s">
        <v>59</v>
      </c>
      <c r="G6" s="22" t="n">
        <v>8</v>
      </c>
      <c r="H6" s="22" t="n">
        <f aca="false">IF(F6="packs",E6*G6,E6)</f>
        <v>40</v>
      </c>
      <c r="I6" s="22" t="s">
        <v>60</v>
      </c>
    </row>
    <row r="7" customFormat="false" ht="34.5" hidden="false" customHeight="true" outlineLevel="0" collapsed="false">
      <c r="A7" s="23" t="s">
        <v>61</v>
      </c>
      <c r="B7" s="23" t="s">
        <v>62</v>
      </c>
      <c r="C7" s="23" t="s">
        <v>63</v>
      </c>
      <c r="D7" s="23" t="s">
        <v>64</v>
      </c>
      <c r="E7" s="23" t="n">
        <v>27</v>
      </c>
      <c r="F7" s="23" t="s">
        <v>28</v>
      </c>
      <c r="G7" s="23" t="n">
        <v>1</v>
      </c>
      <c r="H7" s="23" t="n">
        <f aca="false">IF(F7="packs",E7*G7,E7)</f>
        <v>27</v>
      </c>
      <c r="I7" s="23" t="s">
        <v>65</v>
      </c>
    </row>
    <row r="8" customFormat="false" ht="34.5" hidden="false" customHeight="true" outlineLevel="0" collapsed="false">
      <c r="A8" s="22" t="s">
        <v>66</v>
      </c>
      <c r="B8" s="22" t="s">
        <v>67</v>
      </c>
      <c r="C8" s="22" t="s">
        <v>68</v>
      </c>
      <c r="D8" s="22" t="s">
        <v>69</v>
      </c>
      <c r="E8" s="22" t="n">
        <v>6</v>
      </c>
      <c r="F8" s="22" t="s">
        <v>59</v>
      </c>
      <c r="G8" s="22" t="n">
        <v>4</v>
      </c>
      <c r="H8" s="22" t="n">
        <f aca="false">IF(F8="packs",E8*G8,E8)</f>
        <v>24</v>
      </c>
      <c r="I8" s="22" t="s">
        <v>70</v>
      </c>
    </row>
    <row r="10" customFormat="false" ht="21" hidden="false" customHeight="true" outlineLevel="0" collapsed="false">
      <c r="A10" s="3" t="s">
        <v>71</v>
      </c>
      <c r="B10" s="3"/>
      <c r="C10" s="3"/>
      <c r="D10" s="3"/>
      <c r="E10" s="3"/>
      <c r="F10" s="3"/>
      <c r="G10" s="3"/>
      <c r="H10" s="3"/>
      <c r="I10" s="3"/>
      <c r="J10" s="3"/>
      <c r="K10" s="3"/>
    </row>
    <row r="11" customFormat="false" ht="30.75" hidden="false" customHeight="true" outlineLevel="0" collapsed="false">
      <c r="A11" s="21" t="s">
        <v>47</v>
      </c>
      <c r="B11" s="21" t="s">
        <v>72</v>
      </c>
      <c r="C11" s="21" t="s">
        <v>73</v>
      </c>
      <c r="D11" s="21" t="s">
        <v>74</v>
      </c>
      <c r="E11" s="21" t="s">
        <v>75</v>
      </c>
      <c r="F11" s="21" t="s">
        <v>76</v>
      </c>
      <c r="G11" s="21" t="s">
        <v>77</v>
      </c>
      <c r="H11" s="21" t="s">
        <v>78</v>
      </c>
      <c r="I11" s="21" t="s">
        <v>79</v>
      </c>
      <c r="J11" s="21" t="s">
        <v>80</v>
      </c>
      <c r="K11" s="21" t="s">
        <v>81</v>
      </c>
    </row>
    <row r="12" customFormat="false" ht="36.75" hidden="false" customHeight="true" outlineLevel="0" collapsed="false">
      <c r="A12" s="22" t="s">
        <v>56</v>
      </c>
      <c r="B12" s="24" t="n">
        <v>86.5</v>
      </c>
      <c r="C12" s="24" t="n">
        <v>795.2</v>
      </c>
      <c r="D12" s="24" t="n">
        <f aca="false">C12/Reconciliation!G6</f>
        <v>99.4</v>
      </c>
      <c r="E12" s="24" t="n">
        <f aca="false">MAX(D12-B12,0)</f>
        <v>12.9</v>
      </c>
      <c r="F12" s="24" t="n">
        <v>54.25</v>
      </c>
      <c r="G12" s="22" t="n">
        <v>19</v>
      </c>
      <c r="H12" s="22" t="n">
        <f aca="false">G12</f>
        <v>19</v>
      </c>
      <c r="I12" s="22" t="n">
        <f aca="false">G12</f>
        <v>19</v>
      </c>
      <c r="J12" s="24" t="n">
        <f aca="false">ROUND(E12*I12,2)</f>
        <v>245.1</v>
      </c>
      <c r="K12" s="22" t="s">
        <v>82</v>
      </c>
    </row>
    <row r="13" customFormat="false" ht="36.75" hidden="false" customHeight="true" outlineLevel="0" collapsed="false">
      <c r="A13" s="23" t="s">
        <v>62</v>
      </c>
      <c r="B13" s="25" t="n">
        <v>104</v>
      </c>
      <c r="C13" s="25" t="n">
        <v>116.6</v>
      </c>
      <c r="D13" s="25" t="n">
        <f aca="false">C13/Reconciliation!G7</f>
        <v>116.6</v>
      </c>
      <c r="E13" s="25" t="n">
        <f aca="false">MAX(D13-B13,0)</f>
        <v>12.6</v>
      </c>
      <c r="F13" s="25" t="n">
        <v>64</v>
      </c>
      <c r="G13" s="23" t="n">
        <v>5</v>
      </c>
      <c r="H13" s="23" t="n">
        <f aca="false">G13</f>
        <v>5</v>
      </c>
      <c r="I13" s="23" t="n">
        <f aca="false">G13</f>
        <v>5</v>
      </c>
      <c r="J13" s="25" t="n">
        <f aca="false">ROUND(E13*I13,2)</f>
        <v>63</v>
      </c>
      <c r="K13" s="23" t="s">
        <v>82</v>
      </c>
    </row>
    <row r="14" customFormat="false" ht="36.75" hidden="false" customHeight="true" outlineLevel="0" collapsed="false">
      <c r="A14" s="22" t="s">
        <v>67</v>
      </c>
      <c r="B14" s="24" t="n">
        <v>73.25</v>
      </c>
      <c r="C14" s="24" t="n">
        <v>321</v>
      </c>
      <c r="D14" s="24" t="n">
        <f aca="false">C14/Reconciliation!G8</f>
        <v>80.25</v>
      </c>
      <c r="E14" s="24" t="n">
        <f aca="false">MAX(D14-B14,0)</f>
        <v>7</v>
      </c>
      <c r="F14" s="24" t="n">
        <v>43.75</v>
      </c>
      <c r="G14" s="22" t="n">
        <v>3</v>
      </c>
      <c r="H14" s="22" t="n">
        <f aca="false">G14</f>
        <v>3</v>
      </c>
      <c r="I14" s="22" t="n">
        <f aca="false">G14</f>
        <v>3</v>
      </c>
      <c r="J14" s="24" t="n">
        <f aca="false">ROUND(E14*I14,2)</f>
        <v>21</v>
      </c>
      <c r="K14" s="22" t="s">
        <v>82</v>
      </c>
    </row>
    <row r="16" customFormat="false" ht="15" hidden="false" customHeight="false" outlineLevel="0" collapsed="false">
      <c r="I16" s="26" t="s">
        <v>83</v>
      </c>
      <c r="J16" s="27" t="n">
        <f aca="false">SUM(J12:J14)</f>
        <v>329.1</v>
      </c>
    </row>
    <row r="18" customFormat="false" ht="21" hidden="false" customHeight="true" outlineLevel="0" collapsed="false">
      <c r="A18" s="3" t="s">
        <v>84</v>
      </c>
      <c r="B18" s="3"/>
      <c r="C18" s="3"/>
      <c r="D18" s="3"/>
      <c r="E18" s="3"/>
      <c r="F18" s="3"/>
      <c r="G18" s="3"/>
      <c r="H18" s="3"/>
      <c r="I18" s="3"/>
      <c r="J18" s="3"/>
      <c r="K18" s="3"/>
    </row>
    <row r="19" customFormat="false" ht="30.75" hidden="false" customHeight="true" outlineLevel="0" collapsed="false">
      <c r="A19" s="21" t="s">
        <v>85</v>
      </c>
      <c r="B19" s="21" t="s">
        <v>86</v>
      </c>
      <c r="C19" s="21" t="s">
        <v>87</v>
      </c>
      <c r="D19" s="21" t="s">
        <v>88</v>
      </c>
      <c r="E19" s="21" t="s">
        <v>89</v>
      </c>
      <c r="F19" s="21" t="s">
        <v>90</v>
      </c>
      <c r="G19" s="21" t="s">
        <v>91</v>
      </c>
      <c r="H19" s="21" t="s">
        <v>92</v>
      </c>
      <c r="I19" s="21" t="s">
        <v>93</v>
      </c>
      <c r="J19" s="21" t="s">
        <v>94</v>
      </c>
      <c r="K19" s="21" t="s">
        <v>95</v>
      </c>
    </row>
    <row r="20" customFormat="false" ht="57" hidden="false" customHeight="true" outlineLevel="0" collapsed="false">
      <c r="A20" s="22" t="s">
        <v>96</v>
      </c>
      <c r="B20" s="22" t="s">
        <v>97</v>
      </c>
      <c r="C20" s="22" t="s">
        <v>98</v>
      </c>
      <c r="D20" s="22" t="s">
        <v>99</v>
      </c>
      <c r="E20" s="24" t="n">
        <v>6268</v>
      </c>
      <c r="F20" s="28" t="n">
        <v>0.1735</v>
      </c>
      <c r="G20" s="24" t="n">
        <f aca="false">ROUND(E20*F20,2)</f>
        <v>1087.5</v>
      </c>
      <c r="H20" s="24" t="n">
        <v>1130</v>
      </c>
      <c r="I20" s="24" t="n">
        <f aca="false">MAX(H20-G20,0)</f>
        <v>42.5</v>
      </c>
      <c r="J20" s="22" t="s">
        <v>100</v>
      </c>
      <c r="K20" s="22" t="s">
        <v>101</v>
      </c>
    </row>
    <row r="21" customFormat="false" ht="57" hidden="false" customHeight="true" outlineLevel="0" collapsed="false">
      <c r="A21" s="23" t="s">
        <v>102</v>
      </c>
      <c r="B21" s="23" t="s">
        <v>103</v>
      </c>
      <c r="C21" s="23" t="s">
        <v>104</v>
      </c>
      <c r="D21" s="23" t="s">
        <v>105</v>
      </c>
      <c r="E21" s="25" t="n">
        <v>1758</v>
      </c>
      <c r="F21" s="29" t="n">
        <v>0.1125</v>
      </c>
      <c r="G21" s="25" t="n">
        <f aca="false">ROUND(E21*F21,2)</f>
        <v>197.78</v>
      </c>
      <c r="H21" s="25" t="n">
        <v>225</v>
      </c>
      <c r="I21" s="25" t="n">
        <f aca="false">MAX(H21-G21,0)</f>
        <v>27.22</v>
      </c>
      <c r="J21" s="23" t="s">
        <v>100</v>
      </c>
      <c r="K21" s="23" t="s">
        <v>106</v>
      </c>
    </row>
    <row r="23" customFormat="false" ht="15" hidden="false" customHeight="false" outlineLevel="0" collapsed="false">
      <c r="H23" s="26" t="s">
        <v>107</v>
      </c>
      <c r="I23" s="27" t="n">
        <f aca="false">SUM(I20:I21)</f>
        <v>69.72</v>
      </c>
    </row>
    <row r="25" customFormat="false" ht="21" hidden="false" customHeight="true" outlineLevel="0" collapsed="false">
      <c r="A25" s="3" t="s">
        <v>108</v>
      </c>
      <c r="B25" s="3"/>
      <c r="C25" s="3"/>
      <c r="D25" s="3"/>
      <c r="E25" s="3"/>
      <c r="F25" s="3"/>
      <c r="G25" s="3"/>
      <c r="H25" s="3"/>
      <c r="I25" s="3"/>
      <c r="J25" s="3"/>
      <c r="K25" s="3"/>
    </row>
    <row r="26" customFormat="false" ht="30.75" hidden="false" customHeight="true" outlineLevel="0" collapsed="false">
      <c r="A26" s="21" t="s">
        <v>109</v>
      </c>
      <c r="B26" s="21" t="s">
        <v>110</v>
      </c>
      <c r="C26" s="21" t="s">
        <v>111</v>
      </c>
      <c r="D26" s="21" t="s">
        <v>85</v>
      </c>
      <c r="E26" s="21" t="s">
        <v>47</v>
      </c>
      <c r="F26" s="21" t="s">
        <v>112</v>
      </c>
      <c r="G26" s="21" t="s">
        <v>113</v>
      </c>
      <c r="H26" s="21" t="s">
        <v>114</v>
      </c>
      <c r="I26" s="21" t="s">
        <v>115</v>
      </c>
      <c r="J26" s="21" t="s">
        <v>116</v>
      </c>
      <c r="K26" s="21" t="s">
        <v>117</v>
      </c>
    </row>
    <row r="27" customFormat="false" ht="63" hidden="false" customHeight="true" outlineLevel="0" collapsed="false">
      <c r="A27" s="22" t="s">
        <v>118</v>
      </c>
      <c r="B27" s="22" t="s">
        <v>119</v>
      </c>
      <c r="C27" s="22" t="s">
        <v>120</v>
      </c>
      <c r="D27" s="22" t="s">
        <v>96</v>
      </c>
      <c r="E27" s="22" t="s">
        <v>56</v>
      </c>
      <c r="F27" s="22" t="s">
        <v>121</v>
      </c>
      <c r="G27" s="22" t="s">
        <v>122</v>
      </c>
      <c r="H27" s="22" t="s">
        <v>123</v>
      </c>
      <c r="I27" s="22" t="n">
        <v>19</v>
      </c>
      <c r="J27" s="22" t="s">
        <v>124</v>
      </c>
      <c r="K27" s="22" t="s">
        <v>125</v>
      </c>
    </row>
    <row r="28" customFormat="false" ht="63" hidden="false" customHeight="true" outlineLevel="0" collapsed="false">
      <c r="A28" s="23" t="s">
        <v>126</v>
      </c>
      <c r="B28" s="23" t="s">
        <v>127</v>
      </c>
      <c r="C28" s="23" t="s">
        <v>128</v>
      </c>
      <c r="D28" s="23" t="s">
        <v>96</v>
      </c>
      <c r="E28" s="23" t="s">
        <v>62</v>
      </c>
      <c r="F28" s="23" t="s">
        <v>129</v>
      </c>
      <c r="G28" s="23" t="s">
        <v>130</v>
      </c>
      <c r="H28" s="23" t="s">
        <v>123</v>
      </c>
      <c r="I28" s="23" t="n">
        <v>5</v>
      </c>
      <c r="J28" s="23" t="s">
        <v>131</v>
      </c>
      <c r="K28" s="23" t="s">
        <v>132</v>
      </c>
    </row>
    <row r="29" customFormat="false" ht="63" hidden="false" customHeight="true" outlineLevel="0" collapsed="false">
      <c r="A29" s="22" t="s">
        <v>133</v>
      </c>
      <c r="B29" s="22" t="s">
        <v>134</v>
      </c>
      <c r="C29" s="22" t="s">
        <v>135</v>
      </c>
      <c r="D29" s="22" t="s">
        <v>102</v>
      </c>
      <c r="E29" s="22" t="s">
        <v>67</v>
      </c>
      <c r="F29" s="22" t="s">
        <v>136</v>
      </c>
      <c r="G29" s="22" t="s">
        <v>137</v>
      </c>
      <c r="H29" s="22" t="s">
        <v>123</v>
      </c>
      <c r="I29" s="22" t="n">
        <v>0</v>
      </c>
      <c r="J29" s="22" t="s">
        <v>138</v>
      </c>
      <c r="K29" s="22" t="s">
        <v>139</v>
      </c>
    </row>
    <row r="30" customFormat="false" ht="63" hidden="false" customHeight="true" outlineLevel="0" collapsed="false">
      <c r="A30" s="23" t="s">
        <v>140</v>
      </c>
      <c r="B30" s="23" t="s">
        <v>141</v>
      </c>
      <c r="C30" s="23" t="s">
        <v>142</v>
      </c>
      <c r="D30" s="23" t="s">
        <v>102</v>
      </c>
      <c r="E30" s="23" t="s">
        <v>67</v>
      </c>
      <c r="F30" s="23" t="s">
        <v>143</v>
      </c>
      <c r="G30" s="23" t="s">
        <v>144</v>
      </c>
      <c r="H30" s="23" t="s">
        <v>123</v>
      </c>
      <c r="I30" s="23" t="n">
        <v>3</v>
      </c>
      <c r="J30" s="23" t="s">
        <v>131</v>
      </c>
      <c r="K30" s="23" t="s">
        <v>145</v>
      </c>
    </row>
    <row r="32" customFormat="false" ht="30" hidden="false" customHeight="true" outlineLevel="0" collapsed="false">
      <c r="A32" s="30" t="s">
        <v>146</v>
      </c>
      <c r="B32" s="30"/>
      <c r="C32" s="30"/>
      <c r="D32" s="30"/>
      <c r="E32" s="30"/>
      <c r="F32" s="30"/>
      <c r="G32" s="30"/>
      <c r="H32" s="30"/>
      <c r="I32" s="30"/>
      <c r="J32" s="30"/>
      <c r="K32" s="30"/>
    </row>
  </sheetData>
  <mergeCells count="7">
    <mergeCell ref="A1:K1"/>
    <mergeCell ref="A2:K2"/>
    <mergeCell ref="A4:K4"/>
    <mergeCell ref="A10:K10"/>
    <mergeCell ref="A18:K18"/>
    <mergeCell ref="A25:K25"/>
    <mergeCell ref="A32:K32"/>
  </mergeCells>
  <printOptions headings="false" gridLines="false" gridLinesSet="true" horizontalCentered="false" verticalCentered="false"/>
  <pageMargins left="0.25" right="0.25" top="0.45" bottom="0.4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&amp;LPinehollow Energy | Commercial Equipment&amp;RPage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3"/>
    <col collapsed="false" customWidth="true" hidden="false" outlineLevel="0" max="2" min="2" style="0" width="26"/>
    <col collapsed="false" customWidth="true" hidden="false" outlineLevel="0" max="3" min="3" style="0" width="29"/>
    <col collapsed="false" customWidth="true" hidden="false" outlineLevel="0" max="4" min="4" style="0" width="17"/>
    <col collapsed="false" customWidth="true" hidden="false" outlineLevel="0" max="5" min="5" style="0" width="19"/>
    <col collapsed="false" customWidth="true" hidden="false" outlineLevel="0" max="6" min="6" style="0" width="18"/>
    <col collapsed="false" customWidth="true" hidden="false" outlineLevel="0" max="7" min="7" style="0" width="23"/>
  </cols>
  <sheetData>
    <row r="1" customFormat="false" ht="27.75" hidden="false" customHeight="true" outlineLevel="0" collapsed="false">
      <c r="A1" s="1" t="s">
        <v>147</v>
      </c>
      <c r="B1" s="1"/>
      <c r="C1" s="1"/>
      <c r="D1" s="1"/>
      <c r="E1" s="1"/>
      <c r="F1" s="1"/>
      <c r="G1" s="1"/>
    </row>
    <row r="2" customFormat="false" ht="19.5" hidden="false" customHeight="true" outlineLevel="0" collapsed="false">
      <c r="A2" s="2" t="s">
        <v>148</v>
      </c>
      <c r="B2" s="2"/>
      <c r="C2" s="2"/>
      <c r="D2" s="2"/>
      <c r="E2" s="2"/>
      <c r="F2" s="2"/>
      <c r="G2" s="2"/>
    </row>
    <row r="4" customFormat="false" ht="21" hidden="false" customHeight="true" outlineLevel="0" collapsed="false">
      <c r="A4" s="3" t="s">
        <v>149</v>
      </c>
      <c r="B4" s="3"/>
      <c r="C4" s="3"/>
      <c r="D4" s="3"/>
      <c r="E4" s="3"/>
      <c r="F4" s="3"/>
      <c r="G4" s="3"/>
    </row>
    <row r="5" customFormat="false" ht="30.75" hidden="false" customHeight="true" outlineLevel="0" collapsed="false">
      <c r="A5" s="21" t="s">
        <v>47</v>
      </c>
      <c r="B5" s="21" t="s">
        <v>150</v>
      </c>
      <c r="C5" s="21" t="s">
        <v>151</v>
      </c>
      <c r="D5" s="21" t="s">
        <v>72</v>
      </c>
      <c r="E5" s="21" t="s">
        <v>152</v>
      </c>
      <c r="F5" s="21" t="s">
        <v>76</v>
      </c>
      <c r="G5" s="21" t="s">
        <v>153</v>
      </c>
    </row>
    <row r="6" customFormat="false" ht="15" hidden="false" customHeight="false" outlineLevel="0" collapsed="false">
      <c r="A6" s="22" t="s">
        <v>56</v>
      </c>
      <c r="B6" s="22" t="s">
        <v>58</v>
      </c>
      <c r="C6" s="22" t="n">
        <f aca="false">Reconciliation!H12</f>
        <v>19</v>
      </c>
      <c r="D6" s="24" t="n">
        <f aca="false">Reconciliation!B12</f>
        <v>86.5</v>
      </c>
      <c r="E6" s="24" t="n">
        <f aca="false">ROUND(C6*D6,2)</f>
        <v>1643.5</v>
      </c>
      <c r="F6" s="24" t="n">
        <f aca="false">Reconciliation!F12</f>
        <v>54.25</v>
      </c>
      <c r="G6" s="24" t="n">
        <f aca="false">ROUND(C6*F6,2)</f>
        <v>1030.75</v>
      </c>
    </row>
    <row r="7" customFormat="false" ht="15" hidden="false" customHeight="false" outlineLevel="0" collapsed="false">
      <c r="A7" s="23" t="s">
        <v>62</v>
      </c>
      <c r="B7" s="23" t="s">
        <v>64</v>
      </c>
      <c r="C7" s="23" t="n">
        <f aca="false">Reconciliation!H13</f>
        <v>5</v>
      </c>
      <c r="D7" s="25" t="n">
        <f aca="false">Reconciliation!B13</f>
        <v>104</v>
      </c>
      <c r="E7" s="25" t="n">
        <f aca="false">ROUND(C7*D7,2)</f>
        <v>520</v>
      </c>
      <c r="F7" s="25" t="n">
        <f aca="false">Reconciliation!F13</f>
        <v>64</v>
      </c>
      <c r="G7" s="25" t="n">
        <f aca="false">ROUND(C7*F7,2)</f>
        <v>320</v>
      </c>
    </row>
    <row r="8" customFormat="false" ht="15" hidden="false" customHeight="false" outlineLevel="0" collapsed="false">
      <c r="A8" s="22" t="s">
        <v>67</v>
      </c>
      <c r="B8" s="22" t="s">
        <v>69</v>
      </c>
      <c r="C8" s="22" t="n">
        <f aca="false">Reconciliation!H14</f>
        <v>3</v>
      </c>
      <c r="D8" s="24" t="n">
        <f aca="false">Reconciliation!B14</f>
        <v>73.25</v>
      </c>
      <c r="E8" s="24" t="n">
        <f aca="false">ROUND(C8*D8,2)</f>
        <v>219.75</v>
      </c>
      <c r="F8" s="24" t="n">
        <f aca="false">Reconciliation!F14</f>
        <v>43.75</v>
      </c>
      <c r="G8" s="24" t="n">
        <f aca="false">ROUND(C8*F8,2)</f>
        <v>131.25</v>
      </c>
    </row>
    <row r="10" customFormat="false" ht="15" hidden="false" customHeight="false" outlineLevel="0" collapsed="false">
      <c r="B10" s="26" t="s">
        <v>154</v>
      </c>
      <c r="C10" s="31" t="n">
        <f aca="false">SUM(C6:C8)</f>
        <v>27</v>
      </c>
      <c r="E10" s="27" t="n">
        <f aca="false">SUM(E6:E8)</f>
        <v>2383.25</v>
      </c>
      <c r="G10" s="27" t="n">
        <f aca="false">SUM(G6:G8)</f>
        <v>1482</v>
      </c>
    </row>
    <row r="12" customFormat="false" ht="21" hidden="false" customHeight="true" outlineLevel="0" collapsed="false">
      <c r="A12" s="3" t="s">
        <v>155</v>
      </c>
      <c r="B12" s="3"/>
      <c r="C12" s="3"/>
      <c r="D12" s="3"/>
      <c r="E12" s="3"/>
      <c r="F12" s="3"/>
      <c r="G12" s="3"/>
    </row>
    <row r="13" customFormat="false" ht="15" hidden="false" customHeight="false" outlineLevel="0" collapsed="false">
      <c r="A13" s="4" t="s">
        <v>156</v>
      </c>
      <c r="B13" s="5" t="s">
        <v>157</v>
      </c>
      <c r="D13" s="4" t="s">
        <v>158</v>
      </c>
      <c r="E13" s="5" t="s">
        <v>159</v>
      </c>
    </row>
    <row r="14" customFormat="false" ht="15" hidden="false" customHeight="false" outlineLevel="0" collapsed="false">
      <c r="A14" s="4" t="s">
        <v>160</v>
      </c>
      <c r="B14" s="5" t="s">
        <v>161</v>
      </c>
      <c r="D14" s="4" t="s">
        <v>162</v>
      </c>
      <c r="E14" s="5" t="s">
        <v>163</v>
      </c>
    </row>
    <row r="15" customFormat="false" ht="15" hidden="false" customHeight="false" outlineLevel="0" collapsed="false">
      <c r="A15" s="4" t="s">
        <v>164</v>
      </c>
      <c r="B15" s="5" t="s">
        <v>16</v>
      </c>
      <c r="D15" s="4" t="s">
        <v>165</v>
      </c>
      <c r="E15" s="32" t="n">
        <v>0.1735</v>
      </c>
    </row>
    <row r="16" customFormat="false" ht="23.85" hidden="false" customHeight="false" outlineLevel="0" collapsed="false">
      <c r="A16" s="4" t="s">
        <v>166</v>
      </c>
      <c r="B16" s="33" t="n">
        <f aca="false">E10</f>
        <v>2383.25</v>
      </c>
      <c r="D16" s="4" t="s">
        <v>167</v>
      </c>
      <c r="E16" s="33" t="n">
        <f aca="false">ROUND(B16*E15,2)</f>
        <v>413.49</v>
      </c>
    </row>
    <row r="19" customFormat="false" ht="21" hidden="false" customHeight="true" outlineLevel="0" collapsed="false">
      <c r="A19" s="11" t="s">
        <v>168</v>
      </c>
      <c r="B19" s="11"/>
      <c r="C19" s="11"/>
      <c r="D19" s="11"/>
      <c r="E19" s="11"/>
      <c r="F19" s="11"/>
      <c r="G19" s="11"/>
    </row>
    <row r="20" customFormat="false" ht="30.75" hidden="false" customHeight="true" outlineLevel="0" collapsed="false">
      <c r="A20" s="34" t="s">
        <v>169</v>
      </c>
      <c r="B20" s="34" t="s">
        <v>170</v>
      </c>
      <c r="C20" s="34" t="s">
        <v>171</v>
      </c>
      <c r="D20" s="34" t="s">
        <v>172</v>
      </c>
    </row>
    <row r="21" customFormat="false" ht="27" hidden="false" customHeight="true" outlineLevel="0" collapsed="false">
      <c r="A21" s="35" t="s">
        <v>173</v>
      </c>
      <c r="B21" s="36" t="n">
        <f aca="false">C10</f>
        <v>27</v>
      </c>
      <c r="C21" s="36" t="n">
        <f aca="false">C10</f>
        <v>27</v>
      </c>
      <c r="D21" s="36" t="n">
        <f aca="false">C21-B21</f>
        <v>0</v>
      </c>
    </row>
    <row r="22" customFormat="false" ht="27" hidden="false" customHeight="true" outlineLevel="0" collapsed="false">
      <c r="A22" s="35" t="s">
        <v>174</v>
      </c>
      <c r="B22" s="37" t="n">
        <f aca="false">E10</f>
        <v>2383.25</v>
      </c>
      <c r="C22" s="37" t="n">
        <f aca="false">E10</f>
        <v>2383.25</v>
      </c>
      <c r="D22" s="37" t="n">
        <f aca="false">C22-B22</f>
        <v>0</v>
      </c>
    </row>
    <row r="23" customFormat="false" ht="39" hidden="false" customHeight="true" outlineLevel="0" collapsed="false">
      <c r="A23" s="35" t="s">
        <v>175</v>
      </c>
      <c r="B23" s="35" t="s">
        <v>176</v>
      </c>
      <c r="C23" s="35" t="s">
        <v>176</v>
      </c>
      <c r="D23" s="35" t="s">
        <v>177</v>
      </c>
    </row>
    <row r="24" customFormat="false" ht="27" hidden="false" customHeight="true" outlineLevel="0" collapsed="false">
      <c r="A24" s="35" t="s">
        <v>178</v>
      </c>
      <c r="B24" s="37" t="n">
        <f aca="false">E16</f>
        <v>413.49</v>
      </c>
      <c r="C24" s="37" t="n">
        <f aca="false">E16</f>
        <v>413.49</v>
      </c>
      <c r="D24" s="37" t="n">
        <f aca="false">C24-B24</f>
        <v>0</v>
      </c>
    </row>
    <row r="25" customFormat="false" ht="27" hidden="false" customHeight="true" outlineLevel="0" collapsed="false">
      <c r="A25" s="35" t="s">
        <v>179</v>
      </c>
      <c r="B25" s="37" t="n">
        <v>0</v>
      </c>
      <c r="C25" s="37" t="n">
        <f aca="false">Reconciliation!J16</f>
        <v>329.1</v>
      </c>
      <c r="D25" s="37" t="n">
        <f aca="false">C25-B25</f>
        <v>329.1</v>
      </c>
    </row>
    <row r="26" customFormat="false" ht="27" hidden="false" customHeight="true" outlineLevel="0" collapsed="false">
      <c r="A26" s="35" t="s">
        <v>180</v>
      </c>
      <c r="B26" s="37" t="n">
        <v>0</v>
      </c>
      <c r="C26" s="37" t="n">
        <f aca="false">Reconciliation!I23</f>
        <v>69.72</v>
      </c>
      <c r="D26" s="37" t="n">
        <f aca="false">C26-B26</f>
        <v>69.72</v>
      </c>
    </row>
    <row r="27" customFormat="false" ht="27" hidden="false" customHeight="true" outlineLevel="0" collapsed="false">
      <c r="A27" s="35" t="s">
        <v>181</v>
      </c>
      <c r="B27" s="37" t="n">
        <v>0</v>
      </c>
      <c r="C27" s="37" t="n">
        <f aca="false">ROUND(C25+C26,2)</f>
        <v>398.82</v>
      </c>
      <c r="D27" s="37" t="n">
        <f aca="false">C27-B27</f>
        <v>398.82</v>
      </c>
    </row>
    <row r="28" customFormat="false" ht="27" hidden="false" customHeight="true" outlineLevel="0" collapsed="false">
      <c r="A28" s="35" t="s">
        <v>182</v>
      </c>
      <c r="B28" s="37" t="n">
        <f aca="false">ROUND(B22+B24+B27,2)</f>
        <v>2796.74</v>
      </c>
      <c r="C28" s="37" t="n">
        <f aca="false">ROUND(C22+C24+C27,2)</f>
        <v>3195.56</v>
      </c>
      <c r="D28" s="37" t="n">
        <f aca="false">C28-B28</f>
        <v>398.82</v>
      </c>
    </row>
    <row r="29" customFormat="false" ht="27" hidden="false" customHeight="true" outlineLevel="0" collapsed="false">
      <c r="A29" s="35" t="s">
        <v>183</v>
      </c>
      <c r="B29" s="37" t="n">
        <f aca="false">G10</f>
        <v>1482</v>
      </c>
      <c r="C29" s="37" t="n">
        <f aca="false">G10</f>
        <v>1482</v>
      </c>
      <c r="D29" s="37" t="n">
        <f aca="false">C29-B29</f>
        <v>0</v>
      </c>
    </row>
    <row r="30" customFormat="false" ht="27" hidden="false" customHeight="true" outlineLevel="0" collapsed="false">
      <c r="A30" s="38" t="s">
        <v>184</v>
      </c>
      <c r="B30" s="39" t="n">
        <f aca="false">ROUND(B29+B24+B27,2)</f>
        <v>1895.49</v>
      </c>
      <c r="C30" s="39" t="n">
        <f aca="false">ROUND(C29+C24+C27,2)</f>
        <v>2294.31</v>
      </c>
      <c r="D30" s="39" t="n">
        <f aca="false">C30-B30</f>
        <v>398.82</v>
      </c>
    </row>
    <row r="32" customFormat="false" ht="15" hidden="false" customHeight="false" outlineLevel="0" collapsed="false">
      <c r="A32" s="26" t="s">
        <v>185</v>
      </c>
      <c r="B32" s="40" t="n">
        <f aca="false">C30-B30</f>
        <v>398.82</v>
      </c>
    </row>
    <row r="34" customFormat="false" ht="30" hidden="false" customHeight="true" outlineLevel="0" collapsed="false">
      <c r="A34" s="41" t="s">
        <v>186</v>
      </c>
      <c r="B34" s="41"/>
      <c r="C34" s="41"/>
      <c r="D34" s="41"/>
      <c r="E34" s="41"/>
      <c r="F34" s="41"/>
      <c r="G34" s="41"/>
    </row>
  </sheetData>
  <mergeCells count="6">
    <mergeCell ref="A1:G1"/>
    <mergeCell ref="A2:G2"/>
    <mergeCell ref="A4:G4"/>
    <mergeCell ref="A12:G12"/>
    <mergeCell ref="A19:G19"/>
    <mergeCell ref="A34:G34"/>
  </mergeCells>
  <printOptions headings="false" gridLines="false" gridLinesSet="true" horizontalCentered="false" verticalCentered="false"/>
  <pageMargins left="0.25" right="0.25" top="0.45" bottom="0.4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&amp;LPinehollow Energy | Commercial Equipment&amp;RPage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6" min="3" style="0" width="18"/>
  </cols>
  <sheetData>
    <row r="1" customFormat="false" ht="27.75" hidden="false" customHeight="true" outlineLevel="0" collapsed="false">
      <c r="A1" s="1" t="s">
        <v>187</v>
      </c>
      <c r="B1" s="1"/>
      <c r="C1" s="1"/>
      <c r="D1" s="1"/>
      <c r="E1" s="1"/>
      <c r="F1" s="1"/>
    </row>
    <row r="2" customFormat="false" ht="19.5" hidden="false" customHeight="true" outlineLevel="0" collapsed="false">
      <c r="A2" s="2" t="s">
        <v>188</v>
      </c>
      <c r="B2" s="2"/>
      <c r="C2" s="2"/>
      <c r="D2" s="2"/>
      <c r="E2" s="2"/>
      <c r="F2" s="2"/>
    </row>
    <row r="4" customFormat="false" ht="21.75" hidden="false" customHeight="true" outlineLevel="0" collapsed="false">
      <c r="A4" s="4" t="s">
        <v>189</v>
      </c>
      <c r="B4" s="14" t="s">
        <v>190</v>
      </c>
      <c r="C4" s="14"/>
      <c r="D4" s="14"/>
      <c r="E4" s="14"/>
      <c r="F4" s="14"/>
    </row>
    <row r="5" customFormat="false" ht="21.75" hidden="false" customHeight="true" outlineLevel="0" collapsed="false">
      <c r="A5" s="4" t="s">
        <v>191</v>
      </c>
      <c r="B5" s="14" t="s">
        <v>192</v>
      </c>
      <c r="C5" s="14"/>
      <c r="D5" s="14"/>
      <c r="E5" s="14"/>
      <c r="F5" s="14"/>
    </row>
    <row r="6" customFormat="false" ht="21.75" hidden="false" customHeight="true" outlineLevel="0" collapsed="false">
      <c r="A6" s="4" t="s">
        <v>193</v>
      </c>
      <c r="B6" s="14" t="s">
        <v>194</v>
      </c>
      <c r="C6" s="14"/>
      <c r="D6" s="14"/>
      <c r="E6" s="14"/>
      <c r="F6" s="14"/>
    </row>
    <row r="7" customFormat="false" ht="21.75" hidden="false" customHeight="true" outlineLevel="0" collapsed="false">
      <c r="A7" s="4" t="s">
        <v>195</v>
      </c>
      <c r="B7" s="42" t="s">
        <v>18</v>
      </c>
      <c r="C7" s="42"/>
      <c r="D7" s="42"/>
      <c r="E7" s="42"/>
      <c r="F7" s="42"/>
    </row>
    <row r="10" customFormat="false" ht="30.75" hidden="false" customHeight="true" outlineLevel="0" collapsed="false">
      <c r="A10" s="43" t="s">
        <v>196</v>
      </c>
      <c r="B10" s="43"/>
      <c r="C10" s="43"/>
      <c r="D10" s="43"/>
      <c r="E10" s="43"/>
      <c r="F10" s="43"/>
    </row>
    <row r="12" customFormat="false" ht="61.5" hidden="false" customHeight="true" outlineLevel="0" collapsed="false">
      <c r="A12" s="43" t="s">
        <v>197</v>
      </c>
      <c r="B12" s="43"/>
      <c r="C12" s="43"/>
      <c r="D12" s="43"/>
      <c r="E12" s="43"/>
      <c r="F12" s="43"/>
    </row>
    <row r="14" customFormat="false" ht="61.5" hidden="false" customHeight="true" outlineLevel="0" collapsed="false">
      <c r="A14" s="43" t="s">
        <v>198</v>
      </c>
      <c r="B14" s="43"/>
      <c r="C14" s="43"/>
      <c r="D14" s="43"/>
      <c r="E14" s="43"/>
      <c r="F14" s="43"/>
    </row>
    <row r="16" customFormat="false" ht="61.5" hidden="false" customHeight="true" outlineLevel="0" collapsed="false">
      <c r="A16" s="43" t="s">
        <v>199</v>
      </c>
      <c r="B16" s="43"/>
      <c r="C16" s="43"/>
      <c r="D16" s="43"/>
      <c r="E16" s="43"/>
      <c r="F16" s="43"/>
    </row>
    <row r="18" customFormat="false" ht="61.5" hidden="false" customHeight="true" outlineLevel="0" collapsed="false">
      <c r="A18" s="43" t="s">
        <v>200</v>
      </c>
      <c r="B18" s="43"/>
      <c r="C18" s="43"/>
      <c r="D18" s="43"/>
      <c r="E18" s="43"/>
      <c r="F18" s="43"/>
    </row>
    <row r="20" customFormat="false" ht="57.75" hidden="false" customHeight="true" outlineLevel="0" collapsed="false">
      <c r="A20" s="43" t="s">
        <v>201</v>
      </c>
      <c r="B20" s="43"/>
      <c r="C20" s="43"/>
      <c r="D20" s="43"/>
      <c r="E20" s="43"/>
      <c r="F20" s="43"/>
    </row>
    <row r="23" customFormat="false" ht="15" hidden="false" customHeight="true" outlineLevel="0" collapsed="false">
      <c r="A23" s="20" t="s">
        <v>202</v>
      </c>
      <c r="B23" s="20"/>
      <c r="C23" s="20"/>
      <c r="D23" s="20"/>
      <c r="E23" s="20"/>
      <c r="F23" s="20"/>
    </row>
  </sheetData>
  <mergeCells count="13">
    <mergeCell ref="A1:F1"/>
    <mergeCell ref="A2:F2"/>
    <mergeCell ref="B4:F4"/>
    <mergeCell ref="B5:F5"/>
    <mergeCell ref="B6:F6"/>
    <mergeCell ref="B7:F7"/>
    <mergeCell ref="A10:F10"/>
    <mergeCell ref="A12:F12"/>
    <mergeCell ref="A14:F14"/>
    <mergeCell ref="A16:F16"/>
    <mergeCell ref="A18:F18"/>
    <mergeCell ref="A20:F20"/>
    <mergeCell ref="A23:F23"/>
  </mergeCells>
  <printOptions headings="false" gridLines="false" gridLinesSet="true" horizontalCentered="false" verticalCentered="false"/>
  <pageMargins left="0.25" right="0.25" top="0.45" bottom="0.4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&amp;LPinehollow Energy | Commercial Equipment&amp;RPage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51"/>
    <col collapsed="false" customWidth="true" hidden="false" outlineLevel="0" max="3" min="3" style="0" width="36"/>
    <col collapsed="false" customWidth="true" hidden="false" outlineLevel="0" max="4" min="4" style="0" width="29"/>
    <col collapsed="false" customWidth="true" hidden="false" outlineLevel="0" max="5" min="5" style="0" width="48"/>
    <col collapsed="false" customWidth="true" hidden="false" outlineLevel="0" max="6" min="6" style="0" width="28"/>
    <col collapsed="false" customWidth="true" hidden="false" outlineLevel="0" max="7" min="7" style="0" width="36"/>
  </cols>
  <sheetData>
    <row r="1" customFormat="false" ht="27.75" hidden="false" customHeight="true" outlineLevel="0" collapsed="false">
      <c r="A1" s="1" t="s">
        <v>203</v>
      </c>
      <c r="B1" s="1"/>
      <c r="C1" s="1"/>
      <c r="D1" s="1"/>
      <c r="E1" s="1"/>
      <c r="F1" s="1"/>
      <c r="G1" s="1"/>
    </row>
    <row r="2" customFormat="false" ht="19.5" hidden="false" customHeight="true" outlineLevel="0" collapsed="false">
      <c r="A2" s="2" t="s">
        <v>204</v>
      </c>
      <c r="B2" s="2"/>
      <c r="C2" s="2"/>
      <c r="D2" s="2"/>
      <c r="E2" s="2"/>
      <c r="F2" s="2"/>
      <c r="G2" s="2"/>
    </row>
    <row r="4" customFormat="false" ht="22.5" hidden="false" customHeight="true" outlineLevel="0" collapsed="false">
      <c r="A4" s="4" t="s">
        <v>205</v>
      </c>
      <c r="B4" s="42" t="s">
        <v>18</v>
      </c>
      <c r="C4" s="42"/>
      <c r="D4" s="42"/>
      <c r="E4" s="42"/>
      <c r="F4" s="42"/>
      <c r="G4" s="42"/>
    </row>
    <row r="6" customFormat="false" ht="30.75" hidden="false" customHeight="true" outlineLevel="0" collapsed="false">
      <c r="A6" s="34" t="s">
        <v>206</v>
      </c>
      <c r="B6" s="34" t="s">
        <v>207</v>
      </c>
      <c r="C6" s="34" t="s">
        <v>208</v>
      </c>
      <c r="D6" s="34" t="s">
        <v>209</v>
      </c>
      <c r="E6" s="34" t="s">
        <v>210</v>
      </c>
      <c r="F6" s="34" t="s">
        <v>211</v>
      </c>
      <c r="G6" s="34" t="s">
        <v>212</v>
      </c>
    </row>
    <row r="7" customFormat="false" ht="58.5" hidden="false" customHeight="true" outlineLevel="0" collapsed="false">
      <c r="A7" s="22" t="s">
        <v>213</v>
      </c>
      <c r="B7" s="22" t="s">
        <v>214</v>
      </c>
      <c r="C7" s="22" t="s">
        <v>215</v>
      </c>
      <c r="D7" s="22" t="s">
        <v>216</v>
      </c>
      <c r="E7" s="22" t="s">
        <v>217</v>
      </c>
      <c r="F7" s="22" t="s">
        <v>218</v>
      </c>
      <c r="G7" s="22" t="s">
        <v>219</v>
      </c>
    </row>
    <row r="8" customFormat="false" ht="58.5" hidden="false" customHeight="true" outlineLevel="0" collapsed="false">
      <c r="A8" s="23" t="s">
        <v>220</v>
      </c>
      <c r="B8" s="23" t="s">
        <v>221</v>
      </c>
      <c r="C8" s="23" t="s">
        <v>10</v>
      </c>
      <c r="D8" s="23" t="s">
        <v>222</v>
      </c>
      <c r="E8" s="23" t="s">
        <v>223</v>
      </c>
      <c r="F8" s="44" t="s">
        <v>21</v>
      </c>
      <c r="G8" s="23" t="s">
        <v>224</v>
      </c>
    </row>
    <row r="9" customFormat="false" ht="58.5" hidden="false" customHeight="true" outlineLevel="0" collapsed="false">
      <c r="A9" s="22" t="s">
        <v>225</v>
      </c>
      <c r="B9" s="22" t="s">
        <v>226</v>
      </c>
      <c r="C9" s="22" t="s">
        <v>227</v>
      </c>
      <c r="D9" s="22" t="s">
        <v>228</v>
      </c>
      <c r="E9" s="22" t="s">
        <v>229</v>
      </c>
      <c r="F9" s="22" t="s">
        <v>230</v>
      </c>
      <c r="G9" s="22" t="s">
        <v>231</v>
      </c>
    </row>
    <row r="10" customFormat="false" ht="58.5" hidden="false" customHeight="true" outlineLevel="0" collapsed="false">
      <c r="A10" s="23" t="s">
        <v>232</v>
      </c>
      <c r="B10" s="23" t="s">
        <v>233</v>
      </c>
      <c r="C10" s="23" t="s">
        <v>234</v>
      </c>
      <c r="D10" s="23" t="s">
        <v>235</v>
      </c>
      <c r="E10" s="23" t="s">
        <v>236</v>
      </c>
      <c r="F10" s="44" t="s">
        <v>21</v>
      </c>
      <c r="G10" s="23" t="s">
        <v>237</v>
      </c>
    </row>
    <row r="11" customFormat="false" ht="58.5" hidden="false" customHeight="true" outlineLevel="0" collapsed="false">
      <c r="A11" s="22" t="s">
        <v>238</v>
      </c>
      <c r="B11" s="22" t="s">
        <v>239</v>
      </c>
      <c r="C11" s="22" t="s">
        <v>215</v>
      </c>
      <c r="D11" s="22" t="s">
        <v>240</v>
      </c>
      <c r="E11" s="22" t="s">
        <v>241</v>
      </c>
      <c r="F11" s="44" t="s">
        <v>21</v>
      </c>
      <c r="G11" s="22" t="s">
        <v>242</v>
      </c>
    </row>
    <row r="12" customFormat="false" ht="58.5" hidden="false" customHeight="true" outlineLevel="0" collapsed="false">
      <c r="A12" s="23" t="s">
        <v>243</v>
      </c>
      <c r="B12" s="23" t="s">
        <v>244</v>
      </c>
      <c r="C12" s="23" t="s">
        <v>227</v>
      </c>
      <c r="D12" s="23" t="s">
        <v>245</v>
      </c>
      <c r="E12" s="23" t="s">
        <v>246</v>
      </c>
      <c r="F12" s="44" t="s">
        <v>21</v>
      </c>
      <c r="G12" s="23" t="s">
        <v>247</v>
      </c>
    </row>
    <row r="14" customFormat="false" ht="15" hidden="false" customHeight="true" outlineLevel="0" collapsed="false">
      <c r="A14" s="4" t="s">
        <v>248</v>
      </c>
      <c r="B14" s="15" t="s">
        <v>249</v>
      </c>
      <c r="C14" s="15"/>
      <c r="D14" s="15"/>
      <c r="E14" s="15"/>
      <c r="F14" s="15"/>
      <c r="G14" s="15"/>
    </row>
  </sheetData>
  <mergeCells count="4">
    <mergeCell ref="A1:G1"/>
    <mergeCell ref="A2:G2"/>
    <mergeCell ref="B4:G4"/>
    <mergeCell ref="B14:G14"/>
  </mergeCells>
  <printOptions headings="false" gridLines="false" gridLinesSet="true" horizontalCentered="false" verticalCentered="false"/>
  <pageMargins left="0.25" right="0.25" top="0.45" bottom="0.4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&amp;LPinehollow Energy | Commercial Equipment&amp;RPage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2026-08-16T15:29:17Z</dcterms:created>
  <dc:creator>Pinehollow Energy Commercial Equipment</dc:creator>
  <dc:description/>
  <dc:language>en-US</dc:language>
  <cp:lastModifiedBy/>
  <dcterms:modified xsi:type="dcterms:W3CDTF">2026-08-16T15:29:17Z</dcterms:modified>
  <cp:revision>0</cp:revision>
  <dc:subject>Pending approval recommendation</dc:subject>
  <dc:title>Inglewood customer case response</dc:title>
</cp:coreProperties>
</file>

<file path=docProps/custom.xml><?xml version="1.0" encoding="utf-8"?>
<Properties xmlns="http://schemas.openxmlformats.org/officeDocument/2006/custom-properties" xmlns:vt="http://schemas.openxmlformats.org/officeDocument/2006/docPropsVTypes"/>
</file>