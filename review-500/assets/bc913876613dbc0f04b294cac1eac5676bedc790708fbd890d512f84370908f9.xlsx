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 Case" sheetId="1" state="visible" r:id="rId1"/>
    <sheet xmlns:r="http://schemas.openxmlformats.org/officeDocument/2006/relationships" name="Access Log" sheetId="2" state="visible" r:id="rId2"/>
    <sheet xmlns:r="http://schemas.openxmlformats.org/officeDocument/2006/relationships" name="Service-Credit Policy" sheetId="3" state="visible" r:id="rId3"/>
    <sheet xmlns:r="http://schemas.openxmlformats.org/officeDocument/2006/relationships" name="Incident Snapshot" sheetId="4" state="visible" r:id="rId4"/>
  </sheets>
  <definedNames>
    <definedName name="_xlnm._FilterDatabase" localSheetId="1" hidden="1">'Access Log'!$A$4:$M$36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dd-mmm-yyyy hh:mm"/>
    <numFmt numFmtId="167" formatCode="$#,##0.00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44546A"/>
      <sz val="10"/>
    </font>
    <font>
      <name val="Aptos"/>
      <b val="1"/>
      <color rgb="00FFFFFF"/>
      <sz val="10"/>
    </font>
    <font>
      <name val="Aptos"/>
      <color rgb="001F1F1F"/>
      <sz val="10"/>
    </font>
    <font>
      <name val="Aptos"/>
      <b val="1"/>
      <color rgb="0044546A"/>
      <sz val="10"/>
    </font>
    <font>
      <name val="Aptos"/>
      <b val="1"/>
      <color rgb="001F1F1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7FAFC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hair">
        <color rgb="00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166" fontId="4" fillId="4" borderId="2" applyAlignment="1" pivotButton="0" quotePrefix="0" xfId="0">
      <alignment vertical="top" wrapText="1"/>
    </xf>
    <xf numFmtId="166" fontId="4" fillId="0" borderId="2" applyAlignment="1" pivotButton="0" quotePrefix="0" xfId="0">
      <alignment vertical="top" wrapText="1"/>
    </xf>
    <xf numFmtId="165" fontId="4" fillId="0" borderId="2" applyAlignment="1" pivotButton="0" quotePrefix="0" xfId="0">
      <alignment vertical="top" wrapText="1"/>
    </xf>
    <xf numFmtId="0" fontId="6" fillId="5" borderId="0" applyAlignment="1" pivotButton="0" quotePrefix="0" xfId="0">
      <alignment vertical="center"/>
    </xf>
    <xf numFmtId="49" fontId="4" fillId="0" borderId="2" applyAlignment="1" pivotButton="0" quotePrefix="0" xfId="0">
      <alignment vertical="top" wrapText="1"/>
    </xf>
    <xf numFmtId="49" fontId="4" fillId="4" borderId="2" applyAlignment="1" pivotButton="0" quotePrefix="0" xfId="0">
      <alignment vertical="top" wrapText="1"/>
    </xf>
    <xf numFmtId="10" fontId="4" fillId="4" borderId="2" applyAlignment="1" pivotButton="0" quotePrefix="0" xfId="0">
      <alignment vertical="top" wrapText="1"/>
    </xf>
    <xf numFmtId="167" fontId="4" fillId="4" borderId="2" applyAlignment="1" pivotButton="0" quotePrefix="0" xfId="0">
      <alignment vertical="top" wrapText="1"/>
    </xf>
    <xf numFmtId="10" fontId="4" fillId="0" borderId="2" applyAlignment="1" pivotButton="0" quotePrefix="0" xfId="0">
      <alignment vertical="top" wrapText="1"/>
    </xf>
    <xf numFmtId="167" fontId="4" fillId="0" borderId="2" applyAlignment="1" pivotButton="0" quotePrefix="0" xfId="0">
      <alignment vertical="top" wrapText="1"/>
    </xf>
    <xf numFmtId="165" fontId="4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ccessLogTable" displayName="AccessLogTable" ref="A4:M36" headerRowCount="1">
  <autoFilter ref="A4:M36"/>
  <tableColumns count="13">
    <tableColumn id="1" name="Source Row"/>
    <tableColumn id="2" name="Source Event Key"/>
    <tableColumn id="3" name="Tenant"/>
    <tableColumn id="4" name="Location"/>
    <tableColumn id="5" name="Jurisdiction"/>
    <tableColumn id="6" name="Event Date/Time"/>
    <tableColumn id="7" name="Service Type"/>
    <tableColumn id="8" name="Scheduled Attempt"/>
    <tableColumn id="9" name="Outcome"/>
    <tableColumn id="10" name="Status"/>
    <tableColumn id="11" name="Incident Ref"/>
    <tableColumn id="12" name="Legacy Eligibility Helper (RETIRED)"/>
    <tableColumn id="13" name="Agent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cidentSnapshotTable" displayName="IncidentSnapshotTable" ref="A4:J5" headerRowCount="1">
  <autoFilter ref="A4:J5"/>
  <tableColumns count="10">
    <tableColumn id="1" name="Snapshot Ref"/>
    <tableColumn id="2" name="Incident Date"/>
    <tableColumn id="3" name="Start"/>
    <tableColumn id="4" name="End"/>
    <tableColumn id="5" name="Affected Location"/>
    <tableColumn id="6" name="Jurisdiction"/>
    <tableColumn id="7" name="External Cause"/>
    <tableColumn id="8" name="Service Impact"/>
    <tableColumn id="9" name="Frozen As Of"/>
    <tableColumn id="10" name="Sourc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74" customWidth="1" min="2" max="2"/>
    <col width="4" customWidth="1" min="3" max="3"/>
    <col width="4" customWidth="1" min="4" max="4"/>
  </cols>
  <sheetData>
    <row r="1" ht="28" customHeight="1">
      <c r="A1" s="1" t="inlineStr">
        <is>
          <t>Ironvale Services | Bellwether access case</t>
        </is>
      </c>
    </row>
    <row r="2" ht="22" customHeight="1">
      <c r="A2" s="2" t="inlineStr">
        <is>
          <t>Existing case view | portfolio operations export</t>
        </is>
      </c>
    </row>
    <row r="4" ht="32" customHeight="1">
      <c r="A4" s="3" t="inlineStr">
        <is>
          <t>Case field</t>
        </is>
      </c>
      <c r="B4" s="3" t="inlineStr">
        <is>
          <t>Value</t>
        </is>
      </c>
    </row>
    <row r="5">
      <c r="A5" s="4" t="inlineStr">
        <is>
          <t>Case reference</t>
        </is>
      </c>
      <c r="B5" s="5" t="inlineStr">
        <is>
          <t>BVH-AC-2603-17</t>
        </is>
      </c>
    </row>
    <row r="6">
      <c r="A6" s="6" t="inlineStr">
        <is>
          <t>Tenant</t>
        </is>
      </c>
      <c r="B6" s="7" t="inlineStr">
        <is>
          <t>Bellwether Holdings</t>
        </is>
      </c>
    </row>
    <row r="7">
      <c r="A7" s="4" t="inlineStr">
        <is>
          <t>Tenant contact</t>
        </is>
      </c>
      <c r="B7" s="5" t="inlineStr">
        <is>
          <t>Zara Kaczmarek</t>
        </is>
      </c>
    </row>
    <row r="8">
      <c r="A8" s="6" t="inlineStr">
        <is>
          <t>Review window start</t>
        </is>
      </c>
      <c r="B8" s="8" t="n">
        <v>46083</v>
      </c>
    </row>
    <row r="9">
      <c r="A9" s="4" t="inlineStr">
        <is>
          <t>Review window end</t>
        </is>
      </c>
      <c r="B9" s="9" t="n">
        <v>46110.99930555555</v>
      </c>
    </row>
    <row r="10">
      <c r="A10" s="6" t="inlineStr">
        <is>
          <t>Jurisdictions</t>
        </is>
      </c>
      <c r="B10" s="7" t="inlineStr">
        <is>
          <t>Ontario; New Jersey</t>
        </is>
      </c>
    </row>
    <row r="11">
      <c r="A11" s="4" t="inlineStr">
        <is>
          <t>Ontario locations</t>
        </is>
      </c>
      <c r="B11" s="5" t="inlineStr">
        <is>
          <t>Toronto - King Street; Ottawa - Wellington Avenue</t>
        </is>
      </c>
    </row>
    <row r="12">
      <c r="A12" s="6" t="inlineStr">
        <is>
          <t>New Jersey locations</t>
        </is>
      </c>
      <c r="B12" s="7" t="inlineStr">
        <is>
          <t>Newark - Broad Street; Jersey City - Exchange Place</t>
        </is>
      </c>
    </row>
    <row r="13">
      <c r="A13" s="4" t="inlineStr">
        <is>
          <t>Service in dispute</t>
        </is>
      </c>
      <c r="B13" s="5" t="inlineStr">
        <is>
          <t>Access Desk</t>
        </is>
      </c>
    </row>
    <row r="14">
      <c r="A14" s="6" t="inlineStr">
        <is>
          <t>Billing currency</t>
        </is>
      </c>
      <c r="B14" s="7" t="inlineStr">
        <is>
          <t>USD</t>
        </is>
      </c>
    </row>
    <row r="15">
      <c r="A15" s="4" t="inlineStr">
        <is>
          <t>Ontario monthly fee basis</t>
        </is>
      </c>
      <c r="B15" s="5" t="n">
        <v>2250</v>
      </c>
    </row>
    <row r="16">
      <c r="A16" s="6" t="inlineStr">
        <is>
          <t>New Jersey monthly fee basis</t>
        </is>
      </c>
      <c r="B16" s="7" t="n">
        <v>2100</v>
      </c>
    </row>
    <row r="17">
      <c r="A17" s="4" t="inlineStr">
        <is>
          <t>Draft response</t>
        </is>
      </c>
      <c r="B17" s="5" t="inlineStr">
        <is>
          <t>Deny service credit</t>
        </is>
      </c>
    </row>
    <row r="18">
      <c r="A18" s="6" t="inlineStr">
        <is>
          <t>Decision / dispatch owner</t>
        </is>
      </c>
      <c r="B18" s="7" t="inlineStr">
        <is>
          <t>Edith Khouri</t>
        </is>
      </c>
    </row>
    <row r="19">
      <c r="A19" s="4" t="inlineStr">
        <is>
          <t>Review coordinator</t>
        </is>
      </c>
      <c r="B19" s="5" t="inlineStr">
        <is>
          <t>Gitta Alcantara</t>
        </is>
      </c>
    </row>
    <row r="20">
      <c r="A20" s="6" t="inlineStr">
        <is>
          <t>Compliance reviewer</t>
        </is>
      </c>
      <c r="B20" s="7" t="inlineStr">
        <is>
          <t>Yolanda Achterberg</t>
        </is>
      </c>
    </row>
    <row r="21">
      <c r="A21" s="4" t="inlineStr">
        <is>
          <t>Operational follow-up owner</t>
        </is>
      </c>
      <c r="B21" s="10" t="inlineStr">
        <is>
          <t>Ravi Radulescu</t>
        </is>
      </c>
    </row>
    <row r="22">
      <c r="A22" s="6" t="inlineStr">
        <is>
          <t>Frozen decision deadline</t>
        </is>
      </c>
      <c r="B22" s="8" t="n">
        <v>46108.625</v>
      </c>
    </row>
    <row r="25" ht="22" customHeight="1">
      <c r="A25" s="11" t="inlineStr">
        <is>
          <t>Draft response and prior analyst check</t>
        </is>
      </c>
    </row>
    <row r="26">
      <c r="A26" s="7" t="inlineStr">
        <is>
          <t>Draft position</t>
        </is>
      </c>
      <c r="B26" s="7" t="inlineStr">
        <is>
          <t>Deny service credit</t>
        </is>
      </c>
    </row>
    <row r="27">
      <c r="A27" s="5" t="inlineStr">
        <is>
          <t>Draft rationale</t>
        </is>
      </c>
      <c r="B27" s="5" t="inlineStr">
        <is>
          <t>The initial response treated the reported access failures as outside the service-credit threshold.</t>
        </is>
      </c>
    </row>
    <row r="28">
      <c r="A28" s="7" t="inlineStr">
        <is>
          <t>Prior analyst variance check</t>
        </is>
      </c>
      <c r="B28" s="7">
        <f>SUM(#REF!)</f>
        <v/>
      </c>
    </row>
    <row r="29">
      <c r="A29" s="5" t="inlineStr">
        <is>
          <t>Export note</t>
        </is>
      </c>
      <c r="B29" s="5" t="inlineStr">
        <is>
          <t>Frozen case view refreshed 20-Mar-2026 17:00</t>
        </is>
      </c>
    </row>
  </sheetData>
  <mergeCells count="3">
    <mergeCell ref="A1:D1"/>
    <mergeCell ref="A25:D25"/>
    <mergeCell ref="A2:D2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6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31" customWidth="1" min="4" max="4"/>
    <col width="14" customWidth="1" min="5" max="5"/>
    <col width="22" customWidth="1" min="6" max="6"/>
    <col width="16" customWidth="1" min="7" max="7"/>
    <col width="18" customWidth="1" min="8" max="8"/>
    <col width="14" customWidth="1" min="9" max="9"/>
    <col width="20" customWidth="1" min="10" max="10"/>
    <col width="13" customWidth="1" min="11" max="11"/>
    <col width="31" customWidth="1" min="12" max="12"/>
    <col width="28" customWidth="1" min="13" max="13"/>
  </cols>
  <sheetData>
    <row r="1" ht="28" customHeight="1">
      <c r="A1" s="1" t="inlineStr">
        <is>
          <t>Access event log</t>
        </is>
      </c>
    </row>
    <row r="2" ht="22" customHeight="1">
      <c r="A2" s="2" t="inlineStr">
        <is>
          <t>Portfolio export | Bellwether and nearby portfolio activity</t>
        </is>
      </c>
    </row>
    <row r="3" ht="8" customHeight="1"/>
    <row r="4" ht="32" customHeight="1">
      <c r="A4" s="3" t="inlineStr">
        <is>
          <t>Source Row</t>
        </is>
      </c>
      <c r="B4" s="3" t="inlineStr">
        <is>
          <t>Source Event Key</t>
        </is>
      </c>
      <c r="C4" s="3" t="inlineStr">
        <is>
          <t>Tenant</t>
        </is>
      </c>
      <c r="D4" s="3" t="inlineStr">
        <is>
          <t>Location</t>
        </is>
      </c>
      <c r="E4" s="3" t="inlineStr">
        <is>
          <t>Jurisdiction</t>
        </is>
      </c>
      <c r="F4" s="3" t="inlineStr">
        <is>
          <t>Event Date/Time</t>
        </is>
      </c>
      <c r="G4" s="3" t="inlineStr">
        <is>
          <t>Service Type</t>
        </is>
      </c>
      <c r="H4" s="3" t="inlineStr">
        <is>
          <t>Scheduled Attempt</t>
        </is>
      </c>
      <c r="I4" s="3" t="inlineStr">
        <is>
          <t>Outcome</t>
        </is>
      </c>
      <c r="J4" s="3" t="inlineStr">
        <is>
          <t>Status</t>
        </is>
      </c>
      <c r="K4" s="3" t="inlineStr">
        <is>
          <t>Incident Ref</t>
        </is>
      </c>
      <c r="L4" s="3" t="inlineStr">
        <is>
          <t>Legacy Eligibility Helper (RETIRED)</t>
        </is>
      </c>
      <c r="M4" s="3" t="inlineStr">
        <is>
          <t>Agent Note</t>
        </is>
      </c>
    </row>
    <row r="5">
      <c r="A5" s="5" t="n">
        <v>5</v>
      </c>
      <c r="B5" s="5" t="inlineStr">
        <is>
          <t>ON-TOR-260303-01</t>
        </is>
      </c>
      <c r="C5" s="5" t="inlineStr">
        <is>
          <t>Bellwether Holdings</t>
        </is>
      </c>
      <c r="D5" s="5" t="inlineStr">
        <is>
          <t>Toronto - King Street</t>
        </is>
      </c>
      <c r="E5" s="5" t="inlineStr">
        <is>
          <t>Ontario</t>
        </is>
      </c>
      <c r="F5" s="12" t="inlineStr">
        <is>
          <t>2026-03-03 09:10</t>
        </is>
      </c>
      <c r="G5" s="5" t="inlineStr">
        <is>
          <t>Access Desk</t>
        </is>
      </c>
      <c r="H5" s="5" t="inlineStr">
        <is>
          <t>Yes</t>
        </is>
      </c>
      <c r="I5" s="5" t="inlineStr">
        <is>
          <t>Failed</t>
        </is>
      </c>
      <c r="J5" s="5" t="inlineStr">
        <is>
          <t>Attempted</t>
        </is>
      </c>
      <c r="K5" s="5" t="inlineStr"/>
      <c r="L5" s="5" t="inlineStr">
        <is>
          <t>Eligible / Success</t>
        </is>
      </c>
      <c r="M5" s="5" t="inlineStr">
        <is>
          <t>reader did not release</t>
        </is>
      </c>
    </row>
    <row r="6">
      <c r="A6" s="7" t="n">
        <v>6</v>
      </c>
      <c r="B6" s="7" t="inlineStr">
        <is>
          <t>ON-TOR-260303-01</t>
        </is>
      </c>
      <c r="C6" s="7" t="inlineStr">
        <is>
          <t>Bellwether Holdings</t>
        </is>
      </c>
      <c r="D6" s="7" t="inlineStr">
        <is>
          <t>Toronto - King Street</t>
        </is>
      </c>
      <c r="E6" s="7" t="inlineStr">
        <is>
          <t>Ontario</t>
        </is>
      </c>
      <c r="F6" s="8" t="n">
        <v>46084.38194444445</v>
      </c>
      <c r="G6" s="7" t="inlineStr">
        <is>
          <t>Access Desk</t>
        </is>
      </c>
      <c r="H6" s="7" t="inlineStr">
        <is>
          <t>Yes</t>
        </is>
      </c>
      <c r="I6" s="7" t="inlineStr">
        <is>
          <t>Failed</t>
        </is>
      </c>
      <c r="J6" s="7" t="inlineStr">
        <is>
          <t>Attempted</t>
        </is>
      </c>
      <c r="K6" s="7" t="inlineStr"/>
      <c r="L6" s="7" t="inlineStr">
        <is>
          <t>Eligible / Success</t>
        </is>
      </c>
      <c r="M6" s="7" t="inlineStr">
        <is>
          <t>reader did not release</t>
        </is>
      </c>
    </row>
    <row r="7">
      <c r="A7" s="5" t="n">
        <v>7</v>
      </c>
      <c r="B7" s="5" t="inlineStr">
        <is>
          <t>ON-TOR-260304-X</t>
        </is>
      </c>
      <c r="C7" s="5" t="inlineStr">
        <is>
          <t>Bellwether Holdings</t>
        </is>
      </c>
      <c r="D7" s="5" t="inlineStr">
        <is>
          <t>Toronto - King Street</t>
        </is>
      </c>
      <c r="E7" s="5" t="inlineStr">
        <is>
          <t>Ontario</t>
        </is>
      </c>
      <c r="F7" s="12" t="inlineStr">
        <is>
          <t>03/04/2026 08:45</t>
        </is>
      </c>
      <c r="G7" s="5" t="inlineStr">
        <is>
          <t>Access Desk</t>
        </is>
      </c>
      <c r="H7" s="5" t="inlineStr">
        <is>
          <t>Yes</t>
        </is>
      </c>
      <c r="I7" s="5" t="inlineStr">
        <is>
          <t>No Access</t>
        </is>
      </c>
      <c r="J7" s="5" t="inlineStr">
        <is>
          <t>External Incident</t>
        </is>
      </c>
      <c r="K7" s="5" t="inlineStr">
        <is>
          <t>EXT-031</t>
        </is>
      </c>
      <c r="L7" s="5" t="inlineStr">
        <is>
          <t>Eligible / Success</t>
        </is>
      </c>
      <c r="M7" s="5" t="inlineStr">
        <is>
          <t>utility interruption reported</t>
        </is>
      </c>
    </row>
    <row r="8">
      <c r="A8" s="7" t="n">
        <v>8</v>
      </c>
      <c r="B8" s="7" t="inlineStr">
        <is>
          <t>ON-TOR-260305-02</t>
        </is>
      </c>
      <c r="C8" s="7" t="inlineStr">
        <is>
          <t>Bellwether Holdings</t>
        </is>
      </c>
      <c r="D8" s="7" t="inlineStr">
        <is>
          <t>Toronto - King Street</t>
        </is>
      </c>
      <c r="E8" s="7" t="inlineStr">
        <is>
          <t>Ontario</t>
        </is>
      </c>
      <c r="F8" s="8" t="n">
        <v>46086.47222222222</v>
      </c>
      <c r="G8" s="7" t="inlineStr">
        <is>
          <t>Access Desk</t>
        </is>
      </c>
      <c r="H8" s="7" t="inlineStr">
        <is>
          <t>Yes</t>
        </is>
      </c>
      <c r="I8" s="7" t="inlineStr">
        <is>
          <t>Granted</t>
        </is>
      </c>
      <c r="J8" s="7" t="inlineStr">
        <is>
          <t>Completed</t>
        </is>
      </c>
      <c r="K8" s="7" t="inlineStr"/>
      <c r="L8" s="7" t="inlineStr">
        <is>
          <t>Eligible / Failure</t>
        </is>
      </c>
      <c r="M8" s="7" t="inlineStr">
        <is>
          <t>badge accepted</t>
        </is>
      </c>
    </row>
    <row r="9">
      <c r="A9" s="5" t="n">
        <v>9</v>
      </c>
      <c r="B9" s="5" t="inlineStr">
        <is>
          <t>ON-TOR-260307-03</t>
        </is>
      </c>
      <c r="C9" s="5" t="inlineStr">
        <is>
          <t>Bellwether Holdings</t>
        </is>
      </c>
      <c r="D9" s="5" t="inlineStr">
        <is>
          <t>Toronto - King Street</t>
        </is>
      </c>
      <c r="E9" s="5" t="inlineStr">
        <is>
          <t>Ontario</t>
        </is>
      </c>
      <c r="F9" s="12" t="inlineStr">
        <is>
          <t>2026-03-07T14:00:00</t>
        </is>
      </c>
      <c r="G9" s="5" t="inlineStr">
        <is>
          <t>Access Desk</t>
        </is>
      </c>
      <c r="H9" s="5" t="inlineStr">
        <is>
          <t>Yes</t>
        </is>
      </c>
      <c r="I9" s="5" t="inlineStr">
        <is>
          <t>Granted</t>
        </is>
      </c>
      <c r="J9" s="5" t="inlineStr">
        <is>
          <t>Completed</t>
        </is>
      </c>
      <c r="K9" s="5" t="inlineStr"/>
      <c r="L9" s="5" t="inlineStr">
        <is>
          <t>Excluded</t>
        </is>
      </c>
      <c r="M9" s="5" t="inlineStr">
        <is>
          <t>badge accepted</t>
        </is>
      </c>
    </row>
    <row r="10">
      <c r="A10" s="7" t="n">
        <v>10</v>
      </c>
      <c r="B10" s="7" t="inlineStr">
        <is>
          <t>ON-TOR-260310-04</t>
        </is>
      </c>
      <c r="C10" s="7" t="inlineStr">
        <is>
          <t>Bellwether Holdings</t>
        </is>
      </c>
      <c r="D10" s="7" t="inlineStr">
        <is>
          <t>Toronto - King Street</t>
        </is>
      </c>
      <c r="E10" s="7" t="inlineStr">
        <is>
          <t>Ontario</t>
        </is>
      </c>
      <c r="F10" s="13" t="inlineStr">
        <is>
          <t>2026-03-10 09:00</t>
        </is>
      </c>
      <c r="G10" s="7" t="inlineStr">
        <is>
          <t>Access Desk</t>
        </is>
      </c>
      <c r="H10" s="7" t="inlineStr">
        <is>
          <t>Yes</t>
        </is>
      </c>
      <c r="I10" s="7" t="inlineStr">
        <is>
          <t>Granted</t>
        </is>
      </c>
      <c r="J10" s="7" t="inlineStr">
        <is>
          <t>Completed</t>
        </is>
      </c>
      <c r="K10" s="7" t="inlineStr"/>
      <c r="L10" s="7" t="inlineStr">
        <is>
          <t>Eligible / Failure</t>
        </is>
      </c>
      <c r="M10" s="7" t="inlineStr">
        <is>
          <t>badge accepted</t>
        </is>
      </c>
    </row>
    <row r="11">
      <c r="A11" s="5" t="n">
        <v>11</v>
      </c>
      <c r="B11" s="5" t="inlineStr">
        <is>
          <t>ON-TOR-260312-05</t>
        </is>
      </c>
      <c r="C11" s="5" t="inlineStr">
        <is>
          <t>Bellwether Holdings</t>
        </is>
      </c>
      <c r="D11" s="5" t="inlineStr">
        <is>
          <t>Toronto - King Street</t>
        </is>
      </c>
      <c r="E11" s="5" t="inlineStr">
        <is>
          <t>Ontario</t>
        </is>
      </c>
      <c r="F11" s="9" t="n">
        <v>46093.4375</v>
      </c>
      <c r="G11" s="5" t="inlineStr">
        <is>
          <t>Access Desk</t>
        </is>
      </c>
      <c r="H11" s="5" t="inlineStr">
        <is>
          <t>Yes</t>
        </is>
      </c>
      <c r="I11" s="5" t="inlineStr">
        <is>
          <t>Granted</t>
        </is>
      </c>
      <c r="J11" s="5" t="inlineStr">
        <is>
          <t>Completed</t>
        </is>
      </c>
      <c r="K11" s="5" t="inlineStr"/>
      <c r="L11" s="5" t="inlineStr">
        <is>
          <t>Eligible / Failure</t>
        </is>
      </c>
      <c r="M11" s="5" t="inlineStr">
        <is>
          <t>badge accepted</t>
        </is>
      </c>
    </row>
    <row r="12">
      <c r="A12" s="7" t="n">
        <v>12</v>
      </c>
      <c r="B12" s="7" t="inlineStr">
        <is>
          <t>ON-OTT-260313-06</t>
        </is>
      </c>
      <c r="C12" s="7" t="inlineStr">
        <is>
          <t>Bellwether Holdings</t>
        </is>
      </c>
      <c r="D12" s="7" t="inlineStr">
        <is>
          <t>Ottawa - Wellington Avenue</t>
        </is>
      </c>
      <c r="E12" s="7" t="inlineStr">
        <is>
          <t>Ontario</t>
        </is>
      </c>
      <c r="F12" s="13" t="inlineStr">
        <is>
          <t>2026-03-13 13:15</t>
        </is>
      </c>
      <c r="G12" s="7" t="inlineStr">
        <is>
          <t>Access Desk</t>
        </is>
      </c>
      <c r="H12" s="7" t="inlineStr">
        <is>
          <t>Yes</t>
        </is>
      </c>
      <c r="I12" s="7" t="inlineStr">
        <is>
          <t>Granted</t>
        </is>
      </c>
      <c r="J12" s="7" t="inlineStr">
        <is>
          <t>Completed</t>
        </is>
      </c>
      <c r="K12" s="7" t="inlineStr"/>
      <c r="L12" s="7" t="inlineStr">
        <is>
          <t>Eligible / Failure</t>
        </is>
      </c>
      <c r="M12" s="7" t="inlineStr">
        <is>
          <t>badge accepted</t>
        </is>
      </c>
    </row>
    <row r="13">
      <c r="A13" s="5" t="n">
        <v>13</v>
      </c>
      <c r="B13" s="5" t="inlineStr">
        <is>
          <t>ON-TOR-260314-07</t>
        </is>
      </c>
      <c r="C13" s="5" t="inlineStr">
        <is>
          <t>Bellwether Holdings</t>
        </is>
      </c>
      <c r="D13" s="5" t="inlineStr">
        <is>
          <t>Toronto - King Street</t>
        </is>
      </c>
      <c r="E13" s="5" t="inlineStr">
        <is>
          <t>Ontario</t>
        </is>
      </c>
      <c r="F13" s="12" t="inlineStr">
        <is>
          <t>2026-03-14 16:00</t>
        </is>
      </c>
      <c r="G13" s="5" t="inlineStr">
        <is>
          <t>Access Desk</t>
        </is>
      </c>
      <c r="H13" s="5" t="inlineStr">
        <is>
          <t>Yes</t>
        </is>
      </c>
      <c r="I13" s="5" t="inlineStr">
        <is>
          <t>Granted</t>
        </is>
      </c>
      <c r="J13" s="5" t="inlineStr">
        <is>
          <t>Completed</t>
        </is>
      </c>
      <c r="K13" s="5" t="inlineStr"/>
      <c r="L13" s="5" t="inlineStr">
        <is>
          <t>Eligible / Success</t>
        </is>
      </c>
      <c r="M13" s="5" t="inlineStr">
        <is>
          <t>badge accepted</t>
        </is>
      </c>
    </row>
    <row r="14">
      <c r="A14" s="7" t="n">
        <v>14</v>
      </c>
      <c r="B14" s="7" t="inlineStr">
        <is>
          <t>ON-OTT-260316-08</t>
        </is>
      </c>
      <c r="C14" s="7" t="inlineStr">
        <is>
          <t>Bellwether Holdings</t>
        </is>
      </c>
      <c r="D14" s="7" t="inlineStr">
        <is>
          <t>Ottawa - Wellington Avenue</t>
        </is>
      </c>
      <c r="E14" s="7" t="inlineStr">
        <is>
          <t>Ontario</t>
        </is>
      </c>
      <c r="F14" s="13" t="inlineStr">
        <is>
          <t>2026-03-16 08:30</t>
        </is>
      </c>
      <c r="G14" s="7" t="inlineStr">
        <is>
          <t>Access Desk</t>
        </is>
      </c>
      <c r="H14" s="7" t="inlineStr">
        <is>
          <t>Yes</t>
        </is>
      </c>
      <c r="I14" s="7" t="inlineStr">
        <is>
          <t>Granted</t>
        </is>
      </c>
      <c r="J14" s="7" t="inlineStr">
        <is>
          <t>Completed</t>
        </is>
      </c>
      <c r="K14" s="7" t="inlineStr"/>
      <c r="L14" s="7" t="inlineStr">
        <is>
          <t>Eligible / Failure</t>
        </is>
      </c>
      <c r="M14" s="7" t="inlineStr">
        <is>
          <t>badge accepted</t>
        </is>
      </c>
    </row>
    <row r="15">
      <c r="A15" s="5" t="n">
        <v>15</v>
      </c>
      <c r="B15" s="5" t="inlineStr">
        <is>
          <t>ON-TOR-260318-09</t>
        </is>
      </c>
      <c r="C15" s="5" t="inlineStr">
        <is>
          <t>Bellwether Holdings</t>
        </is>
      </c>
      <c r="D15" s="5" t="inlineStr">
        <is>
          <t>Toronto - King Street</t>
        </is>
      </c>
      <c r="E15" s="5" t="inlineStr">
        <is>
          <t>Ontario</t>
        </is>
      </c>
      <c r="F15" s="9" t="n">
        <v>46099.40625</v>
      </c>
      <c r="G15" s="5" t="inlineStr">
        <is>
          <t>Access Desk</t>
        </is>
      </c>
      <c r="H15" s="5" t="inlineStr">
        <is>
          <t>Yes</t>
        </is>
      </c>
      <c r="I15" s="5" t="inlineStr">
        <is>
          <t>Granted</t>
        </is>
      </c>
      <c r="J15" s="5" t="inlineStr">
        <is>
          <t>Completed</t>
        </is>
      </c>
      <c r="K15" s="5" t="inlineStr"/>
      <c r="L15" s="5" t="inlineStr">
        <is>
          <t>Eligible / Failure</t>
        </is>
      </c>
      <c r="M15" s="5" t="inlineStr">
        <is>
          <t>badge accepted</t>
        </is>
      </c>
    </row>
    <row r="16">
      <c r="A16" s="7" t="n">
        <v>16</v>
      </c>
      <c r="B16" s="7" t="inlineStr">
        <is>
          <t>ON-TOR-260320-10</t>
        </is>
      </c>
      <c r="C16" s="7" t="inlineStr">
        <is>
          <t>Bellwether Holdings</t>
        </is>
      </c>
      <c r="D16" s="7" t="inlineStr">
        <is>
          <t>Toronto - King Street</t>
        </is>
      </c>
      <c r="E16" s="7" t="inlineStr">
        <is>
          <t>Ontario</t>
        </is>
      </c>
      <c r="F16" s="13" t="inlineStr">
        <is>
          <t>2026-03-20T12:15:00</t>
        </is>
      </c>
      <c r="G16" s="7" t="inlineStr">
        <is>
          <t>Access Desk</t>
        </is>
      </c>
      <c r="H16" s="7" t="inlineStr">
        <is>
          <t>Yes</t>
        </is>
      </c>
      <c r="I16" s="7" t="inlineStr">
        <is>
          <t>Granted</t>
        </is>
      </c>
      <c r="J16" s="7" t="inlineStr">
        <is>
          <t>Completed</t>
        </is>
      </c>
      <c r="K16" s="7" t="inlineStr"/>
      <c r="L16" s="7" t="inlineStr">
        <is>
          <t>Eligible / Failure</t>
        </is>
      </c>
      <c r="M16" s="7" t="inlineStr">
        <is>
          <t>badge accepted</t>
        </is>
      </c>
    </row>
    <row r="17">
      <c r="A17" s="5" t="n">
        <v>17</v>
      </c>
      <c r="B17" s="5" t="inlineStr">
        <is>
          <t>ON-OTT-260321-11</t>
        </is>
      </c>
      <c r="C17" s="5" t="inlineStr">
        <is>
          <t>Bellwether Holdings</t>
        </is>
      </c>
      <c r="D17" s="5" t="inlineStr">
        <is>
          <t>Ottawa - Wellington Avenue</t>
        </is>
      </c>
      <c r="E17" s="5" t="inlineStr">
        <is>
          <t>Ontario</t>
        </is>
      </c>
      <c r="F17" s="12" t="inlineStr">
        <is>
          <t>2026-03-21 15:45</t>
        </is>
      </c>
      <c r="G17" s="5" t="inlineStr">
        <is>
          <t>Access Desk</t>
        </is>
      </c>
      <c r="H17" s="5" t="inlineStr">
        <is>
          <t>Yes</t>
        </is>
      </c>
      <c r="I17" s="5" t="inlineStr">
        <is>
          <t>Granted</t>
        </is>
      </c>
      <c r="J17" s="5" t="inlineStr">
        <is>
          <t>Completed</t>
        </is>
      </c>
      <c r="K17" s="5" t="inlineStr"/>
      <c r="L17" s="5" t="inlineStr">
        <is>
          <t>Eligible / Failure</t>
        </is>
      </c>
      <c r="M17" s="5" t="inlineStr">
        <is>
          <t>badge accepted</t>
        </is>
      </c>
    </row>
    <row r="18">
      <c r="A18" s="7" t="n">
        <v>18</v>
      </c>
      <c r="B18" s="7" t="inlineStr">
        <is>
          <t>ON-TOR-260323-12</t>
        </is>
      </c>
      <c r="C18" s="7" t="inlineStr">
        <is>
          <t>Bellwether Holdings</t>
        </is>
      </c>
      <c r="D18" s="7" t="inlineStr">
        <is>
          <t>Toronto - King Street</t>
        </is>
      </c>
      <c r="E18" s="7" t="inlineStr">
        <is>
          <t>Ontario</t>
        </is>
      </c>
      <c r="F18" s="13" t="inlineStr">
        <is>
          <t>2026-03-23 09:00</t>
        </is>
      </c>
      <c r="G18" s="7" t="inlineStr">
        <is>
          <t>Access Desk</t>
        </is>
      </c>
      <c r="H18" s="7" t="inlineStr">
        <is>
          <t>Yes</t>
        </is>
      </c>
      <c r="I18" s="7" t="inlineStr">
        <is>
          <t>Granted</t>
        </is>
      </c>
      <c r="J18" s="7" t="inlineStr">
        <is>
          <t>Completed</t>
        </is>
      </c>
      <c r="K18" s="7" t="inlineStr"/>
      <c r="L18" s="7" t="inlineStr">
        <is>
          <t>Eligible / Failure</t>
        </is>
      </c>
      <c r="M18" s="7" t="inlineStr">
        <is>
          <t>badge accepted</t>
        </is>
      </c>
    </row>
    <row r="19">
      <c r="A19" s="5" t="n">
        <v>19</v>
      </c>
      <c r="B19" s="5" t="inlineStr">
        <is>
          <t>ON-OTT-260326-13</t>
        </is>
      </c>
      <c r="C19" s="5" t="inlineStr">
        <is>
          <t>Bellwether Holdings</t>
        </is>
      </c>
      <c r="D19" s="5" t="inlineStr">
        <is>
          <t>Ottawa - Wellington Avenue</t>
        </is>
      </c>
      <c r="E19" s="5" t="inlineStr">
        <is>
          <t>Ontario</t>
        </is>
      </c>
      <c r="F19" s="9" t="n">
        <v>46107.59027777778</v>
      </c>
      <c r="G19" s="5" t="inlineStr">
        <is>
          <t>Access Desk</t>
        </is>
      </c>
      <c r="H19" s="5" t="inlineStr">
        <is>
          <t>Yes</t>
        </is>
      </c>
      <c r="I19" s="5" t="inlineStr">
        <is>
          <t>Granted</t>
        </is>
      </c>
      <c r="J19" s="5" t="inlineStr">
        <is>
          <t>Completed</t>
        </is>
      </c>
      <c r="K19" s="5" t="inlineStr"/>
      <c r="L19" s="5" t="inlineStr">
        <is>
          <t>Eligible / Failure</t>
        </is>
      </c>
      <c r="M19" s="5" t="inlineStr">
        <is>
          <t>badge accepted</t>
        </is>
      </c>
    </row>
    <row r="20">
      <c r="A20" s="7" t="n">
        <v>20</v>
      </c>
      <c r="B20" s="7" t="inlineStr">
        <is>
          <t>ON-TOR-260308-M</t>
        </is>
      </c>
      <c r="C20" s="7" t="inlineStr">
        <is>
          <t>Bellwether Holdings</t>
        </is>
      </c>
      <c r="D20" s="7" t="inlineStr">
        <is>
          <t>Toronto - King Street</t>
        </is>
      </c>
      <c r="E20" s="7" t="inlineStr">
        <is>
          <t>Ontario</t>
        </is>
      </c>
      <c r="F20" s="13" t="inlineStr">
        <is>
          <t>2026-03-08 18:00</t>
        </is>
      </c>
      <c r="G20" s="7" t="inlineStr">
        <is>
          <t>Access Desk</t>
        </is>
      </c>
      <c r="H20" s="7" t="inlineStr">
        <is>
          <t>Yes</t>
        </is>
      </c>
      <c r="I20" s="7" t="inlineStr">
        <is>
          <t>Failed</t>
        </is>
      </c>
      <c r="J20" s="7" t="inlineStr">
        <is>
          <t>Planned Maintenance</t>
        </is>
      </c>
      <c r="K20" s="7" t="inlineStr"/>
      <c r="L20" s="7" t="inlineStr">
        <is>
          <t>Eligible / Failure</t>
        </is>
      </c>
      <c r="M20" s="7" t="inlineStr">
        <is>
          <t>planned reader work</t>
        </is>
      </c>
    </row>
    <row r="21">
      <c r="A21" s="5" t="n">
        <v>21</v>
      </c>
      <c r="B21" s="5" t="inlineStr">
        <is>
          <t>ON-TOR-260311-T</t>
        </is>
      </c>
      <c r="C21" s="5" t="inlineStr">
        <is>
          <t>Bellwether Holdings</t>
        </is>
      </c>
      <c r="D21" s="5" t="inlineStr">
        <is>
          <t>Toronto - King Street</t>
        </is>
      </c>
      <c r="E21" s="5" t="inlineStr">
        <is>
          <t>Ontario</t>
        </is>
      </c>
      <c r="F21" s="12" t="inlineStr">
        <is>
          <t>2026-03-11 07:45</t>
        </is>
      </c>
      <c r="G21" s="5" t="inlineStr">
        <is>
          <t>Access Desk</t>
        </is>
      </c>
      <c r="H21" s="5" t="inlineStr">
        <is>
          <t>No</t>
        </is>
      </c>
      <c r="I21" s="5" t="inlineStr">
        <is>
          <t>Failed</t>
        </is>
      </c>
      <c r="J21" s="5" t="inlineStr">
        <is>
          <t>Test</t>
        </is>
      </c>
      <c r="K21" s="5" t="inlineStr"/>
      <c r="L21" s="5" t="inlineStr">
        <is>
          <t>Eligible / Failure</t>
        </is>
      </c>
      <c r="M21" s="5" t="inlineStr">
        <is>
          <t>test badge run</t>
        </is>
      </c>
    </row>
    <row r="22">
      <c r="A22" s="7" t="n">
        <v>22</v>
      </c>
      <c r="B22" s="7" t="inlineStr">
        <is>
          <t>ON-TOR-260313-C</t>
        </is>
      </c>
      <c r="C22" s="7" t="inlineStr">
        <is>
          <t>Bellwether Holdings</t>
        </is>
      </c>
      <c r="D22" s="7" t="inlineStr">
        <is>
          <t>Toronto - King Street</t>
        </is>
      </c>
      <c r="E22" s="7" t="inlineStr">
        <is>
          <t>Ontario</t>
        </is>
      </c>
      <c r="F22" s="13" t="inlineStr">
        <is>
          <t>2026-03-13 12:00</t>
        </is>
      </c>
      <c r="G22" s="7" t="inlineStr">
        <is>
          <t>Access Desk</t>
        </is>
      </c>
      <c r="H22" s="7" t="inlineStr">
        <is>
          <t>Yes</t>
        </is>
      </c>
      <c r="I22" s="7" t="inlineStr">
        <is>
          <t>Cancelled</t>
        </is>
      </c>
      <c r="J22" s="7" t="inlineStr">
        <is>
          <t>Cancelled</t>
        </is>
      </c>
      <c r="K22" s="7" t="inlineStr"/>
      <c r="L22" s="7" t="inlineStr">
        <is>
          <t>Eligible / Failure</t>
        </is>
      </c>
      <c r="M22" s="7" t="inlineStr">
        <is>
          <t>tenant cancelled</t>
        </is>
      </c>
    </row>
    <row r="23">
      <c r="A23" s="5" t="n">
        <v>23</v>
      </c>
      <c r="B23" s="5" t="inlineStr">
        <is>
          <t>ON-TOR-260322-D</t>
        </is>
      </c>
      <c r="C23" s="5" t="inlineStr">
        <is>
          <t>Bellwether Holdings</t>
        </is>
      </c>
      <c r="D23" s="5" t="inlineStr">
        <is>
          <t>Toronto - King Street</t>
        </is>
      </c>
      <c r="E23" s="5" t="inlineStr">
        <is>
          <t>Ontario</t>
        </is>
      </c>
      <c r="F23" s="12" t="inlineStr">
        <is>
          <t>2026-03-22 11:00</t>
        </is>
      </c>
      <c r="G23" s="5" t="inlineStr">
        <is>
          <t>Loading Dock</t>
        </is>
      </c>
      <c r="H23" s="5" t="inlineStr">
        <is>
          <t>Yes</t>
        </is>
      </c>
      <c r="I23" s="5" t="inlineStr">
        <is>
          <t>Failed</t>
        </is>
      </c>
      <c r="J23" s="5" t="inlineStr">
        <is>
          <t>Attempted</t>
        </is>
      </c>
      <c r="K23" s="5" t="inlineStr"/>
      <c r="L23" s="5" t="inlineStr">
        <is>
          <t>Eligible / Failure</t>
        </is>
      </c>
      <c r="M23" s="5" t="inlineStr">
        <is>
          <t>different service queue</t>
        </is>
      </c>
    </row>
    <row r="24">
      <c r="A24" s="7" t="n">
        <v>24</v>
      </c>
      <c r="B24" s="7" t="inlineStr">
        <is>
          <t>ON-TOR-260330-O</t>
        </is>
      </c>
      <c r="C24" s="7" t="inlineStr">
        <is>
          <t>Bellwether Holdings</t>
        </is>
      </c>
      <c r="D24" s="7" t="inlineStr">
        <is>
          <t>Toronto - King Street</t>
        </is>
      </c>
      <c r="E24" s="7" t="inlineStr">
        <is>
          <t>Ontario</t>
        </is>
      </c>
      <c r="F24" s="13" t="inlineStr">
        <is>
          <t>2026-03-30 09:00</t>
        </is>
      </c>
      <c r="G24" s="7" t="inlineStr">
        <is>
          <t>Access Desk</t>
        </is>
      </c>
      <c r="H24" s="7" t="inlineStr">
        <is>
          <t>Yes</t>
        </is>
      </c>
      <c r="I24" s="7" t="inlineStr">
        <is>
          <t>Failed</t>
        </is>
      </c>
      <c r="J24" s="7" t="inlineStr">
        <is>
          <t>Attempted</t>
        </is>
      </c>
      <c r="K24" s="7" t="inlineStr"/>
      <c r="L24" s="7" t="inlineStr">
        <is>
          <t>Eligible / Failure</t>
        </is>
      </c>
      <c r="M24" s="7" t="inlineStr">
        <is>
          <t>outside case window</t>
        </is>
      </c>
    </row>
    <row r="25">
      <c r="A25" s="5" t="n">
        <v>25</v>
      </c>
      <c r="B25" s="5" t="inlineStr">
        <is>
          <t>NJ-NEW-260302-01</t>
        </is>
      </c>
      <c r="C25" s="5" t="inlineStr">
        <is>
          <t>Bellwether Holdings</t>
        </is>
      </c>
      <c r="D25" s="5" t="inlineStr">
        <is>
          <t>Newark - Broad Street</t>
        </is>
      </c>
      <c r="E25" s="5" t="inlineStr">
        <is>
          <t>New Jersey</t>
        </is>
      </c>
      <c r="F25" s="9" t="n">
        <v>46083.35416666666</v>
      </c>
      <c r="G25" s="5" t="inlineStr">
        <is>
          <t>Access Desk</t>
        </is>
      </c>
      <c r="H25" s="5" t="inlineStr">
        <is>
          <t>Yes</t>
        </is>
      </c>
      <c r="I25" s="5" t="inlineStr">
        <is>
          <t>Granted</t>
        </is>
      </c>
      <c r="J25" s="5" t="inlineStr">
        <is>
          <t>Completed</t>
        </is>
      </c>
      <c r="K25" s="5" t="inlineStr"/>
      <c r="L25" s="5" t="inlineStr">
        <is>
          <t>Excluded</t>
        </is>
      </c>
      <c r="M25" s="5" t="inlineStr">
        <is>
          <t>badge accepted</t>
        </is>
      </c>
    </row>
    <row r="26">
      <c r="A26" s="7" t="n">
        <v>26</v>
      </c>
      <c r="B26" s="7" t="inlineStr">
        <is>
          <t>NJ-JER-260304-02</t>
        </is>
      </c>
      <c r="C26" s="7" t="inlineStr">
        <is>
          <t>Bellwether Holdings</t>
        </is>
      </c>
      <c r="D26" s="7" t="inlineStr">
        <is>
          <t>Jersey City - Exchange Place</t>
        </is>
      </c>
      <c r="E26" s="7" t="inlineStr">
        <is>
          <t>New Jersey</t>
        </is>
      </c>
      <c r="F26" s="13" t="inlineStr">
        <is>
          <t>2026-03-04 10:00</t>
        </is>
      </c>
      <c r="G26" s="7" t="inlineStr">
        <is>
          <t>Access Desk</t>
        </is>
      </c>
      <c r="H26" s="7" t="inlineStr">
        <is>
          <t>Yes</t>
        </is>
      </c>
      <c r="I26" s="7" t="inlineStr">
        <is>
          <t>Granted</t>
        </is>
      </c>
      <c r="J26" s="7" t="inlineStr">
        <is>
          <t>Completed</t>
        </is>
      </c>
      <c r="K26" s="7" t="inlineStr"/>
      <c r="L26" s="7" t="inlineStr">
        <is>
          <t>Eligible / Failure</t>
        </is>
      </c>
      <c r="M26" s="7" t="inlineStr">
        <is>
          <t>badge accepted</t>
        </is>
      </c>
    </row>
    <row r="27">
      <c r="A27" s="5" t="n">
        <v>27</v>
      </c>
      <c r="B27" s="5" t="inlineStr">
        <is>
          <t>NJ-NEW-260307-03</t>
        </is>
      </c>
      <c r="C27" s="5" t="inlineStr">
        <is>
          <t>Bellwether Holdings</t>
        </is>
      </c>
      <c r="D27" s="5" t="inlineStr">
        <is>
          <t>Newark - Broad Street</t>
        </is>
      </c>
      <c r="E27" s="5" t="inlineStr">
        <is>
          <t>New Jersey</t>
        </is>
      </c>
      <c r="F27" s="12" t="inlineStr">
        <is>
          <t>2026-03-07T12:00:00</t>
        </is>
      </c>
      <c r="G27" s="5" t="inlineStr">
        <is>
          <t>Access Desk</t>
        </is>
      </c>
      <c r="H27" s="5" t="inlineStr">
        <is>
          <t>Yes</t>
        </is>
      </c>
      <c r="I27" s="5" t="inlineStr">
        <is>
          <t>Granted</t>
        </is>
      </c>
      <c r="J27" s="5" t="inlineStr">
        <is>
          <t>Completed</t>
        </is>
      </c>
      <c r="K27" s="5" t="inlineStr"/>
      <c r="L27" s="5" t="inlineStr">
        <is>
          <t>Eligible / Failure</t>
        </is>
      </c>
      <c r="M27" s="5" t="inlineStr">
        <is>
          <t>badge accepted</t>
        </is>
      </c>
    </row>
    <row r="28">
      <c r="A28" s="7" t="n">
        <v>28</v>
      </c>
      <c r="B28" s="7" t="inlineStr">
        <is>
          <t>NJ-JER-260309-04</t>
        </is>
      </c>
      <c r="C28" s="7" t="inlineStr">
        <is>
          <t>Bellwether Holdings</t>
        </is>
      </c>
      <c r="D28" s="7" t="inlineStr">
        <is>
          <t>Jersey City - Exchange Place</t>
        </is>
      </c>
      <c r="E28" s="7" t="inlineStr">
        <is>
          <t>New Jersey</t>
        </is>
      </c>
      <c r="F28" s="13" t="inlineStr">
        <is>
          <t>2026-03-09 09:15</t>
        </is>
      </c>
      <c r="G28" s="7" t="inlineStr">
        <is>
          <t>Access Desk</t>
        </is>
      </c>
      <c r="H28" s="7" t="inlineStr">
        <is>
          <t>Yes</t>
        </is>
      </c>
      <c r="I28" s="7" t="inlineStr">
        <is>
          <t>Granted</t>
        </is>
      </c>
      <c r="J28" s="7" t="inlineStr">
        <is>
          <t>Completed</t>
        </is>
      </c>
      <c r="K28" s="7" t="inlineStr"/>
      <c r="L28" s="7" t="inlineStr">
        <is>
          <t>Eligible / Failure</t>
        </is>
      </c>
      <c r="M28" s="7" t="inlineStr">
        <is>
          <t>badge accepted</t>
        </is>
      </c>
    </row>
    <row r="29">
      <c r="A29" s="5" t="n">
        <v>29</v>
      </c>
      <c r="B29" s="5" t="inlineStr">
        <is>
          <t>NJ-NEW-260311-05</t>
        </is>
      </c>
      <c r="C29" s="5" t="inlineStr">
        <is>
          <t>Bellwether Holdings</t>
        </is>
      </c>
      <c r="D29" s="5" t="inlineStr">
        <is>
          <t>Newark - Broad Street</t>
        </is>
      </c>
      <c r="E29" s="5" t="inlineStr">
        <is>
          <t>New Jersey</t>
        </is>
      </c>
      <c r="F29" s="9" t="n">
        <v>46092.44791666666</v>
      </c>
      <c r="G29" s="5" t="inlineStr">
        <is>
          <t>Access Desk</t>
        </is>
      </c>
      <c r="H29" s="5" t="inlineStr">
        <is>
          <t>Yes</t>
        </is>
      </c>
      <c r="I29" s="5" t="inlineStr">
        <is>
          <t>Granted</t>
        </is>
      </c>
      <c r="J29" s="5" t="inlineStr">
        <is>
          <t>Completed</t>
        </is>
      </c>
      <c r="K29" s="5" t="inlineStr"/>
      <c r="L29" s="5" t="inlineStr">
        <is>
          <t>Eligible / Failure</t>
        </is>
      </c>
      <c r="M29" s="5" t="inlineStr">
        <is>
          <t>badge accepted</t>
        </is>
      </c>
    </row>
    <row r="30">
      <c r="A30" s="7" t="n">
        <v>30</v>
      </c>
      <c r="B30" s="7" t="inlineStr">
        <is>
          <t>NJ-NEW-260311-05</t>
        </is>
      </c>
      <c r="C30" s="7" t="inlineStr">
        <is>
          <t>Bellwether Holdings</t>
        </is>
      </c>
      <c r="D30" s="7" t="inlineStr">
        <is>
          <t>Newark - Broad Street</t>
        </is>
      </c>
      <c r="E30" s="7" t="inlineStr">
        <is>
          <t>New Jersey</t>
        </is>
      </c>
      <c r="F30" s="13" t="inlineStr">
        <is>
          <t>2026-03-11 10:45</t>
        </is>
      </c>
      <c r="G30" s="7" t="inlineStr">
        <is>
          <t>Access Desk</t>
        </is>
      </c>
      <c r="H30" s="7" t="inlineStr">
        <is>
          <t>Yes</t>
        </is>
      </c>
      <c r="I30" s="7" t="inlineStr">
        <is>
          <t>Granted</t>
        </is>
      </c>
      <c r="J30" s="7" t="inlineStr">
        <is>
          <t>Completed</t>
        </is>
      </c>
      <c r="K30" s="7" t="inlineStr"/>
      <c r="L30" s="7" t="inlineStr">
        <is>
          <t>Eligible / Failure</t>
        </is>
      </c>
      <c r="M30" s="7" t="inlineStr">
        <is>
          <t>badge accepted</t>
        </is>
      </c>
    </row>
    <row r="31">
      <c r="A31" s="5" t="n">
        <v>31</v>
      </c>
      <c r="B31" s="5" t="inlineStr">
        <is>
          <t>NJ-JER-260314-06</t>
        </is>
      </c>
      <c r="C31" s="5" t="inlineStr">
        <is>
          <t>Bellwether Holdings</t>
        </is>
      </c>
      <c r="D31" s="5" t="inlineStr">
        <is>
          <t>Jersey City - Exchange Place</t>
        </is>
      </c>
      <c r="E31" s="5" t="inlineStr">
        <is>
          <t>New Jersey</t>
        </is>
      </c>
      <c r="F31" s="12" t="inlineStr">
        <is>
          <t>2026-03-14 11:30</t>
        </is>
      </c>
      <c r="G31" s="5" t="inlineStr">
        <is>
          <t>Access Desk</t>
        </is>
      </c>
      <c r="H31" s="5" t="inlineStr">
        <is>
          <t>Yes</t>
        </is>
      </c>
      <c r="I31" s="5" t="inlineStr">
        <is>
          <t>Granted</t>
        </is>
      </c>
      <c r="J31" s="5" t="inlineStr">
        <is>
          <t>Completed</t>
        </is>
      </c>
      <c r="K31" s="5" t="inlineStr"/>
      <c r="L31" s="5" t="inlineStr">
        <is>
          <t>Excluded</t>
        </is>
      </c>
      <c r="M31" s="5" t="inlineStr">
        <is>
          <t>badge accepted</t>
        </is>
      </c>
    </row>
    <row r="32">
      <c r="A32" s="7" t="n">
        <v>32</v>
      </c>
      <c r="B32" s="7" t="inlineStr">
        <is>
          <t>NJ-NEW-260316-07</t>
        </is>
      </c>
      <c r="C32" s="7" t="inlineStr">
        <is>
          <t>Bellwether Holdings</t>
        </is>
      </c>
      <c r="D32" s="7" t="inlineStr">
        <is>
          <t>Newark - Broad Street</t>
        </is>
      </c>
      <c r="E32" s="7" t="inlineStr">
        <is>
          <t>New Jersey</t>
        </is>
      </c>
      <c r="F32" s="13" t="inlineStr">
        <is>
          <t>2026-03-16 08:00</t>
        </is>
      </c>
      <c r="G32" s="7" t="inlineStr">
        <is>
          <t>Access Desk</t>
        </is>
      </c>
      <c r="H32" s="7" t="inlineStr">
        <is>
          <t>Yes</t>
        </is>
      </c>
      <c r="I32" s="7" t="inlineStr">
        <is>
          <t>Granted</t>
        </is>
      </c>
      <c r="J32" s="7" t="inlineStr">
        <is>
          <t>Completed</t>
        </is>
      </c>
      <c r="K32" s="7" t="inlineStr"/>
      <c r="L32" s="7" t="inlineStr">
        <is>
          <t>Eligible / Failure</t>
        </is>
      </c>
      <c r="M32" s="7" t="inlineStr">
        <is>
          <t>badge accepted</t>
        </is>
      </c>
    </row>
    <row r="33">
      <c r="A33" s="5" t="n">
        <v>33</v>
      </c>
      <c r="B33" s="5" t="inlineStr">
        <is>
          <t>NJ-JER-260319-08</t>
        </is>
      </c>
      <c r="C33" s="5" t="inlineStr">
        <is>
          <t>Bellwether Holdings</t>
        </is>
      </c>
      <c r="D33" s="5" t="inlineStr">
        <is>
          <t>Jersey City - Exchange Place</t>
        </is>
      </c>
      <c r="E33" s="5" t="inlineStr">
        <is>
          <t>New Jersey</t>
        </is>
      </c>
      <c r="F33" s="9" t="n">
        <v>46100.68055555555</v>
      </c>
      <c r="G33" s="5" t="inlineStr">
        <is>
          <t>Access Desk</t>
        </is>
      </c>
      <c r="H33" s="5" t="inlineStr">
        <is>
          <t>Yes</t>
        </is>
      </c>
      <c r="I33" s="5" t="inlineStr">
        <is>
          <t>Granted</t>
        </is>
      </c>
      <c r="J33" s="5" t="inlineStr">
        <is>
          <t>Completed</t>
        </is>
      </c>
      <c r="K33" s="5" t="inlineStr"/>
      <c r="L33" s="5" t="inlineStr">
        <is>
          <t>Eligible / Failure</t>
        </is>
      </c>
      <c r="M33" s="5" t="inlineStr">
        <is>
          <t>badge accepted</t>
        </is>
      </c>
    </row>
    <row r="34">
      <c r="A34" s="7" t="n">
        <v>34</v>
      </c>
      <c r="B34" s="7" t="inlineStr">
        <is>
          <t>NJ-NEW-260324-M</t>
        </is>
      </c>
      <c r="C34" s="7" t="inlineStr">
        <is>
          <t>Bellwether Holdings</t>
        </is>
      </c>
      <c r="D34" s="7" t="inlineStr">
        <is>
          <t>Newark - Broad Street</t>
        </is>
      </c>
      <c r="E34" s="7" t="inlineStr">
        <is>
          <t>New Jersey</t>
        </is>
      </c>
      <c r="F34" s="13" t="inlineStr">
        <is>
          <t>2026-03-24 07:00</t>
        </is>
      </c>
      <c r="G34" s="7" t="inlineStr">
        <is>
          <t>Access Desk</t>
        </is>
      </c>
      <c r="H34" s="7" t="inlineStr">
        <is>
          <t>Yes</t>
        </is>
      </c>
      <c r="I34" s="7" t="inlineStr">
        <is>
          <t>Failed</t>
        </is>
      </c>
      <c r="J34" s="7" t="inlineStr">
        <is>
          <t>Planned Maintenance</t>
        </is>
      </c>
      <c r="K34" s="7" t="inlineStr"/>
      <c r="L34" s="7" t="inlineStr">
        <is>
          <t>Eligible / Failure</t>
        </is>
      </c>
      <c r="M34" s="7" t="inlineStr">
        <is>
          <t>planned reader work</t>
        </is>
      </c>
    </row>
    <row r="35">
      <c r="A35" s="5" t="n">
        <v>35</v>
      </c>
      <c r="B35" s="5" t="inlineStr">
        <is>
          <t>NJ-JER-260325-T</t>
        </is>
      </c>
      <c r="C35" s="5" t="inlineStr">
        <is>
          <t>Bellwether Holdings</t>
        </is>
      </c>
      <c r="D35" s="5" t="inlineStr">
        <is>
          <t>Jersey City - Exchange Place</t>
        </is>
      </c>
      <c r="E35" s="5" t="inlineStr">
        <is>
          <t>New Jersey</t>
        </is>
      </c>
      <c r="F35" s="12" t="inlineStr">
        <is>
          <t>2026-03-25 13:00</t>
        </is>
      </c>
      <c r="G35" s="5" t="inlineStr">
        <is>
          <t>Access Desk</t>
        </is>
      </c>
      <c r="H35" s="5" t="inlineStr">
        <is>
          <t>No</t>
        </is>
      </c>
      <c r="I35" s="5" t="inlineStr">
        <is>
          <t>Granted</t>
        </is>
      </c>
      <c r="J35" s="5" t="inlineStr">
        <is>
          <t>Test</t>
        </is>
      </c>
      <c r="K35" s="5" t="inlineStr"/>
      <c r="L35" s="5" t="inlineStr">
        <is>
          <t>Eligible / Success</t>
        </is>
      </c>
      <c r="M35" s="5" t="inlineStr">
        <is>
          <t>test badge run</t>
        </is>
      </c>
    </row>
    <row r="36">
      <c r="A36" s="7" t="n">
        <v>36</v>
      </c>
      <c r="B36" s="7" t="inlineStr">
        <is>
          <t>NJ-NEW-260326-X</t>
        </is>
      </c>
      <c r="C36" s="7" t="inlineStr">
        <is>
          <t>Harborline Partners</t>
        </is>
      </c>
      <c r="D36" s="7" t="inlineStr">
        <is>
          <t>Newark - Broad Street</t>
        </is>
      </c>
      <c r="E36" s="7" t="inlineStr">
        <is>
          <t>New Jersey</t>
        </is>
      </c>
      <c r="F36" s="13" t="inlineStr">
        <is>
          <t>2026-03-26 09:00</t>
        </is>
      </c>
      <c r="G36" s="7" t="inlineStr">
        <is>
          <t>Access Desk</t>
        </is>
      </c>
      <c r="H36" s="7" t="inlineStr">
        <is>
          <t>Yes</t>
        </is>
      </c>
      <c r="I36" s="7" t="inlineStr">
        <is>
          <t>Granted</t>
        </is>
      </c>
      <c r="J36" s="7" t="inlineStr">
        <is>
          <t>Completed</t>
        </is>
      </c>
      <c r="K36" s="7" t="inlineStr"/>
      <c r="L36" s="7" t="inlineStr">
        <is>
          <t>Eligible / Success</t>
        </is>
      </c>
      <c r="M36" s="7" t="inlineStr">
        <is>
          <t>different tenant</t>
        </is>
      </c>
    </row>
  </sheetData>
  <autoFilter ref="A4:M36"/>
  <mergeCells count="2">
    <mergeCell ref="A2:M2"/>
    <mergeCell ref="A1:M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5" customWidth="1" min="1" max="1"/>
    <col width="58" customWidth="1" min="2" max="2"/>
    <col width="20" customWidth="1" min="3" max="3"/>
    <col width="22" customWidth="1" min="4" max="4"/>
    <col width="15" customWidth="1" min="5" max="5"/>
    <col width="29" customWidth="1" min="6" max="6"/>
    <col width="18" customWidth="1" min="7" max="7"/>
    <col width="28" customWidth="1" min="8" max="8"/>
  </cols>
  <sheetData>
    <row r="1" ht="28" customHeight="1">
      <c r="A1" s="1" t="inlineStr">
        <is>
          <t>Ironvale Services | service-credit policy</t>
        </is>
      </c>
    </row>
    <row r="2" ht="22" customHeight="1">
      <c r="A2" s="2" t="inlineStr">
        <is>
          <t>Policy extract issued for the Bellwether review</t>
        </is>
      </c>
    </row>
    <row r="4">
      <c r="A4" s="6" t="inlineStr">
        <is>
          <t>Policy reference</t>
        </is>
      </c>
      <c r="B4" s="7" t="inlineStr">
        <is>
          <t>IS-SC-2026.1</t>
        </is>
      </c>
      <c r="C4" s="7" t="n"/>
      <c r="D4" s="7" t="n"/>
      <c r="E4" s="7" t="n"/>
      <c r="F4" s="7" t="n"/>
      <c r="G4" s="7" t="n"/>
      <c r="H4" s="7" t="n"/>
    </row>
    <row r="5">
      <c r="A5" s="4" t="inlineStr">
        <is>
          <t>Effective from</t>
        </is>
      </c>
      <c r="B5" s="10" t="n">
        <v>46023</v>
      </c>
      <c r="C5" s="5" t="n"/>
      <c r="D5" s="5" t="n"/>
      <c r="E5" s="5" t="n"/>
      <c r="F5" s="5" t="n"/>
      <c r="G5" s="5" t="n"/>
      <c r="H5" s="5" t="n"/>
    </row>
    <row r="6">
      <c r="A6" s="6" t="inlineStr">
        <is>
          <t>Case currency</t>
        </is>
      </c>
      <c r="B6" s="7" t="inlineStr">
        <is>
          <t>USD</t>
        </is>
      </c>
      <c r="C6" s="7" t="n"/>
      <c r="D6" s="7" t="n"/>
      <c r="E6" s="7" t="n"/>
      <c r="F6" s="7" t="n"/>
      <c r="G6" s="7" t="n"/>
      <c r="H6" s="7" t="n"/>
    </row>
    <row r="7">
      <c r="A7" s="4" t="inlineStr">
        <is>
          <t>Review window grouping</t>
        </is>
      </c>
      <c r="B7" s="5" t="inlineStr">
        <is>
          <t>Monday-Sunday reporting periods; P1 through P4 below</t>
        </is>
      </c>
      <c r="C7" s="5" t="n"/>
      <c r="D7" s="5" t="n"/>
      <c r="E7" s="5" t="n"/>
      <c r="F7" s="5" t="n"/>
      <c r="G7" s="5" t="n"/>
      <c r="H7" s="5" t="n"/>
    </row>
    <row r="8">
      <c r="A8" s="6" t="inlineStr">
        <is>
          <t>Application basis</t>
        </is>
      </c>
      <c r="B8" s="7" t="inlineStr">
        <is>
          <t>Apply one tier to each jurisdiction headline rate; period credit is informational and not additive</t>
        </is>
      </c>
      <c r="C8" s="7" t="n"/>
      <c r="D8" s="7" t="n"/>
      <c r="E8" s="7" t="n"/>
      <c r="F8" s="7" t="n"/>
      <c r="G8" s="7" t="n"/>
      <c r="H8" s="7" t="n"/>
    </row>
    <row r="10" ht="22" customHeight="1">
      <c r="A10" s="11" t="inlineStr">
        <is>
          <t>Definitions</t>
        </is>
      </c>
    </row>
    <row r="11" ht="32" customHeight="1">
      <c r="A11" s="3" t="inlineStr">
        <is>
          <t>Policy item</t>
        </is>
      </c>
      <c r="B11" s="3" t="inlineStr">
        <is>
          <t>Definition</t>
        </is>
      </c>
    </row>
    <row r="12">
      <c r="A12" s="6" t="inlineStr">
        <is>
          <t>Eligible attempt</t>
        </is>
      </c>
      <c r="B12" s="7" t="inlineStr">
        <is>
          <t>Bellwether Holdings + mapped case location + Access Desk + Scheduled Attempt = Yes + timestamp inside the case window + status not Cancelled, Test, or Planned Maintenance.</t>
        </is>
      </c>
      <c r="C12" s="7" t="n"/>
      <c r="D12" s="7" t="n"/>
      <c r="E12" s="7" t="n"/>
      <c r="F12" s="7" t="n"/>
      <c r="G12" s="7" t="n"/>
      <c r="H12" s="7" t="n"/>
    </row>
    <row r="13">
      <c r="A13" s="4" t="inlineStr">
        <is>
          <t>Success</t>
        </is>
      </c>
      <c r="B13" s="5" t="inlineStr">
        <is>
          <t>Outcome = Granted on an eligible attempt.</t>
        </is>
      </c>
      <c r="C13" s="5" t="n"/>
      <c r="D13" s="5" t="n"/>
      <c r="E13" s="5" t="n"/>
      <c r="F13" s="5" t="n"/>
      <c r="G13" s="5" t="n"/>
      <c r="H13" s="5" t="n"/>
    </row>
    <row r="14">
      <c r="A14" s="6" t="inlineStr">
        <is>
          <t>Failure</t>
        </is>
      </c>
      <c r="B14" s="7" t="inlineStr">
        <is>
          <t>Outcome = Failed or No Access on an eligible attempt.</t>
        </is>
      </c>
      <c r="C14" s="7" t="n"/>
      <c r="D14" s="7" t="n"/>
      <c r="E14" s="7" t="n"/>
      <c r="F14" s="7" t="n"/>
      <c r="G14" s="7" t="n"/>
      <c r="H14" s="7" t="n"/>
    </row>
    <row r="15">
      <c r="A15" s="4" t="inlineStr">
        <is>
          <t>Excluded status</t>
        </is>
      </c>
      <c r="B15" s="5" t="inlineStr">
        <is>
          <t>Cancelled, Test, and Planned Maintenance are not service-credit attempts.</t>
        </is>
      </c>
      <c r="C15" s="5" t="n"/>
      <c r="D15" s="5" t="n"/>
      <c r="E15" s="5" t="n"/>
      <c r="F15" s="5" t="n"/>
      <c r="G15" s="5" t="n"/>
      <c r="H15" s="5" t="n"/>
    </row>
    <row r="16">
      <c r="A16" s="6" t="inlineStr">
        <is>
          <t>Deduplication key</t>
        </is>
      </c>
      <c r="B16" s="7" t="inlineStr">
        <is>
          <t>Source Event Key. Keep one operational event per distinct key; overlapping later rows are duplicates.</t>
        </is>
      </c>
      <c r="C16" s="7" t="n"/>
      <c r="D16" s="7" t="n"/>
      <c r="E16" s="7" t="n"/>
      <c r="F16" s="7" t="n"/>
      <c r="G16" s="7" t="n"/>
      <c r="H16" s="7" t="n"/>
    </row>
    <row r="17">
      <c r="A17" s="4" t="inlineStr">
        <is>
          <t>Headline failure rate</t>
        </is>
      </c>
      <c r="B17" s="5" t="inlineStr">
        <is>
          <t>Distinct retained eligible failures divided by distinct retained eligible attempts, by jurisdiction.</t>
        </is>
      </c>
      <c r="C17" s="5" t="n"/>
      <c r="D17" s="5" t="n"/>
      <c r="E17" s="5" t="n"/>
      <c r="F17" s="5" t="n"/>
      <c r="G17" s="5" t="n"/>
      <c r="H17" s="5" t="n"/>
    </row>
    <row r="18">
      <c r="A18" s="6" t="inlineStr">
        <is>
          <t>External incident edge</t>
        </is>
      </c>
      <c r="B18" s="7" t="inlineStr">
        <is>
          <t>A No Access / External Incident attempt linked to a frozen snapshot may be included when the snapshot confirms service impact, or excluded as external-cause activity. The analyst must disclose the selected reading.</t>
        </is>
      </c>
      <c r="C18" s="7" t="n"/>
      <c r="D18" s="7" t="n"/>
      <c r="E18" s="7" t="n"/>
      <c r="F18" s="7" t="n"/>
      <c r="G18" s="7" t="n"/>
      <c r="H18" s="7" t="n"/>
    </row>
    <row r="19">
      <c r="A19" s="4" t="inlineStr">
        <is>
          <t>Zero denominator</t>
        </is>
      </c>
      <c r="B19" s="5" t="inlineStr">
        <is>
          <t>A period with no eligible attempts has no calculable rate or period credit; leave those fields blank and exclude the period from headline aggregation.</t>
        </is>
      </c>
      <c r="C19" s="5" t="n"/>
      <c r="D19" s="5" t="n"/>
      <c r="E19" s="5" t="n"/>
      <c r="F19" s="5" t="n"/>
      <c r="G19" s="5" t="n"/>
      <c r="H19" s="5" t="n"/>
    </row>
    <row r="22" ht="22" customHeight="1">
      <c r="A22" s="11" t="inlineStr">
        <is>
          <t>Jurisdictional credit tiers</t>
        </is>
      </c>
    </row>
    <row r="23" ht="32" customHeight="1">
      <c r="A23" s="3" t="inlineStr">
        <is>
          <t>Jurisdiction</t>
        </is>
      </c>
      <c r="B23" s="3" t="inlineStr">
        <is>
          <t>Tier</t>
        </is>
      </c>
      <c r="C23" s="3" t="inlineStr">
        <is>
          <t>Minimum rate (inclusive)</t>
        </is>
      </c>
      <c r="D23" s="3" t="inlineStr">
        <is>
          <t>Maximum rate (exclusive)</t>
        </is>
      </c>
      <c r="E23" s="3" t="inlineStr">
        <is>
          <t>Credit rate</t>
        </is>
      </c>
      <c r="F23" s="3" t="inlineStr">
        <is>
          <t>Fee basis</t>
        </is>
      </c>
      <c r="G23" s="3" t="inlineStr">
        <is>
          <t>Maximum credit</t>
        </is>
      </c>
      <c r="H23" s="3" t="inlineStr">
        <is>
          <t>Rule text</t>
        </is>
      </c>
    </row>
    <row r="24">
      <c r="A24" s="7" t="inlineStr">
        <is>
          <t>Ontario</t>
        </is>
      </c>
      <c r="B24" s="7" t="inlineStr">
        <is>
          <t>Tier 0</t>
        </is>
      </c>
      <c r="C24" s="14" t="n">
        <v>0</v>
      </c>
      <c r="D24" s="14" t="n">
        <v>0.08</v>
      </c>
      <c r="E24" s="14" t="n">
        <v>0</v>
      </c>
      <c r="F24" s="7" t="inlineStr">
        <is>
          <t>Case monthly Access Desk fee</t>
        </is>
      </c>
      <c r="G24" s="15" t="n">
        <v>600</v>
      </c>
      <c r="H24" s="7" t="inlineStr">
        <is>
          <t>Below 8.00%</t>
        </is>
      </c>
    </row>
    <row r="25">
      <c r="A25" s="5" t="inlineStr">
        <is>
          <t>Ontario</t>
        </is>
      </c>
      <c r="B25" s="5" t="inlineStr">
        <is>
          <t>Tier 1</t>
        </is>
      </c>
      <c r="C25" s="16" t="n">
        <v>0.08</v>
      </c>
      <c r="D25" s="16" t="n">
        <v>0.12</v>
      </c>
      <c r="E25" s="16" t="n">
        <v>0.15</v>
      </c>
      <c r="F25" s="5" t="inlineStr">
        <is>
          <t>Case monthly Access Desk fee</t>
        </is>
      </c>
      <c r="G25" s="17" t="n">
        <v>600</v>
      </c>
      <c r="H25" s="5" t="inlineStr">
        <is>
          <t>8.00% to below 12.00%</t>
        </is>
      </c>
    </row>
    <row r="26">
      <c r="A26" s="7" t="inlineStr">
        <is>
          <t>Ontario</t>
        </is>
      </c>
      <c r="B26" s="7" t="inlineStr">
        <is>
          <t>Tier 2</t>
        </is>
      </c>
      <c r="C26" s="14" t="n">
        <v>0.12</v>
      </c>
      <c r="D26" s="14" t="n"/>
      <c r="E26" s="14" t="n">
        <v>0.3</v>
      </c>
      <c r="F26" s="7" t="inlineStr">
        <is>
          <t>Case monthly Access Desk fee</t>
        </is>
      </c>
      <c r="G26" s="15" t="n">
        <v>600</v>
      </c>
      <c r="H26" s="7" t="inlineStr">
        <is>
          <t>12.00% or higher</t>
        </is>
      </c>
    </row>
    <row r="27">
      <c r="A27" s="5" t="inlineStr">
        <is>
          <t>New Jersey</t>
        </is>
      </c>
      <c r="B27" s="5" t="inlineStr">
        <is>
          <t>Tier 0</t>
        </is>
      </c>
      <c r="C27" s="16" t="n">
        <v>0</v>
      </c>
      <c r="D27" s="16" t="n">
        <v>0.1</v>
      </c>
      <c r="E27" s="16" t="n">
        <v>0</v>
      </c>
      <c r="F27" s="5" t="inlineStr">
        <is>
          <t>Case monthly Access Desk fee</t>
        </is>
      </c>
      <c r="G27" s="17" t="n">
        <v>700</v>
      </c>
      <c r="H27" s="5" t="inlineStr">
        <is>
          <t>Below 10.00%</t>
        </is>
      </c>
    </row>
    <row r="28">
      <c r="A28" s="7" t="inlineStr">
        <is>
          <t>New Jersey</t>
        </is>
      </c>
      <c r="B28" s="7" t="inlineStr">
        <is>
          <t>Tier 1</t>
        </is>
      </c>
      <c r="C28" s="14" t="n">
        <v>0.1</v>
      </c>
      <c r="D28" s="14" t="n">
        <v>0.18</v>
      </c>
      <c r="E28" s="14" t="n">
        <v>0.2</v>
      </c>
      <c r="F28" s="7" t="inlineStr">
        <is>
          <t>Case monthly Access Desk fee</t>
        </is>
      </c>
      <c r="G28" s="15" t="n">
        <v>700</v>
      </c>
      <c r="H28" s="7" t="inlineStr">
        <is>
          <t>10.00% to below 18.00%</t>
        </is>
      </c>
    </row>
    <row r="29">
      <c r="A29" s="5" t="inlineStr">
        <is>
          <t>New Jersey</t>
        </is>
      </c>
      <c r="B29" s="5" t="inlineStr">
        <is>
          <t>Tier 2</t>
        </is>
      </c>
      <c r="C29" s="16" t="n">
        <v>0.18</v>
      </c>
      <c r="D29" s="16" t="n"/>
      <c r="E29" s="16" t="n">
        <v>0.35</v>
      </c>
      <c r="F29" s="5" t="inlineStr">
        <is>
          <t>Case monthly Access Desk fee</t>
        </is>
      </c>
      <c r="G29" s="17" t="n">
        <v>700</v>
      </c>
      <c r="H29" s="5" t="inlineStr">
        <is>
          <t>18.00% or higher</t>
        </is>
      </c>
    </row>
    <row r="31" ht="22" customHeight="1">
      <c r="A31" s="11" t="inlineStr">
        <is>
          <t>Location mapping and service scope</t>
        </is>
      </c>
    </row>
    <row r="32" ht="32" customHeight="1">
      <c r="A32" s="3" t="inlineStr">
        <is>
          <t>Location</t>
        </is>
      </c>
      <c r="B32" s="3" t="inlineStr">
        <is>
          <t>Jurisdiction</t>
        </is>
      </c>
      <c r="C32" s="3" t="inlineStr">
        <is>
          <t>Portfolio service scope</t>
        </is>
      </c>
    </row>
    <row r="33">
      <c r="A33" s="5" t="inlineStr">
        <is>
          <t>Toronto - King Street</t>
        </is>
      </c>
      <c r="B33" s="5" t="inlineStr">
        <is>
          <t>Ontario</t>
        </is>
      </c>
      <c r="C33" s="5" t="inlineStr">
        <is>
          <t>Access Desk</t>
        </is>
      </c>
    </row>
    <row r="34">
      <c r="A34" s="7" t="inlineStr">
        <is>
          <t>Ottawa - Wellington Avenue</t>
        </is>
      </c>
      <c r="B34" s="7" t="inlineStr">
        <is>
          <t>Ontario</t>
        </is>
      </c>
      <c r="C34" s="7" t="inlineStr">
        <is>
          <t>Access Desk</t>
        </is>
      </c>
    </row>
    <row r="35">
      <c r="A35" s="5" t="inlineStr">
        <is>
          <t>Newark - Broad Street</t>
        </is>
      </c>
      <c r="B35" s="5" t="inlineStr">
        <is>
          <t>New Jersey</t>
        </is>
      </c>
      <c r="C35" s="5" t="inlineStr">
        <is>
          <t>Access Desk</t>
        </is>
      </c>
    </row>
    <row r="36">
      <c r="A36" s="7" t="inlineStr">
        <is>
          <t>Jersey City - Exchange Place</t>
        </is>
      </c>
      <c r="B36" s="7" t="inlineStr">
        <is>
          <t>New Jersey</t>
        </is>
      </c>
      <c r="C36" s="7" t="inlineStr">
        <is>
          <t>Access Desk</t>
        </is>
      </c>
    </row>
    <row r="38" ht="22" customHeight="1">
      <c r="A38" s="11" t="inlineStr">
        <is>
          <t>Reporting periods</t>
        </is>
      </c>
    </row>
    <row r="39" ht="32" customHeight="1">
      <c r="A39" s="3" t="inlineStr">
        <is>
          <t>Period</t>
        </is>
      </c>
      <c r="B39" s="3" t="inlineStr">
        <is>
          <t>Start</t>
        </is>
      </c>
      <c r="C39" s="3" t="inlineStr">
        <is>
          <t>End</t>
        </is>
      </c>
      <c r="D39" s="3" t="inlineStr">
        <is>
          <t>Grouping</t>
        </is>
      </c>
    </row>
    <row r="40">
      <c r="A40" s="7" t="inlineStr">
        <is>
          <t>P1</t>
        </is>
      </c>
      <c r="B40" s="18" t="n">
        <v>46083</v>
      </c>
      <c r="C40" s="18" t="n">
        <v>46089.99930555555</v>
      </c>
      <c r="D40" s="7" t="inlineStr">
        <is>
          <t>Monday-Sunday</t>
        </is>
      </c>
    </row>
    <row r="41">
      <c r="A41" s="5" t="inlineStr">
        <is>
          <t>P2</t>
        </is>
      </c>
      <c r="B41" s="10" t="n">
        <v>46090</v>
      </c>
      <c r="C41" s="10" t="n">
        <v>46096.99930555555</v>
      </c>
      <c r="D41" s="5" t="inlineStr">
        <is>
          <t>Monday-Sunday</t>
        </is>
      </c>
    </row>
    <row r="42">
      <c r="A42" s="7" t="inlineStr">
        <is>
          <t>P3</t>
        </is>
      </c>
      <c r="B42" s="18" t="n">
        <v>46097</v>
      </c>
      <c r="C42" s="18" t="n">
        <v>46103.99930555555</v>
      </c>
      <c r="D42" s="7" t="inlineStr">
        <is>
          <t>Monday-Sunday</t>
        </is>
      </c>
    </row>
    <row r="43">
      <c r="A43" s="5" t="inlineStr">
        <is>
          <t>P4</t>
        </is>
      </c>
      <c r="B43" s="10" t="n">
        <v>46104</v>
      </c>
      <c r="C43" s="10" t="n">
        <v>46110.99930555555</v>
      </c>
      <c r="D43" s="5" t="inlineStr">
        <is>
          <t>Monday-Sunday</t>
        </is>
      </c>
    </row>
  </sheetData>
  <mergeCells count="19">
    <mergeCell ref="B6:H6"/>
    <mergeCell ref="B15:H15"/>
    <mergeCell ref="A1:H1"/>
    <mergeCell ref="B5:H5"/>
    <mergeCell ref="B4:H4"/>
    <mergeCell ref="B16:H16"/>
    <mergeCell ref="B7:H7"/>
    <mergeCell ref="B18:H18"/>
    <mergeCell ref="A2:H2"/>
    <mergeCell ref="B12:H12"/>
    <mergeCell ref="A22:H22"/>
    <mergeCell ref="B8:H8"/>
    <mergeCell ref="B14:H14"/>
    <mergeCell ref="B17:H17"/>
    <mergeCell ref="B13:H13"/>
    <mergeCell ref="A38:H38"/>
    <mergeCell ref="A10:H10"/>
    <mergeCell ref="B19:H19"/>
    <mergeCell ref="A31:H3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0" customWidth="1" min="4" max="4"/>
    <col width="31" customWidth="1" min="5" max="5"/>
    <col width="14" customWidth="1" min="6" max="6"/>
    <col width="30" customWidth="1" min="7" max="7"/>
    <col width="52" customWidth="1" min="8" max="8"/>
    <col width="20" customWidth="1" min="9" max="9"/>
    <col width="32" customWidth="1" min="10" max="10"/>
  </cols>
  <sheetData>
    <row r="1" ht="28" customHeight="1">
      <c r="A1" s="1" t="inlineStr">
        <is>
          <t>Frozen external incident snapshot</t>
        </is>
      </c>
    </row>
    <row r="2" ht="22" customHeight="1">
      <c r="A2" s="2" t="inlineStr">
        <is>
          <t>Issued snapshot supplied with the case | no live refresh</t>
        </is>
      </c>
    </row>
    <row r="4" ht="32" customHeight="1">
      <c r="A4" s="3" t="inlineStr">
        <is>
          <t>Snapshot Ref</t>
        </is>
      </c>
      <c r="B4" s="3" t="inlineStr">
        <is>
          <t>Incident Date</t>
        </is>
      </c>
      <c r="C4" s="3" t="inlineStr">
        <is>
          <t>Start</t>
        </is>
      </c>
      <c r="D4" s="3" t="inlineStr">
        <is>
          <t>End</t>
        </is>
      </c>
      <c r="E4" s="3" t="inlineStr">
        <is>
          <t>Affected Location</t>
        </is>
      </c>
      <c r="F4" s="3" t="inlineStr">
        <is>
          <t>Jurisdiction</t>
        </is>
      </c>
      <c r="G4" s="3" t="inlineStr">
        <is>
          <t>External Cause</t>
        </is>
      </c>
      <c r="H4" s="3" t="inlineStr">
        <is>
          <t>Service Impact</t>
        </is>
      </c>
      <c r="I4" s="3" t="inlineStr">
        <is>
          <t>Frozen As Of</t>
        </is>
      </c>
      <c r="J4" s="3" t="inlineStr">
        <is>
          <t>Source Status</t>
        </is>
      </c>
    </row>
    <row r="5">
      <c r="A5" s="5" t="inlineStr">
        <is>
          <t>EXT-031</t>
        </is>
      </c>
      <c r="B5" s="10" t="n">
        <v>46085</v>
      </c>
      <c r="C5" s="9" t="n">
        <v>46085.35416666666</v>
      </c>
      <c r="D5" s="9" t="n">
        <v>46085.4375</v>
      </c>
      <c r="E5" s="5" t="inlineStr">
        <is>
          <t>Toronto - King Street</t>
        </is>
      </c>
      <c r="F5" s="5" t="inlineStr">
        <is>
          <t>Ontario</t>
        </is>
      </c>
      <c r="G5" s="5" t="inlineStr">
        <is>
          <t>Municipal utility interruption</t>
        </is>
      </c>
      <c r="H5" s="5" t="inlineStr">
        <is>
          <t>Access-desk readers unavailable; external cause recorded</t>
        </is>
      </c>
      <c r="I5" s="9" t="n">
        <v>46101.70833333334</v>
      </c>
      <c r="J5" s="5" t="inlineStr">
        <is>
          <t>Frozen external incident snapshot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Ironvale Services Portfolio Operations</dc:creator>
  <dc:title xmlns:dc="http://purl.org/dc/elements/1.1/">Ironvale Services - Bellwether access case bundle</dc:title>
  <dcterms:created xmlns:dcterms="http://purl.org/dc/terms/" xmlns:xsi="http://www.w3.org/2001/XMLSchema-instance" xsi:type="dcterms:W3CDTF">2026-08-16T12:20:26Z</dcterms:created>
  <dcterms:modified xmlns:dcterms="http://purl.org/dc/terms/" xmlns:xsi="http://www.w3.org/2001/XMLSchema-instance" xsi:type="dcterms:W3CDTF">2026-08-16T12:20:27Z</dcterms:modified>
</cp:coreProperties>
</file>