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Evidence" sheetId="2" state="visible" r:id="rId4"/>
    <sheet name="Model" sheetId="3" state="visible" r:id="rId5"/>
  </sheets>
  <definedNames>
    <definedName function="false" hidden="false" localSheetId="1" name="_xlnm.Print_Area" vbProcedure="false">Evidence!$A$1:$F$23</definedName>
    <definedName function="false" hidden="false" localSheetId="2" name="_xlnm.Print_Area" vbProcedure="false">Model!$A$1:$M$60</definedName>
    <definedName function="false" hidden="true" localSheetId="2" name="_xlnm._FilterDatabase" vbProcedure="false">Model!$AE$7:$AO$307</definedName>
    <definedName function="false" hidden="false" localSheetId="0" name="_xlnm.Print_Area" vbProcedure="false">Summary!$A$1:$G$30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<sst xmlns="http://schemas.openxmlformats.org/spreadsheetml/2006/main" count="2759" uniqueCount="891">
  <si>
    <t xml:space="preserve">Greyhaven PB-4 Bore Release Decision</t>
  </si>
  <si>
    <t xml:space="preserve">For Blackmarsh Regional Office quality board | Tuesday review 2026-06-16 09:00</t>
  </si>
  <si>
    <t xml:space="preserve">PROVISIONAL DETERMINATION</t>
  </si>
  <si>
    <t xml:space="preserve">Most-likely cause: Second-shift gauge technique (GM-22 single-sweep handling).</t>
  </si>
  <si>
    <t xml:space="preserve">Moderate, provisional confidence. The evidence aligns all four explanations with the timing; it does not prove causation or replace a formal measurement-system study.</t>
  </si>
  <si>
    <t xml:space="preserve">What the source records show</t>
  </si>
  <si>
    <t xml:space="preserve">Item</t>
  </si>
  <si>
    <t xml:space="preserve">Value</t>
  </si>
  <si>
    <t xml:space="preserve">Unit</t>
  </si>
  <si>
    <t xml:space="preserve">Evidence</t>
  </si>
  <si>
    <t xml:space="preserve">Second-shift change</t>
  </si>
  <si>
    <t xml:space="preserve">mm</t>
  </si>
  <si>
    <t xml:space="preserve">E01</t>
  </si>
  <si>
    <t xml:space="preserve">First-shift change</t>
  </si>
  <si>
    <t xml:space="preserve">W6 shift gap</t>
  </si>
  <si>
    <t xml:space="preserve">Bore specification</t>
  </si>
  <si>
    <t xml:space="preserve">LSL 49.960 | USL 50.040</t>
  </si>
  <si>
    <t xml:space="preserve">E02</t>
  </si>
  <si>
    <t xml:space="preserve">Why technique leads</t>
  </si>
  <si>
    <t xml:space="preserve">GM-22 technique difference is documented; no commanded offset change or corresponding first-shift rise.</t>
  </si>
  <si>
    <t xml:space="preserve">Interpretation</t>
  </si>
  <si>
    <t xml:space="preserve">E04; E12; E14</t>
  </si>
  <si>
    <t xml:space="preserve">Why not proven</t>
  </si>
  <si>
    <t xml:space="preserve">Fixture use, new MM-204, and night ambient each track the period; screening is not a completed study.</t>
  </si>
  <si>
    <t xml:space="preserve">Limitation</t>
  </si>
  <si>
    <t xml:space="preserve">E05; E08; E10; E13</t>
  </si>
  <si>
    <t xml:space="preserve">One containment recommended for the pending shipment</t>
  </si>
  <si>
    <t xml:space="preserve">Independent verification gate</t>
  </si>
  <si>
    <t xml:space="preserve">Measure 50 pending H-0624 parts independently before release. This protects shipment quality even if the provisional cause is wrong; it also directly counters the selected technique risk.</t>
  </si>
  <si>
    <t xml:space="preserve">Cost: </t>
  </si>
  <si>
    <t xml:space="preserve">USD</t>
  </si>
  <si>
    <t xml:space="preserve">within $600.00 budget</t>
  </si>
  <si>
    <t xml:space="preserve">Completion: </t>
  </si>
  <si>
    <t xml:space="preserve">before 2026-06-18 17:00 cutoff</t>
  </si>
  <si>
    <t xml:space="preserve">One field-ready disconfirming check</t>
  </si>
  <si>
    <t xml:space="preserve">Check: Independent paired remeasurement of 20 H-0624 second-shift parts.</t>
  </si>
  <si>
    <t xml:space="preserve">Sample</t>
  </si>
  <si>
    <t xml:space="preserve">20 of the 60 H-0624 second-shift parts; retain identifiers for paired comparison.</t>
  </si>
  <si>
    <t xml:space="preserve">E17</t>
  </si>
  <si>
    <t xml:space="preserve">Comparison</t>
  </si>
  <si>
    <t xml:space="preserve">Compare recorded GM-22 values with blinded SB-09 measurements using the standardized three-point hold.</t>
  </si>
  <si>
    <t xml:space="preserve">E12; E14; E17</t>
  </si>
  <si>
    <t xml:space="preserve">Decision threshold</t>
  </si>
  <si>
    <t xml:space="preserve">Disconfirm gauge-technique cause if mean (GM-22 recorded - SB-09 independent) is less than +0.018 mm. This is half of the W6 shift gap, rounded to 0.001 mm gauge resolution.</t>
  </si>
  <si>
    <t xml:space="preserve">E01; E03; E19</t>
  </si>
  <si>
    <t xml:space="preserve">Owner and timing</t>
  </si>
  <si>
    <t xml:space="preserve">Quality Technician completes by 2026-06-17 12:00, before shipment cutoff.</t>
  </si>
  <si>
    <t xml:space="preserve">E15; E17</t>
  </si>
  <si>
    <t xml:space="preserve">Consequence</t>
  </si>
  <si>
    <t xml:space="preserve">If disconfirmed, keep the independent verification gate for release, do not attribute the trend to technique, and reprioritize fixture, material, and ambient causes for the board.</t>
  </si>
  <si>
    <t xml:space="preserve">E16; E18</t>
  </si>
  <si>
    <t xml:space="preserve">Sources and assumptions: blue/green sections quote or derive supplied records; yellow text marks the decision rule and uncertainty. See Evidence keys for tab and record locators; Model retains the cleaned population and formulas.</t>
  </si>
  <si>
    <t xml:space="preserve">Evidence | claim-to-source locator</t>
  </si>
  <si>
    <t xml:space="preserve">Use the key in Summary or Model to retrieve the source record. Source text is paraphrased only where marked as an interpretation.</t>
  </si>
  <si>
    <t xml:space="preserve">Key</t>
  </si>
  <si>
    <t xml:space="preserve">Claim / value used</t>
  </si>
  <si>
    <t xml:space="preserve">Source tab</t>
  </si>
  <si>
    <t xml:space="preserve">Record-level locator</t>
  </si>
  <si>
    <t xml:space="preserve">Classification</t>
  </si>
  <si>
    <t xml:space="preserve">Source-grounded detail</t>
  </si>
  <si>
    <t xml:space="preserve">300 valid production readings; six W1-W6 weeks and source shifts</t>
  </si>
  <si>
    <t xml:space="preserve">Bore Measurement Export</t>
  </si>
  <si>
    <t xml:space="preserve">ProductionBoreReadings A5:L304; Reading IDs BR-001 to BR-300</t>
  </si>
  <si>
    <t xml:space="preserve">Sourced fact</t>
  </si>
  <si>
    <t xml:space="preserve">Adjacent visitor log M5:P9 excluded; Week and Shift are source fields; stale helper omitted.</t>
  </si>
  <si>
    <t xml:space="preserve">USL 50.040 mm; LSL 49.960 mm</t>
  </si>
  <si>
    <t xml:space="preserve">Shift &amp; Process Log</t>
  </si>
  <si>
    <t xml:space="preserve">Cell A18</t>
  </si>
  <si>
    <t xml:space="preserve">Job traveler specification.</t>
  </si>
  <si>
    <t xml:space="preserve">E03</t>
  </si>
  <si>
    <t xml:space="preserve">Gauge display resolution 0.001 mm</t>
  </si>
  <si>
    <t xml:space="preserve">E04</t>
  </si>
  <si>
    <t xml:space="preserve">No commanded offset changes</t>
  </si>
  <si>
    <t xml:space="preserve">SP-01A through SP-06B, rows 5:16</t>
  </si>
  <si>
    <t xml:space="preserve">Both shift entries state 0.000 mm.</t>
  </si>
  <si>
    <t xml:space="preserve">E05</t>
  </si>
  <si>
    <t xml:space="preserve">FX-B cycles increase 840 to 1,090</t>
  </si>
  <si>
    <t xml:space="preserve">Material &amp; Fixture History</t>
  </si>
  <si>
    <t xml:space="preserve">FH-01 through FH-06, rows 8:13</t>
  </si>
  <si>
    <t xml:space="preserve">Second shift / FX-B weekly history.</t>
  </si>
  <si>
    <t xml:space="preserve">E06</t>
  </si>
  <si>
    <t xml:space="preserve">FX-B mandatory service not overdue and visual inspection passed</t>
  </si>
  <si>
    <t xml:space="preserve">Weakening evidence for wear.</t>
  </si>
  <si>
    <t xml:space="preserve">E07</t>
  </si>
  <si>
    <t xml:space="preserve">FX-A history has no matching second-shift condition</t>
  </si>
  <si>
    <t xml:space="preserve">FH-07, row 14</t>
  </si>
  <si>
    <t xml:space="preserve">First shift / FX-A history.</t>
  </si>
  <si>
    <t xml:space="preserve">E08</t>
  </si>
  <si>
    <t xml:space="preserve">New Meridian MM-204 used second shift from W3</t>
  </si>
  <si>
    <t xml:space="preserve">MH-03, row 7; measurement records BR-101:BR-300</t>
  </si>
  <si>
    <t xml:space="preserve">Explicit interval and material lot identifiers.</t>
  </si>
  <si>
    <t xml:space="preserve">E09</t>
  </si>
  <si>
    <t xml:space="preserve">MM-204 incoming chemistry and acceptance within internal statement</t>
  </si>
  <si>
    <t xml:space="preserve">MH-03, row 7</t>
  </si>
  <si>
    <t xml:space="preserve">Does not eliminate machinability effect.</t>
  </si>
  <si>
    <t xml:space="preserve">E10</t>
  </si>
  <si>
    <t xml:space="preserve">Second-shift ambient rises 19 C to 24 C</t>
  </si>
  <si>
    <t xml:space="preserve">Environment &amp; Gauge Obs</t>
  </si>
  <si>
    <t xml:space="preserve">EN-01B through EN-06B, rows 6,8,10,12,14,16</t>
  </si>
  <si>
    <t xml:space="preserve">Date-range/shift matched ambient entries.</t>
  </si>
  <si>
    <t xml:space="preserve">E11</t>
  </si>
  <si>
    <t xml:space="preserve">Facility operating band 18 C to 26 C</t>
  </si>
  <si>
    <t xml:space="preserve">EN-01A through EN-06B, rows 5:16</t>
  </si>
  <si>
    <t xml:space="preserve">All listed readings are in band.</t>
  </si>
  <si>
    <t xml:space="preserve">E12</t>
  </si>
  <si>
    <t xml:space="preserve">GM-22 single-sweep technique observed; 6-part screen +0.006 mm</t>
  </si>
  <si>
    <t xml:space="preserve">GO-01, row 17</t>
  </si>
  <si>
    <t xml:space="preserve">Shift, gauge, date, and screening observation are scoped.</t>
  </si>
  <si>
    <t xml:space="preserve">E13</t>
  </si>
  <si>
    <t xml:space="preserve">Screening was not a completed measurement-system study</t>
  </si>
  <si>
    <t xml:space="preserve">Explicit limitation.</t>
  </si>
  <si>
    <t xml:space="preserve">E14</t>
  </si>
  <si>
    <t xml:space="preserve">GM-17 uses documented standardized three-point hold</t>
  </si>
  <si>
    <t xml:space="preserve">GO-02, row 18</t>
  </si>
  <si>
    <t xml:space="preserve">First-shift gauge/technique scope.</t>
  </si>
  <si>
    <t xml:space="preserve">E15</t>
  </si>
  <si>
    <t xml:space="preserve">Budget $600.00; review 2026-06-16 09:00; cutoff 2026-06-18 17:00</t>
  </si>
  <si>
    <t xml:space="preserve">Containment, Cost &amp; Deadline</t>
  </si>
  <si>
    <t xml:space="preserve">Cells B5:B7</t>
  </si>
  <si>
    <t xml:space="preserve">Decision timing and budget.</t>
  </si>
  <si>
    <t xml:space="preserve">E16</t>
  </si>
  <si>
    <t xml:space="preserve">Independent verification gate: 50 parts x $6.40 + $85.00; completion 2026-06-17 15:00</t>
  </si>
  <si>
    <t xml:space="preserve">CO-01, row 14</t>
  </si>
  <si>
    <t xml:space="preserve">Independent measurement before release.</t>
  </si>
  <si>
    <t xml:space="preserve">H-0624 has 60 second-shift parts; SB-09 standardized route; Quality Technician available</t>
  </si>
  <si>
    <t xml:space="preserve">Cells B8:B10</t>
  </si>
  <si>
    <t xml:space="preserve">Current-lot availability and operating role.</t>
  </si>
  <si>
    <t xml:space="preserve">E18</t>
  </si>
  <si>
    <t xml:space="preserve">Technique ranked first; moderate provisional confidence</t>
  </si>
  <si>
    <t xml:space="preserve">Model</t>
  </si>
  <si>
    <t xml:space="preserve">Hypothesis comparison rows 40:43; I42:I43</t>
  </si>
  <si>
    <t xml:space="preserve">Assumption / derived judgment</t>
  </si>
  <si>
    <t xml:space="preserve">Transparent equal-weight rule and limitations.</t>
  </si>
  <si>
    <t xml:space="preserve">E19</t>
  </si>
  <si>
    <t xml:space="preserve">Check threshold equals half W6 shift gap, rounded to 0.001 mm</t>
  </si>
  <si>
    <t xml:space="preserve">Trend measures row 36</t>
  </si>
  <si>
    <t xml:space="preserve">Assumption / derived rule</t>
  </si>
  <si>
    <t xml:space="preserve">Source-derived comparator; no external limit.</t>
  </si>
  <si>
    <t xml:space="preserve">Model | PB-4 bore review</t>
  </si>
  <si>
    <t xml:space="preserve">Sourced facts are blue; assumptions and decision rules are yellow. All derived measures recompute from the 300 rows below.</t>
  </si>
  <si>
    <t xml:space="preserve">Source controls and recomputed scope</t>
  </si>
  <si>
    <t xml:space="preserve">Control</t>
  </si>
  <si>
    <t xml:space="preserve">Unit / status</t>
  </si>
  <si>
    <t xml:space="preserve">Evidence key</t>
  </si>
  <si>
    <t xml:space="preserve">Valid production-reading count</t>
  </si>
  <si>
    <t xml:space="preserve">records</t>
  </si>
  <si>
    <t xml:space="preserve">Distinct reading IDs</t>
  </si>
  <si>
    <t xml:space="preserve">Reading ID</t>
  </si>
  <si>
    <t xml:space="preserve">Date</t>
  </si>
  <si>
    <t xml:space="preserve">Week (recomputed)</t>
  </si>
  <si>
    <t xml:space="preserve">Shift</t>
  </si>
  <si>
    <t xml:space="preserve">Lot</t>
  </si>
  <si>
    <t xml:space="preserve">Part ID</t>
  </si>
  <si>
    <t xml:space="preserve">Fixture</t>
  </si>
  <si>
    <t xml:space="preserve">Material Lot</t>
  </si>
  <si>
    <t xml:space="preserve">Gauge</t>
  </si>
  <si>
    <t xml:space="preserve">Measured Bore</t>
  </si>
  <si>
    <t xml:space="preserve">USL</t>
  </si>
  <si>
    <t xml:space="preserve">BR-001</t>
  </si>
  <si>
    <t xml:space="preserve">First</t>
  </si>
  <si>
    <t xml:space="preserve">PB-01-F</t>
  </si>
  <si>
    <t xml:space="preserve">P1F01</t>
  </si>
  <si>
    <t xml:space="preserve">FX-A</t>
  </si>
  <si>
    <t xml:space="preserve">CL-771</t>
  </si>
  <si>
    <t xml:space="preserve">GM-17</t>
  </si>
  <si>
    <t xml:space="preserve">LSL</t>
  </si>
  <si>
    <t xml:space="preserve">BR-002</t>
  </si>
  <si>
    <t xml:space="preserve">P1F02</t>
  </si>
  <si>
    <t xml:space="preserve">Gauge resolution</t>
  </si>
  <si>
    <t xml:space="preserve">BR-003</t>
  </si>
  <si>
    <t xml:space="preserve">P1F03</t>
  </si>
  <si>
    <t xml:space="preserve">Weeks modeled</t>
  </si>
  <si>
    <t xml:space="preserve">6 (W1-W6 from Date; retired helper excluded)</t>
  </si>
  <si>
    <t xml:space="preserve">weeks</t>
  </si>
  <si>
    <t xml:space="preserve">BR-004</t>
  </si>
  <si>
    <t xml:space="preserve">P1F04</t>
  </si>
  <si>
    <t xml:space="preserve">Shifts modeled</t>
  </si>
  <si>
    <t xml:space="preserve">First; Second (source Shift field)</t>
  </si>
  <si>
    <t xml:space="preserve">categories</t>
  </si>
  <si>
    <t xml:space="preserve">BR-005</t>
  </si>
  <si>
    <t xml:space="preserve">P1F05</t>
  </si>
  <si>
    <t xml:space="preserve">BR-006</t>
  </si>
  <si>
    <t xml:space="preserve">P1F06</t>
  </si>
  <si>
    <t xml:space="preserve">Weekly bore statistics (derived from cleaned source population)</t>
  </si>
  <si>
    <t xml:space="preserve">BR-007</t>
  </si>
  <si>
    <t xml:space="preserve">P1F07</t>
  </si>
  <si>
    <t xml:space="preserve">Week</t>
  </si>
  <si>
    <t xml:space="preserve">n</t>
  </si>
  <si>
    <t xml:space="preserve">Mean bore (mm)</t>
  </si>
  <si>
    <t xml:space="preserve">Min (mm)</t>
  </si>
  <si>
    <t xml:space="preserve">Max (mm)</t>
  </si>
  <si>
    <t xml:space="preserve">Sample SD (mm)</t>
  </si>
  <si>
    <t xml:space="preserve">Distance to USL (mm)</t>
  </si>
  <si>
    <t xml:space="preserve">Above USL (n)</t>
  </si>
  <si>
    <t xml:space="preserve">Below LSL (n)</t>
  </si>
  <si>
    <t xml:space="preserve">Material lot</t>
  </si>
  <si>
    <t xml:space="preserve">BR-008</t>
  </si>
  <si>
    <t xml:space="preserve">P1F08</t>
  </si>
  <si>
    <t xml:space="preserve">W1</t>
  </si>
  <si>
    <t xml:space="preserve">BR-009</t>
  </si>
  <si>
    <t xml:space="preserve">P1F09</t>
  </si>
  <si>
    <t xml:space="preserve">Second</t>
  </si>
  <si>
    <t xml:space="preserve">BR-010</t>
  </si>
  <si>
    <t xml:space="preserve">P1F10</t>
  </si>
  <si>
    <t xml:space="preserve">W2</t>
  </si>
  <si>
    <t xml:space="preserve">BR-011</t>
  </si>
  <si>
    <t xml:space="preserve">P1F11</t>
  </si>
  <si>
    <t xml:space="preserve">BR-012</t>
  </si>
  <si>
    <t xml:space="preserve">P1F12</t>
  </si>
  <si>
    <t xml:space="preserve">W3</t>
  </si>
  <si>
    <t xml:space="preserve">BR-013</t>
  </si>
  <si>
    <t xml:space="preserve">P1F13</t>
  </si>
  <si>
    <t xml:space="preserve">BR-014</t>
  </si>
  <si>
    <t xml:space="preserve">P1F14</t>
  </si>
  <si>
    <t xml:space="preserve">W4</t>
  </si>
  <si>
    <t xml:space="preserve">BR-015</t>
  </si>
  <si>
    <t xml:space="preserve">P1F15</t>
  </si>
  <si>
    <t xml:space="preserve">BR-016</t>
  </si>
  <si>
    <t xml:space="preserve">P1F16</t>
  </si>
  <si>
    <t xml:space="preserve">W5</t>
  </si>
  <si>
    <t xml:space="preserve">BR-017</t>
  </si>
  <si>
    <t xml:space="preserve">P1F17</t>
  </si>
  <si>
    <t xml:space="preserve">BR-018</t>
  </si>
  <si>
    <t xml:space="preserve">P1F18</t>
  </si>
  <si>
    <t xml:space="preserve">W6</t>
  </si>
  <si>
    <t xml:space="preserve">BR-019</t>
  </si>
  <si>
    <t xml:space="preserve">P1F19</t>
  </si>
  <si>
    <t xml:space="preserve">BR-020</t>
  </si>
  <si>
    <t xml:space="preserve">P1F20</t>
  </si>
  <si>
    <t xml:space="preserve">BR-021</t>
  </si>
  <si>
    <t xml:space="preserve">P1F21</t>
  </si>
  <si>
    <t xml:space="preserve">Trend measures and check-threshold derivation</t>
  </si>
  <si>
    <t xml:space="preserve">BR-022</t>
  </si>
  <si>
    <t xml:space="preserve">P1F22</t>
  </si>
  <si>
    <t xml:space="preserve">Measure</t>
  </si>
  <si>
    <t xml:space="preserve">Formula / rule</t>
  </si>
  <si>
    <t xml:space="preserve">Result</t>
  </si>
  <si>
    <t xml:space="preserve">BR-023</t>
  </si>
  <si>
    <t xml:space="preserve">P1F23</t>
  </si>
  <si>
    <t xml:space="preserve">Six-week First change</t>
  </si>
  <si>
    <t xml:space="preserve">W6 First mean - W1 First mean</t>
  </si>
  <si>
    <t xml:space="preserve">BR-024</t>
  </si>
  <si>
    <t xml:space="preserve">P1F24</t>
  </si>
  <si>
    <t xml:space="preserve">Six-week Second change</t>
  </si>
  <si>
    <t xml:space="preserve">W6 Second mean - W1 Second mean</t>
  </si>
  <si>
    <t xml:space="preserve">BR-025</t>
  </si>
  <si>
    <t xml:space="preserve">P1F25</t>
  </si>
  <si>
    <t xml:space="preserve">W6 Second mean - W6 First mean</t>
  </si>
  <si>
    <t xml:space="preserve">BR-026</t>
  </si>
  <si>
    <t xml:space="preserve">PB-01-S</t>
  </si>
  <si>
    <t xml:space="preserve">P1S01</t>
  </si>
  <si>
    <t xml:space="preserve">FX-B</t>
  </si>
  <si>
    <t xml:space="preserve">GM-22</t>
  </si>
  <si>
    <t xml:space="preserve">First weekly slope</t>
  </si>
  <si>
    <t xml:space="preserve">Least-squares slope for six ordered weekly means</t>
  </si>
  <si>
    <t xml:space="preserve">mm/week</t>
  </si>
  <si>
    <t xml:space="preserve">BR-027</t>
  </si>
  <si>
    <t xml:space="preserve">P1S02</t>
  </si>
  <si>
    <t xml:space="preserve">Second weekly slope</t>
  </si>
  <si>
    <t xml:space="preserve">BR-028</t>
  </si>
  <si>
    <t xml:space="preserve">P1S03</t>
  </si>
  <si>
    <t xml:space="preserve">Check threshold</t>
  </si>
  <si>
    <t xml:space="preserve">ASSUMPTION: half of W6 shift gap, rounded to source gauge resolution</t>
  </si>
  <si>
    <t xml:space="preserve">E01; E03</t>
  </si>
  <si>
    <t xml:space="preserve">BR-029</t>
  </si>
  <si>
    <t xml:space="preserve">P1S04</t>
  </si>
  <si>
    <t xml:space="preserve">BR-030</t>
  </si>
  <si>
    <t xml:space="preserve">P1S05</t>
  </si>
  <si>
    <t xml:space="preserve">Hypothesis comparison (source facts vs. provisional decision rule)</t>
  </si>
  <si>
    <t xml:space="preserve">BR-031</t>
  </si>
  <si>
    <t xml:space="preserve">P1S06</t>
  </si>
  <si>
    <t xml:space="preserve">Candidate cause</t>
  </si>
  <si>
    <t xml:space="preserve">Supporting sourced fact</t>
  </si>
  <si>
    <t xml:space="preserve">Weakening sourced fact</t>
  </si>
  <si>
    <t xml:space="preserve">Separate criterion score</t>
  </si>
  <si>
    <t xml:space="preserve">Why it remains live</t>
  </si>
  <si>
    <t xml:space="preserve">Evidence keys</t>
  </si>
  <si>
    <t xml:space="preserve">Decision rule (assumption)</t>
  </si>
  <si>
    <t xml:space="preserve">BR-032</t>
  </si>
  <si>
    <t xml:space="preserve">P1S07</t>
  </si>
  <si>
    <t xml:space="preserve">Fixture wear</t>
  </si>
  <si>
    <t xml:space="preserve">FX-B cycles rise 840 to 1,090 during second-shift drift.</t>
  </si>
  <si>
    <t xml:space="preserve">Mandatory service was not overdue and visual inspection passed; FX-A has no comparable rise.</t>
  </si>
  <si>
    <t xml:space="preserve">Temporal fit; direct physical path remains untested.</t>
  </si>
  <si>
    <t xml:space="preserve">E05; E06; E07</t>
  </si>
  <si>
    <t xml:space="preserve">Score = 1 per independently stated supporting fact, plus 1 only where source directly documents shift-specific technique / no competing offset record. Equal weighting; not a causal probability.</t>
  </si>
  <si>
    <t xml:space="preserve">BR-033</t>
  </si>
  <si>
    <t xml:space="preserve">P1S08</t>
  </si>
  <si>
    <t xml:space="preserve">Recent coil-supplier change</t>
  </si>
  <si>
    <t xml:space="preserve">MM-204, the new Meridian lot, is used on second shift from W3.</t>
  </si>
  <si>
    <t xml:space="preserve">MM-204 incoming chemistry and acceptance were within internal receiving statement; it does not prove machinability.</t>
  </si>
  <si>
    <t xml:space="preserve">Shift-specific lot usage aligns from W3, but incoming acceptance is not causal proof.</t>
  </si>
  <si>
    <t xml:space="preserve">E08; E09</t>
  </si>
  <si>
    <t xml:space="preserve">BR-034</t>
  </si>
  <si>
    <t xml:space="preserve">P1S09</t>
  </si>
  <si>
    <t xml:space="preserve">Night ambient temperature</t>
  </si>
  <si>
    <t xml:space="preserve">Second-shift ambient rises 19 C to 24 C across W1-W6.</t>
  </si>
  <si>
    <t xml:space="preserve">All logged temperatures remain within facility 18 C to 26 C operating band.</t>
  </si>
  <si>
    <t xml:space="preserve">Tracks time but available record does not isolate thermal influence.</t>
  </si>
  <si>
    <t xml:space="preserve">E10; E11</t>
  </si>
  <si>
    <t xml:space="preserve">Preferred cause</t>
  </si>
  <si>
    <t xml:space="preserve">BR-035</t>
  </si>
  <si>
    <t xml:space="preserve">P1S10</t>
  </si>
  <si>
    <t xml:space="preserve">Second-shift gauge technique</t>
  </si>
  <si>
    <t xml:space="preserve">GO-01 documents GM-22 single-sweep technique; 6-part screen was +0.006 mm.</t>
  </si>
  <si>
    <t xml:space="preserve">Screening comparison is explicitly not a completed measurement-system study.</t>
  </si>
  <si>
    <t xml:space="preserve">Directly shift-specific, no first-shift rise or commanded offset change, and fastest to challenge before shipment.</t>
  </si>
  <si>
    <t xml:space="preserve">E12; E13; E14</t>
  </si>
  <si>
    <t xml:space="preserve">Confidence boundary</t>
  </si>
  <si>
    <t xml:space="preserve">Moderate, provisional: all four have comparable historical timing; no formal measurement study or designed causal study is present.</t>
  </si>
  <si>
    <t xml:space="preserve">BR-036</t>
  </si>
  <si>
    <t xml:space="preserve">P1S11</t>
  </si>
  <si>
    <t xml:space="preserve">BR-037</t>
  </si>
  <si>
    <t xml:space="preserve">P1S12</t>
  </si>
  <si>
    <t xml:space="preserve">BR-038</t>
  </si>
  <si>
    <t xml:space="preserve">P1S13</t>
  </si>
  <si>
    <t xml:space="preserve">Containment cost and deadline feasibility (derived)</t>
  </si>
  <si>
    <t xml:space="preserve">BR-039</t>
  </si>
  <si>
    <t xml:space="preserve">P1S14</t>
  </si>
  <si>
    <t xml:space="preserve">Option ID</t>
  </si>
  <si>
    <t xml:space="preserve">Containment</t>
  </si>
  <si>
    <t xml:space="preserve">Quantity</t>
  </si>
  <si>
    <t xml:space="preserve">Unit rate</t>
  </si>
  <si>
    <t xml:space="preserve">Fixed charge</t>
  </si>
  <si>
    <t xml:space="preserve">Extended cost</t>
  </si>
  <si>
    <t xml:space="preserve">Budget status</t>
  </si>
  <si>
    <t xml:space="preserve">Scheduled completion</t>
  </si>
  <si>
    <t xml:space="preserve">Cutoff status</t>
  </si>
  <si>
    <t xml:space="preserve">Shipment protection</t>
  </si>
  <si>
    <t xml:space="preserve">Shipment cutoff</t>
  </si>
  <si>
    <t xml:space="preserve">BR-040</t>
  </si>
  <si>
    <t xml:space="preserve">P1S15</t>
  </si>
  <si>
    <t xml:space="preserve">CO-01</t>
  </si>
  <si>
    <t xml:space="preserve">Independent measurement before release</t>
  </si>
  <si>
    <t xml:space="preserve">BR-041</t>
  </si>
  <si>
    <t xml:space="preserve">P1S16</t>
  </si>
  <si>
    <t xml:space="preserve">CO-02</t>
  </si>
  <si>
    <t xml:space="preserve">FX-B inspection and replacement</t>
  </si>
  <si>
    <t xml:space="preserve">Addresses fixture only; no independent release measurement</t>
  </si>
  <si>
    <t xml:space="preserve">BR-042</t>
  </si>
  <si>
    <t xml:space="preserve">P1S17</t>
  </si>
  <si>
    <t xml:space="preserve">CO-03</t>
  </si>
  <si>
    <t xml:space="preserve">Material lot hold and incoming review</t>
  </si>
  <si>
    <t xml:space="preserve">Stops MM-204 use; does not verify held parts</t>
  </si>
  <si>
    <t xml:space="preserve">BR-043</t>
  </si>
  <si>
    <t xml:space="preserve">P1S18</t>
  </si>
  <si>
    <t xml:space="preserve">CO-04</t>
  </si>
  <si>
    <t xml:space="preserve">Night ambient restriction</t>
  </si>
  <si>
    <t xml:space="preserve">Changes condition; no independent release measurement</t>
  </si>
  <si>
    <t xml:space="preserve">BR-044</t>
  </si>
  <si>
    <t xml:space="preserve">P1S19</t>
  </si>
  <si>
    <t xml:space="preserve">BR-045</t>
  </si>
  <si>
    <t xml:space="preserve">P1S20</t>
  </si>
  <si>
    <t xml:space="preserve">Recommended containment</t>
  </si>
  <si>
    <t xml:space="preserve">Cost</t>
  </si>
  <si>
    <t xml:space="preserve">Completion</t>
  </si>
  <si>
    <t xml:space="preserve">BR-046</t>
  </si>
  <si>
    <t xml:space="preserve">P1S21</t>
  </si>
  <si>
    <t xml:space="preserve">BR-047</t>
  </si>
  <si>
    <t xml:space="preserve">P1S22</t>
  </si>
  <si>
    <t xml:space="preserve">BR-048</t>
  </si>
  <si>
    <t xml:space="preserve">P1S23</t>
  </si>
  <si>
    <t xml:space="preserve">Explicit assumptions and limits</t>
  </si>
  <si>
    <t xml:space="preserve">BR-049</t>
  </si>
  <si>
    <t xml:space="preserve">P1S24</t>
  </si>
  <si>
    <t xml:space="preserve">ID</t>
  </si>
  <si>
    <t xml:space="preserve">Assumption (not sourced fact)</t>
  </si>
  <si>
    <t xml:space="preserve">Use</t>
  </si>
  <si>
    <t xml:space="preserve">BR-050</t>
  </si>
  <si>
    <t xml:space="preserve">P1S25</t>
  </si>
  <si>
    <t xml:space="preserve">A01</t>
  </si>
  <si>
    <t xml:space="preserve">Historical co-movement cannot prove physical causation; the rank is a provisional shipment decision.</t>
  </si>
  <si>
    <t xml:space="preserve">Decision interpretation</t>
  </si>
  <si>
    <t xml:space="preserve">BR-051</t>
  </si>
  <si>
    <t xml:space="preserve">PB-02-F</t>
  </si>
  <si>
    <t xml:space="preserve">P2F01</t>
  </si>
  <si>
    <t xml:space="preserve">A02</t>
  </si>
  <si>
    <t xml:space="preserve">The half-gap threshold is a practical adequacy rule, not an external technical limit; it is rounded to 0.001 mm source resolution.</t>
  </si>
  <si>
    <t xml:space="preserve">Check decision rule</t>
  </si>
  <si>
    <t xml:space="preserve">BR-052</t>
  </si>
  <si>
    <t xml:space="preserve">P2F02</t>
  </si>
  <si>
    <t xml:space="preserve">A03</t>
  </si>
  <si>
    <t xml:space="preserve">Independent SB-09 remeasurement is treated as sufficiently independent because it uses a separate station and standardized hold; its outcome tests the GM-22 technique explanation.</t>
  </si>
  <si>
    <t xml:space="preserve">Check design</t>
  </si>
  <si>
    <t xml:space="preserve">BR-053</t>
  </si>
  <si>
    <t xml:space="preserve">P2F03</t>
  </si>
  <si>
    <t xml:space="preserve">BR-054</t>
  </si>
  <si>
    <t xml:space="preserve">P2F04</t>
  </si>
  <si>
    <t xml:space="preserve">BR-055</t>
  </si>
  <si>
    <t xml:space="preserve">P2F05</t>
  </si>
  <si>
    <t xml:space="preserve">BR-056</t>
  </si>
  <si>
    <t xml:space="preserve">P2F06</t>
  </si>
  <si>
    <t xml:space="preserve">BR-057</t>
  </si>
  <si>
    <t xml:space="preserve">P2F07</t>
  </si>
  <si>
    <t xml:space="preserve">BR-058</t>
  </si>
  <si>
    <t xml:space="preserve">P2F08</t>
  </si>
  <si>
    <t xml:space="preserve">BR-059</t>
  </si>
  <si>
    <t xml:space="preserve">P2F09</t>
  </si>
  <si>
    <t xml:space="preserve">BR-060</t>
  </si>
  <si>
    <t xml:space="preserve">P2F10</t>
  </si>
  <si>
    <t xml:space="preserve">BR-061</t>
  </si>
  <si>
    <t xml:space="preserve">P2F11</t>
  </si>
  <si>
    <t xml:space="preserve">BR-062</t>
  </si>
  <si>
    <t xml:space="preserve">P2F12</t>
  </si>
  <si>
    <t xml:space="preserve">BR-063</t>
  </si>
  <si>
    <t xml:space="preserve">P2F13</t>
  </si>
  <si>
    <t xml:space="preserve">BR-064</t>
  </si>
  <si>
    <t xml:space="preserve">P2F14</t>
  </si>
  <si>
    <t xml:space="preserve">BR-065</t>
  </si>
  <si>
    <t xml:space="preserve">P2F15</t>
  </si>
  <si>
    <t xml:space="preserve">BR-066</t>
  </si>
  <si>
    <t xml:space="preserve">P2F16</t>
  </si>
  <si>
    <t xml:space="preserve">BR-067</t>
  </si>
  <si>
    <t xml:space="preserve">P2F17</t>
  </si>
  <si>
    <t xml:space="preserve">BR-068</t>
  </si>
  <si>
    <t xml:space="preserve">P2F18</t>
  </si>
  <si>
    <t xml:space="preserve">BR-069</t>
  </si>
  <si>
    <t xml:space="preserve">P2F19</t>
  </si>
  <si>
    <t xml:space="preserve">BR-070</t>
  </si>
  <si>
    <t xml:space="preserve">P2F20</t>
  </si>
  <si>
    <t xml:space="preserve">BR-071</t>
  </si>
  <si>
    <t xml:space="preserve">P2F21</t>
  </si>
  <si>
    <t xml:space="preserve">BR-072</t>
  </si>
  <si>
    <t xml:space="preserve">P2F22</t>
  </si>
  <si>
    <t xml:space="preserve">BR-073</t>
  </si>
  <si>
    <t xml:space="preserve">P2F23</t>
  </si>
  <si>
    <t xml:space="preserve">BR-074</t>
  </si>
  <si>
    <t xml:space="preserve">P2F24</t>
  </si>
  <si>
    <t xml:space="preserve">BR-075</t>
  </si>
  <si>
    <t xml:space="preserve">P2F25</t>
  </si>
  <si>
    <t xml:space="preserve">BR-076</t>
  </si>
  <si>
    <t xml:space="preserve">PB-02-S</t>
  </si>
  <si>
    <t xml:space="preserve">P2S01</t>
  </si>
  <si>
    <t xml:space="preserve">BR-077</t>
  </si>
  <si>
    <t xml:space="preserve">P2S02</t>
  </si>
  <si>
    <t xml:space="preserve">BR-078</t>
  </si>
  <si>
    <t xml:space="preserve">P2S03</t>
  </si>
  <si>
    <t xml:space="preserve">BR-079</t>
  </si>
  <si>
    <t xml:space="preserve">P2S04</t>
  </si>
  <si>
    <t xml:space="preserve">BR-080</t>
  </si>
  <si>
    <t xml:space="preserve">P2S05</t>
  </si>
  <si>
    <t xml:space="preserve">BR-081</t>
  </si>
  <si>
    <t xml:space="preserve">P2S06</t>
  </si>
  <si>
    <t xml:space="preserve">BR-082</t>
  </si>
  <si>
    <t xml:space="preserve">P2S07</t>
  </si>
  <si>
    <t xml:space="preserve">BR-083</t>
  </si>
  <si>
    <t xml:space="preserve">P2S08</t>
  </si>
  <si>
    <t xml:space="preserve">BR-084</t>
  </si>
  <si>
    <t xml:space="preserve">P2S09</t>
  </si>
  <si>
    <t xml:space="preserve">BR-085</t>
  </si>
  <si>
    <t xml:space="preserve">P2S10</t>
  </si>
  <si>
    <t xml:space="preserve">BR-086</t>
  </si>
  <si>
    <t xml:space="preserve">P2S11</t>
  </si>
  <si>
    <t xml:space="preserve">BR-087</t>
  </si>
  <si>
    <t xml:space="preserve">P2S12</t>
  </si>
  <si>
    <t xml:space="preserve">BR-088</t>
  </si>
  <si>
    <t xml:space="preserve">P2S13</t>
  </si>
  <si>
    <t xml:space="preserve">BR-089</t>
  </si>
  <si>
    <t xml:space="preserve">P2S14</t>
  </si>
  <si>
    <t xml:space="preserve">BR-090</t>
  </si>
  <si>
    <t xml:space="preserve">P2S15</t>
  </si>
  <si>
    <t xml:space="preserve">BR-091</t>
  </si>
  <si>
    <t xml:space="preserve">P2S16</t>
  </si>
  <si>
    <t xml:space="preserve">BR-092</t>
  </si>
  <si>
    <t xml:space="preserve">P2S17</t>
  </si>
  <si>
    <t xml:space="preserve">BR-093</t>
  </si>
  <si>
    <t xml:space="preserve">P2S18</t>
  </si>
  <si>
    <t xml:space="preserve">BR-094</t>
  </si>
  <si>
    <t xml:space="preserve">P2S19</t>
  </si>
  <si>
    <t xml:space="preserve">BR-095</t>
  </si>
  <si>
    <t xml:space="preserve">P2S20</t>
  </si>
  <si>
    <t xml:space="preserve">BR-096</t>
  </si>
  <si>
    <t xml:space="preserve">P2S21</t>
  </si>
  <si>
    <t xml:space="preserve">BR-097</t>
  </si>
  <si>
    <t xml:space="preserve">P2S22</t>
  </si>
  <si>
    <t xml:space="preserve">BR-098</t>
  </si>
  <si>
    <t xml:space="preserve">P2S23</t>
  </si>
  <si>
    <t xml:space="preserve">BR-099</t>
  </si>
  <si>
    <t xml:space="preserve">P2S24</t>
  </si>
  <si>
    <t xml:space="preserve">BR-100</t>
  </si>
  <si>
    <t xml:space="preserve">P2S25</t>
  </si>
  <si>
    <t xml:space="preserve">BR-101</t>
  </si>
  <si>
    <t xml:space="preserve">PB-03-F</t>
  </si>
  <si>
    <t xml:space="preserve">P3F01</t>
  </si>
  <si>
    <t xml:space="preserve">CL-772</t>
  </si>
  <si>
    <t xml:space="preserve">BR-102</t>
  </si>
  <si>
    <t xml:space="preserve">P3F02</t>
  </si>
  <si>
    <t xml:space="preserve">BR-103</t>
  </si>
  <si>
    <t xml:space="preserve">P3F03</t>
  </si>
  <si>
    <t xml:space="preserve">BR-104</t>
  </si>
  <si>
    <t xml:space="preserve">P3F04</t>
  </si>
  <si>
    <t xml:space="preserve">BR-105</t>
  </si>
  <si>
    <t xml:space="preserve">P3F05</t>
  </si>
  <si>
    <t xml:space="preserve">BR-106</t>
  </si>
  <si>
    <t xml:space="preserve">P3F06</t>
  </si>
  <si>
    <t xml:space="preserve">BR-107</t>
  </si>
  <si>
    <t xml:space="preserve">P3F07</t>
  </si>
  <si>
    <t xml:space="preserve">BR-108</t>
  </si>
  <si>
    <t xml:space="preserve">P3F08</t>
  </si>
  <si>
    <t xml:space="preserve">BR-109</t>
  </si>
  <si>
    <t xml:space="preserve">P3F09</t>
  </si>
  <si>
    <t xml:space="preserve">BR-110</t>
  </si>
  <si>
    <t xml:space="preserve">P3F10</t>
  </si>
  <si>
    <t xml:space="preserve">BR-111</t>
  </si>
  <si>
    <t xml:space="preserve">P3F11</t>
  </si>
  <si>
    <t xml:space="preserve">BR-112</t>
  </si>
  <si>
    <t xml:space="preserve">P3F12</t>
  </si>
  <si>
    <t xml:space="preserve">BR-113</t>
  </si>
  <si>
    <t xml:space="preserve">P3F13</t>
  </si>
  <si>
    <t xml:space="preserve">BR-114</t>
  </si>
  <si>
    <t xml:space="preserve">P3F14</t>
  </si>
  <si>
    <t xml:space="preserve">BR-115</t>
  </si>
  <si>
    <t xml:space="preserve">P3F15</t>
  </si>
  <si>
    <t xml:space="preserve">BR-116</t>
  </si>
  <si>
    <t xml:space="preserve">P3F16</t>
  </si>
  <si>
    <t xml:space="preserve">BR-117</t>
  </si>
  <si>
    <t xml:space="preserve">P3F17</t>
  </si>
  <si>
    <t xml:space="preserve">BR-118</t>
  </si>
  <si>
    <t xml:space="preserve">P3F18</t>
  </si>
  <si>
    <t xml:space="preserve">BR-119</t>
  </si>
  <si>
    <t xml:space="preserve">P3F19</t>
  </si>
  <si>
    <t xml:space="preserve">BR-120</t>
  </si>
  <si>
    <t xml:space="preserve">P3F20</t>
  </si>
  <si>
    <t xml:space="preserve">BR-121</t>
  </si>
  <si>
    <t xml:space="preserve">P3F21</t>
  </si>
  <si>
    <t xml:space="preserve">BR-122</t>
  </si>
  <si>
    <t xml:space="preserve">P3F22</t>
  </si>
  <si>
    <t xml:space="preserve">BR-123</t>
  </si>
  <si>
    <t xml:space="preserve">P3F23</t>
  </si>
  <si>
    <t xml:space="preserve">BR-124</t>
  </si>
  <si>
    <t xml:space="preserve">P3F24</t>
  </si>
  <si>
    <t xml:space="preserve">BR-125</t>
  </si>
  <si>
    <t xml:space="preserve">P3F25</t>
  </si>
  <si>
    <t xml:space="preserve">BR-126</t>
  </si>
  <si>
    <t xml:space="preserve">PB-03-S</t>
  </si>
  <si>
    <t xml:space="preserve">P3S01</t>
  </si>
  <si>
    <t xml:space="preserve">MM-204</t>
  </si>
  <si>
    <t xml:space="preserve">BR-127</t>
  </si>
  <si>
    <t xml:space="preserve">P3S02</t>
  </si>
  <si>
    <t xml:space="preserve">BR-128</t>
  </si>
  <si>
    <t xml:space="preserve">P3S03</t>
  </si>
  <si>
    <t xml:space="preserve">BR-129</t>
  </si>
  <si>
    <t xml:space="preserve">P3S04</t>
  </si>
  <si>
    <t xml:space="preserve">BR-130</t>
  </si>
  <si>
    <t xml:space="preserve">P3S05</t>
  </si>
  <si>
    <t xml:space="preserve">BR-131</t>
  </si>
  <si>
    <t xml:space="preserve">P3S06</t>
  </si>
  <si>
    <t xml:space="preserve">BR-132</t>
  </si>
  <si>
    <t xml:space="preserve">P3S07</t>
  </si>
  <si>
    <t xml:space="preserve">BR-133</t>
  </si>
  <si>
    <t xml:space="preserve">P3S08</t>
  </si>
  <si>
    <t xml:space="preserve">BR-134</t>
  </si>
  <si>
    <t xml:space="preserve">P3S09</t>
  </si>
  <si>
    <t xml:space="preserve">BR-135</t>
  </si>
  <si>
    <t xml:space="preserve">P3S10</t>
  </si>
  <si>
    <t xml:space="preserve">BR-136</t>
  </si>
  <si>
    <t xml:space="preserve">P3S11</t>
  </si>
  <si>
    <t xml:space="preserve">BR-137</t>
  </si>
  <si>
    <t xml:space="preserve">P3S12</t>
  </si>
  <si>
    <t xml:space="preserve">BR-138</t>
  </si>
  <si>
    <t xml:space="preserve">P3S13</t>
  </si>
  <si>
    <t xml:space="preserve">BR-139</t>
  </si>
  <si>
    <t xml:space="preserve">P3S14</t>
  </si>
  <si>
    <t xml:space="preserve">BR-140</t>
  </si>
  <si>
    <t xml:space="preserve">P3S15</t>
  </si>
  <si>
    <t xml:space="preserve">BR-141</t>
  </si>
  <si>
    <t xml:space="preserve">P3S16</t>
  </si>
  <si>
    <t xml:space="preserve">BR-142</t>
  </si>
  <si>
    <t xml:space="preserve">P3S17</t>
  </si>
  <si>
    <t xml:space="preserve">BR-143</t>
  </si>
  <si>
    <t xml:space="preserve">P3S18</t>
  </si>
  <si>
    <t xml:space="preserve">BR-144</t>
  </si>
  <si>
    <t xml:space="preserve">P3S19</t>
  </si>
  <si>
    <t xml:space="preserve">BR-145</t>
  </si>
  <si>
    <t xml:space="preserve">P3S20</t>
  </si>
  <si>
    <t xml:space="preserve">BR-146</t>
  </si>
  <si>
    <t xml:space="preserve">P3S21</t>
  </si>
  <si>
    <t xml:space="preserve">BR-147</t>
  </si>
  <si>
    <t xml:space="preserve">P3S22</t>
  </si>
  <si>
    <t xml:space="preserve">BR-148</t>
  </si>
  <si>
    <t xml:space="preserve">P3S23</t>
  </si>
  <si>
    <t xml:space="preserve">BR-149</t>
  </si>
  <si>
    <t xml:space="preserve">P3S24</t>
  </si>
  <si>
    <t xml:space="preserve">BR-150</t>
  </si>
  <si>
    <t xml:space="preserve">P3S25</t>
  </si>
  <si>
    <t xml:space="preserve">BR-151</t>
  </si>
  <si>
    <t xml:space="preserve">PB-04-F</t>
  </si>
  <si>
    <t xml:space="preserve">P4F01</t>
  </si>
  <si>
    <t xml:space="preserve">BR-152</t>
  </si>
  <si>
    <t xml:space="preserve">P4F02</t>
  </si>
  <si>
    <t xml:space="preserve">BR-153</t>
  </si>
  <si>
    <t xml:space="preserve">P4F03</t>
  </si>
  <si>
    <t xml:space="preserve">BR-154</t>
  </si>
  <si>
    <t xml:space="preserve">P4F04</t>
  </si>
  <si>
    <t xml:space="preserve">BR-155</t>
  </si>
  <si>
    <t xml:space="preserve">P4F05</t>
  </si>
  <si>
    <t xml:space="preserve">BR-156</t>
  </si>
  <si>
    <t xml:space="preserve">P4F06</t>
  </si>
  <si>
    <t xml:space="preserve">BR-157</t>
  </si>
  <si>
    <t xml:space="preserve">P4F07</t>
  </si>
  <si>
    <t xml:space="preserve">BR-158</t>
  </si>
  <si>
    <t xml:space="preserve">P4F08</t>
  </si>
  <si>
    <t xml:space="preserve">BR-159</t>
  </si>
  <si>
    <t xml:space="preserve">P4F09</t>
  </si>
  <si>
    <t xml:space="preserve">BR-160</t>
  </si>
  <si>
    <t xml:space="preserve">P4F10</t>
  </si>
  <si>
    <t xml:space="preserve">BR-161</t>
  </si>
  <si>
    <t xml:space="preserve">P4F11</t>
  </si>
  <si>
    <t xml:space="preserve">BR-162</t>
  </si>
  <si>
    <t xml:space="preserve">P4F12</t>
  </si>
  <si>
    <t xml:space="preserve">BR-163</t>
  </si>
  <si>
    <t xml:space="preserve">P4F13</t>
  </si>
  <si>
    <t xml:space="preserve">BR-164</t>
  </si>
  <si>
    <t xml:space="preserve">P4F14</t>
  </si>
  <si>
    <t xml:space="preserve">BR-165</t>
  </si>
  <si>
    <t xml:space="preserve">P4F15</t>
  </si>
  <si>
    <t xml:space="preserve">BR-166</t>
  </si>
  <si>
    <t xml:space="preserve">P4F16</t>
  </si>
  <si>
    <t xml:space="preserve">BR-167</t>
  </si>
  <si>
    <t xml:space="preserve">P4F17</t>
  </si>
  <si>
    <t xml:space="preserve">BR-168</t>
  </si>
  <si>
    <t xml:space="preserve">P4F18</t>
  </si>
  <si>
    <t xml:space="preserve">BR-169</t>
  </si>
  <si>
    <t xml:space="preserve">P4F19</t>
  </si>
  <si>
    <t xml:space="preserve">BR-170</t>
  </si>
  <si>
    <t xml:space="preserve">P4F20</t>
  </si>
  <si>
    <t xml:space="preserve">BR-171</t>
  </si>
  <si>
    <t xml:space="preserve">P4F21</t>
  </si>
  <si>
    <t xml:space="preserve">BR-172</t>
  </si>
  <si>
    <t xml:space="preserve">P4F22</t>
  </si>
  <si>
    <t xml:space="preserve">BR-173</t>
  </si>
  <si>
    <t xml:space="preserve">P4F23</t>
  </si>
  <si>
    <t xml:space="preserve">BR-174</t>
  </si>
  <si>
    <t xml:space="preserve">P4F24</t>
  </si>
  <si>
    <t xml:space="preserve">BR-175</t>
  </si>
  <si>
    <t xml:space="preserve">P4F25</t>
  </si>
  <si>
    <t xml:space="preserve">BR-176</t>
  </si>
  <si>
    <t xml:space="preserve">PB-04-S</t>
  </si>
  <si>
    <t xml:space="preserve">P4S01</t>
  </si>
  <si>
    <t xml:space="preserve">BR-177</t>
  </si>
  <si>
    <t xml:space="preserve">P4S02</t>
  </si>
  <si>
    <t xml:space="preserve">BR-178</t>
  </si>
  <si>
    <t xml:space="preserve">P4S03</t>
  </si>
  <si>
    <t xml:space="preserve">BR-179</t>
  </si>
  <si>
    <t xml:space="preserve">P4S04</t>
  </si>
  <si>
    <t xml:space="preserve">BR-180</t>
  </si>
  <si>
    <t xml:space="preserve">P4S05</t>
  </si>
  <si>
    <t xml:space="preserve">BR-181</t>
  </si>
  <si>
    <t xml:space="preserve">P4S06</t>
  </si>
  <si>
    <t xml:space="preserve">BR-182</t>
  </si>
  <si>
    <t xml:space="preserve">P4S07</t>
  </si>
  <si>
    <t xml:space="preserve">BR-183</t>
  </si>
  <si>
    <t xml:space="preserve">P4S08</t>
  </si>
  <si>
    <t xml:space="preserve">BR-184</t>
  </si>
  <si>
    <t xml:space="preserve">P4S09</t>
  </si>
  <si>
    <t xml:space="preserve">BR-185</t>
  </si>
  <si>
    <t xml:space="preserve">P4S10</t>
  </si>
  <si>
    <t xml:space="preserve">BR-186</t>
  </si>
  <si>
    <t xml:space="preserve">P4S11</t>
  </si>
  <si>
    <t xml:space="preserve">BR-187</t>
  </si>
  <si>
    <t xml:space="preserve">P4S12</t>
  </si>
  <si>
    <t xml:space="preserve">BR-188</t>
  </si>
  <si>
    <t xml:space="preserve">P4S13</t>
  </si>
  <si>
    <t xml:space="preserve">BR-189</t>
  </si>
  <si>
    <t xml:space="preserve">P4S14</t>
  </si>
  <si>
    <t xml:space="preserve">BR-190</t>
  </si>
  <si>
    <t xml:space="preserve">P4S15</t>
  </si>
  <si>
    <t xml:space="preserve">BR-191</t>
  </si>
  <si>
    <t xml:space="preserve">P4S16</t>
  </si>
  <si>
    <t xml:space="preserve">BR-192</t>
  </si>
  <si>
    <t xml:space="preserve">P4S17</t>
  </si>
  <si>
    <t xml:space="preserve">BR-193</t>
  </si>
  <si>
    <t xml:space="preserve">P4S18</t>
  </si>
  <si>
    <t xml:space="preserve">BR-194</t>
  </si>
  <si>
    <t xml:space="preserve">P4S19</t>
  </si>
  <si>
    <t xml:space="preserve">BR-195</t>
  </si>
  <si>
    <t xml:space="preserve">P4S20</t>
  </si>
  <si>
    <t xml:space="preserve">BR-196</t>
  </si>
  <si>
    <t xml:space="preserve">P4S21</t>
  </si>
  <si>
    <t xml:space="preserve">BR-197</t>
  </si>
  <si>
    <t xml:space="preserve">P4S22</t>
  </si>
  <si>
    <t xml:space="preserve">BR-198</t>
  </si>
  <si>
    <t xml:space="preserve">P4S23</t>
  </si>
  <si>
    <t xml:space="preserve">BR-199</t>
  </si>
  <si>
    <t xml:space="preserve">P4S24</t>
  </si>
  <si>
    <t xml:space="preserve">BR-200</t>
  </si>
  <si>
    <t xml:space="preserve">P4S25</t>
  </si>
  <si>
    <t xml:space="preserve">BR-201</t>
  </si>
  <si>
    <t xml:space="preserve">PB-05-F</t>
  </si>
  <si>
    <t xml:space="preserve">P5F01</t>
  </si>
  <si>
    <t xml:space="preserve">BR-202</t>
  </si>
  <si>
    <t xml:space="preserve">P5F02</t>
  </si>
  <si>
    <t xml:space="preserve">BR-203</t>
  </si>
  <si>
    <t xml:space="preserve">P5F03</t>
  </si>
  <si>
    <t xml:space="preserve">BR-204</t>
  </si>
  <si>
    <t xml:space="preserve">P5F04</t>
  </si>
  <si>
    <t xml:space="preserve">BR-205</t>
  </si>
  <si>
    <t xml:space="preserve">P5F05</t>
  </si>
  <si>
    <t xml:space="preserve">BR-206</t>
  </si>
  <si>
    <t xml:space="preserve">P5F06</t>
  </si>
  <si>
    <t xml:space="preserve">BR-207</t>
  </si>
  <si>
    <t xml:space="preserve">P5F07</t>
  </si>
  <si>
    <t xml:space="preserve">BR-208</t>
  </si>
  <si>
    <t xml:space="preserve">P5F08</t>
  </si>
  <si>
    <t xml:space="preserve">BR-209</t>
  </si>
  <si>
    <t xml:space="preserve">P5F09</t>
  </si>
  <si>
    <t xml:space="preserve">BR-210</t>
  </si>
  <si>
    <t xml:space="preserve">P5F10</t>
  </si>
  <si>
    <t xml:space="preserve">BR-211</t>
  </si>
  <si>
    <t xml:space="preserve">P5F11</t>
  </si>
  <si>
    <t xml:space="preserve">BR-212</t>
  </si>
  <si>
    <t xml:space="preserve">P5F12</t>
  </si>
  <si>
    <t xml:space="preserve">BR-213</t>
  </si>
  <si>
    <t xml:space="preserve">P5F13</t>
  </si>
  <si>
    <t xml:space="preserve">BR-214</t>
  </si>
  <si>
    <t xml:space="preserve">P5F14</t>
  </si>
  <si>
    <t xml:space="preserve">BR-215</t>
  </si>
  <si>
    <t xml:space="preserve">P5F15</t>
  </si>
  <si>
    <t xml:space="preserve">BR-216</t>
  </si>
  <si>
    <t xml:space="preserve">P5F16</t>
  </si>
  <si>
    <t xml:space="preserve">BR-217</t>
  </si>
  <si>
    <t xml:space="preserve">P5F17</t>
  </si>
  <si>
    <t xml:space="preserve">BR-218</t>
  </si>
  <si>
    <t xml:space="preserve">P5F18</t>
  </si>
  <si>
    <t xml:space="preserve">BR-219</t>
  </si>
  <si>
    <t xml:space="preserve">P5F19</t>
  </si>
  <si>
    <t xml:space="preserve">BR-220</t>
  </si>
  <si>
    <t xml:space="preserve">P5F20</t>
  </si>
  <si>
    <t xml:space="preserve">BR-221</t>
  </si>
  <si>
    <t xml:space="preserve">P5F21</t>
  </si>
  <si>
    <t xml:space="preserve">BR-222</t>
  </si>
  <si>
    <t xml:space="preserve">P5F22</t>
  </si>
  <si>
    <t xml:space="preserve">BR-223</t>
  </si>
  <si>
    <t xml:space="preserve">P5F23</t>
  </si>
  <si>
    <t xml:space="preserve">BR-224</t>
  </si>
  <si>
    <t xml:space="preserve">P5F24</t>
  </si>
  <si>
    <t xml:space="preserve">BR-225</t>
  </si>
  <si>
    <t xml:space="preserve">P5F25</t>
  </si>
  <si>
    <t xml:space="preserve">BR-226</t>
  </si>
  <si>
    <t xml:space="preserve">PB-05-S</t>
  </si>
  <si>
    <t xml:space="preserve">P5S01</t>
  </si>
  <si>
    <t xml:space="preserve">BR-227</t>
  </si>
  <si>
    <t xml:space="preserve">P5S02</t>
  </si>
  <si>
    <t xml:space="preserve">BR-228</t>
  </si>
  <si>
    <t xml:space="preserve">P5S03</t>
  </si>
  <si>
    <t xml:space="preserve">BR-229</t>
  </si>
  <si>
    <t xml:space="preserve">P5S04</t>
  </si>
  <si>
    <t xml:space="preserve">BR-230</t>
  </si>
  <si>
    <t xml:space="preserve">P5S05</t>
  </si>
  <si>
    <t xml:space="preserve">BR-231</t>
  </si>
  <si>
    <t xml:space="preserve">P5S06</t>
  </si>
  <si>
    <t xml:space="preserve">BR-232</t>
  </si>
  <si>
    <t xml:space="preserve">P5S07</t>
  </si>
  <si>
    <t xml:space="preserve">BR-233</t>
  </si>
  <si>
    <t xml:space="preserve">P5S08</t>
  </si>
  <si>
    <t xml:space="preserve">BR-234</t>
  </si>
  <si>
    <t xml:space="preserve">P5S09</t>
  </si>
  <si>
    <t xml:space="preserve">BR-235</t>
  </si>
  <si>
    <t xml:space="preserve">P5S10</t>
  </si>
  <si>
    <t xml:space="preserve">BR-236</t>
  </si>
  <si>
    <t xml:space="preserve">P5S11</t>
  </si>
  <si>
    <t xml:space="preserve">BR-237</t>
  </si>
  <si>
    <t xml:space="preserve">P5S12</t>
  </si>
  <si>
    <t xml:space="preserve">BR-238</t>
  </si>
  <si>
    <t xml:space="preserve">P5S13</t>
  </si>
  <si>
    <t xml:space="preserve">BR-239</t>
  </si>
  <si>
    <t xml:space="preserve">P5S14</t>
  </si>
  <si>
    <t xml:space="preserve">BR-240</t>
  </si>
  <si>
    <t xml:space="preserve">P5S15</t>
  </si>
  <si>
    <t xml:space="preserve">BR-241</t>
  </si>
  <si>
    <t xml:space="preserve">P5S16</t>
  </si>
  <si>
    <t xml:space="preserve">BR-242</t>
  </si>
  <si>
    <t xml:space="preserve">P5S17</t>
  </si>
  <si>
    <t xml:space="preserve">BR-243</t>
  </si>
  <si>
    <t xml:space="preserve">P5S18</t>
  </si>
  <si>
    <t xml:space="preserve">BR-244</t>
  </si>
  <si>
    <t xml:space="preserve">P5S19</t>
  </si>
  <si>
    <t xml:space="preserve">BR-245</t>
  </si>
  <si>
    <t xml:space="preserve">P5S20</t>
  </si>
  <si>
    <t xml:space="preserve">BR-246</t>
  </si>
  <si>
    <t xml:space="preserve">P5S21</t>
  </si>
  <si>
    <t xml:space="preserve">BR-247</t>
  </si>
  <si>
    <t xml:space="preserve">P5S22</t>
  </si>
  <si>
    <t xml:space="preserve">BR-248</t>
  </si>
  <si>
    <t xml:space="preserve">P5S23</t>
  </si>
  <si>
    <t xml:space="preserve">BR-249</t>
  </si>
  <si>
    <t xml:space="preserve">P5S24</t>
  </si>
  <si>
    <t xml:space="preserve">BR-250</t>
  </si>
  <si>
    <t xml:space="preserve">P5S25</t>
  </si>
  <si>
    <t xml:space="preserve">BR-251</t>
  </si>
  <si>
    <t xml:space="preserve">PB-06-F</t>
  </si>
  <si>
    <t xml:space="preserve">P6F01</t>
  </si>
  <si>
    <t xml:space="preserve">BR-252</t>
  </si>
  <si>
    <t xml:space="preserve">P6F02</t>
  </si>
  <si>
    <t xml:space="preserve">BR-253</t>
  </si>
  <si>
    <t xml:space="preserve">P6F03</t>
  </si>
  <si>
    <t xml:space="preserve">BR-254</t>
  </si>
  <si>
    <t xml:space="preserve">P6F04</t>
  </si>
  <si>
    <t xml:space="preserve">BR-255</t>
  </si>
  <si>
    <t xml:space="preserve">P6F05</t>
  </si>
  <si>
    <t xml:space="preserve">BR-256</t>
  </si>
  <si>
    <t xml:space="preserve">P6F06</t>
  </si>
  <si>
    <t xml:space="preserve">BR-257</t>
  </si>
  <si>
    <t xml:space="preserve">P6F07</t>
  </si>
  <si>
    <t xml:space="preserve">BR-258</t>
  </si>
  <si>
    <t xml:space="preserve">P6F08</t>
  </si>
  <si>
    <t xml:space="preserve">BR-259</t>
  </si>
  <si>
    <t xml:space="preserve">P6F09</t>
  </si>
  <si>
    <t xml:space="preserve">BR-260</t>
  </si>
  <si>
    <t xml:space="preserve">P6F10</t>
  </si>
  <si>
    <t xml:space="preserve">BR-261</t>
  </si>
  <si>
    <t xml:space="preserve">P6F11</t>
  </si>
  <si>
    <t xml:space="preserve">BR-262</t>
  </si>
  <si>
    <t xml:space="preserve">P6F12</t>
  </si>
  <si>
    <t xml:space="preserve">BR-263</t>
  </si>
  <si>
    <t xml:space="preserve">P6F13</t>
  </si>
  <si>
    <t xml:space="preserve">BR-264</t>
  </si>
  <si>
    <t xml:space="preserve">P6F14</t>
  </si>
  <si>
    <t xml:space="preserve">BR-265</t>
  </si>
  <si>
    <t xml:space="preserve">P6F15</t>
  </si>
  <si>
    <t xml:space="preserve">BR-266</t>
  </si>
  <si>
    <t xml:space="preserve">P6F16</t>
  </si>
  <si>
    <t xml:space="preserve">BR-267</t>
  </si>
  <si>
    <t xml:space="preserve">P6F17</t>
  </si>
  <si>
    <t xml:space="preserve">BR-268</t>
  </si>
  <si>
    <t xml:space="preserve">P6F18</t>
  </si>
  <si>
    <t xml:space="preserve">BR-269</t>
  </si>
  <si>
    <t xml:space="preserve">P6F19</t>
  </si>
  <si>
    <t xml:space="preserve">BR-270</t>
  </si>
  <si>
    <t xml:space="preserve">P6F20</t>
  </si>
  <si>
    <t xml:space="preserve">BR-271</t>
  </si>
  <si>
    <t xml:space="preserve">P6F21</t>
  </si>
  <si>
    <t xml:space="preserve">BR-272</t>
  </si>
  <si>
    <t xml:space="preserve">P6F22</t>
  </si>
  <si>
    <t xml:space="preserve">BR-273</t>
  </si>
  <si>
    <t xml:space="preserve">P6F23</t>
  </si>
  <si>
    <t xml:space="preserve">BR-274</t>
  </si>
  <si>
    <t xml:space="preserve">P6F24</t>
  </si>
  <si>
    <t xml:space="preserve">BR-275</t>
  </si>
  <si>
    <t xml:space="preserve">P6F25</t>
  </si>
  <si>
    <t xml:space="preserve">BR-276</t>
  </si>
  <si>
    <t xml:space="preserve">PB-06-S</t>
  </si>
  <si>
    <t xml:space="preserve">P6S01</t>
  </si>
  <si>
    <t xml:space="preserve">BR-277</t>
  </si>
  <si>
    <t xml:space="preserve">P6S02</t>
  </si>
  <si>
    <t xml:space="preserve">BR-278</t>
  </si>
  <si>
    <t xml:space="preserve">P6S03</t>
  </si>
  <si>
    <t xml:space="preserve">BR-279</t>
  </si>
  <si>
    <t xml:space="preserve">P6S04</t>
  </si>
  <si>
    <t xml:space="preserve">BR-280</t>
  </si>
  <si>
    <t xml:space="preserve">P6S05</t>
  </si>
  <si>
    <t xml:space="preserve">BR-281</t>
  </si>
  <si>
    <t xml:space="preserve">P6S06</t>
  </si>
  <si>
    <t xml:space="preserve">BR-282</t>
  </si>
  <si>
    <t xml:space="preserve">P6S07</t>
  </si>
  <si>
    <t xml:space="preserve">BR-283</t>
  </si>
  <si>
    <t xml:space="preserve">P6S08</t>
  </si>
  <si>
    <t xml:space="preserve">BR-284</t>
  </si>
  <si>
    <t xml:space="preserve">P6S09</t>
  </si>
  <si>
    <t xml:space="preserve">BR-285</t>
  </si>
  <si>
    <t xml:space="preserve">P6S10</t>
  </si>
  <si>
    <t xml:space="preserve">BR-286</t>
  </si>
  <si>
    <t xml:space="preserve">P6S11</t>
  </si>
  <si>
    <t xml:space="preserve">BR-287</t>
  </si>
  <si>
    <t xml:space="preserve">P6S12</t>
  </si>
  <si>
    <t xml:space="preserve">BR-288</t>
  </si>
  <si>
    <t xml:space="preserve">P6S13</t>
  </si>
  <si>
    <t xml:space="preserve">BR-289</t>
  </si>
  <si>
    <t xml:space="preserve">P6S14</t>
  </si>
  <si>
    <t xml:space="preserve">BR-290</t>
  </si>
  <si>
    <t xml:space="preserve">P6S15</t>
  </si>
  <si>
    <t xml:space="preserve">BR-291</t>
  </si>
  <si>
    <t xml:space="preserve">P6S16</t>
  </si>
  <si>
    <t xml:space="preserve">BR-292</t>
  </si>
  <si>
    <t xml:space="preserve">P6S17</t>
  </si>
  <si>
    <t xml:space="preserve">BR-293</t>
  </si>
  <si>
    <t xml:space="preserve">P6S18</t>
  </si>
  <si>
    <t xml:space="preserve">BR-294</t>
  </si>
  <si>
    <t xml:space="preserve">P6S19</t>
  </si>
  <si>
    <t xml:space="preserve">BR-295</t>
  </si>
  <si>
    <t xml:space="preserve">P6S20</t>
  </si>
  <si>
    <t xml:space="preserve">BR-296</t>
  </si>
  <si>
    <t xml:space="preserve">P6S21</t>
  </si>
  <si>
    <t xml:space="preserve">BR-297</t>
  </si>
  <si>
    <t xml:space="preserve">P6S22</t>
  </si>
  <si>
    <t xml:space="preserve">BR-298</t>
  </si>
  <si>
    <t xml:space="preserve">P6S23</t>
  </si>
  <si>
    <t xml:space="preserve">BR-299</t>
  </si>
  <si>
    <t xml:space="preserve">P6S24</t>
  </si>
  <si>
    <t xml:space="preserve">BR-300</t>
  </si>
  <si>
    <t xml:space="preserve">P6S25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</si>
</sst>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\$#,##0.00"/>
    <numFmt numFmtId="167" formatCode="yyyy\-mm\-dd\ hh:mm"/>
    <numFmt numFmtId="168" formatCode="yyyy\-mm\-dd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7365D"/>
      <name val="Cambria"/>
      <family val="0"/>
      <charset val="1"/>
    </font>
    <font>
      <i val="true"/>
      <sz val="9"/>
      <color rgb="FF5B6573"/>
      <name val="Cambria"/>
      <family val="0"/>
      <charset val="1"/>
    </font>
    <font>
      <b val="true"/>
      <sz val="10"/>
      <color rgb="FF17365D"/>
      <name val="Cambria"/>
      <family val="0"/>
      <charset val="1"/>
    </font>
    <font>
      <b val="true"/>
      <sz val="13"/>
      <color rgb="FF17365D"/>
      <name val="Cambria"/>
      <family val="0"/>
      <charset val="1"/>
    </font>
    <font>
      <b val="true"/>
      <sz val="11"/>
      <color rgb="FF17365D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2"/>
      <color rgb="FF17365D"/>
      <name val="Cambria"/>
      <family val="0"/>
      <charset val="1"/>
    </font>
    <font>
      <i val="true"/>
      <sz val="8"/>
      <color rgb="FF5B6573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2F0D9"/>
        <bgColor rgb="FFDDEBF7"/>
      </patternFill>
    </fill>
    <fill>
      <patternFill patternType="solid">
        <fgColor rgb="FFFFF2CC"/>
        <bgColor rgb="FFE2F0D9"/>
      </patternFill>
    </fill>
    <fill>
      <patternFill patternType="solid">
        <fgColor rgb="FFD9EAF7"/>
        <bgColor rgb="FFDDEBF7"/>
      </patternFill>
    </fill>
    <fill>
      <patternFill patternType="solid">
        <fgColor rgb="FF17365D"/>
        <bgColor rgb="FF333333"/>
      </patternFill>
    </fill>
    <fill>
      <patternFill patternType="solid">
        <fgColor rgb="FFDDEBF7"/>
        <bgColor rgb="FFD9EA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C3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6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7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3D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573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50"/>
    <col collapsed="false" customWidth="true" hidden="false" outlineLevel="0" max="3" min="3" style="0" width="17"/>
    <col collapsed="false" customWidth="true" hidden="false" outlineLevel="0" max="4" min="4" style="0" width="21"/>
    <col collapsed="false" customWidth="true" hidden="false" outlineLevel="0" max="5" min="5" style="0" width="15"/>
    <col collapsed="false" customWidth="true" hidden="false" outlineLevel="0" max="6" min="6" style="0" width="23"/>
    <col collapsed="false" customWidth="true" hidden="false" outlineLevel="0" max="7" min="7" style="0" width="25"/>
    <col collapsed="false" customWidth="true" hidden="false" outlineLevel="0" max="8" min="8" style="0" width="4"/>
  </cols>
  <sheetData>
    <row r="1" customFormat="false" ht="22.5" hidden="false" customHeight="true" outlineLevel="0" collapsed="false">
      <c r="A1" s="1" t="s">
        <v>0</v>
      </c>
    </row>
    <row r="2" customFormat="false" ht="15.75" hidden="false" customHeight="tru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24" hidden="false" customHeight="true" outlineLevel="0" collapsed="false">
      <c r="A5" s="4" t="s">
        <v>3</v>
      </c>
      <c r="B5" s="5"/>
      <c r="C5" s="5"/>
      <c r="D5" s="5"/>
      <c r="E5" s="5"/>
      <c r="F5" s="5"/>
      <c r="G5" s="5"/>
      <c r="H5" s="5"/>
    </row>
    <row r="6" customFormat="false" ht="30" hidden="false" customHeight="true" outlineLevel="0" collapsed="false">
      <c r="A6" s="6" t="s">
        <v>4</v>
      </c>
      <c r="B6" s="7"/>
      <c r="C6" s="7"/>
      <c r="D6" s="7"/>
      <c r="E6" s="7"/>
      <c r="F6" s="7"/>
      <c r="G6" s="7"/>
      <c r="H6" s="7"/>
    </row>
    <row r="8" customFormat="false" ht="18" hidden="false" customHeight="true" outlineLevel="0" collapsed="false">
      <c r="A8" s="8" t="s">
        <v>5</v>
      </c>
      <c r="B8" s="8"/>
      <c r="C8" s="8"/>
      <c r="D8" s="8"/>
      <c r="E8" s="8"/>
      <c r="F8" s="8"/>
      <c r="G8" s="8"/>
      <c r="H8" s="8"/>
    </row>
    <row r="9" customFormat="false" ht="15" hidden="false" customHeight="false" outlineLevel="0" collapsed="false">
      <c r="A9" s="9" t="s">
        <v>6</v>
      </c>
      <c r="B9" s="9" t="s">
        <v>7</v>
      </c>
      <c r="C9" s="9" t="s">
        <v>8</v>
      </c>
      <c r="D9" s="9" t="s">
        <v>9</v>
      </c>
    </row>
    <row r="10" customFormat="false" ht="15" hidden="false" customHeight="false" outlineLevel="0" collapsed="false">
      <c r="A10" s="10" t="s">
        <v>10</v>
      </c>
      <c r="B10" s="11" t="n">
        <f aca="false">Model!C32</f>
        <v>0.0300000000000011</v>
      </c>
      <c r="C10" s="10" t="s">
        <v>11</v>
      </c>
      <c r="D10" s="10" t="s">
        <v>12</v>
      </c>
    </row>
    <row r="11" customFormat="false" ht="15" hidden="false" customHeight="false" outlineLevel="0" collapsed="false">
      <c r="A11" s="10" t="s">
        <v>13</v>
      </c>
      <c r="B11" s="11" t="n">
        <f aca="false">Model!C31</f>
        <v>0.000999999999990564</v>
      </c>
      <c r="C11" s="10" t="s">
        <v>11</v>
      </c>
      <c r="D11" s="10" t="s">
        <v>12</v>
      </c>
    </row>
    <row r="12" customFormat="false" ht="15" hidden="false" customHeight="false" outlineLevel="0" collapsed="false">
      <c r="A12" s="10" t="s">
        <v>14</v>
      </c>
      <c r="B12" s="11" t="n">
        <f aca="false">Model!C33</f>
        <v>0.0350000000000037</v>
      </c>
      <c r="C12" s="10" t="s">
        <v>11</v>
      </c>
      <c r="D12" s="10" t="s">
        <v>12</v>
      </c>
    </row>
    <row r="13" customFormat="false" ht="15" hidden="false" customHeight="false" outlineLevel="0" collapsed="false">
      <c r="A13" s="10" t="s">
        <v>15</v>
      </c>
      <c r="B13" s="10" t="s">
        <v>16</v>
      </c>
      <c r="C13" s="10" t="s">
        <v>11</v>
      </c>
      <c r="D13" s="10" t="s">
        <v>17</v>
      </c>
    </row>
    <row r="14" customFormat="false" ht="28.35" hidden="false" customHeight="false" outlineLevel="0" collapsed="false">
      <c r="A14" s="10" t="s">
        <v>18</v>
      </c>
      <c r="B14" s="10" t="s">
        <v>19</v>
      </c>
      <c r="C14" s="10" t="s">
        <v>20</v>
      </c>
      <c r="D14" s="10" t="s">
        <v>21</v>
      </c>
    </row>
    <row r="15" customFormat="false" ht="28.35" hidden="false" customHeight="false" outlineLevel="0" collapsed="false">
      <c r="A15" s="10" t="s">
        <v>22</v>
      </c>
      <c r="B15" s="10" t="s">
        <v>23</v>
      </c>
      <c r="C15" s="10" t="s">
        <v>24</v>
      </c>
      <c r="D15" s="10" t="s">
        <v>25</v>
      </c>
    </row>
    <row r="17" customFormat="false" ht="18" hidden="false" customHeight="true" outlineLevel="0" collapsed="false">
      <c r="A17" s="8" t="s">
        <v>26</v>
      </c>
      <c r="B17" s="8"/>
      <c r="C17" s="8"/>
      <c r="D17" s="8"/>
      <c r="E17" s="8"/>
      <c r="F17" s="8"/>
      <c r="G17" s="8"/>
      <c r="H17" s="8"/>
    </row>
    <row r="18" customFormat="false" ht="19.5" hidden="false" customHeight="true" outlineLevel="0" collapsed="false">
      <c r="A18" s="12" t="s">
        <v>27</v>
      </c>
      <c r="B18" s="5"/>
      <c r="C18" s="5"/>
      <c r="D18" s="5"/>
      <c r="E18" s="5"/>
      <c r="F18" s="5"/>
      <c r="G18" s="5"/>
      <c r="H18" s="5"/>
    </row>
    <row r="19" customFormat="false" ht="27.75" hidden="false" customHeight="true" outlineLevel="0" collapsed="false">
      <c r="A19" s="13" t="s">
        <v>28</v>
      </c>
      <c r="B19" s="5"/>
      <c r="C19" s="5"/>
      <c r="D19" s="5"/>
      <c r="E19" s="5"/>
      <c r="F19" s="5"/>
      <c r="G19" s="5"/>
      <c r="H19" s="5"/>
    </row>
    <row r="20" customFormat="false" ht="15" hidden="false" customHeight="false" outlineLevel="0" collapsed="false">
      <c r="A20" s="5" t="s">
        <v>29</v>
      </c>
      <c r="B20" s="14" t="n">
        <f aca="false">Model!E53</f>
        <v>405</v>
      </c>
      <c r="C20" s="5" t="s">
        <v>30</v>
      </c>
      <c r="D20" s="5" t="s">
        <v>31</v>
      </c>
      <c r="E20" s="5" t="s">
        <v>32</v>
      </c>
      <c r="F20" s="15" t="n">
        <f aca="false">Model!H53</f>
        <v>46190.625</v>
      </c>
      <c r="G20" s="5" t="s">
        <v>33</v>
      </c>
      <c r="H20" s="5"/>
    </row>
    <row r="22" customFormat="false" ht="18" hidden="false" customHeight="true" outlineLevel="0" collapsed="false">
      <c r="A22" s="8" t="s">
        <v>34</v>
      </c>
      <c r="B22" s="8"/>
      <c r="C22" s="8"/>
      <c r="D22" s="8"/>
      <c r="E22" s="8"/>
      <c r="F22" s="8"/>
      <c r="G22" s="8"/>
      <c r="H22" s="8"/>
    </row>
    <row r="23" customFormat="false" ht="18" hidden="false" customHeight="true" outlineLevel="0" collapsed="false">
      <c r="A23" s="16" t="s">
        <v>35</v>
      </c>
    </row>
    <row r="24" customFormat="false" ht="21.75" hidden="false" customHeight="true" outlineLevel="0" collapsed="false">
      <c r="A24" s="17" t="s">
        <v>36</v>
      </c>
      <c r="B24" s="10" t="s">
        <v>37</v>
      </c>
      <c r="C24" s="10" t="s">
        <v>38</v>
      </c>
    </row>
    <row r="25" customFormat="false" ht="27.75" hidden="false" customHeight="true" outlineLevel="0" collapsed="false">
      <c r="A25" s="17" t="s">
        <v>39</v>
      </c>
      <c r="B25" s="10" t="s">
        <v>40</v>
      </c>
      <c r="C25" s="10" t="s">
        <v>41</v>
      </c>
    </row>
    <row r="26" customFormat="false" ht="49.5" hidden="false" customHeight="true" outlineLevel="0" collapsed="false">
      <c r="A26" s="17" t="s">
        <v>42</v>
      </c>
      <c r="B26" s="10" t="s">
        <v>43</v>
      </c>
      <c r="C26" s="10" t="s">
        <v>44</v>
      </c>
    </row>
    <row r="27" customFormat="false" ht="21.75" hidden="false" customHeight="true" outlineLevel="0" collapsed="false">
      <c r="A27" s="17" t="s">
        <v>45</v>
      </c>
      <c r="B27" s="10" t="s">
        <v>46</v>
      </c>
      <c r="C27" s="10" t="s">
        <v>47</v>
      </c>
    </row>
    <row r="28" customFormat="false" ht="34.5" hidden="false" customHeight="true" outlineLevel="0" collapsed="false">
      <c r="A28" s="17" t="s">
        <v>48</v>
      </c>
      <c r="B28" s="10" t="s">
        <v>49</v>
      </c>
      <c r="C28" s="10" t="s">
        <v>50</v>
      </c>
    </row>
    <row r="30" customFormat="false" ht="24.75" hidden="false" customHeight="true" outlineLevel="0" collapsed="false">
      <c r="A30" s="18" t="s">
        <v>51</v>
      </c>
    </row>
  </sheetData>
  <printOptions headings="false" gridLines="false" gridLinesSet="true" horizontalCentered="false" verticalCentered="false"/>
  <pageMargins left="0.25" right="0.25" top="0.35" bottom="0.35" header="0.511811023622047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&amp;CGreyhaven Energy | Internal quality decision support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2"/>
    <col collapsed="false" customWidth="true" hidden="false" outlineLevel="0" max="3" min="3" style="0" width="35"/>
    <col collapsed="false" customWidth="true" hidden="false" outlineLevel="0" max="4" min="4" style="0" width="43"/>
    <col collapsed="false" customWidth="true" hidden="false" outlineLevel="0" max="5" min="5" style="0" width="22"/>
    <col collapsed="false" customWidth="true" hidden="false" outlineLevel="0" max="6" min="6" style="0" width="63"/>
  </cols>
  <sheetData>
    <row r="1" customFormat="false" ht="18.55" hidden="false" customHeight="false" outlineLevel="0" collapsed="false">
      <c r="A1" s="1" t="s">
        <v>52</v>
      </c>
    </row>
    <row r="2" customFormat="false" ht="15" hidden="false" customHeight="false" outlineLevel="0" collapsed="false">
      <c r="A2" s="2" t="s">
        <v>53</v>
      </c>
    </row>
    <row r="4" customFormat="false" ht="15" hidden="false" customHeight="false" outlineLevel="0" collapsed="false">
      <c r="A4" s="9" t="s">
        <v>54</v>
      </c>
      <c r="B4" s="9" t="s">
        <v>55</v>
      </c>
      <c r="C4" s="9" t="s">
        <v>56</v>
      </c>
      <c r="D4" s="9" t="s">
        <v>57</v>
      </c>
      <c r="E4" s="9" t="s">
        <v>58</v>
      </c>
      <c r="F4" s="9" t="s">
        <v>59</v>
      </c>
    </row>
    <row r="5" customFormat="false" ht="28.35" hidden="false" customHeight="false" outlineLevel="0" collapsed="false">
      <c r="A5" s="10" t="s">
        <v>12</v>
      </c>
      <c r="B5" s="10" t="s">
        <v>60</v>
      </c>
      <c r="C5" s="10" t="s">
        <v>61</v>
      </c>
      <c r="D5" s="10" t="s">
        <v>62</v>
      </c>
      <c r="E5" s="19" t="s">
        <v>63</v>
      </c>
      <c r="F5" s="10" t="s">
        <v>64</v>
      </c>
    </row>
    <row r="6" customFormat="false" ht="15" hidden="false" customHeight="false" outlineLevel="0" collapsed="false">
      <c r="A6" s="10" t="s">
        <v>17</v>
      </c>
      <c r="B6" s="10" t="s">
        <v>65</v>
      </c>
      <c r="C6" s="10" t="s">
        <v>66</v>
      </c>
      <c r="D6" s="10" t="s">
        <v>67</v>
      </c>
      <c r="E6" s="19" t="s">
        <v>63</v>
      </c>
      <c r="F6" s="10" t="s">
        <v>68</v>
      </c>
    </row>
    <row r="7" customFormat="false" ht="15" hidden="false" customHeight="false" outlineLevel="0" collapsed="false">
      <c r="A7" s="10" t="s">
        <v>69</v>
      </c>
      <c r="B7" s="10" t="s">
        <v>70</v>
      </c>
      <c r="C7" s="10" t="s">
        <v>66</v>
      </c>
      <c r="D7" s="10" t="s">
        <v>67</v>
      </c>
      <c r="E7" s="19" t="s">
        <v>63</v>
      </c>
      <c r="F7" s="10" t="s">
        <v>68</v>
      </c>
    </row>
    <row r="8" customFormat="false" ht="15" hidden="false" customHeight="false" outlineLevel="0" collapsed="false">
      <c r="A8" s="10" t="s">
        <v>71</v>
      </c>
      <c r="B8" s="10" t="s">
        <v>72</v>
      </c>
      <c r="C8" s="10" t="s">
        <v>66</v>
      </c>
      <c r="D8" s="10" t="s">
        <v>73</v>
      </c>
      <c r="E8" s="19" t="s">
        <v>63</v>
      </c>
      <c r="F8" s="10" t="s">
        <v>74</v>
      </c>
    </row>
    <row r="9" customFormat="false" ht="15" hidden="false" customHeight="false" outlineLevel="0" collapsed="false">
      <c r="A9" s="10" t="s">
        <v>75</v>
      </c>
      <c r="B9" s="10" t="s">
        <v>76</v>
      </c>
      <c r="C9" s="10" t="s">
        <v>77</v>
      </c>
      <c r="D9" s="10" t="s">
        <v>78</v>
      </c>
      <c r="E9" s="19" t="s">
        <v>63</v>
      </c>
      <c r="F9" s="10" t="s">
        <v>79</v>
      </c>
    </row>
    <row r="10" customFormat="false" ht="28.35" hidden="false" customHeight="false" outlineLevel="0" collapsed="false">
      <c r="A10" s="10" t="s">
        <v>80</v>
      </c>
      <c r="B10" s="10" t="s">
        <v>81</v>
      </c>
      <c r="C10" s="10" t="s">
        <v>77</v>
      </c>
      <c r="D10" s="10" t="s">
        <v>78</v>
      </c>
      <c r="E10" s="19" t="s">
        <v>63</v>
      </c>
      <c r="F10" s="10" t="s">
        <v>82</v>
      </c>
    </row>
    <row r="11" customFormat="false" ht="28.35" hidden="false" customHeight="false" outlineLevel="0" collapsed="false">
      <c r="A11" s="10" t="s">
        <v>83</v>
      </c>
      <c r="B11" s="10" t="s">
        <v>84</v>
      </c>
      <c r="C11" s="10" t="s">
        <v>77</v>
      </c>
      <c r="D11" s="10" t="s">
        <v>85</v>
      </c>
      <c r="E11" s="19" t="s">
        <v>63</v>
      </c>
      <c r="F11" s="10" t="s">
        <v>86</v>
      </c>
    </row>
    <row r="12" customFormat="false" ht="28.35" hidden="false" customHeight="false" outlineLevel="0" collapsed="false">
      <c r="A12" s="10" t="s">
        <v>87</v>
      </c>
      <c r="B12" s="10" t="s">
        <v>88</v>
      </c>
      <c r="C12" s="10" t="s">
        <v>77</v>
      </c>
      <c r="D12" s="10" t="s">
        <v>89</v>
      </c>
      <c r="E12" s="19" t="s">
        <v>63</v>
      </c>
      <c r="F12" s="10" t="s">
        <v>90</v>
      </c>
    </row>
    <row r="13" customFormat="false" ht="28.35" hidden="false" customHeight="false" outlineLevel="0" collapsed="false">
      <c r="A13" s="10" t="s">
        <v>91</v>
      </c>
      <c r="B13" s="10" t="s">
        <v>92</v>
      </c>
      <c r="C13" s="10" t="s">
        <v>77</v>
      </c>
      <c r="D13" s="10" t="s">
        <v>93</v>
      </c>
      <c r="E13" s="19" t="s">
        <v>63</v>
      </c>
      <c r="F13" s="10" t="s">
        <v>94</v>
      </c>
    </row>
    <row r="14" customFormat="false" ht="15" hidden="false" customHeight="false" outlineLevel="0" collapsed="false">
      <c r="A14" s="10" t="s">
        <v>95</v>
      </c>
      <c r="B14" s="10" t="s">
        <v>96</v>
      </c>
      <c r="C14" s="10" t="s">
        <v>97</v>
      </c>
      <c r="D14" s="10" t="s">
        <v>98</v>
      </c>
      <c r="E14" s="19" t="s">
        <v>63</v>
      </c>
      <c r="F14" s="10" t="s">
        <v>99</v>
      </c>
    </row>
    <row r="15" customFormat="false" ht="15" hidden="false" customHeight="false" outlineLevel="0" collapsed="false">
      <c r="A15" s="10" t="s">
        <v>100</v>
      </c>
      <c r="B15" s="10" t="s">
        <v>101</v>
      </c>
      <c r="C15" s="10" t="s">
        <v>97</v>
      </c>
      <c r="D15" s="10" t="s">
        <v>102</v>
      </c>
      <c r="E15" s="19" t="s">
        <v>63</v>
      </c>
      <c r="F15" s="10" t="s">
        <v>103</v>
      </c>
    </row>
    <row r="16" customFormat="false" ht="28.35" hidden="false" customHeight="false" outlineLevel="0" collapsed="false">
      <c r="A16" s="10" t="s">
        <v>104</v>
      </c>
      <c r="B16" s="10" t="s">
        <v>105</v>
      </c>
      <c r="C16" s="10" t="s">
        <v>97</v>
      </c>
      <c r="D16" s="10" t="s">
        <v>106</v>
      </c>
      <c r="E16" s="19" t="s">
        <v>63</v>
      </c>
      <c r="F16" s="10" t="s">
        <v>107</v>
      </c>
    </row>
    <row r="17" customFormat="false" ht="28.35" hidden="false" customHeight="false" outlineLevel="0" collapsed="false">
      <c r="A17" s="10" t="s">
        <v>108</v>
      </c>
      <c r="B17" s="10" t="s">
        <v>109</v>
      </c>
      <c r="C17" s="10" t="s">
        <v>97</v>
      </c>
      <c r="D17" s="10" t="s">
        <v>106</v>
      </c>
      <c r="E17" s="19" t="s">
        <v>63</v>
      </c>
      <c r="F17" s="10" t="s">
        <v>110</v>
      </c>
    </row>
    <row r="18" customFormat="false" ht="28.35" hidden="false" customHeight="false" outlineLevel="0" collapsed="false">
      <c r="A18" s="10" t="s">
        <v>111</v>
      </c>
      <c r="B18" s="10" t="s">
        <v>112</v>
      </c>
      <c r="C18" s="10" t="s">
        <v>97</v>
      </c>
      <c r="D18" s="10" t="s">
        <v>113</v>
      </c>
      <c r="E18" s="19" t="s">
        <v>63</v>
      </c>
      <c r="F18" s="10" t="s">
        <v>114</v>
      </c>
    </row>
    <row r="19" customFormat="false" ht="28.35" hidden="false" customHeight="false" outlineLevel="0" collapsed="false">
      <c r="A19" s="10" t="s">
        <v>115</v>
      </c>
      <c r="B19" s="10" t="s">
        <v>116</v>
      </c>
      <c r="C19" s="10" t="s">
        <v>117</v>
      </c>
      <c r="D19" s="10" t="s">
        <v>118</v>
      </c>
      <c r="E19" s="19" t="s">
        <v>63</v>
      </c>
      <c r="F19" s="10" t="s">
        <v>119</v>
      </c>
    </row>
    <row r="20" customFormat="false" ht="28.35" hidden="false" customHeight="false" outlineLevel="0" collapsed="false">
      <c r="A20" s="10" t="s">
        <v>120</v>
      </c>
      <c r="B20" s="10" t="s">
        <v>121</v>
      </c>
      <c r="C20" s="10" t="s">
        <v>117</v>
      </c>
      <c r="D20" s="10" t="s">
        <v>122</v>
      </c>
      <c r="E20" s="19" t="s">
        <v>63</v>
      </c>
      <c r="F20" s="10" t="s">
        <v>123</v>
      </c>
    </row>
    <row r="21" customFormat="false" ht="28.35" hidden="false" customHeight="false" outlineLevel="0" collapsed="false">
      <c r="A21" s="10" t="s">
        <v>38</v>
      </c>
      <c r="B21" s="10" t="s">
        <v>124</v>
      </c>
      <c r="C21" s="10" t="s">
        <v>117</v>
      </c>
      <c r="D21" s="10" t="s">
        <v>125</v>
      </c>
      <c r="E21" s="19" t="s">
        <v>63</v>
      </c>
      <c r="F21" s="10" t="s">
        <v>126</v>
      </c>
    </row>
    <row r="22" customFormat="false" ht="28.35" hidden="false" customHeight="false" outlineLevel="0" collapsed="false">
      <c r="A22" s="10" t="s">
        <v>127</v>
      </c>
      <c r="B22" s="10" t="s">
        <v>128</v>
      </c>
      <c r="C22" s="10" t="s">
        <v>129</v>
      </c>
      <c r="D22" s="10" t="s">
        <v>130</v>
      </c>
      <c r="E22" s="20" t="s">
        <v>131</v>
      </c>
      <c r="F22" s="10" t="s">
        <v>132</v>
      </c>
    </row>
    <row r="23" customFormat="false" ht="28.35" hidden="false" customHeight="false" outlineLevel="0" collapsed="false">
      <c r="A23" s="10" t="s">
        <v>133</v>
      </c>
      <c r="B23" s="10" t="s">
        <v>134</v>
      </c>
      <c r="C23" s="10" t="s">
        <v>129</v>
      </c>
      <c r="D23" s="10" t="s">
        <v>135</v>
      </c>
      <c r="E23" s="20" t="s">
        <v>136</v>
      </c>
      <c r="F23" s="10" t="s">
        <v>137</v>
      </c>
    </row>
  </sheetData>
  <printOptions headings="false" gridLines="false" gridLinesSet="true" horizontalCentered="false" verticalCentered="false"/>
  <pageMargins left="0.25" right="0.25" top="0.35" bottom="0.35" header="0.511811023622047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&amp;CGreyhaven Energy | Internal quality decision support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O3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53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6" min="5" style="0" width="19"/>
    <col collapsed="false" customWidth="true" hidden="false" outlineLevel="0" max="7" min="7" style="0" width="17"/>
    <col collapsed="false" customWidth="true" hidden="false" outlineLevel="0" max="8" min="8" style="0" width="20"/>
    <col collapsed="false" customWidth="true" hidden="false" outlineLevel="0" max="11" min="9" style="0" width="17"/>
    <col collapsed="false" customWidth="true" hidden="false" outlineLevel="0" max="12" min="12" style="0" width="14"/>
    <col collapsed="false" customWidth="true" hidden="false" outlineLevel="0" max="16" min="13" style="0" width="4"/>
    <col collapsed="false" customWidth="true" hidden="false" outlineLevel="0" max="17" min="17" style="0" width="14"/>
    <col collapsed="false" customWidth="true" hidden="false" outlineLevel="0" max="18" min="18" style="0" width="13"/>
    <col collapsed="false" customWidth="true" hidden="false" outlineLevel="0" max="19" min="19" style="0" width="10"/>
    <col collapsed="false" customWidth="true" hidden="false" outlineLevel="0" max="20" min="20" style="0" width="11"/>
    <col collapsed="false" customWidth="true" hidden="false" outlineLevel="0" max="21" min="21" style="0" width="12"/>
    <col collapsed="false" customWidth="true" hidden="false" outlineLevel="0" max="22" min="22" style="0" width="13"/>
    <col collapsed="false" customWidth="true" hidden="false" outlineLevel="0" max="23" min="23" style="0" width="11"/>
    <col collapsed="false" customWidth="true" hidden="false" outlineLevel="0" max="24" min="24" style="0" width="14"/>
    <col collapsed="false" customWidth="true" hidden="false" outlineLevel="0" max="25" min="25" style="0" width="11"/>
    <col collapsed="false" customWidth="true" hidden="false" outlineLevel="0" max="26" min="26" style="0" width="12"/>
    <col collapsed="false" customWidth="true" hidden="false" outlineLevel="0" max="27" min="27" style="0" width="14"/>
    <col collapsed="false" customWidth="true" hidden="false" outlineLevel="0" max="28" min="28" style="0" width="15"/>
    <col collapsed="false" customWidth="true" hidden="false" outlineLevel="0" max="29" min="29" style="0" width="8"/>
    <col collapsed="false" customWidth="true" hidden="false" outlineLevel="0" max="30" min="30" style="0" width="4"/>
    <col collapsed="false" customWidth="true" hidden="false" outlineLevel="0" max="31" min="31" style="0" width="14"/>
    <col collapsed="false" customWidth="true" hidden="false" outlineLevel="0" max="32" min="32" style="0" width="12"/>
    <col collapsed="false" customWidth="true" hidden="false" outlineLevel="0" max="33" min="33" style="0" width="10"/>
    <col collapsed="false" customWidth="true" hidden="false" outlineLevel="0" max="34" min="34" style="0" width="11"/>
    <col collapsed="false" customWidth="true" hidden="false" outlineLevel="0" max="36" min="35" style="0" width="12"/>
    <col collapsed="false" customWidth="true" hidden="false" outlineLevel="0" max="37" min="37" style="0" width="10"/>
    <col collapsed="false" customWidth="true" hidden="false" outlineLevel="0" max="38" min="38" style="0" width="14"/>
    <col collapsed="false" customWidth="true" hidden="false" outlineLevel="0" max="39" min="39" style="0" width="11"/>
    <col collapsed="false" customWidth="true" hidden="false" outlineLevel="0" max="40" min="40" style="0" width="16"/>
    <col collapsed="false" customWidth="true" hidden="false" outlineLevel="0" max="41" min="41" style="0" width="8"/>
  </cols>
  <sheetData>
    <row r="1" customFormat="false" ht="18.55" hidden="false" customHeight="false" outlineLevel="0" collapsed="false">
      <c r="A1" s="1" t="s">
        <v>138</v>
      </c>
    </row>
    <row r="2" customFormat="false" ht="15" hidden="false" customHeight="false" outlineLevel="0" collapsed="false">
      <c r="A2" s="2" t="s">
        <v>139</v>
      </c>
    </row>
    <row r="4" customFormat="false" ht="15" hidden="false" customHeight="false" outlineLevel="0" collapsed="false">
      <c r="A4" s="8" t="s">
        <v>140</v>
      </c>
      <c r="B4" s="8"/>
      <c r="C4" s="8"/>
      <c r="D4" s="8"/>
      <c r="E4" s="8"/>
      <c r="F4" s="8"/>
      <c r="G4" s="8"/>
      <c r="H4" s="8"/>
    </row>
    <row r="5" customFormat="false" ht="15" hidden="false" customHeight="false" outlineLevel="0" collapsed="false">
      <c r="A5" s="9" t="s">
        <v>141</v>
      </c>
      <c r="B5" s="9" t="s">
        <v>7</v>
      </c>
      <c r="C5" s="9" t="s">
        <v>142</v>
      </c>
      <c r="D5" s="9" t="s">
        <v>143</v>
      </c>
    </row>
    <row r="6" customFormat="false" ht="15" hidden="false" customHeight="false" outlineLevel="0" collapsed="false">
      <c r="A6" s="19" t="s">
        <v>144</v>
      </c>
      <c r="B6" s="19" t="n">
        <f aca="false">COUNTA(AE8:AE307)</f>
        <v>300</v>
      </c>
      <c r="C6" s="19" t="s">
        <v>145</v>
      </c>
      <c r="D6" s="19" t="s">
        <v>12</v>
      </c>
    </row>
    <row r="7" customFormat="false" ht="41.75" hidden="false" customHeight="false" outlineLevel="0" collapsed="false">
      <c r="A7" s="19" t="s">
        <v>146</v>
      </c>
      <c r="B7" s="19" t="n">
        <f aca="false">SUMPRODUCT(1/COUNTIF(AE8:AE307,AE8:AE307))</f>
        <v>300</v>
      </c>
      <c r="C7" s="19" t="s">
        <v>145</v>
      </c>
      <c r="D7" s="19" t="s">
        <v>12</v>
      </c>
      <c r="AE7" s="9" t="s">
        <v>147</v>
      </c>
      <c r="AF7" s="9" t="s">
        <v>148</v>
      </c>
      <c r="AG7" s="9" t="s">
        <v>149</v>
      </c>
      <c r="AH7" s="9" t="s">
        <v>150</v>
      </c>
      <c r="AI7" s="9" t="s">
        <v>151</v>
      </c>
      <c r="AJ7" s="9" t="s">
        <v>152</v>
      </c>
      <c r="AK7" s="9" t="s">
        <v>153</v>
      </c>
      <c r="AL7" s="9" t="s">
        <v>154</v>
      </c>
      <c r="AM7" s="9" t="s">
        <v>155</v>
      </c>
      <c r="AN7" s="9" t="s">
        <v>156</v>
      </c>
      <c r="AO7" s="9" t="s">
        <v>8</v>
      </c>
    </row>
    <row r="8" customFormat="false" ht="15" hidden="false" customHeight="false" outlineLevel="0" collapsed="false">
      <c r="A8" s="19" t="s">
        <v>157</v>
      </c>
      <c r="B8" s="21" t="n">
        <v>50.04</v>
      </c>
      <c r="C8" s="19" t="s">
        <v>11</v>
      </c>
      <c r="D8" s="19" t="s">
        <v>17</v>
      </c>
      <c r="AE8" s="10" t="s">
        <v>158</v>
      </c>
      <c r="AF8" s="22" t="n">
        <v>46146</v>
      </c>
      <c r="AG8" s="10" t="str">
        <f aca="false">"W"&amp;INT((AF8-MIN($AF$8:$AF$307))/7)+1</f>
        <v>W1</v>
      </c>
      <c r="AH8" s="10" t="s">
        <v>159</v>
      </c>
      <c r="AI8" s="10" t="s">
        <v>160</v>
      </c>
      <c r="AJ8" s="10" t="s">
        <v>161</v>
      </c>
      <c r="AK8" s="10" t="s">
        <v>162</v>
      </c>
      <c r="AL8" s="10" t="s">
        <v>163</v>
      </c>
      <c r="AM8" s="10" t="s">
        <v>164</v>
      </c>
      <c r="AN8" s="11" t="n">
        <v>49.992</v>
      </c>
      <c r="AO8" s="10" t="s">
        <v>11</v>
      </c>
    </row>
    <row r="9" customFormat="false" ht="15" hidden="false" customHeight="false" outlineLevel="0" collapsed="false">
      <c r="A9" s="19" t="s">
        <v>165</v>
      </c>
      <c r="B9" s="21" t="n">
        <v>49.96</v>
      </c>
      <c r="C9" s="19" t="s">
        <v>11</v>
      </c>
      <c r="D9" s="19" t="s">
        <v>17</v>
      </c>
      <c r="AE9" s="10" t="s">
        <v>166</v>
      </c>
      <c r="AF9" s="22" t="n">
        <v>46147</v>
      </c>
      <c r="AG9" s="10" t="str">
        <f aca="false">"W"&amp;INT((AF9-MIN($AF$8:$AF$307))/7)+1</f>
        <v>W1</v>
      </c>
      <c r="AH9" s="10" t="s">
        <v>159</v>
      </c>
      <c r="AI9" s="10" t="s">
        <v>160</v>
      </c>
      <c r="AJ9" s="10" t="s">
        <v>167</v>
      </c>
      <c r="AK9" s="10" t="s">
        <v>162</v>
      </c>
      <c r="AL9" s="10" t="s">
        <v>163</v>
      </c>
      <c r="AM9" s="10" t="s">
        <v>164</v>
      </c>
      <c r="AN9" s="11" t="n">
        <v>49.993</v>
      </c>
      <c r="AO9" s="10" t="s">
        <v>11</v>
      </c>
    </row>
    <row r="10" customFormat="false" ht="15" hidden="false" customHeight="false" outlineLevel="0" collapsed="false">
      <c r="A10" s="19" t="s">
        <v>168</v>
      </c>
      <c r="B10" s="21" t="n">
        <v>0.001</v>
      </c>
      <c r="C10" s="19" t="s">
        <v>11</v>
      </c>
      <c r="D10" s="19" t="s">
        <v>69</v>
      </c>
      <c r="AE10" s="10" t="s">
        <v>169</v>
      </c>
      <c r="AF10" s="22" t="n">
        <v>46148</v>
      </c>
      <c r="AG10" s="10" t="str">
        <f aca="false">"W"&amp;INT((AF10-MIN($AF$8:$AF$307))/7)+1</f>
        <v>W1</v>
      </c>
      <c r="AH10" s="10" t="s">
        <v>159</v>
      </c>
      <c r="AI10" s="10" t="s">
        <v>160</v>
      </c>
      <c r="AJ10" s="10" t="s">
        <v>170</v>
      </c>
      <c r="AK10" s="10" t="s">
        <v>162</v>
      </c>
      <c r="AL10" s="10" t="s">
        <v>163</v>
      </c>
      <c r="AM10" s="10" t="s">
        <v>164</v>
      </c>
      <c r="AN10" s="11" t="n">
        <v>49.994</v>
      </c>
      <c r="AO10" s="10" t="s">
        <v>11</v>
      </c>
    </row>
    <row r="11" customFormat="false" ht="15" hidden="false" customHeight="false" outlineLevel="0" collapsed="false">
      <c r="A11" s="19" t="s">
        <v>171</v>
      </c>
      <c r="B11" s="19" t="s">
        <v>172</v>
      </c>
      <c r="C11" s="19" t="s">
        <v>173</v>
      </c>
      <c r="D11" s="19" t="s">
        <v>12</v>
      </c>
      <c r="AE11" s="10" t="s">
        <v>174</v>
      </c>
      <c r="AF11" s="22" t="n">
        <v>46149</v>
      </c>
      <c r="AG11" s="10" t="str">
        <f aca="false">"W"&amp;INT((AF11-MIN($AF$8:$AF$307))/7)+1</f>
        <v>W1</v>
      </c>
      <c r="AH11" s="10" t="s">
        <v>159</v>
      </c>
      <c r="AI11" s="10" t="s">
        <v>160</v>
      </c>
      <c r="AJ11" s="10" t="s">
        <v>175</v>
      </c>
      <c r="AK11" s="10" t="s">
        <v>162</v>
      </c>
      <c r="AL11" s="10" t="s">
        <v>163</v>
      </c>
      <c r="AM11" s="10" t="s">
        <v>164</v>
      </c>
      <c r="AN11" s="11" t="n">
        <v>49.995</v>
      </c>
      <c r="AO11" s="10" t="s">
        <v>11</v>
      </c>
    </row>
    <row r="12" customFormat="false" ht="15" hidden="false" customHeight="false" outlineLevel="0" collapsed="false">
      <c r="A12" s="19" t="s">
        <v>176</v>
      </c>
      <c r="B12" s="19" t="s">
        <v>177</v>
      </c>
      <c r="C12" s="19" t="s">
        <v>178</v>
      </c>
      <c r="D12" s="19" t="s">
        <v>12</v>
      </c>
      <c r="AE12" s="10" t="s">
        <v>179</v>
      </c>
      <c r="AF12" s="22" t="n">
        <v>46150</v>
      </c>
      <c r="AG12" s="10" t="str">
        <f aca="false">"W"&amp;INT((AF12-MIN($AF$8:$AF$307))/7)+1</f>
        <v>W1</v>
      </c>
      <c r="AH12" s="10" t="s">
        <v>159</v>
      </c>
      <c r="AI12" s="10" t="s">
        <v>160</v>
      </c>
      <c r="AJ12" s="10" t="s">
        <v>180</v>
      </c>
      <c r="AK12" s="10" t="s">
        <v>162</v>
      </c>
      <c r="AL12" s="10" t="s">
        <v>163</v>
      </c>
      <c r="AM12" s="10" t="s">
        <v>164</v>
      </c>
      <c r="AN12" s="11" t="n">
        <v>49.996</v>
      </c>
      <c r="AO12" s="10" t="s">
        <v>11</v>
      </c>
    </row>
    <row r="13" customFormat="false" ht="15" hidden="false" customHeight="false" outlineLevel="0" collapsed="false">
      <c r="AE13" s="10" t="s">
        <v>181</v>
      </c>
      <c r="AF13" s="22" t="n">
        <v>46146</v>
      </c>
      <c r="AG13" s="10" t="str">
        <f aca="false">"W"&amp;INT((AF13-MIN($AF$8:$AF$307))/7)+1</f>
        <v>W1</v>
      </c>
      <c r="AH13" s="10" t="s">
        <v>159</v>
      </c>
      <c r="AI13" s="10" t="s">
        <v>160</v>
      </c>
      <c r="AJ13" s="10" t="s">
        <v>182</v>
      </c>
      <c r="AK13" s="10" t="s">
        <v>162</v>
      </c>
      <c r="AL13" s="10" t="s">
        <v>163</v>
      </c>
      <c r="AM13" s="10" t="s">
        <v>164</v>
      </c>
      <c r="AN13" s="11" t="n">
        <v>49.997</v>
      </c>
      <c r="AO13" s="10" t="s">
        <v>11</v>
      </c>
    </row>
    <row r="14" customFormat="false" ht="15" hidden="false" customHeight="false" outlineLevel="0" collapsed="false">
      <c r="A14" s="8" t="s">
        <v>183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AE14" s="10" t="s">
        <v>184</v>
      </c>
      <c r="AF14" s="22" t="n">
        <v>46147</v>
      </c>
      <c r="AG14" s="10" t="str">
        <f aca="false">"W"&amp;INT((AF14-MIN($AF$8:$AF$307))/7)+1</f>
        <v>W1</v>
      </c>
      <c r="AH14" s="10" t="s">
        <v>159</v>
      </c>
      <c r="AI14" s="10" t="s">
        <v>160</v>
      </c>
      <c r="AJ14" s="10" t="s">
        <v>185</v>
      </c>
      <c r="AK14" s="10" t="s">
        <v>162</v>
      </c>
      <c r="AL14" s="10" t="s">
        <v>163</v>
      </c>
      <c r="AM14" s="10" t="s">
        <v>164</v>
      </c>
      <c r="AN14" s="11" t="n">
        <v>49.998</v>
      </c>
      <c r="AO14" s="10" t="s">
        <v>11</v>
      </c>
    </row>
    <row r="15" customFormat="false" ht="28.35" hidden="false" customHeight="false" outlineLevel="0" collapsed="false">
      <c r="A15" s="9" t="s">
        <v>186</v>
      </c>
      <c r="B15" s="9" t="s">
        <v>150</v>
      </c>
      <c r="C15" s="9" t="s">
        <v>187</v>
      </c>
      <c r="D15" s="9" t="s">
        <v>188</v>
      </c>
      <c r="E15" s="9" t="s">
        <v>189</v>
      </c>
      <c r="F15" s="9" t="s">
        <v>190</v>
      </c>
      <c r="G15" s="9" t="s">
        <v>191</v>
      </c>
      <c r="H15" s="9" t="s">
        <v>192</v>
      </c>
      <c r="I15" s="9" t="s">
        <v>193</v>
      </c>
      <c r="J15" s="9" t="s">
        <v>194</v>
      </c>
      <c r="K15" s="9" t="s">
        <v>195</v>
      </c>
      <c r="L15" s="9" t="s">
        <v>153</v>
      </c>
      <c r="AE15" s="10" t="s">
        <v>196</v>
      </c>
      <c r="AF15" s="22" t="n">
        <v>46148</v>
      </c>
      <c r="AG15" s="10" t="str">
        <f aca="false">"W"&amp;INT((AF15-MIN($AF$8:$AF$307))/7)+1</f>
        <v>W1</v>
      </c>
      <c r="AH15" s="10" t="s">
        <v>159</v>
      </c>
      <c r="AI15" s="10" t="s">
        <v>160</v>
      </c>
      <c r="AJ15" s="10" t="s">
        <v>197</v>
      </c>
      <c r="AK15" s="10" t="s">
        <v>162</v>
      </c>
      <c r="AL15" s="10" t="s">
        <v>163</v>
      </c>
      <c r="AM15" s="10" t="s">
        <v>164</v>
      </c>
      <c r="AN15" s="11" t="n">
        <v>49.999</v>
      </c>
      <c r="AO15" s="10" t="s">
        <v>11</v>
      </c>
    </row>
    <row r="16" customFormat="false" ht="15" hidden="false" customHeight="false" outlineLevel="0" collapsed="false">
      <c r="A16" s="10" t="s">
        <v>198</v>
      </c>
      <c r="B16" s="10" t="s">
        <v>159</v>
      </c>
      <c r="C16" s="10" t="n">
        <f aca="false">COUNTIFS($AG$8:$AG$307,A16,$AH$8:$AH$307,B16)</f>
        <v>25</v>
      </c>
      <c r="D16" s="11" t="n">
        <f aca="false">AVERAGEIFS($AN$8:$AN$307,$AG$8:$AG$307,A16,$AH$8:$AH$307,B16)</f>
        <v>49.9976</v>
      </c>
      <c r="E16" s="11" t="n">
        <f aca="false">MIN(IF(($AG$8:$AG$307=A16)*($AH$8:$AH$307=B16),$AN$8:$AN$307))</f>
        <v>49.992</v>
      </c>
      <c r="F16" s="11" t="n">
        <f aca="false">MAX(IF(($AG$8:$AG$307=A16)*($AH$8:$AH$307=B16),$AN$8:$AN$307))</f>
        <v>50.039</v>
      </c>
      <c r="G16" s="11" t="n">
        <f aca="false">SQRT(SUMPRODUCT(($AG$8:$AG$307=A16)*($AH$8:$AH$307=B16)*($AN$8:$AN$307-D16)^2)/(C16-1))</f>
        <v>0.00348807492274308</v>
      </c>
      <c r="H16" s="11" t="n">
        <f aca="false">$B$8-D16</f>
        <v>0.0423999999999936</v>
      </c>
      <c r="I16" s="10" t="n">
        <f aca="false">COUNTIFS($AG$8:$AG$307,A16,$AH$8:$AH$307,B16,$AN$8:$AN$307,"&gt;"&amp;$B$8)</f>
        <v>0</v>
      </c>
      <c r="J16" s="10" t="n">
        <f aca="false">COUNTIFS($AG$8:$AG$307,A16,$AH$8:$AH$307,B16,$AN$8:$AN$307,"&lt;"&amp;$B$9)</f>
        <v>0</v>
      </c>
      <c r="K16" s="10" t="str">
        <f aca="false">INDEX($AL$8:$AL$307,MATCH(1,($AG$8:$AG$307=A16)*($AH$8:$AH$307=B16),0))</f>
        <v>CL-771</v>
      </c>
      <c r="L16" s="10" t="str">
        <f aca="false">INDEX($AK$8:$AK$307,MATCH(1,($AG$8:$AG$307=A16)*($AH$8:$AH$307=B16),0))</f>
        <v>FX-A</v>
      </c>
      <c r="AE16" s="10" t="s">
        <v>199</v>
      </c>
      <c r="AF16" s="22" t="n">
        <v>46149</v>
      </c>
      <c r="AG16" s="10" t="str">
        <f aca="false">"W"&amp;INT((AF16-MIN($AF$8:$AF$307))/7)+1</f>
        <v>W1</v>
      </c>
      <c r="AH16" s="10" t="s">
        <v>159</v>
      </c>
      <c r="AI16" s="10" t="s">
        <v>160</v>
      </c>
      <c r="AJ16" s="10" t="s">
        <v>200</v>
      </c>
      <c r="AK16" s="10" t="s">
        <v>162</v>
      </c>
      <c r="AL16" s="10" t="s">
        <v>163</v>
      </c>
      <c r="AM16" s="10" t="s">
        <v>164</v>
      </c>
      <c r="AN16" s="11" t="n">
        <v>50</v>
      </c>
      <c r="AO16" s="10" t="s">
        <v>11</v>
      </c>
    </row>
    <row r="17" customFormat="false" ht="15" hidden="false" customHeight="false" outlineLevel="0" collapsed="false">
      <c r="A17" s="10" t="s">
        <v>198</v>
      </c>
      <c r="B17" s="10" t="s">
        <v>201</v>
      </c>
      <c r="C17" s="10" t="n">
        <f aca="false">COUNTIFS($AG$8:$AG$307,A17,$AH$8:$AH$307,B17)</f>
        <v>25</v>
      </c>
      <c r="D17" s="11" t="n">
        <f aca="false">AVERAGEIFS($AN$8:$AN$307,$AG$8:$AG$307,A17,$AH$8:$AH$307,B17)</f>
        <v>50.0036</v>
      </c>
      <c r="E17" s="11" t="n">
        <f aca="false">MIN(IF(($AG$8:$AG$307=A17)*($AH$8:$AH$307=B17),$AN$8:$AN$307))</f>
        <v>0</v>
      </c>
      <c r="F17" s="11" t="n">
        <f aca="false">MAX(IF(($AG$8:$AG$307=A17)*($AH$8:$AH$307=B17),$AN$8:$AN$307))</f>
        <v>0</v>
      </c>
      <c r="G17" s="11" t="n">
        <f aca="false">SQRT(SUMPRODUCT(($AG$8:$AG$307=A17)*($AH$8:$AH$307=B17)*($AN$8:$AN$307-D17)^2)/(C17-1))</f>
        <v>0.00348807492274308</v>
      </c>
      <c r="H17" s="11" t="n">
        <f aca="false">$B$8-D17</f>
        <v>0.0364000000000004</v>
      </c>
      <c r="I17" s="10" t="n">
        <f aca="false">COUNTIFS($AG$8:$AG$307,A17,$AH$8:$AH$307,B17,$AN$8:$AN$307,"&gt;"&amp;$B$8)</f>
        <v>0</v>
      </c>
      <c r="J17" s="10" t="n">
        <f aca="false">COUNTIFS($AG$8:$AG$307,A17,$AH$8:$AH$307,B17,$AN$8:$AN$307,"&lt;"&amp;$B$9)</f>
        <v>0</v>
      </c>
      <c r="K17" s="10" t="str">
        <f aca="false">INDEX($AL$8:$AL$307,MATCH(1,($AG$8:$AG$307=A17)*($AH$8:$AH$307=B17),0))</f>
        <v>CL-771</v>
      </c>
      <c r="L17" s="10" t="str">
        <f aca="false">INDEX($AK$8:$AK$307,MATCH(1,($AG$8:$AG$307=A17)*($AH$8:$AH$307=B17),0))</f>
        <v>FX-B</v>
      </c>
      <c r="AE17" s="10" t="s">
        <v>202</v>
      </c>
      <c r="AF17" s="22" t="n">
        <v>46150</v>
      </c>
      <c r="AG17" s="10" t="str">
        <f aca="false">"W"&amp;INT((AF17-MIN($AF$8:$AF$307))/7)+1</f>
        <v>W1</v>
      </c>
      <c r="AH17" s="10" t="s">
        <v>159</v>
      </c>
      <c r="AI17" s="10" t="s">
        <v>160</v>
      </c>
      <c r="AJ17" s="10" t="s">
        <v>203</v>
      </c>
      <c r="AK17" s="10" t="s">
        <v>162</v>
      </c>
      <c r="AL17" s="10" t="s">
        <v>163</v>
      </c>
      <c r="AM17" s="10" t="s">
        <v>164</v>
      </c>
      <c r="AN17" s="11" t="n">
        <v>50.001</v>
      </c>
      <c r="AO17" s="10" t="s">
        <v>11</v>
      </c>
    </row>
    <row r="18" customFormat="false" ht="15" hidden="false" customHeight="false" outlineLevel="0" collapsed="false">
      <c r="A18" s="10" t="s">
        <v>204</v>
      </c>
      <c r="B18" s="10" t="s">
        <v>159</v>
      </c>
      <c r="C18" s="10" t="n">
        <f aca="false">COUNTIFS($AG$8:$AG$307,A18,$AH$8:$AH$307,B18)</f>
        <v>25</v>
      </c>
      <c r="D18" s="11" t="n">
        <f aca="false">AVERAGEIFS($AN$8:$AN$307,$AG$8:$AG$307,A18,$AH$8:$AH$307,B18)</f>
        <v>49.9986</v>
      </c>
      <c r="E18" s="11" t="n">
        <f aca="false">MIN(IF(($AG$8:$AG$307=A18)*($AH$8:$AH$307=B18),$AN$8:$AN$307))</f>
        <v>0</v>
      </c>
      <c r="F18" s="11" t="n">
        <f aca="false">MAX(IF(($AG$8:$AG$307=A18)*($AH$8:$AH$307=B18),$AN$8:$AN$307))</f>
        <v>0</v>
      </c>
      <c r="G18" s="11" t="n">
        <f aca="false">SQRT(SUMPRODUCT(($AG$8:$AG$307=A18)*($AH$8:$AH$307=B18)*($AN$8:$AN$307-D18)^2)/(C18-1))</f>
        <v>0.00348807492274234</v>
      </c>
      <c r="H18" s="11" t="n">
        <f aca="false">$B$8-D18</f>
        <v>0.041400000000003</v>
      </c>
      <c r="I18" s="10" t="n">
        <f aca="false">COUNTIFS($AG$8:$AG$307,A18,$AH$8:$AH$307,B18,$AN$8:$AN$307,"&gt;"&amp;$B$8)</f>
        <v>0</v>
      </c>
      <c r="J18" s="10" t="n">
        <f aca="false">COUNTIFS($AG$8:$AG$307,A18,$AH$8:$AH$307,B18,$AN$8:$AN$307,"&lt;"&amp;$B$9)</f>
        <v>0</v>
      </c>
      <c r="K18" s="10" t="str">
        <f aca="false">INDEX($AL$8:$AL$307,MATCH(1,($AG$8:$AG$307=A18)*($AH$8:$AH$307=B18),0))</f>
        <v>CL-771</v>
      </c>
      <c r="L18" s="10" t="str">
        <f aca="false">INDEX($AK$8:$AK$307,MATCH(1,($AG$8:$AG$307=A18)*($AH$8:$AH$307=B18),0))</f>
        <v>FX-A</v>
      </c>
      <c r="AE18" s="10" t="s">
        <v>205</v>
      </c>
      <c r="AF18" s="22" t="n">
        <v>46146</v>
      </c>
      <c r="AG18" s="10" t="str">
        <f aca="false">"W"&amp;INT((AF18-MIN($AF$8:$AF$307))/7)+1</f>
        <v>W1</v>
      </c>
      <c r="AH18" s="10" t="s">
        <v>159</v>
      </c>
      <c r="AI18" s="10" t="s">
        <v>160</v>
      </c>
      <c r="AJ18" s="10" t="s">
        <v>206</v>
      </c>
      <c r="AK18" s="10" t="s">
        <v>162</v>
      </c>
      <c r="AL18" s="10" t="s">
        <v>163</v>
      </c>
      <c r="AM18" s="10" t="s">
        <v>164</v>
      </c>
      <c r="AN18" s="11" t="n">
        <v>50.002</v>
      </c>
      <c r="AO18" s="10" t="s">
        <v>11</v>
      </c>
    </row>
    <row r="19" customFormat="false" ht="15" hidden="false" customHeight="false" outlineLevel="0" collapsed="false">
      <c r="A19" s="10" t="s">
        <v>204</v>
      </c>
      <c r="B19" s="10" t="s">
        <v>201</v>
      </c>
      <c r="C19" s="10" t="n">
        <f aca="false">COUNTIFS($AG$8:$AG$307,A19,$AH$8:$AH$307,B19)</f>
        <v>25</v>
      </c>
      <c r="D19" s="11" t="n">
        <f aca="false">AVERAGEIFS($AN$8:$AN$307,$AG$8:$AG$307,A19,$AH$8:$AH$307,B19)</f>
        <v>50.0096</v>
      </c>
      <c r="E19" s="11" t="n">
        <f aca="false">MIN(IF(($AG$8:$AG$307=A19)*($AH$8:$AH$307=B19),$AN$8:$AN$307))</f>
        <v>0</v>
      </c>
      <c r="F19" s="11" t="n">
        <f aca="false">MAX(IF(($AG$8:$AG$307=A19)*($AH$8:$AH$307=B19),$AN$8:$AN$307))</f>
        <v>0</v>
      </c>
      <c r="G19" s="11" t="n">
        <f aca="false">SQRT(SUMPRODUCT(($AG$8:$AG$307=A19)*($AH$8:$AH$307=B19)*($AN$8:$AN$307-D19)^2)/(C19-1))</f>
        <v>0.00348807492274308</v>
      </c>
      <c r="H19" s="11" t="n">
        <f aca="false">$B$8-D19</f>
        <v>0.0304000000000002</v>
      </c>
      <c r="I19" s="10" t="n">
        <f aca="false">COUNTIFS($AG$8:$AG$307,A19,$AH$8:$AH$307,B19,$AN$8:$AN$307,"&gt;"&amp;$B$8)</f>
        <v>0</v>
      </c>
      <c r="J19" s="10" t="n">
        <f aca="false">COUNTIFS($AG$8:$AG$307,A19,$AH$8:$AH$307,B19,$AN$8:$AN$307,"&lt;"&amp;$B$9)</f>
        <v>0</v>
      </c>
      <c r="K19" s="10" t="str">
        <f aca="false">INDEX($AL$8:$AL$307,MATCH(1,($AG$8:$AG$307=A19)*($AH$8:$AH$307=B19),0))</f>
        <v>CL-771</v>
      </c>
      <c r="L19" s="10" t="str">
        <f aca="false">INDEX($AK$8:$AK$307,MATCH(1,($AG$8:$AG$307=A19)*($AH$8:$AH$307=B19),0))</f>
        <v>FX-B</v>
      </c>
      <c r="AE19" s="10" t="s">
        <v>207</v>
      </c>
      <c r="AF19" s="22" t="n">
        <v>46147</v>
      </c>
      <c r="AG19" s="10" t="str">
        <f aca="false">"W"&amp;INT((AF19-MIN($AF$8:$AF$307))/7)+1</f>
        <v>W1</v>
      </c>
      <c r="AH19" s="10" t="s">
        <v>159</v>
      </c>
      <c r="AI19" s="10" t="s">
        <v>160</v>
      </c>
      <c r="AJ19" s="10" t="s">
        <v>208</v>
      </c>
      <c r="AK19" s="10" t="s">
        <v>162</v>
      </c>
      <c r="AL19" s="10" t="s">
        <v>163</v>
      </c>
      <c r="AM19" s="10" t="s">
        <v>164</v>
      </c>
      <c r="AN19" s="11" t="n">
        <v>50.003</v>
      </c>
      <c r="AO19" s="10" t="s">
        <v>11</v>
      </c>
    </row>
    <row r="20" customFormat="false" ht="15" hidden="false" customHeight="false" outlineLevel="0" collapsed="false">
      <c r="A20" s="10" t="s">
        <v>209</v>
      </c>
      <c r="B20" s="10" t="s">
        <v>159</v>
      </c>
      <c r="C20" s="10" t="n">
        <f aca="false">COUNTIFS($AG$8:$AG$307,A20,$AH$8:$AH$307,B20)</f>
        <v>25</v>
      </c>
      <c r="D20" s="11" t="n">
        <f aca="false">AVERAGEIFS($AN$8:$AN$307,$AG$8:$AG$307,A20,$AH$8:$AH$307,B20)</f>
        <v>49.9976</v>
      </c>
      <c r="E20" s="11" t="n">
        <f aca="false">MIN(IF(($AG$8:$AG$307=A20)*($AH$8:$AH$307=B20),$AN$8:$AN$307))</f>
        <v>0</v>
      </c>
      <c r="F20" s="11" t="n">
        <f aca="false">MAX(IF(($AG$8:$AG$307=A20)*($AH$8:$AH$307=B20),$AN$8:$AN$307))</f>
        <v>0</v>
      </c>
      <c r="G20" s="11" t="n">
        <f aca="false">SQRT(SUMPRODUCT(($AG$8:$AG$307=A20)*($AH$8:$AH$307=B20)*($AN$8:$AN$307-D20)^2)/(C20-1))</f>
        <v>0.00348807492274308</v>
      </c>
      <c r="H20" s="11" t="n">
        <f aca="false">$B$8-D20</f>
        <v>0.0423999999999936</v>
      </c>
      <c r="I20" s="10" t="n">
        <f aca="false">COUNTIFS($AG$8:$AG$307,A20,$AH$8:$AH$307,B20,$AN$8:$AN$307,"&gt;"&amp;$B$8)</f>
        <v>0</v>
      </c>
      <c r="J20" s="10" t="n">
        <f aca="false">COUNTIFS($AG$8:$AG$307,A20,$AH$8:$AH$307,B20,$AN$8:$AN$307,"&lt;"&amp;$B$9)</f>
        <v>0</v>
      </c>
      <c r="K20" s="10" t="str">
        <f aca="false">INDEX($AL$8:$AL$307,MATCH(1,($AG$8:$AG$307=A20)*($AH$8:$AH$307=B20),0))</f>
        <v>CL-772</v>
      </c>
      <c r="L20" s="10" t="str">
        <f aca="false">INDEX($AK$8:$AK$307,MATCH(1,($AG$8:$AG$307=A20)*($AH$8:$AH$307=B20),0))</f>
        <v>FX-A</v>
      </c>
      <c r="AE20" s="10" t="s">
        <v>210</v>
      </c>
      <c r="AF20" s="22" t="n">
        <v>46148</v>
      </c>
      <c r="AG20" s="10" t="str">
        <f aca="false">"W"&amp;INT((AF20-MIN($AF$8:$AF$307))/7)+1</f>
        <v>W1</v>
      </c>
      <c r="AH20" s="10" t="s">
        <v>159</v>
      </c>
      <c r="AI20" s="10" t="s">
        <v>160</v>
      </c>
      <c r="AJ20" s="10" t="s">
        <v>211</v>
      </c>
      <c r="AK20" s="10" t="s">
        <v>162</v>
      </c>
      <c r="AL20" s="10" t="s">
        <v>163</v>
      </c>
      <c r="AM20" s="10" t="s">
        <v>164</v>
      </c>
      <c r="AN20" s="11" t="n">
        <v>49.992</v>
      </c>
      <c r="AO20" s="10" t="s">
        <v>11</v>
      </c>
    </row>
    <row r="21" customFormat="false" ht="15" hidden="false" customHeight="false" outlineLevel="0" collapsed="false">
      <c r="A21" s="10" t="s">
        <v>209</v>
      </c>
      <c r="B21" s="10" t="s">
        <v>201</v>
      </c>
      <c r="C21" s="10" t="n">
        <f aca="false">COUNTIFS($AG$8:$AG$307,A21,$AH$8:$AH$307,B21)</f>
        <v>25</v>
      </c>
      <c r="D21" s="11" t="n">
        <f aca="false">AVERAGEIFS($AN$8:$AN$307,$AG$8:$AG$307,A21,$AH$8:$AH$307,B21)</f>
        <v>50.0156</v>
      </c>
      <c r="E21" s="11" t="n">
        <f aca="false">MIN(IF(($AG$8:$AG$307=A21)*($AH$8:$AH$307=B21),$AN$8:$AN$307))</f>
        <v>0</v>
      </c>
      <c r="F21" s="11" t="n">
        <f aca="false">MAX(IF(($AG$8:$AG$307=A21)*($AH$8:$AH$307=B21),$AN$8:$AN$307))</f>
        <v>0</v>
      </c>
      <c r="G21" s="11" t="n">
        <f aca="false">SQRT(SUMPRODUCT(($AG$8:$AG$307=A21)*($AH$8:$AH$307=B21)*($AN$8:$AN$307-D21)^2)/(C21-1))</f>
        <v>0.00348807492274308</v>
      </c>
      <c r="H21" s="11" t="n">
        <f aca="false">$B$8-D21</f>
        <v>0.0243999999999929</v>
      </c>
      <c r="I21" s="10" t="n">
        <f aca="false">COUNTIFS($AG$8:$AG$307,A21,$AH$8:$AH$307,B21,$AN$8:$AN$307,"&gt;"&amp;$B$8)</f>
        <v>0</v>
      </c>
      <c r="J21" s="10" t="n">
        <f aca="false">COUNTIFS($AG$8:$AG$307,A21,$AH$8:$AH$307,B21,$AN$8:$AN$307,"&lt;"&amp;$B$9)</f>
        <v>0</v>
      </c>
      <c r="K21" s="10" t="str">
        <f aca="false">INDEX($AL$8:$AL$307,MATCH(1,($AG$8:$AG$307=A21)*($AH$8:$AH$307=B21),0))</f>
        <v>MM-204</v>
      </c>
      <c r="L21" s="10" t="str">
        <f aca="false">INDEX($AK$8:$AK$307,MATCH(1,($AG$8:$AG$307=A21)*($AH$8:$AH$307=B21),0))</f>
        <v>FX-B</v>
      </c>
      <c r="AE21" s="10" t="s">
        <v>212</v>
      </c>
      <c r="AF21" s="22" t="n">
        <v>46149</v>
      </c>
      <c r="AG21" s="10" t="str">
        <f aca="false">"W"&amp;INT((AF21-MIN($AF$8:$AF$307))/7)+1</f>
        <v>W1</v>
      </c>
      <c r="AH21" s="10" t="s">
        <v>159</v>
      </c>
      <c r="AI21" s="10" t="s">
        <v>160</v>
      </c>
      <c r="AJ21" s="10" t="s">
        <v>213</v>
      </c>
      <c r="AK21" s="10" t="s">
        <v>162</v>
      </c>
      <c r="AL21" s="10" t="s">
        <v>163</v>
      </c>
      <c r="AM21" s="10" t="s">
        <v>164</v>
      </c>
      <c r="AN21" s="11" t="n">
        <v>49.993</v>
      </c>
      <c r="AO21" s="10" t="s">
        <v>11</v>
      </c>
    </row>
    <row r="22" customFormat="false" ht="15" hidden="false" customHeight="false" outlineLevel="0" collapsed="false">
      <c r="A22" s="10" t="s">
        <v>214</v>
      </c>
      <c r="B22" s="10" t="s">
        <v>159</v>
      </c>
      <c r="C22" s="10" t="n">
        <f aca="false">COUNTIFS($AG$8:$AG$307,A22,$AH$8:$AH$307,B22)</f>
        <v>25</v>
      </c>
      <c r="D22" s="11" t="n">
        <f aca="false">AVERAGEIFS($AN$8:$AN$307,$AG$8:$AG$307,A22,$AH$8:$AH$307,B22)</f>
        <v>49.9986</v>
      </c>
      <c r="E22" s="11" t="n">
        <f aca="false">MIN(IF(($AG$8:$AG$307=A22)*($AH$8:$AH$307=B22),$AN$8:$AN$307))</f>
        <v>0</v>
      </c>
      <c r="F22" s="11" t="n">
        <f aca="false">MAX(IF(($AG$8:$AG$307=A22)*($AH$8:$AH$307=B22),$AN$8:$AN$307))</f>
        <v>0</v>
      </c>
      <c r="G22" s="11" t="n">
        <f aca="false">SQRT(SUMPRODUCT(($AG$8:$AG$307=A22)*($AH$8:$AH$307=B22)*($AN$8:$AN$307-D22)^2)/(C22-1))</f>
        <v>0.00348807492274234</v>
      </c>
      <c r="H22" s="11" t="n">
        <f aca="false">$B$8-D22</f>
        <v>0.041400000000003</v>
      </c>
      <c r="I22" s="10" t="n">
        <f aca="false">COUNTIFS($AG$8:$AG$307,A22,$AH$8:$AH$307,B22,$AN$8:$AN$307,"&gt;"&amp;$B$8)</f>
        <v>0</v>
      </c>
      <c r="J22" s="10" t="n">
        <f aca="false">COUNTIFS($AG$8:$AG$307,A22,$AH$8:$AH$307,B22,$AN$8:$AN$307,"&lt;"&amp;$B$9)</f>
        <v>0</v>
      </c>
      <c r="K22" s="10" t="str">
        <f aca="false">INDEX($AL$8:$AL$307,MATCH(1,($AG$8:$AG$307=A22)*($AH$8:$AH$307=B22),0))</f>
        <v>CL-772</v>
      </c>
      <c r="L22" s="10" t="str">
        <f aca="false">INDEX($AK$8:$AK$307,MATCH(1,($AG$8:$AG$307=A22)*($AH$8:$AH$307=B22),0))</f>
        <v>FX-A</v>
      </c>
      <c r="AE22" s="10" t="s">
        <v>215</v>
      </c>
      <c r="AF22" s="22" t="n">
        <v>46150</v>
      </c>
      <c r="AG22" s="10" t="str">
        <f aca="false">"W"&amp;INT((AF22-MIN($AF$8:$AF$307))/7)+1</f>
        <v>W1</v>
      </c>
      <c r="AH22" s="10" t="s">
        <v>159</v>
      </c>
      <c r="AI22" s="10" t="s">
        <v>160</v>
      </c>
      <c r="AJ22" s="10" t="s">
        <v>216</v>
      </c>
      <c r="AK22" s="10" t="s">
        <v>162</v>
      </c>
      <c r="AL22" s="10" t="s">
        <v>163</v>
      </c>
      <c r="AM22" s="10" t="s">
        <v>164</v>
      </c>
      <c r="AN22" s="11" t="n">
        <v>49.994</v>
      </c>
      <c r="AO22" s="10" t="s">
        <v>11</v>
      </c>
    </row>
    <row r="23" customFormat="false" ht="15" hidden="false" customHeight="false" outlineLevel="0" collapsed="false">
      <c r="A23" s="10" t="s">
        <v>214</v>
      </c>
      <c r="B23" s="10" t="s">
        <v>201</v>
      </c>
      <c r="C23" s="10" t="n">
        <f aca="false">COUNTIFS($AG$8:$AG$307,A23,$AH$8:$AH$307,B23)</f>
        <v>25</v>
      </c>
      <c r="D23" s="11" t="n">
        <f aca="false">AVERAGEIFS($AN$8:$AN$307,$AG$8:$AG$307,A23,$AH$8:$AH$307,B23)</f>
        <v>50.0216</v>
      </c>
      <c r="E23" s="11" t="n">
        <f aca="false">MIN(IF(($AG$8:$AG$307=A23)*($AH$8:$AH$307=B23),$AN$8:$AN$307))</f>
        <v>0</v>
      </c>
      <c r="F23" s="11" t="n">
        <f aca="false">MAX(IF(($AG$8:$AG$307=A23)*($AH$8:$AH$307=B23),$AN$8:$AN$307))</f>
        <v>0</v>
      </c>
      <c r="G23" s="11" t="n">
        <f aca="false">SQRT(SUMPRODUCT(($AG$8:$AG$307=A23)*($AH$8:$AH$307=B23)*($AN$8:$AN$307-D23)^2)/(C23-1))</f>
        <v>0.00348807492274308</v>
      </c>
      <c r="H23" s="11" t="n">
        <f aca="false">$B$8-D23</f>
        <v>0.0183999999999998</v>
      </c>
      <c r="I23" s="10" t="n">
        <f aca="false">COUNTIFS($AG$8:$AG$307,A23,$AH$8:$AH$307,B23,$AN$8:$AN$307,"&gt;"&amp;$B$8)</f>
        <v>0</v>
      </c>
      <c r="J23" s="10" t="n">
        <f aca="false">COUNTIFS($AG$8:$AG$307,A23,$AH$8:$AH$307,B23,$AN$8:$AN$307,"&lt;"&amp;$B$9)</f>
        <v>0</v>
      </c>
      <c r="K23" s="10" t="str">
        <f aca="false">INDEX($AL$8:$AL$307,MATCH(1,($AG$8:$AG$307=A23)*($AH$8:$AH$307=B23),0))</f>
        <v>MM-204</v>
      </c>
      <c r="L23" s="10" t="str">
        <f aca="false">INDEX($AK$8:$AK$307,MATCH(1,($AG$8:$AG$307=A23)*($AH$8:$AH$307=B23),0))</f>
        <v>FX-B</v>
      </c>
      <c r="AE23" s="10" t="s">
        <v>217</v>
      </c>
      <c r="AF23" s="22" t="n">
        <v>46146</v>
      </c>
      <c r="AG23" s="10" t="str">
        <f aca="false">"W"&amp;INT((AF23-MIN($AF$8:$AF$307))/7)+1</f>
        <v>W1</v>
      </c>
      <c r="AH23" s="10" t="s">
        <v>159</v>
      </c>
      <c r="AI23" s="10" t="s">
        <v>160</v>
      </c>
      <c r="AJ23" s="10" t="s">
        <v>218</v>
      </c>
      <c r="AK23" s="10" t="s">
        <v>162</v>
      </c>
      <c r="AL23" s="10" t="s">
        <v>163</v>
      </c>
      <c r="AM23" s="10" t="s">
        <v>164</v>
      </c>
      <c r="AN23" s="11" t="n">
        <v>49.995</v>
      </c>
      <c r="AO23" s="10" t="s">
        <v>11</v>
      </c>
    </row>
    <row r="24" customFormat="false" ht="15" hidden="false" customHeight="false" outlineLevel="0" collapsed="false">
      <c r="A24" s="10" t="s">
        <v>219</v>
      </c>
      <c r="B24" s="10" t="s">
        <v>159</v>
      </c>
      <c r="C24" s="10" t="n">
        <f aca="false">COUNTIFS($AG$8:$AG$307,A24,$AH$8:$AH$307,B24)</f>
        <v>25</v>
      </c>
      <c r="D24" s="11" t="n">
        <f aca="false">AVERAGEIFS($AN$8:$AN$307,$AG$8:$AG$307,A24,$AH$8:$AH$307,B24)</f>
        <v>49.9976</v>
      </c>
      <c r="E24" s="11" t="n">
        <f aca="false">MIN(IF(($AG$8:$AG$307=A24)*($AH$8:$AH$307=B24),$AN$8:$AN$307))</f>
        <v>0</v>
      </c>
      <c r="F24" s="11" t="n">
        <f aca="false">MAX(IF(($AG$8:$AG$307=A24)*($AH$8:$AH$307=B24),$AN$8:$AN$307))</f>
        <v>0</v>
      </c>
      <c r="G24" s="11" t="n">
        <f aca="false">SQRT(SUMPRODUCT(($AG$8:$AG$307=A24)*($AH$8:$AH$307=B24)*($AN$8:$AN$307-D24)^2)/(C24-1))</f>
        <v>0.00348807492274308</v>
      </c>
      <c r="H24" s="11" t="n">
        <f aca="false">$B$8-D24</f>
        <v>0.0423999999999936</v>
      </c>
      <c r="I24" s="10" t="n">
        <f aca="false">COUNTIFS($AG$8:$AG$307,A24,$AH$8:$AH$307,B24,$AN$8:$AN$307,"&gt;"&amp;$B$8)</f>
        <v>0</v>
      </c>
      <c r="J24" s="10" t="n">
        <f aca="false">COUNTIFS($AG$8:$AG$307,A24,$AH$8:$AH$307,B24,$AN$8:$AN$307,"&lt;"&amp;$B$9)</f>
        <v>0</v>
      </c>
      <c r="K24" s="10" t="str">
        <f aca="false">INDEX($AL$8:$AL$307,MATCH(1,($AG$8:$AG$307=A24)*($AH$8:$AH$307=B24),0))</f>
        <v>CL-772</v>
      </c>
      <c r="L24" s="10" t="str">
        <f aca="false">INDEX($AK$8:$AK$307,MATCH(1,($AG$8:$AG$307=A24)*($AH$8:$AH$307=B24),0))</f>
        <v>FX-A</v>
      </c>
      <c r="AE24" s="10" t="s">
        <v>220</v>
      </c>
      <c r="AF24" s="22" t="n">
        <v>46147</v>
      </c>
      <c r="AG24" s="10" t="str">
        <f aca="false">"W"&amp;INT((AF24-MIN($AF$8:$AF$307))/7)+1</f>
        <v>W1</v>
      </c>
      <c r="AH24" s="10" t="s">
        <v>159</v>
      </c>
      <c r="AI24" s="10" t="s">
        <v>160</v>
      </c>
      <c r="AJ24" s="10" t="s">
        <v>221</v>
      </c>
      <c r="AK24" s="10" t="s">
        <v>162</v>
      </c>
      <c r="AL24" s="10" t="s">
        <v>163</v>
      </c>
      <c r="AM24" s="10" t="s">
        <v>164</v>
      </c>
      <c r="AN24" s="11" t="n">
        <v>49.996</v>
      </c>
      <c r="AO24" s="10" t="s">
        <v>11</v>
      </c>
    </row>
    <row r="25" customFormat="false" ht="15" hidden="false" customHeight="false" outlineLevel="0" collapsed="false">
      <c r="A25" s="10" t="s">
        <v>219</v>
      </c>
      <c r="B25" s="10" t="s">
        <v>201</v>
      </c>
      <c r="C25" s="10" t="n">
        <f aca="false">COUNTIFS($AG$8:$AG$307,A25,$AH$8:$AH$307,B25)</f>
        <v>25</v>
      </c>
      <c r="D25" s="11" t="n">
        <f aca="false">AVERAGEIFS($AN$8:$AN$307,$AG$8:$AG$307,A25,$AH$8:$AH$307,B25)</f>
        <v>50.0276</v>
      </c>
      <c r="E25" s="11" t="n">
        <f aca="false">MIN(IF(($AG$8:$AG$307=A25)*($AH$8:$AH$307=B25),$AN$8:$AN$307))</f>
        <v>0</v>
      </c>
      <c r="F25" s="11" t="n">
        <f aca="false">MAX(IF(($AG$8:$AG$307=A25)*($AH$8:$AH$307=B25),$AN$8:$AN$307))</f>
        <v>0</v>
      </c>
      <c r="G25" s="11" t="n">
        <f aca="false">SQRT(SUMPRODUCT(($AG$8:$AG$307=A25)*($AH$8:$AH$307=B25)*($AN$8:$AN$307-D25)^2)/(C25-1))</f>
        <v>0.00348807492274234</v>
      </c>
      <c r="H25" s="11" t="n">
        <f aca="false">$B$8-D25</f>
        <v>0.0123999999999995</v>
      </c>
      <c r="I25" s="10" t="n">
        <f aca="false">COUNTIFS($AG$8:$AG$307,A25,$AH$8:$AH$307,B25,$AN$8:$AN$307,"&gt;"&amp;$B$8)</f>
        <v>0</v>
      </c>
      <c r="J25" s="10" t="n">
        <f aca="false">COUNTIFS($AG$8:$AG$307,A25,$AH$8:$AH$307,B25,$AN$8:$AN$307,"&lt;"&amp;$B$9)</f>
        <v>0</v>
      </c>
      <c r="K25" s="10" t="str">
        <f aca="false">INDEX($AL$8:$AL$307,MATCH(1,($AG$8:$AG$307=A25)*($AH$8:$AH$307=B25),0))</f>
        <v>MM-204</v>
      </c>
      <c r="L25" s="10" t="str">
        <f aca="false">INDEX($AK$8:$AK$307,MATCH(1,($AG$8:$AG$307=A25)*($AH$8:$AH$307=B25),0))</f>
        <v>FX-B</v>
      </c>
      <c r="AE25" s="10" t="s">
        <v>222</v>
      </c>
      <c r="AF25" s="22" t="n">
        <v>46148</v>
      </c>
      <c r="AG25" s="10" t="str">
        <f aca="false">"W"&amp;INT((AF25-MIN($AF$8:$AF$307))/7)+1</f>
        <v>W1</v>
      </c>
      <c r="AH25" s="10" t="s">
        <v>159</v>
      </c>
      <c r="AI25" s="10" t="s">
        <v>160</v>
      </c>
      <c r="AJ25" s="10" t="s">
        <v>223</v>
      </c>
      <c r="AK25" s="10" t="s">
        <v>162</v>
      </c>
      <c r="AL25" s="10" t="s">
        <v>163</v>
      </c>
      <c r="AM25" s="10" t="s">
        <v>164</v>
      </c>
      <c r="AN25" s="11" t="n">
        <v>49.997</v>
      </c>
      <c r="AO25" s="10" t="s">
        <v>11</v>
      </c>
    </row>
    <row r="26" customFormat="false" ht="15" hidden="false" customHeight="false" outlineLevel="0" collapsed="false">
      <c r="A26" s="10" t="s">
        <v>224</v>
      </c>
      <c r="B26" s="10" t="s">
        <v>159</v>
      </c>
      <c r="C26" s="10" t="n">
        <f aca="false">COUNTIFS($AG$8:$AG$307,A26,$AH$8:$AH$307,B26)</f>
        <v>25</v>
      </c>
      <c r="D26" s="11" t="n">
        <f aca="false">AVERAGEIFS($AN$8:$AN$307,$AG$8:$AG$307,A26,$AH$8:$AH$307,B26)</f>
        <v>49.9986</v>
      </c>
      <c r="E26" s="11" t="n">
        <f aca="false">MIN(IF(($AG$8:$AG$307=A26)*($AH$8:$AH$307=B26),$AN$8:$AN$307))</f>
        <v>0</v>
      </c>
      <c r="F26" s="11" t="n">
        <f aca="false">MAX(IF(($AG$8:$AG$307=A26)*($AH$8:$AH$307=B26),$AN$8:$AN$307))</f>
        <v>0</v>
      </c>
      <c r="G26" s="11" t="n">
        <f aca="false">SQRT(SUMPRODUCT(($AG$8:$AG$307=A26)*($AH$8:$AH$307=B26)*($AN$8:$AN$307-D26)^2)/(C26-1))</f>
        <v>0.00348807492274234</v>
      </c>
      <c r="H26" s="11" t="n">
        <f aca="false">$B$8-D26</f>
        <v>0.041400000000003</v>
      </c>
      <c r="I26" s="10" t="n">
        <f aca="false">COUNTIFS($AG$8:$AG$307,A26,$AH$8:$AH$307,B26,$AN$8:$AN$307,"&gt;"&amp;$B$8)</f>
        <v>0</v>
      </c>
      <c r="J26" s="10" t="n">
        <f aca="false">COUNTIFS($AG$8:$AG$307,A26,$AH$8:$AH$307,B26,$AN$8:$AN$307,"&lt;"&amp;$B$9)</f>
        <v>0</v>
      </c>
      <c r="K26" s="10" t="str">
        <f aca="false">INDEX($AL$8:$AL$307,MATCH(1,($AG$8:$AG$307=A26)*($AH$8:$AH$307=B26),0))</f>
        <v>CL-772</v>
      </c>
      <c r="L26" s="10" t="str">
        <f aca="false">INDEX($AK$8:$AK$307,MATCH(1,($AG$8:$AG$307=A26)*($AH$8:$AH$307=B26),0))</f>
        <v>FX-A</v>
      </c>
      <c r="AE26" s="10" t="s">
        <v>225</v>
      </c>
      <c r="AF26" s="22" t="n">
        <v>46149</v>
      </c>
      <c r="AG26" s="10" t="str">
        <f aca="false">"W"&amp;INT((AF26-MIN($AF$8:$AF$307))/7)+1</f>
        <v>W1</v>
      </c>
      <c r="AH26" s="10" t="s">
        <v>159</v>
      </c>
      <c r="AI26" s="10" t="s">
        <v>160</v>
      </c>
      <c r="AJ26" s="10" t="s">
        <v>226</v>
      </c>
      <c r="AK26" s="10" t="s">
        <v>162</v>
      </c>
      <c r="AL26" s="10" t="s">
        <v>163</v>
      </c>
      <c r="AM26" s="10" t="s">
        <v>164</v>
      </c>
      <c r="AN26" s="11" t="n">
        <v>49.998</v>
      </c>
      <c r="AO26" s="10" t="s">
        <v>11</v>
      </c>
    </row>
    <row r="27" customFormat="false" ht="15" hidden="false" customHeight="false" outlineLevel="0" collapsed="false">
      <c r="A27" s="10" t="s">
        <v>224</v>
      </c>
      <c r="B27" s="10" t="s">
        <v>201</v>
      </c>
      <c r="C27" s="10" t="n">
        <f aca="false">COUNTIFS($AG$8:$AG$307,A27,$AH$8:$AH$307,B27)</f>
        <v>25</v>
      </c>
      <c r="D27" s="11" t="n">
        <f aca="false">AVERAGEIFS($AN$8:$AN$307,$AG$8:$AG$307,A27,$AH$8:$AH$307,B27)</f>
        <v>50.0336</v>
      </c>
      <c r="E27" s="11" t="n">
        <f aca="false">MIN(IF(($AG$8:$AG$307=A27)*($AH$8:$AH$307=B27),$AN$8:$AN$307))</f>
        <v>0</v>
      </c>
      <c r="F27" s="11" t="n">
        <f aca="false">MAX(IF(($AG$8:$AG$307=A27)*($AH$8:$AH$307=B27),$AN$8:$AN$307))</f>
        <v>0</v>
      </c>
      <c r="G27" s="11" t="n">
        <f aca="false">SQRT(SUMPRODUCT(($AG$8:$AG$307=A27)*($AH$8:$AH$307=B27)*($AN$8:$AN$307-D27)^2)/(C27-1))</f>
        <v>0.00348807492274237</v>
      </c>
      <c r="H27" s="11" t="n">
        <f aca="false">$B$8-D27</f>
        <v>0.0063999999999993</v>
      </c>
      <c r="I27" s="10" t="n">
        <f aca="false">COUNTIFS($AG$8:$AG$307,A27,$AH$8:$AH$307,B27,$AN$8:$AN$307,"&gt;"&amp;$B$8)</f>
        <v>0</v>
      </c>
      <c r="J27" s="10" t="n">
        <f aca="false">COUNTIFS($AG$8:$AG$307,A27,$AH$8:$AH$307,B27,$AN$8:$AN$307,"&lt;"&amp;$B$9)</f>
        <v>0</v>
      </c>
      <c r="K27" s="10" t="str">
        <f aca="false">INDEX($AL$8:$AL$307,MATCH(1,($AG$8:$AG$307=A27)*($AH$8:$AH$307=B27),0))</f>
        <v>MM-204</v>
      </c>
      <c r="L27" s="10" t="str">
        <f aca="false">INDEX($AK$8:$AK$307,MATCH(1,($AG$8:$AG$307=A27)*($AH$8:$AH$307=B27),0))</f>
        <v>FX-B</v>
      </c>
      <c r="AE27" s="10" t="s">
        <v>227</v>
      </c>
      <c r="AF27" s="22" t="n">
        <v>46150</v>
      </c>
      <c r="AG27" s="10" t="str">
        <f aca="false">"W"&amp;INT((AF27-MIN($AF$8:$AF$307))/7)+1</f>
        <v>W1</v>
      </c>
      <c r="AH27" s="10" t="s">
        <v>159</v>
      </c>
      <c r="AI27" s="10" t="s">
        <v>160</v>
      </c>
      <c r="AJ27" s="10" t="s">
        <v>228</v>
      </c>
      <c r="AK27" s="10" t="s">
        <v>162</v>
      </c>
      <c r="AL27" s="10" t="s">
        <v>163</v>
      </c>
      <c r="AM27" s="10" t="s">
        <v>164</v>
      </c>
      <c r="AN27" s="11" t="n">
        <v>49.999</v>
      </c>
      <c r="AO27" s="10" t="s">
        <v>11</v>
      </c>
    </row>
    <row r="28" customFormat="false" ht="15" hidden="false" customHeight="false" outlineLevel="0" collapsed="false">
      <c r="AE28" s="10" t="s">
        <v>229</v>
      </c>
      <c r="AF28" s="22" t="n">
        <v>46146</v>
      </c>
      <c r="AG28" s="10" t="str">
        <f aca="false">"W"&amp;INT((AF28-MIN($AF$8:$AF$307))/7)+1</f>
        <v>W1</v>
      </c>
      <c r="AH28" s="10" t="s">
        <v>159</v>
      </c>
      <c r="AI28" s="10" t="s">
        <v>160</v>
      </c>
      <c r="AJ28" s="10" t="s">
        <v>230</v>
      </c>
      <c r="AK28" s="10" t="s">
        <v>162</v>
      </c>
      <c r="AL28" s="10" t="s">
        <v>163</v>
      </c>
      <c r="AM28" s="10" t="s">
        <v>164</v>
      </c>
      <c r="AN28" s="11" t="n">
        <v>50</v>
      </c>
      <c r="AO28" s="10" t="s">
        <v>11</v>
      </c>
    </row>
    <row r="29" customFormat="false" ht="15" hidden="false" customHeight="false" outlineLevel="0" collapsed="false">
      <c r="A29" s="8" t="s">
        <v>231</v>
      </c>
      <c r="B29" s="8"/>
      <c r="C29" s="8"/>
      <c r="D29" s="8"/>
      <c r="E29" s="8"/>
      <c r="F29" s="8"/>
      <c r="G29" s="8"/>
      <c r="H29" s="8"/>
      <c r="I29" s="8"/>
      <c r="J29" s="8"/>
      <c r="AE29" s="10" t="s">
        <v>232</v>
      </c>
      <c r="AF29" s="22" t="n">
        <v>46147</v>
      </c>
      <c r="AG29" s="10" t="str">
        <f aca="false">"W"&amp;INT((AF29-MIN($AF$8:$AF$307))/7)+1</f>
        <v>W1</v>
      </c>
      <c r="AH29" s="10" t="s">
        <v>159</v>
      </c>
      <c r="AI29" s="10" t="s">
        <v>160</v>
      </c>
      <c r="AJ29" s="10" t="s">
        <v>233</v>
      </c>
      <c r="AK29" s="10" t="s">
        <v>162</v>
      </c>
      <c r="AL29" s="10" t="s">
        <v>163</v>
      </c>
      <c r="AM29" s="10" t="s">
        <v>164</v>
      </c>
      <c r="AN29" s="11" t="n">
        <v>50.001</v>
      </c>
      <c r="AO29" s="10" t="s">
        <v>11</v>
      </c>
    </row>
    <row r="30" customFormat="false" ht="15" hidden="false" customHeight="false" outlineLevel="0" collapsed="false">
      <c r="A30" s="9" t="s">
        <v>234</v>
      </c>
      <c r="B30" s="9" t="s">
        <v>235</v>
      </c>
      <c r="C30" s="9" t="s">
        <v>236</v>
      </c>
      <c r="D30" s="9" t="s">
        <v>8</v>
      </c>
      <c r="E30" s="9" t="s">
        <v>143</v>
      </c>
      <c r="AE30" s="10" t="s">
        <v>237</v>
      </c>
      <c r="AF30" s="22" t="n">
        <v>46148</v>
      </c>
      <c r="AG30" s="10" t="str">
        <f aca="false">"W"&amp;INT((AF30-MIN($AF$8:$AF$307))/7)+1</f>
        <v>W1</v>
      </c>
      <c r="AH30" s="10" t="s">
        <v>159</v>
      </c>
      <c r="AI30" s="10" t="s">
        <v>160</v>
      </c>
      <c r="AJ30" s="10" t="s">
        <v>238</v>
      </c>
      <c r="AK30" s="10" t="s">
        <v>162</v>
      </c>
      <c r="AL30" s="10" t="s">
        <v>163</v>
      </c>
      <c r="AM30" s="10" t="s">
        <v>164</v>
      </c>
      <c r="AN30" s="11" t="n">
        <v>50.002</v>
      </c>
      <c r="AO30" s="10" t="s">
        <v>11</v>
      </c>
    </row>
    <row r="31" customFormat="false" ht="15" hidden="false" customHeight="false" outlineLevel="0" collapsed="false">
      <c r="A31" s="10" t="s">
        <v>239</v>
      </c>
      <c r="B31" s="10" t="s">
        <v>240</v>
      </c>
      <c r="C31" s="11" t="n">
        <f aca="false">D26-D16</f>
        <v>0.000999999999990564</v>
      </c>
      <c r="D31" s="10" t="s">
        <v>11</v>
      </c>
      <c r="E31" s="10" t="s">
        <v>12</v>
      </c>
      <c r="AE31" s="10" t="s">
        <v>241</v>
      </c>
      <c r="AF31" s="22" t="n">
        <v>46149</v>
      </c>
      <c r="AG31" s="10" t="str">
        <f aca="false">"W"&amp;INT((AF31-MIN($AF$8:$AF$307))/7)+1</f>
        <v>W1</v>
      </c>
      <c r="AH31" s="10" t="s">
        <v>159</v>
      </c>
      <c r="AI31" s="10" t="s">
        <v>160</v>
      </c>
      <c r="AJ31" s="10" t="s">
        <v>242</v>
      </c>
      <c r="AK31" s="10" t="s">
        <v>162</v>
      </c>
      <c r="AL31" s="10" t="s">
        <v>163</v>
      </c>
      <c r="AM31" s="10" t="s">
        <v>164</v>
      </c>
      <c r="AN31" s="11" t="n">
        <v>50.003</v>
      </c>
      <c r="AO31" s="10" t="s">
        <v>11</v>
      </c>
    </row>
    <row r="32" customFormat="false" ht="15" hidden="false" customHeight="false" outlineLevel="0" collapsed="false">
      <c r="A32" s="10" t="s">
        <v>243</v>
      </c>
      <c r="B32" s="10" t="s">
        <v>244</v>
      </c>
      <c r="C32" s="11" t="n">
        <f aca="false">D27-D17</f>
        <v>0.0300000000000011</v>
      </c>
      <c r="D32" s="10" t="s">
        <v>11</v>
      </c>
      <c r="E32" s="10" t="s">
        <v>12</v>
      </c>
      <c r="AE32" s="10" t="s">
        <v>245</v>
      </c>
      <c r="AF32" s="22" t="n">
        <v>46150</v>
      </c>
      <c r="AG32" s="10" t="str">
        <f aca="false">"W"&amp;INT((AF32-MIN($AF$8:$AF$307))/7)+1</f>
        <v>W1</v>
      </c>
      <c r="AH32" s="10" t="s">
        <v>159</v>
      </c>
      <c r="AI32" s="10" t="s">
        <v>160</v>
      </c>
      <c r="AJ32" s="10" t="s">
        <v>246</v>
      </c>
      <c r="AK32" s="10" t="s">
        <v>162</v>
      </c>
      <c r="AL32" s="10" t="s">
        <v>163</v>
      </c>
      <c r="AM32" s="10" t="s">
        <v>164</v>
      </c>
      <c r="AN32" s="11" t="n">
        <v>50</v>
      </c>
      <c r="AO32" s="10" t="s">
        <v>11</v>
      </c>
    </row>
    <row r="33" customFormat="false" ht="15" hidden="false" customHeight="false" outlineLevel="0" collapsed="false">
      <c r="A33" s="10" t="s">
        <v>14</v>
      </c>
      <c r="B33" s="10" t="s">
        <v>247</v>
      </c>
      <c r="C33" s="11" t="n">
        <f aca="false">D27-D26</f>
        <v>0.0350000000000037</v>
      </c>
      <c r="D33" s="10" t="s">
        <v>11</v>
      </c>
      <c r="E33" s="10" t="s">
        <v>12</v>
      </c>
      <c r="AE33" s="10" t="s">
        <v>248</v>
      </c>
      <c r="AF33" s="22" t="n">
        <v>46146</v>
      </c>
      <c r="AG33" s="10" t="str">
        <f aca="false">"W"&amp;INT((AF33-MIN($AF$8:$AF$307))/7)+1</f>
        <v>W1</v>
      </c>
      <c r="AH33" s="10" t="s">
        <v>201</v>
      </c>
      <c r="AI33" s="10" t="s">
        <v>249</v>
      </c>
      <c r="AJ33" s="10" t="s">
        <v>250</v>
      </c>
      <c r="AK33" s="10" t="s">
        <v>251</v>
      </c>
      <c r="AL33" s="10" t="s">
        <v>163</v>
      </c>
      <c r="AM33" s="10" t="s">
        <v>252</v>
      </c>
      <c r="AN33" s="11" t="n">
        <v>49.998</v>
      </c>
      <c r="AO33" s="10" t="s">
        <v>11</v>
      </c>
    </row>
    <row r="34" customFormat="false" ht="15" hidden="false" customHeight="false" outlineLevel="0" collapsed="false">
      <c r="A34" s="10" t="s">
        <v>253</v>
      </c>
      <c r="B34" s="10" t="s">
        <v>254</v>
      </c>
      <c r="C34" s="11" t="n">
        <f aca="false">(-2.5*D16-1.5*D18-0.5*D20+0.5*D22+1.5*D24+2.5*D26)/17.5</f>
        <v>8.5714285714695E-005</v>
      </c>
      <c r="D34" s="10" t="s">
        <v>255</v>
      </c>
      <c r="E34" s="10" t="s">
        <v>12</v>
      </c>
      <c r="AE34" s="10" t="s">
        <v>256</v>
      </c>
      <c r="AF34" s="22" t="n">
        <v>46147</v>
      </c>
      <c r="AG34" s="10" t="str">
        <f aca="false">"W"&amp;INT((AF34-MIN($AF$8:$AF$307))/7)+1</f>
        <v>W1</v>
      </c>
      <c r="AH34" s="10" t="s">
        <v>201</v>
      </c>
      <c r="AI34" s="10" t="s">
        <v>249</v>
      </c>
      <c r="AJ34" s="10" t="s">
        <v>257</v>
      </c>
      <c r="AK34" s="10" t="s">
        <v>251</v>
      </c>
      <c r="AL34" s="10" t="s">
        <v>163</v>
      </c>
      <c r="AM34" s="10" t="s">
        <v>252</v>
      </c>
      <c r="AN34" s="11" t="n">
        <v>49.999</v>
      </c>
      <c r="AO34" s="10" t="s">
        <v>11</v>
      </c>
    </row>
    <row r="35" customFormat="false" ht="15" hidden="false" customHeight="false" outlineLevel="0" collapsed="false">
      <c r="A35" s="10" t="s">
        <v>258</v>
      </c>
      <c r="B35" s="10" t="s">
        <v>254</v>
      </c>
      <c r="C35" s="11" t="n">
        <f aca="false">(-2.5*D17-1.5*D19-0.5*D21+0.5*D23+1.5*D25+2.5*D27)/17.5</f>
        <v>0.00600000000000023</v>
      </c>
      <c r="D35" s="10" t="s">
        <v>255</v>
      </c>
      <c r="E35" s="10" t="s">
        <v>12</v>
      </c>
      <c r="AE35" s="10" t="s">
        <v>259</v>
      </c>
      <c r="AF35" s="22" t="n">
        <v>46148</v>
      </c>
      <c r="AG35" s="10" t="str">
        <f aca="false">"W"&amp;INT((AF35-MIN($AF$8:$AF$307))/7)+1</f>
        <v>W1</v>
      </c>
      <c r="AH35" s="10" t="s">
        <v>201</v>
      </c>
      <c r="AI35" s="10" t="s">
        <v>249</v>
      </c>
      <c r="AJ35" s="10" t="s">
        <v>260</v>
      </c>
      <c r="AK35" s="10" t="s">
        <v>251</v>
      </c>
      <c r="AL35" s="10" t="s">
        <v>163</v>
      </c>
      <c r="AM35" s="10" t="s">
        <v>252</v>
      </c>
      <c r="AN35" s="11" t="n">
        <v>50</v>
      </c>
      <c r="AO35" s="10" t="s">
        <v>11</v>
      </c>
    </row>
    <row r="36" customFormat="false" ht="28.35" hidden="false" customHeight="false" outlineLevel="0" collapsed="false">
      <c r="A36" s="10" t="s">
        <v>261</v>
      </c>
      <c r="B36" s="10" t="s">
        <v>262</v>
      </c>
      <c r="C36" s="11" t="n">
        <f aca="false">ROUND(C33/2/$B$10,0)*$B$10</f>
        <v>0.018</v>
      </c>
      <c r="D36" s="10" t="s">
        <v>11</v>
      </c>
      <c r="E36" s="10" t="s">
        <v>263</v>
      </c>
      <c r="AE36" s="10" t="s">
        <v>264</v>
      </c>
      <c r="AF36" s="22" t="n">
        <v>46149</v>
      </c>
      <c r="AG36" s="10" t="str">
        <f aca="false">"W"&amp;INT((AF36-MIN($AF$8:$AF$307))/7)+1</f>
        <v>W1</v>
      </c>
      <c r="AH36" s="10" t="s">
        <v>201</v>
      </c>
      <c r="AI36" s="10" t="s">
        <v>249</v>
      </c>
      <c r="AJ36" s="10" t="s">
        <v>265</v>
      </c>
      <c r="AK36" s="10" t="s">
        <v>251</v>
      </c>
      <c r="AL36" s="10" t="s">
        <v>163</v>
      </c>
      <c r="AM36" s="10" t="s">
        <v>252</v>
      </c>
      <c r="AN36" s="11" t="n">
        <v>50.001</v>
      </c>
      <c r="AO36" s="10" t="s">
        <v>11</v>
      </c>
    </row>
    <row r="37" customFormat="false" ht="15" hidden="false" customHeight="false" outlineLevel="0" collapsed="false">
      <c r="AE37" s="10" t="s">
        <v>266</v>
      </c>
      <c r="AF37" s="22" t="n">
        <v>46150</v>
      </c>
      <c r="AG37" s="10" t="str">
        <f aca="false">"W"&amp;INT((AF37-MIN($AF$8:$AF$307))/7)+1</f>
        <v>W1</v>
      </c>
      <c r="AH37" s="10" t="s">
        <v>201</v>
      </c>
      <c r="AI37" s="10" t="s">
        <v>249</v>
      </c>
      <c r="AJ37" s="10" t="s">
        <v>267</v>
      </c>
      <c r="AK37" s="10" t="s">
        <v>251</v>
      </c>
      <c r="AL37" s="10" t="s">
        <v>163</v>
      </c>
      <c r="AM37" s="10" t="s">
        <v>252</v>
      </c>
      <c r="AN37" s="11" t="n">
        <v>50.002</v>
      </c>
      <c r="AO37" s="10" t="s">
        <v>11</v>
      </c>
    </row>
    <row r="38" customFormat="false" ht="15" hidden="false" customHeight="false" outlineLevel="0" collapsed="false">
      <c r="A38" s="8" t="s">
        <v>268</v>
      </c>
      <c r="B38" s="8"/>
      <c r="C38" s="8"/>
      <c r="D38" s="8"/>
      <c r="E38" s="8"/>
      <c r="F38" s="8"/>
      <c r="G38" s="8"/>
      <c r="H38" s="8"/>
      <c r="AE38" s="10" t="s">
        <v>269</v>
      </c>
      <c r="AF38" s="22" t="n">
        <v>46146</v>
      </c>
      <c r="AG38" s="10" t="str">
        <f aca="false">"W"&amp;INT((AF38-MIN($AF$8:$AF$307))/7)+1</f>
        <v>W1</v>
      </c>
      <c r="AH38" s="10" t="s">
        <v>201</v>
      </c>
      <c r="AI38" s="10" t="s">
        <v>249</v>
      </c>
      <c r="AJ38" s="10" t="s">
        <v>270</v>
      </c>
      <c r="AK38" s="10" t="s">
        <v>251</v>
      </c>
      <c r="AL38" s="10" t="s">
        <v>163</v>
      </c>
      <c r="AM38" s="10" t="s">
        <v>252</v>
      </c>
      <c r="AN38" s="11" t="n">
        <v>50.003</v>
      </c>
      <c r="AO38" s="10" t="s">
        <v>11</v>
      </c>
    </row>
    <row r="39" customFormat="false" ht="28.35" hidden="false" customHeight="false" outlineLevel="0" collapsed="false">
      <c r="A39" s="9" t="s">
        <v>271</v>
      </c>
      <c r="B39" s="9" t="s">
        <v>272</v>
      </c>
      <c r="C39" s="9" t="s">
        <v>273</v>
      </c>
      <c r="D39" s="9" t="s">
        <v>274</v>
      </c>
      <c r="E39" s="9" t="s">
        <v>275</v>
      </c>
      <c r="F39" s="9" t="s">
        <v>276</v>
      </c>
      <c r="H39" s="23" t="s">
        <v>277</v>
      </c>
      <c r="AE39" s="10" t="s">
        <v>278</v>
      </c>
      <c r="AF39" s="22" t="n">
        <v>46147</v>
      </c>
      <c r="AG39" s="10" t="str">
        <f aca="false">"W"&amp;INT((AF39-MIN($AF$8:$AF$307))/7)+1</f>
        <v>W1</v>
      </c>
      <c r="AH39" s="10" t="s">
        <v>201</v>
      </c>
      <c r="AI39" s="10" t="s">
        <v>249</v>
      </c>
      <c r="AJ39" s="10" t="s">
        <v>279</v>
      </c>
      <c r="AK39" s="10" t="s">
        <v>251</v>
      </c>
      <c r="AL39" s="10" t="s">
        <v>163</v>
      </c>
      <c r="AM39" s="10" t="s">
        <v>252</v>
      </c>
      <c r="AN39" s="11" t="n">
        <v>50.004</v>
      </c>
      <c r="AO39" s="10" t="s">
        <v>11</v>
      </c>
    </row>
    <row r="40" customFormat="false" ht="68.65" hidden="false" customHeight="false" outlineLevel="0" collapsed="false">
      <c r="A40" s="10" t="s">
        <v>280</v>
      </c>
      <c r="B40" s="10" t="s">
        <v>281</v>
      </c>
      <c r="C40" s="10" t="s">
        <v>282</v>
      </c>
      <c r="D40" s="10" t="n">
        <f aca="false">1+1</f>
        <v>2</v>
      </c>
      <c r="E40" s="10" t="s">
        <v>283</v>
      </c>
      <c r="F40" s="10" t="s">
        <v>284</v>
      </c>
      <c r="H40" s="24" t="s">
        <v>285</v>
      </c>
      <c r="AE40" s="10" t="s">
        <v>286</v>
      </c>
      <c r="AF40" s="22" t="n">
        <v>46148</v>
      </c>
      <c r="AG40" s="10" t="str">
        <f aca="false">"W"&amp;INT((AF40-MIN($AF$8:$AF$307))/7)+1</f>
        <v>W1</v>
      </c>
      <c r="AH40" s="10" t="s">
        <v>201</v>
      </c>
      <c r="AI40" s="10" t="s">
        <v>249</v>
      </c>
      <c r="AJ40" s="10" t="s">
        <v>287</v>
      </c>
      <c r="AK40" s="10" t="s">
        <v>251</v>
      </c>
      <c r="AL40" s="10" t="s">
        <v>163</v>
      </c>
      <c r="AM40" s="10" t="s">
        <v>252</v>
      </c>
      <c r="AN40" s="11" t="n">
        <v>50.005</v>
      </c>
      <c r="AO40" s="10" t="s">
        <v>11</v>
      </c>
    </row>
    <row r="41" customFormat="false" ht="95.5" hidden="false" customHeight="false" outlineLevel="0" collapsed="false">
      <c r="A41" s="10" t="s">
        <v>288</v>
      </c>
      <c r="B41" s="10" t="s">
        <v>289</v>
      </c>
      <c r="C41" s="10" t="s">
        <v>290</v>
      </c>
      <c r="D41" s="10" t="n">
        <f aca="false">1+1</f>
        <v>2</v>
      </c>
      <c r="E41" s="10" t="s">
        <v>291</v>
      </c>
      <c r="F41" s="10" t="s">
        <v>292</v>
      </c>
      <c r="AE41" s="10" t="s">
        <v>293</v>
      </c>
      <c r="AF41" s="22" t="n">
        <v>46149</v>
      </c>
      <c r="AG41" s="10" t="str">
        <f aca="false">"W"&amp;INT((AF41-MIN($AF$8:$AF$307))/7)+1</f>
        <v>W1</v>
      </c>
      <c r="AH41" s="10" t="s">
        <v>201</v>
      </c>
      <c r="AI41" s="10" t="s">
        <v>249</v>
      </c>
      <c r="AJ41" s="10" t="s">
        <v>294</v>
      </c>
      <c r="AK41" s="10" t="s">
        <v>251</v>
      </c>
      <c r="AL41" s="10" t="s">
        <v>163</v>
      </c>
      <c r="AM41" s="10" t="s">
        <v>252</v>
      </c>
      <c r="AN41" s="11" t="n">
        <v>50.006</v>
      </c>
      <c r="AO41" s="10" t="s">
        <v>11</v>
      </c>
    </row>
    <row r="42" customFormat="false" ht="68.65" hidden="false" customHeight="false" outlineLevel="0" collapsed="false">
      <c r="A42" s="10" t="s">
        <v>295</v>
      </c>
      <c r="B42" s="10" t="s">
        <v>296</v>
      </c>
      <c r="C42" s="10" t="s">
        <v>297</v>
      </c>
      <c r="D42" s="10" t="n">
        <f aca="false">1+1</f>
        <v>2</v>
      </c>
      <c r="E42" s="10" t="s">
        <v>298</v>
      </c>
      <c r="F42" s="10" t="s">
        <v>299</v>
      </c>
      <c r="H42" s="7" t="s">
        <v>300</v>
      </c>
      <c r="I42" s="7" t="str">
        <f aca="false">INDEX(A40:A43,MATCH(MAX(D40:D43),D40:D43,0))</f>
        <v>Second-shift gauge technique</v>
      </c>
      <c r="AE42" s="10" t="s">
        <v>301</v>
      </c>
      <c r="AF42" s="22" t="n">
        <v>46150</v>
      </c>
      <c r="AG42" s="10" t="str">
        <f aca="false">"W"&amp;INT((AF42-MIN($AF$8:$AF$307))/7)+1</f>
        <v>W1</v>
      </c>
      <c r="AH42" s="10" t="s">
        <v>201</v>
      </c>
      <c r="AI42" s="10" t="s">
        <v>249</v>
      </c>
      <c r="AJ42" s="10" t="s">
        <v>302</v>
      </c>
      <c r="AK42" s="10" t="s">
        <v>251</v>
      </c>
      <c r="AL42" s="10" t="s">
        <v>163</v>
      </c>
      <c r="AM42" s="10" t="s">
        <v>252</v>
      </c>
      <c r="AN42" s="11" t="n">
        <v>50.007</v>
      </c>
      <c r="AO42" s="10" t="s">
        <v>11</v>
      </c>
    </row>
    <row r="43" customFormat="false" ht="82.05" hidden="false" customHeight="false" outlineLevel="0" collapsed="false">
      <c r="A43" s="10" t="s">
        <v>303</v>
      </c>
      <c r="B43" s="10" t="s">
        <v>304</v>
      </c>
      <c r="C43" s="10" t="s">
        <v>305</v>
      </c>
      <c r="D43" s="10" t="n">
        <f aca="false">1+1+1</f>
        <v>3</v>
      </c>
      <c r="E43" s="10" t="s">
        <v>306</v>
      </c>
      <c r="F43" s="10" t="s">
        <v>307</v>
      </c>
      <c r="H43" s="24" t="s">
        <v>308</v>
      </c>
      <c r="I43" s="24" t="s">
        <v>309</v>
      </c>
      <c r="AE43" s="10" t="s">
        <v>310</v>
      </c>
      <c r="AF43" s="22" t="n">
        <v>46146</v>
      </c>
      <c r="AG43" s="10" t="str">
        <f aca="false">"W"&amp;INT((AF43-MIN($AF$8:$AF$307))/7)+1</f>
        <v>W1</v>
      </c>
      <c r="AH43" s="10" t="s">
        <v>201</v>
      </c>
      <c r="AI43" s="10" t="s">
        <v>249</v>
      </c>
      <c r="AJ43" s="10" t="s">
        <v>311</v>
      </c>
      <c r="AK43" s="10" t="s">
        <v>251</v>
      </c>
      <c r="AL43" s="10" t="s">
        <v>163</v>
      </c>
      <c r="AM43" s="10" t="s">
        <v>252</v>
      </c>
      <c r="AN43" s="11" t="n">
        <v>50.008</v>
      </c>
      <c r="AO43" s="10" t="s">
        <v>11</v>
      </c>
    </row>
    <row r="44" customFormat="false" ht="15" hidden="false" customHeight="false" outlineLevel="0" collapsed="false">
      <c r="AE44" s="10" t="s">
        <v>312</v>
      </c>
      <c r="AF44" s="22" t="n">
        <v>46147</v>
      </c>
      <c r="AG44" s="10" t="str">
        <f aca="false">"W"&amp;INT((AF44-MIN($AF$8:$AF$307))/7)+1</f>
        <v>W1</v>
      </c>
      <c r="AH44" s="10" t="s">
        <v>201</v>
      </c>
      <c r="AI44" s="10" t="s">
        <v>249</v>
      </c>
      <c r="AJ44" s="10" t="s">
        <v>313</v>
      </c>
      <c r="AK44" s="10" t="s">
        <v>251</v>
      </c>
      <c r="AL44" s="10" t="s">
        <v>163</v>
      </c>
      <c r="AM44" s="10" t="s">
        <v>252</v>
      </c>
      <c r="AN44" s="11" t="n">
        <v>50.009</v>
      </c>
      <c r="AO44" s="10" t="s">
        <v>11</v>
      </c>
    </row>
    <row r="45" customFormat="false" ht="15" hidden="false" customHeight="false" outlineLevel="0" collapsed="false">
      <c r="AE45" s="10" t="s">
        <v>314</v>
      </c>
      <c r="AF45" s="22" t="n">
        <v>46148</v>
      </c>
      <c r="AG45" s="10" t="str">
        <f aca="false">"W"&amp;INT((AF45-MIN($AF$8:$AF$307))/7)+1</f>
        <v>W1</v>
      </c>
      <c r="AH45" s="10" t="s">
        <v>201</v>
      </c>
      <c r="AI45" s="10" t="s">
        <v>249</v>
      </c>
      <c r="AJ45" s="10" t="s">
        <v>315</v>
      </c>
      <c r="AK45" s="10" t="s">
        <v>251</v>
      </c>
      <c r="AL45" s="10" t="s">
        <v>163</v>
      </c>
      <c r="AM45" s="10" t="s">
        <v>252</v>
      </c>
      <c r="AN45" s="11" t="n">
        <v>49.998</v>
      </c>
      <c r="AO45" s="10" t="s">
        <v>11</v>
      </c>
    </row>
    <row r="46" customFormat="false" ht="15" hidden="false" customHeight="false" outlineLevel="0" collapsed="false">
      <c r="A46" s="8" t="s">
        <v>316</v>
      </c>
      <c r="B46" s="8"/>
      <c r="C46" s="8"/>
      <c r="D46" s="8"/>
      <c r="E46" s="8"/>
      <c r="F46" s="8"/>
      <c r="G46" s="8"/>
      <c r="H46" s="8"/>
      <c r="I46" s="8"/>
      <c r="J46" s="8"/>
      <c r="AE46" s="10" t="s">
        <v>317</v>
      </c>
      <c r="AF46" s="22" t="n">
        <v>46149</v>
      </c>
      <c r="AG46" s="10" t="str">
        <f aca="false">"W"&amp;INT((AF46-MIN($AF$8:$AF$307))/7)+1</f>
        <v>W1</v>
      </c>
      <c r="AH46" s="10" t="s">
        <v>201</v>
      </c>
      <c r="AI46" s="10" t="s">
        <v>249</v>
      </c>
      <c r="AJ46" s="10" t="s">
        <v>318</v>
      </c>
      <c r="AK46" s="10" t="s">
        <v>251</v>
      </c>
      <c r="AL46" s="10" t="s">
        <v>163</v>
      </c>
      <c r="AM46" s="10" t="s">
        <v>252</v>
      </c>
      <c r="AN46" s="11" t="n">
        <v>49.999</v>
      </c>
      <c r="AO46" s="10" t="s">
        <v>11</v>
      </c>
    </row>
    <row r="47" customFormat="false" ht="28.35" hidden="false" customHeight="false" outlineLevel="0" collapsed="false">
      <c r="A47" s="9" t="s">
        <v>319</v>
      </c>
      <c r="B47" s="9" t="s">
        <v>320</v>
      </c>
      <c r="C47" s="9" t="s">
        <v>321</v>
      </c>
      <c r="D47" s="9" t="s">
        <v>322</v>
      </c>
      <c r="E47" s="9" t="s">
        <v>323</v>
      </c>
      <c r="F47" s="9" t="s">
        <v>324</v>
      </c>
      <c r="G47" s="9" t="s">
        <v>325</v>
      </c>
      <c r="H47" s="9" t="s">
        <v>326</v>
      </c>
      <c r="I47" s="9" t="s">
        <v>327</v>
      </c>
      <c r="J47" s="9" t="s">
        <v>328</v>
      </c>
      <c r="M47" s="24" t="s">
        <v>329</v>
      </c>
      <c r="AE47" s="10" t="s">
        <v>330</v>
      </c>
      <c r="AF47" s="22" t="n">
        <v>46150</v>
      </c>
      <c r="AG47" s="10" t="str">
        <f aca="false">"W"&amp;INT((AF47-MIN($AF$8:$AF$307))/7)+1</f>
        <v>W1</v>
      </c>
      <c r="AH47" s="10" t="s">
        <v>201</v>
      </c>
      <c r="AI47" s="10" t="s">
        <v>249</v>
      </c>
      <c r="AJ47" s="10" t="s">
        <v>331</v>
      </c>
      <c r="AK47" s="10" t="s">
        <v>251</v>
      </c>
      <c r="AL47" s="10" t="s">
        <v>163</v>
      </c>
      <c r="AM47" s="10" t="s">
        <v>252</v>
      </c>
      <c r="AN47" s="11" t="n">
        <v>50</v>
      </c>
      <c r="AO47" s="10" t="s">
        <v>11</v>
      </c>
    </row>
    <row r="48" customFormat="false" ht="41.75" hidden="false" customHeight="false" outlineLevel="0" collapsed="false">
      <c r="A48" s="10" t="s">
        <v>332</v>
      </c>
      <c r="B48" s="10" t="s">
        <v>27</v>
      </c>
      <c r="C48" s="10" t="n">
        <v>50</v>
      </c>
      <c r="D48" s="25" t="n">
        <v>6.4</v>
      </c>
      <c r="E48" s="25" t="n">
        <v>85</v>
      </c>
      <c r="F48" s="25" t="n">
        <f aca="false">ROUND(C48*D48+E48,2)</f>
        <v>405</v>
      </c>
      <c r="G48" s="10" t="str">
        <f aca="false">IF(F48&lt;=$B$7,"Within $600.00 budget","Over $600.00 budget")</f>
        <v>Over $600.00 budget</v>
      </c>
      <c r="H48" s="26" t="n">
        <v>46190.625</v>
      </c>
      <c r="I48" s="10" t="str">
        <f aca="false">IF(H48&lt;=Model!$M$48,"By cutoff","After cutoff")</f>
        <v>By cutoff</v>
      </c>
      <c r="J48" s="10" t="s">
        <v>333</v>
      </c>
      <c r="M48" s="27" t="n">
        <v>46191.7083333333</v>
      </c>
      <c r="AE48" s="10" t="s">
        <v>334</v>
      </c>
      <c r="AF48" s="22" t="n">
        <v>46146</v>
      </c>
      <c r="AG48" s="10" t="str">
        <f aca="false">"W"&amp;INT((AF48-MIN($AF$8:$AF$307))/7)+1</f>
        <v>W1</v>
      </c>
      <c r="AH48" s="10" t="s">
        <v>201</v>
      </c>
      <c r="AI48" s="10" t="s">
        <v>249</v>
      </c>
      <c r="AJ48" s="10" t="s">
        <v>335</v>
      </c>
      <c r="AK48" s="10" t="s">
        <v>251</v>
      </c>
      <c r="AL48" s="10" t="s">
        <v>163</v>
      </c>
      <c r="AM48" s="10" t="s">
        <v>252</v>
      </c>
      <c r="AN48" s="11" t="n">
        <v>50.001</v>
      </c>
      <c r="AO48" s="10" t="s">
        <v>11</v>
      </c>
    </row>
    <row r="49" customFormat="false" ht="68.65" hidden="false" customHeight="false" outlineLevel="0" collapsed="false">
      <c r="A49" s="10" t="s">
        <v>336</v>
      </c>
      <c r="B49" s="10" t="s">
        <v>337</v>
      </c>
      <c r="C49" s="10" t="n">
        <v>6</v>
      </c>
      <c r="D49" s="25" t="n">
        <v>82.50000000003</v>
      </c>
      <c r="E49" s="25" t="n">
        <v>220</v>
      </c>
      <c r="F49" s="25" t="n">
        <f aca="false">ROUND(C49*D49+E49,2)</f>
        <v>715</v>
      </c>
      <c r="G49" s="10" t="str">
        <f aca="false">IF(F49&lt;=$B$7,"Within $600.00 budget","Over $600.00 budget")</f>
        <v>Over $600.00 budget</v>
      </c>
      <c r="H49" s="26" t="n">
        <v>46195.7083333333</v>
      </c>
      <c r="I49" s="10" t="str">
        <f aca="false">IF(H49&lt;=Model!$M$48,"By cutoff","After cutoff")</f>
        <v>After cutoff</v>
      </c>
      <c r="J49" s="10" t="s">
        <v>338</v>
      </c>
      <c r="AE49" s="10" t="s">
        <v>339</v>
      </c>
      <c r="AF49" s="22" t="n">
        <v>46147</v>
      </c>
      <c r="AG49" s="10" t="str">
        <f aca="false">"W"&amp;INT((AF49-MIN($AF$8:$AF$307))/7)+1</f>
        <v>W1</v>
      </c>
      <c r="AH49" s="10" t="s">
        <v>201</v>
      </c>
      <c r="AI49" s="10" t="s">
        <v>249</v>
      </c>
      <c r="AJ49" s="10" t="s">
        <v>340</v>
      </c>
      <c r="AK49" s="10" t="s">
        <v>251</v>
      </c>
      <c r="AL49" s="10" t="s">
        <v>163</v>
      </c>
      <c r="AM49" s="10" t="s">
        <v>252</v>
      </c>
      <c r="AN49" s="11" t="n">
        <v>50.002</v>
      </c>
      <c r="AO49" s="10" t="s">
        <v>11</v>
      </c>
    </row>
    <row r="50" customFormat="false" ht="41.75" hidden="false" customHeight="false" outlineLevel="0" collapsed="false">
      <c r="A50" s="10" t="s">
        <v>341</v>
      </c>
      <c r="B50" s="10" t="s">
        <v>342</v>
      </c>
      <c r="C50" s="10" t="n">
        <v>1</v>
      </c>
      <c r="D50" s="25" t="n">
        <v>180</v>
      </c>
      <c r="E50" s="25" t="n">
        <v>40</v>
      </c>
      <c r="F50" s="25" t="n">
        <f aca="false">ROUND(C50*D50+E50,2)</f>
        <v>220</v>
      </c>
      <c r="G50" s="10" t="str">
        <f aca="false">IF(F50&lt;=$B$7,"Within $600.00 budget","Over $600.00 budget")</f>
        <v>Within $600.00 budget</v>
      </c>
      <c r="H50" s="26" t="n">
        <v>46190.6666666667</v>
      </c>
      <c r="I50" s="10" t="str">
        <f aca="false">IF(H50&lt;=Model!$M$48,"By cutoff","After cutoff")</f>
        <v>By cutoff</v>
      </c>
      <c r="J50" s="10" t="s">
        <v>343</v>
      </c>
      <c r="AE50" s="10" t="s">
        <v>344</v>
      </c>
      <c r="AF50" s="22" t="n">
        <v>46148</v>
      </c>
      <c r="AG50" s="10" t="str">
        <f aca="false">"W"&amp;INT((AF50-MIN($AF$8:$AF$307))/7)+1</f>
        <v>W1</v>
      </c>
      <c r="AH50" s="10" t="s">
        <v>201</v>
      </c>
      <c r="AI50" s="10" t="s">
        <v>249</v>
      </c>
      <c r="AJ50" s="10" t="s">
        <v>345</v>
      </c>
      <c r="AK50" s="10" t="s">
        <v>251</v>
      </c>
      <c r="AL50" s="10" t="s">
        <v>163</v>
      </c>
      <c r="AM50" s="10" t="s">
        <v>252</v>
      </c>
      <c r="AN50" s="11" t="n">
        <v>50.003</v>
      </c>
      <c r="AO50" s="10" t="s">
        <v>11</v>
      </c>
    </row>
    <row r="51" customFormat="false" ht="55.2" hidden="false" customHeight="false" outlineLevel="0" collapsed="false">
      <c r="A51" s="10" t="s">
        <v>346</v>
      </c>
      <c r="B51" s="10" t="s">
        <v>347</v>
      </c>
      <c r="C51" s="10" t="n">
        <v>8</v>
      </c>
      <c r="D51" s="25" t="n">
        <v>55</v>
      </c>
      <c r="E51" s="25" t="n">
        <v>60</v>
      </c>
      <c r="F51" s="25" t="n">
        <f aca="false">ROUND(C51*D51+E51,2)</f>
        <v>500</v>
      </c>
      <c r="G51" s="10" t="str">
        <f aca="false">IF(F51&lt;=$B$7,"Within $600.00 budget","Over $600.00 budget")</f>
        <v>Over $600.00 budget</v>
      </c>
      <c r="H51" s="26" t="n">
        <v>46191.75</v>
      </c>
      <c r="I51" s="10" t="str">
        <f aca="false">IF(H51&lt;=Model!$M$48,"By cutoff","After cutoff")</f>
        <v>After cutoff</v>
      </c>
      <c r="J51" s="10" t="s">
        <v>348</v>
      </c>
      <c r="AE51" s="10" t="s">
        <v>349</v>
      </c>
      <c r="AF51" s="22" t="n">
        <v>46149</v>
      </c>
      <c r="AG51" s="10" t="str">
        <f aca="false">"W"&amp;INT((AF51-MIN($AF$8:$AF$307))/7)+1</f>
        <v>W1</v>
      </c>
      <c r="AH51" s="10" t="s">
        <v>201</v>
      </c>
      <c r="AI51" s="10" t="s">
        <v>249</v>
      </c>
      <c r="AJ51" s="10" t="s">
        <v>350</v>
      </c>
      <c r="AK51" s="10" t="s">
        <v>251</v>
      </c>
      <c r="AL51" s="10" t="s">
        <v>163</v>
      </c>
      <c r="AM51" s="10" t="s">
        <v>252</v>
      </c>
      <c r="AN51" s="11" t="n">
        <v>50.004</v>
      </c>
      <c r="AO51" s="10" t="s">
        <v>11</v>
      </c>
    </row>
    <row r="52" customFormat="false" ht="15" hidden="false" customHeight="false" outlineLevel="0" collapsed="false">
      <c r="AE52" s="10" t="s">
        <v>351</v>
      </c>
      <c r="AF52" s="22" t="n">
        <v>46150</v>
      </c>
      <c r="AG52" s="10" t="str">
        <f aca="false">"W"&amp;INT((AF52-MIN($AF$8:$AF$307))/7)+1</f>
        <v>W1</v>
      </c>
      <c r="AH52" s="10" t="s">
        <v>201</v>
      </c>
      <c r="AI52" s="10" t="s">
        <v>249</v>
      </c>
      <c r="AJ52" s="10" t="s">
        <v>352</v>
      </c>
      <c r="AK52" s="10" t="s">
        <v>251</v>
      </c>
      <c r="AL52" s="10" t="s">
        <v>163</v>
      </c>
      <c r="AM52" s="10" t="s">
        <v>252</v>
      </c>
      <c r="AN52" s="11" t="n">
        <v>50.005</v>
      </c>
      <c r="AO52" s="10" t="s">
        <v>11</v>
      </c>
    </row>
    <row r="53" customFormat="false" ht="15" hidden="false" customHeight="false" outlineLevel="0" collapsed="false">
      <c r="A53" s="28" t="s">
        <v>353</v>
      </c>
      <c r="B53" s="28" t="str">
        <f aca="false">B48</f>
        <v>Independent verification gate</v>
      </c>
      <c r="D53" s="28" t="s">
        <v>354</v>
      </c>
      <c r="E53" s="29" t="n">
        <f aca="false">F48</f>
        <v>405</v>
      </c>
      <c r="G53" s="28" t="s">
        <v>355</v>
      </c>
      <c r="H53" s="30" t="n">
        <f aca="false">H48</f>
        <v>46190.625</v>
      </c>
      <c r="AE53" s="10" t="s">
        <v>356</v>
      </c>
      <c r="AF53" s="22" t="n">
        <v>46146</v>
      </c>
      <c r="AG53" s="10" t="str">
        <f aca="false">"W"&amp;INT((AF53-MIN($AF$8:$AF$307))/7)+1</f>
        <v>W1</v>
      </c>
      <c r="AH53" s="10" t="s">
        <v>201</v>
      </c>
      <c r="AI53" s="10" t="s">
        <v>249</v>
      </c>
      <c r="AJ53" s="10" t="s">
        <v>357</v>
      </c>
      <c r="AK53" s="10" t="s">
        <v>251</v>
      </c>
      <c r="AL53" s="10" t="s">
        <v>163</v>
      </c>
      <c r="AM53" s="10" t="s">
        <v>252</v>
      </c>
      <c r="AN53" s="11" t="n">
        <v>50.006</v>
      </c>
      <c r="AO53" s="10" t="s">
        <v>11</v>
      </c>
    </row>
    <row r="54" customFormat="false" ht="15" hidden="false" customHeight="false" outlineLevel="0" collapsed="false">
      <c r="AE54" s="10" t="s">
        <v>358</v>
      </c>
      <c r="AF54" s="22" t="n">
        <v>46147</v>
      </c>
      <c r="AG54" s="10" t="str">
        <f aca="false">"W"&amp;INT((AF54-MIN($AF$8:$AF$307))/7)+1</f>
        <v>W1</v>
      </c>
      <c r="AH54" s="10" t="s">
        <v>201</v>
      </c>
      <c r="AI54" s="10" t="s">
        <v>249</v>
      </c>
      <c r="AJ54" s="10" t="s">
        <v>359</v>
      </c>
      <c r="AK54" s="10" t="s">
        <v>251</v>
      </c>
      <c r="AL54" s="10" t="s">
        <v>163</v>
      </c>
      <c r="AM54" s="10" t="s">
        <v>252</v>
      </c>
      <c r="AN54" s="11" t="n">
        <v>50.007</v>
      </c>
      <c r="AO54" s="10" t="s">
        <v>11</v>
      </c>
    </row>
    <row r="55" customFormat="false" ht="15" hidden="false" customHeight="false" outlineLevel="0" collapsed="false">
      <c r="AE55" s="10" t="s">
        <v>360</v>
      </c>
      <c r="AF55" s="22" t="n">
        <v>46148</v>
      </c>
      <c r="AG55" s="10" t="str">
        <f aca="false">"W"&amp;INT((AF55-MIN($AF$8:$AF$307))/7)+1</f>
        <v>W1</v>
      </c>
      <c r="AH55" s="10" t="s">
        <v>201</v>
      </c>
      <c r="AI55" s="10" t="s">
        <v>249</v>
      </c>
      <c r="AJ55" s="10" t="s">
        <v>361</v>
      </c>
      <c r="AK55" s="10" t="s">
        <v>251</v>
      </c>
      <c r="AL55" s="10" t="s">
        <v>163</v>
      </c>
      <c r="AM55" s="10" t="s">
        <v>252</v>
      </c>
      <c r="AN55" s="11" t="n">
        <v>50.008</v>
      </c>
      <c r="AO55" s="10" t="s">
        <v>11</v>
      </c>
    </row>
    <row r="56" customFormat="false" ht="15" hidden="false" customHeight="false" outlineLevel="0" collapsed="false">
      <c r="A56" s="8" t="s">
        <v>362</v>
      </c>
      <c r="B56" s="8"/>
      <c r="C56" s="8"/>
      <c r="D56" s="8"/>
      <c r="E56" s="8"/>
      <c r="F56" s="8"/>
      <c r="G56" s="8"/>
      <c r="H56" s="8"/>
      <c r="AE56" s="10" t="s">
        <v>363</v>
      </c>
      <c r="AF56" s="22" t="n">
        <v>46149</v>
      </c>
      <c r="AG56" s="10" t="str">
        <f aca="false">"W"&amp;INT((AF56-MIN($AF$8:$AF$307))/7)+1</f>
        <v>W1</v>
      </c>
      <c r="AH56" s="10" t="s">
        <v>201</v>
      </c>
      <c r="AI56" s="10" t="s">
        <v>249</v>
      </c>
      <c r="AJ56" s="10" t="s">
        <v>364</v>
      </c>
      <c r="AK56" s="10" t="s">
        <v>251</v>
      </c>
      <c r="AL56" s="10" t="s">
        <v>163</v>
      </c>
      <c r="AM56" s="10" t="s">
        <v>252</v>
      </c>
      <c r="AN56" s="11" t="n">
        <v>50.009</v>
      </c>
      <c r="AO56" s="10" t="s">
        <v>11</v>
      </c>
    </row>
    <row r="57" customFormat="false" ht="15" hidden="false" customHeight="false" outlineLevel="0" collapsed="false">
      <c r="A57" s="9" t="s">
        <v>365</v>
      </c>
      <c r="B57" s="9" t="s">
        <v>366</v>
      </c>
      <c r="C57" s="9" t="s">
        <v>367</v>
      </c>
      <c r="AE57" s="10" t="s">
        <v>368</v>
      </c>
      <c r="AF57" s="22" t="n">
        <v>46150</v>
      </c>
      <c r="AG57" s="10" t="str">
        <f aca="false">"W"&amp;INT((AF57-MIN($AF$8:$AF$307))/7)+1</f>
        <v>W1</v>
      </c>
      <c r="AH57" s="10" t="s">
        <v>201</v>
      </c>
      <c r="AI57" s="10" t="s">
        <v>249</v>
      </c>
      <c r="AJ57" s="10" t="s">
        <v>369</v>
      </c>
      <c r="AK57" s="10" t="s">
        <v>251</v>
      </c>
      <c r="AL57" s="10" t="s">
        <v>163</v>
      </c>
      <c r="AM57" s="10" t="s">
        <v>252</v>
      </c>
      <c r="AN57" s="11" t="n">
        <v>50.006</v>
      </c>
      <c r="AO57" s="10" t="s">
        <v>11</v>
      </c>
    </row>
    <row r="58" customFormat="false" ht="28.35" hidden="false" customHeight="false" outlineLevel="0" collapsed="false">
      <c r="A58" s="20" t="s">
        <v>370</v>
      </c>
      <c r="B58" s="20" t="s">
        <v>371</v>
      </c>
      <c r="C58" s="20" t="s">
        <v>372</v>
      </c>
      <c r="AE58" s="10" t="s">
        <v>373</v>
      </c>
      <c r="AF58" s="22" t="n">
        <v>46153</v>
      </c>
      <c r="AG58" s="10" t="str">
        <f aca="false">"W"&amp;INT((AF58-MIN($AF$8:$AF$307))/7)+1</f>
        <v>W2</v>
      </c>
      <c r="AH58" s="10" t="s">
        <v>159</v>
      </c>
      <c r="AI58" s="10" t="s">
        <v>374</v>
      </c>
      <c r="AJ58" s="10" t="s">
        <v>375</v>
      </c>
      <c r="AK58" s="10" t="s">
        <v>162</v>
      </c>
      <c r="AL58" s="10" t="s">
        <v>163</v>
      </c>
      <c r="AM58" s="10" t="s">
        <v>164</v>
      </c>
      <c r="AN58" s="11" t="n">
        <v>49.993</v>
      </c>
      <c r="AO58" s="10" t="s">
        <v>11</v>
      </c>
    </row>
    <row r="59" customFormat="false" ht="41.75" hidden="false" customHeight="false" outlineLevel="0" collapsed="false">
      <c r="A59" s="20" t="s">
        <v>376</v>
      </c>
      <c r="B59" s="20" t="s">
        <v>377</v>
      </c>
      <c r="C59" s="20" t="s">
        <v>378</v>
      </c>
      <c r="AE59" s="10" t="s">
        <v>379</v>
      </c>
      <c r="AF59" s="22" t="n">
        <v>46154</v>
      </c>
      <c r="AG59" s="10" t="str">
        <f aca="false">"W"&amp;INT((AF59-MIN($AF$8:$AF$307))/7)+1</f>
        <v>W2</v>
      </c>
      <c r="AH59" s="10" t="s">
        <v>159</v>
      </c>
      <c r="AI59" s="10" t="s">
        <v>374</v>
      </c>
      <c r="AJ59" s="10" t="s">
        <v>380</v>
      </c>
      <c r="AK59" s="10" t="s">
        <v>162</v>
      </c>
      <c r="AL59" s="10" t="s">
        <v>163</v>
      </c>
      <c r="AM59" s="10" t="s">
        <v>164</v>
      </c>
      <c r="AN59" s="11" t="n">
        <v>49.994</v>
      </c>
      <c r="AO59" s="10" t="s">
        <v>11</v>
      </c>
    </row>
    <row r="60" customFormat="false" ht="55.2" hidden="false" customHeight="false" outlineLevel="0" collapsed="false">
      <c r="A60" s="20" t="s">
        <v>381</v>
      </c>
      <c r="B60" s="20" t="s">
        <v>382</v>
      </c>
      <c r="C60" s="20" t="s">
        <v>383</v>
      </c>
      <c r="AE60" s="10" t="s">
        <v>384</v>
      </c>
      <c r="AF60" s="22" t="n">
        <v>46155</v>
      </c>
      <c r="AG60" s="10" t="str">
        <f aca="false">"W"&amp;INT((AF60-MIN($AF$8:$AF$307))/7)+1</f>
        <v>W2</v>
      </c>
      <c r="AH60" s="10" t="s">
        <v>159</v>
      </c>
      <c r="AI60" s="10" t="s">
        <v>374</v>
      </c>
      <c r="AJ60" s="10" t="s">
        <v>385</v>
      </c>
      <c r="AK60" s="10" t="s">
        <v>162</v>
      </c>
      <c r="AL60" s="10" t="s">
        <v>163</v>
      </c>
      <c r="AM60" s="10" t="s">
        <v>164</v>
      </c>
      <c r="AN60" s="11" t="n">
        <v>49.995</v>
      </c>
      <c r="AO60" s="10" t="s">
        <v>11</v>
      </c>
    </row>
    <row r="61" customFormat="false" ht="15" hidden="false" customHeight="false" outlineLevel="0" collapsed="false">
      <c r="AE61" s="10" t="s">
        <v>386</v>
      </c>
      <c r="AF61" s="22" t="n">
        <v>46156</v>
      </c>
      <c r="AG61" s="10" t="str">
        <f aca="false">"W"&amp;INT((AF61-MIN($AF$8:$AF$307))/7)+1</f>
        <v>W2</v>
      </c>
      <c r="AH61" s="10" t="s">
        <v>159</v>
      </c>
      <c r="AI61" s="10" t="s">
        <v>374</v>
      </c>
      <c r="AJ61" s="10" t="s">
        <v>387</v>
      </c>
      <c r="AK61" s="10" t="s">
        <v>162</v>
      </c>
      <c r="AL61" s="10" t="s">
        <v>163</v>
      </c>
      <c r="AM61" s="10" t="s">
        <v>164</v>
      </c>
      <c r="AN61" s="11" t="n">
        <v>49.996</v>
      </c>
      <c r="AO61" s="10" t="s">
        <v>11</v>
      </c>
    </row>
    <row r="62" customFormat="false" ht="15" hidden="false" customHeight="false" outlineLevel="0" collapsed="false">
      <c r="AE62" s="10" t="s">
        <v>388</v>
      </c>
      <c r="AF62" s="22" t="n">
        <v>46157</v>
      </c>
      <c r="AG62" s="10" t="str">
        <f aca="false">"W"&amp;INT((AF62-MIN($AF$8:$AF$307))/7)+1</f>
        <v>W2</v>
      </c>
      <c r="AH62" s="10" t="s">
        <v>159</v>
      </c>
      <c r="AI62" s="10" t="s">
        <v>374</v>
      </c>
      <c r="AJ62" s="10" t="s">
        <v>389</v>
      </c>
      <c r="AK62" s="10" t="s">
        <v>162</v>
      </c>
      <c r="AL62" s="10" t="s">
        <v>163</v>
      </c>
      <c r="AM62" s="10" t="s">
        <v>164</v>
      </c>
      <c r="AN62" s="11" t="n">
        <v>49.997</v>
      </c>
      <c r="AO62" s="10" t="s">
        <v>11</v>
      </c>
    </row>
    <row r="63" customFormat="false" ht="15" hidden="false" customHeight="false" outlineLevel="0" collapsed="false">
      <c r="AE63" s="10" t="s">
        <v>390</v>
      </c>
      <c r="AF63" s="22" t="n">
        <v>46153</v>
      </c>
      <c r="AG63" s="10" t="str">
        <f aca="false">"W"&amp;INT((AF63-MIN($AF$8:$AF$307))/7)+1</f>
        <v>W2</v>
      </c>
      <c r="AH63" s="10" t="s">
        <v>159</v>
      </c>
      <c r="AI63" s="10" t="s">
        <v>374</v>
      </c>
      <c r="AJ63" s="10" t="s">
        <v>391</v>
      </c>
      <c r="AK63" s="10" t="s">
        <v>162</v>
      </c>
      <c r="AL63" s="10" t="s">
        <v>163</v>
      </c>
      <c r="AM63" s="10" t="s">
        <v>164</v>
      </c>
      <c r="AN63" s="11" t="n">
        <v>49.998</v>
      </c>
      <c r="AO63" s="10" t="s">
        <v>11</v>
      </c>
    </row>
    <row r="64" customFormat="false" ht="15" hidden="false" customHeight="false" outlineLevel="0" collapsed="false">
      <c r="AE64" s="10" t="s">
        <v>392</v>
      </c>
      <c r="AF64" s="22" t="n">
        <v>46154</v>
      </c>
      <c r="AG64" s="10" t="str">
        <f aca="false">"W"&amp;INT((AF64-MIN($AF$8:$AF$307))/7)+1</f>
        <v>W2</v>
      </c>
      <c r="AH64" s="10" t="s">
        <v>159</v>
      </c>
      <c r="AI64" s="10" t="s">
        <v>374</v>
      </c>
      <c r="AJ64" s="10" t="s">
        <v>393</v>
      </c>
      <c r="AK64" s="10" t="s">
        <v>162</v>
      </c>
      <c r="AL64" s="10" t="s">
        <v>163</v>
      </c>
      <c r="AM64" s="10" t="s">
        <v>164</v>
      </c>
      <c r="AN64" s="11" t="n">
        <v>49.999</v>
      </c>
      <c r="AO64" s="10" t="s">
        <v>11</v>
      </c>
    </row>
    <row r="65" customFormat="false" ht="15" hidden="false" customHeight="false" outlineLevel="0" collapsed="false">
      <c r="AE65" s="10" t="s">
        <v>394</v>
      </c>
      <c r="AF65" s="22" t="n">
        <v>46155</v>
      </c>
      <c r="AG65" s="10" t="str">
        <f aca="false">"W"&amp;INT((AF65-MIN($AF$8:$AF$307))/7)+1</f>
        <v>W2</v>
      </c>
      <c r="AH65" s="10" t="s">
        <v>159</v>
      </c>
      <c r="AI65" s="10" t="s">
        <v>374</v>
      </c>
      <c r="AJ65" s="10" t="s">
        <v>395</v>
      </c>
      <c r="AK65" s="10" t="s">
        <v>162</v>
      </c>
      <c r="AL65" s="10" t="s">
        <v>163</v>
      </c>
      <c r="AM65" s="10" t="s">
        <v>164</v>
      </c>
      <c r="AN65" s="11" t="n">
        <v>50</v>
      </c>
      <c r="AO65" s="10" t="s">
        <v>11</v>
      </c>
    </row>
    <row r="66" customFormat="false" ht="15" hidden="false" customHeight="false" outlineLevel="0" collapsed="false">
      <c r="AE66" s="10" t="s">
        <v>396</v>
      </c>
      <c r="AF66" s="22" t="n">
        <v>46156</v>
      </c>
      <c r="AG66" s="10" t="str">
        <f aca="false">"W"&amp;INT((AF66-MIN($AF$8:$AF$307))/7)+1</f>
        <v>W2</v>
      </c>
      <c r="AH66" s="10" t="s">
        <v>159</v>
      </c>
      <c r="AI66" s="10" t="s">
        <v>374</v>
      </c>
      <c r="AJ66" s="10" t="s">
        <v>397</v>
      </c>
      <c r="AK66" s="10" t="s">
        <v>162</v>
      </c>
      <c r="AL66" s="10" t="s">
        <v>163</v>
      </c>
      <c r="AM66" s="10" t="s">
        <v>164</v>
      </c>
      <c r="AN66" s="11" t="n">
        <v>50.001</v>
      </c>
      <c r="AO66" s="10" t="s">
        <v>11</v>
      </c>
    </row>
    <row r="67" customFormat="false" ht="15" hidden="false" customHeight="false" outlineLevel="0" collapsed="false">
      <c r="AE67" s="10" t="s">
        <v>398</v>
      </c>
      <c r="AF67" s="22" t="n">
        <v>46157</v>
      </c>
      <c r="AG67" s="10" t="str">
        <f aca="false">"W"&amp;INT((AF67-MIN($AF$8:$AF$307))/7)+1</f>
        <v>W2</v>
      </c>
      <c r="AH67" s="10" t="s">
        <v>159</v>
      </c>
      <c r="AI67" s="10" t="s">
        <v>374</v>
      </c>
      <c r="AJ67" s="10" t="s">
        <v>399</v>
      </c>
      <c r="AK67" s="10" t="s">
        <v>162</v>
      </c>
      <c r="AL67" s="10" t="s">
        <v>163</v>
      </c>
      <c r="AM67" s="10" t="s">
        <v>164</v>
      </c>
      <c r="AN67" s="11" t="n">
        <v>50.002</v>
      </c>
      <c r="AO67" s="10" t="s">
        <v>11</v>
      </c>
    </row>
    <row r="68" customFormat="false" ht="15" hidden="false" customHeight="false" outlineLevel="0" collapsed="false">
      <c r="AE68" s="10" t="s">
        <v>400</v>
      </c>
      <c r="AF68" s="22" t="n">
        <v>46153</v>
      </c>
      <c r="AG68" s="10" t="str">
        <f aca="false">"W"&amp;INT((AF68-MIN($AF$8:$AF$307))/7)+1</f>
        <v>W2</v>
      </c>
      <c r="AH68" s="10" t="s">
        <v>159</v>
      </c>
      <c r="AI68" s="10" t="s">
        <v>374</v>
      </c>
      <c r="AJ68" s="10" t="s">
        <v>401</v>
      </c>
      <c r="AK68" s="10" t="s">
        <v>162</v>
      </c>
      <c r="AL68" s="10" t="s">
        <v>163</v>
      </c>
      <c r="AM68" s="10" t="s">
        <v>164</v>
      </c>
      <c r="AN68" s="11" t="n">
        <v>50.003</v>
      </c>
      <c r="AO68" s="10" t="s">
        <v>11</v>
      </c>
    </row>
    <row r="69" customFormat="false" ht="15" hidden="false" customHeight="false" outlineLevel="0" collapsed="false">
      <c r="AE69" s="10" t="s">
        <v>402</v>
      </c>
      <c r="AF69" s="22" t="n">
        <v>46154</v>
      </c>
      <c r="AG69" s="10" t="str">
        <f aca="false">"W"&amp;INT((AF69-MIN($AF$8:$AF$307))/7)+1</f>
        <v>W2</v>
      </c>
      <c r="AH69" s="10" t="s">
        <v>159</v>
      </c>
      <c r="AI69" s="10" t="s">
        <v>374</v>
      </c>
      <c r="AJ69" s="10" t="s">
        <v>403</v>
      </c>
      <c r="AK69" s="10" t="s">
        <v>162</v>
      </c>
      <c r="AL69" s="10" t="s">
        <v>163</v>
      </c>
      <c r="AM69" s="10" t="s">
        <v>164</v>
      </c>
      <c r="AN69" s="11" t="n">
        <v>50.004</v>
      </c>
      <c r="AO69" s="10" t="s">
        <v>11</v>
      </c>
    </row>
    <row r="70" customFormat="false" ht="15" hidden="false" customHeight="false" outlineLevel="0" collapsed="false">
      <c r="AE70" s="10" t="s">
        <v>404</v>
      </c>
      <c r="AF70" s="22" t="n">
        <v>46155</v>
      </c>
      <c r="AG70" s="10" t="str">
        <f aca="false">"W"&amp;INT((AF70-MIN($AF$8:$AF$307))/7)+1</f>
        <v>W2</v>
      </c>
      <c r="AH70" s="10" t="s">
        <v>159</v>
      </c>
      <c r="AI70" s="10" t="s">
        <v>374</v>
      </c>
      <c r="AJ70" s="10" t="s">
        <v>405</v>
      </c>
      <c r="AK70" s="10" t="s">
        <v>162</v>
      </c>
      <c r="AL70" s="10" t="s">
        <v>163</v>
      </c>
      <c r="AM70" s="10" t="s">
        <v>164</v>
      </c>
      <c r="AN70" s="11" t="n">
        <v>49.993</v>
      </c>
      <c r="AO70" s="10" t="s">
        <v>11</v>
      </c>
    </row>
    <row r="71" customFormat="false" ht="15" hidden="false" customHeight="false" outlineLevel="0" collapsed="false">
      <c r="AE71" s="10" t="s">
        <v>406</v>
      </c>
      <c r="AF71" s="22" t="n">
        <v>46156</v>
      </c>
      <c r="AG71" s="10" t="str">
        <f aca="false">"W"&amp;INT((AF71-MIN($AF$8:$AF$307))/7)+1</f>
        <v>W2</v>
      </c>
      <c r="AH71" s="10" t="s">
        <v>159</v>
      </c>
      <c r="AI71" s="10" t="s">
        <v>374</v>
      </c>
      <c r="AJ71" s="10" t="s">
        <v>407</v>
      </c>
      <c r="AK71" s="10" t="s">
        <v>162</v>
      </c>
      <c r="AL71" s="10" t="s">
        <v>163</v>
      </c>
      <c r="AM71" s="10" t="s">
        <v>164</v>
      </c>
      <c r="AN71" s="11" t="n">
        <v>49.994</v>
      </c>
      <c r="AO71" s="10" t="s">
        <v>11</v>
      </c>
    </row>
    <row r="72" customFormat="false" ht="15" hidden="false" customHeight="false" outlineLevel="0" collapsed="false">
      <c r="AE72" s="10" t="s">
        <v>408</v>
      </c>
      <c r="AF72" s="22" t="n">
        <v>46157</v>
      </c>
      <c r="AG72" s="10" t="str">
        <f aca="false">"W"&amp;INT((AF72-MIN($AF$8:$AF$307))/7)+1</f>
        <v>W2</v>
      </c>
      <c r="AH72" s="10" t="s">
        <v>159</v>
      </c>
      <c r="AI72" s="10" t="s">
        <v>374</v>
      </c>
      <c r="AJ72" s="10" t="s">
        <v>409</v>
      </c>
      <c r="AK72" s="10" t="s">
        <v>162</v>
      </c>
      <c r="AL72" s="10" t="s">
        <v>163</v>
      </c>
      <c r="AM72" s="10" t="s">
        <v>164</v>
      </c>
      <c r="AN72" s="11" t="n">
        <v>49.995</v>
      </c>
      <c r="AO72" s="10" t="s">
        <v>11</v>
      </c>
    </row>
    <row r="73" customFormat="false" ht="15" hidden="false" customHeight="false" outlineLevel="0" collapsed="false">
      <c r="AE73" s="10" t="s">
        <v>410</v>
      </c>
      <c r="AF73" s="22" t="n">
        <v>46153</v>
      </c>
      <c r="AG73" s="10" t="str">
        <f aca="false">"W"&amp;INT((AF73-MIN($AF$8:$AF$307))/7)+1</f>
        <v>W2</v>
      </c>
      <c r="AH73" s="10" t="s">
        <v>159</v>
      </c>
      <c r="AI73" s="10" t="s">
        <v>374</v>
      </c>
      <c r="AJ73" s="10" t="s">
        <v>411</v>
      </c>
      <c r="AK73" s="10" t="s">
        <v>162</v>
      </c>
      <c r="AL73" s="10" t="s">
        <v>163</v>
      </c>
      <c r="AM73" s="10" t="s">
        <v>164</v>
      </c>
      <c r="AN73" s="11" t="n">
        <v>49.996</v>
      </c>
      <c r="AO73" s="10" t="s">
        <v>11</v>
      </c>
    </row>
    <row r="74" customFormat="false" ht="15" hidden="false" customHeight="false" outlineLevel="0" collapsed="false">
      <c r="AE74" s="10" t="s">
        <v>412</v>
      </c>
      <c r="AF74" s="22" t="n">
        <v>46154</v>
      </c>
      <c r="AG74" s="10" t="str">
        <f aca="false">"W"&amp;INT((AF74-MIN($AF$8:$AF$307))/7)+1</f>
        <v>W2</v>
      </c>
      <c r="AH74" s="10" t="s">
        <v>159</v>
      </c>
      <c r="AI74" s="10" t="s">
        <v>374</v>
      </c>
      <c r="AJ74" s="10" t="s">
        <v>413</v>
      </c>
      <c r="AK74" s="10" t="s">
        <v>162</v>
      </c>
      <c r="AL74" s="10" t="s">
        <v>163</v>
      </c>
      <c r="AM74" s="10" t="s">
        <v>164</v>
      </c>
      <c r="AN74" s="11" t="n">
        <v>49.997</v>
      </c>
      <c r="AO74" s="10" t="s">
        <v>11</v>
      </c>
    </row>
    <row r="75" customFormat="false" ht="15" hidden="false" customHeight="false" outlineLevel="0" collapsed="false">
      <c r="AE75" s="10" t="s">
        <v>414</v>
      </c>
      <c r="AF75" s="22" t="n">
        <v>46155</v>
      </c>
      <c r="AG75" s="10" t="str">
        <f aca="false">"W"&amp;INT((AF75-MIN($AF$8:$AF$307))/7)+1</f>
        <v>W2</v>
      </c>
      <c r="AH75" s="10" t="s">
        <v>159</v>
      </c>
      <c r="AI75" s="10" t="s">
        <v>374</v>
      </c>
      <c r="AJ75" s="10" t="s">
        <v>415</v>
      </c>
      <c r="AK75" s="10" t="s">
        <v>162</v>
      </c>
      <c r="AL75" s="10" t="s">
        <v>163</v>
      </c>
      <c r="AM75" s="10" t="s">
        <v>164</v>
      </c>
      <c r="AN75" s="11" t="n">
        <v>49.998</v>
      </c>
      <c r="AO75" s="10" t="s">
        <v>11</v>
      </c>
    </row>
    <row r="76" customFormat="false" ht="15" hidden="false" customHeight="false" outlineLevel="0" collapsed="false">
      <c r="AE76" s="10" t="s">
        <v>416</v>
      </c>
      <c r="AF76" s="22" t="n">
        <v>46156</v>
      </c>
      <c r="AG76" s="10" t="str">
        <f aca="false">"W"&amp;INT((AF76-MIN($AF$8:$AF$307))/7)+1</f>
        <v>W2</v>
      </c>
      <c r="AH76" s="10" t="s">
        <v>159</v>
      </c>
      <c r="AI76" s="10" t="s">
        <v>374</v>
      </c>
      <c r="AJ76" s="10" t="s">
        <v>417</v>
      </c>
      <c r="AK76" s="10" t="s">
        <v>162</v>
      </c>
      <c r="AL76" s="10" t="s">
        <v>163</v>
      </c>
      <c r="AM76" s="10" t="s">
        <v>164</v>
      </c>
      <c r="AN76" s="11" t="n">
        <v>49.999</v>
      </c>
      <c r="AO76" s="10" t="s">
        <v>11</v>
      </c>
    </row>
    <row r="77" customFormat="false" ht="15" hidden="false" customHeight="false" outlineLevel="0" collapsed="false">
      <c r="AE77" s="10" t="s">
        <v>418</v>
      </c>
      <c r="AF77" s="22" t="n">
        <v>46157</v>
      </c>
      <c r="AG77" s="10" t="str">
        <f aca="false">"W"&amp;INT((AF77-MIN($AF$8:$AF$307))/7)+1</f>
        <v>W2</v>
      </c>
      <c r="AH77" s="10" t="s">
        <v>159</v>
      </c>
      <c r="AI77" s="10" t="s">
        <v>374</v>
      </c>
      <c r="AJ77" s="10" t="s">
        <v>419</v>
      </c>
      <c r="AK77" s="10" t="s">
        <v>162</v>
      </c>
      <c r="AL77" s="10" t="s">
        <v>163</v>
      </c>
      <c r="AM77" s="10" t="s">
        <v>164</v>
      </c>
      <c r="AN77" s="11" t="n">
        <v>50</v>
      </c>
      <c r="AO77" s="10" t="s">
        <v>11</v>
      </c>
    </row>
    <row r="78" customFormat="false" ht="15" hidden="false" customHeight="false" outlineLevel="0" collapsed="false">
      <c r="AE78" s="10" t="s">
        <v>420</v>
      </c>
      <c r="AF78" s="22" t="n">
        <v>46153</v>
      </c>
      <c r="AG78" s="10" t="str">
        <f aca="false">"W"&amp;INT((AF78-MIN($AF$8:$AF$307))/7)+1</f>
        <v>W2</v>
      </c>
      <c r="AH78" s="10" t="s">
        <v>159</v>
      </c>
      <c r="AI78" s="10" t="s">
        <v>374</v>
      </c>
      <c r="AJ78" s="10" t="s">
        <v>421</v>
      </c>
      <c r="AK78" s="10" t="s">
        <v>162</v>
      </c>
      <c r="AL78" s="10" t="s">
        <v>163</v>
      </c>
      <c r="AM78" s="10" t="s">
        <v>164</v>
      </c>
      <c r="AN78" s="11" t="n">
        <v>50.001</v>
      </c>
      <c r="AO78" s="10" t="s">
        <v>11</v>
      </c>
    </row>
    <row r="79" customFormat="false" ht="15" hidden="false" customHeight="false" outlineLevel="0" collapsed="false">
      <c r="AE79" s="10" t="s">
        <v>422</v>
      </c>
      <c r="AF79" s="22" t="n">
        <v>46154</v>
      </c>
      <c r="AG79" s="10" t="str">
        <f aca="false">"W"&amp;INT((AF79-MIN($AF$8:$AF$307))/7)+1</f>
        <v>W2</v>
      </c>
      <c r="AH79" s="10" t="s">
        <v>159</v>
      </c>
      <c r="AI79" s="10" t="s">
        <v>374</v>
      </c>
      <c r="AJ79" s="10" t="s">
        <v>423</v>
      </c>
      <c r="AK79" s="10" t="s">
        <v>162</v>
      </c>
      <c r="AL79" s="10" t="s">
        <v>163</v>
      </c>
      <c r="AM79" s="10" t="s">
        <v>164</v>
      </c>
      <c r="AN79" s="11" t="n">
        <v>50.002</v>
      </c>
      <c r="AO79" s="10" t="s">
        <v>11</v>
      </c>
    </row>
    <row r="80" customFormat="false" ht="15" hidden="false" customHeight="false" outlineLevel="0" collapsed="false">
      <c r="AE80" s="10" t="s">
        <v>424</v>
      </c>
      <c r="AF80" s="22" t="n">
        <v>46155</v>
      </c>
      <c r="AG80" s="10" t="str">
        <f aca="false">"W"&amp;INT((AF80-MIN($AF$8:$AF$307))/7)+1</f>
        <v>W2</v>
      </c>
      <c r="AH80" s="10" t="s">
        <v>159</v>
      </c>
      <c r="AI80" s="10" t="s">
        <v>374</v>
      </c>
      <c r="AJ80" s="10" t="s">
        <v>425</v>
      </c>
      <c r="AK80" s="10" t="s">
        <v>162</v>
      </c>
      <c r="AL80" s="10" t="s">
        <v>163</v>
      </c>
      <c r="AM80" s="10" t="s">
        <v>164</v>
      </c>
      <c r="AN80" s="11" t="n">
        <v>50.003</v>
      </c>
      <c r="AO80" s="10" t="s">
        <v>11</v>
      </c>
    </row>
    <row r="81" customFormat="false" ht="15" hidden="false" customHeight="false" outlineLevel="0" collapsed="false">
      <c r="AE81" s="10" t="s">
        <v>426</v>
      </c>
      <c r="AF81" s="22" t="n">
        <v>46156</v>
      </c>
      <c r="AG81" s="10" t="str">
        <f aca="false">"W"&amp;INT((AF81-MIN($AF$8:$AF$307))/7)+1</f>
        <v>W2</v>
      </c>
      <c r="AH81" s="10" t="s">
        <v>159</v>
      </c>
      <c r="AI81" s="10" t="s">
        <v>374</v>
      </c>
      <c r="AJ81" s="10" t="s">
        <v>427</v>
      </c>
      <c r="AK81" s="10" t="s">
        <v>162</v>
      </c>
      <c r="AL81" s="10" t="s">
        <v>163</v>
      </c>
      <c r="AM81" s="10" t="s">
        <v>164</v>
      </c>
      <c r="AN81" s="11" t="n">
        <v>50.004</v>
      </c>
      <c r="AO81" s="10" t="s">
        <v>11</v>
      </c>
    </row>
    <row r="82" customFormat="false" ht="15" hidden="false" customHeight="false" outlineLevel="0" collapsed="false">
      <c r="AE82" s="10" t="s">
        <v>428</v>
      </c>
      <c r="AF82" s="22" t="n">
        <v>46157</v>
      </c>
      <c r="AG82" s="10" t="str">
        <f aca="false">"W"&amp;INT((AF82-MIN($AF$8:$AF$307))/7)+1</f>
        <v>W2</v>
      </c>
      <c r="AH82" s="10" t="s">
        <v>159</v>
      </c>
      <c r="AI82" s="10" t="s">
        <v>374</v>
      </c>
      <c r="AJ82" s="10" t="s">
        <v>429</v>
      </c>
      <c r="AK82" s="10" t="s">
        <v>162</v>
      </c>
      <c r="AL82" s="10" t="s">
        <v>163</v>
      </c>
      <c r="AM82" s="10" t="s">
        <v>164</v>
      </c>
      <c r="AN82" s="11" t="n">
        <v>50.001</v>
      </c>
      <c r="AO82" s="10" t="s">
        <v>11</v>
      </c>
    </row>
    <row r="83" customFormat="false" ht="15" hidden="false" customHeight="false" outlineLevel="0" collapsed="false">
      <c r="AE83" s="10" t="s">
        <v>430</v>
      </c>
      <c r="AF83" s="22" t="n">
        <v>46153</v>
      </c>
      <c r="AG83" s="10" t="str">
        <f aca="false">"W"&amp;INT((AF83-MIN($AF$8:$AF$307))/7)+1</f>
        <v>W2</v>
      </c>
      <c r="AH83" s="10" t="s">
        <v>201</v>
      </c>
      <c r="AI83" s="10" t="s">
        <v>431</v>
      </c>
      <c r="AJ83" s="10" t="s">
        <v>432</v>
      </c>
      <c r="AK83" s="10" t="s">
        <v>251</v>
      </c>
      <c r="AL83" s="10" t="s">
        <v>163</v>
      </c>
      <c r="AM83" s="10" t="s">
        <v>252</v>
      </c>
      <c r="AN83" s="11" t="n">
        <v>50.004</v>
      </c>
      <c r="AO83" s="10" t="s">
        <v>11</v>
      </c>
    </row>
    <row r="84" customFormat="false" ht="15" hidden="false" customHeight="false" outlineLevel="0" collapsed="false">
      <c r="AE84" s="10" t="s">
        <v>433</v>
      </c>
      <c r="AF84" s="22" t="n">
        <v>46154</v>
      </c>
      <c r="AG84" s="10" t="str">
        <f aca="false">"W"&amp;INT((AF84-MIN($AF$8:$AF$307))/7)+1</f>
        <v>W2</v>
      </c>
      <c r="AH84" s="10" t="s">
        <v>201</v>
      </c>
      <c r="AI84" s="10" t="s">
        <v>431</v>
      </c>
      <c r="AJ84" s="10" t="s">
        <v>434</v>
      </c>
      <c r="AK84" s="10" t="s">
        <v>251</v>
      </c>
      <c r="AL84" s="10" t="s">
        <v>163</v>
      </c>
      <c r="AM84" s="10" t="s">
        <v>252</v>
      </c>
      <c r="AN84" s="11" t="n">
        <v>50.005</v>
      </c>
      <c r="AO84" s="10" t="s">
        <v>11</v>
      </c>
    </row>
    <row r="85" customFormat="false" ht="15" hidden="false" customHeight="false" outlineLevel="0" collapsed="false">
      <c r="AE85" s="10" t="s">
        <v>435</v>
      </c>
      <c r="AF85" s="22" t="n">
        <v>46155</v>
      </c>
      <c r="AG85" s="10" t="str">
        <f aca="false">"W"&amp;INT((AF85-MIN($AF$8:$AF$307))/7)+1</f>
        <v>W2</v>
      </c>
      <c r="AH85" s="10" t="s">
        <v>201</v>
      </c>
      <c r="AI85" s="10" t="s">
        <v>431</v>
      </c>
      <c r="AJ85" s="10" t="s">
        <v>436</v>
      </c>
      <c r="AK85" s="10" t="s">
        <v>251</v>
      </c>
      <c r="AL85" s="10" t="s">
        <v>163</v>
      </c>
      <c r="AM85" s="10" t="s">
        <v>252</v>
      </c>
      <c r="AN85" s="11" t="n">
        <v>50.006</v>
      </c>
      <c r="AO85" s="10" t="s">
        <v>11</v>
      </c>
    </row>
    <row r="86" customFormat="false" ht="15" hidden="false" customHeight="false" outlineLevel="0" collapsed="false">
      <c r="AE86" s="10" t="s">
        <v>437</v>
      </c>
      <c r="AF86" s="22" t="n">
        <v>46156</v>
      </c>
      <c r="AG86" s="10" t="str">
        <f aca="false">"W"&amp;INT((AF86-MIN($AF$8:$AF$307))/7)+1</f>
        <v>W2</v>
      </c>
      <c r="AH86" s="10" t="s">
        <v>201</v>
      </c>
      <c r="AI86" s="10" t="s">
        <v>431</v>
      </c>
      <c r="AJ86" s="10" t="s">
        <v>438</v>
      </c>
      <c r="AK86" s="10" t="s">
        <v>251</v>
      </c>
      <c r="AL86" s="10" t="s">
        <v>163</v>
      </c>
      <c r="AM86" s="10" t="s">
        <v>252</v>
      </c>
      <c r="AN86" s="11" t="n">
        <v>50.007</v>
      </c>
      <c r="AO86" s="10" t="s">
        <v>11</v>
      </c>
    </row>
    <row r="87" customFormat="false" ht="15" hidden="false" customHeight="false" outlineLevel="0" collapsed="false">
      <c r="AE87" s="10" t="s">
        <v>439</v>
      </c>
      <c r="AF87" s="22" t="n">
        <v>46157</v>
      </c>
      <c r="AG87" s="10" t="str">
        <f aca="false">"W"&amp;INT((AF87-MIN($AF$8:$AF$307))/7)+1</f>
        <v>W2</v>
      </c>
      <c r="AH87" s="10" t="s">
        <v>201</v>
      </c>
      <c r="AI87" s="10" t="s">
        <v>431</v>
      </c>
      <c r="AJ87" s="10" t="s">
        <v>440</v>
      </c>
      <c r="AK87" s="10" t="s">
        <v>251</v>
      </c>
      <c r="AL87" s="10" t="s">
        <v>163</v>
      </c>
      <c r="AM87" s="10" t="s">
        <v>252</v>
      </c>
      <c r="AN87" s="11" t="n">
        <v>50.008</v>
      </c>
      <c r="AO87" s="10" t="s">
        <v>11</v>
      </c>
    </row>
    <row r="88" customFormat="false" ht="15" hidden="false" customHeight="false" outlineLevel="0" collapsed="false">
      <c r="AE88" s="10" t="s">
        <v>441</v>
      </c>
      <c r="AF88" s="22" t="n">
        <v>46153</v>
      </c>
      <c r="AG88" s="10" t="str">
        <f aca="false">"W"&amp;INT((AF88-MIN($AF$8:$AF$307))/7)+1</f>
        <v>W2</v>
      </c>
      <c r="AH88" s="10" t="s">
        <v>201</v>
      </c>
      <c r="AI88" s="10" t="s">
        <v>431</v>
      </c>
      <c r="AJ88" s="10" t="s">
        <v>442</v>
      </c>
      <c r="AK88" s="10" t="s">
        <v>251</v>
      </c>
      <c r="AL88" s="10" t="s">
        <v>163</v>
      </c>
      <c r="AM88" s="10" t="s">
        <v>252</v>
      </c>
      <c r="AN88" s="11" t="n">
        <v>50.009</v>
      </c>
      <c r="AO88" s="10" t="s">
        <v>11</v>
      </c>
    </row>
    <row r="89" customFormat="false" ht="15" hidden="false" customHeight="false" outlineLevel="0" collapsed="false">
      <c r="AE89" s="10" t="s">
        <v>443</v>
      </c>
      <c r="AF89" s="22" t="n">
        <v>46154</v>
      </c>
      <c r="AG89" s="10" t="str">
        <f aca="false">"W"&amp;INT((AF89-MIN($AF$8:$AF$307))/7)+1</f>
        <v>W2</v>
      </c>
      <c r="AH89" s="10" t="s">
        <v>201</v>
      </c>
      <c r="AI89" s="10" t="s">
        <v>431</v>
      </c>
      <c r="AJ89" s="10" t="s">
        <v>444</v>
      </c>
      <c r="AK89" s="10" t="s">
        <v>251</v>
      </c>
      <c r="AL89" s="10" t="s">
        <v>163</v>
      </c>
      <c r="AM89" s="10" t="s">
        <v>252</v>
      </c>
      <c r="AN89" s="11" t="n">
        <v>50.01</v>
      </c>
      <c r="AO89" s="10" t="s">
        <v>11</v>
      </c>
    </row>
    <row r="90" customFormat="false" ht="15" hidden="false" customHeight="false" outlineLevel="0" collapsed="false">
      <c r="AE90" s="10" t="s">
        <v>445</v>
      </c>
      <c r="AF90" s="22" t="n">
        <v>46155</v>
      </c>
      <c r="AG90" s="10" t="str">
        <f aca="false">"W"&amp;INT((AF90-MIN($AF$8:$AF$307))/7)+1</f>
        <v>W2</v>
      </c>
      <c r="AH90" s="10" t="s">
        <v>201</v>
      </c>
      <c r="AI90" s="10" t="s">
        <v>431</v>
      </c>
      <c r="AJ90" s="10" t="s">
        <v>446</v>
      </c>
      <c r="AK90" s="10" t="s">
        <v>251</v>
      </c>
      <c r="AL90" s="10" t="s">
        <v>163</v>
      </c>
      <c r="AM90" s="10" t="s">
        <v>252</v>
      </c>
      <c r="AN90" s="11" t="n">
        <v>50.011</v>
      </c>
      <c r="AO90" s="10" t="s">
        <v>11</v>
      </c>
    </row>
    <row r="91" customFormat="false" ht="15" hidden="false" customHeight="false" outlineLevel="0" collapsed="false">
      <c r="AE91" s="10" t="s">
        <v>447</v>
      </c>
      <c r="AF91" s="22" t="n">
        <v>46156</v>
      </c>
      <c r="AG91" s="10" t="str">
        <f aca="false">"W"&amp;INT((AF91-MIN($AF$8:$AF$307))/7)+1</f>
        <v>W2</v>
      </c>
      <c r="AH91" s="10" t="s">
        <v>201</v>
      </c>
      <c r="AI91" s="10" t="s">
        <v>431</v>
      </c>
      <c r="AJ91" s="10" t="s">
        <v>448</v>
      </c>
      <c r="AK91" s="10" t="s">
        <v>251</v>
      </c>
      <c r="AL91" s="10" t="s">
        <v>163</v>
      </c>
      <c r="AM91" s="10" t="s">
        <v>252</v>
      </c>
      <c r="AN91" s="11" t="n">
        <v>50.012</v>
      </c>
      <c r="AO91" s="10" t="s">
        <v>11</v>
      </c>
    </row>
    <row r="92" customFormat="false" ht="15" hidden="false" customHeight="false" outlineLevel="0" collapsed="false">
      <c r="AE92" s="10" t="s">
        <v>449</v>
      </c>
      <c r="AF92" s="22" t="n">
        <v>46157</v>
      </c>
      <c r="AG92" s="10" t="str">
        <f aca="false">"W"&amp;INT((AF92-MIN($AF$8:$AF$307))/7)+1</f>
        <v>W2</v>
      </c>
      <c r="AH92" s="10" t="s">
        <v>201</v>
      </c>
      <c r="AI92" s="10" t="s">
        <v>431</v>
      </c>
      <c r="AJ92" s="10" t="s">
        <v>450</v>
      </c>
      <c r="AK92" s="10" t="s">
        <v>251</v>
      </c>
      <c r="AL92" s="10" t="s">
        <v>163</v>
      </c>
      <c r="AM92" s="10" t="s">
        <v>252</v>
      </c>
      <c r="AN92" s="11" t="n">
        <v>50.013</v>
      </c>
      <c r="AO92" s="10" t="s">
        <v>11</v>
      </c>
    </row>
    <row r="93" customFormat="false" ht="15" hidden="false" customHeight="false" outlineLevel="0" collapsed="false">
      <c r="AE93" s="10" t="s">
        <v>451</v>
      </c>
      <c r="AF93" s="22" t="n">
        <v>46153</v>
      </c>
      <c r="AG93" s="10" t="str">
        <f aca="false">"W"&amp;INT((AF93-MIN($AF$8:$AF$307))/7)+1</f>
        <v>W2</v>
      </c>
      <c r="AH93" s="10" t="s">
        <v>201</v>
      </c>
      <c r="AI93" s="10" t="s">
        <v>431</v>
      </c>
      <c r="AJ93" s="10" t="s">
        <v>452</v>
      </c>
      <c r="AK93" s="10" t="s">
        <v>251</v>
      </c>
      <c r="AL93" s="10" t="s">
        <v>163</v>
      </c>
      <c r="AM93" s="10" t="s">
        <v>252</v>
      </c>
      <c r="AN93" s="11" t="n">
        <v>50.014</v>
      </c>
      <c r="AO93" s="10" t="s">
        <v>11</v>
      </c>
    </row>
    <row r="94" customFormat="false" ht="15" hidden="false" customHeight="false" outlineLevel="0" collapsed="false">
      <c r="AE94" s="10" t="s">
        <v>453</v>
      </c>
      <c r="AF94" s="22" t="n">
        <v>46154</v>
      </c>
      <c r="AG94" s="10" t="str">
        <f aca="false">"W"&amp;INT((AF94-MIN($AF$8:$AF$307))/7)+1</f>
        <v>W2</v>
      </c>
      <c r="AH94" s="10" t="s">
        <v>201</v>
      </c>
      <c r="AI94" s="10" t="s">
        <v>431</v>
      </c>
      <c r="AJ94" s="10" t="s">
        <v>454</v>
      </c>
      <c r="AK94" s="10" t="s">
        <v>251</v>
      </c>
      <c r="AL94" s="10" t="s">
        <v>163</v>
      </c>
      <c r="AM94" s="10" t="s">
        <v>252</v>
      </c>
      <c r="AN94" s="11" t="n">
        <v>50.015</v>
      </c>
      <c r="AO94" s="10" t="s">
        <v>11</v>
      </c>
    </row>
    <row r="95" customFormat="false" ht="15" hidden="false" customHeight="false" outlineLevel="0" collapsed="false">
      <c r="AE95" s="10" t="s">
        <v>455</v>
      </c>
      <c r="AF95" s="22" t="n">
        <v>46155</v>
      </c>
      <c r="AG95" s="10" t="str">
        <f aca="false">"W"&amp;INT((AF95-MIN($AF$8:$AF$307))/7)+1</f>
        <v>W2</v>
      </c>
      <c r="AH95" s="10" t="s">
        <v>201</v>
      </c>
      <c r="AI95" s="10" t="s">
        <v>431</v>
      </c>
      <c r="AJ95" s="10" t="s">
        <v>456</v>
      </c>
      <c r="AK95" s="10" t="s">
        <v>251</v>
      </c>
      <c r="AL95" s="10" t="s">
        <v>163</v>
      </c>
      <c r="AM95" s="10" t="s">
        <v>252</v>
      </c>
      <c r="AN95" s="11" t="n">
        <v>50.004</v>
      </c>
      <c r="AO95" s="10" t="s">
        <v>11</v>
      </c>
    </row>
    <row r="96" customFormat="false" ht="15" hidden="false" customHeight="false" outlineLevel="0" collapsed="false">
      <c r="AE96" s="10" t="s">
        <v>457</v>
      </c>
      <c r="AF96" s="22" t="n">
        <v>46156</v>
      </c>
      <c r="AG96" s="10" t="str">
        <f aca="false">"W"&amp;INT((AF96-MIN($AF$8:$AF$307))/7)+1</f>
        <v>W2</v>
      </c>
      <c r="AH96" s="10" t="s">
        <v>201</v>
      </c>
      <c r="AI96" s="10" t="s">
        <v>431</v>
      </c>
      <c r="AJ96" s="10" t="s">
        <v>458</v>
      </c>
      <c r="AK96" s="10" t="s">
        <v>251</v>
      </c>
      <c r="AL96" s="10" t="s">
        <v>163</v>
      </c>
      <c r="AM96" s="10" t="s">
        <v>252</v>
      </c>
      <c r="AN96" s="11" t="n">
        <v>50.005</v>
      </c>
      <c r="AO96" s="10" t="s">
        <v>11</v>
      </c>
    </row>
    <row r="97" customFormat="false" ht="15" hidden="false" customHeight="false" outlineLevel="0" collapsed="false">
      <c r="AE97" s="10" t="s">
        <v>459</v>
      </c>
      <c r="AF97" s="22" t="n">
        <v>46157</v>
      </c>
      <c r="AG97" s="10" t="str">
        <f aca="false">"W"&amp;INT((AF97-MIN($AF$8:$AF$307))/7)+1</f>
        <v>W2</v>
      </c>
      <c r="AH97" s="10" t="s">
        <v>201</v>
      </c>
      <c r="AI97" s="10" t="s">
        <v>431</v>
      </c>
      <c r="AJ97" s="10" t="s">
        <v>460</v>
      </c>
      <c r="AK97" s="10" t="s">
        <v>251</v>
      </c>
      <c r="AL97" s="10" t="s">
        <v>163</v>
      </c>
      <c r="AM97" s="10" t="s">
        <v>252</v>
      </c>
      <c r="AN97" s="11" t="n">
        <v>50.006</v>
      </c>
      <c r="AO97" s="10" t="s">
        <v>11</v>
      </c>
    </row>
    <row r="98" customFormat="false" ht="15" hidden="false" customHeight="false" outlineLevel="0" collapsed="false">
      <c r="AE98" s="10" t="s">
        <v>461</v>
      </c>
      <c r="AF98" s="22" t="n">
        <v>46153</v>
      </c>
      <c r="AG98" s="10" t="str">
        <f aca="false">"W"&amp;INT((AF98-MIN($AF$8:$AF$307))/7)+1</f>
        <v>W2</v>
      </c>
      <c r="AH98" s="10" t="s">
        <v>201</v>
      </c>
      <c r="AI98" s="10" t="s">
        <v>431</v>
      </c>
      <c r="AJ98" s="10" t="s">
        <v>462</v>
      </c>
      <c r="AK98" s="10" t="s">
        <v>251</v>
      </c>
      <c r="AL98" s="10" t="s">
        <v>163</v>
      </c>
      <c r="AM98" s="10" t="s">
        <v>252</v>
      </c>
      <c r="AN98" s="11" t="n">
        <v>50.007</v>
      </c>
      <c r="AO98" s="10" t="s">
        <v>11</v>
      </c>
    </row>
    <row r="99" customFormat="false" ht="15" hidden="false" customHeight="false" outlineLevel="0" collapsed="false">
      <c r="AE99" s="10" t="s">
        <v>463</v>
      </c>
      <c r="AF99" s="22" t="n">
        <v>46154</v>
      </c>
      <c r="AG99" s="10" t="str">
        <f aca="false">"W"&amp;INT((AF99-MIN($AF$8:$AF$307))/7)+1</f>
        <v>W2</v>
      </c>
      <c r="AH99" s="10" t="s">
        <v>201</v>
      </c>
      <c r="AI99" s="10" t="s">
        <v>431</v>
      </c>
      <c r="AJ99" s="10" t="s">
        <v>464</v>
      </c>
      <c r="AK99" s="10" t="s">
        <v>251</v>
      </c>
      <c r="AL99" s="10" t="s">
        <v>163</v>
      </c>
      <c r="AM99" s="10" t="s">
        <v>252</v>
      </c>
      <c r="AN99" s="11" t="n">
        <v>50.008</v>
      </c>
      <c r="AO99" s="10" t="s">
        <v>11</v>
      </c>
    </row>
    <row r="100" customFormat="false" ht="15" hidden="false" customHeight="false" outlineLevel="0" collapsed="false">
      <c r="AE100" s="10" t="s">
        <v>465</v>
      </c>
      <c r="AF100" s="22" t="n">
        <v>46155</v>
      </c>
      <c r="AG100" s="10" t="str">
        <f aca="false">"W"&amp;INT((AF100-MIN($AF$8:$AF$307))/7)+1</f>
        <v>W2</v>
      </c>
      <c r="AH100" s="10" t="s">
        <v>201</v>
      </c>
      <c r="AI100" s="10" t="s">
        <v>431</v>
      </c>
      <c r="AJ100" s="10" t="s">
        <v>466</v>
      </c>
      <c r="AK100" s="10" t="s">
        <v>251</v>
      </c>
      <c r="AL100" s="10" t="s">
        <v>163</v>
      </c>
      <c r="AM100" s="10" t="s">
        <v>252</v>
      </c>
      <c r="AN100" s="11" t="n">
        <v>50.009</v>
      </c>
      <c r="AO100" s="10" t="s">
        <v>11</v>
      </c>
    </row>
    <row r="101" customFormat="false" ht="15" hidden="false" customHeight="false" outlineLevel="0" collapsed="false">
      <c r="AE101" s="10" t="s">
        <v>467</v>
      </c>
      <c r="AF101" s="22" t="n">
        <v>46156</v>
      </c>
      <c r="AG101" s="10" t="str">
        <f aca="false">"W"&amp;INT((AF101-MIN($AF$8:$AF$307))/7)+1</f>
        <v>W2</v>
      </c>
      <c r="AH101" s="10" t="s">
        <v>201</v>
      </c>
      <c r="AI101" s="10" t="s">
        <v>431</v>
      </c>
      <c r="AJ101" s="10" t="s">
        <v>468</v>
      </c>
      <c r="AK101" s="10" t="s">
        <v>251</v>
      </c>
      <c r="AL101" s="10" t="s">
        <v>163</v>
      </c>
      <c r="AM101" s="10" t="s">
        <v>252</v>
      </c>
      <c r="AN101" s="11" t="n">
        <v>50.01</v>
      </c>
      <c r="AO101" s="10" t="s">
        <v>11</v>
      </c>
    </row>
    <row r="102" customFormat="false" ht="15" hidden="false" customHeight="false" outlineLevel="0" collapsed="false">
      <c r="AE102" s="10" t="s">
        <v>469</v>
      </c>
      <c r="AF102" s="22" t="n">
        <v>46157</v>
      </c>
      <c r="AG102" s="10" t="str">
        <f aca="false">"W"&amp;INT((AF102-MIN($AF$8:$AF$307))/7)+1</f>
        <v>W2</v>
      </c>
      <c r="AH102" s="10" t="s">
        <v>201</v>
      </c>
      <c r="AI102" s="10" t="s">
        <v>431</v>
      </c>
      <c r="AJ102" s="10" t="s">
        <v>470</v>
      </c>
      <c r="AK102" s="10" t="s">
        <v>251</v>
      </c>
      <c r="AL102" s="10" t="s">
        <v>163</v>
      </c>
      <c r="AM102" s="10" t="s">
        <v>252</v>
      </c>
      <c r="AN102" s="11" t="n">
        <v>50.011</v>
      </c>
      <c r="AO102" s="10" t="s">
        <v>11</v>
      </c>
    </row>
    <row r="103" customFormat="false" ht="15" hidden="false" customHeight="false" outlineLevel="0" collapsed="false">
      <c r="AE103" s="10" t="s">
        <v>471</v>
      </c>
      <c r="AF103" s="22" t="n">
        <v>46153</v>
      </c>
      <c r="AG103" s="10" t="str">
        <f aca="false">"W"&amp;INT((AF103-MIN($AF$8:$AF$307))/7)+1</f>
        <v>W2</v>
      </c>
      <c r="AH103" s="10" t="s">
        <v>201</v>
      </c>
      <c r="AI103" s="10" t="s">
        <v>431</v>
      </c>
      <c r="AJ103" s="10" t="s">
        <v>472</v>
      </c>
      <c r="AK103" s="10" t="s">
        <v>251</v>
      </c>
      <c r="AL103" s="10" t="s">
        <v>163</v>
      </c>
      <c r="AM103" s="10" t="s">
        <v>252</v>
      </c>
      <c r="AN103" s="11" t="n">
        <v>50.012</v>
      </c>
      <c r="AO103" s="10" t="s">
        <v>11</v>
      </c>
    </row>
    <row r="104" customFormat="false" ht="15" hidden="false" customHeight="false" outlineLevel="0" collapsed="false">
      <c r="AE104" s="10" t="s">
        <v>473</v>
      </c>
      <c r="AF104" s="22" t="n">
        <v>46154</v>
      </c>
      <c r="AG104" s="10" t="str">
        <f aca="false">"W"&amp;INT((AF104-MIN($AF$8:$AF$307))/7)+1</f>
        <v>W2</v>
      </c>
      <c r="AH104" s="10" t="s">
        <v>201</v>
      </c>
      <c r="AI104" s="10" t="s">
        <v>431</v>
      </c>
      <c r="AJ104" s="10" t="s">
        <v>474</v>
      </c>
      <c r="AK104" s="10" t="s">
        <v>251</v>
      </c>
      <c r="AL104" s="10" t="s">
        <v>163</v>
      </c>
      <c r="AM104" s="10" t="s">
        <v>252</v>
      </c>
      <c r="AN104" s="11" t="n">
        <v>50.013</v>
      </c>
      <c r="AO104" s="10" t="s">
        <v>11</v>
      </c>
    </row>
    <row r="105" customFormat="false" ht="15" hidden="false" customHeight="false" outlineLevel="0" collapsed="false">
      <c r="AE105" s="10" t="s">
        <v>475</v>
      </c>
      <c r="AF105" s="22" t="n">
        <v>46155</v>
      </c>
      <c r="AG105" s="10" t="str">
        <f aca="false">"W"&amp;INT((AF105-MIN($AF$8:$AF$307))/7)+1</f>
        <v>W2</v>
      </c>
      <c r="AH105" s="10" t="s">
        <v>201</v>
      </c>
      <c r="AI105" s="10" t="s">
        <v>431</v>
      </c>
      <c r="AJ105" s="10" t="s">
        <v>476</v>
      </c>
      <c r="AK105" s="10" t="s">
        <v>251</v>
      </c>
      <c r="AL105" s="10" t="s">
        <v>163</v>
      </c>
      <c r="AM105" s="10" t="s">
        <v>252</v>
      </c>
      <c r="AN105" s="11" t="n">
        <v>50.014</v>
      </c>
      <c r="AO105" s="10" t="s">
        <v>11</v>
      </c>
    </row>
    <row r="106" customFormat="false" ht="15" hidden="false" customHeight="false" outlineLevel="0" collapsed="false">
      <c r="AE106" s="10" t="s">
        <v>477</v>
      </c>
      <c r="AF106" s="22" t="n">
        <v>46156</v>
      </c>
      <c r="AG106" s="10" t="str">
        <f aca="false">"W"&amp;INT((AF106-MIN($AF$8:$AF$307))/7)+1</f>
        <v>W2</v>
      </c>
      <c r="AH106" s="10" t="s">
        <v>201</v>
      </c>
      <c r="AI106" s="10" t="s">
        <v>431</v>
      </c>
      <c r="AJ106" s="10" t="s">
        <v>478</v>
      </c>
      <c r="AK106" s="10" t="s">
        <v>251</v>
      </c>
      <c r="AL106" s="10" t="s">
        <v>163</v>
      </c>
      <c r="AM106" s="10" t="s">
        <v>252</v>
      </c>
      <c r="AN106" s="11" t="n">
        <v>50.015</v>
      </c>
      <c r="AO106" s="10" t="s">
        <v>11</v>
      </c>
    </row>
    <row r="107" customFormat="false" ht="15" hidden="false" customHeight="false" outlineLevel="0" collapsed="false">
      <c r="AE107" s="10" t="s">
        <v>479</v>
      </c>
      <c r="AF107" s="22" t="n">
        <v>46157</v>
      </c>
      <c r="AG107" s="10" t="str">
        <f aca="false">"W"&amp;INT((AF107-MIN($AF$8:$AF$307))/7)+1</f>
        <v>W2</v>
      </c>
      <c r="AH107" s="10" t="s">
        <v>201</v>
      </c>
      <c r="AI107" s="10" t="s">
        <v>431</v>
      </c>
      <c r="AJ107" s="10" t="s">
        <v>480</v>
      </c>
      <c r="AK107" s="10" t="s">
        <v>251</v>
      </c>
      <c r="AL107" s="10" t="s">
        <v>163</v>
      </c>
      <c r="AM107" s="10" t="s">
        <v>252</v>
      </c>
      <c r="AN107" s="11" t="n">
        <v>50.012</v>
      </c>
      <c r="AO107" s="10" t="s">
        <v>11</v>
      </c>
    </row>
    <row r="108" customFormat="false" ht="15" hidden="false" customHeight="false" outlineLevel="0" collapsed="false">
      <c r="AE108" s="10" t="s">
        <v>481</v>
      </c>
      <c r="AF108" s="22" t="n">
        <v>46160</v>
      </c>
      <c r="AG108" s="10" t="str">
        <f aca="false">"W"&amp;INT((AF108-MIN($AF$8:$AF$307))/7)+1</f>
        <v>W3</v>
      </c>
      <c r="AH108" s="10" t="s">
        <v>159</v>
      </c>
      <c r="AI108" s="10" t="s">
        <v>482</v>
      </c>
      <c r="AJ108" s="10" t="s">
        <v>483</v>
      </c>
      <c r="AK108" s="10" t="s">
        <v>162</v>
      </c>
      <c r="AL108" s="10" t="s">
        <v>484</v>
      </c>
      <c r="AM108" s="10" t="s">
        <v>164</v>
      </c>
      <c r="AN108" s="11" t="n">
        <v>49.992</v>
      </c>
      <c r="AO108" s="10" t="s">
        <v>11</v>
      </c>
    </row>
    <row r="109" customFormat="false" ht="15" hidden="false" customHeight="false" outlineLevel="0" collapsed="false">
      <c r="AE109" s="10" t="s">
        <v>485</v>
      </c>
      <c r="AF109" s="22" t="n">
        <v>46161</v>
      </c>
      <c r="AG109" s="10" t="str">
        <f aca="false">"W"&amp;INT((AF109-MIN($AF$8:$AF$307))/7)+1</f>
        <v>W3</v>
      </c>
      <c r="AH109" s="10" t="s">
        <v>159</v>
      </c>
      <c r="AI109" s="10" t="s">
        <v>482</v>
      </c>
      <c r="AJ109" s="10" t="s">
        <v>486</v>
      </c>
      <c r="AK109" s="10" t="s">
        <v>162</v>
      </c>
      <c r="AL109" s="10" t="s">
        <v>484</v>
      </c>
      <c r="AM109" s="10" t="s">
        <v>164</v>
      </c>
      <c r="AN109" s="11" t="n">
        <v>49.993</v>
      </c>
      <c r="AO109" s="10" t="s">
        <v>11</v>
      </c>
    </row>
    <row r="110" customFormat="false" ht="15" hidden="false" customHeight="false" outlineLevel="0" collapsed="false">
      <c r="AE110" s="10" t="s">
        <v>487</v>
      </c>
      <c r="AF110" s="22" t="n">
        <v>46162</v>
      </c>
      <c r="AG110" s="10" t="str">
        <f aca="false">"W"&amp;INT((AF110-MIN($AF$8:$AF$307))/7)+1</f>
        <v>W3</v>
      </c>
      <c r="AH110" s="10" t="s">
        <v>159</v>
      </c>
      <c r="AI110" s="10" t="s">
        <v>482</v>
      </c>
      <c r="AJ110" s="10" t="s">
        <v>488</v>
      </c>
      <c r="AK110" s="10" t="s">
        <v>162</v>
      </c>
      <c r="AL110" s="10" t="s">
        <v>484</v>
      </c>
      <c r="AM110" s="10" t="s">
        <v>164</v>
      </c>
      <c r="AN110" s="11" t="n">
        <v>49.994</v>
      </c>
      <c r="AO110" s="10" t="s">
        <v>11</v>
      </c>
    </row>
    <row r="111" customFormat="false" ht="15" hidden="false" customHeight="false" outlineLevel="0" collapsed="false">
      <c r="AE111" s="10" t="s">
        <v>489</v>
      </c>
      <c r="AF111" s="22" t="n">
        <v>46163</v>
      </c>
      <c r="AG111" s="10" t="str">
        <f aca="false">"W"&amp;INT((AF111-MIN($AF$8:$AF$307))/7)+1</f>
        <v>W3</v>
      </c>
      <c r="AH111" s="10" t="s">
        <v>159</v>
      </c>
      <c r="AI111" s="10" t="s">
        <v>482</v>
      </c>
      <c r="AJ111" s="10" t="s">
        <v>490</v>
      </c>
      <c r="AK111" s="10" t="s">
        <v>162</v>
      </c>
      <c r="AL111" s="10" t="s">
        <v>484</v>
      </c>
      <c r="AM111" s="10" t="s">
        <v>164</v>
      </c>
      <c r="AN111" s="11" t="n">
        <v>49.995</v>
      </c>
      <c r="AO111" s="10" t="s">
        <v>11</v>
      </c>
    </row>
    <row r="112" customFormat="false" ht="15" hidden="false" customHeight="false" outlineLevel="0" collapsed="false">
      <c r="AE112" s="10" t="s">
        <v>491</v>
      </c>
      <c r="AF112" s="22" t="n">
        <v>46164</v>
      </c>
      <c r="AG112" s="10" t="str">
        <f aca="false">"W"&amp;INT((AF112-MIN($AF$8:$AF$307))/7)+1</f>
        <v>W3</v>
      </c>
      <c r="AH112" s="10" t="s">
        <v>159</v>
      </c>
      <c r="AI112" s="10" t="s">
        <v>482</v>
      </c>
      <c r="AJ112" s="10" t="s">
        <v>492</v>
      </c>
      <c r="AK112" s="10" t="s">
        <v>162</v>
      </c>
      <c r="AL112" s="10" t="s">
        <v>484</v>
      </c>
      <c r="AM112" s="10" t="s">
        <v>164</v>
      </c>
      <c r="AN112" s="11" t="n">
        <v>49.996</v>
      </c>
      <c r="AO112" s="10" t="s">
        <v>11</v>
      </c>
    </row>
    <row r="113" customFormat="false" ht="15" hidden="false" customHeight="false" outlineLevel="0" collapsed="false">
      <c r="AE113" s="10" t="s">
        <v>493</v>
      </c>
      <c r="AF113" s="22" t="n">
        <v>46160</v>
      </c>
      <c r="AG113" s="10" t="str">
        <f aca="false">"W"&amp;INT((AF113-MIN($AF$8:$AF$307))/7)+1</f>
        <v>W3</v>
      </c>
      <c r="AH113" s="10" t="s">
        <v>159</v>
      </c>
      <c r="AI113" s="10" t="s">
        <v>482</v>
      </c>
      <c r="AJ113" s="10" t="s">
        <v>494</v>
      </c>
      <c r="AK113" s="10" t="s">
        <v>162</v>
      </c>
      <c r="AL113" s="10" t="s">
        <v>484</v>
      </c>
      <c r="AM113" s="10" t="s">
        <v>164</v>
      </c>
      <c r="AN113" s="11" t="n">
        <v>49.997</v>
      </c>
      <c r="AO113" s="10" t="s">
        <v>11</v>
      </c>
    </row>
    <row r="114" customFormat="false" ht="15" hidden="false" customHeight="false" outlineLevel="0" collapsed="false">
      <c r="AE114" s="10" t="s">
        <v>495</v>
      </c>
      <c r="AF114" s="22" t="n">
        <v>46161</v>
      </c>
      <c r="AG114" s="10" t="str">
        <f aca="false">"W"&amp;INT((AF114-MIN($AF$8:$AF$307))/7)+1</f>
        <v>W3</v>
      </c>
      <c r="AH114" s="10" t="s">
        <v>159</v>
      </c>
      <c r="AI114" s="10" t="s">
        <v>482</v>
      </c>
      <c r="AJ114" s="10" t="s">
        <v>496</v>
      </c>
      <c r="AK114" s="10" t="s">
        <v>162</v>
      </c>
      <c r="AL114" s="10" t="s">
        <v>484</v>
      </c>
      <c r="AM114" s="10" t="s">
        <v>164</v>
      </c>
      <c r="AN114" s="11" t="n">
        <v>49.998</v>
      </c>
      <c r="AO114" s="10" t="s">
        <v>11</v>
      </c>
    </row>
    <row r="115" customFormat="false" ht="15" hidden="false" customHeight="false" outlineLevel="0" collapsed="false">
      <c r="AE115" s="10" t="s">
        <v>497</v>
      </c>
      <c r="AF115" s="22" t="n">
        <v>46162</v>
      </c>
      <c r="AG115" s="10" t="str">
        <f aca="false">"W"&amp;INT((AF115-MIN($AF$8:$AF$307))/7)+1</f>
        <v>W3</v>
      </c>
      <c r="AH115" s="10" t="s">
        <v>159</v>
      </c>
      <c r="AI115" s="10" t="s">
        <v>482</v>
      </c>
      <c r="AJ115" s="10" t="s">
        <v>498</v>
      </c>
      <c r="AK115" s="10" t="s">
        <v>162</v>
      </c>
      <c r="AL115" s="10" t="s">
        <v>484</v>
      </c>
      <c r="AM115" s="10" t="s">
        <v>164</v>
      </c>
      <c r="AN115" s="11" t="n">
        <v>49.999</v>
      </c>
      <c r="AO115" s="10" t="s">
        <v>11</v>
      </c>
    </row>
    <row r="116" customFormat="false" ht="15" hidden="false" customHeight="false" outlineLevel="0" collapsed="false">
      <c r="AE116" s="10" t="s">
        <v>499</v>
      </c>
      <c r="AF116" s="22" t="n">
        <v>46163</v>
      </c>
      <c r="AG116" s="10" t="str">
        <f aca="false">"W"&amp;INT((AF116-MIN($AF$8:$AF$307))/7)+1</f>
        <v>W3</v>
      </c>
      <c r="AH116" s="10" t="s">
        <v>159</v>
      </c>
      <c r="AI116" s="10" t="s">
        <v>482</v>
      </c>
      <c r="AJ116" s="10" t="s">
        <v>500</v>
      </c>
      <c r="AK116" s="10" t="s">
        <v>162</v>
      </c>
      <c r="AL116" s="10" t="s">
        <v>484</v>
      </c>
      <c r="AM116" s="10" t="s">
        <v>164</v>
      </c>
      <c r="AN116" s="11" t="n">
        <v>50</v>
      </c>
      <c r="AO116" s="10" t="s">
        <v>11</v>
      </c>
    </row>
    <row r="117" customFormat="false" ht="15" hidden="false" customHeight="false" outlineLevel="0" collapsed="false">
      <c r="AE117" s="10" t="s">
        <v>501</v>
      </c>
      <c r="AF117" s="22" t="n">
        <v>46164</v>
      </c>
      <c r="AG117" s="10" t="str">
        <f aca="false">"W"&amp;INT((AF117-MIN($AF$8:$AF$307))/7)+1</f>
        <v>W3</v>
      </c>
      <c r="AH117" s="10" t="s">
        <v>159</v>
      </c>
      <c r="AI117" s="10" t="s">
        <v>482</v>
      </c>
      <c r="AJ117" s="10" t="s">
        <v>502</v>
      </c>
      <c r="AK117" s="10" t="s">
        <v>162</v>
      </c>
      <c r="AL117" s="10" t="s">
        <v>484</v>
      </c>
      <c r="AM117" s="10" t="s">
        <v>164</v>
      </c>
      <c r="AN117" s="11" t="n">
        <v>50.001</v>
      </c>
      <c r="AO117" s="10" t="s">
        <v>11</v>
      </c>
    </row>
    <row r="118" customFormat="false" ht="15" hidden="false" customHeight="false" outlineLevel="0" collapsed="false">
      <c r="AE118" s="10" t="s">
        <v>503</v>
      </c>
      <c r="AF118" s="22" t="n">
        <v>46160</v>
      </c>
      <c r="AG118" s="10" t="str">
        <f aca="false">"W"&amp;INT((AF118-MIN($AF$8:$AF$307))/7)+1</f>
        <v>W3</v>
      </c>
      <c r="AH118" s="10" t="s">
        <v>159</v>
      </c>
      <c r="AI118" s="10" t="s">
        <v>482</v>
      </c>
      <c r="AJ118" s="10" t="s">
        <v>504</v>
      </c>
      <c r="AK118" s="10" t="s">
        <v>162</v>
      </c>
      <c r="AL118" s="10" t="s">
        <v>484</v>
      </c>
      <c r="AM118" s="10" t="s">
        <v>164</v>
      </c>
      <c r="AN118" s="11" t="n">
        <v>50.002</v>
      </c>
      <c r="AO118" s="10" t="s">
        <v>11</v>
      </c>
    </row>
    <row r="119" customFormat="false" ht="15" hidden="false" customHeight="false" outlineLevel="0" collapsed="false">
      <c r="AE119" s="10" t="s">
        <v>505</v>
      </c>
      <c r="AF119" s="22" t="n">
        <v>46161</v>
      </c>
      <c r="AG119" s="10" t="str">
        <f aca="false">"W"&amp;INT((AF119-MIN($AF$8:$AF$307))/7)+1</f>
        <v>W3</v>
      </c>
      <c r="AH119" s="10" t="s">
        <v>159</v>
      </c>
      <c r="AI119" s="10" t="s">
        <v>482</v>
      </c>
      <c r="AJ119" s="10" t="s">
        <v>506</v>
      </c>
      <c r="AK119" s="10" t="s">
        <v>162</v>
      </c>
      <c r="AL119" s="10" t="s">
        <v>484</v>
      </c>
      <c r="AM119" s="10" t="s">
        <v>164</v>
      </c>
      <c r="AN119" s="11" t="n">
        <v>50.003</v>
      </c>
      <c r="AO119" s="10" t="s">
        <v>11</v>
      </c>
    </row>
    <row r="120" customFormat="false" ht="15" hidden="false" customHeight="false" outlineLevel="0" collapsed="false">
      <c r="AE120" s="10" t="s">
        <v>507</v>
      </c>
      <c r="AF120" s="22" t="n">
        <v>46162</v>
      </c>
      <c r="AG120" s="10" t="str">
        <f aca="false">"W"&amp;INT((AF120-MIN($AF$8:$AF$307))/7)+1</f>
        <v>W3</v>
      </c>
      <c r="AH120" s="10" t="s">
        <v>159</v>
      </c>
      <c r="AI120" s="10" t="s">
        <v>482</v>
      </c>
      <c r="AJ120" s="10" t="s">
        <v>508</v>
      </c>
      <c r="AK120" s="10" t="s">
        <v>162</v>
      </c>
      <c r="AL120" s="10" t="s">
        <v>484</v>
      </c>
      <c r="AM120" s="10" t="s">
        <v>164</v>
      </c>
      <c r="AN120" s="11" t="n">
        <v>49.992</v>
      </c>
      <c r="AO120" s="10" t="s">
        <v>11</v>
      </c>
    </row>
    <row r="121" customFormat="false" ht="15" hidden="false" customHeight="false" outlineLevel="0" collapsed="false">
      <c r="AE121" s="10" t="s">
        <v>509</v>
      </c>
      <c r="AF121" s="22" t="n">
        <v>46163</v>
      </c>
      <c r="AG121" s="10" t="str">
        <f aca="false">"W"&amp;INT((AF121-MIN($AF$8:$AF$307))/7)+1</f>
        <v>W3</v>
      </c>
      <c r="AH121" s="10" t="s">
        <v>159</v>
      </c>
      <c r="AI121" s="10" t="s">
        <v>482</v>
      </c>
      <c r="AJ121" s="10" t="s">
        <v>510</v>
      </c>
      <c r="AK121" s="10" t="s">
        <v>162</v>
      </c>
      <c r="AL121" s="10" t="s">
        <v>484</v>
      </c>
      <c r="AM121" s="10" t="s">
        <v>164</v>
      </c>
      <c r="AN121" s="11" t="n">
        <v>49.993</v>
      </c>
      <c r="AO121" s="10" t="s">
        <v>11</v>
      </c>
    </row>
    <row r="122" customFormat="false" ht="15" hidden="false" customHeight="false" outlineLevel="0" collapsed="false">
      <c r="AE122" s="10" t="s">
        <v>511</v>
      </c>
      <c r="AF122" s="22" t="n">
        <v>46164</v>
      </c>
      <c r="AG122" s="10" t="str">
        <f aca="false">"W"&amp;INT((AF122-MIN($AF$8:$AF$307))/7)+1</f>
        <v>W3</v>
      </c>
      <c r="AH122" s="10" t="s">
        <v>159</v>
      </c>
      <c r="AI122" s="10" t="s">
        <v>482</v>
      </c>
      <c r="AJ122" s="10" t="s">
        <v>512</v>
      </c>
      <c r="AK122" s="10" t="s">
        <v>162</v>
      </c>
      <c r="AL122" s="10" t="s">
        <v>484</v>
      </c>
      <c r="AM122" s="10" t="s">
        <v>164</v>
      </c>
      <c r="AN122" s="11" t="n">
        <v>49.994</v>
      </c>
      <c r="AO122" s="10" t="s">
        <v>11</v>
      </c>
    </row>
    <row r="123" customFormat="false" ht="15" hidden="false" customHeight="false" outlineLevel="0" collapsed="false">
      <c r="AE123" s="10" t="s">
        <v>513</v>
      </c>
      <c r="AF123" s="22" t="n">
        <v>46160</v>
      </c>
      <c r="AG123" s="10" t="str">
        <f aca="false">"W"&amp;INT((AF123-MIN($AF$8:$AF$307))/7)+1</f>
        <v>W3</v>
      </c>
      <c r="AH123" s="10" t="s">
        <v>159</v>
      </c>
      <c r="AI123" s="10" t="s">
        <v>482</v>
      </c>
      <c r="AJ123" s="10" t="s">
        <v>514</v>
      </c>
      <c r="AK123" s="10" t="s">
        <v>162</v>
      </c>
      <c r="AL123" s="10" t="s">
        <v>484</v>
      </c>
      <c r="AM123" s="10" t="s">
        <v>164</v>
      </c>
      <c r="AN123" s="11" t="n">
        <v>49.995</v>
      </c>
      <c r="AO123" s="10" t="s">
        <v>11</v>
      </c>
    </row>
    <row r="124" customFormat="false" ht="15" hidden="false" customHeight="false" outlineLevel="0" collapsed="false">
      <c r="AE124" s="10" t="s">
        <v>515</v>
      </c>
      <c r="AF124" s="22" t="n">
        <v>46161</v>
      </c>
      <c r="AG124" s="10" t="str">
        <f aca="false">"W"&amp;INT((AF124-MIN($AF$8:$AF$307))/7)+1</f>
        <v>W3</v>
      </c>
      <c r="AH124" s="10" t="s">
        <v>159</v>
      </c>
      <c r="AI124" s="10" t="s">
        <v>482</v>
      </c>
      <c r="AJ124" s="10" t="s">
        <v>516</v>
      </c>
      <c r="AK124" s="10" t="s">
        <v>162</v>
      </c>
      <c r="AL124" s="10" t="s">
        <v>484</v>
      </c>
      <c r="AM124" s="10" t="s">
        <v>164</v>
      </c>
      <c r="AN124" s="11" t="n">
        <v>49.996</v>
      </c>
      <c r="AO124" s="10" t="s">
        <v>11</v>
      </c>
    </row>
    <row r="125" customFormat="false" ht="15" hidden="false" customHeight="false" outlineLevel="0" collapsed="false">
      <c r="AE125" s="10" t="s">
        <v>517</v>
      </c>
      <c r="AF125" s="22" t="n">
        <v>46162</v>
      </c>
      <c r="AG125" s="10" t="str">
        <f aca="false">"W"&amp;INT((AF125-MIN($AF$8:$AF$307))/7)+1</f>
        <v>W3</v>
      </c>
      <c r="AH125" s="10" t="s">
        <v>159</v>
      </c>
      <c r="AI125" s="10" t="s">
        <v>482</v>
      </c>
      <c r="AJ125" s="10" t="s">
        <v>518</v>
      </c>
      <c r="AK125" s="10" t="s">
        <v>162</v>
      </c>
      <c r="AL125" s="10" t="s">
        <v>484</v>
      </c>
      <c r="AM125" s="10" t="s">
        <v>164</v>
      </c>
      <c r="AN125" s="11" t="n">
        <v>49.997</v>
      </c>
      <c r="AO125" s="10" t="s">
        <v>11</v>
      </c>
    </row>
    <row r="126" customFormat="false" ht="15" hidden="false" customHeight="false" outlineLevel="0" collapsed="false">
      <c r="AE126" s="10" t="s">
        <v>519</v>
      </c>
      <c r="AF126" s="22" t="n">
        <v>46163</v>
      </c>
      <c r="AG126" s="10" t="str">
        <f aca="false">"W"&amp;INT((AF126-MIN($AF$8:$AF$307))/7)+1</f>
        <v>W3</v>
      </c>
      <c r="AH126" s="10" t="s">
        <v>159</v>
      </c>
      <c r="AI126" s="10" t="s">
        <v>482</v>
      </c>
      <c r="AJ126" s="10" t="s">
        <v>520</v>
      </c>
      <c r="AK126" s="10" t="s">
        <v>162</v>
      </c>
      <c r="AL126" s="10" t="s">
        <v>484</v>
      </c>
      <c r="AM126" s="10" t="s">
        <v>164</v>
      </c>
      <c r="AN126" s="11" t="n">
        <v>49.998</v>
      </c>
      <c r="AO126" s="10" t="s">
        <v>11</v>
      </c>
    </row>
    <row r="127" customFormat="false" ht="15" hidden="false" customHeight="false" outlineLevel="0" collapsed="false">
      <c r="AE127" s="10" t="s">
        <v>521</v>
      </c>
      <c r="AF127" s="22" t="n">
        <v>46164</v>
      </c>
      <c r="AG127" s="10" t="str">
        <f aca="false">"W"&amp;INT((AF127-MIN($AF$8:$AF$307))/7)+1</f>
        <v>W3</v>
      </c>
      <c r="AH127" s="10" t="s">
        <v>159</v>
      </c>
      <c r="AI127" s="10" t="s">
        <v>482</v>
      </c>
      <c r="AJ127" s="10" t="s">
        <v>522</v>
      </c>
      <c r="AK127" s="10" t="s">
        <v>162</v>
      </c>
      <c r="AL127" s="10" t="s">
        <v>484</v>
      </c>
      <c r="AM127" s="10" t="s">
        <v>164</v>
      </c>
      <c r="AN127" s="11" t="n">
        <v>49.999</v>
      </c>
      <c r="AO127" s="10" t="s">
        <v>11</v>
      </c>
    </row>
    <row r="128" customFormat="false" ht="15" hidden="false" customHeight="false" outlineLevel="0" collapsed="false">
      <c r="AE128" s="10" t="s">
        <v>523</v>
      </c>
      <c r="AF128" s="22" t="n">
        <v>46160</v>
      </c>
      <c r="AG128" s="10" t="str">
        <f aca="false">"W"&amp;INT((AF128-MIN($AF$8:$AF$307))/7)+1</f>
        <v>W3</v>
      </c>
      <c r="AH128" s="10" t="s">
        <v>159</v>
      </c>
      <c r="AI128" s="10" t="s">
        <v>482</v>
      </c>
      <c r="AJ128" s="10" t="s">
        <v>524</v>
      </c>
      <c r="AK128" s="10" t="s">
        <v>162</v>
      </c>
      <c r="AL128" s="10" t="s">
        <v>484</v>
      </c>
      <c r="AM128" s="10" t="s">
        <v>164</v>
      </c>
      <c r="AN128" s="11" t="n">
        <v>50</v>
      </c>
      <c r="AO128" s="10" t="s">
        <v>11</v>
      </c>
    </row>
    <row r="129" customFormat="false" ht="15" hidden="false" customHeight="false" outlineLevel="0" collapsed="false">
      <c r="AE129" s="10" t="s">
        <v>525</v>
      </c>
      <c r="AF129" s="22" t="n">
        <v>46161</v>
      </c>
      <c r="AG129" s="10" t="str">
        <f aca="false">"W"&amp;INT((AF129-MIN($AF$8:$AF$307))/7)+1</f>
        <v>W3</v>
      </c>
      <c r="AH129" s="10" t="s">
        <v>159</v>
      </c>
      <c r="AI129" s="10" t="s">
        <v>482</v>
      </c>
      <c r="AJ129" s="10" t="s">
        <v>526</v>
      </c>
      <c r="AK129" s="10" t="s">
        <v>162</v>
      </c>
      <c r="AL129" s="10" t="s">
        <v>484</v>
      </c>
      <c r="AM129" s="10" t="s">
        <v>164</v>
      </c>
      <c r="AN129" s="11" t="n">
        <v>50.001</v>
      </c>
      <c r="AO129" s="10" t="s">
        <v>11</v>
      </c>
    </row>
    <row r="130" customFormat="false" ht="15" hidden="false" customHeight="false" outlineLevel="0" collapsed="false">
      <c r="AE130" s="10" t="s">
        <v>527</v>
      </c>
      <c r="AF130" s="22" t="n">
        <v>46162</v>
      </c>
      <c r="AG130" s="10" t="str">
        <f aca="false">"W"&amp;INT((AF130-MIN($AF$8:$AF$307))/7)+1</f>
        <v>W3</v>
      </c>
      <c r="AH130" s="10" t="s">
        <v>159</v>
      </c>
      <c r="AI130" s="10" t="s">
        <v>482</v>
      </c>
      <c r="AJ130" s="10" t="s">
        <v>528</v>
      </c>
      <c r="AK130" s="10" t="s">
        <v>162</v>
      </c>
      <c r="AL130" s="10" t="s">
        <v>484</v>
      </c>
      <c r="AM130" s="10" t="s">
        <v>164</v>
      </c>
      <c r="AN130" s="11" t="n">
        <v>50.002</v>
      </c>
      <c r="AO130" s="10" t="s">
        <v>11</v>
      </c>
    </row>
    <row r="131" customFormat="false" ht="15" hidden="false" customHeight="false" outlineLevel="0" collapsed="false">
      <c r="AE131" s="10" t="s">
        <v>529</v>
      </c>
      <c r="AF131" s="22" t="n">
        <v>46163</v>
      </c>
      <c r="AG131" s="10" t="str">
        <f aca="false">"W"&amp;INT((AF131-MIN($AF$8:$AF$307))/7)+1</f>
        <v>W3</v>
      </c>
      <c r="AH131" s="10" t="s">
        <v>159</v>
      </c>
      <c r="AI131" s="10" t="s">
        <v>482</v>
      </c>
      <c r="AJ131" s="10" t="s">
        <v>530</v>
      </c>
      <c r="AK131" s="10" t="s">
        <v>162</v>
      </c>
      <c r="AL131" s="10" t="s">
        <v>484</v>
      </c>
      <c r="AM131" s="10" t="s">
        <v>164</v>
      </c>
      <c r="AN131" s="11" t="n">
        <v>50.003</v>
      </c>
      <c r="AO131" s="10" t="s">
        <v>11</v>
      </c>
    </row>
    <row r="132" customFormat="false" ht="15" hidden="false" customHeight="false" outlineLevel="0" collapsed="false">
      <c r="AE132" s="10" t="s">
        <v>531</v>
      </c>
      <c r="AF132" s="22" t="n">
        <v>46164</v>
      </c>
      <c r="AG132" s="10" t="str">
        <f aca="false">"W"&amp;INT((AF132-MIN($AF$8:$AF$307))/7)+1</f>
        <v>W3</v>
      </c>
      <c r="AH132" s="10" t="s">
        <v>159</v>
      </c>
      <c r="AI132" s="10" t="s">
        <v>482</v>
      </c>
      <c r="AJ132" s="10" t="s">
        <v>532</v>
      </c>
      <c r="AK132" s="10" t="s">
        <v>162</v>
      </c>
      <c r="AL132" s="10" t="s">
        <v>484</v>
      </c>
      <c r="AM132" s="10" t="s">
        <v>164</v>
      </c>
      <c r="AN132" s="11" t="n">
        <v>50</v>
      </c>
      <c r="AO132" s="10" t="s">
        <v>11</v>
      </c>
    </row>
    <row r="133" customFormat="false" ht="15" hidden="false" customHeight="false" outlineLevel="0" collapsed="false">
      <c r="AE133" s="10" t="s">
        <v>533</v>
      </c>
      <c r="AF133" s="22" t="n">
        <v>46160</v>
      </c>
      <c r="AG133" s="10" t="str">
        <f aca="false">"W"&amp;INT((AF133-MIN($AF$8:$AF$307))/7)+1</f>
        <v>W3</v>
      </c>
      <c r="AH133" s="10" t="s">
        <v>201</v>
      </c>
      <c r="AI133" s="10" t="s">
        <v>534</v>
      </c>
      <c r="AJ133" s="10" t="s">
        <v>535</v>
      </c>
      <c r="AK133" s="10" t="s">
        <v>251</v>
      </c>
      <c r="AL133" s="10" t="s">
        <v>536</v>
      </c>
      <c r="AM133" s="10" t="s">
        <v>252</v>
      </c>
      <c r="AN133" s="11" t="n">
        <v>50.01</v>
      </c>
      <c r="AO133" s="10" t="s">
        <v>11</v>
      </c>
    </row>
    <row r="134" customFormat="false" ht="15" hidden="false" customHeight="false" outlineLevel="0" collapsed="false">
      <c r="AE134" s="10" t="s">
        <v>537</v>
      </c>
      <c r="AF134" s="22" t="n">
        <v>46161</v>
      </c>
      <c r="AG134" s="10" t="str">
        <f aca="false">"W"&amp;INT((AF134-MIN($AF$8:$AF$307))/7)+1</f>
        <v>W3</v>
      </c>
      <c r="AH134" s="10" t="s">
        <v>201</v>
      </c>
      <c r="AI134" s="10" t="s">
        <v>534</v>
      </c>
      <c r="AJ134" s="10" t="s">
        <v>538</v>
      </c>
      <c r="AK134" s="10" t="s">
        <v>251</v>
      </c>
      <c r="AL134" s="10" t="s">
        <v>536</v>
      </c>
      <c r="AM134" s="10" t="s">
        <v>252</v>
      </c>
      <c r="AN134" s="11" t="n">
        <v>50.011</v>
      </c>
      <c r="AO134" s="10" t="s">
        <v>11</v>
      </c>
    </row>
    <row r="135" customFormat="false" ht="15" hidden="false" customHeight="false" outlineLevel="0" collapsed="false">
      <c r="AE135" s="10" t="s">
        <v>539</v>
      </c>
      <c r="AF135" s="22" t="n">
        <v>46162</v>
      </c>
      <c r="AG135" s="10" t="str">
        <f aca="false">"W"&amp;INT((AF135-MIN($AF$8:$AF$307))/7)+1</f>
        <v>W3</v>
      </c>
      <c r="AH135" s="10" t="s">
        <v>201</v>
      </c>
      <c r="AI135" s="10" t="s">
        <v>534</v>
      </c>
      <c r="AJ135" s="10" t="s">
        <v>540</v>
      </c>
      <c r="AK135" s="10" t="s">
        <v>251</v>
      </c>
      <c r="AL135" s="10" t="s">
        <v>536</v>
      </c>
      <c r="AM135" s="10" t="s">
        <v>252</v>
      </c>
      <c r="AN135" s="11" t="n">
        <v>50.012</v>
      </c>
      <c r="AO135" s="10" t="s">
        <v>11</v>
      </c>
    </row>
    <row r="136" customFormat="false" ht="15" hidden="false" customHeight="false" outlineLevel="0" collapsed="false">
      <c r="AE136" s="10" t="s">
        <v>541</v>
      </c>
      <c r="AF136" s="22" t="n">
        <v>46163</v>
      </c>
      <c r="AG136" s="10" t="str">
        <f aca="false">"W"&amp;INT((AF136-MIN($AF$8:$AF$307))/7)+1</f>
        <v>W3</v>
      </c>
      <c r="AH136" s="10" t="s">
        <v>201</v>
      </c>
      <c r="AI136" s="10" t="s">
        <v>534</v>
      </c>
      <c r="AJ136" s="10" t="s">
        <v>542</v>
      </c>
      <c r="AK136" s="10" t="s">
        <v>251</v>
      </c>
      <c r="AL136" s="10" t="s">
        <v>536</v>
      </c>
      <c r="AM136" s="10" t="s">
        <v>252</v>
      </c>
      <c r="AN136" s="11" t="n">
        <v>50.013</v>
      </c>
      <c r="AO136" s="10" t="s">
        <v>11</v>
      </c>
    </row>
    <row r="137" customFormat="false" ht="15" hidden="false" customHeight="false" outlineLevel="0" collapsed="false">
      <c r="AE137" s="10" t="s">
        <v>543</v>
      </c>
      <c r="AF137" s="22" t="n">
        <v>46164</v>
      </c>
      <c r="AG137" s="10" t="str">
        <f aca="false">"W"&amp;INT((AF137-MIN($AF$8:$AF$307))/7)+1</f>
        <v>W3</v>
      </c>
      <c r="AH137" s="10" t="s">
        <v>201</v>
      </c>
      <c r="AI137" s="10" t="s">
        <v>534</v>
      </c>
      <c r="AJ137" s="10" t="s">
        <v>544</v>
      </c>
      <c r="AK137" s="10" t="s">
        <v>251</v>
      </c>
      <c r="AL137" s="10" t="s">
        <v>536</v>
      </c>
      <c r="AM137" s="10" t="s">
        <v>252</v>
      </c>
      <c r="AN137" s="11" t="n">
        <v>50.014</v>
      </c>
      <c r="AO137" s="10" t="s">
        <v>11</v>
      </c>
    </row>
    <row r="138" customFormat="false" ht="15" hidden="false" customHeight="false" outlineLevel="0" collapsed="false">
      <c r="AE138" s="10" t="s">
        <v>545</v>
      </c>
      <c r="AF138" s="22" t="n">
        <v>46160</v>
      </c>
      <c r="AG138" s="10" t="str">
        <f aca="false">"W"&amp;INT((AF138-MIN($AF$8:$AF$307))/7)+1</f>
        <v>W3</v>
      </c>
      <c r="AH138" s="10" t="s">
        <v>201</v>
      </c>
      <c r="AI138" s="10" t="s">
        <v>534</v>
      </c>
      <c r="AJ138" s="10" t="s">
        <v>546</v>
      </c>
      <c r="AK138" s="10" t="s">
        <v>251</v>
      </c>
      <c r="AL138" s="10" t="s">
        <v>536</v>
      </c>
      <c r="AM138" s="10" t="s">
        <v>252</v>
      </c>
      <c r="AN138" s="11" t="n">
        <v>50.015</v>
      </c>
      <c r="AO138" s="10" t="s">
        <v>11</v>
      </c>
    </row>
    <row r="139" customFormat="false" ht="15" hidden="false" customHeight="false" outlineLevel="0" collapsed="false">
      <c r="AE139" s="10" t="s">
        <v>547</v>
      </c>
      <c r="AF139" s="22" t="n">
        <v>46161</v>
      </c>
      <c r="AG139" s="10" t="str">
        <f aca="false">"W"&amp;INT((AF139-MIN($AF$8:$AF$307))/7)+1</f>
        <v>W3</v>
      </c>
      <c r="AH139" s="10" t="s">
        <v>201</v>
      </c>
      <c r="AI139" s="10" t="s">
        <v>534</v>
      </c>
      <c r="AJ139" s="10" t="s">
        <v>548</v>
      </c>
      <c r="AK139" s="10" t="s">
        <v>251</v>
      </c>
      <c r="AL139" s="10" t="s">
        <v>536</v>
      </c>
      <c r="AM139" s="10" t="s">
        <v>252</v>
      </c>
      <c r="AN139" s="11" t="n">
        <v>50.016</v>
      </c>
      <c r="AO139" s="10" t="s">
        <v>11</v>
      </c>
    </row>
    <row r="140" customFormat="false" ht="15" hidden="false" customHeight="false" outlineLevel="0" collapsed="false">
      <c r="AE140" s="10" t="s">
        <v>549</v>
      </c>
      <c r="AF140" s="22" t="n">
        <v>46162</v>
      </c>
      <c r="AG140" s="10" t="str">
        <f aca="false">"W"&amp;INT((AF140-MIN($AF$8:$AF$307))/7)+1</f>
        <v>W3</v>
      </c>
      <c r="AH140" s="10" t="s">
        <v>201</v>
      </c>
      <c r="AI140" s="10" t="s">
        <v>534</v>
      </c>
      <c r="AJ140" s="10" t="s">
        <v>550</v>
      </c>
      <c r="AK140" s="10" t="s">
        <v>251</v>
      </c>
      <c r="AL140" s="10" t="s">
        <v>536</v>
      </c>
      <c r="AM140" s="10" t="s">
        <v>252</v>
      </c>
      <c r="AN140" s="11" t="n">
        <v>50.017</v>
      </c>
      <c r="AO140" s="10" t="s">
        <v>11</v>
      </c>
    </row>
    <row r="141" customFormat="false" ht="15" hidden="false" customHeight="false" outlineLevel="0" collapsed="false">
      <c r="AE141" s="10" t="s">
        <v>551</v>
      </c>
      <c r="AF141" s="22" t="n">
        <v>46163</v>
      </c>
      <c r="AG141" s="10" t="str">
        <f aca="false">"W"&amp;INT((AF141-MIN($AF$8:$AF$307))/7)+1</f>
        <v>W3</v>
      </c>
      <c r="AH141" s="10" t="s">
        <v>201</v>
      </c>
      <c r="AI141" s="10" t="s">
        <v>534</v>
      </c>
      <c r="AJ141" s="10" t="s">
        <v>552</v>
      </c>
      <c r="AK141" s="10" t="s">
        <v>251</v>
      </c>
      <c r="AL141" s="10" t="s">
        <v>536</v>
      </c>
      <c r="AM141" s="10" t="s">
        <v>252</v>
      </c>
      <c r="AN141" s="11" t="n">
        <v>50.018</v>
      </c>
      <c r="AO141" s="10" t="s">
        <v>11</v>
      </c>
    </row>
    <row r="142" customFormat="false" ht="15" hidden="false" customHeight="false" outlineLevel="0" collapsed="false">
      <c r="AE142" s="10" t="s">
        <v>553</v>
      </c>
      <c r="AF142" s="22" t="n">
        <v>46164</v>
      </c>
      <c r="AG142" s="10" t="str">
        <f aca="false">"W"&amp;INT((AF142-MIN($AF$8:$AF$307))/7)+1</f>
        <v>W3</v>
      </c>
      <c r="AH142" s="10" t="s">
        <v>201</v>
      </c>
      <c r="AI142" s="10" t="s">
        <v>534</v>
      </c>
      <c r="AJ142" s="10" t="s">
        <v>554</v>
      </c>
      <c r="AK142" s="10" t="s">
        <v>251</v>
      </c>
      <c r="AL142" s="10" t="s">
        <v>536</v>
      </c>
      <c r="AM142" s="10" t="s">
        <v>252</v>
      </c>
      <c r="AN142" s="11" t="n">
        <v>50.019</v>
      </c>
      <c r="AO142" s="10" t="s">
        <v>11</v>
      </c>
    </row>
    <row r="143" customFormat="false" ht="15" hidden="false" customHeight="false" outlineLevel="0" collapsed="false">
      <c r="AE143" s="10" t="s">
        <v>555</v>
      </c>
      <c r="AF143" s="22" t="n">
        <v>46160</v>
      </c>
      <c r="AG143" s="10" t="str">
        <f aca="false">"W"&amp;INT((AF143-MIN($AF$8:$AF$307))/7)+1</f>
        <v>W3</v>
      </c>
      <c r="AH143" s="10" t="s">
        <v>201</v>
      </c>
      <c r="AI143" s="10" t="s">
        <v>534</v>
      </c>
      <c r="AJ143" s="10" t="s">
        <v>556</v>
      </c>
      <c r="AK143" s="10" t="s">
        <v>251</v>
      </c>
      <c r="AL143" s="10" t="s">
        <v>536</v>
      </c>
      <c r="AM143" s="10" t="s">
        <v>252</v>
      </c>
      <c r="AN143" s="11" t="n">
        <v>50.02</v>
      </c>
      <c r="AO143" s="10" t="s">
        <v>11</v>
      </c>
    </row>
    <row r="144" customFormat="false" ht="15" hidden="false" customHeight="false" outlineLevel="0" collapsed="false">
      <c r="AE144" s="10" t="s">
        <v>557</v>
      </c>
      <c r="AF144" s="22" t="n">
        <v>46161</v>
      </c>
      <c r="AG144" s="10" t="str">
        <f aca="false">"W"&amp;INT((AF144-MIN($AF$8:$AF$307))/7)+1</f>
        <v>W3</v>
      </c>
      <c r="AH144" s="10" t="s">
        <v>201</v>
      </c>
      <c r="AI144" s="10" t="s">
        <v>534</v>
      </c>
      <c r="AJ144" s="10" t="s">
        <v>558</v>
      </c>
      <c r="AK144" s="10" t="s">
        <v>251</v>
      </c>
      <c r="AL144" s="10" t="s">
        <v>536</v>
      </c>
      <c r="AM144" s="10" t="s">
        <v>252</v>
      </c>
      <c r="AN144" s="11" t="n">
        <v>50.021</v>
      </c>
      <c r="AO144" s="10" t="s">
        <v>11</v>
      </c>
    </row>
    <row r="145" customFormat="false" ht="15" hidden="false" customHeight="false" outlineLevel="0" collapsed="false">
      <c r="AE145" s="10" t="s">
        <v>559</v>
      </c>
      <c r="AF145" s="22" t="n">
        <v>46162</v>
      </c>
      <c r="AG145" s="10" t="str">
        <f aca="false">"W"&amp;INT((AF145-MIN($AF$8:$AF$307))/7)+1</f>
        <v>W3</v>
      </c>
      <c r="AH145" s="10" t="s">
        <v>201</v>
      </c>
      <c r="AI145" s="10" t="s">
        <v>534</v>
      </c>
      <c r="AJ145" s="10" t="s">
        <v>560</v>
      </c>
      <c r="AK145" s="10" t="s">
        <v>251</v>
      </c>
      <c r="AL145" s="10" t="s">
        <v>536</v>
      </c>
      <c r="AM145" s="10" t="s">
        <v>252</v>
      </c>
      <c r="AN145" s="11" t="n">
        <v>50.01</v>
      </c>
      <c r="AO145" s="10" t="s">
        <v>11</v>
      </c>
    </row>
    <row r="146" customFormat="false" ht="15" hidden="false" customHeight="false" outlineLevel="0" collapsed="false">
      <c r="AE146" s="10" t="s">
        <v>561</v>
      </c>
      <c r="AF146" s="22" t="n">
        <v>46163</v>
      </c>
      <c r="AG146" s="10" t="str">
        <f aca="false">"W"&amp;INT((AF146-MIN($AF$8:$AF$307))/7)+1</f>
        <v>W3</v>
      </c>
      <c r="AH146" s="10" t="s">
        <v>201</v>
      </c>
      <c r="AI146" s="10" t="s">
        <v>534</v>
      </c>
      <c r="AJ146" s="10" t="s">
        <v>562</v>
      </c>
      <c r="AK146" s="10" t="s">
        <v>251</v>
      </c>
      <c r="AL146" s="10" t="s">
        <v>536</v>
      </c>
      <c r="AM146" s="10" t="s">
        <v>252</v>
      </c>
      <c r="AN146" s="11" t="n">
        <v>50.011</v>
      </c>
      <c r="AO146" s="10" t="s">
        <v>11</v>
      </c>
    </row>
    <row r="147" customFormat="false" ht="15" hidden="false" customHeight="false" outlineLevel="0" collapsed="false">
      <c r="AE147" s="10" t="s">
        <v>563</v>
      </c>
      <c r="AF147" s="22" t="n">
        <v>46164</v>
      </c>
      <c r="AG147" s="10" t="str">
        <f aca="false">"W"&amp;INT((AF147-MIN($AF$8:$AF$307))/7)+1</f>
        <v>W3</v>
      </c>
      <c r="AH147" s="10" t="s">
        <v>201</v>
      </c>
      <c r="AI147" s="10" t="s">
        <v>534</v>
      </c>
      <c r="AJ147" s="10" t="s">
        <v>564</v>
      </c>
      <c r="AK147" s="10" t="s">
        <v>251</v>
      </c>
      <c r="AL147" s="10" t="s">
        <v>536</v>
      </c>
      <c r="AM147" s="10" t="s">
        <v>252</v>
      </c>
      <c r="AN147" s="11" t="n">
        <v>50.012</v>
      </c>
      <c r="AO147" s="10" t="s">
        <v>11</v>
      </c>
    </row>
    <row r="148" customFormat="false" ht="15" hidden="false" customHeight="false" outlineLevel="0" collapsed="false">
      <c r="AE148" s="10" t="s">
        <v>565</v>
      </c>
      <c r="AF148" s="22" t="n">
        <v>46160</v>
      </c>
      <c r="AG148" s="10" t="str">
        <f aca="false">"W"&amp;INT((AF148-MIN($AF$8:$AF$307))/7)+1</f>
        <v>W3</v>
      </c>
      <c r="AH148" s="10" t="s">
        <v>201</v>
      </c>
      <c r="AI148" s="10" t="s">
        <v>534</v>
      </c>
      <c r="AJ148" s="10" t="s">
        <v>566</v>
      </c>
      <c r="AK148" s="10" t="s">
        <v>251</v>
      </c>
      <c r="AL148" s="10" t="s">
        <v>536</v>
      </c>
      <c r="AM148" s="10" t="s">
        <v>252</v>
      </c>
      <c r="AN148" s="11" t="n">
        <v>50.013</v>
      </c>
      <c r="AO148" s="10" t="s">
        <v>11</v>
      </c>
    </row>
    <row r="149" customFormat="false" ht="15" hidden="false" customHeight="false" outlineLevel="0" collapsed="false">
      <c r="AE149" s="10" t="s">
        <v>567</v>
      </c>
      <c r="AF149" s="22" t="n">
        <v>46161</v>
      </c>
      <c r="AG149" s="10" t="str">
        <f aca="false">"W"&amp;INT((AF149-MIN($AF$8:$AF$307))/7)+1</f>
        <v>W3</v>
      </c>
      <c r="AH149" s="10" t="s">
        <v>201</v>
      </c>
      <c r="AI149" s="10" t="s">
        <v>534</v>
      </c>
      <c r="AJ149" s="10" t="s">
        <v>568</v>
      </c>
      <c r="AK149" s="10" t="s">
        <v>251</v>
      </c>
      <c r="AL149" s="10" t="s">
        <v>536</v>
      </c>
      <c r="AM149" s="10" t="s">
        <v>252</v>
      </c>
      <c r="AN149" s="11" t="n">
        <v>50.014</v>
      </c>
      <c r="AO149" s="10" t="s">
        <v>11</v>
      </c>
    </row>
    <row r="150" customFormat="false" ht="15" hidden="false" customHeight="false" outlineLevel="0" collapsed="false">
      <c r="AE150" s="10" t="s">
        <v>569</v>
      </c>
      <c r="AF150" s="22" t="n">
        <v>46162</v>
      </c>
      <c r="AG150" s="10" t="str">
        <f aca="false">"W"&amp;INT((AF150-MIN($AF$8:$AF$307))/7)+1</f>
        <v>W3</v>
      </c>
      <c r="AH150" s="10" t="s">
        <v>201</v>
      </c>
      <c r="AI150" s="10" t="s">
        <v>534</v>
      </c>
      <c r="AJ150" s="10" t="s">
        <v>570</v>
      </c>
      <c r="AK150" s="10" t="s">
        <v>251</v>
      </c>
      <c r="AL150" s="10" t="s">
        <v>536</v>
      </c>
      <c r="AM150" s="10" t="s">
        <v>252</v>
      </c>
      <c r="AN150" s="11" t="n">
        <v>50.015</v>
      </c>
      <c r="AO150" s="10" t="s">
        <v>11</v>
      </c>
    </row>
    <row r="151" customFormat="false" ht="15" hidden="false" customHeight="false" outlineLevel="0" collapsed="false">
      <c r="AE151" s="10" t="s">
        <v>571</v>
      </c>
      <c r="AF151" s="22" t="n">
        <v>46163</v>
      </c>
      <c r="AG151" s="10" t="str">
        <f aca="false">"W"&amp;INT((AF151-MIN($AF$8:$AF$307))/7)+1</f>
        <v>W3</v>
      </c>
      <c r="AH151" s="10" t="s">
        <v>201</v>
      </c>
      <c r="AI151" s="10" t="s">
        <v>534</v>
      </c>
      <c r="AJ151" s="10" t="s">
        <v>572</v>
      </c>
      <c r="AK151" s="10" t="s">
        <v>251</v>
      </c>
      <c r="AL151" s="10" t="s">
        <v>536</v>
      </c>
      <c r="AM151" s="10" t="s">
        <v>252</v>
      </c>
      <c r="AN151" s="11" t="n">
        <v>50.016</v>
      </c>
      <c r="AO151" s="10" t="s">
        <v>11</v>
      </c>
    </row>
    <row r="152" customFormat="false" ht="15" hidden="false" customHeight="false" outlineLevel="0" collapsed="false">
      <c r="AE152" s="10" t="s">
        <v>573</v>
      </c>
      <c r="AF152" s="22" t="n">
        <v>46164</v>
      </c>
      <c r="AG152" s="10" t="str">
        <f aca="false">"W"&amp;INT((AF152-MIN($AF$8:$AF$307))/7)+1</f>
        <v>W3</v>
      </c>
      <c r="AH152" s="10" t="s">
        <v>201</v>
      </c>
      <c r="AI152" s="10" t="s">
        <v>534</v>
      </c>
      <c r="AJ152" s="10" t="s">
        <v>574</v>
      </c>
      <c r="AK152" s="10" t="s">
        <v>251</v>
      </c>
      <c r="AL152" s="10" t="s">
        <v>536</v>
      </c>
      <c r="AM152" s="10" t="s">
        <v>252</v>
      </c>
      <c r="AN152" s="11" t="n">
        <v>50.017</v>
      </c>
      <c r="AO152" s="10" t="s">
        <v>11</v>
      </c>
    </row>
    <row r="153" customFormat="false" ht="15" hidden="false" customHeight="false" outlineLevel="0" collapsed="false">
      <c r="AE153" s="10" t="s">
        <v>575</v>
      </c>
      <c r="AF153" s="22" t="n">
        <v>46160</v>
      </c>
      <c r="AG153" s="10" t="str">
        <f aca="false">"W"&amp;INT((AF153-MIN($AF$8:$AF$307))/7)+1</f>
        <v>W3</v>
      </c>
      <c r="AH153" s="10" t="s">
        <v>201</v>
      </c>
      <c r="AI153" s="10" t="s">
        <v>534</v>
      </c>
      <c r="AJ153" s="10" t="s">
        <v>576</v>
      </c>
      <c r="AK153" s="10" t="s">
        <v>251</v>
      </c>
      <c r="AL153" s="10" t="s">
        <v>536</v>
      </c>
      <c r="AM153" s="10" t="s">
        <v>252</v>
      </c>
      <c r="AN153" s="11" t="n">
        <v>50.018</v>
      </c>
      <c r="AO153" s="10" t="s">
        <v>11</v>
      </c>
    </row>
    <row r="154" customFormat="false" ht="15" hidden="false" customHeight="false" outlineLevel="0" collapsed="false">
      <c r="AE154" s="10" t="s">
        <v>577</v>
      </c>
      <c r="AF154" s="22" t="n">
        <v>46161</v>
      </c>
      <c r="AG154" s="10" t="str">
        <f aca="false">"W"&amp;INT((AF154-MIN($AF$8:$AF$307))/7)+1</f>
        <v>W3</v>
      </c>
      <c r="AH154" s="10" t="s">
        <v>201</v>
      </c>
      <c r="AI154" s="10" t="s">
        <v>534</v>
      </c>
      <c r="AJ154" s="10" t="s">
        <v>578</v>
      </c>
      <c r="AK154" s="10" t="s">
        <v>251</v>
      </c>
      <c r="AL154" s="10" t="s">
        <v>536</v>
      </c>
      <c r="AM154" s="10" t="s">
        <v>252</v>
      </c>
      <c r="AN154" s="11" t="n">
        <v>50.019</v>
      </c>
      <c r="AO154" s="10" t="s">
        <v>11</v>
      </c>
    </row>
    <row r="155" customFormat="false" ht="15" hidden="false" customHeight="false" outlineLevel="0" collapsed="false">
      <c r="AE155" s="10" t="s">
        <v>579</v>
      </c>
      <c r="AF155" s="22" t="n">
        <v>46162</v>
      </c>
      <c r="AG155" s="10" t="str">
        <f aca="false">"W"&amp;INT((AF155-MIN($AF$8:$AF$307))/7)+1</f>
        <v>W3</v>
      </c>
      <c r="AH155" s="10" t="s">
        <v>201</v>
      </c>
      <c r="AI155" s="10" t="s">
        <v>534</v>
      </c>
      <c r="AJ155" s="10" t="s">
        <v>580</v>
      </c>
      <c r="AK155" s="10" t="s">
        <v>251</v>
      </c>
      <c r="AL155" s="10" t="s">
        <v>536</v>
      </c>
      <c r="AM155" s="10" t="s">
        <v>252</v>
      </c>
      <c r="AN155" s="11" t="n">
        <v>50.02</v>
      </c>
      <c r="AO155" s="10" t="s">
        <v>11</v>
      </c>
    </row>
    <row r="156" customFormat="false" ht="15" hidden="false" customHeight="false" outlineLevel="0" collapsed="false">
      <c r="AE156" s="10" t="s">
        <v>581</v>
      </c>
      <c r="AF156" s="22" t="n">
        <v>46163</v>
      </c>
      <c r="AG156" s="10" t="str">
        <f aca="false">"W"&amp;INT((AF156-MIN($AF$8:$AF$307))/7)+1</f>
        <v>W3</v>
      </c>
      <c r="AH156" s="10" t="s">
        <v>201</v>
      </c>
      <c r="AI156" s="10" t="s">
        <v>534</v>
      </c>
      <c r="AJ156" s="10" t="s">
        <v>582</v>
      </c>
      <c r="AK156" s="10" t="s">
        <v>251</v>
      </c>
      <c r="AL156" s="10" t="s">
        <v>536</v>
      </c>
      <c r="AM156" s="10" t="s">
        <v>252</v>
      </c>
      <c r="AN156" s="11" t="n">
        <v>50.021</v>
      </c>
      <c r="AO156" s="10" t="s">
        <v>11</v>
      </c>
    </row>
    <row r="157" customFormat="false" ht="15" hidden="false" customHeight="false" outlineLevel="0" collapsed="false">
      <c r="AE157" s="10" t="s">
        <v>583</v>
      </c>
      <c r="AF157" s="22" t="n">
        <v>46164</v>
      </c>
      <c r="AG157" s="10" t="str">
        <f aca="false">"W"&amp;INT((AF157-MIN($AF$8:$AF$307))/7)+1</f>
        <v>W3</v>
      </c>
      <c r="AH157" s="10" t="s">
        <v>201</v>
      </c>
      <c r="AI157" s="10" t="s">
        <v>534</v>
      </c>
      <c r="AJ157" s="10" t="s">
        <v>584</v>
      </c>
      <c r="AK157" s="10" t="s">
        <v>251</v>
      </c>
      <c r="AL157" s="10" t="s">
        <v>536</v>
      </c>
      <c r="AM157" s="10" t="s">
        <v>252</v>
      </c>
      <c r="AN157" s="11" t="n">
        <v>50.018</v>
      </c>
      <c r="AO157" s="10" t="s">
        <v>11</v>
      </c>
    </row>
    <row r="158" customFormat="false" ht="15" hidden="false" customHeight="false" outlineLevel="0" collapsed="false">
      <c r="AE158" s="10" t="s">
        <v>585</v>
      </c>
      <c r="AF158" s="22" t="n">
        <v>46167</v>
      </c>
      <c r="AG158" s="10" t="str">
        <f aca="false">"W"&amp;INT((AF158-MIN($AF$8:$AF$307))/7)+1</f>
        <v>W4</v>
      </c>
      <c r="AH158" s="10" t="s">
        <v>159</v>
      </c>
      <c r="AI158" s="10" t="s">
        <v>586</v>
      </c>
      <c r="AJ158" s="10" t="s">
        <v>587</v>
      </c>
      <c r="AK158" s="10" t="s">
        <v>162</v>
      </c>
      <c r="AL158" s="10" t="s">
        <v>484</v>
      </c>
      <c r="AM158" s="10" t="s">
        <v>164</v>
      </c>
      <c r="AN158" s="11" t="n">
        <v>49.993</v>
      </c>
      <c r="AO158" s="10" t="s">
        <v>11</v>
      </c>
    </row>
    <row r="159" customFormat="false" ht="15" hidden="false" customHeight="false" outlineLevel="0" collapsed="false">
      <c r="AE159" s="10" t="s">
        <v>588</v>
      </c>
      <c r="AF159" s="22" t="n">
        <v>46168</v>
      </c>
      <c r="AG159" s="10" t="str">
        <f aca="false">"W"&amp;INT((AF159-MIN($AF$8:$AF$307))/7)+1</f>
        <v>W4</v>
      </c>
      <c r="AH159" s="10" t="s">
        <v>159</v>
      </c>
      <c r="AI159" s="10" t="s">
        <v>586</v>
      </c>
      <c r="AJ159" s="10" t="s">
        <v>589</v>
      </c>
      <c r="AK159" s="10" t="s">
        <v>162</v>
      </c>
      <c r="AL159" s="10" t="s">
        <v>484</v>
      </c>
      <c r="AM159" s="10" t="s">
        <v>164</v>
      </c>
      <c r="AN159" s="11" t="n">
        <v>49.994</v>
      </c>
      <c r="AO159" s="10" t="s">
        <v>11</v>
      </c>
    </row>
    <row r="160" customFormat="false" ht="15" hidden="false" customHeight="false" outlineLevel="0" collapsed="false">
      <c r="AE160" s="10" t="s">
        <v>590</v>
      </c>
      <c r="AF160" s="22" t="n">
        <v>46169</v>
      </c>
      <c r="AG160" s="10" t="str">
        <f aca="false">"W"&amp;INT((AF160-MIN($AF$8:$AF$307))/7)+1</f>
        <v>W4</v>
      </c>
      <c r="AH160" s="10" t="s">
        <v>159</v>
      </c>
      <c r="AI160" s="10" t="s">
        <v>586</v>
      </c>
      <c r="AJ160" s="10" t="s">
        <v>591</v>
      </c>
      <c r="AK160" s="10" t="s">
        <v>162</v>
      </c>
      <c r="AL160" s="10" t="s">
        <v>484</v>
      </c>
      <c r="AM160" s="10" t="s">
        <v>164</v>
      </c>
      <c r="AN160" s="11" t="n">
        <v>49.995</v>
      </c>
      <c r="AO160" s="10" t="s">
        <v>11</v>
      </c>
    </row>
    <row r="161" customFormat="false" ht="15" hidden="false" customHeight="false" outlineLevel="0" collapsed="false">
      <c r="AE161" s="10" t="s">
        <v>592</v>
      </c>
      <c r="AF161" s="22" t="n">
        <v>46170</v>
      </c>
      <c r="AG161" s="10" t="str">
        <f aca="false">"W"&amp;INT((AF161-MIN($AF$8:$AF$307))/7)+1</f>
        <v>W4</v>
      </c>
      <c r="AH161" s="10" t="s">
        <v>159</v>
      </c>
      <c r="AI161" s="10" t="s">
        <v>586</v>
      </c>
      <c r="AJ161" s="10" t="s">
        <v>593</v>
      </c>
      <c r="AK161" s="10" t="s">
        <v>162</v>
      </c>
      <c r="AL161" s="10" t="s">
        <v>484</v>
      </c>
      <c r="AM161" s="10" t="s">
        <v>164</v>
      </c>
      <c r="AN161" s="11" t="n">
        <v>49.996</v>
      </c>
      <c r="AO161" s="10" t="s">
        <v>11</v>
      </c>
    </row>
    <row r="162" customFormat="false" ht="15" hidden="false" customHeight="false" outlineLevel="0" collapsed="false">
      <c r="AE162" s="10" t="s">
        <v>594</v>
      </c>
      <c r="AF162" s="22" t="n">
        <v>46171</v>
      </c>
      <c r="AG162" s="10" t="str">
        <f aca="false">"W"&amp;INT((AF162-MIN($AF$8:$AF$307))/7)+1</f>
        <v>W4</v>
      </c>
      <c r="AH162" s="10" t="s">
        <v>159</v>
      </c>
      <c r="AI162" s="10" t="s">
        <v>586</v>
      </c>
      <c r="AJ162" s="10" t="s">
        <v>595</v>
      </c>
      <c r="AK162" s="10" t="s">
        <v>162</v>
      </c>
      <c r="AL162" s="10" t="s">
        <v>484</v>
      </c>
      <c r="AM162" s="10" t="s">
        <v>164</v>
      </c>
      <c r="AN162" s="11" t="n">
        <v>49.997</v>
      </c>
      <c r="AO162" s="10" t="s">
        <v>11</v>
      </c>
    </row>
    <row r="163" customFormat="false" ht="15" hidden="false" customHeight="false" outlineLevel="0" collapsed="false">
      <c r="AE163" s="10" t="s">
        <v>596</v>
      </c>
      <c r="AF163" s="22" t="n">
        <v>46167</v>
      </c>
      <c r="AG163" s="10" t="str">
        <f aca="false">"W"&amp;INT((AF163-MIN($AF$8:$AF$307))/7)+1</f>
        <v>W4</v>
      </c>
      <c r="AH163" s="10" t="s">
        <v>159</v>
      </c>
      <c r="AI163" s="10" t="s">
        <v>586</v>
      </c>
      <c r="AJ163" s="10" t="s">
        <v>597</v>
      </c>
      <c r="AK163" s="10" t="s">
        <v>162</v>
      </c>
      <c r="AL163" s="10" t="s">
        <v>484</v>
      </c>
      <c r="AM163" s="10" t="s">
        <v>164</v>
      </c>
      <c r="AN163" s="11" t="n">
        <v>49.998</v>
      </c>
      <c r="AO163" s="10" t="s">
        <v>11</v>
      </c>
    </row>
    <row r="164" customFormat="false" ht="15" hidden="false" customHeight="false" outlineLevel="0" collapsed="false">
      <c r="AE164" s="10" t="s">
        <v>598</v>
      </c>
      <c r="AF164" s="22" t="n">
        <v>46168</v>
      </c>
      <c r="AG164" s="10" t="str">
        <f aca="false">"W"&amp;INT((AF164-MIN($AF$8:$AF$307))/7)+1</f>
        <v>W4</v>
      </c>
      <c r="AH164" s="10" t="s">
        <v>159</v>
      </c>
      <c r="AI164" s="10" t="s">
        <v>586</v>
      </c>
      <c r="AJ164" s="10" t="s">
        <v>599</v>
      </c>
      <c r="AK164" s="10" t="s">
        <v>162</v>
      </c>
      <c r="AL164" s="10" t="s">
        <v>484</v>
      </c>
      <c r="AM164" s="10" t="s">
        <v>164</v>
      </c>
      <c r="AN164" s="11" t="n">
        <v>49.999</v>
      </c>
      <c r="AO164" s="10" t="s">
        <v>11</v>
      </c>
    </row>
    <row r="165" customFormat="false" ht="15" hidden="false" customHeight="false" outlineLevel="0" collapsed="false">
      <c r="AE165" s="10" t="s">
        <v>600</v>
      </c>
      <c r="AF165" s="22" t="n">
        <v>46169</v>
      </c>
      <c r="AG165" s="10" t="str">
        <f aca="false">"W"&amp;INT((AF165-MIN($AF$8:$AF$307))/7)+1</f>
        <v>W4</v>
      </c>
      <c r="AH165" s="10" t="s">
        <v>159</v>
      </c>
      <c r="AI165" s="10" t="s">
        <v>586</v>
      </c>
      <c r="AJ165" s="10" t="s">
        <v>601</v>
      </c>
      <c r="AK165" s="10" t="s">
        <v>162</v>
      </c>
      <c r="AL165" s="10" t="s">
        <v>484</v>
      </c>
      <c r="AM165" s="10" t="s">
        <v>164</v>
      </c>
      <c r="AN165" s="11" t="n">
        <v>50</v>
      </c>
      <c r="AO165" s="10" t="s">
        <v>11</v>
      </c>
    </row>
    <row r="166" customFormat="false" ht="15" hidden="false" customHeight="false" outlineLevel="0" collapsed="false">
      <c r="AE166" s="10" t="s">
        <v>602</v>
      </c>
      <c r="AF166" s="22" t="n">
        <v>46170</v>
      </c>
      <c r="AG166" s="10" t="str">
        <f aca="false">"W"&amp;INT((AF166-MIN($AF$8:$AF$307))/7)+1</f>
        <v>W4</v>
      </c>
      <c r="AH166" s="10" t="s">
        <v>159</v>
      </c>
      <c r="AI166" s="10" t="s">
        <v>586</v>
      </c>
      <c r="AJ166" s="10" t="s">
        <v>603</v>
      </c>
      <c r="AK166" s="10" t="s">
        <v>162</v>
      </c>
      <c r="AL166" s="10" t="s">
        <v>484</v>
      </c>
      <c r="AM166" s="10" t="s">
        <v>164</v>
      </c>
      <c r="AN166" s="11" t="n">
        <v>50.001</v>
      </c>
      <c r="AO166" s="10" t="s">
        <v>11</v>
      </c>
    </row>
    <row r="167" customFormat="false" ht="15" hidden="false" customHeight="false" outlineLevel="0" collapsed="false">
      <c r="AE167" s="10" t="s">
        <v>604</v>
      </c>
      <c r="AF167" s="22" t="n">
        <v>46171</v>
      </c>
      <c r="AG167" s="10" t="str">
        <f aca="false">"W"&amp;INT((AF167-MIN($AF$8:$AF$307))/7)+1</f>
        <v>W4</v>
      </c>
      <c r="AH167" s="10" t="s">
        <v>159</v>
      </c>
      <c r="AI167" s="10" t="s">
        <v>586</v>
      </c>
      <c r="AJ167" s="10" t="s">
        <v>605</v>
      </c>
      <c r="AK167" s="10" t="s">
        <v>162</v>
      </c>
      <c r="AL167" s="10" t="s">
        <v>484</v>
      </c>
      <c r="AM167" s="10" t="s">
        <v>164</v>
      </c>
      <c r="AN167" s="11" t="n">
        <v>50.002</v>
      </c>
      <c r="AO167" s="10" t="s">
        <v>11</v>
      </c>
    </row>
    <row r="168" customFormat="false" ht="15" hidden="false" customHeight="false" outlineLevel="0" collapsed="false">
      <c r="AE168" s="10" t="s">
        <v>606</v>
      </c>
      <c r="AF168" s="22" t="n">
        <v>46167</v>
      </c>
      <c r="AG168" s="10" t="str">
        <f aca="false">"W"&amp;INT((AF168-MIN($AF$8:$AF$307))/7)+1</f>
        <v>W4</v>
      </c>
      <c r="AH168" s="10" t="s">
        <v>159</v>
      </c>
      <c r="AI168" s="10" t="s">
        <v>586</v>
      </c>
      <c r="AJ168" s="10" t="s">
        <v>607</v>
      </c>
      <c r="AK168" s="10" t="s">
        <v>162</v>
      </c>
      <c r="AL168" s="10" t="s">
        <v>484</v>
      </c>
      <c r="AM168" s="10" t="s">
        <v>164</v>
      </c>
      <c r="AN168" s="11" t="n">
        <v>50.003</v>
      </c>
      <c r="AO168" s="10" t="s">
        <v>11</v>
      </c>
    </row>
    <row r="169" customFormat="false" ht="15" hidden="false" customHeight="false" outlineLevel="0" collapsed="false">
      <c r="AE169" s="10" t="s">
        <v>608</v>
      </c>
      <c r="AF169" s="22" t="n">
        <v>46168</v>
      </c>
      <c r="AG169" s="10" t="str">
        <f aca="false">"W"&amp;INT((AF169-MIN($AF$8:$AF$307))/7)+1</f>
        <v>W4</v>
      </c>
      <c r="AH169" s="10" t="s">
        <v>159</v>
      </c>
      <c r="AI169" s="10" t="s">
        <v>586</v>
      </c>
      <c r="AJ169" s="10" t="s">
        <v>609</v>
      </c>
      <c r="AK169" s="10" t="s">
        <v>162</v>
      </c>
      <c r="AL169" s="10" t="s">
        <v>484</v>
      </c>
      <c r="AM169" s="10" t="s">
        <v>164</v>
      </c>
      <c r="AN169" s="11" t="n">
        <v>50.004</v>
      </c>
      <c r="AO169" s="10" t="s">
        <v>11</v>
      </c>
    </row>
    <row r="170" customFormat="false" ht="15" hidden="false" customHeight="false" outlineLevel="0" collapsed="false">
      <c r="AE170" s="10" t="s">
        <v>610</v>
      </c>
      <c r="AF170" s="22" t="n">
        <v>46169</v>
      </c>
      <c r="AG170" s="10" t="str">
        <f aca="false">"W"&amp;INT((AF170-MIN($AF$8:$AF$307))/7)+1</f>
        <v>W4</v>
      </c>
      <c r="AH170" s="10" t="s">
        <v>159</v>
      </c>
      <c r="AI170" s="10" t="s">
        <v>586</v>
      </c>
      <c r="AJ170" s="10" t="s">
        <v>611</v>
      </c>
      <c r="AK170" s="10" t="s">
        <v>162</v>
      </c>
      <c r="AL170" s="10" t="s">
        <v>484</v>
      </c>
      <c r="AM170" s="10" t="s">
        <v>164</v>
      </c>
      <c r="AN170" s="11" t="n">
        <v>49.993</v>
      </c>
      <c r="AO170" s="10" t="s">
        <v>11</v>
      </c>
    </row>
    <row r="171" customFormat="false" ht="15" hidden="false" customHeight="false" outlineLevel="0" collapsed="false">
      <c r="AE171" s="10" t="s">
        <v>612</v>
      </c>
      <c r="AF171" s="22" t="n">
        <v>46170</v>
      </c>
      <c r="AG171" s="10" t="str">
        <f aca="false">"W"&amp;INT((AF171-MIN($AF$8:$AF$307))/7)+1</f>
        <v>W4</v>
      </c>
      <c r="AH171" s="10" t="s">
        <v>159</v>
      </c>
      <c r="AI171" s="10" t="s">
        <v>586</v>
      </c>
      <c r="AJ171" s="10" t="s">
        <v>613</v>
      </c>
      <c r="AK171" s="10" t="s">
        <v>162</v>
      </c>
      <c r="AL171" s="10" t="s">
        <v>484</v>
      </c>
      <c r="AM171" s="10" t="s">
        <v>164</v>
      </c>
      <c r="AN171" s="11" t="n">
        <v>49.994</v>
      </c>
      <c r="AO171" s="10" t="s">
        <v>11</v>
      </c>
    </row>
    <row r="172" customFormat="false" ht="15" hidden="false" customHeight="false" outlineLevel="0" collapsed="false">
      <c r="AE172" s="10" t="s">
        <v>614</v>
      </c>
      <c r="AF172" s="22" t="n">
        <v>46171</v>
      </c>
      <c r="AG172" s="10" t="str">
        <f aca="false">"W"&amp;INT((AF172-MIN($AF$8:$AF$307))/7)+1</f>
        <v>W4</v>
      </c>
      <c r="AH172" s="10" t="s">
        <v>159</v>
      </c>
      <c r="AI172" s="10" t="s">
        <v>586</v>
      </c>
      <c r="AJ172" s="10" t="s">
        <v>615</v>
      </c>
      <c r="AK172" s="10" t="s">
        <v>162</v>
      </c>
      <c r="AL172" s="10" t="s">
        <v>484</v>
      </c>
      <c r="AM172" s="10" t="s">
        <v>164</v>
      </c>
      <c r="AN172" s="11" t="n">
        <v>49.995</v>
      </c>
      <c r="AO172" s="10" t="s">
        <v>11</v>
      </c>
    </row>
    <row r="173" customFormat="false" ht="15" hidden="false" customHeight="false" outlineLevel="0" collapsed="false">
      <c r="AE173" s="10" t="s">
        <v>616</v>
      </c>
      <c r="AF173" s="22" t="n">
        <v>46167</v>
      </c>
      <c r="AG173" s="10" t="str">
        <f aca="false">"W"&amp;INT((AF173-MIN($AF$8:$AF$307))/7)+1</f>
        <v>W4</v>
      </c>
      <c r="AH173" s="10" t="s">
        <v>159</v>
      </c>
      <c r="AI173" s="10" t="s">
        <v>586</v>
      </c>
      <c r="AJ173" s="10" t="s">
        <v>617</v>
      </c>
      <c r="AK173" s="10" t="s">
        <v>162</v>
      </c>
      <c r="AL173" s="10" t="s">
        <v>484</v>
      </c>
      <c r="AM173" s="10" t="s">
        <v>164</v>
      </c>
      <c r="AN173" s="11" t="n">
        <v>49.996</v>
      </c>
      <c r="AO173" s="10" t="s">
        <v>11</v>
      </c>
    </row>
    <row r="174" customFormat="false" ht="15" hidden="false" customHeight="false" outlineLevel="0" collapsed="false">
      <c r="AE174" s="10" t="s">
        <v>618</v>
      </c>
      <c r="AF174" s="22" t="n">
        <v>46168</v>
      </c>
      <c r="AG174" s="10" t="str">
        <f aca="false">"W"&amp;INT((AF174-MIN($AF$8:$AF$307))/7)+1</f>
        <v>W4</v>
      </c>
      <c r="AH174" s="10" t="s">
        <v>159</v>
      </c>
      <c r="AI174" s="10" t="s">
        <v>586</v>
      </c>
      <c r="AJ174" s="10" t="s">
        <v>619</v>
      </c>
      <c r="AK174" s="10" t="s">
        <v>162</v>
      </c>
      <c r="AL174" s="10" t="s">
        <v>484</v>
      </c>
      <c r="AM174" s="10" t="s">
        <v>164</v>
      </c>
      <c r="AN174" s="11" t="n">
        <v>49.997</v>
      </c>
      <c r="AO174" s="10" t="s">
        <v>11</v>
      </c>
    </row>
    <row r="175" customFormat="false" ht="15" hidden="false" customHeight="false" outlineLevel="0" collapsed="false">
      <c r="AE175" s="10" t="s">
        <v>620</v>
      </c>
      <c r="AF175" s="22" t="n">
        <v>46169</v>
      </c>
      <c r="AG175" s="10" t="str">
        <f aca="false">"W"&amp;INT((AF175-MIN($AF$8:$AF$307))/7)+1</f>
        <v>W4</v>
      </c>
      <c r="AH175" s="10" t="s">
        <v>159</v>
      </c>
      <c r="AI175" s="10" t="s">
        <v>586</v>
      </c>
      <c r="AJ175" s="10" t="s">
        <v>621</v>
      </c>
      <c r="AK175" s="10" t="s">
        <v>162</v>
      </c>
      <c r="AL175" s="10" t="s">
        <v>484</v>
      </c>
      <c r="AM175" s="10" t="s">
        <v>164</v>
      </c>
      <c r="AN175" s="11" t="n">
        <v>49.998</v>
      </c>
      <c r="AO175" s="10" t="s">
        <v>11</v>
      </c>
    </row>
    <row r="176" customFormat="false" ht="15" hidden="false" customHeight="false" outlineLevel="0" collapsed="false">
      <c r="AE176" s="10" t="s">
        <v>622</v>
      </c>
      <c r="AF176" s="22" t="n">
        <v>46170</v>
      </c>
      <c r="AG176" s="10" t="str">
        <f aca="false">"W"&amp;INT((AF176-MIN($AF$8:$AF$307))/7)+1</f>
        <v>W4</v>
      </c>
      <c r="AH176" s="10" t="s">
        <v>159</v>
      </c>
      <c r="AI176" s="10" t="s">
        <v>586</v>
      </c>
      <c r="AJ176" s="10" t="s">
        <v>623</v>
      </c>
      <c r="AK176" s="10" t="s">
        <v>162</v>
      </c>
      <c r="AL176" s="10" t="s">
        <v>484</v>
      </c>
      <c r="AM176" s="10" t="s">
        <v>164</v>
      </c>
      <c r="AN176" s="11" t="n">
        <v>49.999</v>
      </c>
      <c r="AO176" s="10" t="s">
        <v>11</v>
      </c>
    </row>
    <row r="177" customFormat="false" ht="15" hidden="false" customHeight="false" outlineLevel="0" collapsed="false">
      <c r="AE177" s="10" t="s">
        <v>624</v>
      </c>
      <c r="AF177" s="22" t="n">
        <v>46171</v>
      </c>
      <c r="AG177" s="10" t="str">
        <f aca="false">"W"&amp;INT((AF177-MIN($AF$8:$AF$307))/7)+1</f>
        <v>W4</v>
      </c>
      <c r="AH177" s="10" t="s">
        <v>159</v>
      </c>
      <c r="AI177" s="10" t="s">
        <v>586</v>
      </c>
      <c r="AJ177" s="10" t="s">
        <v>625</v>
      </c>
      <c r="AK177" s="10" t="s">
        <v>162</v>
      </c>
      <c r="AL177" s="10" t="s">
        <v>484</v>
      </c>
      <c r="AM177" s="10" t="s">
        <v>164</v>
      </c>
      <c r="AN177" s="11" t="n">
        <v>50</v>
      </c>
      <c r="AO177" s="10" t="s">
        <v>11</v>
      </c>
    </row>
    <row r="178" customFormat="false" ht="15" hidden="false" customHeight="false" outlineLevel="0" collapsed="false">
      <c r="AE178" s="10" t="s">
        <v>626</v>
      </c>
      <c r="AF178" s="22" t="n">
        <v>46167</v>
      </c>
      <c r="AG178" s="10" t="str">
        <f aca="false">"W"&amp;INT((AF178-MIN($AF$8:$AF$307))/7)+1</f>
        <v>W4</v>
      </c>
      <c r="AH178" s="10" t="s">
        <v>159</v>
      </c>
      <c r="AI178" s="10" t="s">
        <v>586</v>
      </c>
      <c r="AJ178" s="10" t="s">
        <v>627</v>
      </c>
      <c r="AK178" s="10" t="s">
        <v>162</v>
      </c>
      <c r="AL178" s="10" t="s">
        <v>484</v>
      </c>
      <c r="AM178" s="10" t="s">
        <v>164</v>
      </c>
      <c r="AN178" s="11" t="n">
        <v>50.001</v>
      </c>
      <c r="AO178" s="10" t="s">
        <v>11</v>
      </c>
    </row>
    <row r="179" customFormat="false" ht="15" hidden="false" customHeight="false" outlineLevel="0" collapsed="false">
      <c r="AE179" s="10" t="s">
        <v>628</v>
      </c>
      <c r="AF179" s="22" t="n">
        <v>46168</v>
      </c>
      <c r="AG179" s="10" t="str">
        <f aca="false">"W"&amp;INT((AF179-MIN($AF$8:$AF$307))/7)+1</f>
        <v>W4</v>
      </c>
      <c r="AH179" s="10" t="s">
        <v>159</v>
      </c>
      <c r="AI179" s="10" t="s">
        <v>586</v>
      </c>
      <c r="AJ179" s="10" t="s">
        <v>629</v>
      </c>
      <c r="AK179" s="10" t="s">
        <v>162</v>
      </c>
      <c r="AL179" s="10" t="s">
        <v>484</v>
      </c>
      <c r="AM179" s="10" t="s">
        <v>164</v>
      </c>
      <c r="AN179" s="11" t="n">
        <v>50.002</v>
      </c>
      <c r="AO179" s="10" t="s">
        <v>11</v>
      </c>
    </row>
    <row r="180" customFormat="false" ht="15" hidden="false" customHeight="false" outlineLevel="0" collapsed="false">
      <c r="AE180" s="10" t="s">
        <v>630</v>
      </c>
      <c r="AF180" s="22" t="n">
        <v>46169</v>
      </c>
      <c r="AG180" s="10" t="str">
        <f aca="false">"W"&amp;INT((AF180-MIN($AF$8:$AF$307))/7)+1</f>
        <v>W4</v>
      </c>
      <c r="AH180" s="10" t="s">
        <v>159</v>
      </c>
      <c r="AI180" s="10" t="s">
        <v>586</v>
      </c>
      <c r="AJ180" s="10" t="s">
        <v>631</v>
      </c>
      <c r="AK180" s="10" t="s">
        <v>162</v>
      </c>
      <c r="AL180" s="10" t="s">
        <v>484</v>
      </c>
      <c r="AM180" s="10" t="s">
        <v>164</v>
      </c>
      <c r="AN180" s="11" t="n">
        <v>50.003</v>
      </c>
      <c r="AO180" s="10" t="s">
        <v>11</v>
      </c>
    </row>
    <row r="181" customFormat="false" ht="15" hidden="false" customHeight="false" outlineLevel="0" collapsed="false">
      <c r="AE181" s="10" t="s">
        <v>632</v>
      </c>
      <c r="AF181" s="22" t="n">
        <v>46170</v>
      </c>
      <c r="AG181" s="10" t="str">
        <f aca="false">"W"&amp;INT((AF181-MIN($AF$8:$AF$307))/7)+1</f>
        <v>W4</v>
      </c>
      <c r="AH181" s="10" t="s">
        <v>159</v>
      </c>
      <c r="AI181" s="10" t="s">
        <v>586</v>
      </c>
      <c r="AJ181" s="10" t="s">
        <v>633</v>
      </c>
      <c r="AK181" s="10" t="s">
        <v>162</v>
      </c>
      <c r="AL181" s="10" t="s">
        <v>484</v>
      </c>
      <c r="AM181" s="10" t="s">
        <v>164</v>
      </c>
      <c r="AN181" s="11" t="n">
        <v>50.004</v>
      </c>
      <c r="AO181" s="10" t="s">
        <v>11</v>
      </c>
    </row>
    <row r="182" customFormat="false" ht="15" hidden="false" customHeight="false" outlineLevel="0" collapsed="false">
      <c r="AE182" s="10" t="s">
        <v>634</v>
      </c>
      <c r="AF182" s="22" t="n">
        <v>46171</v>
      </c>
      <c r="AG182" s="10" t="str">
        <f aca="false">"W"&amp;INT((AF182-MIN($AF$8:$AF$307))/7)+1</f>
        <v>W4</v>
      </c>
      <c r="AH182" s="10" t="s">
        <v>159</v>
      </c>
      <c r="AI182" s="10" t="s">
        <v>586</v>
      </c>
      <c r="AJ182" s="10" t="s">
        <v>635</v>
      </c>
      <c r="AK182" s="10" t="s">
        <v>162</v>
      </c>
      <c r="AL182" s="10" t="s">
        <v>484</v>
      </c>
      <c r="AM182" s="10" t="s">
        <v>164</v>
      </c>
      <c r="AN182" s="11" t="n">
        <v>50.001</v>
      </c>
      <c r="AO182" s="10" t="s">
        <v>11</v>
      </c>
    </row>
    <row r="183" customFormat="false" ht="15" hidden="false" customHeight="false" outlineLevel="0" collapsed="false">
      <c r="AE183" s="10" t="s">
        <v>636</v>
      </c>
      <c r="AF183" s="22" t="n">
        <v>46167</v>
      </c>
      <c r="AG183" s="10" t="str">
        <f aca="false">"W"&amp;INT((AF183-MIN($AF$8:$AF$307))/7)+1</f>
        <v>W4</v>
      </c>
      <c r="AH183" s="10" t="s">
        <v>201</v>
      </c>
      <c r="AI183" s="10" t="s">
        <v>637</v>
      </c>
      <c r="AJ183" s="10" t="s">
        <v>638</v>
      </c>
      <c r="AK183" s="10" t="s">
        <v>251</v>
      </c>
      <c r="AL183" s="10" t="s">
        <v>536</v>
      </c>
      <c r="AM183" s="10" t="s">
        <v>252</v>
      </c>
      <c r="AN183" s="11" t="n">
        <v>50.016</v>
      </c>
      <c r="AO183" s="10" t="s">
        <v>11</v>
      </c>
    </row>
    <row r="184" customFormat="false" ht="15" hidden="false" customHeight="false" outlineLevel="0" collapsed="false">
      <c r="AE184" s="10" t="s">
        <v>639</v>
      </c>
      <c r="AF184" s="22" t="n">
        <v>46168</v>
      </c>
      <c r="AG184" s="10" t="str">
        <f aca="false">"W"&amp;INT((AF184-MIN($AF$8:$AF$307))/7)+1</f>
        <v>W4</v>
      </c>
      <c r="AH184" s="10" t="s">
        <v>201</v>
      </c>
      <c r="AI184" s="10" t="s">
        <v>637</v>
      </c>
      <c r="AJ184" s="10" t="s">
        <v>640</v>
      </c>
      <c r="AK184" s="10" t="s">
        <v>251</v>
      </c>
      <c r="AL184" s="10" t="s">
        <v>536</v>
      </c>
      <c r="AM184" s="10" t="s">
        <v>252</v>
      </c>
      <c r="AN184" s="11" t="n">
        <v>50.017</v>
      </c>
      <c r="AO184" s="10" t="s">
        <v>11</v>
      </c>
    </row>
    <row r="185" customFormat="false" ht="15" hidden="false" customHeight="false" outlineLevel="0" collapsed="false">
      <c r="AE185" s="10" t="s">
        <v>641</v>
      </c>
      <c r="AF185" s="22" t="n">
        <v>46169</v>
      </c>
      <c r="AG185" s="10" t="str">
        <f aca="false">"W"&amp;INT((AF185-MIN($AF$8:$AF$307))/7)+1</f>
        <v>W4</v>
      </c>
      <c r="AH185" s="10" t="s">
        <v>201</v>
      </c>
      <c r="AI185" s="10" t="s">
        <v>637</v>
      </c>
      <c r="AJ185" s="10" t="s">
        <v>642</v>
      </c>
      <c r="AK185" s="10" t="s">
        <v>251</v>
      </c>
      <c r="AL185" s="10" t="s">
        <v>536</v>
      </c>
      <c r="AM185" s="10" t="s">
        <v>252</v>
      </c>
      <c r="AN185" s="11" t="n">
        <v>50.018</v>
      </c>
      <c r="AO185" s="10" t="s">
        <v>11</v>
      </c>
    </row>
    <row r="186" customFormat="false" ht="15" hidden="false" customHeight="false" outlineLevel="0" collapsed="false">
      <c r="AE186" s="10" t="s">
        <v>643</v>
      </c>
      <c r="AF186" s="22" t="n">
        <v>46170</v>
      </c>
      <c r="AG186" s="10" t="str">
        <f aca="false">"W"&amp;INT((AF186-MIN($AF$8:$AF$307))/7)+1</f>
        <v>W4</v>
      </c>
      <c r="AH186" s="10" t="s">
        <v>201</v>
      </c>
      <c r="AI186" s="10" t="s">
        <v>637</v>
      </c>
      <c r="AJ186" s="10" t="s">
        <v>644</v>
      </c>
      <c r="AK186" s="10" t="s">
        <v>251</v>
      </c>
      <c r="AL186" s="10" t="s">
        <v>536</v>
      </c>
      <c r="AM186" s="10" t="s">
        <v>252</v>
      </c>
      <c r="AN186" s="11" t="n">
        <v>50.019</v>
      </c>
      <c r="AO186" s="10" t="s">
        <v>11</v>
      </c>
    </row>
    <row r="187" customFormat="false" ht="15" hidden="false" customHeight="false" outlineLevel="0" collapsed="false">
      <c r="AE187" s="10" t="s">
        <v>645</v>
      </c>
      <c r="AF187" s="22" t="n">
        <v>46171</v>
      </c>
      <c r="AG187" s="10" t="str">
        <f aca="false">"W"&amp;INT((AF187-MIN($AF$8:$AF$307))/7)+1</f>
        <v>W4</v>
      </c>
      <c r="AH187" s="10" t="s">
        <v>201</v>
      </c>
      <c r="AI187" s="10" t="s">
        <v>637</v>
      </c>
      <c r="AJ187" s="10" t="s">
        <v>646</v>
      </c>
      <c r="AK187" s="10" t="s">
        <v>251</v>
      </c>
      <c r="AL187" s="10" t="s">
        <v>536</v>
      </c>
      <c r="AM187" s="10" t="s">
        <v>252</v>
      </c>
      <c r="AN187" s="11" t="n">
        <v>50.02</v>
      </c>
      <c r="AO187" s="10" t="s">
        <v>11</v>
      </c>
    </row>
    <row r="188" customFormat="false" ht="15" hidden="false" customHeight="false" outlineLevel="0" collapsed="false">
      <c r="AE188" s="10" t="s">
        <v>647</v>
      </c>
      <c r="AF188" s="22" t="n">
        <v>46167</v>
      </c>
      <c r="AG188" s="10" t="str">
        <f aca="false">"W"&amp;INT((AF188-MIN($AF$8:$AF$307))/7)+1</f>
        <v>W4</v>
      </c>
      <c r="AH188" s="10" t="s">
        <v>201</v>
      </c>
      <c r="AI188" s="10" t="s">
        <v>637</v>
      </c>
      <c r="AJ188" s="10" t="s">
        <v>648</v>
      </c>
      <c r="AK188" s="10" t="s">
        <v>251</v>
      </c>
      <c r="AL188" s="10" t="s">
        <v>536</v>
      </c>
      <c r="AM188" s="10" t="s">
        <v>252</v>
      </c>
      <c r="AN188" s="11" t="n">
        <v>50.021</v>
      </c>
      <c r="AO188" s="10" t="s">
        <v>11</v>
      </c>
    </row>
    <row r="189" customFormat="false" ht="15" hidden="false" customHeight="false" outlineLevel="0" collapsed="false">
      <c r="AE189" s="10" t="s">
        <v>649</v>
      </c>
      <c r="AF189" s="22" t="n">
        <v>46168</v>
      </c>
      <c r="AG189" s="10" t="str">
        <f aca="false">"W"&amp;INT((AF189-MIN($AF$8:$AF$307))/7)+1</f>
        <v>W4</v>
      </c>
      <c r="AH189" s="10" t="s">
        <v>201</v>
      </c>
      <c r="AI189" s="10" t="s">
        <v>637</v>
      </c>
      <c r="AJ189" s="10" t="s">
        <v>650</v>
      </c>
      <c r="AK189" s="10" t="s">
        <v>251</v>
      </c>
      <c r="AL189" s="10" t="s">
        <v>536</v>
      </c>
      <c r="AM189" s="10" t="s">
        <v>252</v>
      </c>
      <c r="AN189" s="11" t="n">
        <v>50.022</v>
      </c>
      <c r="AO189" s="10" t="s">
        <v>11</v>
      </c>
    </row>
    <row r="190" customFormat="false" ht="15" hidden="false" customHeight="false" outlineLevel="0" collapsed="false">
      <c r="AE190" s="10" t="s">
        <v>651</v>
      </c>
      <c r="AF190" s="22" t="n">
        <v>46169</v>
      </c>
      <c r="AG190" s="10" t="str">
        <f aca="false">"W"&amp;INT((AF190-MIN($AF$8:$AF$307))/7)+1</f>
        <v>W4</v>
      </c>
      <c r="AH190" s="10" t="s">
        <v>201</v>
      </c>
      <c r="AI190" s="10" t="s">
        <v>637</v>
      </c>
      <c r="AJ190" s="10" t="s">
        <v>652</v>
      </c>
      <c r="AK190" s="10" t="s">
        <v>251</v>
      </c>
      <c r="AL190" s="10" t="s">
        <v>536</v>
      </c>
      <c r="AM190" s="10" t="s">
        <v>252</v>
      </c>
      <c r="AN190" s="11" t="n">
        <v>50.023</v>
      </c>
      <c r="AO190" s="10" t="s">
        <v>11</v>
      </c>
    </row>
    <row r="191" customFormat="false" ht="15" hidden="false" customHeight="false" outlineLevel="0" collapsed="false">
      <c r="AE191" s="10" t="s">
        <v>653</v>
      </c>
      <c r="AF191" s="22" t="n">
        <v>46170</v>
      </c>
      <c r="AG191" s="10" t="str">
        <f aca="false">"W"&amp;INT((AF191-MIN($AF$8:$AF$307))/7)+1</f>
        <v>W4</v>
      </c>
      <c r="AH191" s="10" t="s">
        <v>201</v>
      </c>
      <c r="AI191" s="10" t="s">
        <v>637</v>
      </c>
      <c r="AJ191" s="10" t="s">
        <v>654</v>
      </c>
      <c r="AK191" s="10" t="s">
        <v>251</v>
      </c>
      <c r="AL191" s="10" t="s">
        <v>536</v>
      </c>
      <c r="AM191" s="10" t="s">
        <v>252</v>
      </c>
      <c r="AN191" s="11" t="n">
        <v>50.024</v>
      </c>
      <c r="AO191" s="10" t="s">
        <v>11</v>
      </c>
    </row>
    <row r="192" customFormat="false" ht="15" hidden="false" customHeight="false" outlineLevel="0" collapsed="false">
      <c r="AE192" s="10" t="s">
        <v>655</v>
      </c>
      <c r="AF192" s="22" t="n">
        <v>46171</v>
      </c>
      <c r="AG192" s="10" t="str">
        <f aca="false">"W"&amp;INT((AF192-MIN($AF$8:$AF$307))/7)+1</f>
        <v>W4</v>
      </c>
      <c r="AH192" s="10" t="s">
        <v>201</v>
      </c>
      <c r="AI192" s="10" t="s">
        <v>637</v>
      </c>
      <c r="AJ192" s="10" t="s">
        <v>656</v>
      </c>
      <c r="AK192" s="10" t="s">
        <v>251</v>
      </c>
      <c r="AL192" s="10" t="s">
        <v>536</v>
      </c>
      <c r="AM192" s="10" t="s">
        <v>252</v>
      </c>
      <c r="AN192" s="11" t="n">
        <v>50.025</v>
      </c>
      <c r="AO192" s="10" t="s">
        <v>11</v>
      </c>
    </row>
    <row r="193" customFormat="false" ht="15" hidden="false" customHeight="false" outlineLevel="0" collapsed="false">
      <c r="AE193" s="10" t="s">
        <v>657</v>
      </c>
      <c r="AF193" s="22" t="n">
        <v>46167</v>
      </c>
      <c r="AG193" s="10" t="str">
        <f aca="false">"W"&amp;INT((AF193-MIN($AF$8:$AF$307))/7)+1</f>
        <v>W4</v>
      </c>
      <c r="AH193" s="10" t="s">
        <v>201</v>
      </c>
      <c r="AI193" s="10" t="s">
        <v>637</v>
      </c>
      <c r="AJ193" s="10" t="s">
        <v>658</v>
      </c>
      <c r="AK193" s="10" t="s">
        <v>251</v>
      </c>
      <c r="AL193" s="10" t="s">
        <v>536</v>
      </c>
      <c r="AM193" s="10" t="s">
        <v>252</v>
      </c>
      <c r="AN193" s="11" t="n">
        <v>50.026</v>
      </c>
      <c r="AO193" s="10" t="s">
        <v>11</v>
      </c>
    </row>
    <row r="194" customFormat="false" ht="15" hidden="false" customHeight="false" outlineLevel="0" collapsed="false">
      <c r="AE194" s="10" t="s">
        <v>659</v>
      </c>
      <c r="AF194" s="22" t="n">
        <v>46168</v>
      </c>
      <c r="AG194" s="10" t="str">
        <f aca="false">"W"&amp;INT((AF194-MIN($AF$8:$AF$307))/7)+1</f>
        <v>W4</v>
      </c>
      <c r="AH194" s="10" t="s">
        <v>201</v>
      </c>
      <c r="AI194" s="10" t="s">
        <v>637</v>
      </c>
      <c r="AJ194" s="10" t="s">
        <v>660</v>
      </c>
      <c r="AK194" s="10" t="s">
        <v>251</v>
      </c>
      <c r="AL194" s="10" t="s">
        <v>536</v>
      </c>
      <c r="AM194" s="10" t="s">
        <v>252</v>
      </c>
      <c r="AN194" s="11" t="n">
        <v>50.027</v>
      </c>
      <c r="AO194" s="10" t="s">
        <v>11</v>
      </c>
    </row>
    <row r="195" customFormat="false" ht="15" hidden="false" customHeight="false" outlineLevel="0" collapsed="false">
      <c r="AE195" s="10" t="s">
        <v>661</v>
      </c>
      <c r="AF195" s="22" t="n">
        <v>46169</v>
      </c>
      <c r="AG195" s="10" t="str">
        <f aca="false">"W"&amp;INT((AF195-MIN($AF$8:$AF$307))/7)+1</f>
        <v>W4</v>
      </c>
      <c r="AH195" s="10" t="s">
        <v>201</v>
      </c>
      <c r="AI195" s="10" t="s">
        <v>637</v>
      </c>
      <c r="AJ195" s="10" t="s">
        <v>662</v>
      </c>
      <c r="AK195" s="10" t="s">
        <v>251</v>
      </c>
      <c r="AL195" s="10" t="s">
        <v>536</v>
      </c>
      <c r="AM195" s="10" t="s">
        <v>252</v>
      </c>
      <c r="AN195" s="11" t="n">
        <v>50.016</v>
      </c>
      <c r="AO195" s="10" t="s">
        <v>11</v>
      </c>
    </row>
    <row r="196" customFormat="false" ht="15" hidden="false" customHeight="false" outlineLevel="0" collapsed="false">
      <c r="AE196" s="10" t="s">
        <v>663</v>
      </c>
      <c r="AF196" s="22" t="n">
        <v>46170</v>
      </c>
      <c r="AG196" s="10" t="str">
        <f aca="false">"W"&amp;INT((AF196-MIN($AF$8:$AF$307))/7)+1</f>
        <v>W4</v>
      </c>
      <c r="AH196" s="10" t="s">
        <v>201</v>
      </c>
      <c r="AI196" s="10" t="s">
        <v>637</v>
      </c>
      <c r="AJ196" s="10" t="s">
        <v>664</v>
      </c>
      <c r="AK196" s="10" t="s">
        <v>251</v>
      </c>
      <c r="AL196" s="10" t="s">
        <v>536</v>
      </c>
      <c r="AM196" s="10" t="s">
        <v>252</v>
      </c>
      <c r="AN196" s="11" t="n">
        <v>50.017</v>
      </c>
      <c r="AO196" s="10" t="s">
        <v>11</v>
      </c>
    </row>
    <row r="197" customFormat="false" ht="15" hidden="false" customHeight="false" outlineLevel="0" collapsed="false">
      <c r="AE197" s="10" t="s">
        <v>665</v>
      </c>
      <c r="AF197" s="22" t="n">
        <v>46171</v>
      </c>
      <c r="AG197" s="10" t="str">
        <f aca="false">"W"&amp;INT((AF197-MIN($AF$8:$AF$307))/7)+1</f>
        <v>W4</v>
      </c>
      <c r="AH197" s="10" t="s">
        <v>201</v>
      </c>
      <c r="AI197" s="10" t="s">
        <v>637</v>
      </c>
      <c r="AJ197" s="10" t="s">
        <v>666</v>
      </c>
      <c r="AK197" s="10" t="s">
        <v>251</v>
      </c>
      <c r="AL197" s="10" t="s">
        <v>536</v>
      </c>
      <c r="AM197" s="10" t="s">
        <v>252</v>
      </c>
      <c r="AN197" s="11" t="n">
        <v>50.018</v>
      </c>
      <c r="AO197" s="10" t="s">
        <v>11</v>
      </c>
    </row>
    <row r="198" customFormat="false" ht="15" hidden="false" customHeight="false" outlineLevel="0" collapsed="false">
      <c r="AE198" s="10" t="s">
        <v>667</v>
      </c>
      <c r="AF198" s="22" t="n">
        <v>46167</v>
      </c>
      <c r="AG198" s="10" t="str">
        <f aca="false">"W"&amp;INT((AF198-MIN($AF$8:$AF$307))/7)+1</f>
        <v>W4</v>
      </c>
      <c r="AH198" s="10" t="s">
        <v>201</v>
      </c>
      <c r="AI198" s="10" t="s">
        <v>637</v>
      </c>
      <c r="AJ198" s="10" t="s">
        <v>668</v>
      </c>
      <c r="AK198" s="10" t="s">
        <v>251</v>
      </c>
      <c r="AL198" s="10" t="s">
        <v>536</v>
      </c>
      <c r="AM198" s="10" t="s">
        <v>252</v>
      </c>
      <c r="AN198" s="11" t="n">
        <v>50.019</v>
      </c>
      <c r="AO198" s="10" t="s">
        <v>11</v>
      </c>
    </row>
    <row r="199" customFormat="false" ht="15" hidden="false" customHeight="false" outlineLevel="0" collapsed="false">
      <c r="AE199" s="10" t="s">
        <v>669</v>
      </c>
      <c r="AF199" s="22" t="n">
        <v>46168</v>
      </c>
      <c r="AG199" s="10" t="str">
        <f aca="false">"W"&amp;INT((AF199-MIN($AF$8:$AF$307))/7)+1</f>
        <v>W4</v>
      </c>
      <c r="AH199" s="10" t="s">
        <v>201</v>
      </c>
      <c r="AI199" s="10" t="s">
        <v>637</v>
      </c>
      <c r="AJ199" s="10" t="s">
        <v>670</v>
      </c>
      <c r="AK199" s="10" t="s">
        <v>251</v>
      </c>
      <c r="AL199" s="10" t="s">
        <v>536</v>
      </c>
      <c r="AM199" s="10" t="s">
        <v>252</v>
      </c>
      <c r="AN199" s="11" t="n">
        <v>50.02</v>
      </c>
      <c r="AO199" s="10" t="s">
        <v>11</v>
      </c>
    </row>
    <row r="200" customFormat="false" ht="15" hidden="false" customHeight="false" outlineLevel="0" collapsed="false">
      <c r="AE200" s="10" t="s">
        <v>671</v>
      </c>
      <c r="AF200" s="22" t="n">
        <v>46169</v>
      </c>
      <c r="AG200" s="10" t="str">
        <f aca="false">"W"&amp;INT((AF200-MIN($AF$8:$AF$307))/7)+1</f>
        <v>W4</v>
      </c>
      <c r="AH200" s="10" t="s">
        <v>201</v>
      </c>
      <c r="AI200" s="10" t="s">
        <v>637</v>
      </c>
      <c r="AJ200" s="10" t="s">
        <v>672</v>
      </c>
      <c r="AK200" s="10" t="s">
        <v>251</v>
      </c>
      <c r="AL200" s="10" t="s">
        <v>536</v>
      </c>
      <c r="AM200" s="10" t="s">
        <v>252</v>
      </c>
      <c r="AN200" s="11" t="n">
        <v>50.021</v>
      </c>
      <c r="AO200" s="10" t="s">
        <v>11</v>
      </c>
    </row>
    <row r="201" customFormat="false" ht="15" hidden="false" customHeight="false" outlineLevel="0" collapsed="false">
      <c r="AE201" s="10" t="s">
        <v>673</v>
      </c>
      <c r="AF201" s="22" t="n">
        <v>46170</v>
      </c>
      <c r="AG201" s="10" t="str">
        <f aca="false">"W"&amp;INT((AF201-MIN($AF$8:$AF$307))/7)+1</f>
        <v>W4</v>
      </c>
      <c r="AH201" s="10" t="s">
        <v>201</v>
      </c>
      <c r="AI201" s="10" t="s">
        <v>637</v>
      </c>
      <c r="AJ201" s="10" t="s">
        <v>674</v>
      </c>
      <c r="AK201" s="10" t="s">
        <v>251</v>
      </c>
      <c r="AL201" s="10" t="s">
        <v>536</v>
      </c>
      <c r="AM201" s="10" t="s">
        <v>252</v>
      </c>
      <c r="AN201" s="11" t="n">
        <v>50.022</v>
      </c>
      <c r="AO201" s="10" t="s">
        <v>11</v>
      </c>
    </row>
    <row r="202" customFormat="false" ht="15" hidden="false" customHeight="false" outlineLevel="0" collapsed="false">
      <c r="AE202" s="10" t="s">
        <v>675</v>
      </c>
      <c r="AF202" s="22" t="n">
        <v>46171</v>
      </c>
      <c r="AG202" s="10" t="str">
        <f aca="false">"W"&amp;INT((AF202-MIN($AF$8:$AF$307))/7)+1</f>
        <v>W4</v>
      </c>
      <c r="AH202" s="10" t="s">
        <v>201</v>
      </c>
      <c r="AI202" s="10" t="s">
        <v>637</v>
      </c>
      <c r="AJ202" s="10" t="s">
        <v>676</v>
      </c>
      <c r="AK202" s="10" t="s">
        <v>251</v>
      </c>
      <c r="AL202" s="10" t="s">
        <v>536</v>
      </c>
      <c r="AM202" s="10" t="s">
        <v>252</v>
      </c>
      <c r="AN202" s="11" t="n">
        <v>50.023</v>
      </c>
      <c r="AO202" s="10" t="s">
        <v>11</v>
      </c>
    </row>
    <row r="203" customFormat="false" ht="15" hidden="false" customHeight="false" outlineLevel="0" collapsed="false">
      <c r="AE203" s="10" t="s">
        <v>677</v>
      </c>
      <c r="AF203" s="22" t="n">
        <v>46167</v>
      </c>
      <c r="AG203" s="10" t="str">
        <f aca="false">"W"&amp;INT((AF203-MIN($AF$8:$AF$307))/7)+1</f>
        <v>W4</v>
      </c>
      <c r="AH203" s="10" t="s">
        <v>201</v>
      </c>
      <c r="AI203" s="10" t="s">
        <v>637</v>
      </c>
      <c r="AJ203" s="10" t="s">
        <v>678</v>
      </c>
      <c r="AK203" s="10" t="s">
        <v>251</v>
      </c>
      <c r="AL203" s="10" t="s">
        <v>536</v>
      </c>
      <c r="AM203" s="10" t="s">
        <v>252</v>
      </c>
      <c r="AN203" s="11" t="n">
        <v>50.024</v>
      </c>
      <c r="AO203" s="10" t="s">
        <v>11</v>
      </c>
    </row>
    <row r="204" customFormat="false" ht="15" hidden="false" customHeight="false" outlineLevel="0" collapsed="false">
      <c r="AE204" s="10" t="s">
        <v>679</v>
      </c>
      <c r="AF204" s="22" t="n">
        <v>46168</v>
      </c>
      <c r="AG204" s="10" t="str">
        <f aca="false">"W"&amp;INT((AF204-MIN($AF$8:$AF$307))/7)+1</f>
        <v>W4</v>
      </c>
      <c r="AH204" s="10" t="s">
        <v>201</v>
      </c>
      <c r="AI204" s="10" t="s">
        <v>637</v>
      </c>
      <c r="AJ204" s="10" t="s">
        <v>680</v>
      </c>
      <c r="AK204" s="10" t="s">
        <v>251</v>
      </c>
      <c r="AL204" s="10" t="s">
        <v>536</v>
      </c>
      <c r="AM204" s="10" t="s">
        <v>252</v>
      </c>
      <c r="AN204" s="11" t="n">
        <v>50.025</v>
      </c>
      <c r="AO204" s="10" t="s">
        <v>11</v>
      </c>
    </row>
    <row r="205" customFormat="false" ht="15" hidden="false" customHeight="false" outlineLevel="0" collapsed="false">
      <c r="AE205" s="10" t="s">
        <v>681</v>
      </c>
      <c r="AF205" s="22" t="n">
        <v>46169</v>
      </c>
      <c r="AG205" s="10" t="str">
        <f aca="false">"W"&amp;INT((AF205-MIN($AF$8:$AF$307))/7)+1</f>
        <v>W4</v>
      </c>
      <c r="AH205" s="10" t="s">
        <v>201</v>
      </c>
      <c r="AI205" s="10" t="s">
        <v>637</v>
      </c>
      <c r="AJ205" s="10" t="s">
        <v>682</v>
      </c>
      <c r="AK205" s="10" t="s">
        <v>251</v>
      </c>
      <c r="AL205" s="10" t="s">
        <v>536</v>
      </c>
      <c r="AM205" s="10" t="s">
        <v>252</v>
      </c>
      <c r="AN205" s="11" t="n">
        <v>50.026</v>
      </c>
      <c r="AO205" s="10" t="s">
        <v>11</v>
      </c>
    </row>
    <row r="206" customFormat="false" ht="15" hidden="false" customHeight="false" outlineLevel="0" collapsed="false">
      <c r="AE206" s="10" t="s">
        <v>683</v>
      </c>
      <c r="AF206" s="22" t="n">
        <v>46170</v>
      </c>
      <c r="AG206" s="10" t="str">
        <f aca="false">"W"&amp;INT((AF206-MIN($AF$8:$AF$307))/7)+1</f>
        <v>W4</v>
      </c>
      <c r="AH206" s="10" t="s">
        <v>201</v>
      </c>
      <c r="AI206" s="10" t="s">
        <v>637</v>
      </c>
      <c r="AJ206" s="10" t="s">
        <v>684</v>
      </c>
      <c r="AK206" s="10" t="s">
        <v>251</v>
      </c>
      <c r="AL206" s="10" t="s">
        <v>536</v>
      </c>
      <c r="AM206" s="10" t="s">
        <v>252</v>
      </c>
      <c r="AN206" s="11" t="n">
        <v>50.027</v>
      </c>
      <c r="AO206" s="10" t="s">
        <v>11</v>
      </c>
    </row>
    <row r="207" customFormat="false" ht="15" hidden="false" customHeight="false" outlineLevel="0" collapsed="false">
      <c r="AE207" s="10" t="s">
        <v>685</v>
      </c>
      <c r="AF207" s="22" t="n">
        <v>46171</v>
      </c>
      <c r="AG207" s="10" t="str">
        <f aca="false">"W"&amp;INT((AF207-MIN($AF$8:$AF$307))/7)+1</f>
        <v>W4</v>
      </c>
      <c r="AH207" s="10" t="s">
        <v>201</v>
      </c>
      <c r="AI207" s="10" t="s">
        <v>637</v>
      </c>
      <c r="AJ207" s="10" t="s">
        <v>686</v>
      </c>
      <c r="AK207" s="10" t="s">
        <v>251</v>
      </c>
      <c r="AL207" s="10" t="s">
        <v>536</v>
      </c>
      <c r="AM207" s="10" t="s">
        <v>252</v>
      </c>
      <c r="AN207" s="11" t="n">
        <v>50.024</v>
      </c>
      <c r="AO207" s="10" t="s">
        <v>11</v>
      </c>
    </row>
    <row r="208" customFormat="false" ht="15" hidden="false" customHeight="false" outlineLevel="0" collapsed="false">
      <c r="AE208" s="10" t="s">
        <v>687</v>
      </c>
      <c r="AF208" s="22" t="n">
        <v>46174</v>
      </c>
      <c r="AG208" s="10" t="str">
        <f aca="false">"W"&amp;INT((AF208-MIN($AF$8:$AF$307))/7)+1</f>
        <v>W5</v>
      </c>
      <c r="AH208" s="10" t="s">
        <v>159</v>
      </c>
      <c r="AI208" s="10" t="s">
        <v>688</v>
      </c>
      <c r="AJ208" s="10" t="s">
        <v>689</v>
      </c>
      <c r="AK208" s="10" t="s">
        <v>162</v>
      </c>
      <c r="AL208" s="10" t="s">
        <v>484</v>
      </c>
      <c r="AM208" s="10" t="s">
        <v>164</v>
      </c>
      <c r="AN208" s="11" t="n">
        <v>49.992</v>
      </c>
      <c r="AO208" s="10" t="s">
        <v>11</v>
      </c>
    </row>
    <row r="209" customFormat="false" ht="15" hidden="false" customHeight="false" outlineLevel="0" collapsed="false">
      <c r="AE209" s="10" t="s">
        <v>690</v>
      </c>
      <c r="AF209" s="22" t="n">
        <v>46175</v>
      </c>
      <c r="AG209" s="10" t="str">
        <f aca="false">"W"&amp;INT((AF209-MIN($AF$8:$AF$307))/7)+1</f>
        <v>W5</v>
      </c>
      <c r="AH209" s="10" t="s">
        <v>159</v>
      </c>
      <c r="AI209" s="10" t="s">
        <v>688</v>
      </c>
      <c r="AJ209" s="10" t="s">
        <v>691</v>
      </c>
      <c r="AK209" s="10" t="s">
        <v>162</v>
      </c>
      <c r="AL209" s="10" t="s">
        <v>484</v>
      </c>
      <c r="AM209" s="10" t="s">
        <v>164</v>
      </c>
      <c r="AN209" s="11" t="n">
        <v>49.993</v>
      </c>
      <c r="AO209" s="10" t="s">
        <v>11</v>
      </c>
    </row>
    <row r="210" customFormat="false" ht="15" hidden="false" customHeight="false" outlineLevel="0" collapsed="false">
      <c r="AE210" s="10" t="s">
        <v>692</v>
      </c>
      <c r="AF210" s="22" t="n">
        <v>46176</v>
      </c>
      <c r="AG210" s="10" t="str">
        <f aca="false">"W"&amp;INT((AF210-MIN($AF$8:$AF$307))/7)+1</f>
        <v>W5</v>
      </c>
      <c r="AH210" s="10" t="s">
        <v>159</v>
      </c>
      <c r="AI210" s="10" t="s">
        <v>688</v>
      </c>
      <c r="AJ210" s="10" t="s">
        <v>693</v>
      </c>
      <c r="AK210" s="10" t="s">
        <v>162</v>
      </c>
      <c r="AL210" s="10" t="s">
        <v>484</v>
      </c>
      <c r="AM210" s="10" t="s">
        <v>164</v>
      </c>
      <c r="AN210" s="11" t="n">
        <v>49.994</v>
      </c>
      <c r="AO210" s="10" t="s">
        <v>11</v>
      </c>
    </row>
    <row r="211" customFormat="false" ht="15" hidden="false" customHeight="false" outlineLevel="0" collapsed="false">
      <c r="AE211" s="10" t="s">
        <v>694</v>
      </c>
      <c r="AF211" s="22" t="n">
        <v>46177</v>
      </c>
      <c r="AG211" s="10" t="str">
        <f aca="false">"W"&amp;INT((AF211-MIN($AF$8:$AF$307))/7)+1</f>
        <v>W5</v>
      </c>
      <c r="AH211" s="10" t="s">
        <v>159</v>
      </c>
      <c r="AI211" s="10" t="s">
        <v>688</v>
      </c>
      <c r="AJ211" s="10" t="s">
        <v>695</v>
      </c>
      <c r="AK211" s="10" t="s">
        <v>162</v>
      </c>
      <c r="AL211" s="10" t="s">
        <v>484</v>
      </c>
      <c r="AM211" s="10" t="s">
        <v>164</v>
      </c>
      <c r="AN211" s="11" t="n">
        <v>49.995</v>
      </c>
      <c r="AO211" s="10" t="s">
        <v>11</v>
      </c>
    </row>
    <row r="212" customFormat="false" ht="15" hidden="false" customHeight="false" outlineLevel="0" collapsed="false">
      <c r="AE212" s="10" t="s">
        <v>696</v>
      </c>
      <c r="AF212" s="22" t="n">
        <v>46178</v>
      </c>
      <c r="AG212" s="10" t="str">
        <f aca="false">"W"&amp;INT((AF212-MIN($AF$8:$AF$307))/7)+1</f>
        <v>W5</v>
      </c>
      <c r="AH212" s="10" t="s">
        <v>159</v>
      </c>
      <c r="AI212" s="10" t="s">
        <v>688</v>
      </c>
      <c r="AJ212" s="10" t="s">
        <v>697</v>
      </c>
      <c r="AK212" s="10" t="s">
        <v>162</v>
      </c>
      <c r="AL212" s="10" t="s">
        <v>484</v>
      </c>
      <c r="AM212" s="10" t="s">
        <v>164</v>
      </c>
      <c r="AN212" s="11" t="n">
        <v>49.996</v>
      </c>
      <c r="AO212" s="10" t="s">
        <v>11</v>
      </c>
    </row>
    <row r="213" customFormat="false" ht="15" hidden="false" customHeight="false" outlineLevel="0" collapsed="false">
      <c r="AE213" s="10" t="s">
        <v>698</v>
      </c>
      <c r="AF213" s="22" t="n">
        <v>46174</v>
      </c>
      <c r="AG213" s="10" t="str">
        <f aca="false">"W"&amp;INT((AF213-MIN($AF$8:$AF$307))/7)+1</f>
        <v>W5</v>
      </c>
      <c r="AH213" s="10" t="s">
        <v>159</v>
      </c>
      <c r="AI213" s="10" t="s">
        <v>688</v>
      </c>
      <c r="AJ213" s="10" t="s">
        <v>699</v>
      </c>
      <c r="AK213" s="10" t="s">
        <v>162</v>
      </c>
      <c r="AL213" s="10" t="s">
        <v>484</v>
      </c>
      <c r="AM213" s="10" t="s">
        <v>164</v>
      </c>
      <c r="AN213" s="11" t="n">
        <v>49.997</v>
      </c>
      <c r="AO213" s="10" t="s">
        <v>11</v>
      </c>
    </row>
    <row r="214" customFormat="false" ht="15" hidden="false" customHeight="false" outlineLevel="0" collapsed="false">
      <c r="AE214" s="10" t="s">
        <v>700</v>
      </c>
      <c r="AF214" s="22" t="n">
        <v>46175</v>
      </c>
      <c r="AG214" s="10" t="str">
        <f aca="false">"W"&amp;INT((AF214-MIN($AF$8:$AF$307))/7)+1</f>
        <v>W5</v>
      </c>
      <c r="AH214" s="10" t="s">
        <v>159</v>
      </c>
      <c r="AI214" s="10" t="s">
        <v>688</v>
      </c>
      <c r="AJ214" s="10" t="s">
        <v>701</v>
      </c>
      <c r="AK214" s="10" t="s">
        <v>162</v>
      </c>
      <c r="AL214" s="10" t="s">
        <v>484</v>
      </c>
      <c r="AM214" s="10" t="s">
        <v>164</v>
      </c>
      <c r="AN214" s="11" t="n">
        <v>49.998</v>
      </c>
      <c r="AO214" s="10" t="s">
        <v>11</v>
      </c>
    </row>
    <row r="215" customFormat="false" ht="15" hidden="false" customHeight="false" outlineLevel="0" collapsed="false">
      <c r="AE215" s="10" t="s">
        <v>702</v>
      </c>
      <c r="AF215" s="22" t="n">
        <v>46176</v>
      </c>
      <c r="AG215" s="10" t="str">
        <f aca="false">"W"&amp;INT((AF215-MIN($AF$8:$AF$307))/7)+1</f>
        <v>W5</v>
      </c>
      <c r="AH215" s="10" t="s">
        <v>159</v>
      </c>
      <c r="AI215" s="10" t="s">
        <v>688</v>
      </c>
      <c r="AJ215" s="10" t="s">
        <v>703</v>
      </c>
      <c r="AK215" s="10" t="s">
        <v>162</v>
      </c>
      <c r="AL215" s="10" t="s">
        <v>484</v>
      </c>
      <c r="AM215" s="10" t="s">
        <v>164</v>
      </c>
      <c r="AN215" s="11" t="n">
        <v>49.999</v>
      </c>
      <c r="AO215" s="10" t="s">
        <v>11</v>
      </c>
    </row>
    <row r="216" customFormat="false" ht="15" hidden="false" customHeight="false" outlineLevel="0" collapsed="false">
      <c r="AE216" s="10" t="s">
        <v>704</v>
      </c>
      <c r="AF216" s="22" t="n">
        <v>46177</v>
      </c>
      <c r="AG216" s="10" t="str">
        <f aca="false">"W"&amp;INT((AF216-MIN($AF$8:$AF$307))/7)+1</f>
        <v>W5</v>
      </c>
      <c r="AH216" s="10" t="s">
        <v>159</v>
      </c>
      <c r="AI216" s="10" t="s">
        <v>688</v>
      </c>
      <c r="AJ216" s="10" t="s">
        <v>705</v>
      </c>
      <c r="AK216" s="10" t="s">
        <v>162</v>
      </c>
      <c r="AL216" s="10" t="s">
        <v>484</v>
      </c>
      <c r="AM216" s="10" t="s">
        <v>164</v>
      </c>
      <c r="AN216" s="11" t="n">
        <v>50</v>
      </c>
      <c r="AO216" s="10" t="s">
        <v>11</v>
      </c>
    </row>
    <row r="217" customFormat="false" ht="15" hidden="false" customHeight="false" outlineLevel="0" collapsed="false">
      <c r="AE217" s="10" t="s">
        <v>706</v>
      </c>
      <c r="AF217" s="22" t="n">
        <v>46178</v>
      </c>
      <c r="AG217" s="10" t="str">
        <f aca="false">"W"&amp;INT((AF217-MIN($AF$8:$AF$307))/7)+1</f>
        <v>W5</v>
      </c>
      <c r="AH217" s="10" t="s">
        <v>159</v>
      </c>
      <c r="AI217" s="10" t="s">
        <v>688</v>
      </c>
      <c r="AJ217" s="10" t="s">
        <v>707</v>
      </c>
      <c r="AK217" s="10" t="s">
        <v>162</v>
      </c>
      <c r="AL217" s="10" t="s">
        <v>484</v>
      </c>
      <c r="AM217" s="10" t="s">
        <v>164</v>
      </c>
      <c r="AN217" s="11" t="n">
        <v>50.001</v>
      </c>
      <c r="AO217" s="10" t="s">
        <v>11</v>
      </c>
    </row>
    <row r="218" customFormat="false" ht="15" hidden="false" customHeight="false" outlineLevel="0" collapsed="false">
      <c r="AE218" s="10" t="s">
        <v>708</v>
      </c>
      <c r="AF218" s="22" t="n">
        <v>46174</v>
      </c>
      <c r="AG218" s="10" t="str">
        <f aca="false">"W"&amp;INT((AF218-MIN($AF$8:$AF$307))/7)+1</f>
        <v>W5</v>
      </c>
      <c r="AH218" s="10" t="s">
        <v>159</v>
      </c>
      <c r="AI218" s="10" t="s">
        <v>688</v>
      </c>
      <c r="AJ218" s="10" t="s">
        <v>709</v>
      </c>
      <c r="AK218" s="10" t="s">
        <v>162</v>
      </c>
      <c r="AL218" s="10" t="s">
        <v>484</v>
      </c>
      <c r="AM218" s="10" t="s">
        <v>164</v>
      </c>
      <c r="AN218" s="11" t="n">
        <v>50.002</v>
      </c>
      <c r="AO218" s="10" t="s">
        <v>11</v>
      </c>
    </row>
    <row r="219" customFormat="false" ht="15" hidden="false" customHeight="false" outlineLevel="0" collapsed="false">
      <c r="AE219" s="10" t="s">
        <v>710</v>
      </c>
      <c r="AF219" s="22" t="n">
        <v>46175</v>
      </c>
      <c r="AG219" s="10" t="str">
        <f aca="false">"W"&amp;INT((AF219-MIN($AF$8:$AF$307))/7)+1</f>
        <v>W5</v>
      </c>
      <c r="AH219" s="10" t="s">
        <v>159</v>
      </c>
      <c r="AI219" s="10" t="s">
        <v>688</v>
      </c>
      <c r="AJ219" s="10" t="s">
        <v>711</v>
      </c>
      <c r="AK219" s="10" t="s">
        <v>162</v>
      </c>
      <c r="AL219" s="10" t="s">
        <v>484</v>
      </c>
      <c r="AM219" s="10" t="s">
        <v>164</v>
      </c>
      <c r="AN219" s="11" t="n">
        <v>50.003</v>
      </c>
      <c r="AO219" s="10" t="s">
        <v>11</v>
      </c>
    </row>
    <row r="220" customFormat="false" ht="15" hidden="false" customHeight="false" outlineLevel="0" collapsed="false">
      <c r="AE220" s="10" t="s">
        <v>712</v>
      </c>
      <c r="AF220" s="22" t="n">
        <v>46176</v>
      </c>
      <c r="AG220" s="10" t="str">
        <f aca="false">"W"&amp;INT((AF220-MIN($AF$8:$AF$307))/7)+1</f>
        <v>W5</v>
      </c>
      <c r="AH220" s="10" t="s">
        <v>159</v>
      </c>
      <c r="AI220" s="10" t="s">
        <v>688</v>
      </c>
      <c r="AJ220" s="10" t="s">
        <v>713</v>
      </c>
      <c r="AK220" s="10" t="s">
        <v>162</v>
      </c>
      <c r="AL220" s="10" t="s">
        <v>484</v>
      </c>
      <c r="AM220" s="10" t="s">
        <v>164</v>
      </c>
      <c r="AN220" s="11" t="n">
        <v>49.992</v>
      </c>
      <c r="AO220" s="10" t="s">
        <v>11</v>
      </c>
    </row>
    <row r="221" customFormat="false" ht="15" hidden="false" customHeight="false" outlineLevel="0" collapsed="false">
      <c r="AE221" s="10" t="s">
        <v>714</v>
      </c>
      <c r="AF221" s="22" t="n">
        <v>46177</v>
      </c>
      <c r="AG221" s="10" t="str">
        <f aca="false">"W"&amp;INT((AF221-MIN($AF$8:$AF$307))/7)+1</f>
        <v>W5</v>
      </c>
      <c r="AH221" s="10" t="s">
        <v>159</v>
      </c>
      <c r="AI221" s="10" t="s">
        <v>688</v>
      </c>
      <c r="AJ221" s="10" t="s">
        <v>715</v>
      </c>
      <c r="AK221" s="10" t="s">
        <v>162</v>
      </c>
      <c r="AL221" s="10" t="s">
        <v>484</v>
      </c>
      <c r="AM221" s="10" t="s">
        <v>164</v>
      </c>
      <c r="AN221" s="11" t="n">
        <v>49.993</v>
      </c>
      <c r="AO221" s="10" t="s">
        <v>11</v>
      </c>
    </row>
    <row r="222" customFormat="false" ht="15" hidden="false" customHeight="false" outlineLevel="0" collapsed="false">
      <c r="AE222" s="10" t="s">
        <v>716</v>
      </c>
      <c r="AF222" s="22" t="n">
        <v>46178</v>
      </c>
      <c r="AG222" s="10" t="str">
        <f aca="false">"W"&amp;INT((AF222-MIN($AF$8:$AF$307))/7)+1</f>
        <v>W5</v>
      </c>
      <c r="AH222" s="10" t="s">
        <v>159</v>
      </c>
      <c r="AI222" s="10" t="s">
        <v>688</v>
      </c>
      <c r="AJ222" s="10" t="s">
        <v>717</v>
      </c>
      <c r="AK222" s="10" t="s">
        <v>162</v>
      </c>
      <c r="AL222" s="10" t="s">
        <v>484</v>
      </c>
      <c r="AM222" s="10" t="s">
        <v>164</v>
      </c>
      <c r="AN222" s="11" t="n">
        <v>49.994</v>
      </c>
      <c r="AO222" s="10" t="s">
        <v>11</v>
      </c>
    </row>
    <row r="223" customFormat="false" ht="15" hidden="false" customHeight="false" outlineLevel="0" collapsed="false">
      <c r="AE223" s="10" t="s">
        <v>718</v>
      </c>
      <c r="AF223" s="22" t="n">
        <v>46174</v>
      </c>
      <c r="AG223" s="10" t="str">
        <f aca="false">"W"&amp;INT((AF223-MIN($AF$8:$AF$307))/7)+1</f>
        <v>W5</v>
      </c>
      <c r="AH223" s="10" t="s">
        <v>159</v>
      </c>
      <c r="AI223" s="10" t="s">
        <v>688</v>
      </c>
      <c r="AJ223" s="10" t="s">
        <v>719</v>
      </c>
      <c r="AK223" s="10" t="s">
        <v>162</v>
      </c>
      <c r="AL223" s="10" t="s">
        <v>484</v>
      </c>
      <c r="AM223" s="10" t="s">
        <v>164</v>
      </c>
      <c r="AN223" s="11" t="n">
        <v>49.995</v>
      </c>
      <c r="AO223" s="10" t="s">
        <v>11</v>
      </c>
    </row>
    <row r="224" customFormat="false" ht="15" hidden="false" customHeight="false" outlineLevel="0" collapsed="false">
      <c r="AE224" s="10" t="s">
        <v>720</v>
      </c>
      <c r="AF224" s="22" t="n">
        <v>46175</v>
      </c>
      <c r="AG224" s="10" t="str">
        <f aca="false">"W"&amp;INT((AF224-MIN($AF$8:$AF$307))/7)+1</f>
        <v>W5</v>
      </c>
      <c r="AH224" s="10" t="s">
        <v>159</v>
      </c>
      <c r="AI224" s="10" t="s">
        <v>688</v>
      </c>
      <c r="AJ224" s="10" t="s">
        <v>721</v>
      </c>
      <c r="AK224" s="10" t="s">
        <v>162</v>
      </c>
      <c r="AL224" s="10" t="s">
        <v>484</v>
      </c>
      <c r="AM224" s="10" t="s">
        <v>164</v>
      </c>
      <c r="AN224" s="11" t="n">
        <v>49.996</v>
      </c>
      <c r="AO224" s="10" t="s">
        <v>11</v>
      </c>
    </row>
    <row r="225" customFormat="false" ht="15" hidden="false" customHeight="false" outlineLevel="0" collapsed="false">
      <c r="AE225" s="10" t="s">
        <v>722</v>
      </c>
      <c r="AF225" s="22" t="n">
        <v>46176</v>
      </c>
      <c r="AG225" s="10" t="str">
        <f aca="false">"W"&amp;INT((AF225-MIN($AF$8:$AF$307))/7)+1</f>
        <v>W5</v>
      </c>
      <c r="AH225" s="10" t="s">
        <v>159</v>
      </c>
      <c r="AI225" s="10" t="s">
        <v>688</v>
      </c>
      <c r="AJ225" s="10" t="s">
        <v>723</v>
      </c>
      <c r="AK225" s="10" t="s">
        <v>162</v>
      </c>
      <c r="AL225" s="10" t="s">
        <v>484</v>
      </c>
      <c r="AM225" s="10" t="s">
        <v>164</v>
      </c>
      <c r="AN225" s="11" t="n">
        <v>49.997</v>
      </c>
      <c r="AO225" s="10" t="s">
        <v>11</v>
      </c>
    </row>
    <row r="226" customFormat="false" ht="15" hidden="false" customHeight="false" outlineLevel="0" collapsed="false">
      <c r="AE226" s="10" t="s">
        <v>724</v>
      </c>
      <c r="AF226" s="22" t="n">
        <v>46177</v>
      </c>
      <c r="AG226" s="10" t="str">
        <f aca="false">"W"&amp;INT((AF226-MIN($AF$8:$AF$307))/7)+1</f>
        <v>W5</v>
      </c>
      <c r="AH226" s="10" t="s">
        <v>159</v>
      </c>
      <c r="AI226" s="10" t="s">
        <v>688</v>
      </c>
      <c r="AJ226" s="10" t="s">
        <v>725</v>
      </c>
      <c r="AK226" s="10" t="s">
        <v>162</v>
      </c>
      <c r="AL226" s="10" t="s">
        <v>484</v>
      </c>
      <c r="AM226" s="10" t="s">
        <v>164</v>
      </c>
      <c r="AN226" s="11" t="n">
        <v>49.998</v>
      </c>
      <c r="AO226" s="10" t="s">
        <v>11</v>
      </c>
    </row>
    <row r="227" customFormat="false" ht="15" hidden="false" customHeight="false" outlineLevel="0" collapsed="false">
      <c r="AE227" s="10" t="s">
        <v>726</v>
      </c>
      <c r="AF227" s="22" t="n">
        <v>46178</v>
      </c>
      <c r="AG227" s="10" t="str">
        <f aca="false">"W"&amp;INT((AF227-MIN($AF$8:$AF$307))/7)+1</f>
        <v>W5</v>
      </c>
      <c r="AH227" s="10" t="s">
        <v>159</v>
      </c>
      <c r="AI227" s="10" t="s">
        <v>688</v>
      </c>
      <c r="AJ227" s="10" t="s">
        <v>727</v>
      </c>
      <c r="AK227" s="10" t="s">
        <v>162</v>
      </c>
      <c r="AL227" s="10" t="s">
        <v>484</v>
      </c>
      <c r="AM227" s="10" t="s">
        <v>164</v>
      </c>
      <c r="AN227" s="11" t="n">
        <v>49.999</v>
      </c>
      <c r="AO227" s="10" t="s">
        <v>11</v>
      </c>
    </row>
    <row r="228" customFormat="false" ht="15" hidden="false" customHeight="false" outlineLevel="0" collapsed="false">
      <c r="AE228" s="10" t="s">
        <v>728</v>
      </c>
      <c r="AF228" s="22" t="n">
        <v>46174</v>
      </c>
      <c r="AG228" s="10" t="str">
        <f aca="false">"W"&amp;INT((AF228-MIN($AF$8:$AF$307))/7)+1</f>
        <v>W5</v>
      </c>
      <c r="AH228" s="10" t="s">
        <v>159</v>
      </c>
      <c r="AI228" s="10" t="s">
        <v>688</v>
      </c>
      <c r="AJ228" s="10" t="s">
        <v>729</v>
      </c>
      <c r="AK228" s="10" t="s">
        <v>162</v>
      </c>
      <c r="AL228" s="10" t="s">
        <v>484</v>
      </c>
      <c r="AM228" s="10" t="s">
        <v>164</v>
      </c>
      <c r="AN228" s="11" t="n">
        <v>50</v>
      </c>
      <c r="AO228" s="10" t="s">
        <v>11</v>
      </c>
    </row>
    <row r="229" customFormat="false" ht="15" hidden="false" customHeight="false" outlineLevel="0" collapsed="false">
      <c r="AE229" s="10" t="s">
        <v>730</v>
      </c>
      <c r="AF229" s="22" t="n">
        <v>46175</v>
      </c>
      <c r="AG229" s="10" t="str">
        <f aca="false">"W"&amp;INT((AF229-MIN($AF$8:$AF$307))/7)+1</f>
        <v>W5</v>
      </c>
      <c r="AH229" s="10" t="s">
        <v>159</v>
      </c>
      <c r="AI229" s="10" t="s">
        <v>688</v>
      </c>
      <c r="AJ229" s="10" t="s">
        <v>731</v>
      </c>
      <c r="AK229" s="10" t="s">
        <v>162</v>
      </c>
      <c r="AL229" s="10" t="s">
        <v>484</v>
      </c>
      <c r="AM229" s="10" t="s">
        <v>164</v>
      </c>
      <c r="AN229" s="11" t="n">
        <v>50.001</v>
      </c>
      <c r="AO229" s="10" t="s">
        <v>11</v>
      </c>
    </row>
    <row r="230" customFormat="false" ht="15" hidden="false" customHeight="false" outlineLevel="0" collapsed="false">
      <c r="AE230" s="10" t="s">
        <v>732</v>
      </c>
      <c r="AF230" s="22" t="n">
        <v>46176</v>
      </c>
      <c r="AG230" s="10" t="str">
        <f aca="false">"W"&amp;INT((AF230-MIN($AF$8:$AF$307))/7)+1</f>
        <v>W5</v>
      </c>
      <c r="AH230" s="10" t="s">
        <v>159</v>
      </c>
      <c r="AI230" s="10" t="s">
        <v>688</v>
      </c>
      <c r="AJ230" s="10" t="s">
        <v>733</v>
      </c>
      <c r="AK230" s="10" t="s">
        <v>162</v>
      </c>
      <c r="AL230" s="10" t="s">
        <v>484</v>
      </c>
      <c r="AM230" s="10" t="s">
        <v>164</v>
      </c>
      <c r="AN230" s="11" t="n">
        <v>50.002</v>
      </c>
      <c r="AO230" s="10" t="s">
        <v>11</v>
      </c>
    </row>
    <row r="231" customFormat="false" ht="15" hidden="false" customHeight="false" outlineLevel="0" collapsed="false">
      <c r="AE231" s="10" t="s">
        <v>734</v>
      </c>
      <c r="AF231" s="22" t="n">
        <v>46177</v>
      </c>
      <c r="AG231" s="10" t="str">
        <f aca="false">"W"&amp;INT((AF231-MIN($AF$8:$AF$307))/7)+1</f>
        <v>W5</v>
      </c>
      <c r="AH231" s="10" t="s">
        <v>159</v>
      </c>
      <c r="AI231" s="10" t="s">
        <v>688</v>
      </c>
      <c r="AJ231" s="10" t="s">
        <v>735</v>
      </c>
      <c r="AK231" s="10" t="s">
        <v>162</v>
      </c>
      <c r="AL231" s="10" t="s">
        <v>484</v>
      </c>
      <c r="AM231" s="10" t="s">
        <v>164</v>
      </c>
      <c r="AN231" s="11" t="n">
        <v>50.003</v>
      </c>
      <c r="AO231" s="10" t="s">
        <v>11</v>
      </c>
    </row>
    <row r="232" customFormat="false" ht="15" hidden="false" customHeight="false" outlineLevel="0" collapsed="false">
      <c r="AE232" s="10" t="s">
        <v>736</v>
      </c>
      <c r="AF232" s="22" t="n">
        <v>46178</v>
      </c>
      <c r="AG232" s="10" t="str">
        <f aca="false">"W"&amp;INT((AF232-MIN($AF$8:$AF$307))/7)+1</f>
        <v>W5</v>
      </c>
      <c r="AH232" s="10" t="s">
        <v>159</v>
      </c>
      <c r="AI232" s="10" t="s">
        <v>688</v>
      </c>
      <c r="AJ232" s="10" t="s">
        <v>737</v>
      </c>
      <c r="AK232" s="10" t="s">
        <v>162</v>
      </c>
      <c r="AL232" s="10" t="s">
        <v>484</v>
      </c>
      <c r="AM232" s="10" t="s">
        <v>164</v>
      </c>
      <c r="AN232" s="11" t="n">
        <v>50</v>
      </c>
      <c r="AO232" s="10" t="s">
        <v>11</v>
      </c>
    </row>
    <row r="233" customFormat="false" ht="15" hidden="false" customHeight="false" outlineLevel="0" collapsed="false">
      <c r="AE233" s="10" t="s">
        <v>738</v>
      </c>
      <c r="AF233" s="22" t="n">
        <v>46174</v>
      </c>
      <c r="AG233" s="10" t="str">
        <f aca="false">"W"&amp;INT((AF233-MIN($AF$8:$AF$307))/7)+1</f>
        <v>W5</v>
      </c>
      <c r="AH233" s="10" t="s">
        <v>201</v>
      </c>
      <c r="AI233" s="10" t="s">
        <v>739</v>
      </c>
      <c r="AJ233" s="10" t="s">
        <v>740</v>
      </c>
      <c r="AK233" s="10" t="s">
        <v>251</v>
      </c>
      <c r="AL233" s="10" t="s">
        <v>536</v>
      </c>
      <c r="AM233" s="10" t="s">
        <v>252</v>
      </c>
      <c r="AN233" s="11" t="n">
        <v>50.022</v>
      </c>
      <c r="AO233" s="10" t="s">
        <v>11</v>
      </c>
    </row>
    <row r="234" customFormat="false" ht="15" hidden="false" customHeight="false" outlineLevel="0" collapsed="false">
      <c r="AE234" s="10" t="s">
        <v>741</v>
      </c>
      <c r="AF234" s="22" t="n">
        <v>46175</v>
      </c>
      <c r="AG234" s="10" t="str">
        <f aca="false">"W"&amp;INT((AF234-MIN($AF$8:$AF$307))/7)+1</f>
        <v>W5</v>
      </c>
      <c r="AH234" s="10" t="s">
        <v>201</v>
      </c>
      <c r="AI234" s="10" t="s">
        <v>739</v>
      </c>
      <c r="AJ234" s="10" t="s">
        <v>742</v>
      </c>
      <c r="AK234" s="10" t="s">
        <v>251</v>
      </c>
      <c r="AL234" s="10" t="s">
        <v>536</v>
      </c>
      <c r="AM234" s="10" t="s">
        <v>252</v>
      </c>
      <c r="AN234" s="11" t="n">
        <v>50.023</v>
      </c>
      <c r="AO234" s="10" t="s">
        <v>11</v>
      </c>
    </row>
    <row r="235" customFormat="false" ht="15" hidden="false" customHeight="false" outlineLevel="0" collapsed="false">
      <c r="AE235" s="10" t="s">
        <v>743</v>
      </c>
      <c r="AF235" s="22" t="n">
        <v>46176</v>
      </c>
      <c r="AG235" s="10" t="str">
        <f aca="false">"W"&amp;INT((AF235-MIN($AF$8:$AF$307))/7)+1</f>
        <v>W5</v>
      </c>
      <c r="AH235" s="10" t="s">
        <v>201</v>
      </c>
      <c r="AI235" s="10" t="s">
        <v>739</v>
      </c>
      <c r="AJ235" s="10" t="s">
        <v>744</v>
      </c>
      <c r="AK235" s="10" t="s">
        <v>251</v>
      </c>
      <c r="AL235" s="10" t="s">
        <v>536</v>
      </c>
      <c r="AM235" s="10" t="s">
        <v>252</v>
      </c>
      <c r="AN235" s="11" t="n">
        <v>50.024</v>
      </c>
      <c r="AO235" s="10" t="s">
        <v>11</v>
      </c>
    </row>
    <row r="236" customFormat="false" ht="15" hidden="false" customHeight="false" outlineLevel="0" collapsed="false">
      <c r="AE236" s="10" t="s">
        <v>745</v>
      </c>
      <c r="AF236" s="22" t="n">
        <v>46177</v>
      </c>
      <c r="AG236" s="10" t="str">
        <f aca="false">"W"&amp;INT((AF236-MIN($AF$8:$AF$307))/7)+1</f>
        <v>W5</v>
      </c>
      <c r="AH236" s="10" t="s">
        <v>201</v>
      </c>
      <c r="AI236" s="10" t="s">
        <v>739</v>
      </c>
      <c r="AJ236" s="10" t="s">
        <v>746</v>
      </c>
      <c r="AK236" s="10" t="s">
        <v>251</v>
      </c>
      <c r="AL236" s="10" t="s">
        <v>536</v>
      </c>
      <c r="AM236" s="10" t="s">
        <v>252</v>
      </c>
      <c r="AN236" s="11" t="n">
        <v>50.025</v>
      </c>
      <c r="AO236" s="10" t="s">
        <v>11</v>
      </c>
    </row>
    <row r="237" customFormat="false" ht="15" hidden="false" customHeight="false" outlineLevel="0" collapsed="false">
      <c r="AE237" s="10" t="s">
        <v>747</v>
      </c>
      <c r="AF237" s="22" t="n">
        <v>46178</v>
      </c>
      <c r="AG237" s="10" t="str">
        <f aca="false">"W"&amp;INT((AF237-MIN($AF$8:$AF$307))/7)+1</f>
        <v>W5</v>
      </c>
      <c r="AH237" s="10" t="s">
        <v>201</v>
      </c>
      <c r="AI237" s="10" t="s">
        <v>739</v>
      </c>
      <c r="AJ237" s="10" t="s">
        <v>748</v>
      </c>
      <c r="AK237" s="10" t="s">
        <v>251</v>
      </c>
      <c r="AL237" s="10" t="s">
        <v>536</v>
      </c>
      <c r="AM237" s="10" t="s">
        <v>252</v>
      </c>
      <c r="AN237" s="11" t="n">
        <v>50.026</v>
      </c>
      <c r="AO237" s="10" t="s">
        <v>11</v>
      </c>
    </row>
    <row r="238" customFormat="false" ht="15" hidden="false" customHeight="false" outlineLevel="0" collapsed="false">
      <c r="AE238" s="10" t="s">
        <v>749</v>
      </c>
      <c r="AF238" s="22" t="n">
        <v>46174</v>
      </c>
      <c r="AG238" s="10" t="str">
        <f aca="false">"W"&amp;INT((AF238-MIN($AF$8:$AF$307))/7)+1</f>
        <v>W5</v>
      </c>
      <c r="AH238" s="10" t="s">
        <v>201</v>
      </c>
      <c r="AI238" s="10" t="s">
        <v>739</v>
      </c>
      <c r="AJ238" s="10" t="s">
        <v>750</v>
      </c>
      <c r="AK238" s="10" t="s">
        <v>251</v>
      </c>
      <c r="AL238" s="10" t="s">
        <v>536</v>
      </c>
      <c r="AM238" s="10" t="s">
        <v>252</v>
      </c>
      <c r="AN238" s="11" t="n">
        <v>50.027</v>
      </c>
      <c r="AO238" s="10" t="s">
        <v>11</v>
      </c>
    </row>
    <row r="239" customFormat="false" ht="15" hidden="false" customHeight="false" outlineLevel="0" collapsed="false">
      <c r="AE239" s="10" t="s">
        <v>751</v>
      </c>
      <c r="AF239" s="22" t="n">
        <v>46175</v>
      </c>
      <c r="AG239" s="10" t="str">
        <f aca="false">"W"&amp;INT((AF239-MIN($AF$8:$AF$307))/7)+1</f>
        <v>W5</v>
      </c>
      <c r="AH239" s="10" t="s">
        <v>201</v>
      </c>
      <c r="AI239" s="10" t="s">
        <v>739</v>
      </c>
      <c r="AJ239" s="10" t="s">
        <v>752</v>
      </c>
      <c r="AK239" s="10" t="s">
        <v>251</v>
      </c>
      <c r="AL239" s="10" t="s">
        <v>536</v>
      </c>
      <c r="AM239" s="10" t="s">
        <v>252</v>
      </c>
      <c r="AN239" s="11" t="n">
        <v>50.028</v>
      </c>
      <c r="AO239" s="10" t="s">
        <v>11</v>
      </c>
    </row>
    <row r="240" customFormat="false" ht="15" hidden="false" customHeight="false" outlineLevel="0" collapsed="false">
      <c r="AE240" s="10" t="s">
        <v>753</v>
      </c>
      <c r="AF240" s="22" t="n">
        <v>46176</v>
      </c>
      <c r="AG240" s="10" t="str">
        <f aca="false">"W"&amp;INT((AF240-MIN($AF$8:$AF$307))/7)+1</f>
        <v>W5</v>
      </c>
      <c r="AH240" s="10" t="s">
        <v>201</v>
      </c>
      <c r="AI240" s="10" t="s">
        <v>739</v>
      </c>
      <c r="AJ240" s="10" t="s">
        <v>754</v>
      </c>
      <c r="AK240" s="10" t="s">
        <v>251</v>
      </c>
      <c r="AL240" s="10" t="s">
        <v>536</v>
      </c>
      <c r="AM240" s="10" t="s">
        <v>252</v>
      </c>
      <c r="AN240" s="11" t="n">
        <v>50.029</v>
      </c>
      <c r="AO240" s="10" t="s">
        <v>11</v>
      </c>
    </row>
    <row r="241" customFormat="false" ht="15" hidden="false" customHeight="false" outlineLevel="0" collapsed="false">
      <c r="AE241" s="10" t="s">
        <v>755</v>
      </c>
      <c r="AF241" s="22" t="n">
        <v>46177</v>
      </c>
      <c r="AG241" s="10" t="str">
        <f aca="false">"W"&amp;INT((AF241-MIN($AF$8:$AF$307))/7)+1</f>
        <v>W5</v>
      </c>
      <c r="AH241" s="10" t="s">
        <v>201</v>
      </c>
      <c r="AI241" s="10" t="s">
        <v>739</v>
      </c>
      <c r="AJ241" s="10" t="s">
        <v>756</v>
      </c>
      <c r="AK241" s="10" t="s">
        <v>251</v>
      </c>
      <c r="AL241" s="10" t="s">
        <v>536</v>
      </c>
      <c r="AM241" s="10" t="s">
        <v>252</v>
      </c>
      <c r="AN241" s="11" t="n">
        <v>50.03</v>
      </c>
      <c r="AO241" s="10" t="s">
        <v>11</v>
      </c>
    </row>
    <row r="242" customFormat="false" ht="15" hidden="false" customHeight="false" outlineLevel="0" collapsed="false">
      <c r="AE242" s="10" t="s">
        <v>757</v>
      </c>
      <c r="AF242" s="22" t="n">
        <v>46178</v>
      </c>
      <c r="AG242" s="10" t="str">
        <f aca="false">"W"&amp;INT((AF242-MIN($AF$8:$AF$307))/7)+1</f>
        <v>W5</v>
      </c>
      <c r="AH242" s="10" t="s">
        <v>201</v>
      </c>
      <c r="AI242" s="10" t="s">
        <v>739</v>
      </c>
      <c r="AJ242" s="10" t="s">
        <v>758</v>
      </c>
      <c r="AK242" s="10" t="s">
        <v>251</v>
      </c>
      <c r="AL242" s="10" t="s">
        <v>536</v>
      </c>
      <c r="AM242" s="10" t="s">
        <v>252</v>
      </c>
      <c r="AN242" s="11" t="n">
        <v>50.031</v>
      </c>
      <c r="AO242" s="10" t="s">
        <v>11</v>
      </c>
    </row>
    <row r="243" customFormat="false" ht="15" hidden="false" customHeight="false" outlineLevel="0" collapsed="false">
      <c r="AE243" s="10" t="s">
        <v>759</v>
      </c>
      <c r="AF243" s="22" t="n">
        <v>46174</v>
      </c>
      <c r="AG243" s="10" t="str">
        <f aca="false">"W"&amp;INT((AF243-MIN($AF$8:$AF$307))/7)+1</f>
        <v>W5</v>
      </c>
      <c r="AH243" s="10" t="s">
        <v>201</v>
      </c>
      <c r="AI243" s="10" t="s">
        <v>739</v>
      </c>
      <c r="AJ243" s="10" t="s">
        <v>760</v>
      </c>
      <c r="AK243" s="10" t="s">
        <v>251</v>
      </c>
      <c r="AL243" s="10" t="s">
        <v>536</v>
      </c>
      <c r="AM243" s="10" t="s">
        <v>252</v>
      </c>
      <c r="AN243" s="11" t="n">
        <v>50.032</v>
      </c>
      <c r="AO243" s="10" t="s">
        <v>11</v>
      </c>
    </row>
    <row r="244" customFormat="false" ht="15" hidden="false" customHeight="false" outlineLevel="0" collapsed="false">
      <c r="AE244" s="10" t="s">
        <v>761</v>
      </c>
      <c r="AF244" s="22" t="n">
        <v>46175</v>
      </c>
      <c r="AG244" s="10" t="str">
        <f aca="false">"W"&amp;INT((AF244-MIN($AF$8:$AF$307))/7)+1</f>
        <v>W5</v>
      </c>
      <c r="AH244" s="10" t="s">
        <v>201</v>
      </c>
      <c r="AI244" s="10" t="s">
        <v>739</v>
      </c>
      <c r="AJ244" s="10" t="s">
        <v>762</v>
      </c>
      <c r="AK244" s="10" t="s">
        <v>251</v>
      </c>
      <c r="AL244" s="10" t="s">
        <v>536</v>
      </c>
      <c r="AM244" s="10" t="s">
        <v>252</v>
      </c>
      <c r="AN244" s="11" t="n">
        <v>50.033</v>
      </c>
      <c r="AO244" s="10" t="s">
        <v>11</v>
      </c>
    </row>
    <row r="245" customFormat="false" ht="15" hidden="false" customHeight="false" outlineLevel="0" collapsed="false">
      <c r="AE245" s="10" t="s">
        <v>763</v>
      </c>
      <c r="AF245" s="22" t="n">
        <v>46176</v>
      </c>
      <c r="AG245" s="10" t="str">
        <f aca="false">"W"&amp;INT((AF245-MIN($AF$8:$AF$307))/7)+1</f>
        <v>W5</v>
      </c>
      <c r="AH245" s="10" t="s">
        <v>201</v>
      </c>
      <c r="AI245" s="10" t="s">
        <v>739</v>
      </c>
      <c r="AJ245" s="10" t="s">
        <v>764</v>
      </c>
      <c r="AK245" s="10" t="s">
        <v>251</v>
      </c>
      <c r="AL245" s="10" t="s">
        <v>536</v>
      </c>
      <c r="AM245" s="10" t="s">
        <v>252</v>
      </c>
      <c r="AN245" s="11" t="n">
        <v>50.022</v>
      </c>
      <c r="AO245" s="10" t="s">
        <v>11</v>
      </c>
    </row>
    <row r="246" customFormat="false" ht="15" hidden="false" customHeight="false" outlineLevel="0" collapsed="false">
      <c r="AE246" s="10" t="s">
        <v>765</v>
      </c>
      <c r="AF246" s="22" t="n">
        <v>46177</v>
      </c>
      <c r="AG246" s="10" t="str">
        <f aca="false">"W"&amp;INT((AF246-MIN($AF$8:$AF$307))/7)+1</f>
        <v>W5</v>
      </c>
      <c r="AH246" s="10" t="s">
        <v>201</v>
      </c>
      <c r="AI246" s="10" t="s">
        <v>739</v>
      </c>
      <c r="AJ246" s="10" t="s">
        <v>766</v>
      </c>
      <c r="AK246" s="10" t="s">
        <v>251</v>
      </c>
      <c r="AL246" s="10" t="s">
        <v>536</v>
      </c>
      <c r="AM246" s="10" t="s">
        <v>252</v>
      </c>
      <c r="AN246" s="11" t="n">
        <v>50.023</v>
      </c>
      <c r="AO246" s="10" t="s">
        <v>11</v>
      </c>
    </row>
    <row r="247" customFormat="false" ht="15" hidden="false" customHeight="false" outlineLevel="0" collapsed="false">
      <c r="AE247" s="10" t="s">
        <v>767</v>
      </c>
      <c r="AF247" s="22" t="n">
        <v>46178</v>
      </c>
      <c r="AG247" s="10" t="str">
        <f aca="false">"W"&amp;INT((AF247-MIN($AF$8:$AF$307))/7)+1</f>
        <v>W5</v>
      </c>
      <c r="AH247" s="10" t="s">
        <v>201</v>
      </c>
      <c r="AI247" s="10" t="s">
        <v>739</v>
      </c>
      <c r="AJ247" s="10" t="s">
        <v>768</v>
      </c>
      <c r="AK247" s="10" t="s">
        <v>251</v>
      </c>
      <c r="AL247" s="10" t="s">
        <v>536</v>
      </c>
      <c r="AM247" s="10" t="s">
        <v>252</v>
      </c>
      <c r="AN247" s="11" t="n">
        <v>50.024</v>
      </c>
      <c r="AO247" s="10" t="s">
        <v>11</v>
      </c>
    </row>
    <row r="248" customFormat="false" ht="15" hidden="false" customHeight="false" outlineLevel="0" collapsed="false">
      <c r="AE248" s="10" t="s">
        <v>769</v>
      </c>
      <c r="AF248" s="22" t="n">
        <v>46174</v>
      </c>
      <c r="AG248" s="10" t="str">
        <f aca="false">"W"&amp;INT((AF248-MIN($AF$8:$AF$307))/7)+1</f>
        <v>W5</v>
      </c>
      <c r="AH248" s="10" t="s">
        <v>201</v>
      </c>
      <c r="AI248" s="10" t="s">
        <v>739</v>
      </c>
      <c r="AJ248" s="10" t="s">
        <v>770</v>
      </c>
      <c r="AK248" s="10" t="s">
        <v>251</v>
      </c>
      <c r="AL248" s="10" t="s">
        <v>536</v>
      </c>
      <c r="AM248" s="10" t="s">
        <v>252</v>
      </c>
      <c r="AN248" s="11" t="n">
        <v>50.025</v>
      </c>
      <c r="AO248" s="10" t="s">
        <v>11</v>
      </c>
    </row>
    <row r="249" customFormat="false" ht="15" hidden="false" customHeight="false" outlineLevel="0" collapsed="false">
      <c r="AE249" s="10" t="s">
        <v>771</v>
      </c>
      <c r="AF249" s="22" t="n">
        <v>46175</v>
      </c>
      <c r="AG249" s="10" t="str">
        <f aca="false">"W"&amp;INT((AF249-MIN($AF$8:$AF$307))/7)+1</f>
        <v>W5</v>
      </c>
      <c r="AH249" s="10" t="s">
        <v>201</v>
      </c>
      <c r="AI249" s="10" t="s">
        <v>739</v>
      </c>
      <c r="AJ249" s="10" t="s">
        <v>772</v>
      </c>
      <c r="AK249" s="10" t="s">
        <v>251</v>
      </c>
      <c r="AL249" s="10" t="s">
        <v>536</v>
      </c>
      <c r="AM249" s="10" t="s">
        <v>252</v>
      </c>
      <c r="AN249" s="11" t="n">
        <v>50.026</v>
      </c>
      <c r="AO249" s="10" t="s">
        <v>11</v>
      </c>
    </row>
    <row r="250" customFormat="false" ht="15" hidden="false" customHeight="false" outlineLevel="0" collapsed="false">
      <c r="AE250" s="10" t="s">
        <v>773</v>
      </c>
      <c r="AF250" s="22" t="n">
        <v>46176</v>
      </c>
      <c r="AG250" s="10" t="str">
        <f aca="false">"W"&amp;INT((AF250-MIN($AF$8:$AF$307))/7)+1</f>
        <v>W5</v>
      </c>
      <c r="AH250" s="10" t="s">
        <v>201</v>
      </c>
      <c r="AI250" s="10" t="s">
        <v>739</v>
      </c>
      <c r="AJ250" s="10" t="s">
        <v>774</v>
      </c>
      <c r="AK250" s="10" t="s">
        <v>251</v>
      </c>
      <c r="AL250" s="10" t="s">
        <v>536</v>
      </c>
      <c r="AM250" s="10" t="s">
        <v>252</v>
      </c>
      <c r="AN250" s="11" t="n">
        <v>50.027</v>
      </c>
      <c r="AO250" s="10" t="s">
        <v>11</v>
      </c>
    </row>
    <row r="251" customFormat="false" ht="15" hidden="false" customHeight="false" outlineLevel="0" collapsed="false">
      <c r="AE251" s="10" t="s">
        <v>775</v>
      </c>
      <c r="AF251" s="22" t="n">
        <v>46177</v>
      </c>
      <c r="AG251" s="10" t="str">
        <f aca="false">"W"&amp;INT((AF251-MIN($AF$8:$AF$307))/7)+1</f>
        <v>W5</v>
      </c>
      <c r="AH251" s="10" t="s">
        <v>201</v>
      </c>
      <c r="AI251" s="10" t="s">
        <v>739</v>
      </c>
      <c r="AJ251" s="10" t="s">
        <v>776</v>
      </c>
      <c r="AK251" s="10" t="s">
        <v>251</v>
      </c>
      <c r="AL251" s="10" t="s">
        <v>536</v>
      </c>
      <c r="AM251" s="10" t="s">
        <v>252</v>
      </c>
      <c r="AN251" s="11" t="n">
        <v>50.028</v>
      </c>
      <c r="AO251" s="10" t="s">
        <v>11</v>
      </c>
    </row>
    <row r="252" customFormat="false" ht="15" hidden="false" customHeight="false" outlineLevel="0" collapsed="false">
      <c r="AE252" s="10" t="s">
        <v>777</v>
      </c>
      <c r="AF252" s="22" t="n">
        <v>46178</v>
      </c>
      <c r="AG252" s="10" t="str">
        <f aca="false">"W"&amp;INT((AF252-MIN($AF$8:$AF$307))/7)+1</f>
        <v>W5</v>
      </c>
      <c r="AH252" s="10" t="s">
        <v>201</v>
      </c>
      <c r="AI252" s="10" t="s">
        <v>739</v>
      </c>
      <c r="AJ252" s="10" t="s">
        <v>778</v>
      </c>
      <c r="AK252" s="10" t="s">
        <v>251</v>
      </c>
      <c r="AL252" s="10" t="s">
        <v>536</v>
      </c>
      <c r="AM252" s="10" t="s">
        <v>252</v>
      </c>
      <c r="AN252" s="11" t="n">
        <v>50.029</v>
      </c>
      <c r="AO252" s="10" t="s">
        <v>11</v>
      </c>
    </row>
    <row r="253" customFormat="false" ht="15" hidden="false" customHeight="false" outlineLevel="0" collapsed="false">
      <c r="AE253" s="10" t="s">
        <v>779</v>
      </c>
      <c r="AF253" s="22" t="n">
        <v>46174</v>
      </c>
      <c r="AG253" s="10" t="str">
        <f aca="false">"W"&amp;INT((AF253-MIN($AF$8:$AF$307))/7)+1</f>
        <v>W5</v>
      </c>
      <c r="AH253" s="10" t="s">
        <v>201</v>
      </c>
      <c r="AI253" s="10" t="s">
        <v>739</v>
      </c>
      <c r="AJ253" s="10" t="s">
        <v>780</v>
      </c>
      <c r="AK253" s="10" t="s">
        <v>251</v>
      </c>
      <c r="AL253" s="10" t="s">
        <v>536</v>
      </c>
      <c r="AM253" s="10" t="s">
        <v>252</v>
      </c>
      <c r="AN253" s="11" t="n">
        <v>50.03</v>
      </c>
      <c r="AO253" s="10" t="s">
        <v>11</v>
      </c>
    </row>
    <row r="254" customFormat="false" ht="15" hidden="false" customHeight="false" outlineLevel="0" collapsed="false">
      <c r="AE254" s="10" t="s">
        <v>781</v>
      </c>
      <c r="AF254" s="22" t="n">
        <v>46175</v>
      </c>
      <c r="AG254" s="10" t="str">
        <f aca="false">"W"&amp;INT((AF254-MIN($AF$8:$AF$307))/7)+1</f>
        <v>W5</v>
      </c>
      <c r="AH254" s="10" t="s">
        <v>201</v>
      </c>
      <c r="AI254" s="10" t="s">
        <v>739</v>
      </c>
      <c r="AJ254" s="10" t="s">
        <v>782</v>
      </c>
      <c r="AK254" s="10" t="s">
        <v>251</v>
      </c>
      <c r="AL254" s="10" t="s">
        <v>536</v>
      </c>
      <c r="AM254" s="10" t="s">
        <v>252</v>
      </c>
      <c r="AN254" s="11" t="n">
        <v>50.031</v>
      </c>
      <c r="AO254" s="10" t="s">
        <v>11</v>
      </c>
    </row>
    <row r="255" customFormat="false" ht="15" hidden="false" customHeight="false" outlineLevel="0" collapsed="false">
      <c r="AE255" s="10" t="s">
        <v>783</v>
      </c>
      <c r="AF255" s="22" t="n">
        <v>46176</v>
      </c>
      <c r="AG255" s="10" t="str">
        <f aca="false">"W"&amp;INT((AF255-MIN($AF$8:$AF$307))/7)+1</f>
        <v>W5</v>
      </c>
      <c r="AH255" s="10" t="s">
        <v>201</v>
      </c>
      <c r="AI255" s="10" t="s">
        <v>739</v>
      </c>
      <c r="AJ255" s="10" t="s">
        <v>784</v>
      </c>
      <c r="AK255" s="10" t="s">
        <v>251</v>
      </c>
      <c r="AL255" s="10" t="s">
        <v>536</v>
      </c>
      <c r="AM255" s="10" t="s">
        <v>252</v>
      </c>
      <c r="AN255" s="11" t="n">
        <v>50.032</v>
      </c>
      <c r="AO255" s="10" t="s">
        <v>11</v>
      </c>
    </row>
    <row r="256" customFormat="false" ht="15" hidden="false" customHeight="false" outlineLevel="0" collapsed="false">
      <c r="AE256" s="10" t="s">
        <v>785</v>
      </c>
      <c r="AF256" s="22" t="n">
        <v>46177</v>
      </c>
      <c r="AG256" s="10" t="str">
        <f aca="false">"W"&amp;INT((AF256-MIN($AF$8:$AF$307))/7)+1</f>
        <v>W5</v>
      </c>
      <c r="AH256" s="10" t="s">
        <v>201</v>
      </c>
      <c r="AI256" s="10" t="s">
        <v>739</v>
      </c>
      <c r="AJ256" s="10" t="s">
        <v>786</v>
      </c>
      <c r="AK256" s="10" t="s">
        <v>251</v>
      </c>
      <c r="AL256" s="10" t="s">
        <v>536</v>
      </c>
      <c r="AM256" s="10" t="s">
        <v>252</v>
      </c>
      <c r="AN256" s="11" t="n">
        <v>50.033</v>
      </c>
      <c r="AO256" s="10" t="s">
        <v>11</v>
      </c>
    </row>
    <row r="257" customFormat="false" ht="15" hidden="false" customHeight="false" outlineLevel="0" collapsed="false">
      <c r="AE257" s="10" t="s">
        <v>787</v>
      </c>
      <c r="AF257" s="22" t="n">
        <v>46178</v>
      </c>
      <c r="AG257" s="10" t="str">
        <f aca="false">"W"&amp;INT((AF257-MIN($AF$8:$AF$307))/7)+1</f>
        <v>W5</v>
      </c>
      <c r="AH257" s="10" t="s">
        <v>201</v>
      </c>
      <c r="AI257" s="10" t="s">
        <v>739</v>
      </c>
      <c r="AJ257" s="10" t="s">
        <v>788</v>
      </c>
      <c r="AK257" s="10" t="s">
        <v>251</v>
      </c>
      <c r="AL257" s="10" t="s">
        <v>536</v>
      </c>
      <c r="AM257" s="10" t="s">
        <v>252</v>
      </c>
      <c r="AN257" s="11" t="n">
        <v>50.03</v>
      </c>
      <c r="AO257" s="10" t="s">
        <v>11</v>
      </c>
    </row>
    <row r="258" customFormat="false" ht="15" hidden="false" customHeight="false" outlineLevel="0" collapsed="false">
      <c r="AE258" s="10" t="s">
        <v>789</v>
      </c>
      <c r="AF258" s="22" t="n">
        <v>46181</v>
      </c>
      <c r="AG258" s="10" t="str">
        <f aca="false">"W"&amp;INT((AF258-MIN($AF$8:$AF$307))/7)+1</f>
        <v>W6</v>
      </c>
      <c r="AH258" s="10" t="s">
        <v>159</v>
      </c>
      <c r="AI258" s="10" t="s">
        <v>790</v>
      </c>
      <c r="AJ258" s="10" t="s">
        <v>791</v>
      </c>
      <c r="AK258" s="10" t="s">
        <v>162</v>
      </c>
      <c r="AL258" s="10" t="s">
        <v>484</v>
      </c>
      <c r="AM258" s="10" t="s">
        <v>164</v>
      </c>
      <c r="AN258" s="11" t="n">
        <v>49.993</v>
      </c>
      <c r="AO258" s="10" t="s">
        <v>11</v>
      </c>
    </row>
    <row r="259" customFormat="false" ht="15" hidden="false" customHeight="false" outlineLevel="0" collapsed="false">
      <c r="AE259" s="10" t="s">
        <v>792</v>
      </c>
      <c r="AF259" s="22" t="n">
        <v>46182</v>
      </c>
      <c r="AG259" s="10" t="str">
        <f aca="false">"W"&amp;INT((AF259-MIN($AF$8:$AF$307))/7)+1</f>
        <v>W6</v>
      </c>
      <c r="AH259" s="10" t="s">
        <v>159</v>
      </c>
      <c r="AI259" s="10" t="s">
        <v>790</v>
      </c>
      <c r="AJ259" s="10" t="s">
        <v>793</v>
      </c>
      <c r="AK259" s="10" t="s">
        <v>162</v>
      </c>
      <c r="AL259" s="10" t="s">
        <v>484</v>
      </c>
      <c r="AM259" s="10" t="s">
        <v>164</v>
      </c>
      <c r="AN259" s="11" t="n">
        <v>49.994</v>
      </c>
      <c r="AO259" s="10" t="s">
        <v>11</v>
      </c>
    </row>
    <row r="260" customFormat="false" ht="15" hidden="false" customHeight="false" outlineLevel="0" collapsed="false">
      <c r="AE260" s="10" t="s">
        <v>794</v>
      </c>
      <c r="AF260" s="22" t="n">
        <v>46183</v>
      </c>
      <c r="AG260" s="10" t="str">
        <f aca="false">"W"&amp;INT((AF260-MIN($AF$8:$AF$307))/7)+1</f>
        <v>W6</v>
      </c>
      <c r="AH260" s="10" t="s">
        <v>159</v>
      </c>
      <c r="AI260" s="10" t="s">
        <v>790</v>
      </c>
      <c r="AJ260" s="10" t="s">
        <v>795</v>
      </c>
      <c r="AK260" s="10" t="s">
        <v>162</v>
      </c>
      <c r="AL260" s="10" t="s">
        <v>484</v>
      </c>
      <c r="AM260" s="10" t="s">
        <v>164</v>
      </c>
      <c r="AN260" s="11" t="n">
        <v>49.995</v>
      </c>
      <c r="AO260" s="10" t="s">
        <v>11</v>
      </c>
    </row>
    <row r="261" customFormat="false" ht="15" hidden="false" customHeight="false" outlineLevel="0" collapsed="false">
      <c r="AE261" s="10" t="s">
        <v>796</v>
      </c>
      <c r="AF261" s="22" t="n">
        <v>46184</v>
      </c>
      <c r="AG261" s="10" t="str">
        <f aca="false">"W"&amp;INT((AF261-MIN($AF$8:$AF$307))/7)+1</f>
        <v>W6</v>
      </c>
      <c r="AH261" s="10" t="s">
        <v>159</v>
      </c>
      <c r="AI261" s="10" t="s">
        <v>790</v>
      </c>
      <c r="AJ261" s="10" t="s">
        <v>797</v>
      </c>
      <c r="AK261" s="10" t="s">
        <v>162</v>
      </c>
      <c r="AL261" s="10" t="s">
        <v>484</v>
      </c>
      <c r="AM261" s="10" t="s">
        <v>164</v>
      </c>
      <c r="AN261" s="11" t="n">
        <v>49.996</v>
      </c>
      <c r="AO261" s="10" t="s">
        <v>11</v>
      </c>
    </row>
    <row r="262" customFormat="false" ht="15" hidden="false" customHeight="false" outlineLevel="0" collapsed="false">
      <c r="AE262" s="10" t="s">
        <v>798</v>
      </c>
      <c r="AF262" s="22" t="n">
        <v>46185</v>
      </c>
      <c r="AG262" s="10" t="str">
        <f aca="false">"W"&amp;INT((AF262-MIN($AF$8:$AF$307))/7)+1</f>
        <v>W6</v>
      </c>
      <c r="AH262" s="10" t="s">
        <v>159</v>
      </c>
      <c r="AI262" s="10" t="s">
        <v>790</v>
      </c>
      <c r="AJ262" s="10" t="s">
        <v>799</v>
      </c>
      <c r="AK262" s="10" t="s">
        <v>162</v>
      </c>
      <c r="AL262" s="10" t="s">
        <v>484</v>
      </c>
      <c r="AM262" s="10" t="s">
        <v>164</v>
      </c>
      <c r="AN262" s="11" t="n">
        <v>49.997</v>
      </c>
      <c r="AO262" s="10" t="s">
        <v>11</v>
      </c>
    </row>
    <row r="263" customFormat="false" ht="15" hidden="false" customHeight="false" outlineLevel="0" collapsed="false">
      <c r="AE263" s="10" t="s">
        <v>800</v>
      </c>
      <c r="AF263" s="22" t="n">
        <v>46181</v>
      </c>
      <c r="AG263" s="10" t="str">
        <f aca="false">"W"&amp;INT((AF263-MIN($AF$8:$AF$307))/7)+1</f>
        <v>W6</v>
      </c>
      <c r="AH263" s="10" t="s">
        <v>159</v>
      </c>
      <c r="AI263" s="10" t="s">
        <v>790</v>
      </c>
      <c r="AJ263" s="10" t="s">
        <v>801</v>
      </c>
      <c r="AK263" s="10" t="s">
        <v>162</v>
      </c>
      <c r="AL263" s="10" t="s">
        <v>484</v>
      </c>
      <c r="AM263" s="10" t="s">
        <v>164</v>
      </c>
      <c r="AN263" s="11" t="n">
        <v>49.998</v>
      </c>
      <c r="AO263" s="10" t="s">
        <v>11</v>
      </c>
    </row>
    <row r="264" customFormat="false" ht="15" hidden="false" customHeight="false" outlineLevel="0" collapsed="false">
      <c r="AE264" s="10" t="s">
        <v>802</v>
      </c>
      <c r="AF264" s="22" t="n">
        <v>46182</v>
      </c>
      <c r="AG264" s="10" t="str">
        <f aca="false">"W"&amp;INT((AF264-MIN($AF$8:$AF$307))/7)+1</f>
        <v>W6</v>
      </c>
      <c r="AH264" s="10" t="s">
        <v>159</v>
      </c>
      <c r="AI264" s="10" t="s">
        <v>790</v>
      </c>
      <c r="AJ264" s="10" t="s">
        <v>803</v>
      </c>
      <c r="AK264" s="10" t="s">
        <v>162</v>
      </c>
      <c r="AL264" s="10" t="s">
        <v>484</v>
      </c>
      <c r="AM264" s="10" t="s">
        <v>164</v>
      </c>
      <c r="AN264" s="11" t="n">
        <v>49.999</v>
      </c>
      <c r="AO264" s="10" t="s">
        <v>11</v>
      </c>
    </row>
    <row r="265" customFormat="false" ht="15" hidden="false" customHeight="false" outlineLevel="0" collapsed="false">
      <c r="AE265" s="10" t="s">
        <v>804</v>
      </c>
      <c r="AF265" s="22" t="n">
        <v>46183</v>
      </c>
      <c r="AG265" s="10" t="str">
        <f aca="false">"W"&amp;INT((AF265-MIN($AF$8:$AF$307))/7)+1</f>
        <v>W6</v>
      </c>
      <c r="AH265" s="10" t="s">
        <v>159</v>
      </c>
      <c r="AI265" s="10" t="s">
        <v>790</v>
      </c>
      <c r="AJ265" s="10" t="s">
        <v>805</v>
      </c>
      <c r="AK265" s="10" t="s">
        <v>162</v>
      </c>
      <c r="AL265" s="10" t="s">
        <v>484</v>
      </c>
      <c r="AM265" s="10" t="s">
        <v>164</v>
      </c>
      <c r="AN265" s="11" t="n">
        <v>50</v>
      </c>
      <c r="AO265" s="10" t="s">
        <v>11</v>
      </c>
    </row>
    <row r="266" customFormat="false" ht="15" hidden="false" customHeight="false" outlineLevel="0" collapsed="false">
      <c r="AE266" s="10" t="s">
        <v>806</v>
      </c>
      <c r="AF266" s="22" t="n">
        <v>46184</v>
      </c>
      <c r="AG266" s="10" t="str">
        <f aca="false">"W"&amp;INT((AF266-MIN($AF$8:$AF$307))/7)+1</f>
        <v>W6</v>
      </c>
      <c r="AH266" s="10" t="s">
        <v>159</v>
      </c>
      <c r="AI266" s="10" t="s">
        <v>790</v>
      </c>
      <c r="AJ266" s="10" t="s">
        <v>807</v>
      </c>
      <c r="AK266" s="10" t="s">
        <v>162</v>
      </c>
      <c r="AL266" s="10" t="s">
        <v>484</v>
      </c>
      <c r="AM266" s="10" t="s">
        <v>164</v>
      </c>
      <c r="AN266" s="11" t="n">
        <v>50.001</v>
      </c>
      <c r="AO266" s="10" t="s">
        <v>11</v>
      </c>
    </row>
    <row r="267" customFormat="false" ht="15" hidden="false" customHeight="false" outlineLevel="0" collapsed="false">
      <c r="AE267" s="10" t="s">
        <v>808</v>
      </c>
      <c r="AF267" s="22" t="n">
        <v>46185</v>
      </c>
      <c r="AG267" s="10" t="str">
        <f aca="false">"W"&amp;INT((AF267-MIN($AF$8:$AF$307))/7)+1</f>
        <v>W6</v>
      </c>
      <c r="AH267" s="10" t="s">
        <v>159</v>
      </c>
      <c r="AI267" s="10" t="s">
        <v>790</v>
      </c>
      <c r="AJ267" s="10" t="s">
        <v>809</v>
      </c>
      <c r="AK267" s="10" t="s">
        <v>162</v>
      </c>
      <c r="AL267" s="10" t="s">
        <v>484</v>
      </c>
      <c r="AM267" s="10" t="s">
        <v>164</v>
      </c>
      <c r="AN267" s="11" t="n">
        <v>50.002</v>
      </c>
      <c r="AO267" s="10" t="s">
        <v>11</v>
      </c>
    </row>
    <row r="268" customFormat="false" ht="15" hidden="false" customHeight="false" outlineLevel="0" collapsed="false">
      <c r="AE268" s="10" t="s">
        <v>810</v>
      </c>
      <c r="AF268" s="22" t="n">
        <v>46181</v>
      </c>
      <c r="AG268" s="10" t="str">
        <f aca="false">"W"&amp;INT((AF268-MIN($AF$8:$AF$307))/7)+1</f>
        <v>W6</v>
      </c>
      <c r="AH268" s="10" t="s">
        <v>159</v>
      </c>
      <c r="AI268" s="10" t="s">
        <v>790</v>
      </c>
      <c r="AJ268" s="10" t="s">
        <v>811</v>
      </c>
      <c r="AK268" s="10" t="s">
        <v>162</v>
      </c>
      <c r="AL268" s="10" t="s">
        <v>484</v>
      </c>
      <c r="AM268" s="10" t="s">
        <v>164</v>
      </c>
      <c r="AN268" s="11" t="n">
        <v>50.003</v>
      </c>
      <c r="AO268" s="10" t="s">
        <v>11</v>
      </c>
    </row>
    <row r="269" customFormat="false" ht="15" hidden="false" customHeight="false" outlineLevel="0" collapsed="false">
      <c r="AE269" s="10" t="s">
        <v>812</v>
      </c>
      <c r="AF269" s="22" t="n">
        <v>46182</v>
      </c>
      <c r="AG269" s="10" t="str">
        <f aca="false">"W"&amp;INT((AF269-MIN($AF$8:$AF$307))/7)+1</f>
        <v>W6</v>
      </c>
      <c r="AH269" s="10" t="s">
        <v>159</v>
      </c>
      <c r="AI269" s="10" t="s">
        <v>790</v>
      </c>
      <c r="AJ269" s="10" t="s">
        <v>813</v>
      </c>
      <c r="AK269" s="10" t="s">
        <v>162</v>
      </c>
      <c r="AL269" s="10" t="s">
        <v>484</v>
      </c>
      <c r="AM269" s="10" t="s">
        <v>164</v>
      </c>
      <c r="AN269" s="11" t="n">
        <v>50.004</v>
      </c>
      <c r="AO269" s="10" t="s">
        <v>11</v>
      </c>
    </row>
    <row r="270" customFormat="false" ht="15" hidden="false" customHeight="false" outlineLevel="0" collapsed="false">
      <c r="AE270" s="10" t="s">
        <v>814</v>
      </c>
      <c r="AF270" s="22" t="n">
        <v>46183</v>
      </c>
      <c r="AG270" s="10" t="str">
        <f aca="false">"W"&amp;INT((AF270-MIN($AF$8:$AF$307))/7)+1</f>
        <v>W6</v>
      </c>
      <c r="AH270" s="10" t="s">
        <v>159</v>
      </c>
      <c r="AI270" s="10" t="s">
        <v>790</v>
      </c>
      <c r="AJ270" s="10" t="s">
        <v>815</v>
      </c>
      <c r="AK270" s="10" t="s">
        <v>162</v>
      </c>
      <c r="AL270" s="10" t="s">
        <v>484</v>
      </c>
      <c r="AM270" s="10" t="s">
        <v>164</v>
      </c>
      <c r="AN270" s="11" t="n">
        <v>49.993</v>
      </c>
      <c r="AO270" s="10" t="s">
        <v>11</v>
      </c>
    </row>
    <row r="271" customFormat="false" ht="15" hidden="false" customHeight="false" outlineLevel="0" collapsed="false">
      <c r="AE271" s="10" t="s">
        <v>816</v>
      </c>
      <c r="AF271" s="22" t="n">
        <v>46184</v>
      </c>
      <c r="AG271" s="10" t="str">
        <f aca="false">"W"&amp;INT((AF271-MIN($AF$8:$AF$307))/7)+1</f>
        <v>W6</v>
      </c>
      <c r="AH271" s="10" t="s">
        <v>159</v>
      </c>
      <c r="AI271" s="10" t="s">
        <v>790</v>
      </c>
      <c r="AJ271" s="10" t="s">
        <v>817</v>
      </c>
      <c r="AK271" s="10" t="s">
        <v>162</v>
      </c>
      <c r="AL271" s="10" t="s">
        <v>484</v>
      </c>
      <c r="AM271" s="10" t="s">
        <v>164</v>
      </c>
      <c r="AN271" s="11" t="n">
        <v>49.994</v>
      </c>
      <c r="AO271" s="10" t="s">
        <v>11</v>
      </c>
    </row>
    <row r="272" customFormat="false" ht="15" hidden="false" customHeight="false" outlineLevel="0" collapsed="false">
      <c r="AE272" s="10" t="s">
        <v>818</v>
      </c>
      <c r="AF272" s="22" t="n">
        <v>46185</v>
      </c>
      <c r="AG272" s="10" t="str">
        <f aca="false">"W"&amp;INT((AF272-MIN($AF$8:$AF$307))/7)+1</f>
        <v>W6</v>
      </c>
      <c r="AH272" s="10" t="s">
        <v>159</v>
      </c>
      <c r="AI272" s="10" t="s">
        <v>790</v>
      </c>
      <c r="AJ272" s="10" t="s">
        <v>819</v>
      </c>
      <c r="AK272" s="10" t="s">
        <v>162</v>
      </c>
      <c r="AL272" s="10" t="s">
        <v>484</v>
      </c>
      <c r="AM272" s="10" t="s">
        <v>164</v>
      </c>
      <c r="AN272" s="11" t="n">
        <v>49.995</v>
      </c>
      <c r="AO272" s="10" t="s">
        <v>11</v>
      </c>
    </row>
    <row r="273" customFormat="false" ht="15" hidden="false" customHeight="false" outlineLevel="0" collapsed="false">
      <c r="AE273" s="10" t="s">
        <v>820</v>
      </c>
      <c r="AF273" s="22" t="n">
        <v>46181</v>
      </c>
      <c r="AG273" s="10" t="str">
        <f aca="false">"W"&amp;INT((AF273-MIN($AF$8:$AF$307))/7)+1</f>
        <v>W6</v>
      </c>
      <c r="AH273" s="10" t="s">
        <v>159</v>
      </c>
      <c r="AI273" s="10" t="s">
        <v>790</v>
      </c>
      <c r="AJ273" s="10" t="s">
        <v>821</v>
      </c>
      <c r="AK273" s="10" t="s">
        <v>162</v>
      </c>
      <c r="AL273" s="10" t="s">
        <v>484</v>
      </c>
      <c r="AM273" s="10" t="s">
        <v>164</v>
      </c>
      <c r="AN273" s="11" t="n">
        <v>49.996</v>
      </c>
      <c r="AO273" s="10" t="s">
        <v>11</v>
      </c>
    </row>
    <row r="274" customFormat="false" ht="15" hidden="false" customHeight="false" outlineLevel="0" collapsed="false">
      <c r="AE274" s="10" t="s">
        <v>822</v>
      </c>
      <c r="AF274" s="22" t="n">
        <v>46182</v>
      </c>
      <c r="AG274" s="10" t="str">
        <f aca="false">"W"&amp;INT((AF274-MIN($AF$8:$AF$307))/7)+1</f>
        <v>W6</v>
      </c>
      <c r="AH274" s="10" t="s">
        <v>159</v>
      </c>
      <c r="AI274" s="10" t="s">
        <v>790</v>
      </c>
      <c r="AJ274" s="10" t="s">
        <v>823</v>
      </c>
      <c r="AK274" s="10" t="s">
        <v>162</v>
      </c>
      <c r="AL274" s="10" t="s">
        <v>484</v>
      </c>
      <c r="AM274" s="10" t="s">
        <v>164</v>
      </c>
      <c r="AN274" s="11" t="n">
        <v>49.997</v>
      </c>
      <c r="AO274" s="10" t="s">
        <v>11</v>
      </c>
    </row>
    <row r="275" customFormat="false" ht="15" hidden="false" customHeight="false" outlineLevel="0" collapsed="false">
      <c r="AE275" s="10" t="s">
        <v>824</v>
      </c>
      <c r="AF275" s="22" t="n">
        <v>46183</v>
      </c>
      <c r="AG275" s="10" t="str">
        <f aca="false">"W"&amp;INT((AF275-MIN($AF$8:$AF$307))/7)+1</f>
        <v>W6</v>
      </c>
      <c r="AH275" s="10" t="s">
        <v>159</v>
      </c>
      <c r="AI275" s="10" t="s">
        <v>790</v>
      </c>
      <c r="AJ275" s="10" t="s">
        <v>825</v>
      </c>
      <c r="AK275" s="10" t="s">
        <v>162</v>
      </c>
      <c r="AL275" s="10" t="s">
        <v>484</v>
      </c>
      <c r="AM275" s="10" t="s">
        <v>164</v>
      </c>
      <c r="AN275" s="11" t="n">
        <v>49.998</v>
      </c>
      <c r="AO275" s="10" t="s">
        <v>11</v>
      </c>
    </row>
    <row r="276" customFormat="false" ht="15" hidden="false" customHeight="false" outlineLevel="0" collapsed="false">
      <c r="AE276" s="10" t="s">
        <v>826</v>
      </c>
      <c r="AF276" s="22" t="n">
        <v>46184</v>
      </c>
      <c r="AG276" s="10" t="str">
        <f aca="false">"W"&amp;INT((AF276-MIN($AF$8:$AF$307))/7)+1</f>
        <v>W6</v>
      </c>
      <c r="AH276" s="10" t="s">
        <v>159</v>
      </c>
      <c r="AI276" s="10" t="s">
        <v>790</v>
      </c>
      <c r="AJ276" s="10" t="s">
        <v>827</v>
      </c>
      <c r="AK276" s="10" t="s">
        <v>162</v>
      </c>
      <c r="AL276" s="10" t="s">
        <v>484</v>
      </c>
      <c r="AM276" s="10" t="s">
        <v>164</v>
      </c>
      <c r="AN276" s="11" t="n">
        <v>49.999</v>
      </c>
      <c r="AO276" s="10" t="s">
        <v>11</v>
      </c>
    </row>
    <row r="277" customFormat="false" ht="15" hidden="false" customHeight="false" outlineLevel="0" collapsed="false">
      <c r="AE277" s="10" t="s">
        <v>828</v>
      </c>
      <c r="AF277" s="22" t="n">
        <v>46185</v>
      </c>
      <c r="AG277" s="10" t="str">
        <f aca="false">"W"&amp;INT((AF277-MIN($AF$8:$AF$307))/7)+1</f>
        <v>W6</v>
      </c>
      <c r="AH277" s="10" t="s">
        <v>159</v>
      </c>
      <c r="AI277" s="10" t="s">
        <v>790</v>
      </c>
      <c r="AJ277" s="10" t="s">
        <v>829</v>
      </c>
      <c r="AK277" s="10" t="s">
        <v>162</v>
      </c>
      <c r="AL277" s="10" t="s">
        <v>484</v>
      </c>
      <c r="AM277" s="10" t="s">
        <v>164</v>
      </c>
      <c r="AN277" s="11" t="n">
        <v>50</v>
      </c>
      <c r="AO277" s="10" t="s">
        <v>11</v>
      </c>
    </row>
    <row r="278" customFormat="false" ht="15" hidden="false" customHeight="false" outlineLevel="0" collapsed="false">
      <c r="AE278" s="10" t="s">
        <v>830</v>
      </c>
      <c r="AF278" s="22" t="n">
        <v>46181</v>
      </c>
      <c r="AG278" s="10" t="str">
        <f aca="false">"W"&amp;INT((AF278-MIN($AF$8:$AF$307))/7)+1</f>
        <v>W6</v>
      </c>
      <c r="AH278" s="10" t="s">
        <v>159</v>
      </c>
      <c r="AI278" s="10" t="s">
        <v>790</v>
      </c>
      <c r="AJ278" s="10" t="s">
        <v>831</v>
      </c>
      <c r="AK278" s="10" t="s">
        <v>162</v>
      </c>
      <c r="AL278" s="10" t="s">
        <v>484</v>
      </c>
      <c r="AM278" s="10" t="s">
        <v>164</v>
      </c>
      <c r="AN278" s="11" t="n">
        <v>50.001</v>
      </c>
      <c r="AO278" s="10" t="s">
        <v>11</v>
      </c>
    </row>
    <row r="279" customFormat="false" ht="15" hidden="false" customHeight="false" outlineLevel="0" collapsed="false">
      <c r="AE279" s="10" t="s">
        <v>832</v>
      </c>
      <c r="AF279" s="22" t="n">
        <v>46182</v>
      </c>
      <c r="AG279" s="10" t="str">
        <f aca="false">"W"&amp;INT((AF279-MIN($AF$8:$AF$307))/7)+1</f>
        <v>W6</v>
      </c>
      <c r="AH279" s="10" t="s">
        <v>159</v>
      </c>
      <c r="AI279" s="10" t="s">
        <v>790</v>
      </c>
      <c r="AJ279" s="10" t="s">
        <v>833</v>
      </c>
      <c r="AK279" s="10" t="s">
        <v>162</v>
      </c>
      <c r="AL279" s="10" t="s">
        <v>484</v>
      </c>
      <c r="AM279" s="10" t="s">
        <v>164</v>
      </c>
      <c r="AN279" s="11" t="n">
        <v>50.002</v>
      </c>
      <c r="AO279" s="10" t="s">
        <v>11</v>
      </c>
    </row>
    <row r="280" customFormat="false" ht="15" hidden="false" customHeight="false" outlineLevel="0" collapsed="false">
      <c r="AE280" s="10" t="s">
        <v>834</v>
      </c>
      <c r="AF280" s="22" t="n">
        <v>46183</v>
      </c>
      <c r="AG280" s="10" t="str">
        <f aca="false">"W"&amp;INT((AF280-MIN($AF$8:$AF$307))/7)+1</f>
        <v>W6</v>
      </c>
      <c r="AH280" s="10" t="s">
        <v>159</v>
      </c>
      <c r="AI280" s="10" t="s">
        <v>790</v>
      </c>
      <c r="AJ280" s="10" t="s">
        <v>835</v>
      </c>
      <c r="AK280" s="10" t="s">
        <v>162</v>
      </c>
      <c r="AL280" s="10" t="s">
        <v>484</v>
      </c>
      <c r="AM280" s="10" t="s">
        <v>164</v>
      </c>
      <c r="AN280" s="11" t="n">
        <v>50.003</v>
      </c>
      <c r="AO280" s="10" t="s">
        <v>11</v>
      </c>
    </row>
    <row r="281" customFormat="false" ht="15" hidden="false" customHeight="false" outlineLevel="0" collapsed="false">
      <c r="AE281" s="10" t="s">
        <v>836</v>
      </c>
      <c r="AF281" s="22" t="n">
        <v>46184</v>
      </c>
      <c r="AG281" s="10" t="str">
        <f aca="false">"W"&amp;INT((AF281-MIN($AF$8:$AF$307))/7)+1</f>
        <v>W6</v>
      </c>
      <c r="AH281" s="10" t="s">
        <v>159</v>
      </c>
      <c r="AI281" s="10" t="s">
        <v>790</v>
      </c>
      <c r="AJ281" s="10" t="s">
        <v>837</v>
      </c>
      <c r="AK281" s="10" t="s">
        <v>162</v>
      </c>
      <c r="AL281" s="10" t="s">
        <v>484</v>
      </c>
      <c r="AM281" s="10" t="s">
        <v>164</v>
      </c>
      <c r="AN281" s="11" t="n">
        <v>50.004</v>
      </c>
      <c r="AO281" s="10" t="s">
        <v>11</v>
      </c>
    </row>
    <row r="282" customFormat="false" ht="15" hidden="false" customHeight="false" outlineLevel="0" collapsed="false">
      <c r="AE282" s="10" t="s">
        <v>838</v>
      </c>
      <c r="AF282" s="22" t="n">
        <v>46185</v>
      </c>
      <c r="AG282" s="10" t="str">
        <f aca="false">"W"&amp;INT((AF282-MIN($AF$8:$AF$307))/7)+1</f>
        <v>W6</v>
      </c>
      <c r="AH282" s="10" t="s">
        <v>159</v>
      </c>
      <c r="AI282" s="10" t="s">
        <v>790</v>
      </c>
      <c r="AJ282" s="10" t="s">
        <v>839</v>
      </c>
      <c r="AK282" s="10" t="s">
        <v>162</v>
      </c>
      <c r="AL282" s="10" t="s">
        <v>484</v>
      </c>
      <c r="AM282" s="10" t="s">
        <v>164</v>
      </c>
      <c r="AN282" s="11" t="n">
        <v>50.001</v>
      </c>
      <c r="AO282" s="10" t="s">
        <v>11</v>
      </c>
    </row>
    <row r="283" customFormat="false" ht="15" hidden="false" customHeight="false" outlineLevel="0" collapsed="false">
      <c r="AE283" s="10" t="s">
        <v>840</v>
      </c>
      <c r="AF283" s="22" t="n">
        <v>46181</v>
      </c>
      <c r="AG283" s="10" t="str">
        <f aca="false">"W"&amp;INT((AF283-MIN($AF$8:$AF$307))/7)+1</f>
        <v>W6</v>
      </c>
      <c r="AH283" s="10" t="s">
        <v>201</v>
      </c>
      <c r="AI283" s="10" t="s">
        <v>841</v>
      </c>
      <c r="AJ283" s="10" t="s">
        <v>842</v>
      </c>
      <c r="AK283" s="10" t="s">
        <v>251</v>
      </c>
      <c r="AL283" s="10" t="s">
        <v>536</v>
      </c>
      <c r="AM283" s="10" t="s">
        <v>252</v>
      </c>
      <c r="AN283" s="11" t="n">
        <v>50.028</v>
      </c>
      <c r="AO283" s="10" t="s">
        <v>11</v>
      </c>
    </row>
    <row r="284" customFormat="false" ht="15" hidden="false" customHeight="false" outlineLevel="0" collapsed="false">
      <c r="AE284" s="10" t="s">
        <v>843</v>
      </c>
      <c r="AF284" s="22" t="n">
        <v>46182</v>
      </c>
      <c r="AG284" s="10" t="str">
        <f aca="false">"W"&amp;INT((AF284-MIN($AF$8:$AF$307))/7)+1</f>
        <v>W6</v>
      </c>
      <c r="AH284" s="10" t="s">
        <v>201</v>
      </c>
      <c r="AI284" s="10" t="s">
        <v>841</v>
      </c>
      <c r="AJ284" s="10" t="s">
        <v>844</v>
      </c>
      <c r="AK284" s="10" t="s">
        <v>251</v>
      </c>
      <c r="AL284" s="10" t="s">
        <v>536</v>
      </c>
      <c r="AM284" s="10" t="s">
        <v>252</v>
      </c>
      <c r="AN284" s="11" t="n">
        <v>50.029</v>
      </c>
      <c r="AO284" s="10" t="s">
        <v>11</v>
      </c>
    </row>
    <row r="285" customFormat="false" ht="15" hidden="false" customHeight="false" outlineLevel="0" collapsed="false">
      <c r="AE285" s="10" t="s">
        <v>845</v>
      </c>
      <c r="AF285" s="22" t="n">
        <v>46183</v>
      </c>
      <c r="AG285" s="10" t="str">
        <f aca="false">"W"&amp;INT((AF285-MIN($AF$8:$AF$307))/7)+1</f>
        <v>W6</v>
      </c>
      <c r="AH285" s="10" t="s">
        <v>201</v>
      </c>
      <c r="AI285" s="10" t="s">
        <v>841</v>
      </c>
      <c r="AJ285" s="10" t="s">
        <v>846</v>
      </c>
      <c r="AK285" s="10" t="s">
        <v>251</v>
      </c>
      <c r="AL285" s="10" t="s">
        <v>536</v>
      </c>
      <c r="AM285" s="10" t="s">
        <v>252</v>
      </c>
      <c r="AN285" s="11" t="n">
        <v>50.03</v>
      </c>
      <c r="AO285" s="10" t="s">
        <v>11</v>
      </c>
    </row>
    <row r="286" customFormat="false" ht="15" hidden="false" customHeight="false" outlineLevel="0" collapsed="false">
      <c r="AE286" s="10" t="s">
        <v>847</v>
      </c>
      <c r="AF286" s="22" t="n">
        <v>46184</v>
      </c>
      <c r="AG286" s="10" t="str">
        <f aca="false">"W"&amp;INT((AF286-MIN($AF$8:$AF$307))/7)+1</f>
        <v>W6</v>
      </c>
      <c r="AH286" s="10" t="s">
        <v>201</v>
      </c>
      <c r="AI286" s="10" t="s">
        <v>841</v>
      </c>
      <c r="AJ286" s="10" t="s">
        <v>848</v>
      </c>
      <c r="AK286" s="10" t="s">
        <v>251</v>
      </c>
      <c r="AL286" s="10" t="s">
        <v>536</v>
      </c>
      <c r="AM286" s="10" t="s">
        <v>252</v>
      </c>
      <c r="AN286" s="11" t="n">
        <v>50.031</v>
      </c>
      <c r="AO286" s="10" t="s">
        <v>11</v>
      </c>
    </row>
    <row r="287" customFormat="false" ht="15" hidden="false" customHeight="false" outlineLevel="0" collapsed="false">
      <c r="AE287" s="10" t="s">
        <v>849</v>
      </c>
      <c r="AF287" s="22" t="n">
        <v>46185</v>
      </c>
      <c r="AG287" s="10" t="str">
        <f aca="false">"W"&amp;INT((AF287-MIN($AF$8:$AF$307))/7)+1</f>
        <v>W6</v>
      </c>
      <c r="AH287" s="10" t="s">
        <v>201</v>
      </c>
      <c r="AI287" s="10" t="s">
        <v>841</v>
      </c>
      <c r="AJ287" s="10" t="s">
        <v>850</v>
      </c>
      <c r="AK287" s="10" t="s">
        <v>251</v>
      </c>
      <c r="AL287" s="10" t="s">
        <v>536</v>
      </c>
      <c r="AM287" s="10" t="s">
        <v>252</v>
      </c>
      <c r="AN287" s="11" t="n">
        <v>50.032</v>
      </c>
      <c r="AO287" s="10" t="s">
        <v>11</v>
      </c>
    </row>
    <row r="288" customFormat="false" ht="15" hidden="false" customHeight="false" outlineLevel="0" collapsed="false">
      <c r="AE288" s="10" t="s">
        <v>851</v>
      </c>
      <c r="AF288" s="22" t="n">
        <v>46181</v>
      </c>
      <c r="AG288" s="10" t="str">
        <f aca="false">"W"&amp;INT((AF288-MIN($AF$8:$AF$307))/7)+1</f>
        <v>W6</v>
      </c>
      <c r="AH288" s="10" t="s">
        <v>201</v>
      </c>
      <c r="AI288" s="10" t="s">
        <v>841</v>
      </c>
      <c r="AJ288" s="10" t="s">
        <v>852</v>
      </c>
      <c r="AK288" s="10" t="s">
        <v>251</v>
      </c>
      <c r="AL288" s="10" t="s">
        <v>536</v>
      </c>
      <c r="AM288" s="10" t="s">
        <v>252</v>
      </c>
      <c r="AN288" s="11" t="n">
        <v>50.033</v>
      </c>
      <c r="AO288" s="10" t="s">
        <v>11</v>
      </c>
    </row>
    <row r="289" customFormat="false" ht="15" hidden="false" customHeight="false" outlineLevel="0" collapsed="false">
      <c r="AE289" s="10" t="s">
        <v>853</v>
      </c>
      <c r="AF289" s="22" t="n">
        <v>46182</v>
      </c>
      <c r="AG289" s="10" t="str">
        <f aca="false">"W"&amp;INT((AF289-MIN($AF$8:$AF$307))/7)+1</f>
        <v>W6</v>
      </c>
      <c r="AH289" s="10" t="s">
        <v>201</v>
      </c>
      <c r="AI289" s="10" t="s">
        <v>841</v>
      </c>
      <c r="AJ289" s="10" t="s">
        <v>854</v>
      </c>
      <c r="AK289" s="10" t="s">
        <v>251</v>
      </c>
      <c r="AL289" s="10" t="s">
        <v>536</v>
      </c>
      <c r="AM289" s="10" t="s">
        <v>252</v>
      </c>
      <c r="AN289" s="11" t="n">
        <v>50.034</v>
      </c>
      <c r="AO289" s="10" t="s">
        <v>11</v>
      </c>
    </row>
    <row r="290" customFormat="false" ht="15" hidden="false" customHeight="false" outlineLevel="0" collapsed="false">
      <c r="AE290" s="10" t="s">
        <v>855</v>
      </c>
      <c r="AF290" s="22" t="n">
        <v>46183</v>
      </c>
      <c r="AG290" s="10" t="str">
        <f aca="false">"W"&amp;INT((AF290-MIN($AF$8:$AF$307))/7)+1</f>
        <v>W6</v>
      </c>
      <c r="AH290" s="10" t="s">
        <v>201</v>
      </c>
      <c r="AI290" s="10" t="s">
        <v>841</v>
      </c>
      <c r="AJ290" s="10" t="s">
        <v>856</v>
      </c>
      <c r="AK290" s="10" t="s">
        <v>251</v>
      </c>
      <c r="AL290" s="10" t="s">
        <v>536</v>
      </c>
      <c r="AM290" s="10" t="s">
        <v>252</v>
      </c>
      <c r="AN290" s="11" t="n">
        <v>50.035</v>
      </c>
      <c r="AO290" s="10" t="s">
        <v>11</v>
      </c>
    </row>
    <row r="291" customFormat="false" ht="15" hidden="false" customHeight="false" outlineLevel="0" collapsed="false">
      <c r="AE291" s="10" t="s">
        <v>857</v>
      </c>
      <c r="AF291" s="22" t="n">
        <v>46184</v>
      </c>
      <c r="AG291" s="10" t="str">
        <f aca="false">"W"&amp;INT((AF291-MIN($AF$8:$AF$307))/7)+1</f>
        <v>W6</v>
      </c>
      <c r="AH291" s="10" t="s">
        <v>201</v>
      </c>
      <c r="AI291" s="10" t="s">
        <v>841</v>
      </c>
      <c r="AJ291" s="10" t="s">
        <v>858</v>
      </c>
      <c r="AK291" s="10" t="s">
        <v>251</v>
      </c>
      <c r="AL291" s="10" t="s">
        <v>536</v>
      </c>
      <c r="AM291" s="10" t="s">
        <v>252</v>
      </c>
      <c r="AN291" s="11" t="n">
        <v>50.036</v>
      </c>
      <c r="AO291" s="10" t="s">
        <v>11</v>
      </c>
    </row>
    <row r="292" customFormat="false" ht="15" hidden="false" customHeight="false" outlineLevel="0" collapsed="false">
      <c r="AE292" s="10" t="s">
        <v>859</v>
      </c>
      <c r="AF292" s="22" t="n">
        <v>46185</v>
      </c>
      <c r="AG292" s="10" t="str">
        <f aca="false">"W"&amp;INT((AF292-MIN($AF$8:$AF$307))/7)+1</f>
        <v>W6</v>
      </c>
      <c r="AH292" s="10" t="s">
        <v>201</v>
      </c>
      <c r="AI292" s="10" t="s">
        <v>841</v>
      </c>
      <c r="AJ292" s="10" t="s">
        <v>860</v>
      </c>
      <c r="AK292" s="10" t="s">
        <v>251</v>
      </c>
      <c r="AL292" s="10" t="s">
        <v>536</v>
      </c>
      <c r="AM292" s="10" t="s">
        <v>252</v>
      </c>
      <c r="AN292" s="11" t="n">
        <v>50.037</v>
      </c>
      <c r="AO292" s="10" t="s">
        <v>11</v>
      </c>
    </row>
    <row r="293" customFormat="false" ht="15" hidden="false" customHeight="false" outlineLevel="0" collapsed="false">
      <c r="AE293" s="10" t="s">
        <v>861</v>
      </c>
      <c r="AF293" s="22" t="n">
        <v>46181</v>
      </c>
      <c r="AG293" s="10" t="str">
        <f aca="false">"W"&amp;INT((AF293-MIN($AF$8:$AF$307))/7)+1</f>
        <v>W6</v>
      </c>
      <c r="AH293" s="10" t="s">
        <v>201</v>
      </c>
      <c r="AI293" s="10" t="s">
        <v>841</v>
      </c>
      <c r="AJ293" s="10" t="s">
        <v>862</v>
      </c>
      <c r="AK293" s="10" t="s">
        <v>251</v>
      </c>
      <c r="AL293" s="10" t="s">
        <v>536</v>
      </c>
      <c r="AM293" s="10" t="s">
        <v>252</v>
      </c>
      <c r="AN293" s="11" t="n">
        <v>50.038</v>
      </c>
      <c r="AO293" s="10" t="s">
        <v>11</v>
      </c>
    </row>
    <row r="294" customFormat="false" ht="15" hidden="false" customHeight="false" outlineLevel="0" collapsed="false">
      <c r="AE294" s="10" t="s">
        <v>863</v>
      </c>
      <c r="AF294" s="22" t="n">
        <v>46182</v>
      </c>
      <c r="AG294" s="10" t="str">
        <f aca="false">"W"&amp;INT((AF294-MIN($AF$8:$AF$307))/7)+1</f>
        <v>W6</v>
      </c>
      <c r="AH294" s="10" t="s">
        <v>201</v>
      </c>
      <c r="AI294" s="10" t="s">
        <v>841</v>
      </c>
      <c r="AJ294" s="10" t="s">
        <v>864</v>
      </c>
      <c r="AK294" s="10" t="s">
        <v>251</v>
      </c>
      <c r="AL294" s="10" t="s">
        <v>536</v>
      </c>
      <c r="AM294" s="10" t="s">
        <v>252</v>
      </c>
      <c r="AN294" s="11" t="n">
        <v>50.039</v>
      </c>
      <c r="AO294" s="10" t="s">
        <v>11</v>
      </c>
    </row>
    <row r="295" customFormat="false" ht="15" hidden="false" customHeight="false" outlineLevel="0" collapsed="false">
      <c r="AE295" s="10" t="s">
        <v>865</v>
      </c>
      <c r="AF295" s="22" t="n">
        <v>46183</v>
      </c>
      <c r="AG295" s="10" t="str">
        <f aca="false">"W"&amp;INT((AF295-MIN($AF$8:$AF$307))/7)+1</f>
        <v>W6</v>
      </c>
      <c r="AH295" s="10" t="s">
        <v>201</v>
      </c>
      <c r="AI295" s="10" t="s">
        <v>841</v>
      </c>
      <c r="AJ295" s="10" t="s">
        <v>866</v>
      </c>
      <c r="AK295" s="10" t="s">
        <v>251</v>
      </c>
      <c r="AL295" s="10" t="s">
        <v>536</v>
      </c>
      <c r="AM295" s="10" t="s">
        <v>252</v>
      </c>
      <c r="AN295" s="11" t="n">
        <v>50.028</v>
      </c>
      <c r="AO295" s="10" t="s">
        <v>11</v>
      </c>
    </row>
    <row r="296" customFormat="false" ht="15" hidden="false" customHeight="false" outlineLevel="0" collapsed="false">
      <c r="AE296" s="10" t="s">
        <v>867</v>
      </c>
      <c r="AF296" s="22" t="n">
        <v>46184</v>
      </c>
      <c r="AG296" s="10" t="str">
        <f aca="false">"W"&amp;INT((AF296-MIN($AF$8:$AF$307))/7)+1</f>
        <v>W6</v>
      </c>
      <c r="AH296" s="10" t="s">
        <v>201</v>
      </c>
      <c r="AI296" s="10" t="s">
        <v>841</v>
      </c>
      <c r="AJ296" s="10" t="s">
        <v>868</v>
      </c>
      <c r="AK296" s="10" t="s">
        <v>251</v>
      </c>
      <c r="AL296" s="10" t="s">
        <v>536</v>
      </c>
      <c r="AM296" s="10" t="s">
        <v>252</v>
      </c>
      <c r="AN296" s="11" t="n">
        <v>50.029</v>
      </c>
      <c r="AO296" s="10" t="s">
        <v>11</v>
      </c>
    </row>
    <row r="297" customFormat="false" ht="15" hidden="false" customHeight="false" outlineLevel="0" collapsed="false">
      <c r="AE297" s="10" t="s">
        <v>869</v>
      </c>
      <c r="AF297" s="22" t="n">
        <v>46185</v>
      </c>
      <c r="AG297" s="10" t="str">
        <f aca="false">"W"&amp;INT((AF297-MIN($AF$8:$AF$307))/7)+1</f>
        <v>W6</v>
      </c>
      <c r="AH297" s="10" t="s">
        <v>201</v>
      </c>
      <c r="AI297" s="10" t="s">
        <v>841</v>
      </c>
      <c r="AJ297" s="10" t="s">
        <v>870</v>
      </c>
      <c r="AK297" s="10" t="s">
        <v>251</v>
      </c>
      <c r="AL297" s="10" t="s">
        <v>536</v>
      </c>
      <c r="AM297" s="10" t="s">
        <v>252</v>
      </c>
      <c r="AN297" s="11" t="n">
        <v>50.03</v>
      </c>
      <c r="AO297" s="10" t="s">
        <v>11</v>
      </c>
    </row>
    <row r="298" customFormat="false" ht="15" hidden="false" customHeight="false" outlineLevel="0" collapsed="false">
      <c r="AE298" s="10" t="s">
        <v>871</v>
      </c>
      <c r="AF298" s="22" t="n">
        <v>46181</v>
      </c>
      <c r="AG298" s="10" t="str">
        <f aca="false">"W"&amp;INT((AF298-MIN($AF$8:$AF$307))/7)+1</f>
        <v>W6</v>
      </c>
      <c r="AH298" s="10" t="s">
        <v>201</v>
      </c>
      <c r="AI298" s="10" t="s">
        <v>841</v>
      </c>
      <c r="AJ298" s="10" t="s">
        <v>872</v>
      </c>
      <c r="AK298" s="10" t="s">
        <v>251</v>
      </c>
      <c r="AL298" s="10" t="s">
        <v>536</v>
      </c>
      <c r="AM298" s="10" t="s">
        <v>252</v>
      </c>
      <c r="AN298" s="11" t="n">
        <v>50.031</v>
      </c>
      <c r="AO298" s="10" t="s">
        <v>11</v>
      </c>
    </row>
    <row r="299" customFormat="false" ht="15" hidden="false" customHeight="false" outlineLevel="0" collapsed="false">
      <c r="AE299" s="10" t="s">
        <v>873</v>
      </c>
      <c r="AF299" s="22" t="n">
        <v>46182</v>
      </c>
      <c r="AG299" s="10" t="str">
        <f aca="false">"W"&amp;INT((AF299-MIN($AF$8:$AF$307))/7)+1</f>
        <v>W6</v>
      </c>
      <c r="AH299" s="10" t="s">
        <v>201</v>
      </c>
      <c r="AI299" s="10" t="s">
        <v>841</v>
      </c>
      <c r="AJ299" s="10" t="s">
        <v>874</v>
      </c>
      <c r="AK299" s="10" t="s">
        <v>251</v>
      </c>
      <c r="AL299" s="10" t="s">
        <v>536</v>
      </c>
      <c r="AM299" s="10" t="s">
        <v>252</v>
      </c>
      <c r="AN299" s="11" t="n">
        <v>50.032</v>
      </c>
      <c r="AO299" s="10" t="s">
        <v>11</v>
      </c>
    </row>
    <row r="300" customFormat="false" ht="15" hidden="false" customHeight="false" outlineLevel="0" collapsed="false">
      <c r="AE300" s="10" t="s">
        <v>875</v>
      </c>
      <c r="AF300" s="22" t="n">
        <v>46183</v>
      </c>
      <c r="AG300" s="10" t="str">
        <f aca="false">"W"&amp;INT((AF300-MIN($AF$8:$AF$307))/7)+1</f>
        <v>W6</v>
      </c>
      <c r="AH300" s="10" t="s">
        <v>201</v>
      </c>
      <c r="AI300" s="10" t="s">
        <v>841</v>
      </c>
      <c r="AJ300" s="10" t="s">
        <v>876</v>
      </c>
      <c r="AK300" s="10" t="s">
        <v>251</v>
      </c>
      <c r="AL300" s="10" t="s">
        <v>536</v>
      </c>
      <c r="AM300" s="10" t="s">
        <v>252</v>
      </c>
      <c r="AN300" s="11" t="n">
        <v>50.033</v>
      </c>
      <c r="AO300" s="10" t="s">
        <v>11</v>
      </c>
    </row>
    <row r="301" customFormat="false" ht="15" hidden="false" customHeight="false" outlineLevel="0" collapsed="false">
      <c r="AE301" s="10" t="s">
        <v>877</v>
      </c>
      <c r="AF301" s="22" t="n">
        <v>46184</v>
      </c>
      <c r="AG301" s="10" t="str">
        <f aca="false">"W"&amp;INT((AF301-MIN($AF$8:$AF$307))/7)+1</f>
        <v>W6</v>
      </c>
      <c r="AH301" s="10" t="s">
        <v>201</v>
      </c>
      <c r="AI301" s="10" t="s">
        <v>841</v>
      </c>
      <c r="AJ301" s="10" t="s">
        <v>878</v>
      </c>
      <c r="AK301" s="10" t="s">
        <v>251</v>
      </c>
      <c r="AL301" s="10" t="s">
        <v>536</v>
      </c>
      <c r="AM301" s="10" t="s">
        <v>252</v>
      </c>
      <c r="AN301" s="11" t="n">
        <v>50.034</v>
      </c>
      <c r="AO301" s="10" t="s">
        <v>11</v>
      </c>
    </row>
    <row r="302" customFormat="false" ht="15" hidden="false" customHeight="false" outlineLevel="0" collapsed="false">
      <c r="AE302" s="10" t="s">
        <v>879</v>
      </c>
      <c r="AF302" s="22" t="n">
        <v>46185</v>
      </c>
      <c r="AG302" s="10" t="str">
        <f aca="false">"W"&amp;INT((AF302-MIN($AF$8:$AF$307))/7)+1</f>
        <v>W6</v>
      </c>
      <c r="AH302" s="10" t="s">
        <v>201</v>
      </c>
      <c r="AI302" s="10" t="s">
        <v>841</v>
      </c>
      <c r="AJ302" s="10" t="s">
        <v>880</v>
      </c>
      <c r="AK302" s="10" t="s">
        <v>251</v>
      </c>
      <c r="AL302" s="10" t="s">
        <v>536</v>
      </c>
      <c r="AM302" s="10" t="s">
        <v>252</v>
      </c>
      <c r="AN302" s="11" t="n">
        <v>50.035</v>
      </c>
      <c r="AO302" s="10" t="s">
        <v>11</v>
      </c>
    </row>
    <row r="303" customFormat="false" ht="15" hidden="false" customHeight="false" outlineLevel="0" collapsed="false">
      <c r="AE303" s="10" t="s">
        <v>881</v>
      </c>
      <c r="AF303" s="22" t="n">
        <v>46181</v>
      </c>
      <c r="AG303" s="10" t="str">
        <f aca="false">"W"&amp;INT((AF303-MIN($AF$8:$AF$307))/7)+1</f>
        <v>W6</v>
      </c>
      <c r="AH303" s="10" t="s">
        <v>201</v>
      </c>
      <c r="AI303" s="10" t="s">
        <v>841</v>
      </c>
      <c r="AJ303" s="10" t="s">
        <v>882</v>
      </c>
      <c r="AK303" s="10" t="s">
        <v>251</v>
      </c>
      <c r="AL303" s="10" t="s">
        <v>536</v>
      </c>
      <c r="AM303" s="10" t="s">
        <v>252</v>
      </c>
      <c r="AN303" s="11" t="n">
        <v>50.036</v>
      </c>
      <c r="AO303" s="10" t="s">
        <v>11</v>
      </c>
    </row>
    <row r="304" customFormat="false" ht="15" hidden="false" customHeight="false" outlineLevel="0" collapsed="false">
      <c r="AE304" s="10" t="s">
        <v>883</v>
      </c>
      <c r="AF304" s="22" t="n">
        <v>46182</v>
      </c>
      <c r="AG304" s="10" t="str">
        <f aca="false">"W"&amp;INT((AF304-MIN($AF$8:$AF$307))/7)+1</f>
        <v>W6</v>
      </c>
      <c r="AH304" s="10" t="s">
        <v>201</v>
      </c>
      <c r="AI304" s="10" t="s">
        <v>841</v>
      </c>
      <c r="AJ304" s="10" t="s">
        <v>884</v>
      </c>
      <c r="AK304" s="10" t="s">
        <v>251</v>
      </c>
      <c r="AL304" s="10" t="s">
        <v>536</v>
      </c>
      <c r="AM304" s="10" t="s">
        <v>252</v>
      </c>
      <c r="AN304" s="11" t="n">
        <v>50.037</v>
      </c>
      <c r="AO304" s="10" t="s">
        <v>11</v>
      </c>
    </row>
    <row r="305" customFormat="false" ht="15" hidden="false" customHeight="false" outlineLevel="0" collapsed="false">
      <c r="AE305" s="10" t="s">
        <v>885</v>
      </c>
      <c r="AF305" s="22" t="n">
        <v>46183</v>
      </c>
      <c r="AG305" s="10" t="str">
        <f aca="false">"W"&amp;INT((AF305-MIN($AF$8:$AF$307))/7)+1</f>
        <v>W6</v>
      </c>
      <c r="AH305" s="10" t="s">
        <v>201</v>
      </c>
      <c r="AI305" s="10" t="s">
        <v>841</v>
      </c>
      <c r="AJ305" s="10" t="s">
        <v>886</v>
      </c>
      <c r="AK305" s="10" t="s">
        <v>251</v>
      </c>
      <c r="AL305" s="10" t="s">
        <v>536</v>
      </c>
      <c r="AM305" s="10" t="s">
        <v>252</v>
      </c>
      <c r="AN305" s="11" t="n">
        <v>50.038</v>
      </c>
      <c r="AO305" s="10" t="s">
        <v>11</v>
      </c>
    </row>
    <row r="306" customFormat="false" ht="15" hidden="false" customHeight="false" outlineLevel="0" collapsed="false">
      <c r="AE306" s="10" t="s">
        <v>887</v>
      </c>
      <c r="AF306" s="22" t="n">
        <v>46184</v>
      </c>
      <c r="AG306" s="10" t="str">
        <f aca="false">"W"&amp;INT((AF306-MIN($AF$8:$AF$307))/7)+1</f>
        <v>W6</v>
      </c>
      <c r="AH306" s="10" t="s">
        <v>201</v>
      </c>
      <c r="AI306" s="10" t="s">
        <v>841</v>
      </c>
      <c r="AJ306" s="10" t="s">
        <v>888</v>
      </c>
      <c r="AK306" s="10" t="s">
        <v>251</v>
      </c>
      <c r="AL306" s="10" t="s">
        <v>536</v>
      </c>
      <c r="AM306" s="10" t="s">
        <v>252</v>
      </c>
      <c r="AN306" s="11" t="n">
        <v>50.039</v>
      </c>
      <c r="AO306" s="10" t="s">
        <v>11</v>
      </c>
    </row>
    <row r="307" customFormat="false" ht="15" hidden="false" customHeight="false" outlineLevel="0" collapsed="false">
      <c r="AE307" s="10" t="s">
        <v>889</v>
      </c>
      <c r="AF307" s="22" t="n">
        <v>46185</v>
      </c>
      <c r="AG307" s="10" t="str">
        <f aca="false">"W"&amp;INT((AF307-MIN($AF$8:$AF$307))/7)+1</f>
        <v>W6</v>
      </c>
      <c r="AH307" s="10" t="s">
        <v>201</v>
      </c>
      <c r="AI307" s="10" t="s">
        <v>841</v>
      </c>
      <c r="AJ307" s="10" t="s">
        <v>890</v>
      </c>
      <c r="AK307" s="10" t="s">
        <v>251</v>
      </c>
      <c r="AL307" s="10" t="s">
        <v>536</v>
      </c>
      <c r="AM307" s="10" t="s">
        <v>252</v>
      </c>
      <c r="AN307" s="11" t="n">
        <v>50.036</v>
      </c>
      <c r="AO307" s="10" t="s">
        <v>11</v>
      </c>
    </row>
  </sheetData>
  <autoFilter ref="AE7:AO307"/>
  <printOptions headings="false" gridLines="false" gridLinesSet="true" horizontalCentered="false" verticalCentered="false"/>
  <pageMargins left="0.25" right="0.25" top="0.35" bottom="0.35" header="0.511811023622047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&amp;CGreyhaven Energy | Internal quality decision support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2026-08-25T00:58:54Z</dcterms:created>
  <dc:creator>openpyxl</dc:creator>
  <dc:description/>
  <dc:language>en-US</dc:language>
  <cp:lastModifiedBy/>
  <dcterms:modified xsi:type="dcterms:W3CDTF">2026-08-25T00:58:54Z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