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ncept" sheetId="2" state="visible" r:id="rId2"/>
    <sheet xmlns:r="http://schemas.openxmlformats.org/officeDocument/2006/relationships" name="Property Story" sheetId="3" state="visible" r:id="rId3"/>
    <sheet xmlns:r="http://schemas.openxmlformats.org/officeDocument/2006/relationships" name="Studio Inventory" sheetId="4" state="visible" r:id="rId4"/>
    <sheet xmlns:r="http://schemas.openxmlformats.org/officeDocument/2006/relationships" name="Jurisdiction" sheetId="5" state="visible" r:id="rId5"/>
    <sheet xmlns:r="http://schemas.openxmlformats.org/officeDocument/2006/relationships" name="Approval Key" sheetId="6" state="visible" r:id="rId6"/>
  </sheets>
  <definedNames>
    <definedName name="_xlnm.Print_Area" localSheetId="0">'Read Me'!$A$1:$G$14</definedName>
    <definedName name="_xlnm.Print_Area" localSheetId="1">'Concept'!$A$1:$J$20</definedName>
    <definedName name="_xlnm.Print_Area" localSheetId="2">'Property Story'!$A$1:$K$28</definedName>
    <definedName name="_xlnm.Print_Area" localSheetId="3">'Studio Inventory'!$A$1:$J$21</definedName>
    <definedName name="_xlnm.Print_Area" localSheetId="4">'Jurisdiction'!$A$1:$I$18</definedName>
    <definedName name="_xlnm._FilterDatabase" localSheetId="5" hidden="1">'Approval Key'!$A$7:$I$18</definedName>
    <definedName name="_xlnm.Print_Area" localSheetId="5">'Approval Key'!$A$1:$I$18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 &quot;sq ft&quot;"/>
    <numFmt numFmtId="165" formatCode="0.0%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24"/>
    </font>
    <font>
      <name val="Aptos"/>
      <i val="1"/>
      <color rgb="00DDEAE5"/>
      <sz val="10"/>
    </font>
    <font>
      <name val="Aptos"/>
      <b val="1"/>
      <color rgb="0018363D"/>
      <sz val="11"/>
    </font>
    <font>
      <name val="Aptos"/>
      <color rgb="00243238"/>
      <sz val="9"/>
    </font>
    <font>
      <name val="Aptos"/>
      <b val="1"/>
      <color rgb="00243238"/>
      <sz val="9"/>
    </font>
    <font>
      <name val="Aptos Display"/>
      <b val="1"/>
      <color rgb="0018363D"/>
      <sz val="16"/>
    </font>
    <font>
      <name val="Aptos"/>
      <b val="1"/>
      <color rgb="00FFFFFF"/>
      <sz val="9"/>
    </font>
    <font>
      <name val="Aptos"/>
      <b val="1"/>
      <color rgb="0018363D"/>
      <sz val="9"/>
    </font>
  </fonts>
  <fills count="9">
    <fill>
      <patternFill/>
    </fill>
    <fill>
      <patternFill patternType="gray125"/>
    </fill>
    <fill>
      <patternFill patternType="solid">
        <fgColor rgb="0018363D"/>
      </patternFill>
    </fill>
    <fill>
      <patternFill patternType="solid">
        <fgColor rgb="00DDEAE5"/>
      </patternFill>
    </fill>
    <fill>
      <patternFill patternType="solid">
        <fgColor rgb="00F3EEE4"/>
      </patternFill>
    </fill>
    <fill>
      <patternFill patternType="solid">
        <fgColor rgb="00F8FAF8"/>
      </patternFill>
    </fill>
    <fill>
      <patternFill patternType="solid">
        <fgColor rgb="002C666E"/>
      </patternFill>
    </fill>
    <fill>
      <patternFill patternType="solid">
        <fgColor rgb="00FCE4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B8C7C5"/>
      </bottom>
    </border>
    <border>
      <left/>
      <right/>
      <top/>
      <bottom style="thin">
        <color rgb="00B8C7C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horizontal="left" vertical="top" wrapText="1"/>
    </xf>
    <xf numFmtId="0" fontId="0" fillId="0" borderId="2" pivotButton="0" quotePrefix="0" xfId="0"/>
    <xf numFmtId="0" fontId="5" fillId="3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4" borderId="0" applyAlignment="1" pivotButton="0" quotePrefix="0" xfId="0">
      <alignment vertical="center" wrapText="1"/>
    </xf>
    <xf numFmtId="0" fontId="7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vertical="center" wrapText="1"/>
    </xf>
    <xf numFmtId="164" fontId="4" fillId="5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164" fontId="4" fillId="8" borderId="1" applyAlignment="1" pivotButton="0" quotePrefix="0" xfId="0">
      <alignment horizontal="left" vertical="top" wrapText="1"/>
    </xf>
    <xf numFmtId="164" fontId="7" fillId="6" borderId="1" applyAlignment="1" pivotButton="0" quotePrefix="0" xfId="0">
      <alignment horizontal="right" vertical="top" wrapText="1"/>
    </xf>
    <xf numFmtId="165" fontId="5" fillId="3" borderId="1" applyAlignment="1" pivotButton="0" quotePrefix="0" xfId="0">
      <alignment horizontal="center" vertical="top" wrapText="1"/>
    </xf>
    <xf numFmtId="1" fontId="4" fillId="8" borderId="1" applyAlignment="1" pivotButton="0" quotePrefix="0" xfId="0">
      <alignment horizontal="left" vertical="top" wrapText="1"/>
    </xf>
    <xf numFmtId="0" fontId="0" fillId="0" borderId="0" applyProtection="1" pivotButton="0" quotePrefix="0" xfId="0">
      <protection locked="0" hidden="0"/>
    </xf>
    <xf numFmtId="1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E6A17E"/>
        </patternFill>
      </fill>
    </dxf>
    <dxf>
      <fill>
        <patternFill patternType="solid">
          <fgColor rgb="00FCE4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D9EC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Presentation area mix · square feet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'Property Story'!D10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'Property Story'!$B$11:$B$14</f>
            </numRef>
          </cat>
          <val>
            <numRef>
              <f>'Property Story'!$D$11:$D$14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Square feet</a:t>
                </a:r>
              </a:p>
            </rich>
          </tx>
        </title>
        <numFmt formatCode="#,##0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Space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4140000" cy="241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ApprovalKeyTable" displayName="ApprovalKeyTable" ref="A7:I18" headerRowCount="1">
  <autoFilter ref="A7:I18"/>
  <tableColumns count="9">
    <tableColumn id="1" name="Prompt ID"/>
    <tableColumn id="2" name="Approval prompt"/>
    <tableColumn id="3" name="Intended treatment"/>
    <tableColumn id="4" name="Rationale"/>
    <tableColumn id="5" name="Source"/>
    <tableColumn id="6" name="Weight"/>
    <tableColumn id="7" name="Required"/>
    <tableColumn id="8" name="Reviewer response"/>
    <tableColumn id="9" name="Decision not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4" customHeight="1">
      <c r="A1" s="1" t="inlineStr">
        <is>
          <t>READ ME · handoff</t>
        </is>
      </c>
    </row>
    <row r="2" ht="22" customHeight="1">
      <c r="A2" s="2" t="inlineStr">
        <is>
          <t>Approval-stage look book | owner: Tamsin Calloway | review: Otto Sheridan + Ludmila Seaborne</t>
        </is>
      </c>
    </row>
    <row r="4" ht="21" customHeight="1">
      <c r="A4" s="3" t="inlineStr">
        <is>
          <t>Purpose &amp; sequence</t>
        </is>
      </c>
    </row>
    <row r="5" ht="40" customHeight="1">
      <c r="A5" s="4" t="inlineStr">
        <is>
          <t>Use this packet for the Friday 16 May concept conference. Read the narrative in tab order: Concept → Property Story → Studio Inventory → Jurisdiction → Approval Key. It is an approval aid, not a listing or legal opinion.</t>
        </is>
      </c>
      <c r="B5" s="5" t="n"/>
      <c r="C5" s="5" t="n"/>
      <c r="D5" s="5" t="n"/>
      <c r="E5" s="5" t="n"/>
      <c r="F5" s="5" t="n"/>
      <c r="G5" s="5" t="n"/>
    </row>
    <row r="7" ht="21" customHeight="1">
      <c r="A7" s="3" t="inlineStr">
        <is>
          <t>Source trail and refresh points</t>
        </is>
      </c>
    </row>
    <row r="8" ht="22" customHeight="1">
      <c r="A8" s="6" t="inlineStr">
        <is>
          <t>Source files</t>
        </is>
      </c>
      <c r="B8" s="7" t="inlineStr">
        <is>
          <t>references/estate_property_brief.xlsx; references/counsel_jurisdiction_notes.pdf</t>
        </is>
      </c>
    </row>
    <row r="9" ht="22" customHeight="1">
      <c r="A9" s="6" t="inlineStr">
        <is>
          <t>Stable IDs</t>
        </is>
      </c>
      <c r="B9" s="7" t="inlineStr">
        <is>
          <t>Keep PF-, AR-, ST-, BU-, MS-, SH-, AP- and J-/MN-/WI- identifiers visible when refreshing facts.</t>
        </is>
      </c>
    </row>
    <row r="10" ht="27" customHeight="1">
      <c r="A10" s="6" t="inlineStr">
        <is>
          <t>Editable narrative</t>
        </is>
      </c>
      <c r="B10" s="7" t="inlineStr">
        <is>
          <t>Concept copy, prospective shot directions, and reviewer-response cells may be updated after conference.</t>
        </is>
      </c>
    </row>
    <row r="11" ht="27" customHeight="1">
      <c r="A11" s="6" t="inlineStr">
        <is>
          <t>Do not overwrite</t>
        </is>
      </c>
      <c r="B11" s="7" t="inlineStr">
        <is>
          <t>Property Story total-area formula, chart source cells, Approval Key weights/required flags, weighted alignment, and status are protected calculations/key fields.</t>
        </is>
      </c>
    </row>
    <row r="12" ht="27" customHeight="1">
      <c r="A12" s="6" t="inlineStr">
        <is>
          <t>Response workflow</t>
        </is>
      </c>
      <c r="B12" s="7" t="inlineStr">
        <is>
          <t>On Approval Key, use the dropdown in column H only: Aligned, Revise, or Discuss. Leave unresolved items blank until discussed.</t>
        </is>
      </c>
    </row>
    <row r="13" ht="27" customHeight="1">
      <c r="A13" s="6" t="inlineStr">
        <is>
          <t>Interpretation</t>
        </is>
      </c>
      <c r="B13" s="7" t="inlineStr">
        <is>
          <t>Weighted alignment is the aligned prompt weight ÷ all prompt weight. “Fully aligned” appears only when every required prompt is Aligned; otherwise “Open decisions.”</t>
        </is>
      </c>
    </row>
    <row r="14" ht="27" customHeight="1">
      <c r="A14" s="6" t="inlineStr">
        <is>
          <t>Final print check</t>
        </is>
      </c>
      <c r="B14" s="7" t="inlineStr">
        <is>
          <t>Set responses, recalculate in Excel/LibreOffice, then export each tab. Confirm Letter sizing, no clipped text, and Approval Key ≤2 pages before the 20 May photography hold.</t>
        </is>
      </c>
    </row>
  </sheetData>
  <mergeCells count="12">
    <mergeCell ref="B10:G10"/>
    <mergeCell ref="A1:G1"/>
    <mergeCell ref="B11:G11"/>
    <mergeCell ref="B14:G14"/>
    <mergeCell ref="B9:G9"/>
    <mergeCell ref="A4:G4"/>
    <mergeCell ref="B8:G8"/>
    <mergeCell ref="A2:G2"/>
    <mergeCell ref="B12:G12"/>
    <mergeCell ref="A7:G7"/>
    <mergeCell ref="B13:G13"/>
    <mergeCell ref="A5:G5"/>
  </mergeCells>
  <pageMargins left="0.25" right="0.25" top="0.35" bottom="0.35" header="0.15" footer="0.15"/>
  <pageSetup orientation="portrait" paperSize="1" fitToHeight="1" fitToWidth="1"/>
  <headerFooter>
    <oddHeader/>
    <oddFooter>&amp;C&amp;"Aptos"&amp;8 Braithwaite Estate · concept conference 16 May 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25" customWidth="1" min="3" max="3"/>
    <col width="25" customWidth="1" min="4" max="4"/>
    <col width="3" customWidth="1" min="5" max="5"/>
    <col width="23" customWidth="1" min="6" max="6"/>
    <col width="23" customWidth="1" min="7" max="7"/>
    <col width="23" customWidth="1" min="8" max="8"/>
    <col width="3" customWidth="1" min="9" max="9"/>
    <col width="22" customWidth="1" min="10" max="10"/>
  </cols>
  <sheetData>
    <row r="1" ht="34" customHeight="1">
      <c r="A1" s="1" t="inlineStr">
        <is>
          <t>BRAITHWAITE / THE WORKING VOLUME</t>
        </is>
      </c>
    </row>
    <row r="2" ht="22" customHeight="1">
      <c r="A2" s="2" t="inlineStr">
        <is>
          <t>Concept direction · 16 May 2026 conference · clearly prospective visual language</t>
        </is>
      </c>
    </row>
    <row r="4" ht="21" customHeight="1">
      <c r="A4" s="3" t="inlineStr">
        <is>
          <t>Central proposition</t>
        </is>
      </c>
    </row>
    <row r="5" ht="32" customHeight="1">
      <c r="A5" s="8" t="inlineStr">
        <is>
          <t>An intact working volume: let the grain elevator read as the frame, and Braithwaite’s press room as the measure of a life in practice. The look book moves from structure → sequence → tools, keeping square-foot facts and claim boundaries on the page.</t>
        </is>
      </c>
    </row>
    <row r="6" ht="32" customHeight="1"/>
    <row r="8" ht="21" customHeight="1">
      <c r="A8" s="3" t="inlineStr">
        <is>
          <t>Audience + tradeoffs</t>
        </is>
      </c>
    </row>
    <row r="9">
      <c r="A9" s="9" t="inlineStr">
        <is>
          <t>For serious art buyers</t>
        </is>
      </c>
      <c r="B9" s="5" t="n"/>
      <c r="C9" s="5" t="n"/>
      <c r="D9" s="9" t="inlineStr">
        <is>
          <t>Factual restraint</t>
        </is>
      </c>
      <c r="E9" s="5" t="n"/>
      <c r="F9" s="5" t="n"/>
      <c r="G9" s="9" t="inlineStr">
        <is>
          <t>Executor usability</t>
        </is>
      </c>
      <c r="H9" s="5" t="n"/>
      <c r="I9" s="5" t="n"/>
    </row>
    <row r="10" ht="32" customHeight="1">
      <c r="A10" s="7" t="inlineStr">
        <is>
          <t>Lead with the material reality of a working print practice, not generic “industrial chic.” Keep the property legible through measured areas, address, and a restrained story.</t>
        </is>
      </c>
      <c r="D10" s="7" t="inlineStr">
        <is>
          <t>Interpretive language is labeled as direction. No provenance, condition, zoning, historic designation, or future-use claim is added.</t>
        </is>
      </c>
      <c r="G10" s="7" t="inlineStr">
        <is>
          <t>The Approval Key turns each decision into a traceable response, while the milestone and budget cues show what is time-sensitive without authorizing spend or booking.</t>
        </is>
      </c>
    </row>
    <row r="11" ht="24" customHeight="1"/>
    <row r="13" ht="21" customHeight="1">
      <c r="A13" s="3" t="inlineStr">
        <is>
          <t>Visual language (concept only — not property photography)</t>
        </is>
      </c>
    </row>
    <row r="14">
      <c r="A14" s="10" t="inlineStr">
        <is>
          <t>01 · GRID</t>
        </is>
      </c>
      <c r="D14" s="11" t="inlineStr">
        <is>
          <t>02 · INK</t>
        </is>
      </c>
      <c r="G14" s="12" t="inlineStr">
        <is>
          <t>03 · TRACE</t>
        </is>
      </c>
    </row>
    <row r="15" ht="28" customHeight="1">
      <c r="A15" s="7" t="inlineStr">
        <is>
          <t>Quiet cream fields, measured rules, and captions that feel like a working folio.</t>
        </is>
      </c>
      <c r="D15" s="7" t="inlineStr">
        <is>
          <t>Deep blue-green type; one coral accent for unresolved decisions.</t>
        </is>
      </c>
      <c r="G15" s="7" t="inlineStr">
        <is>
          <t>Object IDs and source anchors stay visible like registration marks.</t>
        </is>
      </c>
    </row>
    <row r="16"/>
    <row r="18" ht="21" customHeight="1">
      <c r="A18" s="3" t="inlineStr">
        <is>
          <t>Prospective photography cue</t>
        </is>
      </c>
    </row>
    <row r="19" ht="30" customHeight="1">
      <c r="A19" s="13" t="inlineStr">
        <is>
          <t>PLACEHOLDER / DIRECTION ONLY — future photography should find the press room north wall, registration table, and drying rack as a sequence. No verified property or artwork view is embedded here.</t>
        </is>
      </c>
    </row>
    <row r="20" ht="24" customHeight="1"/>
  </sheetData>
  <mergeCells count="20">
    <mergeCell ref="A10:C11"/>
    <mergeCell ref="A8:J8"/>
    <mergeCell ref="D10:F11"/>
    <mergeCell ref="A4:J4"/>
    <mergeCell ref="A15:C16"/>
    <mergeCell ref="A13:J13"/>
    <mergeCell ref="G14:I14"/>
    <mergeCell ref="A14:C14"/>
    <mergeCell ref="D9:F9"/>
    <mergeCell ref="A1:J1"/>
    <mergeCell ref="D14:F14"/>
    <mergeCell ref="A5:J6"/>
    <mergeCell ref="G10:I11"/>
    <mergeCell ref="A9:C9"/>
    <mergeCell ref="G9:I9"/>
    <mergeCell ref="G15:I16"/>
    <mergeCell ref="A19:J20"/>
    <mergeCell ref="A18:J18"/>
    <mergeCell ref="D15:F16"/>
    <mergeCell ref="A2:J2"/>
  </mergeCells>
  <pageMargins left="0.25" right="0.25" top="0.35" bottom="0.35" header="0.15" footer="0.15"/>
  <pageSetup orientation="landscape" paperSize="1" fitToHeight="1" fitToWidth="1"/>
  <headerFooter>
    <oddHeader/>
    <oddFooter>&amp;C&amp;"Aptos"&amp;8 Braithwaite Estate · concept conference 16 May 2026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22" customWidth="1" min="3" max="3"/>
    <col width="16" customWidth="1" min="4" max="4"/>
    <col width="14" customWidth="1" min="5" max="5"/>
    <col width="14" customWidth="1" min="6" max="6"/>
    <col width="4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34" customHeight="1">
      <c r="A1" s="1" t="inlineStr">
        <is>
          <t>THE COMPOUND AS A PRINTING FRAME</t>
        </is>
      </c>
    </row>
    <row r="2" ht="22" customHeight="1">
      <c r="A2" s="2" t="inlineStr">
        <is>
          <t>Verified property story · measured mix · source anchors retained</t>
        </is>
      </c>
    </row>
    <row r="4" ht="21" customHeight="1">
      <c r="A4" s="3" t="inlineStr">
        <is>
          <t>A legible property, told through practice</t>
        </is>
      </c>
    </row>
    <row r="5" ht="28" customHeight="1">
      <c r="A5" s="4" t="inlineStr">
        <is>
          <t>Braithwaite Grain Elevator Compound is a 1892 grain elevator structure converted for live-work use in 2011 at 418 Millrace Road · Red Wing, MN 55066. The presentation keeps the measured rooms and the working press room in the same frame; it does not infer designation, condition, zoning, or future use.</t>
        </is>
      </c>
    </row>
    <row r="6" ht="22" customHeight="1"/>
    <row r="7" ht="22" customHeight="1"/>
    <row r="9" ht="21" customHeight="1">
      <c r="A9" s="3" t="inlineStr">
        <is>
          <t>Verified area mix (presentation inclusion = Yes)</t>
        </is>
      </c>
      <c r="H9" s="14" t="inlineStr">
        <is>
          <t>Area mix</t>
        </is>
      </c>
    </row>
    <row r="10" ht="28" customHeight="1">
      <c r="A10" s="15" t="inlineStr">
        <is>
          <t>Area ID</t>
        </is>
      </c>
      <c r="B10" s="15" t="inlineStr">
        <is>
          <t>Space</t>
        </is>
      </c>
      <c r="C10" s="15" t="inlineStr">
        <is>
          <t>Level / zone</t>
        </is>
      </c>
      <c r="D10" s="15" t="inlineStr">
        <is>
          <t>Square feet</t>
        </is>
      </c>
      <c r="E10" s="15" t="inlineStr">
        <is>
          <t>Include</t>
        </is>
      </c>
      <c r="F10" s="15" t="inlineStr">
        <is>
          <t>Source</t>
        </is>
      </c>
    </row>
    <row r="11">
      <c r="A11" s="7" t="inlineStr">
        <is>
          <t>AR-101</t>
        </is>
      </c>
      <c r="B11" s="7" t="inlineStr">
        <is>
          <t>Elevator house</t>
        </is>
      </c>
      <c r="C11" s="7" t="inlineStr">
        <is>
          <t>Lower / main volume</t>
        </is>
      </c>
      <c r="D11" s="16" t="n">
        <v>1840</v>
      </c>
      <c r="E11" s="7" t="inlineStr">
        <is>
          <t>Yes</t>
        </is>
      </c>
      <c r="F11" s="7" t="inlineStr">
        <is>
          <t>Estate Brief §Areas</t>
        </is>
      </c>
    </row>
    <row r="12">
      <c r="A12" s="17" t="inlineStr">
        <is>
          <t>AR-102</t>
        </is>
      </c>
      <c r="B12" s="17" t="inlineStr">
        <is>
          <t>Press room</t>
        </is>
      </c>
      <c r="C12" s="17" t="inlineStr">
        <is>
          <t>Upper / north bay</t>
        </is>
      </c>
      <c r="D12" s="18" t="n">
        <v>1260</v>
      </c>
      <c r="E12" s="17" t="inlineStr">
        <is>
          <t>Yes</t>
        </is>
      </c>
      <c r="F12" s="17" t="inlineStr">
        <is>
          <t>Estate Brief §Areas</t>
        </is>
      </c>
    </row>
    <row r="13">
      <c r="A13" s="7" t="inlineStr">
        <is>
          <t>AR-103</t>
        </is>
      </c>
      <c r="B13" s="7" t="inlineStr">
        <is>
          <t>Residence loft</t>
        </is>
      </c>
      <c r="C13" s="7" t="inlineStr">
        <is>
          <t>Upper / south bay</t>
        </is>
      </c>
      <c r="D13" s="16" t="n">
        <v>980</v>
      </c>
      <c r="E13" s="7" t="inlineStr">
        <is>
          <t>Yes</t>
        </is>
      </c>
      <c r="F13" s="7" t="inlineStr">
        <is>
          <t>Estate Brief §Areas</t>
        </is>
      </c>
    </row>
    <row r="14">
      <c r="A14" s="17" t="inlineStr">
        <is>
          <t>AR-104</t>
        </is>
      </c>
      <c r="B14" s="17" t="inlineStr">
        <is>
          <t>Freight apron</t>
        </is>
      </c>
      <c r="C14" s="17" t="inlineStr">
        <is>
          <t>Exterior / east edge</t>
        </is>
      </c>
      <c r="D14" s="18" t="n">
        <v>620</v>
      </c>
      <c r="E14" s="17" t="inlineStr">
        <is>
          <t>Yes</t>
        </is>
      </c>
      <c r="F14" s="17" t="inlineStr">
        <is>
          <t>Estate Brief §Areas</t>
        </is>
      </c>
    </row>
    <row r="15">
      <c r="A15" s="9" t="inlineStr">
        <is>
          <t>TOTAL PRESENTATION AREA</t>
        </is>
      </c>
      <c r="B15" s="5" t="n"/>
      <c r="C15" s="5" t="n"/>
      <c r="D15" s="19">
        <f>SUM(D11:D14)</f>
        <v/>
      </c>
      <c r="E15" s="9" t="inlineStr">
        <is>
          <t>Live formula</t>
        </is>
      </c>
      <c r="F15" s="9" t="inlineStr">
        <is>
          <t>AR-101:AR-104</t>
        </is>
      </c>
    </row>
    <row r="18" ht="21" customHeight="1">
      <c r="A18" s="3" t="inlineStr">
        <is>
          <t>Timing + planning figures</t>
        </is>
      </c>
    </row>
    <row r="19" ht="28" customHeight="1">
      <c r="A19" s="15" t="inlineStr">
        <is>
          <t>ID</t>
        </is>
      </c>
      <c r="B19" s="15" t="inlineStr">
        <is>
          <t>Milestone / line</t>
        </is>
      </c>
      <c r="C19" s="15" t="inlineStr">
        <is>
          <t>Date / amount</t>
        </is>
      </c>
      <c r="D19" s="15" t="inlineStr">
        <is>
          <t>Status</t>
        </is>
      </c>
      <c r="E19" s="15" t="inlineStr">
        <is>
          <t>Dependency</t>
        </is>
      </c>
      <c r="F19" s="15" t="inlineStr">
        <is>
          <t>Responsible / source</t>
        </is>
      </c>
    </row>
    <row r="20" ht="22" customHeight="1">
      <c r="A20" s="17" t="inlineStr">
        <is>
          <t>MS-401</t>
        </is>
      </c>
      <c r="B20" s="17" t="inlineStr">
        <is>
          <t>Concept conference</t>
        </is>
      </c>
      <c r="C20" s="17" t="inlineStr">
        <is>
          <t>16 May 2026</t>
        </is>
      </c>
      <c r="D20" s="17" t="inlineStr">
        <is>
          <t>Scheduled</t>
        </is>
      </c>
      <c r="E20" s="17" t="inlineStr">
        <is>
          <t>Draft look book circulated</t>
        </is>
      </c>
      <c r="F20" s="17" t="inlineStr">
        <is>
          <t>Agent / executor / counsel · Estate Brief §Milestones</t>
        </is>
      </c>
    </row>
    <row r="21" ht="22" customHeight="1">
      <c r="A21" s="7" t="inlineStr">
        <is>
          <t>MS-402</t>
        </is>
      </c>
      <c r="B21" s="7" t="inlineStr">
        <is>
          <t>Photography hold</t>
        </is>
      </c>
      <c r="C21" s="7" t="inlineStr">
        <is>
          <t>20 May 2026</t>
        </is>
      </c>
      <c r="D21" s="7" t="inlineStr">
        <is>
          <t>Provisional</t>
        </is>
      </c>
      <c r="E21" s="7" t="inlineStr">
        <is>
          <t>Concept conference alignment</t>
        </is>
      </c>
      <c r="F21" s="7" t="inlineStr">
        <is>
          <t>Agent (coordination only) · Estate Brief §Milestones</t>
        </is>
      </c>
    </row>
    <row r="22" ht="22" customHeight="1">
      <c r="A22" s="17" t="inlineStr">
        <is>
          <t>MS-403</t>
        </is>
      </c>
      <c r="B22" s="17" t="inlineStr">
        <is>
          <t>Counsel wording lock</t>
        </is>
      </c>
      <c r="C22" s="17" t="inlineStr">
        <is>
          <t>18 May 2026</t>
        </is>
      </c>
      <c r="D22" s="17" t="inlineStr">
        <is>
          <t>Pending</t>
        </is>
      </c>
      <c r="E22" s="17" t="inlineStr">
        <is>
          <t>Jurisdiction issues resolved</t>
        </is>
      </c>
      <c r="F22" s="17" t="inlineStr">
        <is>
          <t>Counsel · Estate Brief §Milestones</t>
        </is>
      </c>
    </row>
    <row r="23" ht="22" customHeight="1">
      <c r="A23" s="7" t="inlineStr">
        <is>
          <t>MS-404</t>
        </is>
      </c>
      <c r="B23" s="7" t="inlineStr">
        <is>
          <t>Measured plan refresh</t>
        </is>
      </c>
      <c r="C23" s="7" t="inlineStr">
        <is>
          <t>19 May 2026</t>
        </is>
      </c>
      <c r="D23" s="7" t="inlineStr">
        <is>
          <t>Pending</t>
        </is>
      </c>
      <c r="E23" s="7" t="inlineStr">
        <is>
          <t>Access confirmation</t>
        </is>
      </c>
      <c r="F23" s="7" t="inlineStr">
        <is>
          <t>Measured surveyor · Estate Brief §Milestones</t>
        </is>
      </c>
    </row>
    <row r="24" ht="22" customHeight="1">
      <c r="A24" s="17" t="inlineStr">
        <is>
          <t>MS-405</t>
        </is>
      </c>
      <c r="B24" s="17" t="inlineStr">
        <is>
          <t>Buyer preview packet</t>
        </is>
      </c>
      <c r="C24" s="17" t="inlineStr">
        <is>
          <t>5 Jun 2026</t>
        </is>
      </c>
      <c r="D24" s="17" t="inlineStr">
        <is>
          <t>Target</t>
        </is>
      </c>
      <c r="E24" s="17" t="inlineStr">
        <is>
          <t>Photography and wording lock</t>
        </is>
      </c>
      <c r="F24" s="17" t="inlineStr">
        <is>
          <t>Agent / executor · Estate Brief §Milestones</t>
        </is>
      </c>
    </row>
    <row r="25" ht="22" customHeight="1">
      <c r="A25" s="7" t="inlineStr">
        <is>
          <t>BU-301</t>
        </is>
      </c>
      <c r="B25" s="7" t="inlineStr">
        <is>
          <t>Photography hold / half day</t>
        </is>
      </c>
      <c r="C25" s="7" t="inlineStr">
        <is>
          <t>$1,850</t>
        </is>
      </c>
      <c r="D25" s="7" t="inlineStr">
        <is>
          <t>Planning ceiling</t>
        </is>
      </c>
      <c r="E25" s="7" t="inlineStr">
        <is>
          <t>Concept alignment at 16 May conference</t>
        </is>
      </c>
      <c r="F25" s="7" t="inlineStr">
        <is>
          <t>Estate Brief §Budget</t>
        </is>
      </c>
    </row>
    <row r="26" ht="22" customHeight="1">
      <c r="A26" s="17" t="inlineStr">
        <is>
          <t>BU-302</t>
        </is>
      </c>
      <c r="B26" s="17" t="inlineStr">
        <is>
          <t>Styling + conservation handling</t>
        </is>
      </c>
      <c r="C26" s="17" t="inlineStr">
        <is>
          <t>$640</t>
        </is>
      </c>
      <c r="D26" s="17" t="inlineStr">
        <is>
          <t>Planning allowance</t>
        </is>
      </c>
      <c r="E26" s="17" t="inlineStr">
        <is>
          <t>Object permissions and handling brief</t>
        </is>
      </c>
      <c r="F26" s="17" t="inlineStr">
        <is>
          <t>Estate Brief §Budget</t>
        </is>
      </c>
    </row>
    <row r="27" ht="22" customHeight="1">
      <c r="A27" s="7" t="inlineStr">
        <is>
          <t>BU-303</t>
        </is>
      </c>
      <c r="B27" s="7" t="inlineStr">
        <is>
          <t>Measured plan refresh</t>
        </is>
      </c>
      <c r="C27" s="7" t="inlineStr">
        <is>
          <t>$420</t>
        </is>
      </c>
      <c r="D27" s="7" t="inlineStr">
        <is>
          <t>Quoted</t>
        </is>
      </c>
      <c r="E27" s="7" t="inlineStr">
        <is>
          <t>Access confirmation with EB-17</t>
        </is>
      </c>
      <c r="F27" s="7" t="inlineStr">
        <is>
          <t>Estate Brief §Budget</t>
        </is>
      </c>
    </row>
    <row r="28" ht="22" customHeight="1">
      <c r="A28" s="17" t="inlineStr">
        <is>
          <t>BU-304</t>
        </is>
      </c>
      <c r="B28" s="17" t="inlineStr">
        <is>
          <t>Print packet / counsel copies</t>
        </is>
      </c>
      <c r="C28" s="17" t="inlineStr">
        <is>
          <t>$180</t>
        </is>
      </c>
      <c r="D28" s="17" t="inlineStr">
        <is>
          <t>Planning allowance</t>
        </is>
      </c>
      <c r="E28" s="17" t="inlineStr">
        <is>
          <t>Approval Key responses recorded</t>
        </is>
      </c>
      <c r="F28" s="17" t="inlineStr">
        <is>
          <t>Estate Brief §Budget</t>
        </is>
      </c>
    </row>
  </sheetData>
  <mergeCells count="8">
    <mergeCell ref="A5:F7"/>
    <mergeCell ref="A18:K18"/>
    <mergeCell ref="A4:K4"/>
    <mergeCell ref="H9:K9"/>
    <mergeCell ref="A9:F9"/>
    <mergeCell ref="A2:K2"/>
    <mergeCell ref="A15:C15"/>
    <mergeCell ref="A1:K1"/>
  </mergeCells>
  <pageMargins left="0.25" right="0.25" top="0.35" bottom="0.35" header="0.15" footer="0.15"/>
  <pageSetup orientation="landscape" paperSize="1" fitToHeight="1" fitToWidth="1"/>
  <headerFooter>
    <oddHeader/>
    <oddFooter>&amp;C&amp;"Aptos"&amp;8 Braithwaite Estate · concept conference 16 May 2026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5" customWidth="1" min="3" max="3"/>
    <col width="18" customWidth="1" min="4" max="4"/>
    <col width="22" customWidth="1" min="5" max="5"/>
    <col width="23" customWidth="1" min="6" max="6"/>
    <col width="16" customWidth="1" min="7" max="7"/>
    <col width="22" customWidth="1" min="8" max="8"/>
    <col width="25" customWidth="1" min="9" max="9"/>
    <col width="23" customWidth="1" min="10" max="10"/>
  </cols>
  <sheetData>
    <row r="1" ht="34" customHeight="1">
      <c r="A1" s="1" t="inlineStr">
        <is>
          <t>THE PRESS ROOM / A WORKING INDEX</t>
        </is>
      </c>
    </row>
    <row r="2" ht="22" customHeight="1">
      <c r="A2" s="2" t="inlineStr">
        <is>
          <t>Eligible studio material and prospective shot direction · no photography has been completed</t>
        </is>
      </c>
    </row>
    <row r="4" ht="21" customHeight="1">
      <c r="A4" s="3" t="inlineStr">
        <is>
          <t>Inventory: include designated presentation material; exclude prohibited records</t>
        </is>
      </c>
    </row>
    <row r="5" ht="28" customHeight="1">
      <c r="A5" s="15" t="inlineStr">
        <is>
          <t>ID</t>
        </is>
      </c>
      <c r="B5" s="15" t="inlineStr">
        <is>
          <t>Verified descriptor</t>
        </is>
      </c>
      <c r="C5" s="15" t="inlineStr">
        <is>
          <t>Medium / type</t>
        </is>
      </c>
      <c r="D5" s="15" t="inlineStr">
        <is>
          <t>Location</t>
        </is>
      </c>
      <c r="E5" s="15" t="inlineStr">
        <is>
          <t>Permission</t>
        </is>
      </c>
      <c r="F5" s="15" t="inlineStr">
        <is>
          <t>Designation</t>
        </is>
      </c>
      <c r="G5" s="15" t="inlineStr">
        <is>
          <t>Photography cue</t>
        </is>
      </c>
      <c r="H5" s="15" t="inlineStr">
        <is>
          <t>Narrative purpose</t>
        </is>
      </c>
      <c r="I5" s="15" t="inlineStr">
        <is>
          <t>Source</t>
        </is>
      </c>
      <c r="J5" s="15" t="inlineStr">
        <is>
          <t>Status note</t>
        </is>
      </c>
    </row>
    <row r="6" ht="38" customHeight="1">
      <c r="A6" s="17" t="inlineStr">
        <is>
          <t>ST-201</t>
        </is>
      </c>
      <c r="B6" s="17" t="inlineStr">
        <is>
          <t>Etching press, Columbian No. 2</t>
        </is>
      </c>
      <c r="C6" s="17" t="inlineStr">
        <is>
          <t>Hand press</t>
        </is>
      </c>
      <c r="D6" s="17" t="inlineStr">
        <is>
          <t>Press room · north wall</t>
        </is>
      </c>
      <c r="E6" s="17" t="inlineStr">
        <is>
          <t>Cleared by executor</t>
        </is>
      </c>
      <c r="F6" s="17" t="inlineStr">
        <is>
          <t>Present</t>
        </is>
      </c>
      <c r="G6" s="17" t="inlineStr">
        <is>
          <t>Hero detail</t>
        </is>
      </c>
      <c r="H6" s="17" t="inlineStr">
        <is>
          <t>Working tool; anchor for process story</t>
        </is>
      </c>
      <c r="I6" s="17" t="inlineStr">
        <is>
          <t>Estate Brief §Studio</t>
        </is>
      </c>
      <c r="J6" s="17" t="inlineStr">
        <is>
          <t>Eligible</t>
        </is>
      </c>
    </row>
    <row r="7" ht="38" customHeight="1">
      <c r="A7" s="7" t="inlineStr">
        <is>
          <t>ST-202</t>
        </is>
      </c>
      <c r="B7" s="7" t="inlineStr">
        <is>
          <t>Birch registration table</t>
        </is>
      </c>
      <c r="C7" s="7" t="inlineStr">
        <is>
          <t>Wood worktable</t>
        </is>
      </c>
      <c r="D7" s="7" t="inlineStr">
        <is>
          <t>Press room · center</t>
        </is>
      </c>
      <c r="E7" s="7" t="inlineStr">
        <is>
          <t>Cleared by executor</t>
        </is>
      </c>
      <c r="F7" s="7" t="inlineStr">
        <is>
          <t>Present</t>
        </is>
      </c>
      <c r="G7" s="7" t="inlineStr">
        <is>
          <t>Process still life</t>
        </is>
      </c>
      <c r="H7" s="7" t="inlineStr">
        <is>
          <t>Surface for paper, ink, and registration tools</t>
        </is>
      </c>
      <c r="I7" s="7" t="inlineStr">
        <is>
          <t>Estate Brief §Studio</t>
        </is>
      </c>
      <c r="J7" s="7" t="inlineStr">
        <is>
          <t>Eligible</t>
        </is>
      </c>
    </row>
    <row r="8" ht="38" customHeight="1">
      <c r="A8" s="17" t="inlineStr">
        <is>
          <t>ST-203</t>
        </is>
      </c>
      <c r="B8" s="17" t="inlineStr">
        <is>
          <t>Drying rack with laid sheets</t>
        </is>
      </c>
      <c r="C8" s="17" t="inlineStr">
        <is>
          <t>Drying rack / paper</t>
        </is>
      </c>
      <c r="D8" s="17" t="inlineStr">
        <is>
          <t>Press room · west wall</t>
        </is>
      </c>
      <c r="E8" s="17" t="inlineStr">
        <is>
          <t>Conditional: no sheet close-ups</t>
        </is>
      </c>
      <c r="F8" s="17" t="inlineStr">
        <is>
          <t>Present</t>
        </is>
      </c>
      <c r="G8" s="17" t="inlineStr">
        <is>
          <t>Wide context only</t>
        </is>
      </c>
      <c r="H8" s="17" t="inlineStr">
        <is>
          <t>Shows sequence without exposing individual works</t>
        </is>
      </c>
      <c r="I8" s="17" t="inlineStr">
        <is>
          <t>Estate Brief §Studio</t>
        </is>
      </c>
      <c r="J8" s="17" t="inlineStr">
        <is>
          <t>Conditional</t>
        </is>
      </c>
    </row>
    <row r="9" ht="38" customHeight="1">
      <c r="A9" s="7" t="inlineStr">
        <is>
          <t>ST-204</t>
        </is>
      </c>
      <c r="B9" s="7" t="inlineStr">
        <is>
          <t>Lead type cabinet</t>
        </is>
      </c>
      <c r="C9" s="7" t="inlineStr">
        <is>
          <t>Wood cabinet / type</t>
        </is>
      </c>
      <c r="D9" s="7" t="inlineStr">
        <is>
          <t>Elevator house · mezzanine</t>
        </is>
      </c>
      <c r="E9" s="7" t="inlineStr">
        <is>
          <t>Cleared by executor</t>
        </is>
      </c>
      <c r="F9" s="7" t="inlineStr">
        <is>
          <t>Present</t>
        </is>
      </c>
      <c r="G9" s="7" t="inlineStr">
        <is>
          <t>Texture / index detail</t>
        </is>
      </c>
      <c r="H9" s="7" t="inlineStr">
        <is>
          <t>Connects industrial storage to print language</t>
        </is>
      </c>
      <c r="I9" s="7" t="inlineStr">
        <is>
          <t>Estate Brief §Studio</t>
        </is>
      </c>
      <c r="J9" s="7" t="inlineStr">
        <is>
          <t>Eligible</t>
        </is>
      </c>
    </row>
    <row r="10" ht="38" customHeight="1">
      <c r="A10" s="17" t="inlineStr">
        <is>
          <t>ST-206</t>
        </is>
      </c>
      <c r="B10" s="17" t="inlineStr">
        <is>
          <t>Ink tins, assorted</t>
        </is>
      </c>
      <c r="C10" s="17" t="inlineStr">
        <is>
          <t>Materials / tins</t>
        </is>
      </c>
      <c r="D10" s="17" t="inlineStr">
        <is>
          <t>Press room · south shelf</t>
        </is>
      </c>
      <c r="E10" s="17" t="inlineStr">
        <is>
          <t>Cleared by executor</t>
        </is>
      </c>
      <c r="F10" s="17" t="inlineStr">
        <is>
          <t>Present</t>
        </is>
      </c>
      <c r="G10" s="17" t="inlineStr">
        <is>
          <t>Detail cluster</t>
        </is>
      </c>
      <c r="H10" s="17" t="inlineStr">
        <is>
          <t>Color punctuation; labels may be soft-focus</t>
        </is>
      </c>
      <c r="I10" s="17" t="inlineStr">
        <is>
          <t>Estate Brief §Studio</t>
        </is>
      </c>
      <c r="J10" s="17" t="inlineStr">
        <is>
          <t>Eligible</t>
        </is>
      </c>
    </row>
    <row r="13" ht="21" customHeight="1">
      <c r="A13" s="3" t="inlineStr">
        <is>
          <t>Shot direction — placeholders, not verified views</t>
        </is>
      </c>
    </row>
    <row r="14" ht="28" customHeight="1">
      <c r="A14" s="15" t="inlineStr">
        <is>
          <t>Direction</t>
        </is>
      </c>
      <c r="B14" s="15" t="inlineStr">
        <is>
          <t>Subject IDs</t>
        </is>
      </c>
      <c r="C14" s="15" t="inlineStr">
        <is>
          <t>Narrative purpose</t>
        </is>
      </c>
      <c r="D14" s="15" t="inlineStr">
        <is>
          <t>Boundary</t>
        </is>
      </c>
    </row>
    <row r="15" ht="31" customHeight="1">
      <c r="A15" s="4" t="inlineStr">
        <is>
          <t>PRESS ROOM / north wall</t>
        </is>
      </c>
      <c r="B15" s="4" t="inlineStr">
        <is>
          <t>ST-201 + ST-202</t>
        </is>
      </c>
      <c r="C15" s="4" t="inlineStr">
        <is>
          <t>Prospective hero detail: press, registration table, and measured room relationship.</t>
        </is>
      </c>
      <c r="D15" s="4" t="inlineStr">
        <is>
          <t>Camera brief only; confirm permissions on site.</t>
        </is>
      </c>
      <c r="E15" s="5" t="n"/>
      <c r="F15" s="5" t="n"/>
      <c r="G15" s="5" t="n"/>
      <c r="H15" s="5" t="n"/>
      <c r="I15" s="5" t="n"/>
      <c r="J15" s="5" t="n"/>
    </row>
    <row r="16" ht="31" customHeight="1">
      <c r="A16" s="7" t="inlineStr">
        <is>
          <t>DRYING SEQUENCE / west wall</t>
        </is>
      </c>
      <c r="B16" s="7" t="inlineStr">
        <is>
          <t>ST-203</t>
        </is>
      </c>
      <c r="C16" s="7" t="inlineStr">
        <is>
          <t>Prospective wide frame to show sequence without sheet close-ups.</t>
        </is>
      </c>
      <c r="D16" s="7" t="inlineStr">
        <is>
          <t>Do not crop into individual sheets.</t>
        </is>
      </c>
      <c r="E16" s="5" t="n"/>
      <c r="F16" s="5" t="n"/>
      <c r="G16" s="5" t="n"/>
      <c r="H16" s="5" t="n"/>
      <c r="I16" s="5" t="n"/>
      <c r="J16" s="5" t="n"/>
    </row>
    <row r="17" ht="31" customHeight="1">
      <c r="A17" s="4" t="inlineStr">
        <is>
          <t>MEZZANINE / elevator house</t>
        </is>
      </c>
      <c r="B17" s="4" t="inlineStr">
        <is>
          <t>ST-204</t>
        </is>
      </c>
      <c r="C17" s="4" t="inlineStr">
        <is>
          <t>Prospective texture/index detail linking storage to print language.</t>
        </is>
      </c>
      <c r="D17" s="4" t="inlineStr">
        <is>
          <t>Use as directional placeholder.</t>
        </is>
      </c>
      <c r="E17" s="5" t="n"/>
      <c r="F17" s="5" t="n"/>
      <c r="G17" s="5" t="n"/>
      <c r="H17" s="5" t="n"/>
      <c r="I17" s="5" t="n"/>
      <c r="J17" s="5" t="n"/>
    </row>
    <row r="18" ht="31" customHeight="1">
      <c r="A18" s="7" t="inlineStr">
        <is>
          <t>SOUTH SHELF / press room</t>
        </is>
      </c>
      <c r="B18" s="7" t="inlineStr">
        <is>
          <t>ST-206</t>
        </is>
      </c>
      <c r="C18" s="7" t="inlineStr">
        <is>
          <t>Prospective color punctuation with soft-focus labels.</t>
        </is>
      </c>
      <c r="D18" s="7" t="inlineStr">
        <is>
          <t>No claims about artwork provenance.</t>
        </is>
      </c>
      <c r="E18" s="5" t="n"/>
      <c r="F18" s="5" t="n"/>
      <c r="G18" s="5" t="n"/>
      <c r="H18" s="5" t="n"/>
      <c r="I18" s="5" t="n"/>
      <c r="J18" s="5" t="n"/>
    </row>
    <row r="20" ht="28" customHeight="1">
      <c r="A20" s="13" t="inlineStr">
        <is>
          <t>PLACEHOLDER LABEL: these are shot directions, not images of the property or works. The family ledger ST-205 is prohibited and intentionally absent.</t>
        </is>
      </c>
    </row>
    <row r="21"/>
  </sheetData>
  <mergeCells count="9">
    <mergeCell ref="A1:J1"/>
    <mergeCell ref="D18:J18"/>
    <mergeCell ref="D17:J17"/>
    <mergeCell ref="A20:J21"/>
    <mergeCell ref="D16:J16"/>
    <mergeCell ref="A4:J4"/>
    <mergeCell ref="A2:J2"/>
    <mergeCell ref="D15:J15"/>
    <mergeCell ref="A13:J13"/>
  </mergeCells>
  <pageMargins left="0.25" right="0.25" top="0.35" bottom="0.35" header="0.15" footer="0.15"/>
  <pageSetup orientation="landscape" paperSize="1" fitToHeight="1" fitToWidth="1"/>
  <headerFooter>
    <oddHeader/>
    <oddFooter>&amp;C&amp;"Aptos"&amp;8 Braithwaite Estate · concept conference 16 May 2026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27" customWidth="1" min="4" max="4"/>
    <col width="33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 ht="34" customHeight="1">
      <c r="A1" s="1" t="inlineStr">
        <is>
          <t>JURISDICTION / KEEP THE QUALIFIERS</t>
        </is>
      </c>
    </row>
    <row r="2" ht="22" customHeight="1">
      <c r="A2" s="2" t="inlineStr">
        <is>
          <t>Counsel comparison · Minnesota and Wisconsin · reference aid, not legal advice</t>
        </is>
      </c>
    </row>
    <row r="4" ht="21" customHeight="1">
      <c r="A4" s="3" t="inlineStr">
        <is>
          <t>Issue matrix (every counsel note retained)</t>
        </is>
      </c>
    </row>
    <row r="5" ht="28" customHeight="1">
      <c r="A5" s="15" t="inlineStr">
        <is>
          <t>Issue</t>
        </is>
      </c>
      <c r="B5" s="15" t="inlineStr">
        <is>
          <t>Topic</t>
        </is>
      </c>
      <c r="C5" s="15" t="inlineStr">
        <is>
          <t>Jurisdiction</t>
        </is>
      </c>
      <c r="D5" s="15" t="inlineStr">
        <is>
          <t>Comparison / qualification</t>
        </is>
      </c>
      <c r="E5" s="15" t="inlineStr">
        <is>
          <t>Approved wording or treatment</t>
        </is>
      </c>
      <c r="F5" s="15" t="inlineStr">
        <is>
          <t>Note ID</t>
        </is>
      </c>
      <c r="G5" s="15" t="inlineStr">
        <is>
          <t>Source</t>
        </is>
      </c>
      <c r="H5" s="15" t="inlineStr">
        <is>
          <t>Use in look book</t>
        </is>
      </c>
      <c r="I5" s="15" t="inlineStr">
        <is>
          <t>Escalate?</t>
        </is>
      </c>
    </row>
    <row r="6" ht="44" customHeight="1">
      <c r="A6" s="17" t="inlineStr">
        <is>
          <t>J-01</t>
        </is>
      </c>
      <c r="B6" s="17" t="inlineStr">
        <is>
          <t>Property identity / address</t>
        </is>
      </c>
      <c r="C6" s="17" t="inlineStr">
        <is>
          <t>Minnesota</t>
        </is>
      </c>
      <c r="D6" s="17" t="inlineStr">
        <is>
          <t>Use verified street address and compound name; no historic-register or landmark implication.</t>
        </is>
      </c>
      <c r="E6" s="17" t="inlineStr">
        <is>
          <t>418 Millrace Road · Red Wing, MN 55066.</t>
        </is>
      </c>
      <c r="F6" s="17" t="inlineStr">
        <is>
          <t>MN-01</t>
        </is>
      </c>
      <c r="G6" s="17" t="inlineStr">
        <is>
          <t>Counsel PDF</t>
        </is>
      </c>
      <c r="H6" s="17" t="inlineStr">
        <is>
          <t>Property Story</t>
        </is>
      </c>
      <c r="I6" s="17" t="inlineStr">
        <is>
          <t>No</t>
        </is>
      </c>
    </row>
    <row r="7" ht="44" customHeight="1">
      <c r="A7" s="7" t="inlineStr">
        <is>
          <t>J-01</t>
        </is>
      </c>
      <c r="B7" s="7" t="inlineStr">
        <is>
          <t>Property identity / address</t>
        </is>
      </c>
      <c r="C7" s="7" t="inlineStr">
        <is>
          <t>Wisconsin</t>
        </is>
      </c>
      <c r="D7" s="7" t="inlineStr">
        <is>
          <t>Retain verified address and identify state expressly; do not imply property is in Wisconsin.</t>
        </is>
      </c>
      <c r="E7" s="7" t="inlineStr">
        <is>
          <t>Minnesota property; 418 Millrace Road · Red Wing, MN 55066.</t>
        </is>
      </c>
      <c r="F7" s="7" t="inlineStr">
        <is>
          <t>WI-01</t>
        </is>
      </c>
      <c r="G7" s="7" t="inlineStr">
        <is>
          <t>Counsel PDF</t>
        </is>
      </c>
      <c r="H7" s="7" t="inlineStr">
        <is>
          <t>Concept</t>
        </is>
      </c>
      <c r="I7" s="7" t="inlineStr">
        <is>
          <t>No</t>
        </is>
      </c>
    </row>
    <row r="8" ht="44" customHeight="1">
      <c r="A8" s="17" t="inlineStr">
        <is>
          <t>J-02</t>
        </is>
      </c>
      <c r="B8" s="17" t="inlineStr">
        <is>
          <t>Industrial history</t>
        </is>
      </c>
      <c r="C8" s="17" t="inlineStr">
        <is>
          <t>Minnesota</t>
        </is>
      </c>
      <c r="D8" s="17" t="inlineStr">
        <is>
          <t>Dates are factual descriptors only; avoid designation, safety, or zoning claims.</t>
        </is>
      </c>
      <c r="E8" s="17" t="inlineStr">
        <is>
          <t>1892 grain elevator structure, converted for live-work use in 2011.</t>
        </is>
      </c>
      <c r="F8" s="17" t="inlineStr">
        <is>
          <t>MN-02</t>
        </is>
      </c>
      <c r="G8" s="17" t="inlineStr">
        <is>
          <t>Counsel PDF</t>
        </is>
      </c>
      <c r="H8" s="17" t="inlineStr">
        <is>
          <t>Property Story</t>
        </is>
      </c>
      <c r="I8" s="17" t="inlineStr">
        <is>
          <t>No</t>
        </is>
      </c>
    </row>
    <row r="9" ht="44" customHeight="1">
      <c r="A9" s="7" t="inlineStr">
        <is>
          <t>J-02</t>
        </is>
      </c>
      <c r="B9" s="7" t="inlineStr">
        <is>
          <t>Industrial history</t>
        </is>
      </c>
      <c r="C9" s="7" t="inlineStr">
        <is>
          <t>Wisconsin</t>
        </is>
      </c>
      <c r="D9" s="7" t="inlineStr">
        <is>
          <t>Descriptive history only; not a Wisconsin code or land-use conclusion.</t>
        </is>
      </c>
      <c r="E9" s="7" t="inlineStr">
        <is>
          <t>Descriptive history only: 1892 grain elevator structure; 2011 live-work conversion.</t>
        </is>
      </c>
      <c r="F9" s="7" t="inlineStr">
        <is>
          <t>WI-02</t>
        </is>
      </c>
      <c r="G9" s="7" t="inlineStr">
        <is>
          <t>Counsel PDF</t>
        </is>
      </c>
      <c r="H9" s="7" t="inlineStr">
        <is>
          <t>Property Story</t>
        </is>
      </c>
      <c r="I9" s="7" t="inlineStr">
        <is>
          <t>No</t>
        </is>
      </c>
    </row>
    <row r="10" ht="44" customHeight="1">
      <c r="A10" s="17" t="inlineStr">
        <is>
          <t>J-03</t>
        </is>
      </c>
      <c r="B10" s="17" t="inlineStr">
        <is>
          <t>Access / adjacent records</t>
        </is>
      </c>
      <c r="C10" s="17" t="inlineStr">
        <is>
          <t>Minnesota</t>
        </is>
      </c>
      <c r="D10" s="17" t="inlineStr">
        <is>
          <t>Name EB-17 only as access context; rights and obligations remain for counsel review.</t>
        </is>
      </c>
      <c r="E10" s="17" t="inlineStr">
        <is>
          <t>Adjacent access context: Heronbank Energy easement file EB-17 (counsel review).</t>
        </is>
      </c>
      <c r="F10" s="17" t="inlineStr">
        <is>
          <t>MN-03</t>
        </is>
      </c>
      <c r="G10" s="17" t="inlineStr">
        <is>
          <t>Counsel PDF</t>
        </is>
      </c>
      <c r="H10" s="17" t="inlineStr">
        <is>
          <t>Property Story</t>
        </is>
      </c>
      <c r="I10" s="17" t="inlineStr">
        <is>
          <t>Yes</t>
        </is>
      </c>
    </row>
    <row r="11" ht="44" customHeight="1">
      <c r="A11" s="7" t="inlineStr">
        <is>
          <t>J-03</t>
        </is>
      </c>
      <c r="B11" s="7" t="inlineStr">
        <is>
          <t>Access / adjacent records</t>
        </is>
      </c>
      <c r="C11" s="7" t="inlineStr">
        <is>
          <t>Wisconsin</t>
        </is>
      </c>
      <c r="D11" s="7" t="inlineStr">
        <is>
          <t>Neutral context wording; do not characterize easement scope or infer Wisconsin treatment.</t>
        </is>
      </c>
      <c r="E11" s="7" t="inlineStr">
        <is>
          <t>Adjacent access context only; easement scope not characterized here.</t>
        </is>
      </c>
      <c r="F11" s="7" t="inlineStr">
        <is>
          <t>WI-03</t>
        </is>
      </c>
      <c r="G11" s="7" t="inlineStr">
        <is>
          <t>Counsel PDF</t>
        </is>
      </c>
      <c r="H11" s="7" t="inlineStr">
        <is>
          <t>Property Story</t>
        </is>
      </c>
      <c r="I11" s="7" t="inlineStr">
        <is>
          <t>Yes</t>
        </is>
      </c>
    </row>
    <row r="12" ht="44" customHeight="1">
      <c r="A12" s="17" t="inlineStr">
        <is>
          <t>J-04</t>
        </is>
      </c>
      <c r="B12" s="17" t="inlineStr">
        <is>
          <t>School district context</t>
        </is>
      </c>
      <c r="C12" s="17" t="inlineStr">
        <is>
          <t>Minnesota</t>
        </is>
      </c>
      <c r="D12" s="17" t="inlineStr">
        <is>
          <t>Context citation only; no enrollment, quality, or value implication.</t>
        </is>
      </c>
      <c r="E12" s="17" t="inlineStr">
        <is>
          <t>Candlewick School District boundary note CSD-04 (context only).</t>
        </is>
      </c>
      <c r="F12" s="17" t="inlineStr">
        <is>
          <t>MN-04</t>
        </is>
      </c>
      <c r="G12" s="17" t="inlineStr">
        <is>
          <t>Counsel PDF</t>
        </is>
      </c>
      <c r="H12" s="17" t="inlineStr">
        <is>
          <t>Property Story</t>
        </is>
      </c>
      <c r="I12" s="17" t="inlineStr">
        <is>
          <t>No</t>
        </is>
      </c>
    </row>
    <row r="13" ht="44" customHeight="1">
      <c r="A13" s="7" t="inlineStr">
        <is>
          <t>J-04</t>
        </is>
      </c>
      <c r="B13" s="7" t="inlineStr">
        <is>
          <t>School district context</t>
        </is>
      </c>
      <c r="C13" s="7" t="inlineStr">
        <is>
          <t>Wisconsin</t>
        </is>
      </c>
      <c r="D13" s="7" t="inlineStr">
        <is>
          <t>Context-only label; avoid comparative school statements.</t>
        </is>
      </c>
      <c r="E13" s="7" t="inlineStr">
        <is>
          <t>Boundary context only; no school-quality representation.</t>
        </is>
      </c>
      <c r="F13" s="7" t="inlineStr">
        <is>
          <t>WI-04</t>
        </is>
      </c>
      <c r="G13" s="7" t="inlineStr">
        <is>
          <t>Counsel PDF</t>
        </is>
      </c>
      <c r="H13" s="7" t="inlineStr">
        <is>
          <t>Property Story</t>
        </is>
      </c>
      <c r="I13" s="7" t="inlineStr">
        <is>
          <t>No</t>
        </is>
      </c>
    </row>
    <row r="14" ht="44" customHeight="1">
      <c r="A14" s="17" t="inlineStr">
        <is>
          <t>J-05</t>
        </is>
      </c>
      <c r="B14" s="17" t="inlineStr">
        <is>
          <t>Unresolved legal treatment</t>
        </is>
      </c>
      <c r="C14" s="17" t="inlineStr">
        <is>
          <t>Minnesota</t>
        </is>
      </c>
      <c r="D14" s="17" t="inlineStr">
        <is>
          <t>Do not declare compliance or advise on disclosure; escalate claim boundaries.</t>
        </is>
      </c>
      <c r="E14" s="17" t="inlineStr">
        <is>
          <t>Counsel to confirm; no conclusion in look book.</t>
        </is>
      </c>
      <c r="F14" s="17" t="inlineStr">
        <is>
          <t>MN-05</t>
        </is>
      </c>
      <c r="G14" s="17" t="inlineStr">
        <is>
          <t>Counsel PDF</t>
        </is>
      </c>
      <c r="H14" s="17" t="inlineStr">
        <is>
          <t>Approval Key</t>
        </is>
      </c>
      <c r="I14" s="17" t="inlineStr">
        <is>
          <t>Yes</t>
        </is>
      </c>
    </row>
    <row r="15" ht="44" customHeight="1">
      <c r="A15" s="7" t="inlineStr">
        <is>
          <t>J-05</t>
        </is>
      </c>
      <c r="B15" s="7" t="inlineStr">
        <is>
          <t>Unresolved legal treatment</t>
        </is>
      </c>
      <c r="C15" s="7" t="inlineStr">
        <is>
          <t>Wisconsin</t>
        </is>
      </c>
      <c r="D15" s="7" t="inlineStr">
        <is>
          <t>Preserve uncertainty rather than declaring compliance.</t>
        </is>
      </c>
      <c r="E15" s="7" t="inlineStr">
        <is>
          <t>Counsel to confirm; no conclusion in look book.</t>
        </is>
      </c>
      <c r="F15" s="7" t="inlineStr">
        <is>
          <t>WI-05</t>
        </is>
      </c>
      <c r="G15" s="7" t="inlineStr">
        <is>
          <t>Counsel PDF</t>
        </is>
      </c>
      <c r="H15" s="7" t="inlineStr">
        <is>
          <t>Approval Key</t>
        </is>
      </c>
      <c r="I15" s="7" t="inlineStr">
        <is>
          <t>Yes</t>
        </is>
      </c>
    </row>
    <row r="17" ht="30" customHeight="1">
      <c r="A17" s="13" t="inlineStr">
        <is>
          <t>COUNSEL BOUNDARY: This matrix preserves the supplied distinctions and approved wording for review. It does not declare compliance, give legal advice, or recommend a transaction decision.</t>
        </is>
      </c>
    </row>
    <row r="18"/>
  </sheetData>
  <mergeCells count="4">
    <mergeCell ref="A1:I1"/>
    <mergeCell ref="A4:I4"/>
    <mergeCell ref="A17:I18"/>
    <mergeCell ref="A2:I2"/>
  </mergeCells>
  <pageMargins left="0.25" right="0.25" top="0.35" bottom="0.35" header="0.15" footer="0.15"/>
  <pageSetup orientation="landscape" paperSize="1" fitToHeight="1" fitToWidth="1"/>
  <headerFooter>
    <oddHeader/>
    <oddFooter>&amp;C&amp;"Aptos"&amp;8 Braithwaite Estate · concept conference 16 May 2026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32" customWidth="1" min="4" max="4"/>
    <col width="20" customWidth="1" min="5" max="5"/>
    <col width="9" customWidth="1" min="6" max="6"/>
    <col width="9" customWidth="1" min="7" max="7"/>
    <col width="18" customWidth="1" min="8" max="8"/>
    <col width="13" customWidth="1" min="9" max="9"/>
  </cols>
  <sheetData>
    <row r="1" ht="34" customHeight="1">
      <c r="A1" s="1" t="inlineStr">
        <is>
          <t>APPROVAL KEY / LIVE REVIEW RECORD</t>
        </is>
      </c>
    </row>
    <row r="2" ht="22" customHeight="1">
      <c r="A2" s="2" t="inlineStr">
        <is>
          <t>Prompt answers, rationale, sources, and reviewer response · response cells are the editable exception</t>
        </is>
      </c>
    </row>
    <row r="4" ht="21" customHeight="1">
      <c r="A4" s="3" t="inlineStr">
        <is>
          <t>Calculated review outputs</t>
        </is>
      </c>
    </row>
    <row r="5">
      <c r="A5" s="6" t="inlineStr">
        <is>
          <t>Weighted alignment</t>
        </is>
      </c>
      <c r="B5" s="20">
        <f>IFERROR(SUMIF(H8:H18,"Aligned",F8:F18)/SUM(F8:F18),0)</f>
        <v/>
      </c>
      <c r="D5" s="6" t="inlineStr">
        <is>
          <t>Alignment status</t>
        </is>
      </c>
      <c r="E5" s="12">
        <f>IF(COUNTIFS(G8:G18,"Yes",H8:H18,"&lt;&gt;Aligned")=0,"Fully aligned","Open decisions")</f>
        <v/>
      </c>
      <c r="G5" s="4" t="inlineStr">
        <is>
          <t>Blank / Revise / Discuss responses remain visible for conference follow-up.</t>
        </is>
      </c>
    </row>
    <row r="7" ht="28" customHeight="1">
      <c r="A7" s="15" t="inlineStr">
        <is>
          <t>Prompt ID</t>
        </is>
      </c>
      <c r="B7" s="15" t="inlineStr">
        <is>
          <t>Approval prompt</t>
        </is>
      </c>
      <c r="C7" s="15" t="inlineStr">
        <is>
          <t>Intended treatment</t>
        </is>
      </c>
      <c r="D7" s="15" t="inlineStr">
        <is>
          <t>Rationale</t>
        </is>
      </c>
      <c r="E7" s="15" t="inlineStr">
        <is>
          <t>Source</t>
        </is>
      </c>
      <c r="F7" s="15" t="inlineStr">
        <is>
          <t>Weight</t>
        </is>
      </c>
      <c r="G7" s="15" t="inlineStr">
        <is>
          <t>Required</t>
        </is>
      </c>
      <c r="H7" s="15" t="inlineStr">
        <is>
          <t>Reviewer response</t>
        </is>
      </c>
      <c r="I7" s="15" t="inlineStr">
        <is>
          <t>Decision note</t>
        </is>
      </c>
    </row>
    <row r="8" ht="58" customHeight="1">
      <c r="A8" s="17" t="inlineStr">
        <is>
          <t>AP-601</t>
        </is>
      </c>
      <c r="B8" s="17" t="inlineStr">
        <is>
          <t>Keep the audience focused on serious art buyers while retaining property legibility.</t>
        </is>
      </c>
      <c r="C8" s="17" t="inlineStr">
        <is>
          <t>Lead with “The Working Volume”; pair art-led proposition with address, measured mix, and neutral property facts.</t>
        </is>
      </c>
      <c r="D8" s="17" t="inlineStr">
        <is>
          <t>The Concept and Property Story hold art-world resonance and practical legibility in the same frame.</t>
        </is>
      </c>
      <c r="E8" s="17" t="inlineStr">
        <is>
          <t>Estate Brief §Approval Prompts · Concept</t>
        </is>
      </c>
      <c r="F8" s="21" t="n">
        <v>5</v>
      </c>
      <c r="G8" s="17" t="inlineStr">
        <is>
          <t>Yes</t>
        </is>
      </c>
      <c r="H8" s="22" t="n"/>
      <c r="I8" s="22" t="n"/>
    </row>
    <row r="9" ht="58" customHeight="1">
      <c r="A9" s="7" t="inlineStr">
        <is>
          <t>AP-602</t>
        </is>
      </c>
      <c r="B9" s="7" t="inlineStr">
        <is>
          <t>Center the intact relationship between compound, studio, and Braithwaite practice.</t>
        </is>
      </c>
      <c r="C9" s="7" t="inlineStr">
        <is>
          <t>Use the compound as frame and press room as measure; keep eligible tools in the story.</t>
        </is>
      </c>
      <c r="D9" s="7" t="inlineStr">
        <is>
          <t>Concept proposition and Studio Inventory tie structure to working process without claiming artistic significance.</t>
        </is>
      </c>
      <c r="E9" s="7" t="inlineStr">
        <is>
          <t>Estate Brief §Approval Prompts · Concept</t>
        </is>
      </c>
      <c r="F9" s="23" t="n">
        <v>5</v>
      </c>
      <c r="G9" s="7" t="inlineStr">
        <is>
          <t>Yes</t>
        </is>
      </c>
      <c r="H9" s="22" t="n"/>
      <c r="I9" s="22" t="n"/>
    </row>
    <row r="10" ht="58" customHeight="1">
      <c r="A10" s="17" t="inlineStr">
        <is>
          <t>AP-603</t>
        </is>
      </c>
      <c r="B10" s="17" t="inlineStr">
        <is>
          <t>Use only verified facts and label interpretation or concept direction.</t>
        </is>
      </c>
      <c r="C10" s="17" t="inlineStr">
        <is>
          <t>Keep IDs, source anchors, qualifiers, and “concept only” labels visible.</t>
        </is>
      </c>
      <c r="D10" s="17" t="inlineStr">
        <is>
          <t>Property Story and Jurisdiction separate verified records from interpretation and preserve claim boundaries.</t>
        </is>
      </c>
      <c r="E10" s="17" t="inlineStr">
        <is>
          <t>Estate Brief §Approval Prompts · Property Story</t>
        </is>
      </c>
      <c r="F10" s="21" t="n">
        <v>5</v>
      </c>
      <c r="G10" s="17" t="inlineStr">
        <is>
          <t>Yes</t>
        </is>
      </c>
      <c r="H10" s="22" t="n"/>
      <c r="I10" s="22" t="n"/>
    </row>
    <row r="11" ht="58" customHeight="1">
      <c r="A11" s="7" t="inlineStr">
        <is>
          <t>AP-604</t>
        </is>
      </c>
      <c r="B11" s="7" t="inlineStr">
        <is>
          <t>Select studio material that can shape photography without exposing prohibited records or restricted sheets.</t>
        </is>
      </c>
      <c r="C11" s="7" t="inlineStr">
        <is>
          <t>Include ST-201/202/203/204/206; exclude ST-205; keep ST-203 wide-context only.</t>
        </is>
      </c>
      <c r="D11" s="7" t="inlineStr">
        <is>
          <t>Inventory follows permission and designation fields from the source.</t>
        </is>
      </c>
      <c r="E11" s="7" t="inlineStr">
        <is>
          <t>Estate Brief §Approval Prompts · Studio §ST-201–ST-206</t>
        </is>
      </c>
      <c r="F11" s="23" t="n">
        <v>4</v>
      </c>
      <c r="G11" s="7" t="inlineStr">
        <is>
          <t>Yes</t>
        </is>
      </c>
      <c r="H11" s="22" t="n"/>
      <c r="I11" s="22" t="n"/>
    </row>
    <row r="12" ht="58" customHeight="1">
      <c r="A12" s="17" t="inlineStr">
        <is>
          <t>AP-605</t>
        </is>
      </c>
      <c r="B12" s="17" t="inlineStr">
        <is>
          <t>Keep visual placeholders prospective; do not imply photography is complete.</t>
        </is>
      </c>
      <c r="C12" s="17" t="inlineStr">
        <is>
          <t>Label shot directions as placeholders / camera brief only.</t>
        </is>
      </c>
      <c r="D12" s="17" t="inlineStr">
        <is>
          <t>Studio Inventory and Concept use explicit prospective labels and no embedded property images.</t>
        </is>
      </c>
      <c r="E12" s="17" t="inlineStr">
        <is>
          <t>Estate Brief §Approval Prompts · Studio</t>
        </is>
      </c>
      <c r="F12" s="21" t="n">
        <v>3</v>
      </c>
      <c r="G12" s="17" t="inlineStr">
        <is>
          <t>Yes</t>
        </is>
      </c>
      <c r="H12" s="22" t="n"/>
      <c r="I12" s="22" t="n"/>
    </row>
    <row r="13" ht="58" customHeight="1">
      <c r="A13" s="7" t="inlineStr">
        <is>
          <t>AP-606</t>
        </is>
      </c>
      <c r="B13" s="7" t="inlineStr">
        <is>
          <t>Show the measured area mix and total as a live, traceable calculation.</t>
        </is>
      </c>
      <c r="C13" s="7" t="inlineStr">
        <is>
          <t>Display AR-101–AR-104 and SUM formula with native chart.</t>
        </is>
      </c>
      <c r="D13" s="7" t="inlineStr">
        <is>
          <t>Property Story total references visible component cells; chart references the same table.</t>
        </is>
      </c>
      <c r="E13" s="7" t="inlineStr">
        <is>
          <t>Estate Brief §Approval Prompts · Areas AR-101–AR-104</t>
        </is>
      </c>
      <c r="F13" s="23" t="n">
        <v>3</v>
      </c>
      <c r="G13" s="7" t="inlineStr">
        <is>
          <t>No</t>
        </is>
      </c>
      <c r="H13" s="22" t="n"/>
      <c r="I13" s="22" t="n"/>
    </row>
    <row r="14" ht="58" customHeight="1">
      <c r="A14" s="17" t="inlineStr">
        <is>
          <t>AP-607</t>
        </is>
      </c>
      <c r="B14" s="17" t="inlineStr">
        <is>
          <t>Make the 16 May conference and 20 May photography hold visible with dependencies.</t>
        </is>
      </c>
      <c r="C14" s="17" t="inlineStr">
        <is>
          <t>Show MS-401 and MS-402 with alignment dependency; keep counsel lock and plan refresh adjacent.</t>
        </is>
      </c>
      <c r="D14" s="17" t="inlineStr">
        <is>
          <t>Timing table makes the deadline-driven sequence visible without booking authority.</t>
        </is>
      </c>
      <c r="E14" s="17" t="inlineStr">
        <is>
          <t>Estate Brief §Approval Prompts · MS-401–MS-404</t>
        </is>
      </c>
      <c r="F14" s="21" t="n">
        <v>4</v>
      </c>
      <c r="G14" s="17" t="inlineStr">
        <is>
          <t>Yes</t>
        </is>
      </c>
      <c r="H14" s="22" t="n"/>
      <c r="I14" s="22" t="n"/>
    </row>
    <row r="15" ht="58" customHeight="1">
      <c r="A15" s="7" t="inlineStr">
        <is>
          <t>AP-608</t>
        </is>
      </c>
      <c r="B15" s="7" t="inlineStr">
        <is>
          <t>Include the verified planning budget without implying spend authorization.</t>
        </is>
      </c>
      <c r="C15" s="7" t="inlineStr">
        <is>
          <t>Show BU-301–BU-304 as planning ceilings/allowances and quote; do not authorize.</t>
        </is>
      </c>
      <c r="D15" s="7" t="inlineStr">
        <is>
          <t>Budget lines retain source statuses and dependencies and are framed for review.</t>
        </is>
      </c>
      <c r="E15" s="7" t="inlineStr">
        <is>
          <t>Estate Brief §Approval Prompts · BU-301–BU-304</t>
        </is>
      </c>
      <c r="F15" s="23" t="n">
        <v>3</v>
      </c>
      <c r="G15" s="7" t="inlineStr">
        <is>
          <t>No</t>
        </is>
      </c>
      <c r="H15" s="22" t="n"/>
      <c r="I15" s="22" t="n"/>
    </row>
    <row r="16" ht="58" customHeight="1">
      <c r="A16" s="17" t="inlineStr">
        <is>
          <t>AP-609</t>
        </is>
      </c>
      <c r="B16" s="17" t="inlineStr">
        <is>
          <t>Preserve Minnesota wording and qualifications for counsel review.</t>
        </is>
      </c>
      <c r="C16" s="17" t="inlineStr">
        <is>
          <t>Carry MN-01–MN-05 wording and escalation boundary into Jurisdiction.</t>
        </is>
      </c>
      <c r="D16" s="17" t="inlineStr">
        <is>
          <t>Each Minnesota counsel note is visible with note ID and neutral treatment.</t>
        </is>
      </c>
      <c r="E16" s="17" t="inlineStr">
        <is>
          <t>Counsel PDF · MN-01–MN-05</t>
        </is>
      </c>
      <c r="F16" s="21" t="n">
        <v>4</v>
      </c>
      <c r="G16" s="17" t="inlineStr">
        <is>
          <t>Yes</t>
        </is>
      </c>
      <c r="H16" s="22" t="n"/>
      <c r="I16" s="22" t="n"/>
    </row>
    <row r="17" ht="58" customHeight="1">
      <c r="A17" s="7" t="inlineStr">
        <is>
          <t>AP-610</t>
        </is>
      </c>
      <c r="B17" s="7" t="inlineStr">
        <is>
          <t>Preserve Wisconsin wording and qualifications for counsel review.</t>
        </is>
      </c>
      <c r="C17" s="7" t="inlineStr">
        <is>
          <t>Carry WI-01–WI-05 wording and escalation boundary into Jurisdiction.</t>
        </is>
      </c>
      <c r="D17" s="7" t="inlineStr">
        <is>
          <t>Each Wisconsin counsel note is visible without collapsing distinctions.</t>
        </is>
      </c>
      <c r="E17" s="7" t="inlineStr">
        <is>
          <t>Counsel PDF · WI-01–WI-05</t>
        </is>
      </c>
      <c r="F17" s="23" t="n">
        <v>4</v>
      </c>
      <c r="G17" s="7" t="inlineStr">
        <is>
          <t>Yes</t>
        </is>
      </c>
      <c r="H17" s="22" t="n"/>
      <c r="I17" s="22" t="n"/>
    </row>
    <row r="18" ht="58" customHeight="1">
      <c r="A18" s="17" t="inlineStr">
        <is>
          <t>AP-611</t>
        </is>
      </c>
      <c r="B18" s="17" t="inlineStr">
        <is>
          <t>Record executor and counsel responses in a usable approval key.</t>
        </is>
      </c>
      <c r="C18" s="17" t="inlineStr">
        <is>
          <t>Use unlocked dropdown in H; leave a concise note in I after discussion.</t>
        </is>
      </c>
      <c r="D18" s="17" t="inlineStr">
        <is>
          <t>The key is filtered, frozen, protected, and formula-driven for successor use.</t>
        </is>
      </c>
      <c r="E18" s="17" t="inlineStr">
        <is>
          <t>Estate Brief §Approval Prompts · Approval Key</t>
        </is>
      </c>
      <c r="F18" s="21" t="n">
        <v>2</v>
      </c>
      <c r="G18" s="17" t="inlineStr">
        <is>
          <t>Yes</t>
        </is>
      </c>
      <c r="H18" s="22" t="n"/>
      <c r="I18" s="2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B7D"/>
  <autoFilter ref="A7:I18"/>
  <mergeCells count="6">
    <mergeCell ref="A2:I2"/>
    <mergeCell ref="G5:I5"/>
    <mergeCell ref="B5:C5"/>
    <mergeCell ref="A1:I1"/>
    <mergeCell ref="E5:F5"/>
    <mergeCell ref="A4:I4"/>
  </mergeCells>
  <conditionalFormatting sqref="H8:H18">
    <cfRule type="expression" priority="1" dxfId="0">
      <formula>AND($H8="",$A8&lt;&gt;"")</formula>
    </cfRule>
    <cfRule type="expression" priority="2" dxfId="1">
      <formula>$H8="Revise"</formula>
    </cfRule>
    <cfRule type="expression" priority="3" dxfId="2">
      <formula>$H8="Discuss"</formula>
    </cfRule>
  </conditionalFormatting>
  <conditionalFormatting sqref="E5:F5">
    <cfRule type="expression" priority="4" dxfId="3">
      <formula>$E$5="Fully aligned"</formula>
    </cfRule>
    <cfRule type="expression" priority="5" dxfId="0">
      <formula>$E$5="Open decisions"</formula>
    </cfRule>
  </conditionalFormatting>
  <dataValidations count="1">
    <dataValidation sqref="H8:H18" showDropDown="0" showInputMessage="0" showErrorMessage="0" allowBlank="1" errorTitle="Reviewer response" error="Choose Aligned, Revise, or Discuss." promptTitle="Approval response" prompt="Select one of the three review states." type="list">
      <formula1>"Aligned,Revise,Discuss"</formula1>
    </dataValidation>
  </dataValidations>
  <pageMargins left="0.25" right="0.25" top="0.35" bottom="0.35" header="0.15" footer="0.15"/>
  <pageSetup orientation="landscape" paperSize="1" fitToHeight="2" fitToWidth="1"/>
  <headerFooter>
    <oddHeader/>
    <oddFooter>&amp;C&amp;"Aptos"&amp;8 Braithwaite Estate · concept conference 16 May 2026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2026-08-20T18:47:15Z</dcterms:created>
  <dcterms:modified xmlns:dcterms="http://purl.org/dc/terms/" xmlns:xsi="http://www.w3.org/2001/XMLSchema-instance" xsi:type="dcterms:W3CDTF">2026-08-20T18:47:15Z</dcterms:modified>
</cp:coreProperties>
</file>