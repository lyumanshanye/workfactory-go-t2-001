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red revi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18" authorId="0">
      <text>
        <r>
          <rPr>
            <sz val="10"/>
            <rFont val="DejaVu Sans"/>
            <family val="2"/>
          </rPr>
          <t xml:space="preserve">Weighted total = SUMPRODUCT(policy weights, component scores)/100. Source: Frozen review policy rows 14-17.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10</xdr:rowOff>
              </xdr:from>
              <xdr:to>
                <xdr:col>1</xdr:col>
                <xdr:colOff>-1</xdr:colOff>
                <xdr:row>12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<sst xmlns="http://schemas.openxmlformats.org/spreadsheetml/2006/main" count="119" uniqueCount="104">
  <si>
    <t xml:space="preserve">Farrowdale Components — actuator housing scored supplier review</t>
  </si>
  <si>
    <t xml:space="preserve">Decision date: Friday executive meeting | Evidence periods: 2024 actual and 2025 YTD through 30 Sep 2025 | Regulatory snapshot: 30 Sep 2025</t>
  </si>
  <si>
    <t xml:space="preserve">1. SOURCE-LINKED PERFORMANCE INPUTS</t>
  </si>
  <si>
    <t xml:space="preserve">Supplier</t>
  </si>
  <si>
    <t xml:space="preserve">Period</t>
  </si>
  <si>
    <t xml:space="preserve">Shipments</t>
  </si>
  <si>
    <t xml:space="preserve">Accepted</t>
  </si>
  <si>
    <t xml:space="preserve">Defects</t>
  </si>
  <si>
    <t xml:space="preserve">Defect rate (defects ÷ shipments)</t>
  </si>
  <si>
    <t xml:space="preserve">On-time shipments</t>
  </si>
  <si>
    <t xml:space="preserve">On-time rate (on-time ÷ shipments)</t>
  </si>
  <si>
    <t xml:space="preserve">Lead time (days)</t>
  </si>
  <si>
    <t xml:space="preserve">Quoted ex-works USD/unit</t>
  </si>
  <si>
    <t xml:space="preserve">Volume basis</t>
  </si>
  <si>
    <t xml:space="preserve">Source row</t>
  </si>
  <si>
    <t xml:space="preserve">Wardenby Logistics</t>
  </si>
  <si>
    <t xml:space="preserve">2024 actual</t>
  </si>
  <si>
    <t xml:space="preserve">12,000 annual units</t>
  </si>
  <si>
    <t xml:space="preserve">Frozen review!6</t>
  </si>
  <si>
    <t xml:space="preserve">2025 YTD</t>
  </si>
  <si>
    <t xml:space="preserve">9,000 units through 30 Sep</t>
  </si>
  <si>
    <t xml:space="preserve">Frozen review!7</t>
  </si>
  <si>
    <t xml:space="preserve">Sunderly Energy</t>
  </si>
  <si>
    <t xml:space="preserve">10,000 annual units</t>
  </si>
  <si>
    <t xml:space="preserve">Frozen review!8</t>
  </si>
  <si>
    <t xml:space="preserve">8,000 units through 30 Sep</t>
  </si>
  <si>
    <t xml:space="preserve">Frozen review!9</t>
  </si>
  <si>
    <t xml:space="preserve">2. POLICY SCORECARD (2025 YTD basis)</t>
  </si>
  <si>
    <t xml:space="preserve">Dimension</t>
  </si>
  <si>
    <t xml:space="preserve">Weight</t>
  </si>
  <si>
    <t xml:space="preserve">Wardenby score</t>
  </si>
  <si>
    <t xml:space="preserve">Sunderly score</t>
  </si>
  <si>
    <t xml:space="preserve">Calculation / source</t>
  </si>
  <si>
    <t xml:space="preserve">Quality</t>
  </si>
  <si>
    <t xml:space="preserve">100 − defect rate × 2,000; defects ÷ shipments</t>
  </si>
  <si>
    <t xml:space="preserve">Delivery</t>
  </si>
  <si>
    <t xml:space="preserve">On-time shipments ÷ shipments × 100</t>
  </si>
  <si>
    <t xml:space="preserve">Cost</t>
  </si>
  <si>
    <t xml:space="preserve">100 × lowest quoted ex-works cost ÷ supplier cost</t>
  </si>
  <si>
    <t xml:space="preserve">Compliance evidence</t>
  </si>
  <si>
    <t xml:space="preserve">Three controls: Germany+Poland origin, due diligence, alternative pack</t>
  </si>
  <si>
    <t xml:space="preserve">Weighted total</t>
  </si>
  <si>
    <t xml:space="preserve">Wardenby rank 2; Sunderly rank 1; gap = Sunderly − Wardenby</t>
  </si>
  <si>
    <t xml:space="preserve">3. COMPLIANCE EVIDENCE AND CONDITIONS</t>
  </si>
  <si>
    <t xml:space="preserve">Germany origin evidence</t>
  </si>
  <si>
    <t xml:space="preserve">Poland origin evidence</t>
  </si>
  <si>
    <t xml:space="preserve">Due-diligence file</t>
  </si>
  <si>
    <t xml:space="preserve">Alternative verification pack</t>
  </si>
  <si>
    <t xml:space="preserve">Evidence / source trace</t>
  </si>
  <si>
    <t xml:space="preserve">Frozen review!26-27, 33: Germany invoice + location; Poland dispatch only; questionnaire/screening; ownership pending</t>
  </si>
  <si>
    <t xml:space="preserve">Frozen review!26-27, 33: origin statements + BOM/transformation for both; questionnaire, ownership/control, sanctions screening; signed alternative pack</t>
  </si>
  <si>
    <t xml:space="preserve">Decision: RECOMMEND SUNDERLY ENERGY — bounded conditional award for actuator housings only.</t>
  </si>
  <si>
    <t xml:space="preserve">Conditions precedent (Cecilia Underwood executes): (1) obtain written Procurement Director and Compliance Counsel approvals; (2) retain Sunderly alternative-evidence pack and origin/due-diligence file; (3) define scope as actuator-housing purchase order(s) capped at the approved quantity/value and expiry/review point; (4) no binding release until gates are recorded. Site verification remains unavailable before Friday and is residual risk; schedule it later under policy. Josefa Salcedo’s informal assurance is non-controlling and does not bind Farrowdale.</t>
  </si>
  <si>
    <t xml:space="preserve">4. 2024→2025 YTD CHANGE ANALYSIS</t>
  </si>
  <si>
    <t xml:space="preserve">Defect rate 2024</t>
  </si>
  <si>
    <t xml:space="preserve">Defect rate 2025 YTD</t>
  </si>
  <si>
    <t xml:space="preserve">Change (pp)</t>
  </si>
  <si>
    <t xml:space="preserve">On-time 2024</t>
  </si>
  <si>
    <t xml:space="preserve">On-time 2025 YTD</t>
  </si>
  <si>
    <t xml:space="preserve">Lead time change (days)</t>
  </si>
  <si>
    <t xml:space="preserve">Decision meaning</t>
  </si>
  <si>
    <t xml:space="preserve">Quality +0.5 pp, delivery −8.0 pp and lead time +2 days materially increase award risk.</t>
  </si>
  <si>
    <t xml:space="preserve">Quality −0.9 pp, delivery +5.0 pp and lead time −1 day strengthen confidence despite higher cost.</t>
  </si>
  <si>
    <t xml:space="preserve">5. REVIEW-COMMENT DISPOSITION LOG</t>
  </si>
  <si>
    <t xml:space="preserve">ID</t>
  </si>
  <si>
    <t xml:space="preserve">Supplied issue</t>
  </si>
  <si>
    <t xml:space="preserve">Disposition</t>
  </si>
  <si>
    <t xml:space="preserve">Rationale / evidence reference</t>
  </si>
  <si>
    <t xml:space="preserve">Status</t>
  </si>
  <si>
    <t xml:space="preserve">Owner / timing</t>
  </si>
  <si>
    <t xml:space="preserve">C-01</t>
  </si>
  <si>
    <t xml:space="preserve">2024 over-weighted; 2025 evidence missing</t>
  </si>
  <si>
    <t xml:space="preserve">Resolved in revised scorecard</t>
  </si>
  <si>
    <t xml:space="preserve">2025 YTD rows 7 and 9 drive quality/delivery scores; change table shows Wardenby deterioration and Sunderly improvement.</t>
  </si>
  <si>
    <t xml:space="preserve">Resolved</t>
  </si>
  <si>
    <t xml:space="preserve">Felix — included for Friday</t>
  </si>
  <si>
    <t xml:space="preserve">C-02</t>
  </si>
  <si>
    <t xml:space="preserve">Origin blurred with shipping/dispatch</t>
  </si>
  <si>
    <t xml:space="preserve">Resolved with separate jurisdiction analysis</t>
  </si>
  <si>
    <t xml:space="preserve">Snapshot 30 Sep 2025: origin requires substantial transformation/equivalent evidence; dispatch/seller location alone insufficient. Germany and Poland rows 26-27 treated separately.</t>
  </si>
  <si>
    <t xml:space="preserve">Felix — before decision</t>
  </si>
  <si>
    <t xml:space="preserve">C-03</t>
  </si>
  <si>
    <t xml:space="preserve">Site verification unavailable before meeting</t>
  </si>
  <si>
    <t xml:space="preserve">Open condition with policy fallback</t>
  </si>
  <si>
    <t xml:space="preserve">No site visit represented as complete. Sunderly alternative pack is held; written approvals and later verification remain required.</t>
  </si>
  <si>
    <t xml:space="preserve">Condition</t>
  </si>
  <si>
    <t xml:space="preserve">Compliance Counsel — pre-release; site review later</t>
  </si>
  <si>
    <t xml:space="preserve">C-04</t>
  </si>
  <si>
    <t xml:space="preserve">Due diligence and approval boundary unclear</t>
  </si>
  <si>
    <t xml:space="preserve">Resolved / approval gate retained</t>
  </si>
  <si>
    <t xml:space="preserve">Sunderly questionnaire, ownership/control, sanctions screening and origin records are listed separately; recommendation is not approval.</t>
  </si>
  <si>
    <t xml:space="preserve">Felix / Procurement Director — pre-release gate</t>
  </si>
  <si>
    <t xml:space="preserve">C-05</t>
  </si>
  <si>
    <t xml:space="preserve">Informal assurance to preferred supplier</t>
  </si>
  <si>
    <t xml:space="preserve">Disposed as non-controlling</t>
  </si>
  <si>
    <t xml:space="preserve">Josefa Salcedo’s assurance is acknowledged as informal relationship communication; it is not signed approval, binding commitment or substitute for policy authority.</t>
  </si>
  <si>
    <t xml:space="preserve">Beatriz — communicate correction before award</t>
  </si>
  <si>
    <t xml:space="preserve">C-06</t>
  </si>
  <si>
    <t xml:space="preserve">Conditions, owner and release gate unclear</t>
  </si>
  <si>
    <t xml:space="preserve">Resolved with executable controls</t>
  </si>
  <si>
    <t xml:space="preserve">Cecilia Underwood must obtain named written approvals, record bounded scope/expiry, retain evidence and block release until gates are met.</t>
  </si>
  <si>
    <t xml:space="preserve">Cecilia — before PO release</t>
  </si>
  <si>
    <t xml:space="preserve">6. DOCTRINAL LIMITS</t>
  </si>
  <si>
    <t xml:space="preserve">Snapshot limitation: conclusions are only as of 30 September 2025; it is not confirmation of later legal developments. Policy compliance is not a legal-risk-free or permanent approval conclusion. A favourable score does not cure missing approval, origin determination or verification. Lowest price stops controlling where newer operational evidence and mandatory compliance risk change the risk-adjusted decision.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</si>
</sst>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0.00"/>
    <numFmt numFmtId="167" formatCode="0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65D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22"/>
    <col collapsed="false" customWidth="true" hidden="false" outlineLevel="0" max="6" min="6" style="0" width="4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8"/>
    <col collapsed="false" customWidth="true" hidden="false" outlineLevel="0" max="12" min="12" style="0" width="16"/>
  </cols>
  <sheetData>
    <row r="1" customFormat="false" ht="83.5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95.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8.3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39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n">
        <v>12000</v>
      </c>
      <c r="D6" s="2" t="n">
        <v>11820</v>
      </c>
      <c r="E6" s="2" t="n">
        <v>180</v>
      </c>
      <c r="F6" s="6" t="n">
        <f aca="false">E6/C6</f>
        <v>0.015</v>
      </c>
      <c r="G6" s="2" t="n">
        <v>11400</v>
      </c>
      <c r="H6" s="6" t="n">
        <f aca="false">G6/C6</f>
        <v>0.95</v>
      </c>
      <c r="I6" s="2" t="n">
        <v>6</v>
      </c>
      <c r="J6" s="7" t="n">
        <v>42.5</v>
      </c>
      <c r="K6" s="2" t="s">
        <v>17</v>
      </c>
      <c r="L6" s="2" t="s">
        <v>18</v>
      </c>
    </row>
    <row r="7" customFormat="false" ht="15" hidden="false" customHeight="false" outlineLevel="0" collapsed="false">
      <c r="A7" s="2" t="s">
        <v>15</v>
      </c>
      <c r="B7" s="2" t="s">
        <v>19</v>
      </c>
      <c r="C7" s="2" t="n">
        <v>9000</v>
      </c>
      <c r="D7" s="2" t="n">
        <v>8820</v>
      </c>
      <c r="E7" s="2" t="n">
        <v>180</v>
      </c>
      <c r="F7" s="6" t="n">
        <f aca="false">E7/C7</f>
        <v>0.02</v>
      </c>
      <c r="G7" s="2" t="n">
        <v>7830</v>
      </c>
      <c r="H7" s="6" t="n">
        <f aca="false">G7/C7</f>
        <v>0.87</v>
      </c>
      <c r="I7" s="2" t="n">
        <v>8</v>
      </c>
      <c r="J7" s="7" t="n">
        <v>41.75</v>
      </c>
      <c r="K7" s="2" t="s">
        <v>20</v>
      </c>
      <c r="L7" s="2" t="s">
        <v>21</v>
      </c>
    </row>
    <row r="8" customFormat="false" ht="15" hidden="false" customHeight="false" outlineLevel="0" collapsed="false">
      <c r="A8" s="2" t="s">
        <v>22</v>
      </c>
      <c r="B8" s="2" t="s">
        <v>16</v>
      </c>
      <c r="C8" s="2" t="n">
        <v>10000</v>
      </c>
      <c r="D8" s="2" t="n">
        <v>9850</v>
      </c>
      <c r="E8" s="2" t="n">
        <v>150</v>
      </c>
      <c r="F8" s="6" t="n">
        <f aca="false">E8/C8</f>
        <v>0.015</v>
      </c>
      <c r="G8" s="2" t="n">
        <v>9200</v>
      </c>
      <c r="H8" s="6" t="n">
        <f aca="false">G8/C8</f>
        <v>0.92</v>
      </c>
      <c r="I8" s="2" t="n">
        <v>7</v>
      </c>
      <c r="J8" s="7" t="n">
        <v>45</v>
      </c>
      <c r="K8" s="2" t="s">
        <v>23</v>
      </c>
      <c r="L8" s="2" t="s">
        <v>24</v>
      </c>
    </row>
    <row r="9" customFormat="false" ht="15" hidden="false" customHeight="false" outlineLevel="0" collapsed="false">
      <c r="A9" s="2" t="s">
        <v>22</v>
      </c>
      <c r="B9" s="2" t="s">
        <v>19</v>
      </c>
      <c r="C9" s="2" t="n">
        <v>8000</v>
      </c>
      <c r="D9" s="2" t="n">
        <v>7920</v>
      </c>
      <c r="E9" s="2" t="n">
        <v>80</v>
      </c>
      <c r="F9" s="6" t="n">
        <f aca="false">E9/C9</f>
        <v>0.01</v>
      </c>
      <c r="G9" s="2" t="n">
        <v>7760</v>
      </c>
      <c r="H9" s="6" t="n">
        <f aca="false">G9/C9</f>
        <v>0.97</v>
      </c>
      <c r="I9" s="2" t="n">
        <v>6</v>
      </c>
      <c r="J9" s="7" t="n">
        <v>44.25</v>
      </c>
      <c r="K9" s="2" t="s">
        <v>25</v>
      </c>
      <c r="L9" s="2" t="s">
        <v>26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28.35" hidden="false" customHeight="false" outlineLevel="0" collapsed="false">
      <c r="A12" s="4" t="s">
        <v>27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39.75" hidden="false" customHeight="true" outlineLevel="0" collapsed="false">
      <c r="A13" s="5" t="s">
        <v>28</v>
      </c>
      <c r="B13" s="5" t="s">
        <v>29</v>
      </c>
      <c r="C13" s="5" t="s">
        <v>30</v>
      </c>
      <c r="D13" s="5" t="s">
        <v>31</v>
      </c>
      <c r="E13" s="5" t="s">
        <v>32</v>
      </c>
      <c r="F13" s="2"/>
      <c r="G13" s="2"/>
      <c r="H13" s="2"/>
      <c r="I13" s="2"/>
      <c r="J13" s="2"/>
      <c r="K13" s="2"/>
      <c r="L13" s="2"/>
    </row>
    <row r="14" customFormat="false" ht="41.75" hidden="false" customHeight="false" outlineLevel="0" collapsed="false">
      <c r="A14" s="2" t="s">
        <v>33</v>
      </c>
      <c r="B14" s="8" t="n">
        <v>30</v>
      </c>
      <c r="C14" s="9" t="n">
        <f aca="false">MAX(0,100-E7/C7*2000)</f>
        <v>60</v>
      </c>
      <c r="D14" s="9" t="n">
        <f aca="false">MAX(0,100-E9/C9*2000)</f>
        <v>80</v>
      </c>
      <c r="E14" s="2" t="s">
        <v>34</v>
      </c>
      <c r="F14" s="2"/>
      <c r="G14" s="2"/>
      <c r="H14" s="2"/>
      <c r="I14" s="2"/>
      <c r="J14" s="2"/>
      <c r="K14" s="2"/>
      <c r="L14" s="2"/>
    </row>
    <row r="15" customFormat="false" ht="28.35" hidden="false" customHeight="false" outlineLevel="0" collapsed="false">
      <c r="A15" s="2" t="s">
        <v>35</v>
      </c>
      <c r="B15" s="8" t="n">
        <v>25</v>
      </c>
      <c r="C15" s="9" t="n">
        <f aca="false">G7/C7*100</f>
        <v>87</v>
      </c>
      <c r="D15" s="9" t="n">
        <f aca="false">G9/C9*100</f>
        <v>97</v>
      </c>
      <c r="E15" s="2" t="s">
        <v>36</v>
      </c>
      <c r="F15" s="2"/>
      <c r="G15" s="2"/>
      <c r="H15" s="2"/>
      <c r="I15" s="2"/>
      <c r="J15" s="2"/>
      <c r="K15" s="2"/>
      <c r="L15" s="2"/>
    </row>
    <row r="16" customFormat="false" ht="41.75" hidden="false" customHeight="false" outlineLevel="0" collapsed="false">
      <c r="A16" s="2" t="s">
        <v>37</v>
      </c>
      <c r="B16" s="8" t="n">
        <v>25</v>
      </c>
      <c r="C16" s="9" t="n">
        <f aca="false">MIN(J7,J9)/J7*100</f>
        <v>100</v>
      </c>
      <c r="D16" s="9" t="n">
        <f aca="false">MIN(J7,J9)/J9*100</f>
        <v>94.3502824858757</v>
      </c>
      <c r="E16" s="2" t="s">
        <v>38</v>
      </c>
      <c r="F16" s="2"/>
      <c r="G16" s="2"/>
      <c r="H16" s="2"/>
      <c r="I16" s="2"/>
      <c r="J16" s="2"/>
      <c r="K16" s="2"/>
      <c r="L16" s="2"/>
    </row>
    <row r="17" customFormat="false" ht="55.2" hidden="false" customHeight="false" outlineLevel="0" collapsed="false">
      <c r="A17" s="2" t="s">
        <v>39</v>
      </c>
      <c r="B17" s="8" t="n">
        <v>20</v>
      </c>
      <c r="C17" s="9" t="n">
        <f aca="false">(MIN(B22,C22)+D22+E22)/3*100</f>
        <v>33.3333333333333</v>
      </c>
      <c r="D17" s="9" t="n">
        <f aca="false">(MIN(B23,C23)+D23+E23)/3*100</f>
        <v>100</v>
      </c>
      <c r="E17" s="2" t="s">
        <v>40</v>
      </c>
      <c r="F17" s="2"/>
      <c r="G17" s="2"/>
      <c r="H17" s="2"/>
      <c r="I17" s="2"/>
      <c r="J17" s="2"/>
      <c r="K17" s="2"/>
      <c r="L17" s="2"/>
    </row>
    <row r="18" customFormat="false" ht="41.75" hidden="false" customHeight="false" outlineLevel="0" collapsed="false">
      <c r="A18" s="10" t="s">
        <v>41</v>
      </c>
      <c r="B18" s="2" t="n">
        <f aca="false">SUM(B14:B17)</f>
        <v>100</v>
      </c>
      <c r="C18" s="11" t="n">
        <f aca="false">SUMPRODUCT(B14:B17,C14:C17)/100</f>
        <v>71.4166666666667</v>
      </c>
      <c r="D18" s="11" t="n">
        <f aca="false">SUMPRODUCT(B14:B17,D14:D17)/100</f>
        <v>91.8375706214689</v>
      </c>
      <c r="E18" s="2" t="s">
        <v>42</v>
      </c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41.75" hidden="false" customHeight="false" outlineLevel="0" collapsed="false">
      <c r="A20" s="4" t="s">
        <v>43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39.75" hidden="false" customHeight="true" outlineLevel="0" collapsed="false">
      <c r="A21" s="5" t="s">
        <v>3</v>
      </c>
      <c r="B21" s="5" t="s">
        <v>44</v>
      </c>
      <c r="C21" s="5" t="s">
        <v>45</v>
      </c>
      <c r="D21" s="5" t="s">
        <v>46</v>
      </c>
      <c r="E21" s="5" t="s">
        <v>47</v>
      </c>
      <c r="F21" s="5" t="s">
        <v>48</v>
      </c>
      <c r="G21" s="2"/>
      <c r="H21" s="2"/>
      <c r="I21" s="2"/>
      <c r="J21" s="2"/>
      <c r="K21" s="2"/>
      <c r="L21" s="2"/>
    </row>
    <row r="22" customFormat="false" ht="41.75" hidden="false" customHeight="false" outlineLevel="0" collapsed="false">
      <c r="A22" s="2" t="s">
        <v>15</v>
      </c>
      <c r="B22" s="2" t="n">
        <v>1</v>
      </c>
      <c r="C22" s="2" t="n">
        <v>0</v>
      </c>
      <c r="D22" s="2" t="n">
        <v>1</v>
      </c>
      <c r="E22" s="2" t="n">
        <v>0</v>
      </c>
      <c r="F22" s="2" t="s">
        <v>49</v>
      </c>
      <c r="G22" s="2"/>
      <c r="H22" s="2"/>
      <c r="I22" s="2"/>
      <c r="J22" s="2"/>
      <c r="K22" s="2"/>
      <c r="L22" s="2"/>
    </row>
    <row r="23" customFormat="false" ht="55.2" hidden="false" customHeight="false" outlineLevel="0" collapsed="false">
      <c r="A23" s="2" t="s">
        <v>22</v>
      </c>
      <c r="B23" s="2" t="n">
        <v>1</v>
      </c>
      <c r="C23" s="2" t="n">
        <v>1</v>
      </c>
      <c r="D23" s="2" t="n">
        <v>1</v>
      </c>
      <c r="E23" s="2" t="n">
        <v>1</v>
      </c>
      <c r="F23" s="2" t="s">
        <v>50</v>
      </c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true" outlineLevel="0" collapsed="false">
      <c r="A25" s="12" t="s">
        <v>51</v>
      </c>
      <c r="B25" s="12"/>
      <c r="C25" s="12"/>
      <c r="D25" s="12"/>
      <c r="E25" s="12"/>
      <c r="F25" s="12"/>
      <c r="G25" s="2"/>
      <c r="H25" s="2"/>
      <c r="I25" s="2"/>
      <c r="J25" s="2"/>
      <c r="K25" s="2"/>
      <c r="L25" s="2"/>
    </row>
    <row r="26" customFormat="false" ht="15" hidden="false" customHeight="true" outlineLevel="0" collapsed="false">
      <c r="A26" s="13" t="s">
        <v>52</v>
      </c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8.35" hidden="false" customHeight="false" outlineLevel="0" collapsed="false">
      <c r="A30" s="4" t="s">
        <v>53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39.75" hidden="false" customHeight="true" outlineLevel="0" collapsed="false">
      <c r="A31" s="5" t="s">
        <v>3</v>
      </c>
      <c r="B31" s="5" t="s">
        <v>54</v>
      </c>
      <c r="C31" s="5" t="s">
        <v>55</v>
      </c>
      <c r="D31" s="5" t="s">
        <v>56</v>
      </c>
      <c r="E31" s="5" t="s">
        <v>57</v>
      </c>
      <c r="F31" s="5" t="s">
        <v>58</v>
      </c>
      <c r="G31" s="5" t="s">
        <v>56</v>
      </c>
      <c r="H31" s="5" t="s">
        <v>59</v>
      </c>
      <c r="I31" s="5" t="s">
        <v>60</v>
      </c>
      <c r="J31" s="2"/>
      <c r="K31" s="2"/>
      <c r="L31" s="2"/>
    </row>
    <row r="32" customFormat="false" ht="68.65" hidden="false" customHeight="false" outlineLevel="0" collapsed="false">
      <c r="A32" s="2" t="s">
        <v>15</v>
      </c>
      <c r="B32" s="6" t="n">
        <f aca="false">F6</f>
        <v>0.015</v>
      </c>
      <c r="C32" s="6" t="n">
        <f aca="false">F7</f>
        <v>0.02</v>
      </c>
      <c r="D32" s="9" t="n">
        <f aca="false">C32-B32</f>
        <v>0.005</v>
      </c>
      <c r="E32" s="6" t="n">
        <f aca="false">H6</f>
        <v>0.95</v>
      </c>
      <c r="F32" s="6" t="n">
        <f aca="false">H7</f>
        <v>0.87</v>
      </c>
      <c r="G32" s="9" t="n">
        <f aca="false">F32-E32</f>
        <v>-0.08</v>
      </c>
      <c r="H32" s="2" t="n">
        <f aca="false">I7-I6</f>
        <v>2</v>
      </c>
      <c r="I32" s="2" t="s">
        <v>61</v>
      </c>
      <c r="J32" s="2"/>
      <c r="K32" s="2"/>
      <c r="L32" s="2"/>
    </row>
    <row r="33" customFormat="false" ht="82.05" hidden="false" customHeight="false" outlineLevel="0" collapsed="false">
      <c r="A33" s="2" t="s">
        <v>22</v>
      </c>
      <c r="B33" s="6" t="n">
        <f aca="false">F8</f>
        <v>0.015</v>
      </c>
      <c r="C33" s="6" t="n">
        <f aca="false">F9</f>
        <v>0.01</v>
      </c>
      <c r="D33" s="9" t="n">
        <f aca="false">C33-B33</f>
        <v>-0.005</v>
      </c>
      <c r="E33" s="6" t="n">
        <f aca="false">H8</f>
        <v>0.92</v>
      </c>
      <c r="F33" s="6" t="n">
        <f aca="false">H9</f>
        <v>0.97</v>
      </c>
      <c r="G33" s="9" t="n">
        <f aca="false">F33-E33</f>
        <v>0.0499999999999999</v>
      </c>
      <c r="H33" s="2" t="n">
        <f aca="false">I9-I8</f>
        <v>-1</v>
      </c>
      <c r="I33" s="2" t="s">
        <v>62</v>
      </c>
      <c r="J33" s="2"/>
      <c r="K33" s="2"/>
      <c r="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8.35" hidden="false" customHeight="false" outlineLevel="0" collapsed="false">
      <c r="A36" s="4" t="s">
        <v>63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39.75" hidden="false" customHeight="true" outlineLevel="0" collapsed="false">
      <c r="A37" s="5" t="s">
        <v>64</v>
      </c>
      <c r="B37" s="5" t="s">
        <v>65</v>
      </c>
      <c r="C37" s="5" t="s">
        <v>66</v>
      </c>
      <c r="D37" s="5" t="s">
        <v>67</v>
      </c>
      <c r="E37" s="5" t="s">
        <v>68</v>
      </c>
      <c r="F37" s="5" t="s">
        <v>69</v>
      </c>
      <c r="G37" s="2"/>
      <c r="H37" s="2"/>
      <c r="I37" s="2"/>
      <c r="J37" s="2"/>
      <c r="K37" s="2"/>
      <c r="L37" s="2"/>
    </row>
    <row r="38" customFormat="false" ht="82.05" hidden="false" customHeight="false" outlineLevel="0" collapsed="false">
      <c r="A38" s="2" t="s">
        <v>70</v>
      </c>
      <c r="B38" s="2" t="s">
        <v>71</v>
      </c>
      <c r="C38" s="2" t="s">
        <v>72</v>
      </c>
      <c r="D38" s="2" t="s">
        <v>73</v>
      </c>
      <c r="E38" s="2" t="s">
        <v>74</v>
      </c>
      <c r="F38" s="2" t="s">
        <v>75</v>
      </c>
      <c r="G38" s="2"/>
      <c r="H38" s="2"/>
      <c r="I38" s="2"/>
      <c r="J38" s="2"/>
      <c r="K38" s="2"/>
      <c r="L38" s="2"/>
    </row>
    <row r="39" customFormat="false" ht="135.8" hidden="false" customHeight="false" outlineLevel="0" collapsed="false">
      <c r="A39" s="2" t="s">
        <v>76</v>
      </c>
      <c r="B39" s="2" t="s">
        <v>77</v>
      </c>
      <c r="C39" s="2" t="s">
        <v>78</v>
      </c>
      <c r="D39" s="2" t="s">
        <v>79</v>
      </c>
      <c r="E39" s="2" t="s">
        <v>74</v>
      </c>
      <c r="F39" s="2" t="s">
        <v>80</v>
      </c>
      <c r="G39" s="2"/>
      <c r="H39" s="2"/>
      <c r="I39" s="2"/>
      <c r="J39" s="2"/>
      <c r="K39" s="2"/>
      <c r="L39" s="2"/>
    </row>
    <row r="40" customFormat="false" ht="82.05" hidden="false" customHeight="false" outlineLevel="0" collapsed="false">
      <c r="A40" s="2" t="s">
        <v>81</v>
      </c>
      <c r="B40" s="2" t="s">
        <v>82</v>
      </c>
      <c r="C40" s="2" t="s">
        <v>83</v>
      </c>
      <c r="D40" s="2" t="s">
        <v>84</v>
      </c>
      <c r="E40" s="2" t="s">
        <v>85</v>
      </c>
      <c r="F40" s="2" t="s">
        <v>86</v>
      </c>
      <c r="G40" s="2"/>
      <c r="H40" s="2"/>
      <c r="I40" s="2"/>
      <c r="J40" s="2"/>
      <c r="K40" s="2"/>
      <c r="L40" s="2"/>
    </row>
    <row r="41" customFormat="false" ht="95.5" hidden="false" customHeight="false" outlineLevel="0" collapsed="false">
      <c r="A41" s="2" t="s">
        <v>87</v>
      </c>
      <c r="B41" s="2" t="s">
        <v>88</v>
      </c>
      <c r="C41" s="2" t="s">
        <v>89</v>
      </c>
      <c r="D41" s="2" t="s">
        <v>90</v>
      </c>
      <c r="E41" s="2" t="s">
        <v>74</v>
      </c>
      <c r="F41" s="2" t="s">
        <v>91</v>
      </c>
      <c r="G41" s="2"/>
      <c r="H41" s="2"/>
      <c r="I41" s="2"/>
      <c r="J41" s="2"/>
      <c r="K41" s="2"/>
      <c r="L41" s="2"/>
    </row>
    <row r="42" customFormat="false" ht="122.35" hidden="false" customHeight="false" outlineLevel="0" collapsed="false">
      <c r="A42" s="2" t="s">
        <v>92</v>
      </c>
      <c r="B42" s="2" t="s">
        <v>93</v>
      </c>
      <c r="C42" s="2" t="s">
        <v>94</v>
      </c>
      <c r="D42" s="2" t="s">
        <v>95</v>
      </c>
      <c r="E42" s="2" t="s">
        <v>74</v>
      </c>
      <c r="F42" s="2" t="s">
        <v>96</v>
      </c>
      <c r="G42" s="2"/>
      <c r="H42" s="2"/>
      <c r="I42" s="2"/>
      <c r="J42" s="2"/>
      <c r="K42" s="2"/>
      <c r="L42" s="2"/>
    </row>
    <row r="43" customFormat="false" ht="95.5" hidden="false" customHeight="false" outlineLevel="0" collapsed="false">
      <c r="A43" s="2" t="s">
        <v>97</v>
      </c>
      <c r="B43" s="2" t="s">
        <v>98</v>
      </c>
      <c r="C43" s="2" t="s">
        <v>99</v>
      </c>
      <c r="D43" s="2" t="s">
        <v>100</v>
      </c>
      <c r="E43" s="2" t="s">
        <v>74</v>
      </c>
      <c r="F43" s="2" t="s">
        <v>101</v>
      </c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4" t="s">
        <v>102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true" outlineLevel="0" collapsed="false">
      <c r="A47" s="13" t="s">
        <v>103</v>
      </c>
      <c r="B47" s="13"/>
      <c r="C47" s="13"/>
      <c r="D47" s="13"/>
      <c r="E47" s="13"/>
      <c r="F47" s="13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2"/>
      <c r="H48" s="2"/>
      <c r="I48" s="2"/>
      <c r="J48" s="2"/>
      <c r="K48" s="2"/>
      <c r="L48" s="2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2"/>
      <c r="H49" s="2"/>
      <c r="I49" s="2"/>
      <c r="J49" s="2"/>
      <c r="K49" s="2"/>
      <c r="L49" s="2"/>
    </row>
  </sheetData>
  <mergeCells count="3">
    <mergeCell ref="A25:F25"/>
    <mergeCell ref="A26:F28"/>
    <mergeCell ref="A47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2026-08-17T07:49:20Z</dcterms:created>
  <dc:creator>openpyxl</dc:creator>
  <dc:description/>
  <dc:language>en-US</dc:language>
  <cp:lastModifiedBy/>
  <dcterms:modified xsi:type="dcterms:W3CDTF">2026-08-17T07:49:20Z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