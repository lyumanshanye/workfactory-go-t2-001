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Decision brief" sheetId="1" state="visible" r:id="rId3"/>
    <sheet name="Source reconciliation" sheetId="2" state="visible" r:id="rId4"/>
    <sheet name="Prerequisites &amp; validation" sheetId="3" state="visible" r:id="rId5"/>
    <sheet name="Capacity projection" sheetId="4" state="visible" r:id="rId6"/>
    <sheet name="Financial impact" sheetId="5" state="visible" r:id="rId7"/>
    <sheet name="Corrections register" sheetId="6" state="visible" r:id="rId8"/>
  </sheets>
  <definedNames>
    <definedName function="false" hidden="false" localSheetId="3" name="_xlnm.Print_Area" vbProcedure="false">'Capacity projection'!$A$1:$N$45</definedName>
    <definedName function="false" hidden="false" localSheetId="5" name="_xlnm.Print_Area" vbProcedure="false">'Corrections register'!$A$1:$J$23</definedName>
    <definedName function="false" hidden="false" localSheetId="0" name="_xlnm.Print_Area" vbProcedure="false">'Decision brief'!$A$1:$N$40</definedName>
    <definedName function="false" hidden="false" localSheetId="4" name="_xlnm.Print_Area" vbProcedure="false">'Financial impact'!$A$1:$N$38</definedName>
    <definedName function="false" hidden="false" localSheetId="2" name="_xlnm.Print_Area" vbProcedure="false">'Prerequisites &amp; validation'!$A$1:$L$41</definedName>
    <definedName function="false" hidden="false" localSheetId="1" name="_xlnm.Print_Area" vbProcedure="false">'Source reconciliation'!$A$1:$J$33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<sst xmlns="http://schemas.openxmlformats.org/spreadsheetml/2006/main" count="699" uniqueCount="432">
  <si>
    <t xml:space="preserve">Corrected specimen-retention operating plan</t>
  </si>
  <si>
    <t xml:space="preserve">Tidewater Health Network | Controlled-response reading | Prepared for Hana Merriweather | Source: tidewater_transition_snapshot.xlsx</t>
  </si>
  <si>
    <t xml:space="preserve">Decision status</t>
  </si>
  <si>
    <t xml:space="preserve">CONTROLLED RESPONSE - NO COMPLIANT TRANSITION</t>
  </si>
  <si>
    <t xml:space="preserve">On the supplied snapshot, no candidate can claim compliant completion by 17 April 2026. Ontario and New York each require a separate validation, requiring 10 + 8 hours, while the sole cross-border validation processing bench has a 12-hour slot. S3 is the sole eligible controlled response: hold the transition, leave both validations pending, and preserve the correction path. This workbook is not an approval of a completed transition.</t>
  </si>
  <si>
    <t xml:space="preserve">Selected package</t>
  </si>
  <si>
    <t xml:space="preserve">S3</t>
  </si>
  <si>
    <t xml:space="preserve">Interpretation</t>
  </si>
  <si>
    <t xml:space="preserve">Controlled-response reading</t>
  </si>
  <si>
    <t xml:space="preserve">Completion deadline</t>
  </si>
  <si>
    <t xml:space="preserve">Projection through</t>
  </si>
  <si>
    <t xml:space="preserve">Required validation hours</t>
  </si>
  <si>
    <t xml:space="preserve">Sole-slot capacity</t>
  </si>
  <si>
    <t xml:space="preserve">Capacity shortfall</t>
  </si>
  <si>
    <t xml:space="preserve">SELECTION AND COVERAGE AUDIT</t>
  </si>
  <si>
    <t xml:space="preserve">Scenario</t>
  </si>
  <si>
    <t xml:space="preserve">Description</t>
  </si>
  <si>
    <t xml:space="preserve">Status</t>
  </si>
  <si>
    <t xml:space="preserve">Transition labor</t>
  </si>
  <si>
    <t xml:space="preserve">Validation prep</t>
  </si>
  <si>
    <t xml:space="preserve">Incremental storage</t>
  </si>
  <si>
    <t xml:space="preserve">Deferral / hold</t>
  </si>
  <si>
    <t xml:space="preserve">Other support</t>
  </si>
  <si>
    <t xml:space="preserve">Package total</t>
  </si>
  <si>
    <t xml:space="preserve">Eligible under reading</t>
  </si>
  <si>
    <t xml:space="preserve">Selected?</t>
  </si>
  <si>
    <t xml:space="preserve">Required activities</t>
  </si>
  <si>
    <t xml:space="preserve">Completion claim</t>
  </si>
  <si>
    <t xml:space="preserve">Selection rule</t>
  </si>
  <si>
    <t xml:space="preserve">S1</t>
  </si>
  <si>
    <t xml:space="preserve">Standard internal transition</t>
  </si>
  <si>
    <t xml:space="preserve">Near miss - shared slot over capacity</t>
  </si>
  <si>
    <t xml:space="preserve">No - mandatory validations require 18 hours against 12</t>
  </si>
  <si>
    <t xml:space="preserve">VAL-ON; VAL-NY</t>
  </si>
  <si>
    <t xml:space="preserve">Yes</t>
  </si>
  <si>
    <t xml:space="preserve">Not eligible as compliant because the mandatory validation occupancy exceeds the sole slot</t>
  </si>
  <si>
    <t xml:space="preserve">S2</t>
  </si>
  <si>
    <t xml:space="preserve">Expedited transition with additional internal effort</t>
  </si>
  <si>
    <t xml:space="preserve">Near miss - same mandatory validation bottleneck</t>
  </si>
  <si>
    <t xml:space="preserve">No - extra effort does not create shared-bench capacity</t>
  </si>
  <si>
    <t xml:space="preserve">Not eligible as compliant because additional effort does not create shared-bench capacity</t>
  </si>
  <si>
    <t xml:space="preserve">Controlled hold and documented no-compliant-selection response</t>
  </si>
  <si>
    <t xml:space="preserve">Eligible controlled response - transition held</t>
  </si>
  <si>
    <t xml:space="preserve">Yes - controlled response only; no completion claim</t>
  </si>
  <si>
    <t xml:space="preserve">VAL-ON; VAL-NY (pending)</t>
  </si>
  <si>
    <t xml:space="preserve">No</t>
  </si>
  <si>
    <t xml:space="preserve">Eligible only when it reports no compliant transition selection and leaves blocked validation work pending</t>
  </si>
  <si>
    <t xml:space="preserve">S4</t>
  </si>
  <si>
    <t xml:space="preserve">Partial validation transition</t>
  </si>
  <si>
    <t xml:space="preserve">Near-miss distractor - incomplete validation coverage</t>
  </si>
  <si>
    <t xml:space="preserve">No - New York validation is omitted</t>
  </si>
  <si>
    <t xml:space="preserve">VAL-ON only</t>
  </si>
  <si>
    <t xml:space="preserve">Ineligible because it leaves one mandatory jurisdictional validation unaddressed</t>
  </si>
  <si>
    <t xml:space="preserve">Mandatory criterion</t>
  </si>
  <si>
    <t xml:space="preserve">Evidence</t>
  </si>
  <si>
    <t xml:space="preserve">regulatory basis and source reconciliation</t>
  </si>
  <si>
    <t xml:space="preserve">Y</t>
  </si>
  <si>
    <t xml:space="preserve">Source reconciliation</t>
  </si>
  <si>
    <t xml:space="preserve">five-stage prerequisite chain and deadline status</t>
  </si>
  <si>
    <t xml:space="preserve">Prerequisites &amp; validation</t>
  </si>
  <si>
    <t xml:space="preserve">validation capacity and infeasibility assessment</t>
  </si>
  <si>
    <t xml:space="preserve">N</t>
  </si>
  <si>
    <t xml:space="preserve">capacity projection through 2026-09-30</t>
  </si>
  <si>
    <t xml:space="preserve">Capacity projection</t>
  </si>
  <si>
    <t xml:space="preserve">financial impact through 2026-09-30</t>
  </si>
  <si>
    <t xml:space="preserve">Financial impact</t>
  </si>
  <si>
    <t xml:space="preserve">executable corrections with owners and timing</t>
  </si>
  <si>
    <t xml:space="preserve">Corrections register</t>
  </si>
  <si>
    <t xml:space="preserve">Coverage result</t>
  </si>
  <si>
    <t xml:space="preserve">DECISION BASIS</t>
  </si>
  <si>
    <t xml:space="preserve">Evidence area</t>
  </si>
  <si>
    <t xml:space="preserve">Conclusion / operating implication</t>
  </si>
  <si>
    <t xml:space="preserve">Regulatory basis</t>
  </si>
  <si>
    <t xml:space="preserve">Frozen regulatory snapshot governs jurisdictional fields. Ontario remains 10 years and New York remains 6 years; later 7-year / 5-year internal values are not adopted for those fields.</t>
  </si>
  <si>
    <t xml:space="preserve">Prerequisite status</t>
  </si>
  <si>
    <t xml:space="preserve">P1 is in review, P3 is blocked by the shared-slot shortfall, and P4/P5 remain pending predecessors. No successor is shown as started.</t>
  </si>
  <si>
    <t xml:space="preserve">Capacity</t>
  </si>
  <si>
    <t xml:space="preserve">Ontario and New York are projected separately. Storage headroom becomes negative in each jurisdiction later in the period; the validation bench is a distinct 18-hour versus 12-hour bottleneck.</t>
  </si>
  <si>
    <t xml:space="preserve">Financial effect</t>
  </si>
  <si>
    <t xml:space="preserve">The selected S3 package cost is linked to its five source-supported components. Routine labor, processing and storage plus response components are carried through 30 September 2026 on the Financial impact sheet.</t>
  </si>
  <si>
    <t xml:space="preserve">Execution</t>
  </si>
  <si>
    <t xml:space="preserve">The correction register assigns each material gap to a named source-supported owner with timing, status and dependency for Hana's review.</t>
  </si>
  <si>
    <t xml:space="preserve">Review boundary: this plan uses only the supplied frozen snapshot and verified internal records. It records an operational controlled response and does not add external legal interpretation.</t>
  </si>
  <si>
    <t xml:space="preserve">Source reconciliation and adopted jurisdictional basis</t>
  </si>
  <si>
    <t xml:space="preserve">Regulatory fields use frozen snapshot precedence; operational fields use verified internal records where they do not override a regulatory requirement.</t>
  </si>
  <si>
    <t xml:space="preserve">PRECEDENCE APPLIED</t>
  </si>
  <si>
    <t xml:space="preserve">Precedence statement: the frozen Ontario-New York regulatory snapshot governs jurisdictional and regulatory requirements, regardless of later internal record dates. Verified internal records govern operational capacity, inventory, workflow, labor, storage, processing and cost fields only where they do not override a regulatory requirement.</t>
  </si>
  <si>
    <t xml:space="preserve">MATERIAL CONFLICTS AND ADOPTED VALUES</t>
  </si>
  <si>
    <t xml:space="preserve">Jurisdiction</t>
  </si>
  <si>
    <t xml:space="preserve">Field</t>
  </si>
  <si>
    <t xml:space="preserve">Frozen regulatory value</t>
  </si>
  <si>
    <t xml:space="preserve">Frozen source / authority</t>
  </si>
  <si>
    <t xml:space="preserve">Frozen date</t>
  </si>
  <si>
    <t xml:space="preserve">Internal value</t>
  </si>
  <si>
    <t xml:space="preserve">Internal source / date</t>
  </si>
  <si>
    <t xml:space="preserve">Adopted value</t>
  </si>
  <si>
    <t xml:space="preserve">Reason under precedence</t>
  </si>
  <si>
    <t xml:space="preserve">Operational effect</t>
  </si>
  <si>
    <t xml:space="preserve">Ontario</t>
  </si>
  <si>
    <t xml:space="preserve">Retention minimum</t>
  </si>
  <si>
    <t xml:space="preserve">10 years</t>
  </si>
  <si>
    <t xml:space="preserve">REG-ON-RET | Ontario regulatory snapshot</t>
  </si>
  <si>
    <t xml:space="preserve">7 years</t>
  </si>
  <si>
    <t xml:space="preserve">INT-ON-RET | Retention policy register v4</t>
  </si>
  <si>
    <t xml:space="preserve">Use frozen regulatory requirement</t>
  </si>
  <si>
    <t xml:space="preserve">Ontario records retain for 10 years</t>
  </si>
  <si>
    <t xml:space="preserve">Validation treatment</t>
  </si>
  <si>
    <t xml:space="preserve">Mandatory Ontario validation; legally segregated</t>
  </si>
  <si>
    <t xml:space="preserve">REG-ON-VAL | Ontario regulatory snapshot</t>
  </si>
  <si>
    <t xml:space="preserve">Single cross-border review</t>
  </si>
  <si>
    <t xml:space="preserve">INT-ON-VAL | Cross-border workflow memo 2026-02</t>
  </si>
  <si>
    <t xml:space="preserve">Ontario validation remains separate</t>
  </si>
  <si>
    <t xml:space="preserve">New York</t>
  </si>
  <si>
    <t xml:space="preserve">6 years</t>
  </si>
  <si>
    <t xml:space="preserve">REG-NY-RET | New York regulatory snapshot</t>
  </si>
  <si>
    <t xml:space="preserve">5 years</t>
  </si>
  <si>
    <t xml:space="preserve">INT-NY-RET | Retention policy register v4</t>
  </si>
  <si>
    <t xml:space="preserve">New York records retain for 6 years</t>
  </si>
  <si>
    <t xml:space="preserve">Mandatory New York validation; legally segregated</t>
  </si>
  <si>
    <t xml:space="preserve">REG-NY-VAL | New York regulatory snapshot</t>
  </si>
  <si>
    <t xml:space="preserve">INT-NY-VAL | Cross-border workflow memo 2026-02</t>
  </si>
  <si>
    <t xml:space="preserve">New York validation remains separate</t>
  </si>
  <si>
    <t xml:space="preserve">ADOPTED JURISDICTION VIEW</t>
  </si>
  <si>
    <t xml:space="preserve">Mandatory validation</t>
  </si>
  <si>
    <t xml:space="preserve">Legally segregated</t>
  </si>
  <si>
    <t xml:space="preserve">Controlled repository</t>
  </si>
  <si>
    <t xml:space="preserve">Effective from</t>
  </si>
  <si>
    <t xml:space="preserve">Governing source</t>
  </si>
  <si>
    <t xml:space="preserve">Use in plan</t>
  </si>
  <si>
    <t xml:space="preserve">Ontario retention validation</t>
  </si>
  <si>
    <t xml:space="preserve">Ontario-controlled archive</t>
  </si>
  <si>
    <t xml:space="preserve">REG-ON-RET / REG-ON-VAL</t>
  </si>
  <si>
    <t xml:space="preserve">Adopted regulatory basis</t>
  </si>
  <si>
    <t xml:space="preserve">New York retention validation</t>
  </si>
  <si>
    <t xml:space="preserve">New York-controlled archive</t>
  </si>
  <si>
    <t xml:space="preserve">REG-NY-RET / REG-NY-VAL</t>
  </si>
  <si>
    <t xml:space="preserve">SOURCE REGISTER REFERENCES</t>
  </si>
  <si>
    <t xml:space="preserve">Record ID</t>
  </si>
  <si>
    <t xml:space="preserve">Source class</t>
  </si>
  <si>
    <t xml:space="preserve">Authority / register</t>
  </si>
  <si>
    <t xml:space="preserve">Record date</t>
  </si>
  <si>
    <t xml:space="preserve">Effective date</t>
  </si>
  <si>
    <t xml:space="preserve">Value</t>
  </si>
  <si>
    <t xml:space="preserve">REG-ON-RET</t>
  </si>
  <si>
    <t xml:space="preserve">Frozen regulatory snapshot</t>
  </si>
  <si>
    <t xml:space="preserve">Ontario regulatory snapshot</t>
  </si>
  <si>
    <t xml:space="preserve">REG-ON-VAL</t>
  </si>
  <si>
    <t xml:space="preserve">REG-NY-RET</t>
  </si>
  <si>
    <t xml:space="preserve">New York regulatory snapshot</t>
  </si>
  <si>
    <t xml:space="preserve">REG-NY-VAL</t>
  </si>
  <si>
    <t xml:space="preserve">INT-ON-RET</t>
  </si>
  <si>
    <t xml:space="preserve">Verified internal record</t>
  </si>
  <si>
    <t xml:space="preserve">Retention policy register v4</t>
  </si>
  <si>
    <t xml:space="preserve">INT-ON-VAL</t>
  </si>
  <si>
    <t xml:space="preserve">Cross-border workflow memo 2026-02</t>
  </si>
  <si>
    <t xml:space="preserve">INT-NY-RET</t>
  </si>
  <si>
    <t xml:space="preserve">INT-NY-VAL</t>
  </si>
  <si>
    <t xml:space="preserve">Reconciliation note: the later internal records are retained as evidence of the conflict and are not silently deleted. They remain useful for operational context, but the adopted jurisdictional fields above are the frozen values.</t>
  </si>
  <si>
    <t xml:space="preserve">Prerequisite chain and shared validation capacity</t>
  </si>
  <si>
    <t xml:space="preserve">The five source-defined stages remain in dependency order. The controlled response leaves both legally segregated validations pending.</t>
  </si>
  <si>
    <t xml:space="preserve">DEADLINE ASSESSMENT</t>
  </si>
  <si>
    <t xml:space="preserve">Deadline</t>
  </si>
  <si>
    <t xml:space="preserve">Deadline status</t>
  </si>
  <si>
    <t xml:space="preserve">INCOMPLETE - no compliant transition selection exists</t>
  </si>
  <si>
    <t xml:space="preserve">Control response</t>
  </si>
  <si>
    <t xml:space="preserve">S3 hold; both mandatory validations pending; downstream stages not started</t>
  </si>
  <si>
    <t xml:space="preserve">FIVE-STAGE PREREQUISITE CHAIN</t>
  </si>
  <si>
    <t xml:space="preserve">Stage ID</t>
  </si>
  <si>
    <t xml:space="preserve">Stage name (source terminology)</t>
  </si>
  <si>
    <t xml:space="preserve">Predecessor</t>
  </si>
  <si>
    <t xml:space="preserve">Target start</t>
  </si>
  <si>
    <t xml:space="preserve">Target finish</t>
  </si>
  <si>
    <t xml:space="preserve">Duration days</t>
  </si>
  <si>
    <t xml:space="preserve">Current / adopted status</t>
  </si>
  <si>
    <t xml:space="preserve">Actual start</t>
  </si>
  <si>
    <t xml:space="preserve">Actual finish</t>
  </si>
  <si>
    <t xml:space="preserve">Dependency check</t>
  </si>
  <si>
    <t xml:space="preserve">Gate / evidence</t>
  </si>
  <si>
    <t xml:space="preserve">Owner</t>
  </si>
  <si>
    <t xml:space="preserve">P1</t>
  </si>
  <si>
    <t xml:space="preserve">Regulatory basis and source reconciliation</t>
  </si>
  <si>
    <t xml:space="preserve">-</t>
  </si>
  <si>
    <t xml:space="preserve">In review - adopted values recorded</t>
  </si>
  <si>
    <t xml:space="preserve">Not recorded</t>
  </si>
  <si>
    <t xml:space="preserve">Gate open for reconciliation record</t>
  </si>
  <si>
    <t xml:space="preserve">Four regulatory-field conflicts require adoption</t>
  </si>
  <si>
    <t xml:space="preserve">Ibrahim Asante</t>
  </si>
  <si>
    <t xml:space="preserve">P2</t>
  </si>
  <si>
    <t xml:space="preserve">Capacity and cost baseline</t>
  </si>
  <si>
    <t xml:space="preserve">Ready after P1</t>
  </si>
  <si>
    <t xml:space="preserve">Held behind P1</t>
  </si>
  <si>
    <t xml:space="preserve">Uses verified internal operational records</t>
  </si>
  <si>
    <t xml:space="preserve">Theo Dimitrov</t>
  </si>
  <si>
    <t xml:space="preserve">P3</t>
  </si>
  <si>
    <t xml:space="preserve">Validation slot reservation</t>
  </si>
  <si>
    <t xml:space="preserve">BLOCKED - 6-hour slot shortfall</t>
  </si>
  <si>
    <t xml:space="preserve">Not started</t>
  </si>
  <si>
    <t xml:space="preserve">FAIL: 18 required &gt; 12 available</t>
  </si>
  <si>
    <t xml:space="preserve">10 + 8 hours against 12-hour sole bench</t>
  </si>
  <si>
    <t xml:space="preserve">Renata Guerrero</t>
  </si>
  <si>
    <t xml:space="preserve">P4</t>
  </si>
  <si>
    <t xml:space="preserve">Retention transfer and verification</t>
  </si>
  <si>
    <t xml:space="preserve">PENDING - P3 blocked</t>
  </si>
  <si>
    <t xml:space="preserve">Not started; predecessor P3 blocked</t>
  </si>
  <si>
    <t xml:space="preserve">Both jurisdiction validations required</t>
  </si>
  <si>
    <t xml:space="preserve">P5</t>
  </si>
  <si>
    <t xml:space="preserve">Operational handoff and approval</t>
  </si>
  <si>
    <t xml:space="preserve">PENDING - P4 blocked</t>
  </si>
  <si>
    <t xml:space="preserve">Not started; predecessor P4 pending</t>
  </si>
  <si>
    <t xml:space="preserve">Hana approval follows complete chain</t>
  </si>
  <si>
    <t xml:space="preserve">Hana Merriweather</t>
  </si>
  <si>
    <t xml:space="preserve">MANDATORY VALIDATION ACTIVITIES</t>
  </si>
  <si>
    <t xml:space="preserve">Activity ID</t>
  </si>
  <si>
    <t xml:space="preserve">Validation activity</t>
  </si>
  <si>
    <t xml:space="preserve">Required hours</t>
  </si>
  <si>
    <t xml:space="preserve">Required date</t>
  </si>
  <si>
    <t xml:space="preserve">Segregation</t>
  </si>
  <si>
    <t xml:space="preserve">Qualified resource pool</t>
  </si>
  <si>
    <t xml:space="preserve">Assigned resource</t>
  </si>
  <si>
    <t xml:space="preserve">Booking state</t>
  </si>
  <si>
    <t xml:space="preserve">Certification dependency</t>
  </si>
  <si>
    <t xml:space="preserve">Source basis</t>
  </si>
  <si>
    <t xml:space="preserve">VAL-ON</t>
  </si>
  <si>
    <t xml:space="preserve">No overlap with New York validation</t>
  </si>
  <si>
    <t xml:space="preserve">Hana Merriweather; Renata Guerrero</t>
  </si>
  <si>
    <t xml:space="preserve">Not assigned</t>
  </si>
  <si>
    <t xml:space="preserve">PENDING - no compliant slot</t>
  </si>
  <si>
    <t xml:space="preserve">Not booked</t>
  </si>
  <si>
    <t xml:space="preserve">Active cross-jurisdiction validation</t>
  </si>
  <si>
    <t xml:space="preserve">VAL-ON | frozen snapshot</t>
  </si>
  <si>
    <t xml:space="preserve">VAL-NY</t>
  </si>
  <si>
    <t xml:space="preserve">No overlap with Ontario validation</t>
  </si>
  <si>
    <t xml:space="preserve">VAL-NY | frozen snapshot</t>
  </si>
  <si>
    <t xml:space="preserve">SOLE PROCESSING-SLOT ASSESSMENT</t>
  </si>
  <si>
    <t xml:space="preserve">Shared resource</t>
  </si>
  <si>
    <t xml:space="preserve">Available date</t>
  </si>
  <si>
    <t xml:space="preserve">Available hours</t>
  </si>
  <si>
    <t xml:space="preserve">Currently booked</t>
  </si>
  <si>
    <t xml:space="preserve">Ontario hours</t>
  </si>
  <si>
    <t xml:space="preserve">New York hours</t>
  </si>
  <si>
    <t xml:space="preserve">Required combined</t>
  </si>
  <si>
    <t xml:space="preserve">Shortfall</t>
  </si>
  <si>
    <t xml:space="preserve">Non-overlap check</t>
  </si>
  <si>
    <t xml:space="preserve">Capacity check</t>
  </si>
  <si>
    <t xml:space="preserve">Booking result</t>
  </si>
  <si>
    <t xml:space="preserve">sole cross-border validation processing bench</t>
  </si>
  <si>
    <t xml:space="preserve">Legally segregated activities compete for the sole slot</t>
  </si>
  <si>
    <t xml:space="preserve">Slot capacity</t>
  </si>
  <si>
    <t xml:space="preserve">No compliant booking is shown. The two activities remain pending/rejected for scheduling purposes; any future assignment must use an active certified resource and a non-overlapping slot with sufficient capacity.</t>
  </si>
  <si>
    <t xml:space="preserve">CERTIFICATION AND RESOURCE CHECK</t>
  </si>
  <si>
    <t xml:space="preserve">Name</t>
  </si>
  <si>
    <t xml:space="preserve">Primary role</t>
  </si>
  <si>
    <t xml:space="preserve">Other supported work</t>
  </si>
  <si>
    <t xml:space="preserve">Certification</t>
  </si>
  <si>
    <t xml:space="preserve">Validation eligible?</t>
  </si>
  <si>
    <t xml:space="preserve">Source-supported assignment use</t>
  </si>
  <si>
    <t xml:space="preserve">operations manager</t>
  </si>
  <si>
    <t xml:space="preserve">source reconciliation</t>
  </si>
  <si>
    <t xml:space="preserve">None listed</t>
  </si>
  <si>
    <t xml:space="preserve">Not held</t>
  </si>
  <si>
    <t xml:space="preserve">No - certification not held</t>
  </si>
  <si>
    <t xml:space="preserve">May support non-validation work</t>
  </si>
  <si>
    <t xml:space="preserve">approval</t>
  </si>
  <si>
    <t xml:space="preserve">cross-jurisdiction validation</t>
  </si>
  <si>
    <t xml:space="preserve">active cross-jurisdiction validation</t>
  </si>
  <si>
    <t xml:space="preserve">Active</t>
  </si>
  <si>
    <t xml:space="preserve">Yes - active certification</t>
  </si>
  <si>
    <t xml:space="preserve">May be assigned to either validation when capacity is available</t>
  </si>
  <si>
    <t xml:space="preserve">capacity analysis</t>
  </si>
  <si>
    <t xml:space="preserve">operations correction</t>
  </si>
  <si>
    <t xml:space="preserve">quality review</t>
  </si>
  <si>
    <t xml:space="preserve">Estelle Ingram</t>
  </si>
  <si>
    <t xml:space="preserve">financial analysis</t>
  </si>
  <si>
    <t xml:space="preserve">document control</t>
  </si>
  <si>
    <t xml:space="preserve">Assignment control: Hana Merriweather and Renata Guerrero are the only source-listed people with active cross-jurisdiction validation certification. Because the shared slot is infeasible, neither validation is assigned in this controlled response. Ibrahim, Theo and Estelle are assigned to corrections within their source-supported roles.</t>
  </si>
  <si>
    <t xml:space="preserve">Jurisdiction-specific capacity projection</t>
  </si>
  <si>
    <t xml:space="preserve">Period: 1 April 2026 through 30 September 2026 | Ontario and New York remain separate; headroom is not pooled.</t>
  </si>
  <si>
    <t xml:space="preserve">ADOPTED PROJECTION BASIS</t>
  </si>
  <si>
    <t xml:space="preserve">Input</t>
  </si>
  <si>
    <t xml:space="preserve">Basis / use</t>
  </si>
  <si>
    <t xml:space="preserve">Calculation definitions: projected retained inventory = opening retained inventory + projected intake; processing headroom = available processing capacity - routine processing volume; storage headroom = available storage capacity - projected retained inventory. The shared validation bench is assessed separately on the prerequisite sheet.</t>
  </si>
  <si>
    <t xml:space="preserve">Projection start</t>
  </si>
  <si>
    <t xml:space="preserve">Frozen snapshot metadata</t>
  </si>
  <si>
    <t xml:space="preserve">Projection end</t>
  </si>
  <si>
    <t xml:space="preserve">Ontario retention minimum</t>
  </si>
  <si>
    <t xml:space="preserve">Adopted frozen regulatory value</t>
  </si>
  <si>
    <t xml:space="preserve">New York retention minimum</t>
  </si>
  <si>
    <t xml:space="preserve">Operational input rule</t>
  </si>
  <si>
    <t xml:space="preserve">Verified internal records</t>
  </si>
  <si>
    <t xml:space="preserve">Capacity, inventory, labor and cost fields</t>
  </si>
  <si>
    <t xml:space="preserve">Pooling rule</t>
  </si>
  <si>
    <t xml:space="preserve">No pooling across jurisdictions</t>
  </si>
  <si>
    <t xml:space="preserve">Each headroom value is calculated separately</t>
  </si>
  <si>
    <t xml:space="preserve">CAPACITY AND HEADROOM</t>
  </si>
  <si>
    <t xml:space="preserve">Period start</t>
  </si>
  <si>
    <t xml:space="preserve">Period end</t>
  </si>
  <si>
    <t xml:space="preserve">Retention years</t>
  </si>
  <si>
    <t xml:space="preserve">Opening retained</t>
  </si>
  <si>
    <t xml:space="preserve">Projected intake</t>
  </si>
  <si>
    <t xml:space="preserve">Projected retained</t>
  </si>
  <si>
    <t xml:space="preserve">Routine processing</t>
  </si>
  <si>
    <t xml:space="preserve">Processing capacity</t>
  </si>
  <si>
    <t xml:space="preserve">Processing headroom</t>
  </si>
  <si>
    <t xml:space="preserve">Storage capacity</t>
  </si>
  <si>
    <t xml:space="preserve">Storage headroom</t>
  </si>
  <si>
    <t xml:space="preserve">Storage status</t>
  </si>
  <si>
    <t xml:space="preserve">Processing status</t>
  </si>
  <si>
    <t xml:space="preserve">COST INPUTS USED BY FINANCIAL IMPACT</t>
  </si>
  <si>
    <t xml:space="preserve">Labor hours</t>
  </si>
  <si>
    <t xml:space="preserve">Labor rate</t>
  </si>
  <si>
    <t xml:space="preserve">Storage rate</t>
  </si>
  <si>
    <t xml:space="preserve">Processing rate</t>
  </si>
  <si>
    <t xml:space="preserve">Labor cost</t>
  </si>
  <si>
    <t xml:space="preserve">Processing cost</t>
  </si>
  <si>
    <t xml:space="preserve">Storage cost</t>
  </si>
  <si>
    <t xml:space="preserve">OPS-ON-APR</t>
  </si>
  <si>
    <t xml:space="preserve">OPS-ON-MAY</t>
  </si>
  <si>
    <t xml:space="preserve">OPS-ON-JUN</t>
  </si>
  <si>
    <t xml:space="preserve">OPS-ON-JUL</t>
  </si>
  <si>
    <t xml:space="preserve">OPS-ON-AUG</t>
  </si>
  <si>
    <t xml:space="preserve">OPS-ON-SEP</t>
  </si>
  <si>
    <t xml:space="preserve">OPS-NY-APR</t>
  </si>
  <si>
    <t xml:space="preserve">OPS-NY-MAY</t>
  </si>
  <si>
    <t xml:space="preserve">OPS-NY-JUN</t>
  </si>
  <si>
    <t xml:space="preserve">OPS-NY-JUL</t>
  </si>
  <si>
    <t xml:space="preserve">OPS-NY-AUG</t>
  </si>
  <si>
    <t xml:space="preserve">OPS-NY-SEP</t>
  </si>
  <si>
    <t xml:space="preserve">Capacity reading: Ontario reaches negative storage headroom in June-September and New York reaches negative storage headroom in September. These shortages are shown by jurisdiction and are not averaged away. Routine processing headroom remains visible separately.</t>
  </si>
  <si>
    <t xml:space="preserve">Financial impact through 30 September 2026</t>
  </si>
  <si>
    <t xml:space="preserve">Selected package S3 | USD planning view | Routine operations are calculated by jurisdiction, then selected controlled-response components are added.</t>
  </si>
  <si>
    <t xml:space="preserve">Package cost</t>
  </si>
  <si>
    <t xml:space="preserve">Period total impact</t>
  </si>
  <si>
    <t xml:space="preserve">SCENARIO PACKAGE COST COMPARISON</t>
  </si>
  <si>
    <t xml:space="preserve">Calculated package cost</t>
  </si>
  <si>
    <t xml:space="preserve">Eligible?</t>
  </si>
  <si>
    <t xml:space="preserve">Coverage</t>
  </si>
  <si>
    <t xml:space="preserve">All six criteria</t>
  </si>
  <si>
    <t xml:space="preserve">5 of 6 criteria</t>
  </si>
  <si>
    <t xml:space="preserve">Least-cost eligible interpretation</t>
  </si>
  <si>
    <t xml:space="preserve">S3 - sole eligible controlled response</t>
  </si>
  <si>
    <t xml:space="preserve">PERIOD FINANCIAL IMPACT</t>
  </si>
  <si>
    <t xml:space="preserve">Period</t>
  </si>
  <si>
    <t xml:space="preserve">Ontario labor</t>
  </si>
  <si>
    <t xml:space="preserve">New York labor</t>
  </si>
  <si>
    <t xml:space="preserve">Ontario processing</t>
  </si>
  <si>
    <t xml:space="preserve">New York processing</t>
  </si>
  <si>
    <t xml:space="preserve">Ontario storage</t>
  </si>
  <si>
    <t xml:space="preserve">New York storage</t>
  </si>
  <si>
    <t xml:space="preserve">Routine operations</t>
  </si>
  <si>
    <t xml:space="preserve">Response labor</t>
  </si>
  <si>
    <t xml:space="preserve">Total impact</t>
  </si>
  <si>
    <t xml:space="preserve">Through 2026-09-30</t>
  </si>
  <si>
    <t xml:space="preserve">FINANCIAL RECONCILIATION</t>
  </si>
  <si>
    <t xml:space="preserve">Component</t>
  </si>
  <si>
    <t xml:space="preserve">Through 30 September 2026</t>
  </si>
  <si>
    <t xml:space="preserve">Calculation / source basis</t>
  </si>
  <si>
    <t xml:space="preserve">Control check</t>
  </si>
  <si>
    <t xml:space="preserve">Routine labor</t>
  </si>
  <si>
    <t xml:space="preserve">Separate Ontario and New York labor ledgers</t>
  </si>
  <si>
    <t xml:space="preserve">Separate Ontario and New York processing ledgers</t>
  </si>
  <si>
    <t xml:space="preserve">Routine storage</t>
  </si>
  <si>
    <t xml:space="preserve">Separate Ontario and New York retained-inventory ledgers</t>
  </si>
  <si>
    <t xml:space="preserve">Selected response labor</t>
  </si>
  <si>
    <t xml:space="preserve">Selected package transition labor component</t>
  </si>
  <si>
    <t xml:space="preserve">Validation preparation</t>
  </si>
  <si>
    <t xml:space="preserve">Selected package validation-preparation component</t>
  </si>
  <si>
    <t xml:space="preserve">Selected package incremental-storage component spread over 6 periods</t>
  </si>
  <si>
    <t xml:space="preserve">Selected package deferral component spread over 6 periods</t>
  </si>
  <si>
    <t xml:space="preserve">Selected package amendment-support component</t>
  </si>
  <si>
    <t xml:space="preserve">Total projected financial impact</t>
  </si>
  <si>
    <t xml:space="preserve">Routine components plus selected response components</t>
  </si>
  <si>
    <t xml:space="preserve">Financial reading: the S3 package cost is the five source-supported response components shown in the scenario table. The period impact additionally includes routine jurisdiction-specific labor, processing and storage costs through 30 September 2026. No cost is assigned to an unperformed validation.</t>
  </si>
  <si>
    <t xml:space="preserve">Executable correction register</t>
  </si>
  <si>
    <t xml:space="preserve">Named owners and timing are drawn from the supplied resource pool; each action is linked to a gate, dependency or evidence point.</t>
  </si>
  <si>
    <t xml:space="preserve">MATERIAL CORRECTIONS</t>
  </si>
  <si>
    <t xml:space="preserve">ID</t>
  </si>
  <si>
    <t xml:space="preserve">Material gap</t>
  </si>
  <si>
    <t xml:space="preserve">Executable action</t>
  </si>
  <si>
    <t xml:space="preserve">Timing / due</t>
  </si>
  <si>
    <t xml:space="preserve">Dependency / evidence</t>
  </si>
  <si>
    <t xml:space="preserve">Output for Hana</t>
  </si>
  <si>
    <t xml:space="preserve">Source gap outcome</t>
  </si>
  <si>
    <t xml:space="preserve">Priority</t>
  </si>
  <si>
    <t xml:space="preserve">G1</t>
  </si>
  <si>
    <t xml:space="preserve">Regulatory-field reconciliation</t>
  </si>
  <si>
    <t xml:space="preserve">Adopt the frozen Ontario 10-year and New York 6-year values; retain the 7-year / 5-year internal rows as conflicts for traceability.</t>
  </si>
  <si>
    <t xml:space="preserve">By 2 April 2026</t>
  </si>
  <si>
    <t xml:space="preserve">Open</t>
  </si>
  <si>
    <t xml:space="preserve">Adopted values recorded in Source reconciliation</t>
  </si>
  <si>
    <t xml:space="preserve">Adopt frozen regulatory values and retain internal values as conflicting records</t>
  </si>
  <si>
    <t xml:space="preserve">High</t>
  </si>
  <si>
    <t xml:space="preserve">G2</t>
  </si>
  <si>
    <t xml:space="preserve">Validation-slot conflict</t>
  </si>
  <si>
    <t xml:space="preserve">Keep VAL-ON and VAL-NY unbooked; document the 18-hour requirement against the 12-hour bench and obtain a capacity decision before booking.</t>
  </si>
  <si>
    <t xml:space="preserve">Before 10 April 2026 slot</t>
  </si>
  <si>
    <t xml:space="preserve">Blocked</t>
  </si>
  <si>
    <t xml:space="preserve">Validation infeasibility and pending status</t>
  </si>
  <si>
    <t xml:space="preserve">Keep both activities pending until capacity is resolved; do not claim completion</t>
  </si>
  <si>
    <t xml:space="preserve">G3</t>
  </si>
  <si>
    <t xml:space="preserve">Prerequisite/deadline status</t>
  </si>
  <si>
    <t xml:space="preserve">Update the stage gates, mark P3 blocked and P4/P5 pending, and carry the no-compliant-selection finding to the deadline record.</t>
  </si>
  <si>
    <t xml:space="preserve">By 17 April 2026</t>
  </si>
  <si>
    <t xml:space="preserve">Deadline status and controlled-response record</t>
  </si>
  <si>
    <t xml:space="preserve">Record no compliant transition selection and preserve predecessor gates</t>
  </si>
  <si>
    <t xml:space="preserve">G4</t>
  </si>
  <si>
    <t xml:space="preserve">Capacity update</t>
  </si>
  <si>
    <t xml:space="preserve">Refresh Ontario and New York inventory, processing and storage headroom separately through 30 September 2026.</t>
  </si>
  <si>
    <t xml:space="preserve">Weekly through 30 September 2026</t>
  </si>
  <si>
    <t xml:space="preserve">P2; capacity ledger</t>
  </si>
  <si>
    <t xml:space="preserve">Jurisdiction-specific capacity ledger</t>
  </si>
  <si>
    <t xml:space="preserve">Refresh jurisdiction-specific projection through 30 September 2026</t>
  </si>
  <si>
    <t xml:space="preserve">Medium</t>
  </si>
  <si>
    <t xml:space="preserve">G5</t>
  </si>
  <si>
    <t xml:space="preserve">Financial amendment support</t>
  </si>
  <si>
    <t xml:space="preserve">Attach the S3 component total and the period financial impact to the cross-border amendment working papers.</t>
  </si>
  <si>
    <t xml:space="preserve">By 7 April 2026</t>
  </si>
  <si>
    <t xml:space="preserve">P2; S3 cost basis</t>
  </si>
  <si>
    <t xml:space="preserve">Reconciled cost support</t>
  </si>
  <si>
    <t xml:space="preserve">Attach S3 package cost and period financial impact</t>
  </si>
  <si>
    <t xml:space="preserve">G6</t>
  </si>
  <si>
    <t xml:space="preserve">Controlled-response approval</t>
  </si>
  <si>
    <t xml:space="preserve">Review the controlled-response package and record approval or rejection; do not approve a completed-transition claim.</t>
  </si>
  <si>
    <t xml:space="preserve">Awaiting approval</t>
  </si>
  <si>
    <t xml:space="preserve">G1-G5</t>
  </si>
  <si>
    <t xml:space="preserve">Approval record for the documented hold</t>
  </si>
  <si>
    <t xml:space="preserve">Approve or reject the documented hold response; do not approve a completion claim</t>
  </si>
  <si>
    <t xml:space="preserve">RESOURCE QUALIFICATION REGISTER</t>
  </si>
  <si>
    <t xml:space="preserve">Eligible validation work</t>
  </si>
  <si>
    <t xml:space="preserve">Source date / active through</t>
  </si>
  <si>
    <t xml:space="preserve">No - not certified; non-validation work only</t>
  </si>
  <si>
    <t xml:space="preserve">Yes - either validation when slot permits</t>
  </si>
  <si>
    <t xml:space="preserve">Execution control: the two validation activities are deliberately unassigned in S3 because no compliant slot exists. Hana Merriweather and Renata Guerrero are the only qualified validation resources; Ibrahim Asante, Theo Dimitrov and Estelle Ingram are used for reconciliation, capacity and financial/document-control corrections within the roles supplied.</t>
  </si>
</sst>
</file>

<file path=xl/styles.xml><?xml version="1.0" encoding="utf-8"?>
<styleSheet xmlns="http://schemas.openxmlformats.org/spreadsheetml/2006/main">
  <numFmts count="5">
    <numFmt numFmtId="164" formatCode="General"/>
    <numFmt numFmtId="165" formatCode="yyyy\-mm\-dd"/>
    <numFmt numFmtId="166" formatCode="\$#,##0.00"/>
    <numFmt numFmtId="167" formatCode="0.0"/>
    <numFmt numFmtId="168" formatCode="#,##0.0"/>
  </numFmts>
  <fonts count="13">
    <font>
      <sz val="11"/>
      <color theme="1"/>
      <name val="Calibri"/>
      <family val="2"/>
      <charset val="1"/>
    </font>
    <font>
      <sz val="10"/>
      <name val="Arial"/>
      <family val="0"/>
    </font>
    <font>
      <sz val="10"/>
      <name val="Arial"/>
      <family val="0"/>
    </font>
    <font>
      <sz val="10"/>
      <name val="Arial"/>
      <family val="0"/>
    </font>
    <font>
      <b val="true"/>
      <sz val="16"/>
      <color rgb="FFFFFFFF"/>
      <name val="Aptos Display"/>
      <family val="0"/>
      <charset val="1"/>
    </font>
    <font>
      <i val="true"/>
      <sz val="10"/>
      <color rgb="FF52616B"/>
      <name val="Aptos"/>
      <family val="0"/>
      <charset val="1"/>
    </font>
    <font>
      <b val="true"/>
      <sz val="9"/>
      <color rgb="FF1F2933"/>
      <name val="Aptos"/>
      <family val="0"/>
      <charset val="1"/>
    </font>
    <font>
      <b val="true"/>
      <sz val="9"/>
      <color rgb="FF7A1F1A"/>
      <name val="Aptos"/>
      <family val="0"/>
      <charset val="1"/>
    </font>
    <font>
      <b val="true"/>
      <sz val="10"/>
      <color rgb="FF4A3510"/>
      <name val="Aptos"/>
      <family val="0"/>
      <charset val="1"/>
    </font>
    <font>
      <sz val="9"/>
      <color rgb="FF1F2933"/>
      <name val="Aptos"/>
      <family val="0"/>
      <charset val="1"/>
    </font>
    <font>
      <b val="true"/>
      <sz val="10"/>
      <color rgb="FFFFFFFF"/>
      <name val="Aptos"/>
      <family val="0"/>
      <charset val="1"/>
    </font>
    <font>
      <b val="true"/>
      <sz val="9"/>
      <color rgb="FFFFFFFF"/>
      <name val="Aptos"/>
      <family val="0"/>
      <charset val="1"/>
    </font>
    <font>
      <sz val="8"/>
      <color rgb="FF52616B"/>
      <name val="Aptos"/>
      <family val="0"/>
      <charset val="1"/>
    </font>
  </fonts>
  <fills count="10">
    <fill>
      <patternFill patternType="none"/>
    </fill>
    <fill>
      <patternFill patternType="gray125"/>
    </fill>
    <fill>
      <patternFill patternType="solid">
        <fgColor rgb="FF183B56"/>
        <bgColor rgb="FF1F2933"/>
      </patternFill>
    </fill>
    <fill>
      <patternFill patternType="solid">
        <fgColor rgb="FFDCEAF2"/>
        <bgColor rgb="FFDCEFE3"/>
      </patternFill>
    </fill>
    <fill>
      <patternFill patternType="solid">
        <fgColor rgb="FFF8DEDA"/>
        <bgColor rgb="FFFFF1CC"/>
      </patternFill>
    </fill>
    <fill>
      <patternFill patternType="solid">
        <fgColor rgb="FFFFF1CC"/>
        <bgColor rgb="FFF8DEDA"/>
      </patternFill>
    </fill>
    <fill>
      <patternFill patternType="solid">
        <fgColor rgb="FFDCEFE3"/>
        <bgColor rgb="FFDCEAF2"/>
      </patternFill>
    </fill>
    <fill>
      <patternFill patternType="solid">
        <fgColor rgb="FF2F6690"/>
        <bgColor rgb="FF2A7F88"/>
      </patternFill>
    </fill>
    <fill>
      <patternFill patternType="solid">
        <fgColor rgb="FF2A7F88"/>
        <bgColor rgb="FF2F6690"/>
      </patternFill>
    </fill>
    <fill>
      <patternFill patternType="solid">
        <fgColor rgb="FFF6F8FA"/>
        <bgColor rgb="FFFFFFFF"/>
      </patternFill>
    </fill>
  </fills>
  <borders count="4">
    <border diagonalUp="false" diagonalDown="false">
      <left/>
      <right/>
      <top/>
      <bottom/>
      <diagonal/>
    </border>
    <border diagonalUp="false" diagonalDown="false">
      <left style="thin">
        <color rgb="FFB8C5CC"/>
      </left>
      <right style="thin">
        <color rgb="FFB8C5CC"/>
      </right>
      <top style="thin">
        <color rgb="FFB8C5CC"/>
      </top>
      <bottom style="thin">
        <color rgb="FFB8C5CC"/>
      </bottom>
      <diagonal/>
    </border>
    <border diagonalUp="false" diagonalDown="false">
      <left style="thin">
        <color rgb="FFB8C5CC"/>
      </left>
      <right/>
      <top style="thin">
        <color rgb="FFB8C5CC"/>
      </top>
      <bottom/>
      <diagonal/>
    </border>
    <border diagonalUp="false" diagonalDown="false">
      <left style="thin">
        <color rgb="FFB8C5CC"/>
      </left>
      <right/>
      <top style="thin">
        <color rgb="FFB8C5CC"/>
      </top>
      <bottom style="thin">
        <color rgb="FFB8C5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0" shrinkToFit="false"/>
      <protection locked="true" hidden="false"/>
    </xf>
    <xf numFmtId="164" fontId="5" fillId="0" borderId="0" xfId="0" applyFont="true" applyBorder="true" applyAlignment="true" applyProtection="false">
      <alignment horizontal="general" vertical="center" textRotation="0" wrapText="true" indent="0" shrinkToFit="false"/>
      <protection locked="true" hidden="false"/>
    </xf>
    <xf numFmtId="164" fontId="6" fillId="3" borderId="1" xfId="0" applyFont="true" applyBorder="true" applyAlignment="true" applyProtection="false">
      <alignment horizontal="general" vertical="center" textRotation="0" wrapText="true" indent="0" shrinkToFit="false"/>
      <protection locked="true" hidden="false"/>
    </xf>
    <xf numFmtId="164" fontId="7" fillId="4" borderId="1" xfId="0" applyFont="true" applyBorder="true" applyAlignment="true" applyProtection="false">
      <alignment horizontal="general" vertical="center" textRotation="0" wrapText="true" indent="0" shrinkToFit="false"/>
      <protection locked="true" hidden="false"/>
    </xf>
    <xf numFmtId="164" fontId="8" fillId="5" borderId="2" xfId="0" applyFont="true" applyBorder="true" applyAlignment="true" applyProtection="false">
      <alignment horizontal="general" vertical="center" textRotation="0" wrapText="true" indent="0" shrinkToFit="false"/>
      <protection locked="true" hidden="false"/>
    </xf>
    <xf numFmtId="164" fontId="6" fillId="6" borderId="1" xfId="0" applyFont="true" applyBorder="true" applyAlignment="true" applyProtection="false">
      <alignment horizontal="general" vertical="center" textRotation="0" wrapText="true" indent="0" shrinkToFit="false"/>
      <protection locked="true" hidden="false"/>
    </xf>
    <xf numFmtId="164" fontId="9" fillId="0" borderId="1" xfId="0" applyFont="true" applyBorder="true" applyAlignment="true" applyProtection="false">
      <alignment horizontal="general" vertical="center" textRotation="0" wrapText="true" indent="0" shrinkToFit="false"/>
      <protection locked="true" hidden="false"/>
    </xf>
    <xf numFmtId="165" fontId="9" fillId="0" borderId="1" xfId="0" applyFont="true" applyBorder="true" applyAlignment="true" applyProtection="false">
      <alignment horizontal="general" vertical="center" textRotation="0" wrapText="true" indent="0" shrinkToFit="false"/>
      <protection locked="true" hidden="false"/>
    </xf>
    <xf numFmtId="164" fontId="10" fillId="7" borderId="0" xfId="0" applyFont="true" applyBorder="true" applyAlignment="true" applyProtection="false">
      <alignment horizontal="general" vertical="center" textRotation="0" wrapText="false" indent="0" shrinkToFit="false"/>
      <protection locked="true" hidden="false"/>
    </xf>
    <xf numFmtId="164" fontId="11" fillId="8"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6" fontId="9" fillId="0" borderId="1" xfId="0" applyFont="true" applyBorder="true" applyAlignment="true" applyProtection="false">
      <alignment horizontal="general" vertical="top" textRotation="0" wrapText="true" indent="0" shrinkToFit="false"/>
      <protection locked="true" hidden="false"/>
    </xf>
    <xf numFmtId="164" fontId="9" fillId="9" borderId="1" xfId="0" applyFont="true" applyBorder="true" applyAlignment="true" applyProtection="false">
      <alignment horizontal="general" vertical="top" textRotation="0" wrapText="true" indent="0" shrinkToFit="false"/>
      <protection locked="true" hidden="false"/>
    </xf>
    <xf numFmtId="166" fontId="9" fillId="9" borderId="1" xfId="0" applyFont="true" applyBorder="true" applyAlignment="true" applyProtection="false">
      <alignment horizontal="general" vertical="top" textRotation="0" wrapText="true" indent="0" shrinkToFit="false"/>
      <protection locked="true" hidden="false"/>
    </xf>
    <xf numFmtId="164" fontId="9" fillId="6" borderId="1" xfId="0" applyFont="true" applyBorder="true" applyAlignment="true" applyProtection="false">
      <alignment horizontal="general" vertical="top" textRotation="0" wrapText="true" indent="0" shrinkToFit="false"/>
      <protection locked="true" hidden="false"/>
    </xf>
    <xf numFmtId="166" fontId="9" fillId="6" borderId="1" xfId="0" applyFont="true" applyBorder="true" applyAlignment="true" applyProtection="false">
      <alignment horizontal="general" vertical="top" textRotation="0" wrapText="true" indent="0" shrinkToFit="false"/>
      <protection locked="true" hidden="false"/>
    </xf>
    <xf numFmtId="164" fontId="9" fillId="9" borderId="1"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xf numFmtId="164" fontId="6" fillId="6" borderId="1" xfId="0" applyFont="true" applyBorder="true" applyAlignment="false" applyProtection="false">
      <alignment horizontal="general" vertical="bottom" textRotation="0" wrapText="false" indent="0" shrinkToFit="false"/>
      <protection locked="true" hidden="false"/>
    </xf>
    <xf numFmtId="164" fontId="11" fillId="8" borderId="1" xfId="0" applyFont="true" applyBorder="true" applyAlignment="true" applyProtection="false">
      <alignment horizontal="center" vertical="bottom" textRotation="0" wrapText="true" indent="0" shrinkToFit="false"/>
      <protection locked="true" hidden="false"/>
    </xf>
    <xf numFmtId="164" fontId="9" fillId="0" borderId="3" xfId="0" applyFont="true" applyBorder="true" applyAlignment="true" applyProtection="false">
      <alignment horizontal="general" vertical="top" textRotation="0" wrapText="true" indent="0" shrinkToFit="false"/>
      <protection locked="true" hidden="false"/>
    </xf>
    <xf numFmtId="164" fontId="9" fillId="9" borderId="3" xfId="0" applyFont="true" applyBorder="true" applyAlignment="true" applyProtection="false">
      <alignment horizontal="general" vertical="top" textRotation="0" wrapText="true" indent="0" shrinkToFit="false"/>
      <protection locked="true" hidden="false"/>
    </xf>
    <xf numFmtId="164" fontId="12" fillId="9" borderId="2" xfId="0" applyFont="true" applyBorder="true" applyAlignment="true" applyProtection="false">
      <alignment horizontal="general" vertical="center" textRotation="0" wrapText="true" indent="0" shrinkToFit="false"/>
      <protection locked="true" hidden="false"/>
    </xf>
    <xf numFmtId="165" fontId="9" fillId="0" borderId="1" xfId="0" applyFont="true" applyBorder="true" applyAlignment="true" applyProtection="false">
      <alignment horizontal="general" vertical="top" textRotation="0" wrapText="true" indent="0" shrinkToFit="false"/>
      <protection locked="true" hidden="false"/>
    </xf>
    <xf numFmtId="164" fontId="6" fillId="6" borderId="1" xfId="0" applyFont="true" applyBorder="true" applyAlignment="true" applyProtection="false">
      <alignment horizontal="general" vertical="top" textRotation="0" wrapText="true" indent="0" shrinkToFit="false"/>
      <protection locked="true" hidden="false"/>
    </xf>
    <xf numFmtId="165" fontId="9" fillId="9" borderId="1" xfId="0" applyFont="true" applyBorder="true" applyAlignment="true" applyProtection="false">
      <alignment horizontal="general" vertical="top" textRotation="0" wrapText="true" indent="0" shrinkToFit="false"/>
      <protection locked="true" hidden="false"/>
    </xf>
    <xf numFmtId="165" fontId="9" fillId="0" borderId="3" xfId="0" applyFont="true" applyBorder="true" applyAlignment="true" applyProtection="false">
      <alignment horizontal="general" vertical="center" textRotation="0" wrapText="true" indent="0" shrinkToFit="false"/>
      <protection locked="true" hidden="false"/>
    </xf>
    <xf numFmtId="164" fontId="9" fillId="0" borderId="3" xfId="0" applyFont="true" applyBorder="true" applyAlignment="true" applyProtection="false">
      <alignment horizontal="general" vertical="center" textRotation="0" wrapText="true" indent="0" shrinkToFit="false"/>
      <protection locked="true" hidden="false"/>
    </xf>
    <xf numFmtId="164" fontId="7" fillId="4" borderId="3" xfId="0" applyFont="true" applyBorder="true" applyAlignment="true" applyProtection="false">
      <alignment horizontal="general" vertical="center" textRotation="0" wrapText="true" indent="0" shrinkToFit="false"/>
      <protection locked="true" hidden="false"/>
    </xf>
    <xf numFmtId="164" fontId="6" fillId="9"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9" fillId="5"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7" fontId="9" fillId="0" borderId="1" xfId="0" applyFont="true" applyBorder="true" applyAlignment="true" applyProtection="false">
      <alignment horizontal="general" vertical="top" textRotation="0" wrapText="true" indent="0" shrinkToFit="false"/>
      <protection locked="true" hidden="false"/>
    </xf>
    <xf numFmtId="167" fontId="9" fillId="0" borderId="1" xfId="0" applyFont="true" applyBorder="true" applyAlignment="false" applyProtection="false">
      <alignment horizontal="general" vertical="bottom" textRotation="0" wrapText="false" indent="0" shrinkToFit="false"/>
      <protection locked="true" hidden="false"/>
    </xf>
    <xf numFmtId="164" fontId="7" fillId="4" borderId="2" xfId="0" applyFont="true" applyBorder="true" applyAlignment="true" applyProtection="false">
      <alignment horizontal="general" vertical="center" textRotation="0" wrapText="true" indent="0" shrinkToFit="false"/>
      <protection locked="true" hidden="false"/>
    </xf>
    <xf numFmtId="168" fontId="9" fillId="0" borderId="1" xfId="0" applyFont="true" applyBorder="true" applyAlignment="true" applyProtection="false">
      <alignment horizontal="general" vertical="top" textRotation="0" wrapText="true" indent="0" shrinkToFit="false"/>
      <protection locked="true" hidden="false"/>
    </xf>
    <xf numFmtId="168" fontId="9" fillId="9"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6" fontId="9" fillId="0" borderId="1"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6" fontId="6" fillId="3"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B35C1E"/>
      <rgbColor rgb="FF800080"/>
      <rgbColor rgb="FF2A7F88"/>
      <rgbColor rgb="FFB8C5CC"/>
      <rgbColor rgb="FF808080"/>
      <rgbColor rgb="FF9999FF"/>
      <rgbColor rgb="FF6B4E71"/>
      <rgbColor rgb="FFFFF1CC"/>
      <rgbColor rgb="FFDCEAF2"/>
      <rgbColor rgb="FF660066"/>
      <rgbColor rgb="FFFF8080"/>
      <rgbColor rgb="FF2F6690"/>
      <rgbColor rgb="FFCCCCFF"/>
      <rgbColor rgb="FF000080"/>
      <rgbColor rgb="FFFF00FF"/>
      <rgbColor rgb="FFFFFF00"/>
      <rgbColor rgb="FF00FFFF"/>
      <rgbColor rgb="FF800080"/>
      <rgbColor rgb="FF800000"/>
      <rgbColor rgb="FF008080"/>
      <rgbColor rgb="FF0000FF"/>
      <rgbColor rgb="FF00CCFF"/>
      <rgbColor rgb="FFF6F8FA"/>
      <rgbColor rgb="FFDCEFE3"/>
      <rgbColor rgb="FFFFFF99"/>
      <rgbColor rgb="FF99CCFF"/>
      <rgbColor rgb="FFFF99CC"/>
      <rgbColor rgb="FFCC99FF"/>
      <rgbColor rgb="FFF8DEDA"/>
      <rgbColor rgb="FF3366FF"/>
      <rgbColor rgb="FF33CCCC"/>
      <rgbColor rgb="FF99CC00"/>
      <rgbColor rgb="FFFFCC00"/>
      <rgbColor rgb="FFFF9900"/>
      <rgbColor rgb="FFFF6600"/>
      <rgbColor rgb="FF52616B"/>
      <rgbColor rgb="FF969696"/>
      <rgbColor rgb="FF183B56"/>
      <rgbColor rgb="FF4E7A55"/>
      <rgbColor rgb="FF003300"/>
      <rgbColor rgb="FF4A3510"/>
      <rgbColor rgb="FF7A1F1A"/>
      <rgbColor rgb="FF993366"/>
      <rgbColor rgb="FF333399"/>
      <rgbColor rgb="FF1F29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83B56"/>
    <pageSetUpPr fitToPage="true"/>
  </sheetPr>
  <dimension ref="A1:N40"/>
  <sheetViews>
    <sheetView showFormulas="false" showGridLines="false" showRowColHeaders="true" showZeros="true" rightToLeft="false" tabSelected="tru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8"/>
    <col collapsed="false" customWidth="true" hidden="false" outlineLevel="0" max="2" min="2" style="0" width="28"/>
    <col collapsed="false" customWidth="true" hidden="false" outlineLevel="0" max="3" min="3" style="0" width="18"/>
    <col collapsed="false" customWidth="true" hidden="false" outlineLevel="0" max="5" min="4" style="0" width="17"/>
    <col collapsed="false" customWidth="true" hidden="false" outlineLevel="0" max="6" min="6" style="0" width="16"/>
    <col collapsed="false" customWidth="true" hidden="false" outlineLevel="0" max="11" min="7" style="0" width="14"/>
    <col collapsed="false" customWidth="true" hidden="false" outlineLevel="0" max="12" min="12" style="0" width="20"/>
    <col collapsed="false" customWidth="true" hidden="false" outlineLevel="0" max="13" min="13" style="0" width="15"/>
    <col collapsed="false" customWidth="true" hidden="false" outlineLevel="0" max="14" min="14" style="0" width="14"/>
  </cols>
  <sheetData>
    <row r="1" customFormat="false" ht="27" hidden="false" customHeight="true" outlineLevel="0" collapsed="false">
      <c r="A1" s="1" t="s">
        <v>0</v>
      </c>
      <c r="B1" s="1"/>
      <c r="C1" s="1"/>
      <c r="D1" s="1"/>
      <c r="E1" s="1"/>
      <c r="F1" s="1"/>
      <c r="G1" s="1"/>
      <c r="H1" s="1"/>
      <c r="I1" s="1"/>
      <c r="J1" s="1"/>
      <c r="K1" s="1"/>
      <c r="L1" s="1"/>
      <c r="M1" s="1"/>
      <c r="N1" s="1"/>
    </row>
    <row r="2" customFormat="false" ht="19.5" hidden="false" customHeight="true" outlineLevel="0" collapsed="false">
      <c r="A2" s="2" t="s">
        <v>1</v>
      </c>
      <c r="B2" s="2"/>
      <c r="C2" s="2"/>
      <c r="D2" s="2"/>
      <c r="E2" s="2"/>
      <c r="F2" s="2"/>
      <c r="G2" s="2"/>
      <c r="H2" s="2"/>
      <c r="I2" s="2"/>
      <c r="J2" s="2"/>
      <c r="K2" s="2"/>
      <c r="L2" s="2"/>
      <c r="M2" s="2"/>
      <c r="N2" s="2"/>
    </row>
    <row r="4" customFormat="false" ht="27" hidden="false" customHeight="true" outlineLevel="0" collapsed="false">
      <c r="A4" s="3" t="s">
        <v>2</v>
      </c>
      <c r="B4" s="4" t="s">
        <v>3</v>
      </c>
      <c r="D4" s="5" t="s">
        <v>4</v>
      </c>
      <c r="E4" s="5"/>
      <c r="F4" s="5"/>
      <c r="G4" s="5"/>
      <c r="H4" s="5"/>
      <c r="I4" s="5"/>
      <c r="J4" s="5"/>
      <c r="K4" s="5"/>
      <c r="L4" s="5"/>
      <c r="M4" s="5"/>
      <c r="N4" s="5"/>
    </row>
    <row r="5" customFormat="false" ht="27" hidden="false" customHeight="true" outlineLevel="0" collapsed="false">
      <c r="A5" s="3" t="s">
        <v>5</v>
      </c>
      <c r="B5" s="6" t="s">
        <v>6</v>
      </c>
      <c r="D5" s="5"/>
      <c r="E5" s="5"/>
      <c r="F5" s="5"/>
      <c r="G5" s="5"/>
      <c r="H5" s="5"/>
      <c r="I5" s="5"/>
      <c r="J5" s="5"/>
      <c r="K5" s="5"/>
      <c r="L5" s="5"/>
      <c r="M5" s="5"/>
      <c r="N5" s="5"/>
    </row>
    <row r="6" customFormat="false" ht="27" hidden="false" customHeight="true" outlineLevel="0" collapsed="false">
      <c r="A6" s="3" t="s">
        <v>7</v>
      </c>
      <c r="B6" s="7" t="s">
        <v>8</v>
      </c>
      <c r="D6" s="5"/>
      <c r="E6" s="5"/>
      <c r="F6" s="5"/>
      <c r="G6" s="5"/>
      <c r="H6" s="5"/>
      <c r="I6" s="5"/>
      <c r="J6" s="5"/>
      <c r="K6" s="5"/>
      <c r="L6" s="5"/>
      <c r="M6" s="5"/>
      <c r="N6" s="5"/>
    </row>
    <row r="7" customFormat="false" ht="27" hidden="false" customHeight="true" outlineLevel="0" collapsed="false">
      <c r="A7" s="3" t="s">
        <v>9</v>
      </c>
      <c r="B7" s="8" t="n">
        <v>46129</v>
      </c>
      <c r="D7" s="5"/>
      <c r="E7" s="5"/>
      <c r="F7" s="5"/>
      <c r="G7" s="5"/>
      <c r="H7" s="5"/>
      <c r="I7" s="5"/>
      <c r="J7" s="5"/>
      <c r="K7" s="5"/>
      <c r="L7" s="5"/>
      <c r="M7" s="5"/>
      <c r="N7" s="5"/>
    </row>
    <row r="8" customFormat="false" ht="27" hidden="false" customHeight="true" outlineLevel="0" collapsed="false">
      <c r="A8" s="3" t="s">
        <v>10</v>
      </c>
      <c r="B8" s="8" t="n">
        <v>46295</v>
      </c>
      <c r="D8" s="5"/>
      <c r="E8" s="5"/>
      <c r="F8" s="5"/>
      <c r="G8" s="5"/>
      <c r="H8" s="5"/>
      <c r="I8" s="5"/>
      <c r="J8" s="5"/>
      <c r="K8" s="5"/>
      <c r="L8" s="5"/>
      <c r="M8" s="5"/>
      <c r="N8" s="5"/>
    </row>
    <row r="9" customFormat="false" ht="27" hidden="false" customHeight="true" outlineLevel="0" collapsed="false">
      <c r="A9" s="3" t="s">
        <v>11</v>
      </c>
      <c r="B9" s="7" t="n">
        <f aca="false">'Prerequisites &amp; validation'!$B$29</f>
        <v>18</v>
      </c>
      <c r="D9" s="5"/>
      <c r="E9" s="5"/>
      <c r="F9" s="5"/>
      <c r="G9" s="5"/>
      <c r="H9" s="5"/>
      <c r="I9" s="5"/>
      <c r="J9" s="5"/>
      <c r="K9" s="5"/>
      <c r="L9" s="5"/>
      <c r="M9" s="5"/>
      <c r="N9" s="5"/>
    </row>
    <row r="10" customFormat="false" ht="27" hidden="false" customHeight="true" outlineLevel="0" collapsed="false">
      <c r="A10" s="3" t="s">
        <v>12</v>
      </c>
      <c r="B10" s="7" t="n">
        <f aca="false">'Prerequisites &amp; validation'!$D$29</f>
        <v>12</v>
      </c>
      <c r="D10" s="5"/>
      <c r="E10" s="5"/>
      <c r="F10" s="5"/>
      <c r="G10" s="5"/>
      <c r="H10" s="5"/>
      <c r="I10" s="5"/>
      <c r="J10" s="5"/>
      <c r="K10" s="5"/>
      <c r="L10" s="5"/>
      <c r="M10" s="5"/>
      <c r="N10" s="5"/>
    </row>
    <row r="11" customFormat="false" ht="27" hidden="false" customHeight="true" outlineLevel="0" collapsed="false">
      <c r="A11" s="3" t="s">
        <v>13</v>
      </c>
      <c r="B11" s="7" t="n">
        <f aca="false">'Prerequisites &amp; validation'!$F$29</f>
        <v>6</v>
      </c>
      <c r="D11" s="5"/>
      <c r="E11" s="5"/>
      <c r="F11" s="5"/>
      <c r="G11" s="5"/>
      <c r="H11" s="5"/>
      <c r="I11" s="5"/>
      <c r="J11" s="5"/>
      <c r="K11" s="5"/>
      <c r="L11" s="5"/>
      <c r="M11" s="5"/>
      <c r="N11" s="5"/>
    </row>
    <row r="13" customFormat="false" ht="18.75" hidden="false" customHeight="true" outlineLevel="0" collapsed="false">
      <c r="A13" s="9" t="s">
        <v>14</v>
      </c>
      <c r="B13" s="9"/>
      <c r="C13" s="9"/>
      <c r="D13" s="9"/>
      <c r="E13" s="9"/>
      <c r="F13" s="9"/>
      <c r="G13" s="9"/>
      <c r="H13" s="9"/>
      <c r="I13" s="9"/>
      <c r="J13" s="9"/>
      <c r="K13" s="9"/>
      <c r="L13" s="9"/>
      <c r="M13" s="9"/>
      <c r="N13" s="9"/>
    </row>
    <row r="14" customFormat="false" ht="30" hidden="false" customHeight="true" outlineLevel="0" collapsed="false">
      <c r="A14" s="10" t="s">
        <v>15</v>
      </c>
      <c r="B14" s="10" t="s">
        <v>16</v>
      </c>
      <c r="C14" s="10" t="s">
        <v>17</v>
      </c>
      <c r="D14" s="10" t="s">
        <v>18</v>
      </c>
      <c r="E14" s="10" t="s">
        <v>19</v>
      </c>
      <c r="F14" s="10" t="s">
        <v>20</v>
      </c>
      <c r="G14" s="10" t="s">
        <v>21</v>
      </c>
      <c r="H14" s="10" t="s">
        <v>22</v>
      </c>
      <c r="I14" s="10" t="s">
        <v>23</v>
      </c>
      <c r="J14" s="10" t="s">
        <v>24</v>
      </c>
      <c r="K14" s="10" t="s">
        <v>25</v>
      </c>
      <c r="L14" s="10" t="s">
        <v>26</v>
      </c>
      <c r="M14" s="10" t="s">
        <v>27</v>
      </c>
      <c r="N14" s="10" t="s">
        <v>28</v>
      </c>
    </row>
    <row r="15" customFormat="false" ht="48" hidden="false" customHeight="true" outlineLevel="0" collapsed="false">
      <c r="A15" s="11" t="s">
        <v>29</v>
      </c>
      <c r="B15" s="11" t="s">
        <v>30</v>
      </c>
      <c r="C15" s="11" t="s">
        <v>31</v>
      </c>
      <c r="D15" s="12" t="n">
        <v>4500</v>
      </c>
      <c r="E15" s="12" t="n">
        <v>1200</v>
      </c>
      <c r="F15" s="12" t="n">
        <v>1600</v>
      </c>
      <c r="G15" s="12" t="n">
        <v>0</v>
      </c>
      <c r="H15" s="12" t="n">
        <v>1000</v>
      </c>
      <c r="I15" s="12" t="n">
        <f aca="false">SUM(D15:H15)</f>
        <v>8300</v>
      </c>
      <c r="J15" s="11" t="s">
        <v>32</v>
      </c>
      <c r="K15" s="11" t="str">
        <f aca="false">IF(A15=$B$5,"SELECTED","")</f>
        <v/>
      </c>
      <c r="L15" s="11" t="s">
        <v>33</v>
      </c>
      <c r="M15" s="11" t="s">
        <v>34</v>
      </c>
      <c r="N15" s="11" t="s">
        <v>35</v>
      </c>
    </row>
    <row r="16" customFormat="false" ht="48" hidden="false" customHeight="true" outlineLevel="0" collapsed="false">
      <c r="A16" s="13" t="s">
        <v>36</v>
      </c>
      <c r="B16" s="13" t="s">
        <v>37</v>
      </c>
      <c r="C16" s="13" t="s">
        <v>38</v>
      </c>
      <c r="D16" s="14" t="n">
        <v>6800</v>
      </c>
      <c r="E16" s="14" t="n">
        <v>2200</v>
      </c>
      <c r="F16" s="14" t="n">
        <v>2600</v>
      </c>
      <c r="G16" s="14" t="n">
        <v>0</v>
      </c>
      <c r="H16" s="14" t="n">
        <v>1250</v>
      </c>
      <c r="I16" s="14" t="n">
        <f aca="false">SUM(D16:H16)</f>
        <v>12850</v>
      </c>
      <c r="J16" s="13" t="s">
        <v>39</v>
      </c>
      <c r="K16" s="13" t="str">
        <f aca="false">IF(A16=$B$5,"SELECTED","")</f>
        <v/>
      </c>
      <c r="L16" s="13" t="s">
        <v>33</v>
      </c>
      <c r="M16" s="13" t="s">
        <v>34</v>
      </c>
      <c r="N16" s="13" t="s">
        <v>40</v>
      </c>
    </row>
    <row r="17" customFormat="false" ht="48" hidden="false" customHeight="true" outlineLevel="0" collapsed="false">
      <c r="A17" s="15" t="s">
        <v>6</v>
      </c>
      <c r="B17" s="15" t="s">
        <v>41</v>
      </c>
      <c r="C17" s="15" t="s">
        <v>42</v>
      </c>
      <c r="D17" s="16" t="n">
        <v>2100</v>
      </c>
      <c r="E17" s="16" t="n">
        <v>850</v>
      </c>
      <c r="F17" s="16" t="n">
        <v>1800</v>
      </c>
      <c r="G17" s="16" t="n">
        <v>5200</v>
      </c>
      <c r="H17" s="16" t="n">
        <v>750</v>
      </c>
      <c r="I17" s="16" t="n">
        <f aca="false">SUM(D17:H17)</f>
        <v>10700</v>
      </c>
      <c r="J17" s="15" t="s">
        <v>43</v>
      </c>
      <c r="K17" s="15" t="str">
        <f aca="false">IF(A17=$B$5,"SELECTED","")</f>
        <v>SELECTED</v>
      </c>
      <c r="L17" s="15" t="s">
        <v>44</v>
      </c>
      <c r="M17" s="15" t="s">
        <v>45</v>
      </c>
      <c r="N17" s="15" t="s">
        <v>46</v>
      </c>
    </row>
    <row r="18" customFormat="false" ht="48" hidden="false" customHeight="true" outlineLevel="0" collapsed="false">
      <c r="A18" s="13" t="s">
        <v>47</v>
      </c>
      <c r="B18" s="13" t="s">
        <v>48</v>
      </c>
      <c r="C18" s="13" t="s">
        <v>49</v>
      </c>
      <c r="D18" s="14" t="n">
        <v>1500</v>
      </c>
      <c r="E18" s="14" t="n">
        <v>450</v>
      </c>
      <c r="F18" s="14" t="n">
        <v>900</v>
      </c>
      <c r="G18" s="14" t="n">
        <v>0</v>
      </c>
      <c r="H18" s="14" t="n">
        <v>250</v>
      </c>
      <c r="I18" s="14" t="n">
        <f aca="false">SUM(D18:H18)</f>
        <v>3100</v>
      </c>
      <c r="J18" s="13" t="s">
        <v>50</v>
      </c>
      <c r="K18" s="13" t="str">
        <f aca="false">IF(A18=$B$5,"SELECTED","")</f>
        <v/>
      </c>
      <c r="L18" s="13" t="s">
        <v>51</v>
      </c>
      <c r="M18" s="13" t="s">
        <v>34</v>
      </c>
      <c r="N18" s="13" t="s">
        <v>52</v>
      </c>
    </row>
    <row r="21" customFormat="false" ht="30" hidden="false" customHeight="true" outlineLevel="0" collapsed="false">
      <c r="A21" s="10" t="s">
        <v>53</v>
      </c>
      <c r="B21" s="10" t="s">
        <v>29</v>
      </c>
      <c r="C21" s="10" t="s">
        <v>36</v>
      </c>
      <c r="D21" s="10" t="s">
        <v>6</v>
      </c>
      <c r="E21" s="10" t="s">
        <v>47</v>
      </c>
      <c r="F21" s="10" t="s">
        <v>5</v>
      </c>
      <c r="G21" s="10" t="s">
        <v>54</v>
      </c>
    </row>
    <row r="22" customFormat="false" ht="22.35" hidden="false" customHeight="false" outlineLevel="0" collapsed="false">
      <c r="A22" s="13" t="s">
        <v>55</v>
      </c>
      <c r="B22" s="17" t="s">
        <v>56</v>
      </c>
      <c r="C22" s="17" t="s">
        <v>56</v>
      </c>
      <c r="D22" s="17" t="s">
        <v>56</v>
      </c>
      <c r="E22" s="17" t="s">
        <v>56</v>
      </c>
      <c r="F22" s="17" t="str">
        <f aca="false">IF($B$5="S1",B22,IF($B$5="S2",C22,IF($B$5="S3",D22,E22)))</f>
        <v>Y</v>
      </c>
      <c r="G22" s="13" t="s">
        <v>57</v>
      </c>
    </row>
    <row r="23" customFormat="false" ht="22.35" hidden="false" customHeight="false" outlineLevel="0" collapsed="false">
      <c r="A23" s="11" t="s">
        <v>58</v>
      </c>
      <c r="B23" s="18" t="s">
        <v>56</v>
      </c>
      <c r="C23" s="18" t="s">
        <v>56</v>
      </c>
      <c r="D23" s="18" t="s">
        <v>56</v>
      </c>
      <c r="E23" s="18" t="s">
        <v>56</v>
      </c>
      <c r="F23" s="18" t="str">
        <f aca="false">IF($B$5="S1",B23,IF($B$5="S2",C23,IF($B$5="S3",D23,E23)))</f>
        <v>Y</v>
      </c>
      <c r="G23" s="11" t="s">
        <v>59</v>
      </c>
    </row>
    <row r="24" customFormat="false" ht="22.35" hidden="false" customHeight="false" outlineLevel="0" collapsed="false">
      <c r="A24" s="13" t="s">
        <v>60</v>
      </c>
      <c r="B24" s="17" t="s">
        <v>56</v>
      </c>
      <c r="C24" s="17" t="s">
        <v>56</v>
      </c>
      <c r="D24" s="17" t="s">
        <v>56</v>
      </c>
      <c r="E24" s="17" t="s">
        <v>61</v>
      </c>
      <c r="F24" s="17" t="str">
        <f aca="false">IF($B$5="S1",B24,IF($B$5="S2",C24,IF($B$5="S3",D24,E24)))</f>
        <v>Y</v>
      </c>
      <c r="G24" s="13" t="s">
        <v>59</v>
      </c>
    </row>
    <row r="25" customFormat="false" ht="22.35" hidden="false" customHeight="false" outlineLevel="0" collapsed="false">
      <c r="A25" s="11" t="s">
        <v>62</v>
      </c>
      <c r="B25" s="18" t="s">
        <v>56</v>
      </c>
      <c r="C25" s="18" t="s">
        <v>56</v>
      </c>
      <c r="D25" s="18" t="s">
        <v>56</v>
      </c>
      <c r="E25" s="18" t="s">
        <v>56</v>
      </c>
      <c r="F25" s="18" t="str">
        <f aca="false">IF($B$5="S1",B25,IF($B$5="S2",C25,IF($B$5="S3",D25,E25)))</f>
        <v>Y</v>
      </c>
      <c r="G25" s="11" t="s">
        <v>63</v>
      </c>
    </row>
    <row r="26" customFormat="false" ht="22.35" hidden="false" customHeight="false" outlineLevel="0" collapsed="false">
      <c r="A26" s="13" t="s">
        <v>64</v>
      </c>
      <c r="B26" s="17" t="s">
        <v>56</v>
      </c>
      <c r="C26" s="17" t="s">
        <v>56</v>
      </c>
      <c r="D26" s="17" t="s">
        <v>56</v>
      </c>
      <c r="E26" s="17" t="s">
        <v>56</v>
      </c>
      <c r="F26" s="17" t="str">
        <f aca="false">IF($B$5="S1",B26,IF($B$5="S2",C26,IF($B$5="S3",D26,E26)))</f>
        <v>Y</v>
      </c>
      <c r="G26" s="13" t="s">
        <v>65</v>
      </c>
    </row>
    <row r="27" customFormat="false" ht="22.35" hidden="false" customHeight="false" outlineLevel="0" collapsed="false">
      <c r="A27" s="11" t="s">
        <v>66</v>
      </c>
      <c r="B27" s="18" t="s">
        <v>56</v>
      </c>
      <c r="C27" s="18" t="s">
        <v>56</v>
      </c>
      <c r="D27" s="18" t="s">
        <v>56</v>
      </c>
      <c r="E27" s="18" t="s">
        <v>56</v>
      </c>
      <c r="F27" s="18" t="str">
        <f aca="false">IF($B$5="S1",B27,IF($B$5="S2",C27,IF($B$5="S3",D27,E27)))</f>
        <v>Y</v>
      </c>
      <c r="G27" s="11" t="s">
        <v>67</v>
      </c>
    </row>
    <row r="29" customFormat="false" ht="15" hidden="false" customHeight="false" outlineLevel="0" collapsed="false">
      <c r="A29" s="19" t="s">
        <v>68</v>
      </c>
      <c r="B29" s="20" t="str">
        <f aca="false">IF(COUNTIF(F22:F27,"Y")=6,"ALL SIX MANDATORY CRITERIA COVERED","COVERAGE GAP")</f>
        <v>ALL SIX MANDATORY CRITERIA COVERED</v>
      </c>
    </row>
    <row r="31" customFormat="false" ht="18.75" hidden="false" customHeight="true" outlineLevel="0" collapsed="false">
      <c r="A31" s="9" t="s">
        <v>69</v>
      </c>
      <c r="B31" s="9"/>
      <c r="C31" s="9"/>
      <c r="D31" s="9"/>
      <c r="E31" s="9"/>
      <c r="F31" s="9"/>
      <c r="G31" s="9"/>
      <c r="H31" s="9"/>
      <c r="I31" s="9"/>
      <c r="J31" s="9"/>
      <c r="K31" s="9"/>
      <c r="L31" s="9"/>
      <c r="M31" s="9"/>
      <c r="N31" s="9"/>
    </row>
    <row r="32" customFormat="false" ht="30" hidden="false" customHeight="true" outlineLevel="0" collapsed="false">
      <c r="A32" s="21" t="s">
        <v>70</v>
      </c>
      <c r="B32" s="21" t="s">
        <v>71</v>
      </c>
      <c r="C32" s="21"/>
      <c r="D32" s="21"/>
      <c r="E32" s="21"/>
      <c r="F32" s="21"/>
      <c r="G32" s="21"/>
      <c r="H32" s="21"/>
      <c r="I32" s="21"/>
      <c r="J32" s="21"/>
      <c r="K32" s="21"/>
      <c r="L32" s="21"/>
      <c r="M32" s="21"/>
      <c r="N32" s="21"/>
    </row>
    <row r="33" customFormat="false" ht="34.5" hidden="false" customHeight="true" outlineLevel="0" collapsed="false">
      <c r="A33" s="11" t="s">
        <v>72</v>
      </c>
      <c r="B33" s="22" t="s">
        <v>73</v>
      </c>
      <c r="C33" s="22"/>
      <c r="D33" s="22"/>
      <c r="E33" s="22"/>
      <c r="F33" s="22"/>
      <c r="G33" s="22"/>
      <c r="H33" s="22"/>
      <c r="I33" s="22"/>
      <c r="J33" s="22"/>
      <c r="K33" s="22"/>
      <c r="L33" s="22"/>
      <c r="M33" s="22"/>
      <c r="N33" s="22"/>
    </row>
    <row r="34" customFormat="false" ht="34.5" hidden="false" customHeight="true" outlineLevel="0" collapsed="false">
      <c r="A34" s="13" t="s">
        <v>74</v>
      </c>
      <c r="B34" s="23" t="s">
        <v>75</v>
      </c>
      <c r="C34" s="23"/>
      <c r="D34" s="23"/>
      <c r="E34" s="23"/>
      <c r="F34" s="23"/>
      <c r="G34" s="23"/>
      <c r="H34" s="23"/>
      <c r="I34" s="23"/>
      <c r="J34" s="23"/>
      <c r="K34" s="23"/>
      <c r="L34" s="23"/>
      <c r="M34" s="23"/>
      <c r="N34" s="23"/>
    </row>
    <row r="35" customFormat="false" ht="34.5" hidden="false" customHeight="true" outlineLevel="0" collapsed="false">
      <c r="A35" s="11" t="s">
        <v>76</v>
      </c>
      <c r="B35" s="22" t="s">
        <v>77</v>
      </c>
      <c r="C35" s="22"/>
      <c r="D35" s="22"/>
      <c r="E35" s="22"/>
      <c r="F35" s="22"/>
      <c r="G35" s="22"/>
      <c r="H35" s="22"/>
      <c r="I35" s="22"/>
      <c r="J35" s="22"/>
      <c r="K35" s="22"/>
      <c r="L35" s="22"/>
      <c r="M35" s="22"/>
      <c r="N35" s="22"/>
    </row>
    <row r="36" customFormat="false" ht="34.5" hidden="false" customHeight="true" outlineLevel="0" collapsed="false">
      <c r="A36" s="13" t="s">
        <v>78</v>
      </c>
      <c r="B36" s="23" t="s">
        <v>79</v>
      </c>
      <c r="C36" s="23"/>
      <c r="D36" s="23"/>
      <c r="E36" s="23"/>
      <c r="F36" s="23"/>
      <c r="G36" s="23"/>
      <c r="H36" s="23"/>
      <c r="I36" s="23"/>
      <c r="J36" s="23"/>
      <c r="K36" s="23"/>
      <c r="L36" s="23"/>
      <c r="M36" s="23"/>
      <c r="N36" s="23"/>
    </row>
    <row r="37" customFormat="false" ht="34.5" hidden="false" customHeight="true" outlineLevel="0" collapsed="false">
      <c r="A37" s="11" t="s">
        <v>80</v>
      </c>
      <c r="B37" s="22" t="s">
        <v>81</v>
      </c>
      <c r="C37" s="22"/>
      <c r="D37" s="22"/>
      <c r="E37" s="22"/>
      <c r="F37" s="22"/>
      <c r="G37" s="22"/>
      <c r="H37" s="22"/>
      <c r="I37" s="22"/>
      <c r="J37" s="22"/>
      <c r="K37" s="22"/>
      <c r="L37" s="22"/>
      <c r="M37" s="22"/>
      <c r="N37" s="22"/>
    </row>
    <row r="39" customFormat="false" ht="15" hidden="false" customHeight="true" outlineLevel="0" collapsed="false">
      <c r="A39" s="24" t="s">
        <v>82</v>
      </c>
      <c r="B39" s="24"/>
      <c r="C39" s="24"/>
      <c r="D39" s="24"/>
      <c r="E39" s="24"/>
      <c r="F39" s="24"/>
      <c r="G39" s="24"/>
      <c r="H39" s="24"/>
      <c r="I39" s="24"/>
      <c r="J39" s="24"/>
      <c r="K39" s="24"/>
      <c r="L39" s="24"/>
      <c r="M39" s="24"/>
      <c r="N39" s="24"/>
    </row>
    <row r="40" customFormat="false" ht="15" hidden="false" customHeight="false" outlineLevel="0" collapsed="false">
      <c r="A40" s="24"/>
      <c r="B40" s="24"/>
      <c r="C40" s="24"/>
      <c r="D40" s="24"/>
      <c r="E40" s="24"/>
      <c r="F40" s="24"/>
      <c r="G40" s="24"/>
      <c r="H40" s="24"/>
      <c r="I40" s="24"/>
      <c r="J40" s="24"/>
      <c r="K40" s="24"/>
      <c r="L40" s="24"/>
      <c r="M40" s="24"/>
      <c r="N40" s="24"/>
    </row>
  </sheetData>
  <mergeCells count="12">
    <mergeCell ref="A1:N1"/>
    <mergeCell ref="A2:N2"/>
    <mergeCell ref="D4:N11"/>
    <mergeCell ref="A13:N13"/>
    <mergeCell ref="A31:N31"/>
    <mergeCell ref="B32:N32"/>
    <mergeCell ref="B33:N33"/>
    <mergeCell ref="B34:N34"/>
    <mergeCell ref="B35:N35"/>
    <mergeCell ref="B36:N36"/>
    <mergeCell ref="B37:N37"/>
    <mergeCell ref="A39:N40"/>
  </mergeCells>
  <printOptions headings="false" gridLines="false" gridLinesSet="true" horizontalCentered="false" verticalCentered="false"/>
  <pageMargins left="0.25" right="0.25" top="0.4" bottom="0.4"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&amp;C&amp;8 Tidewater Health Network | Internal planning workbook&amp;R&amp;8 Page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6690"/>
    <pageSetUpPr fitToPage="true"/>
  </sheetPr>
  <dimension ref="A1:J33"/>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8"/>
    <col collapsed="false" customWidth="true" hidden="false" outlineLevel="0" max="2" min="2" style="0" width="24"/>
    <col collapsed="false" customWidth="true" hidden="false" outlineLevel="0" max="3" min="3" style="0" width="28"/>
    <col collapsed="false" customWidth="true" hidden="false" outlineLevel="0" max="4" min="4" style="0" width="24"/>
    <col collapsed="false" customWidth="true" hidden="false" outlineLevel="0" max="5" min="5" style="0" width="25"/>
    <col collapsed="false" customWidth="true" hidden="false" outlineLevel="0" max="6" min="6" style="0" width="24"/>
    <col collapsed="false" customWidth="true" hidden="false" outlineLevel="0" max="7" min="7" style="0" width="28"/>
    <col collapsed="false" customWidth="true" hidden="false" outlineLevel="0" max="8" min="8" style="0" width="40"/>
    <col collapsed="false" customWidth="true" hidden="false" outlineLevel="0" max="9" min="9" style="0" width="28"/>
    <col collapsed="false" customWidth="true" hidden="false" outlineLevel="0" max="10" min="10" style="0" width="18"/>
  </cols>
  <sheetData>
    <row r="1" customFormat="false" ht="27" hidden="false" customHeight="true" outlineLevel="0" collapsed="false">
      <c r="A1" s="1" t="s">
        <v>83</v>
      </c>
      <c r="B1" s="1"/>
      <c r="C1" s="1"/>
      <c r="D1" s="1"/>
      <c r="E1" s="1"/>
      <c r="F1" s="1"/>
      <c r="G1" s="1"/>
      <c r="H1" s="1"/>
      <c r="I1" s="1"/>
      <c r="J1" s="1"/>
    </row>
    <row r="2" customFormat="false" ht="19.5" hidden="false" customHeight="true" outlineLevel="0" collapsed="false">
      <c r="A2" s="2" t="s">
        <v>84</v>
      </c>
      <c r="B2" s="2"/>
      <c r="C2" s="2"/>
      <c r="D2" s="2"/>
      <c r="E2" s="2"/>
      <c r="F2" s="2"/>
      <c r="G2" s="2"/>
      <c r="H2" s="2"/>
      <c r="I2" s="2"/>
      <c r="J2" s="2"/>
    </row>
    <row r="4" customFormat="false" ht="18.75" hidden="false" customHeight="true" outlineLevel="0" collapsed="false">
      <c r="A4" s="9" t="s">
        <v>85</v>
      </c>
      <c r="B4" s="9"/>
      <c r="C4" s="9"/>
      <c r="D4" s="9"/>
      <c r="E4" s="9"/>
      <c r="F4" s="9"/>
      <c r="G4" s="9"/>
      <c r="H4" s="9"/>
      <c r="I4" s="9"/>
      <c r="J4" s="9"/>
    </row>
    <row r="5" customFormat="false" ht="27" hidden="false" customHeight="true" outlineLevel="0" collapsed="false">
      <c r="A5" s="5" t="s">
        <v>86</v>
      </c>
      <c r="B5" s="5"/>
      <c r="C5" s="5"/>
      <c r="D5" s="5"/>
      <c r="E5" s="5"/>
      <c r="F5" s="5"/>
      <c r="G5" s="5"/>
      <c r="H5" s="5"/>
      <c r="I5" s="5"/>
      <c r="J5" s="5"/>
    </row>
    <row r="6" customFormat="false" ht="27" hidden="false" customHeight="true" outlineLevel="0" collapsed="false">
      <c r="A6" s="5"/>
      <c r="B6" s="5"/>
      <c r="C6" s="5"/>
      <c r="D6" s="5"/>
      <c r="E6" s="5"/>
      <c r="F6" s="5"/>
      <c r="G6" s="5"/>
      <c r="H6" s="5"/>
      <c r="I6" s="5"/>
      <c r="J6" s="5"/>
    </row>
    <row r="7" customFormat="false" ht="27" hidden="false" customHeight="true" outlineLevel="0" collapsed="false">
      <c r="A7" s="5"/>
      <c r="B7" s="5"/>
      <c r="C7" s="5"/>
      <c r="D7" s="5"/>
      <c r="E7" s="5"/>
      <c r="F7" s="5"/>
      <c r="G7" s="5"/>
      <c r="H7" s="5"/>
      <c r="I7" s="5"/>
      <c r="J7" s="5"/>
    </row>
    <row r="9" customFormat="false" ht="18.75" hidden="false" customHeight="true" outlineLevel="0" collapsed="false">
      <c r="A9" s="9" t="s">
        <v>87</v>
      </c>
      <c r="B9" s="9"/>
      <c r="C9" s="9"/>
      <c r="D9" s="9"/>
      <c r="E9" s="9"/>
      <c r="F9" s="9"/>
      <c r="G9" s="9"/>
      <c r="H9" s="9"/>
      <c r="I9" s="9"/>
      <c r="J9" s="9"/>
    </row>
    <row r="10" customFormat="false" ht="30" hidden="false" customHeight="true" outlineLevel="0" collapsed="false">
      <c r="A10" s="10" t="s">
        <v>88</v>
      </c>
      <c r="B10" s="10" t="s">
        <v>89</v>
      </c>
      <c r="C10" s="10" t="s">
        <v>90</v>
      </c>
      <c r="D10" s="10" t="s">
        <v>91</v>
      </c>
      <c r="E10" s="10" t="s">
        <v>92</v>
      </c>
      <c r="F10" s="10" t="s">
        <v>93</v>
      </c>
      <c r="G10" s="10" t="s">
        <v>94</v>
      </c>
      <c r="H10" s="10" t="s">
        <v>95</v>
      </c>
      <c r="I10" s="10" t="s">
        <v>96</v>
      </c>
      <c r="J10" s="10" t="s">
        <v>97</v>
      </c>
    </row>
    <row r="11" customFormat="false" ht="42" hidden="false" customHeight="true" outlineLevel="0" collapsed="false">
      <c r="A11" s="11" t="s">
        <v>98</v>
      </c>
      <c r="B11" s="11" t="s">
        <v>99</v>
      </c>
      <c r="C11" s="11" t="s">
        <v>100</v>
      </c>
      <c r="D11" s="11" t="s">
        <v>101</v>
      </c>
      <c r="E11" s="25" t="n">
        <v>46006</v>
      </c>
      <c r="F11" s="11" t="s">
        <v>102</v>
      </c>
      <c r="G11" s="11" t="s">
        <v>103</v>
      </c>
      <c r="H11" s="26" t="s">
        <v>100</v>
      </c>
      <c r="I11" s="11" t="s">
        <v>104</v>
      </c>
      <c r="J11" s="11" t="s">
        <v>105</v>
      </c>
    </row>
    <row r="12" customFormat="false" ht="42" hidden="false" customHeight="true" outlineLevel="0" collapsed="false">
      <c r="A12" s="13" t="s">
        <v>98</v>
      </c>
      <c r="B12" s="13" t="s">
        <v>106</v>
      </c>
      <c r="C12" s="13" t="s">
        <v>107</v>
      </c>
      <c r="D12" s="13" t="s">
        <v>108</v>
      </c>
      <c r="E12" s="27" t="n">
        <v>46006</v>
      </c>
      <c r="F12" s="13" t="s">
        <v>109</v>
      </c>
      <c r="G12" s="13" t="s">
        <v>110</v>
      </c>
      <c r="H12" s="26" t="s">
        <v>107</v>
      </c>
      <c r="I12" s="13" t="s">
        <v>104</v>
      </c>
      <c r="J12" s="13" t="s">
        <v>111</v>
      </c>
    </row>
    <row r="13" customFormat="false" ht="42" hidden="false" customHeight="true" outlineLevel="0" collapsed="false">
      <c r="A13" s="11" t="s">
        <v>112</v>
      </c>
      <c r="B13" s="11" t="s">
        <v>99</v>
      </c>
      <c r="C13" s="11" t="s">
        <v>113</v>
      </c>
      <c r="D13" s="11" t="s">
        <v>114</v>
      </c>
      <c r="E13" s="25" t="n">
        <v>46006</v>
      </c>
      <c r="F13" s="11" t="s">
        <v>115</v>
      </c>
      <c r="G13" s="11" t="s">
        <v>116</v>
      </c>
      <c r="H13" s="26" t="s">
        <v>113</v>
      </c>
      <c r="I13" s="11" t="s">
        <v>104</v>
      </c>
      <c r="J13" s="11" t="s">
        <v>117</v>
      </c>
    </row>
    <row r="14" customFormat="false" ht="42" hidden="false" customHeight="true" outlineLevel="0" collapsed="false">
      <c r="A14" s="13" t="s">
        <v>112</v>
      </c>
      <c r="B14" s="13" t="s">
        <v>106</v>
      </c>
      <c r="C14" s="13" t="s">
        <v>118</v>
      </c>
      <c r="D14" s="13" t="s">
        <v>119</v>
      </c>
      <c r="E14" s="27" t="n">
        <v>46006</v>
      </c>
      <c r="F14" s="13" t="s">
        <v>109</v>
      </c>
      <c r="G14" s="13" t="s">
        <v>120</v>
      </c>
      <c r="H14" s="26" t="s">
        <v>118</v>
      </c>
      <c r="I14" s="13" t="s">
        <v>104</v>
      </c>
      <c r="J14" s="13" t="s">
        <v>121</v>
      </c>
    </row>
    <row r="16" customFormat="false" ht="18.75" hidden="false" customHeight="true" outlineLevel="0" collapsed="false">
      <c r="A16" s="9" t="s">
        <v>122</v>
      </c>
      <c r="B16" s="9"/>
      <c r="C16" s="9"/>
      <c r="D16" s="9"/>
      <c r="E16" s="9"/>
      <c r="F16" s="9"/>
      <c r="G16" s="9"/>
      <c r="H16" s="9"/>
      <c r="I16" s="9"/>
      <c r="J16" s="9"/>
    </row>
    <row r="17" customFormat="false" ht="30" hidden="false" customHeight="true" outlineLevel="0" collapsed="false">
      <c r="A17" s="10" t="s">
        <v>88</v>
      </c>
      <c r="B17" s="10" t="s">
        <v>99</v>
      </c>
      <c r="C17" s="10" t="s">
        <v>123</v>
      </c>
      <c r="D17" s="10" t="s">
        <v>124</v>
      </c>
      <c r="E17" s="10" t="s">
        <v>125</v>
      </c>
      <c r="F17" s="10" t="s">
        <v>126</v>
      </c>
      <c r="G17" s="10" t="s">
        <v>127</v>
      </c>
      <c r="H17" s="10" t="s">
        <v>128</v>
      </c>
    </row>
    <row r="18" customFormat="false" ht="27.75" hidden="false" customHeight="true" outlineLevel="0" collapsed="false">
      <c r="A18" s="13" t="s">
        <v>98</v>
      </c>
      <c r="B18" s="15" t="s">
        <v>100</v>
      </c>
      <c r="C18" s="15" t="s">
        <v>129</v>
      </c>
      <c r="D18" s="13" t="s">
        <v>34</v>
      </c>
      <c r="E18" s="13" t="s">
        <v>130</v>
      </c>
      <c r="F18" s="27" t="n">
        <v>46023</v>
      </c>
      <c r="G18" s="13" t="s">
        <v>131</v>
      </c>
      <c r="H18" s="13" t="s">
        <v>132</v>
      </c>
    </row>
    <row r="19" customFormat="false" ht="27.75" hidden="false" customHeight="true" outlineLevel="0" collapsed="false">
      <c r="A19" s="11" t="s">
        <v>112</v>
      </c>
      <c r="B19" s="15" t="s">
        <v>113</v>
      </c>
      <c r="C19" s="15" t="s">
        <v>133</v>
      </c>
      <c r="D19" s="11" t="s">
        <v>34</v>
      </c>
      <c r="E19" s="11" t="s">
        <v>134</v>
      </c>
      <c r="F19" s="25" t="n">
        <v>46023</v>
      </c>
      <c r="G19" s="11" t="s">
        <v>135</v>
      </c>
      <c r="H19" s="11" t="s">
        <v>132</v>
      </c>
    </row>
    <row r="21" customFormat="false" ht="18.75" hidden="false" customHeight="true" outlineLevel="0" collapsed="false">
      <c r="A21" s="9" t="s">
        <v>136</v>
      </c>
      <c r="B21" s="9"/>
      <c r="C21" s="9"/>
      <c r="D21" s="9"/>
      <c r="E21" s="9"/>
      <c r="F21" s="9"/>
      <c r="G21" s="9"/>
      <c r="H21" s="9"/>
      <c r="I21" s="9"/>
      <c r="J21" s="9"/>
    </row>
    <row r="22" customFormat="false" ht="30" hidden="false" customHeight="true" outlineLevel="0" collapsed="false">
      <c r="A22" s="10" t="s">
        <v>137</v>
      </c>
      <c r="B22" s="10" t="s">
        <v>138</v>
      </c>
      <c r="C22" s="10" t="s">
        <v>139</v>
      </c>
      <c r="D22" s="10" t="s">
        <v>140</v>
      </c>
      <c r="E22" s="10" t="s">
        <v>141</v>
      </c>
      <c r="F22" s="10" t="s">
        <v>88</v>
      </c>
      <c r="G22" s="10" t="s">
        <v>89</v>
      </c>
      <c r="H22" s="10" t="s">
        <v>142</v>
      </c>
    </row>
    <row r="23" customFormat="false" ht="27.75" hidden="false" customHeight="true" outlineLevel="0" collapsed="false">
      <c r="A23" s="11" t="s">
        <v>143</v>
      </c>
      <c r="B23" s="11" t="s">
        <v>144</v>
      </c>
      <c r="C23" s="11" t="s">
        <v>145</v>
      </c>
      <c r="D23" s="25" t="n">
        <v>46006</v>
      </c>
      <c r="E23" s="25" t="n">
        <v>46023</v>
      </c>
      <c r="F23" s="11" t="s">
        <v>98</v>
      </c>
      <c r="G23" s="11" t="s">
        <v>99</v>
      </c>
      <c r="H23" s="11" t="s">
        <v>100</v>
      </c>
    </row>
    <row r="24" customFormat="false" ht="27.75" hidden="false" customHeight="true" outlineLevel="0" collapsed="false">
      <c r="A24" s="13" t="s">
        <v>146</v>
      </c>
      <c r="B24" s="13" t="s">
        <v>144</v>
      </c>
      <c r="C24" s="13" t="s">
        <v>145</v>
      </c>
      <c r="D24" s="27" t="n">
        <v>46006</v>
      </c>
      <c r="E24" s="27" t="n">
        <v>46023</v>
      </c>
      <c r="F24" s="13" t="s">
        <v>98</v>
      </c>
      <c r="G24" s="13" t="s">
        <v>106</v>
      </c>
      <c r="H24" s="13" t="s">
        <v>107</v>
      </c>
    </row>
    <row r="25" customFormat="false" ht="27.75" hidden="false" customHeight="true" outlineLevel="0" collapsed="false">
      <c r="A25" s="11" t="s">
        <v>147</v>
      </c>
      <c r="B25" s="11" t="s">
        <v>144</v>
      </c>
      <c r="C25" s="11" t="s">
        <v>148</v>
      </c>
      <c r="D25" s="25" t="n">
        <v>46006</v>
      </c>
      <c r="E25" s="25" t="n">
        <v>46023</v>
      </c>
      <c r="F25" s="11" t="s">
        <v>112</v>
      </c>
      <c r="G25" s="11" t="s">
        <v>99</v>
      </c>
      <c r="H25" s="11" t="s">
        <v>113</v>
      </c>
    </row>
    <row r="26" customFormat="false" ht="27.75" hidden="false" customHeight="true" outlineLevel="0" collapsed="false">
      <c r="A26" s="13" t="s">
        <v>149</v>
      </c>
      <c r="B26" s="13" t="s">
        <v>144</v>
      </c>
      <c r="C26" s="13" t="s">
        <v>148</v>
      </c>
      <c r="D26" s="27" t="n">
        <v>46006</v>
      </c>
      <c r="E26" s="27" t="n">
        <v>46023</v>
      </c>
      <c r="F26" s="13" t="s">
        <v>112</v>
      </c>
      <c r="G26" s="13" t="s">
        <v>106</v>
      </c>
      <c r="H26" s="13" t="s">
        <v>118</v>
      </c>
    </row>
    <row r="27" customFormat="false" ht="27.75" hidden="false" customHeight="true" outlineLevel="0" collapsed="false">
      <c r="A27" s="11" t="s">
        <v>150</v>
      </c>
      <c r="B27" s="11" t="s">
        <v>151</v>
      </c>
      <c r="C27" s="11" t="s">
        <v>152</v>
      </c>
      <c r="D27" s="25" t="n">
        <v>46073</v>
      </c>
      <c r="E27" s="25" t="n">
        <v>46073</v>
      </c>
      <c r="F27" s="11" t="s">
        <v>98</v>
      </c>
      <c r="G27" s="11" t="s">
        <v>99</v>
      </c>
      <c r="H27" s="11" t="s">
        <v>102</v>
      </c>
    </row>
    <row r="28" customFormat="false" ht="27.75" hidden="false" customHeight="true" outlineLevel="0" collapsed="false">
      <c r="A28" s="13" t="s">
        <v>153</v>
      </c>
      <c r="B28" s="13" t="s">
        <v>151</v>
      </c>
      <c r="C28" s="13" t="s">
        <v>154</v>
      </c>
      <c r="D28" s="27" t="n">
        <v>46073</v>
      </c>
      <c r="E28" s="27" t="n">
        <v>46073</v>
      </c>
      <c r="F28" s="13" t="s">
        <v>98</v>
      </c>
      <c r="G28" s="13" t="s">
        <v>106</v>
      </c>
      <c r="H28" s="13" t="s">
        <v>109</v>
      </c>
    </row>
    <row r="29" customFormat="false" ht="27.75" hidden="false" customHeight="true" outlineLevel="0" collapsed="false">
      <c r="A29" s="11" t="s">
        <v>155</v>
      </c>
      <c r="B29" s="11" t="s">
        <v>151</v>
      </c>
      <c r="C29" s="11" t="s">
        <v>152</v>
      </c>
      <c r="D29" s="25" t="n">
        <v>46073</v>
      </c>
      <c r="E29" s="25" t="n">
        <v>46073</v>
      </c>
      <c r="F29" s="11" t="s">
        <v>112</v>
      </c>
      <c r="G29" s="11" t="s">
        <v>99</v>
      </c>
      <c r="H29" s="11" t="s">
        <v>115</v>
      </c>
    </row>
    <row r="30" customFormat="false" ht="27.75" hidden="false" customHeight="true" outlineLevel="0" collapsed="false">
      <c r="A30" s="13" t="s">
        <v>156</v>
      </c>
      <c r="B30" s="13" t="s">
        <v>151</v>
      </c>
      <c r="C30" s="13" t="s">
        <v>154</v>
      </c>
      <c r="D30" s="27" t="n">
        <v>46073</v>
      </c>
      <c r="E30" s="27" t="n">
        <v>46073</v>
      </c>
      <c r="F30" s="13" t="s">
        <v>112</v>
      </c>
      <c r="G30" s="13" t="s">
        <v>106</v>
      </c>
      <c r="H30" s="13" t="s">
        <v>109</v>
      </c>
    </row>
    <row r="32" customFormat="false" ht="15" hidden="false" customHeight="true" outlineLevel="0" collapsed="false">
      <c r="A32" s="24" t="s">
        <v>157</v>
      </c>
      <c r="B32" s="24"/>
      <c r="C32" s="24"/>
      <c r="D32" s="24"/>
      <c r="E32" s="24"/>
      <c r="F32" s="24"/>
      <c r="G32" s="24"/>
      <c r="H32" s="24"/>
      <c r="I32" s="24"/>
      <c r="J32" s="24"/>
    </row>
    <row r="33" customFormat="false" ht="15" hidden="false" customHeight="false" outlineLevel="0" collapsed="false">
      <c r="A33" s="24"/>
      <c r="B33" s="24"/>
      <c r="C33" s="24"/>
      <c r="D33" s="24"/>
      <c r="E33" s="24"/>
      <c r="F33" s="24"/>
      <c r="G33" s="24"/>
      <c r="H33" s="24"/>
      <c r="I33" s="24"/>
      <c r="J33" s="24"/>
    </row>
  </sheetData>
  <mergeCells count="8">
    <mergeCell ref="A1:J1"/>
    <mergeCell ref="A2:J2"/>
    <mergeCell ref="A4:J4"/>
    <mergeCell ref="A5:J7"/>
    <mergeCell ref="A9:J9"/>
    <mergeCell ref="A16:J16"/>
    <mergeCell ref="A21:J21"/>
    <mergeCell ref="A32:J33"/>
  </mergeCells>
  <printOptions headings="false" gridLines="false" gridLinesSet="true" horizontalCentered="false" verticalCentered="false"/>
  <pageMargins left="0.25" right="0.25" top="0.4" bottom="0.4"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&amp;C&amp;8 Tidewater Health Network | Internal planning workbook&amp;R&amp;8 Page &amp;P of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35C1E"/>
    <pageSetUpPr fitToPage="true"/>
  </sheetPr>
  <dimension ref="A1:L4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7"/>
    <col collapsed="false" customWidth="true" hidden="false" outlineLevel="0" max="2" min="2" style="0" width="31"/>
    <col collapsed="false" customWidth="true" hidden="false" outlineLevel="0" max="3" min="3" style="0" width="12"/>
    <col collapsed="false" customWidth="true" hidden="false" outlineLevel="0" max="5" min="4" style="0" width="13"/>
    <col collapsed="false" customWidth="true" hidden="false" outlineLevel="0" max="6" min="6" style="0" width="12"/>
    <col collapsed="false" customWidth="true" hidden="false" outlineLevel="0" max="7" min="7" style="0" width="25"/>
    <col collapsed="false" customWidth="true" hidden="false" outlineLevel="0" max="8" min="8" style="0" width="18"/>
    <col collapsed="false" customWidth="true" hidden="false" outlineLevel="0" max="9" min="9" style="0" width="28"/>
    <col collapsed="false" customWidth="true" hidden="false" outlineLevel="0" max="12" min="10" style="0" width="18"/>
  </cols>
  <sheetData>
    <row r="1" customFormat="false" ht="27" hidden="false" customHeight="true" outlineLevel="0" collapsed="false">
      <c r="A1" s="1" t="s">
        <v>158</v>
      </c>
      <c r="B1" s="1"/>
      <c r="C1" s="1"/>
      <c r="D1" s="1"/>
      <c r="E1" s="1"/>
      <c r="F1" s="1"/>
      <c r="G1" s="1"/>
      <c r="H1" s="1"/>
      <c r="I1" s="1"/>
      <c r="J1" s="1"/>
      <c r="K1" s="1"/>
      <c r="L1" s="1"/>
    </row>
    <row r="2" customFormat="false" ht="19.5" hidden="false" customHeight="true" outlineLevel="0" collapsed="false">
      <c r="A2" s="2" t="s">
        <v>159</v>
      </c>
      <c r="B2" s="2"/>
      <c r="C2" s="2"/>
      <c r="D2" s="2"/>
      <c r="E2" s="2"/>
      <c r="F2" s="2"/>
      <c r="G2" s="2"/>
      <c r="H2" s="2"/>
      <c r="I2" s="2"/>
      <c r="J2" s="2"/>
      <c r="K2" s="2"/>
      <c r="L2" s="2"/>
    </row>
    <row r="4" customFormat="false" ht="18.75" hidden="false" customHeight="true" outlineLevel="0" collapsed="false">
      <c r="A4" s="9" t="s">
        <v>160</v>
      </c>
      <c r="B4" s="9"/>
      <c r="C4" s="9"/>
      <c r="D4" s="9"/>
      <c r="E4" s="9"/>
      <c r="F4" s="9"/>
      <c r="G4" s="9"/>
      <c r="H4" s="9"/>
      <c r="I4" s="9"/>
      <c r="J4" s="9"/>
      <c r="K4" s="9"/>
      <c r="L4" s="9"/>
    </row>
    <row r="5" customFormat="false" ht="25.5" hidden="false" customHeight="true" outlineLevel="0" collapsed="false">
      <c r="A5" s="19" t="s">
        <v>161</v>
      </c>
      <c r="B5" s="28" t="n">
        <v>46129</v>
      </c>
      <c r="C5" s="28"/>
      <c r="D5" s="28"/>
      <c r="E5" s="28"/>
      <c r="F5" s="28"/>
      <c r="G5" s="28"/>
      <c r="H5" s="28"/>
      <c r="I5" s="28"/>
      <c r="J5" s="28"/>
      <c r="K5" s="28"/>
      <c r="L5" s="28"/>
    </row>
    <row r="6" customFormat="false" ht="25.5" hidden="false" customHeight="true" outlineLevel="0" collapsed="false">
      <c r="A6" s="19" t="s">
        <v>7</v>
      </c>
      <c r="B6" s="29" t="s">
        <v>8</v>
      </c>
      <c r="C6" s="29"/>
      <c r="D6" s="29"/>
      <c r="E6" s="29"/>
      <c r="F6" s="29"/>
      <c r="G6" s="29"/>
      <c r="H6" s="29"/>
      <c r="I6" s="29"/>
      <c r="J6" s="29"/>
      <c r="K6" s="29"/>
      <c r="L6" s="29"/>
    </row>
    <row r="7" customFormat="false" ht="25.5" hidden="false" customHeight="true" outlineLevel="0" collapsed="false">
      <c r="A7" s="19" t="s">
        <v>162</v>
      </c>
      <c r="B7" s="30" t="s">
        <v>163</v>
      </c>
      <c r="C7" s="30"/>
      <c r="D7" s="30"/>
      <c r="E7" s="30"/>
      <c r="F7" s="30"/>
      <c r="G7" s="30"/>
      <c r="H7" s="30"/>
      <c r="I7" s="30"/>
      <c r="J7" s="30"/>
      <c r="K7" s="30"/>
      <c r="L7" s="30"/>
    </row>
    <row r="8" customFormat="false" ht="25.5" hidden="false" customHeight="true" outlineLevel="0" collapsed="false">
      <c r="A8" s="19" t="s">
        <v>164</v>
      </c>
      <c r="B8" s="29" t="s">
        <v>165</v>
      </c>
      <c r="C8" s="29"/>
      <c r="D8" s="29"/>
      <c r="E8" s="29"/>
      <c r="F8" s="29"/>
      <c r="G8" s="29"/>
      <c r="H8" s="29"/>
      <c r="I8" s="29"/>
      <c r="J8" s="29"/>
      <c r="K8" s="29"/>
      <c r="L8" s="29"/>
    </row>
    <row r="10" customFormat="false" ht="18.75" hidden="false" customHeight="true" outlineLevel="0" collapsed="false">
      <c r="A10" s="9" t="s">
        <v>166</v>
      </c>
      <c r="B10" s="9"/>
      <c r="C10" s="9"/>
      <c r="D10" s="9"/>
      <c r="E10" s="9"/>
      <c r="F10" s="9"/>
      <c r="G10" s="9"/>
      <c r="H10" s="9"/>
      <c r="I10" s="9"/>
      <c r="J10" s="9"/>
      <c r="K10" s="9"/>
      <c r="L10" s="9"/>
    </row>
    <row r="11" customFormat="false" ht="30" hidden="false" customHeight="true" outlineLevel="0" collapsed="false">
      <c r="A11" s="10" t="s">
        <v>167</v>
      </c>
      <c r="B11" s="10" t="s">
        <v>168</v>
      </c>
      <c r="C11" s="10" t="s">
        <v>169</v>
      </c>
      <c r="D11" s="10" t="s">
        <v>170</v>
      </c>
      <c r="E11" s="10" t="s">
        <v>171</v>
      </c>
      <c r="F11" s="10" t="s">
        <v>172</v>
      </c>
      <c r="G11" s="10" t="s">
        <v>173</v>
      </c>
      <c r="H11" s="10" t="s">
        <v>174</v>
      </c>
      <c r="I11" s="10" t="s">
        <v>175</v>
      </c>
      <c r="J11" s="10" t="s">
        <v>176</v>
      </c>
      <c r="K11" s="10" t="s">
        <v>177</v>
      </c>
      <c r="L11" s="10" t="s">
        <v>178</v>
      </c>
    </row>
    <row r="12" customFormat="false" ht="31.5" hidden="false" customHeight="true" outlineLevel="0" collapsed="false">
      <c r="A12" s="13" t="s">
        <v>179</v>
      </c>
      <c r="B12" s="13" t="s">
        <v>180</v>
      </c>
      <c r="C12" s="13" t="s">
        <v>181</v>
      </c>
      <c r="D12" s="27" t="n">
        <v>46113</v>
      </c>
      <c r="E12" s="27" t="n">
        <v>46114</v>
      </c>
      <c r="F12" s="13" t="n">
        <v>2</v>
      </c>
      <c r="G12" s="31" t="s">
        <v>182</v>
      </c>
      <c r="H12" s="13" t="s">
        <v>183</v>
      </c>
      <c r="I12" s="13" t="s">
        <v>183</v>
      </c>
      <c r="J12" s="13" t="s">
        <v>184</v>
      </c>
      <c r="K12" s="13" t="s">
        <v>185</v>
      </c>
      <c r="L12" s="13" t="s">
        <v>186</v>
      </c>
    </row>
    <row r="13" customFormat="false" ht="31.5" hidden="false" customHeight="true" outlineLevel="0" collapsed="false">
      <c r="A13" s="11" t="s">
        <v>187</v>
      </c>
      <c r="B13" s="11" t="s">
        <v>188</v>
      </c>
      <c r="C13" s="11" t="s">
        <v>179</v>
      </c>
      <c r="D13" s="25" t="n">
        <v>46115</v>
      </c>
      <c r="E13" s="25" t="n">
        <v>46119</v>
      </c>
      <c r="F13" s="11" t="n">
        <v>3</v>
      </c>
      <c r="G13" s="31" t="s">
        <v>189</v>
      </c>
      <c r="H13" s="11" t="s">
        <v>183</v>
      </c>
      <c r="I13" s="11" t="s">
        <v>183</v>
      </c>
      <c r="J13" s="11" t="s">
        <v>190</v>
      </c>
      <c r="K13" s="11" t="s">
        <v>191</v>
      </c>
      <c r="L13" s="11" t="s">
        <v>192</v>
      </c>
    </row>
    <row r="14" customFormat="false" ht="31.5" hidden="false" customHeight="true" outlineLevel="0" collapsed="false">
      <c r="A14" s="13" t="s">
        <v>193</v>
      </c>
      <c r="B14" s="13" t="s">
        <v>194</v>
      </c>
      <c r="C14" s="13" t="s">
        <v>187</v>
      </c>
      <c r="D14" s="27" t="n">
        <v>46120</v>
      </c>
      <c r="E14" s="27" t="n">
        <v>46122</v>
      </c>
      <c r="F14" s="13" t="n">
        <v>1</v>
      </c>
      <c r="G14" s="32" t="s">
        <v>195</v>
      </c>
      <c r="H14" s="13" t="s">
        <v>196</v>
      </c>
      <c r="I14" s="13" t="s">
        <v>196</v>
      </c>
      <c r="J14" s="13" t="s">
        <v>197</v>
      </c>
      <c r="K14" s="13" t="s">
        <v>198</v>
      </c>
      <c r="L14" s="13" t="s">
        <v>199</v>
      </c>
    </row>
    <row r="15" customFormat="false" ht="31.5" hidden="false" customHeight="true" outlineLevel="0" collapsed="false">
      <c r="A15" s="11" t="s">
        <v>200</v>
      </c>
      <c r="B15" s="11" t="s">
        <v>201</v>
      </c>
      <c r="C15" s="11" t="s">
        <v>193</v>
      </c>
      <c r="D15" s="25" t="n">
        <v>46125</v>
      </c>
      <c r="E15" s="25" t="n">
        <v>46128</v>
      </c>
      <c r="F15" s="11" t="n">
        <v>4</v>
      </c>
      <c r="G15" s="33" t="s">
        <v>202</v>
      </c>
      <c r="H15" s="11" t="s">
        <v>196</v>
      </c>
      <c r="I15" s="11" t="s">
        <v>196</v>
      </c>
      <c r="J15" s="11" t="s">
        <v>203</v>
      </c>
      <c r="K15" s="11" t="s">
        <v>204</v>
      </c>
      <c r="L15" s="11" t="s">
        <v>192</v>
      </c>
    </row>
    <row r="16" customFormat="false" ht="31.5" hidden="false" customHeight="true" outlineLevel="0" collapsed="false">
      <c r="A16" s="13" t="s">
        <v>205</v>
      </c>
      <c r="B16" s="13" t="s">
        <v>206</v>
      </c>
      <c r="C16" s="13" t="s">
        <v>200</v>
      </c>
      <c r="D16" s="27" t="n">
        <v>46129</v>
      </c>
      <c r="E16" s="27" t="n">
        <v>46129</v>
      </c>
      <c r="F16" s="13" t="n">
        <v>1</v>
      </c>
      <c r="G16" s="33" t="s">
        <v>207</v>
      </c>
      <c r="H16" s="13" t="s">
        <v>196</v>
      </c>
      <c r="I16" s="13" t="s">
        <v>196</v>
      </c>
      <c r="J16" s="13" t="s">
        <v>208</v>
      </c>
      <c r="K16" s="13" t="s">
        <v>209</v>
      </c>
      <c r="L16" s="13" t="s">
        <v>210</v>
      </c>
    </row>
    <row r="19" customFormat="false" ht="18.75" hidden="false" customHeight="true" outlineLevel="0" collapsed="false">
      <c r="A19" s="9" t="s">
        <v>211</v>
      </c>
      <c r="B19" s="9"/>
      <c r="C19" s="9"/>
      <c r="D19" s="9"/>
      <c r="E19" s="9"/>
      <c r="F19" s="9"/>
      <c r="G19" s="9"/>
      <c r="H19" s="9"/>
      <c r="I19" s="9"/>
      <c r="J19" s="9"/>
      <c r="K19" s="9"/>
      <c r="L19" s="9"/>
    </row>
    <row r="20" customFormat="false" ht="30" hidden="false" customHeight="true" outlineLevel="0" collapsed="false">
      <c r="A20" s="10" t="s">
        <v>212</v>
      </c>
      <c r="B20" s="10" t="s">
        <v>88</v>
      </c>
      <c r="C20" s="10" t="s">
        <v>213</v>
      </c>
      <c r="D20" s="10" t="s">
        <v>214</v>
      </c>
      <c r="E20" s="10" t="s">
        <v>215</v>
      </c>
      <c r="F20" s="10" t="s">
        <v>216</v>
      </c>
      <c r="G20" s="10" t="s">
        <v>217</v>
      </c>
      <c r="H20" s="10" t="s">
        <v>218</v>
      </c>
      <c r="I20" s="10" t="s">
        <v>17</v>
      </c>
      <c r="J20" s="10" t="s">
        <v>219</v>
      </c>
      <c r="K20" s="10" t="s">
        <v>220</v>
      </c>
      <c r="L20" s="10" t="s">
        <v>221</v>
      </c>
    </row>
    <row r="21" customFormat="false" ht="37.5" hidden="false" customHeight="true" outlineLevel="0" collapsed="false">
      <c r="A21" s="11" t="s">
        <v>222</v>
      </c>
      <c r="B21" s="11" t="s">
        <v>98</v>
      </c>
      <c r="C21" s="11" t="s">
        <v>129</v>
      </c>
      <c r="D21" s="11" t="n">
        <v>10</v>
      </c>
      <c r="E21" s="25" t="n">
        <v>46122</v>
      </c>
      <c r="F21" s="11" t="s">
        <v>223</v>
      </c>
      <c r="G21" s="11" t="s">
        <v>224</v>
      </c>
      <c r="H21" s="34" t="s">
        <v>225</v>
      </c>
      <c r="I21" s="35" t="s">
        <v>226</v>
      </c>
      <c r="J21" s="11" t="s">
        <v>227</v>
      </c>
      <c r="K21" s="11" t="s">
        <v>228</v>
      </c>
      <c r="L21" s="11" t="s">
        <v>229</v>
      </c>
    </row>
    <row r="22" customFormat="false" ht="37.5" hidden="false" customHeight="true" outlineLevel="0" collapsed="false">
      <c r="A22" s="13" t="s">
        <v>230</v>
      </c>
      <c r="B22" s="13" t="s">
        <v>112</v>
      </c>
      <c r="C22" s="13" t="s">
        <v>133</v>
      </c>
      <c r="D22" s="13" t="n">
        <v>8</v>
      </c>
      <c r="E22" s="27" t="n">
        <v>46122</v>
      </c>
      <c r="F22" s="13" t="s">
        <v>231</v>
      </c>
      <c r="G22" s="13" t="s">
        <v>224</v>
      </c>
      <c r="H22" s="34" t="s">
        <v>225</v>
      </c>
      <c r="I22" s="35" t="s">
        <v>226</v>
      </c>
      <c r="J22" s="13" t="s">
        <v>227</v>
      </c>
      <c r="K22" s="13" t="s">
        <v>228</v>
      </c>
      <c r="L22" s="13" t="s">
        <v>232</v>
      </c>
    </row>
    <row r="25" customFormat="false" ht="18.75" hidden="false" customHeight="true" outlineLevel="0" collapsed="false">
      <c r="A25" s="9" t="s">
        <v>233</v>
      </c>
      <c r="B25" s="9"/>
      <c r="C25" s="9"/>
      <c r="D25" s="9"/>
      <c r="E25" s="9"/>
      <c r="F25" s="9"/>
      <c r="G25" s="9"/>
      <c r="H25" s="9"/>
      <c r="I25" s="9"/>
      <c r="J25" s="9"/>
      <c r="K25" s="9"/>
      <c r="L25" s="9"/>
    </row>
    <row r="26" customFormat="false" ht="30" hidden="false" customHeight="true" outlineLevel="0" collapsed="false">
      <c r="A26" s="10" t="s">
        <v>234</v>
      </c>
      <c r="B26" s="10" t="s">
        <v>235</v>
      </c>
      <c r="C26" s="10" t="s">
        <v>236</v>
      </c>
      <c r="D26" s="10" t="s">
        <v>237</v>
      </c>
      <c r="E26" s="10" t="s">
        <v>238</v>
      </c>
      <c r="F26" s="10" t="s">
        <v>239</v>
      </c>
      <c r="G26" s="10" t="s">
        <v>240</v>
      </c>
      <c r="H26" s="10" t="s">
        <v>241</v>
      </c>
      <c r="I26" s="10" t="s">
        <v>242</v>
      </c>
      <c r="J26" s="10" t="s">
        <v>243</v>
      </c>
      <c r="K26" s="10" t="s">
        <v>244</v>
      </c>
      <c r="L26" s="10" t="s">
        <v>7</v>
      </c>
    </row>
    <row r="27" customFormat="false" ht="43.5" hidden="false" customHeight="true" outlineLevel="0" collapsed="false">
      <c r="A27" s="11" t="s">
        <v>245</v>
      </c>
      <c r="B27" s="25" t="n">
        <v>46122</v>
      </c>
      <c r="C27" s="11" t="n">
        <v>12</v>
      </c>
      <c r="D27" s="11" t="n">
        <v>0</v>
      </c>
      <c r="E27" s="11" t="n">
        <v>10</v>
      </c>
      <c r="F27" s="11" t="n">
        <v>8</v>
      </c>
      <c r="G27" s="36" t="n">
        <f aca="false">E27+F27</f>
        <v>18</v>
      </c>
      <c r="H27" s="36" t="n">
        <f aca="false">MAX(0,G27-C27)</f>
        <v>6</v>
      </c>
      <c r="I27" s="11" t="str">
        <f aca="false">IF(G27&gt;0,"NO OVERLAP BOOKED","NO")</f>
        <v>NO OVERLAP BOOKED</v>
      </c>
      <c r="J27" s="35" t="str">
        <f aca="false">IF(G27&lt;=C27,"PASS","FAIL")</f>
        <v>FAIL</v>
      </c>
      <c r="K27" s="35" t="str">
        <f aca="false">IF(J27="PASS","Book only after certification check","HOLD - both validations pending")</f>
        <v>HOLD - both validations pending</v>
      </c>
      <c r="L27" s="11" t="s">
        <v>246</v>
      </c>
    </row>
    <row r="29" customFormat="false" ht="27.75" hidden="false" customHeight="true" outlineLevel="0" collapsed="false">
      <c r="A29" s="19" t="s">
        <v>214</v>
      </c>
      <c r="B29" s="37" t="n">
        <f aca="false">G27</f>
        <v>18</v>
      </c>
      <c r="C29" s="19" t="s">
        <v>247</v>
      </c>
      <c r="D29" s="37" t="n">
        <f aca="false">C27</f>
        <v>12</v>
      </c>
      <c r="E29" s="19" t="s">
        <v>241</v>
      </c>
      <c r="F29" s="37" t="n">
        <f aca="false">H27</f>
        <v>6</v>
      </c>
      <c r="J29" s="38" t="s">
        <v>248</v>
      </c>
      <c r="K29" s="38"/>
      <c r="L29" s="38"/>
    </row>
    <row r="30" customFormat="false" ht="27.75" hidden="false" customHeight="true" outlineLevel="0" collapsed="false">
      <c r="J30" s="38"/>
      <c r="K30" s="38"/>
      <c r="L30" s="38"/>
    </row>
    <row r="32" customFormat="false" ht="18.75" hidden="false" customHeight="true" outlineLevel="0" collapsed="false">
      <c r="A32" s="9" t="s">
        <v>249</v>
      </c>
      <c r="B32" s="9"/>
      <c r="C32" s="9"/>
      <c r="D32" s="9"/>
      <c r="E32" s="9"/>
      <c r="F32" s="9"/>
      <c r="G32" s="9"/>
      <c r="H32" s="9"/>
      <c r="I32" s="9"/>
      <c r="J32" s="9"/>
      <c r="K32" s="9"/>
      <c r="L32" s="9"/>
    </row>
    <row r="33" customFormat="false" ht="30" hidden="false" customHeight="true" outlineLevel="0" collapsed="false">
      <c r="A33" s="10" t="s">
        <v>250</v>
      </c>
      <c r="B33" s="10" t="s">
        <v>251</v>
      </c>
      <c r="C33" s="10" t="s">
        <v>252</v>
      </c>
      <c r="D33" s="10" t="s">
        <v>253</v>
      </c>
      <c r="E33" s="10" t="s">
        <v>17</v>
      </c>
      <c r="F33" s="10" t="s">
        <v>254</v>
      </c>
      <c r="G33" s="10" t="s">
        <v>255</v>
      </c>
    </row>
    <row r="34" customFormat="false" ht="30" hidden="false" customHeight="true" outlineLevel="0" collapsed="false">
      <c r="A34" s="13" t="s">
        <v>186</v>
      </c>
      <c r="B34" s="13" t="s">
        <v>256</v>
      </c>
      <c r="C34" s="13" t="s">
        <v>257</v>
      </c>
      <c r="D34" s="13" t="s">
        <v>258</v>
      </c>
      <c r="E34" s="13" t="s">
        <v>259</v>
      </c>
      <c r="F34" s="34" t="s">
        <v>260</v>
      </c>
      <c r="G34" s="13" t="s">
        <v>261</v>
      </c>
    </row>
    <row r="35" customFormat="false" ht="30" hidden="false" customHeight="true" outlineLevel="0" collapsed="false">
      <c r="A35" s="11" t="s">
        <v>210</v>
      </c>
      <c r="B35" s="11" t="s">
        <v>262</v>
      </c>
      <c r="C35" s="11" t="s">
        <v>263</v>
      </c>
      <c r="D35" s="11" t="s">
        <v>264</v>
      </c>
      <c r="E35" s="11" t="s">
        <v>265</v>
      </c>
      <c r="F35" s="15" t="s">
        <v>266</v>
      </c>
      <c r="G35" s="11" t="s">
        <v>267</v>
      </c>
    </row>
    <row r="36" customFormat="false" ht="30" hidden="false" customHeight="true" outlineLevel="0" collapsed="false">
      <c r="A36" s="13" t="s">
        <v>192</v>
      </c>
      <c r="B36" s="13" t="s">
        <v>268</v>
      </c>
      <c r="C36" s="13" t="s">
        <v>269</v>
      </c>
      <c r="D36" s="13" t="s">
        <v>258</v>
      </c>
      <c r="E36" s="13" t="s">
        <v>259</v>
      </c>
      <c r="F36" s="34" t="s">
        <v>260</v>
      </c>
      <c r="G36" s="13" t="s">
        <v>261</v>
      </c>
    </row>
    <row r="37" customFormat="false" ht="30" hidden="false" customHeight="true" outlineLevel="0" collapsed="false">
      <c r="A37" s="11" t="s">
        <v>199</v>
      </c>
      <c r="B37" s="11" t="s">
        <v>263</v>
      </c>
      <c r="C37" s="11" t="s">
        <v>270</v>
      </c>
      <c r="D37" s="11" t="s">
        <v>264</v>
      </c>
      <c r="E37" s="11" t="s">
        <v>265</v>
      </c>
      <c r="F37" s="15" t="s">
        <v>266</v>
      </c>
      <c r="G37" s="11" t="s">
        <v>267</v>
      </c>
    </row>
    <row r="38" customFormat="false" ht="30" hidden="false" customHeight="true" outlineLevel="0" collapsed="false">
      <c r="A38" s="13" t="s">
        <v>271</v>
      </c>
      <c r="B38" s="13" t="s">
        <v>272</v>
      </c>
      <c r="C38" s="13" t="s">
        <v>273</v>
      </c>
      <c r="D38" s="13" t="s">
        <v>258</v>
      </c>
      <c r="E38" s="13" t="s">
        <v>259</v>
      </c>
      <c r="F38" s="34" t="s">
        <v>260</v>
      </c>
      <c r="G38" s="13" t="s">
        <v>261</v>
      </c>
    </row>
    <row r="40" customFormat="false" ht="15" hidden="false" customHeight="true" outlineLevel="0" collapsed="false">
      <c r="A40" s="24" t="s">
        <v>274</v>
      </c>
      <c r="B40" s="24"/>
      <c r="C40" s="24"/>
      <c r="D40" s="24"/>
      <c r="E40" s="24"/>
      <c r="F40" s="24"/>
      <c r="G40" s="24"/>
      <c r="H40" s="24"/>
      <c r="I40" s="24"/>
      <c r="J40" s="24"/>
      <c r="K40" s="24"/>
      <c r="L40" s="24"/>
    </row>
    <row r="41" customFormat="false" ht="15" hidden="false" customHeight="false" outlineLevel="0" collapsed="false">
      <c r="A41" s="24"/>
      <c r="B41" s="24"/>
      <c r="C41" s="24"/>
      <c r="D41" s="24"/>
      <c r="E41" s="24"/>
      <c r="F41" s="24"/>
      <c r="G41" s="24"/>
      <c r="H41" s="24"/>
      <c r="I41" s="24"/>
      <c r="J41" s="24"/>
      <c r="K41" s="24"/>
      <c r="L41" s="24"/>
    </row>
  </sheetData>
  <mergeCells count="13">
    <mergeCell ref="A1:L1"/>
    <mergeCell ref="A2:L2"/>
    <mergeCell ref="A4:L4"/>
    <mergeCell ref="B5:L5"/>
    <mergeCell ref="B6:L6"/>
    <mergeCell ref="B7:L7"/>
    <mergeCell ref="B8:L8"/>
    <mergeCell ref="A10:L10"/>
    <mergeCell ref="A19:L19"/>
    <mergeCell ref="A25:L25"/>
    <mergeCell ref="J29:L30"/>
    <mergeCell ref="A32:L32"/>
    <mergeCell ref="A40:L41"/>
  </mergeCells>
  <printOptions headings="false" gridLines="false" gridLinesSet="true" horizontalCentered="false" verticalCentered="false"/>
  <pageMargins left="0.25" right="0.25" top="0.4" bottom="0.4"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&amp;C&amp;8 Tidewater Health Network | Internal planning workbook&amp;R&amp;8 Page &amp;P of &amp;N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7F88"/>
    <pageSetUpPr fitToPage="true"/>
  </sheetPr>
  <dimension ref="A1:N45"/>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3" min="1" style="0" width="13"/>
    <col collapsed="false" customWidth="true" hidden="false" outlineLevel="0" max="4" min="4" style="0" width="14"/>
    <col collapsed="false" customWidth="true" hidden="false" outlineLevel="0" max="5" min="5" style="0" width="16"/>
    <col collapsed="false" customWidth="true" hidden="false" outlineLevel="0" max="6" min="6" style="0" width="14"/>
    <col collapsed="false" customWidth="true" hidden="false" outlineLevel="0" max="7" min="7" style="0" width="18"/>
    <col collapsed="false" customWidth="true" hidden="false" outlineLevel="0" max="12" min="8" style="0" width="16"/>
    <col collapsed="false" customWidth="true" hidden="false" outlineLevel="0" max="13" min="13" style="0" width="17"/>
    <col collapsed="false" customWidth="true" hidden="false" outlineLevel="0" max="14" min="14" style="0" width="18"/>
  </cols>
  <sheetData>
    <row r="1" customFormat="false" ht="27" hidden="false" customHeight="true" outlineLevel="0" collapsed="false">
      <c r="A1" s="1" t="s">
        <v>275</v>
      </c>
      <c r="B1" s="1"/>
      <c r="C1" s="1"/>
      <c r="D1" s="1"/>
      <c r="E1" s="1"/>
      <c r="F1" s="1"/>
      <c r="G1" s="1"/>
      <c r="H1" s="1"/>
      <c r="I1" s="1"/>
      <c r="J1" s="1"/>
      <c r="K1" s="1"/>
      <c r="L1" s="1"/>
      <c r="M1" s="1"/>
      <c r="N1" s="1"/>
    </row>
    <row r="2" customFormat="false" ht="19.5" hidden="false" customHeight="true" outlineLevel="0" collapsed="false">
      <c r="A2" s="2" t="s">
        <v>276</v>
      </c>
      <c r="B2" s="2"/>
      <c r="C2" s="2"/>
      <c r="D2" s="2"/>
      <c r="E2" s="2"/>
      <c r="F2" s="2"/>
      <c r="G2" s="2"/>
      <c r="H2" s="2"/>
      <c r="I2" s="2"/>
      <c r="J2" s="2"/>
      <c r="K2" s="2"/>
      <c r="L2" s="2"/>
      <c r="M2" s="2"/>
      <c r="N2" s="2"/>
    </row>
    <row r="4" customFormat="false" ht="18.75" hidden="false" customHeight="true" outlineLevel="0" collapsed="false">
      <c r="A4" s="9" t="s">
        <v>277</v>
      </c>
      <c r="B4" s="9"/>
      <c r="C4" s="9"/>
      <c r="D4" s="9"/>
      <c r="E4" s="9"/>
      <c r="F4" s="9"/>
      <c r="G4" s="9"/>
      <c r="H4" s="9"/>
      <c r="I4" s="9"/>
      <c r="J4" s="9"/>
      <c r="K4" s="9"/>
      <c r="L4" s="9"/>
      <c r="M4" s="9"/>
      <c r="N4" s="9"/>
    </row>
    <row r="5" customFormat="false" ht="27" hidden="false" customHeight="true" outlineLevel="0" collapsed="false">
      <c r="A5" s="10" t="s">
        <v>278</v>
      </c>
      <c r="B5" s="10" t="s">
        <v>95</v>
      </c>
      <c r="C5" s="10" t="s">
        <v>279</v>
      </c>
      <c r="E5" s="24" t="s">
        <v>280</v>
      </c>
      <c r="F5" s="24"/>
      <c r="G5" s="24"/>
      <c r="H5" s="24"/>
      <c r="I5" s="24"/>
      <c r="J5" s="24"/>
      <c r="K5" s="24"/>
      <c r="L5" s="24"/>
      <c r="M5" s="24"/>
      <c r="N5" s="24"/>
    </row>
    <row r="6" customFormat="false" ht="27" hidden="false" customHeight="true" outlineLevel="0" collapsed="false">
      <c r="A6" s="13" t="s">
        <v>281</v>
      </c>
      <c r="B6" s="27" t="n">
        <v>46113</v>
      </c>
      <c r="C6" s="13" t="s">
        <v>282</v>
      </c>
      <c r="E6" s="24"/>
      <c r="F6" s="24"/>
      <c r="G6" s="24"/>
      <c r="H6" s="24"/>
      <c r="I6" s="24"/>
      <c r="J6" s="24"/>
      <c r="K6" s="24"/>
      <c r="L6" s="24"/>
      <c r="M6" s="24"/>
      <c r="N6" s="24"/>
    </row>
    <row r="7" customFormat="false" ht="27" hidden="false" customHeight="true" outlineLevel="0" collapsed="false">
      <c r="A7" s="11" t="s">
        <v>283</v>
      </c>
      <c r="B7" s="25" t="n">
        <v>46295</v>
      </c>
      <c r="C7" s="11" t="s">
        <v>282</v>
      </c>
      <c r="E7" s="24"/>
      <c r="F7" s="24"/>
      <c r="G7" s="24"/>
      <c r="H7" s="24"/>
      <c r="I7" s="24"/>
      <c r="J7" s="24"/>
      <c r="K7" s="24"/>
      <c r="L7" s="24"/>
      <c r="M7" s="24"/>
      <c r="N7" s="24"/>
    </row>
    <row r="8" customFormat="false" ht="27.75" hidden="false" customHeight="true" outlineLevel="0" collapsed="false">
      <c r="A8" s="13" t="s">
        <v>284</v>
      </c>
      <c r="B8" s="15" t="str">
        <f aca="false">'Source reconciliation'!$B$18</f>
        <v>10 years</v>
      </c>
      <c r="C8" s="13" t="s">
        <v>285</v>
      </c>
    </row>
    <row r="9" customFormat="false" ht="27.75" hidden="false" customHeight="true" outlineLevel="0" collapsed="false">
      <c r="A9" s="11" t="s">
        <v>286</v>
      </c>
      <c r="B9" s="15" t="str">
        <f aca="false">'Source reconciliation'!$B$19</f>
        <v>6 years</v>
      </c>
      <c r="C9" s="11" t="s">
        <v>285</v>
      </c>
    </row>
    <row r="10" customFormat="false" ht="27.75" hidden="false" customHeight="true" outlineLevel="0" collapsed="false">
      <c r="A10" s="13" t="s">
        <v>287</v>
      </c>
      <c r="B10" s="13" t="s">
        <v>288</v>
      </c>
      <c r="C10" s="13" t="s">
        <v>289</v>
      </c>
    </row>
    <row r="11" customFormat="false" ht="27.75" hidden="false" customHeight="true" outlineLevel="0" collapsed="false">
      <c r="A11" s="11" t="s">
        <v>290</v>
      </c>
      <c r="B11" s="11" t="s">
        <v>291</v>
      </c>
      <c r="C11" s="11" t="s">
        <v>292</v>
      </c>
    </row>
    <row r="13" customFormat="false" ht="18.75" hidden="false" customHeight="true" outlineLevel="0" collapsed="false">
      <c r="A13" s="9" t="s">
        <v>293</v>
      </c>
      <c r="B13" s="9"/>
      <c r="C13" s="9"/>
      <c r="D13" s="9"/>
      <c r="E13" s="9"/>
      <c r="F13" s="9"/>
      <c r="G13" s="9"/>
      <c r="H13" s="9"/>
      <c r="I13" s="9"/>
      <c r="J13" s="9"/>
      <c r="K13" s="9"/>
      <c r="L13" s="9"/>
      <c r="M13" s="9"/>
      <c r="N13" s="9"/>
    </row>
    <row r="14" customFormat="false" ht="30" hidden="false" customHeight="true" outlineLevel="0" collapsed="false">
      <c r="A14" s="10" t="s">
        <v>294</v>
      </c>
      <c r="B14" s="10" t="s">
        <v>295</v>
      </c>
      <c r="C14" s="10" t="s">
        <v>88</v>
      </c>
      <c r="D14" s="10" t="s">
        <v>296</v>
      </c>
      <c r="E14" s="10" t="s">
        <v>297</v>
      </c>
      <c r="F14" s="10" t="s">
        <v>298</v>
      </c>
      <c r="G14" s="10" t="s">
        <v>299</v>
      </c>
      <c r="H14" s="10" t="s">
        <v>300</v>
      </c>
      <c r="I14" s="10" t="s">
        <v>301</v>
      </c>
      <c r="J14" s="10" t="s">
        <v>302</v>
      </c>
      <c r="K14" s="10" t="s">
        <v>303</v>
      </c>
      <c r="L14" s="10" t="s">
        <v>304</v>
      </c>
      <c r="M14" s="10" t="s">
        <v>305</v>
      </c>
      <c r="N14" s="10" t="s">
        <v>306</v>
      </c>
    </row>
    <row r="15" customFormat="false" ht="15" hidden="false" customHeight="false" outlineLevel="0" collapsed="false">
      <c r="A15" s="25" t="n">
        <v>46113</v>
      </c>
      <c r="B15" s="25" t="n">
        <v>46142</v>
      </c>
      <c r="C15" s="11" t="s">
        <v>98</v>
      </c>
      <c r="D15" s="39" t="str">
        <f aca="false">'Source reconciliation'!$B$18</f>
        <v>10 years</v>
      </c>
      <c r="E15" s="39" t="n">
        <v>8900</v>
      </c>
      <c r="F15" s="39" t="n">
        <v>420</v>
      </c>
      <c r="G15" s="39" t="n">
        <f aca="false">E15+F15</f>
        <v>9320</v>
      </c>
      <c r="H15" s="39" t="n">
        <v>400</v>
      </c>
      <c r="I15" s="39" t="n">
        <v>520</v>
      </c>
      <c r="J15" s="39" t="n">
        <f aca="false">I15-H15</f>
        <v>120</v>
      </c>
      <c r="K15" s="39" t="n">
        <v>9800</v>
      </c>
      <c r="L15" s="39" t="n">
        <f aca="false">K15-G15</f>
        <v>480</v>
      </c>
      <c r="M15" s="26" t="str">
        <f aca="false">IF(L15&lt;0,"SHORT","OK")</f>
        <v>OK</v>
      </c>
      <c r="N15" s="26" t="str">
        <f aca="false">IF(J15&lt;0,"SHORT","OK")</f>
        <v>OK</v>
      </c>
    </row>
    <row r="16" customFormat="false" ht="15" hidden="false" customHeight="false" outlineLevel="0" collapsed="false">
      <c r="A16" s="27" t="n">
        <v>46143</v>
      </c>
      <c r="B16" s="27" t="n">
        <v>46173</v>
      </c>
      <c r="C16" s="13" t="s">
        <v>98</v>
      </c>
      <c r="D16" s="40" t="str">
        <f aca="false">'Source reconciliation'!$B$18</f>
        <v>10 years</v>
      </c>
      <c r="E16" s="40" t="n">
        <v>9320</v>
      </c>
      <c r="F16" s="40" t="n">
        <v>460</v>
      </c>
      <c r="G16" s="40" t="n">
        <f aca="false">E16+F16</f>
        <v>9780</v>
      </c>
      <c r="H16" s="40" t="n">
        <v>440</v>
      </c>
      <c r="I16" s="40" t="n">
        <v>540</v>
      </c>
      <c r="J16" s="40" t="n">
        <f aca="false">I16-H16</f>
        <v>100</v>
      </c>
      <c r="K16" s="40" t="n">
        <v>10000</v>
      </c>
      <c r="L16" s="40" t="n">
        <f aca="false">K16-G16</f>
        <v>220</v>
      </c>
      <c r="M16" s="26" t="str">
        <f aca="false">IF(L16&lt;0,"SHORT","OK")</f>
        <v>OK</v>
      </c>
      <c r="N16" s="26" t="str">
        <f aca="false">IF(J16&lt;0,"SHORT","OK")</f>
        <v>OK</v>
      </c>
    </row>
    <row r="17" customFormat="false" ht="15" hidden="false" customHeight="false" outlineLevel="0" collapsed="false">
      <c r="A17" s="25" t="n">
        <v>46174</v>
      </c>
      <c r="B17" s="25" t="n">
        <v>46203</v>
      </c>
      <c r="C17" s="11" t="s">
        <v>98</v>
      </c>
      <c r="D17" s="39" t="str">
        <f aca="false">'Source reconciliation'!$B$18</f>
        <v>10 years</v>
      </c>
      <c r="E17" s="39" t="n">
        <v>9780</v>
      </c>
      <c r="F17" s="39" t="n">
        <v>500</v>
      </c>
      <c r="G17" s="39" t="n">
        <f aca="false">E17+F17</f>
        <v>10280</v>
      </c>
      <c r="H17" s="39" t="n">
        <v>480</v>
      </c>
      <c r="I17" s="39" t="n">
        <v>560</v>
      </c>
      <c r="J17" s="39" t="n">
        <f aca="false">I17-H17</f>
        <v>80</v>
      </c>
      <c r="K17" s="39" t="n">
        <v>10200</v>
      </c>
      <c r="L17" s="39" t="n">
        <f aca="false">K17-G17</f>
        <v>-80</v>
      </c>
      <c r="M17" s="26" t="str">
        <f aca="false">IF(L17&lt;0,"SHORT","OK")</f>
        <v>SHORT</v>
      </c>
      <c r="N17" s="26" t="str">
        <f aca="false">IF(J17&lt;0,"SHORT","OK")</f>
        <v>OK</v>
      </c>
    </row>
    <row r="18" customFormat="false" ht="15" hidden="false" customHeight="false" outlineLevel="0" collapsed="false">
      <c r="A18" s="27" t="n">
        <v>46204</v>
      </c>
      <c r="B18" s="27" t="n">
        <v>46234</v>
      </c>
      <c r="C18" s="13" t="s">
        <v>98</v>
      </c>
      <c r="D18" s="40" t="str">
        <f aca="false">'Source reconciliation'!$B$18</f>
        <v>10 years</v>
      </c>
      <c r="E18" s="40" t="n">
        <v>10280</v>
      </c>
      <c r="F18" s="40" t="n">
        <v>520</v>
      </c>
      <c r="G18" s="40" t="n">
        <f aca="false">E18+F18</f>
        <v>10800</v>
      </c>
      <c r="H18" s="40" t="n">
        <v>500</v>
      </c>
      <c r="I18" s="40" t="n">
        <v>570</v>
      </c>
      <c r="J18" s="40" t="n">
        <f aca="false">I18-H18</f>
        <v>70</v>
      </c>
      <c r="K18" s="40" t="n">
        <v>10500</v>
      </c>
      <c r="L18" s="40" t="n">
        <f aca="false">K18-G18</f>
        <v>-300</v>
      </c>
      <c r="M18" s="26" t="str">
        <f aca="false">IF(L18&lt;0,"SHORT","OK")</f>
        <v>SHORT</v>
      </c>
      <c r="N18" s="26" t="str">
        <f aca="false">IF(J18&lt;0,"SHORT","OK")</f>
        <v>OK</v>
      </c>
    </row>
    <row r="19" customFormat="false" ht="15" hidden="false" customHeight="false" outlineLevel="0" collapsed="false">
      <c r="A19" s="25" t="n">
        <v>46235</v>
      </c>
      <c r="B19" s="25" t="n">
        <v>46265</v>
      </c>
      <c r="C19" s="11" t="s">
        <v>98</v>
      </c>
      <c r="D19" s="39" t="str">
        <f aca="false">'Source reconciliation'!$B$18</f>
        <v>10 years</v>
      </c>
      <c r="E19" s="39" t="n">
        <v>10800</v>
      </c>
      <c r="F19" s="39" t="n">
        <v>540</v>
      </c>
      <c r="G19" s="39" t="n">
        <f aca="false">E19+F19</f>
        <v>11340</v>
      </c>
      <c r="H19" s="39" t="n">
        <v>520</v>
      </c>
      <c r="I19" s="39" t="n">
        <v>580</v>
      </c>
      <c r="J19" s="39" t="n">
        <f aca="false">I19-H19</f>
        <v>60</v>
      </c>
      <c r="K19" s="39" t="n">
        <v>11000</v>
      </c>
      <c r="L19" s="39" t="n">
        <f aca="false">K19-G19</f>
        <v>-340</v>
      </c>
      <c r="M19" s="26" t="str">
        <f aca="false">IF(L19&lt;0,"SHORT","OK")</f>
        <v>SHORT</v>
      </c>
      <c r="N19" s="26" t="str">
        <f aca="false">IF(J19&lt;0,"SHORT","OK")</f>
        <v>OK</v>
      </c>
    </row>
    <row r="20" customFormat="false" ht="15" hidden="false" customHeight="false" outlineLevel="0" collapsed="false">
      <c r="A20" s="27" t="n">
        <v>46266</v>
      </c>
      <c r="B20" s="27" t="n">
        <v>46295</v>
      </c>
      <c r="C20" s="13" t="s">
        <v>98</v>
      </c>
      <c r="D20" s="40" t="str">
        <f aca="false">'Source reconciliation'!$B$18</f>
        <v>10 years</v>
      </c>
      <c r="E20" s="40" t="n">
        <v>11340</v>
      </c>
      <c r="F20" s="40" t="n">
        <v>560</v>
      </c>
      <c r="G20" s="40" t="n">
        <f aca="false">E20+F20</f>
        <v>11900</v>
      </c>
      <c r="H20" s="40" t="n">
        <v>540</v>
      </c>
      <c r="I20" s="40" t="n">
        <v>590</v>
      </c>
      <c r="J20" s="40" t="n">
        <f aca="false">I20-H20</f>
        <v>50</v>
      </c>
      <c r="K20" s="40" t="n">
        <v>11400</v>
      </c>
      <c r="L20" s="40" t="n">
        <f aca="false">K20-G20</f>
        <v>-500</v>
      </c>
      <c r="M20" s="32" t="str">
        <f aca="false">IF(L20&lt;0,"SHORT","OK")</f>
        <v>SHORT</v>
      </c>
      <c r="N20" s="26" t="str">
        <f aca="false">IF(J20&lt;0,"SHORT","OK")</f>
        <v>OK</v>
      </c>
    </row>
    <row r="21" customFormat="false" ht="15" hidden="false" customHeight="false" outlineLevel="0" collapsed="false">
      <c r="A21" s="25" t="n">
        <v>46113</v>
      </c>
      <c r="B21" s="25" t="n">
        <v>46142</v>
      </c>
      <c r="C21" s="11" t="s">
        <v>112</v>
      </c>
      <c r="D21" s="39" t="str">
        <f aca="false">'Source reconciliation'!$B$19</f>
        <v>6 years</v>
      </c>
      <c r="E21" s="39" t="n">
        <v>6100</v>
      </c>
      <c r="F21" s="39" t="n">
        <v>300</v>
      </c>
      <c r="G21" s="39" t="n">
        <f aca="false">E21+F21</f>
        <v>6400</v>
      </c>
      <c r="H21" s="39" t="n">
        <v>290</v>
      </c>
      <c r="I21" s="39" t="n">
        <v>400</v>
      </c>
      <c r="J21" s="39" t="n">
        <f aca="false">I21-H21</f>
        <v>110</v>
      </c>
      <c r="K21" s="39" t="n">
        <v>7200</v>
      </c>
      <c r="L21" s="39" t="n">
        <f aca="false">K21-G21</f>
        <v>800</v>
      </c>
      <c r="M21" s="32" t="str">
        <f aca="false">IF(L21&lt;0,"SHORT","OK")</f>
        <v>OK</v>
      </c>
      <c r="N21" s="26" t="str">
        <f aca="false">IF(J21&lt;0,"SHORT","OK")</f>
        <v>OK</v>
      </c>
    </row>
    <row r="22" customFormat="false" ht="15" hidden="false" customHeight="false" outlineLevel="0" collapsed="false">
      <c r="A22" s="27" t="n">
        <v>46143</v>
      </c>
      <c r="B22" s="27" t="n">
        <v>46173</v>
      </c>
      <c r="C22" s="13" t="s">
        <v>112</v>
      </c>
      <c r="D22" s="40" t="str">
        <f aca="false">'Source reconciliation'!$B$19</f>
        <v>6 years</v>
      </c>
      <c r="E22" s="40" t="n">
        <v>6400</v>
      </c>
      <c r="F22" s="40" t="n">
        <v>330</v>
      </c>
      <c r="G22" s="40" t="n">
        <f aca="false">E22+F22</f>
        <v>6730</v>
      </c>
      <c r="H22" s="40" t="n">
        <v>320</v>
      </c>
      <c r="I22" s="40" t="n">
        <v>420</v>
      </c>
      <c r="J22" s="40" t="n">
        <f aca="false">I22-H22</f>
        <v>100</v>
      </c>
      <c r="K22" s="40" t="n">
        <v>7200</v>
      </c>
      <c r="L22" s="40" t="n">
        <f aca="false">K22-G22</f>
        <v>470</v>
      </c>
      <c r="M22" s="26" t="str">
        <f aca="false">IF(L22&lt;0,"SHORT","OK")</f>
        <v>OK</v>
      </c>
      <c r="N22" s="26" t="str">
        <f aca="false">IF(J22&lt;0,"SHORT","OK")</f>
        <v>OK</v>
      </c>
    </row>
    <row r="23" customFormat="false" ht="15" hidden="false" customHeight="false" outlineLevel="0" collapsed="false">
      <c r="A23" s="25" t="n">
        <v>46174</v>
      </c>
      <c r="B23" s="25" t="n">
        <v>46203</v>
      </c>
      <c r="C23" s="11" t="s">
        <v>112</v>
      </c>
      <c r="D23" s="39" t="str">
        <f aca="false">'Source reconciliation'!$B$19</f>
        <v>6 years</v>
      </c>
      <c r="E23" s="39" t="n">
        <v>6730</v>
      </c>
      <c r="F23" s="39" t="n">
        <v>360</v>
      </c>
      <c r="G23" s="39" t="n">
        <f aca="false">E23+F23</f>
        <v>7090</v>
      </c>
      <c r="H23" s="39" t="n">
        <v>350</v>
      </c>
      <c r="I23" s="39" t="n">
        <v>430</v>
      </c>
      <c r="J23" s="39" t="n">
        <f aca="false">I23-H23</f>
        <v>80</v>
      </c>
      <c r="K23" s="39" t="n">
        <v>7400</v>
      </c>
      <c r="L23" s="39" t="n">
        <f aca="false">K23-G23</f>
        <v>310</v>
      </c>
      <c r="M23" s="26" t="str">
        <f aca="false">IF(L23&lt;0,"SHORT","OK")</f>
        <v>OK</v>
      </c>
      <c r="N23" s="26" t="str">
        <f aca="false">IF(J23&lt;0,"SHORT","OK")</f>
        <v>OK</v>
      </c>
    </row>
    <row r="24" customFormat="false" ht="15" hidden="false" customHeight="false" outlineLevel="0" collapsed="false">
      <c r="A24" s="27" t="n">
        <v>46204</v>
      </c>
      <c r="B24" s="27" t="n">
        <v>46234</v>
      </c>
      <c r="C24" s="13" t="s">
        <v>112</v>
      </c>
      <c r="D24" s="40" t="str">
        <f aca="false">'Source reconciliation'!$B$19</f>
        <v>6 years</v>
      </c>
      <c r="E24" s="40" t="n">
        <v>7090</v>
      </c>
      <c r="F24" s="40" t="n">
        <v>380</v>
      </c>
      <c r="G24" s="40" t="n">
        <f aca="false">E24+F24</f>
        <v>7470</v>
      </c>
      <c r="H24" s="40" t="n">
        <v>370</v>
      </c>
      <c r="I24" s="40" t="n">
        <v>440</v>
      </c>
      <c r="J24" s="40" t="n">
        <f aca="false">I24-H24</f>
        <v>70</v>
      </c>
      <c r="K24" s="40" t="n">
        <v>7600</v>
      </c>
      <c r="L24" s="40" t="n">
        <f aca="false">K24-G24</f>
        <v>130</v>
      </c>
      <c r="M24" s="26" t="str">
        <f aca="false">IF(L24&lt;0,"SHORT","OK")</f>
        <v>OK</v>
      </c>
      <c r="N24" s="26" t="str">
        <f aca="false">IF(J24&lt;0,"SHORT","OK")</f>
        <v>OK</v>
      </c>
    </row>
    <row r="25" customFormat="false" ht="15" hidden="false" customHeight="false" outlineLevel="0" collapsed="false">
      <c r="A25" s="25" t="n">
        <v>46235</v>
      </c>
      <c r="B25" s="25" t="n">
        <v>46265</v>
      </c>
      <c r="C25" s="11" t="s">
        <v>112</v>
      </c>
      <c r="D25" s="39" t="str">
        <f aca="false">'Source reconciliation'!$B$19</f>
        <v>6 years</v>
      </c>
      <c r="E25" s="39" t="n">
        <v>7470</v>
      </c>
      <c r="F25" s="39" t="n">
        <v>400</v>
      </c>
      <c r="G25" s="39" t="n">
        <f aca="false">E25+F25</f>
        <v>7870</v>
      </c>
      <c r="H25" s="39" t="n">
        <v>390</v>
      </c>
      <c r="I25" s="39" t="n">
        <v>450</v>
      </c>
      <c r="J25" s="39" t="n">
        <f aca="false">I25-H25</f>
        <v>60</v>
      </c>
      <c r="K25" s="39" t="n">
        <v>7900</v>
      </c>
      <c r="L25" s="39" t="n">
        <f aca="false">K25-G25</f>
        <v>30</v>
      </c>
      <c r="M25" s="32" t="str">
        <f aca="false">IF(L25&lt;0,"SHORT","OK")</f>
        <v>OK</v>
      </c>
      <c r="N25" s="26" t="str">
        <f aca="false">IF(J25&lt;0,"SHORT","OK")</f>
        <v>OK</v>
      </c>
    </row>
    <row r="26" customFormat="false" ht="15" hidden="false" customHeight="false" outlineLevel="0" collapsed="false">
      <c r="A26" s="27" t="n">
        <v>46266</v>
      </c>
      <c r="B26" s="27" t="n">
        <v>46295</v>
      </c>
      <c r="C26" s="13" t="s">
        <v>112</v>
      </c>
      <c r="D26" s="40" t="str">
        <f aca="false">'Source reconciliation'!$B$19</f>
        <v>6 years</v>
      </c>
      <c r="E26" s="40" t="n">
        <v>7870</v>
      </c>
      <c r="F26" s="40" t="n">
        <v>420</v>
      </c>
      <c r="G26" s="40" t="n">
        <f aca="false">E26+F26</f>
        <v>8290</v>
      </c>
      <c r="H26" s="40" t="n">
        <v>410</v>
      </c>
      <c r="I26" s="40" t="n">
        <v>460</v>
      </c>
      <c r="J26" s="40" t="n">
        <f aca="false">I26-H26</f>
        <v>50</v>
      </c>
      <c r="K26" s="40" t="n">
        <v>8200</v>
      </c>
      <c r="L26" s="40" t="n">
        <f aca="false">K26-G26</f>
        <v>-90</v>
      </c>
      <c r="M26" s="32" t="str">
        <f aca="false">IF(L26&lt;0,"SHORT","OK")</f>
        <v>SHORT</v>
      </c>
      <c r="N26" s="26" t="str">
        <f aca="false">IF(J26&lt;0,"SHORT","OK")</f>
        <v>OK</v>
      </c>
    </row>
    <row r="29" customFormat="false" ht="18.75" hidden="false" customHeight="true" outlineLevel="0" collapsed="false">
      <c r="A29" s="9" t="s">
        <v>307</v>
      </c>
      <c r="B29" s="9"/>
      <c r="C29" s="9"/>
      <c r="D29" s="9"/>
      <c r="E29" s="9"/>
      <c r="F29" s="9"/>
      <c r="G29" s="9"/>
      <c r="H29" s="9"/>
      <c r="I29" s="9"/>
      <c r="J29" s="9"/>
      <c r="K29" s="9"/>
      <c r="L29" s="9"/>
      <c r="M29" s="9"/>
      <c r="N29" s="9"/>
    </row>
    <row r="30" customFormat="false" ht="30" hidden="false" customHeight="true" outlineLevel="0" collapsed="false">
      <c r="A30" s="10" t="s">
        <v>294</v>
      </c>
      <c r="B30" s="10" t="s">
        <v>88</v>
      </c>
      <c r="C30" s="10" t="s">
        <v>308</v>
      </c>
      <c r="D30" s="10" t="s">
        <v>309</v>
      </c>
      <c r="E30" s="10" t="s">
        <v>310</v>
      </c>
      <c r="F30" s="10" t="s">
        <v>311</v>
      </c>
      <c r="G30" s="10" t="s">
        <v>299</v>
      </c>
      <c r="H30" s="10" t="s">
        <v>312</v>
      </c>
      <c r="I30" s="10" t="s">
        <v>313</v>
      </c>
      <c r="J30" s="10" t="s">
        <v>314</v>
      </c>
      <c r="K30" s="10" t="s">
        <v>137</v>
      </c>
      <c r="L30" s="10" t="s">
        <v>140</v>
      </c>
    </row>
    <row r="31" customFormat="false" ht="15" hidden="false" customHeight="false" outlineLevel="0" collapsed="false">
      <c r="A31" s="25" t="n">
        <v>46113</v>
      </c>
      <c r="B31" s="11" t="s">
        <v>98</v>
      </c>
      <c r="C31" s="11" t="n">
        <v>96</v>
      </c>
      <c r="D31" s="12" t="n">
        <v>42</v>
      </c>
      <c r="E31" s="12" t="n">
        <v>0.18</v>
      </c>
      <c r="F31" s="12" t="n">
        <v>3.25</v>
      </c>
      <c r="G31" s="39" t="n">
        <f aca="false">G15</f>
        <v>9320</v>
      </c>
      <c r="H31" s="12" t="n">
        <f aca="false">C31*D31</f>
        <v>4032</v>
      </c>
      <c r="I31" s="12" t="n">
        <f aca="false">'Capacity projection'!H15*F31</f>
        <v>1300</v>
      </c>
      <c r="J31" s="12" t="n">
        <f aca="false">G31*E31</f>
        <v>1677.6</v>
      </c>
      <c r="K31" s="11" t="s">
        <v>315</v>
      </c>
      <c r="L31" s="25" t="n">
        <v>46082</v>
      </c>
    </row>
    <row r="32" customFormat="false" ht="15" hidden="false" customHeight="false" outlineLevel="0" collapsed="false">
      <c r="A32" s="27" t="n">
        <v>46143</v>
      </c>
      <c r="B32" s="13" t="s">
        <v>98</v>
      </c>
      <c r="C32" s="13" t="n">
        <v>102</v>
      </c>
      <c r="D32" s="14" t="n">
        <v>42</v>
      </c>
      <c r="E32" s="14" t="n">
        <v>0.18</v>
      </c>
      <c r="F32" s="14" t="n">
        <v>3.25</v>
      </c>
      <c r="G32" s="40" t="n">
        <f aca="false">G16</f>
        <v>9780</v>
      </c>
      <c r="H32" s="14" t="n">
        <f aca="false">C32*D32</f>
        <v>4284</v>
      </c>
      <c r="I32" s="14" t="n">
        <f aca="false">'Capacity projection'!H16*F32</f>
        <v>1430</v>
      </c>
      <c r="J32" s="14" t="n">
        <f aca="false">G32*E32</f>
        <v>1760.4</v>
      </c>
      <c r="K32" s="13" t="s">
        <v>316</v>
      </c>
      <c r="L32" s="27" t="n">
        <v>46082</v>
      </c>
    </row>
    <row r="33" customFormat="false" ht="15" hidden="false" customHeight="false" outlineLevel="0" collapsed="false">
      <c r="A33" s="25" t="n">
        <v>46174</v>
      </c>
      <c r="B33" s="11" t="s">
        <v>98</v>
      </c>
      <c r="C33" s="11" t="n">
        <v>110</v>
      </c>
      <c r="D33" s="12" t="n">
        <v>42</v>
      </c>
      <c r="E33" s="12" t="n">
        <v>0.18</v>
      </c>
      <c r="F33" s="12" t="n">
        <v>3.25</v>
      </c>
      <c r="G33" s="39" t="n">
        <f aca="false">G17</f>
        <v>10280</v>
      </c>
      <c r="H33" s="12" t="n">
        <f aca="false">C33*D33</f>
        <v>4620</v>
      </c>
      <c r="I33" s="12" t="n">
        <f aca="false">'Capacity projection'!H17*F33</f>
        <v>1560</v>
      </c>
      <c r="J33" s="12" t="n">
        <f aca="false">G33*E33</f>
        <v>1850.4</v>
      </c>
      <c r="K33" s="11" t="s">
        <v>317</v>
      </c>
      <c r="L33" s="25" t="n">
        <v>46082</v>
      </c>
    </row>
    <row r="34" customFormat="false" ht="15" hidden="false" customHeight="false" outlineLevel="0" collapsed="false">
      <c r="A34" s="27" t="n">
        <v>46204</v>
      </c>
      <c r="B34" s="13" t="s">
        <v>98</v>
      </c>
      <c r="C34" s="13" t="n">
        <v>114</v>
      </c>
      <c r="D34" s="14" t="n">
        <v>42</v>
      </c>
      <c r="E34" s="14" t="n">
        <v>0.18</v>
      </c>
      <c r="F34" s="14" t="n">
        <v>3.25</v>
      </c>
      <c r="G34" s="40" t="n">
        <f aca="false">G18</f>
        <v>10800</v>
      </c>
      <c r="H34" s="14" t="n">
        <f aca="false">C34*D34</f>
        <v>4788</v>
      </c>
      <c r="I34" s="14" t="n">
        <f aca="false">'Capacity projection'!H18*F34</f>
        <v>1625</v>
      </c>
      <c r="J34" s="14" t="n">
        <f aca="false">G34*E34</f>
        <v>1944</v>
      </c>
      <c r="K34" s="13" t="s">
        <v>318</v>
      </c>
      <c r="L34" s="27" t="n">
        <v>46082</v>
      </c>
    </row>
    <row r="35" customFormat="false" ht="15" hidden="false" customHeight="false" outlineLevel="0" collapsed="false">
      <c r="A35" s="25" t="n">
        <v>46235</v>
      </c>
      <c r="B35" s="11" t="s">
        <v>98</v>
      </c>
      <c r="C35" s="11" t="n">
        <v>118</v>
      </c>
      <c r="D35" s="12" t="n">
        <v>42</v>
      </c>
      <c r="E35" s="12" t="n">
        <v>0.18</v>
      </c>
      <c r="F35" s="12" t="n">
        <v>3.25</v>
      </c>
      <c r="G35" s="39" t="n">
        <f aca="false">G19</f>
        <v>11340</v>
      </c>
      <c r="H35" s="12" t="n">
        <f aca="false">C35*D35</f>
        <v>4956</v>
      </c>
      <c r="I35" s="12" t="n">
        <f aca="false">'Capacity projection'!H19*F35</f>
        <v>1690</v>
      </c>
      <c r="J35" s="12" t="n">
        <f aca="false">G35*E35</f>
        <v>2041.2</v>
      </c>
      <c r="K35" s="11" t="s">
        <v>319</v>
      </c>
      <c r="L35" s="25" t="n">
        <v>46082</v>
      </c>
    </row>
    <row r="36" customFormat="false" ht="15" hidden="false" customHeight="false" outlineLevel="0" collapsed="false">
      <c r="A36" s="27" t="n">
        <v>46266</v>
      </c>
      <c r="B36" s="13" t="s">
        <v>98</v>
      </c>
      <c r="C36" s="13" t="n">
        <v>122</v>
      </c>
      <c r="D36" s="14" t="n">
        <v>42</v>
      </c>
      <c r="E36" s="14" t="n">
        <v>0.18</v>
      </c>
      <c r="F36" s="14" t="n">
        <v>3.25</v>
      </c>
      <c r="G36" s="40" t="n">
        <f aca="false">G20</f>
        <v>11900</v>
      </c>
      <c r="H36" s="14" t="n">
        <f aca="false">C36*D36</f>
        <v>5124</v>
      </c>
      <c r="I36" s="14" t="n">
        <f aca="false">'Capacity projection'!H20*F36</f>
        <v>1755</v>
      </c>
      <c r="J36" s="14" t="n">
        <f aca="false">G36*E36</f>
        <v>2142</v>
      </c>
      <c r="K36" s="13" t="s">
        <v>320</v>
      </c>
      <c r="L36" s="27" t="n">
        <v>46082</v>
      </c>
    </row>
    <row r="37" customFormat="false" ht="15" hidden="false" customHeight="false" outlineLevel="0" collapsed="false">
      <c r="A37" s="25" t="n">
        <v>46113</v>
      </c>
      <c r="B37" s="11" t="s">
        <v>112</v>
      </c>
      <c r="C37" s="11" t="n">
        <v>72</v>
      </c>
      <c r="D37" s="12" t="n">
        <v>46</v>
      </c>
      <c r="E37" s="12" t="n">
        <v>0.21</v>
      </c>
      <c r="F37" s="12" t="n">
        <v>3.75</v>
      </c>
      <c r="G37" s="39" t="n">
        <f aca="false">G21</f>
        <v>6400</v>
      </c>
      <c r="H37" s="12" t="n">
        <f aca="false">C37*D37</f>
        <v>3312</v>
      </c>
      <c r="I37" s="12" t="n">
        <f aca="false">'Capacity projection'!H21*F37</f>
        <v>1087.5</v>
      </c>
      <c r="J37" s="12" t="n">
        <f aca="false">G37*E37</f>
        <v>1344</v>
      </c>
      <c r="K37" s="11" t="s">
        <v>321</v>
      </c>
      <c r="L37" s="25" t="n">
        <v>46082</v>
      </c>
    </row>
    <row r="38" customFormat="false" ht="15" hidden="false" customHeight="false" outlineLevel="0" collapsed="false">
      <c r="A38" s="27" t="n">
        <v>46143</v>
      </c>
      <c r="B38" s="13" t="s">
        <v>112</v>
      </c>
      <c r="C38" s="13" t="n">
        <v>74</v>
      </c>
      <c r="D38" s="14" t="n">
        <v>46</v>
      </c>
      <c r="E38" s="14" t="n">
        <v>0.21</v>
      </c>
      <c r="F38" s="14" t="n">
        <v>3.75</v>
      </c>
      <c r="G38" s="40" t="n">
        <f aca="false">G22</f>
        <v>6730</v>
      </c>
      <c r="H38" s="14" t="n">
        <f aca="false">C38*D38</f>
        <v>3404</v>
      </c>
      <c r="I38" s="14" t="n">
        <f aca="false">'Capacity projection'!H22*F38</f>
        <v>1200</v>
      </c>
      <c r="J38" s="14" t="n">
        <f aca="false">G38*E38</f>
        <v>1413.3</v>
      </c>
      <c r="K38" s="13" t="s">
        <v>322</v>
      </c>
      <c r="L38" s="27" t="n">
        <v>46082</v>
      </c>
    </row>
    <row r="39" customFormat="false" ht="15" hidden="false" customHeight="false" outlineLevel="0" collapsed="false">
      <c r="A39" s="25" t="n">
        <v>46174</v>
      </c>
      <c r="B39" s="11" t="s">
        <v>112</v>
      </c>
      <c r="C39" s="11" t="n">
        <v>78</v>
      </c>
      <c r="D39" s="12" t="n">
        <v>46</v>
      </c>
      <c r="E39" s="12" t="n">
        <v>0.21</v>
      </c>
      <c r="F39" s="12" t="n">
        <v>3.75</v>
      </c>
      <c r="G39" s="39" t="n">
        <f aca="false">G23</f>
        <v>7090</v>
      </c>
      <c r="H39" s="12" t="n">
        <f aca="false">C39*D39</f>
        <v>3588</v>
      </c>
      <c r="I39" s="12" t="n">
        <f aca="false">'Capacity projection'!H23*F39</f>
        <v>1312.5</v>
      </c>
      <c r="J39" s="12" t="n">
        <f aca="false">G39*E39</f>
        <v>1488.9</v>
      </c>
      <c r="K39" s="11" t="s">
        <v>323</v>
      </c>
      <c r="L39" s="25" t="n">
        <v>46082</v>
      </c>
    </row>
    <row r="40" customFormat="false" ht="15" hidden="false" customHeight="false" outlineLevel="0" collapsed="false">
      <c r="A40" s="27" t="n">
        <v>46204</v>
      </c>
      <c r="B40" s="13" t="s">
        <v>112</v>
      </c>
      <c r="C40" s="13" t="n">
        <v>82</v>
      </c>
      <c r="D40" s="14" t="n">
        <v>46</v>
      </c>
      <c r="E40" s="14" t="n">
        <v>0.21</v>
      </c>
      <c r="F40" s="14" t="n">
        <v>3.75</v>
      </c>
      <c r="G40" s="40" t="n">
        <f aca="false">G24</f>
        <v>7470</v>
      </c>
      <c r="H40" s="14" t="n">
        <f aca="false">C40*D40</f>
        <v>3772</v>
      </c>
      <c r="I40" s="14" t="n">
        <f aca="false">'Capacity projection'!H24*F40</f>
        <v>1387.5</v>
      </c>
      <c r="J40" s="14" t="n">
        <f aca="false">G40*E40</f>
        <v>1568.7</v>
      </c>
      <c r="K40" s="13" t="s">
        <v>324</v>
      </c>
      <c r="L40" s="27" t="n">
        <v>46082</v>
      </c>
    </row>
    <row r="41" customFormat="false" ht="15" hidden="false" customHeight="false" outlineLevel="0" collapsed="false">
      <c r="A41" s="25" t="n">
        <v>46235</v>
      </c>
      <c r="B41" s="11" t="s">
        <v>112</v>
      </c>
      <c r="C41" s="11" t="n">
        <v>86</v>
      </c>
      <c r="D41" s="12" t="n">
        <v>46</v>
      </c>
      <c r="E41" s="12" t="n">
        <v>0.21</v>
      </c>
      <c r="F41" s="12" t="n">
        <v>3.75</v>
      </c>
      <c r="G41" s="39" t="n">
        <f aca="false">G25</f>
        <v>7870</v>
      </c>
      <c r="H41" s="12" t="n">
        <f aca="false">C41*D41</f>
        <v>3956</v>
      </c>
      <c r="I41" s="12" t="n">
        <f aca="false">'Capacity projection'!H25*F41</f>
        <v>1462.5</v>
      </c>
      <c r="J41" s="12" t="n">
        <f aca="false">G41*E41</f>
        <v>1652.7</v>
      </c>
      <c r="K41" s="11" t="s">
        <v>325</v>
      </c>
      <c r="L41" s="25" t="n">
        <v>46082</v>
      </c>
    </row>
    <row r="42" customFormat="false" ht="15" hidden="false" customHeight="false" outlineLevel="0" collapsed="false">
      <c r="A42" s="27" t="n">
        <v>46266</v>
      </c>
      <c r="B42" s="13" t="s">
        <v>112</v>
      </c>
      <c r="C42" s="13" t="n">
        <v>90</v>
      </c>
      <c r="D42" s="14" t="n">
        <v>46</v>
      </c>
      <c r="E42" s="14" t="n">
        <v>0.21</v>
      </c>
      <c r="F42" s="14" t="n">
        <v>3.75</v>
      </c>
      <c r="G42" s="40" t="n">
        <f aca="false">G26</f>
        <v>8290</v>
      </c>
      <c r="H42" s="14" t="n">
        <f aca="false">C42*D42</f>
        <v>4140</v>
      </c>
      <c r="I42" s="14" t="n">
        <f aca="false">'Capacity projection'!H26*F42</f>
        <v>1537.5</v>
      </c>
      <c r="J42" s="14" t="n">
        <f aca="false">G42*E42</f>
        <v>1740.9</v>
      </c>
      <c r="K42" s="13" t="s">
        <v>326</v>
      </c>
      <c r="L42" s="27" t="n">
        <v>46082</v>
      </c>
    </row>
    <row r="44" customFormat="false" ht="15" hidden="false" customHeight="true" outlineLevel="0" collapsed="false">
      <c r="A44" s="5" t="s">
        <v>327</v>
      </c>
      <c r="B44" s="5"/>
      <c r="C44" s="5"/>
      <c r="D44" s="5"/>
      <c r="E44" s="5"/>
      <c r="F44" s="5"/>
      <c r="G44" s="5"/>
      <c r="H44" s="5"/>
      <c r="I44" s="5"/>
      <c r="J44" s="5"/>
      <c r="K44" s="5"/>
      <c r="L44" s="5"/>
      <c r="M44" s="5"/>
      <c r="N44" s="5"/>
    </row>
    <row r="45" customFormat="false" ht="15" hidden="false" customHeight="false" outlineLevel="0" collapsed="false">
      <c r="A45" s="5"/>
      <c r="B45" s="5"/>
      <c r="C45" s="5"/>
      <c r="D45" s="5"/>
      <c r="E45" s="5"/>
      <c r="F45" s="5"/>
      <c r="G45" s="5"/>
      <c r="H45" s="5"/>
      <c r="I45" s="5"/>
      <c r="J45" s="5"/>
      <c r="K45" s="5"/>
      <c r="L45" s="5"/>
      <c r="M45" s="5"/>
      <c r="N45" s="5"/>
    </row>
  </sheetData>
  <mergeCells count="7">
    <mergeCell ref="A1:N1"/>
    <mergeCell ref="A2:N2"/>
    <mergeCell ref="A4:N4"/>
    <mergeCell ref="E5:N7"/>
    <mergeCell ref="A13:N13"/>
    <mergeCell ref="A29:N29"/>
    <mergeCell ref="A44:N45"/>
  </mergeCells>
  <printOptions headings="false" gridLines="false" gridLinesSet="true" horizontalCentered="false" verticalCentered="false"/>
  <pageMargins left="0.25" right="0.25" top="0.4" bottom="0.4"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&amp;C&amp;8 Tidewater Health Network | Internal planning workbook&amp;R&amp;8 Page &amp;P of &amp;N</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B4E71"/>
    <pageSetUpPr fitToPage="true"/>
  </sheetPr>
  <dimension ref="A1:N38"/>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3"/>
    <col collapsed="false" customWidth="true" hidden="false" outlineLevel="0" max="7" min="2" style="0" width="15"/>
    <col collapsed="false" customWidth="true" hidden="false" outlineLevel="0" max="8" min="8" style="0" width="16"/>
    <col collapsed="false" customWidth="true" hidden="false" outlineLevel="0" max="9" min="9" style="0" width="15"/>
    <col collapsed="false" customWidth="true" hidden="false" outlineLevel="0" max="10" min="10" style="0" width="17"/>
    <col collapsed="false" customWidth="true" hidden="false" outlineLevel="0" max="11" min="11" style="0" width="16"/>
    <col collapsed="false" customWidth="true" hidden="false" outlineLevel="0" max="13" min="12" style="0" width="15"/>
    <col collapsed="false" customWidth="true" hidden="false" outlineLevel="0" max="14" min="14" style="0" width="18"/>
  </cols>
  <sheetData>
    <row r="1" customFormat="false" ht="27" hidden="false" customHeight="true" outlineLevel="0" collapsed="false">
      <c r="A1" s="1" t="s">
        <v>328</v>
      </c>
      <c r="B1" s="1"/>
      <c r="C1" s="1"/>
      <c r="D1" s="1"/>
      <c r="E1" s="1"/>
      <c r="F1" s="1"/>
      <c r="G1" s="1"/>
      <c r="H1" s="1"/>
      <c r="I1" s="1"/>
      <c r="J1" s="1"/>
      <c r="K1" s="1"/>
      <c r="L1" s="1"/>
      <c r="M1" s="1"/>
      <c r="N1" s="1"/>
    </row>
    <row r="2" customFormat="false" ht="19.5" hidden="false" customHeight="true" outlineLevel="0" collapsed="false">
      <c r="A2" s="2" t="s">
        <v>329</v>
      </c>
      <c r="B2" s="2"/>
      <c r="C2" s="2"/>
      <c r="D2" s="2"/>
      <c r="E2" s="2"/>
      <c r="F2" s="2"/>
      <c r="G2" s="2"/>
      <c r="H2" s="2"/>
      <c r="I2" s="2"/>
      <c r="J2" s="2"/>
      <c r="K2" s="2"/>
      <c r="L2" s="2"/>
      <c r="M2" s="2"/>
      <c r="N2" s="2"/>
    </row>
    <row r="4" customFormat="false" ht="15" hidden="false" customHeight="false" outlineLevel="0" collapsed="false">
      <c r="A4" s="19" t="s">
        <v>5</v>
      </c>
      <c r="B4" s="41" t="str">
        <f aca="false">'Decision brief'!$B$5</f>
        <v>S3</v>
      </c>
      <c r="C4" s="41"/>
      <c r="D4" s="19" t="s">
        <v>330</v>
      </c>
      <c r="E4" s="42" t="n">
        <f aca="false">INDEX($I$8:$I$11,MATCH($B$4,$A$8:$A$11,0))</f>
        <v>10700</v>
      </c>
      <c r="F4" s="41"/>
      <c r="G4" s="19" t="s">
        <v>331</v>
      </c>
      <c r="H4" s="42" t="n">
        <f aca="false">N23</f>
        <v>98647.6</v>
      </c>
    </row>
    <row r="6" customFormat="false" ht="18.75" hidden="false" customHeight="true" outlineLevel="0" collapsed="false">
      <c r="A6" s="9" t="s">
        <v>332</v>
      </c>
      <c r="B6" s="9"/>
      <c r="C6" s="9"/>
      <c r="D6" s="9"/>
      <c r="E6" s="9"/>
      <c r="F6" s="9"/>
      <c r="G6" s="9"/>
      <c r="H6" s="9"/>
      <c r="I6" s="9"/>
      <c r="J6" s="9"/>
      <c r="K6" s="9"/>
      <c r="L6" s="9"/>
      <c r="M6" s="9"/>
      <c r="N6" s="9"/>
    </row>
    <row r="7" customFormat="false" ht="30" hidden="false" customHeight="true" outlineLevel="0" collapsed="false">
      <c r="A7" s="10" t="s">
        <v>15</v>
      </c>
      <c r="B7" s="10" t="s">
        <v>16</v>
      </c>
      <c r="C7" s="10" t="s">
        <v>17</v>
      </c>
      <c r="D7" s="10" t="s">
        <v>18</v>
      </c>
      <c r="E7" s="10" t="s">
        <v>19</v>
      </c>
      <c r="F7" s="10" t="s">
        <v>20</v>
      </c>
      <c r="G7" s="10" t="s">
        <v>21</v>
      </c>
      <c r="H7" s="10" t="s">
        <v>22</v>
      </c>
      <c r="I7" s="10" t="s">
        <v>333</v>
      </c>
      <c r="J7" s="10" t="s">
        <v>334</v>
      </c>
      <c r="K7" s="10" t="s">
        <v>25</v>
      </c>
      <c r="L7" s="10" t="s">
        <v>335</v>
      </c>
      <c r="M7" s="10" t="s">
        <v>26</v>
      </c>
      <c r="N7" s="10" t="s">
        <v>28</v>
      </c>
    </row>
    <row r="8" customFormat="false" ht="43.25" hidden="false" customHeight="false" outlineLevel="0" collapsed="false">
      <c r="A8" s="13" t="s">
        <v>29</v>
      </c>
      <c r="B8" s="13" t="s">
        <v>30</v>
      </c>
      <c r="C8" s="13" t="s">
        <v>31</v>
      </c>
      <c r="D8" s="14" t="n">
        <v>4500</v>
      </c>
      <c r="E8" s="14" t="n">
        <v>1200</v>
      </c>
      <c r="F8" s="14" t="n">
        <v>1600</v>
      </c>
      <c r="G8" s="14" t="n">
        <v>0</v>
      </c>
      <c r="H8" s="14" t="n">
        <v>1000</v>
      </c>
      <c r="I8" s="14" t="n">
        <f aca="false">SUM(D8:H8)</f>
        <v>8300</v>
      </c>
      <c r="J8" s="13" t="s">
        <v>32</v>
      </c>
      <c r="K8" s="13" t="str">
        <f aca="false">IF(A8='Decision brief'!$B$5,"SELECTED","")</f>
        <v/>
      </c>
      <c r="L8" s="13" t="s">
        <v>336</v>
      </c>
      <c r="M8" s="13" t="s">
        <v>33</v>
      </c>
      <c r="N8" s="13" t="s">
        <v>35</v>
      </c>
    </row>
    <row r="9" customFormat="false" ht="43.25" hidden="false" customHeight="false" outlineLevel="0" collapsed="false">
      <c r="A9" s="11" t="s">
        <v>36</v>
      </c>
      <c r="B9" s="11" t="s">
        <v>37</v>
      </c>
      <c r="C9" s="11" t="s">
        <v>38</v>
      </c>
      <c r="D9" s="12" t="n">
        <v>6800</v>
      </c>
      <c r="E9" s="12" t="n">
        <v>2200</v>
      </c>
      <c r="F9" s="12" t="n">
        <v>2600</v>
      </c>
      <c r="G9" s="12" t="n">
        <v>0</v>
      </c>
      <c r="H9" s="12" t="n">
        <v>1250</v>
      </c>
      <c r="I9" s="12" t="n">
        <f aca="false">SUM(D9:H9)</f>
        <v>12850</v>
      </c>
      <c r="J9" s="11" t="s">
        <v>39</v>
      </c>
      <c r="K9" s="11" t="str">
        <f aca="false">IF(A9='Decision brief'!$B$5,"SELECTED","")</f>
        <v/>
      </c>
      <c r="L9" s="11" t="s">
        <v>336</v>
      </c>
      <c r="M9" s="11" t="s">
        <v>33</v>
      </c>
      <c r="N9" s="11" t="s">
        <v>40</v>
      </c>
    </row>
    <row r="10" customFormat="false" ht="53.7" hidden="false" customHeight="false" outlineLevel="0" collapsed="false">
      <c r="A10" s="15" t="s">
        <v>6</v>
      </c>
      <c r="B10" s="15" t="s">
        <v>41</v>
      </c>
      <c r="C10" s="15" t="s">
        <v>42</v>
      </c>
      <c r="D10" s="16" t="n">
        <v>2100</v>
      </c>
      <c r="E10" s="16" t="n">
        <v>850</v>
      </c>
      <c r="F10" s="16" t="n">
        <v>1800</v>
      </c>
      <c r="G10" s="16" t="n">
        <v>5200</v>
      </c>
      <c r="H10" s="16" t="n">
        <v>750</v>
      </c>
      <c r="I10" s="16" t="n">
        <f aca="false">SUM(D10:H10)</f>
        <v>10700</v>
      </c>
      <c r="J10" s="15" t="s">
        <v>43</v>
      </c>
      <c r="K10" s="15" t="str">
        <f aca="false">IF(A10='Decision brief'!$B$5,"SELECTED","")</f>
        <v>SELECTED</v>
      </c>
      <c r="L10" s="15" t="s">
        <v>336</v>
      </c>
      <c r="M10" s="15" t="s">
        <v>44</v>
      </c>
      <c r="N10" s="15" t="s">
        <v>46</v>
      </c>
    </row>
    <row r="11" customFormat="false" ht="43.25" hidden="false" customHeight="false" outlineLevel="0" collapsed="false">
      <c r="A11" s="11" t="s">
        <v>47</v>
      </c>
      <c r="B11" s="11" t="s">
        <v>48</v>
      </c>
      <c r="C11" s="11" t="s">
        <v>49</v>
      </c>
      <c r="D11" s="12" t="n">
        <v>1500</v>
      </c>
      <c r="E11" s="12" t="n">
        <v>450</v>
      </c>
      <c r="F11" s="12" t="n">
        <v>900</v>
      </c>
      <c r="G11" s="12" t="n">
        <v>0</v>
      </c>
      <c r="H11" s="12" t="n">
        <v>250</v>
      </c>
      <c r="I11" s="12" t="n">
        <f aca="false">SUM(D11:H11)</f>
        <v>3100</v>
      </c>
      <c r="J11" s="11" t="s">
        <v>50</v>
      </c>
      <c r="K11" s="11" t="str">
        <f aca="false">IF(A11='Decision brief'!$B$5,"SELECTED","")</f>
        <v/>
      </c>
      <c r="L11" s="11" t="s">
        <v>337</v>
      </c>
      <c r="M11" s="11" t="s">
        <v>51</v>
      </c>
      <c r="N11" s="11" t="s">
        <v>52</v>
      </c>
    </row>
    <row r="13" customFormat="false" ht="15" hidden="false" customHeight="false" outlineLevel="0" collapsed="false">
      <c r="A13" s="19" t="s">
        <v>338</v>
      </c>
      <c r="B13" s="20" t="s">
        <v>339</v>
      </c>
      <c r="C13" s="20"/>
      <c r="D13" s="20"/>
      <c r="E13" s="20"/>
      <c r="F13" s="20"/>
    </row>
    <row r="15" customFormat="false" ht="18.75" hidden="false" customHeight="true" outlineLevel="0" collapsed="false">
      <c r="A15" s="9" t="s">
        <v>340</v>
      </c>
      <c r="B15" s="9"/>
      <c r="C15" s="9"/>
      <c r="D15" s="9"/>
      <c r="E15" s="9"/>
      <c r="F15" s="9"/>
      <c r="G15" s="9"/>
      <c r="H15" s="9"/>
      <c r="I15" s="9"/>
      <c r="J15" s="9"/>
      <c r="K15" s="9"/>
      <c r="L15" s="9"/>
      <c r="M15" s="9"/>
      <c r="N15" s="9"/>
    </row>
    <row r="16" customFormat="false" ht="30" hidden="false" customHeight="true" outlineLevel="0" collapsed="false">
      <c r="A16" s="10" t="s">
        <v>341</v>
      </c>
      <c r="B16" s="10" t="s">
        <v>342</v>
      </c>
      <c r="C16" s="10" t="s">
        <v>343</v>
      </c>
      <c r="D16" s="10" t="s">
        <v>344</v>
      </c>
      <c r="E16" s="10" t="s">
        <v>345</v>
      </c>
      <c r="F16" s="10" t="s">
        <v>346</v>
      </c>
      <c r="G16" s="10" t="s">
        <v>347</v>
      </c>
      <c r="H16" s="10" t="s">
        <v>348</v>
      </c>
      <c r="I16" s="10" t="s">
        <v>349</v>
      </c>
      <c r="J16" s="10" t="s">
        <v>19</v>
      </c>
      <c r="K16" s="10" t="s">
        <v>20</v>
      </c>
      <c r="L16" s="10" t="s">
        <v>21</v>
      </c>
      <c r="M16" s="10" t="s">
        <v>22</v>
      </c>
      <c r="N16" s="10" t="s">
        <v>350</v>
      </c>
    </row>
    <row r="17" customFormat="false" ht="15" hidden="false" customHeight="false" outlineLevel="0" collapsed="false">
      <c r="A17" s="25" t="n">
        <v>46113</v>
      </c>
      <c r="B17" s="12" t="n">
        <f aca="false">'Capacity projection'!H31</f>
        <v>4032</v>
      </c>
      <c r="C17" s="12" t="n">
        <f aca="false">'Capacity projection'!H37</f>
        <v>3312</v>
      </c>
      <c r="D17" s="12" t="n">
        <f aca="false">'Capacity projection'!I31</f>
        <v>1300</v>
      </c>
      <c r="E17" s="12" t="n">
        <f aca="false">'Capacity projection'!I37</f>
        <v>1087.5</v>
      </c>
      <c r="F17" s="12" t="n">
        <f aca="false">'Capacity projection'!J31</f>
        <v>1677.6</v>
      </c>
      <c r="G17" s="12" t="n">
        <f aca="false">'Capacity projection'!J37</f>
        <v>1344</v>
      </c>
      <c r="H17" s="12" t="n">
        <f aca="false">SUM(B17:G17)</f>
        <v>12753.1</v>
      </c>
      <c r="I17" s="12" t="n">
        <f aca="false">IF(A17=MIN($A$17:$A$22),INDEX($D$8:$D$11,MATCH($B$4,$A$8:$A$11,0)),0)</f>
        <v>2100</v>
      </c>
      <c r="J17" s="12" t="n">
        <f aca="false">IF(A17=MIN($A$17:$A$22),INDEX($E$8:$E$11,MATCH($B$4,$A$8:$A$11,0)),0)</f>
        <v>850</v>
      </c>
      <c r="K17" s="12" t="n">
        <f aca="false">INDEX($F$8:$F$11,MATCH($B$4,$A$8:$A$11,0))/6</f>
        <v>300</v>
      </c>
      <c r="L17" s="12" t="n">
        <f aca="false">INDEX($G$8:$G$11,MATCH($B$4,$A$8:$A$11,0))/6</f>
        <v>866.666666666667</v>
      </c>
      <c r="M17" s="12" t="n">
        <f aca="false">IF(A17=MIN($A$17:$A$22),INDEX($H$8:$H$11,MATCH($B$4,$A$8:$A$11,0)),0)</f>
        <v>750</v>
      </c>
      <c r="N17" s="12" t="n">
        <f aca="false">SUM(H17:M17)</f>
        <v>17619.7666666667</v>
      </c>
    </row>
    <row r="18" customFormat="false" ht="15" hidden="false" customHeight="false" outlineLevel="0" collapsed="false">
      <c r="A18" s="27" t="n">
        <v>46143</v>
      </c>
      <c r="B18" s="14" t="n">
        <f aca="false">'Capacity projection'!H32</f>
        <v>4284</v>
      </c>
      <c r="C18" s="14" t="n">
        <f aca="false">'Capacity projection'!H38</f>
        <v>3404</v>
      </c>
      <c r="D18" s="14" t="n">
        <f aca="false">'Capacity projection'!I32</f>
        <v>1430</v>
      </c>
      <c r="E18" s="14" t="n">
        <f aca="false">'Capacity projection'!I38</f>
        <v>1200</v>
      </c>
      <c r="F18" s="14" t="n">
        <f aca="false">'Capacity projection'!J32</f>
        <v>1760.4</v>
      </c>
      <c r="G18" s="14" t="n">
        <f aca="false">'Capacity projection'!J38</f>
        <v>1413.3</v>
      </c>
      <c r="H18" s="14" t="n">
        <f aca="false">SUM(B18:G18)</f>
        <v>13491.7</v>
      </c>
      <c r="I18" s="14" t="n">
        <f aca="false">IF(A18=MIN($A$17:$A$22),INDEX($D$8:$D$11,MATCH($B$4,$A$8:$A$11,0)),0)</f>
        <v>0</v>
      </c>
      <c r="J18" s="14" t="n">
        <f aca="false">IF(A18=MIN($A$17:$A$22),INDEX($E$8:$E$11,MATCH($B$4,$A$8:$A$11,0)),0)</f>
        <v>0</v>
      </c>
      <c r="K18" s="14" t="n">
        <f aca="false">INDEX($F$8:$F$11,MATCH($B$4,$A$8:$A$11,0))/6</f>
        <v>300</v>
      </c>
      <c r="L18" s="14" t="n">
        <f aca="false">INDEX($G$8:$G$11,MATCH($B$4,$A$8:$A$11,0))/6</f>
        <v>866.666666666667</v>
      </c>
      <c r="M18" s="14" t="n">
        <f aca="false">IF(A18=MIN($A$17:$A$22),INDEX($H$8:$H$11,MATCH($B$4,$A$8:$A$11,0)),0)</f>
        <v>0</v>
      </c>
      <c r="N18" s="14" t="n">
        <f aca="false">SUM(H18:M18)</f>
        <v>14658.3666666667</v>
      </c>
    </row>
    <row r="19" customFormat="false" ht="15" hidden="false" customHeight="false" outlineLevel="0" collapsed="false">
      <c r="A19" s="25" t="n">
        <v>46174</v>
      </c>
      <c r="B19" s="12" t="n">
        <f aca="false">'Capacity projection'!H33</f>
        <v>4620</v>
      </c>
      <c r="C19" s="12" t="n">
        <f aca="false">'Capacity projection'!H39</f>
        <v>3588</v>
      </c>
      <c r="D19" s="12" t="n">
        <f aca="false">'Capacity projection'!I33</f>
        <v>1560</v>
      </c>
      <c r="E19" s="12" t="n">
        <f aca="false">'Capacity projection'!I39</f>
        <v>1312.5</v>
      </c>
      <c r="F19" s="12" t="n">
        <f aca="false">'Capacity projection'!J33</f>
        <v>1850.4</v>
      </c>
      <c r="G19" s="12" t="n">
        <f aca="false">'Capacity projection'!J39</f>
        <v>1488.9</v>
      </c>
      <c r="H19" s="12" t="n">
        <f aca="false">SUM(B19:G19)</f>
        <v>14419.8</v>
      </c>
      <c r="I19" s="12" t="n">
        <f aca="false">IF(A19=MIN($A$17:$A$22),INDEX($D$8:$D$11,MATCH($B$4,$A$8:$A$11,0)),0)</f>
        <v>0</v>
      </c>
      <c r="J19" s="12" t="n">
        <f aca="false">IF(A19=MIN($A$17:$A$22),INDEX($E$8:$E$11,MATCH($B$4,$A$8:$A$11,0)),0)</f>
        <v>0</v>
      </c>
      <c r="K19" s="12" t="n">
        <f aca="false">INDEX($F$8:$F$11,MATCH($B$4,$A$8:$A$11,0))/6</f>
        <v>300</v>
      </c>
      <c r="L19" s="12" t="n">
        <f aca="false">INDEX($G$8:$G$11,MATCH($B$4,$A$8:$A$11,0))/6</f>
        <v>866.666666666667</v>
      </c>
      <c r="M19" s="12" t="n">
        <f aca="false">IF(A19=MIN($A$17:$A$22),INDEX($H$8:$H$11,MATCH($B$4,$A$8:$A$11,0)),0)</f>
        <v>0</v>
      </c>
      <c r="N19" s="12" t="n">
        <f aca="false">SUM(H19:M19)</f>
        <v>15586.4666666667</v>
      </c>
    </row>
    <row r="20" customFormat="false" ht="15" hidden="false" customHeight="false" outlineLevel="0" collapsed="false">
      <c r="A20" s="27" t="n">
        <v>46204</v>
      </c>
      <c r="B20" s="14" t="n">
        <f aca="false">'Capacity projection'!H34</f>
        <v>4788</v>
      </c>
      <c r="C20" s="14" t="n">
        <f aca="false">'Capacity projection'!H40</f>
        <v>3772</v>
      </c>
      <c r="D20" s="14" t="n">
        <f aca="false">'Capacity projection'!I34</f>
        <v>1625</v>
      </c>
      <c r="E20" s="14" t="n">
        <f aca="false">'Capacity projection'!I40</f>
        <v>1387.5</v>
      </c>
      <c r="F20" s="14" t="n">
        <f aca="false">'Capacity projection'!J34</f>
        <v>1944</v>
      </c>
      <c r="G20" s="14" t="n">
        <f aca="false">'Capacity projection'!J40</f>
        <v>1568.7</v>
      </c>
      <c r="H20" s="14" t="n">
        <f aca="false">SUM(B20:G20)</f>
        <v>15085.2</v>
      </c>
      <c r="I20" s="14" t="n">
        <f aca="false">IF(A20=MIN($A$17:$A$22),INDEX($D$8:$D$11,MATCH($B$4,$A$8:$A$11,0)),0)</f>
        <v>0</v>
      </c>
      <c r="J20" s="14" t="n">
        <f aca="false">IF(A20=MIN($A$17:$A$22),INDEX($E$8:$E$11,MATCH($B$4,$A$8:$A$11,0)),0)</f>
        <v>0</v>
      </c>
      <c r="K20" s="14" t="n">
        <f aca="false">INDEX($F$8:$F$11,MATCH($B$4,$A$8:$A$11,0))/6</f>
        <v>300</v>
      </c>
      <c r="L20" s="14" t="n">
        <f aca="false">INDEX($G$8:$G$11,MATCH($B$4,$A$8:$A$11,0))/6</f>
        <v>866.666666666667</v>
      </c>
      <c r="M20" s="14" t="n">
        <f aca="false">IF(A20=MIN($A$17:$A$22),INDEX($H$8:$H$11,MATCH($B$4,$A$8:$A$11,0)),0)</f>
        <v>0</v>
      </c>
      <c r="N20" s="14" t="n">
        <f aca="false">SUM(H20:M20)</f>
        <v>16251.8666666667</v>
      </c>
    </row>
    <row r="21" customFormat="false" ht="15" hidden="false" customHeight="false" outlineLevel="0" collapsed="false">
      <c r="A21" s="25" t="n">
        <v>46235</v>
      </c>
      <c r="B21" s="12" t="n">
        <f aca="false">'Capacity projection'!H35</f>
        <v>4956</v>
      </c>
      <c r="C21" s="12" t="n">
        <f aca="false">'Capacity projection'!H41</f>
        <v>3956</v>
      </c>
      <c r="D21" s="12" t="n">
        <f aca="false">'Capacity projection'!I35</f>
        <v>1690</v>
      </c>
      <c r="E21" s="12" t="n">
        <f aca="false">'Capacity projection'!I41</f>
        <v>1462.5</v>
      </c>
      <c r="F21" s="12" t="n">
        <f aca="false">'Capacity projection'!J35</f>
        <v>2041.2</v>
      </c>
      <c r="G21" s="12" t="n">
        <f aca="false">'Capacity projection'!J41</f>
        <v>1652.7</v>
      </c>
      <c r="H21" s="12" t="n">
        <f aca="false">SUM(B21:G21)</f>
        <v>15758.4</v>
      </c>
      <c r="I21" s="12" t="n">
        <f aca="false">IF(A21=MIN($A$17:$A$22),INDEX($D$8:$D$11,MATCH($B$4,$A$8:$A$11,0)),0)</f>
        <v>0</v>
      </c>
      <c r="J21" s="12" t="n">
        <f aca="false">IF(A21=MIN($A$17:$A$22),INDEX($E$8:$E$11,MATCH($B$4,$A$8:$A$11,0)),0)</f>
        <v>0</v>
      </c>
      <c r="K21" s="12" t="n">
        <f aca="false">INDEX($F$8:$F$11,MATCH($B$4,$A$8:$A$11,0))/6</f>
        <v>300</v>
      </c>
      <c r="L21" s="12" t="n">
        <f aca="false">INDEX($G$8:$G$11,MATCH($B$4,$A$8:$A$11,0))/6</f>
        <v>866.666666666667</v>
      </c>
      <c r="M21" s="12" t="n">
        <f aca="false">IF(A21=MIN($A$17:$A$22),INDEX($H$8:$H$11,MATCH($B$4,$A$8:$A$11,0)),0)</f>
        <v>0</v>
      </c>
      <c r="N21" s="12" t="n">
        <f aca="false">SUM(H21:M21)</f>
        <v>16925.0666666667</v>
      </c>
    </row>
    <row r="22" customFormat="false" ht="15" hidden="false" customHeight="false" outlineLevel="0" collapsed="false">
      <c r="A22" s="27" t="n">
        <v>46266</v>
      </c>
      <c r="B22" s="14" t="n">
        <f aca="false">'Capacity projection'!H36</f>
        <v>5124</v>
      </c>
      <c r="C22" s="14" t="n">
        <f aca="false">'Capacity projection'!H42</f>
        <v>4140</v>
      </c>
      <c r="D22" s="14" t="n">
        <f aca="false">'Capacity projection'!I36</f>
        <v>1755</v>
      </c>
      <c r="E22" s="14" t="n">
        <f aca="false">'Capacity projection'!I42</f>
        <v>1537.5</v>
      </c>
      <c r="F22" s="14" t="n">
        <f aca="false">'Capacity projection'!J36</f>
        <v>2142</v>
      </c>
      <c r="G22" s="14" t="n">
        <f aca="false">'Capacity projection'!J42</f>
        <v>1740.9</v>
      </c>
      <c r="H22" s="14" t="n">
        <f aca="false">SUM(B22:G22)</f>
        <v>16439.4</v>
      </c>
      <c r="I22" s="14" t="n">
        <f aca="false">IF(A22=MIN($A$17:$A$22),INDEX($D$8:$D$11,MATCH($B$4,$A$8:$A$11,0)),0)</f>
        <v>0</v>
      </c>
      <c r="J22" s="14" t="n">
        <f aca="false">IF(A22=MIN($A$17:$A$22),INDEX($E$8:$E$11,MATCH($B$4,$A$8:$A$11,0)),0)</f>
        <v>0</v>
      </c>
      <c r="K22" s="14" t="n">
        <f aca="false">INDEX($F$8:$F$11,MATCH($B$4,$A$8:$A$11,0))/6</f>
        <v>300</v>
      </c>
      <c r="L22" s="14" t="n">
        <f aca="false">INDEX($G$8:$G$11,MATCH($B$4,$A$8:$A$11,0))/6</f>
        <v>866.666666666667</v>
      </c>
      <c r="M22" s="14" t="n">
        <f aca="false">IF(A22=MIN($A$17:$A$22),INDEX($H$8:$H$11,MATCH($B$4,$A$8:$A$11,0)),0)</f>
        <v>0</v>
      </c>
      <c r="N22" s="14" t="n">
        <f aca="false">SUM(H22:M22)</f>
        <v>17606.0666666667</v>
      </c>
    </row>
    <row r="23" customFormat="false" ht="22.35" hidden="false" customHeight="false" outlineLevel="0" collapsed="false">
      <c r="A23" s="43" t="s">
        <v>351</v>
      </c>
      <c r="B23" s="44" t="n">
        <f aca="false">SUM(B17:B22)</f>
        <v>27804</v>
      </c>
      <c r="C23" s="44" t="n">
        <f aca="false">SUM(C17:C22)</f>
        <v>22172</v>
      </c>
      <c r="D23" s="44" t="n">
        <f aca="false">SUM(D17:D22)</f>
        <v>9360</v>
      </c>
      <c r="E23" s="44" t="n">
        <f aca="false">SUM(E17:E22)</f>
        <v>7987.5</v>
      </c>
      <c r="F23" s="44" t="n">
        <f aca="false">SUM(F17:F22)</f>
        <v>11415.6</v>
      </c>
      <c r="G23" s="44" t="n">
        <f aca="false">SUM(G17:G22)</f>
        <v>9208.5</v>
      </c>
      <c r="H23" s="44" t="n">
        <f aca="false">SUM(H17:H22)</f>
        <v>87947.6</v>
      </c>
      <c r="I23" s="44" t="n">
        <f aca="false">SUM(I17:I22)</f>
        <v>2100</v>
      </c>
      <c r="J23" s="44" t="n">
        <f aca="false">SUM(J17:J22)</f>
        <v>850</v>
      </c>
      <c r="K23" s="44" t="n">
        <f aca="false">SUM(K17:K22)</f>
        <v>1800</v>
      </c>
      <c r="L23" s="44" t="n">
        <f aca="false">SUM(L17:L22)</f>
        <v>5200</v>
      </c>
      <c r="M23" s="44" t="n">
        <f aca="false">SUM(M17:M22)</f>
        <v>750</v>
      </c>
      <c r="N23" s="44" t="n">
        <f aca="false">SUM(N17:N22)</f>
        <v>98647.6</v>
      </c>
    </row>
    <row r="25" customFormat="false" ht="18.75" hidden="false" customHeight="true" outlineLevel="0" collapsed="false">
      <c r="A25" s="9" t="s">
        <v>352</v>
      </c>
      <c r="B25" s="9"/>
      <c r="C25" s="9"/>
      <c r="D25" s="9"/>
      <c r="E25" s="9"/>
      <c r="F25" s="9"/>
      <c r="G25" s="9"/>
      <c r="H25" s="9"/>
      <c r="I25" s="9"/>
      <c r="J25" s="9"/>
      <c r="K25" s="9"/>
      <c r="L25" s="9"/>
      <c r="M25" s="9"/>
      <c r="N25" s="9"/>
    </row>
    <row r="26" customFormat="false" ht="30" hidden="false" customHeight="true" outlineLevel="0" collapsed="false">
      <c r="A26" s="10" t="s">
        <v>353</v>
      </c>
      <c r="B26" s="10" t="s">
        <v>354</v>
      </c>
      <c r="C26" s="10" t="s">
        <v>355</v>
      </c>
      <c r="D26" s="10" t="s">
        <v>356</v>
      </c>
    </row>
    <row r="27" customFormat="false" ht="37.5" hidden="false" customHeight="true" outlineLevel="0" collapsed="false">
      <c r="A27" s="11" t="s">
        <v>357</v>
      </c>
      <c r="B27" s="12" t="n">
        <f aca="false">B23+C23</f>
        <v>49976</v>
      </c>
      <c r="C27" s="11" t="s">
        <v>358</v>
      </c>
      <c r="D27" s="26" t="str">
        <f aca="false">IF(B27=SUM(B23:C23),"OK","CHECK")</f>
        <v>OK</v>
      </c>
    </row>
    <row r="28" customFormat="false" ht="37.5" hidden="false" customHeight="true" outlineLevel="0" collapsed="false">
      <c r="A28" s="13" t="s">
        <v>300</v>
      </c>
      <c r="B28" s="14" t="n">
        <f aca="false">D23+E23</f>
        <v>17347.5</v>
      </c>
      <c r="C28" s="13" t="s">
        <v>359</v>
      </c>
      <c r="D28" s="26" t="str">
        <f aca="false">IF(B28=SUM(D23:E23),"OK","CHECK")</f>
        <v>OK</v>
      </c>
    </row>
    <row r="29" customFormat="false" ht="37.5" hidden="false" customHeight="true" outlineLevel="0" collapsed="false">
      <c r="A29" s="11" t="s">
        <v>360</v>
      </c>
      <c r="B29" s="12" t="n">
        <f aca="false">F23+G23</f>
        <v>20624.1</v>
      </c>
      <c r="C29" s="11" t="s">
        <v>361</v>
      </c>
      <c r="D29" s="26" t="str">
        <f aca="false">IF(B29=SUM(F23:G23),"OK","CHECK")</f>
        <v>OK</v>
      </c>
    </row>
    <row r="30" customFormat="false" ht="37.5" hidden="false" customHeight="true" outlineLevel="0" collapsed="false">
      <c r="A30" s="13" t="s">
        <v>362</v>
      </c>
      <c r="B30" s="14" t="n">
        <f aca="false">I23</f>
        <v>2100</v>
      </c>
      <c r="C30" s="13" t="s">
        <v>363</v>
      </c>
      <c r="D30" s="26" t="str">
        <f aca="false">IF(B30=INDEX($D$8:$D$11,MATCH($B$4,$A$8:$A$11,0)),"OK","CHECK")</f>
        <v>OK</v>
      </c>
    </row>
    <row r="31" customFormat="false" ht="37.5" hidden="false" customHeight="true" outlineLevel="0" collapsed="false">
      <c r="A31" s="11" t="s">
        <v>364</v>
      </c>
      <c r="B31" s="12" t="n">
        <f aca="false">J23</f>
        <v>850</v>
      </c>
      <c r="C31" s="11" t="s">
        <v>365</v>
      </c>
      <c r="D31" s="26" t="str">
        <f aca="false">IF(B31=INDEX($E$8:$E$11,MATCH($B$4,$A$8:$A$11,0)),"OK","CHECK")</f>
        <v>OK</v>
      </c>
    </row>
    <row r="32" customFormat="false" ht="37.5" hidden="false" customHeight="true" outlineLevel="0" collapsed="false">
      <c r="A32" s="13" t="s">
        <v>20</v>
      </c>
      <c r="B32" s="14" t="n">
        <f aca="false">K23</f>
        <v>1800</v>
      </c>
      <c r="C32" s="13" t="s">
        <v>366</v>
      </c>
      <c r="D32" s="26" t="str">
        <f aca="false">IF(ROUND(B32,2)=ROUND(INDEX($F$8:$F$11,MATCH($B$4,$A$8:$A$11,0)),2),"OK","CHECK")</f>
        <v>OK</v>
      </c>
    </row>
    <row r="33" customFormat="false" ht="37.5" hidden="false" customHeight="true" outlineLevel="0" collapsed="false">
      <c r="A33" s="11" t="s">
        <v>21</v>
      </c>
      <c r="B33" s="12" t="n">
        <f aca="false">L23</f>
        <v>5200</v>
      </c>
      <c r="C33" s="11" t="s">
        <v>367</v>
      </c>
      <c r="D33" s="26" t="str">
        <f aca="false">IF(ROUND(B33,2)=ROUND(INDEX($G$8:$G$11,MATCH($B$4,$A$8:$A$11,0)),2),"OK","CHECK")</f>
        <v>OK</v>
      </c>
    </row>
    <row r="34" customFormat="false" ht="37.5" hidden="false" customHeight="true" outlineLevel="0" collapsed="false">
      <c r="A34" s="13" t="s">
        <v>22</v>
      </c>
      <c r="B34" s="14" t="n">
        <f aca="false">M23</f>
        <v>750</v>
      </c>
      <c r="C34" s="13" t="s">
        <v>368</v>
      </c>
      <c r="D34" s="26" t="str">
        <f aca="false">IF(B34=INDEX($H$8:$H$11,MATCH($B$4,$A$8:$A$11,0)),"OK","CHECK")</f>
        <v>OK</v>
      </c>
    </row>
    <row r="35" customFormat="false" ht="37.5" hidden="false" customHeight="true" outlineLevel="0" collapsed="false">
      <c r="A35" s="11" t="s">
        <v>369</v>
      </c>
      <c r="B35" s="12" t="n">
        <f aca="false">N23</f>
        <v>98647.6</v>
      </c>
      <c r="C35" s="11" t="s">
        <v>370</v>
      </c>
      <c r="D35" s="26" t="str">
        <f aca="false">IF(B35=SUM(B27:B34),"OK","CHECK")</f>
        <v>OK</v>
      </c>
    </row>
    <row r="37" customFormat="false" ht="15" hidden="false" customHeight="true" outlineLevel="0" collapsed="false">
      <c r="A37" s="24" t="s">
        <v>371</v>
      </c>
      <c r="B37" s="24"/>
      <c r="C37" s="24"/>
      <c r="D37" s="24"/>
      <c r="E37" s="24"/>
      <c r="F37" s="24"/>
      <c r="G37" s="24"/>
      <c r="H37" s="24"/>
      <c r="I37" s="24"/>
      <c r="J37" s="24"/>
      <c r="K37" s="24"/>
      <c r="L37" s="24"/>
      <c r="M37" s="24"/>
      <c r="N37" s="24"/>
    </row>
    <row r="38" customFormat="false" ht="15" hidden="false" customHeight="false" outlineLevel="0" collapsed="false">
      <c r="A38" s="24"/>
      <c r="B38" s="24"/>
      <c r="C38" s="24"/>
      <c r="D38" s="24"/>
      <c r="E38" s="24"/>
      <c r="F38" s="24"/>
      <c r="G38" s="24"/>
      <c r="H38" s="24"/>
      <c r="I38" s="24"/>
      <c r="J38" s="24"/>
      <c r="K38" s="24"/>
      <c r="L38" s="24"/>
      <c r="M38" s="24"/>
      <c r="N38" s="24"/>
    </row>
  </sheetData>
  <mergeCells count="7">
    <mergeCell ref="A1:N1"/>
    <mergeCell ref="A2:N2"/>
    <mergeCell ref="A6:N6"/>
    <mergeCell ref="B13:F13"/>
    <mergeCell ref="A15:N15"/>
    <mergeCell ref="A25:N25"/>
    <mergeCell ref="A37:N38"/>
  </mergeCells>
  <printOptions headings="false" gridLines="false" gridLinesSet="true" horizontalCentered="false" verticalCentered="false"/>
  <pageMargins left="0.25" right="0.25" top="0.4" bottom="0.4"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&amp;C&amp;8 Tidewater Health Network | Internal planning workbook&amp;R&amp;8 Page &amp;P of &amp;N</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E7A55"/>
    <pageSetUpPr fitToPage="true"/>
  </sheetPr>
  <dimension ref="A1:J23"/>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1"/>
    <col collapsed="false" customWidth="true" hidden="false" outlineLevel="0" max="2" min="2" style="0" width="25"/>
    <col collapsed="false" customWidth="true" hidden="false" outlineLevel="0" max="3" min="3" style="0" width="42"/>
    <col collapsed="false" customWidth="true" hidden="false" outlineLevel="0" max="4" min="4" style="0" width="22"/>
    <col collapsed="false" customWidth="true" hidden="false" outlineLevel="0" max="5" min="5" style="0" width="26"/>
    <col collapsed="false" customWidth="true" hidden="false" outlineLevel="0" max="6" min="6" style="0" width="19"/>
    <col collapsed="false" customWidth="true" hidden="false" outlineLevel="0" max="7" min="7" style="0" width="24"/>
    <col collapsed="false" customWidth="true" hidden="false" outlineLevel="0" max="8" min="8" style="0" width="23"/>
    <col collapsed="false" customWidth="true" hidden="false" outlineLevel="0" max="9" min="9" style="0" width="24"/>
    <col collapsed="false" customWidth="true" hidden="false" outlineLevel="0" max="10" min="10" style="0" width="16"/>
  </cols>
  <sheetData>
    <row r="1" customFormat="false" ht="27" hidden="false" customHeight="true" outlineLevel="0" collapsed="false">
      <c r="A1" s="1" t="s">
        <v>372</v>
      </c>
      <c r="B1" s="1"/>
      <c r="C1" s="1"/>
      <c r="D1" s="1"/>
      <c r="E1" s="1"/>
      <c r="F1" s="1"/>
      <c r="G1" s="1"/>
      <c r="H1" s="1"/>
      <c r="I1" s="1"/>
      <c r="J1" s="1"/>
    </row>
    <row r="2" customFormat="false" ht="19.5" hidden="false" customHeight="true" outlineLevel="0" collapsed="false">
      <c r="A2" s="2" t="s">
        <v>373</v>
      </c>
      <c r="B2" s="2"/>
      <c r="C2" s="2"/>
      <c r="D2" s="2"/>
      <c r="E2" s="2"/>
      <c r="F2" s="2"/>
      <c r="G2" s="2"/>
      <c r="H2" s="2"/>
      <c r="I2" s="2"/>
      <c r="J2" s="2"/>
    </row>
    <row r="4" customFormat="false" ht="18.75" hidden="false" customHeight="true" outlineLevel="0" collapsed="false">
      <c r="A4" s="9" t="s">
        <v>374</v>
      </c>
      <c r="B4" s="9"/>
      <c r="C4" s="9"/>
      <c r="D4" s="9"/>
      <c r="E4" s="9"/>
      <c r="F4" s="9"/>
      <c r="G4" s="9"/>
      <c r="H4" s="9"/>
      <c r="I4" s="9"/>
      <c r="J4" s="9"/>
    </row>
    <row r="5" customFormat="false" ht="30" hidden="false" customHeight="true" outlineLevel="0" collapsed="false">
      <c r="A5" s="10" t="s">
        <v>375</v>
      </c>
      <c r="B5" s="10" t="s">
        <v>376</v>
      </c>
      <c r="C5" s="10" t="s">
        <v>377</v>
      </c>
      <c r="D5" s="10" t="s">
        <v>178</v>
      </c>
      <c r="E5" s="10" t="s">
        <v>378</v>
      </c>
      <c r="F5" s="10" t="s">
        <v>17</v>
      </c>
      <c r="G5" s="10" t="s">
        <v>379</v>
      </c>
      <c r="H5" s="10" t="s">
        <v>380</v>
      </c>
      <c r="I5" s="10" t="s">
        <v>381</v>
      </c>
      <c r="J5" s="10" t="s">
        <v>382</v>
      </c>
    </row>
    <row r="6" customFormat="false" ht="49.5" hidden="false" customHeight="true" outlineLevel="0" collapsed="false">
      <c r="A6" s="13" t="s">
        <v>383</v>
      </c>
      <c r="B6" s="13" t="s">
        <v>384</v>
      </c>
      <c r="C6" s="13" t="s">
        <v>385</v>
      </c>
      <c r="D6" s="13" t="s">
        <v>186</v>
      </c>
      <c r="E6" s="13" t="s">
        <v>386</v>
      </c>
      <c r="F6" s="31" t="s">
        <v>387</v>
      </c>
      <c r="G6" s="13" t="s">
        <v>179</v>
      </c>
      <c r="H6" s="13" t="s">
        <v>388</v>
      </c>
      <c r="I6" s="13" t="s">
        <v>389</v>
      </c>
      <c r="J6" s="13" t="s">
        <v>390</v>
      </c>
    </row>
    <row r="7" customFormat="false" ht="49.5" hidden="false" customHeight="true" outlineLevel="0" collapsed="false">
      <c r="A7" s="11" t="s">
        <v>391</v>
      </c>
      <c r="B7" s="11" t="s">
        <v>392</v>
      </c>
      <c r="C7" s="11" t="s">
        <v>393</v>
      </c>
      <c r="D7" s="11" t="s">
        <v>199</v>
      </c>
      <c r="E7" s="11" t="s">
        <v>394</v>
      </c>
      <c r="F7" s="32" t="s">
        <v>395</v>
      </c>
      <c r="G7" s="11" t="s">
        <v>193</v>
      </c>
      <c r="H7" s="11" t="s">
        <v>396</v>
      </c>
      <c r="I7" s="11" t="s">
        <v>397</v>
      </c>
      <c r="J7" s="11" t="s">
        <v>390</v>
      </c>
    </row>
    <row r="8" customFormat="false" ht="49.5" hidden="false" customHeight="true" outlineLevel="0" collapsed="false">
      <c r="A8" s="13" t="s">
        <v>398</v>
      </c>
      <c r="B8" s="13" t="s">
        <v>399</v>
      </c>
      <c r="C8" s="13" t="s">
        <v>400</v>
      </c>
      <c r="D8" s="13" t="s">
        <v>186</v>
      </c>
      <c r="E8" s="13" t="s">
        <v>401</v>
      </c>
      <c r="F8" s="31" t="s">
        <v>387</v>
      </c>
      <c r="G8" s="13" t="s">
        <v>193</v>
      </c>
      <c r="H8" s="13" t="s">
        <v>402</v>
      </c>
      <c r="I8" s="13" t="s">
        <v>403</v>
      </c>
      <c r="J8" s="13" t="s">
        <v>390</v>
      </c>
    </row>
    <row r="9" customFormat="false" ht="49.5" hidden="false" customHeight="true" outlineLevel="0" collapsed="false">
      <c r="A9" s="11" t="s">
        <v>404</v>
      </c>
      <c r="B9" s="11" t="s">
        <v>405</v>
      </c>
      <c r="C9" s="11" t="s">
        <v>406</v>
      </c>
      <c r="D9" s="11" t="s">
        <v>192</v>
      </c>
      <c r="E9" s="11" t="s">
        <v>407</v>
      </c>
      <c r="F9" s="31" t="s">
        <v>387</v>
      </c>
      <c r="G9" s="11" t="s">
        <v>408</v>
      </c>
      <c r="H9" s="11" t="s">
        <v>409</v>
      </c>
      <c r="I9" s="11" t="s">
        <v>410</v>
      </c>
      <c r="J9" s="11" t="s">
        <v>411</v>
      </c>
    </row>
    <row r="10" customFormat="false" ht="49.5" hidden="false" customHeight="true" outlineLevel="0" collapsed="false">
      <c r="A10" s="13" t="s">
        <v>412</v>
      </c>
      <c r="B10" s="13" t="s">
        <v>413</v>
      </c>
      <c r="C10" s="13" t="s">
        <v>414</v>
      </c>
      <c r="D10" s="13" t="s">
        <v>271</v>
      </c>
      <c r="E10" s="13" t="s">
        <v>415</v>
      </c>
      <c r="F10" s="31" t="s">
        <v>387</v>
      </c>
      <c r="G10" s="13" t="s">
        <v>416</v>
      </c>
      <c r="H10" s="13" t="s">
        <v>417</v>
      </c>
      <c r="I10" s="13" t="s">
        <v>418</v>
      </c>
      <c r="J10" s="13" t="s">
        <v>411</v>
      </c>
    </row>
    <row r="11" customFormat="false" ht="49.5" hidden="false" customHeight="true" outlineLevel="0" collapsed="false">
      <c r="A11" s="11" t="s">
        <v>419</v>
      </c>
      <c r="B11" s="11" t="s">
        <v>420</v>
      </c>
      <c r="C11" s="11" t="s">
        <v>421</v>
      </c>
      <c r="D11" s="11" t="s">
        <v>210</v>
      </c>
      <c r="E11" s="11" t="s">
        <v>401</v>
      </c>
      <c r="F11" s="33" t="s">
        <v>422</v>
      </c>
      <c r="G11" s="11" t="s">
        <v>423</v>
      </c>
      <c r="H11" s="11" t="s">
        <v>424</v>
      </c>
      <c r="I11" s="11" t="s">
        <v>425</v>
      </c>
      <c r="J11" s="11" t="s">
        <v>390</v>
      </c>
    </row>
    <row r="14" customFormat="false" ht="18.75" hidden="false" customHeight="true" outlineLevel="0" collapsed="false">
      <c r="A14" s="9" t="s">
        <v>426</v>
      </c>
      <c r="B14" s="9"/>
      <c r="C14" s="9"/>
      <c r="D14" s="9"/>
      <c r="E14" s="9"/>
      <c r="F14" s="9"/>
      <c r="G14" s="9"/>
      <c r="H14" s="9"/>
      <c r="I14" s="9"/>
      <c r="J14" s="9"/>
    </row>
    <row r="15" customFormat="false" ht="30" hidden="false" customHeight="true" outlineLevel="0" collapsed="false">
      <c r="A15" s="10" t="s">
        <v>250</v>
      </c>
      <c r="B15" s="10" t="s">
        <v>251</v>
      </c>
      <c r="C15" s="10" t="s">
        <v>252</v>
      </c>
      <c r="D15" s="10" t="s">
        <v>253</v>
      </c>
      <c r="E15" s="10" t="s">
        <v>17</v>
      </c>
      <c r="F15" s="10" t="s">
        <v>427</v>
      </c>
      <c r="G15" s="10" t="s">
        <v>428</v>
      </c>
    </row>
    <row r="16" customFormat="false" ht="27.75" hidden="false" customHeight="true" outlineLevel="0" collapsed="false">
      <c r="A16" s="13" t="s">
        <v>186</v>
      </c>
      <c r="B16" s="13" t="s">
        <v>256</v>
      </c>
      <c r="C16" s="13" t="s">
        <v>257</v>
      </c>
      <c r="D16" s="13" t="s">
        <v>258</v>
      </c>
      <c r="E16" s="13" t="s">
        <v>259</v>
      </c>
      <c r="F16" s="13" t="s">
        <v>429</v>
      </c>
      <c r="G16" s="27" t="n">
        <v>46295</v>
      </c>
    </row>
    <row r="17" customFormat="false" ht="27.75" hidden="false" customHeight="true" outlineLevel="0" collapsed="false">
      <c r="A17" s="11" t="s">
        <v>210</v>
      </c>
      <c r="B17" s="11" t="s">
        <v>262</v>
      </c>
      <c r="C17" s="11" t="s">
        <v>263</v>
      </c>
      <c r="D17" s="11" t="s">
        <v>264</v>
      </c>
      <c r="E17" s="11" t="s">
        <v>265</v>
      </c>
      <c r="F17" s="15" t="s">
        <v>430</v>
      </c>
      <c r="G17" s="25" t="n">
        <v>46295</v>
      </c>
    </row>
    <row r="18" customFormat="false" ht="27.75" hidden="false" customHeight="true" outlineLevel="0" collapsed="false">
      <c r="A18" s="13" t="s">
        <v>192</v>
      </c>
      <c r="B18" s="13" t="s">
        <v>268</v>
      </c>
      <c r="C18" s="13" t="s">
        <v>269</v>
      </c>
      <c r="D18" s="13" t="s">
        <v>258</v>
      </c>
      <c r="E18" s="13" t="s">
        <v>259</v>
      </c>
      <c r="F18" s="13" t="s">
        <v>429</v>
      </c>
      <c r="G18" s="27" t="n">
        <v>46295</v>
      </c>
    </row>
    <row r="19" customFormat="false" ht="27.75" hidden="false" customHeight="true" outlineLevel="0" collapsed="false">
      <c r="A19" s="11" t="s">
        <v>199</v>
      </c>
      <c r="B19" s="11" t="s">
        <v>263</v>
      </c>
      <c r="C19" s="11" t="s">
        <v>270</v>
      </c>
      <c r="D19" s="11" t="s">
        <v>264</v>
      </c>
      <c r="E19" s="11" t="s">
        <v>265</v>
      </c>
      <c r="F19" s="15" t="s">
        <v>430</v>
      </c>
      <c r="G19" s="25" t="n">
        <v>46295</v>
      </c>
    </row>
    <row r="20" customFormat="false" ht="27.75" hidden="false" customHeight="true" outlineLevel="0" collapsed="false">
      <c r="A20" s="13" t="s">
        <v>271</v>
      </c>
      <c r="B20" s="13" t="s">
        <v>272</v>
      </c>
      <c r="C20" s="13" t="s">
        <v>273</v>
      </c>
      <c r="D20" s="13" t="s">
        <v>258</v>
      </c>
      <c r="E20" s="13" t="s">
        <v>259</v>
      </c>
      <c r="F20" s="13" t="s">
        <v>429</v>
      </c>
      <c r="G20" s="27" t="n">
        <v>46295</v>
      </c>
    </row>
    <row r="22" customFormat="false" ht="15" hidden="false" customHeight="true" outlineLevel="0" collapsed="false">
      <c r="A22" s="24" t="s">
        <v>431</v>
      </c>
      <c r="B22" s="24"/>
      <c r="C22" s="24"/>
      <c r="D22" s="24"/>
      <c r="E22" s="24"/>
      <c r="F22" s="24"/>
      <c r="G22" s="24"/>
      <c r="H22" s="24"/>
      <c r="I22" s="24"/>
      <c r="J22" s="24"/>
    </row>
    <row r="23" customFormat="false" ht="15" hidden="false" customHeight="false" outlineLevel="0" collapsed="false">
      <c r="A23" s="24"/>
      <c r="B23" s="24"/>
      <c r="C23" s="24"/>
      <c r="D23" s="24"/>
      <c r="E23" s="24"/>
      <c r="F23" s="24"/>
      <c r="G23" s="24"/>
      <c r="H23" s="24"/>
      <c r="I23" s="24"/>
      <c r="J23" s="24"/>
    </row>
  </sheetData>
  <mergeCells count="5">
    <mergeCell ref="A1:J1"/>
    <mergeCell ref="A2:J2"/>
    <mergeCell ref="A4:J4"/>
    <mergeCell ref="A14:J14"/>
    <mergeCell ref="A22:J23"/>
  </mergeCells>
  <printOptions headings="false" gridLines="false" gridLinesSet="true" horizontalCentered="false" verticalCentered="false"/>
  <pageMargins left="0.25" right="0.25" top="0.4" bottom="0.4"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&amp;C&amp;8 Tidewater Health Network | Internal planning workbook&amp;R&amp;8 Page &amp;P of &amp;N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2026-08-16T13:49:18Z</dcterms:created>
  <dc:creator>openpyxl</dc:creator>
  <dc:description/>
  <dc:language>en-US</dc:language>
  <cp:lastModifiedBy/>
  <dcterms:modified xsi:type="dcterms:W3CDTF">2026-08-16T13:49:18Z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