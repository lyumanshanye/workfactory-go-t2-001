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Staffing Plan" sheetId="2" state="visible" r:id="rId4"/>
    <sheet name="Comparison" sheetId="3" state="visible" r:id="rId5"/>
    <sheet name="Lists" sheetId="4" state="hidden" r:id="rId6"/>
  </sheets>
  <definedNames>
    <definedName function="false" hidden="false" localSheetId="2" name="_xlnm.Print_Area" vbProcedure="false">Comparison!$A$1:$G$31</definedName>
    <definedName function="false" hidden="false" localSheetId="1" name="_xlnm.Print_Area" vbProcedure="false">'Staffing Plan'!$A$1:$J$34</definedName>
    <definedName function="false" hidden="false" localSheetId="1" name="_xlnm.Print_Titles" vbProcedure="false">'Staffing Plan'!$1:$2</definedName>
    <definedName function="false" hidden="true" localSheetId="1" name="_xlnm._FilterDatabase" vbProcedure="false">'Staffing Plan'!$A$2:$J$34</definedName>
    <definedName function="false" hidden="false" name="ClerkList" vbProcedure="false">Lists!$C$2:$C$6</definedName>
    <definedName function="false" hidden="false" name="ReasonList" vbProcedure="false">Lists!$B$2:$B$6</definedName>
    <definedName function="false" hidden="false" name="StatusList" vbProcedure="false">Lists!$A$2:$A$4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<sst xmlns="http://schemas.openxmlformats.org/spreadsheetml/2006/main" count="319" uniqueCount="90">
  <si>
    <t xml:space="preserve">KESTREL VEHICLE RENTAL | AIRPORT BRANCH</t>
  </si>
  <si>
    <t xml:space="preserve">Next-week return-line staffing instrument</t>
  </si>
  <si>
    <t xml:space="preserve">Authorized change</t>
  </si>
  <si>
    <t xml:space="preserve">Add dedicated damage-inspection position to return line</t>
  </si>
  <si>
    <t xml:space="preserve">Effective Monday date</t>
  </si>
  <si>
    <t xml:space="preserve">Prepared for</t>
  </si>
  <si>
    <t xml:space="preserve">Rowan Mbeki (senior operations approver) | Ingrid Sallow</t>
  </si>
  <si>
    <t xml:space="preserve">Use</t>
  </si>
  <si>
    <t xml:space="preserve">Edit only Assigned clerk, Status, or Reason code when a change is authorized. Formulas remain live.</t>
  </si>
  <si>
    <t xml:space="preserve">Coverage definitions</t>
  </si>
  <si>
    <t xml:space="preserve">Position covered = status Planned or Standby. Shift active-clerk count = distinct named clerks on at least one active position.</t>
  </si>
  <si>
    <t xml:space="preserve">Material-change rule</t>
  </si>
  <si>
    <t xml:space="preserve">Flag when absolute change is at least 10% or at least 2 shifts; explanation is source-based.</t>
  </si>
  <si>
    <t xml:space="preserve">Later completion</t>
  </si>
  <si>
    <t xml:space="preserve">Post-week actuals and manager sign-off are TO COMPLETE. Blank entry cells are intentionally empty; not uncovered assignments.</t>
  </si>
  <si>
    <t xml:space="preserve">Legend</t>
  </si>
  <si>
    <t xml:space="preserve">Planned = committed (blue) | Standby = backup (amber) | Released = not covered (gray) | Uncovered = red | Material change = orange</t>
  </si>
  <si>
    <t xml:space="preserve">STAFFING PLAN — dispatch desk working view</t>
  </si>
  <si>
    <t xml:space="preserve">Shift ID</t>
  </si>
  <si>
    <t xml:space="preserve">Date</t>
  </si>
  <si>
    <t xml:space="preserve">Shift</t>
  </si>
  <si>
    <t xml:space="preserve">Position</t>
  </si>
  <si>
    <t xml:space="preserve">Assigned clerk</t>
  </si>
  <si>
    <t xml:space="preserve">Status</t>
  </si>
  <si>
    <t xml:space="preserve">Reason code</t>
  </si>
  <si>
    <t xml:space="preserve">Rationale</t>
  </si>
  <si>
    <t xml:space="preserve">Position coverage</t>
  </si>
  <si>
    <t xml:space="preserve">Post-week actual (TO COMPLETE)</t>
  </si>
  <si>
    <t xml:space="preserve">RL-01</t>
  </si>
  <si>
    <t xml:space="preserve">AM Peak</t>
  </si>
  <si>
    <t xml:space="preserve">Return desk</t>
  </si>
  <si>
    <t xml:space="preserve">Renata Toledano</t>
  </si>
  <si>
    <t xml:space="preserve">Planned</t>
  </si>
  <si>
    <t xml:space="preserve">Continuity coverage</t>
  </si>
  <si>
    <t xml:space="preserve">Renata's airport-process and handoff knowledge keeps the return desk continuous.</t>
  </si>
  <si>
    <t xml:space="preserve">Vehicle check-in</t>
  </si>
  <si>
    <t xml:space="preserve">Eamon Kavanagh</t>
  </si>
  <si>
    <t xml:space="preserve">Peak throughput</t>
  </si>
  <si>
    <t xml:space="preserve">Eamon's demonstrated speed and reliability protect vehicle check-in throughput during return waves.</t>
  </si>
  <si>
    <t xml:space="preserve">Key/fuel reconciliation</t>
  </si>
  <si>
    <t xml:space="preserve">Odile Blackwood</t>
  </si>
  <si>
    <t xml:space="preserve">Inspection accuracy</t>
  </si>
  <si>
    <t xml:space="preserve">Odile's checklist accuracy reduces key/fuel reconciliation errors.</t>
  </si>
  <si>
    <t xml:space="preserve">Damage inspection</t>
  </si>
  <si>
    <t xml:space="preserve">Mahdi Ingram</t>
  </si>
  <si>
    <t xml:space="preserve">Damage advocacy</t>
  </si>
  <si>
    <t xml:space="preserve">Mahdi's observed ability to defend damage charges and document evidence covers this high-risk return window.</t>
  </si>
  <si>
    <t xml:space="preserve">RL-02</t>
  </si>
  <si>
    <t xml:space="preserve">PM</t>
  </si>
  <si>
    <t xml:space="preserve">Grigor Coutinho</t>
  </si>
  <si>
    <t xml:space="preserve">Coaching opportunity</t>
  </si>
  <si>
    <t xml:space="preserve">Grigor's steady desk work is a supported coaching opportunity for stronger damage-document handoffs.</t>
  </si>
  <si>
    <t xml:space="preserve">Grigor's steady reconciliation work gives him coached continuity with documentation support.</t>
  </si>
  <si>
    <t xml:space="preserve">RL-03</t>
  </si>
  <si>
    <t xml:space="preserve">AM</t>
  </si>
  <si>
    <t xml:space="preserve">Renata's cross-process knowledge supports a clean check-in handoff while she develops speed.</t>
  </si>
  <si>
    <t xml:space="preserve">Eamon's peak-wave reliability keeps key/fuel reconciliation moving.</t>
  </si>
  <si>
    <t xml:space="preserve">Odile's high inspection accuracy and checklist discipline provide reliable damage evidence while she builds conversation confidence.</t>
  </si>
  <si>
    <t xml:space="preserve">RL-04</t>
  </si>
  <si>
    <t xml:space="preserve">PM Peak</t>
  </si>
  <si>
    <t xml:space="preserve">RL-05</t>
  </si>
  <si>
    <t xml:space="preserve">RL-06</t>
  </si>
  <si>
    <t xml:space="preserve">RL-07</t>
  </si>
  <si>
    <t xml:space="preserve">RL-08</t>
  </si>
  <si>
    <t xml:space="preserve">COMPARISON — prior period vs next week</t>
  </si>
  <si>
    <t xml:space="preserve">Prior period</t>
  </si>
  <si>
    <t xml:space="preserve">Next week</t>
  </si>
  <si>
    <t xml:space="preserve">Change</t>
  </si>
  <si>
    <t xml:space="preserve">Percent change</t>
  </si>
  <si>
    <t xml:space="preserve">Material-change flag</t>
  </si>
  <si>
    <t xml:space="preserve">Operational explanation</t>
  </si>
  <si>
    <t xml:space="preserve">Baseline desk coverage retained across eight shifts.</t>
  </si>
  <si>
    <t xml:space="preserve">One additional active shift supports peak-return throughput.</t>
  </si>
  <si>
    <t xml:space="preserve">Demand remains at prior-period level with continuity rotation.</t>
  </si>
  <si>
    <t xml:space="preserve">New dedicated position every shift from Monday, authorized after airport chargeback.</t>
  </si>
  <si>
    <t xml:space="preserve">Shift coverage summary</t>
  </si>
  <si>
    <t xml:space="preserve">Required positions</t>
  </si>
  <si>
    <t xml:space="preserve">Covered positions</t>
  </si>
  <si>
    <t xml:space="preserve">Distinct active clerks</t>
  </si>
  <si>
    <t xml:space="preserve">Shift coverage status</t>
  </si>
  <si>
    <t xml:space="preserve">Weekly active assignments by clerk</t>
  </si>
  <si>
    <t xml:space="preserve">Clerk</t>
  </si>
  <si>
    <t xml:space="preserve">Active assignments (Planned + Standby)</t>
  </si>
  <si>
    <t xml:space="preserve">Manager sign-off name (TO COMPLETE)</t>
  </si>
  <si>
    <t xml:space="preserve">Manager sign-off date (TO COMPLETE)</t>
  </si>
  <si>
    <t xml:space="preserve">Approved status</t>
  </si>
  <si>
    <t xml:space="preserve">Approved reason code</t>
  </si>
  <si>
    <t xml:space="preserve">Clerk roster</t>
  </si>
  <si>
    <t xml:space="preserve">Standby</t>
  </si>
  <si>
    <t xml:space="preserve">Released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</si>
</sst>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dd\-mmm\-yyyy"/>
    <numFmt numFmtId="167" formatCode="General"/>
    <numFmt numFmtId="168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F6B78"/>
      </patternFill>
    </fill>
    <fill>
      <patternFill patternType="solid">
        <fgColor rgb="FF0F6B78"/>
        <bgColor rgb="FF008080"/>
      </patternFill>
    </fill>
    <fill>
      <patternFill patternType="solid">
        <fgColor rgb="FFFFF2CC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F6B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E7E6E6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B7C9D6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3"/>
    </row>
    <row r="4" customFormat="false" ht="15" hidden="false" customHeight="false" outlineLevel="0" collapsed="false">
      <c r="A4" s="2" t="s">
        <v>2</v>
      </c>
      <c r="B4" s="3" t="s">
        <v>3</v>
      </c>
    </row>
    <row r="5" customFormat="false" ht="15" hidden="false" customHeight="false" outlineLevel="0" collapsed="false">
      <c r="A5" s="2" t="s">
        <v>4</v>
      </c>
      <c r="B5" s="4" t="n">
        <v>46258</v>
      </c>
    </row>
    <row r="6" customFormat="false" ht="15" hidden="false" customHeight="false" outlineLevel="0" collapsed="false">
      <c r="A6" s="2" t="s">
        <v>5</v>
      </c>
      <c r="B6" s="3" t="s">
        <v>6</v>
      </c>
    </row>
    <row r="7" customFormat="false" ht="15" hidden="false" customHeight="false" outlineLevel="0" collapsed="false">
      <c r="A7" s="2" t="s">
        <v>7</v>
      </c>
      <c r="B7" s="3" t="s">
        <v>8</v>
      </c>
    </row>
    <row r="8" customFormat="false" ht="15" hidden="false" customHeight="false" outlineLevel="0" collapsed="false">
      <c r="A8" s="2" t="s">
        <v>9</v>
      </c>
      <c r="B8" s="3" t="s">
        <v>10</v>
      </c>
    </row>
    <row r="9" customFormat="false" ht="15" hidden="false" customHeight="false" outlineLevel="0" collapsed="false">
      <c r="A9" s="2" t="s">
        <v>11</v>
      </c>
      <c r="B9" s="3" t="s">
        <v>12</v>
      </c>
    </row>
    <row r="10" customFormat="false" ht="15" hidden="false" customHeight="false" outlineLevel="0" collapsed="false">
      <c r="A10" s="2" t="s">
        <v>13</v>
      </c>
      <c r="B10" s="3" t="s">
        <v>14</v>
      </c>
    </row>
    <row r="11" customFormat="false" ht="28.35" hidden="false" customHeight="false" outlineLevel="0" collapsed="false">
      <c r="A11" s="2" t="s">
        <v>15</v>
      </c>
      <c r="B11" s="3" t="s">
        <v>16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74"/>
    <col collapsed="false" customWidth="true" hidden="false" outlineLevel="0" max="9" min="9" style="0" width="16"/>
    <col collapsed="false" customWidth="true" hidden="false" outlineLevel="0" max="10" min="10" style="0" width="23"/>
  </cols>
  <sheetData>
    <row r="1" customFormat="false" ht="17.35" hidden="false" customHeight="false" outlineLevel="0" collapsed="false">
      <c r="A1" s="5" t="s">
        <v>17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28.35" hidden="false" customHeight="false" outlineLevel="0" collapsed="false">
      <c r="A2" s="6" t="s">
        <v>18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</row>
    <row r="3" customFormat="false" ht="15" hidden="false" customHeight="false" outlineLevel="0" collapsed="false">
      <c r="A3" s="7" t="s">
        <v>28</v>
      </c>
      <c r="B3" s="8" t="n">
        <v>46258</v>
      </c>
      <c r="C3" s="7" t="s">
        <v>29</v>
      </c>
      <c r="D3" s="7" t="s">
        <v>30</v>
      </c>
      <c r="E3" s="9" t="s">
        <v>31</v>
      </c>
      <c r="F3" s="9" t="s">
        <v>32</v>
      </c>
      <c r="G3" s="9" t="s">
        <v>33</v>
      </c>
      <c r="H3" s="7" t="s">
        <v>34</v>
      </c>
      <c r="I3" s="10" t="n">
        <f aca="false">IF(OR(F3="Planned",F3="Standby"),1,0)</f>
        <v>1</v>
      </c>
      <c r="J3" s="11"/>
    </row>
    <row r="4" customFormat="false" ht="28.35" hidden="false" customHeight="false" outlineLevel="0" collapsed="false">
      <c r="A4" s="7" t="s">
        <v>28</v>
      </c>
      <c r="B4" s="8" t="n">
        <v>46258</v>
      </c>
      <c r="C4" s="7" t="s">
        <v>29</v>
      </c>
      <c r="D4" s="7" t="s">
        <v>35</v>
      </c>
      <c r="E4" s="9" t="s">
        <v>36</v>
      </c>
      <c r="F4" s="9" t="s">
        <v>32</v>
      </c>
      <c r="G4" s="9" t="s">
        <v>37</v>
      </c>
      <c r="H4" s="7" t="s">
        <v>38</v>
      </c>
      <c r="I4" s="10" t="n">
        <f aca="false">IF(OR(F4="Planned",F4="Standby"),1,0)</f>
        <v>1</v>
      </c>
      <c r="J4" s="11"/>
    </row>
    <row r="5" customFormat="false" ht="15" hidden="false" customHeight="false" outlineLevel="0" collapsed="false">
      <c r="A5" s="7" t="s">
        <v>28</v>
      </c>
      <c r="B5" s="8" t="n">
        <v>46258</v>
      </c>
      <c r="C5" s="7" t="s">
        <v>29</v>
      </c>
      <c r="D5" s="7" t="s">
        <v>39</v>
      </c>
      <c r="E5" s="9" t="s">
        <v>40</v>
      </c>
      <c r="F5" s="9" t="s">
        <v>32</v>
      </c>
      <c r="G5" s="9" t="s">
        <v>41</v>
      </c>
      <c r="H5" s="7" t="s">
        <v>42</v>
      </c>
      <c r="I5" s="10" t="n">
        <f aca="false">IF(OR(F5="Planned",F5="Standby"),1,0)</f>
        <v>1</v>
      </c>
      <c r="J5" s="11"/>
    </row>
    <row r="6" customFormat="false" ht="28.35" hidden="false" customHeight="false" outlineLevel="0" collapsed="false">
      <c r="A6" s="7" t="s">
        <v>28</v>
      </c>
      <c r="B6" s="8" t="n">
        <v>46258</v>
      </c>
      <c r="C6" s="7" t="s">
        <v>29</v>
      </c>
      <c r="D6" s="7" t="s">
        <v>43</v>
      </c>
      <c r="E6" s="9" t="s">
        <v>44</v>
      </c>
      <c r="F6" s="9" t="s">
        <v>32</v>
      </c>
      <c r="G6" s="9" t="s">
        <v>45</v>
      </c>
      <c r="H6" s="7" t="s">
        <v>46</v>
      </c>
      <c r="I6" s="10" t="n">
        <f aca="false">IF(OR(F6="Planned",F6="Standby"),1,0)</f>
        <v>1</v>
      </c>
      <c r="J6" s="11"/>
    </row>
    <row r="7" customFormat="false" ht="28.35" hidden="false" customHeight="false" outlineLevel="0" collapsed="false">
      <c r="A7" s="7" t="s">
        <v>47</v>
      </c>
      <c r="B7" s="8" t="n">
        <v>46258</v>
      </c>
      <c r="C7" s="7" t="s">
        <v>48</v>
      </c>
      <c r="D7" s="7" t="s">
        <v>30</v>
      </c>
      <c r="E7" s="9" t="s">
        <v>49</v>
      </c>
      <c r="F7" s="9" t="s">
        <v>32</v>
      </c>
      <c r="G7" s="9" t="s">
        <v>50</v>
      </c>
      <c r="H7" s="7" t="s">
        <v>51</v>
      </c>
      <c r="I7" s="10" t="n">
        <f aca="false">IF(OR(F7="Planned",F7="Standby"),1,0)</f>
        <v>1</v>
      </c>
      <c r="J7" s="11"/>
    </row>
    <row r="8" customFormat="false" ht="28.35" hidden="false" customHeight="false" outlineLevel="0" collapsed="false">
      <c r="A8" s="7" t="s">
        <v>47</v>
      </c>
      <c r="B8" s="8" t="n">
        <v>46258</v>
      </c>
      <c r="C8" s="7" t="s">
        <v>48</v>
      </c>
      <c r="D8" s="7" t="s">
        <v>35</v>
      </c>
      <c r="E8" s="9" t="s">
        <v>36</v>
      </c>
      <c r="F8" s="9" t="s">
        <v>32</v>
      </c>
      <c r="G8" s="9" t="s">
        <v>37</v>
      </c>
      <c r="H8" s="7" t="s">
        <v>38</v>
      </c>
      <c r="I8" s="10" t="n">
        <f aca="false">IF(OR(F8="Planned",F8="Standby"),1,0)</f>
        <v>1</v>
      </c>
      <c r="J8" s="11"/>
    </row>
    <row r="9" customFormat="false" ht="28.35" hidden="false" customHeight="false" outlineLevel="0" collapsed="false">
      <c r="A9" s="7" t="s">
        <v>47</v>
      </c>
      <c r="B9" s="8" t="n">
        <v>46258</v>
      </c>
      <c r="C9" s="7" t="s">
        <v>48</v>
      </c>
      <c r="D9" s="7" t="s">
        <v>39</v>
      </c>
      <c r="E9" s="9" t="s">
        <v>49</v>
      </c>
      <c r="F9" s="9" t="s">
        <v>32</v>
      </c>
      <c r="G9" s="9" t="s">
        <v>50</v>
      </c>
      <c r="H9" s="7" t="s">
        <v>52</v>
      </c>
      <c r="I9" s="10" t="n">
        <f aca="false">IF(OR(F9="Planned",F9="Standby"),1,0)</f>
        <v>1</v>
      </c>
      <c r="J9" s="11"/>
    </row>
    <row r="10" customFormat="false" ht="28.35" hidden="false" customHeight="false" outlineLevel="0" collapsed="false">
      <c r="A10" s="7" t="s">
        <v>47</v>
      </c>
      <c r="B10" s="8" t="n">
        <v>46258</v>
      </c>
      <c r="C10" s="7" t="s">
        <v>48</v>
      </c>
      <c r="D10" s="7" t="s">
        <v>43</v>
      </c>
      <c r="E10" s="9" t="s">
        <v>44</v>
      </c>
      <c r="F10" s="9" t="s">
        <v>32</v>
      </c>
      <c r="G10" s="9" t="s">
        <v>45</v>
      </c>
      <c r="H10" s="7" t="s">
        <v>46</v>
      </c>
      <c r="I10" s="10" t="n">
        <f aca="false">IF(OR(F10="Planned",F10="Standby"),1,0)</f>
        <v>1</v>
      </c>
      <c r="J10" s="11"/>
    </row>
    <row r="11" customFormat="false" ht="15" hidden="false" customHeight="false" outlineLevel="0" collapsed="false">
      <c r="A11" s="7" t="s">
        <v>53</v>
      </c>
      <c r="B11" s="8" t="n">
        <v>46259</v>
      </c>
      <c r="C11" s="7" t="s">
        <v>54</v>
      </c>
      <c r="D11" s="7" t="s">
        <v>30</v>
      </c>
      <c r="E11" s="9" t="s">
        <v>31</v>
      </c>
      <c r="F11" s="9" t="s">
        <v>32</v>
      </c>
      <c r="G11" s="9" t="s">
        <v>33</v>
      </c>
      <c r="H11" s="7" t="s">
        <v>34</v>
      </c>
      <c r="I11" s="10" t="n">
        <f aca="false">IF(OR(F11="Planned",F11="Standby"),1,0)</f>
        <v>1</v>
      </c>
      <c r="J11" s="11"/>
    </row>
    <row r="12" customFormat="false" ht="28.35" hidden="false" customHeight="false" outlineLevel="0" collapsed="false">
      <c r="A12" s="7" t="s">
        <v>53</v>
      </c>
      <c r="B12" s="8" t="n">
        <v>46259</v>
      </c>
      <c r="C12" s="7" t="s">
        <v>54</v>
      </c>
      <c r="D12" s="7" t="s">
        <v>35</v>
      </c>
      <c r="E12" s="9" t="s">
        <v>31</v>
      </c>
      <c r="F12" s="9" t="s">
        <v>32</v>
      </c>
      <c r="G12" s="9" t="s">
        <v>33</v>
      </c>
      <c r="H12" s="7" t="s">
        <v>55</v>
      </c>
      <c r="I12" s="10" t="n">
        <f aca="false">IF(OR(F12="Planned",F12="Standby"),1,0)</f>
        <v>1</v>
      </c>
      <c r="J12" s="11"/>
    </row>
    <row r="13" customFormat="false" ht="15" hidden="false" customHeight="false" outlineLevel="0" collapsed="false">
      <c r="A13" s="7" t="s">
        <v>53</v>
      </c>
      <c r="B13" s="8" t="n">
        <v>46259</v>
      </c>
      <c r="C13" s="7" t="s">
        <v>54</v>
      </c>
      <c r="D13" s="7" t="s">
        <v>39</v>
      </c>
      <c r="E13" s="9" t="s">
        <v>36</v>
      </c>
      <c r="F13" s="9" t="s">
        <v>32</v>
      </c>
      <c r="G13" s="9" t="s">
        <v>37</v>
      </c>
      <c r="H13" s="7" t="s">
        <v>56</v>
      </c>
      <c r="I13" s="10" t="n">
        <f aca="false">IF(OR(F13="Planned",F13="Standby"),1,0)</f>
        <v>1</v>
      </c>
      <c r="J13" s="11"/>
    </row>
    <row r="14" customFormat="false" ht="28.35" hidden="false" customHeight="false" outlineLevel="0" collapsed="false">
      <c r="A14" s="7" t="s">
        <v>53</v>
      </c>
      <c r="B14" s="8" t="n">
        <v>46259</v>
      </c>
      <c r="C14" s="7" t="s">
        <v>54</v>
      </c>
      <c r="D14" s="7" t="s">
        <v>43</v>
      </c>
      <c r="E14" s="9" t="s">
        <v>40</v>
      </c>
      <c r="F14" s="9" t="s">
        <v>32</v>
      </c>
      <c r="G14" s="9" t="s">
        <v>41</v>
      </c>
      <c r="H14" s="7" t="s">
        <v>57</v>
      </c>
      <c r="I14" s="10" t="n">
        <f aca="false">IF(OR(F14="Planned",F14="Standby"),1,0)</f>
        <v>1</v>
      </c>
      <c r="J14" s="11"/>
    </row>
    <row r="15" customFormat="false" ht="28.35" hidden="false" customHeight="false" outlineLevel="0" collapsed="false">
      <c r="A15" s="7" t="s">
        <v>58</v>
      </c>
      <c r="B15" s="8" t="n">
        <v>46260</v>
      </c>
      <c r="C15" s="7" t="s">
        <v>59</v>
      </c>
      <c r="D15" s="7" t="s">
        <v>30</v>
      </c>
      <c r="E15" s="9" t="s">
        <v>49</v>
      </c>
      <c r="F15" s="9" t="s">
        <v>32</v>
      </c>
      <c r="G15" s="9" t="s">
        <v>50</v>
      </c>
      <c r="H15" s="7" t="s">
        <v>51</v>
      </c>
      <c r="I15" s="10" t="n">
        <f aca="false">IF(OR(F15="Planned",F15="Standby"),1,0)</f>
        <v>1</v>
      </c>
      <c r="J15" s="11"/>
    </row>
    <row r="16" customFormat="false" ht="28.35" hidden="false" customHeight="false" outlineLevel="0" collapsed="false">
      <c r="A16" s="7" t="s">
        <v>58</v>
      </c>
      <c r="B16" s="8" t="n">
        <v>46260</v>
      </c>
      <c r="C16" s="7" t="s">
        <v>59</v>
      </c>
      <c r="D16" s="7" t="s">
        <v>35</v>
      </c>
      <c r="E16" s="9" t="s">
        <v>36</v>
      </c>
      <c r="F16" s="9" t="s">
        <v>32</v>
      </c>
      <c r="G16" s="9" t="s">
        <v>37</v>
      </c>
      <c r="H16" s="7" t="s">
        <v>38</v>
      </c>
      <c r="I16" s="10" t="n">
        <f aca="false">IF(OR(F16="Planned",F16="Standby"),1,0)</f>
        <v>1</v>
      </c>
      <c r="J16" s="11"/>
    </row>
    <row r="17" customFormat="false" ht="15" hidden="false" customHeight="false" outlineLevel="0" collapsed="false">
      <c r="A17" s="7" t="s">
        <v>58</v>
      </c>
      <c r="B17" s="8" t="n">
        <v>46260</v>
      </c>
      <c r="C17" s="7" t="s">
        <v>59</v>
      </c>
      <c r="D17" s="7" t="s">
        <v>39</v>
      </c>
      <c r="E17" s="9" t="s">
        <v>40</v>
      </c>
      <c r="F17" s="9" t="s">
        <v>32</v>
      </c>
      <c r="G17" s="9" t="s">
        <v>41</v>
      </c>
      <c r="H17" s="7" t="s">
        <v>42</v>
      </c>
      <c r="I17" s="10" t="n">
        <f aca="false">IF(OR(F17="Planned",F17="Standby"),1,0)</f>
        <v>1</v>
      </c>
      <c r="J17" s="11"/>
    </row>
    <row r="18" customFormat="false" ht="28.35" hidden="false" customHeight="false" outlineLevel="0" collapsed="false">
      <c r="A18" s="7" t="s">
        <v>58</v>
      </c>
      <c r="B18" s="8" t="n">
        <v>46260</v>
      </c>
      <c r="C18" s="7" t="s">
        <v>59</v>
      </c>
      <c r="D18" s="7" t="s">
        <v>43</v>
      </c>
      <c r="E18" s="9" t="s">
        <v>44</v>
      </c>
      <c r="F18" s="9" t="s">
        <v>32</v>
      </c>
      <c r="G18" s="9" t="s">
        <v>45</v>
      </c>
      <c r="H18" s="7" t="s">
        <v>46</v>
      </c>
      <c r="I18" s="10" t="n">
        <f aca="false">IF(OR(F18="Planned",F18="Standby"),1,0)</f>
        <v>1</v>
      </c>
      <c r="J18" s="11"/>
    </row>
    <row r="19" customFormat="false" ht="15" hidden="false" customHeight="false" outlineLevel="0" collapsed="false">
      <c r="A19" s="7" t="s">
        <v>60</v>
      </c>
      <c r="B19" s="8" t="n">
        <v>46261</v>
      </c>
      <c r="C19" s="7" t="s">
        <v>54</v>
      </c>
      <c r="D19" s="7" t="s">
        <v>30</v>
      </c>
      <c r="E19" s="9" t="s">
        <v>31</v>
      </c>
      <c r="F19" s="9" t="s">
        <v>32</v>
      </c>
      <c r="G19" s="9" t="s">
        <v>33</v>
      </c>
      <c r="H19" s="7" t="s">
        <v>34</v>
      </c>
      <c r="I19" s="10" t="n">
        <f aca="false">IF(OR(F19="Planned",F19="Standby"),1,0)</f>
        <v>1</v>
      </c>
      <c r="J19" s="11"/>
    </row>
    <row r="20" customFormat="false" ht="28.35" hidden="false" customHeight="false" outlineLevel="0" collapsed="false">
      <c r="A20" s="7" t="s">
        <v>60</v>
      </c>
      <c r="B20" s="8" t="n">
        <v>46261</v>
      </c>
      <c r="C20" s="7" t="s">
        <v>54</v>
      </c>
      <c r="D20" s="7" t="s">
        <v>35</v>
      </c>
      <c r="E20" s="9" t="s">
        <v>31</v>
      </c>
      <c r="F20" s="9" t="s">
        <v>32</v>
      </c>
      <c r="G20" s="9" t="s">
        <v>33</v>
      </c>
      <c r="H20" s="7" t="s">
        <v>55</v>
      </c>
      <c r="I20" s="10" t="n">
        <f aca="false">IF(OR(F20="Planned",F20="Standby"),1,0)</f>
        <v>1</v>
      </c>
      <c r="J20" s="11"/>
    </row>
    <row r="21" customFormat="false" ht="15" hidden="false" customHeight="false" outlineLevel="0" collapsed="false">
      <c r="A21" s="7" t="s">
        <v>60</v>
      </c>
      <c r="B21" s="8" t="n">
        <v>46261</v>
      </c>
      <c r="C21" s="7" t="s">
        <v>54</v>
      </c>
      <c r="D21" s="7" t="s">
        <v>39</v>
      </c>
      <c r="E21" s="9" t="s">
        <v>36</v>
      </c>
      <c r="F21" s="9" t="s">
        <v>32</v>
      </c>
      <c r="G21" s="9" t="s">
        <v>37</v>
      </c>
      <c r="H21" s="7" t="s">
        <v>56</v>
      </c>
      <c r="I21" s="10" t="n">
        <f aca="false">IF(OR(F21="Planned",F21="Standby"),1,0)</f>
        <v>1</v>
      </c>
      <c r="J21" s="11"/>
    </row>
    <row r="22" customFormat="false" ht="28.35" hidden="false" customHeight="false" outlineLevel="0" collapsed="false">
      <c r="A22" s="7" t="s">
        <v>60</v>
      </c>
      <c r="B22" s="8" t="n">
        <v>46261</v>
      </c>
      <c r="C22" s="7" t="s">
        <v>54</v>
      </c>
      <c r="D22" s="7" t="s">
        <v>43</v>
      </c>
      <c r="E22" s="9" t="s">
        <v>40</v>
      </c>
      <c r="F22" s="9" t="s">
        <v>32</v>
      </c>
      <c r="G22" s="9" t="s">
        <v>41</v>
      </c>
      <c r="H22" s="7" t="s">
        <v>57</v>
      </c>
      <c r="I22" s="10" t="n">
        <f aca="false">IF(OR(F22="Planned",F22="Standby"),1,0)</f>
        <v>1</v>
      </c>
      <c r="J22" s="11"/>
    </row>
    <row r="23" customFormat="false" ht="28.35" hidden="false" customHeight="false" outlineLevel="0" collapsed="false">
      <c r="A23" s="7" t="s">
        <v>61</v>
      </c>
      <c r="B23" s="8" t="n">
        <v>46262</v>
      </c>
      <c r="C23" s="7" t="s">
        <v>59</v>
      </c>
      <c r="D23" s="7" t="s">
        <v>30</v>
      </c>
      <c r="E23" s="9" t="s">
        <v>49</v>
      </c>
      <c r="F23" s="9" t="s">
        <v>32</v>
      </c>
      <c r="G23" s="9" t="s">
        <v>50</v>
      </c>
      <c r="H23" s="7" t="s">
        <v>51</v>
      </c>
      <c r="I23" s="10" t="n">
        <f aca="false">IF(OR(F23="Planned",F23="Standby"),1,0)</f>
        <v>1</v>
      </c>
      <c r="J23" s="11"/>
    </row>
    <row r="24" customFormat="false" ht="28.35" hidden="false" customHeight="false" outlineLevel="0" collapsed="false">
      <c r="A24" s="7" t="s">
        <v>61</v>
      </c>
      <c r="B24" s="8" t="n">
        <v>46262</v>
      </c>
      <c r="C24" s="7" t="s">
        <v>59</v>
      </c>
      <c r="D24" s="7" t="s">
        <v>35</v>
      </c>
      <c r="E24" s="9" t="s">
        <v>36</v>
      </c>
      <c r="F24" s="9" t="s">
        <v>32</v>
      </c>
      <c r="G24" s="9" t="s">
        <v>37</v>
      </c>
      <c r="H24" s="7" t="s">
        <v>38</v>
      </c>
      <c r="I24" s="10" t="n">
        <f aca="false">IF(OR(F24="Planned",F24="Standby"),1,0)</f>
        <v>1</v>
      </c>
      <c r="J24" s="11"/>
    </row>
    <row r="25" customFormat="false" ht="28.35" hidden="false" customHeight="false" outlineLevel="0" collapsed="false">
      <c r="A25" s="7" t="s">
        <v>61</v>
      </c>
      <c r="B25" s="8" t="n">
        <v>46262</v>
      </c>
      <c r="C25" s="7" t="s">
        <v>59</v>
      </c>
      <c r="D25" s="7" t="s">
        <v>39</v>
      </c>
      <c r="E25" s="9" t="s">
        <v>49</v>
      </c>
      <c r="F25" s="9" t="s">
        <v>32</v>
      </c>
      <c r="G25" s="9" t="s">
        <v>50</v>
      </c>
      <c r="H25" s="7" t="s">
        <v>52</v>
      </c>
      <c r="I25" s="10" t="n">
        <f aca="false">IF(OR(F25="Planned",F25="Standby"),1,0)</f>
        <v>1</v>
      </c>
      <c r="J25" s="11"/>
    </row>
    <row r="26" customFormat="false" ht="28.35" hidden="false" customHeight="false" outlineLevel="0" collapsed="false">
      <c r="A26" s="7" t="s">
        <v>61</v>
      </c>
      <c r="B26" s="8" t="n">
        <v>46262</v>
      </c>
      <c r="C26" s="7" t="s">
        <v>59</v>
      </c>
      <c r="D26" s="7" t="s">
        <v>43</v>
      </c>
      <c r="E26" s="9" t="s">
        <v>44</v>
      </c>
      <c r="F26" s="9" t="s">
        <v>32</v>
      </c>
      <c r="G26" s="9" t="s">
        <v>45</v>
      </c>
      <c r="H26" s="7" t="s">
        <v>46</v>
      </c>
      <c r="I26" s="10" t="n">
        <f aca="false">IF(OR(F26="Planned",F26="Standby"),1,0)</f>
        <v>1</v>
      </c>
      <c r="J26" s="11"/>
    </row>
    <row r="27" customFormat="false" ht="28.35" hidden="false" customHeight="false" outlineLevel="0" collapsed="false">
      <c r="A27" s="7" t="s">
        <v>62</v>
      </c>
      <c r="B27" s="8" t="n">
        <v>46263</v>
      </c>
      <c r="C27" s="7" t="s">
        <v>29</v>
      </c>
      <c r="D27" s="7" t="s">
        <v>30</v>
      </c>
      <c r="E27" s="9" t="s">
        <v>49</v>
      </c>
      <c r="F27" s="9" t="s">
        <v>32</v>
      </c>
      <c r="G27" s="9" t="s">
        <v>50</v>
      </c>
      <c r="H27" s="7" t="s">
        <v>51</v>
      </c>
      <c r="I27" s="10" t="n">
        <f aca="false">IF(OR(F27="Planned",F27="Standby"),1,0)</f>
        <v>1</v>
      </c>
      <c r="J27" s="11"/>
    </row>
    <row r="28" customFormat="false" ht="28.35" hidden="false" customHeight="false" outlineLevel="0" collapsed="false">
      <c r="A28" s="7" t="s">
        <v>62</v>
      </c>
      <c r="B28" s="8" t="n">
        <v>46263</v>
      </c>
      <c r="C28" s="7" t="s">
        <v>29</v>
      </c>
      <c r="D28" s="7" t="s">
        <v>35</v>
      </c>
      <c r="E28" s="9" t="s">
        <v>36</v>
      </c>
      <c r="F28" s="9" t="s">
        <v>32</v>
      </c>
      <c r="G28" s="9" t="s">
        <v>37</v>
      </c>
      <c r="H28" s="7" t="s">
        <v>38</v>
      </c>
      <c r="I28" s="10" t="n">
        <f aca="false">IF(OR(F28="Planned",F28="Standby"),1,0)</f>
        <v>1</v>
      </c>
      <c r="J28" s="11"/>
    </row>
    <row r="29" customFormat="false" ht="15" hidden="false" customHeight="false" outlineLevel="0" collapsed="false">
      <c r="A29" s="7" t="s">
        <v>62</v>
      </c>
      <c r="B29" s="8" t="n">
        <v>46263</v>
      </c>
      <c r="C29" s="7" t="s">
        <v>29</v>
      </c>
      <c r="D29" s="7" t="s">
        <v>39</v>
      </c>
      <c r="E29" s="9" t="s">
        <v>40</v>
      </c>
      <c r="F29" s="9" t="s">
        <v>32</v>
      </c>
      <c r="G29" s="9" t="s">
        <v>41</v>
      </c>
      <c r="H29" s="7" t="s">
        <v>42</v>
      </c>
      <c r="I29" s="10" t="n">
        <f aca="false">IF(OR(F29="Planned",F29="Standby"),1,0)</f>
        <v>1</v>
      </c>
      <c r="J29" s="11"/>
    </row>
    <row r="30" customFormat="false" ht="28.35" hidden="false" customHeight="false" outlineLevel="0" collapsed="false">
      <c r="A30" s="7" t="s">
        <v>62</v>
      </c>
      <c r="B30" s="8" t="n">
        <v>46263</v>
      </c>
      <c r="C30" s="7" t="s">
        <v>29</v>
      </c>
      <c r="D30" s="7" t="s">
        <v>43</v>
      </c>
      <c r="E30" s="9" t="s">
        <v>44</v>
      </c>
      <c r="F30" s="9" t="s">
        <v>32</v>
      </c>
      <c r="G30" s="9" t="s">
        <v>45</v>
      </c>
      <c r="H30" s="7" t="s">
        <v>46</v>
      </c>
      <c r="I30" s="10" t="n">
        <f aca="false">IF(OR(F30="Planned",F30="Standby"),1,0)</f>
        <v>1</v>
      </c>
      <c r="J30" s="11"/>
    </row>
    <row r="31" customFormat="false" ht="15" hidden="false" customHeight="false" outlineLevel="0" collapsed="false">
      <c r="A31" s="7" t="s">
        <v>63</v>
      </c>
      <c r="B31" s="8" t="n">
        <v>46264</v>
      </c>
      <c r="C31" s="7" t="s">
        <v>48</v>
      </c>
      <c r="D31" s="7" t="s">
        <v>30</v>
      </c>
      <c r="E31" s="9" t="s">
        <v>31</v>
      </c>
      <c r="F31" s="9" t="s">
        <v>32</v>
      </c>
      <c r="G31" s="9" t="s">
        <v>33</v>
      </c>
      <c r="H31" s="7" t="s">
        <v>34</v>
      </c>
      <c r="I31" s="10" t="n">
        <f aca="false">IF(OR(F31="Planned",F31="Standby"),1,0)</f>
        <v>1</v>
      </c>
      <c r="J31" s="11"/>
    </row>
    <row r="32" customFormat="false" ht="28.35" hidden="false" customHeight="false" outlineLevel="0" collapsed="false">
      <c r="A32" s="7" t="s">
        <v>63</v>
      </c>
      <c r="B32" s="8" t="n">
        <v>46264</v>
      </c>
      <c r="C32" s="7" t="s">
        <v>48</v>
      </c>
      <c r="D32" s="7" t="s">
        <v>35</v>
      </c>
      <c r="E32" s="9" t="s">
        <v>36</v>
      </c>
      <c r="F32" s="9" t="s">
        <v>32</v>
      </c>
      <c r="G32" s="9" t="s">
        <v>37</v>
      </c>
      <c r="H32" s="7" t="s">
        <v>38</v>
      </c>
      <c r="I32" s="10" t="n">
        <f aca="false">IF(OR(F32="Planned",F32="Standby"),1,0)</f>
        <v>1</v>
      </c>
      <c r="J32" s="11"/>
    </row>
    <row r="33" customFormat="false" ht="15" hidden="false" customHeight="false" outlineLevel="0" collapsed="false">
      <c r="A33" s="7" t="s">
        <v>63</v>
      </c>
      <c r="B33" s="8" t="n">
        <v>46264</v>
      </c>
      <c r="C33" s="7" t="s">
        <v>48</v>
      </c>
      <c r="D33" s="7" t="s">
        <v>39</v>
      </c>
      <c r="E33" s="9" t="s">
        <v>36</v>
      </c>
      <c r="F33" s="9" t="s">
        <v>32</v>
      </c>
      <c r="G33" s="9" t="s">
        <v>37</v>
      </c>
      <c r="H33" s="7" t="s">
        <v>56</v>
      </c>
      <c r="I33" s="10" t="n">
        <f aca="false">IF(OR(F33="Planned",F33="Standby"),1,0)</f>
        <v>1</v>
      </c>
      <c r="J33" s="11"/>
    </row>
    <row r="34" customFormat="false" ht="28.35" hidden="false" customHeight="false" outlineLevel="0" collapsed="false">
      <c r="A34" s="7" t="s">
        <v>63</v>
      </c>
      <c r="B34" s="8" t="n">
        <v>46264</v>
      </c>
      <c r="C34" s="7" t="s">
        <v>48</v>
      </c>
      <c r="D34" s="7" t="s">
        <v>43</v>
      </c>
      <c r="E34" s="9" t="s">
        <v>40</v>
      </c>
      <c r="F34" s="9" t="s">
        <v>32</v>
      </c>
      <c r="G34" s="9" t="s">
        <v>41</v>
      </c>
      <c r="H34" s="7" t="s">
        <v>57</v>
      </c>
      <c r="I34" s="10" t="n">
        <f aca="false">IF(OR(F34="Planned",F34="Standby"),1,0)</f>
        <v>1</v>
      </c>
      <c r="J34" s="11"/>
    </row>
  </sheetData>
  <sheetProtection sheet="true" password="ead6"/>
  <autoFilter ref="A2:J34"/>
  <mergeCells count="1">
    <mergeCell ref="A1:J1"/>
  </mergeCells>
  <conditionalFormatting sqref="F3:F34">
    <cfRule type="expression" priority="2" aboveAverage="0" equalAverage="0" bottom="0" percent="0" rank="0" text="" dxfId="6">
      <formula>F3="Planned"</formula>
    </cfRule>
    <cfRule type="expression" priority="3" aboveAverage="0" equalAverage="0" bottom="0" percent="0" rank="0" text="" dxfId="7">
      <formula>F3="Standby"</formula>
    </cfRule>
    <cfRule type="expression" priority="4" aboveAverage="0" equalAverage="0" bottom="0" percent="0" rank="0" text="" dxfId="8">
      <formula>F3="Released"</formula>
    </cfRule>
  </conditionalFormatting>
  <conditionalFormatting sqref="I3:I34">
    <cfRule type="cellIs" priority="5" operator="equal" aboveAverage="0" equalAverage="0" bottom="0" percent="0" rank="0" text="" dxfId="9">
      <formula>0</formula>
    </cfRule>
  </conditionalFormatting>
  <dataValidations count="3">
    <dataValidation allowBlank="false" errorStyle="stop" operator="between" showDropDown="false" showErrorMessage="false" showInputMessage="false" sqref="F3:F34" type="list">
      <formula1>StatusList</formula1>
      <formula2>0</formula2>
    </dataValidation>
    <dataValidation allowBlank="false" errorStyle="stop" operator="between" showDropDown="false" showErrorMessage="false" showInputMessage="false" sqref="G3:G34" type="list">
      <formula1>ReasonList</formula1>
      <formula2>0</formula2>
    </dataValidation>
    <dataValidation allowBlank="false" errorStyle="stop" operator="between" showDropDown="false" showErrorMessage="false" showInputMessage="false" sqref="E3:E34" type="list">
      <formula1>ClerkList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6"/>
    <col collapsed="false" customWidth="true" hidden="false" outlineLevel="0" max="6" min="6" style="0" width="20"/>
    <col collapsed="false" customWidth="true" hidden="false" outlineLevel="0" max="7" min="7" style="0" width="72"/>
  </cols>
  <sheetData>
    <row r="1" customFormat="false" ht="17.35" hidden="false" customHeight="false" outlineLevel="0" collapsed="false">
      <c r="A1" s="5" t="s">
        <v>64</v>
      </c>
      <c r="B1" s="5"/>
      <c r="C1" s="5"/>
      <c r="D1" s="5"/>
      <c r="E1" s="5"/>
      <c r="F1" s="5"/>
      <c r="G1" s="5"/>
    </row>
    <row r="2" customFormat="false" ht="15" hidden="false" customHeight="false" outlineLevel="0" collapsed="false">
      <c r="A2" s="12" t="s">
        <v>21</v>
      </c>
      <c r="B2" s="12" t="s">
        <v>65</v>
      </c>
      <c r="C2" s="12" t="s">
        <v>66</v>
      </c>
      <c r="D2" s="12" t="s">
        <v>67</v>
      </c>
      <c r="E2" s="12" t="s">
        <v>68</v>
      </c>
      <c r="F2" s="12" t="s">
        <v>69</v>
      </c>
      <c r="G2" s="12" t="s">
        <v>70</v>
      </c>
    </row>
    <row r="3" customFormat="false" ht="15" hidden="false" customHeight="false" outlineLevel="0" collapsed="false">
      <c r="A3" s="0" t="s">
        <v>30</v>
      </c>
      <c r="B3" s="0" t="n">
        <v>6</v>
      </c>
      <c r="C3" s="0" t="n">
        <f aca="false">COUNTIFS('Staffing Plan'!$D$3:$D$34,A3,'Staffing Plan'!$F$3:$F$34,"Planned")+COUNTIFS('Staffing Plan'!$D$3:$D$34,A3,'Staffing Plan'!$F$3:$F$34,"Standby")</f>
        <v>8</v>
      </c>
      <c r="D3" s="0" t="n">
        <f aca="false">C3-B3</f>
        <v>2</v>
      </c>
      <c r="E3" s="13" t="n">
        <f aca="false">IFERROR(D3/B3,IF(C3&gt;0,1,0))</f>
        <v>0.333333333333333</v>
      </c>
      <c r="F3" s="0" t="str">
        <f aca="false">IF(OR(ABS(E3)&gt;=10%,ABS(D3)&gt;=2),"MATERIAL","Routine")</f>
        <v>MATERIAL</v>
      </c>
      <c r="G3" s="14" t="s">
        <v>71</v>
      </c>
    </row>
    <row r="4" customFormat="false" ht="15" hidden="false" customHeight="false" outlineLevel="0" collapsed="false">
      <c r="A4" s="0" t="s">
        <v>35</v>
      </c>
      <c r="B4" s="0" t="n">
        <v>6</v>
      </c>
      <c r="C4" s="0" t="n">
        <f aca="false">COUNTIFS('Staffing Plan'!$D$3:$D$34,A4,'Staffing Plan'!$F$3:$F$34,"Planned")+COUNTIFS('Staffing Plan'!$D$3:$D$34,A4,'Staffing Plan'!$F$3:$F$34,"Standby")</f>
        <v>8</v>
      </c>
      <c r="D4" s="0" t="n">
        <f aca="false">C4-B4</f>
        <v>2</v>
      </c>
      <c r="E4" s="13" t="n">
        <f aca="false">IFERROR(D4/B4,IF(C4&gt;0,1,0))</f>
        <v>0.333333333333333</v>
      </c>
      <c r="F4" s="0" t="str">
        <f aca="false">IF(OR(ABS(E4)&gt;=10%,ABS(D4)&gt;=2),"MATERIAL","Routine")</f>
        <v>MATERIAL</v>
      </c>
      <c r="G4" s="14" t="s">
        <v>72</v>
      </c>
    </row>
    <row r="5" customFormat="false" ht="15" hidden="false" customHeight="false" outlineLevel="0" collapsed="false">
      <c r="A5" s="0" t="s">
        <v>39</v>
      </c>
      <c r="B5" s="0" t="n">
        <v>6</v>
      </c>
      <c r="C5" s="0" t="n">
        <f aca="false">COUNTIFS('Staffing Plan'!$D$3:$D$34,A5,'Staffing Plan'!$F$3:$F$34,"Planned")+COUNTIFS('Staffing Plan'!$D$3:$D$34,A5,'Staffing Plan'!$F$3:$F$34,"Standby")</f>
        <v>8</v>
      </c>
      <c r="D5" s="0" t="n">
        <f aca="false">C5-B5</f>
        <v>2</v>
      </c>
      <c r="E5" s="13" t="n">
        <f aca="false">IFERROR(D5/B5,IF(C5&gt;0,1,0))</f>
        <v>0.333333333333333</v>
      </c>
      <c r="F5" s="0" t="str">
        <f aca="false">IF(OR(ABS(E5)&gt;=10%,ABS(D5)&gt;=2),"MATERIAL","Routine")</f>
        <v>MATERIAL</v>
      </c>
      <c r="G5" s="14" t="s">
        <v>73</v>
      </c>
    </row>
    <row r="6" customFormat="false" ht="15" hidden="false" customHeight="false" outlineLevel="0" collapsed="false">
      <c r="A6" s="0" t="s">
        <v>43</v>
      </c>
      <c r="B6" s="0" t="n">
        <v>0</v>
      </c>
      <c r="C6" s="0" t="n">
        <f aca="false">COUNTIFS('Staffing Plan'!$D$3:$D$34,A6,'Staffing Plan'!$F$3:$F$34,"Planned")+COUNTIFS('Staffing Plan'!$D$3:$D$34,A6,'Staffing Plan'!$F$3:$F$34,"Standby")</f>
        <v>8</v>
      </c>
      <c r="D6" s="0" t="n">
        <f aca="false">C6-B6</f>
        <v>8</v>
      </c>
      <c r="E6" s="13" t="n">
        <f aca="false">IFERROR(D6/B6,IF(C6&gt;0,1,0))</f>
        <v>1</v>
      </c>
      <c r="F6" s="0" t="str">
        <f aca="false">IF(OR(ABS(E6)&gt;=10%,ABS(D6)&gt;=2),"MATERIAL","Routine")</f>
        <v>MATERIAL</v>
      </c>
      <c r="G6" s="14" t="s">
        <v>74</v>
      </c>
    </row>
    <row r="9" customFormat="false" ht="15" hidden="false" customHeight="false" outlineLevel="0" collapsed="false">
      <c r="A9" s="2" t="s">
        <v>75</v>
      </c>
    </row>
    <row r="10" customFormat="false" ht="15" hidden="false" customHeight="false" outlineLevel="0" collapsed="false">
      <c r="A10" s="12" t="s">
        <v>18</v>
      </c>
      <c r="B10" s="12" t="s">
        <v>19</v>
      </c>
      <c r="C10" s="12" t="s">
        <v>20</v>
      </c>
      <c r="D10" s="12" t="s">
        <v>76</v>
      </c>
      <c r="E10" s="12" t="s">
        <v>77</v>
      </c>
      <c r="F10" s="12" t="s">
        <v>78</v>
      </c>
      <c r="G10" s="12" t="s">
        <v>79</v>
      </c>
    </row>
    <row r="11" customFormat="false" ht="15" hidden="false" customHeight="false" outlineLevel="0" collapsed="false">
      <c r="A11" s="0" t="s">
        <v>28</v>
      </c>
      <c r="B11" s="15" t="n">
        <v>46258</v>
      </c>
      <c r="C11" s="14" t="s">
        <v>29</v>
      </c>
      <c r="D11" s="14" t="n">
        <f aca="false">COUNTIF('Staffing Plan'!$A$3:$A$34,A11)</f>
        <v>4</v>
      </c>
      <c r="E11" s="14" t="n">
        <f aca="false">SUMIF('Staffing Plan'!$A$3:$A$34,A11,'Staffing Plan'!$I$3:$I$34)</f>
        <v>4</v>
      </c>
      <c r="F11" s="14" t="n">
        <f aca="false">SUMPRODUCT(--((COUNTIFS('Staffing Plan'!$A$3:$A$34,A11,'Staffing Plan'!$E$3:$E$34,Lists!$C$2:$C$6,'Staffing Plan'!$F$3:$F$34,"Planned")+COUNTIFS('Staffing Plan'!$A$3:$A$34,A11,'Staffing Plan'!$E$3:$E$34,Lists!$C$2:$C$6,'Staffing Plan'!$F$3:$F$34,"Standby"))&gt;0))</f>
        <v>4</v>
      </c>
      <c r="G11" s="0" t="str">
        <f aca="false">IF(E11=D11,"Covered","Uncovered")</f>
        <v>Covered</v>
      </c>
    </row>
    <row r="12" customFormat="false" ht="15" hidden="false" customHeight="false" outlineLevel="0" collapsed="false">
      <c r="A12" s="0" t="s">
        <v>47</v>
      </c>
      <c r="B12" s="15" t="n">
        <v>46258</v>
      </c>
      <c r="C12" s="14" t="s">
        <v>48</v>
      </c>
      <c r="D12" s="14" t="n">
        <f aca="false">COUNTIF('Staffing Plan'!$A$3:$A$34,A12)</f>
        <v>4</v>
      </c>
      <c r="E12" s="14" t="n">
        <f aca="false">SUMIF('Staffing Plan'!$A$3:$A$34,A12,'Staffing Plan'!$I$3:$I$34)</f>
        <v>4</v>
      </c>
      <c r="F12" s="14" t="n">
        <f aca="false">SUMPRODUCT(--((COUNTIFS('Staffing Plan'!$A$3:$A$34,A12,'Staffing Plan'!$E$3:$E$34,Lists!$C$2:$C$6,'Staffing Plan'!$F$3:$F$34,"Planned")+COUNTIFS('Staffing Plan'!$A$3:$A$34,A12,'Staffing Plan'!$E$3:$E$34,Lists!$C$2:$C$6,'Staffing Plan'!$F$3:$F$34,"Standby"))&gt;0))</f>
        <v>3</v>
      </c>
      <c r="G12" s="0" t="str">
        <f aca="false">IF(E12=D12,"Covered","Uncovered")</f>
        <v>Covered</v>
      </c>
    </row>
    <row r="13" customFormat="false" ht="15" hidden="false" customHeight="false" outlineLevel="0" collapsed="false">
      <c r="A13" s="0" t="s">
        <v>53</v>
      </c>
      <c r="B13" s="15" t="n">
        <v>46259</v>
      </c>
      <c r="C13" s="14" t="s">
        <v>54</v>
      </c>
      <c r="D13" s="14" t="n">
        <f aca="false">COUNTIF('Staffing Plan'!$A$3:$A$34,A13)</f>
        <v>4</v>
      </c>
      <c r="E13" s="14" t="n">
        <f aca="false">SUMIF('Staffing Plan'!$A$3:$A$34,A13,'Staffing Plan'!$I$3:$I$34)</f>
        <v>4</v>
      </c>
      <c r="F13" s="14" t="n">
        <f aca="false">SUMPRODUCT(--((COUNTIFS('Staffing Plan'!$A$3:$A$34,A13,'Staffing Plan'!$E$3:$E$34,Lists!$C$2:$C$6,'Staffing Plan'!$F$3:$F$34,"Planned")+COUNTIFS('Staffing Plan'!$A$3:$A$34,A13,'Staffing Plan'!$E$3:$E$34,Lists!$C$2:$C$6,'Staffing Plan'!$F$3:$F$34,"Standby"))&gt;0))</f>
        <v>3</v>
      </c>
      <c r="G13" s="0" t="str">
        <f aca="false">IF(E13=D13,"Covered","Uncovered")</f>
        <v>Covered</v>
      </c>
    </row>
    <row r="14" customFormat="false" ht="15" hidden="false" customHeight="false" outlineLevel="0" collapsed="false">
      <c r="A14" s="0" t="s">
        <v>58</v>
      </c>
      <c r="B14" s="15" t="n">
        <v>46260</v>
      </c>
      <c r="C14" s="14" t="s">
        <v>59</v>
      </c>
      <c r="D14" s="14" t="n">
        <f aca="false">COUNTIF('Staffing Plan'!$A$3:$A$34,A14)</f>
        <v>4</v>
      </c>
      <c r="E14" s="14" t="n">
        <f aca="false">SUMIF('Staffing Plan'!$A$3:$A$34,A14,'Staffing Plan'!$I$3:$I$34)</f>
        <v>4</v>
      </c>
      <c r="F14" s="14" t="n">
        <f aca="false">SUMPRODUCT(--((COUNTIFS('Staffing Plan'!$A$3:$A$34,A14,'Staffing Plan'!$E$3:$E$34,Lists!$C$2:$C$6,'Staffing Plan'!$F$3:$F$34,"Planned")+COUNTIFS('Staffing Plan'!$A$3:$A$34,A14,'Staffing Plan'!$E$3:$E$34,Lists!$C$2:$C$6,'Staffing Plan'!$F$3:$F$34,"Standby"))&gt;0))</f>
        <v>4</v>
      </c>
      <c r="G14" s="0" t="str">
        <f aca="false">IF(E14=D14,"Covered","Uncovered")</f>
        <v>Covered</v>
      </c>
    </row>
    <row r="15" customFormat="false" ht="15" hidden="false" customHeight="false" outlineLevel="0" collapsed="false">
      <c r="A15" s="0" t="s">
        <v>60</v>
      </c>
      <c r="B15" s="15" t="n">
        <v>46261</v>
      </c>
      <c r="C15" s="14" t="s">
        <v>54</v>
      </c>
      <c r="D15" s="14" t="n">
        <f aca="false">COUNTIF('Staffing Plan'!$A$3:$A$34,A15)</f>
        <v>4</v>
      </c>
      <c r="E15" s="14" t="n">
        <f aca="false">SUMIF('Staffing Plan'!$A$3:$A$34,A15,'Staffing Plan'!$I$3:$I$34)</f>
        <v>4</v>
      </c>
      <c r="F15" s="14" t="n">
        <f aca="false">SUMPRODUCT(--((COUNTIFS('Staffing Plan'!$A$3:$A$34,A15,'Staffing Plan'!$E$3:$E$34,Lists!$C$2:$C$6,'Staffing Plan'!$F$3:$F$34,"Planned")+COUNTIFS('Staffing Plan'!$A$3:$A$34,A15,'Staffing Plan'!$E$3:$E$34,Lists!$C$2:$C$6,'Staffing Plan'!$F$3:$F$34,"Standby"))&gt;0))</f>
        <v>3</v>
      </c>
      <c r="G15" s="0" t="str">
        <f aca="false">IF(E15=D15,"Covered","Uncovered")</f>
        <v>Covered</v>
      </c>
    </row>
    <row r="16" customFormat="false" ht="15" hidden="false" customHeight="false" outlineLevel="0" collapsed="false">
      <c r="A16" s="0" t="s">
        <v>61</v>
      </c>
      <c r="B16" s="15" t="n">
        <v>46262</v>
      </c>
      <c r="C16" s="14" t="s">
        <v>59</v>
      </c>
      <c r="D16" s="14" t="n">
        <f aca="false">COUNTIF('Staffing Plan'!$A$3:$A$34,A16)</f>
        <v>4</v>
      </c>
      <c r="E16" s="14" t="n">
        <f aca="false">SUMIF('Staffing Plan'!$A$3:$A$34,A16,'Staffing Plan'!$I$3:$I$34)</f>
        <v>4</v>
      </c>
      <c r="F16" s="14" t="n">
        <f aca="false">SUMPRODUCT(--((COUNTIFS('Staffing Plan'!$A$3:$A$34,A16,'Staffing Plan'!$E$3:$E$34,Lists!$C$2:$C$6,'Staffing Plan'!$F$3:$F$34,"Planned")+COUNTIFS('Staffing Plan'!$A$3:$A$34,A16,'Staffing Plan'!$E$3:$E$34,Lists!$C$2:$C$6,'Staffing Plan'!$F$3:$F$34,"Standby"))&gt;0))</f>
        <v>3</v>
      </c>
      <c r="G16" s="0" t="str">
        <f aca="false">IF(E16=D16,"Covered","Uncovered")</f>
        <v>Covered</v>
      </c>
    </row>
    <row r="17" customFormat="false" ht="15" hidden="false" customHeight="false" outlineLevel="0" collapsed="false">
      <c r="A17" s="0" t="s">
        <v>62</v>
      </c>
      <c r="B17" s="15" t="n">
        <v>46263</v>
      </c>
      <c r="C17" s="14" t="s">
        <v>29</v>
      </c>
      <c r="D17" s="14" t="n">
        <f aca="false">COUNTIF('Staffing Plan'!$A$3:$A$34,A17)</f>
        <v>4</v>
      </c>
      <c r="E17" s="14" t="n">
        <f aca="false">SUMIF('Staffing Plan'!$A$3:$A$34,A17,'Staffing Plan'!$I$3:$I$34)</f>
        <v>4</v>
      </c>
      <c r="F17" s="14" t="n">
        <f aca="false">SUMPRODUCT(--((COUNTIFS('Staffing Plan'!$A$3:$A$34,A17,'Staffing Plan'!$E$3:$E$34,Lists!$C$2:$C$6,'Staffing Plan'!$F$3:$F$34,"Planned")+COUNTIFS('Staffing Plan'!$A$3:$A$34,A17,'Staffing Plan'!$E$3:$E$34,Lists!$C$2:$C$6,'Staffing Plan'!$F$3:$F$34,"Standby"))&gt;0))</f>
        <v>4</v>
      </c>
      <c r="G17" s="0" t="str">
        <f aca="false">IF(E17=D17,"Covered","Uncovered")</f>
        <v>Covered</v>
      </c>
    </row>
    <row r="18" customFormat="false" ht="15" hidden="false" customHeight="false" outlineLevel="0" collapsed="false">
      <c r="A18" s="0" t="s">
        <v>63</v>
      </c>
      <c r="B18" s="15" t="n">
        <v>46264</v>
      </c>
      <c r="C18" s="14" t="s">
        <v>48</v>
      </c>
      <c r="D18" s="14" t="n">
        <f aca="false">COUNTIF('Staffing Plan'!$A$3:$A$34,A18)</f>
        <v>4</v>
      </c>
      <c r="E18" s="14" t="n">
        <f aca="false">SUMIF('Staffing Plan'!$A$3:$A$34,A18,'Staffing Plan'!$I$3:$I$34)</f>
        <v>4</v>
      </c>
      <c r="F18" s="14" t="n">
        <f aca="false">SUMPRODUCT(--((COUNTIFS('Staffing Plan'!$A$3:$A$34,A18,'Staffing Plan'!$E$3:$E$34,Lists!$C$2:$C$6,'Staffing Plan'!$F$3:$F$34,"Planned")+COUNTIFS('Staffing Plan'!$A$3:$A$34,A18,'Staffing Plan'!$E$3:$E$34,Lists!$C$2:$C$6,'Staffing Plan'!$F$3:$F$34,"Standby"))&gt;0))</f>
        <v>3</v>
      </c>
      <c r="G18" s="0" t="str">
        <f aca="false">IF(E18=D18,"Covered","Uncovered")</f>
        <v>Covered</v>
      </c>
    </row>
    <row r="21" customFormat="false" ht="15" hidden="false" customHeight="false" outlineLevel="0" collapsed="false">
      <c r="A21" s="2" t="s">
        <v>80</v>
      </c>
    </row>
    <row r="22" customFormat="false" ht="15" hidden="false" customHeight="false" outlineLevel="0" collapsed="false">
      <c r="A22" s="0" t="s">
        <v>81</v>
      </c>
      <c r="B22" s="0" t="s">
        <v>82</v>
      </c>
      <c r="C22" s="0" t="s">
        <v>27</v>
      </c>
    </row>
    <row r="23" customFormat="false" ht="15" hidden="false" customHeight="false" outlineLevel="0" collapsed="false">
      <c r="A23" s="0" t="s">
        <v>44</v>
      </c>
      <c r="B23" s="0" t="n">
        <f aca="false">COUNTIFS('Staffing Plan'!$E$3:$E$34,A23,'Staffing Plan'!$F$3:$F$34,"Planned")+COUNTIFS('Staffing Plan'!$E$3:$E$34,A23,'Staffing Plan'!$F$3:$F$34,"Standby")</f>
        <v>5</v>
      </c>
      <c r="C23" s="16"/>
    </row>
    <row r="24" customFormat="false" ht="15" hidden="false" customHeight="false" outlineLevel="0" collapsed="false">
      <c r="A24" s="0" t="s">
        <v>40</v>
      </c>
      <c r="B24" s="0" t="n">
        <f aca="false">COUNTIFS('Staffing Plan'!$E$3:$E$34,A24,'Staffing Plan'!$F$3:$F$34,"Planned")+COUNTIFS('Staffing Plan'!$E$3:$E$34,A24,'Staffing Plan'!$F$3:$F$34,"Standby")</f>
        <v>6</v>
      </c>
      <c r="C24" s="16"/>
    </row>
    <row r="25" customFormat="false" ht="15" hidden="false" customHeight="false" outlineLevel="0" collapsed="false">
      <c r="A25" s="0" t="s">
        <v>36</v>
      </c>
      <c r="B25" s="0" t="n">
        <f aca="false">COUNTIFS('Staffing Plan'!$E$3:$E$34,A25,'Staffing Plan'!$F$3:$F$34,"Planned")+COUNTIFS('Staffing Plan'!$E$3:$E$34,A25,'Staffing Plan'!$F$3:$F$34,"Standby")</f>
        <v>9</v>
      </c>
      <c r="C25" s="16"/>
    </row>
    <row r="26" customFormat="false" ht="15" hidden="false" customHeight="false" outlineLevel="0" collapsed="false">
      <c r="A26" s="0" t="s">
        <v>49</v>
      </c>
      <c r="B26" s="0" t="n">
        <f aca="false">COUNTIFS('Staffing Plan'!$E$3:$E$34,A26,'Staffing Plan'!$F$3:$F$34,"Planned")+COUNTIFS('Staffing Plan'!$E$3:$E$34,A26,'Staffing Plan'!$F$3:$F$34,"Standby")</f>
        <v>6</v>
      </c>
      <c r="C26" s="16"/>
    </row>
    <row r="27" customFormat="false" ht="15" hidden="false" customHeight="false" outlineLevel="0" collapsed="false">
      <c r="A27" s="0" t="s">
        <v>31</v>
      </c>
      <c r="B27" s="0" t="n">
        <f aca="false">COUNTIFS('Staffing Plan'!$E$3:$E$34,A27,'Staffing Plan'!$F$3:$F$34,"Planned")+COUNTIFS('Staffing Plan'!$E$3:$E$34,A27,'Staffing Plan'!$F$3:$F$34,"Standby")</f>
        <v>6</v>
      </c>
      <c r="C27" s="16"/>
    </row>
    <row r="30" customFormat="false" ht="15" hidden="false" customHeight="false" outlineLevel="0" collapsed="false">
      <c r="A30" s="0" t="s">
        <v>83</v>
      </c>
      <c r="B30" s="17"/>
    </row>
    <row r="31" customFormat="false" ht="15" hidden="false" customHeight="false" outlineLevel="0" collapsed="false">
      <c r="A31" s="0" t="s">
        <v>84</v>
      </c>
      <c r="B31" s="17"/>
    </row>
  </sheetData>
  <sheetProtection sheet="true" password="ead6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85</v>
      </c>
      <c r="B1" s="0" t="s">
        <v>86</v>
      </c>
      <c r="C1" s="0" t="s">
        <v>87</v>
      </c>
    </row>
    <row r="2" customFormat="false" ht="15" hidden="false" customHeight="false" outlineLevel="0" collapsed="false">
      <c r="A2" s="0" t="s">
        <v>32</v>
      </c>
      <c r="B2" s="0" t="s">
        <v>45</v>
      </c>
      <c r="C2" s="0" t="s">
        <v>44</v>
      </c>
    </row>
    <row r="3" customFormat="false" ht="15" hidden="false" customHeight="false" outlineLevel="0" collapsed="false">
      <c r="A3" s="0" t="s">
        <v>88</v>
      </c>
      <c r="B3" s="0" t="s">
        <v>41</v>
      </c>
      <c r="C3" s="0" t="s">
        <v>40</v>
      </c>
    </row>
    <row r="4" customFormat="false" ht="15" hidden="false" customHeight="false" outlineLevel="0" collapsed="false">
      <c r="A4" s="0" t="s">
        <v>89</v>
      </c>
      <c r="B4" s="0" t="s">
        <v>37</v>
      </c>
      <c r="C4" s="0" t="s">
        <v>36</v>
      </c>
    </row>
    <row r="5" customFormat="false" ht="15" hidden="false" customHeight="false" outlineLevel="0" collapsed="false">
      <c r="B5" s="0" t="s">
        <v>50</v>
      </c>
      <c r="C5" s="0" t="s">
        <v>49</v>
      </c>
    </row>
    <row r="6" customFormat="false" ht="15" hidden="false" customHeight="false" outlineLevel="0" collapsed="false">
      <c r="B6" s="0" t="s">
        <v>33</v>
      </c>
      <c r="C6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2026-08-20T19:07:07Z</dcterms:created>
  <dc:creator>openpyxl</dc:creator>
  <dc:description/>
  <dc:language>en-US</dc:language>
  <cp:lastModifiedBy/>
  <dcterms:modified xsi:type="dcterms:W3CDTF">2026-08-20T19:07:07Z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