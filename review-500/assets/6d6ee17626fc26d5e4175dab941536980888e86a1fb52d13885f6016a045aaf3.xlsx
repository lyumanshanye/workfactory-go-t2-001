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ssion register" sheetId="1" state="visible" r:id="rId1"/>
  </sheets>
  <definedNames>
    <definedName name="_xlnm._FilterDatabase" localSheetId="0" hidden="1">'Concession register'!$A$10:$H$20</definedName>
    <definedName name="_xlnm.Print_Titles" localSheetId="0">'Concession register'!$1:$10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9">
    <font>
      <name val="Calibri"/>
      <family val="2"/>
      <color theme="1"/>
      <sz val="11"/>
      <scheme val="minor"/>
    </font>
    <font>
      <b val="1"/>
      <color rgb="001F3750"/>
      <sz val="14"/>
    </font>
    <font>
      <i val="1"/>
      <color rgb="0052677A"/>
    </font>
    <font>
      <b val="1"/>
      <color rgb="00FFFFFF"/>
    </font>
    <font>
      <b val="1"/>
    </font>
    <font>
      <b val="1"/>
      <color rgb="001F5378"/>
    </font>
    <font>
      <b val="1"/>
      <color rgb="009C0006"/>
    </font>
    <font>
      <b val="1"/>
      <color rgb="0052677A"/>
    </font>
    <font>
      <i val="1"/>
      <color rgb="007A8894"/>
      <sz val="8"/>
    </font>
  </fonts>
  <fills count="5">
    <fill>
      <patternFill/>
    </fill>
    <fill>
      <patternFill patternType="gray125"/>
    </fill>
    <fill>
      <patternFill patternType="solid">
        <fgColor rgb="001F5378"/>
      </patternFill>
    </fill>
    <fill>
      <patternFill patternType="solid">
        <fgColor rgb="00FFC7CE"/>
      </patternFill>
    </fill>
    <fill>
      <patternFill patternType="solid">
        <fgColor rgb="0052677A"/>
      </patternFill>
    </fill>
  </fills>
  <borders count="2">
    <border>
      <left/>
      <right/>
      <top/>
      <bottom/>
      <diagonal/>
    </border>
    <border>
      <bottom style="hair">
        <color rgb="00D9E1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0" fontId="3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30" customWidth="1" min="3" max="3"/>
    <col width="65" customWidth="1" min="4" max="4"/>
    <col width="24" customWidth="1" min="5" max="5"/>
    <col width="16" customWidth="1" min="6" max="6"/>
    <col width="22" customWidth="1" min="7" max="7"/>
    <col width="20" customWidth="1" min="8" max="8"/>
  </cols>
  <sheetData>
    <row r="1">
      <c r="A1" s="1" t="inlineStr">
        <is>
          <t>VELLUMSTONE PRESS — SPONSORSHIP CONCESSION REGISTER</t>
        </is>
      </c>
    </row>
    <row r="2">
      <c r="A2" s="2" t="inlineStr">
        <is>
          <t>Tanneryside Bureau | Thursday meeting | Twelve-page supplement | UK practice at 1 Feb 2025</t>
        </is>
      </c>
    </row>
    <row r="3">
      <c r="A3" s="3" t="inlineStr">
        <is>
          <t>Financial assumptions (editable numeric inputs)</t>
        </is>
      </c>
    </row>
    <row r="4">
      <c r="A4" s="4" t="inlineStr">
        <is>
          <t>Sponsorship revenue</t>
        </is>
      </c>
      <c r="B4" s="5" t="n">
        <v>240000</v>
      </c>
      <c r="D4" s="4" t="inlineStr">
        <is>
          <t>Baseline contribution</t>
        </is>
      </c>
      <c r="E4" s="6">
        <f>B4-B5</f>
        <v/>
      </c>
    </row>
    <row r="5">
      <c r="A5" s="4" t="inlineStr">
        <is>
          <t>Direct production cost</t>
        </is>
      </c>
      <c r="B5" s="5" t="n">
        <v>72000</v>
      </c>
    </row>
    <row r="6">
      <c r="A6" s="4" t="inlineStr">
        <is>
          <t>Incremental data-cut cost</t>
        </is>
      </c>
      <c r="B6" s="5" t="n">
        <v>6000</v>
      </c>
    </row>
    <row r="7">
      <c r="A7" s="4" t="inlineStr">
        <is>
          <t>Displaced advertising: half-page reply</t>
        </is>
      </c>
      <c r="B7" s="5" t="n">
        <v>10000</v>
      </c>
    </row>
    <row r="10" ht="32" customHeight="1">
      <c r="A10" s="7" t="inlineStr">
        <is>
          <t>Seq / status</t>
        </is>
      </c>
      <c r="B10" s="7" t="inlineStr">
        <is>
          <t>Topic / request</t>
        </is>
      </c>
      <c r="C10" s="7" t="inlineStr">
        <is>
          <t>Offer or boundary</t>
        </is>
      </c>
      <c r="D10" s="7" t="inlineStr">
        <is>
          <t>Conditions / operating detail</t>
        </is>
      </c>
      <c r="E10" s="7" t="inlineStr">
        <is>
          <t>Owner / authority</t>
        </is>
      </c>
      <c r="F10" s="7" t="inlineStr">
        <is>
          <t>Financial effect (£)</t>
        </is>
      </c>
      <c r="G10" s="7" t="inlineStr">
        <is>
          <t>Projected contribution (£)</t>
        </is>
      </c>
      <c r="H10" s="7" t="inlineStr">
        <is>
          <t>Record / use</t>
        </is>
      </c>
    </row>
    <row r="11" ht="72" customHeight="1">
      <c r="A11" s="8" t="inlineStr">
        <is>
          <t>1 · OFFER</t>
        </is>
      </c>
      <c r="B11" s="9" t="inlineStr">
        <is>
          <t>Bespoke data cut</t>
        </is>
      </c>
      <c r="C11" s="9" t="inlineStr">
        <is>
          <t>Permitted, bounded offer</t>
        </is>
      </c>
      <c r="D11" s="9" t="inlineStr">
        <is>
          <t>Agreed subject, population and period; aggregated/non-identifying output; methodology, limitations and data/interpretation distinction remain visible; no confidential source data.</t>
        </is>
      </c>
      <c r="E11" s="9" t="inlineStr">
        <is>
          <t>Editorial lead; commercial terms recorded</t>
        </is>
      </c>
      <c r="F11" s="10">
        <f>-B6</f>
        <v/>
      </c>
      <c r="G11" s="10">
        <f>E4+F11</f>
        <v/>
      </c>
      <c r="H11" s="9" t="inlineStr">
        <is>
          <t>Offer first</t>
        </is>
      </c>
    </row>
    <row r="12" ht="72" customHeight="1">
      <c r="A12" s="8" t="inlineStr">
        <is>
          <t>2 · OFFER</t>
        </is>
      </c>
      <c r="B12" s="9" t="inlineStr">
        <is>
          <t>Logo placement</t>
        </is>
      </c>
      <c r="C12" s="9" t="inlineStr">
        <is>
          <t>Permitted, bounded offer</t>
        </is>
      </c>
      <c r="D12" s="9" t="inlineStr">
        <is>
          <t>Sponsorship furniture/designated promotional positions only; prominent “Sponsored supplement” or “Advertisement feature” disclosure; no implication of authorship of independent copy.</t>
        </is>
      </c>
      <c r="E12" s="9" t="inlineStr">
        <is>
          <t>Publisher + design sign-off</t>
        </is>
      </c>
      <c r="F12" s="9" t="inlineStr">
        <is>
          <t>0</t>
        </is>
      </c>
      <c r="G12" s="10">
        <f>E4+F12</f>
        <v/>
      </c>
      <c r="H12" s="9" t="inlineStr">
        <is>
          <t>After data cut</t>
        </is>
      </c>
    </row>
    <row r="13" ht="72" customHeight="1">
      <c r="A13" s="8" t="inlineStr">
        <is>
          <t>3 · OFFER</t>
        </is>
      </c>
      <c r="B13" s="9" t="inlineStr">
        <is>
          <t>Advance sight</t>
        </is>
      </c>
      <c r="C13" s="9" t="inlineStr">
        <is>
          <t>Visibility only; no approval</t>
        </is>
      </c>
      <c r="D13" s="9" t="inlineStr">
        <is>
          <t>Named authorised recipients; two-business-day window; confidential/embargoed, version ID; no redistribution/public use; factual-error flags only; Vellumstone verifies and decides; no fresh approval round; one editorial contact.</t>
        </is>
      </c>
      <c r="E13" s="9" t="inlineStr">
        <is>
          <t>Editorial lead; escalate exceptions</t>
        </is>
      </c>
      <c r="F13" s="9" t="inlineStr">
        <is>
          <t>0</t>
        </is>
      </c>
      <c r="G13" s="10">
        <f>E4+F13</f>
        <v/>
      </c>
      <c r="H13" s="9" t="inlineStr">
        <is>
          <t>After logo</t>
        </is>
      </c>
    </row>
    <row r="14" ht="72" customHeight="1">
      <c r="A14" s="8" t="inlineStr">
        <is>
          <t>4 · FALLBACK</t>
        </is>
      </c>
      <c r="B14" s="9" t="inlineStr">
        <is>
          <t>Same-issue right of reply</t>
        </is>
      </c>
      <c r="C14" s="9" t="inlineStr">
        <is>
          <t>Conditional fallback</t>
        </is>
      </c>
      <c r="D14" s="9" t="inlineStr">
        <is>
          <t>Only for a material statement about Tanneryside/products; not competitor mention. Max half page, same issue, copy due by production deadline; Vellumstone may edit, fact-check, label or decline unfit copy.</t>
        </is>
      </c>
      <c r="E14" s="9" t="inlineStr">
        <is>
          <t>Publisher records; editorial controls text</t>
        </is>
      </c>
      <c r="F14" s="10">
        <f>-B7</f>
        <v/>
      </c>
      <c r="G14" s="10">
        <f>E4+F14</f>
        <v/>
      </c>
      <c r="H14" s="9" t="inlineStr">
        <is>
          <t>After advance sight</t>
        </is>
      </c>
    </row>
    <row r="15" ht="72" customHeight="1">
      <c r="A15" s="11" t="inlineStr">
        <is>
          <t>RED LINE</t>
        </is>
      </c>
      <c r="B15" s="9" t="inlineStr">
        <is>
          <t>Copy approval</t>
        </is>
      </c>
      <c r="C15" s="9" t="inlineStr">
        <is>
          <t>Outside authority</t>
        </is>
      </c>
      <c r="D15" s="9" t="inlineStr">
        <is>
          <t>No sponsor approval, required changes or publication delay.</t>
        </is>
      </c>
      <c r="E15" s="9" t="inlineStr">
        <is>
          <t>Milena must not agree; escalate</t>
        </is>
      </c>
      <c r="F15" s="9" t="inlineStr">
        <is>
          <t>0</t>
        </is>
      </c>
      <c r="G15" s="9" t="inlineStr">
        <is>
          <t>—</t>
        </is>
      </c>
      <c r="H15" s="9" t="inlineStr">
        <is>
          <t>Not in offer ladder</t>
        </is>
      </c>
    </row>
    <row r="16" ht="72" customHeight="1">
      <c r="A16" s="11" t="inlineStr">
        <is>
          <t>RED LINE</t>
        </is>
      </c>
      <c r="B16" s="9" t="inlineStr">
        <is>
          <t>Competitor-based withdrawal / veto</t>
        </is>
      </c>
      <c r="C16" s="9" t="inlineStr">
        <is>
          <t>Outside authority</t>
        </is>
      </c>
      <c r="D16" s="9" t="inlineStr">
        <is>
          <t>No right to pull, suppress or veto coverage naming competing equipment. Apply relevance, evidence, accuracy and fair opportunity to address material criticism.</t>
        </is>
      </c>
      <c r="E16" s="9" t="inlineStr">
        <is>
          <t>Milena must not agree; escalate</t>
        </is>
      </c>
      <c r="F16" s="9" t="inlineStr">
        <is>
          <t>0</t>
        </is>
      </c>
      <c r="G16" s="9" t="inlineStr">
        <is>
          <t>—</t>
        </is>
      </c>
      <c r="H16" s="9" t="inlineStr">
        <is>
          <t>Not in offer ladder</t>
        </is>
      </c>
    </row>
    <row r="17" ht="72" customHeight="1">
      <c r="A17" s="12" t="inlineStr">
        <is>
          <t>CONTROL</t>
        </is>
      </c>
      <c r="B17" s="9" t="inlineStr">
        <is>
          <t>Editorial control</t>
        </is>
      </c>
      <c r="C17" s="9" t="inlineStr">
        <is>
          <t>Retained by Vellumstone</t>
        </is>
      </c>
      <c r="D17" s="9" t="inlineStr">
        <is>
          <t>Commissioning, wording, headlines, images, prominence and publication remain editorial decisions; product claims require ordinary substantiation and review.</t>
        </is>
      </c>
      <c r="E17" s="9" t="inlineStr">
        <is>
          <t>Editorial team</t>
        </is>
      </c>
      <c r="F17" s="9" t="inlineStr">
        <is>
          <t>0</t>
        </is>
      </c>
      <c r="G17" s="9" t="inlineStr">
        <is>
          <t>—</t>
        </is>
      </c>
      <c r="H17" s="9" t="inlineStr">
        <is>
          <t>Applies throughout</t>
        </is>
      </c>
    </row>
    <row r="18" ht="72" customHeight="1">
      <c r="A18" s="12" t="inlineStr">
        <is>
          <t>CONTROL</t>
        </is>
      </c>
      <c r="B18" s="9" t="inlineStr">
        <is>
          <t>Disclosure and separation</t>
        </is>
      </c>
      <c r="C18" s="9" t="inlineStr">
        <is>
          <t>Required safeguard</t>
        </is>
      </c>
      <c r="D18" s="9" t="inlineStr">
        <is>
          <t>Sponsored material clearly and prominently labelled and visually/editorially distinct from independent coverage.</t>
        </is>
      </c>
      <c r="E18" s="9" t="inlineStr">
        <is>
          <t>Publisher + editorial/design</t>
        </is>
      </c>
      <c r="F18" s="9" t="inlineStr">
        <is>
          <t>0</t>
        </is>
      </c>
      <c r="G18" s="9" t="inlineStr">
        <is>
          <t>—</t>
        </is>
      </c>
      <c r="H18" s="9" t="inlineStr">
        <is>
          <t>Applies throughout</t>
        </is>
      </c>
    </row>
    <row r="19" ht="72" customHeight="1">
      <c r="A19" s="12" t="inlineStr">
        <is>
          <t>CONTROL</t>
        </is>
      </c>
      <c r="B19" s="9" t="inlineStr">
        <is>
          <t>Corrections / complaints</t>
        </is>
      </c>
      <c r="C19" s="9" t="inlineStr">
        <is>
          <t>Ordinary process retained</t>
        </is>
      </c>
      <c r="D19" s="9" t="inlineStr">
        <is>
          <t>Genuine errors follow Vellumstone’s normal post-publication corrections or complaints route; no special removal right.</t>
        </is>
      </c>
      <c r="E19" s="9" t="inlineStr">
        <is>
          <t>Editorial lead</t>
        </is>
      </c>
      <c r="F19" s="9" t="inlineStr">
        <is>
          <t>0</t>
        </is>
      </c>
      <c r="G19" s="9" t="inlineStr">
        <is>
          <t>—</t>
        </is>
      </c>
      <c r="H19" s="9" t="inlineStr">
        <is>
          <t>Applies throughout</t>
        </is>
      </c>
    </row>
    <row r="20" ht="72" customHeight="1">
      <c r="A20" s="12" t="inlineStr">
        <is>
          <t>CONTROL</t>
        </is>
      </c>
      <c r="B20" s="9" t="inlineStr">
        <is>
          <t>Authority / recording</t>
        </is>
      </c>
      <c r="C20" s="9" t="inlineStr">
        <is>
          <t>Governance condition</t>
        </is>
      </c>
      <c r="D20" s="9" t="inlineStr">
        <is>
          <t>Commercial and editorial channels stay separate. Beyond-note requests escalate to Milena before agreement; concessions provisional until written confirmation; issue-specific and non-precedent.</t>
        </is>
      </c>
      <c r="E20" s="9" t="inlineStr">
        <is>
          <t>Milena Bonneau</t>
        </is>
      </c>
      <c r="F20" s="9" t="inlineStr">
        <is>
          <t>0</t>
        </is>
      </c>
      <c r="G20" s="9" t="inlineStr">
        <is>
          <t>—</t>
        </is>
      </c>
      <c r="H20" s="9" t="inlineStr">
        <is>
          <t>Record in deal note</t>
        </is>
      </c>
    </row>
    <row r="22">
      <c r="A22" s="13" t="inlineStr">
        <is>
          <t>Scenario check (formula-derived; projected, not guaranteed profit)</t>
        </is>
      </c>
    </row>
    <row r="23">
      <c r="A23" s="4" t="inlineStr">
        <is>
          <t>Baseline</t>
        </is>
      </c>
      <c r="B23" s="5">
        <f>E4</f>
        <v/>
      </c>
      <c r="D23" s="2" t="inlineStr">
        <is>
          <t>Logo placement / advance sight: no separately measurable monetary effect supplied.</t>
        </is>
      </c>
    </row>
    <row r="24">
      <c r="A24" s="4" t="inlineStr">
        <is>
          <t>Data cut</t>
        </is>
      </c>
      <c r="B24" s="5">
        <f>E4-B6</f>
        <v/>
      </c>
    </row>
    <row r="25">
      <c r="A25" s="4" t="inlineStr">
        <is>
          <t>Half-page right of reply</t>
        </is>
      </c>
      <c r="B25" s="5">
        <f>E4-B7</f>
        <v/>
      </c>
    </row>
    <row r="26">
      <c r="A26" s="4" t="inlineStr">
        <is>
          <t>Data cut + half-page reply</t>
        </is>
      </c>
      <c r="B26" s="5">
        <f>E4-B6-B7</f>
        <v/>
      </c>
    </row>
    <row r="28">
      <c r="A28" s="14" t="inlineStr">
        <is>
          <t>Internal working record • update only by written confirmation</t>
        </is>
      </c>
    </row>
  </sheetData>
  <autoFilter ref="A10:H20"/>
  <mergeCells count="6">
    <mergeCell ref="A3:H3"/>
    <mergeCell ref="A2:H2"/>
    <mergeCell ref="A28:H28"/>
    <mergeCell ref="D23:H23"/>
    <mergeCell ref="A1:H1"/>
    <mergeCell ref="A22:H2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2026-08-24T21:23:19Z</dcterms:created>
  <dcterms:modified xmlns:dcterms="http://purl.org/dc/terms/" xmlns:xsi="http://www.w3.org/2001/XMLSchema-instance" xsi:type="dcterms:W3CDTF">2026-08-24T21:23:19Z</dcterms:modified>
</cp:coreProperties>
</file>