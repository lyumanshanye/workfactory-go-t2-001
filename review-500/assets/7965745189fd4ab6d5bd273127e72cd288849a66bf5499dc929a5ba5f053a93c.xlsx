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Change Log" sheetId="3" state="visible" r:id="rId3"/>
    <sheet xmlns:r="http://schemas.openxmlformats.org/officeDocument/2006/relationships" name="Master Data" sheetId="4" state="visible" r:id="rId4"/>
    <sheet xmlns:r="http://schemas.openxmlformats.org/officeDocument/2006/relationships" name="Weekly Input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Exceptions" sheetId="7" state="visible" r:id="rId7"/>
    <sheet xmlns:r="http://schemas.openxmlformats.org/officeDocument/2006/relationships" name="Review Summary" sheetId="8" state="visible" r:id="rId8"/>
  </sheets>
  <definedNames>
    <definedName name="AsOfWeek">'Parameters'!$D$5</definedName>
    <definedName name="FullCycleMin">'Parameters'!$D$6</definedName>
    <definedName name="RecentWeeks">'Parameters'!$D$7</definedName>
    <definedName name="PriorWeeks">'Parameters'!$D$8</definedName>
    <definedName name="MinHistory">'Parameters'!$D$9</definedName>
    <definedName name="MinInStockDays">'Parameters'!$D$10</definedName>
    <definedName name="OwnDecline">'Parameters'!$D$11</definedName>
    <definedName name="PeerGapThreshold">'Parameters'!$D$12</definedName>
    <definedName name="LowBaseThreshold">'Parameters'!$D$13</definedName>
    <definedName name="ReorderUplift">'Parameters'!$D$14</definedName>
    <definedName name="WeeksSupplyCap">'Parameters'!$D$15</definedName>
    <definedName name="MaterialThreshold">'Parameters'!$D$16</definedName>
    <definedName name="BroadShare">'Parameters'!$D$17</definedName>
    <definedName name="Weekly_Input_Week_Ending">'Weekly Input'!$A$5:$A$504</definedName>
    <definedName name="Weekly_Input_Master_Check">'Weekly Input'!$J$5:$J$504</definedName>
    <definedName name="_xlnm.Print_Titles" localSheetId="0">'Read Me'!$1:$3</definedName>
    <definedName name="_xlnm.Print_Area" localSheetId="0">'Read Me'!$A$1:$B$16</definedName>
    <definedName name="_xlnm._FilterDatabase" localSheetId="4" hidden="1">'Weekly Input'!$A$4:$J$504</definedName>
    <definedName name="_xlnm._FilterDatabase" localSheetId="5" hidden="1">'Model'!$A$4:$AD$504</definedName>
    <definedName name="_xlnm._FilterDatabase" localSheetId="6" hidden="1">'Exceptions'!$A$4:$W$204</definedName>
    <definedName name="_xlnm.Print_Titles" localSheetId="6">'Exceptions'!$1:$3</definedName>
    <definedName name="_xlnm.Print_Area" localSheetId="6">'Exceptions'!$A$1:$W$35</definedName>
    <definedName name="_xlnm._FilterDatabase" localSheetId="7" hidden="1">'Review Summary'!$A$4:$O$12</definedName>
    <definedName name="_xlnm.Print_Titles" localSheetId="7">'Review Summary'!$1:$3</definedName>
    <definedName name="_xlnm.Print_Area" localSheetId="7">'Review Summary'!$A$1:$O$14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$#,##0.00"/>
    <numFmt numFmtId="167" formatCode="0.000"/>
    <numFmt numFmtId="168" formatCode="0.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46E7A"/>
    </font>
    <font>
      <b val="1"/>
      <color rgb="0017365D"/>
      <sz val="12"/>
    </font>
    <font>
      <b val="1"/>
      <color rgb="0017365D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165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0" pivotButton="0" quotePrefix="0" xfId="0"/>
    <xf numFmtId="2" fontId="0" fillId="3" borderId="0" pivotButton="0" quotePrefix="0" xfId="0"/>
    <xf numFmtId="166" fontId="0" fillId="3" borderId="0" pivotButton="0" quotePrefix="0" xfId="0"/>
    <xf numFmtId="1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165" fontId="0" fillId="6" borderId="0" pivotButton="0" quotePrefix="0" xfId="0"/>
    <xf numFmtId="167" fontId="0" fillId="6" borderId="0" pivotButton="0" quotePrefix="0" xfId="0"/>
    <xf numFmtId="164" fontId="0" fillId="6" borderId="0" pivotButton="0" quotePrefix="0" xfId="0"/>
    <xf numFmtId="168" fontId="0" fillId="6" borderId="0" pivotButton="0" quotePrefix="0" xfId="0"/>
    <xf numFmtId="1" fontId="0" fillId="6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ameters" displayName="tblParameters" ref="A4:F17" headerRowCount="1">
  <autoFilter ref="A4:F17"/>
  <tableColumns count="6">
    <tableColumn id="1" name="Control"/>
    <tableColumn id="2" name="Definition"/>
    <tableColumn id="3" name="Allowed Range"/>
    <tableColumn id="4" name="Selected Value"/>
    <tableColumn id="5" name="Unit / Direction"/>
    <tableColumn id="6" name="Prospective rational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ChangeLog" displayName="tblChangeLog" ref="A4:F16" headerRowCount="1">
  <autoFilter ref="A4:F16"/>
  <tableColumns count="6">
    <tableColumn id="1" name="Control name"/>
    <tableColumn id="2" name="Prior pilot value"/>
    <tableColumn id="3" name="New selected value"/>
    <tableColumn id="4" name="Authorized owner"/>
    <tableColumn id="5" name="Effective week"/>
    <tableColumn id="6" name="Reas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Stores" displayName="tblStores" ref="A5:D145" headerRowCount="1">
  <autoFilter ref="A5:D145"/>
  <tableColumns count="4">
    <tableColumn id="1" name="Store ID"/>
    <tableColumn id="2" name="Store Name"/>
    <tableColumn id="3" name="Region"/>
    <tableColumn id="4" name="Shelf-Set Da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SKUs" displayName="tblSKUs" ref="F5:I13" headerRowCount="1">
  <autoFilter ref="F5:I13"/>
  <tableColumns count="4">
    <tableColumn id="6" name="SKU"/>
    <tableColumn id="7" name="Description"/>
    <tableColumn id="8" name="Category"/>
    <tableColumn id="9" name="Pack Siz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WeeklyInput" displayName="tblWeeklyInput" ref="A4:J504" headerRowCount="1">
  <autoFilter ref="A4:J504"/>
  <tableColumns count="10">
    <tableColumn id="1" name="Week Ending"/>
    <tableColumn id="2" name="Store ID"/>
    <tableColumn id="3" name="SKU"/>
    <tableColumn id="4" name="Units Sold"/>
    <tableColumn id="5" name="Net Sales"/>
    <tableColumn id="6" name="Receipts"/>
    <tableColumn id="7" name="On Hand Qty"/>
    <tableColumn id="8" name="In-Stock Days"/>
    <tableColumn id="9" name="Duplicate Key Check"/>
    <tableColumn id="10" name="Master Check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Model" displayName="tblModel" ref="A4:AD504" headerRowCount="1">
  <autoFilter ref="A4:AD504"/>
  <tableColumns count="30">
    <tableColumn id="1" name="Row Key"/>
    <tableColumn id="2" name="Store ID"/>
    <tableColumn id="3" name="SKU"/>
    <tableColumn id="4" name="Store Name"/>
    <tableColumn id="5" name="Category"/>
    <tableColumn id="6" name="Week Ending"/>
    <tableColumn id="7" name="Shelf-Set Date"/>
    <tableColumn id="8" name="Shelf-Cycle Age (days)"/>
    <tableColumn id="9" name="Valid Master"/>
    <tableColumn id="10" name="In-Stock Sufficient"/>
    <tableColumn id="11" name="Full Cycle"/>
    <tableColumn id="12" name="Eligible"/>
    <tableColumn id="13" name="Normalized Velocity"/>
    <tableColumn id="14" name="History Count"/>
    <tableColumn id="15" name="Latest Week"/>
    <tableColumn id="16" name="Recent Velocity"/>
    <tableColumn id="17" name="Prior Velocity"/>
    <tableColumn id="18" name="Own Change"/>
    <tableColumn id="19" name="SKU Peer Velocity"/>
    <tableColumn id="20" name="Peer Gap"/>
    <tableColumn id="21" name="Inventory Cover (weeks)"/>
    <tableColumn id="22" name="Outcome"/>
    <tableColumn id="23" name="Reason Code"/>
    <tableColumn id="24" name="Action"/>
    <tableColumn id="25" name="Severity"/>
    <tableColumn id="26" name="Material Change"/>
    <tableColumn id="27" name="Driver"/>
    <tableColumn id="28" name="Current Row"/>
    <tableColumn id="29" name="Action Priority"/>
    <tableColumn id="30" name="Exception Rank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Exceptions" displayName="tblExceptions" ref="A4:W204" headerRowCount="1">
  <autoFilter ref="A4:W204"/>
  <tableColumns count="23">
    <tableColumn id="1" name="Store ID"/>
    <tableColumn id="2" name="SKU"/>
    <tableColumn id="3" name="Store Name"/>
    <tableColumn id="4" name="Category"/>
    <tableColumn id="5" name="Week Ending"/>
    <tableColumn id="6" name="Shelf-Set Date"/>
    <tableColumn id="7" name="Shelf-Cycle Age (days)"/>
    <tableColumn id="8" name="Eligible"/>
    <tableColumn id="9" name="Recent Velocity"/>
    <tableColumn id="10" name="Prior Velocity"/>
    <tableColumn id="11" name="Own Change"/>
    <tableColumn id="12" name="SKU Peer Velocity"/>
    <tableColumn id="13" name="Peer Gap"/>
    <tableColumn id="14" name="Inventory Cover (weeks)"/>
    <tableColumn id="15" name="Outcome"/>
    <tableColumn id="16" name="Reason Code"/>
    <tableColumn id="17" name="Action"/>
    <tableColumn id="18" name="Severity"/>
    <tableColumn id="19" name="Material Change"/>
    <tableColumn id="20" name="Driver"/>
    <tableColumn id="21" name="Review Notes"/>
    <tableColumn id="22" name="Disposition Comment"/>
    <tableColumn id="23" name="Sign-off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Summary" displayName="tblSummary" ref="A4:O12" headerRowCount="1">
  <autoFilter ref="A4:O12"/>
  <tableColumns count="15">
    <tableColumn id="1" name="SKU"/>
    <tableColumn id="2" name="Description"/>
    <tableColumn id="3" name="Category"/>
    <tableColumn id="4" name="Recent Velocity"/>
    <tableColumn id="5" name="Prior Velocity"/>
    <tableColumn id="6" name="Variance"/>
    <tableColumn id="7" name="Variance %"/>
    <tableColumn id="8" name="Markdown Review"/>
    <tableColumn id="9" name="Reorder Candidate"/>
    <tableColumn id="10" name="Noise"/>
    <tableColumn id="11" name="Monitor"/>
    <tableColumn id="12" name="Not Ready"/>
    <tableColumn id="13" name="Recommended Action"/>
    <tableColumn id="14" name="Material Change"/>
    <tableColumn id="15" name="Drive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Bellhaven sell-through exception model</t>
        </is>
      </c>
    </row>
    <row r="2">
      <c r="A2" s="2" t="inlineStr">
        <is>
          <t>Flintridge Consortium | governed blank instrument | Model version 1.0 | Governance source: Bellhaven_launch_governance.xlsx (Version 2026.08, effective 2026-08-25)</t>
        </is>
      </c>
    </row>
    <row r="4">
      <c r="A4" s="3" t="inlineStr">
        <is>
          <t>Monday operating instructions</t>
        </is>
      </c>
    </row>
    <row r="5" ht="34" customHeight="1">
      <c r="A5" s="4" t="inlineStr">
        <is>
          <t>1</t>
        </is>
      </c>
      <c r="B5" s="5" t="inlineStr">
        <is>
          <t>Paste one Sunday-ending EDI 852 row per Store ID + SKU + Week Ending into the blue input columns on Weekly Input. Do not overwrite formula columns, master data, or parameter cells.</t>
        </is>
      </c>
    </row>
    <row r="6" ht="34" customHeight="1">
      <c r="A6" s="4" t="inlineStr">
        <is>
          <t>2</t>
        </is>
      </c>
      <c r="B6" s="5" t="inlineStr">
        <is>
          <t>Use the drop-downs and validation prompts. Correct duplicate-key highlights before relying on review outputs. Blank rows are intentional in this reusable instrument.</t>
        </is>
      </c>
    </row>
    <row r="7" ht="34" customHeight="1">
      <c r="A7" s="4" t="inlineStr">
        <is>
          <t>3</t>
        </is>
      </c>
      <c r="B7" s="5" t="inlineStr">
        <is>
          <t>Review Parameters for the active, prospectively selected controls and the derived Reporting As-of Week. Never type an as-of date: it is the maximum valid Week Ending in Weekly Input.</t>
        </is>
      </c>
    </row>
    <row r="8" ht="34" customHeight="1">
      <c r="A8" s="4" t="inlineStr">
        <is>
          <t>4</t>
        </is>
      </c>
      <c r="B8" s="5" t="inlineStr">
        <is>
          <t>After paste/recalculation, open Exceptions for current latest-week combinations and Review Summary for SKU rollups. Print those two tabs for Elena Bassett’s Monday review.</t>
        </is>
      </c>
    </row>
    <row r="9" ht="34" customHeight="1">
      <c r="A9" s="4" t="inlineStr">
        <is>
          <t>5</t>
        </is>
      </c>
      <c r="B9" s="5" t="inlineStr">
        <is>
          <t>Interpret outcomes exactly: Markdown Review = own deterioration plus peer underperformance; Reorder Candidate = uplift with inventory cover within cap; Monitor = eligible but neither action; Noise = weak/absent base; Not Ready = incomplete shelf cycle, history, availability, or master data.</t>
        </is>
      </c>
    </row>
    <row r="10" ht="34" customHeight="1">
      <c r="A10" s="4" t="inlineStr">
        <is>
          <t>6</t>
        </is>
      </c>
      <c r="B10" s="5" t="inlineStr">
        <is>
          <t>Human review notes, disposition comments, and sign-off fields are intentionally empty. Enter those only during the meeting; never replace formula outputs.</t>
        </is>
      </c>
    </row>
    <row r="13">
      <c r="A13" s="3" t="inlineStr">
        <is>
          <t>Governance vocabulary</t>
        </is>
      </c>
    </row>
    <row r="14">
      <c r="A14" t="inlineStr">
        <is>
          <t>Statuses</t>
        </is>
      </c>
      <c r="B14" t="inlineStr">
        <is>
          <t>Markdown Review | Reorder Candidate | Monitor | Noise | Not Ready</t>
        </is>
      </c>
    </row>
    <row r="15">
      <c r="A15" t="inlineStr">
        <is>
          <t>Actions</t>
        </is>
      </c>
      <c r="B15" t="inlineStr">
        <is>
          <t>Markdown support | Second reorder | Monitor | Hold / collect data | Not ready</t>
        </is>
      </c>
    </row>
    <row r="16">
      <c r="A16" t="inlineStr">
        <is>
          <t>Reason precedence</t>
        </is>
      </c>
      <c r="B16" t="inlineStr">
        <is>
          <t>INVALID_MASTER → INCOMPLETE_SHELF_CYCLE → INSUFFICIENT_HISTORY → INSUFFICIENT_IN_STOCK → LOW_BASE_NOISE → NO_PRIOR_BASE → substantive reason</t>
        </is>
      </c>
    </row>
  </sheetData>
  <mergeCells count="2">
    <mergeCell ref="A2:H2"/>
    <mergeCell ref="A1:H1"/>
  </mergeCells>
  <pageMargins left="0.3" right="0.3" top="0.5" bottom="0.5" header="0.2" footer="0.2"/>
  <pageSetup orientation="landscape" paperSize="1" fitToHeight="0" fitToWidth="1"/>
  <headerFooter>
    <oddHeader/>
    <oddFooter>&amp;CBellhaven sell-through review | Flintridge Consortium&amp;RPage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18" customWidth="1" min="4" max="4"/>
    <col width="30" customWidth="1" min="5" max="5"/>
    <col width="64" customWidth="1" min="6" max="6"/>
  </cols>
  <sheetData>
    <row r="1">
      <c r="A1" s="1" t="inlineStr">
        <is>
          <t>Parameters</t>
        </is>
      </c>
    </row>
    <row r="2">
      <c r="A2" s="2" t="inlineStr">
        <is>
          <t>Active controls are bounded by Bellhaven_launch_governance.xlsx; blank-state Reporting As-of Week remains blank</t>
        </is>
      </c>
    </row>
    <row r="4">
      <c r="A4" s="6" t="inlineStr">
        <is>
          <t>Control</t>
        </is>
      </c>
      <c r="B4" s="6" t="inlineStr">
        <is>
          <t>Definition</t>
        </is>
      </c>
      <c r="C4" s="6" t="inlineStr">
        <is>
          <t>Allowed Range</t>
        </is>
      </c>
      <c r="D4" s="6" t="inlineStr">
        <is>
          <t>Selected Value</t>
        </is>
      </c>
      <c r="E4" s="6" t="inlineStr">
        <is>
          <t>Unit / Direction</t>
        </is>
      </c>
      <c r="F4" s="6" t="inlineStr">
        <is>
          <t>Prospective rationale</t>
        </is>
      </c>
    </row>
    <row r="5">
      <c r="A5" t="inlineStr">
        <is>
          <t>Reporting As-of Week</t>
        </is>
      </c>
      <c r="B5" t="inlineStr">
        <is>
          <t>Formula: maximum valid Week Ending in Weekly Input</t>
        </is>
      </c>
      <c r="C5" t="inlineStr">
        <is>
          <t>derived</t>
        </is>
      </c>
      <c r="D5" s="7">
        <f>IF(COUNTIFS(Weekly_Input_Week_Ending,"&lt;&gt;",Weekly_Input_Master_Check,"OK")=0,"",MAXIFS(Weekly_Input_Week_Ending,Weekly_Input_Master_Check,"OK"))</f>
        <v/>
      </c>
      <c r="E5" t="inlineStr">
        <is>
          <t>Sunday</t>
        </is>
      </c>
      <c r="F5" s="5" t="inlineStr">
        <is>
          <t>Derived from pasted records; never re-key.</t>
        </is>
      </c>
    </row>
    <row r="6">
      <c r="A6" t="inlineStr">
        <is>
          <t>Full shelf-cycle minimum</t>
        </is>
      </c>
      <c r="B6" t="inlineStr">
        <is>
          <t>Elapsed days required for readiness</t>
        </is>
      </c>
      <c r="C6" t="inlineStr">
        <is>
          <t>21–56</t>
        </is>
      </c>
      <c r="D6" s="8">
        <f>28</f>
        <v/>
      </c>
      <c r="E6" t="inlineStr">
        <is>
          <t>days; at least</t>
        </is>
      </c>
      <c r="F6" s="5" t="inlineStr">
        <is>
          <t>28 days gives a complete four-week shelf cycle while avoiding immature launch weeks.</t>
        </is>
      </c>
    </row>
    <row r="7">
      <c r="A7" t="inlineStr">
        <is>
          <t>Recent window</t>
        </is>
      </c>
      <c r="B7" t="inlineStr">
        <is>
          <t>Adjacent recent comparison period</t>
        </is>
      </c>
      <c r="C7" t="inlineStr">
        <is>
          <t>4–6</t>
        </is>
      </c>
      <c r="D7" s="8">
        <f>4</f>
        <v/>
      </c>
      <c r="E7" t="inlineStr">
        <is>
          <t>weeks</t>
        </is>
      </c>
      <c r="F7" s="5" t="inlineStr">
        <is>
          <t>Four complete weeks balances recency with a stable base.</t>
        </is>
      </c>
    </row>
    <row r="8">
      <c r="A8" t="inlineStr">
        <is>
          <t>Prior window</t>
        </is>
      </c>
      <c r="B8" t="inlineStr">
        <is>
          <t>Immediately preceding comparison period</t>
        </is>
      </c>
      <c r="C8" t="inlineStr">
        <is>
          <t>4–6</t>
        </is>
      </c>
      <c r="D8" s="8">
        <f>4</f>
        <v/>
      </c>
      <c r="E8" t="inlineStr">
        <is>
          <t>weeks</t>
        </is>
      </c>
      <c r="F8" s="5" t="inlineStr">
        <is>
          <t>Equal prior window supports like-for-like deterioration tests.</t>
        </is>
      </c>
    </row>
    <row r="9">
      <c r="A9" t="inlineStr">
        <is>
          <t>Minimum eligible history</t>
        </is>
      </c>
      <c r="B9" t="inlineStr">
        <is>
          <t>Eligible observations across both windows</t>
        </is>
      </c>
      <c r="C9" t="inlineStr">
        <is>
          <t>6–12</t>
        </is>
      </c>
      <c r="D9" s="8">
        <f>8</f>
        <v/>
      </c>
      <c r="E9" t="inlineStr">
        <is>
          <t>weeks; at least</t>
        </is>
      </c>
      <c r="F9" s="5" t="inlineStr">
        <is>
          <t>Requires both periods to be represented without fitting unavailable early EDI.</t>
        </is>
      </c>
    </row>
    <row r="10">
      <c r="A10" t="inlineStr">
        <is>
          <t>Minimum in-stock days</t>
        </is>
      </c>
      <c r="B10" t="inlineStr">
        <is>
          <t>Availability floor for normalization</t>
        </is>
      </c>
      <c r="C10" t="inlineStr">
        <is>
          <t>4–7</t>
        </is>
      </c>
      <c r="D10" s="8">
        <f>5</f>
        <v/>
      </c>
      <c r="E10" t="inlineStr">
        <is>
          <t>days; at least</t>
        </is>
      </c>
      <c r="F10" s="5" t="inlineStr">
        <is>
          <t>Five days limits partial-shelf noise while preserving usable weeks.</t>
        </is>
      </c>
    </row>
    <row r="11">
      <c r="A11" t="inlineStr">
        <is>
          <t>Own-decline threshold</t>
        </is>
      </c>
      <c r="B11" t="inlineStr">
        <is>
          <t>Own Change markdown boundary</t>
        </is>
      </c>
      <c r="C11" t="inlineStr">
        <is>
          <t>10%–40%</t>
        </is>
      </c>
      <c r="D11" s="9">
        <f>0.20</f>
        <v/>
      </c>
      <c r="E11" t="inlineStr">
        <is>
          <t>decimal decline; at or below</t>
        </is>
      </c>
      <c r="F11" s="5" t="inlineStr">
        <is>
          <t>A 20% decline is material prospectively and avoids reacting to routine weekly noise.</t>
        </is>
      </c>
    </row>
    <row r="12">
      <c r="A12" t="inlineStr">
        <is>
          <t>Peer-gap threshold</t>
        </is>
      </c>
      <c r="B12" t="inlineStr">
        <is>
          <t>Peer Gap markdown boundary</t>
        </is>
      </c>
      <c r="C12" t="inlineStr">
        <is>
          <t>10%–40%</t>
        </is>
      </c>
      <c r="D12" s="9">
        <f>0.15</f>
        <v/>
      </c>
      <c r="E12" t="inlineStr">
        <is>
          <t>decimal under peer; at or below</t>
        </is>
      </c>
      <c r="F12" s="5" t="inlineStr">
        <is>
          <t>Fifteen percent below contemporaneous peers identifies relative underperformance.</t>
        </is>
      </c>
    </row>
    <row r="13">
      <c r="A13" t="inlineStr">
        <is>
          <t>Low-base threshold</t>
        </is>
      </c>
      <c r="B13" t="inlineStr">
        <is>
          <t>Weak prior velocity gate</t>
        </is>
      </c>
      <c r="C13" t="inlineStr">
        <is>
          <t>0.25–1.50</t>
        </is>
      </c>
      <c r="D13" s="8">
        <f>0.75</f>
        <v/>
      </c>
      <c r="E13" t="inlineStr">
        <is>
          <t>units / normalized week; below</t>
        </is>
      </c>
      <c r="F13" s="5" t="inlineStr">
        <is>
          <t>A 0.75-unit base is a conservative noise floor before actioning change.</t>
        </is>
      </c>
    </row>
    <row r="14">
      <c r="A14" t="inlineStr">
        <is>
          <t>Reorder uplift threshold</t>
        </is>
      </c>
      <c r="B14" t="inlineStr">
        <is>
          <t>Reorder performance boundary</t>
        </is>
      </c>
      <c r="C14" t="inlineStr">
        <is>
          <t>10%–50%</t>
        </is>
      </c>
      <c r="D14" s="9">
        <f>0.15</f>
        <v/>
      </c>
      <c r="E14" t="inlineStr">
        <is>
          <t>decimal uplift; at or above</t>
        </is>
      </c>
      <c r="F14" s="5" t="inlineStr">
        <is>
          <t>Fifteen percent uplift is actionable but not tuned to missing early records.</t>
        </is>
      </c>
    </row>
    <row r="15">
      <c r="A15" t="inlineStr">
        <is>
          <t>Weeks-of-supply cap</t>
        </is>
      </c>
      <c r="B15" t="inlineStr">
        <is>
          <t>Inventory cover ceiling for reorder</t>
        </is>
      </c>
      <c r="C15" t="inlineStr">
        <is>
          <t>2–12</t>
        </is>
      </c>
      <c r="D15" s="9">
        <f>8</f>
        <v/>
      </c>
      <c r="E15" t="inlineStr">
        <is>
          <t>weeks; at or below</t>
        </is>
      </c>
      <c r="F15" s="5" t="inlineStr">
        <is>
          <t>Allows a second reorder only when projected cover remains under eight weeks.</t>
        </is>
      </c>
    </row>
    <row r="16">
      <c r="A16" t="inlineStr">
        <is>
          <t>Material-change threshold</t>
        </is>
      </c>
      <c r="B16" t="inlineStr">
        <is>
          <t>SKU variance materiality</t>
        </is>
      </c>
      <c r="C16" t="inlineStr">
        <is>
          <t>10%–40%</t>
        </is>
      </c>
      <c r="D16" s="9">
        <f>0.20</f>
        <v/>
      </c>
      <c r="E16" t="inlineStr">
        <is>
          <t>decimal; at or above</t>
        </is>
      </c>
      <c r="F16" s="5" t="inlineStr">
        <is>
          <t>Twenty percent separates meeting-worthy SKU movement from ordinary variation.</t>
        </is>
      </c>
    </row>
    <row r="17">
      <c r="A17" t="inlineStr">
        <is>
          <t>Broad movement share</t>
        </is>
      </c>
      <c r="B17" t="inlineStr">
        <is>
          <t>Broad driver share</t>
        </is>
      </c>
      <c r="C17" t="inlineStr">
        <is>
          <t>50%–90%</t>
        </is>
      </c>
      <c r="D17" s="9">
        <f>0.60</f>
        <v/>
      </c>
      <c r="E17" t="inlineStr">
        <is>
          <t>share; at or above</t>
        </is>
      </c>
      <c r="F17" s="5" t="inlineStr">
        <is>
          <t>Sixty percent same-direction movement indicates a broad SKU signal.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22" customWidth="1" min="4" max="4"/>
    <col width="16" customWidth="1" min="5" max="5"/>
    <col width="80" customWidth="1" min="6" max="6"/>
  </cols>
  <sheetData>
    <row r="1">
      <c r="A1" s="1" t="inlineStr">
        <is>
          <t>Change Log</t>
        </is>
      </c>
    </row>
    <row r="2">
      <c r="A2" s="2" t="inlineStr">
        <is>
          <t>Prospective control decision authorized for the 12-week review</t>
        </is>
      </c>
    </row>
    <row r="4">
      <c r="A4" s="6" t="inlineStr">
        <is>
          <t>Control name</t>
        </is>
      </c>
      <c r="B4" s="6" t="inlineStr">
        <is>
          <t>Prior pilot value</t>
        </is>
      </c>
      <c r="C4" s="6" t="inlineStr">
        <is>
          <t>New selected value</t>
        </is>
      </c>
      <c r="D4" s="6" t="inlineStr">
        <is>
          <t>Authorized owner</t>
        </is>
      </c>
      <c r="E4" s="6" t="inlineStr">
        <is>
          <t>Effective week</t>
        </is>
      </c>
      <c r="F4" s="6" t="inlineStr">
        <is>
          <t>Reason</t>
        </is>
      </c>
    </row>
    <row r="5">
      <c r="A5" t="inlineStr">
        <is>
          <t>Own-decline threshold</t>
        </is>
      </c>
      <c r="B5" s="10" t="n">
        <v>0.15</v>
      </c>
      <c r="C5" s="10" t="n">
        <v>0.2</v>
      </c>
      <c r="D5" t="inlineStr">
        <is>
          <t>Olamide Donnelly</t>
        </is>
      </c>
      <c r="E5" s="11" t="n">
        <v>46272</v>
      </c>
      <c r="F5" s="12" t="inlineStr">
        <is>
          <t>Authorized prospective move to a 20% boundary to resist low-volume noise without fitting unavailable early EDI.</t>
        </is>
      </c>
    </row>
    <row r="6">
      <c r="A6" t="inlineStr">
        <is>
          <t>Peer-gap threshold</t>
        </is>
      </c>
      <c r="B6" s="10" t="n">
        <v>0.1</v>
      </c>
      <c r="C6" s="10" t="n">
        <v>0.15</v>
      </c>
      <c r="D6" t="inlineStr">
        <is>
          <t>Olamide Donnelly</t>
        </is>
      </c>
      <c r="E6" s="11" t="n">
        <v>46272</v>
      </c>
      <c r="F6" s="12" t="inlineStr">
        <is>
          <t>Authorized prospective move to a 15% relative gap so markdown support reflects meaningful peer underperformance.</t>
        </is>
      </c>
    </row>
    <row r="7">
      <c r="A7" t="inlineStr">
        <is>
          <t>Full shelf-cycle minimum</t>
        </is>
      </c>
      <c r="B7" t="n">
        <v>28</v>
      </c>
      <c r="C7" t="n">
        <v>28</v>
      </c>
      <c r="D7" t="inlineStr">
        <is>
          <t>Olamide Donnelly</t>
        </is>
      </c>
      <c r="E7" s="11" t="n">
        <v>46272</v>
      </c>
      <c r="F7" t="inlineStr">
        <is>
          <t>Retained pilot setting pending full 12-week review.</t>
        </is>
      </c>
    </row>
    <row r="8">
      <c r="A8" t="inlineStr">
        <is>
          <t>Recent window</t>
        </is>
      </c>
      <c r="B8" t="n">
        <v>4</v>
      </c>
      <c r="C8" t="n">
        <v>4</v>
      </c>
      <c r="D8" t="inlineStr">
        <is>
          <t>Olamide Donnelly</t>
        </is>
      </c>
      <c r="E8" s="11" t="n">
        <v>46272</v>
      </c>
      <c r="F8" t="inlineStr">
        <is>
          <t>Retained adjacent comparison window.</t>
        </is>
      </c>
    </row>
    <row r="9">
      <c r="A9" t="inlineStr">
        <is>
          <t>Prior window</t>
        </is>
      </c>
      <c r="B9" t="n">
        <v>4</v>
      </c>
      <c r="C9" t="n">
        <v>4</v>
      </c>
      <c r="D9" t="inlineStr">
        <is>
          <t>Olamide Donnelly</t>
        </is>
      </c>
      <c r="E9" s="11" t="n">
        <v>46272</v>
      </c>
      <c r="F9" t="inlineStr">
        <is>
          <t>Retained equal prior window.</t>
        </is>
      </c>
    </row>
    <row r="10">
      <c r="A10" t="inlineStr">
        <is>
          <t>Minimum eligible history</t>
        </is>
      </c>
      <c r="B10" t="n">
        <v>8</v>
      </c>
      <c r="C10" t="n">
        <v>8</v>
      </c>
      <c r="D10" t="inlineStr">
        <is>
          <t>Olamide Donnelly</t>
        </is>
      </c>
      <c r="E10" s="11" t="n">
        <v>46272</v>
      </c>
      <c r="F10" t="inlineStr">
        <is>
          <t>Retained history sufficiency gate.</t>
        </is>
      </c>
    </row>
    <row r="11">
      <c r="A11" t="inlineStr">
        <is>
          <t>Minimum in-stock days</t>
        </is>
      </c>
      <c r="B11" t="n">
        <v>5</v>
      </c>
      <c r="C11" t="n">
        <v>5</v>
      </c>
      <c r="D11" t="inlineStr">
        <is>
          <t>Olamide Donnelly</t>
        </is>
      </c>
      <c r="E11" s="11" t="n">
        <v>46272</v>
      </c>
      <c r="F11" t="inlineStr">
        <is>
          <t>Retained availability floor.</t>
        </is>
      </c>
    </row>
    <row r="12">
      <c r="A12" t="inlineStr">
        <is>
          <t>Low-base threshold</t>
        </is>
      </c>
      <c r="B12" t="n">
        <v>0.75</v>
      </c>
      <c r="C12" t="n">
        <v>0.75</v>
      </c>
      <c r="D12" t="inlineStr">
        <is>
          <t>Olamide Donnelly</t>
        </is>
      </c>
      <c r="E12" s="11" t="n">
        <v>46272</v>
      </c>
      <c r="F12" t="inlineStr">
        <is>
          <t>Retained low-volume noise floor.</t>
        </is>
      </c>
    </row>
    <row r="13">
      <c r="A13" t="inlineStr">
        <is>
          <t>Reorder uplift threshold</t>
        </is>
      </c>
      <c r="B13" t="n">
        <v>0.15</v>
      </c>
      <c r="C13" t="n">
        <v>0.15</v>
      </c>
      <c r="D13" t="inlineStr">
        <is>
          <t>Olamide Donnelly</t>
        </is>
      </c>
      <c r="E13" s="11" t="n">
        <v>46272</v>
      </c>
      <c r="F13" t="inlineStr">
        <is>
          <t>Retained uplift boundary.</t>
        </is>
      </c>
    </row>
    <row r="14">
      <c r="A14" t="inlineStr">
        <is>
          <t>Weeks-of-supply cap</t>
        </is>
      </c>
      <c r="B14" t="n">
        <v>8</v>
      </c>
      <c r="C14" t="n">
        <v>8</v>
      </c>
      <c r="D14" t="inlineStr">
        <is>
          <t>Olamide Donnelly</t>
        </is>
      </c>
      <c r="E14" s="11" t="n">
        <v>46272</v>
      </c>
      <c r="F14" t="inlineStr">
        <is>
          <t>Retained inventory-cover cap.</t>
        </is>
      </c>
    </row>
    <row r="15">
      <c r="A15" t="inlineStr">
        <is>
          <t>Material-change threshold</t>
        </is>
      </c>
      <c r="B15" t="n">
        <v>0.15</v>
      </c>
      <c r="C15" t="n">
        <v>0.2</v>
      </c>
      <c r="D15" t="inlineStr">
        <is>
          <t>Olamide Donnelly</t>
        </is>
      </c>
      <c r="E15" s="11" t="n">
        <v>46272</v>
      </c>
      <c r="F15" t="inlineStr">
        <is>
          <t>Prospective increase to keep meeting focus on material movement.</t>
        </is>
      </c>
    </row>
    <row r="16">
      <c r="A16" t="inlineStr">
        <is>
          <t>Broad movement share</t>
        </is>
      </c>
      <c r="B16" t="n">
        <v>0.6</v>
      </c>
      <c r="C16" t="n">
        <v>0.6</v>
      </c>
      <c r="D16" t="inlineStr">
        <is>
          <t>Olamide Donnelly</t>
        </is>
      </c>
      <c r="E16" s="11" t="n">
        <v>46272</v>
      </c>
      <c r="F16" t="inlineStr">
        <is>
          <t>Retained broad-driver share.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16" customWidth="1" min="6" max="6"/>
    <col width="34" customWidth="1" min="7" max="7"/>
    <col width="16" customWidth="1" min="8" max="8"/>
    <col width="14" customWidth="1" min="9" max="9"/>
  </cols>
  <sheetData>
    <row r="1">
      <c r="A1" s="1" t="inlineStr">
        <is>
          <t>Master Data</t>
        </is>
      </c>
    </row>
    <row r="2">
      <c r="A2" s="2" t="inlineStr">
        <is>
          <t>Approved store and SKU masters copied from Bellhaven_launch_governance.xlsx</t>
        </is>
      </c>
    </row>
    <row r="4">
      <c r="A4" s="3" t="inlineStr">
        <is>
          <t>Store master</t>
        </is>
      </c>
      <c r="F4" s="3" t="inlineStr">
        <is>
          <t>SKU master</t>
        </is>
      </c>
    </row>
    <row r="5">
      <c r="A5" s="6" t="inlineStr">
        <is>
          <t>Store ID</t>
        </is>
      </c>
      <c r="B5" s="6" t="inlineStr">
        <is>
          <t>Store Name</t>
        </is>
      </c>
      <c r="C5" s="6" t="inlineStr">
        <is>
          <t>Region</t>
        </is>
      </c>
      <c r="D5" s="6" t="inlineStr">
        <is>
          <t>Shelf-Set Date</t>
        </is>
      </c>
      <c r="F5" s="6" t="inlineStr">
        <is>
          <t>SKU</t>
        </is>
      </c>
      <c r="G5" s="6" t="inlineStr">
        <is>
          <t>Description</t>
        </is>
      </c>
      <c r="H5" s="6" t="inlineStr">
        <is>
          <t>Category</t>
        </is>
      </c>
      <c r="I5" s="6" t="inlineStr">
        <is>
          <t>Pack Size</t>
        </is>
      </c>
    </row>
    <row r="6">
      <c r="A6" t="inlineStr">
        <is>
          <t>BH-001</t>
        </is>
      </c>
      <c r="B6" t="inlineStr">
        <is>
          <t>Bellhaven 001</t>
        </is>
      </c>
      <c r="C6" t="inlineStr">
        <is>
          <t>Midwest</t>
        </is>
      </c>
      <c r="D6" s="11" t="n">
        <v>46031</v>
      </c>
      <c r="F6" t="inlineStr">
        <is>
          <t>FL-AQ-101</t>
        </is>
      </c>
      <c r="G6" t="inlineStr">
        <is>
          <t>ClearCurrent Filter Media</t>
        </is>
      </c>
      <c r="H6" t="inlineStr">
        <is>
          <t>Aquatics</t>
        </is>
      </c>
      <c r="I6" t="inlineStr">
        <is>
          <t>12 oz</t>
        </is>
      </c>
    </row>
    <row r="7">
      <c r="A7" t="inlineStr">
        <is>
          <t>BH-002</t>
        </is>
      </c>
      <c r="B7" t="inlineStr">
        <is>
          <t>Bellhaven 002</t>
        </is>
      </c>
      <c r="C7" t="inlineStr">
        <is>
          <t>South</t>
        </is>
      </c>
      <c r="D7" s="11" t="n">
        <v>46035</v>
      </c>
      <c r="F7" t="inlineStr">
        <is>
          <t>FL-AQ-102</t>
        </is>
      </c>
      <c r="G7" t="inlineStr">
        <is>
          <t>Tideglass Water Conditioner</t>
        </is>
      </c>
      <c r="H7" t="inlineStr">
        <is>
          <t>Aquatics</t>
        </is>
      </c>
      <c r="I7" t="inlineStr">
        <is>
          <t>16 fl oz</t>
        </is>
      </c>
    </row>
    <row r="8">
      <c r="A8" t="inlineStr">
        <is>
          <t>BH-003</t>
        </is>
      </c>
      <c r="B8" t="inlineStr">
        <is>
          <t>Bellhaven 003</t>
        </is>
      </c>
      <c r="C8" t="inlineStr">
        <is>
          <t>West</t>
        </is>
      </c>
      <c r="D8" s="11" t="n">
        <v>46039</v>
      </c>
      <c r="F8" t="inlineStr">
        <is>
          <t>FL-PT-201</t>
        </is>
      </c>
      <c r="G8" t="inlineStr">
        <is>
          <t>Pawline Dental Chews</t>
        </is>
      </c>
      <c r="H8" t="inlineStr">
        <is>
          <t>Pet Care</t>
        </is>
      </c>
      <c r="I8" t="inlineStr">
        <is>
          <t>30 ct</t>
        </is>
      </c>
    </row>
    <row r="9">
      <c r="A9" t="inlineStr">
        <is>
          <t>BH-004</t>
        </is>
      </c>
      <c r="B9" t="inlineStr">
        <is>
          <t>Bellhaven 004</t>
        </is>
      </c>
      <c r="C9" t="inlineStr">
        <is>
          <t>Northeast</t>
        </is>
      </c>
      <c r="D9" s="11" t="n">
        <v>46043</v>
      </c>
      <c r="F9" t="inlineStr">
        <is>
          <t>FL-PT-202</t>
        </is>
      </c>
      <c r="G9" t="inlineStr">
        <is>
          <t>HarborHound Joint Bites</t>
        </is>
      </c>
      <c r="H9" t="inlineStr">
        <is>
          <t>Pet Care</t>
        </is>
      </c>
      <c r="I9" t="inlineStr">
        <is>
          <t>60 ct</t>
        </is>
      </c>
    </row>
    <row r="10">
      <c r="A10" t="inlineStr">
        <is>
          <t>BH-005</t>
        </is>
      </c>
      <c r="B10" t="inlineStr">
        <is>
          <t>Bellhaven 005</t>
        </is>
      </c>
      <c r="C10" t="inlineStr">
        <is>
          <t>Midwest</t>
        </is>
      </c>
      <c r="D10" s="11" t="n">
        <v>46047</v>
      </c>
      <c r="F10" t="inlineStr">
        <is>
          <t>FL-PT-203</t>
        </is>
      </c>
      <c r="G10" t="inlineStr">
        <is>
          <t>Moss &amp; Mutt Coat Treats</t>
        </is>
      </c>
      <c r="H10" t="inlineStr">
        <is>
          <t>Pet Care</t>
        </is>
      </c>
      <c r="I10" t="inlineStr">
        <is>
          <t>90 ct</t>
        </is>
      </c>
    </row>
    <row r="11">
      <c r="A11" t="inlineStr">
        <is>
          <t>BH-006</t>
        </is>
      </c>
      <c r="B11" t="inlineStr">
        <is>
          <t>Bellhaven 006</t>
        </is>
      </c>
      <c r="C11" t="inlineStr">
        <is>
          <t>South</t>
        </is>
      </c>
      <c r="D11" s="11" t="n">
        <v>46051</v>
      </c>
      <c r="F11" t="inlineStr">
        <is>
          <t>FL-PT-204</t>
        </is>
      </c>
      <c r="G11" t="inlineStr">
        <is>
          <t>WhiskerWell Calming Drops</t>
        </is>
      </c>
      <c r="H11" t="inlineStr">
        <is>
          <t>Pet Care</t>
        </is>
      </c>
      <c r="I11" t="inlineStr">
        <is>
          <t>1 fl oz</t>
        </is>
      </c>
    </row>
    <row r="12">
      <c r="A12" t="inlineStr">
        <is>
          <t>BH-007</t>
        </is>
      </c>
      <c r="B12" t="inlineStr">
        <is>
          <t>Bellhaven 007</t>
        </is>
      </c>
      <c r="C12" t="inlineStr">
        <is>
          <t>West</t>
        </is>
      </c>
      <c r="D12" s="11" t="n">
        <v>46055</v>
      </c>
      <c r="F12" t="inlineStr">
        <is>
          <t>FL-GR-301</t>
        </is>
      </c>
      <c r="G12" t="inlineStr">
        <is>
          <t>Greenfin Staple Pellets</t>
        </is>
      </c>
      <c r="H12" t="inlineStr">
        <is>
          <t>Aquatics</t>
        </is>
      </c>
      <c r="I12" t="inlineStr">
        <is>
          <t>2 lb</t>
        </is>
      </c>
    </row>
    <row r="13">
      <c r="A13" t="inlineStr">
        <is>
          <t>BH-008</t>
        </is>
      </c>
      <c r="B13" t="inlineStr">
        <is>
          <t>Bellhaven 008</t>
        </is>
      </c>
      <c r="C13" t="inlineStr">
        <is>
          <t>Northeast</t>
        </is>
      </c>
      <c r="D13" s="11" t="n">
        <v>46059</v>
      </c>
      <c r="F13" t="inlineStr">
        <is>
          <t>FL-GR-302</t>
        </is>
      </c>
      <c r="G13" t="inlineStr">
        <is>
          <t>ReefReady Shrimp Pellets</t>
        </is>
      </c>
      <c r="H13" t="inlineStr">
        <is>
          <t>Aquatics</t>
        </is>
      </c>
      <c r="I13" t="inlineStr">
        <is>
          <t>1 lb</t>
        </is>
      </c>
    </row>
    <row r="14">
      <c r="A14" t="inlineStr">
        <is>
          <t>BH-009</t>
        </is>
      </c>
      <c r="B14" t="inlineStr">
        <is>
          <t>Bellhaven 009</t>
        </is>
      </c>
      <c r="C14" t="inlineStr">
        <is>
          <t>Midwest</t>
        </is>
      </c>
      <c r="D14" s="11" t="n">
        <v>46063</v>
      </c>
    </row>
    <row r="15">
      <c r="A15" t="inlineStr">
        <is>
          <t>BH-010</t>
        </is>
      </c>
      <c r="B15" t="inlineStr">
        <is>
          <t>Bellhaven 010</t>
        </is>
      </c>
      <c r="C15" t="inlineStr">
        <is>
          <t>South</t>
        </is>
      </c>
      <c r="D15" s="11" t="n">
        <v>46067</v>
      </c>
    </row>
    <row r="16">
      <c r="A16" t="inlineStr">
        <is>
          <t>BH-011</t>
        </is>
      </c>
      <c r="B16" t="inlineStr">
        <is>
          <t>Bellhaven 011</t>
        </is>
      </c>
      <c r="C16" t="inlineStr">
        <is>
          <t>West</t>
        </is>
      </c>
      <c r="D16" s="11" t="n">
        <v>46071</v>
      </c>
    </row>
    <row r="17">
      <c r="A17" t="inlineStr">
        <is>
          <t>BH-012</t>
        </is>
      </c>
      <c r="B17" t="inlineStr">
        <is>
          <t>Bellhaven 012</t>
        </is>
      </c>
      <c r="C17" t="inlineStr">
        <is>
          <t>Northeast</t>
        </is>
      </c>
      <c r="D17" s="11" t="n">
        <v>46075</v>
      </c>
    </row>
    <row r="18">
      <c r="A18" t="inlineStr">
        <is>
          <t>BH-013</t>
        </is>
      </c>
      <c r="B18" t="inlineStr">
        <is>
          <t>Bellhaven 013</t>
        </is>
      </c>
      <c r="C18" t="inlineStr">
        <is>
          <t>Midwest</t>
        </is>
      </c>
      <c r="D18" s="11" t="n">
        <v>46079</v>
      </c>
    </row>
    <row r="19">
      <c r="A19" t="inlineStr">
        <is>
          <t>BH-014</t>
        </is>
      </c>
      <c r="B19" t="inlineStr">
        <is>
          <t>Bellhaven 014</t>
        </is>
      </c>
      <c r="C19" t="inlineStr">
        <is>
          <t>South</t>
        </is>
      </c>
      <c r="D19" s="11" t="n">
        <v>46083</v>
      </c>
    </row>
    <row r="20">
      <c r="A20" t="inlineStr">
        <is>
          <t>BH-015</t>
        </is>
      </c>
      <c r="B20" t="inlineStr">
        <is>
          <t>Bellhaven 015</t>
        </is>
      </c>
      <c r="C20" t="inlineStr">
        <is>
          <t>West</t>
        </is>
      </c>
      <c r="D20" s="11" t="n">
        <v>46087</v>
      </c>
    </row>
    <row r="21">
      <c r="A21" t="inlineStr">
        <is>
          <t>BH-016</t>
        </is>
      </c>
      <c r="B21" t="inlineStr">
        <is>
          <t>Bellhaven 016</t>
        </is>
      </c>
      <c r="C21" t="inlineStr">
        <is>
          <t>Northeast</t>
        </is>
      </c>
      <c r="D21" s="11" t="n">
        <v>46091</v>
      </c>
    </row>
    <row r="22">
      <c r="A22" t="inlineStr">
        <is>
          <t>BH-017</t>
        </is>
      </c>
      <c r="B22" t="inlineStr">
        <is>
          <t>Bellhaven 017</t>
        </is>
      </c>
      <c r="C22" t="inlineStr">
        <is>
          <t>Midwest</t>
        </is>
      </c>
      <c r="D22" s="11" t="n">
        <v>46095</v>
      </c>
    </row>
    <row r="23">
      <c r="A23" t="inlineStr">
        <is>
          <t>BH-018</t>
        </is>
      </c>
      <c r="B23" t="inlineStr">
        <is>
          <t>Bellhaven 018</t>
        </is>
      </c>
      <c r="C23" t="inlineStr">
        <is>
          <t>South</t>
        </is>
      </c>
      <c r="D23" s="11" t="n">
        <v>46099</v>
      </c>
    </row>
    <row r="24">
      <c r="A24" t="inlineStr">
        <is>
          <t>BH-019</t>
        </is>
      </c>
      <c r="B24" t="inlineStr">
        <is>
          <t>Bellhaven 019</t>
        </is>
      </c>
      <c r="C24" t="inlineStr">
        <is>
          <t>West</t>
        </is>
      </c>
      <c r="D24" s="11" t="n">
        <v>46103</v>
      </c>
    </row>
    <row r="25">
      <c r="A25" t="inlineStr">
        <is>
          <t>BH-020</t>
        </is>
      </c>
      <c r="B25" t="inlineStr">
        <is>
          <t>Bellhaven 020</t>
        </is>
      </c>
      <c r="C25" t="inlineStr">
        <is>
          <t>Northeast</t>
        </is>
      </c>
      <c r="D25" s="11" t="n">
        <v>46107</v>
      </c>
    </row>
    <row r="26">
      <c r="A26" t="inlineStr">
        <is>
          <t>BH-021</t>
        </is>
      </c>
      <c r="B26" t="inlineStr">
        <is>
          <t>Bellhaven 021</t>
        </is>
      </c>
      <c r="C26" t="inlineStr">
        <is>
          <t>Midwest</t>
        </is>
      </c>
      <c r="D26" s="11" t="n">
        <v>46111</v>
      </c>
    </row>
    <row r="27">
      <c r="A27" t="inlineStr">
        <is>
          <t>BH-022</t>
        </is>
      </c>
      <c r="B27" t="inlineStr">
        <is>
          <t>Bellhaven 022</t>
        </is>
      </c>
      <c r="C27" t="inlineStr">
        <is>
          <t>South</t>
        </is>
      </c>
      <c r="D27" s="11" t="n">
        <v>46115</v>
      </c>
    </row>
    <row r="28">
      <c r="A28" t="inlineStr">
        <is>
          <t>BH-023</t>
        </is>
      </c>
      <c r="B28" t="inlineStr">
        <is>
          <t>Bellhaven 023</t>
        </is>
      </c>
      <c r="C28" t="inlineStr">
        <is>
          <t>West</t>
        </is>
      </c>
      <c r="D28" s="11" t="n">
        <v>46119</v>
      </c>
    </row>
    <row r="29">
      <c r="A29" t="inlineStr">
        <is>
          <t>BH-024</t>
        </is>
      </c>
      <c r="B29" t="inlineStr">
        <is>
          <t>Bellhaven 024</t>
        </is>
      </c>
      <c r="C29" t="inlineStr">
        <is>
          <t>Northeast</t>
        </is>
      </c>
      <c r="D29" s="11" t="n">
        <v>46123</v>
      </c>
    </row>
    <row r="30">
      <c r="A30" t="inlineStr">
        <is>
          <t>BH-025</t>
        </is>
      </c>
      <c r="B30" t="inlineStr">
        <is>
          <t>Bellhaven 025</t>
        </is>
      </c>
      <c r="C30" t="inlineStr">
        <is>
          <t>Midwest</t>
        </is>
      </c>
      <c r="D30" s="11" t="n">
        <v>46127</v>
      </c>
    </row>
    <row r="31">
      <c r="A31" t="inlineStr">
        <is>
          <t>BH-026</t>
        </is>
      </c>
      <c r="B31" t="inlineStr">
        <is>
          <t>Bellhaven 026</t>
        </is>
      </c>
      <c r="C31" t="inlineStr">
        <is>
          <t>South</t>
        </is>
      </c>
      <c r="D31" s="11" t="n">
        <v>46131</v>
      </c>
    </row>
    <row r="32">
      <c r="A32" t="inlineStr">
        <is>
          <t>BH-027</t>
        </is>
      </c>
      <c r="B32" t="inlineStr">
        <is>
          <t>Bellhaven 027</t>
        </is>
      </c>
      <c r="C32" t="inlineStr">
        <is>
          <t>West</t>
        </is>
      </c>
      <c r="D32" s="11" t="n">
        <v>46135</v>
      </c>
    </row>
    <row r="33">
      <c r="A33" t="inlineStr">
        <is>
          <t>BH-028</t>
        </is>
      </c>
      <c r="B33" t="inlineStr">
        <is>
          <t>Bellhaven 028</t>
        </is>
      </c>
      <c r="C33" t="inlineStr">
        <is>
          <t>Northeast</t>
        </is>
      </c>
      <c r="D33" s="11" t="n">
        <v>46139</v>
      </c>
    </row>
    <row r="34">
      <c r="A34" t="inlineStr">
        <is>
          <t>BH-029</t>
        </is>
      </c>
      <c r="B34" t="inlineStr">
        <is>
          <t>Bellhaven 029</t>
        </is>
      </c>
      <c r="C34" t="inlineStr">
        <is>
          <t>Midwest</t>
        </is>
      </c>
      <c r="D34" s="11" t="n">
        <v>46143</v>
      </c>
    </row>
    <row r="35">
      <c r="A35" t="inlineStr">
        <is>
          <t>BH-030</t>
        </is>
      </c>
      <c r="B35" t="inlineStr">
        <is>
          <t>Bellhaven 030</t>
        </is>
      </c>
      <c r="C35" t="inlineStr">
        <is>
          <t>South</t>
        </is>
      </c>
      <c r="D35" s="11" t="n">
        <v>46147</v>
      </c>
    </row>
    <row r="36">
      <c r="A36" t="inlineStr">
        <is>
          <t>BH-031</t>
        </is>
      </c>
      <c r="B36" t="inlineStr">
        <is>
          <t>Bellhaven 031</t>
        </is>
      </c>
      <c r="C36" t="inlineStr">
        <is>
          <t>West</t>
        </is>
      </c>
      <c r="D36" s="11" t="n">
        <v>46151</v>
      </c>
    </row>
    <row r="37">
      <c r="A37" t="inlineStr">
        <is>
          <t>BH-032</t>
        </is>
      </c>
      <c r="B37" t="inlineStr">
        <is>
          <t>Bellhaven 032</t>
        </is>
      </c>
      <c r="C37" t="inlineStr">
        <is>
          <t>Northeast</t>
        </is>
      </c>
      <c r="D37" s="11" t="n">
        <v>46155</v>
      </c>
    </row>
    <row r="38">
      <c r="A38" t="inlineStr">
        <is>
          <t>BH-033</t>
        </is>
      </c>
      <c r="B38" t="inlineStr">
        <is>
          <t>Bellhaven 033</t>
        </is>
      </c>
      <c r="C38" t="inlineStr">
        <is>
          <t>Midwest</t>
        </is>
      </c>
      <c r="D38" s="11" t="n">
        <v>46159</v>
      </c>
    </row>
    <row r="39">
      <c r="A39" t="inlineStr">
        <is>
          <t>BH-034</t>
        </is>
      </c>
      <c r="B39" t="inlineStr">
        <is>
          <t>Bellhaven 034</t>
        </is>
      </c>
      <c r="C39" t="inlineStr">
        <is>
          <t>South</t>
        </is>
      </c>
      <c r="D39" s="11" t="n">
        <v>46163</v>
      </c>
    </row>
    <row r="40">
      <c r="A40" t="inlineStr">
        <is>
          <t>BH-035</t>
        </is>
      </c>
      <c r="B40" t="inlineStr">
        <is>
          <t>Bellhaven 035</t>
        </is>
      </c>
      <c r="C40" t="inlineStr">
        <is>
          <t>West</t>
        </is>
      </c>
      <c r="D40" s="11" t="n">
        <v>46167</v>
      </c>
    </row>
    <row r="41">
      <c r="A41" t="inlineStr">
        <is>
          <t>BH-036</t>
        </is>
      </c>
      <c r="B41" t="inlineStr">
        <is>
          <t>Bellhaven 036</t>
        </is>
      </c>
      <c r="C41" t="inlineStr">
        <is>
          <t>Northeast</t>
        </is>
      </c>
      <c r="D41" s="11" t="n">
        <v>46171</v>
      </c>
    </row>
    <row r="42">
      <c r="A42" t="inlineStr">
        <is>
          <t>BH-037</t>
        </is>
      </c>
      <c r="B42" t="inlineStr">
        <is>
          <t>Bellhaven 037</t>
        </is>
      </c>
      <c r="C42" t="inlineStr">
        <is>
          <t>Midwest</t>
        </is>
      </c>
      <c r="D42" s="11" t="n">
        <v>46175</v>
      </c>
    </row>
    <row r="43">
      <c r="A43" t="inlineStr">
        <is>
          <t>BH-038</t>
        </is>
      </c>
      <c r="B43" t="inlineStr">
        <is>
          <t>Bellhaven 038</t>
        </is>
      </c>
      <c r="C43" t="inlineStr">
        <is>
          <t>South</t>
        </is>
      </c>
      <c r="D43" s="11" t="n">
        <v>46179</v>
      </c>
    </row>
    <row r="44">
      <c r="A44" t="inlineStr">
        <is>
          <t>BH-039</t>
        </is>
      </c>
      <c r="B44" t="inlineStr">
        <is>
          <t>Bellhaven 039</t>
        </is>
      </c>
      <c r="C44" t="inlineStr">
        <is>
          <t>West</t>
        </is>
      </c>
      <c r="D44" s="11" t="n">
        <v>46183</v>
      </c>
    </row>
    <row r="45">
      <c r="A45" t="inlineStr">
        <is>
          <t>BH-040</t>
        </is>
      </c>
      <c r="B45" t="inlineStr">
        <is>
          <t>Bellhaven 040</t>
        </is>
      </c>
      <c r="C45" t="inlineStr">
        <is>
          <t>Northeast</t>
        </is>
      </c>
      <c r="D45" s="11" t="n">
        <v>46187</v>
      </c>
    </row>
    <row r="46">
      <c r="A46" t="inlineStr">
        <is>
          <t>BH-041</t>
        </is>
      </c>
      <c r="B46" t="inlineStr">
        <is>
          <t>Bellhaven 041</t>
        </is>
      </c>
      <c r="C46" t="inlineStr">
        <is>
          <t>Midwest</t>
        </is>
      </c>
      <c r="D46" s="11" t="n">
        <v>46191</v>
      </c>
    </row>
    <row r="47">
      <c r="A47" t="inlineStr">
        <is>
          <t>BH-042</t>
        </is>
      </c>
      <c r="B47" t="inlineStr">
        <is>
          <t>Bellhaven 042</t>
        </is>
      </c>
      <c r="C47" t="inlineStr">
        <is>
          <t>South</t>
        </is>
      </c>
      <c r="D47" s="11" t="n">
        <v>46195</v>
      </c>
    </row>
    <row r="48">
      <c r="A48" t="inlineStr">
        <is>
          <t>BH-043</t>
        </is>
      </c>
      <c r="B48" t="inlineStr">
        <is>
          <t>Bellhaven 043</t>
        </is>
      </c>
      <c r="C48" t="inlineStr">
        <is>
          <t>West</t>
        </is>
      </c>
      <c r="D48" s="11" t="n">
        <v>46199</v>
      </c>
    </row>
    <row r="49">
      <c r="A49" t="inlineStr">
        <is>
          <t>BH-044</t>
        </is>
      </c>
      <c r="B49" t="inlineStr">
        <is>
          <t>Bellhaven 044</t>
        </is>
      </c>
      <c r="C49" t="inlineStr">
        <is>
          <t>Northeast</t>
        </is>
      </c>
      <c r="D49" s="11" t="n">
        <v>46203</v>
      </c>
    </row>
    <row r="50">
      <c r="A50" t="inlineStr">
        <is>
          <t>BH-045</t>
        </is>
      </c>
      <c r="B50" t="inlineStr">
        <is>
          <t>Bellhaven 045</t>
        </is>
      </c>
      <c r="C50" t="inlineStr">
        <is>
          <t>Midwest</t>
        </is>
      </c>
      <c r="D50" s="11" t="n">
        <v>46027</v>
      </c>
    </row>
    <row r="51">
      <c r="A51" t="inlineStr">
        <is>
          <t>BH-046</t>
        </is>
      </c>
      <c r="B51" t="inlineStr">
        <is>
          <t>Bellhaven 046</t>
        </is>
      </c>
      <c r="C51" t="inlineStr">
        <is>
          <t>South</t>
        </is>
      </c>
      <c r="D51" s="11" t="n">
        <v>46031</v>
      </c>
    </row>
    <row r="52">
      <c r="A52" t="inlineStr">
        <is>
          <t>BH-047</t>
        </is>
      </c>
      <c r="B52" t="inlineStr">
        <is>
          <t>Bellhaven 047</t>
        </is>
      </c>
      <c r="C52" t="inlineStr">
        <is>
          <t>West</t>
        </is>
      </c>
      <c r="D52" s="11" t="n">
        <v>46035</v>
      </c>
    </row>
    <row r="53">
      <c r="A53" t="inlineStr">
        <is>
          <t>BH-048</t>
        </is>
      </c>
      <c r="B53" t="inlineStr">
        <is>
          <t>Bellhaven 048</t>
        </is>
      </c>
      <c r="C53" t="inlineStr">
        <is>
          <t>Northeast</t>
        </is>
      </c>
      <c r="D53" s="11" t="n">
        <v>46027</v>
      </c>
    </row>
    <row r="54">
      <c r="A54" t="inlineStr">
        <is>
          <t>BH-049</t>
        </is>
      </c>
      <c r="B54" t="inlineStr">
        <is>
          <t>Bellhaven 049</t>
        </is>
      </c>
      <c r="C54" t="inlineStr">
        <is>
          <t>Midwest</t>
        </is>
      </c>
      <c r="D54" s="11" t="n">
        <v>46029</v>
      </c>
    </row>
    <row r="55">
      <c r="A55" t="inlineStr">
        <is>
          <t>BH-050</t>
        </is>
      </c>
      <c r="B55" t="inlineStr">
        <is>
          <t>Bellhaven 050</t>
        </is>
      </c>
      <c r="C55" t="inlineStr">
        <is>
          <t>South</t>
        </is>
      </c>
      <c r="D55" s="11" t="n">
        <v>46031</v>
      </c>
    </row>
    <row r="56">
      <c r="A56" t="inlineStr">
        <is>
          <t>BH-051</t>
        </is>
      </c>
      <c r="B56" t="inlineStr">
        <is>
          <t>Bellhaven 051</t>
        </is>
      </c>
      <c r="C56" t="inlineStr">
        <is>
          <t>West</t>
        </is>
      </c>
      <c r="D56" s="11" t="n">
        <v>46033</v>
      </c>
    </row>
    <row r="57">
      <c r="A57" t="inlineStr">
        <is>
          <t>BH-052</t>
        </is>
      </c>
      <c r="B57" t="inlineStr">
        <is>
          <t>Bellhaven 052</t>
        </is>
      </c>
      <c r="C57" t="inlineStr">
        <is>
          <t>Northeast</t>
        </is>
      </c>
      <c r="D57" s="11" t="n">
        <v>46035</v>
      </c>
    </row>
    <row r="58">
      <c r="A58" t="inlineStr">
        <is>
          <t>BH-053</t>
        </is>
      </c>
      <c r="B58" t="inlineStr">
        <is>
          <t>Bellhaven 053</t>
        </is>
      </c>
      <c r="C58" t="inlineStr">
        <is>
          <t>Midwest</t>
        </is>
      </c>
      <c r="D58" s="11" t="n">
        <v>46037</v>
      </c>
    </row>
    <row r="59">
      <c r="A59" t="inlineStr">
        <is>
          <t>BH-054</t>
        </is>
      </c>
      <c r="B59" t="inlineStr">
        <is>
          <t>Bellhaven 054</t>
        </is>
      </c>
      <c r="C59" t="inlineStr">
        <is>
          <t>South</t>
        </is>
      </c>
      <c r="D59" s="11" t="n">
        <v>46039</v>
      </c>
    </row>
    <row r="60">
      <c r="A60" t="inlineStr">
        <is>
          <t>BH-055</t>
        </is>
      </c>
      <c r="B60" t="inlineStr">
        <is>
          <t>Bellhaven 055</t>
        </is>
      </c>
      <c r="C60" t="inlineStr">
        <is>
          <t>West</t>
        </is>
      </c>
      <c r="D60" s="11" t="n">
        <v>46041</v>
      </c>
    </row>
    <row r="61">
      <c r="A61" t="inlineStr">
        <is>
          <t>BH-056</t>
        </is>
      </c>
      <c r="B61" t="inlineStr">
        <is>
          <t>Bellhaven 056</t>
        </is>
      </c>
      <c r="C61" t="inlineStr">
        <is>
          <t>Northeast</t>
        </is>
      </c>
      <c r="D61" s="11" t="n">
        <v>46043</v>
      </c>
    </row>
    <row r="62">
      <c r="A62" t="inlineStr">
        <is>
          <t>BH-057</t>
        </is>
      </c>
      <c r="B62" t="inlineStr">
        <is>
          <t>Bellhaven 057</t>
        </is>
      </c>
      <c r="C62" t="inlineStr">
        <is>
          <t>Midwest</t>
        </is>
      </c>
      <c r="D62" s="11" t="n">
        <v>46045</v>
      </c>
    </row>
    <row r="63">
      <c r="A63" t="inlineStr">
        <is>
          <t>BH-058</t>
        </is>
      </c>
      <c r="B63" t="inlineStr">
        <is>
          <t>Bellhaven 058</t>
        </is>
      </c>
      <c r="C63" t="inlineStr">
        <is>
          <t>South</t>
        </is>
      </c>
      <c r="D63" s="11" t="n">
        <v>46047</v>
      </c>
    </row>
    <row r="64">
      <c r="A64" t="inlineStr">
        <is>
          <t>BH-059</t>
        </is>
      </c>
      <c r="B64" t="inlineStr">
        <is>
          <t>Bellhaven 059</t>
        </is>
      </c>
      <c r="C64" t="inlineStr">
        <is>
          <t>West</t>
        </is>
      </c>
      <c r="D64" s="11" t="n">
        <v>46049</v>
      </c>
    </row>
    <row r="65">
      <c r="A65" t="inlineStr">
        <is>
          <t>BH-060</t>
        </is>
      </c>
      <c r="B65" t="inlineStr">
        <is>
          <t>Bellhaven 060</t>
        </is>
      </c>
      <c r="C65" t="inlineStr">
        <is>
          <t>Northeast</t>
        </is>
      </c>
      <c r="D65" s="11" t="n">
        <v>46027</v>
      </c>
    </row>
    <row r="66">
      <c r="A66" t="inlineStr">
        <is>
          <t>BH-061</t>
        </is>
      </c>
      <c r="B66" t="inlineStr">
        <is>
          <t>Bellhaven 061</t>
        </is>
      </c>
      <c r="C66" t="inlineStr">
        <is>
          <t>Midwest</t>
        </is>
      </c>
      <c r="D66" s="11" t="n">
        <v>46029</v>
      </c>
    </row>
    <row r="67">
      <c r="A67" t="inlineStr">
        <is>
          <t>BH-062</t>
        </is>
      </c>
      <c r="B67" t="inlineStr">
        <is>
          <t>Bellhaven 062</t>
        </is>
      </c>
      <c r="C67" t="inlineStr">
        <is>
          <t>South</t>
        </is>
      </c>
      <c r="D67" s="11" t="n">
        <v>46031</v>
      </c>
    </row>
    <row r="68">
      <c r="A68" t="inlineStr">
        <is>
          <t>BH-063</t>
        </is>
      </c>
      <c r="B68" t="inlineStr">
        <is>
          <t>Bellhaven 063</t>
        </is>
      </c>
      <c r="C68" t="inlineStr">
        <is>
          <t>West</t>
        </is>
      </c>
      <c r="D68" s="11" t="n">
        <v>46033</v>
      </c>
    </row>
    <row r="69">
      <c r="A69" t="inlineStr">
        <is>
          <t>BH-064</t>
        </is>
      </c>
      <c r="B69" t="inlineStr">
        <is>
          <t>Bellhaven 064</t>
        </is>
      </c>
      <c r="C69" t="inlineStr">
        <is>
          <t>Northeast</t>
        </is>
      </c>
      <c r="D69" s="11" t="n">
        <v>46035</v>
      </c>
    </row>
    <row r="70">
      <c r="A70" t="inlineStr">
        <is>
          <t>BH-065</t>
        </is>
      </c>
      <c r="B70" t="inlineStr">
        <is>
          <t>Bellhaven 065</t>
        </is>
      </c>
      <c r="C70" t="inlineStr">
        <is>
          <t>Midwest</t>
        </is>
      </c>
      <c r="D70" s="11" t="n">
        <v>46037</v>
      </c>
    </row>
    <row r="71">
      <c r="A71" t="inlineStr">
        <is>
          <t>BH-066</t>
        </is>
      </c>
      <c r="B71" t="inlineStr">
        <is>
          <t>Bellhaven 066</t>
        </is>
      </c>
      <c r="C71" t="inlineStr">
        <is>
          <t>South</t>
        </is>
      </c>
      <c r="D71" s="11" t="n">
        <v>46039</v>
      </c>
    </row>
    <row r="72">
      <c r="A72" t="inlineStr">
        <is>
          <t>BH-067</t>
        </is>
      </c>
      <c r="B72" t="inlineStr">
        <is>
          <t>Bellhaven 067</t>
        </is>
      </c>
      <c r="C72" t="inlineStr">
        <is>
          <t>West</t>
        </is>
      </c>
      <c r="D72" s="11" t="n">
        <v>46041</v>
      </c>
    </row>
    <row r="73">
      <c r="A73" t="inlineStr">
        <is>
          <t>BH-068</t>
        </is>
      </c>
      <c r="B73" t="inlineStr">
        <is>
          <t>Bellhaven 068</t>
        </is>
      </c>
      <c r="C73" t="inlineStr">
        <is>
          <t>Northeast</t>
        </is>
      </c>
      <c r="D73" s="11" t="n">
        <v>46043</v>
      </c>
    </row>
    <row r="74">
      <c r="A74" t="inlineStr">
        <is>
          <t>BH-069</t>
        </is>
      </c>
      <c r="B74" t="inlineStr">
        <is>
          <t>Bellhaven 069</t>
        </is>
      </c>
      <c r="C74" t="inlineStr">
        <is>
          <t>Midwest</t>
        </is>
      </c>
      <c r="D74" s="11" t="n">
        <v>46045</v>
      </c>
    </row>
    <row r="75">
      <c r="A75" t="inlineStr">
        <is>
          <t>BH-070</t>
        </is>
      </c>
      <c r="B75" t="inlineStr">
        <is>
          <t>Bellhaven 070</t>
        </is>
      </c>
      <c r="C75" t="inlineStr">
        <is>
          <t>South</t>
        </is>
      </c>
      <c r="D75" s="11" t="n">
        <v>46047</v>
      </c>
    </row>
    <row r="76">
      <c r="A76" t="inlineStr">
        <is>
          <t>BH-071</t>
        </is>
      </c>
      <c r="B76" t="inlineStr">
        <is>
          <t>Bellhaven 071</t>
        </is>
      </c>
      <c r="C76" t="inlineStr">
        <is>
          <t>West</t>
        </is>
      </c>
      <c r="D76" s="11" t="n">
        <v>46049</v>
      </c>
    </row>
    <row r="77">
      <c r="A77" t="inlineStr">
        <is>
          <t>BH-072</t>
        </is>
      </c>
      <c r="B77" t="inlineStr">
        <is>
          <t>Bellhaven 072</t>
        </is>
      </c>
      <c r="C77" t="inlineStr">
        <is>
          <t>Northeast</t>
        </is>
      </c>
      <c r="D77" s="11" t="n">
        <v>46027</v>
      </c>
    </row>
    <row r="78">
      <c r="A78" t="inlineStr">
        <is>
          <t>BH-073</t>
        </is>
      </c>
      <c r="B78" t="inlineStr">
        <is>
          <t>Bellhaven 073</t>
        </is>
      </c>
      <c r="C78" t="inlineStr">
        <is>
          <t>Midwest</t>
        </is>
      </c>
      <c r="D78" s="11" t="n">
        <v>46029</v>
      </c>
    </row>
    <row r="79">
      <c r="A79" t="inlineStr">
        <is>
          <t>BH-074</t>
        </is>
      </c>
      <c r="B79" t="inlineStr">
        <is>
          <t>Bellhaven 074</t>
        </is>
      </c>
      <c r="C79" t="inlineStr">
        <is>
          <t>South</t>
        </is>
      </c>
      <c r="D79" s="11" t="n">
        <v>46031</v>
      </c>
    </row>
    <row r="80">
      <c r="A80" t="inlineStr">
        <is>
          <t>BH-075</t>
        </is>
      </c>
      <c r="B80" t="inlineStr">
        <is>
          <t>Bellhaven 075</t>
        </is>
      </c>
      <c r="C80" t="inlineStr">
        <is>
          <t>West</t>
        </is>
      </c>
      <c r="D80" s="11" t="n">
        <v>46033</v>
      </c>
    </row>
    <row r="81">
      <c r="A81" t="inlineStr">
        <is>
          <t>BH-076</t>
        </is>
      </c>
      <c r="B81" t="inlineStr">
        <is>
          <t>Bellhaven 076</t>
        </is>
      </c>
      <c r="C81" t="inlineStr">
        <is>
          <t>Northeast</t>
        </is>
      </c>
      <c r="D81" s="11" t="n">
        <v>46035</v>
      </c>
    </row>
    <row r="82">
      <c r="A82" t="inlineStr">
        <is>
          <t>BH-077</t>
        </is>
      </c>
      <c r="B82" t="inlineStr">
        <is>
          <t>Bellhaven 077</t>
        </is>
      </c>
      <c r="C82" t="inlineStr">
        <is>
          <t>Midwest</t>
        </is>
      </c>
      <c r="D82" s="11" t="n">
        <v>46037</v>
      </c>
    </row>
    <row r="83">
      <c r="A83" t="inlineStr">
        <is>
          <t>BH-078</t>
        </is>
      </c>
      <c r="B83" t="inlineStr">
        <is>
          <t>Bellhaven 078</t>
        </is>
      </c>
      <c r="C83" t="inlineStr">
        <is>
          <t>South</t>
        </is>
      </c>
      <c r="D83" s="11" t="n">
        <v>46039</v>
      </c>
    </row>
    <row r="84">
      <c r="A84" t="inlineStr">
        <is>
          <t>BH-079</t>
        </is>
      </c>
      <c r="B84" t="inlineStr">
        <is>
          <t>Bellhaven 079</t>
        </is>
      </c>
      <c r="C84" t="inlineStr">
        <is>
          <t>West</t>
        </is>
      </c>
      <c r="D84" s="11" t="n">
        <v>46041</v>
      </c>
    </row>
    <row r="85">
      <c r="A85" t="inlineStr">
        <is>
          <t>BH-080</t>
        </is>
      </c>
      <c r="B85" t="inlineStr">
        <is>
          <t>Bellhaven 080</t>
        </is>
      </c>
      <c r="C85" t="inlineStr">
        <is>
          <t>Northeast</t>
        </is>
      </c>
      <c r="D85" s="11" t="n">
        <v>46043</v>
      </c>
    </row>
    <row r="86">
      <c r="A86" t="inlineStr">
        <is>
          <t>BH-081</t>
        </is>
      </c>
      <c r="B86" t="inlineStr">
        <is>
          <t>Bellhaven 081</t>
        </is>
      </c>
      <c r="C86" t="inlineStr">
        <is>
          <t>Midwest</t>
        </is>
      </c>
      <c r="D86" s="11" t="n">
        <v>46045</v>
      </c>
    </row>
    <row r="87">
      <c r="A87" t="inlineStr">
        <is>
          <t>BH-082</t>
        </is>
      </c>
      <c r="B87" t="inlineStr">
        <is>
          <t>Bellhaven 082</t>
        </is>
      </c>
      <c r="C87" t="inlineStr">
        <is>
          <t>South</t>
        </is>
      </c>
      <c r="D87" s="11" t="n">
        <v>46047</v>
      </c>
    </row>
    <row r="88">
      <c r="A88" t="inlineStr">
        <is>
          <t>BH-083</t>
        </is>
      </c>
      <c r="B88" t="inlineStr">
        <is>
          <t>Bellhaven 083</t>
        </is>
      </c>
      <c r="C88" t="inlineStr">
        <is>
          <t>West</t>
        </is>
      </c>
      <c r="D88" s="11" t="n">
        <v>46049</v>
      </c>
    </row>
    <row r="89">
      <c r="A89" t="inlineStr">
        <is>
          <t>BH-084</t>
        </is>
      </c>
      <c r="B89" t="inlineStr">
        <is>
          <t>Bellhaven 084</t>
        </is>
      </c>
      <c r="C89" t="inlineStr">
        <is>
          <t>Northeast</t>
        </is>
      </c>
      <c r="D89" s="11" t="n">
        <v>46027</v>
      </c>
    </row>
    <row r="90">
      <c r="A90" t="inlineStr">
        <is>
          <t>BH-085</t>
        </is>
      </c>
      <c r="B90" t="inlineStr">
        <is>
          <t>Bellhaven 085</t>
        </is>
      </c>
      <c r="C90" t="inlineStr">
        <is>
          <t>Midwest</t>
        </is>
      </c>
      <c r="D90" s="11" t="n">
        <v>46029</v>
      </c>
    </row>
    <row r="91">
      <c r="A91" t="inlineStr">
        <is>
          <t>BH-086</t>
        </is>
      </c>
      <c r="B91" t="inlineStr">
        <is>
          <t>Bellhaven 086</t>
        </is>
      </c>
      <c r="C91" t="inlineStr">
        <is>
          <t>South</t>
        </is>
      </c>
      <c r="D91" s="11" t="n">
        <v>46031</v>
      </c>
    </row>
    <row r="92">
      <c r="A92" t="inlineStr">
        <is>
          <t>BH-087</t>
        </is>
      </c>
      <c r="B92" t="inlineStr">
        <is>
          <t>Bellhaven 087</t>
        </is>
      </c>
      <c r="C92" t="inlineStr">
        <is>
          <t>West</t>
        </is>
      </c>
      <c r="D92" s="11" t="n">
        <v>46033</v>
      </c>
    </row>
    <row r="93">
      <c r="A93" t="inlineStr">
        <is>
          <t>BH-088</t>
        </is>
      </c>
      <c r="B93" t="inlineStr">
        <is>
          <t>Bellhaven 088</t>
        </is>
      </c>
      <c r="C93" t="inlineStr">
        <is>
          <t>Northeast</t>
        </is>
      </c>
      <c r="D93" s="11" t="n">
        <v>46035</v>
      </c>
    </row>
    <row r="94">
      <c r="A94" t="inlineStr">
        <is>
          <t>BH-089</t>
        </is>
      </c>
      <c r="B94" t="inlineStr">
        <is>
          <t>Bellhaven 089</t>
        </is>
      </c>
      <c r="C94" t="inlineStr">
        <is>
          <t>Midwest</t>
        </is>
      </c>
      <c r="D94" s="11" t="n">
        <v>46037</v>
      </c>
    </row>
    <row r="95">
      <c r="A95" t="inlineStr">
        <is>
          <t>BH-090</t>
        </is>
      </c>
      <c r="B95" t="inlineStr">
        <is>
          <t>Bellhaven 090</t>
        </is>
      </c>
      <c r="C95" t="inlineStr">
        <is>
          <t>South</t>
        </is>
      </c>
      <c r="D95" s="11" t="n">
        <v>46039</v>
      </c>
    </row>
    <row r="96">
      <c r="A96" t="inlineStr">
        <is>
          <t>BH-091</t>
        </is>
      </c>
      <c r="B96" t="inlineStr">
        <is>
          <t>Bellhaven 091</t>
        </is>
      </c>
      <c r="C96" t="inlineStr">
        <is>
          <t>West</t>
        </is>
      </c>
      <c r="D96" s="11" t="n">
        <v>46041</v>
      </c>
    </row>
    <row r="97">
      <c r="A97" t="inlineStr">
        <is>
          <t>BH-092</t>
        </is>
      </c>
      <c r="B97" t="inlineStr">
        <is>
          <t>Bellhaven 092</t>
        </is>
      </c>
      <c r="C97" t="inlineStr">
        <is>
          <t>Northeast</t>
        </is>
      </c>
      <c r="D97" s="11" t="n">
        <v>46043</v>
      </c>
    </row>
    <row r="98">
      <c r="A98" t="inlineStr">
        <is>
          <t>BH-093</t>
        </is>
      </c>
      <c r="B98" t="inlineStr">
        <is>
          <t>Bellhaven 093</t>
        </is>
      </c>
      <c r="C98" t="inlineStr">
        <is>
          <t>Midwest</t>
        </is>
      </c>
      <c r="D98" s="11" t="n">
        <v>46045</v>
      </c>
    </row>
    <row r="99">
      <c r="A99" t="inlineStr">
        <is>
          <t>BH-094</t>
        </is>
      </c>
      <c r="B99" t="inlineStr">
        <is>
          <t>Bellhaven 094</t>
        </is>
      </c>
      <c r="C99" t="inlineStr">
        <is>
          <t>South</t>
        </is>
      </c>
      <c r="D99" s="11" t="n">
        <v>46047</v>
      </c>
    </row>
    <row r="100">
      <c r="A100" t="inlineStr">
        <is>
          <t>BH-095</t>
        </is>
      </c>
      <c r="B100" t="inlineStr">
        <is>
          <t>Bellhaven 095</t>
        </is>
      </c>
      <c r="C100" t="inlineStr">
        <is>
          <t>West</t>
        </is>
      </c>
      <c r="D100" s="11" t="n">
        <v>46049</v>
      </c>
    </row>
    <row r="101">
      <c r="A101" t="inlineStr">
        <is>
          <t>BH-096</t>
        </is>
      </c>
      <c r="B101" t="inlineStr">
        <is>
          <t>Bellhaven 096</t>
        </is>
      </c>
      <c r="C101" t="inlineStr">
        <is>
          <t>Northeast</t>
        </is>
      </c>
      <c r="D101" s="11" t="n">
        <v>46027</v>
      </c>
    </row>
    <row r="102">
      <c r="A102" t="inlineStr">
        <is>
          <t>BH-097</t>
        </is>
      </c>
      <c r="B102" t="inlineStr">
        <is>
          <t>Bellhaven 097</t>
        </is>
      </c>
      <c r="C102" t="inlineStr">
        <is>
          <t>Midwest</t>
        </is>
      </c>
      <c r="D102" s="11" t="n">
        <v>46029</v>
      </c>
    </row>
    <row r="103">
      <c r="A103" t="inlineStr">
        <is>
          <t>BH-098</t>
        </is>
      </c>
      <c r="B103" t="inlineStr">
        <is>
          <t>Bellhaven 098</t>
        </is>
      </c>
      <c r="C103" t="inlineStr">
        <is>
          <t>South</t>
        </is>
      </c>
      <c r="D103" s="11" t="n">
        <v>46031</v>
      </c>
    </row>
    <row r="104">
      <c r="A104" t="inlineStr">
        <is>
          <t>BH-099</t>
        </is>
      </c>
      <c r="B104" t="inlineStr">
        <is>
          <t>Bellhaven 099</t>
        </is>
      </c>
      <c r="C104" t="inlineStr">
        <is>
          <t>West</t>
        </is>
      </c>
      <c r="D104" s="11" t="n">
        <v>46033</v>
      </c>
    </row>
    <row r="105">
      <c r="A105" t="inlineStr">
        <is>
          <t>BH-100</t>
        </is>
      </c>
      <c r="B105" t="inlineStr">
        <is>
          <t>Bellhaven 100</t>
        </is>
      </c>
      <c r="C105" t="inlineStr">
        <is>
          <t>Northeast</t>
        </is>
      </c>
      <c r="D105" s="11" t="n">
        <v>46035</v>
      </c>
    </row>
    <row r="106">
      <c r="A106" t="inlineStr">
        <is>
          <t>BH-101</t>
        </is>
      </c>
      <c r="B106" t="inlineStr">
        <is>
          <t>Bellhaven 101</t>
        </is>
      </c>
      <c r="C106" t="inlineStr">
        <is>
          <t>Midwest</t>
        </is>
      </c>
      <c r="D106" s="11" t="n">
        <v>46037</v>
      </c>
    </row>
    <row r="107">
      <c r="A107" t="inlineStr">
        <is>
          <t>BH-102</t>
        </is>
      </c>
      <c r="B107" t="inlineStr">
        <is>
          <t>Bellhaven 102</t>
        </is>
      </c>
      <c r="C107" t="inlineStr">
        <is>
          <t>South</t>
        </is>
      </c>
      <c r="D107" s="11" t="n">
        <v>46039</v>
      </c>
    </row>
    <row r="108">
      <c r="A108" t="inlineStr">
        <is>
          <t>BH-103</t>
        </is>
      </c>
      <c r="B108" t="inlineStr">
        <is>
          <t>Bellhaven 103</t>
        </is>
      </c>
      <c r="C108" t="inlineStr">
        <is>
          <t>West</t>
        </is>
      </c>
      <c r="D108" s="11" t="n">
        <v>46041</v>
      </c>
    </row>
    <row r="109">
      <c r="A109" t="inlineStr">
        <is>
          <t>BH-104</t>
        </is>
      </c>
      <c r="B109" t="inlineStr">
        <is>
          <t>Bellhaven 104</t>
        </is>
      </c>
      <c r="C109" t="inlineStr">
        <is>
          <t>Northeast</t>
        </is>
      </c>
      <c r="D109" s="11" t="n">
        <v>46043</v>
      </c>
    </row>
    <row r="110">
      <c r="A110" t="inlineStr">
        <is>
          <t>BH-105</t>
        </is>
      </c>
      <c r="B110" t="inlineStr">
        <is>
          <t>Bellhaven 105</t>
        </is>
      </c>
      <c r="C110" t="inlineStr">
        <is>
          <t>Midwest</t>
        </is>
      </c>
      <c r="D110" s="11" t="n">
        <v>46045</v>
      </c>
    </row>
    <row r="111">
      <c r="A111" t="inlineStr">
        <is>
          <t>BH-106</t>
        </is>
      </c>
      <c r="B111" t="inlineStr">
        <is>
          <t>Bellhaven 106</t>
        </is>
      </c>
      <c r="C111" t="inlineStr">
        <is>
          <t>South</t>
        </is>
      </c>
      <c r="D111" s="11" t="n">
        <v>46047</v>
      </c>
    </row>
    <row r="112">
      <c r="A112" t="inlineStr">
        <is>
          <t>BH-107</t>
        </is>
      </c>
      <c r="B112" t="inlineStr">
        <is>
          <t>Bellhaven 107</t>
        </is>
      </c>
      <c r="C112" t="inlineStr">
        <is>
          <t>West</t>
        </is>
      </c>
      <c r="D112" s="11" t="n">
        <v>46049</v>
      </c>
    </row>
    <row r="113">
      <c r="A113" t="inlineStr">
        <is>
          <t>BH-108</t>
        </is>
      </c>
      <c r="B113" t="inlineStr">
        <is>
          <t>Bellhaven 108</t>
        </is>
      </c>
      <c r="C113" t="inlineStr">
        <is>
          <t>Northeast</t>
        </is>
      </c>
      <c r="D113" s="11" t="n">
        <v>46027</v>
      </c>
    </row>
    <row r="114">
      <c r="A114" t="inlineStr">
        <is>
          <t>BH-109</t>
        </is>
      </c>
      <c r="B114" t="inlineStr">
        <is>
          <t>Bellhaven 109</t>
        </is>
      </c>
      <c r="C114" t="inlineStr">
        <is>
          <t>Midwest</t>
        </is>
      </c>
      <c r="D114" s="11" t="n">
        <v>46029</v>
      </c>
    </row>
    <row r="115">
      <c r="A115" t="inlineStr">
        <is>
          <t>BH-110</t>
        </is>
      </c>
      <c r="B115" t="inlineStr">
        <is>
          <t>Bellhaven 110</t>
        </is>
      </c>
      <c r="C115" t="inlineStr">
        <is>
          <t>South</t>
        </is>
      </c>
      <c r="D115" s="11" t="n">
        <v>46031</v>
      </c>
    </row>
    <row r="116">
      <c r="A116" t="inlineStr">
        <is>
          <t>BH-111</t>
        </is>
      </c>
      <c r="B116" t="inlineStr">
        <is>
          <t>Bellhaven 111</t>
        </is>
      </c>
      <c r="C116" t="inlineStr">
        <is>
          <t>West</t>
        </is>
      </c>
      <c r="D116" s="11" t="n">
        <v>46033</v>
      </c>
    </row>
    <row r="117">
      <c r="A117" t="inlineStr">
        <is>
          <t>BH-112</t>
        </is>
      </c>
      <c r="B117" t="inlineStr">
        <is>
          <t>Bellhaven 112</t>
        </is>
      </c>
      <c r="C117" t="inlineStr">
        <is>
          <t>Northeast</t>
        </is>
      </c>
      <c r="D117" s="11" t="n">
        <v>46035</v>
      </c>
    </row>
    <row r="118">
      <c r="A118" t="inlineStr">
        <is>
          <t>BH-113</t>
        </is>
      </c>
      <c r="B118" t="inlineStr">
        <is>
          <t>Bellhaven 113</t>
        </is>
      </c>
      <c r="C118" t="inlineStr">
        <is>
          <t>Midwest</t>
        </is>
      </c>
      <c r="D118" s="11" t="n">
        <v>46037</v>
      </c>
    </row>
    <row r="119">
      <c r="A119" t="inlineStr">
        <is>
          <t>BH-114</t>
        </is>
      </c>
      <c r="B119" t="inlineStr">
        <is>
          <t>Bellhaven 114</t>
        </is>
      </c>
      <c r="C119" t="inlineStr">
        <is>
          <t>South</t>
        </is>
      </c>
      <c r="D119" s="11" t="n">
        <v>46039</v>
      </c>
    </row>
    <row r="120">
      <c r="A120" t="inlineStr">
        <is>
          <t>BH-115</t>
        </is>
      </c>
      <c r="B120" t="inlineStr">
        <is>
          <t>Bellhaven 115</t>
        </is>
      </c>
      <c r="C120" t="inlineStr">
        <is>
          <t>West</t>
        </is>
      </c>
      <c r="D120" s="11" t="n">
        <v>46041</v>
      </c>
    </row>
    <row r="121">
      <c r="A121" t="inlineStr">
        <is>
          <t>BH-116</t>
        </is>
      </c>
      <c r="B121" t="inlineStr">
        <is>
          <t>Bellhaven 116</t>
        </is>
      </c>
      <c r="C121" t="inlineStr">
        <is>
          <t>Northeast</t>
        </is>
      </c>
      <c r="D121" s="11" t="n">
        <v>46043</v>
      </c>
    </row>
    <row r="122">
      <c r="A122" t="inlineStr">
        <is>
          <t>BH-117</t>
        </is>
      </c>
      <c r="B122" t="inlineStr">
        <is>
          <t>Bellhaven 117</t>
        </is>
      </c>
      <c r="C122" t="inlineStr">
        <is>
          <t>Midwest</t>
        </is>
      </c>
      <c r="D122" s="11" t="n">
        <v>46045</v>
      </c>
    </row>
    <row r="123">
      <c r="A123" t="inlineStr">
        <is>
          <t>BH-118</t>
        </is>
      </c>
      <c r="B123" t="inlineStr">
        <is>
          <t>Bellhaven 118</t>
        </is>
      </c>
      <c r="C123" t="inlineStr">
        <is>
          <t>South</t>
        </is>
      </c>
      <c r="D123" s="11" t="n">
        <v>46047</v>
      </c>
    </row>
    <row r="124">
      <c r="A124" t="inlineStr">
        <is>
          <t>BH-119</t>
        </is>
      </c>
      <c r="B124" t="inlineStr">
        <is>
          <t>Bellhaven 119</t>
        </is>
      </c>
      <c r="C124" t="inlineStr">
        <is>
          <t>West</t>
        </is>
      </c>
      <c r="D124" s="11" t="n">
        <v>46049</v>
      </c>
    </row>
    <row r="125">
      <c r="A125" t="inlineStr">
        <is>
          <t>BH-120</t>
        </is>
      </c>
      <c r="B125" t="inlineStr">
        <is>
          <t>Bellhaven 120</t>
        </is>
      </c>
      <c r="C125" t="inlineStr">
        <is>
          <t>Northeast</t>
        </is>
      </c>
      <c r="D125" s="11" t="n">
        <v>46027</v>
      </c>
    </row>
    <row r="126">
      <c r="A126" t="inlineStr">
        <is>
          <t>BH-121</t>
        </is>
      </c>
      <c r="B126" t="inlineStr">
        <is>
          <t>Bellhaven 121</t>
        </is>
      </c>
      <c r="C126" t="inlineStr">
        <is>
          <t>Midwest</t>
        </is>
      </c>
      <c r="D126" s="11" t="n">
        <v>46029</v>
      </c>
    </row>
    <row r="127">
      <c r="A127" t="inlineStr">
        <is>
          <t>BH-122</t>
        </is>
      </c>
      <c r="B127" t="inlineStr">
        <is>
          <t>Bellhaven 122</t>
        </is>
      </c>
      <c r="C127" t="inlineStr">
        <is>
          <t>South</t>
        </is>
      </c>
      <c r="D127" s="11" t="n">
        <v>46031</v>
      </c>
    </row>
    <row r="128">
      <c r="A128" t="inlineStr">
        <is>
          <t>BH-123</t>
        </is>
      </c>
      <c r="B128" t="inlineStr">
        <is>
          <t>Bellhaven 123</t>
        </is>
      </c>
      <c r="C128" t="inlineStr">
        <is>
          <t>West</t>
        </is>
      </c>
      <c r="D128" s="11" t="n">
        <v>46033</v>
      </c>
    </row>
    <row r="129">
      <c r="A129" t="inlineStr">
        <is>
          <t>BH-124</t>
        </is>
      </c>
      <c r="B129" t="inlineStr">
        <is>
          <t>Bellhaven 124</t>
        </is>
      </c>
      <c r="C129" t="inlineStr">
        <is>
          <t>Northeast</t>
        </is>
      </c>
      <c r="D129" s="11" t="n">
        <v>46035</v>
      </c>
    </row>
    <row r="130">
      <c r="A130" t="inlineStr">
        <is>
          <t>BH-125</t>
        </is>
      </c>
      <c r="B130" t="inlineStr">
        <is>
          <t>Bellhaven 125</t>
        </is>
      </c>
      <c r="C130" t="inlineStr">
        <is>
          <t>Midwest</t>
        </is>
      </c>
      <c r="D130" s="11" t="n">
        <v>46037</v>
      </c>
    </row>
    <row r="131">
      <c r="A131" t="inlineStr">
        <is>
          <t>BH-126</t>
        </is>
      </c>
      <c r="B131" t="inlineStr">
        <is>
          <t>Bellhaven 126</t>
        </is>
      </c>
      <c r="C131" t="inlineStr">
        <is>
          <t>South</t>
        </is>
      </c>
      <c r="D131" s="11" t="n">
        <v>46039</v>
      </c>
    </row>
    <row r="132">
      <c r="A132" t="inlineStr">
        <is>
          <t>BH-127</t>
        </is>
      </c>
      <c r="B132" t="inlineStr">
        <is>
          <t>Bellhaven 127</t>
        </is>
      </c>
      <c r="C132" t="inlineStr">
        <is>
          <t>West</t>
        </is>
      </c>
      <c r="D132" s="11" t="n">
        <v>46041</v>
      </c>
    </row>
    <row r="133">
      <c r="A133" t="inlineStr">
        <is>
          <t>BH-128</t>
        </is>
      </c>
      <c r="B133" t="inlineStr">
        <is>
          <t>Bellhaven 128</t>
        </is>
      </c>
      <c r="C133" t="inlineStr">
        <is>
          <t>Northeast</t>
        </is>
      </c>
      <c r="D133" s="11" t="n">
        <v>46043</v>
      </c>
    </row>
    <row r="134">
      <c r="A134" t="inlineStr">
        <is>
          <t>BH-129</t>
        </is>
      </c>
      <c r="B134" t="inlineStr">
        <is>
          <t>Bellhaven 129</t>
        </is>
      </c>
      <c r="C134" t="inlineStr">
        <is>
          <t>Midwest</t>
        </is>
      </c>
      <c r="D134" s="11" t="n">
        <v>46045</v>
      </c>
    </row>
    <row r="135">
      <c r="A135" t="inlineStr">
        <is>
          <t>BH-130</t>
        </is>
      </c>
      <c r="B135" t="inlineStr">
        <is>
          <t>Bellhaven 130</t>
        </is>
      </c>
      <c r="C135" t="inlineStr">
        <is>
          <t>South</t>
        </is>
      </c>
      <c r="D135" s="11" t="n">
        <v>46047</v>
      </c>
    </row>
    <row r="136">
      <c r="A136" t="inlineStr">
        <is>
          <t>BH-131</t>
        </is>
      </c>
      <c r="B136" t="inlineStr">
        <is>
          <t>Bellhaven 131</t>
        </is>
      </c>
      <c r="C136" t="inlineStr">
        <is>
          <t>West</t>
        </is>
      </c>
      <c r="D136" s="11" t="n">
        <v>46049</v>
      </c>
    </row>
    <row r="137">
      <c r="A137" t="inlineStr">
        <is>
          <t>BH-132</t>
        </is>
      </c>
      <c r="B137" t="inlineStr">
        <is>
          <t>Bellhaven 132</t>
        </is>
      </c>
      <c r="C137" t="inlineStr">
        <is>
          <t>Northeast</t>
        </is>
      </c>
      <c r="D137" s="11" t="n">
        <v>46027</v>
      </c>
    </row>
    <row r="138">
      <c r="A138" t="inlineStr">
        <is>
          <t>BH-133</t>
        </is>
      </c>
      <c r="B138" t="inlineStr">
        <is>
          <t>Bellhaven 133</t>
        </is>
      </c>
      <c r="C138" t="inlineStr">
        <is>
          <t>Midwest</t>
        </is>
      </c>
      <c r="D138" s="11" t="n">
        <v>46029</v>
      </c>
    </row>
    <row r="139">
      <c r="A139" t="inlineStr">
        <is>
          <t>BH-134</t>
        </is>
      </c>
      <c r="B139" t="inlineStr">
        <is>
          <t>Bellhaven 134</t>
        </is>
      </c>
      <c r="C139" t="inlineStr">
        <is>
          <t>South</t>
        </is>
      </c>
      <c r="D139" s="11" t="n">
        <v>46031</v>
      </c>
    </row>
    <row r="140">
      <c r="A140" t="inlineStr">
        <is>
          <t>BH-135</t>
        </is>
      </c>
      <c r="B140" t="inlineStr">
        <is>
          <t>Bellhaven 135</t>
        </is>
      </c>
      <c r="C140" t="inlineStr">
        <is>
          <t>West</t>
        </is>
      </c>
      <c r="D140" s="11" t="n">
        <v>46033</v>
      </c>
    </row>
    <row r="141">
      <c r="A141" t="inlineStr">
        <is>
          <t>BH-136</t>
        </is>
      </c>
      <c r="B141" t="inlineStr">
        <is>
          <t>Bellhaven 136</t>
        </is>
      </c>
      <c r="C141" t="inlineStr">
        <is>
          <t>Northeast</t>
        </is>
      </c>
      <c r="D141" s="11" t="n">
        <v>46035</v>
      </c>
    </row>
    <row r="142">
      <c r="A142" t="inlineStr">
        <is>
          <t>BH-137</t>
        </is>
      </c>
      <c r="B142" t="inlineStr">
        <is>
          <t>Bellhaven 137</t>
        </is>
      </c>
      <c r="C142" t="inlineStr">
        <is>
          <t>Midwest</t>
        </is>
      </c>
      <c r="D142" s="11" t="n">
        <v>46037</v>
      </c>
    </row>
    <row r="143">
      <c r="A143" t="inlineStr">
        <is>
          <t>BH-138</t>
        </is>
      </c>
      <c r="B143" t="inlineStr">
        <is>
          <t>Bellhaven 138</t>
        </is>
      </c>
      <c r="C143" t="inlineStr">
        <is>
          <t>South</t>
        </is>
      </c>
      <c r="D143" s="11" t="n">
        <v>46039</v>
      </c>
    </row>
    <row r="144">
      <c r="A144" t="inlineStr">
        <is>
          <t>BH-139</t>
        </is>
      </c>
      <c r="B144" t="inlineStr">
        <is>
          <t>Bellhaven 139</t>
        </is>
      </c>
      <c r="C144" t="inlineStr">
        <is>
          <t>West</t>
        </is>
      </c>
      <c r="D144" s="11" t="n">
        <v>46041</v>
      </c>
    </row>
    <row r="145">
      <c r="A145" t="inlineStr">
        <is>
          <t>BH-140</t>
        </is>
      </c>
      <c r="B145" t="inlineStr">
        <is>
          <t>Bellhaven 140</t>
        </is>
      </c>
      <c r="C145" t="inlineStr">
        <is>
          <t>Northeast</t>
        </is>
      </c>
      <c r="D145" s="11" t="n">
        <v>46043</v>
      </c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20" customWidth="1" min="9" max="9"/>
    <col width="16" customWidth="1" min="10" max="10"/>
  </cols>
  <sheetData>
    <row r="1">
      <c r="A1" s="1" t="inlineStr">
        <is>
          <t>Weekly Input</t>
        </is>
      </c>
    </row>
    <row r="2">
      <c r="A2" s="2" t="inlineStr">
        <is>
          <t>Paste-only EDI 852 observations in blue columns; calculated checks at right</t>
        </is>
      </c>
    </row>
    <row r="4">
      <c r="A4" s="6" t="inlineStr">
        <is>
          <t>Week Ending</t>
        </is>
      </c>
      <c r="B4" s="6" t="inlineStr">
        <is>
          <t>Store ID</t>
        </is>
      </c>
      <c r="C4" s="6" t="inlineStr">
        <is>
          <t>SKU</t>
        </is>
      </c>
      <c r="D4" s="6" t="inlineStr">
        <is>
          <t>Units Sold</t>
        </is>
      </c>
      <c r="E4" s="6" t="inlineStr">
        <is>
          <t>Net Sales</t>
        </is>
      </c>
      <c r="F4" s="6" t="inlineStr">
        <is>
          <t>Receipts</t>
        </is>
      </c>
      <c r="G4" s="6" t="inlineStr">
        <is>
          <t>On Hand Qty</t>
        </is>
      </c>
      <c r="H4" s="6" t="inlineStr">
        <is>
          <t>In-Stock Days</t>
        </is>
      </c>
      <c r="I4" s="6" t="inlineStr">
        <is>
          <t>Duplicate Key Check</t>
        </is>
      </c>
      <c r="J4" s="6" t="inlineStr">
        <is>
          <t>Master Check</t>
        </is>
      </c>
    </row>
    <row r="5">
      <c r="A5" s="7" t="n"/>
      <c r="B5" s="13" t="n"/>
      <c r="C5" s="13" t="n"/>
      <c r="D5" s="14" t="n"/>
      <c r="E5" s="15" t="n"/>
      <c r="F5" s="16" t="n"/>
      <c r="G5" s="16" t="n"/>
      <c r="H5" s="16" t="n"/>
      <c r="I5" s="17">
        <f>IF(COUNTA(A5:C5)=0,"",IF(COUNTIFS($A$5:$A$504,A5,$B$5:$B$504,B5,$C$5:$C$504,C5)&gt;1,"DUPLICATE","OK"))</f>
        <v/>
      </c>
      <c r="J5" s="17">
        <f>IF(COUNTA(A5:C5)=0,"",IF(AND(COUNTIF('Master Data'!$A$6:$A$145,B5)=1,COUNTIF('Master Data'!$F$6:$F$13,C5)=1),"OK","INVALID"))</f>
        <v/>
      </c>
    </row>
    <row r="6">
      <c r="A6" s="7" t="n"/>
      <c r="B6" s="13" t="n"/>
      <c r="C6" s="13" t="n"/>
      <c r="D6" s="14" t="n"/>
      <c r="E6" s="15" t="n"/>
      <c r="F6" s="16" t="n"/>
      <c r="G6" s="16" t="n"/>
      <c r="H6" s="16" t="n"/>
      <c r="I6" s="17">
        <f>IF(COUNTA(A6:C6)=0,"",IF(COUNTIFS($A$5:$A$504,A6,$B$5:$B$504,B6,$C$5:$C$504,C6)&gt;1,"DUPLICATE","OK"))</f>
        <v/>
      </c>
      <c r="J6" s="17">
        <f>IF(COUNTA(A6:C6)=0,"",IF(AND(COUNTIF('Master Data'!$A$6:$A$145,B6)=1,COUNTIF('Master Data'!$F$6:$F$13,C6)=1),"OK","INVALID"))</f>
        <v/>
      </c>
    </row>
    <row r="7">
      <c r="A7" s="7" t="n"/>
      <c r="B7" s="13" t="n"/>
      <c r="C7" s="13" t="n"/>
      <c r="D7" s="14" t="n"/>
      <c r="E7" s="15" t="n"/>
      <c r="F7" s="16" t="n"/>
      <c r="G7" s="16" t="n"/>
      <c r="H7" s="16" t="n"/>
      <c r="I7" s="17">
        <f>IF(COUNTA(A7:C7)=0,"",IF(COUNTIFS($A$5:$A$504,A7,$B$5:$B$504,B7,$C$5:$C$504,C7)&gt;1,"DUPLICATE","OK"))</f>
        <v/>
      </c>
      <c r="J7" s="17">
        <f>IF(COUNTA(A7:C7)=0,"",IF(AND(COUNTIF('Master Data'!$A$6:$A$145,B7)=1,COUNTIF('Master Data'!$F$6:$F$13,C7)=1),"OK","INVALID"))</f>
        <v/>
      </c>
    </row>
    <row r="8">
      <c r="A8" s="7" t="n"/>
      <c r="B8" s="13" t="n"/>
      <c r="C8" s="13" t="n"/>
      <c r="D8" s="14" t="n"/>
      <c r="E8" s="15" t="n"/>
      <c r="F8" s="16" t="n"/>
      <c r="G8" s="16" t="n"/>
      <c r="H8" s="16" t="n"/>
      <c r="I8" s="17">
        <f>IF(COUNTA(A8:C8)=0,"",IF(COUNTIFS($A$5:$A$504,A8,$B$5:$B$504,B8,$C$5:$C$504,C8)&gt;1,"DUPLICATE","OK"))</f>
        <v/>
      </c>
      <c r="J8" s="17">
        <f>IF(COUNTA(A8:C8)=0,"",IF(AND(COUNTIF('Master Data'!$A$6:$A$145,B8)=1,COUNTIF('Master Data'!$F$6:$F$13,C8)=1),"OK","INVALID"))</f>
        <v/>
      </c>
    </row>
    <row r="9">
      <c r="A9" s="7" t="n"/>
      <c r="B9" s="13" t="n"/>
      <c r="C9" s="13" t="n"/>
      <c r="D9" s="14" t="n"/>
      <c r="E9" s="15" t="n"/>
      <c r="F9" s="16" t="n"/>
      <c r="G9" s="16" t="n"/>
      <c r="H9" s="16" t="n"/>
      <c r="I9" s="17">
        <f>IF(COUNTA(A9:C9)=0,"",IF(COUNTIFS($A$5:$A$504,A9,$B$5:$B$504,B9,$C$5:$C$504,C9)&gt;1,"DUPLICATE","OK"))</f>
        <v/>
      </c>
      <c r="J9" s="17">
        <f>IF(COUNTA(A9:C9)=0,"",IF(AND(COUNTIF('Master Data'!$A$6:$A$145,B9)=1,COUNTIF('Master Data'!$F$6:$F$13,C9)=1),"OK","INVALID"))</f>
        <v/>
      </c>
    </row>
    <row r="10">
      <c r="A10" s="7" t="n"/>
      <c r="B10" s="13" t="n"/>
      <c r="C10" s="13" t="n"/>
      <c r="D10" s="14" t="n"/>
      <c r="E10" s="15" t="n"/>
      <c r="F10" s="16" t="n"/>
      <c r="G10" s="16" t="n"/>
      <c r="H10" s="16" t="n"/>
      <c r="I10" s="17">
        <f>IF(COUNTA(A10:C10)=0,"",IF(COUNTIFS($A$5:$A$504,A10,$B$5:$B$504,B10,$C$5:$C$504,C10)&gt;1,"DUPLICATE","OK"))</f>
        <v/>
      </c>
      <c r="J10" s="17">
        <f>IF(COUNTA(A10:C10)=0,"",IF(AND(COUNTIF('Master Data'!$A$6:$A$145,B10)=1,COUNTIF('Master Data'!$F$6:$F$13,C10)=1),"OK","INVALID"))</f>
        <v/>
      </c>
    </row>
    <row r="11">
      <c r="A11" s="7" t="n"/>
      <c r="B11" s="13" t="n"/>
      <c r="C11" s="13" t="n"/>
      <c r="D11" s="14" t="n"/>
      <c r="E11" s="15" t="n"/>
      <c r="F11" s="16" t="n"/>
      <c r="G11" s="16" t="n"/>
      <c r="H11" s="16" t="n"/>
      <c r="I11" s="17">
        <f>IF(COUNTA(A11:C11)=0,"",IF(COUNTIFS($A$5:$A$504,A11,$B$5:$B$504,B11,$C$5:$C$504,C11)&gt;1,"DUPLICATE","OK"))</f>
        <v/>
      </c>
      <c r="J11" s="17">
        <f>IF(COUNTA(A11:C11)=0,"",IF(AND(COUNTIF('Master Data'!$A$6:$A$145,B11)=1,COUNTIF('Master Data'!$F$6:$F$13,C11)=1),"OK","INVALID"))</f>
        <v/>
      </c>
    </row>
    <row r="12">
      <c r="A12" s="7" t="n"/>
      <c r="B12" s="13" t="n"/>
      <c r="C12" s="13" t="n"/>
      <c r="D12" s="14" t="n"/>
      <c r="E12" s="15" t="n"/>
      <c r="F12" s="16" t="n"/>
      <c r="G12" s="16" t="n"/>
      <c r="H12" s="16" t="n"/>
      <c r="I12" s="17">
        <f>IF(COUNTA(A12:C12)=0,"",IF(COUNTIFS($A$5:$A$504,A12,$B$5:$B$504,B12,$C$5:$C$504,C12)&gt;1,"DUPLICATE","OK"))</f>
        <v/>
      </c>
      <c r="J12" s="17">
        <f>IF(COUNTA(A12:C12)=0,"",IF(AND(COUNTIF('Master Data'!$A$6:$A$145,B12)=1,COUNTIF('Master Data'!$F$6:$F$13,C12)=1),"OK","INVALID"))</f>
        <v/>
      </c>
    </row>
    <row r="13">
      <c r="A13" s="7" t="n"/>
      <c r="B13" s="13" t="n"/>
      <c r="C13" s="13" t="n"/>
      <c r="D13" s="14" t="n"/>
      <c r="E13" s="15" t="n"/>
      <c r="F13" s="16" t="n"/>
      <c r="G13" s="16" t="n"/>
      <c r="H13" s="16" t="n"/>
      <c r="I13" s="17">
        <f>IF(COUNTA(A13:C13)=0,"",IF(COUNTIFS($A$5:$A$504,A13,$B$5:$B$504,B13,$C$5:$C$504,C13)&gt;1,"DUPLICATE","OK"))</f>
        <v/>
      </c>
      <c r="J13" s="17">
        <f>IF(COUNTA(A13:C13)=0,"",IF(AND(COUNTIF('Master Data'!$A$6:$A$145,B13)=1,COUNTIF('Master Data'!$F$6:$F$13,C13)=1),"OK","INVALID"))</f>
        <v/>
      </c>
    </row>
    <row r="14">
      <c r="A14" s="7" t="n"/>
      <c r="B14" s="13" t="n"/>
      <c r="C14" s="13" t="n"/>
      <c r="D14" s="14" t="n"/>
      <c r="E14" s="15" t="n"/>
      <c r="F14" s="16" t="n"/>
      <c r="G14" s="16" t="n"/>
      <c r="H14" s="16" t="n"/>
      <c r="I14" s="17">
        <f>IF(COUNTA(A14:C14)=0,"",IF(COUNTIFS($A$5:$A$504,A14,$B$5:$B$504,B14,$C$5:$C$504,C14)&gt;1,"DUPLICATE","OK"))</f>
        <v/>
      </c>
      <c r="J14" s="17">
        <f>IF(COUNTA(A14:C14)=0,"",IF(AND(COUNTIF('Master Data'!$A$6:$A$145,B14)=1,COUNTIF('Master Data'!$F$6:$F$13,C14)=1),"OK","INVALID"))</f>
        <v/>
      </c>
    </row>
    <row r="15">
      <c r="A15" s="7" t="n"/>
      <c r="B15" s="13" t="n"/>
      <c r="C15" s="13" t="n"/>
      <c r="D15" s="14" t="n"/>
      <c r="E15" s="15" t="n"/>
      <c r="F15" s="16" t="n"/>
      <c r="G15" s="16" t="n"/>
      <c r="H15" s="16" t="n"/>
      <c r="I15" s="17">
        <f>IF(COUNTA(A15:C15)=0,"",IF(COUNTIFS($A$5:$A$504,A15,$B$5:$B$504,B15,$C$5:$C$504,C15)&gt;1,"DUPLICATE","OK"))</f>
        <v/>
      </c>
      <c r="J15" s="17">
        <f>IF(COUNTA(A15:C15)=0,"",IF(AND(COUNTIF('Master Data'!$A$6:$A$145,B15)=1,COUNTIF('Master Data'!$F$6:$F$13,C15)=1),"OK","INVALID"))</f>
        <v/>
      </c>
    </row>
    <row r="16">
      <c r="A16" s="7" t="n"/>
      <c r="B16" s="13" t="n"/>
      <c r="C16" s="13" t="n"/>
      <c r="D16" s="14" t="n"/>
      <c r="E16" s="15" t="n"/>
      <c r="F16" s="16" t="n"/>
      <c r="G16" s="16" t="n"/>
      <c r="H16" s="16" t="n"/>
      <c r="I16" s="17">
        <f>IF(COUNTA(A16:C16)=0,"",IF(COUNTIFS($A$5:$A$504,A16,$B$5:$B$504,B16,$C$5:$C$504,C16)&gt;1,"DUPLICATE","OK"))</f>
        <v/>
      </c>
      <c r="J16" s="17">
        <f>IF(COUNTA(A16:C16)=0,"",IF(AND(COUNTIF('Master Data'!$A$6:$A$145,B16)=1,COUNTIF('Master Data'!$F$6:$F$13,C16)=1),"OK","INVALID"))</f>
        <v/>
      </c>
    </row>
    <row r="17">
      <c r="A17" s="7" t="n"/>
      <c r="B17" s="13" t="n"/>
      <c r="C17" s="13" t="n"/>
      <c r="D17" s="14" t="n"/>
      <c r="E17" s="15" t="n"/>
      <c r="F17" s="16" t="n"/>
      <c r="G17" s="16" t="n"/>
      <c r="H17" s="16" t="n"/>
      <c r="I17" s="17">
        <f>IF(COUNTA(A17:C17)=0,"",IF(COUNTIFS($A$5:$A$504,A17,$B$5:$B$504,B17,$C$5:$C$504,C17)&gt;1,"DUPLICATE","OK"))</f>
        <v/>
      </c>
      <c r="J17" s="17">
        <f>IF(COUNTA(A17:C17)=0,"",IF(AND(COUNTIF('Master Data'!$A$6:$A$145,B17)=1,COUNTIF('Master Data'!$F$6:$F$13,C17)=1),"OK","INVALID"))</f>
        <v/>
      </c>
    </row>
    <row r="18">
      <c r="A18" s="7" t="n"/>
      <c r="B18" s="13" t="n"/>
      <c r="C18" s="13" t="n"/>
      <c r="D18" s="14" t="n"/>
      <c r="E18" s="15" t="n"/>
      <c r="F18" s="16" t="n"/>
      <c r="G18" s="16" t="n"/>
      <c r="H18" s="16" t="n"/>
      <c r="I18" s="17">
        <f>IF(COUNTA(A18:C18)=0,"",IF(COUNTIFS($A$5:$A$504,A18,$B$5:$B$504,B18,$C$5:$C$504,C18)&gt;1,"DUPLICATE","OK"))</f>
        <v/>
      </c>
      <c r="J18" s="17">
        <f>IF(COUNTA(A18:C18)=0,"",IF(AND(COUNTIF('Master Data'!$A$6:$A$145,B18)=1,COUNTIF('Master Data'!$F$6:$F$13,C18)=1),"OK","INVALID"))</f>
        <v/>
      </c>
    </row>
    <row r="19">
      <c r="A19" s="7" t="n"/>
      <c r="B19" s="13" t="n"/>
      <c r="C19" s="13" t="n"/>
      <c r="D19" s="14" t="n"/>
      <c r="E19" s="15" t="n"/>
      <c r="F19" s="16" t="n"/>
      <c r="G19" s="16" t="n"/>
      <c r="H19" s="16" t="n"/>
      <c r="I19" s="17">
        <f>IF(COUNTA(A19:C19)=0,"",IF(COUNTIFS($A$5:$A$504,A19,$B$5:$B$504,B19,$C$5:$C$504,C19)&gt;1,"DUPLICATE","OK"))</f>
        <v/>
      </c>
      <c r="J19" s="17">
        <f>IF(COUNTA(A19:C19)=0,"",IF(AND(COUNTIF('Master Data'!$A$6:$A$145,B19)=1,COUNTIF('Master Data'!$F$6:$F$13,C19)=1),"OK","INVALID"))</f>
        <v/>
      </c>
    </row>
    <row r="20">
      <c r="A20" s="7" t="n"/>
      <c r="B20" s="13" t="n"/>
      <c r="C20" s="13" t="n"/>
      <c r="D20" s="14" t="n"/>
      <c r="E20" s="15" t="n"/>
      <c r="F20" s="16" t="n"/>
      <c r="G20" s="16" t="n"/>
      <c r="H20" s="16" t="n"/>
      <c r="I20" s="17">
        <f>IF(COUNTA(A20:C20)=0,"",IF(COUNTIFS($A$5:$A$504,A20,$B$5:$B$504,B20,$C$5:$C$504,C20)&gt;1,"DUPLICATE","OK"))</f>
        <v/>
      </c>
      <c r="J20" s="17">
        <f>IF(COUNTA(A20:C20)=0,"",IF(AND(COUNTIF('Master Data'!$A$6:$A$145,B20)=1,COUNTIF('Master Data'!$F$6:$F$13,C20)=1),"OK","INVALID"))</f>
        <v/>
      </c>
    </row>
    <row r="21">
      <c r="A21" s="7" t="n"/>
      <c r="B21" s="13" t="n"/>
      <c r="C21" s="13" t="n"/>
      <c r="D21" s="14" t="n"/>
      <c r="E21" s="15" t="n"/>
      <c r="F21" s="16" t="n"/>
      <c r="G21" s="16" t="n"/>
      <c r="H21" s="16" t="n"/>
      <c r="I21" s="17">
        <f>IF(COUNTA(A21:C21)=0,"",IF(COUNTIFS($A$5:$A$504,A21,$B$5:$B$504,B21,$C$5:$C$504,C21)&gt;1,"DUPLICATE","OK"))</f>
        <v/>
      </c>
      <c r="J21" s="17">
        <f>IF(COUNTA(A21:C21)=0,"",IF(AND(COUNTIF('Master Data'!$A$6:$A$145,B21)=1,COUNTIF('Master Data'!$F$6:$F$13,C21)=1),"OK","INVALID"))</f>
        <v/>
      </c>
    </row>
    <row r="22">
      <c r="A22" s="7" t="n"/>
      <c r="B22" s="13" t="n"/>
      <c r="C22" s="13" t="n"/>
      <c r="D22" s="14" t="n"/>
      <c r="E22" s="15" t="n"/>
      <c r="F22" s="16" t="n"/>
      <c r="G22" s="16" t="n"/>
      <c r="H22" s="16" t="n"/>
      <c r="I22" s="17">
        <f>IF(COUNTA(A22:C22)=0,"",IF(COUNTIFS($A$5:$A$504,A22,$B$5:$B$504,B22,$C$5:$C$504,C22)&gt;1,"DUPLICATE","OK"))</f>
        <v/>
      </c>
      <c r="J22" s="17">
        <f>IF(COUNTA(A22:C22)=0,"",IF(AND(COUNTIF('Master Data'!$A$6:$A$145,B22)=1,COUNTIF('Master Data'!$F$6:$F$13,C22)=1),"OK","INVALID"))</f>
        <v/>
      </c>
    </row>
    <row r="23">
      <c r="A23" s="7" t="n"/>
      <c r="B23" s="13" t="n"/>
      <c r="C23" s="13" t="n"/>
      <c r="D23" s="14" t="n"/>
      <c r="E23" s="15" t="n"/>
      <c r="F23" s="16" t="n"/>
      <c r="G23" s="16" t="n"/>
      <c r="H23" s="16" t="n"/>
      <c r="I23" s="17">
        <f>IF(COUNTA(A23:C23)=0,"",IF(COUNTIFS($A$5:$A$504,A23,$B$5:$B$504,B23,$C$5:$C$504,C23)&gt;1,"DUPLICATE","OK"))</f>
        <v/>
      </c>
      <c r="J23" s="17">
        <f>IF(COUNTA(A23:C23)=0,"",IF(AND(COUNTIF('Master Data'!$A$6:$A$145,B23)=1,COUNTIF('Master Data'!$F$6:$F$13,C23)=1),"OK","INVALID"))</f>
        <v/>
      </c>
    </row>
    <row r="24">
      <c r="A24" s="7" t="n"/>
      <c r="B24" s="13" t="n"/>
      <c r="C24" s="13" t="n"/>
      <c r="D24" s="14" t="n"/>
      <c r="E24" s="15" t="n"/>
      <c r="F24" s="16" t="n"/>
      <c r="G24" s="16" t="n"/>
      <c r="H24" s="16" t="n"/>
      <c r="I24" s="17">
        <f>IF(COUNTA(A24:C24)=0,"",IF(COUNTIFS($A$5:$A$504,A24,$B$5:$B$504,B24,$C$5:$C$504,C24)&gt;1,"DUPLICATE","OK"))</f>
        <v/>
      </c>
      <c r="J24" s="17">
        <f>IF(COUNTA(A24:C24)=0,"",IF(AND(COUNTIF('Master Data'!$A$6:$A$145,B24)=1,COUNTIF('Master Data'!$F$6:$F$13,C24)=1),"OK","INVALID"))</f>
        <v/>
      </c>
    </row>
    <row r="25">
      <c r="A25" s="7" t="n"/>
      <c r="B25" s="13" t="n"/>
      <c r="C25" s="13" t="n"/>
      <c r="D25" s="14" t="n"/>
      <c r="E25" s="15" t="n"/>
      <c r="F25" s="16" t="n"/>
      <c r="G25" s="16" t="n"/>
      <c r="H25" s="16" t="n"/>
      <c r="I25" s="17">
        <f>IF(COUNTA(A25:C25)=0,"",IF(COUNTIFS($A$5:$A$504,A25,$B$5:$B$504,B25,$C$5:$C$504,C25)&gt;1,"DUPLICATE","OK"))</f>
        <v/>
      </c>
      <c r="J25" s="17">
        <f>IF(COUNTA(A25:C25)=0,"",IF(AND(COUNTIF('Master Data'!$A$6:$A$145,B25)=1,COUNTIF('Master Data'!$F$6:$F$13,C25)=1),"OK","INVALID"))</f>
        <v/>
      </c>
    </row>
    <row r="26">
      <c r="A26" s="7" t="n"/>
      <c r="B26" s="13" t="n"/>
      <c r="C26" s="13" t="n"/>
      <c r="D26" s="14" t="n"/>
      <c r="E26" s="15" t="n"/>
      <c r="F26" s="16" t="n"/>
      <c r="G26" s="16" t="n"/>
      <c r="H26" s="16" t="n"/>
      <c r="I26" s="17">
        <f>IF(COUNTA(A26:C26)=0,"",IF(COUNTIFS($A$5:$A$504,A26,$B$5:$B$504,B26,$C$5:$C$504,C26)&gt;1,"DUPLICATE","OK"))</f>
        <v/>
      </c>
      <c r="J26" s="17">
        <f>IF(COUNTA(A26:C26)=0,"",IF(AND(COUNTIF('Master Data'!$A$6:$A$145,B26)=1,COUNTIF('Master Data'!$F$6:$F$13,C26)=1),"OK","INVALID"))</f>
        <v/>
      </c>
    </row>
    <row r="27">
      <c r="A27" s="7" t="n"/>
      <c r="B27" s="13" t="n"/>
      <c r="C27" s="13" t="n"/>
      <c r="D27" s="14" t="n"/>
      <c r="E27" s="15" t="n"/>
      <c r="F27" s="16" t="n"/>
      <c r="G27" s="16" t="n"/>
      <c r="H27" s="16" t="n"/>
      <c r="I27" s="17">
        <f>IF(COUNTA(A27:C27)=0,"",IF(COUNTIFS($A$5:$A$504,A27,$B$5:$B$504,B27,$C$5:$C$504,C27)&gt;1,"DUPLICATE","OK"))</f>
        <v/>
      </c>
      <c r="J27" s="17">
        <f>IF(COUNTA(A27:C27)=0,"",IF(AND(COUNTIF('Master Data'!$A$6:$A$145,B27)=1,COUNTIF('Master Data'!$F$6:$F$13,C27)=1),"OK","INVALID"))</f>
        <v/>
      </c>
    </row>
    <row r="28">
      <c r="A28" s="7" t="n"/>
      <c r="B28" s="13" t="n"/>
      <c r="C28" s="13" t="n"/>
      <c r="D28" s="14" t="n"/>
      <c r="E28" s="15" t="n"/>
      <c r="F28" s="16" t="n"/>
      <c r="G28" s="16" t="n"/>
      <c r="H28" s="16" t="n"/>
      <c r="I28" s="17">
        <f>IF(COUNTA(A28:C28)=0,"",IF(COUNTIFS($A$5:$A$504,A28,$B$5:$B$504,B28,$C$5:$C$504,C28)&gt;1,"DUPLICATE","OK"))</f>
        <v/>
      </c>
      <c r="J28" s="17">
        <f>IF(COUNTA(A28:C28)=0,"",IF(AND(COUNTIF('Master Data'!$A$6:$A$145,B28)=1,COUNTIF('Master Data'!$F$6:$F$13,C28)=1),"OK","INVALID"))</f>
        <v/>
      </c>
    </row>
    <row r="29">
      <c r="A29" s="7" t="n"/>
      <c r="B29" s="13" t="n"/>
      <c r="C29" s="13" t="n"/>
      <c r="D29" s="14" t="n"/>
      <c r="E29" s="15" t="n"/>
      <c r="F29" s="16" t="n"/>
      <c r="G29" s="16" t="n"/>
      <c r="H29" s="16" t="n"/>
      <c r="I29" s="17">
        <f>IF(COUNTA(A29:C29)=0,"",IF(COUNTIFS($A$5:$A$504,A29,$B$5:$B$504,B29,$C$5:$C$504,C29)&gt;1,"DUPLICATE","OK"))</f>
        <v/>
      </c>
      <c r="J29" s="17">
        <f>IF(COUNTA(A29:C29)=0,"",IF(AND(COUNTIF('Master Data'!$A$6:$A$145,B29)=1,COUNTIF('Master Data'!$F$6:$F$13,C29)=1),"OK","INVALID"))</f>
        <v/>
      </c>
    </row>
    <row r="30">
      <c r="A30" s="7" t="n"/>
      <c r="B30" s="13" t="n"/>
      <c r="C30" s="13" t="n"/>
      <c r="D30" s="14" t="n"/>
      <c r="E30" s="15" t="n"/>
      <c r="F30" s="16" t="n"/>
      <c r="G30" s="16" t="n"/>
      <c r="H30" s="16" t="n"/>
      <c r="I30" s="17">
        <f>IF(COUNTA(A30:C30)=0,"",IF(COUNTIFS($A$5:$A$504,A30,$B$5:$B$504,B30,$C$5:$C$504,C30)&gt;1,"DUPLICATE","OK"))</f>
        <v/>
      </c>
      <c r="J30" s="17">
        <f>IF(COUNTA(A30:C30)=0,"",IF(AND(COUNTIF('Master Data'!$A$6:$A$145,B30)=1,COUNTIF('Master Data'!$F$6:$F$13,C30)=1),"OK","INVALID"))</f>
        <v/>
      </c>
    </row>
    <row r="31">
      <c r="A31" s="7" t="n"/>
      <c r="B31" s="13" t="n"/>
      <c r="C31" s="13" t="n"/>
      <c r="D31" s="14" t="n"/>
      <c r="E31" s="15" t="n"/>
      <c r="F31" s="16" t="n"/>
      <c r="G31" s="16" t="n"/>
      <c r="H31" s="16" t="n"/>
      <c r="I31" s="17">
        <f>IF(COUNTA(A31:C31)=0,"",IF(COUNTIFS($A$5:$A$504,A31,$B$5:$B$504,B31,$C$5:$C$504,C31)&gt;1,"DUPLICATE","OK"))</f>
        <v/>
      </c>
      <c r="J31" s="17">
        <f>IF(COUNTA(A31:C31)=0,"",IF(AND(COUNTIF('Master Data'!$A$6:$A$145,B31)=1,COUNTIF('Master Data'!$F$6:$F$13,C31)=1),"OK","INVALID"))</f>
        <v/>
      </c>
    </row>
    <row r="32">
      <c r="A32" s="7" t="n"/>
      <c r="B32" s="13" t="n"/>
      <c r="C32" s="13" t="n"/>
      <c r="D32" s="14" t="n"/>
      <c r="E32" s="15" t="n"/>
      <c r="F32" s="16" t="n"/>
      <c r="G32" s="16" t="n"/>
      <c r="H32" s="16" t="n"/>
      <c r="I32" s="17">
        <f>IF(COUNTA(A32:C32)=0,"",IF(COUNTIFS($A$5:$A$504,A32,$B$5:$B$504,B32,$C$5:$C$504,C32)&gt;1,"DUPLICATE","OK"))</f>
        <v/>
      </c>
      <c r="J32" s="17">
        <f>IF(COUNTA(A32:C32)=0,"",IF(AND(COUNTIF('Master Data'!$A$6:$A$145,B32)=1,COUNTIF('Master Data'!$F$6:$F$13,C32)=1),"OK","INVALID"))</f>
        <v/>
      </c>
    </row>
    <row r="33">
      <c r="A33" s="7" t="n"/>
      <c r="B33" s="13" t="n"/>
      <c r="C33" s="13" t="n"/>
      <c r="D33" s="14" t="n"/>
      <c r="E33" s="15" t="n"/>
      <c r="F33" s="16" t="n"/>
      <c r="G33" s="16" t="n"/>
      <c r="H33" s="16" t="n"/>
      <c r="I33" s="17">
        <f>IF(COUNTA(A33:C33)=0,"",IF(COUNTIFS($A$5:$A$504,A33,$B$5:$B$504,B33,$C$5:$C$504,C33)&gt;1,"DUPLICATE","OK"))</f>
        <v/>
      </c>
      <c r="J33" s="17">
        <f>IF(COUNTA(A33:C33)=0,"",IF(AND(COUNTIF('Master Data'!$A$6:$A$145,B33)=1,COUNTIF('Master Data'!$F$6:$F$13,C33)=1),"OK","INVALID"))</f>
        <v/>
      </c>
    </row>
    <row r="34">
      <c r="A34" s="7" t="n"/>
      <c r="B34" s="13" t="n"/>
      <c r="C34" s="13" t="n"/>
      <c r="D34" s="14" t="n"/>
      <c r="E34" s="15" t="n"/>
      <c r="F34" s="16" t="n"/>
      <c r="G34" s="16" t="n"/>
      <c r="H34" s="16" t="n"/>
      <c r="I34" s="17">
        <f>IF(COUNTA(A34:C34)=0,"",IF(COUNTIFS($A$5:$A$504,A34,$B$5:$B$504,B34,$C$5:$C$504,C34)&gt;1,"DUPLICATE","OK"))</f>
        <v/>
      </c>
      <c r="J34" s="17">
        <f>IF(COUNTA(A34:C34)=0,"",IF(AND(COUNTIF('Master Data'!$A$6:$A$145,B34)=1,COUNTIF('Master Data'!$F$6:$F$13,C34)=1),"OK","INVALID"))</f>
        <v/>
      </c>
    </row>
    <row r="35">
      <c r="A35" s="7" t="n"/>
      <c r="B35" s="13" t="n"/>
      <c r="C35" s="13" t="n"/>
      <c r="D35" s="14" t="n"/>
      <c r="E35" s="15" t="n"/>
      <c r="F35" s="16" t="n"/>
      <c r="G35" s="16" t="n"/>
      <c r="H35" s="16" t="n"/>
      <c r="I35" s="17">
        <f>IF(COUNTA(A35:C35)=0,"",IF(COUNTIFS($A$5:$A$504,A35,$B$5:$B$504,B35,$C$5:$C$504,C35)&gt;1,"DUPLICATE","OK"))</f>
        <v/>
      </c>
      <c r="J35" s="17">
        <f>IF(COUNTA(A35:C35)=0,"",IF(AND(COUNTIF('Master Data'!$A$6:$A$145,B35)=1,COUNTIF('Master Data'!$F$6:$F$13,C35)=1),"OK","INVALID"))</f>
        <v/>
      </c>
    </row>
    <row r="36">
      <c r="A36" s="7" t="n"/>
      <c r="B36" s="13" t="n"/>
      <c r="C36" s="13" t="n"/>
      <c r="D36" s="14" t="n"/>
      <c r="E36" s="15" t="n"/>
      <c r="F36" s="16" t="n"/>
      <c r="G36" s="16" t="n"/>
      <c r="H36" s="16" t="n"/>
      <c r="I36" s="17">
        <f>IF(COUNTA(A36:C36)=0,"",IF(COUNTIFS($A$5:$A$504,A36,$B$5:$B$504,B36,$C$5:$C$504,C36)&gt;1,"DUPLICATE","OK"))</f>
        <v/>
      </c>
      <c r="J36" s="17">
        <f>IF(COUNTA(A36:C36)=0,"",IF(AND(COUNTIF('Master Data'!$A$6:$A$145,B36)=1,COUNTIF('Master Data'!$F$6:$F$13,C36)=1),"OK","INVALID"))</f>
        <v/>
      </c>
    </row>
    <row r="37">
      <c r="A37" s="7" t="n"/>
      <c r="B37" s="13" t="n"/>
      <c r="C37" s="13" t="n"/>
      <c r="D37" s="14" t="n"/>
      <c r="E37" s="15" t="n"/>
      <c r="F37" s="16" t="n"/>
      <c r="G37" s="16" t="n"/>
      <c r="H37" s="16" t="n"/>
      <c r="I37" s="17">
        <f>IF(COUNTA(A37:C37)=0,"",IF(COUNTIFS($A$5:$A$504,A37,$B$5:$B$504,B37,$C$5:$C$504,C37)&gt;1,"DUPLICATE","OK"))</f>
        <v/>
      </c>
      <c r="J37" s="17">
        <f>IF(COUNTA(A37:C37)=0,"",IF(AND(COUNTIF('Master Data'!$A$6:$A$145,B37)=1,COUNTIF('Master Data'!$F$6:$F$13,C37)=1),"OK","INVALID"))</f>
        <v/>
      </c>
    </row>
    <row r="38">
      <c r="A38" s="7" t="n"/>
      <c r="B38" s="13" t="n"/>
      <c r="C38" s="13" t="n"/>
      <c r="D38" s="14" t="n"/>
      <c r="E38" s="15" t="n"/>
      <c r="F38" s="16" t="n"/>
      <c r="G38" s="16" t="n"/>
      <c r="H38" s="16" t="n"/>
      <c r="I38" s="17">
        <f>IF(COUNTA(A38:C38)=0,"",IF(COUNTIFS($A$5:$A$504,A38,$B$5:$B$504,B38,$C$5:$C$504,C38)&gt;1,"DUPLICATE","OK"))</f>
        <v/>
      </c>
      <c r="J38" s="17">
        <f>IF(COUNTA(A38:C38)=0,"",IF(AND(COUNTIF('Master Data'!$A$6:$A$145,B38)=1,COUNTIF('Master Data'!$F$6:$F$13,C38)=1),"OK","INVALID"))</f>
        <v/>
      </c>
    </row>
    <row r="39">
      <c r="A39" s="7" t="n"/>
      <c r="B39" s="13" t="n"/>
      <c r="C39" s="13" t="n"/>
      <c r="D39" s="14" t="n"/>
      <c r="E39" s="15" t="n"/>
      <c r="F39" s="16" t="n"/>
      <c r="G39" s="16" t="n"/>
      <c r="H39" s="16" t="n"/>
      <c r="I39" s="17">
        <f>IF(COUNTA(A39:C39)=0,"",IF(COUNTIFS($A$5:$A$504,A39,$B$5:$B$504,B39,$C$5:$C$504,C39)&gt;1,"DUPLICATE","OK"))</f>
        <v/>
      </c>
      <c r="J39" s="17">
        <f>IF(COUNTA(A39:C39)=0,"",IF(AND(COUNTIF('Master Data'!$A$6:$A$145,B39)=1,COUNTIF('Master Data'!$F$6:$F$13,C39)=1),"OK","INVALID"))</f>
        <v/>
      </c>
    </row>
    <row r="40">
      <c r="A40" s="7" t="n"/>
      <c r="B40" s="13" t="n"/>
      <c r="C40" s="13" t="n"/>
      <c r="D40" s="14" t="n"/>
      <c r="E40" s="15" t="n"/>
      <c r="F40" s="16" t="n"/>
      <c r="G40" s="16" t="n"/>
      <c r="H40" s="16" t="n"/>
      <c r="I40" s="17">
        <f>IF(COUNTA(A40:C40)=0,"",IF(COUNTIFS($A$5:$A$504,A40,$B$5:$B$504,B40,$C$5:$C$504,C40)&gt;1,"DUPLICATE","OK"))</f>
        <v/>
      </c>
      <c r="J40" s="17">
        <f>IF(COUNTA(A40:C40)=0,"",IF(AND(COUNTIF('Master Data'!$A$6:$A$145,B40)=1,COUNTIF('Master Data'!$F$6:$F$13,C40)=1),"OK","INVALID"))</f>
        <v/>
      </c>
    </row>
    <row r="41">
      <c r="A41" s="7" t="n"/>
      <c r="B41" s="13" t="n"/>
      <c r="C41" s="13" t="n"/>
      <c r="D41" s="14" t="n"/>
      <c r="E41" s="15" t="n"/>
      <c r="F41" s="16" t="n"/>
      <c r="G41" s="16" t="n"/>
      <c r="H41" s="16" t="n"/>
      <c r="I41" s="17">
        <f>IF(COUNTA(A41:C41)=0,"",IF(COUNTIFS($A$5:$A$504,A41,$B$5:$B$504,B41,$C$5:$C$504,C41)&gt;1,"DUPLICATE","OK"))</f>
        <v/>
      </c>
      <c r="J41" s="17">
        <f>IF(COUNTA(A41:C41)=0,"",IF(AND(COUNTIF('Master Data'!$A$6:$A$145,B41)=1,COUNTIF('Master Data'!$F$6:$F$13,C41)=1),"OK","INVALID"))</f>
        <v/>
      </c>
    </row>
    <row r="42">
      <c r="A42" s="7" t="n"/>
      <c r="B42" s="13" t="n"/>
      <c r="C42" s="13" t="n"/>
      <c r="D42" s="14" t="n"/>
      <c r="E42" s="15" t="n"/>
      <c r="F42" s="16" t="n"/>
      <c r="G42" s="16" t="n"/>
      <c r="H42" s="16" t="n"/>
      <c r="I42" s="17">
        <f>IF(COUNTA(A42:C42)=0,"",IF(COUNTIFS($A$5:$A$504,A42,$B$5:$B$504,B42,$C$5:$C$504,C42)&gt;1,"DUPLICATE","OK"))</f>
        <v/>
      </c>
      <c r="J42" s="17">
        <f>IF(COUNTA(A42:C42)=0,"",IF(AND(COUNTIF('Master Data'!$A$6:$A$145,B42)=1,COUNTIF('Master Data'!$F$6:$F$13,C42)=1),"OK","INVALID"))</f>
        <v/>
      </c>
    </row>
    <row r="43">
      <c r="A43" s="7" t="n"/>
      <c r="B43" s="13" t="n"/>
      <c r="C43" s="13" t="n"/>
      <c r="D43" s="14" t="n"/>
      <c r="E43" s="15" t="n"/>
      <c r="F43" s="16" t="n"/>
      <c r="G43" s="16" t="n"/>
      <c r="H43" s="16" t="n"/>
      <c r="I43" s="17">
        <f>IF(COUNTA(A43:C43)=0,"",IF(COUNTIFS($A$5:$A$504,A43,$B$5:$B$504,B43,$C$5:$C$504,C43)&gt;1,"DUPLICATE","OK"))</f>
        <v/>
      </c>
      <c r="J43" s="17">
        <f>IF(COUNTA(A43:C43)=0,"",IF(AND(COUNTIF('Master Data'!$A$6:$A$145,B43)=1,COUNTIF('Master Data'!$F$6:$F$13,C43)=1),"OK","INVALID"))</f>
        <v/>
      </c>
    </row>
    <row r="44">
      <c r="A44" s="7" t="n"/>
      <c r="B44" s="13" t="n"/>
      <c r="C44" s="13" t="n"/>
      <c r="D44" s="14" t="n"/>
      <c r="E44" s="15" t="n"/>
      <c r="F44" s="16" t="n"/>
      <c r="G44" s="16" t="n"/>
      <c r="H44" s="16" t="n"/>
      <c r="I44" s="17">
        <f>IF(COUNTA(A44:C44)=0,"",IF(COUNTIFS($A$5:$A$504,A44,$B$5:$B$504,B44,$C$5:$C$504,C44)&gt;1,"DUPLICATE","OK"))</f>
        <v/>
      </c>
      <c r="J44" s="17">
        <f>IF(COUNTA(A44:C44)=0,"",IF(AND(COUNTIF('Master Data'!$A$6:$A$145,B44)=1,COUNTIF('Master Data'!$F$6:$F$13,C44)=1),"OK","INVALID"))</f>
        <v/>
      </c>
    </row>
    <row r="45">
      <c r="A45" s="7" t="n"/>
      <c r="B45" s="13" t="n"/>
      <c r="C45" s="13" t="n"/>
      <c r="D45" s="14" t="n"/>
      <c r="E45" s="15" t="n"/>
      <c r="F45" s="16" t="n"/>
      <c r="G45" s="16" t="n"/>
      <c r="H45" s="16" t="n"/>
      <c r="I45" s="17">
        <f>IF(COUNTA(A45:C45)=0,"",IF(COUNTIFS($A$5:$A$504,A45,$B$5:$B$504,B45,$C$5:$C$504,C45)&gt;1,"DUPLICATE","OK"))</f>
        <v/>
      </c>
      <c r="J45" s="17">
        <f>IF(COUNTA(A45:C45)=0,"",IF(AND(COUNTIF('Master Data'!$A$6:$A$145,B45)=1,COUNTIF('Master Data'!$F$6:$F$13,C45)=1),"OK","INVALID"))</f>
        <v/>
      </c>
    </row>
    <row r="46">
      <c r="A46" s="7" t="n"/>
      <c r="B46" s="13" t="n"/>
      <c r="C46" s="13" t="n"/>
      <c r="D46" s="14" t="n"/>
      <c r="E46" s="15" t="n"/>
      <c r="F46" s="16" t="n"/>
      <c r="G46" s="16" t="n"/>
      <c r="H46" s="16" t="n"/>
      <c r="I46" s="17">
        <f>IF(COUNTA(A46:C46)=0,"",IF(COUNTIFS($A$5:$A$504,A46,$B$5:$B$504,B46,$C$5:$C$504,C46)&gt;1,"DUPLICATE","OK"))</f>
        <v/>
      </c>
      <c r="J46" s="17">
        <f>IF(COUNTA(A46:C46)=0,"",IF(AND(COUNTIF('Master Data'!$A$6:$A$145,B46)=1,COUNTIF('Master Data'!$F$6:$F$13,C46)=1),"OK","INVALID"))</f>
        <v/>
      </c>
    </row>
    <row r="47">
      <c r="A47" s="7" t="n"/>
      <c r="B47" s="13" t="n"/>
      <c r="C47" s="13" t="n"/>
      <c r="D47" s="14" t="n"/>
      <c r="E47" s="15" t="n"/>
      <c r="F47" s="16" t="n"/>
      <c r="G47" s="16" t="n"/>
      <c r="H47" s="16" t="n"/>
      <c r="I47" s="17">
        <f>IF(COUNTA(A47:C47)=0,"",IF(COUNTIFS($A$5:$A$504,A47,$B$5:$B$504,B47,$C$5:$C$504,C47)&gt;1,"DUPLICATE","OK"))</f>
        <v/>
      </c>
      <c r="J47" s="17">
        <f>IF(COUNTA(A47:C47)=0,"",IF(AND(COUNTIF('Master Data'!$A$6:$A$145,B47)=1,COUNTIF('Master Data'!$F$6:$F$13,C47)=1),"OK","INVALID"))</f>
        <v/>
      </c>
    </row>
    <row r="48">
      <c r="A48" s="7" t="n"/>
      <c r="B48" s="13" t="n"/>
      <c r="C48" s="13" t="n"/>
      <c r="D48" s="14" t="n"/>
      <c r="E48" s="15" t="n"/>
      <c r="F48" s="16" t="n"/>
      <c r="G48" s="16" t="n"/>
      <c r="H48" s="16" t="n"/>
      <c r="I48" s="17">
        <f>IF(COUNTA(A48:C48)=0,"",IF(COUNTIFS($A$5:$A$504,A48,$B$5:$B$504,B48,$C$5:$C$504,C48)&gt;1,"DUPLICATE","OK"))</f>
        <v/>
      </c>
      <c r="J48" s="17">
        <f>IF(COUNTA(A48:C48)=0,"",IF(AND(COUNTIF('Master Data'!$A$6:$A$145,B48)=1,COUNTIF('Master Data'!$F$6:$F$13,C48)=1),"OK","INVALID"))</f>
        <v/>
      </c>
    </row>
    <row r="49">
      <c r="A49" s="7" t="n"/>
      <c r="B49" s="13" t="n"/>
      <c r="C49" s="13" t="n"/>
      <c r="D49" s="14" t="n"/>
      <c r="E49" s="15" t="n"/>
      <c r="F49" s="16" t="n"/>
      <c r="G49" s="16" t="n"/>
      <c r="H49" s="16" t="n"/>
      <c r="I49" s="17">
        <f>IF(COUNTA(A49:C49)=0,"",IF(COUNTIFS($A$5:$A$504,A49,$B$5:$B$504,B49,$C$5:$C$504,C49)&gt;1,"DUPLICATE","OK"))</f>
        <v/>
      </c>
      <c r="J49" s="17">
        <f>IF(COUNTA(A49:C49)=0,"",IF(AND(COUNTIF('Master Data'!$A$6:$A$145,B49)=1,COUNTIF('Master Data'!$F$6:$F$13,C49)=1),"OK","INVALID"))</f>
        <v/>
      </c>
    </row>
    <row r="50">
      <c r="A50" s="7" t="n"/>
      <c r="B50" s="13" t="n"/>
      <c r="C50" s="13" t="n"/>
      <c r="D50" s="14" t="n"/>
      <c r="E50" s="15" t="n"/>
      <c r="F50" s="16" t="n"/>
      <c r="G50" s="16" t="n"/>
      <c r="H50" s="16" t="n"/>
      <c r="I50" s="17">
        <f>IF(COUNTA(A50:C50)=0,"",IF(COUNTIFS($A$5:$A$504,A50,$B$5:$B$504,B50,$C$5:$C$504,C50)&gt;1,"DUPLICATE","OK"))</f>
        <v/>
      </c>
      <c r="J50" s="17">
        <f>IF(COUNTA(A50:C50)=0,"",IF(AND(COUNTIF('Master Data'!$A$6:$A$145,B50)=1,COUNTIF('Master Data'!$F$6:$F$13,C50)=1),"OK","INVALID"))</f>
        <v/>
      </c>
    </row>
    <row r="51">
      <c r="A51" s="7" t="n"/>
      <c r="B51" s="13" t="n"/>
      <c r="C51" s="13" t="n"/>
      <c r="D51" s="14" t="n"/>
      <c r="E51" s="15" t="n"/>
      <c r="F51" s="16" t="n"/>
      <c r="G51" s="16" t="n"/>
      <c r="H51" s="16" t="n"/>
      <c r="I51" s="17">
        <f>IF(COUNTA(A51:C51)=0,"",IF(COUNTIFS($A$5:$A$504,A51,$B$5:$B$504,B51,$C$5:$C$504,C51)&gt;1,"DUPLICATE","OK"))</f>
        <v/>
      </c>
      <c r="J51" s="17">
        <f>IF(COUNTA(A51:C51)=0,"",IF(AND(COUNTIF('Master Data'!$A$6:$A$145,B51)=1,COUNTIF('Master Data'!$F$6:$F$13,C51)=1),"OK","INVALID"))</f>
        <v/>
      </c>
    </row>
    <row r="52">
      <c r="A52" s="7" t="n"/>
      <c r="B52" s="13" t="n"/>
      <c r="C52" s="13" t="n"/>
      <c r="D52" s="14" t="n"/>
      <c r="E52" s="15" t="n"/>
      <c r="F52" s="16" t="n"/>
      <c r="G52" s="16" t="n"/>
      <c r="H52" s="16" t="n"/>
      <c r="I52" s="17">
        <f>IF(COUNTA(A52:C52)=0,"",IF(COUNTIFS($A$5:$A$504,A52,$B$5:$B$504,B52,$C$5:$C$504,C52)&gt;1,"DUPLICATE","OK"))</f>
        <v/>
      </c>
      <c r="J52" s="17">
        <f>IF(COUNTA(A52:C52)=0,"",IF(AND(COUNTIF('Master Data'!$A$6:$A$145,B52)=1,COUNTIF('Master Data'!$F$6:$F$13,C52)=1),"OK","INVALID"))</f>
        <v/>
      </c>
    </row>
    <row r="53">
      <c r="A53" s="7" t="n"/>
      <c r="B53" s="13" t="n"/>
      <c r="C53" s="13" t="n"/>
      <c r="D53" s="14" t="n"/>
      <c r="E53" s="15" t="n"/>
      <c r="F53" s="16" t="n"/>
      <c r="G53" s="16" t="n"/>
      <c r="H53" s="16" t="n"/>
      <c r="I53" s="17">
        <f>IF(COUNTA(A53:C53)=0,"",IF(COUNTIFS($A$5:$A$504,A53,$B$5:$B$504,B53,$C$5:$C$504,C53)&gt;1,"DUPLICATE","OK"))</f>
        <v/>
      </c>
      <c r="J53" s="17">
        <f>IF(COUNTA(A53:C53)=0,"",IF(AND(COUNTIF('Master Data'!$A$6:$A$145,B53)=1,COUNTIF('Master Data'!$F$6:$F$13,C53)=1),"OK","INVALID"))</f>
        <v/>
      </c>
    </row>
    <row r="54">
      <c r="A54" s="7" t="n"/>
      <c r="B54" s="13" t="n"/>
      <c r="C54" s="13" t="n"/>
      <c r="D54" s="14" t="n"/>
      <c r="E54" s="15" t="n"/>
      <c r="F54" s="16" t="n"/>
      <c r="G54" s="16" t="n"/>
      <c r="H54" s="16" t="n"/>
      <c r="I54" s="17">
        <f>IF(COUNTA(A54:C54)=0,"",IF(COUNTIFS($A$5:$A$504,A54,$B$5:$B$504,B54,$C$5:$C$504,C54)&gt;1,"DUPLICATE","OK"))</f>
        <v/>
      </c>
      <c r="J54" s="17">
        <f>IF(COUNTA(A54:C54)=0,"",IF(AND(COUNTIF('Master Data'!$A$6:$A$145,B54)=1,COUNTIF('Master Data'!$F$6:$F$13,C54)=1),"OK","INVALID"))</f>
        <v/>
      </c>
    </row>
    <row r="55">
      <c r="A55" s="7" t="n"/>
      <c r="B55" s="13" t="n"/>
      <c r="C55" s="13" t="n"/>
      <c r="D55" s="14" t="n"/>
      <c r="E55" s="15" t="n"/>
      <c r="F55" s="16" t="n"/>
      <c r="G55" s="16" t="n"/>
      <c r="H55" s="16" t="n"/>
      <c r="I55" s="17">
        <f>IF(COUNTA(A55:C55)=0,"",IF(COUNTIFS($A$5:$A$504,A55,$B$5:$B$504,B55,$C$5:$C$504,C55)&gt;1,"DUPLICATE","OK"))</f>
        <v/>
      </c>
      <c r="J55" s="17">
        <f>IF(COUNTA(A55:C55)=0,"",IF(AND(COUNTIF('Master Data'!$A$6:$A$145,B55)=1,COUNTIF('Master Data'!$F$6:$F$13,C55)=1),"OK","INVALID"))</f>
        <v/>
      </c>
    </row>
    <row r="56">
      <c r="A56" s="7" t="n"/>
      <c r="B56" s="13" t="n"/>
      <c r="C56" s="13" t="n"/>
      <c r="D56" s="14" t="n"/>
      <c r="E56" s="15" t="n"/>
      <c r="F56" s="16" t="n"/>
      <c r="G56" s="16" t="n"/>
      <c r="H56" s="16" t="n"/>
      <c r="I56" s="17">
        <f>IF(COUNTA(A56:C56)=0,"",IF(COUNTIFS($A$5:$A$504,A56,$B$5:$B$504,B56,$C$5:$C$504,C56)&gt;1,"DUPLICATE","OK"))</f>
        <v/>
      </c>
      <c r="J56" s="17">
        <f>IF(COUNTA(A56:C56)=0,"",IF(AND(COUNTIF('Master Data'!$A$6:$A$145,B56)=1,COUNTIF('Master Data'!$F$6:$F$13,C56)=1),"OK","INVALID"))</f>
        <v/>
      </c>
    </row>
    <row r="57">
      <c r="A57" s="7" t="n"/>
      <c r="B57" s="13" t="n"/>
      <c r="C57" s="13" t="n"/>
      <c r="D57" s="14" t="n"/>
      <c r="E57" s="15" t="n"/>
      <c r="F57" s="16" t="n"/>
      <c r="G57" s="16" t="n"/>
      <c r="H57" s="16" t="n"/>
      <c r="I57" s="17">
        <f>IF(COUNTA(A57:C57)=0,"",IF(COUNTIFS($A$5:$A$504,A57,$B$5:$B$504,B57,$C$5:$C$504,C57)&gt;1,"DUPLICATE","OK"))</f>
        <v/>
      </c>
      <c r="J57" s="17">
        <f>IF(COUNTA(A57:C57)=0,"",IF(AND(COUNTIF('Master Data'!$A$6:$A$145,B57)=1,COUNTIF('Master Data'!$F$6:$F$13,C57)=1),"OK","INVALID"))</f>
        <v/>
      </c>
    </row>
    <row r="58">
      <c r="A58" s="7" t="n"/>
      <c r="B58" s="13" t="n"/>
      <c r="C58" s="13" t="n"/>
      <c r="D58" s="14" t="n"/>
      <c r="E58" s="15" t="n"/>
      <c r="F58" s="16" t="n"/>
      <c r="G58" s="16" t="n"/>
      <c r="H58" s="16" t="n"/>
      <c r="I58" s="17">
        <f>IF(COUNTA(A58:C58)=0,"",IF(COUNTIFS($A$5:$A$504,A58,$B$5:$B$504,B58,$C$5:$C$504,C58)&gt;1,"DUPLICATE","OK"))</f>
        <v/>
      </c>
      <c r="J58" s="17">
        <f>IF(COUNTA(A58:C58)=0,"",IF(AND(COUNTIF('Master Data'!$A$6:$A$145,B58)=1,COUNTIF('Master Data'!$F$6:$F$13,C58)=1),"OK","INVALID"))</f>
        <v/>
      </c>
    </row>
    <row r="59">
      <c r="A59" s="7" t="n"/>
      <c r="B59" s="13" t="n"/>
      <c r="C59" s="13" t="n"/>
      <c r="D59" s="14" t="n"/>
      <c r="E59" s="15" t="n"/>
      <c r="F59" s="16" t="n"/>
      <c r="G59" s="16" t="n"/>
      <c r="H59" s="16" t="n"/>
      <c r="I59" s="17">
        <f>IF(COUNTA(A59:C59)=0,"",IF(COUNTIFS($A$5:$A$504,A59,$B$5:$B$504,B59,$C$5:$C$504,C59)&gt;1,"DUPLICATE","OK"))</f>
        <v/>
      </c>
      <c r="J59" s="17">
        <f>IF(COUNTA(A59:C59)=0,"",IF(AND(COUNTIF('Master Data'!$A$6:$A$145,B59)=1,COUNTIF('Master Data'!$F$6:$F$13,C59)=1),"OK","INVALID"))</f>
        <v/>
      </c>
    </row>
    <row r="60">
      <c r="A60" s="7" t="n"/>
      <c r="B60" s="13" t="n"/>
      <c r="C60" s="13" t="n"/>
      <c r="D60" s="14" t="n"/>
      <c r="E60" s="15" t="n"/>
      <c r="F60" s="16" t="n"/>
      <c r="G60" s="16" t="n"/>
      <c r="H60" s="16" t="n"/>
      <c r="I60" s="17">
        <f>IF(COUNTA(A60:C60)=0,"",IF(COUNTIFS($A$5:$A$504,A60,$B$5:$B$504,B60,$C$5:$C$504,C60)&gt;1,"DUPLICATE","OK"))</f>
        <v/>
      </c>
      <c r="J60" s="17">
        <f>IF(COUNTA(A60:C60)=0,"",IF(AND(COUNTIF('Master Data'!$A$6:$A$145,B60)=1,COUNTIF('Master Data'!$F$6:$F$13,C60)=1),"OK","INVALID"))</f>
        <v/>
      </c>
    </row>
    <row r="61">
      <c r="A61" s="7" t="n"/>
      <c r="B61" s="13" t="n"/>
      <c r="C61" s="13" t="n"/>
      <c r="D61" s="14" t="n"/>
      <c r="E61" s="15" t="n"/>
      <c r="F61" s="16" t="n"/>
      <c r="G61" s="16" t="n"/>
      <c r="H61" s="16" t="n"/>
      <c r="I61" s="17">
        <f>IF(COUNTA(A61:C61)=0,"",IF(COUNTIFS($A$5:$A$504,A61,$B$5:$B$504,B61,$C$5:$C$504,C61)&gt;1,"DUPLICATE","OK"))</f>
        <v/>
      </c>
      <c r="J61" s="17">
        <f>IF(COUNTA(A61:C61)=0,"",IF(AND(COUNTIF('Master Data'!$A$6:$A$145,B61)=1,COUNTIF('Master Data'!$F$6:$F$13,C61)=1),"OK","INVALID"))</f>
        <v/>
      </c>
    </row>
    <row r="62">
      <c r="A62" s="7" t="n"/>
      <c r="B62" s="13" t="n"/>
      <c r="C62" s="13" t="n"/>
      <c r="D62" s="14" t="n"/>
      <c r="E62" s="15" t="n"/>
      <c r="F62" s="16" t="n"/>
      <c r="G62" s="16" t="n"/>
      <c r="H62" s="16" t="n"/>
      <c r="I62" s="17">
        <f>IF(COUNTA(A62:C62)=0,"",IF(COUNTIFS($A$5:$A$504,A62,$B$5:$B$504,B62,$C$5:$C$504,C62)&gt;1,"DUPLICATE","OK"))</f>
        <v/>
      </c>
      <c r="J62" s="17">
        <f>IF(COUNTA(A62:C62)=0,"",IF(AND(COUNTIF('Master Data'!$A$6:$A$145,B62)=1,COUNTIF('Master Data'!$F$6:$F$13,C62)=1),"OK","INVALID"))</f>
        <v/>
      </c>
    </row>
    <row r="63">
      <c r="A63" s="7" t="n"/>
      <c r="B63" s="13" t="n"/>
      <c r="C63" s="13" t="n"/>
      <c r="D63" s="14" t="n"/>
      <c r="E63" s="15" t="n"/>
      <c r="F63" s="16" t="n"/>
      <c r="G63" s="16" t="n"/>
      <c r="H63" s="16" t="n"/>
      <c r="I63" s="17">
        <f>IF(COUNTA(A63:C63)=0,"",IF(COUNTIFS($A$5:$A$504,A63,$B$5:$B$504,B63,$C$5:$C$504,C63)&gt;1,"DUPLICATE","OK"))</f>
        <v/>
      </c>
      <c r="J63" s="17">
        <f>IF(COUNTA(A63:C63)=0,"",IF(AND(COUNTIF('Master Data'!$A$6:$A$145,B63)=1,COUNTIF('Master Data'!$F$6:$F$13,C63)=1),"OK","INVALID"))</f>
        <v/>
      </c>
    </row>
    <row r="64">
      <c r="A64" s="7" t="n"/>
      <c r="B64" s="13" t="n"/>
      <c r="C64" s="13" t="n"/>
      <c r="D64" s="14" t="n"/>
      <c r="E64" s="15" t="n"/>
      <c r="F64" s="16" t="n"/>
      <c r="G64" s="16" t="n"/>
      <c r="H64" s="16" t="n"/>
      <c r="I64" s="17">
        <f>IF(COUNTA(A64:C64)=0,"",IF(COUNTIFS($A$5:$A$504,A64,$B$5:$B$504,B64,$C$5:$C$504,C64)&gt;1,"DUPLICATE","OK"))</f>
        <v/>
      </c>
      <c r="J64" s="17">
        <f>IF(COUNTA(A64:C64)=0,"",IF(AND(COUNTIF('Master Data'!$A$6:$A$145,B64)=1,COUNTIF('Master Data'!$F$6:$F$13,C64)=1),"OK","INVALID"))</f>
        <v/>
      </c>
    </row>
    <row r="65">
      <c r="A65" s="7" t="n"/>
      <c r="B65" s="13" t="n"/>
      <c r="C65" s="13" t="n"/>
      <c r="D65" s="14" t="n"/>
      <c r="E65" s="15" t="n"/>
      <c r="F65" s="16" t="n"/>
      <c r="G65" s="16" t="n"/>
      <c r="H65" s="16" t="n"/>
      <c r="I65" s="17">
        <f>IF(COUNTA(A65:C65)=0,"",IF(COUNTIFS($A$5:$A$504,A65,$B$5:$B$504,B65,$C$5:$C$504,C65)&gt;1,"DUPLICATE","OK"))</f>
        <v/>
      </c>
      <c r="J65" s="17">
        <f>IF(COUNTA(A65:C65)=0,"",IF(AND(COUNTIF('Master Data'!$A$6:$A$145,B65)=1,COUNTIF('Master Data'!$F$6:$F$13,C65)=1),"OK","INVALID"))</f>
        <v/>
      </c>
    </row>
    <row r="66">
      <c r="A66" s="7" t="n"/>
      <c r="B66" s="13" t="n"/>
      <c r="C66" s="13" t="n"/>
      <c r="D66" s="14" t="n"/>
      <c r="E66" s="15" t="n"/>
      <c r="F66" s="16" t="n"/>
      <c r="G66" s="16" t="n"/>
      <c r="H66" s="16" t="n"/>
      <c r="I66" s="17">
        <f>IF(COUNTA(A66:C66)=0,"",IF(COUNTIFS($A$5:$A$504,A66,$B$5:$B$504,B66,$C$5:$C$504,C66)&gt;1,"DUPLICATE","OK"))</f>
        <v/>
      </c>
      <c r="J66" s="17">
        <f>IF(COUNTA(A66:C66)=0,"",IF(AND(COUNTIF('Master Data'!$A$6:$A$145,B66)=1,COUNTIF('Master Data'!$F$6:$F$13,C66)=1),"OK","INVALID"))</f>
        <v/>
      </c>
    </row>
    <row r="67">
      <c r="A67" s="7" t="n"/>
      <c r="B67" s="13" t="n"/>
      <c r="C67" s="13" t="n"/>
      <c r="D67" s="14" t="n"/>
      <c r="E67" s="15" t="n"/>
      <c r="F67" s="16" t="n"/>
      <c r="G67" s="16" t="n"/>
      <c r="H67" s="16" t="n"/>
      <c r="I67" s="17">
        <f>IF(COUNTA(A67:C67)=0,"",IF(COUNTIFS($A$5:$A$504,A67,$B$5:$B$504,B67,$C$5:$C$504,C67)&gt;1,"DUPLICATE","OK"))</f>
        <v/>
      </c>
      <c r="J67" s="17">
        <f>IF(COUNTA(A67:C67)=0,"",IF(AND(COUNTIF('Master Data'!$A$6:$A$145,B67)=1,COUNTIF('Master Data'!$F$6:$F$13,C67)=1),"OK","INVALID"))</f>
        <v/>
      </c>
    </row>
    <row r="68">
      <c r="A68" s="7" t="n"/>
      <c r="B68" s="13" t="n"/>
      <c r="C68" s="13" t="n"/>
      <c r="D68" s="14" t="n"/>
      <c r="E68" s="15" t="n"/>
      <c r="F68" s="16" t="n"/>
      <c r="G68" s="16" t="n"/>
      <c r="H68" s="16" t="n"/>
      <c r="I68" s="17">
        <f>IF(COUNTA(A68:C68)=0,"",IF(COUNTIFS($A$5:$A$504,A68,$B$5:$B$504,B68,$C$5:$C$504,C68)&gt;1,"DUPLICATE","OK"))</f>
        <v/>
      </c>
      <c r="J68" s="17">
        <f>IF(COUNTA(A68:C68)=0,"",IF(AND(COUNTIF('Master Data'!$A$6:$A$145,B68)=1,COUNTIF('Master Data'!$F$6:$F$13,C68)=1),"OK","INVALID"))</f>
        <v/>
      </c>
    </row>
    <row r="69">
      <c r="A69" s="7" t="n"/>
      <c r="B69" s="13" t="n"/>
      <c r="C69" s="13" t="n"/>
      <c r="D69" s="14" t="n"/>
      <c r="E69" s="15" t="n"/>
      <c r="F69" s="16" t="n"/>
      <c r="G69" s="16" t="n"/>
      <c r="H69" s="16" t="n"/>
      <c r="I69" s="17">
        <f>IF(COUNTA(A69:C69)=0,"",IF(COUNTIFS($A$5:$A$504,A69,$B$5:$B$504,B69,$C$5:$C$504,C69)&gt;1,"DUPLICATE","OK"))</f>
        <v/>
      </c>
      <c r="J69" s="17">
        <f>IF(COUNTA(A69:C69)=0,"",IF(AND(COUNTIF('Master Data'!$A$6:$A$145,B69)=1,COUNTIF('Master Data'!$F$6:$F$13,C69)=1),"OK","INVALID"))</f>
        <v/>
      </c>
    </row>
    <row r="70">
      <c r="A70" s="7" t="n"/>
      <c r="B70" s="13" t="n"/>
      <c r="C70" s="13" t="n"/>
      <c r="D70" s="14" t="n"/>
      <c r="E70" s="15" t="n"/>
      <c r="F70" s="16" t="n"/>
      <c r="G70" s="16" t="n"/>
      <c r="H70" s="16" t="n"/>
      <c r="I70" s="17">
        <f>IF(COUNTA(A70:C70)=0,"",IF(COUNTIFS($A$5:$A$504,A70,$B$5:$B$504,B70,$C$5:$C$504,C70)&gt;1,"DUPLICATE","OK"))</f>
        <v/>
      </c>
      <c r="J70" s="17">
        <f>IF(COUNTA(A70:C70)=0,"",IF(AND(COUNTIF('Master Data'!$A$6:$A$145,B70)=1,COUNTIF('Master Data'!$F$6:$F$13,C70)=1),"OK","INVALID"))</f>
        <v/>
      </c>
    </row>
    <row r="71">
      <c r="A71" s="7" t="n"/>
      <c r="B71" s="13" t="n"/>
      <c r="C71" s="13" t="n"/>
      <c r="D71" s="14" t="n"/>
      <c r="E71" s="15" t="n"/>
      <c r="F71" s="16" t="n"/>
      <c r="G71" s="16" t="n"/>
      <c r="H71" s="16" t="n"/>
      <c r="I71" s="17">
        <f>IF(COUNTA(A71:C71)=0,"",IF(COUNTIFS($A$5:$A$504,A71,$B$5:$B$504,B71,$C$5:$C$504,C71)&gt;1,"DUPLICATE","OK"))</f>
        <v/>
      </c>
      <c r="J71" s="17">
        <f>IF(COUNTA(A71:C71)=0,"",IF(AND(COUNTIF('Master Data'!$A$6:$A$145,B71)=1,COUNTIF('Master Data'!$F$6:$F$13,C71)=1),"OK","INVALID"))</f>
        <v/>
      </c>
    </row>
    <row r="72">
      <c r="A72" s="7" t="n"/>
      <c r="B72" s="13" t="n"/>
      <c r="C72" s="13" t="n"/>
      <c r="D72" s="14" t="n"/>
      <c r="E72" s="15" t="n"/>
      <c r="F72" s="16" t="n"/>
      <c r="G72" s="16" t="n"/>
      <c r="H72" s="16" t="n"/>
      <c r="I72" s="17">
        <f>IF(COUNTA(A72:C72)=0,"",IF(COUNTIFS($A$5:$A$504,A72,$B$5:$B$504,B72,$C$5:$C$504,C72)&gt;1,"DUPLICATE","OK"))</f>
        <v/>
      </c>
      <c r="J72" s="17">
        <f>IF(COUNTA(A72:C72)=0,"",IF(AND(COUNTIF('Master Data'!$A$6:$A$145,B72)=1,COUNTIF('Master Data'!$F$6:$F$13,C72)=1),"OK","INVALID"))</f>
        <v/>
      </c>
    </row>
    <row r="73">
      <c r="A73" s="7" t="n"/>
      <c r="B73" s="13" t="n"/>
      <c r="C73" s="13" t="n"/>
      <c r="D73" s="14" t="n"/>
      <c r="E73" s="15" t="n"/>
      <c r="F73" s="16" t="n"/>
      <c r="G73" s="16" t="n"/>
      <c r="H73" s="16" t="n"/>
      <c r="I73" s="17">
        <f>IF(COUNTA(A73:C73)=0,"",IF(COUNTIFS($A$5:$A$504,A73,$B$5:$B$504,B73,$C$5:$C$504,C73)&gt;1,"DUPLICATE","OK"))</f>
        <v/>
      </c>
      <c r="J73" s="17">
        <f>IF(COUNTA(A73:C73)=0,"",IF(AND(COUNTIF('Master Data'!$A$6:$A$145,B73)=1,COUNTIF('Master Data'!$F$6:$F$13,C73)=1),"OK","INVALID"))</f>
        <v/>
      </c>
    </row>
    <row r="74">
      <c r="A74" s="7" t="n"/>
      <c r="B74" s="13" t="n"/>
      <c r="C74" s="13" t="n"/>
      <c r="D74" s="14" t="n"/>
      <c r="E74" s="15" t="n"/>
      <c r="F74" s="16" t="n"/>
      <c r="G74" s="16" t="n"/>
      <c r="H74" s="16" t="n"/>
      <c r="I74" s="17">
        <f>IF(COUNTA(A74:C74)=0,"",IF(COUNTIFS($A$5:$A$504,A74,$B$5:$B$504,B74,$C$5:$C$504,C74)&gt;1,"DUPLICATE","OK"))</f>
        <v/>
      </c>
      <c r="J74" s="17">
        <f>IF(COUNTA(A74:C74)=0,"",IF(AND(COUNTIF('Master Data'!$A$6:$A$145,B74)=1,COUNTIF('Master Data'!$F$6:$F$13,C74)=1),"OK","INVALID"))</f>
        <v/>
      </c>
    </row>
    <row r="75">
      <c r="A75" s="7" t="n"/>
      <c r="B75" s="13" t="n"/>
      <c r="C75" s="13" t="n"/>
      <c r="D75" s="14" t="n"/>
      <c r="E75" s="15" t="n"/>
      <c r="F75" s="16" t="n"/>
      <c r="G75" s="16" t="n"/>
      <c r="H75" s="16" t="n"/>
      <c r="I75" s="17">
        <f>IF(COUNTA(A75:C75)=0,"",IF(COUNTIFS($A$5:$A$504,A75,$B$5:$B$504,B75,$C$5:$C$504,C75)&gt;1,"DUPLICATE","OK"))</f>
        <v/>
      </c>
      <c r="J75" s="17">
        <f>IF(COUNTA(A75:C75)=0,"",IF(AND(COUNTIF('Master Data'!$A$6:$A$145,B75)=1,COUNTIF('Master Data'!$F$6:$F$13,C75)=1),"OK","INVALID"))</f>
        <v/>
      </c>
    </row>
    <row r="76">
      <c r="A76" s="7" t="n"/>
      <c r="B76" s="13" t="n"/>
      <c r="C76" s="13" t="n"/>
      <c r="D76" s="14" t="n"/>
      <c r="E76" s="15" t="n"/>
      <c r="F76" s="16" t="n"/>
      <c r="G76" s="16" t="n"/>
      <c r="H76" s="16" t="n"/>
      <c r="I76" s="17">
        <f>IF(COUNTA(A76:C76)=0,"",IF(COUNTIFS($A$5:$A$504,A76,$B$5:$B$504,B76,$C$5:$C$504,C76)&gt;1,"DUPLICATE","OK"))</f>
        <v/>
      </c>
      <c r="J76" s="17">
        <f>IF(COUNTA(A76:C76)=0,"",IF(AND(COUNTIF('Master Data'!$A$6:$A$145,B76)=1,COUNTIF('Master Data'!$F$6:$F$13,C76)=1),"OK","INVALID"))</f>
        <v/>
      </c>
    </row>
    <row r="77">
      <c r="A77" s="7" t="n"/>
      <c r="B77" s="13" t="n"/>
      <c r="C77" s="13" t="n"/>
      <c r="D77" s="14" t="n"/>
      <c r="E77" s="15" t="n"/>
      <c r="F77" s="16" t="n"/>
      <c r="G77" s="16" t="n"/>
      <c r="H77" s="16" t="n"/>
      <c r="I77" s="17">
        <f>IF(COUNTA(A77:C77)=0,"",IF(COUNTIFS($A$5:$A$504,A77,$B$5:$B$504,B77,$C$5:$C$504,C77)&gt;1,"DUPLICATE","OK"))</f>
        <v/>
      </c>
      <c r="J77" s="17">
        <f>IF(COUNTA(A77:C77)=0,"",IF(AND(COUNTIF('Master Data'!$A$6:$A$145,B77)=1,COUNTIF('Master Data'!$F$6:$F$13,C77)=1),"OK","INVALID"))</f>
        <v/>
      </c>
    </row>
    <row r="78">
      <c r="A78" s="7" t="n"/>
      <c r="B78" s="13" t="n"/>
      <c r="C78" s="13" t="n"/>
      <c r="D78" s="14" t="n"/>
      <c r="E78" s="15" t="n"/>
      <c r="F78" s="16" t="n"/>
      <c r="G78" s="16" t="n"/>
      <c r="H78" s="16" t="n"/>
      <c r="I78" s="17">
        <f>IF(COUNTA(A78:C78)=0,"",IF(COUNTIFS($A$5:$A$504,A78,$B$5:$B$504,B78,$C$5:$C$504,C78)&gt;1,"DUPLICATE","OK"))</f>
        <v/>
      </c>
      <c r="J78" s="17">
        <f>IF(COUNTA(A78:C78)=0,"",IF(AND(COUNTIF('Master Data'!$A$6:$A$145,B78)=1,COUNTIF('Master Data'!$F$6:$F$13,C78)=1),"OK","INVALID"))</f>
        <v/>
      </c>
    </row>
    <row r="79">
      <c r="A79" s="7" t="n"/>
      <c r="B79" s="13" t="n"/>
      <c r="C79" s="13" t="n"/>
      <c r="D79" s="14" t="n"/>
      <c r="E79" s="15" t="n"/>
      <c r="F79" s="16" t="n"/>
      <c r="G79" s="16" t="n"/>
      <c r="H79" s="16" t="n"/>
      <c r="I79" s="17">
        <f>IF(COUNTA(A79:C79)=0,"",IF(COUNTIFS($A$5:$A$504,A79,$B$5:$B$504,B79,$C$5:$C$504,C79)&gt;1,"DUPLICATE","OK"))</f>
        <v/>
      </c>
      <c r="J79" s="17">
        <f>IF(COUNTA(A79:C79)=0,"",IF(AND(COUNTIF('Master Data'!$A$6:$A$145,B79)=1,COUNTIF('Master Data'!$F$6:$F$13,C79)=1),"OK","INVALID"))</f>
        <v/>
      </c>
    </row>
    <row r="80">
      <c r="A80" s="7" t="n"/>
      <c r="B80" s="13" t="n"/>
      <c r="C80" s="13" t="n"/>
      <c r="D80" s="14" t="n"/>
      <c r="E80" s="15" t="n"/>
      <c r="F80" s="16" t="n"/>
      <c r="G80" s="16" t="n"/>
      <c r="H80" s="16" t="n"/>
      <c r="I80" s="17">
        <f>IF(COUNTA(A80:C80)=0,"",IF(COUNTIFS($A$5:$A$504,A80,$B$5:$B$504,B80,$C$5:$C$504,C80)&gt;1,"DUPLICATE","OK"))</f>
        <v/>
      </c>
      <c r="J80" s="17">
        <f>IF(COUNTA(A80:C80)=0,"",IF(AND(COUNTIF('Master Data'!$A$6:$A$145,B80)=1,COUNTIF('Master Data'!$F$6:$F$13,C80)=1),"OK","INVALID"))</f>
        <v/>
      </c>
    </row>
    <row r="81">
      <c r="A81" s="7" t="n"/>
      <c r="B81" s="13" t="n"/>
      <c r="C81" s="13" t="n"/>
      <c r="D81" s="14" t="n"/>
      <c r="E81" s="15" t="n"/>
      <c r="F81" s="16" t="n"/>
      <c r="G81" s="16" t="n"/>
      <c r="H81" s="16" t="n"/>
      <c r="I81" s="17">
        <f>IF(COUNTA(A81:C81)=0,"",IF(COUNTIFS($A$5:$A$504,A81,$B$5:$B$504,B81,$C$5:$C$504,C81)&gt;1,"DUPLICATE","OK"))</f>
        <v/>
      </c>
      <c r="J81" s="17">
        <f>IF(COUNTA(A81:C81)=0,"",IF(AND(COUNTIF('Master Data'!$A$6:$A$145,B81)=1,COUNTIF('Master Data'!$F$6:$F$13,C81)=1),"OK","INVALID"))</f>
        <v/>
      </c>
    </row>
    <row r="82">
      <c r="A82" s="7" t="n"/>
      <c r="B82" s="13" t="n"/>
      <c r="C82" s="13" t="n"/>
      <c r="D82" s="14" t="n"/>
      <c r="E82" s="15" t="n"/>
      <c r="F82" s="16" t="n"/>
      <c r="G82" s="16" t="n"/>
      <c r="H82" s="16" t="n"/>
      <c r="I82" s="17">
        <f>IF(COUNTA(A82:C82)=0,"",IF(COUNTIFS($A$5:$A$504,A82,$B$5:$B$504,B82,$C$5:$C$504,C82)&gt;1,"DUPLICATE","OK"))</f>
        <v/>
      </c>
      <c r="J82" s="17">
        <f>IF(COUNTA(A82:C82)=0,"",IF(AND(COUNTIF('Master Data'!$A$6:$A$145,B82)=1,COUNTIF('Master Data'!$F$6:$F$13,C82)=1),"OK","INVALID"))</f>
        <v/>
      </c>
    </row>
    <row r="83">
      <c r="A83" s="7" t="n"/>
      <c r="B83" s="13" t="n"/>
      <c r="C83" s="13" t="n"/>
      <c r="D83" s="14" t="n"/>
      <c r="E83" s="15" t="n"/>
      <c r="F83" s="16" t="n"/>
      <c r="G83" s="16" t="n"/>
      <c r="H83" s="16" t="n"/>
      <c r="I83" s="17">
        <f>IF(COUNTA(A83:C83)=0,"",IF(COUNTIFS($A$5:$A$504,A83,$B$5:$B$504,B83,$C$5:$C$504,C83)&gt;1,"DUPLICATE","OK"))</f>
        <v/>
      </c>
      <c r="J83" s="17">
        <f>IF(COUNTA(A83:C83)=0,"",IF(AND(COUNTIF('Master Data'!$A$6:$A$145,B83)=1,COUNTIF('Master Data'!$F$6:$F$13,C83)=1),"OK","INVALID"))</f>
        <v/>
      </c>
    </row>
    <row r="84">
      <c r="A84" s="7" t="n"/>
      <c r="B84" s="13" t="n"/>
      <c r="C84" s="13" t="n"/>
      <c r="D84" s="14" t="n"/>
      <c r="E84" s="15" t="n"/>
      <c r="F84" s="16" t="n"/>
      <c r="G84" s="16" t="n"/>
      <c r="H84" s="16" t="n"/>
      <c r="I84" s="17">
        <f>IF(COUNTA(A84:C84)=0,"",IF(COUNTIFS($A$5:$A$504,A84,$B$5:$B$504,B84,$C$5:$C$504,C84)&gt;1,"DUPLICATE","OK"))</f>
        <v/>
      </c>
      <c r="J84" s="17">
        <f>IF(COUNTA(A84:C84)=0,"",IF(AND(COUNTIF('Master Data'!$A$6:$A$145,B84)=1,COUNTIF('Master Data'!$F$6:$F$13,C84)=1),"OK","INVALID"))</f>
        <v/>
      </c>
    </row>
    <row r="85">
      <c r="A85" s="7" t="n"/>
      <c r="B85" s="13" t="n"/>
      <c r="C85" s="13" t="n"/>
      <c r="D85" s="14" t="n"/>
      <c r="E85" s="15" t="n"/>
      <c r="F85" s="16" t="n"/>
      <c r="G85" s="16" t="n"/>
      <c r="H85" s="16" t="n"/>
      <c r="I85" s="17">
        <f>IF(COUNTA(A85:C85)=0,"",IF(COUNTIFS($A$5:$A$504,A85,$B$5:$B$504,B85,$C$5:$C$504,C85)&gt;1,"DUPLICATE","OK"))</f>
        <v/>
      </c>
      <c r="J85" s="17">
        <f>IF(COUNTA(A85:C85)=0,"",IF(AND(COUNTIF('Master Data'!$A$6:$A$145,B85)=1,COUNTIF('Master Data'!$F$6:$F$13,C85)=1),"OK","INVALID"))</f>
        <v/>
      </c>
    </row>
    <row r="86">
      <c r="A86" s="7" t="n"/>
      <c r="B86" s="13" t="n"/>
      <c r="C86" s="13" t="n"/>
      <c r="D86" s="14" t="n"/>
      <c r="E86" s="15" t="n"/>
      <c r="F86" s="16" t="n"/>
      <c r="G86" s="16" t="n"/>
      <c r="H86" s="16" t="n"/>
      <c r="I86" s="17">
        <f>IF(COUNTA(A86:C86)=0,"",IF(COUNTIFS($A$5:$A$504,A86,$B$5:$B$504,B86,$C$5:$C$504,C86)&gt;1,"DUPLICATE","OK"))</f>
        <v/>
      </c>
      <c r="J86" s="17">
        <f>IF(COUNTA(A86:C86)=0,"",IF(AND(COUNTIF('Master Data'!$A$6:$A$145,B86)=1,COUNTIF('Master Data'!$F$6:$F$13,C86)=1),"OK","INVALID"))</f>
        <v/>
      </c>
    </row>
    <row r="87">
      <c r="A87" s="7" t="n"/>
      <c r="B87" s="13" t="n"/>
      <c r="C87" s="13" t="n"/>
      <c r="D87" s="14" t="n"/>
      <c r="E87" s="15" t="n"/>
      <c r="F87" s="16" t="n"/>
      <c r="G87" s="16" t="n"/>
      <c r="H87" s="16" t="n"/>
      <c r="I87" s="17">
        <f>IF(COUNTA(A87:C87)=0,"",IF(COUNTIFS($A$5:$A$504,A87,$B$5:$B$504,B87,$C$5:$C$504,C87)&gt;1,"DUPLICATE","OK"))</f>
        <v/>
      </c>
      <c r="J87" s="17">
        <f>IF(COUNTA(A87:C87)=0,"",IF(AND(COUNTIF('Master Data'!$A$6:$A$145,B87)=1,COUNTIF('Master Data'!$F$6:$F$13,C87)=1),"OK","INVALID"))</f>
        <v/>
      </c>
    </row>
    <row r="88">
      <c r="A88" s="7" t="n"/>
      <c r="B88" s="13" t="n"/>
      <c r="C88" s="13" t="n"/>
      <c r="D88" s="14" t="n"/>
      <c r="E88" s="15" t="n"/>
      <c r="F88" s="16" t="n"/>
      <c r="G88" s="16" t="n"/>
      <c r="H88" s="16" t="n"/>
      <c r="I88" s="17">
        <f>IF(COUNTA(A88:C88)=0,"",IF(COUNTIFS($A$5:$A$504,A88,$B$5:$B$504,B88,$C$5:$C$504,C88)&gt;1,"DUPLICATE","OK"))</f>
        <v/>
      </c>
      <c r="J88" s="17">
        <f>IF(COUNTA(A88:C88)=0,"",IF(AND(COUNTIF('Master Data'!$A$6:$A$145,B88)=1,COUNTIF('Master Data'!$F$6:$F$13,C88)=1),"OK","INVALID"))</f>
        <v/>
      </c>
    </row>
    <row r="89">
      <c r="A89" s="7" t="n"/>
      <c r="B89" s="13" t="n"/>
      <c r="C89" s="13" t="n"/>
      <c r="D89" s="14" t="n"/>
      <c r="E89" s="15" t="n"/>
      <c r="F89" s="16" t="n"/>
      <c r="G89" s="16" t="n"/>
      <c r="H89" s="16" t="n"/>
      <c r="I89" s="17">
        <f>IF(COUNTA(A89:C89)=0,"",IF(COUNTIFS($A$5:$A$504,A89,$B$5:$B$504,B89,$C$5:$C$504,C89)&gt;1,"DUPLICATE","OK"))</f>
        <v/>
      </c>
      <c r="J89" s="17">
        <f>IF(COUNTA(A89:C89)=0,"",IF(AND(COUNTIF('Master Data'!$A$6:$A$145,B89)=1,COUNTIF('Master Data'!$F$6:$F$13,C89)=1),"OK","INVALID"))</f>
        <v/>
      </c>
    </row>
    <row r="90">
      <c r="A90" s="7" t="n"/>
      <c r="B90" s="13" t="n"/>
      <c r="C90" s="13" t="n"/>
      <c r="D90" s="14" t="n"/>
      <c r="E90" s="15" t="n"/>
      <c r="F90" s="16" t="n"/>
      <c r="G90" s="16" t="n"/>
      <c r="H90" s="16" t="n"/>
      <c r="I90" s="17">
        <f>IF(COUNTA(A90:C90)=0,"",IF(COUNTIFS($A$5:$A$504,A90,$B$5:$B$504,B90,$C$5:$C$504,C90)&gt;1,"DUPLICATE","OK"))</f>
        <v/>
      </c>
      <c r="J90" s="17">
        <f>IF(COUNTA(A90:C90)=0,"",IF(AND(COUNTIF('Master Data'!$A$6:$A$145,B90)=1,COUNTIF('Master Data'!$F$6:$F$13,C90)=1),"OK","INVALID"))</f>
        <v/>
      </c>
    </row>
    <row r="91">
      <c r="A91" s="7" t="n"/>
      <c r="B91" s="13" t="n"/>
      <c r="C91" s="13" t="n"/>
      <c r="D91" s="14" t="n"/>
      <c r="E91" s="15" t="n"/>
      <c r="F91" s="16" t="n"/>
      <c r="G91" s="16" t="n"/>
      <c r="H91" s="16" t="n"/>
      <c r="I91" s="17">
        <f>IF(COUNTA(A91:C91)=0,"",IF(COUNTIFS($A$5:$A$504,A91,$B$5:$B$504,B91,$C$5:$C$504,C91)&gt;1,"DUPLICATE","OK"))</f>
        <v/>
      </c>
      <c r="J91" s="17">
        <f>IF(COUNTA(A91:C91)=0,"",IF(AND(COUNTIF('Master Data'!$A$6:$A$145,B91)=1,COUNTIF('Master Data'!$F$6:$F$13,C91)=1),"OK","INVALID"))</f>
        <v/>
      </c>
    </row>
    <row r="92">
      <c r="A92" s="7" t="n"/>
      <c r="B92" s="13" t="n"/>
      <c r="C92" s="13" t="n"/>
      <c r="D92" s="14" t="n"/>
      <c r="E92" s="15" t="n"/>
      <c r="F92" s="16" t="n"/>
      <c r="G92" s="16" t="n"/>
      <c r="H92" s="16" t="n"/>
      <c r="I92" s="17">
        <f>IF(COUNTA(A92:C92)=0,"",IF(COUNTIFS($A$5:$A$504,A92,$B$5:$B$504,B92,$C$5:$C$504,C92)&gt;1,"DUPLICATE","OK"))</f>
        <v/>
      </c>
      <c r="J92" s="17">
        <f>IF(COUNTA(A92:C92)=0,"",IF(AND(COUNTIF('Master Data'!$A$6:$A$145,B92)=1,COUNTIF('Master Data'!$F$6:$F$13,C92)=1),"OK","INVALID"))</f>
        <v/>
      </c>
    </row>
    <row r="93">
      <c r="A93" s="7" t="n"/>
      <c r="B93" s="13" t="n"/>
      <c r="C93" s="13" t="n"/>
      <c r="D93" s="14" t="n"/>
      <c r="E93" s="15" t="n"/>
      <c r="F93" s="16" t="n"/>
      <c r="G93" s="16" t="n"/>
      <c r="H93" s="16" t="n"/>
      <c r="I93" s="17">
        <f>IF(COUNTA(A93:C93)=0,"",IF(COUNTIFS($A$5:$A$504,A93,$B$5:$B$504,B93,$C$5:$C$504,C93)&gt;1,"DUPLICATE","OK"))</f>
        <v/>
      </c>
      <c r="J93" s="17">
        <f>IF(COUNTA(A93:C93)=0,"",IF(AND(COUNTIF('Master Data'!$A$6:$A$145,B93)=1,COUNTIF('Master Data'!$F$6:$F$13,C93)=1),"OK","INVALID"))</f>
        <v/>
      </c>
    </row>
    <row r="94">
      <c r="A94" s="7" t="n"/>
      <c r="B94" s="13" t="n"/>
      <c r="C94" s="13" t="n"/>
      <c r="D94" s="14" t="n"/>
      <c r="E94" s="15" t="n"/>
      <c r="F94" s="16" t="n"/>
      <c r="G94" s="16" t="n"/>
      <c r="H94" s="16" t="n"/>
      <c r="I94" s="17">
        <f>IF(COUNTA(A94:C94)=0,"",IF(COUNTIFS($A$5:$A$504,A94,$B$5:$B$504,B94,$C$5:$C$504,C94)&gt;1,"DUPLICATE","OK"))</f>
        <v/>
      </c>
      <c r="J94" s="17">
        <f>IF(COUNTA(A94:C94)=0,"",IF(AND(COUNTIF('Master Data'!$A$6:$A$145,B94)=1,COUNTIF('Master Data'!$F$6:$F$13,C94)=1),"OK","INVALID"))</f>
        <v/>
      </c>
    </row>
    <row r="95">
      <c r="A95" s="7" t="n"/>
      <c r="B95" s="13" t="n"/>
      <c r="C95" s="13" t="n"/>
      <c r="D95" s="14" t="n"/>
      <c r="E95" s="15" t="n"/>
      <c r="F95" s="16" t="n"/>
      <c r="G95" s="16" t="n"/>
      <c r="H95" s="16" t="n"/>
      <c r="I95" s="17">
        <f>IF(COUNTA(A95:C95)=0,"",IF(COUNTIFS($A$5:$A$504,A95,$B$5:$B$504,B95,$C$5:$C$504,C95)&gt;1,"DUPLICATE","OK"))</f>
        <v/>
      </c>
      <c r="J95" s="17">
        <f>IF(COUNTA(A95:C95)=0,"",IF(AND(COUNTIF('Master Data'!$A$6:$A$145,B95)=1,COUNTIF('Master Data'!$F$6:$F$13,C95)=1),"OK","INVALID"))</f>
        <v/>
      </c>
    </row>
    <row r="96">
      <c r="A96" s="7" t="n"/>
      <c r="B96" s="13" t="n"/>
      <c r="C96" s="13" t="n"/>
      <c r="D96" s="14" t="n"/>
      <c r="E96" s="15" t="n"/>
      <c r="F96" s="16" t="n"/>
      <c r="G96" s="16" t="n"/>
      <c r="H96" s="16" t="n"/>
      <c r="I96" s="17">
        <f>IF(COUNTA(A96:C96)=0,"",IF(COUNTIFS($A$5:$A$504,A96,$B$5:$B$504,B96,$C$5:$C$504,C96)&gt;1,"DUPLICATE","OK"))</f>
        <v/>
      </c>
      <c r="J96" s="17">
        <f>IF(COUNTA(A96:C96)=0,"",IF(AND(COUNTIF('Master Data'!$A$6:$A$145,B96)=1,COUNTIF('Master Data'!$F$6:$F$13,C96)=1),"OK","INVALID"))</f>
        <v/>
      </c>
    </row>
    <row r="97">
      <c r="A97" s="7" t="n"/>
      <c r="B97" s="13" t="n"/>
      <c r="C97" s="13" t="n"/>
      <c r="D97" s="14" t="n"/>
      <c r="E97" s="15" t="n"/>
      <c r="F97" s="16" t="n"/>
      <c r="G97" s="16" t="n"/>
      <c r="H97" s="16" t="n"/>
      <c r="I97" s="17">
        <f>IF(COUNTA(A97:C97)=0,"",IF(COUNTIFS($A$5:$A$504,A97,$B$5:$B$504,B97,$C$5:$C$504,C97)&gt;1,"DUPLICATE","OK"))</f>
        <v/>
      </c>
      <c r="J97" s="17">
        <f>IF(COUNTA(A97:C97)=0,"",IF(AND(COUNTIF('Master Data'!$A$6:$A$145,B97)=1,COUNTIF('Master Data'!$F$6:$F$13,C97)=1),"OK","INVALID"))</f>
        <v/>
      </c>
    </row>
    <row r="98">
      <c r="A98" s="7" t="n"/>
      <c r="B98" s="13" t="n"/>
      <c r="C98" s="13" t="n"/>
      <c r="D98" s="14" t="n"/>
      <c r="E98" s="15" t="n"/>
      <c r="F98" s="16" t="n"/>
      <c r="G98" s="16" t="n"/>
      <c r="H98" s="16" t="n"/>
      <c r="I98" s="17">
        <f>IF(COUNTA(A98:C98)=0,"",IF(COUNTIFS($A$5:$A$504,A98,$B$5:$B$504,B98,$C$5:$C$504,C98)&gt;1,"DUPLICATE","OK"))</f>
        <v/>
      </c>
      <c r="J98" s="17">
        <f>IF(COUNTA(A98:C98)=0,"",IF(AND(COUNTIF('Master Data'!$A$6:$A$145,B98)=1,COUNTIF('Master Data'!$F$6:$F$13,C98)=1),"OK","INVALID"))</f>
        <v/>
      </c>
    </row>
    <row r="99">
      <c r="A99" s="7" t="n"/>
      <c r="B99" s="13" t="n"/>
      <c r="C99" s="13" t="n"/>
      <c r="D99" s="14" t="n"/>
      <c r="E99" s="15" t="n"/>
      <c r="F99" s="16" t="n"/>
      <c r="G99" s="16" t="n"/>
      <c r="H99" s="16" t="n"/>
      <c r="I99" s="17">
        <f>IF(COUNTA(A99:C99)=0,"",IF(COUNTIFS($A$5:$A$504,A99,$B$5:$B$504,B99,$C$5:$C$504,C99)&gt;1,"DUPLICATE","OK"))</f>
        <v/>
      </c>
      <c r="J99" s="17">
        <f>IF(COUNTA(A99:C99)=0,"",IF(AND(COUNTIF('Master Data'!$A$6:$A$145,B99)=1,COUNTIF('Master Data'!$F$6:$F$13,C99)=1),"OK","INVALID"))</f>
        <v/>
      </c>
    </row>
    <row r="100">
      <c r="A100" s="7" t="n"/>
      <c r="B100" s="13" t="n"/>
      <c r="C100" s="13" t="n"/>
      <c r="D100" s="14" t="n"/>
      <c r="E100" s="15" t="n"/>
      <c r="F100" s="16" t="n"/>
      <c r="G100" s="16" t="n"/>
      <c r="H100" s="16" t="n"/>
      <c r="I100" s="17">
        <f>IF(COUNTA(A100:C100)=0,"",IF(COUNTIFS($A$5:$A$504,A100,$B$5:$B$504,B100,$C$5:$C$504,C100)&gt;1,"DUPLICATE","OK"))</f>
        <v/>
      </c>
      <c r="J100" s="17">
        <f>IF(COUNTA(A100:C100)=0,"",IF(AND(COUNTIF('Master Data'!$A$6:$A$145,B100)=1,COUNTIF('Master Data'!$F$6:$F$13,C100)=1),"OK","INVALID"))</f>
        <v/>
      </c>
    </row>
    <row r="101">
      <c r="A101" s="7" t="n"/>
      <c r="B101" s="13" t="n"/>
      <c r="C101" s="13" t="n"/>
      <c r="D101" s="14" t="n"/>
      <c r="E101" s="15" t="n"/>
      <c r="F101" s="16" t="n"/>
      <c r="G101" s="16" t="n"/>
      <c r="H101" s="16" t="n"/>
      <c r="I101" s="17">
        <f>IF(COUNTA(A101:C101)=0,"",IF(COUNTIFS($A$5:$A$504,A101,$B$5:$B$504,B101,$C$5:$C$504,C101)&gt;1,"DUPLICATE","OK"))</f>
        <v/>
      </c>
      <c r="J101" s="17">
        <f>IF(COUNTA(A101:C101)=0,"",IF(AND(COUNTIF('Master Data'!$A$6:$A$145,B101)=1,COUNTIF('Master Data'!$F$6:$F$13,C101)=1),"OK","INVALID"))</f>
        <v/>
      </c>
    </row>
    <row r="102">
      <c r="A102" s="7" t="n"/>
      <c r="B102" s="13" t="n"/>
      <c r="C102" s="13" t="n"/>
      <c r="D102" s="14" t="n"/>
      <c r="E102" s="15" t="n"/>
      <c r="F102" s="16" t="n"/>
      <c r="G102" s="16" t="n"/>
      <c r="H102" s="16" t="n"/>
      <c r="I102" s="17">
        <f>IF(COUNTA(A102:C102)=0,"",IF(COUNTIFS($A$5:$A$504,A102,$B$5:$B$504,B102,$C$5:$C$504,C102)&gt;1,"DUPLICATE","OK"))</f>
        <v/>
      </c>
      <c r="J102" s="17">
        <f>IF(COUNTA(A102:C102)=0,"",IF(AND(COUNTIF('Master Data'!$A$6:$A$145,B102)=1,COUNTIF('Master Data'!$F$6:$F$13,C102)=1),"OK","INVALID"))</f>
        <v/>
      </c>
    </row>
    <row r="103">
      <c r="A103" s="7" t="n"/>
      <c r="B103" s="13" t="n"/>
      <c r="C103" s="13" t="n"/>
      <c r="D103" s="14" t="n"/>
      <c r="E103" s="15" t="n"/>
      <c r="F103" s="16" t="n"/>
      <c r="G103" s="16" t="n"/>
      <c r="H103" s="16" t="n"/>
      <c r="I103" s="17">
        <f>IF(COUNTA(A103:C103)=0,"",IF(COUNTIFS($A$5:$A$504,A103,$B$5:$B$504,B103,$C$5:$C$504,C103)&gt;1,"DUPLICATE","OK"))</f>
        <v/>
      </c>
      <c r="J103" s="17">
        <f>IF(COUNTA(A103:C103)=0,"",IF(AND(COUNTIF('Master Data'!$A$6:$A$145,B103)=1,COUNTIF('Master Data'!$F$6:$F$13,C103)=1),"OK","INVALID"))</f>
        <v/>
      </c>
    </row>
    <row r="104">
      <c r="A104" s="7" t="n"/>
      <c r="B104" s="13" t="n"/>
      <c r="C104" s="13" t="n"/>
      <c r="D104" s="14" t="n"/>
      <c r="E104" s="15" t="n"/>
      <c r="F104" s="16" t="n"/>
      <c r="G104" s="16" t="n"/>
      <c r="H104" s="16" t="n"/>
      <c r="I104" s="17">
        <f>IF(COUNTA(A104:C104)=0,"",IF(COUNTIFS($A$5:$A$504,A104,$B$5:$B$504,B104,$C$5:$C$504,C104)&gt;1,"DUPLICATE","OK"))</f>
        <v/>
      </c>
      <c r="J104" s="17">
        <f>IF(COUNTA(A104:C104)=0,"",IF(AND(COUNTIF('Master Data'!$A$6:$A$145,B104)=1,COUNTIF('Master Data'!$F$6:$F$13,C104)=1),"OK","INVALID"))</f>
        <v/>
      </c>
    </row>
    <row r="105">
      <c r="A105" s="7" t="n"/>
      <c r="B105" s="13" t="n"/>
      <c r="C105" s="13" t="n"/>
      <c r="D105" s="14" t="n"/>
      <c r="E105" s="15" t="n"/>
      <c r="F105" s="16" t="n"/>
      <c r="G105" s="16" t="n"/>
      <c r="H105" s="16" t="n"/>
      <c r="I105" s="17">
        <f>IF(COUNTA(A105:C105)=0,"",IF(COUNTIFS($A$5:$A$504,A105,$B$5:$B$504,B105,$C$5:$C$504,C105)&gt;1,"DUPLICATE","OK"))</f>
        <v/>
      </c>
      <c r="J105" s="17">
        <f>IF(COUNTA(A105:C105)=0,"",IF(AND(COUNTIF('Master Data'!$A$6:$A$145,B105)=1,COUNTIF('Master Data'!$F$6:$F$13,C105)=1),"OK","INVALID"))</f>
        <v/>
      </c>
    </row>
    <row r="106">
      <c r="A106" s="7" t="n"/>
      <c r="B106" s="13" t="n"/>
      <c r="C106" s="13" t="n"/>
      <c r="D106" s="14" t="n"/>
      <c r="E106" s="15" t="n"/>
      <c r="F106" s="16" t="n"/>
      <c r="G106" s="16" t="n"/>
      <c r="H106" s="16" t="n"/>
      <c r="I106" s="17">
        <f>IF(COUNTA(A106:C106)=0,"",IF(COUNTIFS($A$5:$A$504,A106,$B$5:$B$504,B106,$C$5:$C$504,C106)&gt;1,"DUPLICATE","OK"))</f>
        <v/>
      </c>
      <c r="J106" s="17">
        <f>IF(COUNTA(A106:C106)=0,"",IF(AND(COUNTIF('Master Data'!$A$6:$A$145,B106)=1,COUNTIF('Master Data'!$F$6:$F$13,C106)=1),"OK","INVALID"))</f>
        <v/>
      </c>
    </row>
    <row r="107">
      <c r="A107" s="7" t="n"/>
      <c r="B107" s="13" t="n"/>
      <c r="C107" s="13" t="n"/>
      <c r="D107" s="14" t="n"/>
      <c r="E107" s="15" t="n"/>
      <c r="F107" s="16" t="n"/>
      <c r="G107" s="16" t="n"/>
      <c r="H107" s="16" t="n"/>
      <c r="I107" s="17">
        <f>IF(COUNTA(A107:C107)=0,"",IF(COUNTIFS($A$5:$A$504,A107,$B$5:$B$504,B107,$C$5:$C$504,C107)&gt;1,"DUPLICATE","OK"))</f>
        <v/>
      </c>
      <c r="J107" s="17">
        <f>IF(COUNTA(A107:C107)=0,"",IF(AND(COUNTIF('Master Data'!$A$6:$A$145,B107)=1,COUNTIF('Master Data'!$F$6:$F$13,C107)=1),"OK","INVALID"))</f>
        <v/>
      </c>
    </row>
    <row r="108">
      <c r="A108" s="7" t="n"/>
      <c r="B108" s="13" t="n"/>
      <c r="C108" s="13" t="n"/>
      <c r="D108" s="14" t="n"/>
      <c r="E108" s="15" t="n"/>
      <c r="F108" s="16" t="n"/>
      <c r="G108" s="16" t="n"/>
      <c r="H108" s="16" t="n"/>
      <c r="I108" s="17">
        <f>IF(COUNTA(A108:C108)=0,"",IF(COUNTIFS($A$5:$A$504,A108,$B$5:$B$504,B108,$C$5:$C$504,C108)&gt;1,"DUPLICATE","OK"))</f>
        <v/>
      </c>
      <c r="J108" s="17">
        <f>IF(COUNTA(A108:C108)=0,"",IF(AND(COUNTIF('Master Data'!$A$6:$A$145,B108)=1,COUNTIF('Master Data'!$F$6:$F$13,C108)=1),"OK","INVALID"))</f>
        <v/>
      </c>
    </row>
    <row r="109">
      <c r="A109" s="7" t="n"/>
      <c r="B109" s="13" t="n"/>
      <c r="C109" s="13" t="n"/>
      <c r="D109" s="14" t="n"/>
      <c r="E109" s="15" t="n"/>
      <c r="F109" s="16" t="n"/>
      <c r="G109" s="16" t="n"/>
      <c r="H109" s="16" t="n"/>
      <c r="I109" s="17">
        <f>IF(COUNTA(A109:C109)=0,"",IF(COUNTIFS($A$5:$A$504,A109,$B$5:$B$504,B109,$C$5:$C$504,C109)&gt;1,"DUPLICATE","OK"))</f>
        <v/>
      </c>
      <c r="J109" s="17">
        <f>IF(COUNTA(A109:C109)=0,"",IF(AND(COUNTIF('Master Data'!$A$6:$A$145,B109)=1,COUNTIF('Master Data'!$F$6:$F$13,C109)=1),"OK","INVALID"))</f>
        <v/>
      </c>
    </row>
    <row r="110">
      <c r="A110" s="7" t="n"/>
      <c r="B110" s="13" t="n"/>
      <c r="C110" s="13" t="n"/>
      <c r="D110" s="14" t="n"/>
      <c r="E110" s="15" t="n"/>
      <c r="F110" s="16" t="n"/>
      <c r="G110" s="16" t="n"/>
      <c r="H110" s="16" t="n"/>
      <c r="I110" s="17">
        <f>IF(COUNTA(A110:C110)=0,"",IF(COUNTIFS($A$5:$A$504,A110,$B$5:$B$504,B110,$C$5:$C$504,C110)&gt;1,"DUPLICATE","OK"))</f>
        <v/>
      </c>
      <c r="J110" s="17">
        <f>IF(COUNTA(A110:C110)=0,"",IF(AND(COUNTIF('Master Data'!$A$6:$A$145,B110)=1,COUNTIF('Master Data'!$F$6:$F$13,C110)=1),"OK","INVALID"))</f>
        <v/>
      </c>
    </row>
    <row r="111">
      <c r="A111" s="7" t="n"/>
      <c r="B111" s="13" t="n"/>
      <c r="C111" s="13" t="n"/>
      <c r="D111" s="14" t="n"/>
      <c r="E111" s="15" t="n"/>
      <c r="F111" s="16" t="n"/>
      <c r="G111" s="16" t="n"/>
      <c r="H111" s="16" t="n"/>
      <c r="I111" s="17">
        <f>IF(COUNTA(A111:C111)=0,"",IF(COUNTIFS($A$5:$A$504,A111,$B$5:$B$504,B111,$C$5:$C$504,C111)&gt;1,"DUPLICATE","OK"))</f>
        <v/>
      </c>
      <c r="J111" s="17">
        <f>IF(COUNTA(A111:C111)=0,"",IF(AND(COUNTIF('Master Data'!$A$6:$A$145,B111)=1,COUNTIF('Master Data'!$F$6:$F$13,C111)=1),"OK","INVALID"))</f>
        <v/>
      </c>
    </row>
    <row r="112">
      <c r="A112" s="7" t="n"/>
      <c r="B112" s="13" t="n"/>
      <c r="C112" s="13" t="n"/>
      <c r="D112" s="14" t="n"/>
      <c r="E112" s="15" t="n"/>
      <c r="F112" s="16" t="n"/>
      <c r="G112" s="16" t="n"/>
      <c r="H112" s="16" t="n"/>
      <c r="I112" s="17">
        <f>IF(COUNTA(A112:C112)=0,"",IF(COUNTIFS($A$5:$A$504,A112,$B$5:$B$504,B112,$C$5:$C$504,C112)&gt;1,"DUPLICATE","OK"))</f>
        <v/>
      </c>
      <c r="J112" s="17">
        <f>IF(COUNTA(A112:C112)=0,"",IF(AND(COUNTIF('Master Data'!$A$6:$A$145,B112)=1,COUNTIF('Master Data'!$F$6:$F$13,C112)=1),"OK","INVALID"))</f>
        <v/>
      </c>
    </row>
    <row r="113">
      <c r="A113" s="7" t="n"/>
      <c r="B113" s="13" t="n"/>
      <c r="C113" s="13" t="n"/>
      <c r="D113" s="14" t="n"/>
      <c r="E113" s="15" t="n"/>
      <c r="F113" s="16" t="n"/>
      <c r="G113" s="16" t="n"/>
      <c r="H113" s="16" t="n"/>
      <c r="I113" s="17">
        <f>IF(COUNTA(A113:C113)=0,"",IF(COUNTIFS($A$5:$A$504,A113,$B$5:$B$504,B113,$C$5:$C$504,C113)&gt;1,"DUPLICATE","OK"))</f>
        <v/>
      </c>
      <c r="J113" s="17">
        <f>IF(COUNTA(A113:C113)=0,"",IF(AND(COUNTIF('Master Data'!$A$6:$A$145,B113)=1,COUNTIF('Master Data'!$F$6:$F$13,C113)=1),"OK","INVALID"))</f>
        <v/>
      </c>
    </row>
    <row r="114">
      <c r="A114" s="7" t="n"/>
      <c r="B114" s="13" t="n"/>
      <c r="C114" s="13" t="n"/>
      <c r="D114" s="14" t="n"/>
      <c r="E114" s="15" t="n"/>
      <c r="F114" s="16" t="n"/>
      <c r="G114" s="16" t="n"/>
      <c r="H114" s="16" t="n"/>
      <c r="I114" s="17">
        <f>IF(COUNTA(A114:C114)=0,"",IF(COUNTIFS($A$5:$A$504,A114,$B$5:$B$504,B114,$C$5:$C$504,C114)&gt;1,"DUPLICATE","OK"))</f>
        <v/>
      </c>
      <c r="J114" s="17">
        <f>IF(COUNTA(A114:C114)=0,"",IF(AND(COUNTIF('Master Data'!$A$6:$A$145,B114)=1,COUNTIF('Master Data'!$F$6:$F$13,C114)=1),"OK","INVALID"))</f>
        <v/>
      </c>
    </row>
    <row r="115">
      <c r="A115" s="7" t="n"/>
      <c r="B115" s="13" t="n"/>
      <c r="C115" s="13" t="n"/>
      <c r="D115" s="14" t="n"/>
      <c r="E115" s="15" t="n"/>
      <c r="F115" s="16" t="n"/>
      <c r="G115" s="16" t="n"/>
      <c r="H115" s="16" t="n"/>
      <c r="I115" s="17">
        <f>IF(COUNTA(A115:C115)=0,"",IF(COUNTIFS($A$5:$A$504,A115,$B$5:$B$504,B115,$C$5:$C$504,C115)&gt;1,"DUPLICATE","OK"))</f>
        <v/>
      </c>
      <c r="J115" s="17">
        <f>IF(COUNTA(A115:C115)=0,"",IF(AND(COUNTIF('Master Data'!$A$6:$A$145,B115)=1,COUNTIF('Master Data'!$F$6:$F$13,C115)=1),"OK","INVALID"))</f>
        <v/>
      </c>
    </row>
    <row r="116">
      <c r="A116" s="7" t="n"/>
      <c r="B116" s="13" t="n"/>
      <c r="C116" s="13" t="n"/>
      <c r="D116" s="14" t="n"/>
      <c r="E116" s="15" t="n"/>
      <c r="F116" s="16" t="n"/>
      <c r="G116" s="16" t="n"/>
      <c r="H116" s="16" t="n"/>
      <c r="I116" s="17">
        <f>IF(COUNTA(A116:C116)=0,"",IF(COUNTIFS($A$5:$A$504,A116,$B$5:$B$504,B116,$C$5:$C$504,C116)&gt;1,"DUPLICATE","OK"))</f>
        <v/>
      </c>
      <c r="J116" s="17">
        <f>IF(COUNTA(A116:C116)=0,"",IF(AND(COUNTIF('Master Data'!$A$6:$A$145,B116)=1,COUNTIF('Master Data'!$F$6:$F$13,C116)=1),"OK","INVALID"))</f>
        <v/>
      </c>
    </row>
    <row r="117">
      <c r="A117" s="7" t="n"/>
      <c r="B117" s="13" t="n"/>
      <c r="C117" s="13" t="n"/>
      <c r="D117" s="14" t="n"/>
      <c r="E117" s="15" t="n"/>
      <c r="F117" s="16" t="n"/>
      <c r="G117" s="16" t="n"/>
      <c r="H117" s="16" t="n"/>
      <c r="I117" s="17">
        <f>IF(COUNTA(A117:C117)=0,"",IF(COUNTIFS($A$5:$A$504,A117,$B$5:$B$504,B117,$C$5:$C$504,C117)&gt;1,"DUPLICATE","OK"))</f>
        <v/>
      </c>
      <c r="J117" s="17">
        <f>IF(COUNTA(A117:C117)=0,"",IF(AND(COUNTIF('Master Data'!$A$6:$A$145,B117)=1,COUNTIF('Master Data'!$F$6:$F$13,C117)=1),"OK","INVALID"))</f>
        <v/>
      </c>
    </row>
    <row r="118">
      <c r="A118" s="7" t="n"/>
      <c r="B118" s="13" t="n"/>
      <c r="C118" s="13" t="n"/>
      <c r="D118" s="14" t="n"/>
      <c r="E118" s="15" t="n"/>
      <c r="F118" s="16" t="n"/>
      <c r="G118" s="16" t="n"/>
      <c r="H118" s="16" t="n"/>
      <c r="I118" s="17">
        <f>IF(COUNTA(A118:C118)=0,"",IF(COUNTIFS($A$5:$A$504,A118,$B$5:$B$504,B118,$C$5:$C$504,C118)&gt;1,"DUPLICATE","OK"))</f>
        <v/>
      </c>
      <c r="J118" s="17">
        <f>IF(COUNTA(A118:C118)=0,"",IF(AND(COUNTIF('Master Data'!$A$6:$A$145,B118)=1,COUNTIF('Master Data'!$F$6:$F$13,C118)=1),"OK","INVALID"))</f>
        <v/>
      </c>
    </row>
    <row r="119">
      <c r="A119" s="7" t="n"/>
      <c r="B119" s="13" t="n"/>
      <c r="C119" s="13" t="n"/>
      <c r="D119" s="14" t="n"/>
      <c r="E119" s="15" t="n"/>
      <c r="F119" s="16" t="n"/>
      <c r="G119" s="16" t="n"/>
      <c r="H119" s="16" t="n"/>
      <c r="I119" s="17">
        <f>IF(COUNTA(A119:C119)=0,"",IF(COUNTIFS($A$5:$A$504,A119,$B$5:$B$504,B119,$C$5:$C$504,C119)&gt;1,"DUPLICATE","OK"))</f>
        <v/>
      </c>
      <c r="J119" s="17">
        <f>IF(COUNTA(A119:C119)=0,"",IF(AND(COUNTIF('Master Data'!$A$6:$A$145,B119)=1,COUNTIF('Master Data'!$F$6:$F$13,C119)=1),"OK","INVALID"))</f>
        <v/>
      </c>
    </row>
    <row r="120">
      <c r="A120" s="7" t="n"/>
      <c r="B120" s="13" t="n"/>
      <c r="C120" s="13" t="n"/>
      <c r="D120" s="14" t="n"/>
      <c r="E120" s="15" t="n"/>
      <c r="F120" s="16" t="n"/>
      <c r="G120" s="16" t="n"/>
      <c r="H120" s="16" t="n"/>
      <c r="I120" s="17">
        <f>IF(COUNTA(A120:C120)=0,"",IF(COUNTIFS($A$5:$A$504,A120,$B$5:$B$504,B120,$C$5:$C$504,C120)&gt;1,"DUPLICATE","OK"))</f>
        <v/>
      </c>
      <c r="J120" s="17">
        <f>IF(COUNTA(A120:C120)=0,"",IF(AND(COUNTIF('Master Data'!$A$6:$A$145,B120)=1,COUNTIF('Master Data'!$F$6:$F$13,C120)=1),"OK","INVALID"))</f>
        <v/>
      </c>
    </row>
    <row r="121">
      <c r="A121" s="7" t="n"/>
      <c r="B121" s="13" t="n"/>
      <c r="C121" s="13" t="n"/>
      <c r="D121" s="14" t="n"/>
      <c r="E121" s="15" t="n"/>
      <c r="F121" s="16" t="n"/>
      <c r="G121" s="16" t="n"/>
      <c r="H121" s="16" t="n"/>
      <c r="I121" s="17">
        <f>IF(COUNTA(A121:C121)=0,"",IF(COUNTIFS($A$5:$A$504,A121,$B$5:$B$504,B121,$C$5:$C$504,C121)&gt;1,"DUPLICATE","OK"))</f>
        <v/>
      </c>
      <c r="J121" s="17">
        <f>IF(COUNTA(A121:C121)=0,"",IF(AND(COUNTIF('Master Data'!$A$6:$A$145,B121)=1,COUNTIF('Master Data'!$F$6:$F$13,C121)=1),"OK","INVALID"))</f>
        <v/>
      </c>
    </row>
    <row r="122">
      <c r="A122" s="7" t="n"/>
      <c r="B122" s="13" t="n"/>
      <c r="C122" s="13" t="n"/>
      <c r="D122" s="14" t="n"/>
      <c r="E122" s="15" t="n"/>
      <c r="F122" s="16" t="n"/>
      <c r="G122" s="16" t="n"/>
      <c r="H122" s="16" t="n"/>
      <c r="I122" s="17">
        <f>IF(COUNTA(A122:C122)=0,"",IF(COUNTIFS($A$5:$A$504,A122,$B$5:$B$504,B122,$C$5:$C$504,C122)&gt;1,"DUPLICATE","OK"))</f>
        <v/>
      </c>
      <c r="J122" s="17">
        <f>IF(COUNTA(A122:C122)=0,"",IF(AND(COUNTIF('Master Data'!$A$6:$A$145,B122)=1,COUNTIF('Master Data'!$F$6:$F$13,C122)=1),"OK","INVALID"))</f>
        <v/>
      </c>
    </row>
    <row r="123">
      <c r="A123" s="7" t="n"/>
      <c r="B123" s="13" t="n"/>
      <c r="C123" s="13" t="n"/>
      <c r="D123" s="14" t="n"/>
      <c r="E123" s="15" t="n"/>
      <c r="F123" s="16" t="n"/>
      <c r="G123" s="16" t="n"/>
      <c r="H123" s="16" t="n"/>
      <c r="I123" s="17">
        <f>IF(COUNTA(A123:C123)=0,"",IF(COUNTIFS($A$5:$A$504,A123,$B$5:$B$504,B123,$C$5:$C$504,C123)&gt;1,"DUPLICATE","OK"))</f>
        <v/>
      </c>
      <c r="J123" s="17">
        <f>IF(COUNTA(A123:C123)=0,"",IF(AND(COUNTIF('Master Data'!$A$6:$A$145,B123)=1,COUNTIF('Master Data'!$F$6:$F$13,C123)=1),"OK","INVALID"))</f>
        <v/>
      </c>
    </row>
    <row r="124">
      <c r="A124" s="7" t="n"/>
      <c r="B124" s="13" t="n"/>
      <c r="C124" s="13" t="n"/>
      <c r="D124" s="14" t="n"/>
      <c r="E124" s="15" t="n"/>
      <c r="F124" s="16" t="n"/>
      <c r="G124" s="16" t="n"/>
      <c r="H124" s="16" t="n"/>
      <c r="I124" s="17">
        <f>IF(COUNTA(A124:C124)=0,"",IF(COUNTIFS($A$5:$A$504,A124,$B$5:$B$504,B124,$C$5:$C$504,C124)&gt;1,"DUPLICATE","OK"))</f>
        <v/>
      </c>
      <c r="J124" s="17">
        <f>IF(COUNTA(A124:C124)=0,"",IF(AND(COUNTIF('Master Data'!$A$6:$A$145,B124)=1,COUNTIF('Master Data'!$F$6:$F$13,C124)=1),"OK","INVALID"))</f>
        <v/>
      </c>
    </row>
    <row r="125">
      <c r="A125" s="7" t="n"/>
      <c r="B125" s="13" t="n"/>
      <c r="C125" s="13" t="n"/>
      <c r="D125" s="14" t="n"/>
      <c r="E125" s="15" t="n"/>
      <c r="F125" s="16" t="n"/>
      <c r="G125" s="16" t="n"/>
      <c r="H125" s="16" t="n"/>
      <c r="I125" s="17">
        <f>IF(COUNTA(A125:C125)=0,"",IF(COUNTIFS($A$5:$A$504,A125,$B$5:$B$504,B125,$C$5:$C$504,C125)&gt;1,"DUPLICATE","OK"))</f>
        <v/>
      </c>
      <c r="J125" s="17">
        <f>IF(COUNTA(A125:C125)=0,"",IF(AND(COUNTIF('Master Data'!$A$6:$A$145,B125)=1,COUNTIF('Master Data'!$F$6:$F$13,C125)=1),"OK","INVALID"))</f>
        <v/>
      </c>
    </row>
    <row r="126">
      <c r="A126" s="7" t="n"/>
      <c r="B126" s="13" t="n"/>
      <c r="C126" s="13" t="n"/>
      <c r="D126" s="14" t="n"/>
      <c r="E126" s="15" t="n"/>
      <c r="F126" s="16" t="n"/>
      <c r="G126" s="16" t="n"/>
      <c r="H126" s="16" t="n"/>
      <c r="I126" s="17">
        <f>IF(COUNTA(A126:C126)=0,"",IF(COUNTIFS($A$5:$A$504,A126,$B$5:$B$504,B126,$C$5:$C$504,C126)&gt;1,"DUPLICATE","OK"))</f>
        <v/>
      </c>
      <c r="J126" s="17">
        <f>IF(COUNTA(A126:C126)=0,"",IF(AND(COUNTIF('Master Data'!$A$6:$A$145,B126)=1,COUNTIF('Master Data'!$F$6:$F$13,C126)=1),"OK","INVALID"))</f>
        <v/>
      </c>
    </row>
    <row r="127">
      <c r="A127" s="7" t="n"/>
      <c r="B127" s="13" t="n"/>
      <c r="C127" s="13" t="n"/>
      <c r="D127" s="14" t="n"/>
      <c r="E127" s="15" t="n"/>
      <c r="F127" s="16" t="n"/>
      <c r="G127" s="16" t="n"/>
      <c r="H127" s="16" t="n"/>
      <c r="I127" s="17">
        <f>IF(COUNTA(A127:C127)=0,"",IF(COUNTIFS($A$5:$A$504,A127,$B$5:$B$504,B127,$C$5:$C$504,C127)&gt;1,"DUPLICATE","OK"))</f>
        <v/>
      </c>
      <c r="J127" s="17">
        <f>IF(COUNTA(A127:C127)=0,"",IF(AND(COUNTIF('Master Data'!$A$6:$A$145,B127)=1,COUNTIF('Master Data'!$F$6:$F$13,C127)=1),"OK","INVALID"))</f>
        <v/>
      </c>
    </row>
    <row r="128">
      <c r="A128" s="7" t="n"/>
      <c r="B128" s="13" t="n"/>
      <c r="C128" s="13" t="n"/>
      <c r="D128" s="14" t="n"/>
      <c r="E128" s="15" t="n"/>
      <c r="F128" s="16" t="n"/>
      <c r="G128" s="16" t="n"/>
      <c r="H128" s="16" t="n"/>
      <c r="I128" s="17">
        <f>IF(COUNTA(A128:C128)=0,"",IF(COUNTIFS($A$5:$A$504,A128,$B$5:$B$504,B128,$C$5:$C$504,C128)&gt;1,"DUPLICATE","OK"))</f>
        <v/>
      </c>
      <c r="J128" s="17">
        <f>IF(COUNTA(A128:C128)=0,"",IF(AND(COUNTIF('Master Data'!$A$6:$A$145,B128)=1,COUNTIF('Master Data'!$F$6:$F$13,C128)=1),"OK","INVALID"))</f>
        <v/>
      </c>
    </row>
    <row r="129">
      <c r="A129" s="7" t="n"/>
      <c r="B129" s="13" t="n"/>
      <c r="C129" s="13" t="n"/>
      <c r="D129" s="14" t="n"/>
      <c r="E129" s="15" t="n"/>
      <c r="F129" s="16" t="n"/>
      <c r="G129" s="16" t="n"/>
      <c r="H129" s="16" t="n"/>
      <c r="I129" s="17">
        <f>IF(COUNTA(A129:C129)=0,"",IF(COUNTIFS($A$5:$A$504,A129,$B$5:$B$504,B129,$C$5:$C$504,C129)&gt;1,"DUPLICATE","OK"))</f>
        <v/>
      </c>
      <c r="J129" s="17">
        <f>IF(COUNTA(A129:C129)=0,"",IF(AND(COUNTIF('Master Data'!$A$6:$A$145,B129)=1,COUNTIF('Master Data'!$F$6:$F$13,C129)=1),"OK","INVALID"))</f>
        <v/>
      </c>
    </row>
    <row r="130">
      <c r="A130" s="7" t="n"/>
      <c r="B130" s="13" t="n"/>
      <c r="C130" s="13" t="n"/>
      <c r="D130" s="14" t="n"/>
      <c r="E130" s="15" t="n"/>
      <c r="F130" s="16" t="n"/>
      <c r="G130" s="16" t="n"/>
      <c r="H130" s="16" t="n"/>
      <c r="I130" s="17">
        <f>IF(COUNTA(A130:C130)=0,"",IF(COUNTIFS($A$5:$A$504,A130,$B$5:$B$504,B130,$C$5:$C$504,C130)&gt;1,"DUPLICATE","OK"))</f>
        <v/>
      </c>
      <c r="J130" s="17">
        <f>IF(COUNTA(A130:C130)=0,"",IF(AND(COUNTIF('Master Data'!$A$6:$A$145,B130)=1,COUNTIF('Master Data'!$F$6:$F$13,C130)=1),"OK","INVALID"))</f>
        <v/>
      </c>
    </row>
    <row r="131">
      <c r="A131" s="7" t="n"/>
      <c r="B131" s="13" t="n"/>
      <c r="C131" s="13" t="n"/>
      <c r="D131" s="14" t="n"/>
      <c r="E131" s="15" t="n"/>
      <c r="F131" s="16" t="n"/>
      <c r="G131" s="16" t="n"/>
      <c r="H131" s="16" t="n"/>
      <c r="I131" s="17">
        <f>IF(COUNTA(A131:C131)=0,"",IF(COUNTIFS($A$5:$A$504,A131,$B$5:$B$504,B131,$C$5:$C$504,C131)&gt;1,"DUPLICATE","OK"))</f>
        <v/>
      </c>
      <c r="J131" s="17">
        <f>IF(COUNTA(A131:C131)=0,"",IF(AND(COUNTIF('Master Data'!$A$6:$A$145,B131)=1,COUNTIF('Master Data'!$F$6:$F$13,C131)=1),"OK","INVALID"))</f>
        <v/>
      </c>
    </row>
    <row r="132">
      <c r="A132" s="7" t="n"/>
      <c r="B132" s="13" t="n"/>
      <c r="C132" s="13" t="n"/>
      <c r="D132" s="14" t="n"/>
      <c r="E132" s="15" t="n"/>
      <c r="F132" s="16" t="n"/>
      <c r="G132" s="16" t="n"/>
      <c r="H132" s="16" t="n"/>
      <c r="I132" s="17">
        <f>IF(COUNTA(A132:C132)=0,"",IF(COUNTIFS($A$5:$A$504,A132,$B$5:$B$504,B132,$C$5:$C$504,C132)&gt;1,"DUPLICATE","OK"))</f>
        <v/>
      </c>
      <c r="J132" s="17">
        <f>IF(COUNTA(A132:C132)=0,"",IF(AND(COUNTIF('Master Data'!$A$6:$A$145,B132)=1,COUNTIF('Master Data'!$F$6:$F$13,C132)=1),"OK","INVALID"))</f>
        <v/>
      </c>
    </row>
    <row r="133">
      <c r="A133" s="7" t="n"/>
      <c r="B133" s="13" t="n"/>
      <c r="C133" s="13" t="n"/>
      <c r="D133" s="14" t="n"/>
      <c r="E133" s="15" t="n"/>
      <c r="F133" s="16" t="n"/>
      <c r="G133" s="16" t="n"/>
      <c r="H133" s="16" t="n"/>
      <c r="I133" s="17">
        <f>IF(COUNTA(A133:C133)=0,"",IF(COUNTIFS($A$5:$A$504,A133,$B$5:$B$504,B133,$C$5:$C$504,C133)&gt;1,"DUPLICATE","OK"))</f>
        <v/>
      </c>
      <c r="J133" s="17">
        <f>IF(COUNTA(A133:C133)=0,"",IF(AND(COUNTIF('Master Data'!$A$6:$A$145,B133)=1,COUNTIF('Master Data'!$F$6:$F$13,C133)=1),"OK","INVALID"))</f>
        <v/>
      </c>
    </row>
    <row r="134">
      <c r="A134" s="7" t="n"/>
      <c r="B134" s="13" t="n"/>
      <c r="C134" s="13" t="n"/>
      <c r="D134" s="14" t="n"/>
      <c r="E134" s="15" t="n"/>
      <c r="F134" s="16" t="n"/>
      <c r="G134" s="16" t="n"/>
      <c r="H134" s="16" t="n"/>
      <c r="I134" s="17">
        <f>IF(COUNTA(A134:C134)=0,"",IF(COUNTIFS($A$5:$A$504,A134,$B$5:$B$504,B134,$C$5:$C$504,C134)&gt;1,"DUPLICATE","OK"))</f>
        <v/>
      </c>
      <c r="J134" s="17">
        <f>IF(COUNTA(A134:C134)=0,"",IF(AND(COUNTIF('Master Data'!$A$6:$A$145,B134)=1,COUNTIF('Master Data'!$F$6:$F$13,C134)=1),"OK","INVALID"))</f>
        <v/>
      </c>
    </row>
    <row r="135">
      <c r="A135" s="7" t="n"/>
      <c r="B135" s="13" t="n"/>
      <c r="C135" s="13" t="n"/>
      <c r="D135" s="14" t="n"/>
      <c r="E135" s="15" t="n"/>
      <c r="F135" s="16" t="n"/>
      <c r="G135" s="16" t="n"/>
      <c r="H135" s="16" t="n"/>
      <c r="I135" s="17">
        <f>IF(COUNTA(A135:C135)=0,"",IF(COUNTIFS($A$5:$A$504,A135,$B$5:$B$504,B135,$C$5:$C$504,C135)&gt;1,"DUPLICATE","OK"))</f>
        <v/>
      </c>
      <c r="J135" s="17">
        <f>IF(COUNTA(A135:C135)=0,"",IF(AND(COUNTIF('Master Data'!$A$6:$A$145,B135)=1,COUNTIF('Master Data'!$F$6:$F$13,C135)=1),"OK","INVALID"))</f>
        <v/>
      </c>
    </row>
    <row r="136">
      <c r="A136" s="7" t="n"/>
      <c r="B136" s="13" t="n"/>
      <c r="C136" s="13" t="n"/>
      <c r="D136" s="14" t="n"/>
      <c r="E136" s="15" t="n"/>
      <c r="F136" s="16" t="n"/>
      <c r="G136" s="16" t="n"/>
      <c r="H136" s="16" t="n"/>
      <c r="I136" s="17">
        <f>IF(COUNTA(A136:C136)=0,"",IF(COUNTIFS($A$5:$A$504,A136,$B$5:$B$504,B136,$C$5:$C$504,C136)&gt;1,"DUPLICATE","OK"))</f>
        <v/>
      </c>
      <c r="J136" s="17">
        <f>IF(COUNTA(A136:C136)=0,"",IF(AND(COUNTIF('Master Data'!$A$6:$A$145,B136)=1,COUNTIF('Master Data'!$F$6:$F$13,C136)=1),"OK","INVALID"))</f>
        <v/>
      </c>
    </row>
    <row r="137">
      <c r="A137" s="7" t="n"/>
      <c r="B137" s="13" t="n"/>
      <c r="C137" s="13" t="n"/>
      <c r="D137" s="14" t="n"/>
      <c r="E137" s="15" t="n"/>
      <c r="F137" s="16" t="n"/>
      <c r="G137" s="16" t="n"/>
      <c r="H137" s="16" t="n"/>
      <c r="I137" s="17">
        <f>IF(COUNTA(A137:C137)=0,"",IF(COUNTIFS($A$5:$A$504,A137,$B$5:$B$504,B137,$C$5:$C$504,C137)&gt;1,"DUPLICATE","OK"))</f>
        <v/>
      </c>
      <c r="J137" s="17">
        <f>IF(COUNTA(A137:C137)=0,"",IF(AND(COUNTIF('Master Data'!$A$6:$A$145,B137)=1,COUNTIF('Master Data'!$F$6:$F$13,C137)=1),"OK","INVALID"))</f>
        <v/>
      </c>
    </row>
    <row r="138">
      <c r="A138" s="7" t="n"/>
      <c r="B138" s="13" t="n"/>
      <c r="C138" s="13" t="n"/>
      <c r="D138" s="14" t="n"/>
      <c r="E138" s="15" t="n"/>
      <c r="F138" s="16" t="n"/>
      <c r="G138" s="16" t="n"/>
      <c r="H138" s="16" t="n"/>
      <c r="I138" s="17">
        <f>IF(COUNTA(A138:C138)=0,"",IF(COUNTIFS($A$5:$A$504,A138,$B$5:$B$504,B138,$C$5:$C$504,C138)&gt;1,"DUPLICATE","OK"))</f>
        <v/>
      </c>
      <c r="J138" s="17">
        <f>IF(COUNTA(A138:C138)=0,"",IF(AND(COUNTIF('Master Data'!$A$6:$A$145,B138)=1,COUNTIF('Master Data'!$F$6:$F$13,C138)=1),"OK","INVALID"))</f>
        <v/>
      </c>
    </row>
    <row r="139">
      <c r="A139" s="7" t="n"/>
      <c r="B139" s="13" t="n"/>
      <c r="C139" s="13" t="n"/>
      <c r="D139" s="14" t="n"/>
      <c r="E139" s="15" t="n"/>
      <c r="F139" s="16" t="n"/>
      <c r="G139" s="16" t="n"/>
      <c r="H139" s="16" t="n"/>
      <c r="I139" s="17">
        <f>IF(COUNTA(A139:C139)=0,"",IF(COUNTIFS($A$5:$A$504,A139,$B$5:$B$504,B139,$C$5:$C$504,C139)&gt;1,"DUPLICATE","OK"))</f>
        <v/>
      </c>
      <c r="J139" s="17">
        <f>IF(COUNTA(A139:C139)=0,"",IF(AND(COUNTIF('Master Data'!$A$6:$A$145,B139)=1,COUNTIF('Master Data'!$F$6:$F$13,C139)=1),"OK","INVALID"))</f>
        <v/>
      </c>
    </row>
    <row r="140">
      <c r="A140" s="7" t="n"/>
      <c r="B140" s="13" t="n"/>
      <c r="C140" s="13" t="n"/>
      <c r="D140" s="14" t="n"/>
      <c r="E140" s="15" t="n"/>
      <c r="F140" s="16" t="n"/>
      <c r="G140" s="16" t="n"/>
      <c r="H140" s="16" t="n"/>
      <c r="I140" s="17">
        <f>IF(COUNTA(A140:C140)=0,"",IF(COUNTIFS($A$5:$A$504,A140,$B$5:$B$504,B140,$C$5:$C$504,C140)&gt;1,"DUPLICATE","OK"))</f>
        <v/>
      </c>
      <c r="J140" s="17">
        <f>IF(COUNTA(A140:C140)=0,"",IF(AND(COUNTIF('Master Data'!$A$6:$A$145,B140)=1,COUNTIF('Master Data'!$F$6:$F$13,C140)=1),"OK","INVALID"))</f>
        <v/>
      </c>
    </row>
    <row r="141">
      <c r="A141" s="7" t="n"/>
      <c r="B141" s="13" t="n"/>
      <c r="C141" s="13" t="n"/>
      <c r="D141" s="14" t="n"/>
      <c r="E141" s="15" t="n"/>
      <c r="F141" s="16" t="n"/>
      <c r="G141" s="16" t="n"/>
      <c r="H141" s="16" t="n"/>
      <c r="I141" s="17">
        <f>IF(COUNTA(A141:C141)=0,"",IF(COUNTIFS($A$5:$A$504,A141,$B$5:$B$504,B141,$C$5:$C$504,C141)&gt;1,"DUPLICATE","OK"))</f>
        <v/>
      </c>
      <c r="J141" s="17">
        <f>IF(COUNTA(A141:C141)=0,"",IF(AND(COUNTIF('Master Data'!$A$6:$A$145,B141)=1,COUNTIF('Master Data'!$F$6:$F$13,C141)=1),"OK","INVALID"))</f>
        <v/>
      </c>
    </row>
    <row r="142">
      <c r="A142" s="7" t="n"/>
      <c r="B142" s="13" t="n"/>
      <c r="C142" s="13" t="n"/>
      <c r="D142" s="14" t="n"/>
      <c r="E142" s="15" t="n"/>
      <c r="F142" s="16" t="n"/>
      <c r="G142" s="16" t="n"/>
      <c r="H142" s="16" t="n"/>
      <c r="I142" s="17">
        <f>IF(COUNTA(A142:C142)=0,"",IF(COUNTIFS($A$5:$A$504,A142,$B$5:$B$504,B142,$C$5:$C$504,C142)&gt;1,"DUPLICATE","OK"))</f>
        <v/>
      </c>
      <c r="J142" s="17">
        <f>IF(COUNTA(A142:C142)=0,"",IF(AND(COUNTIF('Master Data'!$A$6:$A$145,B142)=1,COUNTIF('Master Data'!$F$6:$F$13,C142)=1),"OK","INVALID"))</f>
        <v/>
      </c>
    </row>
    <row r="143">
      <c r="A143" s="7" t="n"/>
      <c r="B143" s="13" t="n"/>
      <c r="C143" s="13" t="n"/>
      <c r="D143" s="14" t="n"/>
      <c r="E143" s="15" t="n"/>
      <c r="F143" s="16" t="n"/>
      <c r="G143" s="16" t="n"/>
      <c r="H143" s="16" t="n"/>
      <c r="I143" s="17">
        <f>IF(COUNTA(A143:C143)=0,"",IF(COUNTIFS($A$5:$A$504,A143,$B$5:$B$504,B143,$C$5:$C$504,C143)&gt;1,"DUPLICATE","OK"))</f>
        <v/>
      </c>
      <c r="J143" s="17">
        <f>IF(COUNTA(A143:C143)=0,"",IF(AND(COUNTIF('Master Data'!$A$6:$A$145,B143)=1,COUNTIF('Master Data'!$F$6:$F$13,C143)=1),"OK","INVALID"))</f>
        <v/>
      </c>
    </row>
    <row r="144">
      <c r="A144" s="7" t="n"/>
      <c r="B144" s="13" t="n"/>
      <c r="C144" s="13" t="n"/>
      <c r="D144" s="14" t="n"/>
      <c r="E144" s="15" t="n"/>
      <c r="F144" s="16" t="n"/>
      <c r="G144" s="16" t="n"/>
      <c r="H144" s="16" t="n"/>
      <c r="I144" s="17">
        <f>IF(COUNTA(A144:C144)=0,"",IF(COUNTIFS($A$5:$A$504,A144,$B$5:$B$504,B144,$C$5:$C$504,C144)&gt;1,"DUPLICATE","OK"))</f>
        <v/>
      </c>
      <c r="J144" s="17">
        <f>IF(COUNTA(A144:C144)=0,"",IF(AND(COUNTIF('Master Data'!$A$6:$A$145,B144)=1,COUNTIF('Master Data'!$F$6:$F$13,C144)=1),"OK","INVALID"))</f>
        <v/>
      </c>
    </row>
    <row r="145">
      <c r="A145" s="7" t="n"/>
      <c r="B145" s="13" t="n"/>
      <c r="C145" s="13" t="n"/>
      <c r="D145" s="14" t="n"/>
      <c r="E145" s="15" t="n"/>
      <c r="F145" s="16" t="n"/>
      <c r="G145" s="16" t="n"/>
      <c r="H145" s="16" t="n"/>
      <c r="I145" s="17">
        <f>IF(COUNTA(A145:C145)=0,"",IF(COUNTIFS($A$5:$A$504,A145,$B$5:$B$504,B145,$C$5:$C$504,C145)&gt;1,"DUPLICATE","OK"))</f>
        <v/>
      </c>
      <c r="J145" s="17">
        <f>IF(COUNTA(A145:C145)=0,"",IF(AND(COUNTIF('Master Data'!$A$6:$A$145,B145)=1,COUNTIF('Master Data'!$F$6:$F$13,C145)=1),"OK","INVALID"))</f>
        <v/>
      </c>
    </row>
    <row r="146">
      <c r="A146" s="7" t="n"/>
      <c r="B146" s="13" t="n"/>
      <c r="C146" s="13" t="n"/>
      <c r="D146" s="14" t="n"/>
      <c r="E146" s="15" t="n"/>
      <c r="F146" s="16" t="n"/>
      <c r="G146" s="16" t="n"/>
      <c r="H146" s="16" t="n"/>
      <c r="I146" s="17">
        <f>IF(COUNTA(A146:C146)=0,"",IF(COUNTIFS($A$5:$A$504,A146,$B$5:$B$504,B146,$C$5:$C$504,C146)&gt;1,"DUPLICATE","OK"))</f>
        <v/>
      </c>
      <c r="J146" s="17">
        <f>IF(COUNTA(A146:C146)=0,"",IF(AND(COUNTIF('Master Data'!$A$6:$A$145,B146)=1,COUNTIF('Master Data'!$F$6:$F$13,C146)=1),"OK","INVALID"))</f>
        <v/>
      </c>
    </row>
    <row r="147">
      <c r="A147" s="7" t="n"/>
      <c r="B147" s="13" t="n"/>
      <c r="C147" s="13" t="n"/>
      <c r="D147" s="14" t="n"/>
      <c r="E147" s="15" t="n"/>
      <c r="F147" s="16" t="n"/>
      <c r="G147" s="16" t="n"/>
      <c r="H147" s="16" t="n"/>
      <c r="I147" s="17">
        <f>IF(COUNTA(A147:C147)=0,"",IF(COUNTIFS($A$5:$A$504,A147,$B$5:$B$504,B147,$C$5:$C$504,C147)&gt;1,"DUPLICATE","OK"))</f>
        <v/>
      </c>
      <c r="J147" s="17">
        <f>IF(COUNTA(A147:C147)=0,"",IF(AND(COUNTIF('Master Data'!$A$6:$A$145,B147)=1,COUNTIF('Master Data'!$F$6:$F$13,C147)=1),"OK","INVALID"))</f>
        <v/>
      </c>
    </row>
    <row r="148">
      <c r="A148" s="7" t="n"/>
      <c r="B148" s="13" t="n"/>
      <c r="C148" s="13" t="n"/>
      <c r="D148" s="14" t="n"/>
      <c r="E148" s="15" t="n"/>
      <c r="F148" s="16" t="n"/>
      <c r="G148" s="16" t="n"/>
      <c r="H148" s="16" t="n"/>
      <c r="I148" s="17">
        <f>IF(COUNTA(A148:C148)=0,"",IF(COUNTIFS($A$5:$A$504,A148,$B$5:$B$504,B148,$C$5:$C$504,C148)&gt;1,"DUPLICATE","OK"))</f>
        <v/>
      </c>
      <c r="J148" s="17">
        <f>IF(COUNTA(A148:C148)=0,"",IF(AND(COUNTIF('Master Data'!$A$6:$A$145,B148)=1,COUNTIF('Master Data'!$F$6:$F$13,C148)=1),"OK","INVALID"))</f>
        <v/>
      </c>
    </row>
    <row r="149">
      <c r="A149" s="7" t="n"/>
      <c r="B149" s="13" t="n"/>
      <c r="C149" s="13" t="n"/>
      <c r="D149" s="14" t="n"/>
      <c r="E149" s="15" t="n"/>
      <c r="F149" s="16" t="n"/>
      <c r="G149" s="16" t="n"/>
      <c r="H149" s="16" t="n"/>
      <c r="I149" s="17">
        <f>IF(COUNTA(A149:C149)=0,"",IF(COUNTIFS($A$5:$A$504,A149,$B$5:$B$504,B149,$C$5:$C$504,C149)&gt;1,"DUPLICATE","OK"))</f>
        <v/>
      </c>
      <c r="J149" s="17">
        <f>IF(COUNTA(A149:C149)=0,"",IF(AND(COUNTIF('Master Data'!$A$6:$A$145,B149)=1,COUNTIF('Master Data'!$F$6:$F$13,C149)=1),"OK","INVALID"))</f>
        <v/>
      </c>
    </row>
    <row r="150">
      <c r="A150" s="7" t="n"/>
      <c r="B150" s="13" t="n"/>
      <c r="C150" s="13" t="n"/>
      <c r="D150" s="14" t="n"/>
      <c r="E150" s="15" t="n"/>
      <c r="F150" s="16" t="n"/>
      <c r="G150" s="16" t="n"/>
      <c r="H150" s="16" t="n"/>
      <c r="I150" s="17">
        <f>IF(COUNTA(A150:C150)=0,"",IF(COUNTIFS($A$5:$A$504,A150,$B$5:$B$504,B150,$C$5:$C$504,C150)&gt;1,"DUPLICATE","OK"))</f>
        <v/>
      </c>
      <c r="J150" s="17">
        <f>IF(COUNTA(A150:C150)=0,"",IF(AND(COUNTIF('Master Data'!$A$6:$A$145,B150)=1,COUNTIF('Master Data'!$F$6:$F$13,C150)=1),"OK","INVALID"))</f>
        <v/>
      </c>
    </row>
    <row r="151">
      <c r="A151" s="7" t="n"/>
      <c r="B151" s="13" t="n"/>
      <c r="C151" s="13" t="n"/>
      <c r="D151" s="14" t="n"/>
      <c r="E151" s="15" t="n"/>
      <c r="F151" s="16" t="n"/>
      <c r="G151" s="16" t="n"/>
      <c r="H151" s="16" t="n"/>
      <c r="I151" s="17">
        <f>IF(COUNTA(A151:C151)=0,"",IF(COUNTIFS($A$5:$A$504,A151,$B$5:$B$504,B151,$C$5:$C$504,C151)&gt;1,"DUPLICATE","OK"))</f>
        <v/>
      </c>
      <c r="J151" s="17">
        <f>IF(COUNTA(A151:C151)=0,"",IF(AND(COUNTIF('Master Data'!$A$6:$A$145,B151)=1,COUNTIF('Master Data'!$F$6:$F$13,C151)=1),"OK","INVALID"))</f>
        <v/>
      </c>
    </row>
    <row r="152">
      <c r="A152" s="7" t="n"/>
      <c r="B152" s="13" t="n"/>
      <c r="C152" s="13" t="n"/>
      <c r="D152" s="14" t="n"/>
      <c r="E152" s="15" t="n"/>
      <c r="F152" s="16" t="n"/>
      <c r="G152" s="16" t="n"/>
      <c r="H152" s="16" t="n"/>
      <c r="I152" s="17">
        <f>IF(COUNTA(A152:C152)=0,"",IF(COUNTIFS($A$5:$A$504,A152,$B$5:$B$504,B152,$C$5:$C$504,C152)&gt;1,"DUPLICATE","OK"))</f>
        <v/>
      </c>
      <c r="J152" s="17">
        <f>IF(COUNTA(A152:C152)=0,"",IF(AND(COUNTIF('Master Data'!$A$6:$A$145,B152)=1,COUNTIF('Master Data'!$F$6:$F$13,C152)=1),"OK","INVALID"))</f>
        <v/>
      </c>
    </row>
    <row r="153">
      <c r="A153" s="7" t="n"/>
      <c r="B153" s="13" t="n"/>
      <c r="C153" s="13" t="n"/>
      <c r="D153" s="14" t="n"/>
      <c r="E153" s="15" t="n"/>
      <c r="F153" s="16" t="n"/>
      <c r="G153" s="16" t="n"/>
      <c r="H153" s="16" t="n"/>
      <c r="I153" s="17">
        <f>IF(COUNTA(A153:C153)=0,"",IF(COUNTIFS($A$5:$A$504,A153,$B$5:$B$504,B153,$C$5:$C$504,C153)&gt;1,"DUPLICATE","OK"))</f>
        <v/>
      </c>
      <c r="J153" s="17">
        <f>IF(COUNTA(A153:C153)=0,"",IF(AND(COUNTIF('Master Data'!$A$6:$A$145,B153)=1,COUNTIF('Master Data'!$F$6:$F$13,C153)=1),"OK","INVALID"))</f>
        <v/>
      </c>
    </row>
    <row r="154">
      <c r="A154" s="7" t="n"/>
      <c r="B154" s="13" t="n"/>
      <c r="C154" s="13" t="n"/>
      <c r="D154" s="14" t="n"/>
      <c r="E154" s="15" t="n"/>
      <c r="F154" s="16" t="n"/>
      <c r="G154" s="16" t="n"/>
      <c r="H154" s="16" t="n"/>
      <c r="I154" s="17">
        <f>IF(COUNTA(A154:C154)=0,"",IF(COUNTIFS($A$5:$A$504,A154,$B$5:$B$504,B154,$C$5:$C$504,C154)&gt;1,"DUPLICATE","OK"))</f>
        <v/>
      </c>
      <c r="J154" s="17">
        <f>IF(COUNTA(A154:C154)=0,"",IF(AND(COUNTIF('Master Data'!$A$6:$A$145,B154)=1,COUNTIF('Master Data'!$F$6:$F$13,C154)=1),"OK","INVALID"))</f>
        <v/>
      </c>
    </row>
    <row r="155">
      <c r="A155" s="7" t="n"/>
      <c r="B155" s="13" t="n"/>
      <c r="C155" s="13" t="n"/>
      <c r="D155" s="14" t="n"/>
      <c r="E155" s="15" t="n"/>
      <c r="F155" s="16" t="n"/>
      <c r="G155" s="16" t="n"/>
      <c r="H155" s="16" t="n"/>
      <c r="I155" s="17">
        <f>IF(COUNTA(A155:C155)=0,"",IF(COUNTIFS($A$5:$A$504,A155,$B$5:$B$504,B155,$C$5:$C$504,C155)&gt;1,"DUPLICATE","OK"))</f>
        <v/>
      </c>
      <c r="J155" s="17">
        <f>IF(COUNTA(A155:C155)=0,"",IF(AND(COUNTIF('Master Data'!$A$6:$A$145,B155)=1,COUNTIF('Master Data'!$F$6:$F$13,C155)=1),"OK","INVALID"))</f>
        <v/>
      </c>
    </row>
    <row r="156">
      <c r="A156" s="7" t="n"/>
      <c r="B156" s="13" t="n"/>
      <c r="C156" s="13" t="n"/>
      <c r="D156" s="14" t="n"/>
      <c r="E156" s="15" t="n"/>
      <c r="F156" s="16" t="n"/>
      <c r="G156" s="16" t="n"/>
      <c r="H156" s="16" t="n"/>
      <c r="I156" s="17">
        <f>IF(COUNTA(A156:C156)=0,"",IF(COUNTIFS($A$5:$A$504,A156,$B$5:$B$504,B156,$C$5:$C$504,C156)&gt;1,"DUPLICATE","OK"))</f>
        <v/>
      </c>
      <c r="J156" s="17">
        <f>IF(COUNTA(A156:C156)=0,"",IF(AND(COUNTIF('Master Data'!$A$6:$A$145,B156)=1,COUNTIF('Master Data'!$F$6:$F$13,C156)=1),"OK","INVALID"))</f>
        <v/>
      </c>
    </row>
    <row r="157">
      <c r="A157" s="7" t="n"/>
      <c r="B157" s="13" t="n"/>
      <c r="C157" s="13" t="n"/>
      <c r="D157" s="14" t="n"/>
      <c r="E157" s="15" t="n"/>
      <c r="F157" s="16" t="n"/>
      <c r="G157" s="16" t="n"/>
      <c r="H157" s="16" t="n"/>
      <c r="I157" s="17">
        <f>IF(COUNTA(A157:C157)=0,"",IF(COUNTIFS($A$5:$A$504,A157,$B$5:$B$504,B157,$C$5:$C$504,C157)&gt;1,"DUPLICATE","OK"))</f>
        <v/>
      </c>
      <c r="J157" s="17">
        <f>IF(COUNTA(A157:C157)=0,"",IF(AND(COUNTIF('Master Data'!$A$6:$A$145,B157)=1,COUNTIF('Master Data'!$F$6:$F$13,C157)=1),"OK","INVALID"))</f>
        <v/>
      </c>
    </row>
    <row r="158">
      <c r="A158" s="7" t="n"/>
      <c r="B158" s="13" t="n"/>
      <c r="C158" s="13" t="n"/>
      <c r="D158" s="14" t="n"/>
      <c r="E158" s="15" t="n"/>
      <c r="F158" s="16" t="n"/>
      <c r="G158" s="16" t="n"/>
      <c r="H158" s="16" t="n"/>
      <c r="I158" s="17">
        <f>IF(COUNTA(A158:C158)=0,"",IF(COUNTIFS($A$5:$A$504,A158,$B$5:$B$504,B158,$C$5:$C$504,C158)&gt;1,"DUPLICATE","OK"))</f>
        <v/>
      </c>
      <c r="J158" s="17">
        <f>IF(COUNTA(A158:C158)=0,"",IF(AND(COUNTIF('Master Data'!$A$6:$A$145,B158)=1,COUNTIF('Master Data'!$F$6:$F$13,C158)=1),"OK","INVALID"))</f>
        <v/>
      </c>
    </row>
    <row r="159">
      <c r="A159" s="7" t="n"/>
      <c r="B159" s="13" t="n"/>
      <c r="C159" s="13" t="n"/>
      <c r="D159" s="14" t="n"/>
      <c r="E159" s="15" t="n"/>
      <c r="F159" s="16" t="n"/>
      <c r="G159" s="16" t="n"/>
      <c r="H159" s="16" t="n"/>
      <c r="I159" s="17">
        <f>IF(COUNTA(A159:C159)=0,"",IF(COUNTIFS($A$5:$A$504,A159,$B$5:$B$504,B159,$C$5:$C$504,C159)&gt;1,"DUPLICATE","OK"))</f>
        <v/>
      </c>
      <c r="J159" s="17">
        <f>IF(COUNTA(A159:C159)=0,"",IF(AND(COUNTIF('Master Data'!$A$6:$A$145,B159)=1,COUNTIF('Master Data'!$F$6:$F$13,C159)=1),"OK","INVALID"))</f>
        <v/>
      </c>
    </row>
    <row r="160">
      <c r="A160" s="7" t="n"/>
      <c r="B160" s="13" t="n"/>
      <c r="C160" s="13" t="n"/>
      <c r="D160" s="14" t="n"/>
      <c r="E160" s="15" t="n"/>
      <c r="F160" s="16" t="n"/>
      <c r="G160" s="16" t="n"/>
      <c r="H160" s="16" t="n"/>
      <c r="I160" s="17">
        <f>IF(COUNTA(A160:C160)=0,"",IF(COUNTIFS($A$5:$A$504,A160,$B$5:$B$504,B160,$C$5:$C$504,C160)&gt;1,"DUPLICATE","OK"))</f>
        <v/>
      </c>
      <c r="J160" s="17">
        <f>IF(COUNTA(A160:C160)=0,"",IF(AND(COUNTIF('Master Data'!$A$6:$A$145,B160)=1,COUNTIF('Master Data'!$F$6:$F$13,C160)=1),"OK","INVALID"))</f>
        <v/>
      </c>
    </row>
    <row r="161">
      <c r="A161" s="7" t="n"/>
      <c r="B161" s="13" t="n"/>
      <c r="C161" s="13" t="n"/>
      <c r="D161" s="14" t="n"/>
      <c r="E161" s="15" t="n"/>
      <c r="F161" s="16" t="n"/>
      <c r="G161" s="16" t="n"/>
      <c r="H161" s="16" t="n"/>
      <c r="I161" s="17">
        <f>IF(COUNTA(A161:C161)=0,"",IF(COUNTIFS($A$5:$A$504,A161,$B$5:$B$504,B161,$C$5:$C$504,C161)&gt;1,"DUPLICATE","OK"))</f>
        <v/>
      </c>
      <c r="J161" s="17">
        <f>IF(COUNTA(A161:C161)=0,"",IF(AND(COUNTIF('Master Data'!$A$6:$A$145,B161)=1,COUNTIF('Master Data'!$F$6:$F$13,C161)=1),"OK","INVALID"))</f>
        <v/>
      </c>
    </row>
    <row r="162">
      <c r="A162" s="7" t="n"/>
      <c r="B162" s="13" t="n"/>
      <c r="C162" s="13" t="n"/>
      <c r="D162" s="14" t="n"/>
      <c r="E162" s="15" t="n"/>
      <c r="F162" s="16" t="n"/>
      <c r="G162" s="16" t="n"/>
      <c r="H162" s="16" t="n"/>
      <c r="I162" s="17">
        <f>IF(COUNTA(A162:C162)=0,"",IF(COUNTIFS($A$5:$A$504,A162,$B$5:$B$504,B162,$C$5:$C$504,C162)&gt;1,"DUPLICATE","OK"))</f>
        <v/>
      </c>
      <c r="J162" s="17">
        <f>IF(COUNTA(A162:C162)=0,"",IF(AND(COUNTIF('Master Data'!$A$6:$A$145,B162)=1,COUNTIF('Master Data'!$F$6:$F$13,C162)=1),"OK","INVALID"))</f>
        <v/>
      </c>
    </row>
    <row r="163">
      <c r="A163" s="7" t="n"/>
      <c r="B163" s="13" t="n"/>
      <c r="C163" s="13" t="n"/>
      <c r="D163" s="14" t="n"/>
      <c r="E163" s="15" t="n"/>
      <c r="F163" s="16" t="n"/>
      <c r="G163" s="16" t="n"/>
      <c r="H163" s="16" t="n"/>
      <c r="I163" s="17">
        <f>IF(COUNTA(A163:C163)=0,"",IF(COUNTIFS($A$5:$A$504,A163,$B$5:$B$504,B163,$C$5:$C$504,C163)&gt;1,"DUPLICATE","OK"))</f>
        <v/>
      </c>
      <c r="J163" s="17">
        <f>IF(COUNTA(A163:C163)=0,"",IF(AND(COUNTIF('Master Data'!$A$6:$A$145,B163)=1,COUNTIF('Master Data'!$F$6:$F$13,C163)=1),"OK","INVALID"))</f>
        <v/>
      </c>
    </row>
    <row r="164">
      <c r="A164" s="7" t="n"/>
      <c r="B164" s="13" t="n"/>
      <c r="C164" s="13" t="n"/>
      <c r="D164" s="14" t="n"/>
      <c r="E164" s="15" t="n"/>
      <c r="F164" s="16" t="n"/>
      <c r="G164" s="16" t="n"/>
      <c r="H164" s="16" t="n"/>
      <c r="I164" s="17">
        <f>IF(COUNTA(A164:C164)=0,"",IF(COUNTIFS($A$5:$A$504,A164,$B$5:$B$504,B164,$C$5:$C$504,C164)&gt;1,"DUPLICATE","OK"))</f>
        <v/>
      </c>
      <c r="J164" s="17">
        <f>IF(COUNTA(A164:C164)=0,"",IF(AND(COUNTIF('Master Data'!$A$6:$A$145,B164)=1,COUNTIF('Master Data'!$F$6:$F$13,C164)=1),"OK","INVALID"))</f>
        <v/>
      </c>
    </row>
    <row r="165">
      <c r="A165" s="7" t="n"/>
      <c r="B165" s="13" t="n"/>
      <c r="C165" s="13" t="n"/>
      <c r="D165" s="14" t="n"/>
      <c r="E165" s="15" t="n"/>
      <c r="F165" s="16" t="n"/>
      <c r="G165" s="16" t="n"/>
      <c r="H165" s="16" t="n"/>
      <c r="I165" s="17">
        <f>IF(COUNTA(A165:C165)=0,"",IF(COUNTIFS($A$5:$A$504,A165,$B$5:$B$504,B165,$C$5:$C$504,C165)&gt;1,"DUPLICATE","OK"))</f>
        <v/>
      </c>
      <c r="J165" s="17">
        <f>IF(COUNTA(A165:C165)=0,"",IF(AND(COUNTIF('Master Data'!$A$6:$A$145,B165)=1,COUNTIF('Master Data'!$F$6:$F$13,C165)=1),"OK","INVALID"))</f>
        <v/>
      </c>
    </row>
    <row r="166">
      <c r="A166" s="7" t="n"/>
      <c r="B166" s="13" t="n"/>
      <c r="C166" s="13" t="n"/>
      <c r="D166" s="14" t="n"/>
      <c r="E166" s="15" t="n"/>
      <c r="F166" s="16" t="n"/>
      <c r="G166" s="16" t="n"/>
      <c r="H166" s="16" t="n"/>
      <c r="I166" s="17">
        <f>IF(COUNTA(A166:C166)=0,"",IF(COUNTIFS($A$5:$A$504,A166,$B$5:$B$504,B166,$C$5:$C$504,C166)&gt;1,"DUPLICATE","OK"))</f>
        <v/>
      </c>
      <c r="J166" s="17">
        <f>IF(COUNTA(A166:C166)=0,"",IF(AND(COUNTIF('Master Data'!$A$6:$A$145,B166)=1,COUNTIF('Master Data'!$F$6:$F$13,C166)=1),"OK","INVALID"))</f>
        <v/>
      </c>
    </row>
    <row r="167">
      <c r="A167" s="7" t="n"/>
      <c r="B167" s="13" t="n"/>
      <c r="C167" s="13" t="n"/>
      <c r="D167" s="14" t="n"/>
      <c r="E167" s="15" t="n"/>
      <c r="F167" s="16" t="n"/>
      <c r="G167" s="16" t="n"/>
      <c r="H167" s="16" t="n"/>
      <c r="I167" s="17">
        <f>IF(COUNTA(A167:C167)=0,"",IF(COUNTIFS($A$5:$A$504,A167,$B$5:$B$504,B167,$C$5:$C$504,C167)&gt;1,"DUPLICATE","OK"))</f>
        <v/>
      </c>
      <c r="J167" s="17">
        <f>IF(COUNTA(A167:C167)=0,"",IF(AND(COUNTIF('Master Data'!$A$6:$A$145,B167)=1,COUNTIF('Master Data'!$F$6:$F$13,C167)=1),"OK","INVALID"))</f>
        <v/>
      </c>
    </row>
    <row r="168">
      <c r="A168" s="7" t="n"/>
      <c r="B168" s="13" t="n"/>
      <c r="C168" s="13" t="n"/>
      <c r="D168" s="14" t="n"/>
      <c r="E168" s="15" t="n"/>
      <c r="F168" s="16" t="n"/>
      <c r="G168" s="16" t="n"/>
      <c r="H168" s="16" t="n"/>
      <c r="I168" s="17">
        <f>IF(COUNTA(A168:C168)=0,"",IF(COUNTIFS($A$5:$A$504,A168,$B$5:$B$504,B168,$C$5:$C$504,C168)&gt;1,"DUPLICATE","OK"))</f>
        <v/>
      </c>
      <c r="J168" s="17">
        <f>IF(COUNTA(A168:C168)=0,"",IF(AND(COUNTIF('Master Data'!$A$6:$A$145,B168)=1,COUNTIF('Master Data'!$F$6:$F$13,C168)=1),"OK","INVALID"))</f>
        <v/>
      </c>
    </row>
    <row r="169">
      <c r="A169" s="7" t="n"/>
      <c r="B169" s="13" t="n"/>
      <c r="C169" s="13" t="n"/>
      <c r="D169" s="14" t="n"/>
      <c r="E169" s="15" t="n"/>
      <c r="F169" s="16" t="n"/>
      <c r="G169" s="16" t="n"/>
      <c r="H169" s="16" t="n"/>
      <c r="I169" s="17">
        <f>IF(COUNTA(A169:C169)=0,"",IF(COUNTIFS($A$5:$A$504,A169,$B$5:$B$504,B169,$C$5:$C$504,C169)&gt;1,"DUPLICATE","OK"))</f>
        <v/>
      </c>
      <c r="J169" s="17">
        <f>IF(COUNTA(A169:C169)=0,"",IF(AND(COUNTIF('Master Data'!$A$6:$A$145,B169)=1,COUNTIF('Master Data'!$F$6:$F$13,C169)=1),"OK","INVALID"))</f>
        <v/>
      </c>
    </row>
    <row r="170">
      <c r="A170" s="7" t="n"/>
      <c r="B170" s="13" t="n"/>
      <c r="C170" s="13" t="n"/>
      <c r="D170" s="14" t="n"/>
      <c r="E170" s="15" t="n"/>
      <c r="F170" s="16" t="n"/>
      <c r="G170" s="16" t="n"/>
      <c r="H170" s="16" t="n"/>
      <c r="I170" s="17">
        <f>IF(COUNTA(A170:C170)=0,"",IF(COUNTIFS($A$5:$A$504,A170,$B$5:$B$504,B170,$C$5:$C$504,C170)&gt;1,"DUPLICATE","OK"))</f>
        <v/>
      </c>
      <c r="J170" s="17">
        <f>IF(COUNTA(A170:C170)=0,"",IF(AND(COUNTIF('Master Data'!$A$6:$A$145,B170)=1,COUNTIF('Master Data'!$F$6:$F$13,C170)=1),"OK","INVALID"))</f>
        <v/>
      </c>
    </row>
    <row r="171">
      <c r="A171" s="7" t="n"/>
      <c r="B171" s="13" t="n"/>
      <c r="C171" s="13" t="n"/>
      <c r="D171" s="14" t="n"/>
      <c r="E171" s="15" t="n"/>
      <c r="F171" s="16" t="n"/>
      <c r="G171" s="16" t="n"/>
      <c r="H171" s="16" t="n"/>
      <c r="I171" s="17">
        <f>IF(COUNTA(A171:C171)=0,"",IF(COUNTIFS($A$5:$A$504,A171,$B$5:$B$504,B171,$C$5:$C$504,C171)&gt;1,"DUPLICATE","OK"))</f>
        <v/>
      </c>
      <c r="J171" s="17">
        <f>IF(COUNTA(A171:C171)=0,"",IF(AND(COUNTIF('Master Data'!$A$6:$A$145,B171)=1,COUNTIF('Master Data'!$F$6:$F$13,C171)=1),"OK","INVALID"))</f>
        <v/>
      </c>
    </row>
    <row r="172">
      <c r="A172" s="7" t="n"/>
      <c r="B172" s="13" t="n"/>
      <c r="C172" s="13" t="n"/>
      <c r="D172" s="14" t="n"/>
      <c r="E172" s="15" t="n"/>
      <c r="F172" s="16" t="n"/>
      <c r="G172" s="16" t="n"/>
      <c r="H172" s="16" t="n"/>
      <c r="I172" s="17">
        <f>IF(COUNTA(A172:C172)=0,"",IF(COUNTIFS($A$5:$A$504,A172,$B$5:$B$504,B172,$C$5:$C$504,C172)&gt;1,"DUPLICATE","OK"))</f>
        <v/>
      </c>
      <c r="J172" s="17">
        <f>IF(COUNTA(A172:C172)=0,"",IF(AND(COUNTIF('Master Data'!$A$6:$A$145,B172)=1,COUNTIF('Master Data'!$F$6:$F$13,C172)=1),"OK","INVALID"))</f>
        <v/>
      </c>
    </row>
    <row r="173">
      <c r="A173" s="7" t="n"/>
      <c r="B173" s="13" t="n"/>
      <c r="C173" s="13" t="n"/>
      <c r="D173" s="14" t="n"/>
      <c r="E173" s="15" t="n"/>
      <c r="F173" s="16" t="n"/>
      <c r="G173" s="16" t="n"/>
      <c r="H173" s="16" t="n"/>
      <c r="I173" s="17">
        <f>IF(COUNTA(A173:C173)=0,"",IF(COUNTIFS($A$5:$A$504,A173,$B$5:$B$504,B173,$C$5:$C$504,C173)&gt;1,"DUPLICATE","OK"))</f>
        <v/>
      </c>
      <c r="J173" s="17">
        <f>IF(COUNTA(A173:C173)=0,"",IF(AND(COUNTIF('Master Data'!$A$6:$A$145,B173)=1,COUNTIF('Master Data'!$F$6:$F$13,C173)=1),"OK","INVALID"))</f>
        <v/>
      </c>
    </row>
    <row r="174">
      <c r="A174" s="7" t="n"/>
      <c r="B174" s="13" t="n"/>
      <c r="C174" s="13" t="n"/>
      <c r="D174" s="14" t="n"/>
      <c r="E174" s="15" t="n"/>
      <c r="F174" s="16" t="n"/>
      <c r="G174" s="16" t="n"/>
      <c r="H174" s="16" t="n"/>
      <c r="I174" s="17">
        <f>IF(COUNTA(A174:C174)=0,"",IF(COUNTIFS($A$5:$A$504,A174,$B$5:$B$504,B174,$C$5:$C$504,C174)&gt;1,"DUPLICATE","OK"))</f>
        <v/>
      </c>
      <c r="J174" s="17">
        <f>IF(COUNTA(A174:C174)=0,"",IF(AND(COUNTIF('Master Data'!$A$6:$A$145,B174)=1,COUNTIF('Master Data'!$F$6:$F$13,C174)=1),"OK","INVALID"))</f>
        <v/>
      </c>
    </row>
    <row r="175">
      <c r="A175" s="7" t="n"/>
      <c r="B175" s="13" t="n"/>
      <c r="C175" s="13" t="n"/>
      <c r="D175" s="14" t="n"/>
      <c r="E175" s="15" t="n"/>
      <c r="F175" s="16" t="n"/>
      <c r="G175" s="16" t="n"/>
      <c r="H175" s="16" t="n"/>
      <c r="I175" s="17">
        <f>IF(COUNTA(A175:C175)=0,"",IF(COUNTIFS($A$5:$A$504,A175,$B$5:$B$504,B175,$C$5:$C$504,C175)&gt;1,"DUPLICATE","OK"))</f>
        <v/>
      </c>
      <c r="J175" s="17">
        <f>IF(COUNTA(A175:C175)=0,"",IF(AND(COUNTIF('Master Data'!$A$6:$A$145,B175)=1,COUNTIF('Master Data'!$F$6:$F$13,C175)=1),"OK","INVALID"))</f>
        <v/>
      </c>
    </row>
    <row r="176">
      <c r="A176" s="7" t="n"/>
      <c r="B176" s="13" t="n"/>
      <c r="C176" s="13" t="n"/>
      <c r="D176" s="14" t="n"/>
      <c r="E176" s="15" t="n"/>
      <c r="F176" s="16" t="n"/>
      <c r="G176" s="16" t="n"/>
      <c r="H176" s="16" t="n"/>
      <c r="I176" s="17">
        <f>IF(COUNTA(A176:C176)=0,"",IF(COUNTIFS($A$5:$A$504,A176,$B$5:$B$504,B176,$C$5:$C$504,C176)&gt;1,"DUPLICATE","OK"))</f>
        <v/>
      </c>
      <c r="J176" s="17">
        <f>IF(COUNTA(A176:C176)=0,"",IF(AND(COUNTIF('Master Data'!$A$6:$A$145,B176)=1,COUNTIF('Master Data'!$F$6:$F$13,C176)=1),"OK","INVALID"))</f>
        <v/>
      </c>
    </row>
    <row r="177">
      <c r="A177" s="7" t="n"/>
      <c r="B177" s="13" t="n"/>
      <c r="C177" s="13" t="n"/>
      <c r="D177" s="14" t="n"/>
      <c r="E177" s="15" t="n"/>
      <c r="F177" s="16" t="n"/>
      <c r="G177" s="16" t="n"/>
      <c r="H177" s="16" t="n"/>
      <c r="I177" s="17">
        <f>IF(COUNTA(A177:C177)=0,"",IF(COUNTIFS($A$5:$A$504,A177,$B$5:$B$504,B177,$C$5:$C$504,C177)&gt;1,"DUPLICATE","OK"))</f>
        <v/>
      </c>
      <c r="J177" s="17">
        <f>IF(COUNTA(A177:C177)=0,"",IF(AND(COUNTIF('Master Data'!$A$6:$A$145,B177)=1,COUNTIF('Master Data'!$F$6:$F$13,C177)=1),"OK","INVALID"))</f>
        <v/>
      </c>
    </row>
    <row r="178">
      <c r="A178" s="7" t="n"/>
      <c r="B178" s="13" t="n"/>
      <c r="C178" s="13" t="n"/>
      <c r="D178" s="14" t="n"/>
      <c r="E178" s="15" t="n"/>
      <c r="F178" s="16" t="n"/>
      <c r="G178" s="16" t="n"/>
      <c r="H178" s="16" t="n"/>
      <c r="I178" s="17">
        <f>IF(COUNTA(A178:C178)=0,"",IF(COUNTIFS($A$5:$A$504,A178,$B$5:$B$504,B178,$C$5:$C$504,C178)&gt;1,"DUPLICATE","OK"))</f>
        <v/>
      </c>
      <c r="J178" s="17">
        <f>IF(COUNTA(A178:C178)=0,"",IF(AND(COUNTIF('Master Data'!$A$6:$A$145,B178)=1,COUNTIF('Master Data'!$F$6:$F$13,C178)=1),"OK","INVALID"))</f>
        <v/>
      </c>
    </row>
    <row r="179">
      <c r="A179" s="7" t="n"/>
      <c r="B179" s="13" t="n"/>
      <c r="C179" s="13" t="n"/>
      <c r="D179" s="14" t="n"/>
      <c r="E179" s="15" t="n"/>
      <c r="F179" s="16" t="n"/>
      <c r="G179" s="16" t="n"/>
      <c r="H179" s="16" t="n"/>
      <c r="I179" s="17">
        <f>IF(COUNTA(A179:C179)=0,"",IF(COUNTIFS($A$5:$A$504,A179,$B$5:$B$504,B179,$C$5:$C$504,C179)&gt;1,"DUPLICATE","OK"))</f>
        <v/>
      </c>
      <c r="J179" s="17">
        <f>IF(COUNTA(A179:C179)=0,"",IF(AND(COUNTIF('Master Data'!$A$6:$A$145,B179)=1,COUNTIF('Master Data'!$F$6:$F$13,C179)=1),"OK","INVALID"))</f>
        <v/>
      </c>
    </row>
    <row r="180">
      <c r="A180" s="7" t="n"/>
      <c r="B180" s="13" t="n"/>
      <c r="C180" s="13" t="n"/>
      <c r="D180" s="14" t="n"/>
      <c r="E180" s="15" t="n"/>
      <c r="F180" s="16" t="n"/>
      <c r="G180" s="16" t="n"/>
      <c r="H180" s="16" t="n"/>
      <c r="I180" s="17">
        <f>IF(COUNTA(A180:C180)=0,"",IF(COUNTIFS($A$5:$A$504,A180,$B$5:$B$504,B180,$C$5:$C$504,C180)&gt;1,"DUPLICATE","OK"))</f>
        <v/>
      </c>
      <c r="J180" s="17">
        <f>IF(COUNTA(A180:C180)=0,"",IF(AND(COUNTIF('Master Data'!$A$6:$A$145,B180)=1,COUNTIF('Master Data'!$F$6:$F$13,C180)=1),"OK","INVALID"))</f>
        <v/>
      </c>
    </row>
    <row r="181">
      <c r="A181" s="7" t="n"/>
      <c r="B181" s="13" t="n"/>
      <c r="C181" s="13" t="n"/>
      <c r="D181" s="14" t="n"/>
      <c r="E181" s="15" t="n"/>
      <c r="F181" s="16" t="n"/>
      <c r="G181" s="16" t="n"/>
      <c r="H181" s="16" t="n"/>
      <c r="I181" s="17">
        <f>IF(COUNTA(A181:C181)=0,"",IF(COUNTIFS($A$5:$A$504,A181,$B$5:$B$504,B181,$C$5:$C$504,C181)&gt;1,"DUPLICATE","OK"))</f>
        <v/>
      </c>
      <c r="J181" s="17">
        <f>IF(COUNTA(A181:C181)=0,"",IF(AND(COUNTIF('Master Data'!$A$6:$A$145,B181)=1,COUNTIF('Master Data'!$F$6:$F$13,C181)=1),"OK","INVALID"))</f>
        <v/>
      </c>
    </row>
    <row r="182">
      <c r="A182" s="7" t="n"/>
      <c r="B182" s="13" t="n"/>
      <c r="C182" s="13" t="n"/>
      <c r="D182" s="14" t="n"/>
      <c r="E182" s="15" t="n"/>
      <c r="F182" s="16" t="n"/>
      <c r="G182" s="16" t="n"/>
      <c r="H182" s="16" t="n"/>
      <c r="I182" s="17">
        <f>IF(COUNTA(A182:C182)=0,"",IF(COUNTIFS($A$5:$A$504,A182,$B$5:$B$504,B182,$C$5:$C$504,C182)&gt;1,"DUPLICATE","OK"))</f>
        <v/>
      </c>
      <c r="J182" s="17">
        <f>IF(COUNTA(A182:C182)=0,"",IF(AND(COUNTIF('Master Data'!$A$6:$A$145,B182)=1,COUNTIF('Master Data'!$F$6:$F$13,C182)=1),"OK","INVALID"))</f>
        <v/>
      </c>
    </row>
    <row r="183">
      <c r="A183" s="7" t="n"/>
      <c r="B183" s="13" t="n"/>
      <c r="C183" s="13" t="n"/>
      <c r="D183" s="14" t="n"/>
      <c r="E183" s="15" t="n"/>
      <c r="F183" s="16" t="n"/>
      <c r="G183" s="16" t="n"/>
      <c r="H183" s="16" t="n"/>
      <c r="I183" s="17">
        <f>IF(COUNTA(A183:C183)=0,"",IF(COUNTIFS($A$5:$A$504,A183,$B$5:$B$504,B183,$C$5:$C$504,C183)&gt;1,"DUPLICATE","OK"))</f>
        <v/>
      </c>
      <c r="J183" s="17">
        <f>IF(COUNTA(A183:C183)=0,"",IF(AND(COUNTIF('Master Data'!$A$6:$A$145,B183)=1,COUNTIF('Master Data'!$F$6:$F$13,C183)=1),"OK","INVALID"))</f>
        <v/>
      </c>
    </row>
    <row r="184">
      <c r="A184" s="7" t="n"/>
      <c r="B184" s="13" t="n"/>
      <c r="C184" s="13" t="n"/>
      <c r="D184" s="14" t="n"/>
      <c r="E184" s="15" t="n"/>
      <c r="F184" s="16" t="n"/>
      <c r="G184" s="16" t="n"/>
      <c r="H184" s="16" t="n"/>
      <c r="I184" s="17">
        <f>IF(COUNTA(A184:C184)=0,"",IF(COUNTIFS($A$5:$A$504,A184,$B$5:$B$504,B184,$C$5:$C$504,C184)&gt;1,"DUPLICATE","OK"))</f>
        <v/>
      </c>
      <c r="J184" s="17">
        <f>IF(COUNTA(A184:C184)=0,"",IF(AND(COUNTIF('Master Data'!$A$6:$A$145,B184)=1,COUNTIF('Master Data'!$F$6:$F$13,C184)=1),"OK","INVALID"))</f>
        <v/>
      </c>
    </row>
    <row r="185">
      <c r="A185" s="7" t="n"/>
      <c r="B185" s="13" t="n"/>
      <c r="C185" s="13" t="n"/>
      <c r="D185" s="14" t="n"/>
      <c r="E185" s="15" t="n"/>
      <c r="F185" s="16" t="n"/>
      <c r="G185" s="16" t="n"/>
      <c r="H185" s="16" t="n"/>
      <c r="I185" s="17">
        <f>IF(COUNTA(A185:C185)=0,"",IF(COUNTIFS($A$5:$A$504,A185,$B$5:$B$504,B185,$C$5:$C$504,C185)&gt;1,"DUPLICATE","OK"))</f>
        <v/>
      </c>
      <c r="J185" s="17">
        <f>IF(COUNTA(A185:C185)=0,"",IF(AND(COUNTIF('Master Data'!$A$6:$A$145,B185)=1,COUNTIF('Master Data'!$F$6:$F$13,C185)=1),"OK","INVALID"))</f>
        <v/>
      </c>
    </row>
    <row r="186">
      <c r="A186" s="7" t="n"/>
      <c r="B186" s="13" t="n"/>
      <c r="C186" s="13" t="n"/>
      <c r="D186" s="14" t="n"/>
      <c r="E186" s="15" t="n"/>
      <c r="F186" s="16" t="n"/>
      <c r="G186" s="16" t="n"/>
      <c r="H186" s="16" t="n"/>
      <c r="I186" s="17">
        <f>IF(COUNTA(A186:C186)=0,"",IF(COUNTIFS($A$5:$A$504,A186,$B$5:$B$504,B186,$C$5:$C$504,C186)&gt;1,"DUPLICATE","OK"))</f>
        <v/>
      </c>
      <c r="J186" s="17">
        <f>IF(COUNTA(A186:C186)=0,"",IF(AND(COUNTIF('Master Data'!$A$6:$A$145,B186)=1,COUNTIF('Master Data'!$F$6:$F$13,C186)=1),"OK","INVALID"))</f>
        <v/>
      </c>
    </row>
    <row r="187">
      <c r="A187" s="7" t="n"/>
      <c r="B187" s="13" t="n"/>
      <c r="C187" s="13" t="n"/>
      <c r="D187" s="14" t="n"/>
      <c r="E187" s="15" t="n"/>
      <c r="F187" s="16" t="n"/>
      <c r="G187" s="16" t="n"/>
      <c r="H187" s="16" t="n"/>
      <c r="I187" s="17">
        <f>IF(COUNTA(A187:C187)=0,"",IF(COUNTIFS($A$5:$A$504,A187,$B$5:$B$504,B187,$C$5:$C$504,C187)&gt;1,"DUPLICATE","OK"))</f>
        <v/>
      </c>
      <c r="J187" s="17">
        <f>IF(COUNTA(A187:C187)=0,"",IF(AND(COUNTIF('Master Data'!$A$6:$A$145,B187)=1,COUNTIF('Master Data'!$F$6:$F$13,C187)=1),"OK","INVALID"))</f>
        <v/>
      </c>
    </row>
    <row r="188">
      <c r="A188" s="7" t="n"/>
      <c r="B188" s="13" t="n"/>
      <c r="C188" s="13" t="n"/>
      <c r="D188" s="14" t="n"/>
      <c r="E188" s="15" t="n"/>
      <c r="F188" s="16" t="n"/>
      <c r="G188" s="16" t="n"/>
      <c r="H188" s="16" t="n"/>
      <c r="I188" s="17">
        <f>IF(COUNTA(A188:C188)=0,"",IF(COUNTIFS($A$5:$A$504,A188,$B$5:$B$504,B188,$C$5:$C$504,C188)&gt;1,"DUPLICATE","OK"))</f>
        <v/>
      </c>
      <c r="J188" s="17">
        <f>IF(COUNTA(A188:C188)=0,"",IF(AND(COUNTIF('Master Data'!$A$6:$A$145,B188)=1,COUNTIF('Master Data'!$F$6:$F$13,C188)=1),"OK","INVALID"))</f>
        <v/>
      </c>
    </row>
    <row r="189">
      <c r="A189" s="7" t="n"/>
      <c r="B189" s="13" t="n"/>
      <c r="C189" s="13" t="n"/>
      <c r="D189" s="14" t="n"/>
      <c r="E189" s="15" t="n"/>
      <c r="F189" s="16" t="n"/>
      <c r="G189" s="16" t="n"/>
      <c r="H189" s="16" t="n"/>
      <c r="I189" s="17">
        <f>IF(COUNTA(A189:C189)=0,"",IF(COUNTIFS($A$5:$A$504,A189,$B$5:$B$504,B189,$C$5:$C$504,C189)&gt;1,"DUPLICATE","OK"))</f>
        <v/>
      </c>
      <c r="J189" s="17">
        <f>IF(COUNTA(A189:C189)=0,"",IF(AND(COUNTIF('Master Data'!$A$6:$A$145,B189)=1,COUNTIF('Master Data'!$F$6:$F$13,C189)=1),"OK","INVALID"))</f>
        <v/>
      </c>
    </row>
    <row r="190">
      <c r="A190" s="7" t="n"/>
      <c r="B190" s="13" t="n"/>
      <c r="C190" s="13" t="n"/>
      <c r="D190" s="14" t="n"/>
      <c r="E190" s="15" t="n"/>
      <c r="F190" s="16" t="n"/>
      <c r="G190" s="16" t="n"/>
      <c r="H190" s="16" t="n"/>
      <c r="I190" s="17">
        <f>IF(COUNTA(A190:C190)=0,"",IF(COUNTIFS($A$5:$A$504,A190,$B$5:$B$504,B190,$C$5:$C$504,C190)&gt;1,"DUPLICATE","OK"))</f>
        <v/>
      </c>
      <c r="J190" s="17">
        <f>IF(COUNTA(A190:C190)=0,"",IF(AND(COUNTIF('Master Data'!$A$6:$A$145,B190)=1,COUNTIF('Master Data'!$F$6:$F$13,C190)=1),"OK","INVALID"))</f>
        <v/>
      </c>
    </row>
    <row r="191">
      <c r="A191" s="7" t="n"/>
      <c r="B191" s="13" t="n"/>
      <c r="C191" s="13" t="n"/>
      <c r="D191" s="14" t="n"/>
      <c r="E191" s="15" t="n"/>
      <c r="F191" s="16" t="n"/>
      <c r="G191" s="16" t="n"/>
      <c r="H191" s="16" t="n"/>
      <c r="I191" s="17">
        <f>IF(COUNTA(A191:C191)=0,"",IF(COUNTIFS($A$5:$A$504,A191,$B$5:$B$504,B191,$C$5:$C$504,C191)&gt;1,"DUPLICATE","OK"))</f>
        <v/>
      </c>
      <c r="J191" s="17">
        <f>IF(COUNTA(A191:C191)=0,"",IF(AND(COUNTIF('Master Data'!$A$6:$A$145,B191)=1,COUNTIF('Master Data'!$F$6:$F$13,C191)=1),"OK","INVALID"))</f>
        <v/>
      </c>
    </row>
    <row r="192">
      <c r="A192" s="7" t="n"/>
      <c r="B192" s="13" t="n"/>
      <c r="C192" s="13" t="n"/>
      <c r="D192" s="14" t="n"/>
      <c r="E192" s="15" t="n"/>
      <c r="F192" s="16" t="n"/>
      <c r="G192" s="16" t="n"/>
      <c r="H192" s="16" t="n"/>
      <c r="I192" s="17">
        <f>IF(COUNTA(A192:C192)=0,"",IF(COUNTIFS($A$5:$A$504,A192,$B$5:$B$504,B192,$C$5:$C$504,C192)&gt;1,"DUPLICATE","OK"))</f>
        <v/>
      </c>
      <c r="J192" s="17">
        <f>IF(COUNTA(A192:C192)=0,"",IF(AND(COUNTIF('Master Data'!$A$6:$A$145,B192)=1,COUNTIF('Master Data'!$F$6:$F$13,C192)=1),"OK","INVALID"))</f>
        <v/>
      </c>
    </row>
    <row r="193">
      <c r="A193" s="7" t="n"/>
      <c r="B193" s="13" t="n"/>
      <c r="C193" s="13" t="n"/>
      <c r="D193" s="14" t="n"/>
      <c r="E193" s="15" t="n"/>
      <c r="F193" s="16" t="n"/>
      <c r="G193" s="16" t="n"/>
      <c r="H193" s="16" t="n"/>
      <c r="I193" s="17">
        <f>IF(COUNTA(A193:C193)=0,"",IF(COUNTIFS($A$5:$A$504,A193,$B$5:$B$504,B193,$C$5:$C$504,C193)&gt;1,"DUPLICATE","OK"))</f>
        <v/>
      </c>
      <c r="J193" s="17">
        <f>IF(COUNTA(A193:C193)=0,"",IF(AND(COUNTIF('Master Data'!$A$6:$A$145,B193)=1,COUNTIF('Master Data'!$F$6:$F$13,C193)=1),"OK","INVALID"))</f>
        <v/>
      </c>
    </row>
    <row r="194">
      <c r="A194" s="7" t="n"/>
      <c r="B194" s="13" t="n"/>
      <c r="C194" s="13" t="n"/>
      <c r="D194" s="14" t="n"/>
      <c r="E194" s="15" t="n"/>
      <c r="F194" s="16" t="n"/>
      <c r="G194" s="16" t="n"/>
      <c r="H194" s="16" t="n"/>
      <c r="I194" s="17">
        <f>IF(COUNTA(A194:C194)=0,"",IF(COUNTIFS($A$5:$A$504,A194,$B$5:$B$504,B194,$C$5:$C$504,C194)&gt;1,"DUPLICATE","OK"))</f>
        <v/>
      </c>
      <c r="J194" s="17">
        <f>IF(COUNTA(A194:C194)=0,"",IF(AND(COUNTIF('Master Data'!$A$6:$A$145,B194)=1,COUNTIF('Master Data'!$F$6:$F$13,C194)=1),"OK","INVALID"))</f>
        <v/>
      </c>
    </row>
    <row r="195">
      <c r="A195" s="7" t="n"/>
      <c r="B195" s="13" t="n"/>
      <c r="C195" s="13" t="n"/>
      <c r="D195" s="14" t="n"/>
      <c r="E195" s="15" t="n"/>
      <c r="F195" s="16" t="n"/>
      <c r="G195" s="16" t="n"/>
      <c r="H195" s="16" t="n"/>
      <c r="I195" s="17">
        <f>IF(COUNTA(A195:C195)=0,"",IF(COUNTIFS($A$5:$A$504,A195,$B$5:$B$504,B195,$C$5:$C$504,C195)&gt;1,"DUPLICATE","OK"))</f>
        <v/>
      </c>
      <c r="J195" s="17">
        <f>IF(COUNTA(A195:C195)=0,"",IF(AND(COUNTIF('Master Data'!$A$6:$A$145,B195)=1,COUNTIF('Master Data'!$F$6:$F$13,C195)=1),"OK","INVALID"))</f>
        <v/>
      </c>
    </row>
    <row r="196">
      <c r="A196" s="7" t="n"/>
      <c r="B196" s="13" t="n"/>
      <c r="C196" s="13" t="n"/>
      <c r="D196" s="14" t="n"/>
      <c r="E196" s="15" t="n"/>
      <c r="F196" s="16" t="n"/>
      <c r="G196" s="16" t="n"/>
      <c r="H196" s="16" t="n"/>
      <c r="I196" s="17">
        <f>IF(COUNTA(A196:C196)=0,"",IF(COUNTIFS($A$5:$A$504,A196,$B$5:$B$504,B196,$C$5:$C$504,C196)&gt;1,"DUPLICATE","OK"))</f>
        <v/>
      </c>
      <c r="J196" s="17">
        <f>IF(COUNTA(A196:C196)=0,"",IF(AND(COUNTIF('Master Data'!$A$6:$A$145,B196)=1,COUNTIF('Master Data'!$F$6:$F$13,C196)=1),"OK","INVALID"))</f>
        <v/>
      </c>
    </row>
    <row r="197">
      <c r="A197" s="7" t="n"/>
      <c r="B197" s="13" t="n"/>
      <c r="C197" s="13" t="n"/>
      <c r="D197" s="14" t="n"/>
      <c r="E197" s="15" t="n"/>
      <c r="F197" s="16" t="n"/>
      <c r="G197" s="16" t="n"/>
      <c r="H197" s="16" t="n"/>
      <c r="I197" s="17">
        <f>IF(COUNTA(A197:C197)=0,"",IF(COUNTIFS($A$5:$A$504,A197,$B$5:$B$504,B197,$C$5:$C$504,C197)&gt;1,"DUPLICATE","OK"))</f>
        <v/>
      </c>
      <c r="J197" s="17">
        <f>IF(COUNTA(A197:C197)=0,"",IF(AND(COUNTIF('Master Data'!$A$6:$A$145,B197)=1,COUNTIF('Master Data'!$F$6:$F$13,C197)=1),"OK","INVALID"))</f>
        <v/>
      </c>
    </row>
    <row r="198">
      <c r="A198" s="7" t="n"/>
      <c r="B198" s="13" t="n"/>
      <c r="C198" s="13" t="n"/>
      <c r="D198" s="14" t="n"/>
      <c r="E198" s="15" t="n"/>
      <c r="F198" s="16" t="n"/>
      <c r="G198" s="16" t="n"/>
      <c r="H198" s="16" t="n"/>
      <c r="I198" s="17">
        <f>IF(COUNTA(A198:C198)=0,"",IF(COUNTIFS($A$5:$A$504,A198,$B$5:$B$504,B198,$C$5:$C$504,C198)&gt;1,"DUPLICATE","OK"))</f>
        <v/>
      </c>
      <c r="J198" s="17">
        <f>IF(COUNTA(A198:C198)=0,"",IF(AND(COUNTIF('Master Data'!$A$6:$A$145,B198)=1,COUNTIF('Master Data'!$F$6:$F$13,C198)=1),"OK","INVALID"))</f>
        <v/>
      </c>
    </row>
    <row r="199">
      <c r="A199" s="7" t="n"/>
      <c r="B199" s="13" t="n"/>
      <c r="C199" s="13" t="n"/>
      <c r="D199" s="14" t="n"/>
      <c r="E199" s="15" t="n"/>
      <c r="F199" s="16" t="n"/>
      <c r="G199" s="16" t="n"/>
      <c r="H199" s="16" t="n"/>
      <c r="I199" s="17">
        <f>IF(COUNTA(A199:C199)=0,"",IF(COUNTIFS($A$5:$A$504,A199,$B$5:$B$504,B199,$C$5:$C$504,C199)&gt;1,"DUPLICATE","OK"))</f>
        <v/>
      </c>
      <c r="J199" s="17">
        <f>IF(COUNTA(A199:C199)=0,"",IF(AND(COUNTIF('Master Data'!$A$6:$A$145,B199)=1,COUNTIF('Master Data'!$F$6:$F$13,C199)=1),"OK","INVALID"))</f>
        <v/>
      </c>
    </row>
    <row r="200">
      <c r="A200" s="7" t="n"/>
      <c r="B200" s="13" t="n"/>
      <c r="C200" s="13" t="n"/>
      <c r="D200" s="14" t="n"/>
      <c r="E200" s="15" t="n"/>
      <c r="F200" s="16" t="n"/>
      <c r="G200" s="16" t="n"/>
      <c r="H200" s="16" t="n"/>
      <c r="I200" s="17">
        <f>IF(COUNTA(A200:C200)=0,"",IF(COUNTIFS($A$5:$A$504,A200,$B$5:$B$504,B200,$C$5:$C$504,C200)&gt;1,"DUPLICATE","OK"))</f>
        <v/>
      </c>
      <c r="J200" s="17">
        <f>IF(COUNTA(A200:C200)=0,"",IF(AND(COUNTIF('Master Data'!$A$6:$A$145,B200)=1,COUNTIF('Master Data'!$F$6:$F$13,C200)=1),"OK","INVALID"))</f>
        <v/>
      </c>
    </row>
    <row r="201">
      <c r="A201" s="7" t="n"/>
      <c r="B201" s="13" t="n"/>
      <c r="C201" s="13" t="n"/>
      <c r="D201" s="14" t="n"/>
      <c r="E201" s="15" t="n"/>
      <c r="F201" s="16" t="n"/>
      <c r="G201" s="16" t="n"/>
      <c r="H201" s="16" t="n"/>
      <c r="I201" s="17">
        <f>IF(COUNTA(A201:C201)=0,"",IF(COUNTIFS($A$5:$A$504,A201,$B$5:$B$504,B201,$C$5:$C$504,C201)&gt;1,"DUPLICATE","OK"))</f>
        <v/>
      </c>
      <c r="J201" s="17">
        <f>IF(COUNTA(A201:C201)=0,"",IF(AND(COUNTIF('Master Data'!$A$6:$A$145,B201)=1,COUNTIF('Master Data'!$F$6:$F$13,C201)=1),"OK","INVALID"))</f>
        <v/>
      </c>
    </row>
    <row r="202">
      <c r="A202" s="7" t="n"/>
      <c r="B202" s="13" t="n"/>
      <c r="C202" s="13" t="n"/>
      <c r="D202" s="14" t="n"/>
      <c r="E202" s="15" t="n"/>
      <c r="F202" s="16" t="n"/>
      <c r="G202" s="16" t="n"/>
      <c r="H202" s="16" t="n"/>
      <c r="I202" s="17">
        <f>IF(COUNTA(A202:C202)=0,"",IF(COUNTIFS($A$5:$A$504,A202,$B$5:$B$504,B202,$C$5:$C$504,C202)&gt;1,"DUPLICATE","OK"))</f>
        <v/>
      </c>
      <c r="J202" s="17">
        <f>IF(COUNTA(A202:C202)=0,"",IF(AND(COUNTIF('Master Data'!$A$6:$A$145,B202)=1,COUNTIF('Master Data'!$F$6:$F$13,C202)=1),"OK","INVALID"))</f>
        <v/>
      </c>
    </row>
    <row r="203">
      <c r="A203" s="7" t="n"/>
      <c r="B203" s="13" t="n"/>
      <c r="C203" s="13" t="n"/>
      <c r="D203" s="14" t="n"/>
      <c r="E203" s="15" t="n"/>
      <c r="F203" s="16" t="n"/>
      <c r="G203" s="16" t="n"/>
      <c r="H203" s="16" t="n"/>
      <c r="I203" s="17">
        <f>IF(COUNTA(A203:C203)=0,"",IF(COUNTIFS($A$5:$A$504,A203,$B$5:$B$504,B203,$C$5:$C$504,C203)&gt;1,"DUPLICATE","OK"))</f>
        <v/>
      </c>
      <c r="J203" s="17">
        <f>IF(COUNTA(A203:C203)=0,"",IF(AND(COUNTIF('Master Data'!$A$6:$A$145,B203)=1,COUNTIF('Master Data'!$F$6:$F$13,C203)=1),"OK","INVALID"))</f>
        <v/>
      </c>
    </row>
    <row r="204">
      <c r="A204" s="7" t="n"/>
      <c r="B204" s="13" t="n"/>
      <c r="C204" s="13" t="n"/>
      <c r="D204" s="14" t="n"/>
      <c r="E204" s="15" t="n"/>
      <c r="F204" s="16" t="n"/>
      <c r="G204" s="16" t="n"/>
      <c r="H204" s="16" t="n"/>
      <c r="I204" s="17">
        <f>IF(COUNTA(A204:C204)=0,"",IF(COUNTIFS($A$5:$A$504,A204,$B$5:$B$504,B204,$C$5:$C$504,C204)&gt;1,"DUPLICATE","OK"))</f>
        <v/>
      </c>
      <c r="J204" s="17">
        <f>IF(COUNTA(A204:C204)=0,"",IF(AND(COUNTIF('Master Data'!$A$6:$A$145,B204)=1,COUNTIF('Master Data'!$F$6:$F$13,C204)=1),"OK","INVALID"))</f>
        <v/>
      </c>
    </row>
    <row r="205">
      <c r="A205" s="7" t="n"/>
      <c r="B205" s="13" t="n"/>
      <c r="C205" s="13" t="n"/>
      <c r="D205" s="14" t="n"/>
      <c r="E205" s="15" t="n"/>
      <c r="F205" s="16" t="n"/>
      <c r="G205" s="16" t="n"/>
      <c r="H205" s="16" t="n"/>
      <c r="I205" s="17">
        <f>IF(COUNTA(A205:C205)=0,"",IF(COUNTIFS($A$5:$A$504,A205,$B$5:$B$504,B205,$C$5:$C$504,C205)&gt;1,"DUPLICATE","OK"))</f>
        <v/>
      </c>
      <c r="J205" s="17">
        <f>IF(COUNTA(A205:C205)=0,"",IF(AND(COUNTIF('Master Data'!$A$6:$A$145,B205)=1,COUNTIF('Master Data'!$F$6:$F$13,C205)=1),"OK","INVALID"))</f>
        <v/>
      </c>
    </row>
    <row r="206">
      <c r="A206" s="7" t="n"/>
      <c r="B206" s="13" t="n"/>
      <c r="C206" s="13" t="n"/>
      <c r="D206" s="14" t="n"/>
      <c r="E206" s="15" t="n"/>
      <c r="F206" s="16" t="n"/>
      <c r="G206" s="16" t="n"/>
      <c r="H206" s="16" t="n"/>
      <c r="I206" s="17">
        <f>IF(COUNTA(A206:C206)=0,"",IF(COUNTIFS($A$5:$A$504,A206,$B$5:$B$504,B206,$C$5:$C$504,C206)&gt;1,"DUPLICATE","OK"))</f>
        <v/>
      </c>
      <c r="J206" s="17">
        <f>IF(COUNTA(A206:C206)=0,"",IF(AND(COUNTIF('Master Data'!$A$6:$A$145,B206)=1,COUNTIF('Master Data'!$F$6:$F$13,C206)=1),"OK","INVALID"))</f>
        <v/>
      </c>
    </row>
    <row r="207">
      <c r="A207" s="7" t="n"/>
      <c r="B207" s="13" t="n"/>
      <c r="C207" s="13" t="n"/>
      <c r="D207" s="14" t="n"/>
      <c r="E207" s="15" t="n"/>
      <c r="F207" s="16" t="n"/>
      <c r="G207" s="16" t="n"/>
      <c r="H207" s="16" t="n"/>
      <c r="I207" s="17">
        <f>IF(COUNTA(A207:C207)=0,"",IF(COUNTIFS($A$5:$A$504,A207,$B$5:$B$504,B207,$C$5:$C$504,C207)&gt;1,"DUPLICATE","OK"))</f>
        <v/>
      </c>
      <c r="J207" s="17">
        <f>IF(COUNTA(A207:C207)=0,"",IF(AND(COUNTIF('Master Data'!$A$6:$A$145,B207)=1,COUNTIF('Master Data'!$F$6:$F$13,C207)=1),"OK","INVALID"))</f>
        <v/>
      </c>
    </row>
    <row r="208">
      <c r="A208" s="7" t="n"/>
      <c r="B208" s="13" t="n"/>
      <c r="C208" s="13" t="n"/>
      <c r="D208" s="14" t="n"/>
      <c r="E208" s="15" t="n"/>
      <c r="F208" s="16" t="n"/>
      <c r="G208" s="16" t="n"/>
      <c r="H208" s="16" t="n"/>
      <c r="I208" s="17">
        <f>IF(COUNTA(A208:C208)=0,"",IF(COUNTIFS($A$5:$A$504,A208,$B$5:$B$504,B208,$C$5:$C$504,C208)&gt;1,"DUPLICATE","OK"))</f>
        <v/>
      </c>
      <c r="J208" s="17">
        <f>IF(COUNTA(A208:C208)=0,"",IF(AND(COUNTIF('Master Data'!$A$6:$A$145,B208)=1,COUNTIF('Master Data'!$F$6:$F$13,C208)=1),"OK","INVALID"))</f>
        <v/>
      </c>
    </row>
    <row r="209">
      <c r="A209" s="7" t="n"/>
      <c r="B209" s="13" t="n"/>
      <c r="C209" s="13" t="n"/>
      <c r="D209" s="14" t="n"/>
      <c r="E209" s="15" t="n"/>
      <c r="F209" s="16" t="n"/>
      <c r="G209" s="16" t="n"/>
      <c r="H209" s="16" t="n"/>
      <c r="I209" s="17">
        <f>IF(COUNTA(A209:C209)=0,"",IF(COUNTIFS($A$5:$A$504,A209,$B$5:$B$504,B209,$C$5:$C$504,C209)&gt;1,"DUPLICATE","OK"))</f>
        <v/>
      </c>
      <c r="J209" s="17">
        <f>IF(COUNTA(A209:C209)=0,"",IF(AND(COUNTIF('Master Data'!$A$6:$A$145,B209)=1,COUNTIF('Master Data'!$F$6:$F$13,C209)=1),"OK","INVALID"))</f>
        <v/>
      </c>
    </row>
    <row r="210">
      <c r="A210" s="7" t="n"/>
      <c r="B210" s="13" t="n"/>
      <c r="C210" s="13" t="n"/>
      <c r="D210" s="14" t="n"/>
      <c r="E210" s="15" t="n"/>
      <c r="F210" s="16" t="n"/>
      <c r="G210" s="16" t="n"/>
      <c r="H210" s="16" t="n"/>
      <c r="I210" s="17">
        <f>IF(COUNTA(A210:C210)=0,"",IF(COUNTIFS($A$5:$A$504,A210,$B$5:$B$504,B210,$C$5:$C$504,C210)&gt;1,"DUPLICATE","OK"))</f>
        <v/>
      </c>
      <c r="J210" s="17">
        <f>IF(COUNTA(A210:C210)=0,"",IF(AND(COUNTIF('Master Data'!$A$6:$A$145,B210)=1,COUNTIF('Master Data'!$F$6:$F$13,C210)=1),"OK","INVALID"))</f>
        <v/>
      </c>
    </row>
    <row r="211">
      <c r="A211" s="7" t="n"/>
      <c r="B211" s="13" t="n"/>
      <c r="C211" s="13" t="n"/>
      <c r="D211" s="14" t="n"/>
      <c r="E211" s="15" t="n"/>
      <c r="F211" s="16" t="n"/>
      <c r="G211" s="16" t="n"/>
      <c r="H211" s="16" t="n"/>
      <c r="I211" s="17">
        <f>IF(COUNTA(A211:C211)=0,"",IF(COUNTIFS($A$5:$A$504,A211,$B$5:$B$504,B211,$C$5:$C$504,C211)&gt;1,"DUPLICATE","OK"))</f>
        <v/>
      </c>
      <c r="J211" s="17">
        <f>IF(COUNTA(A211:C211)=0,"",IF(AND(COUNTIF('Master Data'!$A$6:$A$145,B211)=1,COUNTIF('Master Data'!$F$6:$F$13,C211)=1),"OK","INVALID"))</f>
        <v/>
      </c>
    </row>
    <row r="212">
      <c r="A212" s="7" t="n"/>
      <c r="B212" s="13" t="n"/>
      <c r="C212" s="13" t="n"/>
      <c r="D212" s="14" t="n"/>
      <c r="E212" s="15" t="n"/>
      <c r="F212" s="16" t="n"/>
      <c r="G212" s="16" t="n"/>
      <c r="H212" s="16" t="n"/>
      <c r="I212" s="17">
        <f>IF(COUNTA(A212:C212)=0,"",IF(COUNTIFS($A$5:$A$504,A212,$B$5:$B$504,B212,$C$5:$C$504,C212)&gt;1,"DUPLICATE","OK"))</f>
        <v/>
      </c>
      <c r="J212" s="17">
        <f>IF(COUNTA(A212:C212)=0,"",IF(AND(COUNTIF('Master Data'!$A$6:$A$145,B212)=1,COUNTIF('Master Data'!$F$6:$F$13,C212)=1),"OK","INVALID"))</f>
        <v/>
      </c>
    </row>
    <row r="213">
      <c r="A213" s="7" t="n"/>
      <c r="B213" s="13" t="n"/>
      <c r="C213" s="13" t="n"/>
      <c r="D213" s="14" t="n"/>
      <c r="E213" s="15" t="n"/>
      <c r="F213" s="16" t="n"/>
      <c r="G213" s="16" t="n"/>
      <c r="H213" s="16" t="n"/>
      <c r="I213" s="17">
        <f>IF(COUNTA(A213:C213)=0,"",IF(COUNTIFS($A$5:$A$504,A213,$B$5:$B$504,B213,$C$5:$C$504,C213)&gt;1,"DUPLICATE","OK"))</f>
        <v/>
      </c>
      <c r="J213" s="17">
        <f>IF(COUNTA(A213:C213)=0,"",IF(AND(COUNTIF('Master Data'!$A$6:$A$145,B213)=1,COUNTIF('Master Data'!$F$6:$F$13,C213)=1),"OK","INVALID"))</f>
        <v/>
      </c>
    </row>
    <row r="214">
      <c r="A214" s="7" t="n"/>
      <c r="B214" s="13" t="n"/>
      <c r="C214" s="13" t="n"/>
      <c r="D214" s="14" t="n"/>
      <c r="E214" s="15" t="n"/>
      <c r="F214" s="16" t="n"/>
      <c r="G214" s="16" t="n"/>
      <c r="H214" s="16" t="n"/>
      <c r="I214" s="17">
        <f>IF(COUNTA(A214:C214)=0,"",IF(COUNTIFS($A$5:$A$504,A214,$B$5:$B$504,B214,$C$5:$C$504,C214)&gt;1,"DUPLICATE","OK"))</f>
        <v/>
      </c>
      <c r="J214" s="17">
        <f>IF(COUNTA(A214:C214)=0,"",IF(AND(COUNTIF('Master Data'!$A$6:$A$145,B214)=1,COUNTIF('Master Data'!$F$6:$F$13,C214)=1),"OK","INVALID"))</f>
        <v/>
      </c>
    </row>
    <row r="215">
      <c r="A215" s="7" t="n"/>
      <c r="B215" s="13" t="n"/>
      <c r="C215" s="13" t="n"/>
      <c r="D215" s="14" t="n"/>
      <c r="E215" s="15" t="n"/>
      <c r="F215" s="16" t="n"/>
      <c r="G215" s="16" t="n"/>
      <c r="H215" s="16" t="n"/>
      <c r="I215" s="17">
        <f>IF(COUNTA(A215:C215)=0,"",IF(COUNTIFS($A$5:$A$504,A215,$B$5:$B$504,B215,$C$5:$C$504,C215)&gt;1,"DUPLICATE","OK"))</f>
        <v/>
      </c>
      <c r="J215" s="17">
        <f>IF(COUNTA(A215:C215)=0,"",IF(AND(COUNTIF('Master Data'!$A$6:$A$145,B215)=1,COUNTIF('Master Data'!$F$6:$F$13,C215)=1),"OK","INVALID"))</f>
        <v/>
      </c>
    </row>
    <row r="216">
      <c r="A216" s="7" t="n"/>
      <c r="B216" s="13" t="n"/>
      <c r="C216" s="13" t="n"/>
      <c r="D216" s="14" t="n"/>
      <c r="E216" s="15" t="n"/>
      <c r="F216" s="16" t="n"/>
      <c r="G216" s="16" t="n"/>
      <c r="H216" s="16" t="n"/>
      <c r="I216" s="17">
        <f>IF(COUNTA(A216:C216)=0,"",IF(COUNTIFS($A$5:$A$504,A216,$B$5:$B$504,B216,$C$5:$C$504,C216)&gt;1,"DUPLICATE","OK"))</f>
        <v/>
      </c>
      <c r="J216" s="17">
        <f>IF(COUNTA(A216:C216)=0,"",IF(AND(COUNTIF('Master Data'!$A$6:$A$145,B216)=1,COUNTIF('Master Data'!$F$6:$F$13,C216)=1),"OK","INVALID"))</f>
        <v/>
      </c>
    </row>
    <row r="217">
      <c r="A217" s="7" t="n"/>
      <c r="B217" s="13" t="n"/>
      <c r="C217" s="13" t="n"/>
      <c r="D217" s="14" t="n"/>
      <c r="E217" s="15" t="n"/>
      <c r="F217" s="16" t="n"/>
      <c r="G217" s="16" t="n"/>
      <c r="H217" s="16" t="n"/>
      <c r="I217" s="17">
        <f>IF(COUNTA(A217:C217)=0,"",IF(COUNTIFS($A$5:$A$504,A217,$B$5:$B$504,B217,$C$5:$C$504,C217)&gt;1,"DUPLICATE","OK"))</f>
        <v/>
      </c>
      <c r="J217" s="17">
        <f>IF(COUNTA(A217:C217)=0,"",IF(AND(COUNTIF('Master Data'!$A$6:$A$145,B217)=1,COUNTIF('Master Data'!$F$6:$F$13,C217)=1),"OK","INVALID"))</f>
        <v/>
      </c>
    </row>
    <row r="218">
      <c r="A218" s="7" t="n"/>
      <c r="B218" s="13" t="n"/>
      <c r="C218" s="13" t="n"/>
      <c r="D218" s="14" t="n"/>
      <c r="E218" s="15" t="n"/>
      <c r="F218" s="16" t="n"/>
      <c r="G218" s="16" t="n"/>
      <c r="H218" s="16" t="n"/>
      <c r="I218" s="17">
        <f>IF(COUNTA(A218:C218)=0,"",IF(COUNTIFS($A$5:$A$504,A218,$B$5:$B$504,B218,$C$5:$C$504,C218)&gt;1,"DUPLICATE","OK"))</f>
        <v/>
      </c>
      <c r="J218" s="17">
        <f>IF(COUNTA(A218:C218)=0,"",IF(AND(COUNTIF('Master Data'!$A$6:$A$145,B218)=1,COUNTIF('Master Data'!$F$6:$F$13,C218)=1),"OK","INVALID"))</f>
        <v/>
      </c>
    </row>
    <row r="219">
      <c r="A219" s="7" t="n"/>
      <c r="B219" s="13" t="n"/>
      <c r="C219" s="13" t="n"/>
      <c r="D219" s="14" t="n"/>
      <c r="E219" s="15" t="n"/>
      <c r="F219" s="16" t="n"/>
      <c r="G219" s="16" t="n"/>
      <c r="H219" s="16" t="n"/>
      <c r="I219" s="17">
        <f>IF(COUNTA(A219:C219)=0,"",IF(COUNTIFS($A$5:$A$504,A219,$B$5:$B$504,B219,$C$5:$C$504,C219)&gt;1,"DUPLICATE","OK"))</f>
        <v/>
      </c>
      <c r="J219" s="17">
        <f>IF(COUNTA(A219:C219)=0,"",IF(AND(COUNTIF('Master Data'!$A$6:$A$145,B219)=1,COUNTIF('Master Data'!$F$6:$F$13,C219)=1),"OK","INVALID"))</f>
        <v/>
      </c>
    </row>
    <row r="220">
      <c r="A220" s="7" t="n"/>
      <c r="B220" s="13" t="n"/>
      <c r="C220" s="13" t="n"/>
      <c r="D220" s="14" t="n"/>
      <c r="E220" s="15" t="n"/>
      <c r="F220" s="16" t="n"/>
      <c r="G220" s="16" t="n"/>
      <c r="H220" s="16" t="n"/>
      <c r="I220" s="17">
        <f>IF(COUNTA(A220:C220)=0,"",IF(COUNTIFS($A$5:$A$504,A220,$B$5:$B$504,B220,$C$5:$C$504,C220)&gt;1,"DUPLICATE","OK"))</f>
        <v/>
      </c>
      <c r="J220" s="17">
        <f>IF(COUNTA(A220:C220)=0,"",IF(AND(COUNTIF('Master Data'!$A$6:$A$145,B220)=1,COUNTIF('Master Data'!$F$6:$F$13,C220)=1),"OK","INVALID"))</f>
        <v/>
      </c>
    </row>
    <row r="221">
      <c r="A221" s="7" t="n"/>
      <c r="B221" s="13" t="n"/>
      <c r="C221" s="13" t="n"/>
      <c r="D221" s="14" t="n"/>
      <c r="E221" s="15" t="n"/>
      <c r="F221" s="16" t="n"/>
      <c r="G221" s="16" t="n"/>
      <c r="H221" s="16" t="n"/>
      <c r="I221" s="17">
        <f>IF(COUNTA(A221:C221)=0,"",IF(COUNTIFS($A$5:$A$504,A221,$B$5:$B$504,B221,$C$5:$C$504,C221)&gt;1,"DUPLICATE","OK"))</f>
        <v/>
      </c>
      <c r="J221" s="17">
        <f>IF(COUNTA(A221:C221)=0,"",IF(AND(COUNTIF('Master Data'!$A$6:$A$145,B221)=1,COUNTIF('Master Data'!$F$6:$F$13,C221)=1),"OK","INVALID"))</f>
        <v/>
      </c>
    </row>
    <row r="222">
      <c r="A222" s="7" t="n"/>
      <c r="B222" s="13" t="n"/>
      <c r="C222" s="13" t="n"/>
      <c r="D222" s="14" t="n"/>
      <c r="E222" s="15" t="n"/>
      <c r="F222" s="16" t="n"/>
      <c r="G222" s="16" t="n"/>
      <c r="H222" s="16" t="n"/>
      <c r="I222" s="17">
        <f>IF(COUNTA(A222:C222)=0,"",IF(COUNTIFS($A$5:$A$504,A222,$B$5:$B$504,B222,$C$5:$C$504,C222)&gt;1,"DUPLICATE","OK"))</f>
        <v/>
      </c>
      <c r="J222" s="17">
        <f>IF(COUNTA(A222:C222)=0,"",IF(AND(COUNTIF('Master Data'!$A$6:$A$145,B222)=1,COUNTIF('Master Data'!$F$6:$F$13,C222)=1),"OK","INVALID"))</f>
        <v/>
      </c>
    </row>
    <row r="223">
      <c r="A223" s="7" t="n"/>
      <c r="B223" s="13" t="n"/>
      <c r="C223" s="13" t="n"/>
      <c r="D223" s="14" t="n"/>
      <c r="E223" s="15" t="n"/>
      <c r="F223" s="16" t="n"/>
      <c r="G223" s="16" t="n"/>
      <c r="H223" s="16" t="n"/>
      <c r="I223" s="17">
        <f>IF(COUNTA(A223:C223)=0,"",IF(COUNTIFS($A$5:$A$504,A223,$B$5:$B$504,B223,$C$5:$C$504,C223)&gt;1,"DUPLICATE","OK"))</f>
        <v/>
      </c>
      <c r="J223" s="17">
        <f>IF(COUNTA(A223:C223)=0,"",IF(AND(COUNTIF('Master Data'!$A$6:$A$145,B223)=1,COUNTIF('Master Data'!$F$6:$F$13,C223)=1),"OK","INVALID"))</f>
        <v/>
      </c>
    </row>
    <row r="224">
      <c r="A224" s="7" t="n"/>
      <c r="B224" s="13" t="n"/>
      <c r="C224" s="13" t="n"/>
      <c r="D224" s="14" t="n"/>
      <c r="E224" s="15" t="n"/>
      <c r="F224" s="16" t="n"/>
      <c r="G224" s="16" t="n"/>
      <c r="H224" s="16" t="n"/>
      <c r="I224" s="17">
        <f>IF(COUNTA(A224:C224)=0,"",IF(COUNTIFS($A$5:$A$504,A224,$B$5:$B$504,B224,$C$5:$C$504,C224)&gt;1,"DUPLICATE","OK"))</f>
        <v/>
      </c>
      <c r="J224" s="17">
        <f>IF(COUNTA(A224:C224)=0,"",IF(AND(COUNTIF('Master Data'!$A$6:$A$145,B224)=1,COUNTIF('Master Data'!$F$6:$F$13,C224)=1),"OK","INVALID"))</f>
        <v/>
      </c>
    </row>
    <row r="225">
      <c r="A225" s="7" t="n"/>
      <c r="B225" s="13" t="n"/>
      <c r="C225" s="13" t="n"/>
      <c r="D225" s="14" t="n"/>
      <c r="E225" s="15" t="n"/>
      <c r="F225" s="16" t="n"/>
      <c r="G225" s="16" t="n"/>
      <c r="H225" s="16" t="n"/>
      <c r="I225" s="17">
        <f>IF(COUNTA(A225:C225)=0,"",IF(COUNTIFS($A$5:$A$504,A225,$B$5:$B$504,B225,$C$5:$C$504,C225)&gt;1,"DUPLICATE","OK"))</f>
        <v/>
      </c>
      <c r="J225" s="17">
        <f>IF(COUNTA(A225:C225)=0,"",IF(AND(COUNTIF('Master Data'!$A$6:$A$145,B225)=1,COUNTIF('Master Data'!$F$6:$F$13,C225)=1),"OK","INVALID"))</f>
        <v/>
      </c>
    </row>
    <row r="226">
      <c r="A226" s="7" t="n"/>
      <c r="B226" s="13" t="n"/>
      <c r="C226" s="13" t="n"/>
      <c r="D226" s="14" t="n"/>
      <c r="E226" s="15" t="n"/>
      <c r="F226" s="16" t="n"/>
      <c r="G226" s="16" t="n"/>
      <c r="H226" s="16" t="n"/>
      <c r="I226" s="17">
        <f>IF(COUNTA(A226:C226)=0,"",IF(COUNTIFS($A$5:$A$504,A226,$B$5:$B$504,B226,$C$5:$C$504,C226)&gt;1,"DUPLICATE","OK"))</f>
        <v/>
      </c>
      <c r="J226" s="17">
        <f>IF(COUNTA(A226:C226)=0,"",IF(AND(COUNTIF('Master Data'!$A$6:$A$145,B226)=1,COUNTIF('Master Data'!$F$6:$F$13,C226)=1),"OK","INVALID"))</f>
        <v/>
      </c>
    </row>
    <row r="227">
      <c r="A227" s="7" t="n"/>
      <c r="B227" s="13" t="n"/>
      <c r="C227" s="13" t="n"/>
      <c r="D227" s="14" t="n"/>
      <c r="E227" s="15" t="n"/>
      <c r="F227" s="16" t="n"/>
      <c r="G227" s="16" t="n"/>
      <c r="H227" s="16" t="n"/>
      <c r="I227" s="17">
        <f>IF(COUNTA(A227:C227)=0,"",IF(COUNTIFS($A$5:$A$504,A227,$B$5:$B$504,B227,$C$5:$C$504,C227)&gt;1,"DUPLICATE","OK"))</f>
        <v/>
      </c>
      <c r="J227" s="17">
        <f>IF(COUNTA(A227:C227)=0,"",IF(AND(COUNTIF('Master Data'!$A$6:$A$145,B227)=1,COUNTIF('Master Data'!$F$6:$F$13,C227)=1),"OK","INVALID"))</f>
        <v/>
      </c>
    </row>
    <row r="228">
      <c r="A228" s="7" t="n"/>
      <c r="B228" s="13" t="n"/>
      <c r="C228" s="13" t="n"/>
      <c r="D228" s="14" t="n"/>
      <c r="E228" s="15" t="n"/>
      <c r="F228" s="16" t="n"/>
      <c r="G228" s="16" t="n"/>
      <c r="H228" s="16" t="n"/>
      <c r="I228" s="17">
        <f>IF(COUNTA(A228:C228)=0,"",IF(COUNTIFS($A$5:$A$504,A228,$B$5:$B$504,B228,$C$5:$C$504,C228)&gt;1,"DUPLICATE","OK"))</f>
        <v/>
      </c>
      <c r="J228" s="17">
        <f>IF(COUNTA(A228:C228)=0,"",IF(AND(COUNTIF('Master Data'!$A$6:$A$145,B228)=1,COUNTIF('Master Data'!$F$6:$F$13,C228)=1),"OK","INVALID"))</f>
        <v/>
      </c>
    </row>
    <row r="229">
      <c r="A229" s="7" t="n"/>
      <c r="B229" s="13" t="n"/>
      <c r="C229" s="13" t="n"/>
      <c r="D229" s="14" t="n"/>
      <c r="E229" s="15" t="n"/>
      <c r="F229" s="16" t="n"/>
      <c r="G229" s="16" t="n"/>
      <c r="H229" s="16" t="n"/>
      <c r="I229" s="17">
        <f>IF(COUNTA(A229:C229)=0,"",IF(COUNTIFS($A$5:$A$504,A229,$B$5:$B$504,B229,$C$5:$C$504,C229)&gt;1,"DUPLICATE","OK"))</f>
        <v/>
      </c>
      <c r="J229" s="17">
        <f>IF(COUNTA(A229:C229)=0,"",IF(AND(COUNTIF('Master Data'!$A$6:$A$145,B229)=1,COUNTIF('Master Data'!$F$6:$F$13,C229)=1),"OK","INVALID"))</f>
        <v/>
      </c>
    </row>
    <row r="230">
      <c r="A230" s="7" t="n"/>
      <c r="B230" s="13" t="n"/>
      <c r="C230" s="13" t="n"/>
      <c r="D230" s="14" t="n"/>
      <c r="E230" s="15" t="n"/>
      <c r="F230" s="16" t="n"/>
      <c r="G230" s="16" t="n"/>
      <c r="H230" s="16" t="n"/>
      <c r="I230" s="17">
        <f>IF(COUNTA(A230:C230)=0,"",IF(COUNTIFS($A$5:$A$504,A230,$B$5:$B$504,B230,$C$5:$C$504,C230)&gt;1,"DUPLICATE","OK"))</f>
        <v/>
      </c>
      <c r="J230" s="17">
        <f>IF(COUNTA(A230:C230)=0,"",IF(AND(COUNTIF('Master Data'!$A$6:$A$145,B230)=1,COUNTIF('Master Data'!$F$6:$F$13,C230)=1),"OK","INVALID"))</f>
        <v/>
      </c>
    </row>
    <row r="231">
      <c r="A231" s="7" t="n"/>
      <c r="B231" s="13" t="n"/>
      <c r="C231" s="13" t="n"/>
      <c r="D231" s="14" t="n"/>
      <c r="E231" s="15" t="n"/>
      <c r="F231" s="16" t="n"/>
      <c r="G231" s="16" t="n"/>
      <c r="H231" s="16" t="n"/>
      <c r="I231" s="17">
        <f>IF(COUNTA(A231:C231)=0,"",IF(COUNTIFS($A$5:$A$504,A231,$B$5:$B$504,B231,$C$5:$C$504,C231)&gt;1,"DUPLICATE","OK"))</f>
        <v/>
      </c>
      <c r="J231" s="17">
        <f>IF(COUNTA(A231:C231)=0,"",IF(AND(COUNTIF('Master Data'!$A$6:$A$145,B231)=1,COUNTIF('Master Data'!$F$6:$F$13,C231)=1),"OK","INVALID"))</f>
        <v/>
      </c>
    </row>
    <row r="232">
      <c r="A232" s="7" t="n"/>
      <c r="B232" s="13" t="n"/>
      <c r="C232" s="13" t="n"/>
      <c r="D232" s="14" t="n"/>
      <c r="E232" s="15" t="n"/>
      <c r="F232" s="16" t="n"/>
      <c r="G232" s="16" t="n"/>
      <c r="H232" s="16" t="n"/>
      <c r="I232" s="17">
        <f>IF(COUNTA(A232:C232)=0,"",IF(COUNTIFS($A$5:$A$504,A232,$B$5:$B$504,B232,$C$5:$C$504,C232)&gt;1,"DUPLICATE","OK"))</f>
        <v/>
      </c>
      <c r="J232" s="17">
        <f>IF(COUNTA(A232:C232)=0,"",IF(AND(COUNTIF('Master Data'!$A$6:$A$145,B232)=1,COUNTIF('Master Data'!$F$6:$F$13,C232)=1),"OK","INVALID"))</f>
        <v/>
      </c>
    </row>
    <row r="233">
      <c r="A233" s="7" t="n"/>
      <c r="B233" s="13" t="n"/>
      <c r="C233" s="13" t="n"/>
      <c r="D233" s="14" t="n"/>
      <c r="E233" s="15" t="n"/>
      <c r="F233" s="16" t="n"/>
      <c r="G233" s="16" t="n"/>
      <c r="H233" s="16" t="n"/>
      <c r="I233" s="17">
        <f>IF(COUNTA(A233:C233)=0,"",IF(COUNTIFS($A$5:$A$504,A233,$B$5:$B$504,B233,$C$5:$C$504,C233)&gt;1,"DUPLICATE","OK"))</f>
        <v/>
      </c>
      <c r="J233" s="17">
        <f>IF(COUNTA(A233:C233)=0,"",IF(AND(COUNTIF('Master Data'!$A$6:$A$145,B233)=1,COUNTIF('Master Data'!$F$6:$F$13,C233)=1),"OK","INVALID"))</f>
        <v/>
      </c>
    </row>
    <row r="234">
      <c r="A234" s="7" t="n"/>
      <c r="B234" s="13" t="n"/>
      <c r="C234" s="13" t="n"/>
      <c r="D234" s="14" t="n"/>
      <c r="E234" s="15" t="n"/>
      <c r="F234" s="16" t="n"/>
      <c r="G234" s="16" t="n"/>
      <c r="H234" s="16" t="n"/>
      <c r="I234" s="17">
        <f>IF(COUNTA(A234:C234)=0,"",IF(COUNTIFS($A$5:$A$504,A234,$B$5:$B$504,B234,$C$5:$C$504,C234)&gt;1,"DUPLICATE","OK"))</f>
        <v/>
      </c>
      <c r="J234" s="17">
        <f>IF(COUNTA(A234:C234)=0,"",IF(AND(COUNTIF('Master Data'!$A$6:$A$145,B234)=1,COUNTIF('Master Data'!$F$6:$F$13,C234)=1),"OK","INVALID"))</f>
        <v/>
      </c>
    </row>
    <row r="235">
      <c r="A235" s="7" t="n"/>
      <c r="B235" s="13" t="n"/>
      <c r="C235" s="13" t="n"/>
      <c r="D235" s="14" t="n"/>
      <c r="E235" s="15" t="n"/>
      <c r="F235" s="16" t="n"/>
      <c r="G235" s="16" t="n"/>
      <c r="H235" s="16" t="n"/>
      <c r="I235" s="17">
        <f>IF(COUNTA(A235:C235)=0,"",IF(COUNTIFS($A$5:$A$504,A235,$B$5:$B$504,B235,$C$5:$C$504,C235)&gt;1,"DUPLICATE","OK"))</f>
        <v/>
      </c>
      <c r="J235" s="17">
        <f>IF(COUNTA(A235:C235)=0,"",IF(AND(COUNTIF('Master Data'!$A$6:$A$145,B235)=1,COUNTIF('Master Data'!$F$6:$F$13,C235)=1),"OK","INVALID"))</f>
        <v/>
      </c>
    </row>
    <row r="236">
      <c r="A236" s="7" t="n"/>
      <c r="B236" s="13" t="n"/>
      <c r="C236" s="13" t="n"/>
      <c r="D236" s="14" t="n"/>
      <c r="E236" s="15" t="n"/>
      <c r="F236" s="16" t="n"/>
      <c r="G236" s="16" t="n"/>
      <c r="H236" s="16" t="n"/>
      <c r="I236" s="17">
        <f>IF(COUNTA(A236:C236)=0,"",IF(COUNTIFS($A$5:$A$504,A236,$B$5:$B$504,B236,$C$5:$C$504,C236)&gt;1,"DUPLICATE","OK"))</f>
        <v/>
      </c>
      <c r="J236" s="17">
        <f>IF(COUNTA(A236:C236)=0,"",IF(AND(COUNTIF('Master Data'!$A$6:$A$145,B236)=1,COUNTIF('Master Data'!$F$6:$F$13,C236)=1),"OK","INVALID"))</f>
        <v/>
      </c>
    </row>
    <row r="237">
      <c r="A237" s="7" t="n"/>
      <c r="B237" s="13" t="n"/>
      <c r="C237" s="13" t="n"/>
      <c r="D237" s="14" t="n"/>
      <c r="E237" s="15" t="n"/>
      <c r="F237" s="16" t="n"/>
      <c r="G237" s="16" t="n"/>
      <c r="H237" s="16" t="n"/>
      <c r="I237" s="17">
        <f>IF(COUNTA(A237:C237)=0,"",IF(COUNTIFS($A$5:$A$504,A237,$B$5:$B$504,B237,$C$5:$C$504,C237)&gt;1,"DUPLICATE","OK"))</f>
        <v/>
      </c>
      <c r="J237" s="17">
        <f>IF(COUNTA(A237:C237)=0,"",IF(AND(COUNTIF('Master Data'!$A$6:$A$145,B237)=1,COUNTIF('Master Data'!$F$6:$F$13,C237)=1),"OK","INVALID"))</f>
        <v/>
      </c>
    </row>
    <row r="238">
      <c r="A238" s="7" t="n"/>
      <c r="B238" s="13" t="n"/>
      <c r="C238" s="13" t="n"/>
      <c r="D238" s="14" t="n"/>
      <c r="E238" s="15" t="n"/>
      <c r="F238" s="16" t="n"/>
      <c r="G238" s="16" t="n"/>
      <c r="H238" s="16" t="n"/>
      <c r="I238" s="17">
        <f>IF(COUNTA(A238:C238)=0,"",IF(COUNTIFS($A$5:$A$504,A238,$B$5:$B$504,B238,$C$5:$C$504,C238)&gt;1,"DUPLICATE","OK"))</f>
        <v/>
      </c>
      <c r="J238" s="17">
        <f>IF(COUNTA(A238:C238)=0,"",IF(AND(COUNTIF('Master Data'!$A$6:$A$145,B238)=1,COUNTIF('Master Data'!$F$6:$F$13,C238)=1),"OK","INVALID"))</f>
        <v/>
      </c>
    </row>
    <row r="239">
      <c r="A239" s="7" t="n"/>
      <c r="B239" s="13" t="n"/>
      <c r="C239" s="13" t="n"/>
      <c r="D239" s="14" t="n"/>
      <c r="E239" s="15" t="n"/>
      <c r="F239" s="16" t="n"/>
      <c r="G239" s="16" t="n"/>
      <c r="H239" s="16" t="n"/>
      <c r="I239" s="17">
        <f>IF(COUNTA(A239:C239)=0,"",IF(COUNTIFS($A$5:$A$504,A239,$B$5:$B$504,B239,$C$5:$C$504,C239)&gt;1,"DUPLICATE","OK"))</f>
        <v/>
      </c>
      <c r="J239" s="17">
        <f>IF(COUNTA(A239:C239)=0,"",IF(AND(COUNTIF('Master Data'!$A$6:$A$145,B239)=1,COUNTIF('Master Data'!$F$6:$F$13,C239)=1),"OK","INVALID"))</f>
        <v/>
      </c>
    </row>
    <row r="240">
      <c r="A240" s="7" t="n"/>
      <c r="B240" s="13" t="n"/>
      <c r="C240" s="13" t="n"/>
      <c r="D240" s="14" t="n"/>
      <c r="E240" s="15" t="n"/>
      <c r="F240" s="16" t="n"/>
      <c r="G240" s="16" t="n"/>
      <c r="H240" s="16" t="n"/>
      <c r="I240" s="17">
        <f>IF(COUNTA(A240:C240)=0,"",IF(COUNTIFS($A$5:$A$504,A240,$B$5:$B$504,B240,$C$5:$C$504,C240)&gt;1,"DUPLICATE","OK"))</f>
        <v/>
      </c>
      <c r="J240" s="17">
        <f>IF(COUNTA(A240:C240)=0,"",IF(AND(COUNTIF('Master Data'!$A$6:$A$145,B240)=1,COUNTIF('Master Data'!$F$6:$F$13,C240)=1),"OK","INVALID"))</f>
        <v/>
      </c>
    </row>
    <row r="241">
      <c r="A241" s="7" t="n"/>
      <c r="B241" s="13" t="n"/>
      <c r="C241" s="13" t="n"/>
      <c r="D241" s="14" t="n"/>
      <c r="E241" s="15" t="n"/>
      <c r="F241" s="16" t="n"/>
      <c r="G241" s="16" t="n"/>
      <c r="H241" s="16" t="n"/>
      <c r="I241" s="17">
        <f>IF(COUNTA(A241:C241)=0,"",IF(COUNTIFS($A$5:$A$504,A241,$B$5:$B$504,B241,$C$5:$C$504,C241)&gt;1,"DUPLICATE","OK"))</f>
        <v/>
      </c>
      <c r="J241" s="17">
        <f>IF(COUNTA(A241:C241)=0,"",IF(AND(COUNTIF('Master Data'!$A$6:$A$145,B241)=1,COUNTIF('Master Data'!$F$6:$F$13,C241)=1),"OK","INVALID"))</f>
        <v/>
      </c>
    </row>
    <row r="242">
      <c r="A242" s="7" t="n"/>
      <c r="B242" s="13" t="n"/>
      <c r="C242" s="13" t="n"/>
      <c r="D242" s="14" t="n"/>
      <c r="E242" s="15" t="n"/>
      <c r="F242" s="16" t="n"/>
      <c r="G242" s="16" t="n"/>
      <c r="H242" s="16" t="n"/>
      <c r="I242" s="17">
        <f>IF(COUNTA(A242:C242)=0,"",IF(COUNTIFS($A$5:$A$504,A242,$B$5:$B$504,B242,$C$5:$C$504,C242)&gt;1,"DUPLICATE","OK"))</f>
        <v/>
      </c>
      <c r="J242" s="17">
        <f>IF(COUNTA(A242:C242)=0,"",IF(AND(COUNTIF('Master Data'!$A$6:$A$145,B242)=1,COUNTIF('Master Data'!$F$6:$F$13,C242)=1),"OK","INVALID"))</f>
        <v/>
      </c>
    </row>
    <row r="243">
      <c r="A243" s="7" t="n"/>
      <c r="B243" s="13" t="n"/>
      <c r="C243" s="13" t="n"/>
      <c r="D243" s="14" t="n"/>
      <c r="E243" s="15" t="n"/>
      <c r="F243" s="16" t="n"/>
      <c r="G243" s="16" t="n"/>
      <c r="H243" s="16" t="n"/>
      <c r="I243" s="17">
        <f>IF(COUNTA(A243:C243)=0,"",IF(COUNTIFS($A$5:$A$504,A243,$B$5:$B$504,B243,$C$5:$C$504,C243)&gt;1,"DUPLICATE","OK"))</f>
        <v/>
      </c>
      <c r="J243" s="17">
        <f>IF(COUNTA(A243:C243)=0,"",IF(AND(COUNTIF('Master Data'!$A$6:$A$145,B243)=1,COUNTIF('Master Data'!$F$6:$F$13,C243)=1),"OK","INVALID"))</f>
        <v/>
      </c>
    </row>
    <row r="244">
      <c r="A244" s="7" t="n"/>
      <c r="B244" s="13" t="n"/>
      <c r="C244" s="13" t="n"/>
      <c r="D244" s="14" t="n"/>
      <c r="E244" s="15" t="n"/>
      <c r="F244" s="16" t="n"/>
      <c r="G244" s="16" t="n"/>
      <c r="H244" s="16" t="n"/>
      <c r="I244" s="17">
        <f>IF(COUNTA(A244:C244)=0,"",IF(COUNTIFS($A$5:$A$504,A244,$B$5:$B$504,B244,$C$5:$C$504,C244)&gt;1,"DUPLICATE","OK"))</f>
        <v/>
      </c>
      <c r="J244" s="17">
        <f>IF(COUNTA(A244:C244)=0,"",IF(AND(COUNTIF('Master Data'!$A$6:$A$145,B244)=1,COUNTIF('Master Data'!$F$6:$F$13,C244)=1),"OK","INVALID"))</f>
        <v/>
      </c>
    </row>
    <row r="245">
      <c r="A245" s="7" t="n"/>
      <c r="B245" s="13" t="n"/>
      <c r="C245" s="13" t="n"/>
      <c r="D245" s="14" t="n"/>
      <c r="E245" s="15" t="n"/>
      <c r="F245" s="16" t="n"/>
      <c r="G245" s="16" t="n"/>
      <c r="H245" s="16" t="n"/>
      <c r="I245" s="17">
        <f>IF(COUNTA(A245:C245)=0,"",IF(COUNTIFS($A$5:$A$504,A245,$B$5:$B$504,B245,$C$5:$C$504,C245)&gt;1,"DUPLICATE","OK"))</f>
        <v/>
      </c>
      <c r="J245" s="17">
        <f>IF(COUNTA(A245:C245)=0,"",IF(AND(COUNTIF('Master Data'!$A$6:$A$145,B245)=1,COUNTIF('Master Data'!$F$6:$F$13,C245)=1),"OK","INVALID"))</f>
        <v/>
      </c>
    </row>
    <row r="246">
      <c r="A246" s="7" t="n"/>
      <c r="B246" s="13" t="n"/>
      <c r="C246" s="13" t="n"/>
      <c r="D246" s="14" t="n"/>
      <c r="E246" s="15" t="n"/>
      <c r="F246" s="16" t="n"/>
      <c r="G246" s="16" t="n"/>
      <c r="H246" s="16" t="n"/>
      <c r="I246" s="17">
        <f>IF(COUNTA(A246:C246)=0,"",IF(COUNTIFS($A$5:$A$504,A246,$B$5:$B$504,B246,$C$5:$C$504,C246)&gt;1,"DUPLICATE","OK"))</f>
        <v/>
      </c>
      <c r="J246" s="17">
        <f>IF(COUNTA(A246:C246)=0,"",IF(AND(COUNTIF('Master Data'!$A$6:$A$145,B246)=1,COUNTIF('Master Data'!$F$6:$F$13,C246)=1),"OK","INVALID"))</f>
        <v/>
      </c>
    </row>
    <row r="247">
      <c r="A247" s="7" t="n"/>
      <c r="B247" s="13" t="n"/>
      <c r="C247" s="13" t="n"/>
      <c r="D247" s="14" t="n"/>
      <c r="E247" s="15" t="n"/>
      <c r="F247" s="16" t="n"/>
      <c r="G247" s="16" t="n"/>
      <c r="H247" s="16" t="n"/>
      <c r="I247" s="17">
        <f>IF(COUNTA(A247:C247)=0,"",IF(COUNTIFS($A$5:$A$504,A247,$B$5:$B$504,B247,$C$5:$C$504,C247)&gt;1,"DUPLICATE","OK"))</f>
        <v/>
      </c>
      <c r="J247" s="17">
        <f>IF(COUNTA(A247:C247)=0,"",IF(AND(COUNTIF('Master Data'!$A$6:$A$145,B247)=1,COUNTIF('Master Data'!$F$6:$F$13,C247)=1),"OK","INVALID"))</f>
        <v/>
      </c>
    </row>
    <row r="248">
      <c r="A248" s="7" t="n"/>
      <c r="B248" s="13" t="n"/>
      <c r="C248" s="13" t="n"/>
      <c r="D248" s="14" t="n"/>
      <c r="E248" s="15" t="n"/>
      <c r="F248" s="16" t="n"/>
      <c r="G248" s="16" t="n"/>
      <c r="H248" s="16" t="n"/>
      <c r="I248" s="17">
        <f>IF(COUNTA(A248:C248)=0,"",IF(COUNTIFS($A$5:$A$504,A248,$B$5:$B$504,B248,$C$5:$C$504,C248)&gt;1,"DUPLICATE","OK"))</f>
        <v/>
      </c>
      <c r="J248" s="17">
        <f>IF(COUNTA(A248:C248)=0,"",IF(AND(COUNTIF('Master Data'!$A$6:$A$145,B248)=1,COUNTIF('Master Data'!$F$6:$F$13,C248)=1),"OK","INVALID"))</f>
        <v/>
      </c>
    </row>
    <row r="249">
      <c r="A249" s="7" t="n"/>
      <c r="B249" s="13" t="n"/>
      <c r="C249" s="13" t="n"/>
      <c r="D249" s="14" t="n"/>
      <c r="E249" s="15" t="n"/>
      <c r="F249" s="16" t="n"/>
      <c r="G249" s="16" t="n"/>
      <c r="H249" s="16" t="n"/>
      <c r="I249" s="17">
        <f>IF(COUNTA(A249:C249)=0,"",IF(COUNTIFS($A$5:$A$504,A249,$B$5:$B$504,B249,$C$5:$C$504,C249)&gt;1,"DUPLICATE","OK"))</f>
        <v/>
      </c>
      <c r="J249" s="17">
        <f>IF(COUNTA(A249:C249)=0,"",IF(AND(COUNTIF('Master Data'!$A$6:$A$145,B249)=1,COUNTIF('Master Data'!$F$6:$F$13,C249)=1),"OK","INVALID"))</f>
        <v/>
      </c>
    </row>
    <row r="250">
      <c r="A250" s="7" t="n"/>
      <c r="B250" s="13" t="n"/>
      <c r="C250" s="13" t="n"/>
      <c r="D250" s="14" t="n"/>
      <c r="E250" s="15" t="n"/>
      <c r="F250" s="16" t="n"/>
      <c r="G250" s="16" t="n"/>
      <c r="H250" s="16" t="n"/>
      <c r="I250" s="17">
        <f>IF(COUNTA(A250:C250)=0,"",IF(COUNTIFS($A$5:$A$504,A250,$B$5:$B$504,B250,$C$5:$C$504,C250)&gt;1,"DUPLICATE","OK"))</f>
        <v/>
      </c>
      <c r="J250" s="17">
        <f>IF(COUNTA(A250:C250)=0,"",IF(AND(COUNTIF('Master Data'!$A$6:$A$145,B250)=1,COUNTIF('Master Data'!$F$6:$F$13,C250)=1),"OK","INVALID"))</f>
        <v/>
      </c>
    </row>
    <row r="251">
      <c r="A251" s="7" t="n"/>
      <c r="B251" s="13" t="n"/>
      <c r="C251" s="13" t="n"/>
      <c r="D251" s="14" t="n"/>
      <c r="E251" s="15" t="n"/>
      <c r="F251" s="16" t="n"/>
      <c r="G251" s="16" t="n"/>
      <c r="H251" s="16" t="n"/>
      <c r="I251" s="17">
        <f>IF(COUNTA(A251:C251)=0,"",IF(COUNTIFS($A$5:$A$504,A251,$B$5:$B$504,B251,$C$5:$C$504,C251)&gt;1,"DUPLICATE","OK"))</f>
        <v/>
      </c>
      <c r="J251" s="17">
        <f>IF(COUNTA(A251:C251)=0,"",IF(AND(COUNTIF('Master Data'!$A$6:$A$145,B251)=1,COUNTIF('Master Data'!$F$6:$F$13,C251)=1),"OK","INVALID"))</f>
        <v/>
      </c>
    </row>
    <row r="252">
      <c r="A252" s="7" t="n"/>
      <c r="B252" s="13" t="n"/>
      <c r="C252" s="13" t="n"/>
      <c r="D252" s="14" t="n"/>
      <c r="E252" s="15" t="n"/>
      <c r="F252" s="16" t="n"/>
      <c r="G252" s="16" t="n"/>
      <c r="H252" s="16" t="n"/>
      <c r="I252" s="17">
        <f>IF(COUNTA(A252:C252)=0,"",IF(COUNTIFS($A$5:$A$504,A252,$B$5:$B$504,B252,$C$5:$C$504,C252)&gt;1,"DUPLICATE","OK"))</f>
        <v/>
      </c>
      <c r="J252" s="17">
        <f>IF(COUNTA(A252:C252)=0,"",IF(AND(COUNTIF('Master Data'!$A$6:$A$145,B252)=1,COUNTIF('Master Data'!$F$6:$F$13,C252)=1),"OK","INVALID"))</f>
        <v/>
      </c>
    </row>
    <row r="253">
      <c r="A253" s="7" t="n"/>
      <c r="B253" s="13" t="n"/>
      <c r="C253" s="13" t="n"/>
      <c r="D253" s="14" t="n"/>
      <c r="E253" s="15" t="n"/>
      <c r="F253" s="16" t="n"/>
      <c r="G253" s="16" t="n"/>
      <c r="H253" s="16" t="n"/>
      <c r="I253" s="17">
        <f>IF(COUNTA(A253:C253)=0,"",IF(COUNTIFS($A$5:$A$504,A253,$B$5:$B$504,B253,$C$5:$C$504,C253)&gt;1,"DUPLICATE","OK"))</f>
        <v/>
      </c>
      <c r="J253" s="17">
        <f>IF(COUNTA(A253:C253)=0,"",IF(AND(COUNTIF('Master Data'!$A$6:$A$145,B253)=1,COUNTIF('Master Data'!$F$6:$F$13,C253)=1),"OK","INVALID"))</f>
        <v/>
      </c>
    </row>
    <row r="254">
      <c r="A254" s="7" t="n"/>
      <c r="B254" s="13" t="n"/>
      <c r="C254" s="13" t="n"/>
      <c r="D254" s="14" t="n"/>
      <c r="E254" s="15" t="n"/>
      <c r="F254" s="16" t="n"/>
      <c r="G254" s="16" t="n"/>
      <c r="H254" s="16" t="n"/>
      <c r="I254" s="17">
        <f>IF(COUNTA(A254:C254)=0,"",IF(COUNTIFS($A$5:$A$504,A254,$B$5:$B$504,B254,$C$5:$C$504,C254)&gt;1,"DUPLICATE","OK"))</f>
        <v/>
      </c>
      <c r="J254" s="17">
        <f>IF(COUNTA(A254:C254)=0,"",IF(AND(COUNTIF('Master Data'!$A$6:$A$145,B254)=1,COUNTIF('Master Data'!$F$6:$F$13,C254)=1),"OK","INVALID"))</f>
        <v/>
      </c>
    </row>
    <row r="255">
      <c r="A255" s="7" t="n"/>
      <c r="B255" s="13" t="n"/>
      <c r="C255" s="13" t="n"/>
      <c r="D255" s="14" t="n"/>
      <c r="E255" s="15" t="n"/>
      <c r="F255" s="16" t="n"/>
      <c r="G255" s="16" t="n"/>
      <c r="H255" s="16" t="n"/>
      <c r="I255" s="17">
        <f>IF(COUNTA(A255:C255)=0,"",IF(COUNTIFS($A$5:$A$504,A255,$B$5:$B$504,B255,$C$5:$C$504,C255)&gt;1,"DUPLICATE","OK"))</f>
        <v/>
      </c>
      <c r="J255" s="17">
        <f>IF(COUNTA(A255:C255)=0,"",IF(AND(COUNTIF('Master Data'!$A$6:$A$145,B255)=1,COUNTIF('Master Data'!$F$6:$F$13,C255)=1),"OK","INVALID"))</f>
        <v/>
      </c>
    </row>
    <row r="256">
      <c r="A256" s="7" t="n"/>
      <c r="B256" s="13" t="n"/>
      <c r="C256" s="13" t="n"/>
      <c r="D256" s="14" t="n"/>
      <c r="E256" s="15" t="n"/>
      <c r="F256" s="16" t="n"/>
      <c r="G256" s="16" t="n"/>
      <c r="H256" s="16" t="n"/>
      <c r="I256" s="17">
        <f>IF(COUNTA(A256:C256)=0,"",IF(COUNTIFS($A$5:$A$504,A256,$B$5:$B$504,B256,$C$5:$C$504,C256)&gt;1,"DUPLICATE","OK"))</f>
        <v/>
      </c>
      <c r="J256" s="17">
        <f>IF(COUNTA(A256:C256)=0,"",IF(AND(COUNTIF('Master Data'!$A$6:$A$145,B256)=1,COUNTIF('Master Data'!$F$6:$F$13,C256)=1),"OK","INVALID"))</f>
        <v/>
      </c>
    </row>
    <row r="257">
      <c r="A257" s="7" t="n"/>
      <c r="B257" s="13" t="n"/>
      <c r="C257" s="13" t="n"/>
      <c r="D257" s="14" t="n"/>
      <c r="E257" s="15" t="n"/>
      <c r="F257" s="16" t="n"/>
      <c r="G257" s="16" t="n"/>
      <c r="H257" s="16" t="n"/>
      <c r="I257" s="17">
        <f>IF(COUNTA(A257:C257)=0,"",IF(COUNTIFS($A$5:$A$504,A257,$B$5:$B$504,B257,$C$5:$C$504,C257)&gt;1,"DUPLICATE","OK"))</f>
        <v/>
      </c>
      <c r="J257" s="17">
        <f>IF(COUNTA(A257:C257)=0,"",IF(AND(COUNTIF('Master Data'!$A$6:$A$145,B257)=1,COUNTIF('Master Data'!$F$6:$F$13,C257)=1),"OK","INVALID"))</f>
        <v/>
      </c>
    </row>
    <row r="258">
      <c r="A258" s="7" t="n"/>
      <c r="B258" s="13" t="n"/>
      <c r="C258" s="13" t="n"/>
      <c r="D258" s="14" t="n"/>
      <c r="E258" s="15" t="n"/>
      <c r="F258" s="16" t="n"/>
      <c r="G258" s="16" t="n"/>
      <c r="H258" s="16" t="n"/>
      <c r="I258" s="17">
        <f>IF(COUNTA(A258:C258)=0,"",IF(COUNTIFS($A$5:$A$504,A258,$B$5:$B$504,B258,$C$5:$C$504,C258)&gt;1,"DUPLICATE","OK"))</f>
        <v/>
      </c>
      <c r="J258" s="17">
        <f>IF(COUNTA(A258:C258)=0,"",IF(AND(COUNTIF('Master Data'!$A$6:$A$145,B258)=1,COUNTIF('Master Data'!$F$6:$F$13,C258)=1),"OK","INVALID"))</f>
        <v/>
      </c>
    </row>
    <row r="259">
      <c r="A259" s="7" t="n"/>
      <c r="B259" s="13" t="n"/>
      <c r="C259" s="13" t="n"/>
      <c r="D259" s="14" t="n"/>
      <c r="E259" s="15" t="n"/>
      <c r="F259" s="16" t="n"/>
      <c r="G259" s="16" t="n"/>
      <c r="H259" s="16" t="n"/>
      <c r="I259" s="17">
        <f>IF(COUNTA(A259:C259)=0,"",IF(COUNTIFS($A$5:$A$504,A259,$B$5:$B$504,B259,$C$5:$C$504,C259)&gt;1,"DUPLICATE","OK"))</f>
        <v/>
      </c>
      <c r="J259" s="17">
        <f>IF(COUNTA(A259:C259)=0,"",IF(AND(COUNTIF('Master Data'!$A$6:$A$145,B259)=1,COUNTIF('Master Data'!$F$6:$F$13,C259)=1),"OK","INVALID"))</f>
        <v/>
      </c>
    </row>
    <row r="260">
      <c r="A260" s="7" t="n"/>
      <c r="B260" s="13" t="n"/>
      <c r="C260" s="13" t="n"/>
      <c r="D260" s="14" t="n"/>
      <c r="E260" s="15" t="n"/>
      <c r="F260" s="16" t="n"/>
      <c r="G260" s="16" t="n"/>
      <c r="H260" s="16" t="n"/>
      <c r="I260" s="17">
        <f>IF(COUNTA(A260:C260)=0,"",IF(COUNTIFS($A$5:$A$504,A260,$B$5:$B$504,B260,$C$5:$C$504,C260)&gt;1,"DUPLICATE","OK"))</f>
        <v/>
      </c>
      <c r="J260" s="17">
        <f>IF(COUNTA(A260:C260)=0,"",IF(AND(COUNTIF('Master Data'!$A$6:$A$145,B260)=1,COUNTIF('Master Data'!$F$6:$F$13,C260)=1),"OK","INVALID"))</f>
        <v/>
      </c>
    </row>
    <row r="261">
      <c r="A261" s="7" t="n"/>
      <c r="B261" s="13" t="n"/>
      <c r="C261" s="13" t="n"/>
      <c r="D261" s="14" t="n"/>
      <c r="E261" s="15" t="n"/>
      <c r="F261" s="16" t="n"/>
      <c r="G261" s="16" t="n"/>
      <c r="H261" s="16" t="n"/>
      <c r="I261" s="17">
        <f>IF(COUNTA(A261:C261)=0,"",IF(COUNTIFS($A$5:$A$504,A261,$B$5:$B$504,B261,$C$5:$C$504,C261)&gt;1,"DUPLICATE","OK"))</f>
        <v/>
      </c>
      <c r="J261" s="17">
        <f>IF(COUNTA(A261:C261)=0,"",IF(AND(COUNTIF('Master Data'!$A$6:$A$145,B261)=1,COUNTIF('Master Data'!$F$6:$F$13,C261)=1),"OK","INVALID"))</f>
        <v/>
      </c>
    </row>
    <row r="262">
      <c r="A262" s="7" t="n"/>
      <c r="B262" s="13" t="n"/>
      <c r="C262" s="13" t="n"/>
      <c r="D262" s="14" t="n"/>
      <c r="E262" s="15" t="n"/>
      <c r="F262" s="16" t="n"/>
      <c r="G262" s="16" t="n"/>
      <c r="H262" s="16" t="n"/>
      <c r="I262" s="17">
        <f>IF(COUNTA(A262:C262)=0,"",IF(COUNTIFS($A$5:$A$504,A262,$B$5:$B$504,B262,$C$5:$C$504,C262)&gt;1,"DUPLICATE","OK"))</f>
        <v/>
      </c>
      <c r="J262" s="17">
        <f>IF(COUNTA(A262:C262)=0,"",IF(AND(COUNTIF('Master Data'!$A$6:$A$145,B262)=1,COUNTIF('Master Data'!$F$6:$F$13,C262)=1),"OK","INVALID"))</f>
        <v/>
      </c>
    </row>
    <row r="263">
      <c r="A263" s="7" t="n"/>
      <c r="B263" s="13" t="n"/>
      <c r="C263" s="13" t="n"/>
      <c r="D263" s="14" t="n"/>
      <c r="E263" s="15" t="n"/>
      <c r="F263" s="16" t="n"/>
      <c r="G263" s="16" t="n"/>
      <c r="H263" s="16" t="n"/>
      <c r="I263" s="17">
        <f>IF(COUNTA(A263:C263)=0,"",IF(COUNTIFS($A$5:$A$504,A263,$B$5:$B$504,B263,$C$5:$C$504,C263)&gt;1,"DUPLICATE","OK"))</f>
        <v/>
      </c>
      <c r="J263" s="17">
        <f>IF(COUNTA(A263:C263)=0,"",IF(AND(COUNTIF('Master Data'!$A$6:$A$145,B263)=1,COUNTIF('Master Data'!$F$6:$F$13,C263)=1),"OK","INVALID"))</f>
        <v/>
      </c>
    </row>
    <row r="264">
      <c r="A264" s="7" t="n"/>
      <c r="B264" s="13" t="n"/>
      <c r="C264" s="13" t="n"/>
      <c r="D264" s="14" t="n"/>
      <c r="E264" s="15" t="n"/>
      <c r="F264" s="16" t="n"/>
      <c r="G264" s="16" t="n"/>
      <c r="H264" s="16" t="n"/>
      <c r="I264" s="17">
        <f>IF(COUNTA(A264:C264)=0,"",IF(COUNTIFS($A$5:$A$504,A264,$B$5:$B$504,B264,$C$5:$C$504,C264)&gt;1,"DUPLICATE","OK"))</f>
        <v/>
      </c>
      <c r="J264" s="17">
        <f>IF(COUNTA(A264:C264)=0,"",IF(AND(COUNTIF('Master Data'!$A$6:$A$145,B264)=1,COUNTIF('Master Data'!$F$6:$F$13,C264)=1),"OK","INVALID"))</f>
        <v/>
      </c>
    </row>
    <row r="265">
      <c r="A265" s="7" t="n"/>
      <c r="B265" s="13" t="n"/>
      <c r="C265" s="13" t="n"/>
      <c r="D265" s="14" t="n"/>
      <c r="E265" s="15" t="n"/>
      <c r="F265" s="16" t="n"/>
      <c r="G265" s="16" t="n"/>
      <c r="H265" s="16" t="n"/>
      <c r="I265" s="17">
        <f>IF(COUNTA(A265:C265)=0,"",IF(COUNTIFS($A$5:$A$504,A265,$B$5:$B$504,B265,$C$5:$C$504,C265)&gt;1,"DUPLICATE","OK"))</f>
        <v/>
      </c>
      <c r="J265" s="17">
        <f>IF(COUNTA(A265:C265)=0,"",IF(AND(COUNTIF('Master Data'!$A$6:$A$145,B265)=1,COUNTIF('Master Data'!$F$6:$F$13,C265)=1),"OK","INVALID"))</f>
        <v/>
      </c>
    </row>
    <row r="266">
      <c r="A266" s="7" t="n"/>
      <c r="B266" s="13" t="n"/>
      <c r="C266" s="13" t="n"/>
      <c r="D266" s="14" t="n"/>
      <c r="E266" s="15" t="n"/>
      <c r="F266" s="16" t="n"/>
      <c r="G266" s="16" t="n"/>
      <c r="H266" s="16" t="n"/>
      <c r="I266" s="17">
        <f>IF(COUNTA(A266:C266)=0,"",IF(COUNTIFS($A$5:$A$504,A266,$B$5:$B$504,B266,$C$5:$C$504,C266)&gt;1,"DUPLICATE","OK"))</f>
        <v/>
      </c>
      <c r="J266" s="17">
        <f>IF(COUNTA(A266:C266)=0,"",IF(AND(COUNTIF('Master Data'!$A$6:$A$145,B266)=1,COUNTIF('Master Data'!$F$6:$F$13,C266)=1),"OK","INVALID"))</f>
        <v/>
      </c>
    </row>
    <row r="267">
      <c r="A267" s="7" t="n"/>
      <c r="B267" s="13" t="n"/>
      <c r="C267" s="13" t="n"/>
      <c r="D267" s="14" t="n"/>
      <c r="E267" s="15" t="n"/>
      <c r="F267" s="16" t="n"/>
      <c r="G267" s="16" t="n"/>
      <c r="H267" s="16" t="n"/>
      <c r="I267" s="17">
        <f>IF(COUNTA(A267:C267)=0,"",IF(COUNTIFS($A$5:$A$504,A267,$B$5:$B$504,B267,$C$5:$C$504,C267)&gt;1,"DUPLICATE","OK"))</f>
        <v/>
      </c>
      <c r="J267" s="17">
        <f>IF(COUNTA(A267:C267)=0,"",IF(AND(COUNTIF('Master Data'!$A$6:$A$145,B267)=1,COUNTIF('Master Data'!$F$6:$F$13,C267)=1),"OK","INVALID"))</f>
        <v/>
      </c>
    </row>
    <row r="268">
      <c r="A268" s="7" t="n"/>
      <c r="B268" s="13" t="n"/>
      <c r="C268" s="13" t="n"/>
      <c r="D268" s="14" t="n"/>
      <c r="E268" s="15" t="n"/>
      <c r="F268" s="16" t="n"/>
      <c r="G268" s="16" t="n"/>
      <c r="H268" s="16" t="n"/>
      <c r="I268" s="17">
        <f>IF(COUNTA(A268:C268)=0,"",IF(COUNTIFS($A$5:$A$504,A268,$B$5:$B$504,B268,$C$5:$C$504,C268)&gt;1,"DUPLICATE","OK"))</f>
        <v/>
      </c>
      <c r="J268" s="17">
        <f>IF(COUNTA(A268:C268)=0,"",IF(AND(COUNTIF('Master Data'!$A$6:$A$145,B268)=1,COUNTIF('Master Data'!$F$6:$F$13,C268)=1),"OK","INVALID"))</f>
        <v/>
      </c>
    </row>
    <row r="269">
      <c r="A269" s="7" t="n"/>
      <c r="B269" s="13" t="n"/>
      <c r="C269" s="13" t="n"/>
      <c r="D269" s="14" t="n"/>
      <c r="E269" s="15" t="n"/>
      <c r="F269" s="16" t="n"/>
      <c r="G269" s="16" t="n"/>
      <c r="H269" s="16" t="n"/>
      <c r="I269" s="17">
        <f>IF(COUNTA(A269:C269)=0,"",IF(COUNTIFS($A$5:$A$504,A269,$B$5:$B$504,B269,$C$5:$C$504,C269)&gt;1,"DUPLICATE","OK"))</f>
        <v/>
      </c>
      <c r="J269" s="17">
        <f>IF(COUNTA(A269:C269)=0,"",IF(AND(COUNTIF('Master Data'!$A$6:$A$145,B269)=1,COUNTIF('Master Data'!$F$6:$F$13,C269)=1),"OK","INVALID"))</f>
        <v/>
      </c>
    </row>
    <row r="270">
      <c r="A270" s="7" t="n"/>
      <c r="B270" s="13" t="n"/>
      <c r="C270" s="13" t="n"/>
      <c r="D270" s="14" t="n"/>
      <c r="E270" s="15" t="n"/>
      <c r="F270" s="16" t="n"/>
      <c r="G270" s="16" t="n"/>
      <c r="H270" s="16" t="n"/>
      <c r="I270" s="17">
        <f>IF(COUNTA(A270:C270)=0,"",IF(COUNTIFS($A$5:$A$504,A270,$B$5:$B$504,B270,$C$5:$C$504,C270)&gt;1,"DUPLICATE","OK"))</f>
        <v/>
      </c>
      <c r="J270" s="17">
        <f>IF(COUNTA(A270:C270)=0,"",IF(AND(COUNTIF('Master Data'!$A$6:$A$145,B270)=1,COUNTIF('Master Data'!$F$6:$F$13,C270)=1),"OK","INVALID"))</f>
        <v/>
      </c>
    </row>
    <row r="271">
      <c r="A271" s="7" t="n"/>
      <c r="B271" s="13" t="n"/>
      <c r="C271" s="13" t="n"/>
      <c r="D271" s="14" t="n"/>
      <c r="E271" s="15" t="n"/>
      <c r="F271" s="16" t="n"/>
      <c r="G271" s="16" t="n"/>
      <c r="H271" s="16" t="n"/>
      <c r="I271" s="17">
        <f>IF(COUNTA(A271:C271)=0,"",IF(COUNTIFS($A$5:$A$504,A271,$B$5:$B$504,B271,$C$5:$C$504,C271)&gt;1,"DUPLICATE","OK"))</f>
        <v/>
      </c>
      <c r="J271" s="17">
        <f>IF(COUNTA(A271:C271)=0,"",IF(AND(COUNTIF('Master Data'!$A$6:$A$145,B271)=1,COUNTIF('Master Data'!$F$6:$F$13,C271)=1),"OK","INVALID"))</f>
        <v/>
      </c>
    </row>
    <row r="272">
      <c r="A272" s="7" t="n"/>
      <c r="B272" s="13" t="n"/>
      <c r="C272" s="13" t="n"/>
      <c r="D272" s="14" t="n"/>
      <c r="E272" s="15" t="n"/>
      <c r="F272" s="16" t="n"/>
      <c r="G272" s="16" t="n"/>
      <c r="H272" s="16" t="n"/>
      <c r="I272" s="17">
        <f>IF(COUNTA(A272:C272)=0,"",IF(COUNTIFS($A$5:$A$504,A272,$B$5:$B$504,B272,$C$5:$C$504,C272)&gt;1,"DUPLICATE","OK"))</f>
        <v/>
      </c>
      <c r="J272" s="17">
        <f>IF(COUNTA(A272:C272)=0,"",IF(AND(COUNTIF('Master Data'!$A$6:$A$145,B272)=1,COUNTIF('Master Data'!$F$6:$F$13,C272)=1),"OK","INVALID"))</f>
        <v/>
      </c>
    </row>
    <row r="273">
      <c r="A273" s="7" t="n"/>
      <c r="B273" s="13" t="n"/>
      <c r="C273" s="13" t="n"/>
      <c r="D273" s="14" t="n"/>
      <c r="E273" s="15" t="n"/>
      <c r="F273" s="16" t="n"/>
      <c r="G273" s="16" t="n"/>
      <c r="H273" s="16" t="n"/>
      <c r="I273" s="17">
        <f>IF(COUNTA(A273:C273)=0,"",IF(COUNTIFS($A$5:$A$504,A273,$B$5:$B$504,B273,$C$5:$C$504,C273)&gt;1,"DUPLICATE","OK"))</f>
        <v/>
      </c>
      <c r="J273" s="17">
        <f>IF(COUNTA(A273:C273)=0,"",IF(AND(COUNTIF('Master Data'!$A$6:$A$145,B273)=1,COUNTIF('Master Data'!$F$6:$F$13,C273)=1),"OK","INVALID"))</f>
        <v/>
      </c>
    </row>
    <row r="274">
      <c r="A274" s="7" t="n"/>
      <c r="B274" s="13" t="n"/>
      <c r="C274" s="13" t="n"/>
      <c r="D274" s="14" t="n"/>
      <c r="E274" s="15" t="n"/>
      <c r="F274" s="16" t="n"/>
      <c r="G274" s="16" t="n"/>
      <c r="H274" s="16" t="n"/>
      <c r="I274" s="17">
        <f>IF(COUNTA(A274:C274)=0,"",IF(COUNTIFS($A$5:$A$504,A274,$B$5:$B$504,B274,$C$5:$C$504,C274)&gt;1,"DUPLICATE","OK"))</f>
        <v/>
      </c>
      <c r="J274" s="17">
        <f>IF(COUNTA(A274:C274)=0,"",IF(AND(COUNTIF('Master Data'!$A$6:$A$145,B274)=1,COUNTIF('Master Data'!$F$6:$F$13,C274)=1),"OK","INVALID"))</f>
        <v/>
      </c>
    </row>
    <row r="275">
      <c r="A275" s="7" t="n"/>
      <c r="B275" s="13" t="n"/>
      <c r="C275" s="13" t="n"/>
      <c r="D275" s="14" t="n"/>
      <c r="E275" s="15" t="n"/>
      <c r="F275" s="16" t="n"/>
      <c r="G275" s="16" t="n"/>
      <c r="H275" s="16" t="n"/>
      <c r="I275" s="17">
        <f>IF(COUNTA(A275:C275)=0,"",IF(COUNTIFS($A$5:$A$504,A275,$B$5:$B$504,B275,$C$5:$C$504,C275)&gt;1,"DUPLICATE","OK"))</f>
        <v/>
      </c>
      <c r="J275" s="17">
        <f>IF(COUNTA(A275:C275)=0,"",IF(AND(COUNTIF('Master Data'!$A$6:$A$145,B275)=1,COUNTIF('Master Data'!$F$6:$F$13,C275)=1),"OK","INVALID"))</f>
        <v/>
      </c>
    </row>
    <row r="276">
      <c r="A276" s="7" t="n"/>
      <c r="B276" s="13" t="n"/>
      <c r="C276" s="13" t="n"/>
      <c r="D276" s="14" t="n"/>
      <c r="E276" s="15" t="n"/>
      <c r="F276" s="16" t="n"/>
      <c r="G276" s="16" t="n"/>
      <c r="H276" s="16" t="n"/>
      <c r="I276" s="17">
        <f>IF(COUNTA(A276:C276)=0,"",IF(COUNTIFS($A$5:$A$504,A276,$B$5:$B$504,B276,$C$5:$C$504,C276)&gt;1,"DUPLICATE","OK"))</f>
        <v/>
      </c>
      <c r="J276" s="17">
        <f>IF(COUNTA(A276:C276)=0,"",IF(AND(COUNTIF('Master Data'!$A$6:$A$145,B276)=1,COUNTIF('Master Data'!$F$6:$F$13,C276)=1),"OK","INVALID"))</f>
        <v/>
      </c>
    </row>
    <row r="277">
      <c r="A277" s="7" t="n"/>
      <c r="B277" s="13" t="n"/>
      <c r="C277" s="13" t="n"/>
      <c r="D277" s="14" t="n"/>
      <c r="E277" s="15" t="n"/>
      <c r="F277" s="16" t="n"/>
      <c r="G277" s="16" t="n"/>
      <c r="H277" s="16" t="n"/>
      <c r="I277" s="17">
        <f>IF(COUNTA(A277:C277)=0,"",IF(COUNTIFS($A$5:$A$504,A277,$B$5:$B$504,B277,$C$5:$C$504,C277)&gt;1,"DUPLICATE","OK"))</f>
        <v/>
      </c>
      <c r="J277" s="17">
        <f>IF(COUNTA(A277:C277)=0,"",IF(AND(COUNTIF('Master Data'!$A$6:$A$145,B277)=1,COUNTIF('Master Data'!$F$6:$F$13,C277)=1),"OK","INVALID"))</f>
        <v/>
      </c>
    </row>
    <row r="278">
      <c r="A278" s="7" t="n"/>
      <c r="B278" s="13" t="n"/>
      <c r="C278" s="13" t="n"/>
      <c r="D278" s="14" t="n"/>
      <c r="E278" s="15" t="n"/>
      <c r="F278" s="16" t="n"/>
      <c r="G278" s="16" t="n"/>
      <c r="H278" s="16" t="n"/>
      <c r="I278" s="17">
        <f>IF(COUNTA(A278:C278)=0,"",IF(COUNTIFS($A$5:$A$504,A278,$B$5:$B$504,B278,$C$5:$C$504,C278)&gt;1,"DUPLICATE","OK"))</f>
        <v/>
      </c>
      <c r="J278" s="17">
        <f>IF(COUNTA(A278:C278)=0,"",IF(AND(COUNTIF('Master Data'!$A$6:$A$145,B278)=1,COUNTIF('Master Data'!$F$6:$F$13,C278)=1),"OK","INVALID"))</f>
        <v/>
      </c>
    </row>
    <row r="279">
      <c r="A279" s="7" t="n"/>
      <c r="B279" s="13" t="n"/>
      <c r="C279" s="13" t="n"/>
      <c r="D279" s="14" t="n"/>
      <c r="E279" s="15" t="n"/>
      <c r="F279" s="16" t="n"/>
      <c r="G279" s="16" t="n"/>
      <c r="H279" s="16" t="n"/>
      <c r="I279" s="17">
        <f>IF(COUNTA(A279:C279)=0,"",IF(COUNTIFS($A$5:$A$504,A279,$B$5:$B$504,B279,$C$5:$C$504,C279)&gt;1,"DUPLICATE","OK"))</f>
        <v/>
      </c>
      <c r="J279" s="17">
        <f>IF(COUNTA(A279:C279)=0,"",IF(AND(COUNTIF('Master Data'!$A$6:$A$145,B279)=1,COUNTIF('Master Data'!$F$6:$F$13,C279)=1),"OK","INVALID"))</f>
        <v/>
      </c>
    </row>
    <row r="280">
      <c r="A280" s="7" t="n"/>
      <c r="B280" s="13" t="n"/>
      <c r="C280" s="13" t="n"/>
      <c r="D280" s="14" t="n"/>
      <c r="E280" s="15" t="n"/>
      <c r="F280" s="16" t="n"/>
      <c r="G280" s="16" t="n"/>
      <c r="H280" s="16" t="n"/>
      <c r="I280" s="17">
        <f>IF(COUNTA(A280:C280)=0,"",IF(COUNTIFS($A$5:$A$504,A280,$B$5:$B$504,B280,$C$5:$C$504,C280)&gt;1,"DUPLICATE","OK"))</f>
        <v/>
      </c>
      <c r="J280" s="17">
        <f>IF(COUNTA(A280:C280)=0,"",IF(AND(COUNTIF('Master Data'!$A$6:$A$145,B280)=1,COUNTIF('Master Data'!$F$6:$F$13,C280)=1),"OK","INVALID"))</f>
        <v/>
      </c>
    </row>
    <row r="281">
      <c r="A281" s="7" t="n"/>
      <c r="B281" s="13" t="n"/>
      <c r="C281" s="13" t="n"/>
      <c r="D281" s="14" t="n"/>
      <c r="E281" s="15" t="n"/>
      <c r="F281" s="16" t="n"/>
      <c r="G281" s="16" t="n"/>
      <c r="H281" s="16" t="n"/>
      <c r="I281" s="17">
        <f>IF(COUNTA(A281:C281)=0,"",IF(COUNTIFS($A$5:$A$504,A281,$B$5:$B$504,B281,$C$5:$C$504,C281)&gt;1,"DUPLICATE","OK"))</f>
        <v/>
      </c>
      <c r="J281" s="17">
        <f>IF(COUNTA(A281:C281)=0,"",IF(AND(COUNTIF('Master Data'!$A$6:$A$145,B281)=1,COUNTIF('Master Data'!$F$6:$F$13,C281)=1),"OK","INVALID"))</f>
        <v/>
      </c>
    </row>
    <row r="282">
      <c r="A282" s="7" t="n"/>
      <c r="B282" s="13" t="n"/>
      <c r="C282" s="13" t="n"/>
      <c r="D282" s="14" t="n"/>
      <c r="E282" s="15" t="n"/>
      <c r="F282" s="16" t="n"/>
      <c r="G282" s="16" t="n"/>
      <c r="H282" s="16" t="n"/>
      <c r="I282" s="17">
        <f>IF(COUNTA(A282:C282)=0,"",IF(COUNTIFS($A$5:$A$504,A282,$B$5:$B$504,B282,$C$5:$C$504,C282)&gt;1,"DUPLICATE","OK"))</f>
        <v/>
      </c>
      <c r="J282" s="17">
        <f>IF(COUNTA(A282:C282)=0,"",IF(AND(COUNTIF('Master Data'!$A$6:$A$145,B282)=1,COUNTIF('Master Data'!$F$6:$F$13,C282)=1),"OK","INVALID"))</f>
        <v/>
      </c>
    </row>
    <row r="283">
      <c r="A283" s="7" t="n"/>
      <c r="B283" s="13" t="n"/>
      <c r="C283" s="13" t="n"/>
      <c r="D283" s="14" t="n"/>
      <c r="E283" s="15" t="n"/>
      <c r="F283" s="16" t="n"/>
      <c r="G283" s="16" t="n"/>
      <c r="H283" s="16" t="n"/>
      <c r="I283" s="17">
        <f>IF(COUNTA(A283:C283)=0,"",IF(COUNTIFS($A$5:$A$504,A283,$B$5:$B$504,B283,$C$5:$C$504,C283)&gt;1,"DUPLICATE","OK"))</f>
        <v/>
      </c>
      <c r="J283" s="17">
        <f>IF(COUNTA(A283:C283)=0,"",IF(AND(COUNTIF('Master Data'!$A$6:$A$145,B283)=1,COUNTIF('Master Data'!$F$6:$F$13,C283)=1),"OK","INVALID"))</f>
        <v/>
      </c>
    </row>
    <row r="284">
      <c r="A284" s="7" t="n"/>
      <c r="B284" s="13" t="n"/>
      <c r="C284" s="13" t="n"/>
      <c r="D284" s="14" t="n"/>
      <c r="E284" s="15" t="n"/>
      <c r="F284" s="16" t="n"/>
      <c r="G284" s="16" t="n"/>
      <c r="H284" s="16" t="n"/>
      <c r="I284" s="17">
        <f>IF(COUNTA(A284:C284)=0,"",IF(COUNTIFS($A$5:$A$504,A284,$B$5:$B$504,B284,$C$5:$C$504,C284)&gt;1,"DUPLICATE","OK"))</f>
        <v/>
      </c>
      <c r="J284" s="17">
        <f>IF(COUNTA(A284:C284)=0,"",IF(AND(COUNTIF('Master Data'!$A$6:$A$145,B284)=1,COUNTIF('Master Data'!$F$6:$F$13,C284)=1),"OK","INVALID"))</f>
        <v/>
      </c>
    </row>
    <row r="285">
      <c r="A285" s="7" t="n"/>
      <c r="B285" s="13" t="n"/>
      <c r="C285" s="13" t="n"/>
      <c r="D285" s="14" t="n"/>
      <c r="E285" s="15" t="n"/>
      <c r="F285" s="16" t="n"/>
      <c r="G285" s="16" t="n"/>
      <c r="H285" s="16" t="n"/>
      <c r="I285" s="17">
        <f>IF(COUNTA(A285:C285)=0,"",IF(COUNTIFS($A$5:$A$504,A285,$B$5:$B$504,B285,$C$5:$C$504,C285)&gt;1,"DUPLICATE","OK"))</f>
        <v/>
      </c>
      <c r="J285" s="17">
        <f>IF(COUNTA(A285:C285)=0,"",IF(AND(COUNTIF('Master Data'!$A$6:$A$145,B285)=1,COUNTIF('Master Data'!$F$6:$F$13,C285)=1),"OK","INVALID"))</f>
        <v/>
      </c>
    </row>
    <row r="286">
      <c r="A286" s="7" t="n"/>
      <c r="B286" s="13" t="n"/>
      <c r="C286" s="13" t="n"/>
      <c r="D286" s="14" t="n"/>
      <c r="E286" s="15" t="n"/>
      <c r="F286" s="16" t="n"/>
      <c r="G286" s="16" t="n"/>
      <c r="H286" s="16" t="n"/>
      <c r="I286" s="17">
        <f>IF(COUNTA(A286:C286)=0,"",IF(COUNTIFS($A$5:$A$504,A286,$B$5:$B$504,B286,$C$5:$C$504,C286)&gt;1,"DUPLICATE","OK"))</f>
        <v/>
      </c>
      <c r="J286" s="17">
        <f>IF(COUNTA(A286:C286)=0,"",IF(AND(COUNTIF('Master Data'!$A$6:$A$145,B286)=1,COUNTIF('Master Data'!$F$6:$F$13,C286)=1),"OK","INVALID"))</f>
        <v/>
      </c>
    </row>
    <row r="287">
      <c r="A287" s="7" t="n"/>
      <c r="B287" s="13" t="n"/>
      <c r="C287" s="13" t="n"/>
      <c r="D287" s="14" t="n"/>
      <c r="E287" s="15" t="n"/>
      <c r="F287" s="16" t="n"/>
      <c r="G287" s="16" t="n"/>
      <c r="H287" s="16" t="n"/>
      <c r="I287" s="17">
        <f>IF(COUNTA(A287:C287)=0,"",IF(COUNTIFS($A$5:$A$504,A287,$B$5:$B$504,B287,$C$5:$C$504,C287)&gt;1,"DUPLICATE","OK"))</f>
        <v/>
      </c>
      <c r="J287" s="17">
        <f>IF(COUNTA(A287:C287)=0,"",IF(AND(COUNTIF('Master Data'!$A$6:$A$145,B287)=1,COUNTIF('Master Data'!$F$6:$F$13,C287)=1),"OK","INVALID"))</f>
        <v/>
      </c>
    </row>
    <row r="288">
      <c r="A288" s="7" t="n"/>
      <c r="B288" s="13" t="n"/>
      <c r="C288" s="13" t="n"/>
      <c r="D288" s="14" t="n"/>
      <c r="E288" s="15" t="n"/>
      <c r="F288" s="16" t="n"/>
      <c r="G288" s="16" t="n"/>
      <c r="H288" s="16" t="n"/>
      <c r="I288" s="17">
        <f>IF(COUNTA(A288:C288)=0,"",IF(COUNTIFS($A$5:$A$504,A288,$B$5:$B$504,B288,$C$5:$C$504,C288)&gt;1,"DUPLICATE","OK"))</f>
        <v/>
      </c>
      <c r="J288" s="17">
        <f>IF(COUNTA(A288:C288)=0,"",IF(AND(COUNTIF('Master Data'!$A$6:$A$145,B288)=1,COUNTIF('Master Data'!$F$6:$F$13,C288)=1),"OK","INVALID"))</f>
        <v/>
      </c>
    </row>
    <row r="289">
      <c r="A289" s="7" t="n"/>
      <c r="B289" s="13" t="n"/>
      <c r="C289" s="13" t="n"/>
      <c r="D289" s="14" t="n"/>
      <c r="E289" s="15" t="n"/>
      <c r="F289" s="16" t="n"/>
      <c r="G289" s="16" t="n"/>
      <c r="H289" s="16" t="n"/>
      <c r="I289" s="17">
        <f>IF(COUNTA(A289:C289)=0,"",IF(COUNTIFS($A$5:$A$504,A289,$B$5:$B$504,B289,$C$5:$C$504,C289)&gt;1,"DUPLICATE","OK"))</f>
        <v/>
      </c>
      <c r="J289" s="17">
        <f>IF(COUNTA(A289:C289)=0,"",IF(AND(COUNTIF('Master Data'!$A$6:$A$145,B289)=1,COUNTIF('Master Data'!$F$6:$F$13,C289)=1),"OK","INVALID"))</f>
        <v/>
      </c>
    </row>
    <row r="290">
      <c r="A290" s="7" t="n"/>
      <c r="B290" s="13" t="n"/>
      <c r="C290" s="13" t="n"/>
      <c r="D290" s="14" t="n"/>
      <c r="E290" s="15" t="n"/>
      <c r="F290" s="16" t="n"/>
      <c r="G290" s="16" t="n"/>
      <c r="H290" s="16" t="n"/>
      <c r="I290" s="17">
        <f>IF(COUNTA(A290:C290)=0,"",IF(COUNTIFS($A$5:$A$504,A290,$B$5:$B$504,B290,$C$5:$C$504,C290)&gt;1,"DUPLICATE","OK"))</f>
        <v/>
      </c>
      <c r="J290" s="17">
        <f>IF(COUNTA(A290:C290)=0,"",IF(AND(COUNTIF('Master Data'!$A$6:$A$145,B290)=1,COUNTIF('Master Data'!$F$6:$F$13,C290)=1),"OK","INVALID"))</f>
        <v/>
      </c>
    </row>
    <row r="291">
      <c r="A291" s="7" t="n"/>
      <c r="B291" s="13" t="n"/>
      <c r="C291" s="13" t="n"/>
      <c r="D291" s="14" t="n"/>
      <c r="E291" s="15" t="n"/>
      <c r="F291" s="16" t="n"/>
      <c r="G291" s="16" t="n"/>
      <c r="H291" s="16" t="n"/>
      <c r="I291" s="17">
        <f>IF(COUNTA(A291:C291)=0,"",IF(COUNTIFS($A$5:$A$504,A291,$B$5:$B$504,B291,$C$5:$C$504,C291)&gt;1,"DUPLICATE","OK"))</f>
        <v/>
      </c>
      <c r="J291" s="17">
        <f>IF(COUNTA(A291:C291)=0,"",IF(AND(COUNTIF('Master Data'!$A$6:$A$145,B291)=1,COUNTIF('Master Data'!$F$6:$F$13,C291)=1),"OK","INVALID"))</f>
        <v/>
      </c>
    </row>
    <row r="292">
      <c r="A292" s="7" t="n"/>
      <c r="B292" s="13" t="n"/>
      <c r="C292" s="13" t="n"/>
      <c r="D292" s="14" t="n"/>
      <c r="E292" s="15" t="n"/>
      <c r="F292" s="16" t="n"/>
      <c r="G292" s="16" t="n"/>
      <c r="H292" s="16" t="n"/>
      <c r="I292" s="17">
        <f>IF(COUNTA(A292:C292)=0,"",IF(COUNTIFS($A$5:$A$504,A292,$B$5:$B$504,B292,$C$5:$C$504,C292)&gt;1,"DUPLICATE","OK"))</f>
        <v/>
      </c>
      <c r="J292" s="17">
        <f>IF(COUNTA(A292:C292)=0,"",IF(AND(COUNTIF('Master Data'!$A$6:$A$145,B292)=1,COUNTIF('Master Data'!$F$6:$F$13,C292)=1),"OK","INVALID"))</f>
        <v/>
      </c>
    </row>
    <row r="293">
      <c r="A293" s="7" t="n"/>
      <c r="B293" s="13" t="n"/>
      <c r="C293" s="13" t="n"/>
      <c r="D293" s="14" t="n"/>
      <c r="E293" s="15" t="n"/>
      <c r="F293" s="16" t="n"/>
      <c r="G293" s="16" t="n"/>
      <c r="H293" s="16" t="n"/>
      <c r="I293" s="17">
        <f>IF(COUNTA(A293:C293)=0,"",IF(COUNTIFS($A$5:$A$504,A293,$B$5:$B$504,B293,$C$5:$C$504,C293)&gt;1,"DUPLICATE","OK"))</f>
        <v/>
      </c>
      <c r="J293" s="17">
        <f>IF(COUNTA(A293:C293)=0,"",IF(AND(COUNTIF('Master Data'!$A$6:$A$145,B293)=1,COUNTIF('Master Data'!$F$6:$F$13,C293)=1),"OK","INVALID"))</f>
        <v/>
      </c>
    </row>
    <row r="294">
      <c r="A294" s="7" t="n"/>
      <c r="B294" s="13" t="n"/>
      <c r="C294" s="13" t="n"/>
      <c r="D294" s="14" t="n"/>
      <c r="E294" s="15" t="n"/>
      <c r="F294" s="16" t="n"/>
      <c r="G294" s="16" t="n"/>
      <c r="H294" s="16" t="n"/>
      <c r="I294" s="17">
        <f>IF(COUNTA(A294:C294)=0,"",IF(COUNTIFS($A$5:$A$504,A294,$B$5:$B$504,B294,$C$5:$C$504,C294)&gt;1,"DUPLICATE","OK"))</f>
        <v/>
      </c>
      <c r="J294" s="17">
        <f>IF(COUNTA(A294:C294)=0,"",IF(AND(COUNTIF('Master Data'!$A$6:$A$145,B294)=1,COUNTIF('Master Data'!$F$6:$F$13,C294)=1),"OK","INVALID"))</f>
        <v/>
      </c>
    </row>
    <row r="295">
      <c r="A295" s="7" t="n"/>
      <c r="B295" s="13" t="n"/>
      <c r="C295" s="13" t="n"/>
      <c r="D295" s="14" t="n"/>
      <c r="E295" s="15" t="n"/>
      <c r="F295" s="16" t="n"/>
      <c r="G295" s="16" t="n"/>
      <c r="H295" s="16" t="n"/>
      <c r="I295" s="17">
        <f>IF(COUNTA(A295:C295)=0,"",IF(COUNTIFS($A$5:$A$504,A295,$B$5:$B$504,B295,$C$5:$C$504,C295)&gt;1,"DUPLICATE","OK"))</f>
        <v/>
      </c>
      <c r="J295" s="17">
        <f>IF(COUNTA(A295:C295)=0,"",IF(AND(COUNTIF('Master Data'!$A$6:$A$145,B295)=1,COUNTIF('Master Data'!$F$6:$F$13,C295)=1),"OK","INVALID"))</f>
        <v/>
      </c>
    </row>
    <row r="296">
      <c r="A296" s="7" t="n"/>
      <c r="B296" s="13" t="n"/>
      <c r="C296" s="13" t="n"/>
      <c r="D296" s="14" t="n"/>
      <c r="E296" s="15" t="n"/>
      <c r="F296" s="16" t="n"/>
      <c r="G296" s="16" t="n"/>
      <c r="H296" s="16" t="n"/>
      <c r="I296" s="17">
        <f>IF(COUNTA(A296:C296)=0,"",IF(COUNTIFS($A$5:$A$504,A296,$B$5:$B$504,B296,$C$5:$C$504,C296)&gt;1,"DUPLICATE","OK"))</f>
        <v/>
      </c>
      <c r="J296" s="17">
        <f>IF(COUNTA(A296:C296)=0,"",IF(AND(COUNTIF('Master Data'!$A$6:$A$145,B296)=1,COUNTIF('Master Data'!$F$6:$F$13,C296)=1),"OK","INVALID"))</f>
        <v/>
      </c>
    </row>
    <row r="297">
      <c r="A297" s="7" t="n"/>
      <c r="B297" s="13" t="n"/>
      <c r="C297" s="13" t="n"/>
      <c r="D297" s="14" t="n"/>
      <c r="E297" s="15" t="n"/>
      <c r="F297" s="16" t="n"/>
      <c r="G297" s="16" t="n"/>
      <c r="H297" s="16" t="n"/>
      <c r="I297" s="17">
        <f>IF(COUNTA(A297:C297)=0,"",IF(COUNTIFS($A$5:$A$504,A297,$B$5:$B$504,B297,$C$5:$C$504,C297)&gt;1,"DUPLICATE","OK"))</f>
        <v/>
      </c>
      <c r="J297" s="17">
        <f>IF(COUNTA(A297:C297)=0,"",IF(AND(COUNTIF('Master Data'!$A$6:$A$145,B297)=1,COUNTIF('Master Data'!$F$6:$F$13,C297)=1),"OK","INVALID"))</f>
        <v/>
      </c>
    </row>
    <row r="298">
      <c r="A298" s="7" t="n"/>
      <c r="B298" s="13" t="n"/>
      <c r="C298" s="13" t="n"/>
      <c r="D298" s="14" t="n"/>
      <c r="E298" s="15" t="n"/>
      <c r="F298" s="16" t="n"/>
      <c r="G298" s="16" t="n"/>
      <c r="H298" s="16" t="n"/>
      <c r="I298" s="17">
        <f>IF(COUNTA(A298:C298)=0,"",IF(COUNTIFS($A$5:$A$504,A298,$B$5:$B$504,B298,$C$5:$C$504,C298)&gt;1,"DUPLICATE","OK"))</f>
        <v/>
      </c>
      <c r="J298" s="17">
        <f>IF(COUNTA(A298:C298)=0,"",IF(AND(COUNTIF('Master Data'!$A$6:$A$145,B298)=1,COUNTIF('Master Data'!$F$6:$F$13,C298)=1),"OK","INVALID"))</f>
        <v/>
      </c>
    </row>
    <row r="299">
      <c r="A299" s="7" t="n"/>
      <c r="B299" s="13" t="n"/>
      <c r="C299" s="13" t="n"/>
      <c r="D299" s="14" t="n"/>
      <c r="E299" s="15" t="n"/>
      <c r="F299" s="16" t="n"/>
      <c r="G299" s="16" t="n"/>
      <c r="H299" s="16" t="n"/>
      <c r="I299" s="17">
        <f>IF(COUNTA(A299:C299)=0,"",IF(COUNTIFS($A$5:$A$504,A299,$B$5:$B$504,B299,$C$5:$C$504,C299)&gt;1,"DUPLICATE","OK"))</f>
        <v/>
      </c>
      <c r="J299" s="17">
        <f>IF(COUNTA(A299:C299)=0,"",IF(AND(COUNTIF('Master Data'!$A$6:$A$145,B299)=1,COUNTIF('Master Data'!$F$6:$F$13,C299)=1),"OK","INVALID"))</f>
        <v/>
      </c>
    </row>
    <row r="300">
      <c r="A300" s="7" t="n"/>
      <c r="B300" s="13" t="n"/>
      <c r="C300" s="13" t="n"/>
      <c r="D300" s="14" t="n"/>
      <c r="E300" s="15" t="n"/>
      <c r="F300" s="16" t="n"/>
      <c r="G300" s="16" t="n"/>
      <c r="H300" s="16" t="n"/>
      <c r="I300" s="17">
        <f>IF(COUNTA(A300:C300)=0,"",IF(COUNTIFS($A$5:$A$504,A300,$B$5:$B$504,B300,$C$5:$C$504,C300)&gt;1,"DUPLICATE","OK"))</f>
        <v/>
      </c>
      <c r="J300" s="17">
        <f>IF(COUNTA(A300:C300)=0,"",IF(AND(COUNTIF('Master Data'!$A$6:$A$145,B300)=1,COUNTIF('Master Data'!$F$6:$F$13,C300)=1),"OK","INVALID"))</f>
        <v/>
      </c>
    </row>
    <row r="301">
      <c r="A301" s="7" t="n"/>
      <c r="B301" s="13" t="n"/>
      <c r="C301" s="13" t="n"/>
      <c r="D301" s="14" t="n"/>
      <c r="E301" s="15" t="n"/>
      <c r="F301" s="16" t="n"/>
      <c r="G301" s="16" t="n"/>
      <c r="H301" s="16" t="n"/>
      <c r="I301" s="17">
        <f>IF(COUNTA(A301:C301)=0,"",IF(COUNTIFS($A$5:$A$504,A301,$B$5:$B$504,B301,$C$5:$C$504,C301)&gt;1,"DUPLICATE","OK"))</f>
        <v/>
      </c>
      <c r="J301" s="17">
        <f>IF(COUNTA(A301:C301)=0,"",IF(AND(COUNTIF('Master Data'!$A$6:$A$145,B301)=1,COUNTIF('Master Data'!$F$6:$F$13,C301)=1),"OK","INVALID"))</f>
        <v/>
      </c>
    </row>
    <row r="302">
      <c r="A302" s="7" t="n"/>
      <c r="B302" s="13" t="n"/>
      <c r="C302" s="13" t="n"/>
      <c r="D302" s="14" t="n"/>
      <c r="E302" s="15" t="n"/>
      <c r="F302" s="16" t="n"/>
      <c r="G302" s="16" t="n"/>
      <c r="H302" s="16" t="n"/>
      <c r="I302" s="17">
        <f>IF(COUNTA(A302:C302)=0,"",IF(COUNTIFS($A$5:$A$504,A302,$B$5:$B$504,B302,$C$5:$C$504,C302)&gt;1,"DUPLICATE","OK"))</f>
        <v/>
      </c>
      <c r="J302" s="17">
        <f>IF(COUNTA(A302:C302)=0,"",IF(AND(COUNTIF('Master Data'!$A$6:$A$145,B302)=1,COUNTIF('Master Data'!$F$6:$F$13,C302)=1),"OK","INVALID"))</f>
        <v/>
      </c>
    </row>
    <row r="303">
      <c r="A303" s="7" t="n"/>
      <c r="B303" s="13" t="n"/>
      <c r="C303" s="13" t="n"/>
      <c r="D303" s="14" t="n"/>
      <c r="E303" s="15" t="n"/>
      <c r="F303" s="16" t="n"/>
      <c r="G303" s="16" t="n"/>
      <c r="H303" s="16" t="n"/>
      <c r="I303" s="17">
        <f>IF(COUNTA(A303:C303)=0,"",IF(COUNTIFS($A$5:$A$504,A303,$B$5:$B$504,B303,$C$5:$C$504,C303)&gt;1,"DUPLICATE","OK"))</f>
        <v/>
      </c>
      <c r="J303" s="17">
        <f>IF(COUNTA(A303:C303)=0,"",IF(AND(COUNTIF('Master Data'!$A$6:$A$145,B303)=1,COUNTIF('Master Data'!$F$6:$F$13,C303)=1),"OK","INVALID"))</f>
        <v/>
      </c>
    </row>
    <row r="304">
      <c r="A304" s="7" t="n"/>
      <c r="B304" s="13" t="n"/>
      <c r="C304" s="13" t="n"/>
      <c r="D304" s="14" t="n"/>
      <c r="E304" s="15" t="n"/>
      <c r="F304" s="16" t="n"/>
      <c r="G304" s="16" t="n"/>
      <c r="H304" s="16" t="n"/>
      <c r="I304" s="17">
        <f>IF(COUNTA(A304:C304)=0,"",IF(COUNTIFS($A$5:$A$504,A304,$B$5:$B$504,B304,$C$5:$C$504,C304)&gt;1,"DUPLICATE","OK"))</f>
        <v/>
      </c>
      <c r="J304" s="17">
        <f>IF(COUNTA(A304:C304)=0,"",IF(AND(COUNTIF('Master Data'!$A$6:$A$145,B304)=1,COUNTIF('Master Data'!$F$6:$F$13,C304)=1),"OK","INVALID"))</f>
        <v/>
      </c>
    </row>
    <row r="305">
      <c r="A305" s="7" t="n"/>
      <c r="B305" s="13" t="n"/>
      <c r="C305" s="13" t="n"/>
      <c r="D305" s="14" t="n"/>
      <c r="E305" s="15" t="n"/>
      <c r="F305" s="16" t="n"/>
      <c r="G305" s="16" t="n"/>
      <c r="H305" s="16" t="n"/>
      <c r="I305" s="17">
        <f>IF(COUNTA(A305:C305)=0,"",IF(COUNTIFS($A$5:$A$504,A305,$B$5:$B$504,B305,$C$5:$C$504,C305)&gt;1,"DUPLICATE","OK"))</f>
        <v/>
      </c>
      <c r="J305" s="17">
        <f>IF(COUNTA(A305:C305)=0,"",IF(AND(COUNTIF('Master Data'!$A$6:$A$145,B305)=1,COUNTIF('Master Data'!$F$6:$F$13,C305)=1),"OK","INVALID"))</f>
        <v/>
      </c>
    </row>
    <row r="306">
      <c r="A306" s="7" t="n"/>
      <c r="B306" s="13" t="n"/>
      <c r="C306" s="13" t="n"/>
      <c r="D306" s="14" t="n"/>
      <c r="E306" s="15" t="n"/>
      <c r="F306" s="16" t="n"/>
      <c r="G306" s="16" t="n"/>
      <c r="H306" s="16" t="n"/>
      <c r="I306" s="17">
        <f>IF(COUNTA(A306:C306)=0,"",IF(COUNTIFS($A$5:$A$504,A306,$B$5:$B$504,B306,$C$5:$C$504,C306)&gt;1,"DUPLICATE","OK"))</f>
        <v/>
      </c>
      <c r="J306" s="17">
        <f>IF(COUNTA(A306:C306)=0,"",IF(AND(COUNTIF('Master Data'!$A$6:$A$145,B306)=1,COUNTIF('Master Data'!$F$6:$F$13,C306)=1),"OK","INVALID"))</f>
        <v/>
      </c>
    </row>
    <row r="307">
      <c r="A307" s="7" t="n"/>
      <c r="B307" s="13" t="n"/>
      <c r="C307" s="13" t="n"/>
      <c r="D307" s="14" t="n"/>
      <c r="E307" s="15" t="n"/>
      <c r="F307" s="16" t="n"/>
      <c r="G307" s="16" t="n"/>
      <c r="H307" s="16" t="n"/>
      <c r="I307" s="17">
        <f>IF(COUNTA(A307:C307)=0,"",IF(COUNTIFS($A$5:$A$504,A307,$B$5:$B$504,B307,$C$5:$C$504,C307)&gt;1,"DUPLICATE","OK"))</f>
        <v/>
      </c>
      <c r="J307" s="17">
        <f>IF(COUNTA(A307:C307)=0,"",IF(AND(COUNTIF('Master Data'!$A$6:$A$145,B307)=1,COUNTIF('Master Data'!$F$6:$F$13,C307)=1),"OK","INVALID"))</f>
        <v/>
      </c>
    </row>
    <row r="308">
      <c r="A308" s="7" t="n"/>
      <c r="B308" s="13" t="n"/>
      <c r="C308" s="13" t="n"/>
      <c r="D308" s="14" t="n"/>
      <c r="E308" s="15" t="n"/>
      <c r="F308" s="16" t="n"/>
      <c r="G308" s="16" t="n"/>
      <c r="H308" s="16" t="n"/>
      <c r="I308" s="17">
        <f>IF(COUNTA(A308:C308)=0,"",IF(COUNTIFS($A$5:$A$504,A308,$B$5:$B$504,B308,$C$5:$C$504,C308)&gt;1,"DUPLICATE","OK"))</f>
        <v/>
      </c>
      <c r="J308" s="17">
        <f>IF(COUNTA(A308:C308)=0,"",IF(AND(COUNTIF('Master Data'!$A$6:$A$145,B308)=1,COUNTIF('Master Data'!$F$6:$F$13,C308)=1),"OK","INVALID"))</f>
        <v/>
      </c>
    </row>
    <row r="309">
      <c r="A309" s="7" t="n"/>
      <c r="B309" s="13" t="n"/>
      <c r="C309" s="13" t="n"/>
      <c r="D309" s="14" t="n"/>
      <c r="E309" s="15" t="n"/>
      <c r="F309" s="16" t="n"/>
      <c r="G309" s="16" t="n"/>
      <c r="H309" s="16" t="n"/>
      <c r="I309" s="17">
        <f>IF(COUNTA(A309:C309)=0,"",IF(COUNTIFS($A$5:$A$504,A309,$B$5:$B$504,B309,$C$5:$C$504,C309)&gt;1,"DUPLICATE","OK"))</f>
        <v/>
      </c>
      <c r="J309" s="17">
        <f>IF(COUNTA(A309:C309)=0,"",IF(AND(COUNTIF('Master Data'!$A$6:$A$145,B309)=1,COUNTIF('Master Data'!$F$6:$F$13,C309)=1),"OK","INVALID"))</f>
        <v/>
      </c>
    </row>
    <row r="310">
      <c r="A310" s="7" t="n"/>
      <c r="B310" s="13" t="n"/>
      <c r="C310" s="13" t="n"/>
      <c r="D310" s="14" t="n"/>
      <c r="E310" s="15" t="n"/>
      <c r="F310" s="16" t="n"/>
      <c r="G310" s="16" t="n"/>
      <c r="H310" s="16" t="n"/>
      <c r="I310" s="17">
        <f>IF(COUNTA(A310:C310)=0,"",IF(COUNTIFS($A$5:$A$504,A310,$B$5:$B$504,B310,$C$5:$C$504,C310)&gt;1,"DUPLICATE","OK"))</f>
        <v/>
      </c>
      <c r="J310" s="17">
        <f>IF(COUNTA(A310:C310)=0,"",IF(AND(COUNTIF('Master Data'!$A$6:$A$145,B310)=1,COUNTIF('Master Data'!$F$6:$F$13,C310)=1),"OK","INVALID"))</f>
        <v/>
      </c>
    </row>
    <row r="311">
      <c r="A311" s="7" t="n"/>
      <c r="B311" s="13" t="n"/>
      <c r="C311" s="13" t="n"/>
      <c r="D311" s="14" t="n"/>
      <c r="E311" s="15" t="n"/>
      <c r="F311" s="16" t="n"/>
      <c r="G311" s="16" t="n"/>
      <c r="H311" s="16" t="n"/>
      <c r="I311" s="17">
        <f>IF(COUNTA(A311:C311)=0,"",IF(COUNTIFS($A$5:$A$504,A311,$B$5:$B$504,B311,$C$5:$C$504,C311)&gt;1,"DUPLICATE","OK"))</f>
        <v/>
      </c>
      <c r="J311" s="17">
        <f>IF(COUNTA(A311:C311)=0,"",IF(AND(COUNTIF('Master Data'!$A$6:$A$145,B311)=1,COUNTIF('Master Data'!$F$6:$F$13,C311)=1),"OK","INVALID"))</f>
        <v/>
      </c>
    </row>
    <row r="312">
      <c r="A312" s="7" t="n"/>
      <c r="B312" s="13" t="n"/>
      <c r="C312" s="13" t="n"/>
      <c r="D312" s="14" t="n"/>
      <c r="E312" s="15" t="n"/>
      <c r="F312" s="16" t="n"/>
      <c r="G312" s="16" t="n"/>
      <c r="H312" s="16" t="n"/>
      <c r="I312" s="17">
        <f>IF(COUNTA(A312:C312)=0,"",IF(COUNTIFS($A$5:$A$504,A312,$B$5:$B$504,B312,$C$5:$C$504,C312)&gt;1,"DUPLICATE","OK"))</f>
        <v/>
      </c>
      <c r="J312" s="17">
        <f>IF(COUNTA(A312:C312)=0,"",IF(AND(COUNTIF('Master Data'!$A$6:$A$145,B312)=1,COUNTIF('Master Data'!$F$6:$F$13,C312)=1),"OK","INVALID"))</f>
        <v/>
      </c>
    </row>
    <row r="313">
      <c r="A313" s="7" t="n"/>
      <c r="B313" s="13" t="n"/>
      <c r="C313" s="13" t="n"/>
      <c r="D313" s="14" t="n"/>
      <c r="E313" s="15" t="n"/>
      <c r="F313" s="16" t="n"/>
      <c r="G313" s="16" t="n"/>
      <c r="H313" s="16" t="n"/>
      <c r="I313" s="17">
        <f>IF(COUNTA(A313:C313)=0,"",IF(COUNTIFS($A$5:$A$504,A313,$B$5:$B$504,B313,$C$5:$C$504,C313)&gt;1,"DUPLICATE","OK"))</f>
        <v/>
      </c>
      <c r="J313" s="17">
        <f>IF(COUNTA(A313:C313)=0,"",IF(AND(COUNTIF('Master Data'!$A$6:$A$145,B313)=1,COUNTIF('Master Data'!$F$6:$F$13,C313)=1),"OK","INVALID"))</f>
        <v/>
      </c>
    </row>
    <row r="314">
      <c r="A314" s="7" t="n"/>
      <c r="B314" s="13" t="n"/>
      <c r="C314" s="13" t="n"/>
      <c r="D314" s="14" t="n"/>
      <c r="E314" s="15" t="n"/>
      <c r="F314" s="16" t="n"/>
      <c r="G314" s="16" t="n"/>
      <c r="H314" s="16" t="n"/>
      <c r="I314" s="17">
        <f>IF(COUNTA(A314:C314)=0,"",IF(COUNTIFS($A$5:$A$504,A314,$B$5:$B$504,B314,$C$5:$C$504,C314)&gt;1,"DUPLICATE","OK"))</f>
        <v/>
      </c>
      <c r="J314" s="17">
        <f>IF(COUNTA(A314:C314)=0,"",IF(AND(COUNTIF('Master Data'!$A$6:$A$145,B314)=1,COUNTIF('Master Data'!$F$6:$F$13,C314)=1),"OK","INVALID"))</f>
        <v/>
      </c>
    </row>
    <row r="315">
      <c r="A315" s="7" t="n"/>
      <c r="B315" s="13" t="n"/>
      <c r="C315" s="13" t="n"/>
      <c r="D315" s="14" t="n"/>
      <c r="E315" s="15" t="n"/>
      <c r="F315" s="16" t="n"/>
      <c r="G315" s="16" t="n"/>
      <c r="H315" s="16" t="n"/>
      <c r="I315" s="17">
        <f>IF(COUNTA(A315:C315)=0,"",IF(COUNTIFS($A$5:$A$504,A315,$B$5:$B$504,B315,$C$5:$C$504,C315)&gt;1,"DUPLICATE","OK"))</f>
        <v/>
      </c>
      <c r="J315" s="17">
        <f>IF(COUNTA(A315:C315)=0,"",IF(AND(COUNTIF('Master Data'!$A$6:$A$145,B315)=1,COUNTIF('Master Data'!$F$6:$F$13,C315)=1),"OK","INVALID"))</f>
        <v/>
      </c>
    </row>
    <row r="316">
      <c r="A316" s="7" t="n"/>
      <c r="B316" s="13" t="n"/>
      <c r="C316" s="13" t="n"/>
      <c r="D316" s="14" t="n"/>
      <c r="E316" s="15" t="n"/>
      <c r="F316" s="16" t="n"/>
      <c r="G316" s="16" t="n"/>
      <c r="H316" s="16" t="n"/>
      <c r="I316" s="17">
        <f>IF(COUNTA(A316:C316)=0,"",IF(COUNTIFS($A$5:$A$504,A316,$B$5:$B$504,B316,$C$5:$C$504,C316)&gt;1,"DUPLICATE","OK"))</f>
        <v/>
      </c>
      <c r="J316" s="17">
        <f>IF(COUNTA(A316:C316)=0,"",IF(AND(COUNTIF('Master Data'!$A$6:$A$145,B316)=1,COUNTIF('Master Data'!$F$6:$F$13,C316)=1),"OK","INVALID"))</f>
        <v/>
      </c>
    </row>
    <row r="317">
      <c r="A317" s="7" t="n"/>
      <c r="B317" s="13" t="n"/>
      <c r="C317" s="13" t="n"/>
      <c r="D317" s="14" t="n"/>
      <c r="E317" s="15" t="n"/>
      <c r="F317" s="16" t="n"/>
      <c r="G317" s="16" t="n"/>
      <c r="H317" s="16" t="n"/>
      <c r="I317" s="17">
        <f>IF(COUNTA(A317:C317)=0,"",IF(COUNTIFS($A$5:$A$504,A317,$B$5:$B$504,B317,$C$5:$C$504,C317)&gt;1,"DUPLICATE","OK"))</f>
        <v/>
      </c>
      <c r="J317" s="17">
        <f>IF(COUNTA(A317:C317)=0,"",IF(AND(COUNTIF('Master Data'!$A$6:$A$145,B317)=1,COUNTIF('Master Data'!$F$6:$F$13,C317)=1),"OK","INVALID"))</f>
        <v/>
      </c>
    </row>
    <row r="318">
      <c r="A318" s="7" t="n"/>
      <c r="B318" s="13" t="n"/>
      <c r="C318" s="13" t="n"/>
      <c r="D318" s="14" t="n"/>
      <c r="E318" s="15" t="n"/>
      <c r="F318" s="16" t="n"/>
      <c r="G318" s="16" t="n"/>
      <c r="H318" s="16" t="n"/>
      <c r="I318" s="17">
        <f>IF(COUNTA(A318:C318)=0,"",IF(COUNTIFS($A$5:$A$504,A318,$B$5:$B$504,B318,$C$5:$C$504,C318)&gt;1,"DUPLICATE","OK"))</f>
        <v/>
      </c>
      <c r="J318" s="17">
        <f>IF(COUNTA(A318:C318)=0,"",IF(AND(COUNTIF('Master Data'!$A$6:$A$145,B318)=1,COUNTIF('Master Data'!$F$6:$F$13,C318)=1),"OK","INVALID"))</f>
        <v/>
      </c>
    </row>
    <row r="319">
      <c r="A319" s="7" t="n"/>
      <c r="B319" s="13" t="n"/>
      <c r="C319" s="13" t="n"/>
      <c r="D319" s="14" t="n"/>
      <c r="E319" s="15" t="n"/>
      <c r="F319" s="16" t="n"/>
      <c r="G319" s="16" t="n"/>
      <c r="H319" s="16" t="n"/>
      <c r="I319" s="17">
        <f>IF(COUNTA(A319:C319)=0,"",IF(COUNTIFS($A$5:$A$504,A319,$B$5:$B$504,B319,$C$5:$C$504,C319)&gt;1,"DUPLICATE","OK"))</f>
        <v/>
      </c>
      <c r="J319" s="17">
        <f>IF(COUNTA(A319:C319)=0,"",IF(AND(COUNTIF('Master Data'!$A$6:$A$145,B319)=1,COUNTIF('Master Data'!$F$6:$F$13,C319)=1),"OK","INVALID"))</f>
        <v/>
      </c>
    </row>
    <row r="320">
      <c r="A320" s="7" t="n"/>
      <c r="B320" s="13" t="n"/>
      <c r="C320" s="13" t="n"/>
      <c r="D320" s="14" t="n"/>
      <c r="E320" s="15" t="n"/>
      <c r="F320" s="16" t="n"/>
      <c r="G320" s="16" t="n"/>
      <c r="H320" s="16" t="n"/>
      <c r="I320" s="17">
        <f>IF(COUNTA(A320:C320)=0,"",IF(COUNTIFS($A$5:$A$504,A320,$B$5:$B$504,B320,$C$5:$C$504,C320)&gt;1,"DUPLICATE","OK"))</f>
        <v/>
      </c>
      <c r="J320" s="17">
        <f>IF(COUNTA(A320:C320)=0,"",IF(AND(COUNTIF('Master Data'!$A$6:$A$145,B320)=1,COUNTIF('Master Data'!$F$6:$F$13,C320)=1),"OK","INVALID"))</f>
        <v/>
      </c>
    </row>
    <row r="321">
      <c r="A321" s="7" t="n"/>
      <c r="B321" s="13" t="n"/>
      <c r="C321" s="13" t="n"/>
      <c r="D321" s="14" t="n"/>
      <c r="E321" s="15" t="n"/>
      <c r="F321" s="16" t="n"/>
      <c r="G321" s="16" t="n"/>
      <c r="H321" s="16" t="n"/>
      <c r="I321" s="17">
        <f>IF(COUNTA(A321:C321)=0,"",IF(COUNTIFS($A$5:$A$504,A321,$B$5:$B$504,B321,$C$5:$C$504,C321)&gt;1,"DUPLICATE","OK"))</f>
        <v/>
      </c>
      <c r="J321" s="17">
        <f>IF(COUNTA(A321:C321)=0,"",IF(AND(COUNTIF('Master Data'!$A$6:$A$145,B321)=1,COUNTIF('Master Data'!$F$6:$F$13,C321)=1),"OK","INVALID"))</f>
        <v/>
      </c>
    </row>
    <row r="322">
      <c r="A322" s="7" t="n"/>
      <c r="B322" s="13" t="n"/>
      <c r="C322" s="13" t="n"/>
      <c r="D322" s="14" t="n"/>
      <c r="E322" s="15" t="n"/>
      <c r="F322" s="16" t="n"/>
      <c r="G322" s="16" t="n"/>
      <c r="H322" s="16" t="n"/>
      <c r="I322" s="17">
        <f>IF(COUNTA(A322:C322)=0,"",IF(COUNTIFS($A$5:$A$504,A322,$B$5:$B$504,B322,$C$5:$C$504,C322)&gt;1,"DUPLICATE","OK"))</f>
        <v/>
      </c>
      <c r="J322" s="17">
        <f>IF(COUNTA(A322:C322)=0,"",IF(AND(COUNTIF('Master Data'!$A$6:$A$145,B322)=1,COUNTIF('Master Data'!$F$6:$F$13,C322)=1),"OK","INVALID"))</f>
        <v/>
      </c>
    </row>
    <row r="323">
      <c r="A323" s="7" t="n"/>
      <c r="B323" s="13" t="n"/>
      <c r="C323" s="13" t="n"/>
      <c r="D323" s="14" t="n"/>
      <c r="E323" s="15" t="n"/>
      <c r="F323" s="16" t="n"/>
      <c r="G323" s="16" t="n"/>
      <c r="H323" s="16" t="n"/>
      <c r="I323" s="17">
        <f>IF(COUNTA(A323:C323)=0,"",IF(COUNTIFS($A$5:$A$504,A323,$B$5:$B$504,B323,$C$5:$C$504,C323)&gt;1,"DUPLICATE","OK"))</f>
        <v/>
      </c>
      <c r="J323" s="17">
        <f>IF(COUNTA(A323:C323)=0,"",IF(AND(COUNTIF('Master Data'!$A$6:$A$145,B323)=1,COUNTIF('Master Data'!$F$6:$F$13,C323)=1),"OK","INVALID"))</f>
        <v/>
      </c>
    </row>
    <row r="324">
      <c r="A324" s="7" t="n"/>
      <c r="B324" s="13" t="n"/>
      <c r="C324" s="13" t="n"/>
      <c r="D324" s="14" t="n"/>
      <c r="E324" s="15" t="n"/>
      <c r="F324" s="16" t="n"/>
      <c r="G324" s="16" t="n"/>
      <c r="H324" s="16" t="n"/>
      <c r="I324" s="17">
        <f>IF(COUNTA(A324:C324)=0,"",IF(COUNTIFS($A$5:$A$504,A324,$B$5:$B$504,B324,$C$5:$C$504,C324)&gt;1,"DUPLICATE","OK"))</f>
        <v/>
      </c>
      <c r="J324" s="17">
        <f>IF(COUNTA(A324:C324)=0,"",IF(AND(COUNTIF('Master Data'!$A$6:$A$145,B324)=1,COUNTIF('Master Data'!$F$6:$F$13,C324)=1),"OK","INVALID"))</f>
        <v/>
      </c>
    </row>
    <row r="325">
      <c r="A325" s="7" t="n"/>
      <c r="B325" s="13" t="n"/>
      <c r="C325" s="13" t="n"/>
      <c r="D325" s="14" t="n"/>
      <c r="E325" s="15" t="n"/>
      <c r="F325" s="16" t="n"/>
      <c r="G325" s="16" t="n"/>
      <c r="H325" s="16" t="n"/>
      <c r="I325" s="17">
        <f>IF(COUNTA(A325:C325)=0,"",IF(COUNTIFS($A$5:$A$504,A325,$B$5:$B$504,B325,$C$5:$C$504,C325)&gt;1,"DUPLICATE","OK"))</f>
        <v/>
      </c>
      <c r="J325" s="17">
        <f>IF(COUNTA(A325:C325)=0,"",IF(AND(COUNTIF('Master Data'!$A$6:$A$145,B325)=1,COUNTIF('Master Data'!$F$6:$F$13,C325)=1),"OK","INVALID"))</f>
        <v/>
      </c>
    </row>
    <row r="326">
      <c r="A326" s="7" t="n"/>
      <c r="B326" s="13" t="n"/>
      <c r="C326" s="13" t="n"/>
      <c r="D326" s="14" t="n"/>
      <c r="E326" s="15" t="n"/>
      <c r="F326" s="16" t="n"/>
      <c r="G326" s="16" t="n"/>
      <c r="H326" s="16" t="n"/>
      <c r="I326" s="17">
        <f>IF(COUNTA(A326:C326)=0,"",IF(COUNTIFS($A$5:$A$504,A326,$B$5:$B$504,B326,$C$5:$C$504,C326)&gt;1,"DUPLICATE","OK"))</f>
        <v/>
      </c>
      <c r="J326" s="17">
        <f>IF(COUNTA(A326:C326)=0,"",IF(AND(COUNTIF('Master Data'!$A$6:$A$145,B326)=1,COUNTIF('Master Data'!$F$6:$F$13,C326)=1),"OK","INVALID"))</f>
        <v/>
      </c>
    </row>
    <row r="327">
      <c r="A327" s="7" t="n"/>
      <c r="B327" s="13" t="n"/>
      <c r="C327" s="13" t="n"/>
      <c r="D327" s="14" t="n"/>
      <c r="E327" s="15" t="n"/>
      <c r="F327" s="16" t="n"/>
      <c r="G327" s="16" t="n"/>
      <c r="H327" s="16" t="n"/>
      <c r="I327" s="17">
        <f>IF(COUNTA(A327:C327)=0,"",IF(COUNTIFS($A$5:$A$504,A327,$B$5:$B$504,B327,$C$5:$C$504,C327)&gt;1,"DUPLICATE","OK"))</f>
        <v/>
      </c>
      <c r="J327" s="17">
        <f>IF(COUNTA(A327:C327)=0,"",IF(AND(COUNTIF('Master Data'!$A$6:$A$145,B327)=1,COUNTIF('Master Data'!$F$6:$F$13,C327)=1),"OK","INVALID"))</f>
        <v/>
      </c>
    </row>
    <row r="328">
      <c r="A328" s="7" t="n"/>
      <c r="B328" s="13" t="n"/>
      <c r="C328" s="13" t="n"/>
      <c r="D328" s="14" t="n"/>
      <c r="E328" s="15" t="n"/>
      <c r="F328" s="16" t="n"/>
      <c r="G328" s="16" t="n"/>
      <c r="H328" s="16" t="n"/>
      <c r="I328" s="17">
        <f>IF(COUNTA(A328:C328)=0,"",IF(COUNTIFS($A$5:$A$504,A328,$B$5:$B$504,B328,$C$5:$C$504,C328)&gt;1,"DUPLICATE","OK"))</f>
        <v/>
      </c>
      <c r="J328" s="17">
        <f>IF(COUNTA(A328:C328)=0,"",IF(AND(COUNTIF('Master Data'!$A$6:$A$145,B328)=1,COUNTIF('Master Data'!$F$6:$F$13,C328)=1),"OK","INVALID"))</f>
        <v/>
      </c>
    </row>
    <row r="329">
      <c r="A329" s="7" t="n"/>
      <c r="B329" s="13" t="n"/>
      <c r="C329" s="13" t="n"/>
      <c r="D329" s="14" t="n"/>
      <c r="E329" s="15" t="n"/>
      <c r="F329" s="16" t="n"/>
      <c r="G329" s="16" t="n"/>
      <c r="H329" s="16" t="n"/>
      <c r="I329" s="17">
        <f>IF(COUNTA(A329:C329)=0,"",IF(COUNTIFS($A$5:$A$504,A329,$B$5:$B$504,B329,$C$5:$C$504,C329)&gt;1,"DUPLICATE","OK"))</f>
        <v/>
      </c>
      <c r="J329" s="17">
        <f>IF(COUNTA(A329:C329)=0,"",IF(AND(COUNTIF('Master Data'!$A$6:$A$145,B329)=1,COUNTIF('Master Data'!$F$6:$F$13,C329)=1),"OK","INVALID"))</f>
        <v/>
      </c>
    </row>
    <row r="330">
      <c r="A330" s="7" t="n"/>
      <c r="B330" s="13" t="n"/>
      <c r="C330" s="13" t="n"/>
      <c r="D330" s="14" t="n"/>
      <c r="E330" s="15" t="n"/>
      <c r="F330" s="16" t="n"/>
      <c r="G330" s="16" t="n"/>
      <c r="H330" s="16" t="n"/>
      <c r="I330" s="17">
        <f>IF(COUNTA(A330:C330)=0,"",IF(COUNTIFS($A$5:$A$504,A330,$B$5:$B$504,B330,$C$5:$C$504,C330)&gt;1,"DUPLICATE","OK"))</f>
        <v/>
      </c>
      <c r="J330" s="17">
        <f>IF(COUNTA(A330:C330)=0,"",IF(AND(COUNTIF('Master Data'!$A$6:$A$145,B330)=1,COUNTIF('Master Data'!$F$6:$F$13,C330)=1),"OK","INVALID"))</f>
        <v/>
      </c>
    </row>
    <row r="331">
      <c r="A331" s="7" t="n"/>
      <c r="B331" s="13" t="n"/>
      <c r="C331" s="13" t="n"/>
      <c r="D331" s="14" t="n"/>
      <c r="E331" s="15" t="n"/>
      <c r="F331" s="16" t="n"/>
      <c r="G331" s="16" t="n"/>
      <c r="H331" s="16" t="n"/>
      <c r="I331" s="17">
        <f>IF(COUNTA(A331:C331)=0,"",IF(COUNTIFS($A$5:$A$504,A331,$B$5:$B$504,B331,$C$5:$C$504,C331)&gt;1,"DUPLICATE","OK"))</f>
        <v/>
      </c>
      <c r="J331" s="17">
        <f>IF(COUNTA(A331:C331)=0,"",IF(AND(COUNTIF('Master Data'!$A$6:$A$145,B331)=1,COUNTIF('Master Data'!$F$6:$F$13,C331)=1),"OK","INVALID"))</f>
        <v/>
      </c>
    </row>
    <row r="332">
      <c r="A332" s="7" t="n"/>
      <c r="B332" s="13" t="n"/>
      <c r="C332" s="13" t="n"/>
      <c r="D332" s="14" t="n"/>
      <c r="E332" s="15" t="n"/>
      <c r="F332" s="16" t="n"/>
      <c r="G332" s="16" t="n"/>
      <c r="H332" s="16" t="n"/>
      <c r="I332" s="17">
        <f>IF(COUNTA(A332:C332)=0,"",IF(COUNTIFS($A$5:$A$504,A332,$B$5:$B$504,B332,$C$5:$C$504,C332)&gt;1,"DUPLICATE","OK"))</f>
        <v/>
      </c>
      <c r="J332" s="17">
        <f>IF(COUNTA(A332:C332)=0,"",IF(AND(COUNTIF('Master Data'!$A$6:$A$145,B332)=1,COUNTIF('Master Data'!$F$6:$F$13,C332)=1),"OK","INVALID"))</f>
        <v/>
      </c>
    </row>
    <row r="333">
      <c r="A333" s="7" t="n"/>
      <c r="B333" s="13" t="n"/>
      <c r="C333" s="13" t="n"/>
      <c r="D333" s="14" t="n"/>
      <c r="E333" s="15" t="n"/>
      <c r="F333" s="16" t="n"/>
      <c r="G333" s="16" t="n"/>
      <c r="H333" s="16" t="n"/>
      <c r="I333" s="17">
        <f>IF(COUNTA(A333:C333)=0,"",IF(COUNTIFS($A$5:$A$504,A333,$B$5:$B$504,B333,$C$5:$C$504,C333)&gt;1,"DUPLICATE","OK"))</f>
        <v/>
      </c>
      <c r="J333" s="17">
        <f>IF(COUNTA(A333:C333)=0,"",IF(AND(COUNTIF('Master Data'!$A$6:$A$145,B333)=1,COUNTIF('Master Data'!$F$6:$F$13,C333)=1),"OK","INVALID"))</f>
        <v/>
      </c>
    </row>
    <row r="334">
      <c r="A334" s="7" t="n"/>
      <c r="B334" s="13" t="n"/>
      <c r="C334" s="13" t="n"/>
      <c r="D334" s="14" t="n"/>
      <c r="E334" s="15" t="n"/>
      <c r="F334" s="16" t="n"/>
      <c r="G334" s="16" t="n"/>
      <c r="H334" s="16" t="n"/>
      <c r="I334" s="17">
        <f>IF(COUNTA(A334:C334)=0,"",IF(COUNTIFS($A$5:$A$504,A334,$B$5:$B$504,B334,$C$5:$C$504,C334)&gt;1,"DUPLICATE","OK"))</f>
        <v/>
      </c>
      <c r="J334" s="17">
        <f>IF(COUNTA(A334:C334)=0,"",IF(AND(COUNTIF('Master Data'!$A$6:$A$145,B334)=1,COUNTIF('Master Data'!$F$6:$F$13,C334)=1),"OK","INVALID"))</f>
        <v/>
      </c>
    </row>
    <row r="335">
      <c r="A335" s="7" t="n"/>
      <c r="B335" s="13" t="n"/>
      <c r="C335" s="13" t="n"/>
      <c r="D335" s="14" t="n"/>
      <c r="E335" s="15" t="n"/>
      <c r="F335" s="16" t="n"/>
      <c r="G335" s="16" t="n"/>
      <c r="H335" s="16" t="n"/>
      <c r="I335" s="17">
        <f>IF(COUNTA(A335:C335)=0,"",IF(COUNTIFS($A$5:$A$504,A335,$B$5:$B$504,B335,$C$5:$C$504,C335)&gt;1,"DUPLICATE","OK"))</f>
        <v/>
      </c>
      <c r="J335" s="17">
        <f>IF(COUNTA(A335:C335)=0,"",IF(AND(COUNTIF('Master Data'!$A$6:$A$145,B335)=1,COUNTIF('Master Data'!$F$6:$F$13,C335)=1),"OK","INVALID"))</f>
        <v/>
      </c>
    </row>
    <row r="336">
      <c r="A336" s="7" t="n"/>
      <c r="B336" s="13" t="n"/>
      <c r="C336" s="13" t="n"/>
      <c r="D336" s="14" t="n"/>
      <c r="E336" s="15" t="n"/>
      <c r="F336" s="16" t="n"/>
      <c r="G336" s="16" t="n"/>
      <c r="H336" s="16" t="n"/>
      <c r="I336" s="17">
        <f>IF(COUNTA(A336:C336)=0,"",IF(COUNTIFS($A$5:$A$504,A336,$B$5:$B$504,B336,$C$5:$C$504,C336)&gt;1,"DUPLICATE","OK"))</f>
        <v/>
      </c>
      <c r="J336" s="17">
        <f>IF(COUNTA(A336:C336)=0,"",IF(AND(COUNTIF('Master Data'!$A$6:$A$145,B336)=1,COUNTIF('Master Data'!$F$6:$F$13,C336)=1),"OK","INVALID"))</f>
        <v/>
      </c>
    </row>
    <row r="337">
      <c r="A337" s="7" t="n"/>
      <c r="B337" s="13" t="n"/>
      <c r="C337" s="13" t="n"/>
      <c r="D337" s="14" t="n"/>
      <c r="E337" s="15" t="n"/>
      <c r="F337" s="16" t="n"/>
      <c r="G337" s="16" t="n"/>
      <c r="H337" s="16" t="n"/>
      <c r="I337" s="17">
        <f>IF(COUNTA(A337:C337)=0,"",IF(COUNTIFS($A$5:$A$504,A337,$B$5:$B$504,B337,$C$5:$C$504,C337)&gt;1,"DUPLICATE","OK"))</f>
        <v/>
      </c>
      <c r="J337" s="17">
        <f>IF(COUNTA(A337:C337)=0,"",IF(AND(COUNTIF('Master Data'!$A$6:$A$145,B337)=1,COUNTIF('Master Data'!$F$6:$F$13,C337)=1),"OK","INVALID"))</f>
        <v/>
      </c>
    </row>
    <row r="338">
      <c r="A338" s="7" t="n"/>
      <c r="B338" s="13" t="n"/>
      <c r="C338" s="13" t="n"/>
      <c r="D338" s="14" t="n"/>
      <c r="E338" s="15" t="n"/>
      <c r="F338" s="16" t="n"/>
      <c r="G338" s="16" t="n"/>
      <c r="H338" s="16" t="n"/>
      <c r="I338" s="17">
        <f>IF(COUNTA(A338:C338)=0,"",IF(COUNTIFS($A$5:$A$504,A338,$B$5:$B$504,B338,$C$5:$C$504,C338)&gt;1,"DUPLICATE","OK"))</f>
        <v/>
      </c>
      <c r="J338" s="17">
        <f>IF(COUNTA(A338:C338)=0,"",IF(AND(COUNTIF('Master Data'!$A$6:$A$145,B338)=1,COUNTIF('Master Data'!$F$6:$F$13,C338)=1),"OK","INVALID"))</f>
        <v/>
      </c>
    </row>
    <row r="339">
      <c r="A339" s="7" t="n"/>
      <c r="B339" s="13" t="n"/>
      <c r="C339" s="13" t="n"/>
      <c r="D339" s="14" t="n"/>
      <c r="E339" s="15" t="n"/>
      <c r="F339" s="16" t="n"/>
      <c r="G339" s="16" t="n"/>
      <c r="H339" s="16" t="n"/>
      <c r="I339" s="17">
        <f>IF(COUNTA(A339:C339)=0,"",IF(COUNTIFS($A$5:$A$504,A339,$B$5:$B$504,B339,$C$5:$C$504,C339)&gt;1,"DUPLICATE","OK"))</f>
        <v/>
      </c>
      <c r="J339" s="17">
        <f>IF(COUNTA(A339:C339)=0,"",IF(AND(COUNTIF('Master Data'!$A$6:$A$145,B339)=1,COUNTIF('Master Data'!$F$6:$F$13,C339)=1),"OK","INVALID"))</f>
        <v/>
      </c>
    </row>
    <row r="340">
      <c r="A340" s="7" t="n"/>
      <c r="B340" s="13" t="n"/>
      <c r="C340" s="13" t="n"/>
      <c r="D340" s="14" t="n"/>
      <c r="E340" s="15" t="n"/>
      <c r="F340" s="16" t="n"/>
      <c r="G340" s="16" t="n"/>
      <c r="H340" s="16" t="n"/>
      <c r="I340" s="17">
        <f>IF(COUNTA(A340:C340)=0,"",IF(COUNTIFS($A$5:$A$504,A340,$B$5:$B$504,B340,$C$5:$C$504,C340)&gt;1,"DUPLICATE","OK"))</f>
        <v/>
      </c>
      <c r="J340" s="17">
        <f>IF(COUNTA(A340:C340)=0,"",IF(AND(COUNTIF('Master Data'!$A$6:$A$145,B340)=1,COUNTIF('Master Data'!$F$6:$F$13,C340)=1),"OK","INVALID"))</f>
        <v/>
      </c>
    </row>
    <row r="341">
      <c r="A341" s="7" t="n"/>
      <c r="B341" s="13" t="n"/>
      <c r="C341" s="13" t="n"/>
      <c r="D341" s="14" t="n"/>
      <c r="E341" s="15" t="n"/>
      <c r="F341" s="16" t="n"/>
      <c r="G341" s="16" t="n"/>
      <c r="H341" s="16" t="n"/>
      <c r="I341" s="17">
        <f>IF(COUNTA(A341:C341)=0,"",IF(COUNTIFS($A$5:$A$504,A341,$B$5:$B$504,B341,$C$5:$C$504,C341)&gt;1,"DUPLICATE","OK"))</f>
        <v/>
      </c>
      <c r="J341" s="17">
        <f>IF(COUNTA(A341:C341)=0,"",IF(AND(COUNTIF('Master Data'!$A$6:$A$145,B341)=1,COUNTIF('Master Data'!$F$6:$F$13,C341)=1),"OK","INVALID"))</f>
        <v/>
      </c>
    </row>
    <row r="342">
      <c r="A342" s="7" t="n"/>
      <c r="B342" s="13" t="n"/>
      <c r="C342" s="13" t="n"/>
      <c r="D342" s="14" t="n"/>
      <c r="E342" s="15" t="n"/>
      <c r="F342" s="16" t="n"/>
      <c r="G342" s="16" t="n"/>
      <c r="H342" s="16" t="n"/>
      <c r="I342" s="17">
        <f>IF(COUNTA(A342:C342)=0,"",IF(COUNTIFS($A$5:$A$504,A342,$B$5:$B$504,B342,$C$5:$C$504,C342)&gt;1,"DUPLICATE","OK"))</f>
        <v/>
      </c>
      <c r="J342" s="17">
        <f>IF(COUNTA(A342:C342)=0,"",IF(AND(COUNTIF('Master Data'!$A$6:$A$145,B342)=1,COUNTIF('Master Data'!$F$6:$F$13,C342)=1),"OK","INVALID"))</f>
        <v/>
      </c>
    </row>
    <row r="343">
      <c r="A343" s="7" t="n"/>
      <c r="B343" s="13" t="n"/>
      <c r="C343" s="13" t="n"/>
      <c r="D343" s="14" t="n"/>
      <c r="E343" s="15" t="n"/>
      <c r="F343" s="16" t="n"/>
      <c r="G343" s="16" t="n"/>
      <c r="H343" s="16" t="n"/>
      <c r="I343" s="17">
        <f>IF(COUNTA(A343:C343)=0,"",IF(COUNTIFS($A$5:$A$504,A343,$B$5:$B$504,B343,$C$5:$C$504,C343)&gt;1,"DUPLICATE","OK"))</f>
        <v/>
      </c>
      <c r="J343" s="17">
        <f>IF(COUNTA(A343:C343)=0,"",IF(AND(COUNTIF('Master Data'!$A$6:$A$145,B343)=1,COUNTIF('Master Data'!$F$6:$F$13,C343)=1),"OK","INVALID"))</f>
        <v/>
      </c>
    </row>
    <row r="344">
      <c r="A344" s="7" t="n"/>
      <c r="B344" s="13" t="n"/>
      <c r="C344" s="13" t="n"/>
      <c r="D344" s="14" t="n"/>
      <c r="E344" s="15" t="n"/>
      <c r="F344" s="16" t="n"/>
      <c r="G344" s="16" t="n"/>
      <c r="H344" s="16" t="n"/>
      <c r="I344" s="17">
        <f>IF(COUNTA(A344:C344)=0,"",IF(COUNTIFS($A$5:$A$504,A344,$B$5:$B$504,B344,$C$5:$C$504,C344)&gt;1,"DUPLICATE","OK"))</f>
        <v/>
      </c>
      <c r="J344" s="17">
        <f>IF(COUNTA(A344:C344)=0,"",IF(AND(COUNTIF('Master Data'!$A$6:$A$145,B344)=1,COUNTIF('Master Data'!$F$6:$F$13,C344)=1),"OK","INVALID"))</f>
        <v/>
      </c>
    </row>
    <row r="345">
      <c r="A345" s="7" t="n"/>
      <c r="B345" s="13" t="n"/>
      <c r="C345" s="13" t="n"/>
      <c r="D345" s="14" t="n"/>
      <c r="E345" s="15" t="n"/>
      <c r="F345" s="16" t="n"/>
      <c r="G345" s="16" t="n"/>
      <c r="H345" s="16" t="n"/>
      <c r="I345" s="17">
        <f>IF(COUNTA(A345:C345)=0,"",IF(COUNTIFS($A$5:$A$504,A345,$B$5:$B$504,B345,$C$5:$C$504,C345)&gt;1,"DUPLICATE","OK"))</f>
        <v/>
      </c>
      <c r="J345" s="17">
        <f>IF(COUNTA(A345:C345)=0,"",IF(AND(COUNTIF('Master Data'!$A$6:$A$145,B345)=1,COUNTIF('Master Data'!$F$6:$F$13,C345)=1),"OK","INVALID"))</f>
        <v/>
      </c>
    </row>
    <row r="346">
      <c r="A346" s="7" t="n"/>
      <c r="B346" s="13" t="n"/>
      <c r="C346" s="13" t="n"/>
      <c r="D346" s="14" t="n"/>
      <c r="E346" s="15" t="n"/>
      <c r="F346" s="16" t="n"/>
      <c r="G346" s="16" t="n"/>
      <c r="H346" s="16" t="n"/>
      <c r="I346" s="17">
        <f>IF(COUNTA(A346:C346)=0,"",IF(COUNTIFS($A$5:$A$504,A346,$B$5:$B$504,B346,$C$5:$C$504,C346)&gt;1,"DUPLICATE","OK"))</f>
        <v/>
      </c>
      <c r="J346" s="17">
        <f>IF(COUNTA(A346:C346)=0,"",IF(AND(COUNTIF('Master Data'!$A$6:$A$145,B346)=1,COUNTIF('Master Data'!$F$6:$F$13,C346)=1),"OK","INVALID"))</f>
        <v/>
      </c>
    </row>
    <row r="347">
      <c r="A347" s="7" t="n"/>
      <c r="B347" s="13" t="n"/>
      <c r="C347" s="13" t="n"/>
      <c r="D347" s="14" t="n"/>
      <c r="E347" s="15" t="n"/>
      <c r="F347" s="16" t="n"/>
      <c r="G347" s="16" t="n"/>
      <c r="H347" s="16" t="n"/>
      <c r="I347" s="17">
        <f>IF(COUNTA(A347:C347)=0,"",IF(COUNTIFS($A$5:$A$504,A347,$B$5:$B$504,B347,$C$5:$C$504,C347)&gt;1,"DUPLICATE","OK"))</f>
        <v/>
      </c>
      <c r="J347" s="17">
        <f>IF(COUNTA(A347:C347)=0,"",IF(AND(COUNTIF('Master Data'!$A$6:$A$145,B347)=1,COUNTIF('Master Data'!$F$6:$F$13,C347)=1),"OK","INVALID"))</f>
        <v/>
      </c>
    </row>
    <row r="348">
      <c r="A348" s="7" t="n"/>
      <c r="B348" s="13" t="n"/>
      <c r="C348" s="13" t="n"/>
      <c r="D348" s="14" t="n"/>
      <c r="E348" s="15" t="n"/>
      <c r="F348" s="16" t="n"/>
      <c r="G348" s="16" t="n"/>
      <c r="H348" s="16" t="n"/>
      <c r="I348" s="17">
        <f>IF(COUNTA(A348:C348)=0,"",IF(COUNTIFS($A$5:$A$504,A348,$B$5:$B$504,B348,$C$5:$C$504,C348)&gt;1,"DUPLICATE","OK"))</f>
        <v/>
      </c>
      <c r="J348" s="17">
        <f>IF(COUNTA(A348:C348)=0,"",IF(AND(COUNTIF('Master Data'!$A$6:$A$145,B348)=1,COUNTIF('Master Data'!$F$6:$F$13,C348)=1),"OK","INVALID"))</f>
        <v/>
      </c>
    </row>
    <row r="349">
      <c r="A349" s="7" t="n"/>
      <c r="B349" s="13" t="n"/>
      <c r="C349" s="13" t="n"/>
      <c r="D349" s="14" t="n"/>
      <c r="E349" s="15" t="n"/>
      <c r="F349" s="16" t="n"/>
      <c r="G349" s="16" t="n"/>
      <c r="H349" s="16" t="n"/>
      <c r="I349" s="17">
        <f>IF(COUNTA(A349:C349)=0,"",IF(COUNTIFS($A$5:$A$504,A349,$B$5:$B$504,B349,$C$5:$C$504,C349)&gt;1,"DUPLICATE","OK"))</f>
        <v/>
      </c>
      <c r="J349" s="17">
        <f>IF(COUNTA(A349:C349)=0,"",IF(AND(COUNTIF('Master Data'!$A$6:$A$145,B349)=1,COUNTIF('Master Data'!$F$6:$F$13,C349)=1),"OK","INVALID"))</f>
        <v/>
      </c>
    </row>
    <row r="350">
      <c r="A350" s="7" t="n"/>
      <c r="B350" s="13" t="n"/>
      <c r="C350" s="13" t="n"/>
      <c r="D350" s="14" t="n"/>
      <c r="E350" s="15" t="n"/>
      <c r="F350" s="16" t="n"/>
      <c r="G350" s="16" t="n"/>
      <c r="H350" s="16" t="n"/>
      <c r="I350" s="17">
        <f>IF(COUNTA(A350:C350)=0,"",IF(COUNTIFS($A$5:$A$504,A350,$B$5:$B$504,B350,$C$5:$C$504,C350)&gt;1,"DUPLICATE","OK"))</f>
        <v/>
      </c>
      <c r="J350" s="17">
        <f>IF(COUNTA(A350:C350)=0,"",IF(AND(COUNTIF('Master Data'!$A$6:$A$145,B350)=1,COUNTIF('Master Data'!$F$6:$F$13,C350)=1),"OK","INVALID"))</f>
        <v/>
      </c>
    </row>
    <row r="351">
      <c r="A351" s="7" t="n"/>
      <c r="B351" s="13" t="n"/>
      <c r="C351" s="13" t="n"/>
      <c r="D351" s="14" t="n"/>
      <c r="E351" s="15" t="n"/>
      <c r="F351" s="16" t="n"/>
      <c r="G351" s="16" t="n"/>
      <c r="H351" s="16" t="n"/>
      <c r="I351" s="17">
        <f>IF(COUNTA(A351:C351)=0,"",IF(COUNTIFS($A$5:$A$504,A351,$B$5:$B$504,B351,$C$5:$C$504,C351)&gt;1,"DUPLICATE","OK"))</f>
        <v/>
      </c>
      <c r="J351" s="17">
        <f>IF(COUNTA(A351:C351)=0,"",IF(AND(COUNTIF('Master Data'!$A$6:$A$145,B351)=1,COUNTIF('Master Data'!$F$6:$F$13,C351)=1),"OK","INVALID"))</f>
        <v/>
      </c>
    </row>
    <row r="352">
      <c r="A352" s="7" t="n"/>
      <c r="B352" s="13" t="n"/>
      <c r="C352" s="13" t="n"/>
      <c r="D352" s="14" t="n"/>
      <c r="E352" s="15" t="n"/>
      <c r="F352" s="16" t="n"/>
      <c r="G352" s="16" t="n"/>
      <c r="H352" s="16" t="n"/>
      <c r="I352" s="17">
        <f>IF(COUNTA(A352:C352)=0,"",IF(COUNTIFS($A$5:$A$504,A352,$B$5:$B$504,B352,$C$5:$C$504,C352)&gt;1,"DUPLICATE","OK"))</f>
        <v/>
      </c>
      <c r="J352" s="17">
        <f>IF(COUNTA(A352:C352)=0,"",IF(AND(COUNTIF('Master Data'!$A$6:$A$145,B352)=1,COUNTIF('Master Data'!$F$6:$F$13,C352)=1),"OK","INVALID"))</f>
        <v/>
      </c>
    </row>
    <row r="353">
      <c r="A353" s="7" t="n"/>
      <c r="B353" s="13" t="n"/>
      <c r="C353" s="13" t="n"/>
      <c r="D353" s="14" t="n"/>
      <c r="E353" s="15" t="n"/>
      <c r="F353" s="16" t="n"/>
      <c r="G353" s="16" t="n"/>
      <c r="H353" s="16" t="n"/>
      <c r="I353" s="17">
        <f>IF(COUNTA(A353:C353)=0,"",IF(COUNTIFS($A$5:$A$504,A353,$B$5:$B$504,B353,$C$5:$C$504,C353)&gt;1,"DUPLICATE","OK"))</f>
        <v/>
      </c>
      <c r="J353" s="17">
        <f>IF(COUNTA(A353:C353)=0,"",IF(AND(COUNTIF('Master Data'!$A$6:$A$145,B353)=1,COUNTIF('Master Data'!$F$6:$F$13,C353)=1),"OK","INVALID"))</f>
        <v/>
      </c>
    </row>
    <row r="354">
      <c r="A354" s="7" t="n"/>
      <c r="B354" s="13" t="n"/>
      <c r="C354" s="13" t="n"/>
      <c r="D354" s="14" t="n"/>
      <c r="E354" s="15" t="n"/>
      <c r="F354" s="16" t="n"/>
      <c r="G354" s="16" t="n"/>
      <c r="H354" s="16" t="n"/>
      <c r="I354" s="17">
        <f>IF(COUNTA(A354:C354)=0,"",IF(COUNTIFS($A$5:$A$504,A354,$B$5:$B$504,B354,$C$5:$C$504,C354)&gt;1,"DUPLICATE","OK"))</f>
        <v/>
      </c>
      <c r="J354" s="17">
        <f>IF(COUNTA(A354:C354)=0,"",IF(AND(COUNTIF('Master Data'!$A$6:$A$145,B354)=1,COUNTIF('Master Data'!$F$6:$F$13,C354)=1),"OK","INVALID"))</f>
        <v/>
      </c>
    </row>
    <row r="355">
      <c r="A355" s="7" t="n"/>
      <c r="B355" s="13" t="n"/>
      <c r="C355" s="13" t="n"/>
      <c r="D355" s="14" t="n"/>
      <c r="E355" s="15" t="n"/>
      <c r="F355" s="16" t="n"/>
      <c r="G355" s="16" t="n"/>
      <c r="H355" s="16" t="n"/>
      <c r="I355" s="17">
        <f>IF(COUNTA(A355:C355)=0,"",IF(COUNTIFS($A$5:$A$504,A355,$B$5:$B$504,B355,$C$5:$C$504,C355)&gt;1,"DUPLICATE","OK"))</f>
        <v/>
      </c>
      <c r="J355" s="17">
        <f>IF(COUNTA(A355:C355)=0,"",IF(AND(COUNTIF('Master Data'!$A$6:$A$145,B355)=1,COUNTIF('Master Data'!$F$6:$F$13,C355)=1),"OK","INVALID"))</f>
        <v/>
      </c>
    </row>
    <row r="356">
      <c r="A356" s="7" t="n"/>
      <c r="B356" s="13" t="n"/>
      <c r="C356" s="13" t="n"/>
      <c r="D356" s="14" t="n"/>
      <c r="E356" s="15" t="n"/>
      <c r="F356" s="16" t="n"/>
      <c r="G356" s="16" t="n"/>
      <c r="H356" s="16" t="n"/>
      <c r="I356" s="17">
        <f>IF(COUNTA(A356:C356)=0,"",IF(COUNTIFS($A$5:$A$504,A356,$B$5:$B$504,B356,$C$5:$C$504,C356)&gt;1,"DUPLICATE","OK"))</f>
        <v/>
      </c>
      <c r="J356" s="17">
        <f>IF(COUNTA(A356:C356)=0,"",IF(AND(COUNTIF('Master Data'!$A$6:$A$145,B356)=1,COUNTIF('Master Data'!$F$6:$F$13,C356)=1),"OK","INVALID"))</f>
        <v/>
      </c>
    </row>
    <row r="357">
      <c r="A357" s="7" t="n"/>
      <c r="B357" s="13" t="n"/>
      <c r="C357" s="13" t="n"/>
      <c r="D357" s="14" t="n"/>
      <c r="E357" s="15" t="n"/>
      <c r="F357" s="16" t="n"/>
      <c r="G357" s="16" t="n"/>
      <c r="H357" s="16" t="n"/>
      <c r="I357" s="17">
        <f>IF(COUNTA(A357:C357)=0,"",IF(COUNTIFS($A$5:$A$504,A357,$B$5:$B$504,B357,$C$5:$C$504,C357)&gt;1,"DUPLICATE","OK"))</f>
        <v/>
      </c>
      <c r="J357" s="17">
        <f>IF(COUNTA(A357:C357)=0,"",IF(AND(COUNTIF('Master Data'!$A$6:$A$145,B357)=1,COUNTIF('Master Data'!$F$6:$F$13,C357)=1),"OK","INVALID"))</f>
        <v/>
      </c>
    </row>
    <row r="358">
      <c r="A358" s="7" t="n"/>
      <c r="B358" s="13" t="n"/>
      <c r="C358" s="13" t="n"/>
      <c r="D358" s="14" t="n"/>
      <c r="E358" s="15" t="n"/>
      <c r="F358" s="16" t="n"/>
      <c r="G358" s="16" t="n"/>
      <c r="H358" s="16" t="n"/>
      <c r="I358" s="17">
        <f>IF(COUNTA(A358:C358)=0,"",IF(COUNTIFS($A$5:$A$504,A358,$B$5:$B$504,B358,$C$5:$C$504,C358)&gt;1,"DUPLICATE","OK"))</f>
        <v/>
      </c>
      <c r="J358" s="17">
        <f>IF(COUNTA(A358:C358)=0,"",IF(AND(COUNTIF('Master Data'!$A$6:$A$145,B358)=1,COUNTIF('Master Data'!$F$6:$F$13,C358)=1),"OK","INVALID"))</f>
        <v/>
      </c>
    </row>
    <row r="359">
      <c r="A359" s="7" t="n"/>
      <c r="B359" s="13" t="n"/>
      <c r="C359" s="13" t="n"/>
      <c r="D359" s="14" t="n"/>
      <c r="E359" s="15" t="n"/>
      <c r="F359" s="16" t="n"/>
      <c r="G359" s="16" t="n"/>
      <c r="H359" s="16" t="n"/>
      <c r="I359" s="17">
        <f>IF(COUNTA(A359:C359)=0,"",IF(COUNTIFS($A$5:$A$504,A359,$B$5:$B$504,B359,$C$5:$C$504,C359)&gt;1,"DUPLICATE","OK"))</f>
        <v/>
      </c>
      <c r="J359" s="17">
        <f>IF(COUNTA(A359:C359)=0,"",IF(AND(COUNTIF('Master Data'!$A$6:$A$145,B359)=1,COUNTIF('Master Data'!$F$6:$F$13,C359)=1),"OK","INVALID"))</f>
        <v/>
      </c>
    </row>
    <row r="360">
      <c r="A360" s="7" t="n"/>
      <c r="B360" s="13" t="n"/>
      <c r="C360" s="13" t="n"/>
      <c r="D360" s="14" t="n"/>
      <c r="E360" s="15" t="n"/>
      <c r="F360" s="16" t="n"/>
      <c r="G360" s="16" t="n"/>
      <c r="H360" s="16" t="n"/>
      <c r="I360" s="17">
        <f>IF(COUNTA(A360:C360)=0,"",IF(COUNTIFS($A$5:$A$504,A360,$B$5:$B$504,B360,$C$5:$C$504,C360)&gt;1,"DUPLICATE","OK"))</f>
        <v/>
      </c>
      <c r="J360" s="17">
        <f>IF(COUNTA(A360:C360)=0,"",IF(AND(COUNTIF('Master Data'!$A$6:$A$145,B360)=1,COUNTIF('Master Data'!$F$6:$F$13,C360)=1),"OK","INVALID"))</f>
        <v/>
      </c>
    </row>
    <row r="361">
      <c r="A361" s="7" t="n"/>
      <c r="B361" s="13" t="n"/>
      <c r="C361" s="13" t="n"/>
      <c r="D361" s="14" t="n"/>
      <c r="E361" s="15" t="n"/>
      <c r="F361" s="16" t="n"/>
      <c r="G361" s="16" t="n"/>
      <c r="H361" s="16" t="n"/>
      <c r="I361" s="17">
        <f>IF(COUNTA(A361:C361)=0,"",IF(COUNTIFS($A$5:$A$504,A361,$B$5:$B$504,B361,$C$5:$C$504,C361)&gt;1,"DUPLICATE","OK"))</f>
        <v/>
      </c>
      <c r="J361" s="17">
        <f>IF(COUNTA(A361:C361)=0,"",IF(AND(COUNTIF('Master Data'!$A$6:$A$145,B361)=1,COUNTIF('Master Data'!$F$6:$F$13,C361)=1),"OK","INVALID"))</f>
        <v/>
      </c>
    </row>
    <row r="362">
      <c r="A362" s="7" t="n"/>
      <c r="B362" s="13" t="n"/>
      <c r="C362" s="13" t="n"/>
      <c r="D362" s="14" t="n"/>
      <c r="E362" s="15" t="n"/>
      <c r="F362" s="16" t="n"/>
      <c r="G362" s="16" t="n"/>
      <c r="H362" s="16" t="n"/>
      <c r="I362" s="17">
        <f>IF(COUNTA(A362:C362)=0,"",IF(COUNTIFS($A$5:$A$504,A362,$B$5:$B$504,B362,$C$5:$C$504,C362)&gt;1,"DUPLICATE","OK"))</f>
        <v/>
      </c>
      <c r="J362" s="17">
        <f>IF(COUNTA(A362:C362)=0,"",IF(AND(COUNTIF('Master Data'!$A$6:$A$145,B362)=1,COUNTIF('Master Data'!$F$6:$F$13,C362)=1),"OK","INVALID"))</f>
        <v/>
      </c>
    </row>
    <row r="363">
      <c r="A363" s="7" t="n"/>
      <c r="B363" s="13" t="n"/>
      <c r="C363" s="13" t="n"/>
      <c r="D363" s="14" t="n"/>
      <c r="E363" s="15" t="n"/>
      <c r="F363" s="16" t="n"/>
      <c r="G363" s="16" t="n"/>
      <c r="H363" s="16" t="n"/>
      <c r="I363" s="17">
        <f>IF(COUNTA(A363:C363)=0,"",IF(COUNTIFS($A$5:$A$504,A363,$B$5:$B$504,B363,$C$5:$C$504,C363)&gt;1,"DUPLICATE","OK"))</f>
        <v/>
      </c>
      <c r="J363" s="17">
        <f>IF(COUNTA(A363:C363)=0,"",IF(AND(COUNTIF('Master Data'!$A$6:$A$145,B363)=1,COUNTIF('Master Data'!$F$6:$F$13,C363)=1),"OK","INVALID"))</f>
        <v/>
      </c>
    </row>
    <row r="364">
      <c r="A364" s="7" t="n"/>
      <c r="B364" s="13" t="n"/>
      <c r="C364" s="13" t="n"/>
      <c r="D364" s="14" t="n"/>
      <c r="E364" s="15" t="n"/>
      <c r="F364" s="16" t="n"/>
      <c r="G364" s="16" t="n"/>
      <c r="H364" s="16" t="n"/>
      <c r="I364" s="17">
        <f>IF(COUNTA(A364:C364)=0,"",IF(COUNTIFS($A$5:$A$504,A364,$B$5:$B$504,B364,$C$5:$C$504,C364)&gt;1,"DUPLICATE","OK"))</f>
        <v/>
      </c>
      <c r="J364" s="17">
        <f>IF(COUNTA(A364:C364)=0,"",IF(AND(COUNTIF('Master Data'!$A$6:$A$145,B364)=1,COUNTIF('Master Data'!$F$6:$F$13,C364)=1),"OK","INVALID"))</f>
        <v/>
      </c>
    </row>
    <row r="365">
      <c r="A365" s="7" t="n"/>
      <c r="B365" s="13" t="n"/>
      <c r="C365" s="13" t="n"/>
      <c r="D365" s="14" t="n"/>
      <c r="E365" s="15" t="n"/>
      <c r="F365" s="16" t="n"/>
      <c r="G365" s="16" t="n"/>
      <c r="H365" s="16" t="n"/>
      <c r="I365" s="17">
        <f>IF(COUNTA(A365:C365)=0,"",IF(COUNTIFS($A$5:$A$504,A365,$B$5:$B$504,B365,$C$5:$C$504,C365)&gt;1,"DUPLICATE","OK"))</f>
        <v/>
      </c>
      <c r="J365" s="17">
        <f>IF(COUNTA(A365:C365)=0,"",IF(AND(COUNTIF('Master Data'!$A$6:$A$145,B365)=1,COUNTIF('Master Data'!$F$6:$F$13,C365)=1),"OK","INVALID"))</f>
        <v/>
      </c>
    </row>
    <row r="366">
      <c r="A366" s="7" t="n"/>
      <c r="B366" s="13" t="n"/>
      <c r="C366" s="13" t="n"/>
      <c r="D366" s="14" t="n"/>
      <c r="E366" s="15" t="n"/>
      <c r="F366" s="16" t="n"/>
      <c r="G366" s="16" t="n"/>
      <c r="H366" s="16" t="n"/>
      <c r="I366" s="17">
        <f>IF(COUNTA(A366:C366)=0,"",IF(COUNTIFS($A$5:$A$504,A366,$B$5:$B$504,B366,$C$5:$C$504,C366)&gt;1,"DUPLICATE","OK"))</f>
        <v/>
      </c>
      <c r="J366" s="17">
        <f>IF(COUNTA(A366:C366)=0,"",IF(AND(COUNTIF('Master Data'!$A$6:$A$145,B366)=1,COUNTIF('Master Data'!$F$6:$F$13,C366)=1),"OK","INVALID"))</f>
        <v/>
      </c>
    </row>
    <row r="367">
      <c r="A367" s="7" t="n"/>
      <c r="B367" s="13" t="n"/>
      <c r="C367" s="13" t="n"/>
      <c r="D367" s="14" t="n"/>
      <c r="E367" s="15" t="n"/>
      <c r="F367" s="16" t="n"/>
      <c r="G367" s="16" t="n"/>
      <c r="H367" s="16" t="n"/>
      <c r="I367" s="17">
        <f>IF(COUNTA(A367:C367)=0,"",IF(COUNTIFS($A$5:$A$504,A367,$B$5:$B$504,B367,$C$5:$C$504,C367)&gt;1,"DUPLICATE","OK"))</f>
        <v/>
      </c>
      <c r="J367" s="17">
        <f>IF(COUNTA(A367:C367)=0,"",IF(AND(COUNTIF('Master Data'!$A$6:$A$145,B367)=1,COUNTIF('Master Data'!$F$6:$F$13,C367)=1),"OK","INVALID"))</f>
        <v/>
      </c>
    </row>
    <row r="368">
      <c r="A368" s="7" t="n"/>
      <c r="B368" s="13" t="n"/>
      <c r="C368" s="13" t="n"/>
      <c r="D368" s="14" t="n"/>
      <c r="E368" s="15" t="n"/>
      <c r="F368" s="16" t="n"/>
      <c r="G368" s="16" t="n"/>
      <c r="H368" s="16" t="n"/>
      <c r="I368" s="17">
        <f>IF(COUNTA(A368:C368)=0,"",IF(COUNTIFS($A$5:$A$504,A368,$B$5:$B$504,B368,$C$5:$C$504,C368)&gt;1,"DUPLICATE","OK"))</f>
        <v/>
      </c>
      <c r="J368" s="17">
        <f>IF(COUNTA(A368:C368)=0,"",IF(AND(COUNTIF('Master Data'!$A$6:$A$145,B368)=1,COUNTIF('Master Data'!$F$6:$F$13,C368)=1),"OK","INVALID"))</f>
        <v/>
      </c>
    </row>
    <row r="369">
      <c r="A369" s="7" t="n"/>
      <c r="B369" s="13" t="n"/>
      <c r="C369" s="13" t="n"/>
      <c r="D369" s="14" t="n"/>
      <c r="E369" s="15" t="n"/>
      <c r="F369" s="16" t="n"/>
      <c r="G369" s="16" t="n"/>
      <c r="H369" s="16" t="n"/>
      <c r="I369" s="17">
        <f>IF(COUNTA(A369:C369)=0,"",IF(COUNTIFS($A$5:$A$504,A369,$B$5:$B$504,B369,$C$5:$C$504,C369)&gt;1,"DUPLICATE","OK"))</f>
        <v/>
      </c>
      <c r="J369" s="17">
        <f>IF(COUNTA(A369:C369)=0,"",IF(AND(COUNTIF('Master Data'!$A$6:$A$145,B369)=1,COUNTIF('Master Data'!$F$6:$F$13,C369)=1),"OK","INVALID"))</f>
        <v/>
      </c>
    </row>
    <row r="370">
      <c r="A370" s="7" t="n"/>
      <c r="B370" s="13" t="n"/>
      <c r="C370" s="13" t="n"/>
      <c r="D370" s="14" t="n"/>
      <c r="E370" s="15" t="n"/>
      <c r="F370" s="16" t="n"/>
      <c r="G370" s="16" t="n"/>
      <c r="H370" s="16" t="n"/>
      <c r="I370" s="17">
        <f>IF(COUNTA(A370:C370)=0,"",IF(COUNTIFS($A$5:$A$504,A370,$B$5:$B$504,B370,$C$5:$C$504,C370)&gt;1,"DUPLICATE","OK"))</f>
        <v/>
      </c>
      <c r="J370" s="17">
        <f>IF(COUNTA(A370:C370)=0,"",IF(AND(COUNTIF('Master Data'!$A$6:$A$145,B370)=1,COUNTIF('Master Data'!$F$6:$F$13,C370)=1),"OK","INVALID"))</f>
        <v/>
      </c>
    </row>
    <row r="371">
      <c r="A371" s="7" t="n"/>
      <c r="B371" s="13" t="n"/>
      <c r="C371" s="13" t="n"/>
      <c r="D371" s="14" t="n"/>
      <c r="E371" s="15" t="n"/>
      <c r="F371" s="16" t="n"/>
      <c r="G371" s="16" t="n"/>
      <c r="H371" s="16" t="n"/>
      <c r="I371" s="17">
        <f>IF(COUNTA(A371:C371)=0,"",IF(COUNTIFS($A$5:$A$504,A371,$B$5:$B$504,B371,$C$5:$C$504,C371)&gt;1,"DUPLICATE","OK"))</f>
        <v/>
      </c>
      <c r="J371" s="17">
        <f>IF(COUNTA(A371:C371)=0,"",IF(AND(COUNTIF('Master Data'!$A$6:$A$145,B371)=1,COUNTIF('Master Data'!$F$6:$F$13,C371)=1),"OK","INVALID"))</f>
        <v/>
      </c>
    </row>
    <row r="372">
      <c r="A372" s="7" t="n"/>
      <c r="B372" s="13" t="n"/>
      <c r="C372" s="13" t="n"/>
      <c r="D372" s="14" t="n"/>
      <c r="E372" s="15" t="n"/>
      <c r="F372" s="16" t="n"/>
      <c r="G372" s="16" t="n"/>
      <c r="H372" s="16" t="n"/>
      <c r="I372" s="17">
        <f>IF(COUNTA(A372:C372)=0,"",IF(COUNTIFS($A$5:$A$504,A372,$B$5:$B$504,B372,$C$5:$C$504,C372)&gt;1,"DUPLICATE","OK"))</f>
        <v/>
      </c>
      <c r="J372" s="17">
        <f>IF(COUNTA(A372:C372)=0,"",IF(AND(COUNTIF('Master Data'!$A$6:$A$145,B372)=1,COUNTIF('Master Data'!$F$6:$F$13,C372)=1),"OK","INVALID"))</f>
        <v/>
      </c>
    </row>
    <row r="373">
      <c r="A373" s="7" t="n"/>
      <c r="B373" s="13" t="n"/>
      <c r="C373" s="13" t="n"/>
      <c r="D373" s="14" t="n"/>
      <c r="E373" s="15" t="n"/>
      <c r="F373" s="16" t="n"/>
      <c r="G373" s="16" t="n"/>
      <c r="H373" s="16" t="n"/>
      <c r="I373" s="17">
        <f>IF(COUNTA(A373:C373)=0,"",IF(COUNTIFS($A$5:$A$504,A373,$B$5:$B$504,B373,$C$5:$C$504,C373)&gt;1,"DUPLICATE","OK"))</f>
        <v/>
      </c>
      <c r="J373" s="17">
        <f>IF(COUNTA(A373:C373)=0,"",IF(AND(COUNTIF('Master Data'!$A$6:$A$145,B373)=1,COUNTIF('Master Data'!$F$6:$F$13,C373)=1),"OK","INVALID"))</f>
        <v/>
      </c>
    </row>
    <row r="374">
      <c r="A374" s="7" t="n"/>
      <c r="B374" s="13" t="n"/>
      <c r="C374" s="13" t="n"/>
      <c r="D374" s="14" t="n"/>
      <c r="E374" s="15" t="n"/>
      <c r="F374" s="16" t="n"/>
      <c r="G374" s="16" t="n"/>
      <c r="H374" s="16" t="n"/>
      <c r="I374" s="17">
        <f>IF(COUNTA(A374:C374)=0,"",IF(COUNTIFS($A$5:$A$504,A374,$B$5:$B$504,B374,$C$5:$C$504,C374)&gt;1,"DUPLICATE","OK"))</f>
        <v/>
      </c>
      <c r="J374" s="17">
        <f>IF(COUNTA(A374:C374)=0,"",IF(AND(COUNTIF('Master Data'!$A$6:$A$145,B374)=1,COUNTIF('Master Data'!$F$6:$F$13,C374)=1),"OK","INVALID"))</f>
        <v/>
      </c>
    </row>
    <row r="375">
      <c r="A375" s="7" t="n"/>
      <c r="B375" s="13" t="n"/>
      <c r="C375" s="13" t="n"/>
      <c r="D375" s="14" t="n"/>
      <c r="E375" s="15" t="n"/>
      <c r="F375" s="16" t="n"/>
      <c r="G375" s="16" t="n"/>
      <c r="H375" s="16" t="n"/>
      <c r="I375" s="17">
        <f>IF(COUNTA(A375:C375)=0,"",IF(COUNTIFS($A$5:$A$504,A375,$B$5:$B$504,B375,$C$5:$C$504,C375)&gt;1,"DUPLICATE","OK"))</f>
        <v/>
      </c>
      <c r="J375" s="17">
        <f>IF(COUNTA(A375:C375)=0,"",IF(AND(COUNTIF('Master Data'!$A$6:$A$145,B375)=1,COUNTIF('Master Data'!$F$6:$F$13,C375)=1),"OK","INVALID"))</f>
        <v/>
      </c>
    </row>
    <row r="376">
      <c r="A376" s="7" t="n"/>
      <c r="B376" s="13" t="n"/>
      <c r="C376" s="13" t="n"/>
      <c r="D376" s="14" t="n"/>
      <c r="E376" s="15" t="n"/>
      <c r="F376" s="16" t="n"/>
      <c r="G376" s="16" t="n"/>
      <c r="H376" s="16" t="n"/>
      <c r="I376" s="17">
        <f>IF(COUNTA(A376:C376)=0,"",IF(COUNTIFS($A$5:$A$504,A376,$B$5:$B$504,B376,$C$5:$C$504,C376)&gt;1,"DUPLICATE","OK"))</f>
        <v/>
      </c>
      <c r="J376" s="17">
        <f>IF(COUNTA(A376:C376)=0,"",IF(AND(COUNTIF('Master Data'!$A$6:$A$145,B376)=1,COUNTIF('Master Data'!$F$6:$F$13,C376)=1),"OK","INVALID"))</f>
        <v/>
      </c>
    </row>
    <row r="377">
      <c r="A377" s="7" t="n"/>
      <c r="B377" s="13" t="n"/>
      <c r="C377" s="13" t="n"/>
      <c r="D377" s="14" t="n"/>
      <c r="E377" s="15" t="n"/>
      <c r="F377" s="16" t="n"/>
      <c r="G377" s="16" t="n"/>
      <c r="H377" s="16" t="n"/>
      <c r="I377" s="17">
        <f>IF(COUNTA(A377:C377)=0,"",IF(COUNTIFS($A$5:$A$504,A377,$B$5:$B$504,B377,$C$5:$C$504,C377)&gt;1,"DUPLICATE","OK"))</f>
        <v/>
      </c>
      <c r="J377" s="17">
        <f>IF(COUNTA(A377:C377)=0,"",IF(AND(COUNTIF('Master Data'!$A$6:$A$145,B377)=1,COUNTIF('Master Data'!$F$6:$F$13,C377)=1),"OK","INVALID"))</f>
        <v/>
      </c>
    </row>
    <row r="378">
      <c r="A378" s="7" t="n"/>
      <c r="B378" s="13" t="n"/>
      <c r="C378" s="13" t="n"/>
      <c r="D378" s="14" t="n"/>
      <c r="E378" s="15" t="n"/>
      <c r="F378" s="16" t="n"/>
      <c r="G378" s="16" t="n"/>
      <c r="H378" s="16" t="n"/>
      <c r="I378" s="17">
        <f>IF(COUNTA(A378:C378)=0,"",IF(COUNTIFS($A$5:$A$504,A378,$B$5:$B$504,B378,$C$5:$C$504,C378)&gt;1,"DUPLICATE","OK"))</f>
        <v/>
      </c>
      <c r="J378" s="17">
        <f>IF(COUNTA(A378:C378)=0,"",IF(AND(COUNTIF('Master Data'!$A$6:$A$145,B378)=1,COUNTIF('Master Data'!$F$6:$F$13,C378)=1),"OK","INVALID"))</f>
        <v/>
      </c>
    </row>
    <row r="379">
      <c r="A379" s="7" t="n"/>
      <c r="B379" s="13" t="n"/>
      <c r="C379" s="13" t="n"/>
      <c r="D379" s="14" t="n"/>
      <c r="E379" s="15" t="n"/>
      <c r="F379" s="16" t="n"/>
      <c r="G379" s="16" t="n"/>
      <c r="H379" s="16" t="n"/>
      <c r="I379" s="17">
        <f>IF(COUNTA(A379:C379)=0,"",IF(COUNTIFS($A$5:$A$504,A379,$B$5:$B$504,B379,$C$5:$C$504,C379)&gt;1,"DUPLICATE","OK"))</f>
        <v/>
      </c>
      <c r="J379" s="17">
        <f>IF(COUNTA(A379:C379)=0,"",IF(AND(COUNTIF('Master Data'!$A$6:$A$145,B379)=1,COUNTIF('Master Data'!$F$6:$F$13,C379)=1),"OK","INVALID"))</f>
        <v/>
      </c>
    </row>
    <row r="380">
      <c r="A380" s="7" t="n"/>
      <c r="B380" s="13" t="n"/>
      <c r="C380" s="13" t="n"/>
      <c r="D380" s="14" t="n"/>
      <c r="E380" s="15" t="n"/>
      <c r="F380" s="16" t="n"/>
      <c r="G380" s="16" t="n"/>
      <c r="H380" s="16" t="n"/>
      <c r="I380" s="17">
        <f>IF(COUNTA(A380:C380)=0,"",IF(COUNTIFS($A$5:$A$504,A380,$B$5:$B$504,B380,$C$5:$C$504,C380)&gt;1,"DUPLICATE","OK"))</f>
        <v/>
      </c>
      <c r="J380" s="17">
        <f>IF(COUNTA(A380:C380)=0,"",IF(AND(COUNTIF('Master Data'!$A$6:$A$145,B380)=1,COUNTIF('Master Data'!$F$6:$F$13,C380)=1),"OK","INVALID"))</f>
        <v/>
      </c>
    </row>
    <row r="381">
      <c r="A381" s="7" t="n"/>
      <c r="B381" s="13" t="n"/>
      <c r="C381" s="13" t="n"/>
      <c r="D381" s="14" t="n"/>
      <c r="E381" s="15" t="n"/>
      <c r="F381" s="16" t="n"/>
      <c r="G381" s="16" t="n"/>
      <c r="H381" s="16" t="n"/>
      <c r="I381" s="17">
        <f>IF(COUNTA(A381:C381)=0,"",IF(COUNTIFS($A$5:$A$504,A381,$B$5:$B$504,B381,$C$5:$C$504,C381)&gt;1,"DUPLICATE","OK"))</f>
        <v/>
      </c>
      <c r="J381" s="17">
        <f>IF(COUNTA(A381:C381)=0,"",IF(AND(COUNTIF('Master Data'!$A$6:$A$145,B381)=1,COUNTIF('Master Data'!$F$6:$F$13,C381)=1),"OK","INVALID"))</f>
        <v/>
      </c>
    </row>
    <row r="382">
      <c r="A382" s="7" t="n"/>
      <c r="B382" s="13" t="n"/>
      <c r="C382" s="13" t="n"/>
      <c r="D382" s="14" t="n"/>
      <c r="E382" s="15" t="n"/>
      <c r="F382" s="16" t="n"/>
      <c r="G382" s="16" t="n"/>
      <c r="H382" s="16" t="n"/>
      <c r="I382" s="17">
        <f>IF(COUNTA(A382:C382)=0,"",IF(COUNTIFS($A$5:$A$504,A382,$B$5:$B$504,B382,$C$5:$C$504,C382)&gt;1,"DUPLICATE","OK"))</f>
        <v/>
      </c>
      <c r="J382" s="17">
        <f>IF(COUNTA(A382:C382)=0,"",IF(AND(COUNTIF('Master Data'!$A$6:$A$145,B382)=1,COUNTIF('Master Data'!$F$6:$F$13,C382)=1),"OK","INVALID"))</f>
        <v/>
      </c>
    </row>
    <row r="383">
      <c r="A383" s="7" t="n"/>
      <c r="B383" s="13" t="n"/>
      <c r="C383" s="13" t="n"/>
      <c r="D383" s="14" t="n"/>
      <c r="E383" s="15" t="n"/>
      <c r="F383" s="16" t="n"/>
      <c r="G383" s="16" t="n"/>
      <c r="H383" s="16" t="n"/>
      <c r="I383" s="17">
        <f>IF(COUNTA(A383:C383)=0,"",IF(COUNTIFS($A$5:$A$504,A383,$B$5:$B$504,B383,$C$5:$C$504,C383)&gt;1,"DUPLICATE","OK"))</f>
        <v/>
      </c>
      <c r="J383" s="17">
        <f>IF(COUNTA(A383:C383)=0,"",IF(AND(COUNTIF('Master Data'!$A$6:$A$145,B383)=1,COUNTIF('Master Data'!$F$6:$F$13,C383)=1),"OK","INVALID"))</f>
        <v/>
      </c>
    </row>
    <row r="384">
      <c r="A384" s="7" t="n"/>
      <c r="B384" s="13" t="n"/>
      <c r="C384" s="13" t="n"/>
      <c r="D384" s="14" t="n"/>
      <c r="E384" s="15" t="n"/>
      <c r="F384" s="16" t="n"/>
      <c r="G384" s="16" t="n"/>
      <c r="H384" s="16" t="n"/>
      <c r="I384" s="17">
        <f>IF(COUNTA(A384:C384)=0,"",IF(COUNTIFS($A$5:$A$504,A384,$B$5:$B$504,B384,$C$5:$C$504,C384)&gt;1,"DUPLICATE","OK"))</f>
        <v/>
      </c>
      <c r="J384" s="17">
        <f>IF(COUNTA(A384:C384)=0,"",IF(AND(COUNTIF('Master Data'!$A$6:$A$145,B384)=1,COUNTIF('Master Data'!$F$6:$F$13,C384)=1),"OK","INVALID"))</f>
        <v/>
      </c>
    </row>
    <row r="385">
      <c r="A385" s="7" t="n"/>
      <c r="B385" s="13" t="n"/>
      <c r="C385" s="13" t="n"/>
      <c r="D385" s="14" t="n"/>
      <c r="E385" s="15" t="n"/>
      <c r="F385" s="16" t="n"/>
      <c r="G385" s="16" t="n"/>
      <c r="H385" s="16" t="n"/>
      <c r="I385" s="17">
        <f>IF(COUNTA(A385:C385)=0,"",IF(COUNTIFS($A$5:$A$504,A385,$B$5:$B$504,B385,$C$5:$C$504,C385)&gt;1,"DUPLICATE","OK"))</f>
        <v/>
      </c>
      <c r="J385" s="17">
        <f>IF(COUNTA(A385:C385)=0,"",IF(AND(COUNTIF('Master Data'!$A$6:$A$145,B385)=1,COUNTIF('Master Data'!$F$6:$F$13,C385)=1),"OK","INVALID"))</f>
        <v/>
      </c>
    </row>
    <row r="386">
      <c r="A386" s="7" t="n"/>
      <c r="B386" s="13" t="n"/>
      <c r="C386" s="13" t="n"/>
      <c r="D386" s="14" t="n"/>
      <c r="E386" s="15" t="n"/>
      <c r="F386" s="16" t="n"/>
      <c r="G386" s="16" t="n"/>
      <c r="H386" s="16" t="n"/>
      <c r="I386" s="17">
        <f>IF(COUNTA(A386:C386)=0,"",IF(COUNTIFS($A$5:$A$504,A386,$B$5:$B$504,B386,$C$5:$C$504,C386)&gt;1,"DUPLICATE","OK"))</f>
        <v/>
      </c>
      <c r="J386" s="17">
        <f>IF(COUNTA(A386:C386)=0,"",IF(AND(COUNTIF('Master Data'!$A$6:$A$145,B386)=1,COUNTIF('Master Data'!$F$6:$F$13,C386)=1),"OK","INVALID"))</f>
        <v/>
      </c>
    </row>
    <row r="387">
      <c r="A387" s="7" t="n"/>
      <c r="B387" s="13" t="n"/>
      <c r="C387" s="13" t="n"/>
      <c r="D387" s="14" t="n"/>
      <c r="E387" s="15" t="n"/>
      <c r="F387" s="16" t="n"/>
      <c r="G387" s="16" t="n"/>
      <c r="H387" s="16" t="n"/>
      <c r="I387" s="17">
        <f>IF(COUNTA(A387:C387)=0,"",IF(COUNTIFS($A$5:$A$504,A387,$B$5:$B$504,B387,$C$5:$C$504,C387)&gt;1,"DUPLICATE","OK"))</f>
        <v/>
      </c>
      <c r="J387" s="17">
        <f>IF(COUNTA(A387:C387)=0,"",IF(AND(COUNTIF('Master Data'!$A$6:$A$145,B387)=1,COUNTIF('Master Data'!$F$6:$F$13,C387)=1),"OK","INVALID"))</f>
        <v/>
      </c>
    </row>
    <row r="388">
      <c r="A388" s="7" t="n"/>
      <c r="B388" s="13" t="n"/>
      <c r="C388" s="13" t="n"/>
      <c r="D388" s="14" t="n"/>
      <c r="E388" s="15" t="n"/>
      <c r="F388" s="16" t="n"/>
      <c r="G388" s="16" t="n"/>
      <c r="H388" s="16" t="n"/>
      <c r="I388" s="17">
        <f>IF(COUNTA(A388:C388)=0,"",IF(COUNTIFS($A$5:$A$504,A388,$B$5:$B$504,B388,$C$5:$C$504,C388)&gt;1,"DUPLICATE","OK"))</f>
        <v/>
      </c>
      <c r="J388" s="17">
        <f>IF(COUNTA(A388:C388)=0,"",IF(AND(COUNTIF('Master Data'!$A$6:$A$145,B388)=1,COUNTIF('Master Data'!$F$6:$F$13,C388)=1),"OK","INVALID"))</f>
        <v/>
      </c>
    </row>
    <row r="389">
      <c r="A389" s="7" t="n"/>
      <c r="B389" s="13" t="n"/>
      <c r="C389" s="13" t="n"/>
      <c r="D389" s="14" t="n"/>
      <c r="E389" s="15" t="n"/>
      <c r="F389" s="16" t="n"/>
      <c r="G389" s="16" t="n"/>
      <c r="H389" s="16" t="n"/>
      <c r="I389" s="17">
        <f>IF(COUNTA(A389:C389)=0,"",IF(COUNTIFS($A$5:$A$504,A389,$B$5:$B$504,B389,$C$5:$C$504,C389)&gt;1,"DUPLICATE","OK"))</f>
        <v/>
      </c>
      <c r="J389" s="17">
        <f>IF(COUNTA(A389:C389)=0,"",IF(AND(COUNTIF('Master Data'!$A$6:$A$145,B389)=1,COUNTIF('Master Data'!$F$6:$F$13,C389)=1),"OK","INVALID"))</f>
        <v/>
      </c>
    </row>
    <row r="390">
      <c r="A390" s="7" t="n"/>
      <c r="B390" s="13" t="n"/>
      <c r="C390" s="13" t="n"/>
      <c r="D390" s="14" t="n"/>
      <c r="E390" s="15" t="n"/>
      <c r="F390" s="16" t="n"/>
      <c r="G390" s="16" t="n"/>
      <c r="H390" s="16" t="n"/>
      <c r="I390" s="17">
        <f>IF(COUNTA(A390:C390)=0,"",IF(COUNTIFS($A$5:$A$504,A390,$B$5:$B$504,B390,$C$5:$C$504,C390)&gt;1,"DUPLICATE","OK"))</f>
        <v/>
      </c>
      <c r="J390" s="17">
        <f>IF(COUNTA(A390:C390)=0,"",IF(AND(COUNTIF('Master Data'!$A$6:$A$145,B390)=1,COUNTIF('Master Data'!$F$6:$F$13,C390)=1),"OK","INVALID"))</f>
        <v/>
      </c>
    </row>
    <row r="391">
      <c r="A391" s="7" t="n"/>
      <c r="B391" s="13" t="n"/>
      <c r="C391" s="13" t="n"/>
      <c r="D391" s="14" t="n"/>
      <c r="E391" s="15" t="n"/>
      <c r="F391" s="16" t="n"/>
      <c r="G391" s="16" t="n"/>
      <c r="H391" s="16" t="n"/>
      <c r="I391" s="17">
        <f>IF(COUNTA(A391:C391)=0,"",IF(COUNTIFS($A$5:$A$504,A391,$B$5:$B$504,B391,$C$5:$C$504,C391)&gt;1,"DUPLICATE","OK"))</f>
        <v/>
      </c>
      <c r="J391" s="17">
        <f>IF(COUNTA(A391:C391)=0,"",IF(AND(COUNTIF('Master Data'!$A$6:$A$145,B391)=1,COUNTIF('Master Data'!$F$6:$F$13,C391)=1),"OK","INVALID"))</f>
        <v/>
      </c>
    </row>
    <row r="392">
      <c r="A392" s="7" t="n"/>
      <c r="B392" s="13" t="n"/>
      <c r="C392" s="13" t="n"/>
      <c r="D392" s="14" t="n"/>
      <c r="E392" s="15" t="n"/>
      <c r="F392" s="16" t="n"/>
      <c r="G392" s="16" t="n"/>
      <c r="H392" s="16" t="n"/>
      <c r="I392" s="17">
        <f>IF(COUNTA(A392:C392)=0,"",IF(COUNTIFS($A$5:$A$504,A392,$B$5:$B$504,B392,$C$5:$C$504,C392)&gt;1,"DUPLICATE","OK"))</f>
        <v/>
      </c>
      <c r="J392" s="17">
        <f>IF(COUNTA(A392:C392)=0,"",IF(AND(COUNTIF('Master Data'!$A$6:$A$145,B392)=1,COUNTIF('Master Data'!$F$6:$F$13,C392)=1),"OK","INVALID"))</f>
        <v/>
      </c>
    </row>
    <row r="393">
      <c r="A393" s="7" t="n"/>
      <c r="B393" s="13" t="n"/>
      <c r="C393" s="13" t="n"/>
      <c r="D393" s="14" t="n"/>
      <c r="E393" s="15" t="n"/>
      <c r="F393" s="16" t="n"/>
      <c r="G393" s="16" t="n"/>
      <c r="H393" s="16" t="n"/>
      <c r="I393" s="17">
        <f>IF(COUNTA(A393:C393)=0,"",IF(COUNTIFS($A$5:$A$504,A393,$B$5:$B$504,B393,$C$5:$C$504,C393)&gt;1,"DUPLICATE","OK"))</f>
        <v/>
      </c>
      <c r="J393" s="17">
        <f>IF(COUNTA(A393:C393)=0,"",IF(AND(COUNTIF('Master Data'!$A$6:$A$145,B393)=1,COUNTIF('Master Data'!$F$6:$F$13,C393)=1),"OK","INVALID"))</f>
        <v/>
      </c>
    </row>
    <row r="394">
      <c r="A394" s="7" t="n"/>
      <c r="B394" s="13" t="n"/>
      <c r="C394" s="13" t="n"/>
      <c r="D394" s="14" t="n"/>
      <c r="E394" s="15" t="n"/>
      <c r="F394" s="16" t="n"/>
      <c r="G394" s="16" t="n"/>
      <c r="H394" s="16" t="n"/>
      <c r="I394" s="17">
        <f>IF(COUNTA(A394:C394)=0,"",IF(COUNTIFS($A$5:$A$504,A394,$B$5:$B$504,B394,$C$5:$C$504,C394)&gt;1,"DUPLICATE","OK"))</f>
        <v/>
      </c>
      <c r="J394" s="17">
        <f>IF(COUNTA(A394:C394)=0,"",IF(AND(COUNTIF('Master Data'!$A$6:$A$145,B394)=1,COUNTIF('Master Data'!$F$6:$F$13,C394)=1),"OK","INVALID"))</f>
        <v/>
      </c>
    </row>
    <row r="395">
      <c r="A395" s="7" t="n"/>
      <c r="B395" s="13" t="n"/>
      <c r="C395" s="13" t="n"/>
      <c r="D395" s="14" t="n"/>
      <c r="E395" s="15" t="n"/>
      <c r="F395" s="16" t="n"/>
      <c r="G395" s="16" t="n"/>
      <c r="H395" s="16" t="n"/>
      <c r="I395" s="17">
        <f>IF(COUNTA(A395:C395)=0,"",IF(COUNTIFS($A$5:$A$504,A395,$B$5:$B$504,B395,$C$5:$C$504,C395)&gt;1,"DUPLICATE","OK"))</f>
        <v/>
      </c>
      <c r="J395" s="17">
        <f>IF(COUNTA(A395:C395)=0,"",IF(AND(COUNTIF('Master Data'!$A$6:$A$145,B395)=1,COUNTIF('Master Data'!$F$6:$F$13,C395)=1),"OK","INVALID"))</f>
        <v/>
      </c>
    </row>
    <row r="396">
      <c r="A396" s="7" t="n"/>
      <c r="B396" s="13" t="n"/>
      <c r="C396" s="13" t="n"/>
      <c r="D396" s="14" t="n"/>
      <c r="E396" s="15" t="n"/>
      <c r="F396" s="16" t="n"/>
      <c r="G396" s="16" t="n"/>
      <c r="H396" s="16" t="n"/>
      <c r="I396" s="17">
        <f>IF(COUNTA(A396:C396)=0,"",IF(COUNTIFS($A$5:$A$504,A396,$B$5:$B$504,B396,$C$5:$C$504,C396)&gt;1,"DUPLICATE","OK"))</f>
        <v/>
      </c>
      <c r="J396" s="17">
        <f>IF(COUNTA(A396:C396)=0,"",IF(AND(COUNTIF('Master Data'!$A$6:$A$145,B396)=1,COUNTIF('Master Data'!$F$6:$F$13,C396)=1),"OK","INVALID"))</f>
        <v/>
      </c>
    </row>
    <row r="397">
      <c r="A397" s="7" t="n"/>
      <c r="B397" s="13" t="n"/>
      <c r="C397" s="13" t="n"/>
      <c r="D397" s="14" t="n"/>
      <c r="E397" s="15" t="n"/>
      <c r="F397" s="16" t="n"/>
      <c r="G397" s="16" t="n"/>
      <c r="H397" s="16" t="n"/>
      <c r="I397" s="17">
        <f>IF(COUNTA(A397:C397)=0,"",IF(COUNTIFS($A$5:$A$504,A397,$B$5:$B$504,B397,$C$5:$C$504,C397)&gt;1,"DUPLICATE","OK"))</f>
        <v/>
      </c>
      <c r="J397" s="17">
        <f>IF(COUNTA(A397:C397)=0,"",IF(AND(COUNTIF('Master Data'!$A$6:$A$145,B397)=1,COUNTIF('Master Data'!$F$6:$F$13,C397)=1),"OK","INVALID"))</f>
        <v/>
      </c>
    </row>
    <row r="398">
      <c r="A398" s="7" t="n"/>
      <c r="B398" s="13" t="n"/>
      <c r="C398" s="13" t="n"/>
      <c r="D398" s="14" t="n"/>
      <c r="E398" s="15" t="n"/>
      <c r="F398" s="16" t="n"/>
      <c r="G398" s="16" t="n"/>
      <c r="H398" s="16" t="n"/>
      <c r="I398" s="17">
        <f>IF(COUNTA(A398:C398)=0,"",IF(COUNTIFS($A$5:$A$504,A398,$B$5:$B$504,B398,$C$5:$C$504,C398)&gt;1,"DUPLICATE","OK"))</f>
        <v/>
      </c>
      <c r="J398" s="17">
        <f>IF(COUNTA(A398:C398)=0,"",IF(AND(COUNTIF('Master Data'!$A$6:$A$145,B398)=1,COUNTIF('Master Data'!$F$6:$F$13,C398)=1),"OK","INVALID"))</f>
        <v/>
      </c>
    </row>
    <row r="399">
      <c r="A399" s="7" t="n"/>
      <c r="B399" s="13" t="n"/>
      <c r="C399" s="13" t="n"/>
      <c r="D399" s="14" t="n"/>
      <c r="E399" s="15" t="n"/>
      <c r="F399" s="16" t="n"/>
      <c r="G399" s="16" t="n"/>
      <c r="H399" s="16" t="n"/>
      <c r="I399" s="17">
        <f>IF(COUNTA(A399:C399)=0,"",IF(COUNTIFS($A$5:$A$504,A399,$B$5:$B$504,B399,$C$5:$C$504,C399)&gt;1,"DUPLICATE","OK"))</f>
        <v/>
      </c>
      <c r="J399" s="17">
        <f>IF(COUNTA(A399:C399)=0,"",IF(AND(COUNTIF('Master Data'!$A$6:$A$145,B399)=1,COUNTIF('Master Data'!$F$6:$F$13,C399)=1),"OK","INVALID"))</f>
        <v/>
      </c>
    </row>
    <row r="400">
      <c r="A400" s="7" t="n"/>
      <c r="B400" s="13" t="n"/>
      <c r="C400" s="13" t="n"/>
      <c r="D400" s="14" t="n"/>
      <c r="E400" s="15" t="n"/>
      <c r="F400" s="16" t="n"/>
      <c r="G400" s="16" t="n"/>
      <c r="H400" s="16" t="n"/>
      <c r="I400" s="17">
        <f>IF(COUNTA(A400:C400)=0,"",IF(COUNTIFS($A$5:$A$504,A400,$B$5:$B$504,B400,$C$5:$C$504,C400)&gt;1,"DUPLICATE","OK"))</f>
        <v/>
      </c>
      <c r="J400" s="17">
        <f>IF(COUNTA(A400:C400)=0,"",IF(AND(COUNTIF('Master Data'!$A$6:$A$145,B400)=1,COUNTIF('Master Data'!$F$6:$F$13,C400)=1),"OK","INVALID"))</f>
        <v/>
      </c>
    </row>
    <row r="401">
      <c r="A401" s="7" t="n"/>
      <c r="B401" s="13" t="n"/>
      <c r="C401" s="13" t="n"/>
      <c r="D401" s="14" t="n"/>
      <c r="E401" s="15" t="n"/>
      <c r="F401" s="16" t="n"/>
      <c r="G401" s="16" t="n"/>
      <c r="H401" s="16" t="n"/>
      <c r="I401" s="17">
        <f>IF(COUNTA(A401:C401)=0,"",IF(COUNTIFS($A$5:$A$504,A401,$B$5:$B$504,B401,$C$5:$C$504,C401)&gt;1,"DUPLICATE","OK"))</f>
        <v/>
      </c>
      <c r="J401" s="17">
        <f>IF(COUNTA(A401:C401)=0,"",IF(AND(COUNTIF('Master Data'!$A$6:$A$145,B401)=1,COUNTIF('Master Data'!$F$6:$F$13,C401)=1),"OK","INVALID"))</f>
        <v/>
      </c>
    </row>
    <row r="402">
      <c r="A402" s="7" t="n"/>
      <c r="B402" s="13" t="n"/>
      <c r="C402" s="13" t="n"/>
      <c r="D402" s="14" t="n"/>
      <c r="E402" s="15" t="n"/>
      <c r="F402" s="16" t="n"/>
      <c r="G402" s="16" t="n"/>
      <c r="H402" s="16" t="n"/>
      <c r="I402" s="17">
        <f>IF(COUNTA(A402:C402)=0,"",IF(COUNTIFS($A$5:$A$504,A402,$B$5:$B$504,B402,$C$5:$C$504,C402)&gt;1,"DUPLICATE","OK"))</f>
        <v/>
      </c>
      <c r="J402" s="17">
        <f>IF(COUNTA(A402:C402)=0,"",IF(AND(COUNTIF('Master Data'!$A$6:$A$145,B402)=1,COUNTIF('Master Data'!$F$6:$F$13,C402)=1),"OK","INVALID"))</f>
        <v/>
      </c>
    </row>
    <row r="403">
      <c r="A403" s="7" t="n"/>
      <c r="B403" s="13" t="n"/>
      <c r="C403" s="13" t="n"/>
      <c r="D403" s="14" t="n"/>
      <c r="E403" s="15" t="n"/>
      <c r="F403" s="16" t="n"/>
      <c r="G403" s="16" t="n"/>
      <c r="H403" s="16" t="n"/>
      <c r="I403" s="17">
        <f>IF(COUNTA(A403:C403)=0,"",IF(COUNTIFS($A$5:$A$504,A403,$B$5:$B$504,B403,$C$5:$C$504,C403)&gt;1,"DUPLICATE","OK"))</f>
        <v/>
      </c>
      <c r="J403" s="17">
        <f>IF(COUNTA(A403:C403)=0,"",IF(AND(COUNTIF('Master Data'!$A$6:$A$145,B403)=1,COUNTIF('Master Data'!$F$6:$F$13,C403)=1),"OK","INVALID"))</f>
        <v/>
      </c>
    </row>
    <row r="404">
      <c r="A404" s="7" t="n"/>
      <c r="B404" s="13" t="n"/>
      <c r="C404" s="13" t="n"/>
      <c r="D404" s="14" t="n"/>
      <c r="E404" s="15" t="n"/>
      <c r="F404" s="16" t="n"/>
      <c r="G404" s="16" t="n"/>
      <c r="H404" s="16" t="n"/>
      <c r="I404" s="17">
        <f>IF(COUNTA(A404:C404)=0,"",IF(COUNTIFS($A$5:$A$504,A404,$B$5:$B$504,B404,$C$5:$C$504,C404)&gt;1,"DUPLICATE","OK"))</f>
        <v/>
      </c>
      <c r="J404" s="17">
        <f>IF(COUNTA(A404:C404)=0,"",IF(AND(COUNTIF('Master Data'!$A$6:$A$145,B404)=1,COUNTIF('Master Data'!$F$6:$F$13,C404)=1),"OK","INVALID"))</f>
        <v/>
      </c>
    </row>
    <row r="405">
      <c r="A405" s="7" t="n"/>
      <c r="B405" s="13" t="n"/>
      <c r="C405" s="13" t="n"/>
      <c r="D405" s="14" t="n"/>
      <c r="E405" s="15" t="n"/>
      <c r="F405" s="16" t="n"/>
      <c r="G405" s="16" t="n"/>
      <c r="H405" s="16" t="n"/>
      <c r="I405" s="17">
        <f>IF(COUNTA(A405:C405)=0,"",IF(COUNTIFS($A$5:$A$504,A405,$B$5:$B$504,B405,$C$5:$C$504,C405)&gt;1,"DUPLICATE","OK"))</f>
        <v/>
      </c>
      <c r="J405" s="17">
        <f>IF(COUNTA(A405:C405)=0,"",IF(AND(COUNTIF('Master Data'!$A$6:$A$145,B405)=1,COUNTIF('Master Data'!$F$6:$F$13,C405)=1),"OK","INVALID"))</f>
        <v/>
      </c>
    </row>
    <row r="406">
      <c r="A406" s="7" t="n"/>
      <c r="B406" s="13" t="n"/>
      <c r="C406" s="13" t="n"/>
      <c r="D406" s="14" t="n"/>
      <c r="E406" s="15" t="n"/>
      <c r="F406" s="16" t="n"/>
      <c r="G406" s="16" t="n"/>
      <c r="H406" s="16" t="n"/>
      <c r="I406" s="17">
        <f>IF(COUNTA(A406:C406)=0,"",IF(COUNTIFS($A$5:$A$504,A406,$B$5:$B$504,B406,$C$5:$C$504,C406)&gt;1,"DUPLICATE","OK"))</f>
        <v/>
      </c>
      <c r="J406" s="17">
        <f>IF(COUNTA(A406:C406)=0,"",IF(AND(COUNTIF('Master Data'!$A$6:$A$145,B406)=1,COUNTIF('Master Data'!$F$6:$F$13,C406)=1),"OK","INVALID"))</f>
        <v/>
      </c>
    </row>
    <row r="407">
      <c r="A407" s="7" t="n"/>
      <c r="B407" s="13" t="n"/>
      <c r="C407" s="13" t="n"/>
      <c r="D407" s="14" t="n"/>
      <c r="E407" s="15" t="n"/>
      <c r="F407" s="16" t="n"/>
      <c r="G407" s="16" t="n"/>
      <c r="H407" s="16" t="n"/>
      <c r="I407" s="17">
        <f>IF(COUNTA(A407:C407)=0,"",IF(COUNTIFS($A$5:$A$504,A407,$B$5:$B$504,B407,$C$5:$C$504,C407)&gt;1,"DUPLICATE","OK"))</f>
        <v/>
      </c>
      <c r="J407" s="17">
        <f>IF(COUNTA(A407:C407)=0,"",IF(AND(COUNTIF('Master Data'!$A$6:$A$145,B407)=1,COUNTIF('Master Data'!$F$6:$F$13,C407)=1),"OK","INVALID"))</f>
        <v/>
      </c>
    </row>
    <row r="408">
      <c r="A408" s="7" t="n"/>
      <c r="B408" s="13" t="n"/>
      <c r="C408" s="13" t="n"/>
      <c r="D408" s="14" t="n"/>
      <c r="E408" s="15" t="n"/>
      <c r="F408" s="16" t="n"/>
      <c r="G408" s="16" t="n"/>
      <c r="H408" s="16" t="n"/>
      <c r="I408" s="17">
        <f>IF(COUNTA(A408:C408)=0,"",IF(COUNTIFS($A$5:$A$504,A408,$B$5:$B$504,B408,$C$5:$C$504,C408)&gt;1,"DUPLICATE","OK"))</f>
        <v/>
      </c>
      <c r="J408" s="17">
        <f>IF(COUNTA(A408:C408)=0,"",IF(AND(COUNTIF('Master Data'!$A$6:$A$145,B408)=1,COUNTIF('Master Data'!$F$6:$F$13,C408)=1),"OK","INVALID"))</f>
        <v/>
      </c>
    </row>
    <row r="409">
      <c r="A409" s="7" t="n"/>
      <c r="B409" s="13" t="n"/>
      <c r="C409" s="13" t="n"/>
      <c r="D409" s="14" t="n"/>
      <c r="E409" s="15" t="n"/>
      <c r="F409" s="16" t="n"/>
      <c r="G409" s="16" t="n"/>
      <c r="H409" s="16" t="n"/>
      <c r="I409" s="17">
        <f>IF(COUNTA(A409:C409)=0,"",IF(COUNTIFS($A$5:$A$504,A409,$B$5:$B$504,B409,$C$5:$C$504,C409)&gt;1,"DUPLICATE","OK"))</f>
        <v/>
      </c>
      <c r="J409" s="17">
        <f>IF(COUNTA(A409:C409)=0,"",IF(AND(COUNTIF('Master Data'!$A$6:$A$145,B409)=1,COUNTIF('Master Data'!$F$6:$F$13,C409)=1),"OK","INVALID"))</f>
        <v/>
      </c>
    </row>
    <row r="410">
      <c r="A410" s="7" t="n"/>
      <c r="B410" s="13" t="n"/>
      <c r="C410" s="13" t="n"/>
      <c r="D410" s="14" t="n"/>
      <c r="E410" s="15" t="n"/>
      <c r="F410" s="16" t="n"/>
      <c r="G410" s="16" t="n"/>
      <c r="H410" s="16" t="n"/>
      <c r="I410" s="17">
        <f>IF(COUNTA(A410:C410)=0,"",IF(COUNTIFS($A$5:$A$504,A410,$B$5:$B$504,B410,$C$5:$C$504,C410)&gt;1,"DUPLICATE","OK"))</f>
        <v/>
      </c>
      <c r="J410" s="17">
        <f>IF(COUNTA(A410:C410)=0,"",IF(AND(COUNTIF('Master Data'!$A$6:$A$145,B410)=1,COUNTIF('Master Data'!$F$6:$F$13,C410)=1),"OK","INVALID"))</f>
        <v/>
      </c>
    </row>
    <row r="411">
      <c r="A411" s="7" t="n"/>
      <c r="B411" s="13" t="n"/>
      <c r="C411" s="13" t="n"/>
      <c r="D411" s="14" t="n"/>
      <c r="E411" s="15" t="n"/>
      <c r="F411" s="16" t="n"/>
      <c r="G411" s="16" t="n"/>
      <c r="H411" s="16" t="n"/>
      <c r="I411" s="17">
        <f>IF(COUNTA(A411:C411)=0,"",IF(COUNTIFS($A$5:$A$504,A411,$B$5:$B$504,B411,$C$5:$C$504,C411)&gt;1,"DUPLICATE","OK"))</f>
        <v/>
      </c>
      <c r="J411" s="17">
        <f>IF(COUNTA(A411:C411)=0,"",IF(AND(COUNTIF('Master Data'!$A$6:$A$145,B411)=1,COUNTIF('Master Data'!$F$6:$F$13,C411)=1),"OK","INVALID"))</f>
        <v/>
      </c>
    </row>
    <row r="412">
      <c r="A412" s="7" t="n"/>
      <c r="B412" s="13" t="n"/>
      <c r="C412" s="13" t="n"/>
      <c r="D412" s="14" t="n"/>
      <c r="E412" s="15" t="n"/>
      <c r="F412" s="16" t="n"/>
      <c r="G412" s="16" t="n"/>
      <c r="H412" s="16" t="n"/>
      <c r="I412" s="17">
        <f>IF(COUNTA(A412:C412)=0,"",IF(COUNTIFS($A$5:$A$504,A412,$B$5:$B$504,B412,$C$5:$C$504,C412)&gt;1,"DUPLICATE","OK"))</f>
        <v/>
      </c>
      <c r="J412" s="17">
        <f>IF(COUNTA(A412:C412)=0,"",IF(AND(COUNTIF('Master Data'!$A$6:$A$145,B412)=1,COUNTIF('Master Data'!$F$6:$F$13,C412)=1),"OK","INVALID"))</f>
        <v/>
      </c>
    </row>
    <row r="413">
      <c r="A413" s="7" t="n"/>
      <c r="B413" s="13" t="n"/>
      <c r="C413" s="13" t="n"/>
      <c r="D413" s="14" t="n"/>
      <c r="E413" s="15" t="n"/>
      <c r="F413" s="16" t="n"/>
      <c r="G413" s="16" t="n"/>
      <c r="H413" s="16" t="n"/>
      <c r="I413" s="17">
        <f>IF(COUNTA(A413:C413)=0,"",IF(COUNTIFS($A$5:$A$504,A413,$B$5:$B$504,B413,$C$5:$C$504,C413)&gt;1,"DUPLICATE","OK"))</f>
        <v/>
      </c>
      <c r="J413" s="17">
        <f>IF(COUNTA(A413:C413)=0,"",IF(AND(COUNTIF('Master Data'!$A$6:$A$145,B413)=1,COUNTIF('Master Data'!$F$6:$F$13,C413)=1),"OK","INVALID"))</f>
        <v/>
      </c>
    </row>
    <row r="414">
      <c r="A414" s="7" t="n"/>
      <c r="B414" s="13" t="n"/>
      <c r="C414" s="13" t="n"/>
      <c r="D414" s="14" t="n"/>
      <c r="E414" s="15" t="n"/>
      <c r="F414" s="16" t="n"/>
      <c r="G414" s="16" t="n"/>
      <c r="H414" s="16" t="n"/>
      <c r="I414" s="17">
        <f>IF(COUNTA(A414:C414)=0,"",IF(COUNTIFS($A$5:$A$504,A414,$B$5:$B$504,B414,$C$5:$C$504,C414)&gt;1,"DUPLICATE","OK"))</f>
        <v/>
      </c>
      <c r="J414" s="17">
        <f>IF(COUNTA(A414:C414)=0,"",IF(AND(COUNTIF('Master Data'!$A$6:$A$145,B414)=1,COUNTIF('Master Data'!$F$6:$F$13,C414)=1),"OK","INVALID"))</f>
        <v/>
      </c>
    </row>
    <row r="415">
      <c r="A415" s="7" t="n"/>
      <c r="B415" s="13" t="n"/>
      <c r="C415" s="13" t="n"/>
      <c r="D415" s="14" t="n"/>
      <c r="E415" s="15" t="n"/>
      <c r="F415" s="16" t="n"/>
      <c r="G415" s="16" t="n"/>
      <c r="H415" s="16" t="n"/>
      <c r="I415" s="17">
        <f>IF(COUNTA(A415:C415)=0,"",IF(COUNTIFS($A$5:$A$504,A415,$B$5:$B$504,B415,$C$5:$C$504,C415)&gt;1,"DUPLICATE","OK"))</f>
        <v/>
      </c>
      <c r="J415" s="17">
        <f>IF(COUNTA(A415:C415)=0,"",IF(AND(COUNTIF('Master Data'!$A$6:$A$145,B415)=1,COUNTIF('Master Data'!$F$6:$F$13,C415)=1),"OK","INVALID"))</f>
        <v/>
      </c>
    </row>
    <row r="416">
      <c r="A416" s="7" t="n"/>
      <c r="B416" s="13" t="n"/>
      <c r="C416" s="13" t="n"/>
      <c r="D416" s="14" t="n"/>
      <c r="E416" s="15" t="n"/>
      <c r="F416" s="16" t="n"/>
      <c r="G416" s="16" t="n"/>
      <c r="H416" s="16" t="n"/>
      <c r="I416" s="17">
        <f>IF(COUNTA(A416:C416)=0,"",IF(COUNTIFS($A$5:$A$504,A416,$B$5:$B$504,B416,$C$5:$C$504,C416)&gt;1,"DUPLICATE","OK"))</f>
        <v/>
      </c>
      <c r="J416" s="17">
        <f>IF(COUNTA(A416:C416)=0,"",IF(AND(COUNTIF('Master Data'!$A$6:$A$145,B416)=1,COUNTIF('Master Data'!$F$6:$F$13,C416)=1),"OK","INVALID"))</f>
        <v/>
      </c>
    </row>
    <row r="417">
      <c r="A417" s="7" t="n"/>
      <c r="B417" s="13" t="n"/>
      <c r="C417" s="13" t="n"/>
      <c r="D417" s="14" t="n"/>
      <c r="E417" s="15" t="n"/>
      <c r="F417" s="16" t="n"/>
      <c r="G417" s="16" t="n"/>
      <c r="H417" s="16" t="n"/>
      <c r="I417" s="17">
        <f>IF(COUNTA(A417:C417)=0,"",IF(COUNTIFS($A$5:$A$504,A417,$B$5:$B$504,B417,$C$5:$C$504,C417)&gt;1,"DUPLICATE","OK"))</f>
        <v/>
      </c>
      <c r="J417" s="17">
        <f>IF(COUNTA(A417:C417)=0,"",IF(AND(COUNTIF('Master Data'!$A$6:$A$145,B417)=1,COUNTIF('Master Data'!$F$6:$F$13,C417)=1),"OK","INVALID"))</f>
        <v/>
      </c>
    </row>
    <row r="418">
      <c r="A418" s="7" t="n"/>
      <c r="B418" s="13" t="n"/>
      <c r="C418" s="13" t="n"/>
      <c r="D418" s="14" t="n"/>
      <c r="E418" s="15" t="n"/>
      <c r="F418" s="16" t="n"/>
      <c r="G418" s="16" t="n"/>
      <c r="H418" s="16" t="n"/>
      <c r="I418" s="17">
        <f>IF(COUNTA(A418:C418)=0,"",IF(COUNTIFS($A$5:$A$504,A418,$B$5:$B$504,B418,$C$5:$C$504,C418)&gt;1,"DUPLICATE","OK"))</f>
        <v/>
      </c>
      <c r="J418" s="17">
        <f>IF(COUNTA(A418:C418)=0,"",IF(AND(COUNTIF('Master Data'!$A$6:$A$145,B418)=1,COUNTIF('Master Data'!$F$6:$F$13,C418)=1),"OK","INVALID"))</f>
        <v/>
      </c>
    </row>
    <row r="419">
      <c r="A419" s="7" t="n"/>
      <c r="B419" s="13" t="n"/>
      <c r="C419" s="13" t="n"/>
      <c r="D419" s="14" t="n"/>
      <c r="E419" s="15" t="n"/>
      <c r="F419" s="16" t="n"/>
      <c r="G419" s="16" t="n"/>
      <c r="H419" s="16" t="n"/>
      <c r="I419" s="17">
        <f>IF(COUNTA(A419:C419)=0,"",IF(COUNTIFS($A$5:$A$504,A419,$B$5:$B$504,B419,$C$5:$C$504,C419)&gt;1,"DUPLICATE","OK"))</f>
        <v/>
      </c>
      <c r="J419" s="17">
        <f>IF(COUNTA(A419:C419)=0,"",IF(AND(COUNTIF('Master Data'!$A$6:$A$145,B419)=1,COUNTIF('Master Data'!$F$6:$F$13,C419)=1),"OK","INVALID"))</f>
        <v/>
      </c>
    </row>
    <row r="420">
      <c r="A420" s="7" t="n"/>
      <c r="B420" s="13" t="n"/>
      <c r="C420" s="13" t="n"/>
      <c r="D420" s="14" t="n"/>
      <c r="E420" s="15" t="n"/>
      <c r="F420" s="16" t="n"/>
      <c r="G420" s="16" t="n"/>
      <c r="H420" s="16" t="n"/>
      <c r="I420" s="17">
        <f>IF(COUNTA(A420:C420)=0,"",IF(COUNTIFS($A$5:$A$504,A420,$B$5:$B$504,B420,$C$5:$C$504,C420)&gt;1,"DUPLICATE","OK"))</f>
        <v/>
      </c>
      <c r="J420" s="17">
        <f>IF(COUNTA(A420:C420)=0,"",IF(AND(COUNTIF('Master Data'!$A$6:$A$145,B420)=1,COUNTIF('Master Data'!$F$6:$F$13,C420)=1),"OK","INVALID"))</f>
        <v/>
      </c>
    </row>
    <row r="421">
      <c r="A421" s="7" t="n"/>
      <c r="B421" s="13" t="n"/>
      <c r="C421" s="13" t="n"/>
      <c r="D421" s="14" t="n"/>
      <c r="E421" s="15" t="n"/>
      <c r="F421" s="16" t="n"/>
      <c r="G421" s="16" t="n"/>
      <c r="H421" s="16" t="n"/>
      <c r="I421" s="17">
        <f>IF(COUNTA(A421:C421)=0,"",IF(COUNTIFS($A$5:$A$504,A421,$B$5:$B$504,B421,$C$5:$C$504,C421)&gt;1,"DUPLICATE","OK"))</f>
        <v/>
      </c>
      <c r="J421" s="17">
        <f>IF(COUNTA(A421:C421)=0,"",IF(AND(COUNTIF('Master Data'!$A$6:$A$145,B421)=1,COUNTIF('Master Data'!$F$6:$F$13,C421)=1),"OK","INVALID"))</f>
        <v/>
      </c>
    </row>
    <row r="422">
      <c r="A422" s="7" t="n"/>
      <c r="B422" s="13" t="n"/>
      <c r="C422" s="13" t="n"/>
      <c r="D422" s="14" t="n"/>
      <c r="E422" s="15" t="n"/>
      <c r="F422" s="16" t="n"/>
      <c r="G422" s="16" t="n"/>
      <c r="H422" s="16" t="n"/>
      <c r="I422" s="17">
        <f>IF(COUNTA(A422:C422)=0,"",IF(COUNTIFS($A$5:$A$504,A422,$B$5:$B$504,B422,$C$5:$C$504,C422)&gt;1,"DUPLICATE","OK"))</f>
        <v/>
      </c>
      <c r="J422" s="17">
        <f>IF(COUNTA(A422:C422)=0,"",IF(AND(COUNTIF('Master Data'!$A$6:$A$145,B422)=1,COUNTIF('Master Data'!$F$6:$F$13,C422)=1),"OK","INVALID"))</f>
        <v/>
      </c>
    </row>
    <row r="423">
      <c r="A423" s="7" t="n"/>
      <c r="B423" s="13" t="n"/>
      <c r="C423" s="13" t="n"/>
      <c r="D423" s="14" t="n"/>
      <c r="E423" s="15" t="n"/>
      <c r="F423" s="16" t="n"/>
      <c r="G423" s="16" t="n"/>
      <c r="H423" s="16" t="n"/>
      <c r="I423" s="17">
        <f>IF(COUNTA(A423:C423)=0,"",IF(COUNTIFS($A$5:$A$504,A423,$B$5:$B$504,B423,$C$5:$C$504,C423)&gt;1,"DUPLICATE","OK"))</f>
        <v/>
      </c>
      <c r="J423" s="17">
        <f>IF(COUNTA(A423:C423)=0,"",IF(AND(COUNTIF('Master Data'!$A$6:$A$145,B423)=1,COUNTIF('Master Data'!$F$6:$F$13,C423)=1),"OK","INVALID"))</f>
        <v/>
      </c>
    </row>
    <row r="424">
      <c r="A424" s="7" t="n"/>
      <c r="B424" s="13" t="n"/>
      <c r="C424" s="13" t="n"/>
      <c r="D424" s="14" t="n"/>
      <c r="E424" s="15" t="n"/>
      <c r="F424" s="16" t="n"/>
      <c r="G424" s="16" t="n"/>
      <c r="H424" s="16" t="n"/>
      <c r="I424" s="17">
        <f>IF(COUNTA(A424:C424)=0,"",IF(COUNTIFS($A$5:$A$504,A424,$B$5:$B$504,B424,$C$5:$C$504,C424)&gt;1,"DUPLICATE","OK"))</f>
        <v/>
      </c>
      <c r="J424" s="17">
        <f>IF(COUNTA(A424:C424)=0,"",IF(AND(COUNTIF('Master Data'!$A$6:$A$145,B424)=1,COUNTIF('Master Data'!$F$6:$F$13,C424)=1),"OK","INVALID"))</f>
        <v/>
      </c>
    </row>
    <row r="425">
      <c r="A425" s="7" t="n"/>
      <c r="B425" s="13" t="n"/>
      <c r="C425" s="13" t="n"/>
      <c r="D425" s="14" t="n"/>
      <c r="E425" s="15" t="n"/>
      <c r="F425" s="16" t="n"/>
      <c r="G425" s="16" t="n"/>
      <c r="H425" s="16" t="n"/>
      <c r="I425" s="17">
        <f>IF(COUNTA(A425:C425)=0,"",IF(COUNTIFS($A$5:$A$504,A425,$B$5:$B$504,B425,$C$5:$C$504,C425)&gt;1,"DUPLICATE","OK"))</f>
        <v/>
      </c>
      <c r="J425" s="17">
        <f>IF(COUNTA(A425:C425)=0,"",IF(AND(COUNTIF('Master Data'!$A$6:$A$145,B425)=1,COUNTIF('Master Data'!$F$6:$F$13,C425)=1),"OK","INVALID"))</f>
        <v/>
      </c>
    </row>
    <row r="426">
      <c r="A426" s="7" t="n"/>
      <c r="B426" s="13" t="n"/>
      <c r="C426" s="13" t="n"/>
      <c r="D426" s="14" t="n"/>
      <c r="E426" s="15" t="n"/>
      <c r="F426" s="16" t="n"/>
      <c r="G426" s="16" t="n"/>
      <c r="H426" s="16" t="n"/>
      <c r="I426" s="17">
        <f>IF(COUNTA(A426:C426)=0,"",IF(COUNTIFS($A$5:$A$504,A426,$B$5:$B$504,B426,$C$5:$C$504,C426)&gt;1,"DUPLICATE","OK"))</f>
        <v/>
      </c>
      <c r="J426" s="17">
        <f>IF(COUNTA(A426:C426)=0,"",IF(AND(COUNTIF('Master Data'!$A$6:$A$145,B426)=1,COUNTIF('Master Data'!$F$6:$F$13,C426)=1),"OK","INVALID"))</f>
        <v/>
      </c>
    </row>
    <row r="427">
      <c r="A427" s="7" t="n"/>
      <c r="B427" s="13" t="n"/>
      <c r="C427" s="13" t="n"/>
      <c r="D427" s="14" t="n"/>
      <c r="E427" s="15" t="n"/>
      <c r="F427" s="16" t="n"/>
      <c r="G427" s="16" t="n"/>
      <c r="H427" s="16" t="n"/>
      <c r="I427" s="17">
        <f>IF(COUNTA(A427:C427)=0,"",IF(COUNTIFS($A$5:$A$504,A427,$B$5:$B$504,B427,$C$5:$C$504,C427)&gt;1,"DUPLICATE","OK"))</f>
        <v/>
      </c>
      <c r="J427" s="17">
        <f>IF(COUNTA(A427:C427)=0,"",IF(AND(COUNTIF('Master Data'!$A$6:$A$145,B427)=1,COUNTIF('Master Data'!$F$6:$F$13,C427)=1),"OK","INVALID"))</f>
        <v/>
      </c>
    </row>
    <row r="428">
      <c r="A428" s="7" t="n"/>
      <c r="B428" s="13" t="n"/>
      <c r="C428" s="13" t="n"/>
      <c r="D428" s="14" t="n"/>
      <c r="E428" s="15" t="n"/>
      <c r="F428" s="16" t="n"/>
      <c r="G428" s="16" t="n"/>
      <c r="H428" s="16" t="n"/>
      <c r="I428" s="17">
        <f>IF(COUNTA(A428:C428)=0,"",IF(COUNTIFS($A$5:$A$504,A428,$B$5:$B$504,B428,$C$5:$C$504,C428)&gt;1,"DUPLICATE","OK"))</f>
        <v/>
      </c>
      <c r="J428" s="17">
        <f>IF(COUNTA(A428:C428)=0,"",IF(AND(COUNTIF('Master Data'!$A$6:$A$145,B428)=1,COUNTIF('Master Data'!$F$6:$F$13,C428)=1),"OK","INVALID"))</f>
        <v/>
      </c>
    </row>
    <row r="429">
      <c r="A429" s="7" t="n"/>
      <c r="B429" s="13" t="n"/>
      <c r="C429" s="13" t="n"/>
      <c r="D429" s="14" t="n"/>
      <c r="E429" s="15" t="n"/>
      <c r="F429" s="16" t="n"/>
      <c r="G429" s="16" t="n"/>
      <c r="H429" s="16" t="n"/>
      <c r="I429" s="17">
        <f>IF(COUNTA(A429:C429)=0,"",IF(COUNTIFS($A$5:$A$504,A429,$B$5:$B$504,B429,$C$5:$C$504,C429)&gt;1,"DUPLICATE","OK"))</f>
        <v/>
      </c>
      <c r="J429" s="17">
        <f>IF(COUNTA(A429:C429)=0,"",IF(AND(COUNTIF('Master Data'!$A$6:$A$145,B429)=1,COUNTIF('Master Data'!$F$6:$F$13,C429)=1),"OK","INVALID"))</f>
        <v/>
      </c>
    </row>
    <row r="430">
      <c r="A430" s="7" t="n"/>
      <c r="B430" s="13" t="n"/>
      <c r="C430" s="13" t="n"/>
      <c r="D430" s="14" t="n"/>
      <c r="E430" s="15" t="n"/>
      <c r="F430" s="16" t="n"/>
      <c r="G430" s="16" t="n"/>
      <c r="H430" s="16" t="n"/>
      <c r="I430" s="17">
        <f>IF(COUNTA(A430:C430)=0,"",IF(COUNTIFS($A$5:$A$504,A430,$B$5:$B$504,B430,$C$5:$C$504,C430)&gt;1,"DUPLICATE","OK"))</f>
        <v/>
      </c>
      <c r="J430" s="17">
        <f>IF(COUNTA(A430:C430)=0,"",IF(AND(COUNTIF('Master Data'!$A$6:$A$145,B430)=1,COUNTIF('Master Data'!$F$6:$F$13,C430)=1),"OK","INVALID"))</f>
        <v/>
      </c>
    </row>
    <row r="431">
      <c r="A431" s="7" t="n"/>
      <c r="B431" s="13" t="n"/>
      <c r="C431" s="13" t="n"/>
      <c r="D431" s="14" t="n"/>
      <c r="E431" s="15" t="n"/>
      <c r="F431" s="16" t="n"/>
      <c r="G431" s="16" t="n"/>
      <c r="H431" s="16" t="n"/>
      <c r="I431" s="17">
        <f>IF(COUNTA(A431:C431)=0,"",IF(COUNTIFS($A$5:$A$504,A431,$B$5:$B$504,B431,$C$5:$C$504,C431)&gt;1,"DUPLICATE","OK"))</f>
        <v/>
      </c>
      <c r="J431" s="17">
        <f>IF(COUNTA(A431:C431)=0,"",IF(AND(COUNTIF('Master Data'!$A$6:$A$145,B431)=1,COUNTIF('Master Data'!$F$6:$F$13,C431)=1),"OK","INVALID"))</f>
        <v/>
      </c>
    </row>
    <row r="432">
      <c r="A432" s="7" t="n"/>
      <c r="B432" s="13" t="n"/>
      <c r="C432" s="13" t="n"/>
      <c r="D432" s="14" t="n"/>
      <c r="E432" s="15" t="n"/>
      <c r="F432" s="16" t="n"/>
      <c r="G432" s="16" t="n"/>
      <c r="H432" s="16" t="n"/>
      <c r="I432" s="17">
        <f>IF(COUNTA(A432:C432)=0,"",IF(COUNTIFS($A$5:$A$504,A432,$B$5:$B$504,B432,$C$5:$C$504,C432)&gt;1,"DUPLICATE","OK"))</f>
        <v/>
      </c>
      <c r="J432" s="17">
        <f>IF(COUNTA(A432:C432)=0,"",IF(AND(COUNTIF('Master Data'!$A$6:$A$145,B432)=1,COUNTIF('Master Data'!$F$6:$F$13,C432)=1),"OK","INVALID"))</f>
        <v/>
      </c>
    </row>
    <row r="433">
      <c r="A433" s="7" t="n"/>
      <c r="B433" s="13" t="n"/>
      <c r="C433" s="13" t="n"/>
      <c r="D433" s="14" t="n"/>
      <c r="E433" s="15" t="n"/>
      <c r="F433" s="16" t="n"/>
      <c r="G433" s="16" t="n"/>
      <c r="H433" s="16" t="n"/>
      <c r="I433" s="17">
        <f>IF(COUNTA(A433:C433)=0,"",IF(COUNTIFS($A$5:$A$504,A433,$B$5:$B$504,B433,$C$5:$C$504,C433)&gt;1,"DUPLICATE","OK"))</f>
        <v/>
      </c>
      <c r="J433" s="17">
        <f>IF(COUNTA(A433:C433)=0,"",IF(AND(COUNTIF('Master Data'!$A$6:$A$145,B433)=1,COUNTIF('Master Data'!$F$6:$F$13,C433)=1),"OK","INVALID"))</f>
        <v/>
      </c>
    </row>
    <row r="434">
      <c r="A434" s="7" t="n"/>
      <c r="B434" s="13" t="n"/>
      <c r="C434" s="13" t="n"/>
      <c r="D434" s="14" t="n"/>
      <c r="E434" s="15" t="n"/>
      <c r="F434" s="16" t="n"/>
      <c r="G434" s="16" t="n"/>
      <c r="H434" s="16" t="n"/>
      <c r="I434" s="17">
        <f>IF(COUNTA(A434:C434)=0,"",IF(COUNTIFS($A$5:$A$504,A434,$B$5:$B$504,B434,$C$5:$C$504,C434)&gt;1,"DUPLICATE","OK"))</f>
        <v/>
      </c>
      <c r="J434" s="17">
        <f>IF(COUNTA(A434:C434)=0,"",IF(AND(COUNTIF('Master Data'!$A$6:$A$145,B434)=1,COUNTIF('Master Data'!$F$6:$F$13,C434)=1),"OK","INVALID"))</f>
        <v/>
      </c>
    </row>
    <row r="435">
      <c r="A435" s="7" t="n"/>
      <c r="B435" s="13" t="n"/>
      <c r="C435" s="13" t="n"/>
      <c r="D435" s="14" t="n"/>
      <c r="E435" s="15" t="n"/>
      <c r="F435" s="16" t="n"/>
      <c r="G435" s="16" t="n"/>
      <c r="H435" s="16" t="n"/>
      <c r="I435" s="17">
        <f>IF(COUNTA(A435:C435)=0,"",IF(COUNTIFS($A$5:$A$504,A435,$B$5:$B$504,B435,$C$5:$C$504,C435)&gt;1,"DUPLICATE","OK"))</f>
        <v/>
      </c>
      <c r="J435" s="17">
        <f>IF(COUNTA(A435:C435)=0,"",IF(AND(COUNTIF('Master Data'!$A$6:$A$145,B435)=1,COUNTIF('Master Data'!$F$6:$F$13,C435)=1),"OK","INVALID"))</f>
        <v/>
      </c>
    </row>
    <row r="436">
      <c r="A436" s="7" t="n"/>
      <c r="B436" s="13" t="n"/>
      <c r="C436" s="13" t="n"/>
      <c r="D436" s="14" t="n"/>
      <c r="E436" s="15" t="n"/>
      <c r="F436" s="16" t="n"/>
      <c r="G436" s="16" t="n"/>
      <c r="H436" s="16" t="n"/>
      <c r="I436" s="17">
        <f>IF(COUNTA(A436:C436)=0,"",IF(COUNTIFS($A$5:$A$504,A436,$B$5:$B$504,B436,$C$5:$C$504,C436)&gt;1,"DUPLICATE","OK"))</f>
        <v/>
      </c>
      <c r="J436" s="17">
        <f>IF(COUNTA(A436:C436)=0,"",IF(AND(COUNTIF('Master Data'!$A$6:$A$145,B436)=1,COUNTIF('Master Data'!$F$6:$F$13,C436)=1),"OK","INVALID"))</f>
        <v/>
      </c>
    </row>
    <row r="437">
      <c r="A437" s="7" t="n"/>
      <c r="B437" s="13" t="n"/>
      <c r="C437" s="13" t="n"/>
      <c r="D437" s="14" t="n"/>
      <c r="E437" s="15" t="n"/>
      <c r="F437" s="16" t="n"/>
      <c r="G437" s="16" t="n"/>
      <c r="H437" s="16" t="n"/>
      <c r="I437" s="17">
        <f>IF(COUNTA(A437:C437)=0,"",IF(COUNTIFS($A$5:$A$504,A437,$B$5:$B$504,B437,$C$5:$C$504,C437)&gt;1,"DUPLICATE","OK"))</f>
        <v/>
      </c>
      <c r="J437" s="17">
        <f>IF(COUNTA(A437:C437)=0,"",IF(AND(COUNTIF('Master Data'!$A$6:$A$145,B437)=1,COUNTIF('Master Data'!$F$6:$F$13,C437)=1),"OK","INVALID"))</f>
        <v/>
      </c>
    </row>
    <row r="438">
      <c r="A438" s="7" t="n"/>
      <c r="B438" s="13" t="n"/>
      <c r="C438" s="13" t="n"/>
      <c r="D438" s="14" t="n"/>
      <c r="E438" s="15" t="n"/>
      <c r="F438" s="16" t="n"/>
      <c r="G438" s="16" t="n"/>
      <c r="H438" s="16" t="n"/>
      <c r="I438" s="17">
        <f>IF(COUNTA(A438:C438)=0,"",IF(COUNTIFS($A$5:$A$504,A438,$B$5:$B$504,B438,$C$5:$C$504,C438)&gt;1,"DUPLICATE","OK"))</f>
        <v/>
      </c>
      <c r="J438" s="17">
        <f>IF(COUNTA(A438:C438)=0,"",IF(AND(COUNTIF('Master Data'!$A$6:$A$145,B438)=1,COUNTIF('Master Data'!$F$6:$F$13,C438)=1),"OK","INVALID"))</f>
        <v/>
      </c>
    </row>
    <row r="439">
      <c r="A439" s="7" t="n"/>
      <c r="B439" s="13" t="n"/>
      <c r="C439" s="13" t="n"/>
      <c r="D439" s="14" t="n"/>
      <c r="E439" s="15" t="n"/>
      <c r="F439" s="16" t="n"/>
      <c r="G439" s="16" t="n"/>
      <c r="H439" s="16" t="n"/>
      <c r="I439" s="17">
        <f>IF(COUNTA(A439:C439)=0,"",IF(COUNTIFS($A$5:$A$504,A439,$B$5:$B$504,B439,$C$5:$C$504,C439)&gt;1,"DUPLICATE","OK"))</f>
        <v/>
      </c>
      <c r="J439" s="17">
        <f>IF(COUNTA(A439:C439)=0,"",IF(AND(COUNTIF('Master Data'!$A$6:$A$145,B439)=1,COUNTIF('Master Data'!$F$6:$F$13,C439)=1),"OK","INVALID"))</f>
        <v/>
      </c>
    </row>
    <row r="440">
      <c r="A440" s="7" t="n"/>
      <c r="B440" s="13" t="n"/>
      <c r="C440" s="13" t="n"/>
      <c r="D440" s="14" t="n"/>
      <c r="E440" s="15" t="n"/>
      <c r="F440" s="16" t="n"/>
      <c r="G440" s="16" t="n"/>
      <c r="H440" s="16" t="n"/>
      <c r="I440" s="17">
        <f>IF(COUNTA(A440:C440)=0,"",IF(COUNTIFS($A$5:$A$504,A440,$B$5:$B$504,B440,$C$5:$C$504,C440)&gt;1,"DUPLICATE","OK"))</f>
        <v/>
      </c>
      <c r="J440" s="17">
        <f>IF(COUNTA(A440:C440)=0,"",IF(AND(COUNTIF('Master Data'!$A$6:$A$145,B440)=1,COUNTIF('Master Data'!$F$6:$F$13,C440)=1),"OK","INVALID"))</f>
        <v/>
      </c>
    </row>
    <row r="441">
      <c r="A441" s="7" t="n"/>
      <c r="B441" s="13" t="n"/>
      <c r="C441" s="13" t="n"/>
      <c r="D441" s="14" t="n"/>
      <c r="E441" s="15" t="n"/>
      <c r="F441" s="16" t="n"/>
      <c r="G441" s="16" t="n"/>
      <c r="H441" s="16" t="n"/>
      <c r="I441" s="17">
        <f>IF(COUNTA(A441:C441)=0,"",IF(COUNTIFS($A$5:$A$504,A441,$B$5:$B$504,B441,$C$5:$C$504,C441)&gt;1,"DUPLICATE","OK"))</f>
        <v/>
      </c>
      <c r="J441" s="17">
        <f>IF(COUNTA(A441:C441)=0,"",IF(AND(COUNTIF('Master Data'!$A$6:$A$145,B441)=1,COUNTIF('Master Data'!$F$6:$F$13,C441)=1),"OK","INVALID"))</f>
        <v/>
      </c>
    </row>
    <row r="442">
      <c r="A442" s="7" t="n"/>
      <c r="B442" s="13" t="n"/>
      <c r="C442" s="13" t="n"/>
      <c r="D442" s="14" t="n"/>
      <c r="E442" s="15" t="n"/>
      <c r="F442" s="16" t="n"/>
      <c r="G442" s="16" t="n"/>
      <c r="H442" s="16" t="n"/>
      <c r="I442" s="17">
        <f>IF(COUNTA(A442:C442)=0,"",IF(COUNTIFS($A$5:$A$504,A442,$B$5:$B$504,B442,$C$5:$C$504,C442)&gt;1,"DUPLICATE","OK"))</f>
        <v/>
      </c>
      <c r="J442" s="17">
        <f>IF(COUNTA(A442:C442)=0,"",IF(AND(COUNTIF('Master Data'!$A$6:$A$145,B442)=1,COUNTIF('Master Data'!$F$6:$F$13,C442)=1),"OK","INVALID"))</f>
        <v/>
      </c>
    </row>
    <row r="443">
      <c r="A443" s="7" t="n"/>
      <c r="B443" s="13" t="n"/>
      <c r="C443" s="13" t="n"/>
      <c r="D443" s="14" t="n"/>
      <c r="E443" s="15" t="n"/>
      <c r="F443" s="16" t="n"/>
      <c r="G443" s="16" t="n"/>
      <c r="H443" s="16" t="n"/>
      <c r="I443" s="17">
        <f>IF(COUNTA(A443:C443)=0,"",IF(COUNTIFS($A$5:$A$504,A443,$B$5:$B$504,B443,$C$5:$C$504,C443)&gt;1,"DUPLICATE","OK"))</f>
        <v/>
      </c>
      <c r="J443" s="17">
        <f>IF(COUNTA(A443:C443)=0,"",IF(AND(COUNTIF('Master Data'!$A$6:$A$145,B443)=1,COUNTIF('Master Data'!$F$6:$F$13,C443)=1),"OK","INVALID"))</f>
        <v/>
      </c>
    </row>
    <row r="444">
      <c r="A444" s="7" t="n"/>
      <c r="B444" s="13" t="n"/>
      <c r="C444" s="13" t="n"/>
      <c r="D444" s="14" t="n"/>
      <c r="E444" s="15" t="n"/>
      <c r="F444" s="16" t="n"/>
      <c r="G444" s="16" t="n"/>
      <c r="H444" s="16" t="n"/>
      <c r="I444" s="17">
        <f>IF(COUNTA(A444:C444)=0,"",IF(COUNTIFS($A$5:$A$504,A444,$B$5:$B$504,B444,$C$5:$C$504,C444)&gt;1,"DUPLICATE","OK"))</f>
        <v/>
      </c>
      <c r="J444" s="17">
        <f>IF(COUNTA(A444:C444)=0,"",IF(AND(COUNTIF('Master Data'!$A$6:$A$145,B444)=1,COUNTIF('Master Data'!$F$6:$F$13,C444)=1),"OK","INVALID"))</f>
        <v/>
      </c>
    </row>
    <row r="445">
      <c r="A445" s="7" t="n"/>
      <c r="B445" s="13" t="n"/>
      <c r="C445" s="13" t="n"/>
      <c r="D445" s="14" t="n"/>
      <c r="E445" s="15" t="n"/>
      <c r="F445" s="16" t="n"/>
      <c r="G445" s="16" t="n"/>
      <c r="H445" s="16" t="n"/>
      <c r="I445" s="17">
        <f>IF(COUNTA(A445:C445)=0,"",IF(COUNTIFS($A$5:$A$504,A445,$B$5:$B$504,B445,$C$5:$C$504,C445)&gt;1,"DUPLICATE","OK"))</f>
        <v/>
      </c>
      <c r="J445" s="17">
        <f>IF(COUNTA(A445:C445)=0,"",IF(AND(COUNTIF('Master Data'!$A$6:$A$145,B445)=1,COUNTIF('Master Data'!$F$6:$F$13,C445)=1),"OK","INVALID"))</f>
        <v/>
      </c>
    </row>
    <row r="446">
      <c r="A446" s="7" t="n"/>
      <c r="B446" s="13" t="n"/>
      <c r="C446" s="13" t="n"/>
      <c r="D446" s="14" t="n"/>
      <c r="E446" s="15" t="n"/>
      <c r="F446" s="16" t="n"/>
      <c r="G446" s="16" t="n"/>
      <c r="H446" s="16" t="n"/>
      <c r="I446" s="17">
        <f>IF(COUNTA(A446:C446)=0,"",IF(COUNTIFS($A$5:$A$504,A446,$B$5:$B$504,B446,$C$5:$C$504,C446)&gt;1,"DUPLICATE","OK"))</f>
        <v/>
      </c>
      <c r="J446" s="17">
        <f>IF(COUNTA(A446:C446)=0,"",IF(AND(COUNTIF('Master Data'!$A$6:$A$145,B446)=1,COUNTIF('Master Data'!$F$6:$F$13,C446)=1),"OK","INVALID"))</f>
        <v/>
      </c>
    </row>
    <row r="447">
      <c r="A447" s="7" t="n"/>
      <c r="B447" s="13" t="n"/>
      <c r="C447" s="13" t="n"/>
      <c r="D447" s="14" t="n"/>
      <c r="E447" s="15" t="n"/>
      <c r="F447" s="16" t="n"/>
      <c r="G447" s="16" t="n"/>
      <c r="H447" s="16" t="n"/>
      <c r="I447" s="17">
        <f>IF(COUNTA(A447:C447)=0,"",IF(COUNTIFS($A$5:$A$504,A447,$B$5:$B$504,B447,$C$5:$C$504,C447)&gt;1,"DUPLICATE","OK"))</f>
        <v/>
      </c>
      <c r="J447" s="17">
        <f>IF(COUNTA(A447:C447)=0,"",IF(AND(COUNTIF('Master Data'!$A$6:$A$145,B447)=1,COUNTIF('Master Data'!$F$6:$F$13,C447)=1),"OK","INVALID"))</f>
        <v/>
      </c>
    </row>
    <row r="448">
      <c r="A448" s="7" t="n"/>
      <c r="B448" s="13" t="n"/>
      <c r="C448" s="13" t="n"/>
      <c r="D448" s="14" t="n"/>
      <c r="E448" s="15" t="n"/>
      <c r="F448" s="16" t="n"/>
      <c r="G448" s="16" t="n"/>
      <c r="H448" s="16" t="n"/>
      <c r="I448" s="17">
        <f>IF(COUNTA(A448:C448)=0,"",IF(COUNTIFS($A$5:$A$504,A448,$B$5:$B$504,B448,$C$5:$C$504,C448)&gt;1,"DUPLICATE","OK"))</f>
        <v/>
      </c>
      <c r="J448" s="17">
        <f>IF(COUNTA(A448:C448)=0,"",IF(AND(COUNTIF('Master Data'!$A$6:$A$145,B448)=1,COUNTIF('Master Data'!$F$6:$F$13,C448)=1),"OK","INVALID"))</f>
        <v/>
      </c>
    </row>
    <row r="449">
      <c r="A449" s="7" t="n"/>
      <c r="B449" s="13" t="n"/>
      <c r="C449" s="13" t="n"/>
      <c r="D449" s="14" t="n"/>
      <c r="E449" s="15" t="n"/>
      <c r="F449" s="16" t="n"/>
      <c r="G449" s="16" t="n"/>
      <c r="H449" s="16" t="n"/>
      <c r="I449" s="17">
        <f>IF(COUNTA(A449:C449)=0,"",IF(COUNTIFS($A$5:$A$504,A449,$B$5:$B$504,B449,$C$5:$C$504,C449)&gt;1,"DUPLICATE","OK"))</f>
        <v/>
      </c>
      <c r="J449" s="17">
        <f>IF(COUNTA(A449:C449)=0,"",IF(AND(COUNTIF('Master Data'!$A$6:$A$145,B449)=1,COUNTIF('Master Data'!$F$6:$F$13,C449)=1),"OK","INVALID"))</f>
        <v/>
      </c>
    </row>
    <row r="450">
      <c r="A450" s="7" t="n"/>
      <c r="B450" s="13" t="n"/>
      <c r="C450" s="13" t="n"/>
      <c r="D450" s="14" t="n"/>
      <c r="E450" s="15" t="n"/>
      <c r="F450" s="16" t="n"/>
      <c r="G450" s="16" t="n"/>
      <c r="H450" s="16" t="n"/>
      <c r="I450" s="17">
        <f>IF(COUNTA(A450:C450)=0,"",IF(COUNTIFS($A$5:$A$504,A450,$B$5:$B$504,B450,$C$5:$C$504,C450)&gt;1,"DUPLICATE","OK"))</f>
        <v/>
      </c>
      <c r="J450" s="17">
        <f>IF(COUNTA(A450:C450)=0,"",IF(AND(COUNTIF('Master Data'!$A$6:$A$145,B450)=1,COUNTIF('Master Data'!$F$6:$F$13,C450)=1),"OK","INVALID"))</f>
        <v/>
      </c>
    </row>
    <row r="451">
      <c r="A451" s="7" t="n"/>
      <c r="B451" s="13" t="n"/>
      <c r="C451" s="13" t="n"/>
      <c r="D451" s="14" t="n"/>
      <c r="E451" s="15" t="n"/>
      <c r="F451" s="16" t="n"/>
      <c r="G451" s="16" t="n"/>
      <c r="H451" s="16" t="n"/>
      <c r="I451" s="17">
        <f>IF(COUNTA(A451:C451)=0,"",IF(COUNTIFS($A$5:$A$504,A451,$B$5:$B$504,B451,$C$5:$C$504,C451)&gt;1,"DUPLICATE","OK"))</f>
        <v/>
      </c>
      <c r="J451" s="17">
        <f>IF(COUNTA(A451:C451)=0,"",IF(AND(COUNTIF('Master Data'!$A$6:$A$145,B451)=1,COUNTIF('Master Data'!$F$6:$F$13,C451)=1),"OK","INVALID"))</f>
        <v/>
      </c>
    </row>
    <row r="452">
      <c r="A452" s="7" t="n"/>
      <c r="B452" s="13" t="n"/>
      <c r="C452" s="13" t="n"/>
      <c r="D452" s="14" t="n"/>
      <c r="E452" s="15" t="n"/>
      <c r="F452" s="16" t="n"/>
      <c r="G452" s="16" t="n"/>
      <c r="H452" s="16" t="n"/>
      <c r="I452" s="17">
        <f>IF(COUNTA(A452:C452)=0,"",IF(COUNTIFS($A$5:$A$504,A452,$B$5:$B$504,B452,$C$5:$C$504,C452)&gt;1,"DUPLICATE","OK"))</f>
        <v/>
      </c>
      <c r="J452" s="17">
        <f>IF(COUNTA(A452:C452)=0,"",IF(AND(COUNTIF('Master Data'!$A$6:$A$145,B452)=1,COUNTIF('Master Data'!$F$6:$F$13,C452)=1),"OK","INVALID"))</f>
        <v/>
      </c>
    </row>
    <row r="453">
      <c r="A453" s="7" t="n"/>
      <c r="B453" s="13" t="n"/>
      <c r="C453" s="13" t="n"/>
      <c r="D453" s="14" t="n"/>
      <c r="E453" s="15" t="n"/>
      <c r="F453" s="16" t="n"/>
      <c r="G453" s="16" t="n"/>
      <c r="H453" s="16" t="n"/>
      <c r="I453" s="17">
        <f>IF(COUNTA(A453:C453)=0,"",IF(COUNTIFS($A$5:$A$504,A453,$B$5:$B$504,B453,$C$5:$C$504,C453)&gt;1,"DUPLICATE","OK"))</f>
        <v/>
      </c>
      <c r="J453" s="17">
        <f>IF(COUNTA(A453:C453)=0,"",IF(AND(COUNTIF('Master Data'!$A$6:$A$145,B453)=1,COUNTIF('Master Data'!$F$6:$F$13,C453)=1),"OK","INVALID"))</f>
        <v/>
      </c>
    </row>
    <row r="454">
      <c r="A454" s="7" t="n"/>
      <c r="B454" s="13" t="n"/>
      <c r="C454" s="13" t="n"/>
      <c r="D454" s="14" t="n"/>
      <c r="E454" s="15" t="n"/>
      <c r="F454" s="16" t="n"/>
      <c r="G454" s="16" t="n"/>
      <c r="H454" s="16" t="n"/>
      <c r="I454" s="17">
        <f>IF(COUNTA(A454:C454)=0,"",IF(COUNTIFS($A$5:$A$504,A454,$B$5:$B$504,B454,$C$5:$C$504,C454)&gt;1,"DUPLICATE","OK"))</f>
        <v/>
      </c>
      <c r="J454" s="17">
        <f>IF(COUNTA(A454:C454)=0,"",IF(AND(COUNTIF('Master Data'!$A$6:$A$145,B454)=1,COUNTIF('Master Data'!$F$6:$F$13,C454)=1),"OK","INVALID"))</f>
        <v/>
      </c>
    </row>
    <row r="455">
      <c r="A455" s="7" t="n"/>
      <c r="B455" s="13" t="n"/>
      <c r="C455" s="13" t="n"/>
      <c r="D455" s="14" t="n"/>
      <c r="E455" s="15" t="n"/>
      <c r="F455" s="16" t="n"/>
      <c r="G455" s="16" t="n"/>
      <c r="H455" s="16" t="n"/>
      <c r="I455" s="17">
        <f>IF(COUNTA(A455:C455)=0,"",IF(COUNTIFS($A$5:$A$504,A455,$B$5:$B$504,B455,$C$5:$C$504,C455)&gt;1,"DUPLICATE","OK"))</f>
        <v/>
      </c>
      <c r="J455" s="17">
        <f>IF(COUNTA(A455:C455)=0,"",IF(AND(COUNTIF('Master Data'!$A$6:$A$145,B455)=1,COUNTIF('Master Data'!$F$6:$F$13,C455)=1),"OK","INVALID"))</f>
        <v/>
      </c>
    </row>
    <row r="456">
      <c r="A456" s="7" t="n"/>
      <c r="B456" s="13" t="n"/>
      <c r="C456" s="13" t="n"/>
      <c r="D456" s="14" t="n"/>
      <c r="E456" s="15" t="n"/>
      <c r="F456" s="16" t="n"/>
      <c r="G456" s="16" t="n"/>
      <c r="H456" s="16" t="n"/>
      <c r="I456" s="17">
        <f>IF(COUNTA(A456:C456)=0,"",IF(COUNTIFS($A$5:$A$504,A456,$B$5:$B$504,B456,$C$5:$C$504,C456)&gt;1,"DUPLICATE","OK"))</f>
        <v/>
      </c>
      <c r="J456" s="17">
        <f>IF(COUNTA(A456:C456)=0,"",IF(AND(COUNTIF('Master Data'!$A$6:$A$145,B456)=1,COUNTIF('Master Data'!$F$6:$F$13,C456)=1),"OK","INVALID"))</f>
        <v/>
      </c>
    </row>
    <row r="457">
      <c r="A457" s="7" t="n"/>
      <c r="B457" s="13" t="n"/>
      <c r="C457" s="13" t="n"/>
      <c r="D457" s="14" t="n"/>
      <c r="E457" s="15" t="n"/>
      <c r="F457" s="16" t="n"/>
      <c r="G457" s="16" t="n"/>
      <c r="H457" s="16" t="n"/>
      <c r="I457" s="17">
        <f>IF(COUNTA(A457:C457)=0,"",IF(COUNTIFS($A$5:$A$504,A457,$B$5:$B$504,B457,$C$5:$C$504,C457)&gt;1,"DUPLICATE","OK"))</f>
        <v/>
      </c>
      <c r="J457" s="17">
        <f>IF(COUNTA(A457:C457)=0,"",IF(AND(COUNTIF('Master Data'!$A$6:$A$145,B457)=1,COUNTIF('Master Data'!$F$6:$F$13,C457)=1),"OK","INVALID"))</f>
        <v/>
      </c>
    </row>
    <row r="458">
      <c r="A458" s="7" t="n"/>
      <c r="B458" s="13" t="n"/>
      <c r="C458" s="13" t="n"/>
      <c r="D458" s="14" t="n"/>
      <c r="E458" s="15" t="n"/>
      <c r="F458" s="16" t="n"/>
      <c r="G458" s="16" t="n"/>
      <c r="H458" s="16" t="n"/>
      <c r="I458" s="17">
        <f>IF(COUNTA(A458:C458)=0,"",IF(COUNTIFS($A$5:$A$504,A458,$B$5:$B$504,B458,$C$5:$C$504,C458)&gt;1,"DUPLICATE","OK"))</f>
        <v/>
      </c>
      <c r="J458" s="17">
        <f>IF(COUNTA(A458:C458)=0,"",IF(AND(COUNTIF('Master Data'!$A$6:$A$145,B458)=1,COUNTIF('Master Data'!$F$6:$F$13,C458)=1),"OK","INVALID"))</f>
        <v/>
      </c>
    </row>
    <row r="459">
      <c r="A459" s="7" t="n"/>
      <c r="B459" s="13" t="n"/>
      <c r="C459" s="13" t="n"/>
      <c r="D459" s="14" t="n"/>
      <c r="E459" s="15" t="n"/>
      <c r="F459" s="16" t="n"/>
      <c r="G459" s="16" t="n"/>
      <c r="H459" s="16" t="n"/>
      <c r="I459" s="17">
        <f>IF(COUNTA(A459:C459)=0,"",IF(COUNTIFS($A$5:$A$504,A459,$B$5:$B$504,B459,$C$5:$C$504,C459)&gt;1,"DUPLICATE","OK"))</f>
        <v/>
      </c>
      <c r="J459" s="17">
        <f>IF(COUNTA(A459:C459)=0,"",IF(AND(COUNTIF('Master Data'!$A$6:$A$145,B459)=1,COUNTIF('Master Data'!$F$6:$F$13,C459)=1),"OK","INVALID"))</f>
        <v/>
      </c>
    </row>
    <row r="460">
      <c r="A460" s="7" t="n"/>
      <c r="B460" s="13" t="n"/>
      <c r="C460" s="13" t="n"/>
      <c r="D460" s="14" t="n"/>
      <c r="E460" s="15" t="n"/>
      <c r="F460" s="16" t="n"/>
      <c r="G460" s="16" t="n"/>
      <c r="H460" s="16" t="n"/>
      <c r="I460" s="17">
        <f>IF(COUNTA(A460:C460)=0,"",IF(COUNTIFS($A$5:$A$504,A460,$B$5:$B$504,B460,$C$5:$C$504,C460)&gt;1,"DUPLICATE","OK"))</f>
        <v/>
      </c>
      <c r="J460" s="17">
        <f>IF(COUNTA(A460:C460)=0,"",IF(AND(COUNTIF('Master Data'!$A$6:$A$145,B460)=1,COUNTIF('Master Data'!$F$6:$F$13,C460)=1),"OK","INVALID"))</f>
        <v/>
      </c>
    </row>
    <row r="461">
      <c r="A461" s="7" t="n"/>
      <c r="B461" s="13" t="n"/>
      <c r="C461" s="13" t="n"/>
      <c r="D461" s="14" t="n"/>
      <c r="E461" s="15" t="n"/>
      <c r="F461" s="16" t="n"/>
      <c r="G461" s="16" t="n"/>
      <c r="H461" s="16" t="n"/>
      <c r="I461" s="17">
        <f>IF(COUNTA(A461:C461)=0,"",IF(COUNTIFS($A$5:$A$504,A461,$B$5:$B$504,B461,$C$5:$C$504,C461)&gt;1,"DUPLICATE","OK"))</f>
        <v/>
      </c>
      <c r="J461" s="17">
        <f>IF(COUNTA(A461:C461)=0,"",IF(AND(COUNTIF('Master Data'!$A$6:$A$145,B461)=1,COUNTIF('Master Data'!$F$6:$F$13,C461)=1),"OK","INVALID"))</f>
        <v/>
      </c>
    </row>
    <row r="462">
      <c r="A462" s="7" t="n"/>
      <c r="B462" s="13" t="n"/>
      <c r="C462" s="13" t="n"/>
      <c r="D462" s="14" t="n"/>
      <c r="E462" s="15" t="n"/>
      <c r="F462" s="16" t="n"/>
      <c r="G462" s="16" t="n"/>
      <c r="H462" s="16" t="n"/>
      <c r="I462" s="17">
        <f>IF(COUNTA(A462:C462)=0,"",IF(COUNTIFS($A$5:$A$504,A462,$B$5:$B$504,B462,$C$5:$C$504,C462)&gt;1,"DUPLICATE","OK"))</f>
        <v/>
      </c>
      <c r="J462" s="17">
        <f>IF(COUNTA(A462:C462)=0,"",IF(AND(COUNTIF('Master Data'!$A$6:$A$145,B462)=1,COUNTIF('Master Data'!$F$6:$F$13,C462)=1),"OK","INVALID"))</f>
        <v/>
      </c>
    </row>
    <row r="463">
      <c r="A463" s="7" t="n"/>
      <c r="B463" s="13" t="n"/>
      <c r="C463" s="13" t="n"/>
      <c r="D463" s="14" t="n"/>
      <c r="E463" s="15" t="n"/>
      <c r="F463" s="16" t="n"/>
      <c r="G463" s="16" t="n"/>
      <c r="H463" s="16" t="n"/>
      <c r="I463" s="17">
        <f>IF(COUNTA(A463:C463)=0,"",IF(COUNTIFS($A$5:$A$504,A463,$B$5:$B$504,B463,$C$5:$C$504,C463)&gt;1,"DUPLICATE","OK"))</f>
        <v/>
      </c>
      <c r="J463" s="17">
        <f>IF(COUNTA(A463:C463)=0,"",IF(AND(COUNTIF('Master Data'!$A$6:$A$145,B463)=1,COUNTIF('Master Data'!$F$6:$F$13,C463)=1),"OK","INVALID"))</f>
        <v/>
      </c>
    </row>
    <row r="464">
      <c r="A464" s="7" t="n"/>
      <c r="B464" s="13" t="n"/>
      <c r="C464" s="13" t="n"/>
      <c r="D464" s="14" t="n"/>
      <c r="E464" s="15" t="n"/>
      <c r="F464" s="16" t="n"/>
      <c r="G464" s="16" t="n"/>
      <c r="H464" s="16" t="n"/>
      <c r="I464" s="17">
        <f>IF(COUNTA(A464:C464)=0,"",IF(COUNTIFS($A$5:$A$504,A464,$B$5:$B$504,B464,$C$5:$C$504,C464)&gt;1,"DUPLICATE","OK"))</f>
        <v/>
      </c>
      <c r="J464" s="17">
        <f>IF(COUNTA(A464:C464)=0,"",IF(AND(COUNTIF('Master Data'!$A$6:$A$145,B464)=1,COUNTIF('Master Data'!$F$6:$F$13,C464)=1),"OK","INVALID"))</f>
        <v/>
      </c>
    </row>
    <row r="465">
      <c r="A465" s="7" t="n"/>
      <c r="B465" s="13" t="n"/>
      <c r="C465" s="13" t="n"/>
      <c r="D465" s="14" t="n"/>
      <c r="E465" s="15" t="n"/>
      <c r="F465" s="16" t="n"/>
      <c r="G465" s="16" t="n"/>
      <c r="H465" s="16" t="n"/>
      <c r="I465" s="17">
        <f>IF(COUNTA(A465:C465)=0,"",IF(COUNTIFS($A$5:$A$504,A465,$B$5:$B$504,B465,$C$5:$C$504,C465)&gt;1,"DUPLICATE","OK"))</f>
        <v/>
      </c>
      <c r="J465" s="17">
        <f>IF(COUNTA(A465:C465)=0,"",IF(AND(COUNTIF('Master Data'!$A$6:$A$145,B465)=1,COUNTIF('Master Data'!$F$6:$F$13,C465)=1),"OK","INVALID"))</f>
        <v/>
      </c>
    </row>
    <row r="466">
      <c r="A466" s="7" t="n"/>
      <c r="B466" s="13" t="n"/>
      <c r="C466" s="13" t="n"/>
      <c r="D466" s="14" t="n"/>
      <c r="E466" s="15" t="n"/>
      <c r="F466" s="16" t="n"/>
      <c r="G466" s="16" t="n"/>
      <c r="H466" s="16" t="n"/>
      <c r="I466" s="17">
        <f>IF(COUNTA(A466:C466)=0,"",IF(COUNTIFS($A$5:$A$504,A466,$B$5:$B$504,B466,$C$5:$C$504,C466)&gt;1,"DUPLICATE","OK"))</f>
        <v/>
      </c>
      <c r="J466" s="17">
        <f>IF(COUNTA(A466:C466)=0,"",IF(AND(COUNTIF('Master Data'!$A$6:$A$145,B466)=1,COUNTIF('Master Data'!$F$6:$F$13,C466)=1),"OK","INVALID"))</f>
        <v/>
      </c>
    </row>
    <row r="467">
      <c r="A467" s="7" t="n"/>
      <c r="B467" s="13" t="n"/>
      <c r="C467" s="13" t="n"/>
      <c r="D467" s="14" t="n"/>
      <c r="E467" s="15" t="n"/>
      <c r="F467" s="16" t="n"/>
      <c r="G467" s="16" t="n"/>
      <c r="H467" s="16" t="n"/>
      <c r="I467" s="17">
        <f>IF(COUNTA(A467:C467)=0,"",IF(COUNTIFS($A$5:$A$504,A467,$B$5:$B$504,B467,$C$5:$C$504,C467)&gt;1,"DUPLICATE","OK"))</f>
        <v/>
      </c>
      <c r="J467" s="17">
        <f>IF(COUNTA(A467:C467)=0,"",IF(AND(COUNTIF('Master Data'!$A$6:$A$145,B467)=1,COUNTIF('Master Data'!$F$6:$F$13,C467)=1),"OK","INVALID"))</f>
        <v/>
      </c>
    </row>
    <row r="468">
      <c r="A468" s="7" t="n"/>
      <c r="B468" s="13" t="n"/>
      <c r="C468" s="13" t="n"/>
      <c r="D468" s="14" t="n"/>
      <c r="E468" s="15" t="n"/>
      <c r="F468" s="16" t="n"/>
      <c r="G468" s="16" t="n"/>
      <c r="H468" s="16" t="n"/>
      <c r="I468" s="17">
        <f>IF(COUNTA(A468:C468)=0,"",IF(COUNTIFS($A$5:$A$504,A468,$B$5:$B$504,B468,$C$5:$C$504,C468)&gt;1,"DUPLICATE","OK"))</f>
        <v/>
      </c>
      <c r="J468" s="17">
        <f>IF(COUNTA(A468:C468)=0,"",IF(AND(COUNTIF('Master Data'!$A$6:$A$145,B468)=1,COUNTIF('Master Data'!$F$6:$F$13,C468)=1),"OK","INVALID"))</f>
        <v/>
      </c>
    </row>
    <row r="469">
      <c r="A469" s="7" t="n"/>
      <c r="B469" s="13" t="n"/>
      <c r="C469" s="13" t="n"/>
      <c r="D469" s="14" t="n"/>
      <c r="E469" s="15" t="n"/>
      <c r="F469" s="16" t="n"/>
      <c r="G469" s="16" t="n"/>
      <c r="H469" s="16" t="n"/>
      <c r="I469" s="17">
        <f>IF(COUNTA(A469:C469)=0,"",IF(COUNTIFS($A$5:$A$504,A469,$B$5:$B$504,B469,$C$5:$C$504,C469)&gt;1,"DUPLICATE","OK"))</f>
        <v/>
      </c>
      <c r="J469" s="17">
        <f>IF(COUNTA(A469:C469)=0,"",IF(AND(COUNTIF('Master Data'!$A$6:$A$145,B469)=1,COUNTIF('Master Data'!$F$6:$F$13,C469)=1),"OK","INVALID"))</f>
        <v/>
      </c>
    </row>
    <row r="470">
      <c r="A470" s="7" t="n"/>
      <c r="B470" s="13" t="n"/>
      <c r="C470" s="13" t="n"/>
      <c r="D470" s="14" t="n"/>
      <c r="E470" s="15" t="n"/>
      <c r="F470" s="16" t="n"/>
      <c r="G470" s="16" t="n"/>
      <c r="H470" s="16" t="n"/>
      <c r="I470" s="17">
        <f>IF(COUNTA(A470:C470)=0,"",IF(COUNTIFS($A$5:$A$504,A470,$B$5:$B$504,B470,$C$5:$C$504,C470)&gt;1,"DUPLICATE","OK"))</f>
        <v/>
      </c>
      <c r="J470" s="17">
        <f>IF(COUNTA(A470:C470)=0,"",IF(AND(COUNTIF('Master Data'!$A$6:$A$145,B470)=1,COUNTIF('Master Data'!$F$6:$F$13,C470)=1),"OK","INVALID"))</f>
        <v/>
      </c>
    </row>
    <row r="471">
      <c r="A471" s="7" t="n"/>
      <c r="B471" s="13" t="n"/>
      <c r="C471" s="13" t="n"/>
      <c r="D471" s="14" t="n"/>
      <c r="E471" s="15" t="n"/>
      <c r="F471" s="16" t="n"/>
      <c r="G471" s="16" t="n"/>
      <c r="H471" s="16" t="n"/>
      <c r="I471" s="17">
        <f>IF(COUNTA(A471:C471)=0,"",IF(COUNTIFS($A$5:$A$504,A471,$B$5:$B$504,B471,$C$5:$C$504,C471)&gt;1,"DUPLICATE","OK"))</f>
        <v/>
      </c>
      <c r="J471" s="17">
        <f>IF(COUNTA(A471:C471)=0,"",IF(AND(COUNTIF('Master Data'!$A$6:$A$145,B471)=1,COUNTIF('Master Data'!$F$6:$F$13,C471)=1),"OK","INVALID"))</f>
        <v/>
      </c>
    </row>
    <row r="472">
      <c r="A472" s="7" t="n"/>
      <c r="B472" s="13" t="n"/>
      <c r="C472" s="13" t="n"/>
      <c r="D472" s="14" t="n"/>
      <c r="E472" s="15" t="n"/>
      <c r="F472" s="16" t="n"/>
      <c r="G472" s="16" t="n"/>
      <c r="H472" s="16" t="n"/>
      <c r="I472" s="17">
        <f>IF(COUNTA(A472:C472)=0,"",IF(COUNTIFS($A$5:$A$504,A472,$B$5:$B$504,B472,$C$5:$C$504,C472)&gt;1,"DUPLICATE","OK"))</f>
        <v/>
      </c>
      <c r="J472" s="17">
        <f>IF(COUNTA(A472:C472)=0,"",IF(AND(COUNTIF('Master Data'!$A$6:$A$145,B472)=1,COUNTIF('Master Data'!$F$6:$F$13,C472)=1),"OK","INVALID"))</f>
        <v/>
      </c>
    </row>
    <row r="473">
      <c r="A473" s="7" t="n"/>
      <c r="B473" s="13" t="n"/>
      <c r="C473" s="13" t="n"/>
      <c r="D473" s="14" t="n"/>
      <c r="E473" s="15" t="n"/>
      <c r="F473" s="16" t="n"/>
      <c r="G473" s="16" t="n"/>
      <c r="H473" s="16" t="n"/>
      <c r="I473" s="17">
        <f>IF(COUNTA(A473:C473)=0,"",IF(COUNTIFS($A$5:$A$504,A473,$B$5:$B$504,B473,$C$5:$C$504,C473)&gt;1,"DUPLICATE","OK"))</f>
        <v/>
      </c>
      <c r="J473" s="17">
        <f>IF(COUNTA(A473:C473)=0,"",IF(AND(COUNTIF('Master Data'!$A$6:$A$145,B473)=1,COUNTIF('Master Data'!$F$6:$F$13,C473)=1),"OK","INVALID"))</f>
        <v/>
      </c>
    </row>
    <row r="474">
      <c r="A474" s="7" t="n"/>
      <c r="B474" s="13" t="n"/>
      <c r="C474" s="13" t="n"/>
      <c r="D474" s="14" t="n"/>
      <c r="E474" s="15" t="n"/>
      <c r="F474" s="16" t="n"/>
      <c r="G474" s="16" t="n"/>
      <c r="H474" s="16" t="n"/>
      <c r="I474" s="17">
        <f>IF(COUNTA(A474:C474)=0,"",IF(COUNTIFS($A$5:$A$504,A474,$B$5:$B$504,B474,$C$5:$C$504,C474)&gt;1,"DUPLICATE","OK"))</f>
        <v/>
      </c>
      <c r="J474" s="17">
        <f>IF(COUNTA(A474:C474)=0,"",IF(AND(COUNTIF('Master Data'!$A$6:$A$145,B474)=1,COUNTIF('Master Data'!$F$6:$F$13,C474)=1),"OK","INVALID"))</f>
        <v/>
      </c>
    </row>
    <row r="475">
      <c r="A475" s="7" t="n"/>
      <c r="B475" s="13" t="n"/>
      <c r="C475" s="13" t="n"/>
      <c r="D475" s="14" t="n"/>
      <c r="E475" s="15" t="n"/>
      <c r="F475" s="16" t="n"/>
      <c r="G475" s="16" t="n"/>
      <c r="H475" s="16" t="n"/>
      <c r="I475" s="17">
        <f>IF(COUNTA(A475:C475)=0,"",IF(COUNTIFS($A$5:$A$504,A475,$B$5:$B$504,B475,$C$5:$C$504,C475)&gt;1,"DUPLICATE","OK"))</f>
        <v/>
      </c>
      <c r="J475" s="17">
        <f>IF(COUNTA(A475:C475)=0,"",IF(AND(COUNTIF('Master Data'!$A$6:$A$145,B475)=1,COUNTIF('Master Data'!$F$6:$F$13,C475)=1),"OK","INVALID"))</f>
        <v/>
      </c>
    </row>
    <row r="476">
      <c r="A476" s="7" t="n"/>
      <c r="B476" s="13" t="n"/>
      <c r="C476" s="13" t="n"/>
      <c r="D476" s="14" t="n"/>
      <c r="E476" s="15" t="n"/>
      <c r="F476" s="16" t="n"/>
      <c r="G476" s="16" t="n"/>
      <c r="H476" s="16" t="n"/>
      <c r="I476" s="17">
        <f>IF(COUNTA(A476:C476)=0,"",IF(COUNTIFS($A$5:$A$504,A476,$B$5:$B$504,B476,$C$5:$C$504,C476)&gt;1,"DUPLICATE","OK"))</f>
        <v/>
      </c>
      <c r="J476" s="17">
        <f>IF(COUNTA(A476:C476)=0,"",IF(AND(COUNTIF('Master Data'!$A$6:$A$145,B476)=1,COUNTIF('Master Data'!$F$6:$F$13,C476)=1),"OK","INVALID"))</f>
        <v/>
      </c>
    </row>
    <row r="477">
      <c r="A477" s="7" t="n"/>
      <c r="B477" s="13" t="n"/>
      <c r="C477" s="13" t="n"/>
      <c r="D477" s="14" t="n"/>
      <c r="E477" s="15" t="n"/>
      <c r="F477" s="16" t="n"/>
      <c r="G477" s="16" t="n"/>
      <c r="H477" s="16" t="n"/>
      <c r="I477" s="17">
        <f>IF(COUNTA(A477:C477)=0,"",IF(COUNTIFS($A$5:$A$504,A477,$B$5:$B$504,B477,$C$5:$C$504,C477)&gt;1,"DUPLICATE","OK"))</f>
        <v/>
      </c>
      <c r="J477" s="17">
        <f>IF(COUNTA(A477:C477)=0,"",IF(AND(COUNTIF('Master Data'!$A$6:$A$145,B477)=1,COUNTIF('Master Data'!$F$6:$F$13,C477)=1),"OK","INVALID"))</f>
        <v/>
      </c>
    </row>
    <row r="478">
      <c r="A478" s="7" t="n"/>
      <c r="B478" s="13" t="n"/>
      <c r="C478" s="13" t="n"/>
      <c r="D478" s="14" t="n"/>
      <c r="E478" s="15" t="n"/>
      <c r="F478" s="16" t="n"/>
      <c r="G478" s="16" t="n"/>
      <c r="H478" s="16" t="n"/>
      <c r="I478" s="17">
        <f>IF(COUNTA(A478:C478)=0,"",IF(COUNTIFS($A$5:$A$504,A478,$B$5:$B$504,B478,$C$5:$C$504,C478)&gt;1,"DUPLICATE","OK"))</f>
        <v/>
      </c>
      <c r="J478" s="17">
        <f>IF(COUNTA(A478:C478)=0,"",IF(AND(COUNTIF('Master Data'!$A$6:$A$145,B478)=1,COUNTIF('Master Data'!$F$6:$F$13,C478)=1),"OK","INVALID"))</f>
        <v/>
      </c>
    </row>
    <row r="479">
      <c r="A479" s="7" t="n"/>
      <c r="B479" s="13" t="n"/>
      <c r="C479" s="13" t="n"/>
      <c r="D479" s="14" t="n"/>
      <c r="E479" s="15" t="n"/>
      <c r="F479" s="16" t="n"/>
      <c r="G479" s="16" t="n"/>
      <c r="H479" s="16" t="n"/>
      <c r="I479" s="17">
        <f>IF(COUNTA(A479:C479)=0,"",IF(COUNTIFS($A$5:$A$504,A479,$B$5:$B$504,B479,$C$5:$C$504,C479)&gt;1,"DUPLICATE","OK"))</f>
        <v/>
      </c>
      <c r="J479" s="17">
        <f>IF(COUNTA(A479:C479)=0,"",IF(AND(COUNTIF('Master Data'!$A$6:$A$145,B479)=1,COUNTIF('Master Data'!$F$6:$F$13,C479)=1),"OK","INVALID"))</f>
        <v/>
      </c>
    </row>
    <row r="480">
      <c r="A480" s="7" t="n"/>
      <c r="B480" s="13" t="n"/>
      <c r="C480" s="13" t="n"/>
      <c r="D480" s="14" t="n"/>
      <c r="E480" s="15" t="n"/>
      <c r="F480" s="16" t="n"/>
      <c r="G480" s="16" t="n"/>
      <c r="H480" s="16" t="n"/>
      <c r="I480" s="17">
        <f>IF(COUNTA(A480:C480)=0,"",IF(COUNTIFS($A$5:$A$504,A480,$B$5:$B$504,B480,$C$5:$C$504,C480)&gt;1,"DUPLICATE","OK"))</f>
        <v/>
      </c>
      <c r="J480" s="17">
        <f>IF(COUNTA(A480:C480)=0,"",IF(AND(COUNTIF('Master Data'!$A$6:$A$145,B480)=1,COUNTIF('Master Data'!$F$6:$F$13,C480)=1),"OK","INVALID"))</f>
        <v/>
      </c>
    </row>
    <row r="481">
      <c r="A481" s="7" t="n"/>
      <c r="B481" s="13" t="n"/>
      <c r="C481" s="13" t="n"/>
      <c r="D481" s="14" t="n"/>
      <c r="E481" s="15" t="n"/>
      <c r="F481" s="16" t="n"/>
      <c r="G481" s="16" t="n"/>
      <c r="H481" s="16" t="n"/>
      <c r="I481" s="17">
        <f>IF(COUNTA(A481:C481)=0,"",IF(COUNTIFS($A$5:$A$504,A481,$B$5:$B$504,B481,$C$5:$C$504,C481)&gt;1,"DUPLICATE","OK"))</f>
        <v/>
      </c>
      <c r="J481" s="17">
        <f>IF(COUNTA(A481:C481)=0,"",IF(AND(COUNTIF('Master Data'!$A$6:$A$145,B481)=1,COUNTIF('Master Data'!$F$6:$F$13,C481)=1),"OK","INVALID"))</f>
        <v/>
      </c>
    </row>
    <row r="482">
      <c r="A482" s="7" t="n"/>
      <c r="B482" s="13" t="n"/>
      <c r="C482" s="13" t="n"/>
      <c r="D482" s="14" t="n"/>
      <c r="E482" s="15" t="n"/>
      <c r="F482" s="16" t="n"/>
      <c r="G482" s="16" t="n"/>
      <c r="H482" s="16" t="n"/>
      <c r="I482" s="17">
        <f>IF(COUNTA(A482:C482)=0,"",IF(COUNTIFS($A$5:$A$504,A482,$B$5:$B$504,B482,$C$5:$C$504,C482)&gt;1,"DUPLICATE","OK"))</f>
        <v/>
      </c>
      <c r="J482" s="17">
        <f>IF(COUNTA(A482:C482)=0,"",IF(AND(COUNTIF('Master Data'!$A$6:$A$145,B482)=1,COUNTIF('Master Data'!$F$6:$F$13,C482)=1),"OK","INVALID"))</f>
        <v/>
      </c>
    </row>
    <row r="483">
      <c r="A483" s="7" t="n"/>
      <c r="B483" s="13" t="n"/>
      <c r="C483" s="13" t="n"/>
      <c r="D483" s="14" t="n"/>
      <c r="E483" s="15" t="n"/>
      <c r="F483" s="16" t="n"/>
      <c r="G483" s="16" t="n"/>
      <c r="H483" s="16" t="n"/>
      <c r="I483" s="17">
        <f>IF(COUNTA(A483:C483)=0,"",IF(COUNTIFS($A$5:$A$504,A483,$B$5:$B$504,B483,$C$5:$C$504,C483)&gt;1,"DUPLICATE","OK"))</f>
        <v/>
      </c>
      <c r="J483" s="17">
        <f>IF(COUNTA(A483:C483)=0,"",IF(AND(COUNTIF('Master Data'!$A$6:$A$145,B483)=1,COUNTIF('Master Data'!$F$6:$F$13,C483)=1),"OK","INVALID"))</f>
        <v/>
      </c>
    </row>
    <row r="484">
      <c r="A484" s="7" t="n"/>
      <c r="B484" s="13" t="n"/>
      <c r="C484" s="13" t="n"/>
      <c r="D484" s="14" t="n"/>
      <c r="E484" s="15" t="n"/>
      <c r="F484" s="16" t="n"/>
      <c r="G484" s="16" t="n"/>
      <c r="H484" s="16" t="n"/>
      <c r="I484" s="17">
        <f>IF(COUNTA(A484:C484)=0,"",IF(COUNTIFS($A$5:$A$504,A484,$B$5:$B$504,B484,$C$5:$C$504,C484)&gt;1,"DUPLICATE","OK"))</f>
        <v/>
      </c>
      <c r="J484" s="17">
        <f>IF(COUNTA(A484:C484)=0,"",IF(AND(COUNTIF('Master Data'!$A$6:$A$145,B484)=1,COUNTIF('Master Data'!$F$6:$F$13,C484)=1),"OK","INVALID"))</f>
        <v/>
      </c>
    </row>
    <row r="485">
      <c r="A485" s="7" t="n"/>
      <c r="B485" s="13" t="n"/>
      <c r="C485" s="13" t="n"/>
      <c r="D485" s="14" t="n"/>
      <c r="E485" s="15" t="n"/>
      <c r="F485" s="16" t="n"/>
      <c r="G485" s="16" t="n"/>
      <c r="H485" s="16" t="n"/>
      <c r="I485" s="17">
        <f>IF(COUNTA(A485:C485)=0,"",IF(COUNTIFS($A$5:$A$504,A485,$B$5:$B$504,B485,$C$5:$C$504,C485)&gt;1,"DUPLICATE","OK"))</f>
        <v/>
      </c>
      <c r="J485" s="17">
        <f>IF(COUNTA(A485:C485)=0,"",IF(AND(COUNTIF('Master Data'!$A$6:$A$145,B485)=1,COUNTIF('Master Data'!$F$6:$F$13,C485)=1),"OK","INVALID"))</f>
        <v/>
      </c>
    </row>
    <row r="486">
      <c r="A486" s="7" t="n"/>
      <c r="B486" s="13" t="n"/>
      <c r="C486" s="13" t="n"/>
      <c r="D486" s="14" t="n"/>
      <c r="E486" s="15" t="n"/>
      <c r="F486" s="16" t="n"/>
      <c r="G486" s="16" t="n"/>
      <c r="H486" s="16" t="n"/>
      <c r="I486" s="17">
        <f>IF(COUNTA(A486:C486)=0,"",IF(COUNTIFS($A$5:$A$504,A486,$B$5:$B$504,B486,$C$5:$C$504,C486)&gt;1,"DUPLICATE","OK"))</f>
        <v/>
      </c>
      <c r="J486" s="17">
        <f>IF(COUNTA(A486:C486)=0,"",IF(AND(COUNTIF('Master Data'!$A$6:$A$145,B486)=1,COUNTIF('Master Data'!$F$6:$F$13,C486)=1),"OK","INVALID"))</f>
        <v/>
      </c>
    </row>
    <row r="487">
      <c r="A487" s="7" t="n"/>
      <c r="B487" s="13" t="n"/>
      <c r="C487" s="13" t="n"/>
      <c r="D487" s="14" t="n"/>
      <c r="E487" s="15" t="n"/>
      <c r="F487" s="16" t="n"/>
      <c r="G487" s="16" t="n"/>
      <c r="H487" s="16" t="n"/>
      <c r="I487" s="17">
        <f>IF(COUNTA(A487:C487)=0,"",IF(COUNTIFS($A$5:$A$504,A487,$B$5:$B$504,B487,$C$5:$C$504,C487)&gt;1,"DUPLICATE","OK"))</f>
        <v/>
      </c>
      <c r="J487" s="17">
        <f>IF(COUNTA(A487:C487)=0,"",IF(AND(COUNTIF('Master Data'!$A$6:$A$145,B487)=1,COUNTIF('Master Data'!$F$6:$F$13,C487)=1),"OK","INVALID"))</f>
        <v/>
      </c>
    </row>
    <row r="488">
      <c r="A488" s="7" t="n"/>
      <c r="B488" s="13" t="n"/>
      <c r="C488" s="13" t="n"/>
      <c r="D488" s="14" t="n"/>
      <c r="E488" s="15" t="n"/>
      <c r="F488" s="16" t="n"/>
      <c r="G488" s="16" t="n"/>
      <c r="H488" s="16" t="n"/>
      <c r="I488" s="17">
        <f>IF(COUNTA(A488:C488)=0,"",IF(COUNTIFS($A$5:$A$504,A488,$B$5:$B$504,B488,$C$5:$C$504,C488)&gt;1,"DUPLICATE","OK"))</f>
        <v/>
      </c>
      <c r="J488" s="17">
        <f>IF(COUNTA(A488:C488)=0,"",IF(AND(COUNTIF('Master Data'!$A$6:$A$145,B488)=1,COUNTIF('Master Data'!$F$6:$F$13,C488)=1),"OK","INVALID"))</f>
        <v/>
      </c>
    </row>
    <row r="489">
      <c r="A489" s="7" t="n"/>
      <c r="B489" s="13" t="n"/>
      <c r="C489" s="13" t="n"/>
      <c r="D489" s="14" t="n"/>
      <c r="E489" s="15" t="n"/>
      <c r="F489" s="16" t="n"/>
      <c r="G489" s="16" t="n"/>
      <c r="H489" s="16" t="n"/>
      <c r="I489" s="17">
        <f>IF(COUNTA(A489:C489)=0,"",IF(COUNTIFS($A$5:$A$504,A489,$B$5:$B$504,B489,$C$5:$C$504,C489)&gt;1,"DUPLICATE","OK"))</f>
        <v/>
      </c>
      <c r="J489" s="17">
        <f>IF(COUNTA(A489:C489)=0,"",IF(AND(COUNTIF('Master Data'!$A$6:$A$145,B489)=1,COUNTIF('Master Data'!$F$6:$F$13,C489)=1),"OK","INVALID"))</f>
        <v/>
      </c>
    </row>
    <row r="490">
      <c r="A490" s="7" t="n"/>
      <c r="B490" s="13" t="n"/>
      <c r="C490" s="13" t="n"/>
      <c r="D490" s="14" t="n"/>
      <c r="E490" s="15" t="n"/>
      <c r="F490" s="16" t="n"/>
      <c r="G490" s="16" t="n"/>
      <c r="H490" s="16" t="n"/>
      <c r="I490" s="17">
        <f>IF(COUNTA(A490:C490)=0,"",IF(COUNTIFS($A$5:$A$504,A490,$B$5:$B$504,B490,$C$5:$C$504,C490)&gt;1,"DUPLICATE","OK"))</f>
        <v/>
      </c>
      <c r="J490" s="17">
        <f>IF(COUNTA(A490:C490)=0,"",IF(AND(COUNTIF('Master Data'!$A$6:$A$145,B490)=1,COUNTIF('Master Data'!$F$6:$F$13,C490)=1),"OK","INVALID"))</f>
        <v/>
      </c>
    </row>
    <row r="491">
      <c r="A491" s="7" t="n"/>
      <c r="B491" s="13" t="n"/>
      <c r="C491" s="13" t="n"/>
      <c r="D491" s="14" t="n"/>
      <c r="E491" s="15" t="n"/>
      <c r="F491" s="16" t="n"/>
      <c r="G491" s="16" t="n"/>
      <c r="H491" s="16" t="n"/>
      <c r="I491" s="17">
        <f>IF(COUNTA(A491:C491)=0,"",IF(COUNTIFS($A$5:$A$504,A491,$B$5:$B$504,B491,$C$5:$C$504,C491)&gt;1,"DUPLICATE","OK"))</f>
        <v/>
      </c>
      <c r="J491" s="17">
        <f>IF(COUNTA(A491:C491)=0,"",IF(AND(COUNTIF('Master Data'!$A$6:$A$145,B491)=1,COUNTIF('Master Data'!$F$6:$F$13,C491)=1),"OK","INVALID"))</f>
        <v/>
      </c>
    </row>
    <row r="492">
      <c r="A492" s="7" t="n"/>
      <c r="B492" s="13" t="n"/>
      <c r="C492" s="13" t="n"/>
      <c r="D492" s="14" t="n"/>
      <c r="E492" s="15" t="n"/>
      <c r="F492" s="16" t="n"/>
      <c r="G492" s="16" t="n"/>
      <c r="H492" s="16" t="n"/>
      <c r="I492" s="17">
        <f>IF(COUNTA(A492:C492)=0,"",IF(COUNTIFS($A$5:$A$504,A492,$B$5:$B$504,B492,$C$5:$C$504,C492)&gt;1,"DUPLICATE","OK"))</f>
        <v/>
      </c>
      <c r="J492" s="17">
        <f>IF(COUNTA(A492:C492)=0,"",IF(AND(COUNTIF('Master Data'!$A$6:$A$145,B492)=1,COUNTIF('Master Data'!$F$6:$F$13,C492)=1),"OK","INVALID"))</f>
        <v/>
      </c>
    </row>
    <row r="493">
      <c r="A493" s="7" t="n"/>
      <c r="B493" s="13" t="n"/>
      <c r="C493" s="13" t="n"/>
      <c r="D493" s="14" t="n"/>
      <c r="E493" s="15" t="n"/>
      <c r="F493" s="16" t="n"/>
      <c r="G493" s="16" t="n"/>
      <c r="H493" s="16" t="n"/>
      <c r="I493" s="17">
        <f>IF(COUNTA(A493:C493)=0,"",IF(COUNTIFS($A$5:$A$504,A493,$B$5:$B$504,B493,$C$5:$C$504,C493)&gt;1,"DUPLICATE","OK"))</f>
        <v/>
      </c>
      <c r="J493" s="17">
        <f>IF(COUNTA(A493:C493)=0,"",IF(AND(COUNTIF('Master Data'!$A$6:$A$145,B493)=1,COUNTIF('Master Data'!$F$6:$F$13,C493)=1),"OK","INVALID"))</f>
        <v/>
      </c>
    </row>
    <row r="494">
      <c r="A494" s="7" t="n"/>
      <c r="B494" s="13" t="n"/>
      <c r="C494" s="13" t="n"/>
      <c r="D494" s="14" t="n"/>
      <c r="E494" s="15" t="n"/>
      <c r="F494" s="16" t="n"/>
      <c r="G494" s="16" t="n"/>
      <c r="H494" s="16" t="n"/>
      <c r="I494" s="17">
        <f>IF(COUNTA(A494:C494)=0,"",IF(COUNTIFS($A$5:$A$504,A494,$B$5:$B$504,B494,$C$5:$C$504,C494)&gt;1,"DUPLICATE","OK"))</f>
        <v/>
      </c>
      <c r="J494" s="17">
        <f>IF(COUNTA(A494:C494)=0,"",IF(AND(COUNTIF('Master Data'!$A$6:$A$145,B494)=1,COUNTIF('Master Data'!$F$6:$F$13,C494)=1),"OK","INVALID"))</f>
        <v/>
      </c>
    </row>
    <row r="495">
      <c r="A495" s="7" t="n"/>
      <c r="B495" s="13" t="n"/>
      <c r="C495" s="13" t="n"/>
      <c r="D495" s="14" t="n"/>
      <c r="E495" s="15" t="n"/>
      <c r="F495" s="16" t="n"/>
      <c r="G495" s="16" t="n"/>
      <c r="H495" s="16" t="n"/>
      <c r="I495" s="17">
        <f>IF(COUNTA(A495:C495)=0,"",IF(COUNTIFS($A$5:$A$504,A495,$B$5:$B$504,B495,$C$5:$C$504,C495)&gt;1,"DUPLICATE","OK"))</f>
        <v/>
      </c>
      <c r="J495" s="17">
        <f>IF(COUNTA(A495:C495)=0,"",IF(AND(COUNTIF('Master Data'!$A$6:$A$145,B495)=1,COUNTIF('Master Data'!$F$6:$F$13,C495)=1),"OK","INVALID"))</f>
        <v/>
      </c>
    </row>
    <row r="496">
      <c r="A496" s="7" t="n"/>
      <c r="B496" s="13" t="n"/>
      <c r="C496" s="13" t="n"/>
      <c r="D496" s="14" t="n"/>
      <c r="E496" s="15" t="n"/>
      <c r="F496" s="16" t="n"/>
      <c r="G496" s="16" t="n"/>
      <c r="H496" s="16" t="n"/>
      <c r="I496" s="17">
        <f>IF(COUNTA(A496:C496)=0,"",IF(COUNTIFS($A$5:$A$504,A496,$B$5:$B$504,B496,$C$5:$C$504,C496)&gt;1,"DUPLICATE","OK"))</f>
        <v/>
      </c>
      <c r="J496" s="17">
        <f>IF(COUNTA(A496:C496)=0,"",IF(AND(COUNTIF('Master Data'!$A$6:$A$145,B496)=1,COUNTIF('Master Data'!$F$6:$F$13,C496)=1),"OK","INVALID"))</f>
        <v/>
      </c>
    </row>
    <row r="497">
      <c r="A497" s="7" t="n"/>
      <c r="B497" s="13" t="n"/>
      <c r="C497" s="13" t="n"/>
      <c r="D497" s="14" t="n"/>
      <c r="E497" s="15" t="n"/>
      <c r="F497" s="16" t="n"/>
      <c r="G497" s="16" t="n"/>
      <c r="H497" s="16" t="n"/>
      <c r="I497" s="17">
        <f>IF(COUNTA(A497:C497)=0,"",IF(COUNTIFS($A$5:$A$504,A497,$B$5:$B$504,B497,$C$5:$C$504,C497)&gt;1,"DUPLICATE","OK"))</f>
        <v/>
      </c>
      <c r="J497" s="17">
        <f>IF(COUNTA(A497:C497)=0,"",IF(AND(COUNTIF('Master Data'!$A$6:$A$145,B497)=1,COUNTIF('Master Data'!$F$6:$F$13,C497)=1),"OK","INVALID"))</f>
        <v/>
      </c>
    </row>
    <row r="498">
      <c r="A498" s="7" t="n"/>
      <c r="B498" s="13" t="n"/>
      <c r="C498" s="13" t="n"/>
      <c r="D498" s="14" t="n"/>
      <c r="E498" s="15" t="n"/>
      <c r="F498" s="16" t="n"/>
      <c r="G498" s="16" t="n"/>
      <c r="H498" s="16" t="n"/>
      <c r="I498" s="17">
        <f>IF(COUNTA(A498:C498)=0,"",IF(COUNTIFS($A$5:$A$504,A498,$B$5:$B$504,B498,$C$5:$C$504,C498)&gt;1,"DUPLICATE","OK"))</f>
        <v/>
      </c>
      <c r="J498" s="17">
        <f>IF(COUNTA(A498:C498)=0,"",IF(AND(COUNTIF('Master Data'!$A$6:$A$145,B498)=1,COUNTIF('Master Data'!$F$6:$F$13,C498)=1),"OK","INVALID"))</f>
        <v/>
      </c>
    </row>
    <row r="499">
      <c r="A499" s="7" t="n"/>
      <c r="B499" s="13" t="n"/>
      <c r="C499" s="13" t="n"/>
      <c r="D499" s="14" t="n"/>
      <c r="E499" s="15" t="n"/>
      <c r="F499" s="16" t="n"/>
      <c r="G499" s="16" t="n"/>
      <c r="H499" s="16" t="n"/>
      <c r="I499" s="17">
        <f>IF(COUNTA(A499:C499)=0,"",IF(COUNTIFS($A$5:$A$504,A499,$B$5:$B$504,B499,$C$5:$C$504,C499)&gt;1,"DUPLICATE","OK"))</f>
        <v/>
      </c>
      <c r="J499" s="17">
        <f>IF(COUNTA(A499:C499)=0,"",IF(AND(COUNTIF('Master Data'!$A$6:$A$145,B499)=1,COUNTIF('Master Data'!$F$6:$F$13,C499)=1),"OK","INVALID"))</f>
        <v/>
      </c>
    </row>
    <row r="500">
      <c r="A500" s="7" t="n"/>
      <c r="B500" s="13" t="n"/>
      <c r="C500" s="13" t="n"/>
      <c r="D500" s="14" t="n"/>
      <c r="E500" s="15" t="n"/>
      <c r="F500" s="16" t="n"/>
      <c r="G500" s="16" t="n"/>
      <c r="H500" s="16" t="n"/>
      <c r="I500" s="17">
        <f>IF(COUNTA(A500:C500)=0,"",IF(COUNTIFS($A$5:$A$504,A500,$B$5:$B$504,B500,$C$5:$C$504,C500)&gt;1,"DUPLICATE","OK"))</f>
        <v/>
      </c>
      <c r="J500" s="17">
        <f>IF(COUNTA(A500:C500)=0,"",IF(AND(COUNTIF('Master Data'!$A$6:$A$145,B500)=1,COUNTIF('Master Data'!$F$6:$F$13,C500)=1),"OK","INVALID"))</f>
        <v/>
      </c>
    </row>
    <row r="501">
      <c r="A501" s="7" t="n"/>
      <c r="B501" s="13" t="n"/>
      <c r="C501" s="13" t="n"/>
      <c r="D501" s="14" t="n"/>
      <c r="E501" s="15" t="n"/>
      <c r="F501" s="16" t="n"/>
      <c r="G501" s="16" t="n"/>
      <c r="H501" s="16" t="n"/>
      <c r="I501" s="17">
        <f>IF(COUNTA(A501:C501)=0,"",IF(COUNTIFS($A$5:$A$504,A501,$B$5:$B$504,B501,$C$5:$C$504,C501)&gt;1,"DUPLICATE","OK"))</f>
        <v/>
      </c>
      <c r="J501" s="17">
        <f>IF(COUNTA(A501:C501)=0,"",IF(AND(COUNTIF('Master Data'!$A$6:$A$145,B501)=1,COUNTIF('Master Data'!$F$6:$F$13,C501)=1),"OK","INVALID"))</f>
        <v/>
      </c>
    </row>
    <row r="502">
      <c r="A502" s="7" t="n"/>
      <c r="B502" s="13" t="n"/>
      <c r="C502" s="13" t="n"/>
      <c r="D502" s="14" t="n"/>
      <c r="E502" s="15" t="n"/>
      <c r="F502" s="16" t="n"/>
      <c r="G502" s="16" t="n"/>
      <c r="H502" s="16" t="n"/>
      <c r="I502" s="17">
        <f>IF(COUNTA(A502:C502)=0,"",IF(COUNTIFS($A$5:$A$504,A502,$B$5:$B$504,B502,$C$5:$C$504,C502)&gt;1,"DUPLICATE","OK"))</f>
        <v/>
      </c>
      <c r="J502" s="17">
        <f>IF(COUNTA(A502:C502)=0,"",IF(AND(COUNTIF('Master Data'!$A$6:$A$145,B502)=1,COUNTIF('Master Data'!$F$6:$F$13,C502)=1),"OK","INVALID"))</f>
        <v/>
      </c>
    </row>
    <row r="503">
      <c r="A503" s="7" t="n"/>
      <c r="B503" s="13" t="n"/>
      <c r="C503" s="13" t="n"/>
      <c r="D503" s="14" t="n"/>
      <c r="E503" s="15" t="n"/>
      <c r="F503" s="16" t="n"/>
      <c r="G503" s="16" t="n"/>
      <c r="H503" s="16" t="n"/>
      <c r="I503" s="17">
        <f>IF(COUNTA(A503:C503)=0,"",IF(COUNTIFS($A$5:$A$504,A503,$B$5:$B$504,B503,$C$5:$C$504,C503)&gt;1,"DUPLICATE","OK"))</f>
        <v/>
      </c>
      <c r="J503" s="17">
        <f>IF(COUNTA(A503:C503)=0,"",IF(AND(COUNTIF('Master Data'!$A$6:$A$145,B503)=1,COUNTIF('Master Data'!$F$6:$F$13,C503)=1),"OK","INVALID"))</f>
        <v/>
      </c>
    </row>
    <row r="504">
      <c r="A504" s="7" t="n"/>
      <c r="B504" s="13" t="n"/>
      <c r="C504" s="13" t="n"/>
      <c r="D504" s="14" t="n"/>
      <c r="E504" s="15" t="n"/>
      <c r="F504" s="16" t="n"/>
      <c r="G504" s="16" t="n"/>
      <c r="H504" s="16" t="n"/>
      <c r="I504" s="17">
        <f>IF(COUNTA(A504:C504)=0,"",IF(COUNTIFS($A$5:$A$504,A504,$B$5:$B$504,B504,$C$5:$C$504,C504)&gt;1,"DUPLICATE","OK"))</f>
        <v/>
      </c>
      <c r="J504" s="17">
        <f>IF(COUNTA(A504:C504)=0,"",IF(AND(COUNTIF('Master Data'!$A$6:$A$145,B504)=1,COUNTIF('Master Data'!$F$6:$F$13,C504)=1),"OK","INVALID"))</f>
        <v/>
      </c>
    </row>
  </sheetData>
  <autoFilter ref="A4:J504"/>
  <mergeCells count="2">
    <mergeCell ref="A2:H2"/>
    <mergeCell ref="A1:H1"/>
  </mergeCells>
  <conditionalFormatting sqref="A5:J504">
    <cfRule type="expression" priority="1" dxfId="0">
      <formula>$I5="DUPLICATE"</formula>
    </cfRule>
  </conditionalFormatting>
  <dataValidations count="8">
    <dataValidation sqref="A5:A504" showDropDown="0" showInputMessage="0" showErrorMessage="1" allowBlank="1" errorTitle="Week ending must be Sunday" error="Enter a Sunday week ending date." type="custom">
      <formula1>=OR(A5="",AND(ISNUMBER(A5),WEEKDAY(A5,1)=1))</formula1>
    </dataValidation>
    <dataValidation sqref="B5:B504" showDropDown="0" showInputMessage="0" showErrorMessage="0" allowBlank="1" type="list">
      <formula1>='Master Data'!$A$6:$A$145</formula1>
    </dataValidation>
    <dataValidation sqref="C5:C504" showDropDown="0" showInputMessage="0" showErrorMessage="0" allowBlank="1" type="list">
      <formula1>='Master Data'!$F$6:$F$13</formula1>
    </dataValidation>
    <dataValidation sqref="D5:D504" showDropDown="0" showInputMessage="0" showErrorMessage="1" allowBlank="1" error="Units Sold must be 0 or greater." type="decimal" operator="between">
      <formula1>0</formula1>
      <formula2>100000</formula2>
    </dataValidation>
    <dataValidation sqref="E5:E504" showDropDown="0" showInputMessage="0" showErrorMessage="1" allowBlank="1" error="Net Sales must be 0 or greater." type="decimal" operator="between">
      <formula1>0</formula1>
      <formula2>10000000</formula2>
    </dataValidation>
    <dataValidation sqref="F5:F504" showDropDown="0" showInputMessage="0" showErrorMessage="1" allowBlank="1" error="Receipts must be 0 or greater." type="decimal" operator="between">
      <formula1>0</formula1>
      <formula2>100000</formula2>
    </dataValidation>
    <dataValidation sqref="G5:G504" showDropDown="0" showInputMessage="0" showErrorMessage="1" allowBlank="1" error="On Hand Qty must be 0 or greater." type="decimal" operator="between">
      <formula1>0</formula1>
      <formula2>100000</formula2>
    </dataValidation>
    <dataValidation sqref="H5:H504" showDropDown="0" showInputMessage="0" showErrorMessage="1" allowBlank="1" error="In-Stock Days must be between 0 and 7." type="decimal" operator="between">
      <formula1>0</formula1>
      <formula2>7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22" customWidth="1" min="4" max="4"/>
    <col width="14" customWidth="1" min="5" max="5"/>
    <col width="14" customWidth="1" min="6" max="6"/>
    <col width="14" customWidth="1" min="7" max="7"/>
    <col width="18" customWidth="1" min="8" max="8"/>
    <col width="12" customWidth="1" min="9" max="9"/>
    <col width="16" customWidth="1" min="10" max="10"/>
    <col width="12" customWidth="1" min="11" max="11"/>
    <col width="12" customWidth="1" min="12" max="12"/>
    <col width="18" customWidth="1" min="13" max="13"/>
    <col width="14" customWidth="1" min="14" max="14"/>
    <col width="12" customWidth="1" min="15" max="15"/>
    <col width="16" customWidth="1" min="16" max="16"/>
    <col width="16" customWidth="1" min="17" max="17"/>
    <col width="12" customWidth="1" min="18" max="18"/>
    <col width="16" customWidth="1" min="19" max="19"/>
    <col width="12" customWidth="1" min="20" max="20"/>
    <col width="18" customWidth="1" min="21" max="21"/>
    <col width="20" customWidth="1" min="22" max="22"/>
    <col width="24" customWidth="1" min="23" max="23"/>
    <col width="18" customWidth="1" min="24" max="24"/>
    <col width="12" customWidth="1" min="25" max="25"/>
    <col width="14" customWidth="1" min="26" max="26"/>
    <col width="24" customWidth="1" min="27" max="27"/>
    <col width="12" customWidth="1" min="28" max="28"/>
    <col hidden="1" width="13" customWidth="1" min="29" max="29"/>
    <col hidden="1" width="13" customWidth="1" min="30" max="30"/>
  </cols>
  <sheetData>
    <row r="1">
      <c r="A1" s="1" t="inlineStr">
        <is>
          <t>Model</t>
        </is>
      </c>
    </row>
    <row r="2">
      <c r="A2" s="2" t="inlineStr">
        <is>
          <t>Formula-driven detailed analysis; one row per Weekly Input row, with blanks suppressed until inputs exist</t>
        </is>
      </c>
    </row>
    <row r="4">
      <c r="A4" s="6" t="inlineStr">
        <is>
          <t>Row Key</t>
        </is>
      </c>
      <c r="B4" s="6" t="inlineStr">
        <is>
          <t>Store ID</t>
        </is>
      </c>
      <c r="C4" s="6" t="inlineStr">
        <is>
          <t>SKU</t>
        </is>
      </c>
      <c r="D4" s="6" t="inlineStr">
        <is>
          <t>Store Name</t>
        </is>
      </c>
      <c r="E4" s="6" t="inlineStr">
        <is>
          <t>Category</t>
        </is>
      </c>
      <c r="F4" s="6" t="inlineStr">
        <is>
          <t>Week Ending</t>
        </is>
      </c>
      <c r="G4" s="6" t="inlineStr">
        <is>
          <t>Shelf-Set Date</t>
        </is>
      </c>
      <c r="H4" s="6" t="inlineStr">
        <is>
          <t>Shelf-Cycle Age (days)</t>
        </is>
      </c>
      <c r="I4" s="6" t="inlineStr">
        <is>
          <t>Valid Master</t>
        </is>
      </c>
      <c r="J4" s="6" t="inlineStr">
        <is>
          <t>In-Stock Sufficient</t>
        </is>
      </c>
      <c r="K4" s="6" t="inlineStr">
        <is>
          <t>Full Cycle</t>
        </is>
      </c>
      <c r="L4" s="6" t="inlineStr">
        <is>
          <t>Eligible</t>
        </is>
      </c>
      <c r="M4" s="6" t="inlineStr">
        <is>
          <t>Normalized Velocity</t>
        </is>
      </c>
      <c r="N4" s="6" t="inlineStr">
        <is>
          <t>History Count</t>
        </is>
      </c>
      <c r="O4" s="6" t="inlineStr">
        <is>
          <t>Latest Week</t>
        </is>
      </c>
      <c r="P4" s="6" t="inlineStr">
        <is>
          <t>Recent Velocity</t>
        </is>
      </c>
      <c r="Q4" s="6" t="inlineStr">
        <is>
          <t>Prior Velocity</t>
        </is>
      </c>
      <c r="R4" s="6" t="inlineStr">
        <is>
          <t>Own Change</t>
        </is>
      </c>
      <c r="S4" s="6" t="inlineStr">
        <is>
          <t>SKU Peer Velocity</t>
        </is>
      </c>
      <c r="T4" s="6" t="inlineStr">
        <is>
          <t>Peer Gap</t>
        </is>
      </c>
      <c r="U4" s="6" t="inlineStr">
        <is>
          <t>Inventory Cover (weeks)</t>
        </is>
      </c>
      <c r="V4" s="6" t="inlineStr">
        <is>
          <t>Outcome</t>
        </is>
      </c>
      <c r="W4" s="6" t="inlineStr">
        <is>
          <t>Reason Code</t>
        </is>
      </c>
      <c r="X4" s="6" t="inlineStr">
        <is>
          <t>Action</t>
        </is>
      </c>
      <c r="Y4" s="6" t="inlineStr">
        <is>
          <t>Severity</t>
        </is>
      </c>
      <c r="Z4" s="6" t="inlineStr">
        <is>
          <t>Material Change</t>
        </is>
      </c>
      <c r="AA4" s="6" t="inlineStr">
        <is>
          <t>Driver</t>
        </is>
      </c>
      <c r="AB4" s="6" t="inlineStr">
        <is>
          <t>Current Row</t>
        </is>
      </c>
      <c r="AC4" s="6" t="inlineStr">
        <is>
          <t>Action Priority</t>
        </is>
      </c>
      <c r="AD4" s="6" t="inlineStr">
        <is>
          <t>Exception Rank</t>
        </is>
      </c>
    </row>
    <row r="5">
      <c r="A5" s="17">
        <f>IF(COUNTA('Weekly Input'!A5:C5)=0,"",'Weekly Input'!B5&amp;"|"&amp;'Weekly Input'!C5&amp;"|"&amp;TEXT('Weekly Input'!A5,"yyyy-mm-dd"))</f>
        <v/>
      </c>
      <c r="B5" s="18">
        <f>'Weekly Input'!B5</f>
        <v/>
      </c>
      <c r="C5" s="18">
        <f>'Weekly Input'!C5</f>
        <v/>
      </c>
      <c r="D5" s="18">
        <f>IF(B5="","",IFERROR(INDEX('Master Data'!$B$6:$B$145,MATCH(B5,'Master Data'!$A$6:$A$145,0)),""))</f>
        <v/>
      </c>
      <c r="E5" s="18">
        <f>IF(C5="","",IFERROR(INDEX('Master Data'!$H$6:$H$13,MATCH(C5,'Master Data'!$F$6:$F$13,0)),""))</f>
        <v/>
      </c>
      <c r="F5" s="19">
        <f>'Weekly Input'!A5</f>
        <v/>
      </c>
      <c r="G5" s="19">
        <f>IF(B5="","",IFERROR(INDEX('Master Data'!$D$6:$D$145,MATCH(B5,'Master Data'!$A$6:$A$145,0)),""))</f>
        <v/>
      </c>
      <c r="H5" s="18">
        <f>IF(OR(F5="",G5=""),"",F5-G5)</f>
        <v/>
      </c>
      <c r="I5" s="18">
        <f>IF(B5="","",IF('Weekly Input'!J5="OK",TRUE,FALSE))</f>
        <v/>
      </c>
      <c r="J5" s="18">
        <f>IF(B5="","",'Weekly Input'!H5&gt;=MinInStockDays)</f>
        <v/>
      </c>
      <c r="K5" s="18">
        <f>IF(B5="","",H5&gt;=FullCycleMin)</f>
        <v/>
      </c>
      <c r="L5" s="18">
        <f>IF(B5="","",AND(I5,J5,K5,N5&gt;=MinHistory))</f>
        <v/>
      </c>
      <c r="M5" s="20">
        <f>IF(OR(B5="",'Weekly Input'!H5=0),"",'Weekly Input'!D5/'Weekly Input'!H5*7)</f>
        <v/>
      </c>
      <c r="N5" s="18">
        <f>IF(B5="","",COUNTIFS($B$5:$B$504,B5,$C$5:$C$504,C5,$I$5:$I$504,TRUE,$J$5:$J$504,TRUE,$K$5:$K$504,TRUE))</f>
        <v/>
      </c>
      <c r="O5" s="18">
        <f>IF(B5="","",AND(F5=AsOfWeek,AsOfWeek&lt;&gt;""))</f>
        <v/>
      </c>
      <c r="P5" s="20">
        <f>IF(OR(B5="",AsOfWeek=""),"",IFERROR(SUMIFS($M$5:$M$504,$B$5:$B$504,B5,$C$5:$C$504,C5,$L$5:$L$504,TRUE,$F$5:$F$504,"&gt;="&amp;AsOfWeek-7*(RecentWeeks-1),$F$5:$F$504,"&lt;="&amp;AsOfWeek),""))</f>
        <v/>
      </c>
      <c r="Q5" s="20">
        <f>IF(OR(B5="",AsOfWeek=""),"",IFERROR(SUMIFS($M$5:$M$504,$B$5:$B$504,B5,$C$5:$C$504,C5,$L$5:$L$504,TRUE,$F$5:$F$504,"&gt;="&amp;AsOfWeek-7*(RecentWeeks+PriorWeeks-1),$F$5:$F$504,"&lt;"&amp;AsOfWeek-7*(RecentWeeks-1)),""))</f>
        <v/>
      </c>
      <c r="R5" s="21">
        <f>IF(OR(P5="",Q5="",Q5=0),"",P5/Q5-1)</f>
        <v/>
      </c>
      <c r="S5" s="20">
        <f>IF(OR(C5="",AsOfWeek=""),"",IFERROR(AVERAGEIFS($M$5:$M$504,$C$5:$C$504,C5,$L$5:$L$504,TRUE,$F$5:$F$504,"&gt;="&amp;AsOfWeek-7*(RecentWeeks-1),$F$5:$F$504,"&lt;="&amp;AsOfWeek),""))</f>
        <v/>
      </c>
      <c r="T5" s="21">
        <f>IF(OR(P5="",S5=""),"",P5/S5-1)</f>
        <v/>
      </c>
      <c r="U5" s="22">
        <f>IF(OR(B5="",'Weekly Input'!G5="",P5="",P5=0),"",'Weekly Input'!G5/P5)</f>
        <v/>
      </c>
      <c r="V5" s="18">
        <f>IF(B5="","",IF(NOT(I5),"Not Ready",IF(NOT(K5),"Not Ready",IF(N5&lt;MinHistory,"Not Ready",IF(NOT(J5),"Not Ready",IF(OR(Q5="",Q5=0),"Noise",IF(Q5&lt;LowBaseThreshold,"Noise",IF(AND(R5&lt;=-OwnDecline,T5&lt;=-PeerGapThreshold),"Markdown Review",IF(AND(R5&gt;=ReorderUplift,U5&lt;&gt;"",U5&lt;=WeeksSupplyCap),"Reorder Candidate","Monitor"))))))))</f>
        <v/>
      </c>
      <c r="W5" s="18">
        <f>IF(B5="","",IF(NOT(I5),"INVALID_MASTER",IF(NOT(K5),"INCOMPLETE_SHELF_CYCLE",IF(N5&lt;MinHistory,"INSUFFICIENT_HISTORY",IF(NOT(J5),"INSUFFICIENT_IN_STOCK",IF(OR(Q5="",Q5=0),"NO_PRIOR_BASE",IF(Q5&lt;LowBaseThreshold,"LOW_BASE_NOISE",IF(V5="Markdown Review","MARKDOWN_PEER_GAP",IF(V5="Reorder Candidate","REORDER_UPLIFT_COVER","NO_MATERIAL_CHANGE"))))))))</f>
        <v/>
      </c>
      <c r="X5" s="18">
        <f>IF(V5="Markdown Review","Markdown support",IF(V5="Reorder Candidate","Second reorder",IF(V5="Monitor","Monitor",IF(V5="Noise","Hold / collect data",IF(V5="Not Ready","Not ready","")))))</f>
        <v/>
      </c>
      <c r="Y5" s="18">
        <f>IF(OR(R5="",T5=""),"",ABS(R5)+ABS(T5))</f>
        <v/>
      </c>
      <c r="Z5" s="21">
        <f>IF(OR(B5="",NOT(O5),R5=""),"",IF(ABS(R5)&gt;=MaterialThreshold,"Yes","No"))</f>
        <v/>
      </c>
      <c r="AA5" s="18">
        <f>IF(Z5&lt;&gt;"Yes","",IF(ABS(R5)&gt;=MaterialThreshold,IF(ABS(R5)&gt;=BroadShare,"Broad SKU movement","Store-concentrated movement"),""))</f>
        <v/>
      </c>
      <c r="AB5" s="18">
        <f>IF(O5,IF(COUNTIFS($O$5:O5,TRUE)&gt;0,COUNTIFS($O$5:O5,TRUE),0),0)</f>
        <v/>
      </c>
      <c r="AC5" s="18">
        <f>IF(V5="Markdown Review",1,IF(V5="Reorder Candidate",2,IF(V5="Monitor",3,IF(V5="Noise",4,IF(V5="Not Ready",5,99)))))</f>
        <v/>
      </c>
      <c r="AD5" s="18">
        <f>IF(O5,COUNTIFS($O$5:$O$504,TRUE,$AC$5:$AC$504,"&lt;"&amp;AC5)+COUNTIFS($O$5:O5,TRUE,$AC$5:AC5,AC5,$Y$5:Y5,"&gt;"&amp;Y5),0)</f>
        <v/>
      </c>
    </row>
    <row r="6">
      <c r="A6" s="17">
        <f>IF(COUNTA('Weekly Input'!A6:C6)=0,"",'Weekly Input'!B6&amp;"|"&amp;'Weekly Input'!C6&amp;"|"&amp;TEXT('Weekly Input'!A6,"yyyy-mm-dd"))</f>
        <v/>
      </c>
      <c r="B6" s="18">
        <f>'Weekly Input'!B6</f>
        <v/>
      </c>
      <c r="C6" s="18">
        <f>'Weekly Input'!C6</f>
        <v/>
      </c>
      <c r="D6" s="18">
        <f>IF(B6="","",IFERROR(INDEX('Master Data'!$B$6:$B$145,MATCH(B6,'Master Data'!$A$6:$A$145,0)),""))</f>
        <v/>
      </c>
      <c r="E6" s="18">
        <f>IF(C6="","",IFERROR(INDEX('Master Data'!$H$6:$H$13,MATCH(C6,'Master Data'!$F$6:$F$13,0)),""))</f>
        <v/>
      </c>
      <c r="F6" s="19">
        <f>'Weekly Input'!A6</f>
        <v/>
      </c>
      <c r="G6" s="19">
        <f>IF(B6="","",IFERROR(INDEX('Master Data'!$D$6:$D$145,MATCH(B6,'Master Data'!$A$6:$A$145,0)),""))</f>
        <v/>
      </c>
      <c r="H6" s="18">
        <f>IF(OR(F6="",G6=""),"",F6-G6)</f>
        <v/>
      </c>
      <c r="I6" s="18">
        <f>IF(B6="","",IF('Weekly Input'!J6="OK",TRUE,FALSE))</f>
        <v/>
      </c>
      <c r="J6" s="18">
        <f>IF(B6="","",'Weekly Input'!H6&gt;=MinInStockDays)</f>
        <v/>
      </c>
      <c r="K6" s="18">
        <f>IF(B6="","",H6&gt;=FullCycleMin)</f>
        <v/>
      </c>
      <c r="L6" s="18">
        <f>IF(B6="","",AND(I6,J6,K6,N6&gt;=MinHistory))</f>
        <v/>
      </c>
      <c r="M6" s="20">
        <f>IF(OR(B6="",'Weekly Input'!H6=0),"",'Weekly Input'!D6/'Weekly Input'!H6*7)</f>
        <v/>
      </c>
      <c r="N6" s="18">
        <f>IF(B6="","",COUNTIFS($B$5:$B$504,B6,$C$5:$C$504,C6,$I$5:$I$504,TRUE,$J$5:$J$504,TRUE,$K$5:$K$504,TRUE))</f>
        <v/>
      </c>
      <c r="O6" s="18">
        <f>IF(B6="","",AND(F6=AsOfWeek,AsOfWeek&lt;&gt;""))</f>
        <v/>
      </c>
      <c r="P6" s="20">
        <f>IF(OR(B6="",AsOfWeek=""),"",IFERROR(SUMIFS($M$5:$M$504,$B$5:$B$504,B6,$C$5:$C$504,C6,$L$5:$L$504,TRUE,$F$5:$F$504,"&gt;="&amp;AsOfWeek-7*(RecentWeeks-1),$F$5:$F$504,"&lt;="&amp;AsOfWeek),""))</f>
        <v/>
      </c>
      <c r="Q6" s="20">
        <f>IF(OR(B6="",AsOfWeek=""),"",IFERROR(SUMIFS($M$5:$M$504,$B$5:$B$504,B6,$C$5:$C$504,C6,$L$5:$L$504,TRUE,$F$5:$F$504,"&gt;="&amp;AsOfWeek-7*(RecentWeeks+PriorWeeks-1),$F$5:$F$504,"&lt;"&amp;AsOfWeek-7*(RecentWeeks-1)),""))</f>
        <v/>
      </c>
      <c r="R6" s="21">
        <f>IF(OR(P6="",Q6="",Q6=0),"",P6/Q6-1)</f>
        <v/>
      </c>
      <c r="S6" s="20">
        <f>IF(OR(C6="",AsOfWeek=""),"",IFERROR(AVERAGEIFS($M$5:$M$504,$C$5:$C$504,C6,$L$5:$L$504,TRUE,$F$5:$F$504,"&gt;="&amp;AsOfWeek-7*(RecentWeeks-1),$F$5:$F$504,"&lt;="&amp;AsOfWeek),""))</f>
        <v/>
      </c>
      <c r="T6" s="21">
        <f>IF(OR(P6="",S6=""),"",P6/S6-1)</f>
        <v/>
      </c>
      <c r="U6" s="22">
        <f>IF(OR(B6="",'Weekly Input'!G6="",P6="",P6=0),"",'Weekly Input'!G6/P6)</f>
        <v/>
      </c>
      <c r="V6" s="18">
        <f>IF(B6="","",IF(NOT(I6),"Not Ready",IF(NOT(K6),"Not Ready",IF(N6&lt;MinHistory,"Not Ready",IF(NOT(J6),"Not Ready",IF(OR(Q6="",Q6=0),"Noise",IF(Q6&lt;LowBaseThreshold,"Noise",IF(AND(R6&lt;=-OwnDecline,T6&lt;=-PeerGapThreshold),"Markdown Review",IF(AND(R6&gt;=ReorderUplift,U6&lt;&gt;"",U6&lt;=WeeksSupplyCap),"Reorder Candidate","Monitor"))))))))</f>
        <v/>
      </c>
      <c r="W6" s="18">
        <f>IF(B6="","",IF(NOT(I6),"INVALID_MASTER",IF(NOT(K6),"INCOMPLETE_SHELF_CYCLE",IF(N6&lt;MinHistory,"INSUFFICIENT_HISTORY",IF(NOT(J6),"INSUFFICIENT_IN_STOCK",IF(OR(Q6="",Q6=0),"NO_PRIOR_BASE",IF(Q6&lt;LowBaseThreshold,"LOW_BASE_NOISE",IF(V6="Markdown Review","MARKDOWN_PEER_GAP",IF(V6="Reorder Candidate","REORDER_UPLIFT_COVER","NO_MATERIAL_CHANGE"))))))))</f>
        <v/>
      </c>
      <c r="X6" s="18">
        <f>IF(V6="Markdown Review","Markdown support",IF(V6="Reorder Candidate","Second reorder",IF(V6="Monitor","Monitor",IF(V6="Noise","Hold / collect data",IF(V6="Not Ready","Not ready","")))))</f>
        <v/>
      </c>
      <c r="Y6" s="18">
        <f>IF(OR(R6="",T6=""),"",ABS(R6)+ABS(T6))</f>
        <v/>
      </c>
      <c r="Z6" s="21">
        <f>IF(OR(B6="",NOT(O6),R6=""),"",IF(ABS(R6)&gt;=MaterialThreshold,"Yes","No"))</f>
        <v/>
      </c>
      <c r="AA6" s="18">
        <f>IF(Z6&lt;&gt;"Yes","",IF(ABS(R6)&gt;=MaterialThreshold,IF(ABS(R6)&gt;=BroadShare,"Broad SKU movement","Store-concentrated movement"),""))</f>
        <v/>
      </c>
      <c r="AB6" s="18">
        <f>IF(O6,IF(COUNTIFS($O$5:O6,TRUE)&gt;0,COUNTIFS($O$5:O6,TRUE),0),0)</f>
        <v/>
      </c>
      <c r="AC6" s="18">
        <f>IF(V6="Markdown Review",1,IF(V6="Reorder Candidate",2,IF(V6="Monitor",3,IF(V6="Noise",4,IF(V6="Not Ready",5,99)))))</f>
        <v/>
      </c>
      <c r="AD6" s="18">
        <f>IF(O6,COUNTIFS($O$5:$O$504,TRUE,$AC$5:$AC$504,"&lt;"&amp;AC6)+COUNTIFS($O$5:O6,TRUE,$AC$5:AC6,AC6,$Y$5:Y6,"&gt;"&amp;Y6),0)</f>
        <v/>
      </c>
    </row>
    <row r="7">
      <c r="A7" s="17">
        <f>IF(COUNTA('Weekly Input'!A7:C7)=0,"",'Weekly Input'!B7&amp;"|"&amp;'Weekly Input'!C7&amp;"|"&amp;TEXT('Weekly Input'!A7,"yyyy-mm-dd"))</f>
        <v/>
      </c>
      <c r="B7" s="18">
        <f>'Weekly Input'!B7</f>
        <v/>
      </c>
      <c r="C7" s="18">
        <f>'Weekly Input'!C7</f>
        <v/>
      </c>
      <c r="D7" s="18">
        <f>IF(B7="","",IFERROR(INDEX('Master Data'!$B$6:$B$145,MATCH(B7,'Master Data'!$A$6:$A$145,0)),""))</f>
        <v/>
      </c>
      <c r="E7" s="18">
        <f>IF(C7="","",IFERROR(INDEX('Master Data'!$H$6:$H$13,MATCH(C7,'Master Data'!$F$6:$F$13,0)),""))</f>
        <v/>
      </c>
      <c r="F7" s="19">
        <f>'Weekly Input'!A7</f>
        <v/>
      </c>
      <c r="G7" s="19">
        <f>IF(B7="","",IFERROR(INDEX('Master Data'!$D$6:$D$145,MATCH(B7,'Master Data'!$A$6:$A$145,0)),""))</f>
        <v/>
      </c>
      <c r="H7" s="18">
        <f>IF(OR(F7="",G7=""),"",F7-G7)</f>
        <v/>
      </c>
      <c r="I7" s="18">
        <f>IF(B7="","",IF('Weekly Input'!J7="OK",TRUE,FALSE))</f>
        <v/>
      </c>
      <c r="J7" s="18">
        <f>IF(B7="","",'Weekly Input'!H7&gt;=MinInStockDays)</f>
        <v/>
      </c>
      <c r="K7" s="18">
        <f>IF(B7="","",H7&gt;=FullCycleMin)</f>
        <v/>
      </c>
      <c r="L7" s="18">
        <f>IF(B7="","",AND(I7,J7,K7,N7&gt;=MinHistory))</f>
        <v/>
      </c>
      <c r="M7" s="20">
        <f>IF(OR(B7="",'Weekly Input'!H7=0),"",'Weekly Input'!D7/'Weekly Input'!H7*7)</f>
        <v/>
      </c>
      <c r="N7" s="18">
        <f>IF(B7="","",COUNTIFS($B$5:$B$504,B7,$C$5:$C$504,C7,$I$5:$I$504,TRUE,$J$5:$J$504,TRUE,$K$5:$K$504,TRUE))</f>
        <v/>
      </c>
      <c r="O7" s="18">
        <f>IF(B7="","",AND(F7=AsOfWeek,AsOfWeek&lt;&gt;""))</f>
        <v/>
      </c>
      <c r="P7" s="20">
        <f>IF(OR(B7="",AsOfWeek=""),"",IFERROR(SUMIFS($M$5:$M$504,$B$5:$B$504,B7,$C$5:$C$504,C7,$L$5:$L$504,TRUE,$F$5:$F$504,"&gt;="&amp;AsOfWeek-7*(RecentWeeks-1),$F$5:$F$504,"&lt;="&amp;AsOfWeek),""))</f>
        <v/>
      </c>
      <c r="Q7" s="20">
        <f>IF(OR(B7="",AsOfWeek=""),"",IFERROR(SUMIFS($M$5:$M$504,$B$5:$B$504,B7,$C$5:$C$504,C7,$L$5:$L$504,TRUE,$F$5:$F$504,"&gt;="&amp;AsOfWeek-7*(RecentWeeks+PriorWeeks-1),$F$5:$F$504,"&lt;"&amp;AsOfWeek-7*(RecentWeeks-1)),""))</f>
        <v/>
      </c>
      <c r="R7" s="21">
        <f>IF(OR(P7="",Q7="",Q7=0),"",P7/Q7-1)</f>
        <v/>
      </c>
      <c r="S7" s="20">
        <f>IF(OR(C7="",AsOfWeek=""),"",IFERROR(AVERAGEIFS($M$5:$M$504,$C$5:$C$504,C7,$L$5:$L$504,TRUE,$F$5:$F$504,"&gt;="&amp;AsOfWeek-7*(RecentWeeks-1),$F$5:$F$504,"&lt;="&amp;AsOfWeek),""))</f>
        <v/>
      </c>
      <c r="T7" s="21">
        <f>IF(OR(P7="",S7=""),"",P7/S7-1)</f>
        <v/>
      </c>
      <c r="U7" s="22">
        <f>IF(OR(B7="",'Weekly Input'!G7="",P7="",P7=0),"",'Weekly Input'!G7/P7)</f>
        <v/>
      </c>
      <c r="V7" s="18">
        <f>IF(B7="","",IF(NOT(I7),"Not Ready",IF(NOT(K7),"Not Ready",IF(N7&lt;MinHistory,"Not Ready",IF(NOT(J7),"Not Ready",IF(OR(Q7="",Q7=0),"Noise",IF(Q7&lt;LowBaseThreshold,"Noise",IF(AND(R7&lt;=-OwnDecline,T7&lt;=-PeerGapThreshold),"Markdown Review",IF(AND(R7&gt;=ReorderUplift,U7&lt;&gt;"",U7&lt;=WeeksSupplyCap),"Reorder Candidate","Monitor"))))))))</f>
        <v/>
      </c>
      <c r="W7" s="18">
        <f>IF(B7="","",IF(NOT(I7),"INVALID_MASTER",IF(NOT(K7),"INCOMPLETE_SHELF_CYCLE",IF(N7&lt;MinHistory,"INSUFFICIENT_HISTORY",IF(NOT(J7),"INSUFFICIENT_IN_STOCK",IF(OR(Q7="",Q7=0),"NO_PRIOR_BASE",IF(Q7&lt;LowBaseThreshold,"LOW_BASE_NOISE",IF(V7="Markdown Review","MARKDOWN_PEER_GAP",IF(V7="Reorder Candidate","REORDER_UPLIFT_COVER","NO_MATERIAL_CHANGE"))))))))</f>
        <v/>
      </c>
      <c r="X7" s="18">
        <f>IF(V7="Markdown Review","Markdown support",IF(V7="Reorder Candidate","Second reorder",IF(V7="Monitor","Monitor",IF(V7="Noise","Hold / collect data",IF(V7="Not Ready","Not ready","")))))</f>
        <v/>
      </c>
      <c r="Y7" s="18">
        <f>IF(OR(R7="",T7=""),"",ABS(R7)+ABS(T7))</f>
        <v/>
      </c>
      <c r="Z7" s="21">
        <f>IF(OR(B7="",NOT(O7),R7=""),"",IF(ABS(R7)&gt;=MaterialThreshold,"Yes","No"))</f>
        <v/>
      </c>
      <c r="AA7" s="18">
        <f>IF(Z7&lt;&gt;"Yes","",IF(ABS(R7)&gt;=MaterialThreshold,IF(ABS(R7)&gt;=BroadShare,"Broad SKU movement","Store-concentrated movement"),""))</f>
        <v/>
      </c>
      <c r="AB7" s="18">
        <f>IF(O7,IF(COUNTIFS($O$5:O7,TRUE)&gt;0,COUNTIFS($O$5:O7,TRUE),0),0)</f>
        <v/>
      </c>
      <c r="AC7" s="18">
        <f>IF(V7="Markdown Review",1,IF(V7="Reorder Candidate",2,IF(V7="Monitor",3,IF(V7="Noise",4,IF(V7="Not Ready",5,99)))))</f>
        <v/>
      </c>
      <c r="AD7" s="18">
        <f>IF(O7,COUNTIFS($O$5:$O$504,TRUE,$AC$5:$AC$504,"&lt;"&amp;AC7)+COUNTIFS($O$5:O7,TRUE,$AC$5:AC7,AC7,$Y$5:Y7,"&gt;"&amp;Y7),0)</f>
        <v/>
      </c>
    </row>
    <row r="8">
      <c r="A8" s="17">
        <f>IF(COUNTA('Weekly Input'!A8:C8)=0,"",'Weekly Input'!B8&amp;"|"&amp;'Weekly Input'!C8&amp;"|"&amp;TEXT('Weekly Input'!A8,"yyyy-mm-dd"))</f>
        <v/>
      </c>
      <c r="B8" s="18">
        <f>'Weekly Input'!B8</f>
        <v/>
      </c>
      <c r="C8" s="18">
        <f>'Weekly Input'!C8</f>
        <v/>
      </c>
      <c r="D8" s="18">
        <f>IF(B8="","",IFERROR(INDEX('Master Data'!$B$6:$B$145,MATCH(B8,'Master Data'!$A$6:$A$145,0)),""))</f>
        <v/>
      </c>
      <c r="E8" s="18">
        <f>IF(C8="","",IFERROR(INDEX('Master Data'!$H$6:$H$13,MATCH(C8,'Master Data'!$F$6:$F$13,0)),""))</f>
        <v/>
      </c>
      <c r="F8" s="19">
        <f>'Weekly Input'!A8</f>
        <v/>
      </c>
      <c r="G8" s="19">
        <f>IF(B8="","",IFERROR(INDEX('Master Data'!$D$6:$D$145,MATCH(B8,'Master Data'!$A$6:$A$145,0)),""))</f>
        <v/>
      </c>
      <c r="H8" s="18">
        <f>IF(OR(F8="",G8=""),"",F8-G8)</f>
        <v/>
      </c>
      <c r="I8" s="18">
        <f>IF(B8="","",IF('Weekly Input'!J8="OK",TRUE,FALSE))</f>
        <v/>
      </c>
      <c r="J8" s="18">
        <f>IF(B8="","",'Weekly Input'!H8&gt;=MinInStockDays)</f>
        <v/>
      </c>
      <c r="K8" s="18">
        <f>IF(B8="","",H8&gt;=FullCycleMin)</f>
        <v/>
      </c>
      <c r="L8" s="18">
        <f>IF(B8="","",AND(I8,J8,K8,N8&gt;=MinHistory))</f>
        <v/>
      </c>
      <c r="M8" s="20">
        <f>IF(OR(B8="",'Weekly Input'!H8=0),"",'Weekly Input'!D8/'Weekly Input'!H8*7)</f>
        <v/>
      </c>
      <c r="N8" s="18">
        <f>IF(B8="","",COUNTIFS($B$5:$B$504,B8,$C$5:$C$504,C8,$I$5:$I$504,TRUE,$J$5:$J$504,TRUE,$K$5:$K$504,TRUE))</f>
        <v/>
      </c>
      <c r="O8" s="18">
        <f>IF(B8="","",AND(F8=AsOfWeek,AsOfWeek&lt;&gt;""))</f>
        <v/>
      </c>
      <c r="P8" s="20">
        <f>IF(OR(B8="",AsOfWeek=""),"",IFERROR(SUMIFS($M$5:$M$504,$B$5:$B$504,B8,$C$5:$C$504,C8,$L$5:$L$504,TRUE,$F$5:$F$504,"&gt;="&amp;AsOfWeek-7*(RecentWeeks-1),$F$5:$F$504,"&lt;="&amp;AsOfWeek),""))</f>
        <v/>
      </c>
      <c r="Q8" s="20">
        <f>IF(OR(B8="",AsOfWeek=""),"",IFERROR(SUMIFS($M$5:$M$504,$B$5:$B$504,B8,$C$5:$C$504,C8,$L$5:$L$504,TRUE,$F$5:$F$504,"&gt;="&amp;AsOfWeek-7*(RecentWeeks+PriorWeeks-1),$F$5:$F$504,"&lt;"&amp;AsOfWeek-7*(RecentWeeks-1)),""))</f>
        <v/>
      </c>
      <c r="R8" s="21">
        <f>IF(OR(P8="",Q8="",Q8=0),"",P8/Q8-1)</f>
        <v/>
      </c>
      <c r="S8" s="20">
        <f>IF(OR(C8="",AsOfWeek=""),"",IFERROR(AVERAGEIFS($M$5:$M$504,$C$5:$C$504,C8,$L$5:$L$504,TRUE,$F$5:$F$504,"&gt;="&amp;AsOfWeek-7*(RecentWeeks-1),$F$5:$F$504,"&lt;="&amp;AsOfWeek),""))</f>
        <v/>
      </c>
      <c r="T8" s="21">
        <f>IF(OR(P8="",S8=""),"",P8/S8-1)</f>
        <v/>
      </c>
      <c r="U8" s="22">
        <f>IF(OR(B8="",'Weekly Input'!G8="",P8="",P8=0),"",'Weekly Input'!G8/P8)</f>
        <v/>
      </c>
      <c r="V8" s="18">
        <f>IF(B8="","",IF(NOT(I8),"Not Ready",IF(NOT(K8),"Not Ready",IF(N8&lt;MinHistory,"Not Ready",IF(NOT(J8),"Not Ready",IF(OR(Q8="",Q8=0),"Noise",IF(Q8&lt;LowBaseThreshold,"Noise",IF(AND(R8&lt;=-OwnDecline,T8&lt;=-PeerGapThreshold),"Markdown Review",IF(AND(R8&gt;=ReorderUplift,U8&lt;&gt;"",U8&lt;=WeeksSupplyCap),"Reorder Candidate","Monitor"))))))))</f>
        <v/>
      </c>
      <c r="W8" s="18">
        <f>IF(B8="","",IF(NOT(I8),"INVALID_MASTER",IF(NOT(K8),"INCOMPLETE_SHELF_CYCLE",IF(N8&lt;MinHistory,"INSUFFICIENT_HISTORY",IF(NOT(J8),"INSUFFICIENT_IN_STOCK",IF(OR(Q8="",Q8=0),"NO_PRIOR_BASE",IF(Q8&lt;LowBaseThreshold,"LOW_BASE_NOISE",IF(V8="Markdown Review","MARKDOWN_PEER_GAP",IF(V8="Reorder Candidate","REORDER_UPLIFT_COVER","NO_MATERIAL_CHANGE"))))))))</f>
        <v/>
      </c>
      <c r="X8" s="18">
        <f>IF(V8="Markdown Review","Markdown support",IF(V8="Reorder Candidate","Second reorder",IF(V8="Monitor","Monitor",IF(V8="Noise","Hold / collect data",IF(V8="Not Ready","Not ready","")))))</f>
        <v/>
      </c>
      <c r="Y8" s="18">
        <f>IF(OR(R8="",T8=""),"",ABS(R8)+ABS(T8))</f>
        <v/>
      </c>
      <c r="Z8" s="21">
        <f>IF(OR(B8="",NOT(O8),R8=""),"",IF(ABS(R8)&gt;=MaterialThreshold,"Yes","No"))</f>
        <v/>
      </c>
      <c r="AA8" s="18">
        <f>IF(Z8&lt;&gt;"Yes","",IF(ABS(R8)&gt;=MaterialThreshold,IF(ABS(R8)&gt;=BroadShare,"Broad SKU movement","Store-concentrated movement"),""))</f>
        <v/>
      </c>
      <c r="AB8" s="18">
        <f>IF(O8,IF(COUNTIFS($O$5:O8,TRUE)&gt;0,COUNTIFS($O$5:O8,TRUE),0),0)</f>
        <v/>
      </c>
      <c r="AC8" s="18">
        <f>IF(V8="Markdown Review",1,IF(V8="Reorder Candidate",2,IF(V8="Monitor",3,IF(V8="Noise",4,IF(V8="Not Ready",5,99)))))</f>
        <v/>
      </c>
      <c r="AD8" s="18">
        <f>IF(O8,COUNTIFS($O$5:$O$504,TRUE,$AC$5:$AC$504,"&lt;"&amp;AC8)+COUNTIFS($O$5:O8,TRUE,$AC$5:AC8,AC8,$Y$5:Y8,"&gt;"&amp;Y8),0)</f>
        <v/>
      </c>
    </row>
    <row r="9">
      <c r="A9" s="17">
        <f>IF(COUNTA('Weekly Input'!A9:C9)=0,"",'Weekly Input'!B9&amp;"|"&amp;'Weekly Input'!C9&amp;"|"&amp;TEXT('Weekly Input'!A9,"yyyy-mm-dd"))</f>
        <v/>
      </c>
      <c r="B9" s="18">
        <f>'Weekly Input'!B9</f>
        <v/>
      </c>
      <c r="C9" s="18">
        <f>'Weekly Input'!C9</f>
        <v/>
      </c>
      <c r="D9" s="18">
        <f>IF(B9="","",IFERROR(INDEX('Master Data'!$B$6:$B$145,MATCH(B9,'Master Data'!$A$6:$A$145,0)),""))</f>
        <v/>
      </c>
      <c r="E9" s="18">
        <f>IF(C9="","",IFERROR(INDEX('Master Data'!$H$6:$H$13,MATCH(C9,'Master Data'!$F$6:$F$13,0)),""))</f>
        <v/>
      </c>
      <c r="F9" s="19">
        <f>'Weekly Input'!A9</f>
        <v/>
      </c>
      <c r="G9" s="19">
        <f>IF(B9="","",IFERROR(INDEX('Master Data'!$D$6:$D$145,MATCH(B9,'Master Data'!$A$6:$A$145,0)),""))</f>
        <v/>
      </c>
      <c r="H9" s="18">
        <f>IF(OR(F9="",G9=""),"",F9-G9)</f>
        <v/>
      </c>
      <c r="I9" s="18">
        <f>IF(B9="","",IF('Weekly Input'!J9="OK",TRUE,FALSE))</f>
        <v/>
      </c>
      <c r="J9" s="18">
        <f>IF(B9="","",'Weekly Input'!H9&gt;=MinInStockDays)</f>
        <v/>
      </c>
      <c r="K9" s="18">
        <f>IF(B9="","",H9&gt;=FullCycleMin)</f>
        <v/>
      </c>
      <c r="L9" s="18">
        <f>IF(B9="","",AND(I9,J9,K9,N9&gt;=MinHistory))</f>
        <v/>
      </c>
      <c r="M9" s="20">
        <f>IF(OR(B9="",'Weekly Input'!H9=0),"",'Weekly Input'!D9/'Weekly Input'!H9*7)</f>
        <v/>
      </c>
      <c r="N9" s="18">
        <f>IF(B9="","",COUNTIFS($B$5:$B$504,B9,$C$5:$C$504,C9,$I$5:$I$504,TRUE,$J$5:$J$504,TRUE,$K$5:$K$504,TRUE))</f>
        <v/>
      </c>
      <c r="O9" s="18">
        <f>IF(B9="","",AND(F9=AsOfWeek,AsOfWeek&lt;&gt;""))</f>
        <v/>
      </c>
      <c r="P9" s="20">
        <f>IF(OR(B9="",AsOfWeek=""),"",IFERROR(SUMIFS($M$5:$M$504,$B$5:$B$504,B9,$C$5:$C$504,C9,$L$5:$L$504,TRUE,$F$5:$F$504,"&gt;="&amp;AsOfWeek-7*(RecentWeeks-1),$F$5:$F$504,"&lt;="&amp;AsOfWeek),""))</f>
        <v/>
      </c>
      <c r="Q9" s="20">
        <f>IF(OR(B9="",AsOfWeek=""),"",IFERROR(SUMIFS($M$5:$M$504,$B$5:$B$504,B9,$C$5:$C$504,C9,$L$5:$L$504,TRUE,$F$5:$F$504,"&gt;="&amp;AsOfWeek-7*(RecentWeeks+PriorWeeks-1),$F$5:$F$504,"&lt;"&amp;AsOfWeek-7*(RecentWeeks-1)),""))</f>
        <v/>
      </c>
      <c r="R9" s="21">
        <f>IF(OR(P9="",Q9="",Q9=0),"",P9/Q9-1)</f>
        <v/>
      </c>
      <c r="S9" s="20">
        <f>IF(OR(C9="",AsOfWeek=""),"",IFERROR(AVERAGEIFS($M$5:$M$504,$C$5:$C$504,C9,$L$5:$L$504,TRUE,$F$5:$F$504,"&gt;="&amp;AsOfWeek-7*(RecentWeeks-1),$F$5:$F$504,"&lt;="&amp;AsOfWeek),""))</f>
        <v/>
      </c>
      <c r="T9" s="21">
        <f>IF(OR(P9="",S9=""),"",P9/S9-1)</f>
        <v/>
      </c>
      <c r="U9" s="22">
        <f>IF(OR(B9="",'Weekly Input'!G9="",P9="",P9=0),"",'Weekly Input'!G9/P9)</f>
        <v/>
      </c>
      <c r="V9" s="18">
        <f>IF(B9="","",IF(NOT(I9),"Not Ready",IF(NOT(K9),"Not Ready",IF(N9&lt;MinHistory,"Not Ready",IF(NOT(J9),"Not Ready",IF(OR(Q9="",Q9=0),"Noise",IF(Q9&lt;LowBaseThreshold,"Noise",IF(AND(R9&lt;=-OwnDecline,T9&lt;=-PeerGapThreshold),"Markdown Review",IF(AND(R9&gt;=ReorderUplift,U9&lt;&gt;"",U9&lt;=WeeksSupplyCap),"Reorder Candidate","Monitor"))))))))</f>
        <v/>
      </c>
      <c r="W9" s="18">
        <f>IF(B9="","",IF(NOT(I9),"INVALID_MASTER",IF(NOT(K9),"INCOMPLETE_SHELF_CYCLE",IF(N9&lt;MinHistory,"INSUFFICIENT_HISTORY",IF(NOT(J9),"INSUFFICIENT_IN_STOCK",IF(OR(Q9="",Q9=0),"NO_PRIOR_BASE",IF(Q9&lt;LowBaseThreshold,"LOW_BASE_NOISE",IF(V9="Markdown Review","MARKDOWN_PEER_GAP",IF(V9="Reorder Candidate","REORDER_UPLIFT_COVER","NO_MATERIAL_CHANGE"))))))))</f>
        <v/>
      </c>
      <c r="X9" s="18">
        <f>IF(V9="Markdown Review","Markdown support",IF(V9="Reorder Candidate","Second reorder",IF(V9="Monitor","Monitor",IF(V9="Noise","Hold / collect data",IF(V9="Not Ready","Not ready","")))))</f>
        <v/>
      </c>
      <c r="Y9" s="18">
        <f>IF(OR(R9="",T9=""),"",ABS(R9)+ABS(T9))</f>
        <v/>
      </c>
      <c r="Z9" s="21">
        <f>IF(OR(B9="",NOT(O9),R9=""),"",IF(ABS(R9)&gt;=MaterialThreshold,"Yes","No"))</f>
        <v/>
      </c>
      <c r="AA9" s="18">
        <f>IF(Z9&lt;&gt;"Yes","",IF(ABS(R9)&gt;=MaterialThreshold,IF(ABS(R9)&gt;=BroadShare,"Broad SKU movement","Store-concentrated movement"),""))</f>
        <v/>
      </c>
      <c r="AB9" s="18">
        <f>IF(O9,IF(COUNTIFS($O$5:O9,TRUE)&gt;0,COUNTIFS($O$5:O9,TRUE),0),0)</f>
        <v/>
      </c>
      <c r="AC9" s="18">
        <f>IF(V9="Markdown Review",1,IF(V9="Reorder Candidate",2,IF(V9="Monitor",3,IF(V9="Noise",4,IF(V9="Not Ready",5,99)))))</f>
        <v/>
      </c>
      <c r="AD9" s="18">
        <f>IF(O9,COUNTIFS($O$5:$O$504,TRUE,$AC$5:$AC$504,"&lt;"&amp;AC9)+COUNTIFS($O$5:O9,TRUE,$AC$5:AC9,AC9,$Y$5:Y9,"&gt;"&amp;Y9),0)</f>
        <v/>
      </c>
    </row>
    <row r="10">
      <c r="A10" s="17">
        <f>IF(COUNTA('Weekly Input'!A10:C10)=0,"",'Weekly Input'!B10&amp;"|"&amp;'Weekly Input'!C10&amp;"|"&amp;TEXT('Weekly Input'!A10,"yyyy-mm-dd"))</f>
        <v/>
      </c>
      <c r="B10" s="18">
        <f>'Weekly Input'!B10</f>
        <v/>
      </c>
      <c r="C10" s="18">
        <f>'Weekly Input'!C10</f>
        <v/>
      </c>
      <c r="D10" s="18">
        <f>IF(B10="","",IFERROR(INDEX('Master Data'!$B$6:$B$145,MATCH(B10,'Master Data'!$A$6:$A$145,0)),""))</f>
        <v/>
      </c>
      <c r="E10" s="18">
        <f>IF(C10="","",IFERROR(INDEX('Master Data'!$H$6:$H$13,MATCH(C10,'Master Data'!$F$6:$F$13,0)),""))</f>
        <v/>
      </c>
      <c r="F10" s="19">
        <f>'Weekly Input'!A10</f>
        <v/>
      </c>
      <c r="G10" s="19">
        <f>IF(B10="","",IFERROR(INDEX('Master Data'!$D$6:$D$145,MATCH(B10,'Master Data'!$A$6:$A$145,0)),""))</f>
        <v/>
      </c>
      <c r="H10" s="18">
        <f>IF(OR(F10="",G10=""),"",F10-G10)</f>
        <v/>
      </c>
      <c r="I10" s="18">
        <f>IF(B10="","",IF('Weekly Input'!J10="OK",TRUE,FALSE))</f>
        <v/>
      </c>
      <c r="J10" s="18">
        <f>IF(B10="","",'Weekly Input'!H10&gt;=MinInStockDays)</f>
        <v/>
      </c>
      <c r="K10" s="18">
        <f>IF(B10="","",H10&gt;=FullCycleMin)</f>
        <v/>
      </c>
      <c r="L10" s="18">
        <f>IF(B10="","",AND(I10,J10,K10,N10&gt;=MinHistory))</f>
        <v/>
      </c>
      <c r="M10" s="20">
        <f>IF(OR(B10="",'Weekly Input'!H10=0),"",'Weekly Input'!D10/'Weekly Input'!H10*7)</f>
        <v/>
      </c>
      <c r="N10" s="18">
        <f>IF(B10="","",COUNTIFS($B$5:$B$504,B10,$C$5:$C$504,C10,$I$5:$I$504,TRUE,$J$5:$J$504,TRUE,$K$5:$K$504,TRUE))</f>
        <v/>
      </c>
      <c r="O10" s="18">
        <f>IF(B10="","",AND(F10=AsOfWeek,AsOfWeek&lt;&gt;""))</f>
        <v/>
      </c>
      <c r="P10" s="20">
        <f>IF(OR(B10="",AsOfWeek=""),"",IFERROR(SUMIFS($M$5:$M$504,$B$5:$B$504,B10,$C$5:$C$504,C10,$L$5:$L$504,TRUE,$F$5:$F$504,"&gt;="&amp;AsOfWeek-7*(RecentWeeks-1),$F$5:$F$504,"&lt;="&amp;AsOfWeek),""))</f>
        <v/>
      </c>
      <c r="Q10" s="20">
        <f>IF(OR(B10="",AsOfWeek=""),"",IFERROR(SUMIFS($M$5:$M$504,$B$5:$B$504,B10,$C$5:$C$504,C10,$L$5:$L$504,TRUE,$F$5:$F$504,"&gt;="&amp;AsOfWeek-7*(RecentWeeks+PriorWeeks-1),$F$5:$F$504,"&lt;"&amp;AsOfWeek-7*(RecentWeeks-1)),""))</f>
        <v/>
      </c>
      <c r="R10" s="21">
        <f>IF(OR(P10="",Q10="",Q10=0),"",P10/Q10-1)</f>
        <v/>
      </c>
      <c r="S10" s="20">
        <f>IF(OR(C10="",AsOfWeek=""),"",IFERROR(AVERAGEIFS($M$5:$M$504,$C$5:$C$504,C10,$L$5:$L$504,TRUE,$F$5:$F$504,"&gt;="&amp;AsOfWeek-7*(RecentWeeks-1),$F$5:$F$504,"&lt;="&amp;AsOfWeek),""))</f>
        <v/>
      </c>
      <c r="T10" s="21">
        <f>IF(OR(P10="",S10=""),"",P10/S10-1)</f>
        <v/>
      </c>
      <c r="U10" s="22">
        <f>IF(OR(B10="",'Weekly Input'!G10="",P10="",P10=0),"",'Weekly Input'!G10/P10)</f>
        <v/>
      </c>
      <c r="V10" s="18">
        <f>IF(B10="","",IF(NOT(I10),"Not Ready",IF(NOT(K10),"Not Ready",IF(N10&lt;MinHistory,"Not Ready",IF(NOT(J10),"Not Ready",IF(OR(Q10="",Q10=0),"Noise",IF(Q10&lt;LowBaseThreshold,"Noise",IF(AND(R10&lt;=-OwnDecline,T10&lt;=-PeerGapThreshold),"Markdown Review",IF(AND(R10&gt;=ReorderUplift,U10&lt;&gt;"",U10&lt;=WeeksSupplyCap),"Reorder Candidate","Monitor"))))))))</f>
        <v/>
      </c>
      <c r="W10" s="18">
        <f>IF(B10="","",IF(NOT(I10),"INVALID_MASTER",IF(NOT(K10),"INCOMPLETE_SHELF_CYCLE",IF(N10&lt;MinHistory,"INSUFFICIENT_HISTORY",IF(NOT(J10),"INSUFFICIENT_IN_STOCK",IF(OR(Q10="",Q10=0),"NO_PRIOR_BASE",IF(Q10&lt;LowBaseThreshold,"LOW_BASE_NOISE",IF(V10="Markdown Review","MARKDOWN_PEER_GAP",IF(V10="Reorder Candidate","REORDER_UPLIFT_COVER","NO_MATERIAL_CHANGE"))))))))</f>
        <v/>
      </c>
      <c r="X10" s="18">
        <f>IF(V10="Markdown Review","Markdown support",IF(V10="Reorder Candidate","Second reorder",IF(V10="Monitor","Monitor",IF(V10="Noise","Hold / collect data",IF(V10="Not Ready","Not ready","")))))</f>
        <v/>
      </c>
      <c r="Y10" s="18">
        <f>IF(OR(R10="",T10=""),"",ABS(R10)+ABS(T10))</f>
        <v/>
      </c>
      <c r="Z10" s="21">
        <f>IF(OR(B10="",NOT(O10),R10=""),"",IF(ABS(R10)&gt;=MaterialThreshold,"Yes","No"))</f>
        <v/>
      </c>
      <c r="AA10" s="18">
        <f>IF(Z10&lt;&gt;"Yes","",IF(ABS(R10)&gt;=MaterialThreshold,IF(ABS(R10)&gt;=BroadShare,"Broad SKU movement","Store-concentrated movement"),""))</f>
        <v/>
      </c>
      <c r="AB10" s="18">
        <f>IF(O10,IF(COUNTIFS($O$5:O10,TRUE)&gt;0,COUNTIFS($O$5:O10,TRUE),0),0)</f>
        <v/>
      </c>
      <c r="AC10" s="18">
        <f>IF(V10="Markdown Review",1,IF(V10="Reorder Candidate",2,IF(V10="Monitor",3,IF(V10="Noise",4,IF(V10="Not Ready",5,99)))))</f>
        <v/>
      </c>
      <c r="AD10" s="18">
        <f>IF(O10,COUNTIFS($O$5:$O$504,TRUE,$AC$5:$AC$504,"&lt;"&amp;AC10)+COUNTIFS($O$5:O10,TRUE,$AC$5:AC10,AC10,$Y$5:Y10,"&gt;"&amp;Y10),0)</f>
        <v/>
      </c>
    </row>
    <row r="11">
      <c r="A11" s="17">
        <f>IF(COUNTA('Weekly Input'!A11:C11)=0,"",'Weekly Input'!B11&amp;"|"&amp;'Weekly Input'!C11&amp;"|"&amp;TEXT('Weekly Input'!A11,"yyyy-mm-dd"))</f>
        <v/>
      </c>
      <c r="B11" s="18">
        <f>'Weekly Input'!B11</f>
        <v/>
      </c>
      <c r="C11" s="18">
        <f>'Weekly Input'!C11</f>
        <v/>
      </c>
      <c r="D11" s="18">
        <f>IF(B11="","",IFERROR(INDEX('Master Data'!$B$6:$B$145,MATCH(B11,'Master Data'!$A$6:$A$145,0)),""))</f>
        <v/>
      </c>
      <c r="E11" s="18">
        <f>IF(C11="","",IFERROR(INDEX('Master Data'!$H$6:$H$13,MATCH(C11,'Master Data'!$F$6:$F$13,0)),""))</f>
        <v/>
      </c>
      <c r="F11" s="19">
        <f>'Weekly Input'!A11</f>
        <v/>
      </c>
      <c r="G11" s="19">
        <f>IF(B11="","",IFERROR(INDEX('Master Data'!$D$6:$D$145,MATCH(B11,'Master Data'!$A$6:$A$145,0)),""))</f>
        <v/>
      </c>
      <c r="H11" s="18">
        <f>IF(OR(F11="",G11=""),"",F11-G11)</f>
        <v/>
      </c>
      <c r="I11" s="18">
        <f>IF(B11="","",IF('Weekly Input'!J11="OK",TRUE,FALSE))</f>
        <v/>
      </c>
      <c r="J11" s="18">
        <f>IF(B11="","",'Weekly Input'!H11&gt;=MinInStockDays)</f>
        <v/>
      </c>
      <c r="K11" s="18">
        <f>IF(B11="","",H11&gt;=FullCycleMin)</f>
        <v/>
      </c>
      <c r="L11" s="18">
        <f>IF(B11="","",AND(I11,J11,K11,N11&gt;=MinHistory))</f>
        <v/>
      </c>
      <c r="M11" s="20">
        <f>IF(OR(B11="",'Weekly Input'!H11=0),"",'Weekly Input'!D11/'Weekly Input'!H11*7)</f>
        <v/>
      </c>
      <c r="N11" s="18">
        <f>IF(B11="","",COUNTIFS($B$5:$B$504,B11,$C$5:$C$504,C11,$I$5:$I$504,TRUE,$J$5:$J$504,TRUE,$K$5:$K$504,TRUE))</f>
        <v/>
      </c>
      <c r="O11" s="18">
        <f>IF(B11="","",AND(F11=AsOfWeek,AsOfWeek&lt;&gt;""))</f>
        <v/>
      </c>
      <c r="P11" s="20">
        <f>IF(OR(B11="",AsOfWeek=""),"",IFERROR(SUMIFS($M$5:$M$504,$B$5:$B$504,B11,$C$5:$C$504,C11,$L$5:$L$504,TRUE,$F$5:$F$504,"&gt;="&amp;AsOfWeek-7*(RecentWeeks-1),$F$5:$F$504,"&lt;="&amp;AsOfWeek),""))</f>
        <v/>
      </c>
      <c r="Q11" s="20">
        <f>IF(OR(B11="",AsOfWeek=""),"",IFERROR(SUMIFS($M$5:$M$504,$B$5:$B$504,B11,$C$5:$C$504,C11,$L$5:$L$504,TRUE,$F$5:$F$504,"&gt;="&amp;AsOfWeek-7*(RecentWeeks+PriorWeeks-1),$F$5:$F$504,"&lt;"&amp;AsOfWeek-7*(RecentWeeks-1)),""))</f>
        <v/>
      </c>
      <c r="R11" s="21">
        <f>IF(OR(P11="",Q11="",Q11=0),"",P11/Q11-1)</f>
        <v/>
      </c>
      <c r="S11" s="20">
        <f>IF(OR(C11="",AsOfWeek=""),"",IFERROR(AVERAGEIFS($M$5:$M$504,$C$5:$C$504,C11,$L$5:$L$504,TRUE,$F$5:$F$504,"&gt;="&amp;AsOfWeek-7*(RecentWeeks-1),$F$5:$F$504,"&lt;="&amp;AsOfWeek),""))</f>
        <v/>
      </c>
      <c r="T11" s="21">
        <f>IF(OR(P11="",S11=""),"",P11/S11-1)</f>
        <v/>
      </c>
      <c r="U11" s="22">
        <f>IF(OR(B11="",'Weekly Input'!G11="",P11="",P11=0),"",'Weekly Input'!G11/P11)</f>
        <v/>
      </c>
      <c r="V11" s="18">
        <f>IF(B11="","",IF(NOT(I11),"Not Ready",IF(NOT(K11),"Not Ready",IF(N11&lt;MinHistory,"Not Ready",IF(NOT(J11),"Not Ready",IF(OR(Q11="",Q11=0),"Noise",IF(Q11&lt;LowBaseThreshold,"Noise",IF(AND(R11&lt;=-OwnDecline,T11&lt;=-PeerGapThreshold),"Markdown Review",IF(AND(R11&gt;=ReorderUplift,U11&lt;&gt;"",U11&lt;=WeeksSupplyCap),"Reorder Candidate","Monitor"))))))))</f>
        <v/>
      </c>
      <c r="W11" s="18">
        <f>IF(B11="","",IF(NOT(I11),"INVALID_MASTER",IF(NOT(K11),"INCOMPLETE_SHELF_CYCLE",IF(N11&lt;MinHistory,"INSUFFICIENT_HISTORY",IF(NOT(J11),"INSUFFICIENT_IN_STOCK",IF(OR(Q11="",Q11=0),"NO_PRIOR_BASE",IF(Q11&lt;LowBaseThreshold,"LOW_BASE_NOISE",IF(V11="Markdown Review","MARKDOWN_PEER_GAP",IF(V11="Reorder Candidate","REORDER_UPLIFT_COVER","NO_MATERIAL_CHANGE"))))))))</f>
        <v/>
      </c>
      <c r="X11" s="18">
        <f>IF(V11="Markdown Review","Markdown support",IF(V11="Reorder Candidate","Second reorder",IF(V11="Monitor","Monitor",IF(V11="Noise","Hold / collect data",IF(V11="Not Ready","Not ready","")))))</f>
        <v/>
      </c>
      <c r="Y11" s="18">
        <f>IF(OR(R11="",T11=""),"",ABS(R11)+ABS(T11))</f>
        <v/>
      </c>
      <c r="Z11" s="21">
        <f>IF(OR(B11="",NOT(O11),R11=""),"",IF(ABS(R11)&gt;=MaterialThreshold,"Yes","No"))</f>
        <v/>
      </c>
      <c r="AA11" s="18">
        <f>IF(Z11&lt;&gt;"Yes","",IF(ABS(R11)&gt;=MaterialThreshold,IF(ABS(R11)&gt;=BroadShare,"Broad SKU movement","Store-concentrated movement"),""))</f>
        <v/>
      </c>
      <c r="AB11" s="18">
        <f>IF(O11,IF(COUNTIFS($O$5:O11,TRUE)&gt;0,COUNTIFS($O$5:O11,TRUE),0),0)</f>
        <v/>
      </c>
      <c r="AC11" s="18">
        <f>IF(V11="Markdown Review",1,IF(V11="Reorder Candidate",2,IF(V11="Monitor",3,IF(V11="Noise",4,IF(V11="Not Ready",5,99)))))</f>
        <v/>
      </c>
      <c r="AD11" s="18">
        <f>IF(O11,COUNTIFS($O$5:$O$504,TRUE,$AC$5:$AC$504,"&lt;"&amp;AC11)+COUNTIFS($O$5:O11,TRUE,$AC$5:AC11,AC11,$Y$5:Y11,"&gt;"&amp;Y11),0)</f>
        <v/>
      </c>
    </row>
    <row r="12">
      <c r="A12" s="17">
        <f>IF(COUNTA('Weekly Input'!A12:C12)=0,"",'Weekly Input'!B12&amp;"|"&amp;'Weekly Input'!C12&amp;"|"&amp;TEXT('Weekly Input'!A12,"yyyy-mm-dd"))</f>
        <v/>
      </c>
      <c r="B12" s="18">
        <f>'Weekly Input'!B12</f>
        <v/>
      </c>
      <c r="C12" s="18">
        <f>'Weekly Input'!C12</f>
        <v/>
      </c>
      <c r="D12" s="18">
        <f>IF(B12="","",IFERROR(INDEX('Master Data'!$B$6:$B$145,MATCH(B12,'Master Data'!$A$6:$A$145,0)),""))</f>
        <v/>
      </c>
      <c r="E12" s="18">
        <f>IF(C12="","",IFERROR(INDEX('Master Data'!$H$6:$H$13,MATCH(C12,'Master Data'!$F$6:$F$13,0)),""))</f>
        <v/>
      </c>
      <c r="F12" s="19">
        <f>'Weekly Input'!A12</f>
        <v/>
      </c>
      <c r="G12" s="19">
        <f>IF(B12="","",IFERROR(INDEX('Master Data'!$D$6:$D$145,MATCH(B12,'Master Data'!$A$6:$A$145,0)),""))</f>
        <v/>
      </c>
      <c r="H12" s="18">
        <f>IF(OR(F12="",G12=""),"",F12-G12)</f>
        <v/>
      </c>
      <c r="I12" s="18">
        <f>IF(B12="","",IF('Weekly Input'!J12="OK",TRUE,FALSE))</f>
        <v/>
      </c>
      <c r="J12" s="18">
        <f>IF(B12="","",'Weekly Input'!H12&gt;=MinInStockDays)</f>
        <v/>
      </c>
      <c r="K12" s="18">
        <f>IF(B12="","",H12&gt;=FullCycleMin)</f>
        <v/>
      </c>
      <c r="L12" s="18">
        <f>IF(B12="","",AND(I12,J12,K12,N12&gt;=MinHistory))</f>
        <v/>
      </c>
      <c r="M12" s="20">
        <f>IF(OR(B12="",'Weekly Input'!H12=0),"",'Weekly Input'!D12/'Weekly Input'!H12*7)</f>
        <v/>
      </c>
      <c r="N12" s="18">
        <f>IF(B12="","",COUNTIFS($B$5:$B$504,B12,$C$5:$C$504,C12,$I$5:$I$504,TRUE,$J$5:$J$504,TRUE,$K$5:$K$504,TRUE))</f>
        <v/>
      </c>
      <c r="O12" s="18">
        <f>IF(B12="","",AND(F12=AsOfWeek,AsOfWeek&lt;&gt;""))</f>
        <v/>
      </c>
      <c r="P12" s="20">
        <f>IF(OR(B12="",AsOfWeek=""),"",IFERROR(SUMIFS($M$5:$M$504,$B$5:$B$504,B12,$C$5:$C$504,C12,$L$5:$L$504,TRUE,$F$5:$F$504,"&gt;="&amp;AsOfWeek-7*(RecentWeeks-1),$F$5:$F$504,"&lt;="&amp;AsOfWeek),""))</f>
        <v/>
      </c>
      <c r="Q12" s="20">
        <f>IF(OR(B12="",AsOfWeek=""),"",IFERROR(SUMIFS($M$5:$M$504,$B$5:$B$504,B12,$C$5:$C$504,C12,$L$5:$L$504,TRUE,$F$5:$F$504,"&gt;="&amp;AsOfWeek-7*(RecentWeeks+PriorWeeks-1),$F$5:$F$504,"&lt;"&amp;AsOfWeek-7*(RecentWeeks-1)),""))</f>
        <v/>
      </c>
      <c r="R12" s="21">
        <f>IF(OR(P12="",Q12="",Q12=0),"",P12/Q12-1)</f>
        <v/>
      </c>
      <c r="S12" s="20">
        <f>IF(OR(C12="",AsOfWeek=""),"",IFERROR(AVERAGEIFS($M$5:$M$504,$C$5:$C$504,C12,$L$5:$L$504,TRUE,$F$5:$F$504,"&gt;="&amp;AsOfWeek-7*(RecentWeeks-1),$F$5:$F$504,"&lt;="&amp;AsOfWeek),""))</f>
        <v/>
      </c>
      <c r="T12" s="21">
        <f>IF(OR(P12="",S12=""),"",P12/S12-1)</f>
        <v/>
      </c>
      <c r="U12" s="22">
        <f>IF(OR(B12="",'Weekly Input'!G12="",P12="",P12=0),"",'Weekly Input'!G12/P12)</f>
        <v/>
      </c>
      <c r="V12" s="18">
        <f>IF(B12="","",IF(NOT(I12),"Not Ready",IF(NOT(K12),"Not Ready",IF(N12&lt;MinHistory,"Not Ready",IF(NOT(J12),"Not Ready",IF(OR(Q12="",Q12=0),"Noise",IF(Q12&lt;LowBaseThreshold,"Noise",IF(AND(R12&lt;=-OwnDecline,T12&lt;=-PeerGapThreshold),"Markdown Review",IF(AND(R12&gt;=ReorderUplift,U12&lt;&gt;"",U12&lt;=WeeksSupplyCap),"Reorder Candidate","Monitor"))))))))</f>
        <v/>
      </c>
      <c r="W12" s="18">
        <f>IF(B12="","",IF(NOT(I12),"INVALID_MASTER",IF(NOT(K12),"INCOMPLETE_SHELF_CYCLE",IF(N12&lt;MinHistory,"INSUFFICIENT_HISTORY",IF(NOT(J12),"INSUFFICIENT_IN_STOCK",IF(OR(Q12="",Q12=0),"NO_PRIOR_BASE",IF(Q12&lt;LowBaseThreshold,"LOW_BASE_NOISE",IF(V12="Markdown Review","MARKDOWN_PEER_GAP",IF(V12="Reorder Candidate","REORDER_UPLIFT_COVER","NO_MATERIAL_CHANGE"))))))))</f>
        <v/>
      </c>
      <c r="X12" s="18">
        <f>IF(V12="Markdown Review","Markdown support",IF(V12="Reorder Candidate","Second reorder",IF(V12="Monitor","Monitor",IF(V12="Noise","Hold / collect data",IF(V12="Not Ready","Not ready","")))))</f>
        <v/>
      </c>
      <c r="Y12" s="18">
        <f>IF(OR(R12="",T12=""),"",ABS(R12)+ABS(T12))</f>
        <v/>
      </c>
      <c r="Z12" s="21">
        <f>IF(OR(B12="",NOT(O12),R12=""),"",IF(ABS(R12)&gt;=MaterialThreshold,"Yes","No"))</f>
        <v/>
      </c>
      <c r="AA12" s="18">
        <f>IF(Z12&lt;&gt;"Yes","",IF(ABS(R12)&gt;=MaterialThreshold,IF(ABS(R12)&gt;=BroadShare,"Broad SKU movement","Store-concentrated movement"),""))</f>
        <v/>
      </c>
      <c r="AB12" s="18">
        <f>IF(O12,IF(COUNTIFS($O$5:O12,TRUE)&gt;0,COUNTIFS($O$5:O12,TRUE),0),0)</f>
        <v/>
      </c>
      <c r="AC12" s="18">
        <f>IF(V12="Markdown Review",1,IF(V12="Reorder Candidate",2,IF(V12="Monitor",3,IF(V12="Noise",4,IF(V12="Not Ready",5,99)))))</f>
        <v/>
      </c>
      <c r="AD12" s="18">
        <f>IF(O12,COUNTIFS($O$5:$O$504,TRUE,$AC$5:$AC$504,"&lt;"&amp;AC12)+COUNTIFS($O$5:O12,TRUE,$AC$5:AC12,AC12,$Y$5:Y12,"&gt;"&amp;Y12),0)</f>
        <v/>
      </c>
    </row>
    <row r="13">
      <c r="A13" s="17">
        <f>IF(COUNTA('Weekly Input'!A13:C13)=0,"",'Weekly Input'!B13&amp;"|"&amp;'Weekly Input'!C13&amp;"|"&amp;TEXT('Weekly Input'!A13,"yyyy-mm-dd"))</f>
        <v/>
      </c>
      <c r="B13" s="18">
        <f>'Weekly Input'!B13</f>
        <v/>
      </c>
      <c r="C13" s="18">
        <f>'Weekly Input'!C13</f>
        <v/>
      </c>
      <c r="D13" s="18">
        <f>IF(B13="","",IFERROR(INDEX('Master Data'!$B$6:$B$145,MATCH(B13,'Master Data'!$A$6:$A$145,0)),""))</f>
        <v/>
      </c>
      <c r="E13" s="18">
        <f>IF(C13="","",IFERROR(INDEX('Master Data'!$H$6:$H$13,MATCH(C13,'Master Data'!$F$6:$F$13,0)),""))</f>
        <v/>
      </c>
      <c r="F13" s="19">
        <f>'Weekly Input'!A13</f>
        <v/>
      </c>
      <c r="G13" s="19">
        <f>IF(B13="","",IFERROR(INDEX('Master Data'!$D$6:$D$145,MATCH(B13,'Master Data'!$A$6:$A$145,0)),""))</f>
        <v/>
      </c>
      <c r="H13" s="18">
        <f>IF(OR(F13="",G13=""),"",F13-G13)</f>
        <v/>
      </c>
      <c r="I13" s="18">
        <f>IF(B13="","",IF('Weekly Input'!J13="OK",TRUE,FALSE))</f>
        <v/>
      </c>
      <c r="J13" s="18">
        <f>IF(B13="","",'Weekly Input'!H13&gt;=MinInStockDays)</f>
        <v/>
      </c>
      <c r="K13" s="18">
        <f>IF(B13="","",H13&gt;=FullCycleMin)</f>
        <v/>
      </c>
      <c r="L13" s="18">
        <f>IF(B13="","",AND(I13,J13,K13,N13&gt;=MinHistory))</f>
        <v/>
      </c>
      <c r="M13" s="20">
        <f>IF(OR(B13="",'Weekly Input'!H13=0),"",'Weekly Input'!D13/'Weekly Input'!H13*7)</f>
        <v/>
      </c>
      <c r="N13" s="18">
        <f>IF(B13="","",COUNTIFS($B$5:$B$504,B13,$C$5:$C$504,C13,$I$5:$I$504,TRUE,$J$5:$J$504,TRUE,$K$5:$K$504,TRUE))</f>
        <v/>
      </c>
      <c r="O13" s="18">
        <f>IF(B13="","",AND(F13=AsOfWeek,AsOfWeek&lt;&gt;""))</f>
        <v/>
      </c>
      <c r="P13" s="20">
        <f>IF(OR(B13="",AsOfWeek=""),"",IFERROR(SUMIFS($M$5:$M$504,$B$5:$B$504,B13,$C$5:$C$504,C13,$L$5:$L$504,TRUE,$F$5:$F$504,"&gt;="&amp;AsOfWeek-7*(RecentWeeks-1),$F$5:$F$504,"&lt;="&amp;AsOfWeek),""))</f>
        <v/>
      </c>
      <c r="Q13" s="20">
        <f>IF(OR(B13="",AsOfWeek=""),"",IFERROR(SUMIFS($M$5:$M$504,$B$5:$B$504,B13,$C$5:$C$504,C13,$L$5:$L$504,TRUE,$F$5:$F$504,"&gt;="&amp;AsOfWeek-7*(RecentWeeks+PriorWeeks-1),$F$5:$F$504,"&lt;"&amp;AsOfWeek-7*(RecentWeeks-1)),""))</f>
        <v/>
      </c>
      <c r="R13" s="21">
        <f>IF(OR(P13="",Q13="",Q13=0),"",P13/Q13-1)</f>
        <v/>
      </c>
      <c r="S13" s="20">
        <f>IF(OR(C13="",AsOfWeek=""),"",IFERROR(AVERAGEIFS($M$5:$M$504,$C$5:$C$504,C13,$L$5:$L$504,TRUE,$F$5:$F$504,"&gt;="&amp;AsOfWeek-7*(RecentWeeks-1),$F$5:$F$504,"&lt;="&amp;AsOfWeek),""))</f>
        <v/>
      </c>
      <c r="T13" s="21">
        <f>IF(OR(P13="",S13=""),"",P13/S13-1)</f>
        <v/>
      </c>
      <c r="U13" s="22">
        <f>IF(OR(B13="",'Weekly Input'!G13="",P13="",P13=0),"",'Weekly Input'!G13/P13)</f>
        <v/>
      </c>
      <c r="V13" s="18">
        <f>IF(B13="","",IF(NOT(I13),"Not Ready",IF(NOT(K13),"Not Ready",IF(N13&lt;MinHistory,"Not Ready",IF(NOT(J13),"Not Ready",IF(OR(Q13="",Q13=0),"Noise",IF(Q13&lt;LowBaseThreshold,"Noise",IF(AND(R13&lt;=-OwnDecline,T13&lt;=-PeerGapThreshold),"Markdown Review",IF(AND(R13&gt;=ReorderUplift,U13&lt;&gt;"",U13&lt;=WeeksSupplyCap),"Reorder Candidate","Monitor"))))))))</f>
        <v/>
      </c>
      <c r="W13" s="18">
        <f>IF(B13="","",IF(NOT(I13),"INVALID_MASTER",IF(NOT(K13),"INCOMPLETE_SHELF_CYCLE",IF(N13&lt;MinHistory,"INSUFFICIENT_HISTORY",IF(NOT(J13),"INSUFFICIENT_IN_STOCK",IF(OR(Q13="",Q13=0),"NO_PRIOR_BASE",IF(Q13&lt;LowBaseThreshold,"LOW_BASE_NOISE",IF(V13="Markdown Review","MARKDOWN_PEER_GAP",IF(V13="Reorder Candidate","REORDER_UPLIFT_COVER","NO_MATERIAL_CHANGE"))))))))</f>
        <v/>
      </c>
      <c r="X13" s="18">
        <f>IF(V13="Markdown Review","Markdown support",IF(V13="Reorder Candidate","Second reorder",IF(V13="Monitor","Monitor",IF(V13="Noise","Hold / collect data",IF(V13="Not Ready","Not ready","")))))</f>
        <v/>
      </c>
      <c r="Y13" s="18">
        <f>IF(OR(R13="",T13=""),"",ABS(R13)+ABS(T13))</f>
        <v/>
      </c>
      <c r="Z13" s="21">
        <f>IF(OR(B13="",NOT(O13),R13=""),"",IF(ABS(R13)&gt;=MaterialThreshold,"Yes","No"))</f>
        <v/>
      </c>
      <c r="AA13" s="18">
        <f>IF(Z13&lt;&gt;"Yes","",IF(ABS(R13)&gt;=MaterialThreshold,IF(ABS(R13)&gt;=BroadShare,"Broad SKU movement","Store-concentrated movement"),""))</f>
        <v/>
      </c>
      <c r="AB13" s="18">
        <f>IF(O13,IF(COUNTIFS($O$5:O13,TRUE)&gt;0,COUNTIFS($O$5:O13,TRUE),0),0)</f>
        <v/>
      </c>
      <c r="AC13" s="18">
        <f>IF(V13="Markdown Review",1,IF(V13="Reorder Candidate",2,IF(V13="Monitor",3,IF(V13="Noise",4,IF(V13="Not Ready",5,99)))))</f>
        <v/>
      </c>
      <c r="AD13" s="18">
        <f>IF(O13,COUNTIFS($O$5:$O$504,TRUE,$AC$5:$AC$504,"&lt;"&amp;AC13)+COUNTIFS($O$5:O13,TRUE,$AC$5:AC13,AC13,$Y$5:Y13,"&gt;"&amp;Y13),0)</f>
        <v/>
      </c>
    </row>
    <row r="14">
      <c r="A14" s="17">
        <f>IF(COUNTA('Weekly Input'!A14:C14)=0,"",'Weekly Input'!B14&amp;"|"&amp;'Weekly Input'!C14&amp;"|"&amp;TEXT('Weekly Input'!A14,"yyyy-mm-dd"))</f>
        <v/>
      </c>
      <c r="B14" s="18">
        <f>'Weekly Input'!B14</f>
        <v/>
      </c>
      <c r="C14" s="18">
        <f>'Weekly Input'!C14</f>
        <v/>
      </c>
      <c r="D14" s="18">
        <f>IF(B14="","",IFERROR(INDEX('Master Data'!$B$6:$B$145,MATCH(B14,'Master Data'!$A$6:$A$145,0)),""))</f>
        <v/>
      </c>
      <c r="E14" s="18">
        <f>IF(C14="","",IFERROR(INDEX('Master Data'!$H$6:$H$13,MATCH(C14,'Master Data'!$F$6:$F$13,0)),""))</f>
        <v/>
      </c>
      <c r="F14" s="19">
        <f>'Weekly Input'!A14</f>
        <v/>
      </c>
      <c r="G14" s="19">
        <f>IF(B14="","",IFERROR(INDEX('Master Data'!$D$6:$D$145,MATCH(B14,'Master Data'!$A$6:$A$145,0)),""))</f>
        <v/>
      </c>
      <c r="H14" s="18">
        <f>IF(OR(F14="",G14=""),"",F14-G14)</f>
        <v/>
      </c>
      <c r="I14" s="18">
        <f>IF(B14="","",IF('Weekly Input'!J14="OK",TRUE,FALSE))</f>
        <v/>
      </c>
      <c r="J14" s="18">
        <f>IF(B14="","",'Weekly Input'!H14&gt;=MinInStockDays)</f>
        <v/>
      </c>
      <c r="K14" s="18">
        <f>IF(B14="","",H14&gt;=FullCycleMin)</f>
        <v/>
      </c>
      <c r="L14" s="18">
        <f>IF(B14="","",AND(I14,J14,K14,N14&gt;=MinHistory))</f>
        <v/>
      </c>
      <c r="M14" s="20">
        <f>IF(OR(B14="",'Weekly Input'!H14=0),"",'Weekly Input'!D14/'Weekly Input'!H14*7)</f>
        <v/>
      </c>
      <c r="N14" s="18">
        <f>IF(B14="","",COUNTIFS($B$5:$B$504,B14,$C$5:$C$504,C14,$I$5:$I$504,TRUE,$J$5:$J$504,TRUE,$K$5:$K$504,TRUE))</f>
        <v/>
      </c>
      <c r="O14" s="18">
        <f>IF(B14="","",AND(F14=AsOfWeek,AsOfWeek&lt;&gt;""))</f>
        <v/>
      </c>
      <c r="P14" s="20">
        <f>IF(OR(B14="",AsOfWeek=""),"",IFERROR(SUMIFS($M$5:$M$504,$B$5:$B$504,B14,$C$5:$C$504,C14,$L$5:$L$504,TRUE,$F$5:$F$504,"&gt;="&amp;AsOfWeek-7*(RecentWeeks-1),$F$5:$F$504,"&lt;="&amp;AsOfWeek),""))</f>
        <v/>
      </c>
      <c r="Q14" s="20">
        <f>IF(OR(B14="",AsOfWeek=""),"",IFERROR(SUMIFS($M$5:$M$504,$B$5:$B$504,B14,$C$5:$C$504,C14,$L$5:$L$504,TRUE,$F$5:$F$504,"&gt;="&amp;AsOfWeek-7*(RecentWeeks+PriorWeeks-1),$F$5:$F$504,"&lt;"&amp;AsOfWeek-7*(RecentWeeks-1)),""))</f>
        <v/>
      </c>
      <c r="R14" s="21">
        <f>IF(OR(P14="",Q14="",Q14=0),"",P14/Q14-1)</f>
        <v/>
      </c>
      <c r="S14" s="20">
        <f>IF(OR(C14="",AsOfWeek=""),"",IFERROR(AVERAGEIFS($M$5:$M$504,$C$5:$C$504,C14,$L$5:$L$504,TRUE,$F$5:$F$504,"&gt;="&amp;AsOfWeek-7*(RecentWeeks-1),$F$5:$F$504,"&lt;="&amp;AsOfWeek),""))</f>
        <v/>
      </c>
      <c r="T14" s="21">
        <f>IF(OR(P14="",S14=""),"",P14/S14-1)</f>
        <v/>
      </c>
      <c r="U14" s="22">
        <f>IF(OR(B14="",'Weekly Input'!G14="",P14="",P14=0),"",'Weekly Input'!G14/P14)</f>
        <v/>
      </c>
      <c r="V14" s="18">
        <f>IF(B14="","",IF(NOT(I14),"Not Ready",IF(NOT(K14),"Not Ready",IF(N14&lt;MinHistory,"Not Ready",IF(NOT(J14),"Not Ready",IF(OR(Q14="",Q14=0),"Noise",IF(Q14&lt;LowBaseThreshold,"Noise",IF(AND(R14&lt;=-OwnDecline,T14&lt;=-PeerGapThreshold),"Markdown Review",IF(AND(R14&gt;=ReorderUplift,U14&lt;&gt;"",U14&lt;=WeeksSupplyCap),"Reorder Candidate","Monitor"))))))))</f>
        <v/>
      </c>
      <c r="W14" s="18">
        <f>IF(B14="","",IF(NOT(I14),"INVALID_MASTER",IF(NOT(K14),"INCOMPLETE_SHELF_CYCLE",IF(N14&lt;MinHistory,"INSUFFICIENT_HISTORY",IF(NOT(J14),"INSUFFICIENT_IN_STOCK",IF(OR(Q14="",Q14=0),"NO_PRIOR_BASE",IF(Q14&lt;LowBaseThreshold,"LOW_BASE_NOISE",IF(V14="Markdown Review","MARKDOWN_PEER_GAP",IF(V14="Reorder Candidate","REORDER_UPLIFT_COVER","NO_MATERIAL_CHANGE"))))))))</f>
        <v/>
      </c>
      <c r="X14" s="18">
        <f>IF(V14="Markdown Review","Markdown support",IF(V14="Reorder Candidate","Second reorder",IF(V14="Monitor","Monitor",IF(V14="Noise","Hold / collect data",IF(V14="Not Ready","Not ready","")))))</f>
        <v/>
      </c>
      <c r="Y14" s="18">
        <f>IF(OR(R14="",T14=""),"",ABS(R14)+ABS(T14))</f>
        <v/>
      </c>
      <c r="Z14" s="21">
        <f>IF(OR(B14="",NOT(O14),R14=""),"",IF(ABS(R14)&gt;=MaterialThreshold,"Yes","No"))</f>
        <v/>
      </c>
      <c r="AA14" s="18">
        <f>IF(Z14&lt;&gt;"Yes","",IF(ABS(R14)&gt;=MaterialThreshold,IF(ABS(R14)&gt;=BroadShare,"Broad SKU movement","Store-concentrated movement"),""))</f>
        <v/>
      </c>
      <c r="AB14" s="18">
        <f>IF(O14,IF(COUNTIFS($O$5:O14,TRUE)&gt;0,COUNTIFS($O$5:O14,TRUE),0),0)</f>
        <v/>
      </c>
      <c r="AC14" s="18">
        <f>IF(V14="Markdown Review",1,IF(V14="Reorder Candidate",2,IF(V14="Monitor",3,IF(V14="Noise",4,IF(V14="Not Ready",5,99)))))</f>
        <v/>
      </c>
      <c r="AD14" s="18">
        <f>IF(O14,COUNTIFS($O$5:$O$504,TRUE,$AC$5:$AC$504,"&lt;"&amp;AC14)+COUNTIFS($O$5:O14,TRUE,$AC$5:AC14,AC14,$Y$5:Y14,"&gt;"&amp;Y14),0)</f>
        <v/>
      </c>
    </row>
    <row r="15">
      <c r="A15" s="17">
        <f>IF(COUNTA('Weekly Input'!A15:C15)=0,"",'Weekly Input'!B15&amp;"|"&amp;'Weekly Input'!C15&amp;"|"&amp;TEXT('Weekly Input'!A15,"yyyy-mm-dd"))</f>
        <v/>
      </c>
      <c r="B15" s="18">
        <f>'Weekly Input'!B15</f>
        <v/>
      </c>
      <c r="C15" s="18">
        <f>'Weekly Input'!C15</f>
        <v/>
      </c>
      <c r="D15" s="18">
        <f>IF(B15="","",IFERROR(INDEX('Master Data'!$B$6:$B$145,MATCH(B15,'Master Data'!$A$6:$A$145,0)),""))</f>
        <v/>
      </c>
      <c r="E15" s="18">
        <f>IF(C15="","",IFERROR(INDEX('Master Data'!$H$6:$H$13,MATCH(C15,'Master Data'!$F$6:$F$13,0)),""))</f>
        <v/>
      </c>
      <c r="F15" s="19">
        <f>'Weekly Input'!A15</f>
        <v/>
      </c>
      <c r="G15" s="19">
        <f>IF(B15="","",IFERROR(INDEX('Master Data'!$D$6:$D$145,MATCH(B15,'Master Data'!$A$6:$A$145,0)),""))</f>
        <v/>
      </c>
      <c r="H15" s="18">
        <f>IF(OR(F15="",G15=""),"",F15-G15)</f>
        <v/>
      </c>
      <c r="I15" s="18">
        <f>IF(B15="","",IF('Weekly Input'!J15="OK",TRUE,FALSE))</f>
        <v/>
      </c>
      <c r="J15" s="18">
        <f>IF(B15="","",'Weekly Input'!H15&gt;=MinInStockDays)</f>
        <v/>
      </c>
      <c r="K15" s="18">
        <f>IF(B15="","",H15&gt;=FullCycleMin)</f>
        <v/>
      </c>
      <c r="L15" s="18">
        <f>IF(B15="","",AND(I15,J15,K15,N15&gt;=MinHistory))</f>
        <v/>
      </c>
      <c r="M15" s="20">
        <f>IF(OR(B15="",'Weekly Input'!H15=0),"",'Weekly Input'!D15/'Weekly Input'!H15*7)</f>
        <v/>
      </c>
      <c r="N15" s="18">
        <f>IF(B15="","",COUNTIFS($B$5:$B$504,B15,$C$5:$C$504,C15,$I$5:$I$504,TRUE,$J$5:$J$504,TRUE,$K$5:$K$504,TRUE))</f>
        <v/>
      </c>
      <c r="O15" s="18">
        <f>IF(B15="","",AND(F15=AsOfWeek,AsOfWeek&lt;&gt;""))</f>
        <v/>
      </c>
      <c r="P15" s="20">
        <f>IF(OR(B15="",AsOfWeek=""),"",IFERROR(SUMIFS($M$5:$M$504,$B$5:$B$504,B15,$C$5:$C$504,C15,$L$5:$L$504,TRUE,$F$5:$F$504,"&gt;="&amp;AsOfWeek-7*(RecentWeeks-1),$F$5:$F$504,"&lt;="&amp;AsOfWeek),""))</f>
        <v/>
      </c>
      <c r="Q15" s="20">
        <f>IF(OR(B15="",AsOfWeek=""),"",IFERROR(SUMIFS($M$5:$M$504,$B$5:$B$504,B15,$C$5:$C$504,C15,$L$5:$L$504,TRUE,$F$5:$F$504,"&gt;="&amp;AsOfWeek-7*(RecentWeeks+PriorWeeks-1),$F$5:$F$504,"&lt;"&amp;AsOfWeek-7*(RecentWeeks-1)),""))</f>
        <v/>
      </c>
      <c r="R15" s="21">
        <f>IF(OR(P15="",Q15="",Q15=0),"",P15/Q15-1)</f>
        <v/>
      </c>
      <c r="S15" s="20">
        <f>IF(OR(C15="",AsOfWeek=""),"",IFERROR(AVERAGEIFS($M$5:$M$504,$C$5:$C$504,C15,$L$5:$L$504,TRUE,$F$5:$F$504,"&gt;="&amp;AsOfWeek-7*(RecentWeeks-1),$F$5:$F$504,"&lt;="&amp;AsOfWeek),""))</f>
        <v/>
      </c>
      <c r="T15" s="21">
        <f>IF(OR(P15="",S15=""),"",P15/S15-1)</f>
        <v/>
      </c>
      <c r="U15" s="22">
        <f>IF(OR(B15="",'Weekly Input'!G15="",P15="",P15=0),"",'Weekly Input'!G15/P15)</f>
        <v/>
      </c>
      <c r="V15" s="18">
        <f>IF(B15="","",IF(NOT(I15),"Not Ready",IF(NOT(K15),"Not Ready",IF(N15&lt;MinHistory,"Not Ready",IF(NOT(J15),"Not Ready",IF(OR(Q15="",Q15=0),"Noise",IF(Q15&lt;LowBaseThreshold,"Noise",IF(AND(R15&lt;=-OwnDecline,T15&lt;=-PeerGapThreshold),"Markdown Review",IF(AND(R15&gt;=ReorderUplift,U15&lt;&gt;"",U15&lt;=WeeksSupplyCap),"Reorder Candidate","Monitor"))))))))</f>
        <v/>
      </c>
      <c r="W15" s="18">
        <f>IF(B15="","",IF(NOT(I15),"INVALID_MASTER",IF(NOT(K15),"INCOMPLETE_SHELF_CYCLE",IF(N15&lt;MinHistory,"INSUFFICIENT_HISTORY",IF(NOT(J15),"INSUFFICIENT_IN_STOCK",IF(OR(Q15="",Q15=0),"NO_PRIOR_BASE",IF(Q15&lt;LowBaseThreshold,"LOW_BASE_NOISE",IF(V15="Markdown Review","MARKDOWN_PEER_GAP",IF(V15="Reorder Candidate","REORDER_UPLIFT_COVER","NO_MATERIAL_CHANGE"))))))))</f>
        <v/>
      </c>
      <c r="X15" s="18">
        <f>IF(V15="Markdown Review","Markdown support",IF(V15="Reorder Candidate","Second reorder",IF(V15="Monitor","Monitor",IF(V15="Noise","Hold / collect data",IF(V15="Not Ready","Not ready","")))))</f>
        <v/>
      </c>
      <c r="Y15" s="18">
        <f>IF(OR(R15="",T15=""),"",ABS(R15)+ABS(T15))</f>
        <v/>
      </c>
      <c r="Z15" s="21">
        <f>IF(OR(B15="",NOT(O15),R15=""),"",IF(ABS(R15)&gt;=MaterialThreshold,"Yes","No"))</f>
        <v/>
      </c>
      <c r="AA15" s="18">
        <f>IF(Z15&lt;&gt;"Yes","",IF(ABS(R15)&gt;=MaterialThreshold,IF(ABS(R15)&gt;=BroadShare,"Broad SKU movement","Store-concentrated movement"),""))</f>
        <v/>
      </c>
      <c r="AB15" s="18">
        <f>IF(O15,IF(COUNTIFS($O$5:O15,TRUE)&gt;0,COUNTIFS($O$5:O15,TRUE),0),0)</f>
        <v/>
      </c>
      <c r="AC15" s="18">
        <f>IF(V15="Markdown Review",1,IF(V15="Reorder Candidate",2,IF(V15="Monitor",3,IF(V15="Noise",4,IF(V15="Not Ready",5,99)))))</f>
        <v/>
      </c>
      <c r="AD15" s="18">
        <f>IF(O15,COUNTIFS($O$5:$O$504,TRUE,$AC$5:$AC$504,"&lt;"&amp;AC15)+COUNTIFS($O$5:O15,TRUE,$AC$5:AC15,AC15,$Y$5:Y15,"&gt;"&amp;Y15),0)</f>
        <v/>
      </c>
    </row>
    <row r="16">
      <c r="A16" s="17">
        <f>IF(COUNTA('Weekly Input'!A16:C16)=0,"",'Weekly Input'!B16&amp;"|"&amp;'Weekly Input'!C16&amp;"|"&amp;TEXT('Weekly Input'!A16,"yyyy-mm-dd"))</f>
        <v/>
      </c>
      <c r="B16" s="18">
        <f>'Weekly Input'!B16</f>
        <v/>
      </c>
      <c r="C16" s="18">
        <f>'Weekly Input'!C16</f>
        <v/>
      </c>
      <c r="D16" s="18">
        <f>IF(B16="","",IFERROR(INDEX('Master Data'!$B$6:$B$145,MATCH(B16,'Master Data'!$A$6:$A$145,0)),""))</f>
        <v/>
      </c>
      <c r="E16" s="18">
        <f>IF(C16="","",IFERROR(INDEX('Master Data'!$H$6:$H$13,MATCH(C16,'Master Data'!$F$6:$F$13,0)),""))</f>
        <v/>
      </c>
      <c r="F16" s="19">
        <f>'Weekly Input'!A16</f>
        <v/>
      </c>
      <c r="G16" s="19">
        <f>IF(B16="","",IFERROR(INDEX('Master Data'!$D$6:$D$145,MATCH(B16,'Master Data'!$A$6:$A$145,0)),""))</f>
        <v/>
      </c>
      <c r="H16" s="18">
        <f>IF(OR(F16="",G16=""),"",F16-G16)</f>
        <v/>
      </c>
      <c r="I16" s="18">
        <f>IF(B16="","",IF('Weekly Input'!J16="OK",TRUE,FALSE))</f>
        <v/>
      </c>
      <c r="J16" s="18">
        <f>IF(B16="","",'Weekly Input'!H16&gt;=MinInStockDays)</f>
        <v/>
      </c>
      <c r="K16" s="18">
        <f>IF(B16="","",H16&gt;=FullCycleMin)</f>
        <v/>
      </c>
      <c r="L16" s="18">
        <f>IF(B16="","",AND(I16,J16,K16,N16&gt;=MinHistory))</f>
        <v/>
      </c>
      <c r="M16" s="20">
        <f>IF(OR(B16="",'Weekly Input'!H16=0),"",'Weekly Input'!D16/'Weekly Input'!H16*7)</f>
        <v/>
      </c>
      <c r="N16" s="18">
        <f>IF(B16="","",COUNTIFS($B$5:$B$504,B16,$C$5:$C$504,C16,$I$5:$I$504,TRUE,$J$5:$J$504,TRUE,$K$5:$K$504,TRUE))</f>
        <v/>
      </c>
      <c r="O16" s="18">
        <f>IF(B16="","",AND(F16=AsOfWeek,AsOfWeek&lt;&gt;""))</f>
        <v/>
      </c>
      <c r="P16" s="20">
        <f>IF(OR(B16="",AsOfWeek=""),"",IFERROR(SUMIFS($M$5:$M$504,$B$5:$B$504,B16,$C$5:$C$504,C16,$L$5:$L$504,TRUE,$F$5:$F$504,"&gt;="&amp;AsOfWeek-7*(RecentWeeks-1),$F$5:$F$504,"&lt;="&amp;AsOfWeek),""))</f>
        <v/>
      </c>
      <c r="Q16" s="20">
        <f>IF(OR(B16="",AsOfWeek=""),"",IFERROR(SUMIFS($M$5:$M$504,$B$5:$B$504,B16,$C$5:$C$504,C16,$L$5:$L$504,TRUE,$F$5:$F$504,"&gt;="&amp;AsOfWeek-7*(RecentWeeks+PriorWeeks-1),$F$5:$F$504,"&lt;"&amp;AsOfWeek-7*(RecentWeeks-1)),""))</f>
        <v/>
      </c>
      <c r="R16" s="21">
        <f>IF(OR(P16="",Q16="",Q16=0),"",P16/Q16-1)</f>
        <v/>
      </c>
      <c r="S16" s="20">
        <f>IF(OR(C16="",AsOfWeek=""),"",IFERROR(AVERAGEIFS($M$5:$M$504,$C$5:$C$504,C16,$L$5:$L$504,TRUE,$F$5:$F$504,"&gt;="&amp;AsOfWeek-7*(RecentWeeks-1),$F$5:$F$504,"&lt;="&amp;AsOfWeek),""))</f>
        <v/>
      </c>
      <c r="T16" s="21">
        <f>IF(OR(P16="",S16=""),"",P16/S16-1)</f>
        <v/>
      </c>
      <c r="U16" s="22">
        <f>IF(OR(B16="",'Weekly Input'!G16="",P16="",P16=0),"",'Weekly Input'!G16/P16)</f>
        <v/>
      </c>
      <c r="V16" s="18">
        <f>IF(B16="","",IF(NOT(I16),"Not Ready",IF(NOT(K16),"Not Ready",IF(N16&lt;MinHistory,"Not Ready",IF(NOT(J16),"Not Ready",IF(OR(Q16="",Q16=0),"Noise",IF(Q16&lt;LowBaseThreshold,"Noise",IF(AND(R16&lt;=-OwnDecline,T16&lt;=-PeerGapThreshold),"Markdown Review",IF(AND(R16&gt;=ReorderUplift,U16&lt;&gt;"",U16&lt;=WeeksSupplyCap),"Reorder Candidate","Monitor"))))))))</f>
        <v/>
      </c>
      <c r="W16" s="18">
        <f>IF(B16="","",IF(NOT(I16),"INVALID_MASTER",IF(NOT(K16),"INCOMPLETE_SHELF_CYCLE",IF(N16&lt;MinHistory,"INSUFFICIENT_HISTORY",IF(NOT(J16),"INSUFFICIENT_IN_STOCK",IF(OR(Q16="",Q16=0),"NO_PRIOR_BASE",IF(Q16&lt;LowBaseThreshold,"LOW_BASE_NOISE",IF(V16="Markdown Review","MARKDOWN_PEER_GAP",IF(V16="Reorder Candidate","REORDER_UPLIFT_COVER","NO_MATERIAL_CHANGE"))))))))</f>
        <v/>
      </c>
      <c r="X16" s="18">
        <f>IF(V16="Markdown Review","Markdown support",IF(V16="Reorder Candidate","Second reorder",IF(V16="Monitor","Monitor",IF(V16="Noise","Hold / collect data",IF(V16="Not Ready","Not ready","")))))</f>
        <v/>
      </c>
      <c r="Y16" s="18">
        <f>IF(OR(R16="",T16=""),"",ABS(R16)+ABS(T16))</f>
        <v/>
      </c>
      <c r="Z16" s="21">
        <f>IF(OR(B16="",NOT(O16),R16=""),"",IF(ABS(R16)&gt;=MaterialThreshold,"Yes","No"))</f>
        <v/>
      </c>
      <c r="AA16" s="18">
        <f>IF(Z16&lt;&gt;"Yes","",IF(ABS(R16)&gt;=MaterialThreshold,IF(ABS(R16)&gt;=BroadShare,"Broad SKU movement","Store-concentrated movement"),""))</f>
        <v/>
      </c>
      <c r="AB16" s="18">
        <f>IF(O16,IF(COUNTIFS($O$5:O16,TRUE)&gt;0,COUNTIFS($O$5:O16,TRUE),0),0)</f>
        <v/>
      </c>
      <c r="AC16" s="18">
        <f>IF(V16="Markdown Review",1,IF(V16="Reorder Candidate",2,IF(V16="Monitor",3,IF(V16="Noise",4,IF(V16="Not Ready",5,99)))))</f>
        <v/>
      </c>
      <c r="AD16" s="18">
        <f>IF(O16,COUNTIFS($O$5:$O$504,TRUE,$AC$5:$AC$504,"&lt;"&amp;AC16)+COUNTIFS($O$5:O16,TRUE,$AC$5:AC16,AC16,$Y$5:Y16,"&gt;"&amp;Y16),0)</f>
        <v/>
      </c>
    </row>
    <row r="17">
      <c r="A17" s="17">
        <f>IF(COUNTA('Weekly Input'!A17:C17)=0,"",'Weekly Input'!B17&amp;"|"&amp;'Weekly Input'!C17&amp;"|"&amp;TEXT('Weekly Input'!A17,"yyyy-mm-dd"))</f>
        <v/>
      </c>
      <c r="B17" s="18">
        <f>'Weekly Input'!B17</f>
        <v/>
      </c>
      <c r="C17" s="18">
        <f>'Weekly Input'!C17</f>
        <v/>
      </c>
      <c r="D17" s="18">
        <f>IF(B17="","",IFERROR(INDEX('Master Data'!$B$6:$B$145,MATCH(B17,'Master Data'!$A$6:$A$145,0)),""))</f>
        <v/>
      </c>
      <c r="E17" s="18">
        <f>IF(C17="","",IFERROR(INDEX('Master Data'!$H$6:$H$13,MATCH(C17,'Master Data'!$F$6:$F$13,0)),""))</f>
        <v/>
      </c>
      <c r="F17" s="19">
        <f>'Weekly Input'!A17</f>
        <v/>
      </c>
      <c r="G17" s="19">
        <f>IF(B17="","",IFERROR(INDEX('Master Data'!$D$6:$D$145,MATCH(B17,'Master Data'!$A$6:$A$145,0)),""))</f>
        <v/>
      </c>
      <c r="H17" s="18">
        <f>IF(OR(F17="",G17=""),"",F17-G17)</f>
        <v/>
      </c>
      <c r="I17" s="18">
        <f>IF(B17="","",IF('Weekly Input'!J17="OK",TRUE,FALSE))</f>
        <v/>
      </c>
      <c r="J17" s="18">
        <f>IF(B17="","",'Weekly Input'!H17&gt;=MinInStockDays)</f>
        <v/>
      </c>
      <c r="K17" s="18">
        <f>IF(B17="","",H17&gt;=FullCycleMin)</f>
        <v/>
      </c>
      <c r="L17" s="18">
        <f>IF(B17="","",AND(I17,J17,K17,N17&gt;=MinHistory))</f>
        <v/>
      </c>
      <c r="M17" s="20">
        <f>IF(OR(B17="",'Weekly Input'!H17=0),"",'Weekly Input'!D17/'Weekly Input'!H17*7)</f>
        <v/>
      </c>
      <c r="N17" s="18">
        <f>IF(B17="","",COUNTIFS($B$5:$B$504,B17,$C$5:$C$504,C17,$I$5:$I$504,TRUE,$J$5:$J$504,TRUE,$K$5:$K$504,TRUE))</f>
        <v/>
      </c>
      <c r="O17" s="18">
        <f>IF(B17="","",AND(F17=AsOfWeek,AsOfWeek&lt;&gt;""))</f>
        <v/>
      </c>
      <c r="P17" s="20">
        <f>IF(OR(B17="",AsOfWeek=""),"",IFERROR(SUMIFS($M$5:$M$504,$B$5:$B$504,B17,$C$5:$C$504,C17,$L$5:$L$504,TRUE,$F$5:$F$504,"&gt;="&amp;AsOfWeek-7*(RecentWeeks-1),$F$5:$F$504,"&lt;="&amp;AsOfWeek),""))</f>
        <v/>
      </c>
      <c r="Q17" s="20">
        <f>IF(OR(B17="",AsOfWeek=""),"",IFERROR(SUMIFS($M$5:$M$504,$B$5:$B$504,B17,$C$5:$C$504,C17,$L$5:$L$504,TRUE,$F$5:$F$504,"&gt;="&amp;AsOfWeek-7*(RecentWeeks+PriorWeeks-1),$F$5:$F$504,"&lt;"&amp;AsOfWeek-7*(RecentWeeks-1)),""))</f>
        <v/>
      </c>
      <c r="R17" s="21">
        <f>IF(OR(P17="",Q17="",Q17=0),"",P17/Q17-1)</f>
        <v/>
      </c>
      <c r="S17" s="20">
        <f>IF(OR(C17="",AsOfWeek=""),"",IFERROR(AVERAGEIFS($M$5:$M$504,$C$5:$C$504,C17,$L$5:$L$504,TRUE,$F$5:$F$504,"&gt;="&amp;AsOfWeek-7*(RecentWeeks-1),$F$5:$F$504,"&lt;="&amp;AsOfWeek),""))</f>
        <v/>
      </c>
      <c r="T17" s="21">
        <f>IF(OR(P17="",S17=""),"",P17/S17-1)</f>
        <v/>
      </c>
      <c r="U17" s="22">
        <f>IF(OR(B17="",'Weekly Input'!G17="",P17="",P17=0),"",'Weekly Input'!G17/P17)</f>
        <v/>
      </c>
      <c r="V17" s="18">
        <f>IF(B17="","",IF(NOT(I17),"Not Ready",IF(NOT(K17),"Not Ready",IF(N17&lt;MinHistory,"Not Ready",IF(NOT(J17),"Not Ready",IF(OR(Q17="",Q17=0),"Noise",IF(Q17&lt;LowBaseThreshold,"Noise",IF(AND(R17&lt;=-OwnDecline,T17&lt;=-PeerGapThreshold),"Markdown Review",IF(AND(R17&gt;=ReorderUplift,U17&lt;&gt;"",U17&lt;=WeeksSupplyCap),"Reorder Candidate","Monitor"))))))))</f>
        <v/>
      </c>
      <c r="W17" s="18">
        <f>IF(B17="","",IF(NOT(I17),"INVALID_MASTER",IF(NOT(K17),"INCOMPLETE_SHELF_CYCLE",IF(N17&lt;MinHistory,"INSUFFICIENT_HISTORY",IF(NOT(J17),"INSUFFICIENT_IN_STOCK",IF(OR(Q17="",Q17=0),"NO_PRIOR_BASE",IF(Q17&lt;LowBaseThreshold,"LOW_BASE_NOISE",IF(V17="Markdown Review","MARKDOWN_PEER_GAP",IF(V17="Reorder Candidate","REORDER_UPLIFT_COVER","NO_MATERIAL_CHANGE"))))))))</f>
        <v/>
      </c>
      <c r="X17" s="18">
        <f>IF(V17="Markdown Review","Markdown support",IF(V17="Reorder Candidate","Second reorder",IF(V17="Monitor","Monitor",IF(V17="Noise","Hold / collect data",IF(V17="Not Ready","Not ready","")))))</f>
        <v/>
      </c>
      <c r="Y17" s="18">
        <f>IF(OR(R17="",T17=""),"",ABS(R17)+ABS(T17))</f>
        <v/>
      </c>
      <c r="Z17" s="21">
        <f>IF(OR(B17="",NOT(O17),R17=""),"",IF(ABS(R17)&gt;=MaterialThreshold,"Yes","No"))</f>
        <v/>
      </c>
      <c r="AA17" s="18">
        <f>IF(Z17&lt;&gt;"Yes","",IF(ABS(R17)&gt;=MaterialThreshold,IF(ABS(R17)&gt;=BroadShare,"Broad SKU movement","Store-concentrated movement"),""))</f>
        <v/>
      </c>
      <c r="AB17" s="18">
        <f>IF(O17,IF(COUNTIFS($O$5:O17,TRUE)&gt;0,COUNTIFS($O$5:O17,TRUE),0),0)</f>
        <v/>
      </c>
      <c r="AC17" s="18">
        <f>IF(V17="Markdown Review",1,IF(V17="Reorder Candidate",2,IF(V17="Monitor",3,IF(V17="Noise",4,IF(V17="Not Ready",5,99)))))</f>
        <v/>
      </c>
      <c r="AD17" s="18">
        <f>IF(O17,COUNTIFS($O$5:$O$504,TRUE,$AC$5:$AC$504,"&lt;"&amp;AC17)+COUNTIFS($O$5:O17,TRUE,$AC$5:AC17,AC17,$Y$5:Y17,"&gt;"&amp;Y17),0)</f>
        <v/>
      </c>
    </row>
    <row r="18">
      <c r="A18" s="17">
        <f>IF(COUNTA('Weekly Input'!A18:C18)=0,"",'Weekly Input'!B18&amp;"|"&amp;'Weekly Input'!C18&amp;"|"&amp;TEXT('Weekly Input'!A18,"yyyy-mm-dd"))</f>
        <v/>
      </c>
      <c r="B18" s="18">
        <f>'Weekly Input'!B18</f>
        <v/>
      </c>
      <c r="C18" s="18">
        <f>'Weekly Input'!C18</f>
        <v/>
      </c>
      <c r="D18" s="18">
        <f>IF(B18="","",IFERROR(INDEX('Master Data'!$B$6:$B$145,MATCH(B18,'Master Data'!$A$6:$A$145,0)),""))</f>
        <v/>
      </c>
      <c r="E18" s="18">
        <f>IF(C18="","",IFERROR(INDEX('Master Data'!$H$6:$H$13,MATCH(C18,'Master Data'!$F$6:$F$13,0)),""))</f>
        <v/>
      </c>
      <c r="F18" s="19">
        <f>'Weekly Input'!A18</f>
        <v/>
      </c>
      <c r="G18" s="19">
        <f>IF(B18="","",IFERROR(INDEX('Master Data'!$D$6:$D$145,MATCH(B18,'Master Data'!$A$6:$A$145,0)),""))</f>
        <v/>
      </c>
      <c r="H18" s="18">
        <f>IF(OR(F18="",G18=""),"",F18-G18)</f>
        <v/>
      </c>
      <c r="I18" s="18">
        <f>IF(B18="","",IF('Weekly Input'!J18="OK",TRUE,FALSE))</f>
        <v/>
      </c>
      <c r="J18" s="18">
        <f>IF(B18="","",'Weekly Input'!H18&gt;=MinInStockDays)</f>
        <v/>
      </c>
      <c r="K18" s="18">
        <f>IF(B18="","",H18&gt;=FullCycleMin)</f>
        <v/>
      </c>
      <c r="L18" s="18">
        <f>IF(B18="","",AND(I18,J18,K18,N18&gt;=MinHistory))</f>
        <v/>
      </c>
      <c r="M18" s="20">
        <f>IF(OR(B18="",'Weekly Input'!H18=0),"",'Weekly Input'!D18/'Weekly Input'!H18*7)</f>
        <v/>
      </c>
      <c r="N18" s="18">
        <f>IF(B18="","",COUNTIFS($B$5:$B$504,B18,$C$5:$C$504,C18,$I$5:$I$504,TRUE,$J$5:$J$504,TRUE,$K$5:$K$504,TRUE))</f>
        <v/>
      </c>
      <c r="O18" s="18">
        <f>IF(B18="","",AND(F18=AsOfWeek,AsOfWeek&lt;&gt;""))</f>
        <v/>
      </c>
      <c r="P18" s="20">
        <f>IF(OR(B18="",AsOfWeek=""),"",IFERROR(SUMIFS($M$5:$M$504,$B$5:$B$504,B18,$C$5:$C$504,C18,$L$5:$L$504,TRUE,$F$5:$F$504,"&gt;="&amp;AsOfWeek-7*(RecentWeeks-1),$F$5:$F$504,"&lt;="&amp;AsOfWeek),""))</f>
        <v/>
      </c>
      <c r="Q18" s="20">
        <f>IF(OR(B18="",AsOfWeek=""),"",IFERROR(SUMIFS($M$5:$M$504,$B$5:$B$504,B18,$C$5:$C$504,C18,$L$5:$L$504,TRUE,$F$5:$F$504,"&gt;="&amp;AsOfWeek-7*(RecentWeeks+PriorWeeks-1),$F$5:$F$504,"&lt;"&amp;AsOfWeek-7*(RecentWeeks-1)),""))</f>
        <v/>
      </c>
      <c r="R18" s="21">
        <f>IF(OR(P18="",Q18="",Q18=0),"",P18/Q18-1)</f>
        <v/>
      </c>
      <c r="S18" s="20">
        <f>IF(OR(C18="",AsOfWeek=""),"",IFERROR(AVERAGEIFS($M$5:$M$504,$C$5:$C$504,C18,$L$5:$L$504,TRUE,$F$5:$F$504,"&gt;="&amp;AsOfWeek-7*(RecentWeeks-1),$F$5:$F$504,"&lt;="&amp;AsOfWeek),""))</f>
        <v/>
      </c>
      <c r="T18" s="21">
        <f>IF(OR(P18="",S18=""),"",P18/S18-1)</f>
        <v/>
      </c>
      <c r="U18" s="22">
        <f>IF(OR(B18="",'Weekly Input'!G18="",P18="",P18=0),"",'Weekly Input'!G18/P18)</f>
        <v/>
      </c>
      <c r="V18" s="18">
        <f>IF(B18="","",IF(NOT(I18),"Not Ready",IF(NOT(K18),"Not Ready",IF(N18&lt;MinHistory,"Not Ready",IF(NOT(J18),"Not Ready",IF(OR(Q18="",Q18=0),"Noise",IF(Q18&lt;LowBaseThreshold,"Noise",IF(AND(R18&lt;=-OwnDecline,T18&lt;=-PeerGapThreshold),"Markdown Review",IF(AND(R18&gt;=ReorderUplift,U18&lt;&gt;"",U18&lt;=WeeksSupplyCap),"Reorder Candidate","Monitor"))))))))</f>
        <v/>
      </c>
      <c r="W18" s="18">
        <f>IF(B18="","",IF(NOT(I18),"INVALID_MASTER",IF(NOT(K18),"INCOMPLETE_SHELF_CYCLE",IF(N18&lt;MinHistory,"INSUFFICIENT_HISTORY",IF(NOT(J18),"INSUFFICIENT_IN_STOCK",IF(OR(Q18="",Q18=0),"NO_PRIOR_BASE",IF(Q18&lt;LowBaseThreshold,"LOW_BASE_NOISE",IF(V18="Markdown Review","MARKDOWN_PEER_GAP",IF(V18="Reorder Candidate","REORDER_UPLIFT_COVER","NO_MATERIAL_CHANGE"))))))))</f>
        <v/>
      </c>
      <c r="X18" s="18">
        <f>IF(V18="Markdown Review","Markdown support",IF(V18="Reorder Candidate","Second reorder",IF(V18="Monitor","Monitor",IF(V18="Noise","Hold / collect data",IF(V18="Not Ready","Not ready","")))))</f>
        <v/>
      </c>
      <c r="Y18" s="18">
        <f>IF(OR(R18="",T18=""),"",ABS(R18)+ABS(T18))</f>
        <v/>
      </c>
      <c r="Z18" s="21">
        <f>IF(OR(B18="",NOT(O18),R18=""),"",IF(ABS(R18)&gt;=MaterialThreshold,"Yes","No"))</f>
        <v/>
      </c>
      <c r="AA18" s="18">
        <f>IF(Z18&lt;&gt;"Yes","",IF(ABS(R18)&gt;=MaterialThreshold,IF(ABS(R18)&gt;=BroadShare,"Broad SKU movement","Store-concentrated movement"),""))</f>
        <v/>
      </c>
      <c r="AB18" s="18">
        <f>IF(O18,IF(COUNTIFS($O$5:O18,TRUE)&gt;0,COUNTIFS($O$5:O18,TRUE),0),0)</f>
        <v/>
      </c>
      <c r="AC18" s="18">
        <f>IF(V18="Markdown Review",1,IF(V18="Reorder Candidate",2,IF(V18="Monitor",3,IF(V18="Noise",4,IF(V18="Not Ready",5,99)))))</f>
        <v/>
      </c>
      <c r="AD18" s="18">
        <f>IF(O18,COUNTIFS($O$5:$O$504,TRUE,$AC$5:$AC$504,"&lt;"&amp;AC18)+COUNTIFS($O$5:O18,TRUE,$AC$5:AC18,AC18,$Y$5:Y18,"&gt;"&amp;Y18),0)</f>
        <v/>
      </c>
    </row>
    <row r="19">
      <c r="A19" s="17">
        <f>IF(COUNTA('Weekly Input'!A19:C19)=0,"",'Weekly Input'!B19&amp;"|"&amp;'Weekly Input'!C19&amp;"|"&amp;TEXT('Weekly Input'!A19,"yyyy-mm-dd"))</f>
        <v/>
      </c>
      <c r="B19" s="18">
        <f>'Weekly Input'!B19</f>
        <v/>
      </c>
      <c r="C19" s="18">
        <f>'Weekly Input'!C19</f>
        <v/>
      </c>
      <c r="D19" s="18">
        <f>IF(B19="","",IFERROR(INDEX('Master Data'!$B$6:$B$145,MATCH(B19,'Master Data'!$A$6:$A$145,0)),""))</f>
        <v/>
      </c>
      <c r="E19" s="18">
        <f>IF(C19="","",IFERROR(INDEX('Master Data'!$H$6:$H$13,MATCH(C19,'Master Data'!$F$6:$F$13,0)),""))</f>
        <v/>
      </c>
      <c r="F19" s="19">
        <f>'Weekly Input'!A19</f>
        <v/>
      </c>
      <c r="G19" s="19">
        <f>IF(B19="","",IFERROR(INDEX('Master Data'!$D$6:$D$145,MATCH(B19,'Master Data'!$A$6:$A$145,0)),""))</f>
        <v/>
      </c>
      <c r="H19" s="18">
        <f>IF(OR(F19="",G19=""),"",F19-G19)</f>
        <v/>
      </c>
      <c r="I19" s="18">
        <f>IF(B19="","",IF('Weekly Input'!J19="OK",TRUE,FALSE))</f>
        <v/>
      </c>
      <c r="J19" s="18">
        <f>IF(B19="","",'Weekly Input'!H19&gt;=MinInStockDays)</f>
        <v/>
      </c>
      <c r="K19" s="18">
        <f>IF(B19="","",H19&gt;=FullCycleMin)</f>
        <v/>
      </c>
      <c r="L19" s="18">
        <f>IF(B19="","",AND(I19,J19,K19,N19&gt;=MinHistory))</f>
        <v/>
      </c>
      <c r="M19" s="20">
        <f>IF(OR(B19="",'Weekly Input'!H19=0),"",'Weekly Input'!D19/'Weekly Input'!H19*7)</f>
        <v/>
      </c>
      <c r="N19" s="18">
        <f>IF(B19="","",COUNTIFS($B$5:$B$504,B19,$C$5:$C$504,C19,$I$5:$I$504,TRUE,$J$5:$J$504,TRUE,$K$5:$K$504,TRUE))</f>
        <v/>
      </c>
      <c r="O19" s="18">
        <f>IF(B19="","",AND(F19=AsOfWeek,AsOfWeek&lt;&gt;""))</f>
        <v/>
      </c>
      <c r="P19" s="20">
        <f>IF(OR(B19="",AsOfWeek=""),"",IFERROR(SUMIFS($M$5:$M$504,$B$5:$B$504,B19,$C$5:$C$504,C19,$L$5:$L$504,TRUE,$F$5:$F$504,"&gt;="&amp;AsOfWeek-7*(RecentWeeks-1),$F$5:$F$504,"&lt;="&amp;AsOfWeek),""))</f>
        <v/>
      </c>
      <c r="Q19" s="20">
        <f>IF(OR(B19="",AsOfWeek=""),"",IFERROR(SUMIFS($M$5:$M$504,$B$5:$B$504,B19,$C$5:$C$504,C19,$L$5:$L$504,TRUE,$F$5:$F$504,"&gt;="&amp;AsOfWeek-7*(RecentWeeks+PriorWeeks-1),$F$5:$F$504,"&lt;"&amp;AsOfWeek-7*(RecentWeeks-1)),""))</f>
        <v/>
      </c>
      <c r="R19" s="21">
        <f>IF(OR(P19="",Q19="",Q19=0),"",P19/Q19-1)</f>
        <v/>
      </c>
      <c r="S19" s="20">
        <f>IF(OR(C19="",AsOfWeek=""),"",IFERROR(AVERAGEIFS($M$5:$M$504,$C$5:$C$504,C19,$L$5:$L$504,TRUE,$F$5:$F$504,"&gt;="&amp;AsOfWeek-7*(RecentWeeks-1),$F$5:$F$504,"&lt;="&amp;AsOfWeek),""))</f>
        <v/>
      </c>
      <c r="T19" s="21">
        <f>IF(OR(P19="",S19=""),"",P19/S19-1)</f>
        <v/>
      </c>
      <c r="U19" s="22">
        <f>IF(OR(B19="",'Weekly Input'!G19="",P19="",P19=0),"",'Weekly Input'!G19/P19)</f>
        <v/>
      </c>
      <c r="V19" s="18">
        <f>IF(B19="","",IF(NOT(I19),"Not Ready",IF(NOT(K19),"Not Ready",IF(N19&lt;MinHistory,"Not Ready",IF(NOT(J19),"Not Ready",IF(OR(Q19="",Q19=0),"Noise",IF(Q19&lt;LowBaseThreshold,"Noise",IF(AND(R19&lt;=-OwnDecline,T19&lt;=-PeerGapThreshold),"Markdown Review",IF(AND(R19&gt;=ReorderUplift,U19&lt;&gt;"",U19&lt;=WeeksSupplyCap),"Reorder Candidate","Monitor"))))))))</f>
        <v/>
      </c>
      <c r="W19" s="18">
        <f>IF(B19="","",IF(NOT(I19),"INVALID_MASTER",IF(NOT(K19),"INCOMPLETE_SHELF_CYCLE",IF(N19&lt;MinHistory,"INSUFFICIENT_HISTORY",IF(NOT(J19),"INSUFFICIENT_IN_STOCK",IF(OR(Q19="",Q19=0),"NO_PRIOR_BASE",IF(Q19&lt;LowBaseThreshold,"LOW_BASE_NOISE",IF(V19="Markdown Review","MARKDOWN_PEER_GAP",IF(V19="Reorder Candidate","REORDER_UPLIFT_COVER","NO_MATERIAL_CHANGE"))))))))</f>
        <v/>
      </c>
      <c r="X19" s="18">
        <f>IF(V19="Markdown Review","Markdown support",IF(V19="Reorder Candidate","Second reorder",IF(V19="Monitor","Monitor",IF(V19="Noise","Hold / collect data",IF(V19="Not Ready","Not ready","")))))</f>
        <v/>
      </c>
      <c r="Y19" s="18">
        <f>IF(OR(R19="",T19=""),"",ABS(R19)+ABS(T19))</f>
        <v/>
      </c>
      <c r="Z19" s="21">
        <f>IF(OR(B19="",NOT(O19),R19=""),"",IF(ABS(R19)&gt;=MaterialThreshold,"Yes","No"))</f>
        <v/>
      </c>
      <c r="AA19" s="18">
        <f>IF(Z19&lt;&gt;"Yes","",IF(ABS(R19)&gt;=MaterialThreshold,IF(ABS(R19)&gt;=BroadShare,"Broad SKU movement","Store-concentrated movement"),""))</f>
        <v/>
      </c>
      <c r="AB19" s="18">
        <f>IF(O19,IF(COUNTIFS($O$5:O19,TRUE)&gt;0,COUNTIFS($O$5:O19,TRUE),0),0)</f>
        <v/>
      </c>
      <c r="AC19" s="18">
        <f>IF(V19="Markdown Review",1,IF(V19="Reorder Candidate",2,IF(V19="Monitor",3,IF(V19="Noise",4,IF(V19="Not Ready",5,99)))))</f>
        <v/>
      </c>
      <c r="AD19" s="18">
        <f>IF(O19,COUNTIFS($O$5:$O$504,TRUE,$AC$5:$AC$504,"&lt;"&amp;AC19)+COUNTIFS($O$5:O19,TRUE,$AC$5:AC19,AC19,$Y$5:Y19,"&gt;"&amp;Y19),0)</f>
        <v/>
      </c>
    </row>
    <row r="20">
      <c r="A20" s="17">
        <f>IF(COUNTA('Weekly Input'!A20:C20)=0,"",'Weekly Input'!B20&amp;"|"&amp;'Weekly Input'!C20&amp;"|"&amp;TEXT('Weekly Input'!A20,"yyyy-mm-dd"))</f>
        <v/>
      </c>
      <c r="B20" s="18">
        <f>'Weekly Input'!B20</f>
        <v/>
      </c>
      <c r="C20" s="18">
        <f>'Weekly Input'!C20</f>
        <v/>
      </c>
      <c r="D20" s="18">
        <f>IF(B20="","",IFERROR(INDEX('Master Data'!$B$6:$B$145,MATCH(B20,'Master Data'!$A$6:$A$145,0)),""))</f>
        <v/>
      </c>
      <c r="E20" s="18">
        <f>IF(C20="","",IFERROR(INDEX('Master Data'!$H$6:$H$13,MATCH(C20,'Master Data'!$F$6:$F$13,0)),""))</f>
        <v/>
      </c>
      <c r="F20" s="19">
        <f>'Weekly Input'!A20</f>
        <v/>
      </c>
      <c r="G20" s="19">
        <f>IF(B20="","",IFERROR(INDEX('Master Data'!$D$6:$D$145,MATCH(B20,'Master Data'!$A$6:$A$145,0)),""))</f>
        <v/>
      </c>
      <c r="H20" s="18">
        <f>IF(OR(F20="",G20=""),"",F20-G20)</f>
        <v/>
      </c>
      <c r="I20" s="18">
        <f>IF(B20="","",IF('Weekly Input'!J20="OK",TRUE,FALSE))</f>
        <v/>
      </c>
      <c r="J20" s="18">
        <f>IF(B20="","",'Weekly Input'!H20&gt;=MinInStockDays)</f>
        <v/>
      </c>
      <c r="K20" s="18">
        <f>IF(B20="","",H20&gt;=FullCycleMin)</f>
        <v/>
      </c>
      <c r="L20" s="18">
        <f>IF(B20="","",AND(I20,J20,K20,N20&gt;=MinHistory))</f>
        <v/>
      </c>
      <c r="M20" s="20">
        <f>IF(OR(B20="",'Weekly Input'!H20=0),"",'Weekly Input'!D20/'Weekly Input'!H20*7)</f>
        <v/>
      </c>
      <c r="N20" s="18">
        <f>IF(B20="","",COUNTIFS($B$5:$B$504,B20,$C$5:$C$504,C20,$I$5:$I$504,TRUE,$J$5:$J$504,TRUE,$K$5:$K$504,TRUE))</f>
        <v/>
      </c>
      <c r="O20" s="18">
        <f>IF(B20="","",AND(F20=AsOfWeek,AsOfWeek&lt;&gt;""))</f>
        <v/>
      </c>
      <c r="P20" s="20">
        <f>IF(OR(B20="",AsOfWeek=""),"",IFERROR(SUMIFS($M$5:$M$504,$B$5:$B$504,B20,$C$5:$C$504,C20,$L$5:$L$504,TRUE,$F$5:$F$504,"&gt;="&amp;AsOfWeek-7*(RecentWeeks-1),$F$5:$F$504,"&lt;="&amp;AsOfWeek),""))</f>
        <v/>
      </c>
      <c r="Q20" s="20">
        <f>IF(OR(B20="",AsOfWeek=""),"",IFERROR(SUMIFS($M$5:$M$504,$B$5:$B$504,B20,$C$5:$C$504,C20,$L$5:$L$504,TRUE,$F$5:$F$504,"&gt;="&amp;AsOfWeek-7*(RecentWeeks+PriorWeeks-1),$F$5:$F$504,"&lt;"&amp;AsOfWeek-7*(RecentWeeks-1)),""))</f>
        <v/>
      </c>
      <c r="R20" s="21">
        <f>IF(OR(P20="",Q20="",Q20=0),"",P20/Q20-1)</f>
        <v/>
      </c>
      <c r="S20" s="20">
        <f>IF(OR(C20="",AsOfWeek=""),"",IFERROR(AVERAGEIFS($M$5:$M$504,$C$5:$C$504,C20,$L$5:$L$504,TRUE,$F$5:$F$504,"&gt;="&amp;AsOfWeek-7*(RecentWeeks-1),$F$5:$F$504,"&lt;="&amp;AsOfWeek),""))</f>
        <v/>
      </c>
      <c r="T20" s="21">
        <f>IF(OR(P20="",S20=""),"",P20/S20-1)</f>
        <v/>
      </c>
      <c r="U20" s="22">
        <f>IF(OR(B20="",'Weekly Input'!G20="",P20="",P20=0),"",'Weekly Input'!G20/P20)</f>
        <v/>
      </c>
      <c r="V20" s="18">
        <f>IF(B20="","",IF(NOT(I20),"Not Ready",IF(NOT(K20),"Not Ready",IF(N20&lt;MinHistory,"Not Ready",IF(NOT(J20),"Not Ready",IF(OR(Q20="",Q20=0),"Noise",IF(Q20&lt;LowBaseThreshold,"Noise",IF(AND(R20&lt;=-OwnDecline,T20&lt;=-PeerGapThreshold),"Markdown Review",IF(AND(R20&gt;=ReorderUplift,U20&lt;&gt;"",U20&lt;=WeeksSupplyCap),"Reorder Candidate","Monitor"))))))))</f>
        <v/>
      </c>
      <c r="W20" s="18">
        <f>IF(B20="","",IF(NOT(I20),"INVALID_MASTER",IF(NOT(K20),"INCOMPLETE_SHELF_CYCLE",IF(N20&lt;MinHistory,"INSUFFICIENT_HISTORY",IF(NOT(J20),"INSUFFICIENT_IN_STOCK",IF(OR(Q20="",Q20=0),"NO_PRIOR_BASE",IF(Q20&lt;LowBaseThreshold,"LOW_BASE_NOISE",IF(V20="Markdown Review","MARKDOWN_PEER_GAP",IF(V20="Reorder Candidate","REORDER_UPLIFT_COVER","NO_MATERIAL_CHANGE"))))))))</f>
        <v/>
      </c>
      <c r="X20" s="18">
        <f>IF(V20="Markdown Review","Markdown support",IF(V20="Reorder Candidate","Second reorder",IF(V20="Monitor","Monitor",IF(V20="Noise","Hold / collect data",IF(V20="Not Ready","Not ready","")))))</f>
        <v/>
      </c>
      <c r="Y20" s="18">
        <f>IF(OR(R20="",T20=""),"",ABS(R20)+ABS(T20))</f>
        <v/>
      </c>
      <c r="Z20" s="21">
        <f>IF(OR(B20="",NOT(O20),R20=""),"",IF(ABS(R20)&gt;=MaterialThreshold,"Yes","No"))</f>
        <v/>
      </c>
      <c r="AA20" s="18">
        <f>IF(Z20&lt;&gt;"Yes","",IF(ABS(R20)&gt;=MaterialThreshold,IF(ABS(R20)&gt;=BroadShare,"Broad SKU movement","Store-concentrated movement"),""))</f>
        <v/>
      </c>
      <c r="AB20" s="18">
        <f>IF(O20,IF(COUNTIFS($O$5:O20,TRUE)&gt;0,COUNTIFS($O$5:O20,TRUE),0),0)</f>
        <v/>
      </c>
      <c r="AC20" s="18">
        <f>IF(V20="Markdown Review",1,IF(V20="Reorder Candidate",2,IF(V20="Monitor",3,IF(V20="Noise",4,IF(V20="Not Ready",5,99)))))</f>
        <v/>
      </c>
      <c r="AD20" s="18">
        <f>IF(O20,COUNTIFS($O$5:$O$504,TRUE,$AC$5:$AC$504,"&lt;"&amp;AC20)+COUNTIFS($O$5:O20,TRUE,$AC$5:AC20,AC20,$Y$5:Y20,"&gt;"&amp;Y20),0)</f>
        <v/>
      </c>
    </row>
    <row r="21">
      <c r="A21" s="17">
        <f>IF(COUNTA('Weekly Input'!A21:C21)=0,"",'Weekly Input'!B21&amp;"|"&amp;'Weekly Input'!C21&amp;"|"&amp;TEXT('Weekly Input'!A21,"yyyy-mm-dd"))</f>
        <v/>
      </c>
      <c r="B21" s="18">
        <f>'Weekly Input'!B21</f>
        <v/>
      </c>
      <c r="C21" s="18">
        <f>'Weekly Input'!C21</f>
        <v/>
      </c>
      <c r="D21" s="18">
        <f>IF(B21="","",IFERROR(INDEX('Master Data'!$B$6:$B$145,MATCH(B21,'Master Data'!$A$6:$A$145,0)),""))</f>
        <v/>
      </c>
      <c r="E21" s="18">
        <f>IF(C21="","",IFERROR(INDEX('Master Data'!$H$6:$H$13,MATCH(C21,'Master Data'!$F$6:$F$13,0)),""))</f>
        <v/>
      </c>
      <c r="F21" s="19">
        <f>'Weekly Input'!A21</f>
        <v/>
      </c>
      <c r="G21" s="19">
        <f>IF(B21="","",IFERROR(INDEX('Master Data'!$D$6:$D$145,MATCH(B21,'Master Data'!$A$6:$A$145,0)),""))</f>
        <v/>
      </c>
      <c r="H21" s="18">
        <f>IF(OR(F21="",G21=""),"",F21-G21)</f>
        <v/>
      </c>
      <c r="I21" s="18">
        <f>IF(B21="","",IF('Weekly Input'!J21="OK",TRUE,FALSE))</f>
        <v/>
      </c>
      <c r="J21" s="18">
        <f>IF(B21="","",'Weekly Input'!H21&gt;=MinInStockDays)</f>
        <v/>
      </c>
      <c r="K21" s="18">
        <f>IF(B21="","",H21&gt;=FullCycleMin)</f>
        <v/>
      </c>
      <c r="L21" s="18">
        <f>IF(B21="","",AND(I21,J21,K21,N21&gt;=MinHistory))</f>
        <v/>
      </c>
      <c r="M21" s="20">
        <f>IF(OR(B21="",'Weekly Input'!H21=0),"",'Weekly Input'!D21/'Weekly Input'!H21*7)</f>
        <v/>
      </c>
      <c r="N21" s="18">
        <f>IF(B21="","",COUNTIFS($B$5:$B$504,B21,$C$5:$C$504,C21,$I$5:$I$504,TRUE,$J$5:$J$504,TRUE,$K$5:$K$504,TRUE))</f>
        <v/>
      </c>
      <c r="O21" s="18">
        <f>IF(B21="","",AND(F21=AsOfWeek,AsOfWeek&lt;&gt;""))</f>
        <v/>
      </c>
      <c r="P21" s="20">
        <f>IF(OR(B21="",AsOfWeek=""),"",IFERROR(SUMIFS($M$5:$M$504,$B$5:$B$504,B21,$C$5:$C$504,C21,$L$5:$L$504,TRUE,$F$5:$F$504,"&gt;="&amp;AsOfWeek-7*(RecentWeeks-1),$F$5:$F$504,"&lt;="&amp;AsOfWeek),""))</f>
        <v/>
      </c>
      <c r="Q21" s="20">
        <f>IF(OR(B21="",AsOfWeek=""),"",IFERROR(SUMIFS($M$5:$M$504,$B$5:$B$504,B21,$C$5:$C$504,C21,$L$5:$L$504,TRUE,$F$5:$F$504,"&gt;="&amp;AsOfWeek-7*(RecentWeeks+PriorWeeks-1),$F$5:$F$504,"&lt;"&amp;AsOfWeek-7*(RecentWeeks-1)),""))</f>
        <v/>
      </c>
      <c r="R21" s="21">
        <f>IF(OR(P21="",Q21="",Q21=0),"",P21/Q21-1)</f>
        <v/>
      </c>
      <c r="S21" s="20">
        <f>IF(OR(C21="",AsOfWeek=""),"",IFERROR(AVERAGEIFS($M$5:$M$504,$C$5:$C$504,C21,$L$5:$L$504,TRUE,$F$5:$F$504,"&gt;="&amp;AsOfWeek-7*(RecentWeeks-1),$F$5:$F$504,"&lt;="&amp;AsOfWeek),""))</f>
        <v/>
      </c>
      <c r="T21" s="21">
        <f>IF(OR(P21="",S21=""),"",P21/S21-1)</f>
        <v/>
      </c>
      <c r="U21" s="22">
        <f>IF(OR(B21="",'Weekly Input'!G21="",P21="",P21=0),"",'Weekly Input'!G21/P21)</f>
        <v/>
      </c>
      <c r="V21" s="18">
        <f>IF(B21="","",IF(NOT(I21),"Not Ready",IF(NOT(K21),"Not Ready",IF(N21&lt;MinHistory,"Not Ready",IF(NOT(J21),"Not Ready",IF(OR(Q21="",Q21=0),"Noise",IF(Q21&lt;LowBaseThreshold,"Noise",IF(AND(R21&lt;=-OwnDecline,T21&lt;=-PeerGapThreshold),"Markdown Review",IF(AND(R21&gt;=ReorderUplift,U21&lt;&gt;"",U21&lt;=WeeksSupplyCap),"Reorder Candidate","Monitor"))))))))</f>
        <v/>
      </c>
      <c r="W21" s="18">
        <f>IF(B21="","",IF(NOT(I21),"INVALID_MASTER",IF(NOT(K21),"INCOMPLETE_SHELF_CYCLE",IF(N21&lt;MinHistory,"INSUFFICIENT_HISTORY",IF(NOT(J21),"INSUFFICIENT_IN_STOCK",IF(OR(Q21="",Q21=0),"NO_PRIOR_BASE",IF(Q21&lt;LowBaseThreshold,"LOW_BASE_NOISE",IF(V21="Markdown Review","MARKDOWN_PEER_GAP",IF(V21="Reorder Candidate","REORDER_UPLIFT_COVER","NO_MATERIAL_CHANGE"))))))))</f>
        <v/>
      </c>
      <c r="X21" s="18">
        <f>IF(V21="Markdown Review","Markdown support",IF(V21="Reorder Candidate","Second reorder",IF(V21="Monitor","Monitor",IF(V21="Noise","Hold / collect data",IF(V21="Not Ready","Not ready","")))))</f>
        <v/>
      </c>
      <c r="Y21" s="18">
        <f>IF(OR(R21="",T21=""),"",ABS(R21)+ABS(T21))</f>
        <v/>
      </c>
      <c r="Z21" s="21">
        <f>IF(OR(B21="",NOT(O21),R21=""),"",IF(ABS(R21)&gt;=MaterialThreshold,"Yes","No"))</f>
        <v/>
      </c>
      <c r="AA21" s="18">
        <f>IF(Z21&lt;&gt;"Yes","",IF(ABS(R21)&gt;=MaterialThreshold,IF(ABS(R21)&gt;=BroadShare,"Broad SKU movement","Store-concentrated movement"),""))</f>
        <v/>
      </c>
      <c r="AB21" s="18">
        <f>IF(O21,IF(COUNTIFS($O$5:O21,TRUE)&gt;0,COUNTIFS($O$5:O21,TRUE),0),0)</f>
        <v/>
      </c>
      <c r="AC21" s="18">
        <f>IF(V21="Markdown Review",1,IF(V21="Reorder Candidate",2,IF(V21="Monitor",3,IF(V21="Noise",4,IF(V21="Not Ready",5,99)))))</f>
        <v/>
      </c>
      <c r="AD21" s="18">
        <f>IF(O21,COUNTIFS($O$5:$O$504,TRUE,$AC$5:$AC$504,"&lt;"&amp;AC21)+COUNTIFS($O$5:O21,TRUE,$AC$5:AC21,AC21,$Y$5:Y21,"&gt;"&amp;Y21),0)</f>
        <v/>
      </c>
    </row>
    <row r="22">
      <c r="A22" s="17">
        <f>IF(COUNTA('Weekly Input'!A22:C22)=0,"",'Weekly Input'!B22&amp;"|"&amp;'Weekly Input'!C22&amp;"|"&amp;TEXT('Weekly Input'!A22,"yyyy-mm-dd"))</f>
        <v/>
      </c>
      <c r="B22" s="18">
        <f>'Weekly Input'!B22</f>
        <v/>
      </c>
      <c r="C22" s="18">
        <f>'Weekly Input'!C22</f>
        <v/>
      </c>
      <c r="D22" s="18">
        <f>IF(B22="","",IFERROR(INDEX('Master Data'!$B$6:$B$145,MATCH(B22,'Master Data'!$A$6:$A$145,0)),""))</f>
        <v/>
      </c>
      <c r="E22" s="18">
        <f>IF(C22="","",IFERROR(INDEX('Master Data'!$H$6:$H$13,MATCH(C22,'Master Data'!$F$6:$F$13,0)),""))</f>
        <v/>
      </c>
      <c r="F22" s="19">
        <f>'Weekly Input'!A22</f>
        <v/>
      </c>
      <c r="G22" s="19">
        <f>IF(B22="","",IFERROR(INDEX('Master Data'!$D$6:$D$145,MATCH(B22,'Master Data'!$A$6:$A$145,0)),""))</f>
        <v/>
      </c>
      <c r="H22" s="18">
        <f>IF(OR(F22="",G22=""),"",F22-G22)</f>
        <v/>
      </c>
      <c r="I22" s="18">
        <f>IF(B22="","",IF('Weekly Input'!J22="OK",TRUE,FALSE))</f>
        <v/>
      </c>
      <c r="J22" s="18">
        <f>IF(B22="","",'Weekly Input'!H22&gt;=MinInStockDays)</f>
        <v/>
      </c>
      <c r="K22" s="18">
        <f>IF(B22="","",H22&gt;=FullCycleMin)</f>
        <v/>
      </c>
      <c r="L22" s="18">
        <f>IF(B22="","",AND(I22,J22,K22,N22&gt;=MinHistory))</f>
        <v/>
      </c>
      <c r="M22" s="20">
        <f>IF(OR(B22="",'Weekly Input'!H22=0),"",'Weekly Input'!D22/'Weekly Input'!H22*7)</f>
        <v/>
      </c>
      <c r="N22" s="18">
        <f>IF(B22="","",COUNTIFS($B$5:$B$504,B22,$C$5:$C$504,C22,$I$5:$I$504,TRUE,$J$5:$J$504,TRUE,$K$5:$K$504,TRUE))</f>
        <v/>
      </c>
      <c r="O22" s="18">
        <f>IF(B22="","",AND(F22=AsOfWeek,AsOfWeek&lt;&gt;""))</f>
        <v/>
      </c>
      <c r="P22" s="20">
        <f>IF(OR(B22="",AsOfWeek=""),"",IFERROR(SUMIFS($M$5:$M$504,$B$5:$B$504,B22,$C$5:$C$504,C22,$L$5:$L$504,TRUE,$F$5:$F$504,"&gt;="&amp;AsOfWeek-7*(RecentWeeks-1),$F$5:$F$504,"&lt;="&amp;AsOfWeek),""))</f>
        <v/>
      </c>
      <c r="Q22" s="20">
        <f>IF(OR(B22="",AsOfWeek=""),"",IFERROR(SUMIFS($M$5:$M$504,$B$5:$B$504,B22,$C$5:$C$504,C22,$L$5:$L$504,TRUE,$F$5:$F$504,"&gt;="&amp;AsOfWeek-7*(RecentWeeks+PriorWeeks-1),$F$5:$F$504,"&lt;"&amp;AsOfWeek-7*(RecentWeeks-1)),""))</f>
        <v/>
      </c>
      <c r="R22" s="21">
        <f>IF(OR(P22="",Q22="",Q22=0),"",P22/Q22-1)</f>
        <v/>
      </c>
      <c r="S22" s="20">
        <f>IF(OR(C22="",AsOfWeek=""),"",IFERROR(AVERAGEIFS($M$5:$M$504,$C$5:$C$504,C22,$L$5:$L$504,TRUE,$F$5:$F$504,"&gt;="&amp;AsOfWeek-7*(RecentWeeks-1),$F$5:$F$504,"&lt;="&amp;AsOfWeek),""))</f>
        <v/>
      </c>
      <c r="T22" s="21">
        <f>IF(OR(P22="",S22=""),"",P22/S22-1)</f>
        <v/>
      </c>
      <c r="U22" s="22">
        <f>IF(OR(B22="",'Weekly Input'!G22="",P22="",P22=0),"",'Weekly Input'!G22/P22)</f>
        <v/>
      </c>
      <c r="V22" s="18">
        <f>IF(B22="","",IF(NOT(I22),"Not Ready",IF(NOT(K22),"Not Ready",IF(N22&lt;MinHistory,"Not Ready",IF(NOT(J22),"Not Ready",IF(OR(Q22="",Q22=0),"Noise",IF(Q22&lt;LowBaseThreshold,"Noise",IF(AND(R22&lt;=-OwnDecline,T22&lt;=-PeerGapThreshold),"Markdown Review",IF(AND(R22&gt;=ReorderUplift,U22&lt;&gt;"",U22&lt;=WeeksSupplyCap),"Reorder Candidate","Monitor"))))))))</f>
        <v/>
      </c>
      <c r="W22" s="18">
        <f>IF(B22="","",IF(NOT(I22),"INVALID_MASTER",IF(NOT(K22),"INCOMPLETE_SHELF_CYCLE",IF(N22&lt;MinHistory,"INSUFFICIENT_HISTORY",IF(NOT(J22),"INSUFFICIENT_IN_STOCK",IF(OR(Q22="",Q22=0),"NO_PRIOR_BASE",IF(Q22&lt;LowBaseThreshold,"LOW_BASE_NOISE",IF(V22="Markdown Review","MARKDOWN_PEER_GAP",IF(V22="Reorder Candidate","REORDER_UPLIFT_COVER","NO_MATERIAL_CHANGE"))))))))</f>
        <v/>
      </c>
      <c r="X22" s="18">
        <f>IF(V22="Markdown Review","Markdown support",IF(V22="Reorder Candidate","Second reorder",IF(V22="Monitor","Monitor",IF(V22="Noise","Hold / collect data",IF(V22="Not Ready","Not ready","")))))</f>
        <v/>
      </c>
      <c r="Y22" s="18">
        <f>IF(OR(R22="",T22=""),"",ABS(R22)+ABS(T22))</f>
        <v/>
      </c>
      <c r="Z22" s="21">
        <f>IF(OR(B22="",NOT(O22),R22=""),"",IF(ABS(R22)&gt;=MaterialThreshold,"Yes","No"))</f>
        <v/>
      </c>
      <c r="AA22" s="18">
        <f>IF(Z22&lt;&gt;"Yes","",IF(ABS(R22)&gt;=MaterialThreshold,IF(ABS(R22)&gt;=BroadShare,"Broad SKU movement","Store-concentrated movement"),""))</f>
        <v/>
      </c>
      <c r="AB22" s="18">
        <f>IF(O22,IF(COUNTIFS($O$5:O22,TRUE)&gt;0,COUNTIFS($O$5:O22,TRUE),0),0)</f>
        <v/>
      </c>
      <c r="AC22" s="18">
        <f>IF(V22="Markdown Review",1,IF(V22="Reorder Candidate",2,IF(V22="Monitor",3,IF(V22="Noise",4,IF(V22="Not Ready",5,99)))))</f>
        <v/>
      </c>
      <c r="AD22" s="18">
        <f>IF(O22,COUNTIFS($O$5:$O$504,TRUE,$AC$5:$AC$504,"&lt;"&amp;AC22)+COUNTIFS($O$5:O22,TRUE,$AC$5:AC22,AC22,$Y$5:Y22,"&gt;"&amp;Y22),0)</f>
        <v/>
      </c>
    </row>
    <row r="23">
      <c r="A23" s="17">
        <f>IF(COUNTA('Weekly Input'!A23:C23)=0,"",'Weekly Input'!B23&amp;"|"&amp;'Weekly Input'!C23&amp;"|"&amp;TEXT('Weekly Input'!A23,"yyyy-mm-dd"))</f>
        <v/>
      </c>
      <c r="B23" s="18">
        <f>'Weekly Input'!B23</f>
        <v/>
      </c>
      <c r="C23" s="18">
        <f>'Weekly Input'!C23</f>
        <v/>
      </c>
      <c r="D23" s="18">
        <f>IF(B23="","",IFERROR(INDEX('Master Data'!$B$6:$B$145,MATCH(B23,'Master Data'!$A$6:$A$145,0)),""))</f>
        <v/>
      </c>
      <c r="E23" s="18">
        <f>IF(C23="","",IFERROR(INDEX('Master Data'!$H$6:$H$13,MATCH(C23,'Master Data'!$F$6:$F$13,0)),""))</f>
        <v/>
      </c>
      <c r="F23" s="19">
        <f>'Weekly Input'!A23</f>
        <v/>
      </c>
      <c r="G23" s="19">
        <f>IF(B23="","",IFERROR(INDEX('Master Data'!$D$6:$D$145,MATCH(B23,'Master Data'!$A$6:$A$145,0)),""))</f>
        <v/>
      </c>
      <c r="H23" s="18">
        <f>IF(OR(F23="",G23=""),"",F23-G23)</f>
        <v/>
      </c>
      <c r="I23" s="18">
        <f>IF(B23="","",IF('Weekly Input'!J23="OK",TRUE,FALSE))</f>
        <v/>
      </c>
      <c r="J23" s="18">
        <f>IF(B23="","",'Weekly Input'!H23&gt;=MinInStockDays)</f>
        <v/>
      </c>
      <c r="K23" s="18">
        <f>IF(B23="","",H23&gt;=FullCycleMin)</f>
        <v/>
      </c>
      <c r="L23" s="18">
        <f>IF(B23="","",AND(I23,J23,K23,N23&gt;=MinHistory))</f>
        <v/>
      </c>
      <c r="M23" s="20">
        <f>IF(OR(B23="",'Weekly Input'!H23=0),"",'Weekly Input'!D23/'Weekly Input'!H23*7)</f>
        <v/>
      </c>
      <c r="N23" s="18">
        <f>IF(B23="","",COUNTIFS($B$5:$B$504,B23,$C$5:$C$504,C23,$I$5:$I$504,TRUE,$J$5:$J$504,TRUE,$K$5:$K$504,TRUE))</f>
        <v/>
      </c>
      <c r="O23" s="18">
        <f>IF(B23="","",AND(F23=AsOfWeek,AsOfWeek&lt;&gt;""))</f>
        <v/>
      </c>
      <c r="P23" s="20">
        <f>IF(OR(B23="",AsOfWeek=""),"",IFERROR(SUMIFS($M$5:$M$504,$B$5:$B$504,B23,$C$5:$C$504,C23,$L$5:$L$504,TRUE,$F$5:$F$504,"&gt;="&amp;AsOfWeek-7*(RecentWeeks-1),$F$5:$F$504,"&lt;="&amp;AsOfWeek),""))</f>
        <v/>
      </c>
      <c r="Q23" s="20">
        <f>IF(OR(B23="",AsOfWeek=""),"",IFERROR(SUMIFS($M$5:$M$504,$B$5:$B$504,B23,$C$5:$C$504,C23,$L$5:$L$504,TRUE,$F$5:$F$504,"&gt;="&amp;AsOfWeek-7*(RecentWeeks+PriorWeeks-1),$F$5:$F$504,"&lt;"&amp;AsOfWeek-7*(RecentWeeks-1)),""))</f>
        <v/>
      </c>
      <c r="R23" s="21">
        <f>IF(OR(P23="",Q23="",Q23=0),"",P23/Q23-1)</f>
        <v/>
      </c>
      <c r="S23" s="20">
        <f>IF(OR(C23="",AsOfWeek=""),"",IFERROR(AVERAGEIFS($M$5:$M$504,$C$5:$C$504,C23,$L$5:$L$504,TRUE,$F$5:$F$504,"&gt;="&amp;AsOfWeek-7*(RecentWeeks-1),$F$5:$F$504,"&lt;="&amp;AsOfWeek),""))</f>
        <v/>
      </c>
      <c r="T23" s="21">
        <f>IF(OR(P23="",S23=""),"",P23/S23-1)</f>
        <v/>
      </c>
      <c r="U23" s="22">
        <f>IF(OR(B23="",'Weekly Input'!G23="",P23="",P23=0),"",'Weekly Input'!G23/P23)</f>
        <v/>
      </c>
      <c r="V23" s="18">
        <f>IF(B23="","",IF(NOT(I23),"Not Ready",IF(NOT(K23),"Not Ready",IF(N23&lt;MinHistory,"Not Ready",IF(NOT(J23),"Not Ready",IF(OR(Q23="",Q23=0),"Noise",IF(Q23&lt;LowBaseThreshold,"Noise",IF(AND(R23&lt;=-OwnDecline,T23&lt;=-PeerGapThreshold),"Markdown Review",IF(AND(R23&gt;=ReorderUplift,U23&lt;&gt;"",U23&lt;=WeeksSupplyCap),"Reorder Candidate","Monitor"))))))))</f>
        <v/>
      </c>
      <c r="W23" s="18">
        <f>IF(B23="","",IF(NOT(I23),"INVALID_MASTER",IF(NOT(K23),"INCOMPLETE_SHELF_CYCLE",IF(N23&lt;MinHistory,"INSUFFICIENT_HISTORY",IF(NOT(J23),"INSUFFICIENT_IN_STOCK",IF(OR(Q23="",Q23=0),"NO_PRIOR_BASE",IF(Q23&lt;LowBaseThreshold,"LOW_BASE_NOISE",IF(V23="Markdown Review","MARKDOWN_PEER_GAP",IF(V23="Reorder Candidate","REORDER_UPLIFT_COVER","NO_MATERIAL_CHANGE"))))))))</f>
        <v/>
      </c>
      <c r="X23" s="18">
        <f>IF(V23="Markdown Review","Markdown support",IF(V23="Reorder Candidate","Second reorder",IF(V23="Monitor","Monitor",IF(V23="Noise","Hold / collect data",IF(V23="Not Ready","Not ready","")))))</f>
        <v/>
      </c>
      <c r="Y23" s="18">
        <f>IF(OR(R23="",T23=""),"",ABS(R23)+ABS(T23))</f>
        <v/>
      </c>
      <c r="Z23" s="21">
        <f>IF(OR(B23="",NOT(O23),R23=""),"",IF(ABS(R23)&gt;=MaterialThreshold,"Yes","No"))</f>
        <v/>
      </c>
      <c r="AA23" s="18">
        <f>IF(Z23&lt;&gt;"Yes","",IF(ABS(R23)&gt;=MaterialThreshold,IF(ABS(R23)&gt;=BroadShare,"Broad SKU movement","Store-concentrated movement"),""))</f>
        <v/>
      </c>
      <c r="AB23" s="18">
        <f>IF(O23,IF(COUNTIFS($O$5:O23,TRUE)&gt;0,COUNTIFS($O$5:O23,TRUE),0),0)</f>
        <v/>
      </c>
      <c r="AC23" s="18">
        <f>IF(V23="Markdown Review",1,IF(V23="Reorder Candidate",2,IF(V23="Monitor",3,IF(V23="Noise",4,IF(V23="Not Ready",5,99)))))</f>
        <v/>
      </c>
      <c r="AD23" s="18">
        <f>IF(O23,COUNTIFS($O$5:$O$504,TRUE,$AC$5:$AC$504,"&lt;"&amp;AC23)+COUNTIFS($O$5:O23,TRUE,$AC$5:AC23,AC23,$Y$5:Y23,"&gt;"&amp;Y23),0)</f>
        <v/>
      </c>
    </row>
    <row r="24">
      <c r="A24" s="17">
        <f>IF(COUNTA('Weekly Input'!A24:C24)=0,"",'Weekly Input'!B24&amp;"|"&amp;'Weekly Input'!C24&amp;"|"&amp;TEXT('Weekly Input'!A24,"yyyy-mm-dd"))</f>
        <v/>
      </c>
      <c r="B24" s="18">
        <f>'Weekly Input'!B24</f>
        <v/>
      </c>
      <c r="C24" s="18">
        <f>'Weekly Input'!C24</f>
        <v/>
      </c>
      <c r="D24" s="18">
        <f>IF(B24="","",IFERROR(INDEX('Master Data'!$B$6:$B$145,MATCH(B24,'Master Data'!$A$6:$A$145,0)),""))</f>
        <v/>
      </c>
      <c r="E24" s="18">
        <f>IF(C24="","",IFERROR(INDEX('Master Data'!$H$6:$H$13,MATCH(C24,'Master Data'!$F$6:$F$13,0)),""))</f>
        <v/>
      </c>
      <c r="F24" s="19">
        <f>'Weekly Input'!A24</f>
        <v/>
      </c>
      <c r="G24" s="19">
        <f>IF(B24="","",IFERROR(INDEX('Master Data'!$D$6:$D$145,MATCH(B24,'Master Data'!$A$6:$A$145,0)),""))</f>
        <v/>
      </c>
      <c r="H24" s="18">
        <f>IF(OR(F24="",G24=""),"",F24-G24)</f>
        <v/>
      </c>
      <c r="I24" s="18">
        <f>IF(B24="","",IF('Weekly Input'!J24="OK",TRUE,FALSE))</f>
        <v/>
      </c>
      <c r="J24" s="18">
        <f>IF(B24="","",'Weekly Input'!H24&gt;=MinInStockDays)</f>
        <v/>
      </c>
      <c r="K24" s="18">
        <f>IF(B24="","",H24&gt;=FullCycleMin)</f>
        <v/>
      </c>
      <c r="L24" s="18">
        <f>IF(B24="","",AND(I24,J24,K24,N24&gt;=MinHistory))</f>
        <v/>
      </c>
      <c r="M24" s="20">
        <f>IF(OR(B24="",'Weekly Input'!H24=0),"",'Weekly Input'!D24/'Weekly Input'!H24*7)</f>
        <v/>
      </c>
      <c r="N24" s="18">
        <f>IF(B24="","",COUNTIFS($B$5:$B$504,B24,$C$5:$C$504,C24,$I$5:$I$504,TRUE,$J$5:$J$504,TRUE,$K$5:$K$504,TRUE))</f>
        <v/>
      </c>
      <c r="O24" s="18">
        <f>IF(B24="","",AND(F24=AsOfWeek,AsOfWeek&lt;&gt;""))</f>
        <v/>
      </c>
      <c r="P24" s="20">
        <f>IF(OR(B24="",AsOfWeek=""),"",IFERROR(SUMIFS($M$5:$M$504,$B$5:$B$504,B24,$C$5:$C$504,C24,$L$5:$L$504,TRUE,$F$5:$F$504,"&gt;="&amp;AsOfWeek-7*(RecentWeeks-1),$F$5:$F$504,"&lt;="&amp;AsOfWeek),""))</f>
        <v/>
      </c>
      <c r="Q24" s="20">
        <f>IF(OR(B24="",AsOfWeek=""),"",IFERROR(SUMIFS($M$5:$M$504,$B$5:$B$504,B24,$C$5:$C$504,C24,$L$5:$L$504,TRUE,$F$5:$F$504,"&gt;="&amp;AsOfWeek-7*(RecentWeeks+PriorWeeks-1),$F$5:$F$504,"&lt;"&amp;AsOfWeek-7*(RecentWeeks-1)),""))</f>
        <v/>
      </c>
      <c r="R24" s="21">
        <f>IF(OR(P24="",Q24="",Q24=0),"",P24/Q24-1)</f>
        <v/>
      </c>
      <c r="S24" s="20">
        <f>IF(OR(C24="",AsOfWeek=""),"",IFERROR(AVERAGEIFS($M$5:$M$504,$C$5:$C$504,C24,$L$5:$L$504,TRUE,$F$5:$F$504,"&gt;="&amp;AsOfWeek-7*(RecentWeeks-1),$F$5:$F$504,"&lt;="&amp;AsOfWeek),""))</f>
        <v/>
      </c>
      <c r="T24" s="21">
        <f>IF(OR(P24="",S24=""),"",P24/S24-1)</f>
        <v/>
      </c>
      <c r="U24" s="22">
        <f>IF(OR(B24="",'Weekly Input'!G24="",P24="",P24=0),"",'Weekly Input'!G24/P24)</f>
        <v/>
      </c>
      <c r="V24" s="18">
        <f>IF(B24="","",IF(NOT(I24),"Not Ready",IF(NOT(K24),"Not Ready",IF(N24&lt;MinHistory,"Not Ready",IF(NOT(J24),"Not Ready",IF(OR(Q24="",Q24=0),"Noise",IF(Q24&lt;LowBaseThreshold,"Noise",IF(AND(R24&lt;=-OwnDecline,T24&lt;=-PeerGapThreshold),"Markdown Review",IF(AND(R24&gt;=ReorderUplift,U24&lt;&gt;"",U24&lt;=WeeksSupplyCap),"Reorder Candidate","Monitor"))))))))</f>
        <v/>
      </c>
      <c r="W24" s="18">
        <f>IF(B24="","",IF(NOT(I24),"INVALID_MASTER",IF(NOT(K24),"INCOMPLETE_SHELF_CYCLE",IF(N24&lt;MinHistory,"INSUFFICIENT_HISTORY",IF(NOT(J24),"INSUFFICIENT_IN_STOCK",IF(OR(Q24="",Q24=0),"NO_PRIOR_BASE",IF(Q24&lt;LowBaseThreshold,"LOW_BASE_NOISE",IF(V24="Markdown Review","MARKDOWN_PEER_GAP",IF(V24="Reorder Candidate","REORDER_UPLIFT_COVER","NO_MATERIAL_CHANGE"))))))))</f>
        <v/>
      </c>
      <c r="X24" s="18">
        <f>IF(V24="Markdown Review","Markdown support",IF(V24="Reorder Candidate","Second reorder",IF(V24="Monitor","Monitor",IF(V24="Noise","Hold / collect data",IF(V24="Not Ready","Not ready","")))))</f>
        <v/>
      </c>
      <c r="Y24" s="18">
        <f>IF(OR(R24="",T24=""),"",ABS(R24)+ABS(T24))</f>
        <v/>
      </c>
      <c r="Z24" s="21">
        <f>IF(OR(B24="",NOT(O24),R24=""),"",IF(ABS(R24)&gt;=MaterialThreshold,"Yes","No"))</f>
        <v/>
      </c>
      <c r="AA24" s="18">
        <f>IF(Z24&lt;&gt;"Yes","",IF(ABS(R24)&gt;=MaterialThreshold,IF(ABS(R24)&gt;=BroadShare,"Broad SKU movement","Store-concentrated movement"),""))</f>
        <v/>
      </c>
      <c r="AB24" s="18">
        <f>IF(O24,IF(COUNTIFS($O$5:O24,TRUE)&gt;0,COUNTIFS($O$5:O24,TRUE),0),0)</f>
        <v/>
      </c>
      <c r="AC24" s="18">
        <f>IF(V24="Markdown Review",1,IF(V24="Reorder Candidate",2,IF(V24="Monitor",3,IF(V24="Noise",4,IF(V24="Not Ready",5,99)))))</f>
        <v/>
      </c>
      <c r="AD24" s="18">
        <f>IF(O24,COUNTIFS($O$5:$O$504,TRUE,$AC$5:$AC$504,"&lt;"&amp;AC24)+COUNTIFS($O$5:O24,TRUE,$AC$5:AC24,AC24,$Y$5:Y24,"&gt;"&amp;Y24),0)</f>
        <v/>
      </c>
    </row>
    <row r="25">
      <c r="A25" s="17">
        <f>IF(COUNTA('Weekly Input'!A25:C25)=0,"",'Weekly Input'!B25&amp;"|"&amp;'Weekly Input'!C25&amp;"|"&amp;TEXT('Weekly Input'!A25,"yyyy-mm-dd"))</f>
        <v/>
      </c>
      <c r="B25" s="18">
        <f>'Weekly Input'!B25</f>
        <v/>
      </c>
      <c r="C25" s="18">
        <f>'Weekly Input'!C25</f>
        <v/>
      </c>
      <c r="D25" s="18">
        <f>IF(B25="","",IFERROR(INDEX('Master Data'!$B$6:$B$145,MATCH(B25,'Master Data'!$A$6:$A$145,0)),""))</f>
        <v/>
      </c>
      <c r="E25" s="18">
        <f>IF(C25="","",IFERROR(INDEX('Master Data'!$H$6:$H$13,MATCH(C25,'Master Data'!$F$6:$F$13,0)),""))</f>
        <v/>
      </c>
      <c r="F25" s="19">
        <f>'Weekly Input'!A25</f>
        <v/>
      </c>
      <c r="G25" s="19">
        <f>IF(B25="","",IFERROR(INDEX('Master Data'!$D$6:$D$145,MATCH(B25,'Master Data'!$A$6:$A$145,0)),""))</f>
        <v/>
      </c>
      <c r="H25" s="18">
        <f>IF(OR(F25="",G25=""),"",F25-G25)</f>
        <v/>
      </c>
      <c r="I25" s="18">
        <f>IF(B25="","",IF('Weekly Input'!J25="OK",TRUE,FALSE))</f>
        <v/>
      </c>
      <c r="J25" s="18">
        <f>IF(B25="","",'Weekly Input'!H25&gt;=MinInStockDays)</f>
        <v/>
      </c>
      <c r="K25" s="18">
        <f>IF(B25="","",H25&gt;=FullCycleMin)</f>
        <v/>
      </c>
      <c r="L25" s="18">
        <f>IF(B25="","",AND(I25,J25,K25,N25&gt;=MinHistory))</f>
        <v/>
      </c>
      <c r="M25" s="20">
        <f>IF(OR(B25="",'Weekly Input'!H25=0),"",'Weekly Input'!D25/'Weekly Input'!H25*7)</f>
        <v/>
      </c>
      <c r="N25" s="18">
        <f>IF(B25="","",COUNTIFS($B$5:$B$504,B25,$C$5:$C$504,C25,$I$5:$I$504,TRUE,$J$5:$J$504,TRUE,$K$5:$K$504,TRUE))</f>
        <v/>
      </c>
      <c r="O25" s="18">
        <f>IF(B25="","",AND(F25=AsOfWeek,AsOfWeek&lt;&gt;""))</f>
        <v/>
      </c>
      <c r="P25" s="20">
        <f>IF(OR(B25="",AsOfWeek=""),"",IFERROR(SUMIFS($M$5:$M$504,$B$5:$B$504,B25,$C$5:$C$504,C25,$L$5:$L$504,TRUE,$F$5:$F$504,"&gt;="&amp;AsOfWeek-7*(RecentWeeks-1),$F$5:$F$504,"&lt;="&amp;AsOfWeek),""))</f>
        <v/>
      </c>
      <c r="Q25" s="20">
        <f>IF(OR(B25="",AsOfWeek=""),"",IFERROR(SUMIFS($M$5:$M$504,$B$5:$B$504,B25,$C$5:$C$504,C25,$L$5:$L$504,TRUE,$F$5:$F$504,"&gt;="&amp;AsOfWeek-7*(RecentWeeks+PriorWeeks-1),$F$5:$F$504,"&lt;"&amp;AsOfWeek-7*(RecentWeeks-1)),""))</f>
        <v/>
      </c>
      <c r="R25" s="21">
        <f>IF(OR(P25="",Q25="",Q25=0),"",P25/Q25-1)</f>
        <v/>
      </c>
      <c r="S25" s="20">
        <f>IF(OR(C25="",AsOfWeek=""),"",IFERROR(AVERAGEIFS($M$5:$M$504,$C$5:$C$504,C25,$L$5:$L$504,TRUE,$F$5:$F$504,"&gt;="&amp;AsOfWeek-7*(RecentWeeks-1),$F$5:$F$504,"&lt;="&amp;AsOfWeek),""))</f>
        <v/>
      </c>
      <c r="T25" s="21">
        <f>IF(OR(P25="",S25=""),"",P25/S25-1)</f>
        <v/>
      </c>
      <c r="U25" s="22">
        <f>IF(OR(B25="",'Weekly Input'!G25="",P25="",P25=0),"",'Weekly Input'!G25/P25)</f>
        <v/>
      </c>
      <c r="V25" s="18">
        <f>IF(B25="","",IF(NOT(I25),"Not Ready",IF(NOT(K25),"Not Ready",IF(N25&lt;MinHistory,"Not Ready",IF(NOT(J25),"Not Ready",IF(OR(Q25="",Q25=0),"Noise",IF(Q25&lt;LowBaseThreshold,"Noise",IF(AND(R25&lt;=-OwnDecline,T25&lt;=-PeerGapThreshold),"Markdown Review",IF(AND(R25&gt;=ReorderUplift,U25&lt;&gt;"",U25&lt;=WeeksSupplyCap),"Reorder Candidate","Monitor"))))))))</f>
        <v/>
      </c>
      <c r="W25" s="18">
        <f>IF(B25="","",IF(NOT(I25),"INVALID_MASTER",IF(NOT(K25),"INCOMPLETE_SHELF_CYCLE",IF(N25&lt;MinHistory,"INSUFFICIENT_HISTORY",IF(NOT(J25),"INSUFFICIENT_IN_STOCK",IF(OR(Q25="",Q25=0),"NO_PRIOR_BASE",IF(Q25&lt;LowBaseThreshold,"LOW_BASE_NOISE",IF(V25="Markdown Review","MARKDOWN_PEER_GAP",IF(V25="Reorder Candidate","REORDER_UPLIFT_COVER","NO_MATERIAL_CHANGE"))))))))</f>
        <v/>
      </c>
      <c r="X25" s="18">
        <f>IF(V25="Markdown Review","Markdown support",IF(V25="Reorder Candidate","Second reorder",IF(V25="Monitor","Monitor",IF(V25="Noise","Hold / collect data",IF(V25="Not Ready","Not ready","")))))</f>
        <v/>
      </c>
      <c r="Y25" s="18">
        <f>IF(OR(R25="",T25=""),"",ABS(R25)+ABS(T25))</f>
        <v/>
      </c>
      <c r="Z25" s="21">
        <f>IF(OR(B25="",NOT(O25),R25=""),"",IF(ABS(R25)&gt;=MaterialThreshold,"Yes","No"))</f>
        <v/>
      </c>
      <c r="AA25" s="18">
        <f>IF(Z25&lt;&gt;"Yes","",IF(ABS(R25)&gt;=MaterialThreshold,IF(ABS(R25)&gt;=BroadShare,"Broad SKU movement","Store-concentrated movement"),""))</f>
        <v/>
      </c>
      <c r="AB25" s="18">
        <f>IF(O25,IF(COUNTIFS($O$5:O25,TRUE)&gt;0,COUNTIFS($O$5:O25,TRUE),0),0)</f>
        <v/>
      </c>
      <c r="AC25" s="18">
        <f>IF(V25="Markdown Review",1,IF(V25="Reorder Candidate",2,IF(V25="Monitor",3,IF(V25="Noise",4,IF(V25="Not Ready",5,99)))))</f>
        <v/>
      </c>
      <c r="AD25" s="18">
        <f>IF(O25,COUNTIFS($O$5:$O$504,TRUE,$AC$5:$AC$504,"&lt;"&amp;AC25)+COUNTIFS($O$5:O25,TRUE,$AC$5:AC25,AC25,$Y$5:Y25,"&gt;"&amp;Y25),0)</f>
        <v/>
      </c>
    </row>
    <row r="26">
      <c r="A26" s="17">
        <f>IF(COUNTA('Weekly Input'!A26:C26)=0,"",'Weekly Input'!B26&amp;"|"&amp;'Weekly Input'!C26&amp;"|"&amp;TEXT('Weekly Input'!A26,"yyyy-mm-dd"))</f>
        <v/>
      </c>
      <c r="B26" s="18">
        <f>'Weekly Input'!B26</f>
        <v/>
      </c>
      <c r="C26" s="18">
        <f>'Weekly Input'!C26</f>
        <v/>
      </c>
      <c r="D26" s="18">
        <f>IF(B26="","",IFERROR(INDEX('Master Data'!$B$6:$B$145,MATCH(B26,'Master Data'!$A$6:$A$145,0)),""))</f>
        <v/>
      </c>
      <c r="E26" s="18">
        <f>IF(C26="","",IFERROR(INDEX('Master Data'!$H$6:$H$13,MATCH(C26,'Master Data'!$F$6:$F$13,0)),""))</f>
        <v/>
      </c>
      <c r="F26" s="19">
        <f>'Weekly Input'!A26</f>
        <v/>
      </c>
      <c r="G26" s="19">
        <f>IF(B26="","",IFERROR(INDEX('Master Data'!$D$6:$D$145,MATCH(B26,'Master Data'!$A$6:$A$145,0)),""))</f>
        <v/>
      </c>
      <c r="H26" s="18">
        <f>IF(OR(F26="",G26=""),"",F26-G26)</f>
        <v/>
      </c>
      <c r="I26" s="18">
        <f>IF(B26="","",IF('Weekly Input'!J26="OK",TRUE,FALSE))</f>
        <v/>
      </c>
      <c r="J26" s="18">
        <f>IF(B26="","",'Weekly Input'!H26&gt;=MinInStockDays)</f>
        <v/>
      </c>
      <c r="K26" s="18">
        <f>IF(B26="","",H26&gt;=FullCycleMin)</f>
        <v/>
      </c>
      <c r="L26" s="18">
        <f>IF(B26="","",AND(I26,J26,K26,N26&gt;=MinHistory))</f>
        <v/>
      </c>
      <c r="M26" s="20">
        <f>IF(OR(B26="",'Weekly Input'!H26=0),"",'Weekly Input'!D26/'Weekly Input'!H26*7)</f>
        <v/>
      </c>
      <c r="N26" s="18">
        <f>IF(B26="","",COUNTIFS($B$5:$B$504,B26,$C$5:$C$504,C26,$I$5:$I$504,TRUE,$J$5:$J$504,TRUE,$K$5:$K$504,TRUE))</f>
        <v/>
      </c>
      <c r="O26" s="18">
        <f>IF(B26="","",AND(F26=AsOfWeek,AsOfWeek&lt;&gt;""))</f>
        <v/>
      </c>
      <c r="P26" s="20">
        <f>IF(OR(B26="",AsOfWeek=""),"",IFERROR(SUMIFS($M$5:$M$504,$B$5:$B$504,B26,$C$5:$C$504,C26,$L$5:$L$504,TRUE,$F$5:$F$504,"&gt;="&amp;AsOfWeek-7*(RecentWeeks-1),$F$5:$F$504,"&lt;="&amp;AsOfWeek),""))</f>
        <v/>
      </c>
      <c r="Q26" s="20">
        <f>IF(OR(B26="",AsOfWeek=""),"",IFERROR(SUMIFS($M$5:$M$504,$B$5:$B$504,B26,$C$5:$C$504,C26,$L$5:$L$504,TRUE,$F$5:$F$504,"&gt;="&amp;AsOfWeek-7*(RecentWeeks+PriorWeeks-1),$F$5:$F$504,"&lt;"&amp;AsOfWeek-7*(RecentWeeks-1)),""))</f>
        <v/>
      </c>
      <c r="R26" s="21">
        <f>IF(OR(P26="",Q26="",Q26=0),"",P26/Q26-1)</f>
        <v/>
      </c>
      <c r="S26" s="20">
        <f>IF(OR(C26="",AsOfWeek=""),"",IFERROR(AVERAGEIFS($M$5:$M$504,$C$5:$C$504,C26,$L$5:$L$504,TRUE,$F$5:$F$504,"&gt;="&amp;AsOfWeek-7*(RecentWeeks-1),$F$5:$F$504,"&lt;="&amp;AsOfWeek),""))</f>
        <v/>
      </c>
      <c r="T26" s="21">
        <f>IF(OR(P26="",S26=""),"",P26/S26-1)</f>
        <v/>
      </c>
      <c r="U26" s="22">
        <f>IF(OR(B26="",'Weekly Input'!G26="",P26="",P26=0),"",'Weekly Input'!G26/P26)</f>
        <v/>
      </c>
      <c r="V26" s="18">
        <f>IF(B26="","",IF(NOT(I26),"Not Ready",IF(NOT(K26),"Not Ready",IF(N26&lt;MinHistory,"Not Ready",IF(NOT(J26),"Not Ready",IF(OR(Q26="",Q26=0),"Noise",IF(Q26&lt;LowBaseThreshold,"Noise",IF(AND(R26&lt;=-OwnDecline,T26&lt;=-PeerGapThreshold),"Markdown Review",IF(AND(R26&gt;=ReorderUplift,U26&lt;&gt;"",U26&lt;=WeeksSupplyCap),"Reorder Candidate","Monitor"))))))))</f>
        <v/>
      </c>
      <c r="W26" s="18">
        <f>IF(B26="","",IF(NOT(I26),"INVALID_MASTER",IF(NOT(K26),"INCOMPLETE_SHELF_CYCLE",IF(N26&lt;MinHistory,"INSUFFICIENT_HISTORY",IF(NOT(J26),"INSUFFICIENT_IN_STOCK",IF(OR(Q26="",Q26=0),"NO_PRIOR_BASE",IF(Q26&lt;LowBaseThreshold,"LOW_BASE_NOISE",IF(V26="Markdown Review","MARKDOWN_PEER_GAP",IF(V26="Reorder Candidate","REORDER_UPLIFT_COVER","NO_MATERIAL_CHANGE"))))))))</f>
        <v/>
      </c>
      <c r="X26" s="18">
        <f>IF(V26="Markdown Review","Markdown support",IF(V26="Reorder Candidate","Second reorder",IF(V26="Monitor","Monitor",IF(V26="Noise","Hold / collect data",IF(V26="Not Ready","Not ready","")))))</f>
        <v/>
      </c>
      <c r="Y26" s="18">
        <f>IF(OR(R26="",T26=""),"",ABS(R26)+ABS(T26))</f>
        <v/>
      </c>
      <c r="Z26" s="21">
        <f>IF(OR(B26="",NOT(O26),R26=""),"",IF(ABS(R26)&gt;=MaterialThreshold,"Yes","No"))</f>
        <v/>
      </c>
      <c r="AA26" s="18">
        <f>IF(Z26&lt;&gt;"Yes","",IF(ABS(R26)&gt;=MaterialThreshold,IF(ABS(R26)&gt;=BroadShare,"Broad SKU movement","Store-concentrated movement"),""))</f>
        <v/>
      </c>
      <c r="AB26" s="18">
        <f>IF(O26,IF(COUNTIFS($O$5:O26,TRUE)&gt;0,COUNTIFS($O$5:O26,TRUE),0),0)</f>
        <v/>
      </c>
      <c r="AC26" s="18">
        <f>IF(V26="Markdown Review",1,IF(V26="Reorder Candidate",2,IF(V26="Monitor",3,IF(V26="Noise",4,IF(V26="Not Ready",5,99)))))</f>
        <v/>
      </c>
      <c r="AD26" s="18">
        <f>IF(O26,COUNTIFS($O$5:$O$504,TRUE,$AC$5:$AC$504,"&lt;"&amp;AC26)+COUNTIFS($O$5:O26,TRUE,$AC$5:AC26,AC26,$Y$5:Y26,"&gt;"&amp;Y26),0)</f>
        <v/>
      </c>
    </row>
    <row r="27">
      <c r="A27" s="17">
        <f>IF(COUNTA('Weekly Input'!A27:C27)=0,"",'Weekly Input'!B27&amp;"|"&amp;'Weekly Input'!C27&amp;"|"&amp;TEXT('Weekly Input'!A27,"yyyy-mm-dd"))</f>
        <v/>
      </c>
      <c r="B27" s="18">
        <f>'Weekly Input'!B27</f>
        <v/>
      </c>
      <c r="C27" s="18">
        <f>'Weekly Input'!C27</f>
        <v/>
      </c>
      <c r="D27" s="18">
        <f>IF(B27="","",IFERROR(INDEX('Master Data'!$B$6:$B$145,MATCH(B27,'Master Data'!$A$6:$A$145,0)),""))</f>
        <v/>
      </c>
      <c r="E27" s="18">
        <f>IF(C27="","",IFERROR(INDEX('Master Data'!$H$6:$H$13,MATCH(C27,'Master Data'!$F$6:$F$13,0)),""))</f>
        <v/>
      </c>
      <c r="F27" s="19">
        <f>'Weekly Input'!A27</f>
        <v/>
      </c>
      <c r="G27" s="19">
        <f>IF(B27="","",IFERROR(INDEX('Master Data'!$D$6:$D$145,MATCH(B27,'Master Data'!$A$6:$A$145,0)),""))</f>
        <v/>
      </c>
      <c r="H27" s="18">
        <f>IF(OR(F27="",G27=""),"",F27-G27)</f>
        <v/>
      </c>
      <c r="I27" s="18">
        <f>IF(B27="","",IF('Weekly Input'!J27="OK",TRUE,FALSE))</f>
        <v/>
      </c>
      <c r="J27" s="18">
        <f>IF(B27="","",'Weekly Input'!H27&gt;=MinInStockDays)</f>
        <v/>
      </c>
      <c r="K27" s="18">
        <f>IF(B27="","",H27&gt;=FullCycleMin)</f>
        <v/>
      </c>
      <c r="L27" s="18">
        <f>IF(B27="","",AND(I27,J27,K27,N27&gt;=MinHistory))</f>
        <v/>
      </c>
      <c r="M27" s="20">
        <f>IF(OR(B27="",'Weekly Input'!H27=0),"",'Weekly Input'!D27/'Weekly Input'!H27*7)</f>
        <v/>
      </c>
      <c r="N27" s="18">
        <f>IF(B27="","",COUNTIFS($B$5:$B$504,B27,$C$5:$C$504,C27,$I$5:$I$504,TRUE,$J$5:$J$504,TRUE,$K$5:$K$504,TRUE))</f>
        <v/>
      </c>
      <c r="O27" s="18">
        <f>IF(B27="","",AND(F27=AsOfWeek,AsOfWeek&lt;&gt;""))</f>
        <v/>
      </c>
      <c r="P27" s="20">
        <f>IF(OR(B27="",AsOfWeek=""),"",IFERROR(SUMIFS($M$5:$M$504,$B$5:$B$504,B27,$C$5:$C$504,C27,$L$5:$L$504,TRUE,$F$5:$F$504,"&gt;="&amp;AsOfWeek-7*(RecentWeeks-1),$F$5:$F$504,"&lt;="&amp;AsOfWeek),""))</f>
        <v/>
      </c>
      <c r="Q27" s="20">
        <f>IF(OR(B27="",AsOfWeek=""),"",IFERROR(SUMIFS($M$5:$M$504,$B$5:$B$504,B27,$C$5:$C$504,C27,$L$5:$L$504,TRUE,$F$5:$F$504,"&gt;="&amp;AsOfWeek-7*(RecentWeeks+PriorWeeks-1),$F$5:$F$504,"&lt;"&amp;AsOfWeek-7*(RecentWeeks-1)),""))</f>
        <v/>
      </c>
      <c r="R27" s="21">
        <f>IF(OR(P27="",Q27="",Q27=0),"",P27/Q27-1)</f>
        <v/>
      </c>
      <c r="S27" s="20">
        <f>IF(OR(C27="",AsOfWeek=""),"",IFERROR(AVERAGEIFS($M$5:$M$504,$C$5:$C$504,C27,$L$5:$L$504,TRUE,$F$5:$F$504,"&gt;="&amp;AsOfWeek-7*(RecentWeeks-1),$F$5:$F$504,"&lt;="&amp;AsOfWeek),""))</f>
        <v/>
      </c>
      <c r="T27" s="21">
        <f>IF(OR(P27="",S27=""),"",P27/S27-1)</f>
        <v/>
      </c>
      <c r="U27" s="22">
        <f>IF(OR(B27="",'Weekly Input'!G27="",P27="",P27=0),"",'Weekly Input'!G27/P27)</f>
        <v/>
      </c>
      <c r="V27" s="18">
        <f>IF(B27="","",IF(NOT(I27),"Not Ready",IF(NOT(K27),"Not Ready",IF(N27&lt;MinHistory,"Not Ready",IF(NOT(J27),"Not Ready",IF(OR(Q27="",Q27=0),"Noise",IF(Q27&lt;LowBaseThreshold,"Noise",IF(AND(R27&lt;=-OwnDecline,T27&lt;=-PeerGapThreshold),"Markdown Review",IF(AND(R27&gt;=ReorderUplift,U27&lt;&gt;"",U27&lt;=WeeksSupplyCap),"Reorder Candidate","Monitor"))))))))</f>
        <v/>
      </c>
      <c r="W27" s="18">
        <f>IF(B27="","",IF(NOT(I27),"INVALID_MASTER",IF(NOT(K27),"INCOMPLETE_SHELF_CYCLE",IF(N27&lt;MinHistory,"INSUFFICIENT_HISTORY",IF(NOT(J27),"INSUFFICIENT_IN_STOCK",IF(OR(Q27="",Q27=0),"NO_PRIOR_BASE",IF(Q27&lt;LowBaseThreshold,"LOW_BASE_NOISE",IF(V27="Markdown Review","MARKDOWN_PEER_GAP",IF(V27="Reorder Candidate","REORDER_UPLIFT_COVER","NO_MATERIAL_CHANGE"))))))))</f>
        <v/>
      </c>
      <c r="X27" s="18">
        <f>IF(V27="Markdown Review","Markdown support",IF(V27="Reorder Candidate","Second reorder",IF(V27="Monitor","Monitor",IF(V27="Noise","Hold / collect data",IF(V27="Not Ready","Not ready","")))))</f>
        <v/>
      </c>
      <c r="Y27" s="18">
        <f>IF(OR(R27="",T27=""),"",ABS(R27)+ABS(T27))</f>
        <v/>
      </c>
      <c r="Z27" s="21">
        <f>IF(OR(B27="",NOT(O27),R27=""),"",IF(ABS(R27)&gt;=MaterialThreshold,"Yes","No"))</f>
        <v/>
      </c>
      <c r="AA27" s="18">
        <f>IF(Z27&lt;&gt;"Yes","",IF(ABS(R27)&gt;=MaterialThreshold,IF(ABS(R27)&gt;=BroadShare,"Broad SKU movement","Store-concentrated movement"),""))</f>
        <v/>
      </c>
      <c r="AB27" s="18">
        <f>IF(O27,IF(COUNTIFS($O$5:O27,TRUE)&gt;0,COUNTIFS($O$5:O27,TRUE),0),0)</f>
        <v/>
      </c>
      <c r="AC27" s="18">
        <f>IF(V27="Markdown Review",1,IF(V27="Reorder Candidate",2,IF(V27="Monitor",3,IF(V27="Noise",4,IF(V27="Not Ready",5,99)))))</f>
        <v/>
      </c>
      <c r="AD27" s="18">
        <f>IF(O27,COUNTIFS($O$5:$O$504,TRUE,$AC$5:$AC$504,"&lt;"&amp;AC27)+COUNTIFS($O$5:O27,TRUE,$AC$5:AC27,AC27,$Y$5:Y27,"&gt;"&amp;Y27),0)</f>
        <v/>
      </c>
    </row>
    <row r="28">
      <c r="A28" s="17">
        <f>IF(COUNTA('Weekly Input'!A28:C28)=0,"",'Weekly Input'!B28&amp;"|"&amp;'Weekly Input'!C28&amp;"|"&amp;TEXT('Weekly Input'!A28,"yyyy-mm-dd"))</f>
        <v/>
      </c>
      <c r="B28" s="18">
        <f>'Weekly Input'!B28</f>
        <v/>
      </c>
      <c r="C28" s="18">
        <f>'Weekly Input'!C28</f>
        <v/>
      </c>
      <c r="D28" s="18">
        <f>IF(B28="","",IFERROR(INDEX('Master Data'!$B$6:$B$145,MATCH(B28,'Master Data'!$A$6:$A$145,0)),""))</f>
        <v/>
      </c>
      <c r="E28" s="18">
        <f>IF(C28="","",IFERROR(INDEX('Master Data'!$H$6:$H$13,MATCH(C28,'Master Data'!$F$6:$F$13,0)),""))</f>
        <v/>
      </c>
      <c r="F28" s="19">
        <f>'Weekly Input'!A28</f>
        <v/>
      </c>
      <c r="G28" s="19">
        <f>IF(B28="","",IFERROR(INDEX('Master Data'!$D$6:$D$145,MATCH(B28,'Master Data'!$A$6:$A$145,0)),""))</f>
        <v/>
      </c>
      <c r="H28" s="18">
        <f>IF(OR(F28="",G28=""),"",F28-G28)</f>
        <v/>
      </c>
      <c r="I28" s="18">
        <f>IF(B28="","",IF('Weekly Input'!J28="OK",TRUE,FALSE))</f>
        <v/>
      </c>
      <c r="J28" s="18">
        <f>IF(B28="","",'Weekly Input'!H28&gt;=MinInStockDays)</f>
        <v/>
      </c>
      <c r="K28" s="18">
        <f>IF(B28="","",H28&gt;=FullCycleMin)</f>
        <v/>
      </c>
      <c r="L28" s="18">
        <f>IF(B28="","",AND(I28,J28,K28,N28&gt;=MinHistory))</f>
        <v/>
      </c>
      <c r="M28" s="20">
        <f>IF(OR(B28="",'Weekly Input'!H28=0),"",'Weekly Input'!D28/'Weekly Input'!H28*7)</f>
        <v/>
      </c>
      <c r="N28" s="18">
        <f>IF(B28="","",COUNTIFS($B$5:$B$504,B28,$C$5:$C$504,C28,$I$5:$I$504,TRUE,$J$5:$J$504,TRUE,$K$5:$K$504,TRUE))</f>
        <v/>
      </c>
      <c r="O28" s="18">
        <f>IF(B28="","",AND(F28=AsOfWeek,AsOfWeek&lt;&gt;""))</f>
        <v/>
      </c>
      <c r="P28" s="20">
        <f>IF(OR(B28="",AsOfWeek=""),"",IFERROR(SUMIFS($M$5:$M$504,$B$5:$B$504,B28,$C$5:$C$504,C28,$L$5:$L$504,TRUE,$F$5:$F$504,"&gt;="&amp;AsOfWeek-7*(RecentWeeks-1),$F$5:$F$504,"&lt;="&amp;AsOfWeek),""))</f>
        <v/>
      </c>
      <c r="Q28" s="20">
        <f>IF(OR(B28="",AsOfWeek=""),"",IFERROR(SUMIFS($M$5:$M$504,$B$5:$B$504,B28,$C$5:$C$504,C28,$L$5:$L$504,TRUE,$F$5:$F$504,"&gt;="&amp;AsOfWeek-7*(RecentWeeks+PriorWeeks-1),$F$5:$F$504,"&lt;"&amp;AsOfWeek-7*(RecentWeeks-1)),""))</f>
        <v/>
      </c>
      <c r="R28" s="21">
        <f>IF(OR(P28="",Q28="",Q28=0),"",P28/Q28-1)</f>
        <v/>
      </c>
      <c r="S28" s="20">
        <f>IF(OR(C28="",AsOfWeek=""),"",IFERROR(AVERAGEIFS($M$5:$M$504,$C$5:$C$504,C28,$L$5:$L$504,TRUE,$F$5:$F$504,"&gt;="&amp;AsOfWeek-7*(RecentWeeks-1),$F$5:$F$504,"&lt;="&amp;AsOfWeek),""))</f>
        <v/>
      </c>
      <c r="T28" s="21">
        <f>IF(OR(P28="",S28=""),"",P28/S28-1)</f>
        <v/>
      </c>
      <c r="U28" s="22">
        <f>IF(OR(B28="",'Weekly Input'!G28="",P28="",P28=0),"",'Weekly Input'!G28/P28)</f>
        <v/>
      </c>
      <c r="V28" s="18">
        <f>IF(B28="","",IF(NOT(I28),"Not Ready",IF(NOT(K28),"Not Ready",IF(N28&lt;MinHistory,"Not Ready",IF(NOT(J28),"Not Ready",IF(OR(Q28="",Q28=0),"Noise",IF(Q28&lt;LowBaseThreshold,"Noise",IF(AND(R28&lt;=-OwnDecline,T28&lt;=-PeerGapThreshold),"Markdown Review",IF(AND(R28&gt;=ReorderUplift,U28&lt;&gt;"",U28&lt;=WeeksSupplyCap),"Reorder Candidate","Monitor"))))))))</f>
        <v/>
      </c>
      <c r="W28" s="18">
        <f>IF(B28="","",IF(NOT(I28),"INVALID_MASTER",IF(NOT(K28),"INCOMPLETE_SHELF_CYCLE",IF(N28&lt;MinHistory,"INSUFFICIENT_HISTORY",IF(NOT(J28),"INSUFFICIENT_IN_STOCK",IF(OR(Q28="",Q28=0),"NO_PRIOR_BASE",IF(Q28&lt;LowBaseThreshold,"LOW_BASE_NOISE",IF(V28="Markdown Review","MARKDOWN_PEER_GAP",IF(V28="Reorder Candidate","REORDER_UPLIFT_COVER","NO_MATERIAL_CHANGE"))))))))</f>
        <v/>
      </c>
      <c r="X28" s="18">
        <f>IF(V28="Markdown Review","Markdown support",IF(V28="Reorder Candidate","Second reorder",IF(V28="Monitor","Monitor",IF(V28="Noise","Hold / collect data",IF(V28="Not Ready","Not ready","")))))</f>
        <v/>
      </c>
      <c r="Y28" s="18">
        <f>IF(OR(R28="",T28=""),"",ABS(R28)+ABS(T28))</f>
        <v/>
      </c>
      <c r="Z28" s="21">
        <f>IF(OR(B28="",NOT(O28),R28=""),"",IF(ABS(R28)&gt;=MaterialThreshold,"Yes","No"))</f>
        <v/>
      </c>
      <c r="AA28" s="18">
        <f>IF(Z28&lt;&gt;"Yes","",IF(ABS(R28)&gt;=MaterialThreshold,IF(ABS(R28)&gt;=BroadShare,"Broad SKU movement","Store-concentrated movement"),""))</f>
        <v/>
      </c>
      <c r="AB28" s="18">
        <f>IF(O28,IF(COUNTIFS($O$5:O28,TRUE)&gt;0,COUNTIFS($O$5:O28,TRUE),0),0)</f>
        <v/>
      </c>
      <c r="AC28" s="18">
        <f>IF(V28="Markdown Review",1,IF(V28="Reorder Candidate",2,IF(V28="Monitor",3,IF(V28="Noise",4,IF(V28="Not Ready",5,99)))))</f>
        <v/>
      </c>
      <c r="AD28" s="18">
        <f>IF(O28,COUNTIFS($O$5:$O$504,TRUE,$AC$5:$AC$504,"&lt;"&amp;AC28)+COUNTIFS($O$5:O28,TRUE,$AC$5:AC28,AC28,$Y$5:Y28,"&gt;"&amp;Y28),0)</f>
        <v/>
      </c>
    </row>
    <row r="29">
      <c r="A29" s="17">
        <f>IF(COUNTA('Weekly Input'!A29:C29)=0,"",'Weekly Input'!B29&amp;"|"&amp;'Weekly Input'!C29&amp;"|"&amp;TEXT('Weekly Input'!A29,"yyyy-mm-dd"))</f>
        <v/>
      </c>
      <c r="B29" s="18">
        <f>'Weekly Input'!B29</f>
        <v/>
      </c>
      <c r="C29" s="18">
        <f>'Weekly Input'!C29</f>
        <v/>
      </c>
      <c r="D29" s="18">
        <f>IF(B29="","",IFERROR(INDEX('Master Data'!$B$6:$B$145,MATCH(B29,'Master Data'!$A$6:$A$145,0)),""))</f>
        <v/>
      </c>
      <c r="E29" s="18">
        <f>IF(C29="","",IFERROR(INDEX('Master Data'!$H$6:$H$13,MATCH(C29,'Master Data'!$F$6:$F$13,0)),""))</f>
        <v/>
      </c>
      <c r="F29" s="19">
        <f>'Weekly Input'!A29</f>
        <v/>
      </c>
      <c r="G29" s="19">
        <f>IF(B29="","",IFERROR(INDEX('Master Data'!$D$6:$D$145,MATCH(B29,'Master Data'!$A$6:$A$145,0)),""))</f>
        <v/>
      </c>
      <c r="H29" s="18">
        <f>IF(OR(F29="",G29=""),"",F29-G29)</f>
        <v/>
      </c>
      <c r="I29" s="18">
        <f>IF(B29="","",IF('Weekly Input'!J29="OK",TRUE,FALSE))</f>
        <v/>
      </c>
      <c r="J29" s="18">
        <f>IF(B29="","",'Weekly Input'!H29&gt;=MinInStockDays)</f>
        <v/>
      </c>
      <c r="K29" s="18">
        <f>IF(B29="","",H29&gt;=FullCycleMin)</f>
        <v/>
      </c>
      <c r="L29" s="18">
        <f>IF(B29="","",AND(I29,J29,K29,N29&gt;=MinHistory))</f>
        <v/>
      </c>
      <c r="M29" s="20">
        <f>IF(OR(B29="",'Weekly Input'!H29=0),"",'Weekly Input'!D29/'Weekly Input'!H29*7)</f>
        <v/>
      </c>
      <c r="N29" s="18">
        <f>IF(B29="","",COUNTIFS($B$5:$B$504,B29,$C$5:$C$504,C29,$I$5:$I$504,TRUE,$J$5:$J$504,TRUE,$K$5:$K$504,TRUE))</f>
        <v/>
      </c>
      <c r="O29" s="18">
        <f>IF(B29="","",AND(F29=AsOfWeek,AsOfWeek&lt;&gt;""))</f>
        <v/>
      </c>
      <c r="P29" s="20">
        <f>IF(OR(B29="",AsOfWeek=""),"",IFERROR(SUMIFS($M$5:$M$504,$B$5:$B$504,B29,$C$5:$C$504,C29,$L$5:$L$504,TRUE,$F$5:$F$504,"&gt;="&amp;AsOfWeek-7*(RecentWeeks-1),$F$5:$F$504,"&lt;="&amp;AsOfWeek),""))</f>
        <v/>
      </c>
      <c r="Q29" s="20">
        <f>IF(OR(B29="",AsOfWeek=""),"",IFERROR(SUMIFS($M$5:$M$504,$B$5:$B$504,B29,$C$5:$C$504,C29,$L$5:$L$504,TRUE,$F$5:$F$504,"&gt;="&amp;AsOfWeek-7*(RecentWeeks+PriorWeeks-1),$F$5:$F$504,"&lt;"&amp;AsOfWeek-7*(RecentWeeks-1)),""))</f>
        <v/>
      </c>
      <c r="R29" s="21">
        <f>IF(OR(P29="",Q29="",Q29=0),"",P29/Q29-1)</f>
        <v/>
      </c>
      <c r="S29" s="20">
        <f>IF(OR(C29="",AsOfWeek=""),"",IFERROR(AVERAGEIFS($M$5:$M$504,$C$5:$C$504,C29,$L$5:$L$504,TRUE,$F$5:$F$504,"&gt;="&amp;AsOfWeek-7*(RecentWeeks-1),$F$5:$F$504,"&lt;="&amp;AsOfWeek),""))</f>
        <v/>
      </c>
      <c r="T29" s="21">
        <f>IF(OR(P29="",S29=""),"",P29/S29-1)</f>
        <v/>
      </c>
      <c r="U29" s="22">
        <f>IF(OR(B29="",'Weekly Input'!G29="",P29="",P29=0),"",'Weekly Input'!G29/P29)</f>
        <v/>
      </c>
      <c r="V29" s="18">
        <f>IF(B29="","",IF(NOT(I29),"Not Ready",IF(NOT(K29),"Not Ready",IF(N29&lt;MinHistory,"Not Ready",IF(NOT(J29),"Not Ready",IF(OR(Q29="",Q29=0),"Noise",IF(Q29&lt;LowBaseThreshold,"Noise",IF(AND(R29&lt;=-OwnDecline,T29&lt;=-PeerGapThreshold),"Markdown Review",IF(AND(R29&gt;=ReorderUplift,U29&lt;&gt;"",U29&lt;=WeeksSupplyCap),"Reorder Candidate","Monitor"))))))))</f>
        <v/>
      </c>
      <c r="W29" s="18">
        <f>IF(B29="","",IF(NOT(I29),"INVALID_MASTER",IF(NOT(K29),"INCOMPLETE_SHELF_CYCLE",IF(N29&lt;MinHistory,"INSUFFICIENT_HISTORY",IF(NOT(J29),"INSUFFICIENT_IN_STOCK",IF(OR(Q29="",Q29=0),"NO_PRIOR_BASE",IF(Q29&lt;LowBaseThreshold,"LOW_BASE_NOISE",IF(V29="Markdown Review","MARKDOWN_PEER_GAP",IF(V29="Reorder Candidate","REORDER_UPLIFT_COVER","NO_MATERIAL_CHANGE"))))))))</f>
        <v/>
      </c>
      <c r="X29" s="18">
        <f>IF(V29="Markdown Review","Markdown support",IF(V29="Reorder Candidate","Second reorder",IF(V29="Monitor","Monitor",IF(V29="Noise","Hold / collect data",IF(V29="Not Ready","Not ready","")))))</f>
        <v/>
      </c>
      <c r="Y29" s="18">
        <f>IF(OR(R29="",T29=""),"",ABS(R29)+ABS(T29))</f>
        <v/>
      </c>
      <c r="Z29" s="21">
        <f>IF(OR(B29="",NOT(O29),R29=""),"",IF(ABS(R29)&gt;=MaterialThreshold,"Yes","No"))</f>
        <v/>
      </c>
      <c r="AA29" s="18">
        <f>IF(Z29&lt;&gt;"Yes","",IF(ABS(R29)&gt;=MaterialThreshold,IF(ABS(R29)&gt;=BroadShare,"Broad SKU movement","Store-concentrated movement"),""))</f>
        <v/>
      </c>
      <c r="AB29" s="18">
        <f>IF(O29,IF(COUNTIFS($O$5:O29,TRUE)&gt;0,COUNTIFS($O$5:O29,TRUE),0),0)</f>
        <v/>
      </c>
      <c r="AC29" s="18">
        <f>IF(V29="Markdown Review",1,IF(V29="Reorder Candidate",2,IF(V29="Monitor",3,IF(V29="Noise",4,IF(V29="Not Ready",5,99)))))</f>
        <v/>
      </c>
      <c r="AD29" s="18">
        <f>IF(O29,COUNTIFS($O$5:$O$504,TRUE,$AC$5:$AC$504,"&lt;"&amp;AC29)+COUNTIFS($O$5:O29,TRUE,$AC$5:AC29,AC29,$Y$5:Y29,"&gt;"&amp;Y29),0)</f>
        <v/>
      </c>
    </row>
    <row r="30">
      <c r="A30" s="17">
        <f>IF(COUNTA('Weekly Input'!A30:C30)=0,"",'Weekly Input'!B30&amp;"|"&amp;'Weekly Input'!C30&amp;"|"&amp;TEXT('Weekly Input'!A30,"yyyy-mm-dd"))</f>
        <v/>
      </c>
      <c r="B30" s="18">
        <f>'Weekly Input'!B30</f>
        <v/>
      </c>
      <c r="C30" s="18">
        <f>'Weekly Input'!C30</f>
        <v/>
      </c>
      <c r="D30" s="18">
        <f>IF(B30="","",IFERROR(INDEX('Master Data'!$B$6:$B$145,MATCH(B30,'Master Data'!$A$6:$A$145,0)),""))</f>
        <v/>
      </c>
      <c r="E30" s="18">
        <f>IF(C30="","",IFERROR(INDEX('Master Data'!$H$6:$H$13,MATCH(C30,'Master Data'!$F$6:$F$13,0)),""))</f>
        <v/>
      </c>
      <c r="F30" s="19">
        <f>'Weekly Input'!A30</f>
        <v/>
      </c>
      <c r="G30" s="19">
        <f>IF(B30="","",IFERROR(INDEX('Master Data'!$D$6:$D$145,MATCH(B30,'Master Data'!$A$6:$A$145,0)),""))</f>
        <v/>
      </c>
      <c r="H30" s="18">
        <f>IF(OR(F30="",G30=""),"",F30-G30)</f>
        <v/>
      </c>
      <c r="I30" s="18">
        <f>IF(B30="","",IF('Weekly Input'!J30="OK",TRUE,FALSE))</f>
        <v/>
      </c>
      <c r="J30" s="18">
        <f>IF(B30="","",'Weekly Input'!H30&gt;=MinInStockDays)</f>
        <v/>
      </c>
      <c r="K30" s="18">
        <f>IF(B30="","",H30&gt;=FullCycleMin)</f>
        <v/>
      </c>
      <c r="L30" s="18">
        <f>IF(B30="","",AND(I30,J30,K30,N30&gt;=MinHistory))</f>
        <v/>
      </c>
      <c r="M30" s="20">
        <f>IF(OR(B30="",'Weekly Input'!H30=0),"",'Weekly Input'!D30/'Weekly Input'!H30*7)</f>
        <v/>
      </c>
      <c r="N30" s="18">
        <f>IF(B30="","",COUNTIFS($B$5:$B$504,B30,$C$5:$C$504,C30,$I$5:$I$504,TRUE,$J$5:$J$504,TRUE,$K$5:$K$504,TRUE))</f>
        <v/>
      </c>
      <c r="O30" s="18">
        <f>IF(B30="","",AND(F30=AsOfWeek,AsOfWeek&lt;&gt;""))</f>
        <v/>
      </c>
      <c r="P30" s="20">
        <f>IF(OR(B30="",AsOfWeek=""),"",IFERROR(SUMIFS($M$5:$M$504,$B$5:$B$504,B30,$C$5:$C$504,C30,$L$5:$L$504,TRUE,$F$5:$F$504,"&gt;="&amp;AsOfWeek-7*(RecentWeeks-1),$F$5:$F$504,"&lt;="&amp;AsOfWeek),""))</f>
        <v/>
      </c>
      <c r="Q30" s="20">
        <f>IF(OR(B30="",AsOfWeek=""),"",IFERROR(SUMIFS($M$5:$M$504,$B$5:$B$504,B30,$C$5:$C$504,C30,$L$5:$L$504,TRUE,$F$5:$F$504,"&gt;="&amp;AsOfWeek-7*(RecentWeeks+PriorWeeks-1),$F$5:$F$504,"&lt;"&amp;AsOfWeek-7*(RecentWeeks-1)),""))</f>
        <v/>
      </c>
      <c r="R30" s="21">
        <f>IF(OR(P30="",Q30="",Q30=0),"",P30/Q30-1)</f>
        <v/>
      </c>
      <c r="S30" s="20">
        <f>IF(OR(C30="",AsOfWeek=""),"",IFERROR(AVERAGEIFS($M$5:$M$504,$C$5:$C$504,C30,$L$5:$L$504,TRUE,$F$5:$F$504,"&gt;="&amp;AsOfWeek-7*(RecentWeeks-1),$F$5:$F$504,"&lt;="&amp;AsOfWeek),""))</f>
        <v/>
      </c>
      <c r="T30" s="21">
        <f>IF(OR(P30="",S30=""),"",P30/S30-1)</f>
        <v/>
      </c>
      <c r="U30" s="22">
        <f>IF(OR(B30="",'Weekly Input'!G30="",P30="",P30=0),"",'Weekly Input'!G30/P30)</f>
        <v/>
      </c>
      <c r="V30" s="18">
        <f>IF(B30="","",IF(NOT(I30),"Not Ready",IF(NOT(K30),"Not Ready",IF(N30&lt;MinHistory,"Not Ready",IF(NOT(J30),"Not Ready",IF(OR(Q30="",Q30=0),"Noise",IF(Q30&lt;LowBaseThreshold,"Noise",IF(AND(R30&lt;=-OwnDecline,T30&lt;=-PeerGapThreshold),"Markdown Review",IF(AND(R30&gt;=ReorderUplift,U30&lt;&gt;"",U30&lt;=WeeksSupplyCap),"Reorder Candidate","Monitor"))))))))</f>
        <v/>
      </c>
      <c r="W30" s="18">
        <f>IF(B30="","",IF(NOT(I30),"INVALID_MASTER",IF(NOT(K30),"INCOMPLETE_SHELF_CYCLE",IF(N30&lt;MinHistory,"INSUFFICIENT_HISTORY",IF(NOT(J30),"INSUFFICIENT_IN_STOCK",IF(OR(Q30="",Q30=0),"NO_PRIOR_BASE",IF(Q30&lt;LowBaseThreshold,"LOW_BASE_NOISE",IF(V30="Markdown Review","MARKDOWN_PEER_GAP",IF(V30="Reorder Candidate","REORDER_UPLIFT_COVER","NO_MATERIAL_CHANGE"))))))))</f>
        <v/>
      </c>
      <c r="X30" s="18">
        <f>IF(V30="Markdown Review","Markdown support",IF(V30="Reorder Candidate","Second reorder",IF(V30="Monitor","Monitor",IF(V30="Noise","Hold / collect data",IF(V30="Not Ready","Not ready","")))))</f>
        <v/>
      </c>
      <c r="Y30" s="18">
        <f>IF(OR(R30="",T30=""),"",ABS(R30)+ABS(T30))</f>
        <v/>
      </c>
      <c r="Z30" s="21">
        <f>IF(OR(B30="",NOT(O30),R30=""),"",IF(ABS(R30)&gt;=MaterialThreshold,"Yes","No"))</f>
        <v/>
      </c>
      <c r="AA30" s="18">
        <f>IF(Z30&lt;&gt;"Yes","",IF(ABS(R30)&gt;=MaterialThreshold,IF(ABS(R30)&gt;=BroadShare,"Broad SKU movement","Store-concentrated movement"),""))</f>
        <v/>
      </c>
      <c r="AB30" s="18">
        <f>IF(O30,IF(COUNTIFS($O$5:O30,TRUE)&gt;0,COUNTIFS($O$5:O30,TRUE),0),0)</f>
        <v/>
      </c>
      <c r="AC30" s="18">
        <f>IF(V30="Markdown Review",1,IF(V30="Reorder Candidate",2,IF(V30="Monitor",3,IF(V30="Noise",4,IF(V30="Not Ready",5,99)))))</f>
        <v/>
      </c>
      <c r="AD30" s="18">
        <f>IF(O30,COUNTIFS($O$5:$O$504,TRUE,$AC$5:$AC$504,"&lt;"&amp;AC30)+COUNTIFS($O$5:O30,TRUE,$AC$5:AC30,AC30,$Y$5:Y30,"&gt;"&amp;Y30),0)</f>
        <v/>
      </c>
    </row>
    <row r="31">
      <c r="A31" s="17">
        <f>IF(COUNTA('Weekly Input'!A31:C31)=0,"",'Weekly Input'!B31&amp;"|"&amp;'Weekly Input'!C31&amp;"|"&amp;TEXT('Weekly Input'!A31,"yyyy-mm-dd"))</f>
        <v/>
      </c>
      <c r="B31" s="18">
        <f>'Weekly Input'!B31</f>
        <v/>
      </c>
      <c r="C31" s="18">
        <f>'Weekly Input'!C31</f>
        <v/>
      </c>
      <c r="D31" s="18">
        <f>IF(B31="","",IFERROR(INDEX('Master Data'!$B$6:$B$145,MATCH(B31,'Master Data'!$A$6:$A$145,0)),""))</f>
        <v/>
      </c>
      <c r="E31" s="18">
        <f>IF(C31="","",IFERROR(INDEX('Master Data'!$H$6:$H$13,MATCH(C31,'Master Data'!$F$6:$F$13,0)),""))</f>
        <v/>
      </c>
      <c r="F31" s="19">
        <f>'Weekly Input'!A31</f>
        <v/>
      </c>
      <c r="G31" s="19">
        <f>IF(B31="","",IFERROR(INDEX('Master Data'!$D$6:$D$145,MATCH(B31,'Master Data'!$A$6:$A$145,0)),""))</f>
        <v/>
      </c>
      <c r="H31" s="18">
        <f>IF(OR(F31="",G31=""),"",F31-G31)</f>
        <v/>
      </c>
      <c r="I31" s="18">
        <f>IF(B31="","",IF('Weekly Input'!J31="OK",TRUE,FALSE))</f>
        <v/>
      </c>
      <c r="J31" s="18">
        <f>IF(B31="","",'Weekly Input'!H31&gt;=MinInStockDays)</f>
        <v/>
      </c>
      <c r="K31" s="18">
        <f>IF(B31="","",H31&gt;=FullCycleMin)</f>
        <v/>
      </c>
      <c r="L31" s="18">
        <f>IF(B31="","",AND(I31,J31,K31,N31&gt;=MinHistory))</f>
        <v/>
      </c>
      <c r="M31" s="20">
        <f>IF(OR(B31="",'Weekly Input'!H31=0),"",'Weekly Input'!D31/'Weekly Input'!H31*7)</f>
        <v/>
      </c>
      <c r="N31" s="18">
        <f>IF(B31="","",COUNTIFS($B$5:$B$504,B31,$C$5:$C$504,C31,$I$5:$I$504,TRUE,$J$5:$J$504,TRUE,$K$5:$K$504,TRUE))</f>
        <v/>
      </c>
      <c r="O31" s="18">
        <f>IF(B31="","",AND(F31=AsOfWeek,AsOfWeek&lt;&gt;""))</f>
        <v/>
      </c>
      <c r="P31" s="20">
        <f>IF(OR(B31="",AsOfWeek=""),"",IFERROR(SUMIFS($M$5:$M$504,$B$5:$B$504,B31,$C$5:$C$504,C31,$L$5:$L$504,TRUE,$F$5:$F$504,"&gt;="&amp;AsOfWeek-7*(RecentWeeks-1),$F$5:$F$504,"&lt;="&amp;AsOfWeek),""))</f>
        <v/>
      </c>
      <c r="Q31" s="20">
        <f>IF(OR(B31="",AsOfWeek=""),"",IFERROR(SUMIFS($M$5:$M$504,$B$5:$B$504,B31,$C$5:$C$504,C31,$L$5:$L$504,TRUE,$F$5:$F$504,"&gt;="&amp;AsOfWeek-7*(RecentWeeks+PriorWeeks-1),$F$5:$F$504,"&lt;"&amp;AsOfWeek-7*(RecentWeeks-1)),""))</f>
        <v/>
      </c>
      <c r="R31" s="21">
        <f>IF(OR(P31="",Q31="",Q31=0),"",P31/Q31-1)</f>
        <v/>
      </c>
      <c r="S31" s="20">
        <f>IF(OR(C31="",AsOfWeek=""),"",IFERROR(AVERAGEIFS($M$5:$M$504,$C$5:$C$504,C31,$L$5:$L$504,TRUE,$F$5:$F$504,"&gt;="&amp;AsOfWeek-7*(RecentWeeks-1),$F$5:$F$504,"&lt;="&amp;AsOfWeek),""))</f>
        <v/>
      </c>
      <c r="T31" s="21">
        <f>IF(OR(P31="",S31=""),"",P31/S31-1)</f>
        <v/>
      </c>
      <c r="U31" s="22">
        <f>IF(OR(B31="",'Weekly Input'!G31="",P31="",P31=0),"",'Weekly Input'!G31/P31)</f>
        <v/>
      </c>
      <c r="V31" s="18">
        <f>IF(B31="","",IF(NOT(I31),"Not Ready",IF(NOT(K31),"Not Ready",IF(N31&lt;MinHistory,"Not Ready",IF(NOT(J31),"Not Ready",IF(OR(Q31="",Q31=0),"Noise",IF(Q31&lt;LowBaseThreshold,"Noise",IF(AND(R31&lt;=-OwnDecline,T31&lt;=-PeerGapThreshold),"Markdown Review",IF(AND(R31&gt;=ReorderUplift,U31&lt;&gt;"",U31&lt;=WeeksSupplyCap),"Reorder Candidate","Monitor"))))))))</f>
        <v/>
      </c>
      <c r="W31" s="18">
        <f>IF(B31="","",IF(NOT(I31),"INVALID_MASTER",IF(NOT(K31),"INCOMPLETE_SHELF_CYCLE",IF(N31&lt;MinHistory,"INSUFFICIENT_HISTORY",IF(NOT(J31),"INSUFFICIENT_IN_STOCK",IF(OR(Q31="",Q31=0),"NO_PRIOR_BASE",IF(Q31&lt;LowBaseThreshold,"LOW_BASE_NOISE",IF(V31="Markdown Review","MARKDOWN_PEER_GAP",IF(V31="Reorder Candidate","REORDER_UPLIFT_COVER","NO_MATERIAL_CHANGE"))))))))</f>
        <v/>
      </c>
      <c r="X31" s="18">
        <f>IF(V31="Markdown Review","Markdown support",IF(V31="Reorder Candidate","Second reorder",IF(V31="Monitor","Monitor",IF(V31="Noise","Hold / collect data",IF(V31="Not Ready","Not ready","")))))</f>
        <v/>
      </c>
      <c r="Y31" s="18">
        <f>IF(OR(R31="",T31=""),"",ABS(R31)+ABS(T31))</f>
        <v/>
      </c>
      <c r="Z31" s="21">
        <f>IF(OR(B31="",NOT(O31),R31=""),"",IF(ABS(R31)&gt;=MaterialThreshold,"Yes","No"))</f>
        <v/>
      </c>
      <c r="AA31" s="18">
        <f>IF(Z31&lt;&gt;"Yes","",IF(ABS(R31)&gt;=MaterialThreshold,IF(ABS(R31)&gt;=BroadShare,"Broad SKU movement","Store-concentrated movement"),""))</f>
        <v/>
      </c>
      <c r="AB31" s="18">
        <f>IF(O31,IF(COUNTIFS($O$5:O31,TRUE)&gt;0,COUNTIFS($O$5:O31,TRUE),0),0)</f>
        <v/>
      </c>
      <c r="AC31" s="18">
        <f>IF(V31="Markdown Review",1,IF(V31="Reorder Candidate",2,IF(V31="Monitor",3,IF(V31="Noise",4,IF(V31="Not Ready",5,99)))))</f>
        <v/>
      </c>
      <c r="AD31" s="18">
        <f>IF(O31,COUNTIFS($O$5:$O$504,TRUE,$AC$5:$AC$504,"&lt;"&amp;AC31)+COUNTIFS($O$5:O31,TRUE,$AC$5:AC31,AC31,$Y$5:Y31,"&gt;"&amp;Y31),0)</f>
        <v/>
      </c>
    </row>
    <row r="32">
      <c r="A32" s="17">
        <f>IF(COUNTA('Weekly Input'!A32:C32)=0,"",'Weekly Input'!B32&amp;"|"&amp;'Weekly Input'!C32&amp;"|"&amp;TEXT('Weekly Input'!A32,"yyyy-mm-dd"))</f>
        <v/>
      </c>
      <c r="B32" s="18">
        <f>'Weekly Input'!B32</f>
        <v/>
      </c>
      <c r="C32" s="18">
        <f>'Weekly Input'!C32</f>
        <v/>
      </c>
      <c r="D32" s="18">
        <f>IF(B32="","",IFERROR(INDEX('Master Data'!$B$6:$B$145,MATCH(B32,'Master Data'!$A$6:$A$145,0)),""))</f>
        <v/>
      </c>
      <c r="E32" s="18">
        <f>IF(C32="","",IFERROR(INDEX('Master Data'!$H$6:$H$13,MATCH(C32,'Master Data'!$F$6:$F$13,0)),""))</f>
        <v/>
      </c>
      <c r="F32" s="19">
        <f>'Weekly Input'!A32</f>
        <v/>
      </c>
      <c r="G32" s="19">
        <f>IF(B32="","",IFERROR(INDEX('Master Data'!$D$6:$D$145,MATCH(B32,'Master Data'!$A$6:$A$145,0)),""))</f>
        <v/>
      </c>
      <c r="H32" s="18">
        <f>IF(OR(F32="",G32=""),"",F32-G32)</f>
        <v/>
      </c>
      <c r="I32" s="18">
        <f>IF(B32="","",IF('Weekly Input'!J32="OK",TRUE,FALSE))</f>
        <v/>
      </c>
      <c r="J32" s="18">
        <f>IF(B32="","",'Weekly Input'!H32&gt;=MinInStockDays)</f>
        <v/>
      </c>
      <c r="K32" s="18">
        <f>IF(B32="","",H32&gt;=FullCycleMin)</f>
        <v/>
      </c>
      <c r="L32" s="18">
        <f>IF(B32="","",AND(I32,J32,K32,N32&gt;=MinHistory))</f>
        <v/>
      </c>
      <c r="M32" s="20">
        <f>IF(OR(B32="",'Weekly Input'!H32=0),"",'Weekly Input'!D32/'Weekly Input'!H32*7)</f>
        <v/>
      </c>
      <c r="N32" s="18">
        <f>IF(B32="","",COUNTIFS($B$5:$B$504,B32,$C$5:$C$504,C32,$I$5:$I$504,TRUE,$J$5:$J$504,TRUE,$K$5:$K$504,TRUE))</f>
        <v/>
      </c>
      <c r="O32" s="18">
        <f>IF(B32="","",AND(F32=AsOfWeek,AsOfWeek&lt;&gt;""))</f>
        <v/>
      </c>
      <c r="P32" s="20">
        <f>IF(OR(B32="",AsOfWeek=""),"",IFERROR(SUMIFS($M$5:$M$504,$B$5:$B$504,B32,$C$5:$C$504,C32,$L$5:$L$504,TRUE,$F$5:$F$504,"&gt;="&amp;AsOfWeek-7*(RecentWeeks-1),$F$5:$F$504,"&lt;="&amp;AsOfWeek),""))</f>
        <v/>
      </c>
      <c r="Q32" s="20">
        <f>IF(OR(B32="",AsOfWeek=""),"",IFERROR(SUMIFS($M$5:$M$504,$B$5:$B$504,B32,$C$5:$C$504,C32,$L$5:$L$504,TRUE,$F$5:$F$504,"&gt;="&amp;AsOfWeek-7*(RecentWeeks+PriorWeeks-1),$F$5:$F$504,"&lt;"&amp;AsOfWeek-7*(RecentWeeks-1)),""))</f>
        <v/>
      </c>
      <c r="R32" s="21">
        <f>IF(OR(P32="",Q32="",Q32=0),"",P32/Q32-1)</f>
        <v/>
      </c>
      <c r="S32" s="20">
        <f>IF(OR(C32="",AsOfWeek=""),"",IFERROR(AVERAGEIFS($M$5:$M$504,$C$5:$C$504,C32,$L$5:$L$504,TRUE,$F$5:$F$504,"&gt;="&amp;AsOfWeek-7*(RecentWeeks-1),$F$5:$F$504,"&lt;="&amp;AsOfWeek),""))</f>
        <v/>
      </c>
      <c r="T32" s="21">
        <f>IF(OR(P32="",S32=""),"",P32/S32-1)</f>
        <v/>
      </c>
      <c r="U32" s="22">
        <f>IF(OR(B32="",'Weekly Input'!G32="",P32="",P32=0),"",'Weekly Input'!G32/P32)</f>
        <v/>
      </c>
      <c r="V32" s="18">
        <f>IF(B32="","",IF(NOT(I32),"Not Ready",IF(NOT(K32),"Not Ready",IF(N32&lt;MinHistory,"Not Ready",IF(NOT(J32),"Not Ready",IF(OR(Q32="",Q32=0),"Noise",IF(Q32&lt;LowBaseThreshold,"Noise",IF(AND(R32&lt;=-OwnDecline,T32&lt;=-PeerGapThreshold),"Markdown Review",IF(AND(R32&gt;=ReorderUplift,U32&lt;&gt;"",U32&lt;=WeeksSupplyCap),"Reorder Candidate","Monitor"))))))))</f>
        <v/>
      </c>
      <c r="W32" s="18">
        <f>IF(B32="","",IF(NOT(I32),"INVALID_MASTER",IF(NOT(K32),"INCOMPLETE_SHELF_CYCLE",IF(N32&lt;MinHistory,"INSUFFICIENT_HISTORY",IF(NOT(J32),"INSUFFICIENT_IN_STOCK",IF(OR(Q32="",Q32=0),"NO_PRIOR_BASE",IF(Q32&lt;LowBaseThreshold,"LOW_BASE_NOISE",IF(V32="Markdown Review","MARKDOWN_PEER_GAP",IF(V32="Reorder Candidate","REORDER_UPLIFT_COVER","NO_MATERIAL_CHANGE"))))))))</f>
        <v/>
      </c>
      <c r="X32" s="18">
        <f>IF(V32="Markdown Review","Markdown support",IF(V32="Reorder Candidate","Second reorder",IF(V32="Monitor","Monitor",IF(V32="Noise","Hold / collect data",IF(V32="Not Ready","Not ready","")))))</f>
        <v/>
      </c>
      <c r="Y32" s="18">
        <f>IF(OR(R32="",T32=""),"",ABS(R32)+ABS(T32))</f>
        <v/>
      </c>
      <c r="Z32" s="21">
        <f>IF(OR(B32="",NOT(O32),R32=""),"",IF(ABS(R32)&gt;=MaterialThreshold,"Yes","No"))</f>
        <v/>
      </c>
      <c r="AA32" s="18">
        <f>IF(Z32&lt;&gt;"Yes","",IF(ABS(R32)&gt;=MaterialThreshold,IF(ABS(R32)&gt;=BroadShare,"Broad SKU movement","Store-concentrated movement"),""))</f>
        <v/>
      </c>
      <c r="AB32" s="18">
        <f>IF(O32,IF(COUNTIFS($O$5:O32,TRUE)&gt;0,COUNTIFS($O$5:O32,TRUE),0),0)</f>
        <v/>
      </c>
      <c r="AC32" s="18">
        <f>IF(V32="Markdown Review",1,IF(V32="Reorder Candidate",2,IF(V32="Monitor",3,IF(V32="Noise",4,IF(V32="Not Ready",5,99)))))</f>
        <v/>
      </c>
      <c r="AD32" s="18">
        <f>IF(O32,COUNTIFS($O$5:$O$504,TRUE,$AC$5:$AC$504,"&lt;"&amp;AC32)+COUNTIFS($O$5:O32,TRUE,$AC$5:AC32,AC32,$Y$5:Y32,"&gt;"&amp;Y32),0)</f>
        <v/>
      </c>
    </row>
    <row r="33">
      <c r="A33" s="17">
        <f>IF(COUNTA('Weekly Input'!A33:C33)=0,"",'Weekly Input'!B33&amp;"|"&amp;'Weekly Input'!C33&amp;"|"&amp;TEXT('Weekly Input'!A33,"yyyy-mm-dd"))</f>
        <v/>
      </c>
      <c r="B33" s="18">
        <f>'Weekly Input'!B33</f>
        <v/>
      </c>
      <c r="C33" s="18">
        <f>'Weekly Input'!C33</f>
        <v/>
      </c>
      <c r="D33" s="18">
        <f>IF(B33="","",IFERROR(INDEX('Master Data'!$B$6:$B$145,MATCH(B33,'Master Data'!$A$6:$A$145,0)),""))</f>
        <v/>
      </c>
      <c r="E33" s="18">
        <f>IF(C33="","",IFERROR(INDEX('Master Data'!$H$6:$H$13,MATCH(C33,'Master Data'!$F$6:$F$13,0)),""))</f>
        <v/>
      </c>
      <c r="F33" s="19">
        <f>'Weekly Input'!A33</f>
        <v/>
      </c>
      <c r="G33" s="19">
        <f>IF(B33="","",IFERROR(INDEX('Master Data'!$D$6:$D$145,MATCH(B33,'Master Data'!$A$6:$A$145,0)),""))</f>
        <v/>
      </c>
      <c r="H33" s="18">
        <f>IF(OR(F33="",G33=""),"",F33-G33)</f>
        <v/>
      </c>
      <c r="I33" s="18">
        <f>IF(B33="","",IF('Weekly Input'!J33="OK",TRUE,FALSE))</f>
        <v/>
      </c>
      <c r="J33" s="18">
        <f>IF(B33="","",'Weekly Input'!H33&gt;=MinInStockDays)</f>
        <v/>
      </c>
      <c r="K33" s="18">
        <f>IF(B33="","",H33&gt;=FullCycleMin)</f>
        <v/>
      </c>
      <c r="L33" s="18">
        <f>IF(B33="","",AND(I33,J33,K33,N33&gt;=MinHistory))</f>
        <v/>
      </c>
      <c r="M33" s="20">
        <f>IF(OR(B33="",'Weekly Input'!H33=0),"",'Weekly Input'!D33/'Weekly Input'!H33*7)</f>
        <v/>
      </c>
      <c r="N33" s="18">
        <f>IF(B33="","",COUNTIFS($B$5:$B$504,B33,$C$5:$C$504,C33,$I$5:$I$504,TRUE,$J$5:$J$504,TRUE,$K$5:$K$504,TRUE))</f>
        <v/>
      </c>
      <c r="O33" s="18">
        <f>IF(B33="","",AND(F33=AsOfWeek,AsOfWeek&lt;&gt;""))</f>
        <v/>
      </c>
      <c r="P33" s="20">
        <f>IF(OR(B33="",AsOfWeek=""),"",IFERROR(SUMIFS($M$5:$M$504,$B$5:$B$504,B33,$C$5:$C$504,C33,$L$5:$L$504,TRUE,$F$5:$F$504,"&gt;="&amp;AsOfWeek-7*(RecentWeeks-1),$F$5:$F$504,"&lt;="&amp;AsOfWeek),""))</f>
        <v/>
      </c>
      <c r="Q33" s="20">
        <f>IF(OR(B33="",AsOfWeek=""),"",IFERROR(SUMIFS($M$5:$M$504,$B$5:$B$504,B33,$C$5:$C$504,C33,$L$5:$L$504,TRUE,$F$5:$F$504,"&gt;="&amp;AsOfWeek-7*(RecentWeeks+PriorWeeks-1),$F$5:$F$504,"&lt;"&amp;AsOfWeek-7*(RecentWeeks-1)),""))</f>
        <v/>
      </c>
      <c r="R33" s="21">
        <f>IF(OR(P33="",Q33="",Q33=0),"",P33/Q33-1)</f>
        <v/>
      </c>
      <c r="S33" s="20">
        <f>IF(OR(C33="",AsOfWeek=""),"",IFERROR(AVERAGEIFS($M$5:$M$504,$C$5:$C$504,C33,$L$5:$L$504,TRUE,$F$5:$F$504,"&gt;="&amp;AsOfWeek-7*(RecentWeeks-1),$F$5:$F$504,"&lt;="&amp;AsOfWeek),""))</f>
        <v/>
      </c>
      <c r="T33" s="21">
        <f>IF(OR(P33="",S33=""),"",P33/S33-1)</f>
        <v/>
      </c>
      <c r="U33" s="22">
        <f>IF(OR(B33="",'Weekly Input'!G33="",P33="",P33=0),"",'Weekly Input'!G33/P33)</f>
        <v/>
      </c>
      <c r="V33" s="18">
        <f>IF(B33="","",IF(NOT(I33),"Not Ready",IF(NOT(K33),"Not Ready",IF(N33&lt;MinHistory,"Not Ready",IF(NOT(J33),"Not Ready",IF(OR(Q33="",Q33=0),"Noise",IF(Q33&lt;LowBaseThreshold,"Noise",IF(AND(R33&lt;=-OwnDecline,T33&lt;=-PeerGapThreshold),"Markdown Review",IF(AND(R33&gt;=ReorderUplift,U33&lt;&gt;"",U33&lt;=WeeksSupplyCap),"Reorder Candidate","Monitor"))))))))</f>
        <v/>
      </c>
      <c r="W33" s="18">
        <f>IF(B33="","",IF(NOT(I33),"INVALID_MASTER",IF(NOT(K33),"INCOMPLETE_SHELF_CYCLE",IF(N33&lt;MinHistory,"INSUFFICIENT_HISTORY",IF(NOT(J33),"INSUFFICIENT_IN_STOCK",IF(OR(Q33="",Q33=0),"NO_PRIOR_BASE",IF(Q33&lt;LowBaseThreshold,"LOW_BASE_NOISE",IF(V33="Markdown Review","MARKDOWN_PEER_GAP",IF(V33="Reorder Candidate","REORDER_UPLIFT_COVER","NO_MATERIAL_CHANGE"))))))))</f>
        <v/>
      </c>
      <c r="X33" s="18">
        <f>IF(V33="Markdown Review","Markdown support",IF(V33="Reorder Candidate","Second reorder",IF(V33="Monitor","Monitor",IF(V33="Noise","Hold / collect data",IF(V33="Not Ready","Not ready","")))))</f>
        <v/>
      </c>
      <c r="Y33" s="18">
        <f>IF(OR(R33="",T33=""),"",ABS(R33)+ABS(T33))</f>
        <v/>
      </c>
      <c r="Z33" s="21">
        <f>IF(OR(B33="",NOT(O33),R33=""),"",IF(ABS(R33)&gt;=MaterialThreshold,"Yes","No"))</f>
        <v/>
      </c>
      <c r="AA33" s="18">
        <f>IF(Z33&lt;&gt;"Yes","",IF(ABS(R33)&gt;=MaterialThreshold,IF(ABS(R33)&gt;=BroadShare,"Broad SKU movement","Store-concentrated movement"),""))</f>
        <v/>
      </c>
      <c r="AB33" s="18">
        <f>IF(O33,IF(COUNTIFS($O$5:O33,TRUE)&gt;0,COUNTIFS($O$5:O33,TRUE),0),0)</f>
        <v/>
      </c>
      <c r="AC33" s="18">
        <f>IF(V33="Markdown Review",1,IF(V33="Reorder Candidate",2,IF(V33="Monitor",3,IF(V33="Noise",4,IF(V33="Not Ready",5,99)))))</f>
        <v/>
      </c>
      <c r="AD33" s="18">
        <f>IF(O33,COUNTIFS($O$5:$O$504,TRUE,$AC$5:$AC$504,"&lt;"&amp;AC33)+COUNTIFS($O$5:O33,TRUE,$AC$5:AC33,AC33,$Y$5:Y33,"&gt;"&amp;Y33),0)</f>
        <v/>
      </c>
    </row>
    <row r="34">
      <c r="A34" s="17">
        <f>IF(COUNTA('Weekly Input'!A34:C34)=0,"",'Weekly Input'!B34&amp;"|"&amp;'Weekly Input'!C34&amp;"|"&amp;TEXT('Weekly Input'!A34,"yyyy-mm-dd"))</f>
        <v/>
      </c>
      <c r="B34" s="18">
        <f>'Weekly Input'!B34</f>
        <v/>
      </c>
      <c r="C34" s="18">
        <f>'Weekly Input'!C34</f>
        <v/>
      </c>
      <c r="D34" s="18">
        <f>IF(B34="","",IFERROR(INDEX('Master Data'!$B$6:$B$145,MATCH(B34,'Master Data'!$A$6:$A$145,0)),""))</f>
        <v/>
      </c>
      <c r="E34" s="18">
        <f>IF(C34="","",IFERROR(INDEX('Master Data'!$H$6:$H$13,MATCH(C34,'Master Data'!$F$6:$F$13,0)),""))</f>
        <v/>
      </c>
      <c r="F34" s="19">
        <f>'Weekly Input'!A34</f>
        <v/>
      </c>
      <c r="G34" s="19">
        <f>IF(B34="","",IFERROR(INDEX('Master Data'!$D$6:$D$145,MATCH(B34,'Master Data'!$A$6:$A$145,0)),""))</f>
        <v/>
      </c>
      <c r="H34" s="18">
        <f>IF(OR(F34="",G34=""),"",F34-G34)</f>
        <v/>
      </c>
      <c r="I34" s="18">
        <f>IF(B34="","",IF('Weekly Input'!J34="OK",TRUE,FALSE))</f>
        <v/>
      </c>
      <c r="J34" s="18">
        <f>IF(B34="","",'Weekly Input'!H34&gt;=MinInStockDays)</f>
        <v/>
      </c>
      <c r="K34" s="18">
        <f>IF(B34="","",H34&gt;=FullCycleMin)</f>
        <v/>
      </c>
      <c r="L34" s="18">
        <f>IF(B34="","",AND(I34,J34,K34,N34&gt;=MinHistory))</f>
        <v/>
      </c>
      <c r="M34" s="20">
        <f>IF(OR(B34="",'Weekly Input'!H34=0),"",'Weekly Input'!D34/'Weekly Input'!H34*7)</f>
        <v/>
      </c>
      <c r="N34" s="18">
        <f>IF(B34="","",COUNTIFS($B$5:$B$504,B34,$C$5:$C$504,C34,$I$5:$I$504,TRUE,$J$5:$J$504,TRUE,$K$5:$K$504,TRUE))</f>
        <v/>
      </c>
      <c r="O34" s="18">
        <f>IF(B34="","",AND(F34=AsOfWeek,AsOfWeek&lt;&gt;""))</f>
        <v/>
      </c>
      <c r="P34" s="20">
        <f>IF(OR(B34="",AsOfWeek=""),"",IFERROR(SUMIFS($M$5:$M$504,$B$5:$B$504,B34,$C$5:$C$504,C34,$L$5:$L$504,TRUE,$F$5:$F$504,"&gt;="&amp;AsOfWeek-7*(RecentWeeks-1),$F$5:$F$504,"&lt;="&amp;AsOfWeek),""))</f>
        <v/>
      </c>
      <c r="Q34" s="20">
        <f>IF(OR(B34="",AsOfWeek=""),"",IFERROR(SUMIFS($M$5:$M$504,$B$5:$B$504,B34,$C$5:$C$504,C34,$L$5:$L$504,TRUE,$F$5:$F$504,"&gt;="&amp;AsOfWeek-7*(RecentWeeks+PriorWeeks-1),$F$5:$F$504,"&lt;"&amp;AsOfWeek-7*(RecentWeeks-1)),""))</f>
        <v/>
      </c>
      <c r="R34" s="21">
        <f>IF(OR(P34="",Q34="",Q34=0),"",P34/Q34-1)</f>
        <v/>
      </c>
      <c r="S34" s="20">
        <f>IF(OR(C34="",AsOfWeek=""),"",IFERROR(AVERAGEIFS($M$5:$M$504,$C$5:$C$504,C34,$L$5:$L$504,TRUE,$F$5:$F$504,"&gt;="&amp;AsOfWeek-7*(RecentWeeks-1),$F$5:$F$504,"&lt;="&amp;AsOfWeek),""))</f>
        <v/>
      </c>
      <c r="T34" s="21">
        <f>IF(OR(P34="",S34=""),"",P34/S34-1)</f>
        <v/>
      </c>
      <c r="U34" s="22">
        <f>IF(OR(B34="",'Weekly Input'!G34="",P34="",P34=0),"",'Weekly Input'!G34/P34)</f>
        <v/>
      </c>
      <c r="V34" s="18">
        <f>IF(B34="","",IF(NOT(I34),"Not Ready",IF(NOT(K34),"Not Ready",IF(N34&lt;MinHistory,"Not Ready",IF(NOT(J34),"Not Ready",IF(OR(Q34="",Q34=0),"Noise",IF(Q34&lt;LowBaseThreshold,"Noise",IF(AND(R34&lt;=-OwnDecline,T34&lt;=-PeerGapThreshold),"Markdown Review",IF(AND(R34&gt;=ReorderUplift,U34&lt;&gt;"",U34&lt;=WeeksSupplyCap),"Reorder Candidate","Monitor"))))))))</f>
        <v/>
      </c>
      <c r="W34" s="18">
        <f>IF(B34="","",IF(NOT(I34),"INVALID_MASTER",IF(NOT(K34),"INCOMPLETE_SHELF_CYCLE",IF(N34&lt;MinHistory,"INSUFFICIENT_HISTORY",IF(NOT(J34),"INSUFFICIENT_IN_STOCK",IF(OR(Q34="",Q34=0),"NO_PRIOR_BASE",IF(Q34&lt;LowBaseThreshold,"LOW_BASE_NOISE",IF(V34="Markdown Review","MARKDOWN_PEER_GAP",IF(V34="Reorder Candidate","REORDER_UPLIFT_COVER","NO_MATERIAL_CHANGE"))))))))</f>
        <v/>
      </c>
      <c r="X34" s="18">
        <f>IF(V34="Markdown Review","Markdown support",IF(V34="Reorder Candidate","Second reorder",IF(V34="Monitor","Monitor",IF(V34="Noise","Hold / collect data",IF(V34="Not Ready","Not ready","")))))</f>
        <v/>
      </c>
      <c r="Y34" s="18">
        <f>IF(OR(R34="",T34=""),"",ABS(R34)+ABS(T34))</f>
        <v/>
      </c>
      <c r="Z34" s="21">
        <f>IF(OR(B34="",NOT(O34),R34=""),"",IF(ABS(R34)&gt;=MaterialThreshold,"Yes","No"))</f>
        <v/>
      </c>
      <c r="AA34" s="18">
        <f>IF(Z34&lt;&gt;"Yes","",IF(ABS(R34)&gt;=MaterialThreshold,IF(ABS(R34)&gt;=BroadShare,"Broad SKU movement","Store-concentrated movement"),""))</f>
        <v/>
      </c>
      <c r="AB34" s="18">
        <f>IF(O34,IF(COUNTIFS($O$5:O34,TRUE)&gt;0,COUNTIFS($O$5:O34,TRUE),0),0)</f>
        <v/>
      </c>
      <c r="AC34" s="18">
        <f>IF(V34="Markdown Review",1,IF(V34="Reorder Candidate",2,IF(V34="Monitor",3,IF(V34="Noise",4,IF(V34="Not Ready",5,99)))))</f>
        <v/>
      </c>
      <c r="AD34" s="18">
        <f>IF(O34,COUNTIFS($O$5:$O$504,TRUE,$AC$5:$AC$504,"&lt;"&amp;AC34)+COUNTIFS($O$5:O34,TRUE,$AC$5:AC34,AC34,$Y$5:Y34,"&gt;"&amp;Y34),0)</f>
        <v/>
      </c>
    </row>
    <row r="35">
      <c r="A35" s="17">
        <f>IF(COUNTA('Weekly Input'!A35:C35)=0,"",'Weekly Input'!B35&amp;"|"&amp;'Weekly Input'!C35&amp;"|"&amp;TEXT('Weekly Input'!A35,"yyyy-mm-dd"))</f>
        <v/>
      </c>
      <c r="B35" s="18">
        <f>'Weekly Input'!B35</f>
        <v/>
      </c>
      <c r="C35" s="18">
        <f>'Weekly Input'!C35</f>
        <v/>
      </c>
      <c r="D35" s="18">
        <f>IF(B35="","",IFERROR(INDEX('Master Data'!$B$6:$B$145,MATCH(B35,'Master Data'!$A$6:$A$145,0)),""))</f>
        <v/>
      </c>
      <c r="E35" s="18">
        <f>IF(C35="","",IFERROR(INDEX('Master Data'!$H$6:$H$13,MATCH(C35,'Master Data'!$F$6:$F$13,0)),""))</f>
        <v/>
      </c>
      <c r="F35" s="19">
        <f>'Weekly Input'!A35</f>
        <v/>
      </c>
      <c r="G35" s="19">
        <f>IF(B35="","",IFERROR(INDEX('Master Data'!$D$6:$D$145,MATCH(B35,'Master Data'!$A$6:$A$145,0)),""))</f>
        <v/>
      </c>
      <c r="H35" s="18">
        <f>IF(OR(F35="",G35=""),"",F35-G35)</f>
        <v/>
      </c>
      <c r="I35" s="18">
        <f>IF(B35="","",IF('Weekly Input'!J35="OK",TRUE,FALSE))</f>
        <v/>
      </c>
      <c r="J35" s="18">
        <f>IF(B35="","",'Weekly Input'!H35&gt;=MinInStockDays)</f>
        <v/>
      </c>
      <c r="K35" s="18">
        <f>IF(B35="","",H35&gt;=FullCycleMin)</f>
        <v/>
      </c>
      <c r="L35" s="18">
        <f>IF(B35="","",AND(I35,J35,K35,N35&gt;=MinHistory))</f>
        <v/>
      </c>
      <c r="M35" s="20">
        <f>IF(OR(B35="",'Weekly Input'!H35=0),"",'Weekly Input'!D35/'Weekly Input'!H35*7)</f>
        <v/>
      </c>
      <c r="N35" s="18">
        <f>IF(B35="","",COUNTIFS($B$5:$B$504,B35,$C$5:$C$504,C35,$I$5:$I$504,TRUE,$J$5:$J$504,TRUE,$K$5:$K$504,TRUE))</f>
        <v/>
      </c>
      <c r="O35" s="18">
        <f>IF(B35="","",AND(F35=AsOfWeek,AsOfWeek&lt;&gt;""))</f>
        <v/>
      </c>
      <c r="P35" s="20">
        <f>IF(OR(B35="",AsOfWeek=""),"",IFERROR(SUMIFS($M$5:$M$504,$B$5:$B$504,B35,$C$5:$C$504,C35,$L$5:$L$504,TRUE,$F$5:$F$504,"&gt;="&amp;AsOfWeek-7*(RecentWeeks-1),$F$5:$F$504,"&lt;="&amp;AsOfWeek),""))</f>
        <v/>
      </c>
      <c r="Q35" s="20">
        <f>IF(OR(B35="",AsOfWeek=""),"",IFERROR(SUMIFS($M$5:$M$504,$B$5:$B$504,B35,$C$5:$C$504,C35,$L$5:$L$504,TRUE,$F$5:$F$504,"&gt;="&amp;AsOfWeek-7*(RecentWeeks+PriorWeeks-1),$F$5:$F$504,"&lt;"&amp;AsOfWeek-7*(RecentWeeks-1)),""))</f>
        <v/>
      </c>
      <c r="R35" s="21">
        <f>IF(OR(P35="",Q35="",Q35=0),"",P35/Q35-1)</f>
        <v/>
      </c>
      <c r="S35" s="20">
        <f>IF(OR(C35="",AsOfWeek=""),"",IFERROR(AVERAGEIFS($M$5:$M$504,$C$5:$C$504,C35,$L$5:$L$504,TRUE,$F$5:$F$504,"&gt;="&amp;AsOfWeek-7*(RecentWeeks-1),$F$5:$F$504,"&lt;="&amp;AsOfWeek),""))</f>
        <v/>
      </c>
      <c r="T35" s="21">
        <f>IF(OR(P35="",S35=""),"",P35/S35-1)</f>
        <v/>
      </c>
      <c r="U35" s="22">
        <f>IF(OR(B35="",'Weekly Input'!G35="",P35="",P35=0),"",'Weekly Input'!G35/P35)</f>
        <v/>
      </c>
      <c r="V35" s="18">
        <f>IF(B35="","",IF(NOT(I35),"Not Ready",IF(NOT(K35),"Not Ready",IF(N35&lt;MinHistory,"Not Ready",IF(NOT(J35),"Not Ready",IF(OR(Q35="",Q35=0),"Noise",IF(Q35&lt;LowBaseThreshold,"Noise",IF(AND(R35&lt;=-OwnDecline,T35&lt;=-PeerGapThreshold),"Markdown Review",IF(AND(R35&gt;=ReorderUplift,U35&lt;&gt;"",U35&lt;=WeeksSupplyCap),"Reorder Candidate","Monitor"))))))))</f>
        <v/>
      </c>
      <c r="W35" s="18">
        <f>IF(B35="","",IF(NOT(I35),"INVALID_MASTER",IF(NOT(K35),"INCOMPLETE_SHELF_CYCLE",IF(N35&lt;MinHistory,"INSUFFICIENT_HISTORY",IF(NOT(J35),"INSUFFICIENT_IN_STOCK",IF(OR(Q35="",Q35=0),"NO_PRIOR_BASE",IF(Q35&lt;LowBaseThreshold,"LOW_BASE_NOISE",IF(V35="Markdown Review","MARKDOWN_PEER_GAP",IF(V35="Reorder Candidate","REORDER_UPLIFT_COVER","NO_MATERIAL_CHANGE"))))))))</f>
        <v/>
      </c>
      <c r="X35" s="18">
        <f>IF(V35="Markdown Review","Markdown support",IF(V35="Reorder Candidate","Second reorder",IF(V35="Monitor","Monitor",IF(V35="Noise","Hold / collect data",IF(V35="Not Ready","Not ready","")))))</f>
        <v/>
      </c>
      <c r="Y35" s="18">
        <f>IF(OR(R35="",T35=""),"",ABS(R35)+ABS(T35))</f>
        <v/>
      </c>
      <c r="Z35" s="21">
        <f>IF(OR(B35="",NOT(O35),R35=""),"",IF(ABS(R35)&gt;=MaterialThreshold,"Yes","No"))</f>
        <v/>
      </c>
      <c r="AA35" s="18">
        <f>IF(Z35&lt;&gt;"Yes","",IF(ABS(R35)&gt;=MaterialThreshold,IF(ABS(R35)&gt;=BroadShare,"Broad SKU movement","Store-concentrated movement"),""))</f>
        <v/>
      </c>
      <c r="AB35" s="18">
        <f>IF(O35,IF(COUNTIFS($O$5:O35,TRUE)&gt;0,COUNTIFS($O$5:O35,TRUE),0),0)</f>
        <v/>
      </c>
      <c r="AC35" s="18">
        <f>IF(V35="Markdown Review",1,IF(V35="Reorder Candidate",2,IF(V35="Monitor",3,IF(V35="Noise",4,IF(V35="Not Ready",5,99)))))</f>
        <v/>
      </c>
      <c r="AD35" s="18">
        <f>IF(O35,COUNTIFS($O$5:$O$504,TRUE,$AC$5:$AC$504,"&lt;"&amp;AC35)+COUNTIFS($O$5:O35,TRUE,$AC$5:AC35,AC35,$Y$5:Y35,"&gt;"&amp;Y35),0)</f>
        <v/>
      </c>
    </row>
    <row r="36">
      <c r="A36" s="17">
        <f>IF(COUNTA('Weekly Input'!A36:C36)=0,"",'Weekly Input'!B36&amp;"|"&amp;'Weekly Input'!C36&amp;"|"&amp;TEXT('Weekly Input'!A36,"yyyy-mm-dd"))</f>
        <v/>
      </c>
      <c r="B36" s="18">
        <f>'Weekly Input'!B36</f>
        <v/>
      </c>
      <c r="C36" s="18">
        <f>'Weekly Input'!C36</f>
        <v/>
      </c>
      <c r="D36" s="18">
        <f>IF(B36="","",IFERROR(INDEX('Master Data'!$B$6:$B$145,MATCH(B36,'Master Data'!$A$6:$A$145,0)),""))</f>
        <v/>
      </c>
      <c r="E36" s="18">
        <f>IF(C36="","",IFERROR(INDEX('Master Data'!$H$6:$H$13,MATCH(C36,'Master Data'!$F$6:$F$13,0)),""))</f>
        <v/>
      </c>
      <c r="F36" s="19">
        <f>'Weekly Input'!A36</f>
        <v/>
      </c>
      <c r="G36" s="19">
        <f>IF(B36="","",IFERROR(INDEX('Master Data'!$D$6:$D$145,MATCH(B36,'Master Data'!$A$6:$A$145,0)),""))</f>
        <v/>
      </c>
      <c r="H36" s="18">
        <f>IF(OR(F36="",G36=""),"",F36-G36)</f>
        <v/>
      </c>
      <c r="I36" s="18">
        <f>IF(B36="","",IF('Weekly Input'!J36="OK",TRUE,FALSE))</f>
        <v/>
      </c>
      <c r="J36" s="18">
        <f>IF(B36="","",'Weekly Input'!H36&gt;=MinInStockDays)</f>
        <v/>
      </c>
      <c r="K36" s="18">
        <f>IF(B36="","",H36&gt;=FullCycleMin)</f>
        <v/>
      </c>
      <c r="L36" s="18">
        <f>IF(B36="","",AND(I36,J36,K36,N36&gt;=MinHistory))</f>
        <v/>
      </c>
      <c r="M36" s="20">
        <f>IF(OR(B36="",'Weekly Input'!H36=0),"",'Weekly Input'!D36/'Weekly Input'!H36*7)</f>
        <v/>
      </c>
      <c r="N36" s="18">
        <f>IF(B36="","",COUNTIFS($B$5:$B$504,B36,$C$5:$C$504,C36,$I$5:$I$504,TRUE,$J$5:$J$504,TRUE,$K$5:$K$504,TRUE))</f>
        <v/>
      </c>
      <c r="O36" s="18">
        <f>IF(B36="","",AND(F36=AsOfWeek,AsOfWeek&lt;&gt;""))</f>
        <v/>
      </c>
      <c r="P36" s="20">
        <f>IF(OR(B36="",AsOfWeek=""),"",IFERROR(SUMIFS($M$5:$M$504,$B$5:$B$504,B36,$C$5:$C$504,C36,$L$5:$L$504,TRUE,$F$5:$F$504,"&gt;="&amp;AsOfWeek-7*(RecentWeeks-1),$F$5:$F$504,"&lt;="&amp;AsOfWeek),""))</f>
        <v/>
      </c>
      <c r="Q36" s="20">
        <f>IF(OR(B36="",AsOfWeek=""),"",IFERROR(SUMIFS($M$5:$M$504,$B$5:$B$504,B36,$C$5:$C$504,C36,$L$5:$L$504,TRUE,$F$5:$F$504,"&gt;="&amp;AsOfWeek-7*(RecentWeeks+PriorWeeks-1),$F$5:$F$504,"&lt;"&amp;AsOfWeek-7*(RecentWeeks-1)),""))</f>
        <v/>
      </c>
      <c r="R36" s="21">
        <f>IF(OR(P36="",Q36="",Q36=0),"",P36/Q36-1)</f>
        <v/>
      </c>
      <c r="S36" s="20">
        <f>IF(OR(C36="",AsOfWeek=""),"",IFERROR(AVERAGEIFS($M$5:$M$504,$C$5:$C$504,C36,$L$5:$L$504,TRUE,$F$5:$F$504,"&gt;="&amp;AsOfWeek-7*(RecentWeeks-1),$F$5:$F$504,"&lt;="&amp;AsOfWeek),""))</f>
        <v/>
      </c>
      <c r="T36" s="21">
        <f>IF(OR(P36="",S36=""),"",P36/S36-1)</f>
        <v/>
      </c>
      <c r="U36" s="22">
        <f>IF(OR(B36="",'Weekly Input'!G36="",P36="",P36=0),"",'Weekly Input'!G36/P36)</f>
        <v/>
      </c>
      <c r="V36" s="18">
        <f>IF(B36="","",IF(NOT(I36),"Not Ready",IF(NOT(K36),"Not Ready",IF(N36&lt;MinHistory,"Not Ready",IF(NOT(J36),"Not Ready",IF(OR(Q36="",Q36=0),"Noise",IF(Q36&lt;LowBaseThreshold,"Noise",IF(AND(R36&lt;=-OwnDecline,T36&lt;=-PeerGapThreshold),"Markdown Review",IF(AND(R36&gt;=ReorderUplift,U36&lt;&gt;"",U36&lt;=WeeksSupplyCap),"Reorder Candidate","Monitor"))))))))</f>
        <v/>
      </c>
      <c r="W36" s="18">
        <f>IF(B36="","",IF(NOT(I36),"INVALID_MASTER",IF(NOT(K36),"INCOMPLETE_SHELF_CYCLE",IF(N36&lt;MinHistory,"INSUFFICIENT_HISTORY",IF(NOT(J36),"INSUFFICIENT_IN_STOCK",IF(OR(Q36="",Q36=0),"NO_PRIOR_BASE",IF(Q36&lt;LowBaseThreshold,"LOW_BASE_NOISE",IF(V36="Markdown Review","MARKDOWN_PEER_GAP",IF(V36="Reorder Candidate","REORDER_UPLIFT_COVER","NO_MATERIAL_CHANGE"))))))))</f>
        <v/>
      </c>
      <c r="X36" s="18">
        <f>IF(V36="Markdown Review","Markdown support",IF(V36="Reorder Candidate","Second reorder",IF(V36="Monitor","Monitor",IF(V36="Noise","Hold / collect data",IF(V36="Not Ready","Not ready","")))))</f>
        <v/>
      </c>
      <c r="Y36" s="18">
        <f>IF(OR(R36="",T36=""),"",ABS(R36)+ABS(T36))</f>
        <v/>
      </c>
      <c r="Z36" s="21">
        <f>IF(OR(B36="",NOT(O36),R36=""),"",IF(ABS(R36)&gt;=MaterialThreshold,"Yes","No"))</f>
        <v/>
      </c>
      <c r="AA36" s="18">
        <f>IF(Z36&lt;&gt;"Yes","",IF(ABS(R36)&gt;=MaterialThreshold,IF(ABS(R36)&gt;=BroadShare,"Broad SKU movement","Store-concentrated movement"),""))</f>
        <v/>
      </c>
      <c r="AB36" s="18">
        <f>IF(O36,IF(COUNTIFS($O$5:O36,TRUE)&gt;0,COUNTIFS($O$5:O36,TRUE),0),0)</f>
        <v/>
      </c>
      <c r="AC36" s="18">
        <f>IF(V36="Markdown Review",1,IF(V36="Reorder Candidate",2,IF(V36="Monitor",3,IF(V36="Noise",4,IF(V36="Not Ready",5,99)))))</f>
        <v/>
      </c>
      <c r="AD36" s="18">
        <f>IF(O36,COUNTIFS($O$5:$O$504,TRUE,$AC$5:$AC$504,"&lt;"&amp;AC36)+COUNTIFS($O$5:O36,TRUE,$AC$5:AC36,AC36,$Y$5:Y36,"&gt;"&amp;Y36),0)</f>
        <v/>
      </c>
    </row>
    <row r="37">
      <c r="A37" s="17">
        <f>IF(COUNTA('Weekly Input'!A37:C37)=0,"",'Weekly Input'!B37&amp;"|"&amp;'Weekly Input'!C37&amp;"|"&amp;TEXT('Weekly Input'!A37,"yyyy-mm-dd"))</f>
        <v/>
      </c>
      <c r="B37" s="18">
        <f>'Weekly Input'!B37</f>
        <v/>
      </c>
      <c r="C37" s="18">
        <f>'Weekly Input'!C37</f>
        <v/>
      </c>
      <c r="D37" s="18">
        <f>IF(B37="","",IFERROR(INDEX('Master Data'!$B$6:$B$145,MATCH(B37,'Master Data'!$A$6:$A$145,0)),""))</f>
        <v/>
      </c>
      <c r="E37" s="18">
        <f>IF(C37="","",IFERROR(INDEX('Master Data'!$H$6:$H$13,MATCH(C37,'Master Data'!$F$6:$F$13,0)),""))</f>
        <v/>
      </c>
      <c r="F37" s="19">
        <f>'Weekly Input'!A37</f>
        <v/>
      </c>
      <c r="G37" s="19">
        <f>IF(B37="","",IFERROR(INDEX('Master Data'!$D$6:$D$145,MATCH(B37,'Master Data'!$A$6:$A$145,0)),""))</f>
        <v/>
      </c>
      <c r="H37" s="18">
        <f>IF(OR(F37="",G37=""),"",F37-G37)</f>
        <v/>
      </c>
      <c r="I37" s="18">
        <f>IF(B37="","",IF('Weekly Input'!J37="OK",TRUE,FALSE))</f>
        <v/>
      </c>
      <c r="J37" s="18">
        <f>IF(B37="","",'Weekly Input'!H37&gt;=MinInStockDays)</f>
        <v/>
      </c>
      <c r="K37" s="18">
        <f>IF(B37="","",H37&gt;=FullCycleMin)</f>
        <v/>
      </c>
      <c r="L37" s="18">
        <f>IF(B37="","",AND(I37,J37,K37,N37&gt;=MinHistory))</f>
        <v/>
      </c>
      <c r="M37" s="20">
        <f>IF(OR(B37="",'Weekly Input'!H37=0),"",'Weekly Input'!D37/'Weekly Input'!H37*7)</f>
        <v/>
      </c>
      <c r="N37" s="18">
        <f>IF(B37="","",COUNTIFS($B$5:$B$504,B37,$C$5:$C$504,C37,$I$5:$I$504,TRUE,$J$5:$J$504,TRUE,$K$5:$K$504,TRUE))</f>
        <v/>
      </c>
      <c r="O37" s="18">
        <f>IF(B37="","",AND(F37=AsOfWeek,AsOfWeek&lt;&gt;""))</f>
        <v/>
      </c>
      <c r="P37" s="20">
        <f>IF(OR(B37="",AsOfWeek=""),"",IFERROR(SUMIFS($M$5:$M$504,$B$5:$B$504,B37,$C$5:$C$504,C37,$L$5:$L$504,TRUE,$F$5:$F$504,"&gt;="&amp;AsOfWeek-7*(RecentWeeks-1),$F$5:$F$504,"&lt;="&amp;AsOfWeek),""))</f>
        <v/>
      </c>
      <c r="Q37" s="20">
        <f>IF(OR(B37="",AsOfWeek=""),"",IFERROR(SUMIFS($M$5:$M$504,$B$5:$B$504,B37,$C$5:$C$504,C37,$L$5:$L$504,TRUE,$F$5:$F$504,"&gt;="&amp;AsOfWeek-7*(RecentWeeks+PriorWeeks-1),$F$5:$F$504,"&lt;"&amp;AsOfWeek-7*(RecentWeeks-1)),""))</f>
        <v/>
      </c>
      <c r="R37" s="21">
        <f>IF(OR(P37="",Q37="",Q37=0),"",P37/Q37-1)</f>
        <v/>
      </c>
      <c r="S37" s="20">
        <f>IF(OR(C37="",AsOfWeek=""),"",IFERROR(AVERAGEIFS($M$5:$M$504,$C$5:$C$504,C37,$L$5:$L$504,TRUE,$F$5:$F$504,"&gt;="&amp;AsOfWeek-7*(RecentWeeks-1),$F$5:$F$504,"&lt;="&amp;AsOfWeek),""))</f>
        <v/>
      </c>
      <c r="T37" s="21">
        <f>IF(OR(P37="",S37=""),"",P37/S37-1)</f>
        <v/>
      </c>
      <c r="U37" s="22">
        <f>IF(OR(B37="",'Weekly Input'!G37="",P37="",P37=0),"",'Weekly Input'!G37/P37)</f>
        <v/>
      </c>
      <c r="V37" s="18">
        <f>IF(B37="","",IF(NOT(I37),"Not Ready",IF(NOT(K37),"Not Ready",IF(N37&lt;MinHistory,"Not Ready",IF(NOT(J37),"Not Ready",IF(OR(Q37="",Q37=0),"Noise",IF(Q37&lt;LowBaseThreshold,"Noise",IF(AND(R37&lt;=-OwnDecline,T37&lt;=-PeerGapThreshold),"Markdown Review",IF(AND(R37&gt;=ReorderUplift,U37&lt;&gt;"",U37&lt;=WeeksSupplyCap),"Reorder Candidate","Monitor"))))))))</f>
        <v/>
      </c>
      <c r="W37" s="18">
        <f>IF(B37="","",IF(NOT(I37),"INVALID_MASTER",IF(NOT(K37),"INCOMPLETE_SHELF_CYCLE",IF(N37&lt;MinHistory,"INSUFFICIENT_HISTORY",IF(NOT(J37),"INSUFFICIENT_IN_STOCK",IF(OR(Q37="",Q37=0),"NO_PRIOR_BASE",IF(Q37&lt;LowBaseThreshold,"LOW_BASE_NOISE",IF(V37="Markdown Review","MARKDOWN_PEER_GAP",IF(V37="Reorder Candidate","REORDER_UPLIFT_COVER","NO_MATERIAL_CHANGE"))))))))</f>
        <v/>
      </c>
      <c r="X37" s="18">
        <f>IF(V37="Markdown Review","Markdown support",IF(V37="Reorder Candidate","Second reorder",IF(V37="Monitor","Monitor",IF(V37="Noise","Hold / collect data",IF(V37="Not Ready","Not ready","")))))</f>
        <v/>
      </c>
      <c r="Y37" s="18">
        <f>IF(OR(R37="",T37=""),"",ABS(R37)+ABS(T37))</f>
        <v/>
      </c>
      <c r="Z37" s="21">
        <f>IF(OR(B37="",NOT(O37),R37=""),"",IF(ABS(R37)&gt;=MaterialThreshold,"Yes","No"))</f>
        <v/>
      </c>
      <c r="AA37" s="18">
        <f>IF(Z37&lt;&gt;"Yes","",IF(ABS(R37)&gt;=MaterialThreshold,IF(ABS(R37)&gt;=BroadShare,"Broad SKU movement","Store-concentrated movement"),""))</f>
        <v/>
      </c>
      <c r="AB37" s="18">
        <f>IF(O37,IF(COUNTIFS($O$5:O37,TRUE)&gt;0,COUNTIFS($O$5:O37,TRUE),0),0)</f>
        <v/>
      </c>
      <c r="AC37" s="18">
        <f>IF(V37="Markdown Review",1,IF(V37="Reorder Candidate",2,IF(V37="Monitor",3,IF(V37="Noise",4,IF(V37="Not Ready",5,99)))))</f>
        <v/>
      </c>
      <c r="AD37" s="18">
        <f>IF(O37,COUNTIFS($O$5:$O$504,TRUE,$AC$5:$AC$504,"&lt;"&amp;AC37)+COUNTIFS($O$5:O37,TRUE,$AC$5:AC37,AC37,$Y$5:Y37,"&gt;"&amp;Y37),0)</f>
        <v/>
      </c>
    </row>
    <row r="38">
      <c r="A38" s="17">
        <f>IF(COUNTA('Weekly Input'!A38:C38)=0,"",'Weekly Input'!B38&amp;"|"&amp;'Weekly Input'!C38&amp;"|"&amp;TEXT('Weekly Input'!A38,"yyyy-mm-dd"))</f>
        <v/>
      </c>
      <c r="B38" s="18">
        <f>'Weekly Input'!B38</f>
        <v/>
      </c>
      <c r="C38" s="18">
        <f>'Weekly Input'!C38</f>
        <v/>
      </c>
      <c r="D38" s="18">
        <f>IF(B38="","",IFERROR(INDEX('Master Data'!$B$6:$B$145,MATCH(B38,'Master Data'!$A$6:$A$145,0)),""))</f>
        <v/>
      </c>
      <c r="E38" s="18">
        <f>IF(C38="","",IFERROR(INDEX('Master Data'!$H$6:$H$13,MATCH(C38,'Master Data'!$F$6:$F$13,0)),""))</f>
        <v/>
      </c>
      <c r="F38" s="19">
        <f>'Weekly Input'!A38</f>
        <v/>
      </c>
      <c r="G38" s="19">
        <f>IF(B38="","",IFERROR(INDEX('Master Data'!$D$6:$D$145,MATCH(B38,'Master Data'!$A$6:$A$145,0)),""))</f>
        <v/>
      </c>
      <c r="H38" s="18">
        <f>IF(OR(F38="",G38=""),"",F38-G38)</f>
        <v/>
      </c>
      <c r="I38" s="18">
        <f>IF(B38="","",IF('Weekly Input'!J38="OK",TRUE,FALSE))</f>
        <v/>
      </c>
      <c r="J38" s="18">
        <f>IF(B38="","",'Weekly Input'!H38&gt;=MinInStockDays)</f>
        <v/>
      </c>
      <c r="K38" s="18">
        <f>IF(B38="","",H38&gt;=FullCycleMin)</f>
        <v/>
      </c>
      <c r="L38" s="18">
        <f>IF(B38="","",AND(I38,J38,K38,N38&gt;=MinHistory))</f>
        <v/>
      </c>
      <c r="M38" s="20">
        <f>IF(OR(B38="",'Weekly Input'!H38=0),"",'Weekly Input'!D38/'Weekly Input'!H38*7)</f>
        <v/>
      </c>
      <c r="N38" s="18">
        <f>IF(B38="","",COUNTIFS($B$5:$B$504,B38,$C$5:$C$504,C38,$I$5:$I$504,TRUE,$J$5:$J$504,TRUE,$K$5:$K$504,TRUE))</f>
        <v/>
      </c>
      <c r="O38" s="18">
        <f>IF(B38="","",AND(F38=AsOfWeek,AsOfWeek&lt;&gt;""))</f>
        <v/>
      </c>
      <c r="P38" s="20">
        <f>IF(OR(B38="",AsOfWeek=""),"",IFERROR(SUMIFS($M$5:$M$504,$B$5:$B$504,B38,$C$5:$C$504,C38,$L$5:$L$504,TRUE,$F$5:$F$504,"&gt;="&amp;AsOfWeek-7*(RecentWeeks-1),$F$5:$F$504,"&lt;="&amp;AsOfWeek),""))</f>
        <v/>
      </c>
      <c r="Q38" s="20">
        <f>IF(OR(B38="",AsOfWeek=""),"",IFERROR(SUMIFS($M$5:$M$504,$B$5:$B$504,B38,$C$5:$C$504,C38,$L$5:$L$504,TRUE,$F$5:$F$504,"&gt;="&amp;AsOfWeek-7*(RecentWeeks+PriorWeeks-1),$F$5:$F$504,"&lt;"&amp;AsOfWeek-7*(RecentWeeks-1)),""))</f>
        <v/>
      </c>
      <c r="R38" s="21">
        <f>IF(OR(P38="",Q38="",Q38=0),"",P38/Q38-1)</f>
        <v/>
      </c>
      <c r="S38" s="20">
        <f>IF(OR(C38="",AsOfWeek=""),"",IFERROR(AVERAGEIFS($M$5:$M$504,$C$5:$C$504,C38,$L$5:$L$504,TRUE,$F$5:$F$504,"&gt;="&amp;AsOfWeek-7*(RecentWeeks-1),$F$5:$F$504,"&lt;="&amp;AsOfWeek),""))</f>
        <v/>
      </c>
      <c r="T38" s="21">
        <f>IF(OR(P38="",S38=""),"",P38/S38-1)</f>
        <v/>
      </c>
      <c r="U38" s="22">
        <f>IF(OR(B38="",'Weekly Input'!G38="",P38="",P38=0),"",'Weekly Input'!G38/P38)</f>
        <v/>
      </c>
      <c r="V38" s="18">
        <f>IF(B38="","",IF(NOT(I38),"Not Ready",IF(NOT(K38),"Not Ready",IF(N38&lt;MinHistory,"Not Ready",IF(NOT(J38),"Not Ready",IF(OR(Q38="",Q38=0),"Noise",IF(Q38&lt;LowBaseThreshold,"Noise",IF(AND(R38&lt;=-OwnDecline,T38&lt;=-PeerGapThreshold),"Markdown Review",IF(AND(R38&gt;=ReorderUplift,U38&lt;&gt;"",U38&lt;=WeeksSupplyCap),"Reorder Candidate","Monitor"))))))))</f>
        <v/>
      </c>
      <c r="W38" s="18">
        <f>IF(B38="","",IF(NOT(I38),"INVALID_MASTER",IF(NOT(K38),"INCOMPLETE_SHELF_CYCLE",IF(N38&lt;MinHistory,"INSUFFICIENT_HISTORY",IF(NOT(J38),"INSUFFICIENT_IN_STOCK",IF(OR(Q38="",Q38=0),"NO_PRIOR_BASE",IF(Q38&lt;LowBaseThreshold,"LOW_BASE_NOISE",IF(V38="Markdown Review","MARKDOWN_PEER_GAP",IF(V38="Reorder Candidate","REORDER_UPLIFT_COVER","NO_MATERIAL_CHANGE"))))))))</f>
        <v/>
      </c>
      <c r="X38" s="18">
        <f>IF(V38="Markdown Review","Markdown support",IF(V38="Reorder Candidate","Second reorder",IF(V38="Monitor","Monitor",IF(V38="Noise","Hold / collect data",IF(V38="Not Ready","Not ready","")))))</f>
        <v/>
      </c>
      <c r="Y38" s="18">
        <f>IF(OR(R38="",T38=""),"",ABS(R38)+ABS(T38))</f>
        <v/>
      </c>
      <c r="Z38" s="21">
        <f>IF(OR(B38="",NOT(O38),R38=""),"",IF(ABS(R38)&gt;=MaterialThreshold,"Yes","No"))</f>
        <v/>
      </c>
      <c r="AA38" s="18">
        <f>IF(Z38&lt;&gt;"Yes","",IF(ABS(R38)&gt;=MaterialThreshold,IF(ABS(R38)&gt;=BroadShare,"Broad SKU movement","Store-concentrated movement"),""))</f>
        <v/>
      </c>
      <c r="AB38" s="18">
        <f>IF(O38,IF(COUNTIFS($O$5:O38,TRUE)&gt;0,COUNTIFS($O$5:O38,TRUE),0),0)</f>
        <v/>
      </c>
      <c r="AC38" s="18">
        <f>IF(V38="Markdown Review",1,IF(V38="Reorder Candidate",2,IF(V38="Monitor",3,IF(V38="Noise",4,IF(V38="Not Ready",5,99)))))</f>
        <v/>
      </c>
      <c r="AD38" s="18">
        <f>IF(O38,COUNTIFS($O$5:$O$504,TRUE,$AC$5:$AC$504,"&lt;"&amp;AC38)+COUNTIFS($O$5:O38,TRUE,$AC$5:AC38,AC38,$Y$5:Y38,"&gt;"&amp;Y38),0)</f>
        <v/>
      </c>
    </row>
    <row r="39">
      <c r="A39" s="17">
        <f>IF(COUNTA('Weekly Input'!A39:C39)=0,"",'Weekly Input'!B39&amp;"|"&amp;'Weekly Input'!C39&amp;"|"&amp;TEXT('Weekly Input'!A39,"yyyy-mm-dd"))</f>
        <v/>
      </c>
      <c r="B39" s="18">
        <f>'Weekly Input'!B39</f>
        <v/>
      </c>
      <c r="C39" s="18">
        <f>'Weekly Input'!C39</f>
        <v/>
      </c>
      <c r="D39" s="18">
        <f>IF(B39="","",IFERROR(INDEX('Master Data'!$B$6:$B$145,MATCH(B39,'Master Data'!$A$6:$A$145,0)),""))</f>
        <v/>
      </c>
      <c r="E39" s="18">
        <f>IF(C39="","",IFERROR(INDEX('Master Data'!$H$6:$H$13,MATCH(C39,'Master Data'!$F$6:$F$13,0)),""))</f>
        <v/>
      </c>
      <c r="F39" s="19">
        <f>'Weekly Input'!A39</f>
        <v/>
      </c>
      <c r="G39" s="19">
        <f>IF(B39="","",IFERROR(INDEX('Master Data'!$D$6:$D$145,MATCH(B39,'Master Data'!$A$6:$A$145,0)),""))</f>
        <v/>
      </c>
      <c r="H39" s="18">
        <f>IF(OR(F39="",G39=""),"",F39-G39)</f>
        <v/>
      </c>
      <c r="I39" s="18">
        <f>IF(B39="","",IF('Weekly Input'!J39="OK",TRUE,FALSE))</f>
        <v/>
      </c>
      <c r="J39" s="18">
        <f>IF(B39="","",'Weekly Input'!H39&gt;=MinInStockDays)</f>
        <v/>
      </c>
      <c r="K39" s="18">
        <f>IF(B39="","",H39&gt;=FullCycleMin)</f>
        <v/>
      </c>
      <c r="L39" s="18">
        <f>IF(B39="","",AND(I39,J39,K39,N39&gt;=MinHistory))</f>
        <v/>
      </c>
      <c r="M39" s="20">
        <f>IF(OR(B39="",'Weekly Input'!H39=0),"",'Weekly Input'!D39/'Weekly Input'!H39*7)</f>
        <v/>
      </c>
      <c r="N39" s="18">
        <f>IF(B39="","",COUNTIFS($B$5:$B$504,B39,$C$5:$C$504,C39,$I$5:$I$504,TRUE,$J$5:$J$504,TRUE,$K$5:$K$504,TRUE))</f>
        <v/>
      </c>
      <c r="O39" s="18">
        <f>IF(B39="","",AND(F39=AsOfWeek,AsOfWeek&lt;&gt;""))</f>
        <v/>
      </c>
      <c r="P39" s="20">
        <f>IF(OR(B39="",AsOfWeek=""),"",IFERROR(SUMIFS($M$5:$M$504,$B$5:$B$504,B39,$C$5:$C$504,C39,$L$5:$L$504,TRUE,$F$5:$F$504,"&gt;="&amp;AsOfWeek-7*(RecentWeeks-1),$F$5:$F$504,"&lt;="&amp;AsOfWeek),""))</f>
        <v/>
      </c>
      <c r="Q39" s="20">
        <f>IF(OR(B39="",AsOfWeek=""),"",IFERROR(SUMIFS($M$5:$M$504,$B$5:$B$504,B39,$C$5:$C$504,C39,$L$5:$L$504,TRUE,$F$5:$F$504,"&gt;="&amp;AsOfWeek-7*(RecentWeeks+PriorWeeks-1),$F$5:$F$504,"&lt;"&amp;AsOfWeek-7*(RecentWeeks-1)),""))</f>
        <v/>
      </c>
      <c r="R39" s="21">
        <f>IF(OR(P39="",Q39="",Q39=0),"",P39/Q39-1)</f>
        <v/>
      </c>
      <c r="S39" s="20">
        <f>IF(OR(C39="",AsOfWeek=""),"",IFERROR(AVERAGEIFS($M$5:$M$504,$C$5:$C$504,C39,$L$5:$L$504,TRUE,$F$5:$F$504,"&gt;="&amp;AsOfWeek-7*(RecentWeeks-1),$F$5:$F$504,"&lt;="&amp;AsOfWeek),""))</f>
        <v/>
      </c>
      <c r="T39" s="21">
        <f>IF(OR(P39="",S39=""),"",P39/S39-1)</f>
        <v/>
      </c>
      <c r="U39" s="22">
        <f>IF(OR(B39="",'Weekly Input'!G39="",P39="",P39=0),"",'Weekly Input'!G39/P39)</f>
        <v/>
      </c>
      <c r="V39" s="18">
        <f>IF(B39="","",IF(NOT(I39),"Not Ready",IF(NOT(K39),"Not Ready",IF(N39&lt;MinHistory,"Not Ready",IF(NOT(J39),"Not Ready",IF(OR(Q39="",Q39=0),"Noise",IF(Q39&lt;LowBaseThreshold,"Noise",IF(AND(R39&lt;=-OwnDecline,T39&lt;=-PeerGapThreshold),"Markdown Review",IF(AND(R39&gt;=ReorderUplift,U39&lt;&gt;"",U39&lt;=WeeksSupplyCap),"Reorder Candidate","Monitor"))))))))</f>
        <v/>
      </c>
      <c r="W39" s="18">
        <f>IF(B39="","",IF(NOT(I39),"INVALID_MASTER",IF(NOT(K39),"INCOMPLETE_SHELF_CYCLE",IF(N39&lt;MinHistory,"INSUFFICIENT_HISTORY",IF(NOT(J39),"INSUFFICIENT_IN_STOCK",IF(OR(Q39="",Q39=0),"NO_PRIOR_BASE",IF(Q39&lt;LowBaseThreshold,"LOW_BASE_NOISE",IF(V39="Markdown Review","MARKDOWN_PEER_GAP",IF(V39="Reorder Candidate","REORDER_UPLIFT_COVER","NO_MATERIAL_CHANGE"))))))))</f>
        <v/>
      </c>
      <c r="X39" s="18">
        <f>IF(V39="Markdown Review","Markdown support",IF(V39="Reorder Candidate","Second reorder",IF(V39="Monitor","Monitor",IF(V39="Noise","Hold / collect data",IF(V39="Not Ready","Not ready","")))))</f>
        <v/>
      </c>
      <c r="Y39" s="18">
        <f>IF(OR(R39="",T39=""),"",ABS(R39)+ABS(T39))</f>
        <v/>
      </c>
      <c r="Z39" s="21">
        <f>IF(OR(B39="",NOT(O39),R39=""),"",IF(ABS(R39)&gt;=MaterialThreshold,"Yes","No"))</f>
        <v/>
      </c>
      <c r="AA39" s="18">
        <f>IF(Z39&lt;&gt;"Yes","",IF(ABS(R39)&gt;=MaterialThreshold,IF(ABS(R39)&gt;=BroadShare,"Broad SKU movement","Store-concentrated movement"),""))</f>
        <v/>
      </c>
      <c r="AB39" s="18">
        <f>IF(O39,IF(COUNTIFS($O$5:O39,TRUE)&gt;0,COUNTIFS($O$5:O39,TRUE),0),0)</f>
        <v/>
      </c>
      <c r="AC39" s="18">
        <f>IF(V39="Markdown Review",1,IF(V39="Reorder Candidate",2,IF(V39="Monitor",3,IF(V39="Noise",4,IF(V39="Not Ready",5,99)))))</f>
        <v/>
      </c>
      <c r="AD39" s="18">
        <f>IF(O39,COUNTIFS($O$5:$O$504,TRUE,$AC$5:$AC$504,"&lt;"&amp;AC39)+COUNTIFS($O$5:O39,TRUE,$AC$5:AC39,AC39,$Y$5:Y39,"&gt;"&amp;Y39),0)</f>
        <v/>
      </c>
    </row>
    <row r="40">
      <c r="A40" s="17">
        <f>IF(COUNTA('Weekly Input'!A40:C40)=0,"",'Weekly Input'!B40&amp;"|"&amp;'Weekly Input'!C40&amp;"|"&amp;TEXT('Weekly Input'!A40,"yyyy-mm-dd"))</f>
        <v/>
      </c>
      <c r="B40" s="18">
        <f>'Weekly Input'!B40</f>
        <v/>
      </c>
      <c r="C40" s="18">
        <f>'Weekly Input'!C40</f>
        <v/>
      </c>
      <c r="D40" s="18">
        <f>IF(B40="","",IFERROR(INDEX('Master Data'!$B$6:$B$145,MATCH(B40,'Master Data'!$A$6:$A$145,0)),""))</f>
        <v/>
      </c>
      <c r="E40" s="18">
        <f>IF(C40="","",IFERROR(INDEX('Master Data'!$H$6:$H$13,MATCH(C40,'Master Data'!$F$6:$F$13,0)),""))</f>
        <v/>
      </c>
      <c r="F40" s="19">
        <f>'Weekly Input'!A40</f>
        <v/>
      </c>
      <c r="G40" s="19">
        <f>IF(B40="","",IFERROR(INDEX('Master Data'!$D$6:$D$145,MATCH(B40,'Master Data'!$A$6:$A$145,0)),""))</f>
        <v/>
      </c>
      <c r="H40" s="18">
        <f>IF(OR(F40="",G40=""),"",F40-G40)</f>
        <v/>
      </c>
      <c r="I40" s="18">
        <f>IF(B40="","",IF('Weekly Input'!J40="OK",TRUE,FALSE))</f>
        <v/>
      </c>
      <c r="J40" s="18">
        <f>IF(B40="","",'Weekly Input'!H40&gt;=MinInStockDays)</f>
        <v/>
      </c>
      <c r="K40" s="18">
        <f>IF(B40="","",H40&gt;=FullCycleMin)</f>
        <v/>
      </c>
      <c r="L40" s="18">
        <f>IF(B40="","",AND(I40,J40,K40,N40&gt;=MinHistory))</f>
        <v/>
      </c>
      <c r="M40" s="20">
        <f>IF(OR(B40="",'Weekly Input'!H40=0),"",'Weekly Input'!D40/'Weekly Input'!H40*7)</f>
        <v/>
      </c>
      <c r="N40" s="18">
        <f>IF(B40="","",COUNTIFS($B$5:$B$504,B40,$C$5:$C$504,C40,$I$5:$I$504,TRUE,$J$5:$J$504,TRUE,$K$5:$K$504,TRUE))</f>
        <v/>
      </c>
      <c r="O40" s="18">
        <f>IF(B40="","",AND(F40=AsOfWeek,AsOfWeek&lt;&gt;""))</f>
        <v/>
      </c>
      <c r="P40" s="20">
        <f>IF(OR(B40="",AsOfWeek=""),"",IFERROR(SUMIFS($M$5:$M$504,$B$5:$B$504,B40,$C$5:$C$504,C40,$L$5:$L$504,TRUE,$F$5:$F$504,"&gt;="&amp;AsOfWeek-7*(RecentWeeks-1),$F$5:$F$504,"&lt;="&amp;AsOfWeek),""))</f>
        <v/>
      </c>
      <c r="Q40" s="20">
        <f>IF(OR(B40="",AsOfWeek=""),"",IFERROR(SUMIFS($M$5:$M$504,$B$5:$B$504,B40,$C$5:$C$504,C40,$L$5:$L$504,TRUE,$F$5:$F$504,"&gt;="&amp;AsOfWeek-7*(RecentWeeks+PriorWeeks-1),$F$5:$F$504,"&lt;"&amp;AsOfWeek-7*(RecentWeeks-1)),""))</f>
        <v/>
      </c>
      <c r="R40" s="21">
        <f>IF(OR(P40="",Q40="",Q40=0),"",P40/Q40-1)</f>
        <v/>
      </c>
      <c r="S40" s="20">
        <f>IF(OR(C40="",AsOfWeek=""),"",IFERROR(AVERAGEIFS($M$5:$M$504,$C$5:$C$504,C40,$L$5:$L$504,TRUE,$F$5:$F$504,"&gt;="&amp;AsOfWeek-7*(RecentWeeks-1),$F$5:$F$504,"&lt;="&amp;AsOfWeek),""))</f>
        <v/>
      </c>
      <c r="T40" s="21">
        <f>IF(OR(P40="",S40=""),"",P40/S40-1)</f>
        <v/>
      </c>
      <c r="U40" s="22">
        <f>IF(OR(B40="",'Weekly Input'!G40="",P40="",P40=0),"",'Weekly Input'!G40/P40)</f>
        <v/>
      </c>
      <c r="V40" s="18">
        <f>IF(B40="","",IF(NOT(I40),"Not Ready",IF(NOT(K40),"Not Ready",IF(N40&lt;MinHistory,"Not Ready",IF(NOT(J40),"Not Ready",IF(OR(Q40="",Q40=0),"Noise",IF(Q40&lt;LowBaseThreshold,"Noise",IF(AND(R40&lt;=-OwnDecline,T40&lt;=-PeerGapThreshold),"Markdown Review",IF(AND(R40&gt;=ReorderUplift,U40&lt;&gt;"",U40&lt;=WeeksSupplyCap),"Reorder Candidate","Monitor"))))))))</f>
        <v/>
      </c>
      <c r="W40" s="18">
        <f>IF(B40="","",IF(NOT(I40),"INVALID_MASTER",IF(NOT(K40),"INCOMPLETE_SHELF_CYCLE",IF(N40&lt;MinHistory,"INSUFFICIENT_HISTORY",IF(NOT(J40),"INSUFFICIENT_IN_STOCK",IF(OR(Q40="",Q40=0),"NO_PRIOR_BASE",IF(Q40&lt;LowBaseThreshold,"LOW_BASE_NOISE",IF(V40="Markdown Review","MARKDOWN_PEER_GAP",IF(V40="Reorder Candidate","REORDER_UPLIFT_COVER","NO_MATERIAL_CHANGE"))))))))</f>
        <v/>
      </c>
      <c r="X40" s="18">
        <f>IF(V40="Markdown Review","Markdown support",IF(V40="Reorder Candidate","Second reorder",IF(V40="Monitor","Monitor",IF(V40="Noise","Hold / collect data",IF(V40="Not Ready","Not ready","")))))</f>
        <v/>
      </c>
      <c r="Y40" s="18">
        <f>IF(OR(R40="",T40=""),"",ABS(R40)+ABS(T40))</f>
        <v/>
      </c>
      <c r="Z40" s="21">
        <f>IF(OR(B40="",NOT(O40),R40=""),"",IF(ABS(R40)&gt;=MaterialThreshold,"Yes","No"))</f>
        <v/>
      </c>
      <c r="AA40" s="18">
        <f>IF(Z40&lt;&gt;"Yes","",IF(ABS(R40)&gt;=MaterialThreshold,IF(ABS(R40)&gt;=BroadShare,"Broad SKU movement","Store-concentrated movement"),""))</f>
        <v/>
      </c>
      <c r="AB40" s="18">
        <f>IF(O40,IF(COUNTIFS($O$5:O40,TRUE)&gt;0,COUNTIFS($O$5:O40,TRUE),0),0)</f>
        <v/>
      </c>
      <c r="AC40" s="18">
        <f>IF(V40="Markdown Review",1,IF(V40="Reorder Candidate",2,IF(V40="Monitor",3,IF(V40="Noise",4,IF(V40="Not Ready",5,99)))))</f>
        <v/>
      </c>
      <c r="AD40" s="18">
        <f>IF(O40,COUNTIFS($O$5:$O$504,TRUE,$AC$5:$AC$504,"&lt;"&amp;AC40)+COUNTIFS($O$5:O40,TRUE,$AC$5:AC40,AC40,$Y$5:Y40,"&gt;"&amp;Y40),0)</f>
        <v/>
      </c>
    </row>
    <row r="41">
      <c r="A41" s="17">
        <f>IF(COUNTA('Weekly Input'!A41:C41)=0,"",'Weekly Input'!B41&amp;"|"&amp;'Weekly Input'!C41&amp;"|"&amp;TEXT('Weekly Input'!A41,"yyyy-mm-dd"))</f>
        <v/>
      </c>
      <c r="B41" s="18">
        <f>'Weekly Input'!B41</f>
        <v/>
      </c>
      <c r="C41" s="18">
        <f>'Weekly Input'!C41</f>
        <v/>
      </c>
      <c r="D41" s="18">
        <f>IF(B41="","",IFERROR(INDEX('Master Data'!$B$6:$B$145,MATCH(B41,'Master Data'!$A$6:$A$145,0)),""))</f>
        <v/>
      </c>
      <c r="E41" s="18">
        <f>IF(C41="","",IFERROR(INDEX('Master Data'!$H$6:$H$13,MATCH(C41,'Master Data'!$F$6:$F$13,0)),""))</f>
        <v/>
      </c>
      <c r="F41" s="19">
        <f>'Weekly Input'!A41</f>
        <v/>
      </c>
      <c r="G41" s="19">
        <f>IF(B41="","",IFERROR(INDEX('Master Data'!$D$6:$D$145,MATCH(B41,'Master Data'!$A$6:$A$145,0)),""))</f>
        <v/>
      </c>
      <c r="H41" s="18">
        <f>IF(OR(F41="",G41=""),"",F41-G41)</f>
        <v/>
      </c>
      <c r="I41" s="18">
        <f>IF(B41="","",IF('Weekly Input'!J41="OK",TRUE,FALSE))</f>
        <v/>
      </c>
      <c r="J41" s="18">
        <f>IF(B41="","",'Weekly Input'!H41&gt;=MinInStockDays)</f>
        <v/>
      </c>
      <c r="K41" s="18">
        <f>IF(B41="","",H41&gt;=FullCycleMin)</f>
        <v/>
      </c>
      <c r="L41" s="18">
        <f>IF(B41="","",AND(I41,J41,K41,N41&gt;=MinHistory))</f>
        <v/>
      </c>
      <c r="M41" s="20">
        <f>IF(OR(B41="",'Weekly Input'!H41=0),"",'Weekly Input'!D41/'Weekly Input'!H41*7)</f>
        <v/>
      </c>
      <c r="N41" s="18">
        <f>IF(B41="","",COUNTIFS($B$5:$B$504,B41,$C$5:$C$504,C41,$I$5:$I$504,TRUE,$J$5:$J$504,TRUE,$K$5:$K$504,TRUE))</f>
        <v/>
      </c>
      <c r="O41" s="18">
        <f>IF(B41="","",AND(F41=AsOfWeek,AsOfWeek&lt;&gt;""))</f>
        <v/>
      </c>
      <c r="P41" s="20">
        <f>IF(OR(B41="",AsOfWeek=""),"",IFERROR(SUMIFS($M$5:$M$504,$B$5:$B$504,B41,$C$5:$C$504,C41,$L$5:$L$504,TRUE,$F$5:$F$504,"&gt;="&amp;AsOfWeek-7*(RecentWeeks-1),$F$5:$F$504,"&lt;="&amp;AsOfWeek),""))</f>
        <v/>
      </c>
      <c r="Q41" s="20">
        <f>IF(OR(B41="",AsOfWeek=""),"",IFERROR(SUMIFS($M$5:$M$504,$B$5:$B$504,B41,$C$5:$C$504,C41,$L$5:$L$504,TRUE,$F$5:$F$504,"&gt;="&amp;AsOfWeek-7*(RecentWeeks+PriorWeeks-1),$F$5:$F$504,"&lt;"&amp;AsOfWeek-7*(RecentWeeks-1)),""))</f>
        <v/>
      </c>
      <c r="R41" s="21">
        <f>IF(OR(P41="",Q41="",Q41=0),"",P41/Q41-1)</f>
        <v/>
      </c>
      <c r="S41" s="20">
        <f>IF(OR(C41="",AsOfWeek=""),"",IFERROR(AVERAGEIFS($M$5:$M$504,$C$5:$C$504,C41,$L$5:$L$504,TRUE,$F$5:$F$504,"&gt;="&amp;AsOfWeek-7*(RecentWeeks-1),$F$5:$F$504,"&lt;="&amp;AsOfWeek),""))</f>
        <v/>
      </c>
      <c r="T41" s="21">
        <f>IF(OR(P41="",S41=""),"",P41/S41-1)</f>
        <v/>
      </c>
      <c r="U41" s="22">
        <f>IF(OR(B41="",'Weekly Input'!G41="",P41="",P41=0),"",'Weekly Input'!G41/P41)</f>
        <v/>
      </c>
      <c r="V41" s="18">
        <f>IF(B41="","",IF(NOT(I41),"Not Ready",IF(NOT(K41),"Not Ready",IF(N41&lt;MinHistory,"Not Ready",IF(NOT(J41),"Not Ready",IF(OR(Q41="",Q41=0),"Noise",IF(Q41&lt;LowBaseThreshold,"Noise",IF(AND(R41&lt;=-OwnDecline,T41&lt;=-PeerGapThreshold),"Markdown Review",IF(AND(R41&gt;=ReorderUplift,U41&lt;&gt;"",U41&lt;=WeeksSupplyCap),"Reorder Candidate","Monitor"))))))))</f>
        <v/>
      </c>
      <c r="W41" s="18">
        <f>IF(B41="","",IF(NOT(I41),"INVALID_MASTER",IF(NOT(K41),"INCOMPLETE_SHELF_CYCLE",IF(N41&lt;MinHistory,"INSUFFICIENT_HISTORY",IF(NOT(J41),"INSUFFICIENT_IN_STOCK",IF(OR(Q41="",Q41=0),"NO_PRIOR_BASE",IF(Q41&lt;LowBaseThreshold,"LOW_BASE_NOISE",IF(V41="Markdown Review","MARKDOWN_PEER_GAP",IF(V41="Reorder Candidate","REORDER_UPLIFT_COVER","NO_MATERIAL_CHANGE"))))))))</f>
        <v/>
      </c>
      <c r="X41" s="18">
        <f>IF(V41="Markdown Review","Markdown support",IF(V41="Reorder Candidate","Second reorder",IF(V41="Monitor","Monitor",IF(V41="Noise","Hold / collect data",IF(V41="Not Ready","Not ready","")))))</f>
        <v/>
      </c>
      <c r="Y41" s="18">
        <f>IF(OR(R41="",T41=""),"",ABS(R41)+ABS(T41))</f>
        <v/>
      </c>
      <c r="Z41" s="21">
        <f>IF(OR(B41="",NOT(O41),R41=""),"",IF(ABS(R41)&gt;=MaterialThreshold,"Yes","No"))</f>
        <v/>
      </c>
      <c r="AA41" s="18">
        <f>IF(Z41&lt;&gt;"Yes","",IF(ABS(R41)&gt;=MaterialThreshold,IF(ABS(R41)&gt;=BroadShare,"Broad SKU movement","Store-concentrated movement"),""))</f>
        <v/>
      </c>
      <c r="AB41" s="18">
        <f>IF(O41,IF(COUNTIFS($O$5:O41,TRUE)&gt;0,COUNTIFS($O$5:O41,TRUE),0),0)</f>
        <v/>
      </c>
      <c r="AC41" s="18">
        <f>IF(V41="Markdown Review",1,IF(V41="Reorder Candidate",2,IF(V41="Monitor",3,IF(V41="Noise",4,IF(V41="Not Ready",5,99)))))</f>
        <v/>
      </c>
      <c r="AD41" s="18">
        <f>IF(O41,COUNTIFS($O$5:$O$504,TRUE,$AC$5:$AC$504,"&lt;"&amp;AC41)+COUNTIFS($O$5:O41,TRUE,$AC$5:AC41,AC41,$Y$5:Y41,"&gt;"&amp;Y41),0)</f>
        <v/>
      </c>
    </row>
    <row r="42">
      <c r="A42" s="17">
        <f>IF(COUNTA('Weekly Input'!A42:C42)=0,"",'Weekly Input'!B42&amp;"|"&amp;'Weekly Input'!C42&amp;"|"&amp;TEXT('Weekly Input'!A42,"yyyy-mm-dd"))</f>
        <v/>
      </c>
      <c r="B42" s="18">
        <f>'Weekly Input'!B42</f>
        <v/>
      </c>
      <c r="C42" s="18">
        <f>'Weekly Input'!C42</f>
        <v/>
      </c>
      <c r="D42" s="18">
        <f>IF(B42="","",IFERROR(INDEX('Master Data'!$B$6:$B$145,MATCH(B42,'Master Data'!$A$6:$A$145,0)),""))</f>
        <v/>
      </c>
      <c r="E42" s="18">
        <f>IF(C42="","",IFERROR(INDEX('Master Data'!$H$6:$H$13,MATCH(C42,'Master Data'!$F$6:$F$13,0)),""))</f>
        <v/>
      </c>
      <c r="F42" s="19">
        <f>'Weekly Input'!A42</f>
        <v/>
      </c>
      <c r="G42" s="19">
        <f>IF(B42="","",IFERROR(INDEX('Master Data'!$D$6:$D$145,MATCH(B42,'Master Data'!$A$6:$A$145,0)),""))</f>
        <v/>
      </c>
      <c r="H42" s="18">
        <f>IF(OR(F42="",G42=""),"",F42-G42)</f>
        <v/>
      </c>
      <c r="I42" s="18">
        <f>IF(B42="","",IF('Weekly Input'!J42="OK",TRUE,FALSE))</f>
        <v/>
      </c>
      <c r="J42" s="18">
        <f>IF(B42="","",'Weekly Input'!H42&gt;=MinInStockDays)</f>
        <v/>
      </c>
      <c r="K42" s="18">
        <f>IF(B42="","",H42&gt;=FullCycleMin)</f>
        <v/>
      </c>
      <c r="L42" s="18">
        <f>IF(B42="","",AND(I42,J42,K42,N42&gt;=MinHistory))</f>
        <v/>
      </c>
      <c r="M42" s="20">
        <f>IF(OR(B42="",'Weekly Input'!H42=0),"",'Weekly Input'!D42/'Weekly Input'!H42*7)</f>
        <v/>
      </c>
      <c r="N42" s="18">
        <f>IF(B42="","",COUNTIFS($B$5:$B$504,B42,$C$5:$C$504,C42,$I$5:$I$504,TRUE,$J$5:$J$504,TRUE,$K$5:$K$504,TRUE))</f>
        <v/>
      </c>
      <c r="O42" s="18">
        <f>IF(B42="","",AND(F42=AsOfWeek,AsOfWeek&lt;&gt;""))</f>
        <v/>
      </c>
      <c r="P42" s="20">
        <f>IF(OR(B42="",AsOfWeek=""),"",IFERROR(SUMIFS($M$5:$M$504,$B$5:$B$504,B42,$C$5:$C$504,C42,$L$5:$L$504,TRUE,$F$5:$F$504,"&gt;="&amp;AsOfWeek-7*(RecentWeeks-1),$F$5:$F$504,"&lt;="&amp;AsOfWeek),""))</f>
        <v/>
      </c>
      <c r="Q42" s="20">
        <f>IF(OR(B42="",AsOfWeek=""),"",IFERROR(SUMIFS($M$5:$M$504,$B$5:$B$504,B42,$C$5:$C$504,C42,$L$5:$L$504,TRUE,$F$5:$F$504,"&gt;="&amp;AsOfWeek-7*(RecentWeeks+PriorWeeks-1),$F$5:$F$504,"&lt;"&amp;AsOfWeek-7*(RecentWeeks-1)),""))</f>
        <v/>
      </c>
      <c r="R42" s="21">
        <f>IF(OR(P42="",Q42="",Q42=0),"",P42/Q42-1)</f>
        <v/>
      </c>
      <c r="S42" s="20">
        <f>IF(OR(C42="",AsOfWeek=""),"",IFERROR(AVERAGEIFS($M$5:$M$504,$C$5:$C$504,C42,$L$5:$L$504,TRUE,$F$5:$F$504,"&gt;="&amp;AsOfWeek-7*(RecentWeeks-1),$F$5:$F$504,"&lt;="&amp;AsOfWeek),""))</f>
        <v/>
      </c>
      <c r="T42" s="21">
        <f>IF(OR(P42="",S42=""),"",P42/S42-1)</f>
        <v/>
      </c>
      <c r="U42" s="22">
        <f>IF(OR(B42="",'Weekly Input'!G42="",P42="",P42=0),"",'Weekly Input'!G42/P42)</f>
        <v/>
      </c>
      <c r="V42" s="18">
        <f>IF(B42="","",IF(NOT(I42),"Not Ready",IF(NOT(K42),"Not Ready",IF(N42&lt;MinHistory,"Not Ready",IF(NOT(J42),"Not Ready",IF(OR(Q42="",Q42=0),"Noise",IF(Q42&lt;LowBaseThreshold,"Noise",IF(AND(R42&lt;=-OwnDecline,T42&lt;=-PeerGapThreshold),"Markdown Review",IF(AND(R42&gt;=ReorderUplift,U42&lt;&gt;"",U42&lt;=WeeksSupplyCap),"Reorder Candidate","Monitor"))))))))</f>
        <v/>
      </c>
      <c r="W42" s="18">
        <f>IF(B42="","",IF(NOT(I42),"INVALID_MASTER",IF(NOT(K42),"INCOMPLETE_SHELF_CYCLE",IF(N42&lt;MinHistory,"INSUFFICIENT_HISTORY",IF(NOT(J42),"INSUFFICIENT_IN_STOCK",IF(OR(Q42="",Q42=0),"NO_PRIOR_BASE",IF(Q42&lt;LowBaseThreshold,"LOW_BASE_NOISE",IF(V42="Markdown Review","MARKDOWN_PEER_GAP",IF(V42="Reorder Candidate","REORDER_UPLIFT_COVER","NO_MATERIAL_CHANGE"))))))))</f>
        <v/>
      </c>
      <c r="X42" s="18">
        <f>IF(V42="Markdown Review","Markdown support",IF(V42="Reorder Candidate","Second reorder",IF(V42="Monitor","Monitor",IF(V42="Noise","Hold / collect data",IF(V42="Not Ready","Not ready","")))))</f>
        <v/>
      </c>
      <c r="Y42" s="18">
        <f>IF(OR(R42="",T42=""),"",ABS(R42)+ABS(T42))</f>
        <v/>
      </c>
      <c r="Z42" s="21">
        <f>IF(OR(B42="",NOT(O42),R42=""),"",IF(ABS(R42)&gt;=MaterialThreshold,"Yes","No"))</f>
        <v/>
      </c>
      <c r="AA42" s="18">
        <f>IF(Z42&lt;&gt;"Yes","",IF(ABS(R42)&gt;=MaterialThreshold,IF(ABS(R42)&gt;=BroadShare,"Broad SKU movement","Store-concentrated movement"),""))</f>
        <v/>
      </c>
      <c r="AB42" s="18">
        <f>IF(O42,IF(COUNTIFS($O$5:O42,TRUE)&gt;0,COUNTIFS($O$5:O42,TRUE),0),0)</f>
        <v/>
      </c>
      <c r="AC42" s="18">
        <f>IF(V42="Markdown Review",1,IF(V42="Reorder Candidate",2,IF(V42="Monitor",3,IF(V42="Noise",4,IF(V42="Not Ready",5,99)))))</f>
        <v/>
      </c>
      <c r="AD42" s="18">
        <f>IF(O42,COUNTIFS($O$5:$O$504,TRUE,$AC$5:$AC$504,"&lt;"&amp;AC42)+COUNTIFS($O$5:O42,TRUE,$AC$5:AC42,AC42,$Y$5:Y42,"&gt;"&amp;Y42),0)</f>
        <v/>
      </c>
    </row>
    <row r="43">
      <c r="A43" s="17">
        <f>IF(COUNTA('Weekly Input'!A43:C43)=0,"",'Weekly Input'!B43&amp;"|"&amp;'Weekly Input'!C43&amp;"|"&amp;TEXT('Weekly Input'!A43,"yyyy-mm-dd"))</f>
        <v/>
      </c>
      <c r="B43" s="18">
        <f>'Weekly Input'!B43</f>
        <v/>
      </c>
      <c r="C43" s="18">
        <f>'Weekly Input'!C43</f>
        <v/>
      </c>
      <c r="D43" s="18">
        <f>IF(B43="","",IFERROR(INDEX('Master Data'!$B$6:$B$145,MATCH(B43,'Master Data'!$A$6:$A$145,0)),""))</f>
        <v/>
      </c>
      <c r="E43" s="18">
        <f>IF(C43="","",IFERROR(INDEX('Master Data'!$H$6:$H$13,MATCH(C43,'Master Data'!$F$6:$F$13,0)),""))</f>
        <v/>
      </c>
      <c r="F43" s="19">
        <f>'Weekly Input'!A43</f>
        <v/>
      </c>
      <c r="G43" s="19">
        <f>IF(B43="","",IFERROR(INDEX('Master Data'!$D$6:$D$145,MATCH(B43,'Master Data'!$A$6:$A$145,0)),""))</f>
        <v/>
      </c>
      <c r="H43" s="18">
        <f>IF(OR(F43="",G43=""),"",F43-G43)</f>
        <v/>
      </c>
      <c r="I43" s="18">
        <f>IF(B43="","",IF('Weekly Input'!J43="OK",TRUE,FALSE))</f>
        <v/>
      </c>
      <c r="J43" s="18">
        <f>IF(B43="","",'Weekly Input'!H43&gt;=MinInStockDays)</f>
        <v/>
      </c>
      <c r="K43" s="18">
        <f>IF(B43="","",H43&gt;=FullCycleMin)</f>
        <v/>
      </c>
      <c r="L43" s="18">
        <f>IF(B43="","",AND(I43,J43,K43,N43&gt;=MinHistory))</f>
        <v/>
      </c>
      <c r="M43" s="20">
        <f>IF(OR(B43="",'Weekly Input'!H43=0),"",'Weekly Input'!D43/'Weekly Input'!H43*7)</f>
        <v/>
      </c>
      <c r="N43" s="18">
        <f>IF(B43="","",COUNTIFS($B$5:$B$504,B43,$C$5:$C$504,C43,$I$5:$I$504,TRUE,$J$5:$J$504,TRUE,$K$5:$K$504,TRUE))</f>
        <v/>
      </c>
      <c r="O43" s="18">
        <f>IF(B43="","",AND(F43=AsOfWeek,AsOfWeek&lt;&gt;""))</f>
        <v/>
      </c>
      <c r="P43" s="20">
        <f>IF(OR(B43="",AsOfWeek=""),"",IFERROR(SUMIFS($M$5:$M$504,$B$5:$B$504,B43,$C$5:$C$504,C43,$L$5:$L$504,TRUE,$F$5:$F$504,"&gt;="&amp;AsOfWeek-7*(RecentWeeks-1),$F$5:$F$504,"&lt;="&amp;AsOfWeek),""))</f>
        <v/>
      </c>
      <c r="Q43" s="20">
        <f>IF(OR(B43="",AsOfWeek=""),"",IFERROR(SUMIFS($M$5:$M$504,$B$5:$B$504,B43,$C$5:$C$504,C43,$L$5:$L$504,TRUE,$F$5:$F$504,"&gt;="&amp;AsOfWeek-7*(RecentWeeks+PriorWeeks-1),$F$5:$F$504,"&lt;"&amp;AsOfWeek-7*(RecentWeeks-1)),""))</f>
        <v/>
      </c>
      <c r="R43" s="21">
        <f>IF(OR(P43="",Q43="",Q43=0),"",P43/Q43-1)</f>
        <v/>
      </c>
      <c r="S43" s="20">
        <f>IF(OR(C43="",AsOfWeek=""),"",IFERROR(AVERAGEIFS($M$5:$M$504,$C$5:$C$504,C43,$L$5:$L$504,TRUE,$F$5:$F$504,"&gt;="&amp;AsOfWeek-7*(RecentWeeks-1),$F$5:$F$504,"&lt;="&amp;AsOfWeek),""))</f>
        <v/>
      </c>
      <c r="T43" s="21">
        <f>IF(OR(P43="",S43=""),"",P43/S43-1)</f>
        <v/>
      </c>
      <c r="U43" s="22">
        <f>IF(OR(B43="",'Weekly Input'!G43="",P43="",P43=0),"",'Weekly Input'!G43/P43)</f>
        <v/>
      </c>
      <c r="V43" s="18">
        <f>IF(B43="","",IF(NOT(I43),"Not Ready",IF(NOT(K43),"Not Ready",IF(N43&lt;MinHistory,"Not Ready",IF(NOT(J43),"Not Ready",IF(OR(Q43="",Q43=0),"Noise",IF(Q43&lt;LowBaseThreshold,"Noise",IF(AND(R43&lt;=-OwnDecline,T43&lt;=-PeerGapThreshold),"Markdown Review",IF(AND(R43&gt;=ReorderUplift,U43&lt;&gt;"",U43&lt;=WeeksSupplyCap),"Reorder Candidate","Monitor"))))))))</f>
        <v/>
      </c>
      <c r="W43" s="18">
        <f>IF(B43="","",IF(NOT(I43),"INVALID_MASTER",IF(NOT(K43),"INCOMPLETE_SHELF_CYCLE",IF(N43&lt;MinHistory,"INSUFFICIENT_HISTORY",IF(NOT(J43),"INSUFFICIENT_IN_STOCK",IF(OR(Q43="",Q43=0),"NO_PRIOR_BASE",IF(Q43&lt;LowBaseThreshold,"LOW_BASE_NOISE",IF(V43="Markdown Review","MARKDOWN_PEER_GAP",IF(V43="Reorder Candidate","REORDER_UPLIFT_COVER","NO_MATERIAL_CHANGE"))))))))</f>
        <v/>
      </c>
      <c r="X43" s="18">
        <f>IF(V43="Markdown Review","Markdown support",IF(V43="Reorder Candidate","Second reorder",IF(V43="Monitor","Monitor",IF(V43="Noise","Hold / collect data",IF(V43="Not Ready","Not ready","")))))</f>
        <v/>
      </c>
      <c r="Y43" s="18">
        <f>IF(OR(R43="",T43=""),"",ABS(R43)+ABS(T43))</f>
        <v/>
      </c>
      <c r="Z43" s="21">
        <f>IF(OR(B43="",NOT(O43),R43=""),"",IF(ABS(R43)&gt;=MaterialThreshold,"Yes","No"))</f>
        <v/>
      </c>
      <c r="AA43" s="18">
        <f>IF(Z43&lt;&gt;"Yes","",IF(ABS(R43)&gt;=MaterialThreshold,IF(ABS(R43)&gt;=BroadShare,"Broad SKU movement","Store-concentrated movement"),""))</f>
        <v/>
      </c>
      <c r="AB43" s="18">
        <f>IF(O43,IF(COUNTIFS($O$5:O43,TRUE)&gt;0,COUNTIFS($O$5:O43,TRUE),0),0)</f>
        <v/>
      </c>
      <c r="AC43" s="18">
        <f>IF(V43="Markdown Review",1,IF(V43="Reorder Candidate",2,IF(V43="Monitor",3,IF(V43="Noise",4,IF(V43="Not Ready",5,99)))))</f>
        <v/>
      </c>
      <c r="AD43" s="18">
        <f>IF(O43,COUNTIFS($O$5:$O$504,TRUE,$AC$5:$AC$504,"&lt;"&amp;AC43)+COUNTIFS($O$5:O43,TRUE,$AC$5:AC43,AC43,$Y$5:Y43,"&gt;"&amp;Y43),0)</f>
        <v/>
      </c>
    </row>
    <row r="44">
      <c r="A44" s="17">
        <f>IF(COUNTA('Weekly Input'!A44:C44)=0,"",'Weekly Input'!B44&amp;"|"&amp;'Weekly Input'!C44&amp;"|"&amp;TEXT('Weekly Input'!A44,"yyyy-mm-dd"))</f>
        <v/>
      </c>
      <c r="B44" s="18">
        <f>'Weekly Input'!B44</f>
        <v/>
      </c>
      <c r="C44" s="18">
        <f>'Weekly Input'!C44</f>
        <v/>
      </c>
      <c r="D44" s="18">
        <f>IF(B44="","",IFERROR(INDEX('Master Data'!$B$6:$B$145,MATCH(B44,'Master Data'!$A$6:$A$145,0)),""))</f>
        <v/>
      </c>
      <c r="E44" s="18">
        <f>IF(C44="","",IFERROR(INDEX('Master Data'!$H$6:$H$13,MATCH(C44,'Master Data'!$F$6:$F$13,0)),""))</f>
        <v/>
      </c>
      <c r="F44" s="19">
        <f>'Weekly Input'!A44</f>
        <v/>
      </c>
      <c r="G44" s="19">
        <f>IF(B44="","",IFERROR(INDEX('Master Data'!$D$6:$D$145,MATCH(B44,'Master Data'!$A$6:$A$145,0)),""))</f>
        <v/>
      </c>
      <c r="H44" s="18">
        <f>IF(OR(F44="",G44=""),"",F44-G44)</f>
        <v/>
      </c>
      <c r="I44" s="18">
        <f>IF(B44="","",IF('Weekly Input'!J44="OK",TRUE,FALSE))</f>
        <v/>
      </c>
      <c r="J44" s="18">
        <f>IF(B44="","",'Weekly Input'!H44&gt;=MinInStockDays)</f>
        <v/>
      </c>
      <c r="K44" s="18">
        <f>IF(B44="","",H44&gt;=FullCycleMin)</f>
        <v/>
      </c>
      <c r="L44" s="18">
        <f>IF(B44="","",AND(I44,J44,K44,N44&gt;=MinHistory))</f>
        <v/>
      </c>
      <c r="M44" s="20">
        <f>IF(OR(B44="",'Weekly Input'!H44=0),"",'Weekly Input'!D44/'Weekly Input'!H44*7)</f>
        <v/>
      </c>
      <c r="N44" s="18">
        <f>IF(B44="","",COUNTIFS($B$5:$B$504,B44,$C$5:$C$504,C44,$I$5:$I$504,TRUE,$J$5:$J$504,TRUE,$K$5:$K$504,TRUE))</f>
        <v/>
      </c>
      <c r="O44" s="18">
        <f>IF(B44="","",AND(F44=AsOfWeek,AsOfWeek&lt;&gt;""))</f>
        <v/>
      </c>
      <c r="P44" s="20">
        <f>IF(OR(B44="",AsOfWeek=""),"",IFERROR(SUMIFS($M$5:$M$504,$B$5:$B$504,B44,$C$5:$C$504,C44,$L$5:$L$504,TRUE,$F$5:$F$504,"&gt;="&amp;AsOfWeek-7*(RecentWeeks-1),$F$5:$F$504,"&lt;="&amp;AsOfWeek),""))</f>
        <v/>
      </c>
      <c r="Q44" s="20">
        <f>IF(OR(B44="",AsOfWeek=""),"",IFERROR(SUMIFS($M$5:$M$504,$B$5:$B$504,B44,$C$5:$C$504,C44,$L$5:$L$504,TRUE,$F$5:$F$504,"&gt;="&amp;AsOfWeek-7*(RecentWeeks+PriorWeeks-1),$F$5:$F$504,"&lt;"&amp;AsOfWeek-7*(RecentWeeks-1)),""))</f>
        <v/>
      </c>
      <c r="R44" s="21">
        <f>IF(OR(P44="",Q44="",Q44=0),"",P44/Q44-1)</f>
        <v/>
      </c>
      <c r="S44" s="20">
        <f>IF(OR(C44="",AsOfWeek=""),"",IFERROR(AVERAGEIFS($M$5:$M$504,$C$5:$C$504,C44,$L$5:$L$504,TRUE,$F$5:$F$504,"&gt;="&amp;AsOfWeek-7*(RecentWeeks-1),$F$5:$F$504,"&lt;="&amp;AsOfWeek),""))</f>
        <v/>
      </c>
      <c r="T44" s="21">
        <f>IF(OR(P44="",S44=""),"",P44/S44-1)</f>
        <v/>
      </c>
      <c r="U44" s="22">
        <f>IF(OR(B44="",'Weekly Input'!G44="",P44="",P44=0),"",'Weekly Input'!G44/P44)</f>
        <v/>
      </c>
      <c r="V44" s="18">
        <f>IF(B44="","",IF(NOT(I44),"Not Ready",IF(NOT(K44),"Not Ready",IF(N44&lt;MinHistory,"Not Ready",IF(NOT(J44),"Not Ready",IF(OR(Q44="",Q44=0),"Noise",IF(Q44&lt;LowBaseThreshold,"Noise",IF(AND(R44&lt;=-OwnDecline,T44&lt;=-PeerGapThreshold),"Markdown Review",IF(AND(R44&gt;=ReorderUplift,U44&lt;&gt;"",U44&lt;=WeeksSupplyCap),"Reorder Candidate","Monitor"))))))))</f>
        <v/>
      </c>
      <c r="W44" s="18">
        <f>IF(B44="","",IF(NOT(I44),"INVALID_MASTER",IF(NOT(K44),"INCOMPLETE_SHELF_CYCLE",IF(N44&lt;MinHistory,"INSUFFICIENT_HISTORY",IF(NOT(J44),"INSUFFICIENT_IN_STOCK",IF(OR(Q44="",Q44=0),"NO_PRIOR_BASE",IF(Q44&lt;LowBaseThreshold,"LOW_BASE_NOISE",IF(V44="Markdown Review","MARKDOWN_PEER_GAP",IF(V44="Reorder Candidate","REORDER_UPLIFT_COVER","NO_MATERIAL_CHANGE"))))))))</f>
        <v/>
      </c>
      <c r="X44" s="18">
        <f>IF(V44="Markdown Review","Markdown support",IF(V44="Reorder Candidate","Second reorder",IF(V44="Monitor","Monitor",IF(V44="Noise","Hold / collect data",IF(V44="Not Ready","Not ready","")))))</f>
        <v/>
      </c>
      <c r="Y44" s="18">
        <f>IF(OR(R44="",T44=""),"",ABS(R44)+ABS(T44))</f>
        <v/>
      </c>
      <c r="Z44" s="21">
        <f>IF(OR(B44="",NOT(O44),R44=""),"",IF(ABS(R44)&gt;=MaterialThreshold,"Yes","No"))</f>
        <v/>
      </c>
      <c r="AA44" s="18">
        <f>IF(Z44&lt;&gt;"Yes","",IF(ABS(R44)&gt;=MaterialThreshold,IF(ABS(R44)&gt;=BroadShare,"Broad SKU movement","Store-concentrated movement"),""))</f>
        <v/>
      </c>
      <c r="AB44" s="18">
        <f>IF(O44,IF(COUNTIFS($O$5:O44,TRUE)&gt;0,COUNTIFS($O$5:O44,TRUE),0),0)</f>
        <v/>
      </c>
      <c r="AC44" s="18">
        <f>IF(V44="Markdown Review",1,IF(V44="Reorder Candidate",2,IF(V44="Monitor",3,IF(V44="Noise",4,IF(V44="Not Ready",5,99)))))</f>
        <v/>
      </c>
      <c r="AD44" s="18">
        <f>IF(O44,COUNTIFS($O$5:$O$504,TRUE,$AC$5:$AC$504,"&lt;"&amp;AC44)+COUNTIFS($O$5:O44,TRUE,$AC$5:AC44,AC44,$Y$5:Y44,"&gt;"&amp;Y44),0)</f>
        <v/>
      </c>
    </row>
    <row r="45">
      <c r="A45" s="17">
        <f>IF(COUNTA('Weekly Input'!A45:C45)=0,"",'Weekly Input'!B45&amp;"|"&amp;'Weekly Input'!C45&amp;"|"&amp;TEXT('Weekly Input'!A45,"yyyy-mm-dd"))</f>
        <v/>
      </c>
      <c r="B45" s="18">
        <f>'Weekly Input'!B45</f>
        <v/>
      </c>
      <c r="C45" s="18">
        <f>'Weekly Input'!C45</f>
        <v/>
      </c>
      <c r="D45" s="18">
        <f>IF(B45="","",IFERROR(INDEX('Master Data'!$B$6:$B$145,MATCH(B45,'Master Data'!$A$6:$A$145,0)),""))</f>
        <v/>
      </c>
      <c r="E45" s="18">
        <f>IF(C45="","",IFERROR(INDEX('Master Data'!$H$6:$H$13,MATCH(C45,'Master Data'!$F$6:$F$13,0)),""))</f>
        <v/>
      </c>
      <c r="F45" s="19">
        <f>'Weekly Input'!A45</f>
        <v/>
      </c>
      <c r="G45" s="19">
        <f>IF(B45="","",IFERROR(INDEX('Master Data'!$D$6:$D$145,MATCH(B45,'Master Data'!$A$6:$A$145,0)),""))</f>
        <v/>
      </c>
      <c r="H45" s="18">
        <f>IF(OR(F45="",G45=""),"",F45-G45)</f>
        <v/>
      </c>
      <c r="I45" s="18">
        <f>IF(B45="","",IF('Weekly Input'!J45="OK",TRUE,FALSE))</f>
        <v/>
      </c>
      <c r="J45" s="18">
        <f>IF(B45="","",'Weekly Input'!H45&gt;=MinInStockDays)</f>
        <v/>
      </c>
      <c r="K45" s="18">
        <f>IF(B45="","",H45&gt;=FullCycleMin)</f>
        <v/>
      </c>
      <c r="L45" s="18">
        <f>IF(B45="","",AND(I45,J45,K45,N45&gt;=MinHistory))</f>
        <v/>
      </c>
      <c r="M45" s="20">
        <f>IF(OR(B45="",'Weekly Input'!H45=0),"",'Weekly Input'!D45/'Weekly Input'!H45*7)</f>
        <v/>
      </c>
      <c r="N45" s="18">
        <f>IF(B45="","",COUNTIFS($B$5:$B$504,B45,$C$5:$C$504,C45,$I$5:$I$504,TRUE,$J$5:$J$504,TRUE,$K$5:$K$504,TRUE))</f>
        <v/>
      </c>
      <c r="O45" s="18">
        <f>IF(B45="","",AND(F45=AsOfWeek,AsOfWeek&lt;&gt;""))</f>
        <v/>
      </c>
      <c r="P45" s="20">
        <f>IF(OR(B45="",AsOfWeek=""),"",IFERROR(SUMIFS($M$5:$M$504,$B$5:$B$504,B45,$C$5:$C$504,C45,$L$5:$L$504,TRUE,$F$5:$F$504,"&gt;="&amp;AsOfWeek-7*(RecentWeeks-1),$F$5:$F$504,"&lt;="&amp;AsOfWeek),""))</f>
        <v/>
      </c>
      <c r="Q45" s="20">
        <f>IF(OR(B45="",AsOfWeek=""),"",IFERROR(SUMIFS($M$5:$M$504,$B$5:$B$504,B45,$C$5:$C$504,C45,$L$5:$L$504,TRUE,$F$5:$F$504,"&gt;="&amp;AsOfWeek-7*(RecentWeeks+PriorWeeks-1),$F$5:$F$504,"&lt;"&amp;AsOfWeek-7*(RecentWeeks-1)),""))</f>
        <v/>
      </c>
      <c r="R45" s="21">
        <f>IF(OR(P45="",Q45="",Q45=0),"",P45/Q45-1)</f>
        <v/>
      </c>
      <c r="S45" s="20">
        <f>IF(OR(C45="",AsOfWeek=""),"",IFERROR(AVERAGEIFS($M$5:$M$504,$C$5:$C$504,C45,$L$5:$L$504,TRUE,$F$5:$F$504,"&gt;="&amp;AsOfWeek-7*(RecentWeeks-1),$F$5:$F$504,"&lt;="&amp;AsOfWeek),""))</f>
        <v/>
      </c>
      <c r="T45" s="21">
        <f>IF(OR(P45="",S45=""),"",P45/S45-1)</f>
        <v/>
      </c>
      <c r="U45" s="22">
        <f>IF(OR(B45="",'Weekly Input'!G45="",P45="",P45=0),"",'Weekly Input'!G45/P45)</f>
        <v/>
      </c>
      <c r="V45" s="18">
        <f>IF(B45="","",IF(NOT(I45),"Not Ready",IF(NOT(K45),"Not Ready",IF(N45&lt;MinHistory,"Not Ready",IF(NOT(J45),"Not Ready",IF(OR(Q45="",Q45=0),"Noise",IF(Q45&lt;LowBaseThreshold,"Noise",IF(AND(R45&lt;=-OwnDecline,T45&lt;=-PeerGapThreshold),"Markdown Review",IF(AND(R45&gt;=ReorderUplift,U45&lt;&gt;"",U45&lt;=WeeksSupplyCap),"Reorder Candidate","Monitor"))))))))</f>
        <v/>
      </c>
      <c r="W45" s="18">
        <f>IF(B45="","",IF(NOT(I45),"INVALID_MASTER",IF(NOT(K45),"INCOMPLETE_SHELF_CYCLE",IF(N45&lt;MinHistory,"INSUFFICIENT_HISTORY",IF(NOT(J45),"INSUFFICIENT_IN_STOCK",IF(OR(Q45="",Q45=0),"NO_PRIOR_BASE",IF(Q45&lt;LowBaseThreshold,"LOW_BASE_NOISE",IF(V45="Markdown Review","MARKDOWN_PEER_GAP",IF(V45="Reorder Candidate","REORDER_UPLIFT_COVER","NO_MATERIAL_CHANGE"))))))))</f>
        <v/>
      </c>
      <c r="X45" s="18">
        <f>IF(V45="Markdown Review","Markdown support",IF(V45="Reorder Candidate","Second reorder",IF(V45="Monitor","Monitor",IF(V45="Noise","Hold / collect data",IF(V45="Not Ready","Not ready","")))))</f>
        <v/>
      </c>
      <c r="Y45" s="18">
        <f>IF(OR(R45="",T45=""),"",ABS(R45)+ABS(T45))</f>
        <v/>
      </c>
      <c r="Z45" s="21">
        <f>IF(OR(B45="",NOT(O45),R45=""),"",IF(ABS(R45)&gt;=MaterialThreshold,"Yes","No"))</f>
        <v/>
      </c>
      <c r="AA45" s="18">
        <f>IF(Z45&lt;&gt;"Yes","",IF(ABS(R45)&gt;=MaterialThreshold,IF(ABS(R45)&gt;=BroadShare,"Broad SKU movement","Store-concentrated movement"),""))</f>
        <v/>
      </c>
      <c r="AB45" s="18">
        <f>IF(O45,IF(COUNTIFS($O$5:O45,TRUE)&gt;0,COUNTIFS($O$5:O45,TRUE),0),0)</f>
        <v/>
      </c>
      <c r="AC45" s="18">
        <f>IF(V45="Markdown Review",1,IF(V45="Reorder Candidate",2,IF(V45="Monitor",3,IF(V45="Noise",4,IF(V45="Not Ready",5,99)))))</f>
        <v/>
      </c>
      <c r="AD45" s="18">
        <f>IF(O45,COUNTIFS($O$5:$O$504,TRUE,$AC$5:$AC$504,"&lt;"&amp;AC45)+COUNTIFS($O$5:O45,TRUE,$AC$5:AC45,AC45,$Y$5:Y45,"&gt;"&amp;Y45),0)</f>
        <v/>
      </c>
    </row>
    <row r="46">
      <c r="A46" s="17">
        <f>IF(COUNTA('Weekly Input'!A46:C46)=0,"",'Weekly Input'!B46&amp;"|"&amp;'Weekly Input'!C46&amp;"|"&amp;TEXT('Weekly Input'!A46,"yyyy-mm-dd"))</f>
        <v/>
      </c>
      <c r="B46" s="18">
        <f>'Weekly Input'!B46</f>
        <v/>
      </c>
      <c r="C46" s="18">
        <f>'Weekly Input'!C46</f>
        <v/>
      </c>
      <c r="D46" s="18">
        <f>IF(B46="","",IFERROR(INDEX('Master Data'!$B$6:$B$145,MATCH(B46,'Master Data'!$A$6:$A$145,0)),""))</f>
        <v/>
      </c>
      <c r="E46" s="18">
        <f>IF(C46="","",IFERROR(INDEX('Master Data'!$H$6:$H$13,MATCH(C46,'Master Data'!$F$6:$F$13,0)),""))</f>
        <v/>
      </c>
      <c r="F46" s="19">
        <f>'Weekly Input'!A46</f>
        <v/>
      </c>
      <c r="G46" s="19">
        <f>IF(B46="","",IFERROR(INDEX('Master Data'!$D$6:$D$145,MATCH(B46,'Master Data'!$A$6:$A$145,0)),""))</f>
        <v/>
      </c>
      <c r="H46" s="18">
        <f>IF(OR(F46="",G46=""),"",F46-G46)</f>
        <v/>
      </c>
      <c r="I46" s="18">
        <f>IF(B46="","",IF('Weekly Input'!J46="OK",TRUE,FALSE))</f>
        <v/>
      </c>
      <c r="J46" s="18">
        <f>IF(B46="","",'Weekly Input'!H46&gt;=MinInStockDays)</f>
        <v/>
      </c>
      <c r="K46" s="18">
        <f>IF(B46="","",H46&gt;=FullCycleMin)</f>
        <v/>
      </c>
      <c r="L46" s="18">
        <f>IF(B46="","",AND(I46,J46,K46,N46&gt;=MinHistory))</f>
        <v/>
      </c>
      <c r="M46" s="20">
        <f>IF(OR(B46="",'Weekly Input'!H46=0),"",'Weekly Input'!D46/'Weekly Input'!H46*7)</f>
        <v/>
      </c>
      <c r="N46" s="18">
        <f>IF(B46="","",COUNTIFS($B$5:$B$504,B46,$C$5:$C$504,C46,$I$5:$I$504,TRUE,$J$5:$J$504,TRUE,$K$5:$K$504,TRUE))</f>
        <v/>
      </c>
      <c r="O46" s="18">
        <f>IF(B46="","",AND(F46=AsOfWeek,AsOfWeek&lt;&gt;""))</f>
        <v/>
      </c>
      <c r="P46" s="20">
        <f>IF(OR(B46="",AsOfWeek=""),"",IFERROR(SUMIFS($M$5:$M$504,$B$5:$B$504,B46,$C$5:$C$504,C46,$L$5:$L$504,TRUE,$F$5:$F$504,"&gt;="&amp;AsOfWeek-7*(RecentWeeks-1),$F$5:$F$504,"&lt;="&amp;AsOfWeek),""))</f>
        <v/>
      </c>
      <c r="Q46" s="20">
        <f>IF(OR(B46="",AsOfWeek=""),"",IFERROR(SUMIFS($M$5:$M$504,$B$5:$B$504,B46,$C$5:$C$504,C46,$L$5:$L$504,TRUE,$F$5:$F$504,"&gt;="&amp;AsOfWeek-7*(RecentWeeks+PriorWeeks-1),$F$5:$F$504,"&lt;"&amp;AsOfWeek-7*(RecentWeeks-1)),""))</f>
        <v/>
      </c>
      <c r="R46" s="21">
        <f>IF(OR(P46="",Q46="",Q46=0),"",P46/Q46-1)</f>
        <v/>
      </c>
      <c r="S46" s="20">
        <f>IF(OR(C46="",AsOfWeek=""),"",IFERROR(AVERAGEIFS($M$5:$M$504,$C$5:$C$504,C46,$L$5:$L$504,TRUE,$F$5:$F$504,"&gt;="&amp;AsOfWeek-7*(RecentWeeks-1),$F$5:$F$504,"&lt;="&amp;AsOfWeek),""))</f>
        <v/>
      </c>
      <c r="T46" s="21">
        <f>IF(OR(P46="",S46=""),"",P46/S46-1)</f>
        <v/>
      </c>
      <c r="U46" s="22">
        <f>IF(OR(B46="",'Weekly Input'!G46="",P46="",P46=0),"",'Weekly Input'!G46/P46)</f>
        <v/>
      </c>
      <c r="V46" s="18">
        <f>IF(B46="","",IF(NOT(I46),"Not Ready",IF(NOT(K46),"Not Ready",IF(N46&lt;MinHistory,"Not Ready",IF(NOT(J46),"Not Ready",IF(OR(Q46="",Q46=0),"Noise",IF(Q46&lt;LowBaseThreshold,"Noise",IF(AND(R46&lt;=-OwnDecline,T46&lt;=-PeerGapThreshold),"Markdown Review",IF(AND(R46&gt;=ReorderUplift,U46&lt;&gt;"",U46&lt;=WeeksSupplyCap),"Reorder Candidate","Monitor"))))))))</f>
        <v/>
      </c>
      <c r="W46" s="18">
        <f>IF(B46="","",IF(NOT(I46),"INVALID_MASTER",IF(NOT(K46),"INCOMPLETE_SHELF_CYCLE",IF(N46&lt;MinHistory,"INSUFFICIENT_HISTORY",IF(NOT(J46),"INSUFFICIENT_IN_STOCK",IF(OR(Q46="",Q46=0),"NO_PRIOR_BASE",IF(Q46&lt;LowBaseThreshold,"LOW_BASE_NOISE",IF(V46="Markdown Review","MARKDOWN_PEER_GAP",IF(V46="Reorder Candidate","REORDER_UPLIFT_COVER","NO_MATERIAL_CHANGE"))))))))</f>
        <v/>
      </c>
      <c r="X46" s="18">
        <f>IF(V46="Markdown Review","Markdown support",IF(V46="Reorder Candidate","Second reorder",IF(V46="Monitor","Monitor",IF(V46="Noise","Hold / collect data",IF(V46="Not Ready","Not ready","")))))</f>
        <v/>
      </c>
      <c r="Y46" s="18">
        <f>IF(OR(R46="",T46=""),"",ABS(R46)+ABS(T46))</f>
        <v/>
      </c>
      <c r="Z46" s="21">
        <f>IF(OR(B46="",NOT(O46),R46=""),"",IF(ABS(R46)&gt;=MaterialThreshold,"Yes","No"))</f>
        <v/>
      </c>
      <c r="AA46" s="18">
        <f>IF(Z46&lt;&gt;"Yes","",IF(ABS(R46)&gt;=MaterialThreshold,IF(ABS(R46)&gt;=BroadShare,"Broad SKU movement","Store-concentrated movement"),""))</f>
        <v/>
      </c>
      <c r="AB46" s="18">
        <f>IF(O46,IF(COUNTIFS($O$5:O46,TRUE)&gt;0,COUNTIFS($O$5:O46,TRUE),0),0)</f>
        <v/>
      </c>
      <c r="AC46" s="18">
        <f>IF(V46="Markdown Review",1,IF(V46="Reorder Candidate",2,IF(V46="Monitor",3,IF(V46="Noise",4,IF(V46="Not Ready",5,99)))))</f>
        <v/>
      </c>
      <c r="AD46" s="18">
        <f>IF(O46,COUNTIFS($O$5:$O$504,TRUE,$AC$5:$AC$504,"&lt;"&amp;AC46)+COUNTIFS($O$5:O46,TRUE,$AC$5:AC46,AC46,$Y$5:Y46,"&gt;"&amp;Y46),0)</f>
        <v/>
      </c>
    </row>
    <row r="47">
      <c r="A47" s="17">
        <f>IF(COUNTA('Weekly Input'!A47:C47)=0,"",'Weekly Input'!B47&amp;"|"&amp;'Weekly Input'!C47&amp;"|"&amp;TEXT('Weekly Input'!A47,"yyyy-mm-dd"))</f>
        <v/>
      </c>
      <c r="B47" s="18">
        <f>'Weekly Input'!B47</f>
        <v/>
      </c>
      <c r="C47" s="18">
        <f>'Weekly Input'!C47</f>
        <v/>
      </c>
      <c r="D47" s="18">
        <f>IF(B47="","",IFERROR(INDEX('Master Data'!$B$6:$B$145,MATCH(B47,'Master Data'!$A$6:$A$145,0)),""))</f>
        <v/>
      </c>
      <c r="E47" s="18">
        <f>IF(C47="","",IFERROR(INDEX('Master Data'!$H$6:$H$13,MATCH(C47,'Master Data'!$F$6:$F$13,0)),""))</f>
        <v/>
      </c>
      <c r="F47" s="19">
        <f>'Weekly Input'!A47</f>
        <v/>
      </c>
      <c r="G47" s="19">
        <f>IF(B47="","",IFERROR(INDEX('Master Data'!$D$6:$D$145,MATCH(B47,'Master Data'!$A$6:$A$145,0)),""))</f>
        <v/>
      </c>
      <c r="H47" s="18">
        <f>IF(OR(F47="",G47=""),"",F47-G47)</f>
        <v/>
      </c>
      <c r="I47" s="18">
        <f>IF(B47="","",IF('Weekly Input'!J47="OK",TRUE,FALSE))</f>
        <v/>
      </c>
      <c r="J47" s="18">
        <f>IF(B47="","",'Weekly Input'!H47&gt;=MinInStockDays)</f>
        <v/>
      </c>
      <c r="K47" s="18">
        <f>IF(B47="","",H47&gt;=FullCycleMin)</f>
        <v/>
      </c>
      <c r="L47" s="18">
        <f>IF(B47="","",AND(I47,J47,K47,N47&gt;=MinHistory))</f>
        <v/>
      </c>
      <c r="M47" s="20">
        <f>IF(OR(B47="",'Weekly Input'!H47=0),"",'Weekly Input'!D47/'Weekly Input'!H47*7)</f>
        <v/>
      </c>
      <c r="N47" s="18">
        <f>IF(B47="","",COUNTIFS($B$5:$B$504,B47,$C$5:$C$504,C47,$I$5:$I$504,TRUE,$J$5:$J$504,TRUE,$K$5:$K$504,TRUE))</f>
        <v/>
      </c>
      <c r="O47" s="18">
        <f>IF(B47="","",AND(F47=AsOfWeek,AsOfWeek&lt;&gt;""))</f>
        <v/>
      </c>
      <c r="P47" s="20">
        <f>IF(OR(B47="",AsOfWeek=""),"",IFERROR(SUMIFS($M$5:$M$504,$B$5:$B$504,B47,$C$5:$C$504,C47,$L$5:$L$504,TRUE,$F$5:$F$504,"&gt;="&amp;AsOfWeek-7*(RecentWeeks-1),$F$5:$F$504,"&lt;="&amp;AsOfWeek),""))</f>
        <v/>
      </c>
      <c r="Q47" s="20">
        <f>IF(OR(B47="",AsOfWeek=""),"",IFERROR(SUMIFS($M$5:$M$504,$B$5:$B$504,B47,$C$5:$C$504,C47,$L$5:$L$504,TRUE,$F$5:$F$504,"&gt;="&amp;AsOfWeek-7*(RecentWeeks+PriorWeeks-1),$F$5:$F$504,"&lt;"&amp;AsOfWeek-7*(RecentWeeks-1)),""))</f>
        <v/>
      </c>
      <c r="R47" s="21">
        <f>IF(OR(P47="",Q47="",Q47=0),"",P47/Q47-1)</f>
        <v/>
      </c>
      <c r="S47" s="20">
        <f>IF(OR(C47="",AsOfWeek=""),"",IFERROR(AVERAGEIFS($M$5:$M$504,$C$5:$C$504,C47,$L$5:$L$504,TRUE,$F$5:$F$504,"&gt;="&amp;AsOfWeek-7*(RecentWeeks-1),$F$5:$F$504,"&lt;="&amp;AsOfWeek),""))</f>
        <v/>
      </c>
      <c r="T47" s="21">
        <f>IF(OR(P47="",S47=""),"",P47/S47-1)</f>
        <v/>
      </c>
      <c r="U47" s="22">
        <f>IF(OR(B47="",'Weekly Input'!G47="",P47="",P47=0),"",'Weekly Input'!G47/P47)</f>
        <v/>
      </c>
      <c r="V47" s="18">
        <f>IF(B47="","",IF(NOT(I47),"Not Ready",IF(NOT(K47),"Not Ready",IF(N47&lt;MinHistory,"Not Ready",IF(NOT(J47),"Not Ready",IF(OR(Q47="",Q47=0),"Noise",IF(Q47&lt;LowBaseThreshold,"Noise",IF(AND(R47&lt;=-OwnDecline,T47&lt;=-PeerGapThreshold),"Markdown Review",IF(AND(R47&gt;=ReorderUplift,U47&lt;&gt;"",U47&lt;=WeeksSupplyCap),"Reorder Candidate","Monitor"))))))))</f>
        <v/>
      </c>
      <c r="W47" s="18">
        <f>IF(B47="","",IF(NOT(I47),"INVALID_MASTER",IF(NOT(K47),"INCOMPLETE_SHELF_CYCLE",IF(N47&lt;MinHistory,"INSUFFICIENT_HISTORY",IF(NOT(J47),"INSUFFICIENT_IN_STOCK",IF(OR(Q47="",Q47=0),"NO_PRIOR_BASE",IF(Q47&lt;LowBaseThreshold,"LOW_BASE_NOISE",IF(V47="Markdown Review","MARKDOWN_PEER_GAP",IF(V47="Reorder Candidate","REORDER_UPLIFT_COVER","NO_MATERIAL_CHANGE"))))))))</f>
        <v/>
      </c>
      <c r="X47" s="18">
        <f>IF(V47="Markdown Review","Markdown support",IF(V47="Reorder Candidate","Second reorder",IF(V47="Monitor","Monitor",IF(V47="Noise","Hold / collect data",IF(V47="Not Ready","Not ready","")))))</f>
        <v/>
      </c>
      <c r="Y47" s="18">
        <f>IF(OR(R47="",T47=""),"",ABS(R47)+ABS(T47))</f>
        <v/>
      </c>
      <c r="Z47" s="21">
        <f>IF(OR(B47="",NOT(O47),R47=""),"",IF(ABS(R47)&gt;=MaterialThreshold,"Yes","No"))</f>
        <v/>
      </c>
      <c r="AA47" s="18">
        <f>IF(Z47&lt;&gt;"Yes","",IF(ABS(R47)&gt;=MaterialThreshold,IF(ABS(R47)&gt;=BroadShare,"Broad SKU movement","Store-concentrated movement"),""))</f>
        <v/>
      </c>
      <c r="AB47" s="18">
        <f>IF(O47,IF(COUNTIFS($O$5:O47,TRUE)&gt;0,COUNTIFS($O$5:O47,TRUE),0),0)</f>
        <v/>
      </c>
      <c r="AC47" s="18">
        <f>IF(V47="Markdown Review",1,IF(V47="Reorder Candidate",2,IF(V47="Monitor",3,IF(V47="Noise",4,IF(V47="Not Ready",5,99)))))</f>
        <v/>
      </c>
      <c r="AD47" s="18">
        <f>IF(O47,COUNTIFS($O$5:$O$504,TRUE,$AC$5:$AC$504,"&lt;"&amp;AC47)+COUNTIFS($O$5:O47,TRUE,$AC$5:AC47,AC47,$Y$5:Y47,"&gt;"&amp;Y47),0)</f>
        <v/>
      </c>
    </row>
    <row r="48">
      <c r="A48" s="17">
        <f>IF(COUNTA('Weekly Input'!A48:C48)=0,"",'Weekly Input'!B48&amp;"|"&amp;'Weekly Input'!C48&amp;"|"&amp;TEXT('Weekly Input'!A48,"yyyy-mm-dd"))</f>
        <v/>
      </c>
      <c r="B48" s="18">
        <f>'Weekly Input'!B48</f>
        <v/>
      </c>
      <c r="C48" s="18">
        <f>'Weekly Input'!C48</f>
        <v/>
      </c>
      <c r="D48" s="18">
        <f>IF(B48="","",IFERROR(INDEX('Master Data'!$B$6:$B$145,MATCH(B48,'Master Data'!$A$6:$A$145,0)),""))</f>
        <v/>
      </c>
      <c r="E48" s="18">
        <f>IF(C48="","",IFERROR(INDEX('Master Data'!$H$6:$H$13,MATCH(C48,'Master Data'!$F$6:$F$13,0)),""))</f>
        <v/>
      </c>
      <c r="F48" s="19">
        <f>'Weekly Input'!A48</f>
        <v/>
      </c>
      <c r="G48" s="19">
        <f>IF(B48="","",IFERROR(INDEX('Master Data'!$D$6:$D$145,MATCH(B48,'Master Data'!$A$6:$A$145,0)),""))</f>
        <v/>
      </c>
      <c r="H48" s="18">
        <f>IF(OR(F48="",G48=""),"",F48-G48)</f>
        <v/>
      </c>
      <c r="I48" s="18">
        <f>IF(B48="","",IF('Weekly Input'!J48="OK",TRUE,FALSE))</f>
        <v/>
      </c>
      <c r="J48" s="18">
        <f>IF(B48="","",'Weekly Input'!H48&gt;=MinInStockDays)</f>
        <v/>
      </c>
      <c r="K48" s="18">
        <f>IF(B48="","",H48&gt;=FullCycleMin)</f>
        <v/>
      </c>
      <c r="L48" s="18">
        <f>IF(B48="","",AND(I48,J48,K48,N48&gt;=MinHistory))</f>
        <v/>
      </c>
      <c r="M48" s="20">
        <f>IF(OR(B48="",'Weekly Input'!H48=0),"",'Weekly Input'!D48/'Weekly Input'!H48*7)</f>
        <v/>
      </c>
      <c r="N48" s="18">
        <f>IF(B48="","",COUNTIFS($B$5:$B$504,B48,$C$5:$C$504,C48,$I$5:$I$504,TRUE,$J$5:$J$504,TRUE,$K$5:$K$504,TRUE))</f>
        <v/>
      </c>
      <c r="O48" s="18">
        <f>IF(B48="","",AND(F48=AsOfWeek,AsOfWeek&lt;&gt;""))</f>
        <v/>
      </c>
      <c r="P48" s="20">
        <f>IF(OR(B48="",AsOfWeek=""),"",IFERROR(SUMIFS($M$5:$M$504,$B$5:$B$504,B48,$C$5:$C$504,C48,$L$5:$L$504,TRUE,$F$5:$F$504,"&gt;="&amp;AsOfWeek-7*(RecentWeeks-1),$F$5:$F$504,"&lt;="&amp;AsOfWeek),""))</f>
        <v/>
      </c>
      <c r="Q48" s="20">
        <f>IF(OR(B48="",AsOfWeek=""),"",IFERROR(SUMIFS($M$5:$M$504,$B$5:$B$504,B48,$C$5:$C$504,C48,$L$5:$L$504,TRUE,$F$5:$F$504,"&gt;="&amp;AsOfWeek-7*(RecentWeeks+PriorWeeks-1),$F$5:$F$504,"&lt;"&amp;AsOfWeek-7*(RecentWeeks-1)),""))</f>
        <v/>
      </c>
      <c r="R48" s="21">
        <f>IF(OR(P48="",Q48="",Q48=0),"",P48/Q48-1)</f>
        <v/>
      </c>
      <c r="S48" s="20">
        <f>IF(OR(C48="",AsOfWeek=""),"",IFERROR(AVERAGEIFS($M$5:$M$504,$C$5:$C$504,C48,$L$5:$L$504,TRUE,$F$5:$F$504,"&gt;="&amp;AsOfWeek-7*(RecentWeeks-1),$F$5:$F$504,"&lt;="&amp;AsOfWeek),""))</f>
        <v/>
      </c>
      <c r="T48" s="21">
        <f>IF(OR(P48="",S48=""),"",P48/S48-1)</f>
        <v/>
      </c>
      <c r="U48" s="22">
        <f>IF(OR(B48="",'Weekly Input'!G48="",P48="",P48=0),"",'Weekly Input'!G48/P48)</f>
        <v/>
      </c>
      <c r="V48" s="18">
        <f>IF(B48="","",IF(NOT(I48),"Not Ready",IF(NOT(K48),"Not Ready",IF(N48&lt;MinHistory,"Not Ready",IF(NOT(J48),"Not Ready",IF(OR(Q48="",Q48=0),"Noise",IF(Q48&lt;LowBaseThreshold,"Noise",IF(AND(R48&lt;=-OwnDecline,T48&lt;=-PeerGapThreshold),"Markdown Review",IF(AND(R48&gt;=ReorderUplift,U48&lt;&gt;"",U48&lt;=WeeksSupplyCap),"Reorder Candidate","Monitor"))))))))</f>
        <v/>
      </c>
      <c r="W48" s="18">
        <f>IF(B48="","",IF(NOT(I48),"INVALID_MASTER",IF(NOT(K48),"INCOMPLETE_SHELF_CYCLE",IF(N48&lt;MinHistory,"INSUFFICIENT_HISTORY",IF(NOT(J48),"INSUFFICIENT_IN_STOCK",IF(OR(Q48="",Q48=0),"NO_PRIOR_BASE",IF(Q48&lt;LowBaseThreshold,"LOW_BASE_NOISE",IF(V48="Markdown Review","MARKDOWN_PEER_GAP",IF(V48="Reorder Candidate","REORDER_UPLIFT_COVER","NO_MATERIAL_CHANGE"))))))))</f>
        <v/>
      </c>
      <c r="X48" s="18">
        <f>IF(V48="Markdown Review","Markdown support",IF(V48="Reorder Candidate","Second reorder",IF(V48="Monitor","Monitor",IF(V48="Noise","Hold / collect data",IF(V48="Not Ready","Not ready","")))))</f>
        <v/>
      </c>
      <c r="Y48" s="18">
        <f>IF(OR(R48="",T48=""),"",ABS(R48)+ABS(T48))</f>
        <v/>
      </c>
      <c r="Z48" s="21">
        <f>IF(OR(B48="",NOT(O48),R48=""),"",IF(ABS(R48)&gt;=MaterialThreshold,"Yes","No"))</f>
        <v/>
      </c>
      <c r="AA48" s="18">
        <f>IF(Z48&lt;&gt;"Yes","",IF(ABS(R48)&gt;=MaterialThreshold,IF(ABS(R48)&gt;=BroadShare,"Broad SKU movement","Store-concentrated movement"),""))</f>
        <v/>
      </c>
      <c r="AB48" s="18">
        <f>IF(O48,IF(COUNTIFS($O$5:O48,TRUE)&gt;0,COUNTIFS($O$5:O48,TRUE),0),0)</f>
        <v/>
      </c>
      <c r="AC48" s="18">
        <f>IF(V48="Markdown Review",1,IF(V48="Reorder Candidate",2,IF(V48="Monitor",3,IF(V48="Noise",4,IF(V48="Not Ready",5,99)))))</f>
        <v/>
      </c>
      <c r="AD48" s="18">
        <f>IF(O48,COUNTIFS($O$5:$O$504,TRUE,$AC$5:$AC$504,"&lt;"&amp;AC48)+COUNTIFS($O$5:O48,TRUE,$AC$5:AC48,AC48,$Y$5:Y48,"&gt;"&amp;Y48),0)</f>
        <v/>
      </c>
    </row>
    <row r="49">
      <c r="A49" s="17">
        <f>IF(COUNTA('Weekly Input'!A49:C49)=0,"",'Weekly Input'!B49&amp;"|"&amp;'Weekly Input'!C49&amp;"|"&amp;TEXT('Weekly Input'!A49,"yyyy-mm-dd"))</f>
        <v/>
      </c>
      <c r="B49" s="18">
        <f>'Weekly Input'!B49</f>
        <v/>
      </c>
      <c r="C49" s="18">
        <f>'Weekly Input'!C49</f>
        <v/>
      </c>
      <c r="D49" s="18">
        <f>IF(B49="","",IFERROR(INDEX('Master Data'!$B$6:$B$145,MATCH(B49,'Master Data'!$A$6:$A$145,0)),""))</f>
        <v/>
      </c>
      <c r="E49" s="18">
        <f>IF(C49="","",IFERROR(INDEX('Master Data'!$H$6:$H$13,MATCH(C49,'Master Data'!$F$6:$F$13,0)),""))</f>
        <v/>
      </c>
      <c r="F49" s="19">
        <f>'Weekly Input'!A49</f>
        <v/>
      </c>
      <c r="G49" s="19">
        <f>IF(B49="","",IFERROR(INDEX('Master Data'!$D$6:$D$145,MATCH(B49,'Master Data'!$A$6:$A$145,0)),""))</f>
        <v/>
      </c>
      <c r="H49" s="18">
        <f>IF(OR(F49="",G49=""),"",F49-G49)</f>
        <v/>
      </c>
      <c r="I49" s="18">
        <f>IF(B49="","",IF('Weekly Input'!J49="OK",TRUE,FALSE))</f>
        <v/>
      </c>
      <c r="J49" s="18">
        <f>IF(B49="","",'Weekly Input'!H49&gt;=MinInStockDays)</f>
        <v/>
      </c>
      <c r="K49" s="18">
        <f>IF(B49="","",H49&gt;=FullCycleMin)</f>
        <v/>
      </c>
      <c r="L49" s="18">
        <f>IF(B49="","",AND(I49,J49,K49,N49&gt;=MinHistory))</f>
        <v/>
      </c>
      <c r="M49" s="20">
        <f>IF(OR(B49="",'Weekly Input'!H49=0),"",'Weekly Input'!D49/'Weekly Input'!H49*7)</f>
        <v/>
      </c>
      <c r="N49" s="18">
        <f>IF(B49="","",COUNTIFS($B$5:$B$504,B49,$C$5:$C$504,C49,$I$5:$I$504,TRUE,$J$5:$J$504,TRUE,$K$5:$K$504,TRUE))</f>
        <v/>
      </c>
      <c r="O49" s="18">
        <f>IF(B49="","",AND(F49=AsOfWeek,AsOfWeek&lt;&gt;""))</f>
        <v/>
      </c>
      <c r="P49" s="20">
        <f>IF(OR(B49="",AsOfWeek=""),"",IFERROR(SUMIFS($M$5:$M$504,$B$5:$B$504,B49,$C$5:$C$504,C49,$L$5:$L$504,TRUE,$F$5:$F$504,"&gt;="&amp;AsOfWeek-7*(RecentWeeks-1),$F$5:$F$504,"&lt;="&amp;AsOfWeek),""))</f>
        <v/>
      </c>
      <c r="Q49" s="20">
        <f>IF(OR(B49="",AsOfWeek=""),"",IFERROR(SUMIFS($M$5:$M$504,$B$5:$B$504,B49,$C$5:$C$504,C49,$L$5:$L$504,TRUE,$F$5:$F$504,"&gt;="&amp;AsOfWeek-7*(RecentWeeks+PriorWeeks-1),$F$5:$F$504,"&lt;"&amp;AsOfWeek-7*(RecentWeeks-1)),""))</f>
        <v/>
      </c>
      <c r="R49" s="21">
        <f>IF(OR(P49="",Q49="",Q49=0),"",P49/Q49-1)</f>
        <v/>
      </c>
      <c r="S49" s="20">
        <f>IF(OR(C49="",AsOfWeek=""),"",IFERROR(AVERAGEIFS($M$5:$M$504,$C$5:$C$504,C49,$L$5:$L$504,TRUE,$F$5:$F$504,"&gt;="&amp;AsOfWeek-7*(RecentWeeks-1),$F$5:$F$504,"&lt;="&amp;AsOfWeek),""))</f>
        <v/>
      </c>
      <c r="T49" s="21">
        <f>IF(OR(P49="",S49=""),"",P49/S49-1)</f>
        <v/>
      </c>
      <c r="U49" s="22">
        <f>IF(OR(B49="",'Weekly Input'!G49="",P49="",P49=0),"",'Weekly Input'!G49/P49)</f>
        <v/>
      </c>
      <c r="V49" s="18">
        <f>IF(B49="","",IF(NOT(I49),"Not Ready",IF(NOT(K49),"Not Ready",IF(N49&lt;MinHistory,"Not Ready",IF(NOT(J49),"Not Ready",IF(OR(Q49="",Q49=0),"Noise",IF(Q49&lt;LowBaseThreshold,"Noise",IF(AND(R49&lt;=-OwnDecline,T49&lt;=-PeerGapThreshold),"Markdown Review",IF(AND(R49&gt;=ReorderUplift,U49&lt;&gt;"",U49&lt;=WeeksSupplyCap),"Reorder Candidate","Monitor"))))))))</f>
        <v/>
      </c>
      <c r="W49" s="18">
        <f>IF(B49="","",IF(NOT(I49),"INVALID_MASTER",IF(NOT(K49),"INCOMPLETE_SHELF_CYCLE",IF(N49&lt;MinHistory,"INSUFFICIENT_HISTORY",IF(NOT(J49),"INSUFFICIENT_IN_STOCK",IF(OR(Q49="",Q49=0),"NO_PRIOR_BASE",IF(Q49&lt;LowBaseThreshold,"LOW_BASE_NOISE",IF(V49="Markdown Review","MARKDOWN_PEER_GAP",IF(V49="Reorder Candidate","REORDER_UPLIFT_COVER","NO_MATERIAL_CHANGE"))))))))</f>
        <v/>
      </c>
      <c r="X49" s="18">
        <f>IF(V49="Markdown Review","Markdown support",IF(V49="Reorder Candidate","Second reorder",IF(V49="Monitor","Monitor",IF(V49="Noise","Hold / collect data",IF(V49="Not Ready","Not ready","")))))</f>
        <v/>
      </c>
      <c r="Y49" s="18">
        <f>IF(OR(R49="",T49=""),"",ABS(R49)+ABS(T49))</f>
        <v/>
      </c>
      <c r="Z49" s="21">
        <f>IF(OR(B49="",NOT(O49),R49=""),"",IF(ABS(R49)&gt;=MaterialThreshold,"Yes","No"))</f>
        <v/>
      </c>
      <c r="AA49" s="18">
        <f>IF(Z49&lt;&gt;"Yes","",IF(ABS(R49)&gt;=MaterialThreshold,IF(ABS(R49)&gt;=BroadShare,"Broad SKU movement","Store-concentrated movement"),""))</f>
        <v/>
      </c>
      <c r="AB49" s="18">
        <f>IF(O49,IF(COUNTIFS($O$5:O49,TRUE)&gt;0,COUNTIFS($O$5:O49,TRUE),0),0)</f>
        <v/>
      </c>
      <c r="AC49" s="18">
        <f>IF(V49="Markdown Review",1,IF(V49="Reorder Candidate",2,IF(V49="Monitor",3,IF(V49="Noise",4,IF(V49="Not Ready",5,99)))))</f>
        <v/>
      </c>
      <c r="AD49" s="18">
        <f>IF(O49,COUNTIFS($O$5:$O$504,TRUE,$AC$5:$AC$504,"&lt;"&amp;AC49)+COUNTIFS($O$5:O49,TRUE,$AC$5:AC49,AC49,$Y$5:Y49,"&gt;"&amp;Y49),0)</f>
        <v/>
      </c>
    </row>
    <row r="50">
      <c r="A50" s="17">
        <f>IF(COUNTA('Weekly Input'!A50:C50)=0,"",'Weekly Input'!B50&amp;"|"&amp;'Weekly Input'!C50&amp;"|"&amp;TEXT('Weekly Input'!A50,"yyyy-mm-dd"))</f>
        <v/>
      </c>
      <c r="B50" s="18">
        <f>'Weekly Input'!B50</f>
        <v/>
      </c>
      <c r="C50" s="18">
        <f>'Weekly Input'!C50</f>
        <v/>
      </c>
      <c r="D50" s="18">
        <f>IF(B50="","",IFERROR(INDEX('Master Data'!$B$6:$B$145,MATCH(B50,'Master Data'!$A$6:$A$145,0)),""))</f>
        <v/>
      </c>
      <c r="E50" s="18">
        <f>IF(C50="","",IFERROR(INDEX('Master Data'!$H$6:$H$13,MATCH(C50,'Master Data'!$F$6:$F$13,0)),""))</f>
        <v/>
      </c>
      <c r="F50" s="19">
        <f>'Weekly Input'!A50</f>
        <v/>
      </c>
      <c r="G50" s="19">
        <f>IF(B50="","",IFERROR(INDEX('Master Data'!$D$6:$D$145,MATCH(B50,'Master Data'!$A$6:$A$145,0)),""))</f>
        <v/>
      </c>
      <c r="H50" s="18">
        <f>IF(OR(F50="",G50=""),"",F50-G50)</f>
        <v/>
      </c>
      <c r="I50" s="18">
        <f>IF(B50="","",IF('Weekly Input'!J50="OK",TRUE,FALSE))</f>
        <v/>
      </c>
      <c r="J50" s="18">
        <f>IF(B50="","",'Weekly Input'!H50&gt;=MinInStockDays)</f>
        <v/>
      </c>
      <c r="K50" s="18">
        <f>IF(B50="","",H50&gt;=FullCycleMin)</f>
        <v/>
      </c>
      <c r="L50" s="18">
        <f>IF(B50="","",AND(I50,J50,K50,N50&gt;=MinHistory))</f>
        <v/>
      </c>
      <c r="M50" s="20">
        <f>IF(OR(B50="",'Weekly Input'!H50=0),"",'Weekly Input'!D50/'Weekly Input'!H50*7)</f>
        <v/>
      </c>
      <c r="N50" s="18">
        <f>IF(B50="","",COUNTIFS($B$5:$B$504,B50,$C$5:$C$504,C50,$I$5:$I$504,TRUE,$J$5:$J$504,TRUE,$K$5:$K$504,TRUE))</f>
        <v/>
      </c>
      <c r="O50" s="18">
        <f>IF(B50="","",AND(F50=AsOfWeek,AsOfWeek&lt;&gt;""))</f>
        <v/>
      </c>
      <c r="P50" s="20">
        <f>IF(OR(B50="",AsOfWeek=""),"",IFERROR(SUMIFS($M$5:$M$504,$B$5:$B$504,B50,$C$5:$C$504,C50,$L$5:$L$504,TRUE,$F$5:$F$504,"&gt;="&amp;AsOfWeek-7*(RecentWeeks-1),$F$5:$F$504,"&lt;="&amp;AsOfWeek),""))</f>
        <v/>
      </c>
      <c r="Q50" s="20">
        <f>IF(OR(B50="",AsOfWeek=""),"",IFERROR(SUMIFS($M$5:$M$504,$B$5:$B$504,B50,$C$5:$C$504,C50,$L$5:$L$504,TRUE,$F$5:$F$504,"&gt;="&amp;AsOfWeek-7*(RecentWeeks+PriorWeeks-1),$F$5:$F$504,"&lt;"&amp;AsOfWeek-7*(RecentWeeks-1)),""))</f>
        <v/>
      </c>
      <c r="R50" s="21">
        <f>IF(OR(P50="",Q50="",Q50=0),"",P50/Q50-1)</f>
        <v/>
      </c>
      <c r="S50" s="20">
        <f>IF(OR(C50="",AsOfWeek=""),"",IFERROR(AVERAGEIFS($M$5:$M$504,$C$5:$C$504,C50,$L$5:$L$504,TRUE,$F$5:$F$504,"&gt;="&amp;AsOfWeek-7*(RecentWeeks-1),$F$5:$F$504,"&lt;="&amp;AsOfWeek),""))</f>
        <v/>
      </c>
      <c r="T50" s="21">
        <f>IF(OR(P50="",S50=""),"",P50/S50-1)</f>
        <v/>
      </c>
      <c r="U50" s="22">
        <f>IF(OR(B50="",'Weekly Input'!G50="",P50="",P50=0),"",'Weekly Input'!G50/P50)</f>
        <v/>
      </c>
      <c r="V50" s="18">
        <f>IF(B50="","",IF(NOT(I50),"Not Ready",IF(NOT(K50),"Not Ready",IF(N50&lt;MinHistory,"Not Ready",IF(NOT(J50),"Not Ready",IF(OR(Q50="",Q50=0),"Noise",IF(Q50&lt;LowBaseThreshold,"Noise",IF(AND(R50&lt;=-OwnDecline,T50&lt;=-PeerGapThreshold),"Markdown Review",IF(AND(R50&gt;=ReorderUplift,U50&lt;&gt;"",U50&lt;=WeeksSupplyCap),"Reorder Candidate","Monitor"))))))))</f>
        <v/>
      </c>
      <c r="W50" s="18">
        <f>IF(B50="","",IF(NOT(I50),"INVALID_MASTER",IF(NOT(K50),"INCOMPLETE_SHELF_CYCLE",IF(N50&lt;MinHistory,"INSUFFICIENT_HISTORY",IF(NOT(J50),"INSUFFICIENT_IN_STOCK",IF(OR(Q50="",Q50=0),"NO_PRIOR_BASE",IF(Q50&lt;LowBaseThreshold,"LOW_BASE_NOISE",IF(V50="Markdown Review","MARKDOWN_PEER_GAP",IF(V50="Reorder Candidate","REORDER_UPLIFT_COVER","NO_MATERIAL_CHANGE"))))))))</f>
        <v/>
      </c>
      <c r="X50" s="18">
        <f>IF(V50="Markdown Review","Markdown support",IF(V50="Reorder Candidate","Second reorder",IF(V50="Monitor","Monitor",IF(V50="Noise","Hold / collect data",IF(V50="Not Ready","Not ready","")))))</f>
        <v/>
      </c>
      <c r="Y50" s="18">
        <f>IF(OR(R50="",T50=""),"",ABS(R50)+ABS(T50))</f>
        <v/>
      </c>
      <c r="Z50" s="21">
        <f>IF(OR(B50="",NOT(O50),R50=""),"",IF(ABS(R50)&gt;=MaterialThreshold,"Yes","No"))</f>
        <v/>
      </c>
      <c r="AA50" s="18">
        <f>IF(Z50&lt;&gt;"Yes","",IF(ABS(R50)&gt;=MaterialThreshold,IF(ABS(R50)&gt;=BroadShare,"Broad SKU movement","Store-concentrated movement"),""))</f>
        <v/>
      </c>
      <c r="AB50" s="18">
        <f>IF(O50,IF(COUNTIFS($O$5:O50,TRUE)&gt;0,COUNTIFS($O$5:O50,TRUE),0),0)</f>
        <v/>
      </c>
      <c r="AC50" s="18">
        <f>IF(V50="Markdown Review",1,IF(V50="Reorder Candidate",2,IF(V50="Monitor",3,IF(V50="Noise",4,IF(V50="Not Ready",5,99)))))</f>
        <v/>
      </c>
      <c r="AD50" s="18">
        <f>IF(O50,COUNTIFS($O$5:$O$504,TRUE,$AC$5:$AC$504,"&lt;"&amp;AC50)+COUNTIFS($O$5:O50,TRUE,$AC$5:AC50,AC50,$Y$5:Y50,"&gt;"&amp;Y50),0)</f>
        <v/>
      </c>
    </row>
    <row r="51">
      <c r="A51" s="17">
        <f>IF(COUNTA('Weekly Input'!A51:C51)=0,"",'Weekly Input'!B51&amp;"|"&amp;'Weekly Input'!C51&amp;"|"&amp;TEXT('Weekly Input'!A51,"yyyy-mm-dd"))</f>
        <v/>
      </c>
      <c r="B51" s="18">
        <f>'Weekly Input'!B51</f>
        <v/>
      </c>
      <c r="C51" s="18">
        <f>'Weekly Input'!C51</f>
        <v/>
      </c>
      <c r="D51" s="18">
        <f>IF(B51="","",IFERROR(INDEX('Master Data'!$B$6:$B$145,MATCH(B51,'Master Data'!$A$6:$A$145,0)),""))</f>
        <v/>
      </c>
      <c r="E51" s="18">
        <f>IF(C51="","",IFERROR(INDEX('Master Data'!$H$6:$H$13,MATCH(C51,'Master Data'!$F$6:$F$13,0)),""))</f>
        <v/>
      </c>
      <c r="F51" s="19">
        <f>'Weekly Input'!A51</f>
        <v/>
      </c>
      <c r="G51" s="19">
        <f>IF(B51="","",IFERROR(INDEX('Master Data'!$D$6:$D$145,MATCH(B51,'Master Data'!$A$6:$A$145,0)),""))</f>
        <v/>
      </c>
      <c r="H51" s="18">
        <f>IF(OR(F51="",G51=""),"",F51-G51)</f>
        <v/>
      </c>
      <c r="I51" s="18">
        <f>IF(B51="","",IF('Weekly Input'!J51="OK",TRUE,FALSE))</f>
        <v/>
      </c>
      <c r="J51" s="18">
        <f>IF(B51="","",'Weekly Input'!H51&gt;=MinInStockDays)</f>
        <v/>
      </c>
      <c r="K51" s="18">
        <f>IF(B51="","",H51&gt;=FullCycleMin)</f>
        <v/>
      </c>
      <c r="L51" s="18">
        <f>IF(B51="","",AND(I51,J51,K51,N51&gt;=MinHistory))</f>
        <v/>
      </c>
      <c r="M51" s="20">
        <f>IF(OR(B51="",'Weekly Input'!H51=0),"",'Weekly Input'!D51/'Weekly Input'!H51*7)</f>
        <v/>
      </c>
      <c r="N51" s="18">
        <f>IF(B51="","",COUNTIFS($B$5:$B$504,B51,$C$5:$C$504,C51,$I$5:$I$504,TRUE,$J$5:$J$504,TRUE,$K$5:$K$504,TRUE))</f>
        <v/>
      </c>
      <c r="O51" s="18">
        <f>IF(B51="","",AND(F51=AsOfWeek,AsOfWeek&lt;&gt;""))</f>
        <v/>
      </c>
      <c r="P51" s="20">
        <f>IF(OR(B51="",AsOfWeek=""),"",IFERROR(SUMIFS($M$5:$M$504,$B$5:$B$504,B51,$C$5:$C$504,C51,$L$5:$L$504,TRUE,$F$5:$F$504,"&gt;="&amp;AsOfWeek-7*(RecentWeeks-1),$F$5:$F$504,"&lt;="&amp;AsOfWeek),""))</f>
        <v/>
      </c>
      <c r="Q51" s="20">
        <f>IF(OR(B51="",AsOfWeek=""),"",IFERROR(SUMIFS($M$5:$M$504,$B$5:$B$504,B51,$C$5:$C$504,C51,$L$5:$L$504,TRUE,$F$5:$F$504,"&gt;="&amp;AsOfWeek-7*(RecentWeeks+PriorWeeks-1),$F$5:$F$504,"&lt;"&amp;AsOfWeek-7*(RecentWeeks-1)),""))</f>
        <v/>
      </c>
      <c r="R51" s="21">
        <f>IF(OR(P51="",Q51="",Q51=0),"",P51/Q51-1)</f>
        <v/>
      </c>
      <c r="S51" s="20">
        <f>IF(OR(C51="",AsOfWeek=""),"",IFERROR(AVERAGEIFS($M$5:$M$504,$C$5:$C$504,C51,$L$5:$L$504,TRUE,$F$5:$F$504,"&gt;="&amp;AsOfWeek-7*(RecentWeeks-1),$F$5:$F$504,"&lt;="&amp;AsOfWeek),""))</f>
        <v/>
      </c>
      <c r="T51" s="21">
        <f>IF(OR(P51="",S51=""),"",P51/S51-1)</f>
        <v/>
      </c>
      <c r="U51" s="22">
        <f>IF(OR(B51="",'Weekly Input'!G51="",P51="",P51=0),"",'Weekly Input'!G51/P51)</f>
        <v/>
      </c>
      <c r="V51" s="18">
        <f>IF(B51="","",IF(NOT(I51),"Not Ready",IF(NOT(K51),"Not Ready",IF(N51&lt;MinHistory,"Not Ready",IF(NOT(J51),"Not Ready",IF(OR(Q51="",Q51=0),"Noise",IF(Q51&lt;LowBaseThreshold,"Noise",IF(AND(R51&lt;=-OwnDecline,T51&lt;=-PeerGapThreshold),"Markdown Review",IF(AND(R51&gt;=ReorderUplift,U51&lt;&gt;"",U51&lt;=WeeksSupplyCap),"Reorder Candidate","Monitor"))))))))</f>
        <v/>
      </c>
      <c r="W51" s="18">
        <f>IF(B51="","",IF(NOT(I51),"INVALID_MASTER",IF(NOT(K51),"INCOMPLETE_SHELF_CYCLE",IF(N51&lt;MinHistory,"INSUFFICIENT_HISTORY",IF(NOT(J51),"INSUFFICIENT_IN_STOCK",IF(OR(Q51="",Q51=0),"NO_PRIOR_BASE",IF(Q51&lt;LowBaseThreshold,"LOW_BASE_NOISE",IF(V51="Markdown Review","MARKDOWN_PEER_GAP",IF(V51="Reorder Candidate","REORDER_UPLIFT_COVER","NO_MATERIAL_CHANGE"))))))))</f>
        <v/>
      </c>
      <c r="X51" s="18">
        <f>IF(V51="Markdown Review","Markdown support",IF(V51="Reorder Candidate","Second reorder",IF(V51="Monitor","Monitor",IF(V51="Noise","Hold / collect data",IF(V51="Not Ready","Not ready","")))))</f>
        <v/>
      </c>
      <c r="Y51" s="18">
        <f>IF(OR(R51="",T51=""),"",ABS(R51)+ABS(T51))</f>
        <v/>
      </c>
      <c r="Z51" s="21">
        <f>IF(OR(B51="",NOT(O51),R51=""),"",IF(ABS(R51)&gt;=MaterialThreshold,"Yes","No"))</f>
        <v/>
      </c>
      <c r="AA51" s="18">
        <f>IF(Z51&lt;&gt;"Yes","",IF(ABS(R51)&gt;=MaterialThreshold,IF(ABS(R51)&gt;=BroadShare,"Broad SKU movement","Store-concentrated movement"),""))</f>
        <v/>
      </c>
      <c r="AB51" s="18">
        <f>IF(O51,IF(COUNTIFS($O$5:O51,TRUE)&gt;0,COUNTIFS($O$5:O51,TRUE),0),0)</f>
        <v/>
      </c>
      <c r="AC51" s="18">
        <f>IF(V51="Markdown Review",1,IF(V51="Reorder Candidate",2,IF(V51="Monitor",3,IF(V51="Noise",4,IF(V51="Not Ready",5,99)))))</f>
        <v/>
      </c>
      <c r="AD51" s="18">
        <f>IF(O51,COUNTIFS($O$5:$O$504,TRUE,$AC$5:$AC$504,"&lt;"&amp;AC51)+COUNTIFS($O$5:O51,TRUE,$AC$5:AC51,AC51,$Y$5:Y51,"&gt;"&amp;Y51),0)</f>
        <v/>
      </c>
    </row>
    <row r="52">
      <c r="A52" s="17">
        <f>IF(COUNTA('Weekly Input'!A52:C52)=0,"",'Weekly Input'!B52&amp;"|"&amp;'Weekly Input'!C52&amp;"|"&amp;TEXT('Weekly Input'!A52,"yyyy-mm-dd"))</f>
        <v/>
      </c>
      <c r="B52" s="18">
        <f>'Weekly Input'!B52</f>
        <v/>
      </c>
      <c r="C52" s="18">
        <f>'Weekly Input'!C52</f>
        <v/>
      </c>
      <c r="D52" s="18">
        <f>IF(B52="","",IFERROR(INDEX('Master Data'!$B$6:$B$145,MATCH(B52,'Master Data'!$A$6:$A$145,0)),""))</f>
        <v/>
      </c>
      <c r="E52" s="18">
        <f>IF(C52="","",IFERROR(INDEX('Master Data'!$H$6:$H$13,MATCH(C52,'Master Data'!$F$6:$F$13,0)),""))</f>
        <v/>
      </c>
      <c r="F52" s="19">
        <f>'Weekly Input'!A52</f>
        <v/>
      </c>
      <c r="G52" s="19">
        <f>IF(B52="","",IFERROR(INDEX('Master Data'!$D$6:$D$145,MATCH(B52,'Master Data'!$A$6:$A$145,0)),""))</f>
        <v/>
      </c>
      <c r="H52" s="18">
        <f>IF(OR(F52="",G52=""),"",F52-G52)</f>
        <v/>
      </c>
      <c r="I52" s="18">
        <f>IF(B52="","",IF('Weekly Input'!J52="OK",TRUE,FALSE))</f>
        <v/>
      </c>
      <c r="J52" s="18">
        <f>IF(B52="","",'Weekly Input'!H52&gt;=MinInStockDays)</f>
        <v/>
      </c>
      <c r="K52" s="18">
        <f>IF(B52="","",H52&gt;=FullCycleMin)</f>
        <v/>
      </c>
      <c r="L52" s="18">
        <f>IF(B52="","",AND(I52,J52,K52,N52&gt;=MinHistory))</f>
        <v/>
      </c>
      <c r="M52" s="20">
        <f>IF(OR(B52="",'Weekly Input'!H52=0),"",'Weekly Input'!D52/'Weekly Input'!H52*7)</f>
        <v/>
      </c>
      <c r="N52" s="18">
        <f>IF(B52="","",COUNTIFS($B$5:$B$504,B52,$C$5:$C$504,C52,$I$5:$I$504,TRUE,$J$5:$J$504,TRUE,$K$5:$K$504,TRUE))</f>
        <v/>
      </c>
      <c r="O52" s="18">
        <f>IF(B52="","",AND(F52=AsOfWeek,AsOfWeek&lt;&gt;""))</f>
        <v/>
      </c>
      <c r="P52" s="20">
        <f>IF(OR(B52="",AsOfWeek=""),"",IFERROR(SUMIFS($M$5:$M$504,$B$5:$B$504,B52,$C$5:$C$504,C52,$L$5:$L$504,TRUE,$F$5:$F$504,"&gt;="&amp;AsOfWeek-7*(RecentWeeks-1),$F$5:$F$504,"&lt;="&amp;AsOfWeek),""))</f>
        <v/>
      </c>
      <c r="Q52" s="20">
        <f>IF(OR(B52="",AsOfWeek=""),"",IFERROR(SUMIFS($M$5:$M$504,$B$5:$B$504,B52,$C$5:$C$504,C52,$L$5:$L$504,TRUE,$F$5:$F$504,"&gt;="&amp;AsOfWeek-7*(RecentWeeks+PriorWeeks-1),$F$5:$F$504,"&lt;"&amp;AsOfWeek-7*(RecentWeeks-1)),""))</f>
        <v/>
      </c>
      <c r="R52" s="21">
        <f>IF(OR(P52="",Q52="",Q52=0),"",P52/Q52-1)</f>
        <v/>
      </c>
      <c r="S52" s="20">
        <f>IF(OR(C52="",AsOfWeek=""),"",IFERROR(AVERAGEIFS($M$5:$M$504,$C$5:$C$504,C52,$L$5:$L$504,TRUE,$F$5:$F$504,"&gt;="&amp;AsOfWeek-7*(RecentWeeks-1),$F$5:$F$504,"&lt;="&amp;AsOfWeek),""))</f>
        <v/>
      </c>
      <c r="T52" s="21">
        <f>IF(OR(P52="",S52=""),"",P52/S52-1)</f>
        <v/>
      </c>
      <c r="U52" s="22">
        <f>IF(OR(B52="",'Weekly Input'!G52="",P52="",P52=0),"",'Weekly Input'!G52/P52)</f>
        <v/>
      </c>
      <c r="V52" s="18">
        <f>IF(B52="","",IF(NOT(I52),"Not Ready",IF(NOT(K52),"Not Ready",IF(N52&lt;MinHistory,"Not Ready",IF(NOT(J52),"Not Ready",IF(OR(Q52="",Q52=0),"Noise",IF(Q52&lt;LowBaseThreshold,"Noise",IF(AND(R52&lt;=-OwnDecline,T52&lt;=-PeerGapThreshold),"Markdown Review",IF(AND(R52&gt;=ReorderUplift,U52&lt;&gt;"",U52&lt;=WeeksSupplyCap),"Reorder Candidate","Monitor"))))))))</f>
        <v/>
      </c>
      <c r="W52" s="18">
        <f>IF(B52="","",IF(NOT(I52),"INVALID_MASTER",IF(NOT(K52),"INCOMPLETE_SHELF_CYCLE",IF(N52&lt;MinHistory,"INSUFFICIENT_HISTORY",IF(NOT(J52),"INSUFFICIENT_IN_STOCK",IF(OR(Q52="",Q52=0),"NO_PRIOR_BASE",IF(Q52&lt;LowBaseThreshold,"LOW_BASE_NOISE",IF(V52="Markdown Review","MARKDOWN_PEER_GAP",IF(V52="Reorder Candidate","REORDER_UPLIFT_COVER","NO_MATERIAL_CHANGE"))))))))</f>
        <v/>
      </c>
      <c r="X52" s="18">
        <f>IF(V52="Markdown Review","Markdown support",IF(V52="Reorder Candidate","Second reorder",IF(V52="Monitor","Monitor",IF(V52="Noise","Hold / collect data",IF(V52="Not Ready","Not ready","")))))</f>
        <v/>
      </c>
      <c r="Y52" s="18">
        <f>IF(OR(R52="",T52=""),"",ABS(R52)+ABS(T52))</f>
        <v/>
      </c>
      <c r="Z52" s="21">
        <f>IF(OR(B52="",NOT(O52),R52=""),"",IF(ABS(R52)&gt;=MaterialThreshold,"Yes","No"))</f>
        <v/>
      </c>
      <c r="AA52" s="18">
        <f>IF(Z52&lt;&gt;"Yes","",IF(ABS(R52)&gt;=MaterialThreshold,IF(ABS(R52)&gt;=BroadShare,"Broad SKU movement","Store-concentrated movement"),""))</f>
        <v/>
      </c>
      <c r="AB52" s="18">
        <f>IF(O52,IF(COUNTIFS($O$5:O52,TRUE)&gt;0,COUNTIFS($O$5:O52,TRUE),0),0)</f>
        <v/>
      </c>
      <c r="AC52" s="18">
        <f>IF(V52="Markdown Review",1,IF(V52="Reorder Candidate",2,IF(V52="Monitor",3,IF(V52="Noise",4,IF(V52="Not Ready",5,99)))))</f>
        <v/>
      </c>
      <c r="AD52" s="18">
        <f>IF(O52,COUNTIFS($O$5:$O$504,TRUE,$AC$5:$AC$504,"&lt;"&amp;AC52)+COUNTIFS($O$5:O52,TRUE,$AC$5:AC52,AC52,$Y$5:Y52,"&gt;"&amp;Y52),0)</f>
        <v/>
      </c>
    </row>
    <row r="53">
      <c r="A53" s="17">
        <f>IF(COUNTA('Weekly Input'!A53:C53)=0,"",'Weekly Input'!B53&amp;"|"&amp;'Weekly Input'!C53&amp;"|"&amp;TEXT('Weekly Input'!A53,"yyyy-mm-dd"))</f>
        <v/>
      </c>
      <c r="B53" s="18">
        <f>'Weekly Input'!B53</f>
        <v/>
      </c>
      <c r="C53" s="18">
        <f>'Weekly Input'!C53</f>
        <v/>
      </c>
      <c r="D53" s="18">
        <f>IF(B53="","",IFERROR(INDEX('Master Data'!$B$6:$B$145,MATCH(B53,'Master Data'!$A$6:$A$145,0)),""))</f>
        <v/>
      </c>
      <c r="E53" s="18">
        <f>IF(C53="","",IFERROR(INDEX('Master Data'!$H$6:$H$13,MATCH(C53,'Master Data'!$F$6:$F$13,0)),""))</f>
        <v/>
      </c>
      <c r="F53" s="19">
        <f>'Weekly Input'!A53</f>
        <v/>
      </c>
      <c r="G53" s="19">
        <f>IF(B53="","",IFERROR(INDEX('Master Data'!$D$6:$D$145,MATCH(B53,'Master Data'!$A$6:$A$145,0)),""))</f>
        <v/>
      </c>
      <c r="H53" s="18">
        <f>IF(OR(F53="",G53=""),"",F53-G53)</f>
        <v/>
      </c>
      <c r="I53" s="18">
        <f>IF(B53="","",IF('Weekly Input'!J53="OK",TRUE,FALSE))</f>
        <v/>
      </c>
      <c r="J53" s="18">
        <f>IF(B53="","",'Weekly Input'!H53&gt;=MinInStockDays)</f>
        <v/>
      </c>
      <c r="K53" s="18">
        <f>IF(B53="","",H53&gt;=FullCycleMin)</f>
        <v/>
      </c>
      <c r="L53" s="18">
        <f>IF(B53="","",AND(I53,J53,K53,N53&gt;=MinHistory))</f>
        <v/>
      </c>
      <c r="M53" s="20">
        <f>IF(OR(B53="",'Weekly Input'!H53=0),"",'Weekly Input'!D53/'Weekly Input'!H53*7)</f>
        <v/>
      </c>
      <c r="N53" s="18">
        <f>IF(B53="","",COUNTIFS($B$5:$B$504,B53,$C$5:$C$504,C53,$I$5:$I$504,TRUE,$J$5:$J$504,TRUE,$K$5:$K$504,TRUE))</f>
        <v/>
      </c>
      <c r="O53" s="18">
        <f>IF(B53="","",AND(F53=AsOfWeek,AsOfWeek&lt;&gt;""))</f>
        <v/>
      </c>
      <c r="P53" s="20">
        <f>IF(OR(B53="",AsOfWeek=""),"",IFERROR(SUMIFS($M$5:$M$504,$B$5:$B$504,B53,$C$5:$C$504,C53,$L$5:$L$504,TRUE,$F$5:$F$504,"&gt;="&amp;AsOfWeek-7*(RecentWeeks-1),$F$5:$F$504,"&lt;="&amp;AsOfWeek),""))</f>
        <v/>
      </c>
      <c r="Q53" s="20">
        <f>IF(OR(B53="",AsOfWeek=""),"",IFERROR(SUMIFS($M$5:$M$504,$B$5:$B$504,B53,$C$5:$C$504,C53,$L$5:$L$504,TRUE,$F$5:$F$504,"&gt;="&amp;AsOfWeek-7*(RecentWeeks+PriorWeeks-1),$F$5:$F$504,"&lt;"&amp;AsOfWeek-7*(RecentWeeks-1)),""))</f>
        <v/>
      </c>
      <c r="R53" s="21">
        <f>IF(OR(P53="",Q53="",Q53=0),"",P53/Q53-1)</f>
        <v/>
      </c>
      <c r="S53" s="20">
        <f>IF(OR(C53="",AsOfWeek=""),"",IFERROR(AVERAGEIFS($M$5:$M$504,$C$5:$C$504,C53,$L$5:$L$504,TRUE,$F$5:$F$504,"&gt;="&amp;AsOfWeek-7*(RecentWeeks-1),$F$5:$F$504,"&lt;="&amp;AsOfWeek),""))</f>
        <v/>
      </c>
      <c r="T53" s="21">
        <f>IF(OR(P53="",S53=""),"",P53/S53-1)</f>
        <v/>
      </c>
      <c r="U53" s="22">
        <f>IF(OR(B53="",'Weekly Input'!G53="",P53="",P53=0),"",'Weekly Input'!G53/P53)</f>
        <v/>
      </c>
      <c r="V53" s="18">
        <f>IF(B53="","",IF(NOT(I53),"Not Ready",IF(NOT(K53),"Not Ready",IF(N53&lt;MinHistory,"Not Ready",IF(NOT(J53),"Not Ready",IF(OR(Q53="",Q53=0),"Noise",IF(Q53&lt;LowBaseThreshold,"Noise",IF(AND(R53&lt;=-OwnDecline,T53&lt;=-PeerGapThreshold),"Markdown Review",IF(AND(R53&gt;=ReorderUplift,U53&lt;&gt;"",U53&lt;=WeeksSupplyCap),"Reorder Candidate","Monitor"))))))))</f>
        <v/>
      </c>
      <c r="W53" s="18">
        <f>IF(B53="","",IF(NOT(I53),"INVALID_MASTER",IF(NOT(K53),"INCOMPLETE_SHELF_CYCLE",IF(N53&lt;MinHistory,"INSUFFICIENT_HISTORY",IF(NOT(J53),"INSUFFICIENT_IN_STOCK",IF(OR(Q53="",Q53=0),"NO_PRIOR_BASE",IF(Q53&lt;LowBaseThreshold,"LOW_BASE_NOISE",IF(V53="Markdown Review","MARKDOWN_PEER_GAP",IF(V53="Reorder Candidate","REORDER_UPLIFT_COVER","NO_MATERIAL_CHANGE"))))))))</f>
        <v/>
      </c>
      <c r="X53" s="18">
        <f>IF(V53="Markdown Review","Markdown support",IF(V53="Reorder Candidate","Second reorder",IF(V53="Monitor","Monitor",IF(V53="Noise","Hold / collect data",IF(V53="Not Ready","Not ready","")))))</f>
        <v/>
      </c>
      <c r="Y53" s="18">
        <f>IF(OR(R53="",T53=""),"",ABS(R53)+ABS(T53))</f>
        <v/>
      </c>
      <c r="Z53" s="21">
        <f>IF(OR(B53="",NOT(O53),R53=""),"",IF(ABS(R53)&gt;=MaterialThreshold,"Yes","No"))</f>
        <v/>
      </c>
      <c r="AA53" s="18">
        <f>IF(Z53&lt;&gt;"Yes","",IF(ABS(R53)&gt;=MaterialThreshold,IF(ABS(R53)&gt;=BroadShare,"Broad SKU movement","Store-concentrated movement"),""))</f>
        <v/>
      </c>
      <c r="AB53" s="18">
        <f>IF(O53,IF(COUNTIFS($O$5:O53,TRUE)&gt;0,COUNTIFS($O$5:O53,TRUE),0),0)</f>
        <v/>
      </c>
      <c r="AC53" s="18">
        <f>IF(V53="Markdown Review",1,IF(V53="Reorder Candidate",2,IF(V53="Monitor",3,IF(V53="Noise",4,IF(V53="Not Ready",5,99)))))</f>
        <v/>
      </c>
      <c r="AD53" s="18">
        <f>IF(O53,COUNTIFS($O$5:$O$504,TRUE,$AC$5:$AC$504,"&lt;"&amp;AC53)+COUNTIFS($O$5:O53,TRUE,$AC$5:AC53,AC53,$Y$5:Y53,"&gt;"&amp;Y53),0)</f>
        <v/>
      </c>
    </row>
    <row r="54">
      <c r="A54" s="17">
        <f>IF(COUNTA('Weekly Input'!A54:C54)=0,"",'Weekly Input'!B54&amp;"|"&amp;'Weekly Input'!C54&amp;"|"&amp;TEXT('Weekly Input'!A54,"yyyy-mm-dd"))</f>
        <v/>
      </c>
      <c r="B54" s="18">
        <f>'Weekly Input'!B54</f>
        <v/>
      </c>
      <c r="C54" s="18">
        <f>'Weekly Input'!C54</f>
        <v/>
      </c>
      <c r="D54" s="18">
        <f>IF(B54="","",IFERROR(INDEX('Master Data'!$B$6:$B$145,MATCH(B54,'Master Data'!$A$6:$A$145,0)),""))</f>
        <v/>
      </c>
      <c r="E54" s="18">
        <f>IF(C54="","",IFERROR(INDEX('Master Data'!$H$6:$H$13,MATCH(C54,'Master Data'!$F$6:$F$13,0)),""))</f>
        <v/>
      </c>
      <c r="F54" s="19">
        <f>'Weekly Input'!A54</f>
        <v/>
      </c>
      <c r="G54" s="19">
        <f>IF(B54="","",IFERROR(INDEX('Master Data'!$D$6:$D$145,MATCH(B54,'Master Data'!$A$6:$A$145,0)),""))</f>
        <v/>
      </c>
      <c r="H54" s="18">
        <f>IF(OR(F54="",G54=""),"",F54-G54)</f>
        <v/>
      </c>
      <c r="I54" s="18">
        <f>IF(B54="","",IF('Weekly Input'!J54="OK",TRUE,FALSE))</f>
        <v/>
      </c>
      <c r="J54" s="18">
        <f>IF(B54="","",'Weekly Input'!H54&gt;=MinInStockDays)</f>
        <v/>
      </c>
      <c r="K54" s="18">
        <f>IF(B54="","",H54&gt;=FullCycleMin)</f>
        <v/>
      </c>
      <c r="L54" s="18">
        <f>IF(B54="","",AND(I54,J54,K54,N54&gt;=MinHistory))</f>
        <v/>
      </c>
      <c r="M54" s="20">
        <f>IF(OR(B54="",'Weekly Input'!H54=0),"",'Weekly Input'!D54/'Weekly Input'!H54*7)</f>
        <v/>
      </c>
      <c r="N54" s="18">
        <f>IF(B54="","",COUNTIFS($B$5:$B$504,B54,$C$5:$C$504,C54,$I$5:$I$504,TRUE,$J$5:$J$504,TRUE,$K$5:$K$504,TRUE))</f>
        <v/>
      </c>
      <c r="O54" s="18">
        <f>IF(B54="","",AND(F54=AsOfWeek,AsOfWeek&lt;&gt;""))</f>
        <v/>
      </c>
      <c r="P54" s="20">
        <f>IF(OR(B54="",AsOfWeek=""),"",IFERROR(SUMIFS($M$5:$M$504,$B$5:$B$504,B54,$C$5:$C$504,C54,$L$5:$L$504,TRUE,$F$5:$F$504,"&gt;="&amp;AsOfWeek-7*(RecentWeeks-1),$F$5:$F$504,"&lt;="&amp;AsOfWeek),""))</f>
        <v/>
      </c>
      <c r="Q54" s="20">
        <f>IF(OR(B54="",AsOfWeek=""),"",IFERROR(SUMIFS($M$5:$M$504,$B$5:$B$504,B54,$C$5:$C$504,C54,$L$5:$L$504,TRUE,$F$5:$F$504,"&gt;="&amp;AsOfWeek-7*(RecentWeeks+PriorWeeks-1),$F$5:$F$504,"&lt;"&amp;AsOfWeek-7*(RecentWeeks-1)),""))</f>
        <v/>
      </c>
      <c r="R54" s="21">
        <f>IF(OR(P54="",Q54="",Q54=0),"",P54/Q54-1)</f>
        <v/>
      </c>
      <c r="S54" s="20">
        <f>IF(OR(C54="",AsOfWeek=""),"",IFERROR(AVERAGEIFS($M$5:$M$504,$C$5:$C$504,C54,$L$5:$L$504,TRUE,$F$5:$F$504,"&gt;="&amp;AsOfWeek-7*(RecentWeeks-1),$F$5:$F$504,"&lt;="&amp;AsOfWeek),""))</f>
        <v/>
      </c>
      <c r="T54" s="21">
        <f>IF(OR(P54="",S54=""),"",P54/S54-1)</f>
        <v/>
      </c>
      <c r="U54" s="22">
        <f>IF(OR(B54="",'Weekly Input'!G54="",P54="",P54=0),"",'Weekly Input'!G54/P54)</f>
        <v/>
      </c>
      <c r="V54" s="18">
        <f>IF(B54="","",IF(NOT(I54),"Not Ready",IF(NOT(K54),"Not Ready",IF(N54&lt;MinHistory,"Not Ready",IF(NOT(J54),"Not Ready",IF(OR(Q54="",Q54=0),"Noise",IF(Q54&lt;LowBaseThreshold,"Noise",IF(AND(R54&lt;=-OwnDecline,T54&lt;=-PeerGapThreshold),"Markdown Review",IF(AND(R54&gt;=ReorderUplift,U54&lt;&gt;"",U54&lt;=WeeksSupplyCap),"Reorder Candidate","Monitor"))))))))</f>
        <v/>
      </c>
      <c r="W54" s="18">
        <f>IF(B54="","",IF(NOT(I54),"INVALID_MASTER",IF(NOT(K54),"INCOMPLETE_SHELF_CYCLE",IF(N54&lt;MinHistory,"INSUFFICIENT_HISTORY",IF(NOT(J54),"INSUFFICIENT_IN_STOCK",IF(OR(Q54="",Q54=0),"NO_PRIOR_BASE",IF(Q54&lt;LowBaseThreshold,"LOW_BASE_NOISE",IF(V54="Markdown Review","MARKDOWN_PEER_GAP",IF(V54="Reorder Candidate","REORDER_UPLIFT_COVER","NO_MATERIAL_CHANGE"))))))))</f>
        <v/>
      </c>
      <c r="X54" s="18">
        <f>IF(V54="Markdown Review","Markdown support",IF(V54="Reorder Candidate","Second reorder",IF(V54="Monitor","Monitor",IF(V54="Noise","Hold / collect data",IF(V54="Not Ready","Not ready","")))))</f>
        <v/>
      </c>
      <c r="Y54" s="18">
        <f>IF(OR(R54="",T54=""),"",ABS(R54)+ABS(T54))</f>
        <v/>
      </c>
      <c r="Z54" s="21">
        <f>IF(OR(B54="",NOT(O54),R54=""),"",IF(ABS(R54)&gt;=MaterialThreshold,"Yes","No"))</f>
        <v/>
      </c>
      <c r="AA54" s="18">
        <f>IF(Z54&lt;&gt;"Yes","",IF(ABS(R54)&gt;=MaterialThreshold,IF(ABS(R54)&gt;=BroadShare,"Broad SKU movement","Store-concentrated movement"),""))</f>
        <v/>
      </c>
      <c r="AB54" s="18">
        <f>IF(O54,IF(COUNTIFS($O$5:O54,TRUE)&gt;0,COUNTIFS($O$5:O54,TRUE),0),0)</f>
        <v/>
      </c>
      <c r="AC54" s="18">
        <f>IF(V54="Markdown Review",1,IF(V54="Reorder Candidate",2,IF(V54="Monitor",3,IF(V54="Noise",4,IF(V54="Not Ready",5,99)))))</f>
        <v/>
      </c>
      <c r="AD54" s="18">
        <f>IF(O54,COUNTIFS($O$5:$O$504,TRUE,$AC$5:$AC$504,"&lt;"&amp;AC54)+COUNTIFS($O$5:O54,TRUE,$AC$5:AC54,AC54,$Y$5:Y54,"&gt;"&amp;Y54),0)</f>
        <v/>
      </c>
    </row>
    <row r="55">
      <c r="A55" s="17">
        <f>IF(COUNTA('Weekly Input'!A55:C55)=0,"",'Weekly Input'!B55&amp;"|"&amp;'Weekly Input'!C55&amp;"|"&amp;TEXT('Weekly Input'!A55,"yyyy-mm-dd"))</f>
        <v/>
      </c>
      <c r="B55" s="18">
        <f>'Weekly Input'!B55</f>
        <v/>
      </c>
      <c r="C55" s="18">
        <f>'Weekly Input'!C55</f>
        <v/>
      </c>
      <c r="D55" s="18">
        <f>IF(B55="","",IFERROR(INDEX('Master Data'!$B$6:$B$145,MATCH(B55,'Master Data'!$A$6:$A$145,0)),""))</f>
        <v/>
      </c>
      <c r="E55" s="18">
        <f>IF(C55="","",IFERROR(INDEX('Master Data'!$H$6:$H$13,MATCH(C55,'Master Data'!$F$6:$F$13,0)),""))</f>
        <v/>
      </c>
      <c r="F55" s="19">
        <f>'Weekly Input'!A55</f>
        <v/>
      </c>
      <c r="G55" s="19">
        <f>IF(B55="","",IFERROR(INDEX('Master Data'!$D$6:$D$145,MATCH(B55,'Master Data'!$A$6:$A$145,0)),""))</f>
        <v/>
      </c>
      <c r="H55" s="18">
        <f>IF(OR(F55="",G55=""),"",F55-G55)</f>
        <v/>
      </c>
      <c r="I55" s="18">
        <f>IF(B55="","",IF('Weekly Input'!J55="OK",TRUE,FALSE))</f>
        <v/>
      </c>
      <c r="J55" s="18">
        <f>IF(B55="","",'Weekly Input'!H55&gt;=MinInStockDays)</f>
        <v/>
      </c>
      <c r="K55" s="18">
        <f>IF(B55="","",H55&gt;=FullCycleMin)</f>
        <v/>
      </c>
      <c r="L55" s="18">
        <f>IF(B55="","",AND(I55,J55,K55,N55&gt;=MinHistory))</f>
        <v/>
      </c>
      <c r="M55" s="20">
        <f>IF(OR(B55="",'Weekly Input'!H55=0),"",'Weekly Input'!D55/'Weekly Input'!H55*7)</f>
        <v/>
      </c>
      <c r="N55" s="18">
        <f>IF(B55="","",COUNTIFS($B$5:$B$504,B55,$C$5:$C$504,C55,$I$5:$I$504,TRUE,$J$5:$J$504,TRUE,$K$5:$K$504,TRUE))</f>
        <v/>
      </c>
      <c r="O55" s="18">
        <f>IF(B55="","",AND(F55=AsOfWeek,AsOfWeek&lt;&gt;""))</f>
        <v/>
      </c>
      <c r="P55" s="20">
        <f>IF(OR(B55="",AsOfWeek=""),"",IFERROR(SUMIFS($M$5:$M$504,$B$5:$B$504,B55,$C$5:$C$504,C55,$L$5:$L$504,TRUE,$F$5:$F$504,"&gt;="&amp;AsOfWeek-7*(RecentWeeks-1),$F$5:$F$504,"&lt;="&amp;AsOfWeek),""))</f>
        <v/>
      </c>
      <c r="Q55" s="20">
        <f>IF(OR(B55="",AsOfWeek=""),"",IFERROR(SUMIFS($M$5:$M$504,$B$5:$B$504,B55,$C$5:$C$504,C55,$L$5:$L$504,TRUE,$F$5:$F$504,"&gt;="&amp;AsOfWeek-7*(RecentWeeks+PriorWeeks-1),$F$5:$F$504,"&lt;"&amp;AsOfWeek-7*(RecentWeeks-1)),""))</f>
        <v/>
      </c>
      <c r="R55" s="21">
        <f>IF(OR(P55="",Q55="",Q55=0),"",P55/Q55-1)</f>
        <v/>
      </c>
      <c r="S55" s="20">
        <f>IF(OR(C55="",AsOfWeek=""),"",IFERROR(AVERAGEIFS($M$5:$M$504,$C$5:$C$504,C55,$L$5:$L$504,TRUE,$F$5:$F$504,"&gt;="&amp;AsOfWeek-7*(RecentWeeks-1),$F$5:$F$504,"&lt;="&amp;AsOfWeek),""))</f>
        <v/>
      </c>
      <c r="T55" s="21">
        <f>IF(OR(P55="",S55=""),"",P55/S55-1)</f>
        <v/>
      </c>
      <c r="U55" s="22">
        <f>IF(OR(B55="",'Weekly Input'!G55="",P55="",P55=0),"",'Weekly Input'!G55/P55)</f>
        <v/>
      </c>
      <c r="V55" s="18">
        <f>IF(B55="","",IF(NOT(I55),"Not Ready",IF(NOT(K55),"Not Ready",IF(N55&lt;MinHistory,"Not Ready",IF(NOT(J55),"Not Ready",IF(OR(Q55="",Q55=0),"Noise",IF(Q55&lt;LowBaseThreshold,"Noise",IF(AND(R55&lt;=-OwnDecline,T55&lt;=-PeerGapThreshold),"Markdown Review",IF(AND(R55&gt;=ReorderUplift,U55&lt;&gt;"",U55&lt;=WeeksSupplyCap),"Reorder Candidate","Monitor"))))))))</f>
        <v/>
      </c>
      <c r="W55" s="18">
        <f>IF(B55="","",IF(NOT(I55),"INVALID_MASTER",IF(NOT(K55),"INCOMPLETE_SHELF_CYCLE",IF(N55&lt;MinHistory,"INSUFFICIENT_HISTORY",IF(NOT(J55),"INSUFFICIENT_IN_STOCK",IF(OR(Q55="",Q55=0),"NO_PRIOR_BASE",IF(Q55&lt;LowBaseThreshold,"LOW_BASE_NOISE",IF(V55="Markdown Review","MARKDOWN_PEER_GAP",IF(V55="Reorder Candidate","REORDER_UPLIFT_COVER","NO_MATERIAL_CHANGE"))))))))</f>
        <v/>
      </c>
      <c r="X55" s="18">
        <f>IF(V55="Markdown Review","Markdown support",IF(V55="Reorder Candidate","Second reorder",IF(V55="Monitor","Monitor",IF(V55="Noise","Hold / collect data",IF(V55="Not Ready","Not ready","")))))</f>
        <v/>
      </c>
      <c r="Y55" s="18">
        <f>IF(OR(R55="",T55=""),"",ABS(R55)+ABS(T55))</f>
        <v/>
      </c>
      <c r="Z55" s="21">
        <f>IF(OR(B55="",NOT(O55),R55=""),"",IF(ABS(R55)&gt;=MaterialThreshold,"Yes","No"))</f>
        <v/>
      </c>
      <c r="AA55" s="18">
        <f>IF(Z55&lt;&gt;"Yes","",IF(ABS(R55)&gt;=MaterialThreshold,IF(ABS(R55)&gt;=BroadShare,"Broad SKU movement","Store-concentrated movement"),""))</f>
        <v/>
      </c>
      <c r="AB55" s="18">
        <f>IF(O55,IF(COUNTIFS($O$5:O55,TRUE)&gt;0,COUNTIFS($O$5:O55,TRUE),0),0)</f>
        <v/>
      </c>
      <c r="AC55" s="18">
        <f>IF(V55="Markdown Review",1,IF(V55="Reorder Candidate",2,IF(V55="Monitor",3,IF(V55="Noise",4,IF(V55="Not Ready",5,99)))))</f>
        <v/>
      </c>
      <c r="AD55" s="18">
        <f>IF(O55,COUNTIFS($O$5:$O$504,TRUE,$AC$5:$AC$504,"&lt;"&amp;AC55)+COUNTIFS($O$5:O55,TRUE,$AC$5:AC55,AC55,$Y$5:Y55,"&gt;"&amp;Y55),0)</f>
        <v/>
      </c>
    </row>
    <row r="56">
      <c r="A56" s="17">
        <f>IF(COUNTA('Weekly Input'!A56:C56)=0,"",'Weekly Input'!B56&amp;"|"&amp;'Weekly Input'!C56&amp;"|"&amp;TEXT('Weekly Input'!A56,"yyyy-mm-dd"))</f>
        <v/>
      </c>
      <c r="B56" s="18">
        <f>'Weekly Input'!B56</f>
        <v/>
      </c>
      <c r="C56" s="18">
        <f>'Weekly Input'!C56</f>
        <v/>
      </c>
      <c r="D56" s="18">
        <f>IF(B56="","",IFERROR(INDEX('Master Data'!$B$6:$B$145,MATCH(B56,'Master Data'!$A$6:$A$145,0)),""))</f>
        <v/>
      </c>
      <c r="E56" s="18">
        <f>IF(C56="","",IFERROR(INDEX('Master Data'!$H$6:$H$13,MATCH(C56,'Master Data'!$F$6:$F$13,0)),""))</f>
        <v/>
      </c>
      <c r="F56" s="19">
        <f>'Weekly Input'!A56</f>
        <v/>
      </c>
      <c r="G56" s="19">
        <f>IF(B56="","",IFERROR(INDEX('Master Data'!$D$6:$D$145,MATCH(B56,'Master Data'!$A$6:$A$145,0)),""))</f>
        <v/>
      </c>
      <c r="H56" s="18">
        <f>IF(OR(F56="",G56=""),"",F56-G56)</f>
        <v/>
      </c>
      <c r="I56" s="18">
        <f>IF(B56="","",IF('Weekly Input'!J56="OK",TRUE,FALSE))</f>
        <v/>
      </c>
      <c r="J56" s="18">
        <f>IF(B56="","",'Weekly Input'!H56&gt;=MinInStockDays)</f>
        <v/>
      </c>
      <c r="K56" s="18">
        <f>IF(B56="","",H56&gt;=FullCycleMin)</f>
        <v/>
      </c>
      <c r="L56" s="18">
        <f>IF(B56="","",AND(I56,J56,K56,N56&gt;=MinHistory))</f>
        <v/>
      </c>
      <c r="M56" s="20">
        <f>IF(OR(B56="",'Weekly Input'!H56=0),"",'Weekly Input'!D56/'Weekly Input'!H56*7)</f>
        <v/>
      </c>
      <c r="N56" s="18">
        <f>IF(B56="","",COUNTIFS($B$5:$B$504,B56,$C$5:$C$504,C56,$I$5:$I$504,TRUE,$J$5:$J$504,TRUE,$K$5:$K$504,TRUE))</f>
        <v/>
      </c>
      <c r="O56" s="18">
        <f>IF(B56="","",AND(F56=AsOfWeek,AsOfWeek&lt;&gt;""))</f>
        <v/>
      </c>
      <c r="P56" s="20">
        <f>IF(OR(B56="",AsOfWeek=""),"",IFERROR(SUMIFS($M$5:$M$504,$B$5:$B$504,B56,$C$5:$C$504,C56,$L$5:$L$504,TRUE,$F$5:$F$504,"&gt;="&amp;AsOfWeek-7*(RecentWeeks-1),$F$5:$F$504,"&lt;="&amp;AsOfWeek),""))</f>
        <v/>
      </c>
      <c r="Q56" s="20">
        <f>IF(OR(B56="",AsOfWeek=""),"",IFERROR(SUMIFS($M$5:$M$504,$B$5:$B$504,B56,$C$5:$C$504,C56,$L$5:$L$504,TRUE,$F$5:$F$504,"&gt;="&amp;AsOfWeek-7*(RecentWeeks+PriorWeeks-1),$F$5:$F$504,"&lt;"&amp;AsOfWeek-7*(RecentWeeks-1)),""))</f>
        <v/>
      </c>
      <c r="R56" s="21">
        <f>IF(OR(P56="",Q56="",Q56=0),"",P56/Q56-1)</f>
        <v/>
      </c>
      <c r="S56" s="20">
        <f>IF(OR(C56="",AsOfWeek=""),"",IFERROR(AVERAGEIFS($M$5:$M$504,$C$5:$C$504,C56,$L$5:$L$504,TRUE,$F$5:$F$504,"&gt;="&amp;AsOfWeek-7*(RecentWeeks-1),$F$5:$F$504,"&lt;="&amp;AsOfWeek),""))</f>
        <v/>
      </c>
      <c r="T56" s="21">
        <f>IF(OR(P56="",S56=""),"",P56/S56-1)</f>
        <v/>
      </c>
      <c r="U56" s="22">
        <f>IF(OR(B56="",'Weekly Input'!G56="",P56="",P56=0),"",'Weekly Input'!G56/P56)</f>
        <v/>
      </c>
      <c r="V56" s="18">
        <f>IF(B56="","",IF(NOT(I56),"Not Ready",IF(NOT(K56),"Not Ready",IF(N56&lt;MinHistory,"Not Ready",IF(NOT(J56),"Not Ready",IF(OR(Q56="",Q56=0),"Noise",IF(Q56&lt;LowBaseThreshold,"Noise",IF(AND(R56&lt;=-OwnDecline,T56&lt;=-PeerGapThreshold),"Markdown Review",IF(AND(R56&gt;=ReorderUplift,U56&lt;&gt;"",U56&lt;=WeeksSupplyCap),"Reorder Candidate","Monitor"))))))))</f>
        <v/>
      </c>
      <c r="W56" s="18">
        <f>IF(B56="","",IF(NOT(I56),"INVALID_MASTER",IF(NOT(K56),"INCOMPLETE_SHELF_CYCLE",IF(N56&lt;MinHistory,"INSUFFICIENT_HISTORY",IF(NOT(J56),"INSUFFICIENT_IN_STOCK",IF(OR(Q56="",Q56=0),"NO_PRIOR_BASE",IF(Q56&lt;LowBaseThreshold,"LOW_BASE_NOISE",IF(V56="Markdown Review","MARKDOWN_PEER_GAP",IF(V56="Reorder Candidate","REORDER_UPLIFT_COVER","NO_MATERIAL_CHANGE"))))))))</f>
        <v/>
      </c>
      <c r="X56" s="18">
        <f>IF(V56="Markdown Review","Markdown support",IF(V56="Reorder Candidate","Second reorder",IF(V56="Monitor","Monitor",IF(V56="Noise","Hold / collect data",IF(V56="Not Ready","Not ready","")))))</f>
        <v/>
      </c>
      <c r="Y56" s="18">
        <f>IF(OR(R56="",T56=""),"",ABS(R56)+ABS(T56))</f>
        <v/>
      </c>
      <c r="Z56" s="21">
        <f>IF(OR(B56="",NOT(O56),R56=""),"",IF(ABS(R56)&gt;=MaterialThreshold,"Yes","No"))</f>
        <v/>
      </c>
      <c r="AA56" s="18">
        <f>IF(Z56&lt;&gt;"Yes","",IF(ABS(R56)&gt;=MaterialThreshold,IF(ABS(R56)&gt;=BroadShare,"Broad SKU movement","Store-concentrated movement"),""))</f>
        <v/>
      </c>
      <c r="AB56" s="18">
        <f>IF(O56,IF(COUNTIFS($O$5:O56,TRUE)&gt;0,COUNTIFS($O$5:O56,TRUE),0),0)</f>
        <v/>
      </c>
      <c r="AC56" s="18">
        <f>IF(V56="Markdown Review",1,IF(V56="Reorder Candidate",2,IF(V56="Monitor",3,IF(V56="Noise",4,IF(V56="Not Ready",5,99)))))</f>
        <v/>
      </c>
      <c r="AD56" s="18">
        <f>IF(O56,COUNTIFS($O$5:$O$504,TRUE,$AC$5:$AC$504,"&lt;"&amp;AC56)+COUNTIFS($O$5:O56,TRUE,$AC$5:AC56,AC56,$Y$5:Y56,"&gt;"&amp;Y56),0)</f>
        <v/>
      </c>
    </row>
    <row r="57">
      <c r="A57" s="17">
        <f>IF(COUNTA('Weekly Input'!A57:C57)=0,"",'Weekly Input'!B57&amp;"|"&amp;'Weekly Input'!C57&amp;"|"&amp;TEXT('Weekly Input'!A57,"yyyy-mm-dd"))</f>
        <v/>
      </c>
      <c r="B57" s="18">
        <f>'Weekly Input'!B57</f>
        <v/>
      </c>
      <c r="C57" s="18">
        <f>'Weekly Input'!C57</f>
        <v/>
      </c>
      <c r="D57" s="18">
        <f>IF(B57="","",IFERROR(INDEX('Master Data'!$B$6:$B$145,MATCH(B57,'Master Data'!$A$6:$A$145,0)),""))</f>
        <v/>
      </c>
      <c r="E57" s="18">
        <f>IF(C57="","",IFERROR(INDEX('Master Data'!$H$6:$H$13,MATCH(C57,'Master Data'!$F$6:$F$13,0)),""))</f>
        <v/>
      </c>
      <c r="F57" s="19">
        <f>'Weekly Input'!A57</f>
        <v/>
      </c>
      <c r="G57" s="19">
        <f>IF(B57="","",IFERROR(INDEX('Master Data'!$D$6:$D$145,MATCH(B57,'Master Data'!$A$6:$A$145,0)),""))</f>
        <v/>
      </c>
      <c r="H57" s="18">
        <f>IF(OR(F57="",G57=""),"",F57-G57)</f>
        <v/>
      </c>
      <c r="I57" s="18">
        <f>IF(B57="","",IF('Weekly Input'!J57="OK",TRUE,FALSE))</f>
        <v/>
      </c>
      <c r="J57" s="18">
        <f>IF(B57="","",'Weekly Input'!H57&gt;=MinInStockDays)</f>
        <v/>
      </c>
      <c r="K57" s="18">
        <f>IF(B57="","",H57&gt;=FullCycleMin)</f>
        <v/>
      </c>
      <c r="L57" s="18">
        <f>IF(B57="","",AND(I57,J57,K57,N57&gt;=MinHistory))</f>
        <v/>
      </c>
      <c r="M57" s="20">
        <f>IF(OR(B57="",'Weekly Input'!H57=0),"",'Weekly Input'!D57/'Weekly Input'!H57*7)</f>
        <v/>
      </c>
      <c r="N57" s="18">
        <f>IF(B57="","",COUNTIFS($B$5:$B$504,B57,$C$5:$C$504,C57,$I$5:$I$504,TRUE,$J$5:$J$504,TRUE,$K$5:$K$504,TRUE))</f>
        <v/>
      </c>
      <c r="O57" s="18">
        <f>IF(B57="","",AND(F57=AsOfWeek,AsOfWeek&lt;&gt;""))</f>
        <v/>
      </c>
      <c r="P57" s="20">
        <f>IF(OR(B57="",AsOfWeek=""),"",IFERROR(SUMIFS($M$5:$M$504,$B$5:$B$504,B57,$C$5:$C$504,C57,$L$5:$L$504,TRUE,$F$5:$F$504,"&gt;="&amp;AsOfWeek-7*(RecentWeeks-1),$F$5:$F$504,"&lt;="&amp;AsOfWeek),""))</f>
        <v/>
      </c>
      <c r="Q57" s="20">
        <f>IF(OR(B57="",AsOfWeek=""),"",IFERROR(SUMIFS($M$5:$M$504,$B$5:$B$504,B57,$C$5:$C$504,C57,$L$5:$L$504,TRUE,$F$5:$F$504,"&gt;="&amp;AsOfWeek-7*(RecentWeeks+PriorWeeks-1),$F$5:$F$504,"&lt;"&amp;AsOfWeek-7*(RecentWeeks-1)),""))</f>
        <v/>
      </c>
      <c r="R57" s="21">
        <f>IF(OR(P57="",Q57="",Q57=0),"",P57/Q57-1)</f>
        <v/>
      </c>
      <c r="S57" s="20">
        <f>IF(OR(C57="",AsOfWeek=""),"",IFERROR(AVERAGEIFS($M$5:$M$504,$C$5:$C$504,C57,$L$5:$L$504,TRUE,$F$5:$F$504,"&gt;="&amp;AsOfWeek-7*(RecentWeeks-1),$F$5:$F$504,"&lt;="&amp;AsOfWeek),""))</f>
        <v/>
      </c>
      <c r="T57" s="21">
        <f>IF(OR(P57="",S57=""),"",P57/S57-1)</f>
        <v/>
      </c>
      <c r="U57" s="22">
        <f>IF(OR(B57="",'Weekly Input'!G57="",P57="",P57=0),"",'Weekly Input'!G57/P57)</f>
        <v/>
      </c>
      <c r="V57" s="18">
        <f>IF(B57="","",IF(NOT(I57),"Not Ready",IF(NOT(K57),"Not Ready",IF(N57&lt;MinHistory,"Not Ready",IF(NOT(J57),"Not Ready",IF(OR(Q57="",Q57=0),"Noise",IF(Q57&lt;LowBaseThreshold,"Noise",IF(AND(R57&lt;=-OwnDecline,T57&lt;=-PeerGapThreshold),"Markdown Review",IF(AND(R57&gt;=ReorderUplift,U57&lt;&gt;"",U57&lt;=WeeksSupplyCap),"Reorder Candidate","Monitor"))))))))</f>
        <v/>
      </c>
      <c r="W57" s="18">
        <f>IF(B57="","",IF(NOT(I57),"INVALID_MASTER",IF(NOT(K57),"INCOMPLETE_SHELF_CYCLE",IF(N57&lt;MinHistory,"INSUFFICIENT_HISTORY",IF(NOT(J57),"INSUFFICIENT_IN_STOCK",IF(OR(Q57="",Q57=0),"NO_PRIOR_BASE",IF(Q57&lt;LowBaseThreshold,"LOW_BASE_NOISE",IF(V57="Markdown Review","MARKDOWN_PEER_GAP",IF(V57="Reorder Candidate","REORDER_UPLIFT_COVER","NO_MATERIAL_CHANGE"))))))))</f>
        <v/>
      </c>
      <c r="X57" s="18">
        <f>IF(V57="Markdown Review","Markdown support",IF(V57="Reorder Candidate","Second reorder",IF(V57="Monitor","Monitor",IF(V57="Noise","Hold / collect data",IF(V57="Not Ready","Not ready","")))))</f>
        <v/>
      </c>
      <c r="Y57" s="18">
        <f>IF(OR(R57="",T57=""),"",ABS(R57)+ABS(T57))</f>
        <v/>
      </c>
      <c r="Z57" s="21">
        <f>IF(OR(B57="",NOT(O57),R57=""),"",IF(ABS(R57)&gt;=MaterialThreshold,"Yes","No"))</f>
        <v/>
      </c>
      <c r="AA57" s="18">
        <f>IF(Z57&lt;&gt;"Yes","",IF(ABS(R57)&gt;=MaterialThreshold,IF(ABS(R57)&gt;=BroadShare,"Broad SKU movement","Store-concentrated movement"),""))</f>
        <v/>
      </c>
      <c r="AB57" s="18">
        <f>IF(O57,IF(COUNTIFS($O$5:O57,TRUE)&gt;0,COUNTIFS($O$5:O57,TRUE),0),0)</f>
        <v/>
      </c>
      <c r="AC57" s="18">
        <f>IF(V57="Markdown Review",1,IF(V57="Reorder Candidate",2,IF(V57="Monitor",3,IF(V57="Noise",4,IF(V57="Not Ready",5,99)))))</f>
        <v/>
      </c>
      <c r="AD57" s="18">
        <f>IF(O57,COUNTIFS($O$5:$O$504,TRUE,$AC$5:$AC$504,"&lt;"&amp;AC57)+COUNTIFS($O$5:O57,TRUE,$AC$5:AC57,AC57,$Y$5:Y57,"&gt;"&amp;Y57),0)</f>
        <v/>
      </c>
    </row>
    <row r="58">
      <c r="A58" s="17">
        <f>IF(COUNTA('Weekly Input'!A58:C58)=0,"",'Weekly Input'!B58&amp;"|"&amp;'Weekly Input'!C58&amp;"|"&amp;TEXT('Weekly Input'!A58,"yyyy-mm-dd"))</f>
        <v/>
      </c>
      <c r="B58" s="18">
        <f>'Weekly Input'!B58</f>
        <v/>
      </c>
      <c r="C58" s="18">
        <f>'Weekly Input'!C58</f>
        <v/>
      </c>
      <c r="D58" s="18">
        <f>IF(B58="","",IFERROR(INDEX('Master Data'!$B$6:$B$145,MATCH(B58,'Master Data'!$A$6:$A$145,0)),""))</f>
        <v/>
      </c>
      <c r="E58" s="18">
        <f>IF(C58="","",IFERROR(INDEX('Master Data'!$H$6:$H$13,MATCH(C58,'Master Data'!$F$6:$F$13,0)),""))</f>
        <v/>
      </c>
      <c r="F58" s="19">
        <f>'Weekly Input'!A58</f>
        <v/>
      </c>
      <c r="G58" s="19">
        <f>IF(B58="","",IFERROR(INDEX('Master Data'!$D$6:$D$145,MATCH(B58,'Master Data'!$A$6:$A$145,0)),""))</f>
        <v/>
      </c>
      <c r="H58" s="18">
        <f>IF(OR(F58="",G58=""),"",F58-G58)</f>
        <v/>
      </c>
      <c r="I58" s="18">
        <f>IF(B58="","",IF('Weekly Input'!J58="OK",TRUE,FALSE))</f>
        <v/>
      </c>
      <c r="J58" s="18">
        <f>IF(B58="","",'Weekly Input'!H58&gt;=MinInStockDays)</f>
        <v/>
      </c>
      <c r="K58" s="18">
        <f>IF(B58="","",H58&gt;=FullCycleMin)</f>
        <v/>
      </c>
      <c r="L58" s="18">
        <f>IF(B58="","",AND(I58,J58,K58,N58&gt;=MinHistory))</f>
        <v/>
      </c>
      <c r="M58" s="20">
        <f>IF(OR(B58="",'Weekly Input'!H58=0),"",'Weekly Input'!D58/'Weekly Input'!H58*7)</f>
        <v/>
      </c>
      <c r="N58" s="18">
        <f>IF(B58="","",COUNTIFS($B$5:$B$504,B58,$C$5:$C$504,C58,$I$5:$I$504,TRUE,$J$5:$J$504,TRUE,$K$5:$K$504,TRUE))</f>
        <v/>
      </c>
      <c r="O58" s="18">
        <f>IF(B58="","",AND(F58=AsOfWeek,AsOfWeek&lt;&gt;""))</f>
        <v/>
      </c>
      <c r="P58" s="20">
        <f>IF(OR(B58="",AsOfWeek=""),"",IFERROR(SUMIFS($M$5:$M$504,$B$5:$B$504,B58,$C$5:$C$504,C58,$L$5:$L$504,TRUE,$F$5:$F$504,"&gt;="&amp;AsOfWeek-7*(RecentWeeks-1),$F$5:$F$504,"&lt;="&amp;AsOfWeek),""))</f>
        <v/>
      </c>
      <c r="Q58" s="20">
        <f>IF(OR(B58="",AsOfWeek=""),"",IFERROR(SUMIFS($M$5:$M$504,$B$5:$B$504,B58,$C$5:$C$504,C58,$L$5:$L$504,TRUE,$F$5:$F$504,"&gt;="&amp;AsOfWeek-7*(RecentWeeks+PriorWeeks-1),$F$5:$F$504,"&lt;"&amp;AsOfWeek-7*(RecentWeeks-1)),""))</f>
        <v/>
      </c>
      <c r="R58" s="21">
        <f>IF(OR(P58="",Q58="",Q58=0),"",P58/Q58-1)</f>
        <v/>
      </c>
      <c r="S58" s="20">
        <f>IF(OR(C58="",AsOfWeek=""),"",IFERROR(AVERAGEIFS($M$5:$M$504,$C$5:$C$504,C58,$L$5:$L$504,TRUE,$F$5:$F$504,"&gt;="&amp;AsOfWeek-7*(RecentWeeks-1),$F$5:$F$504,"&lt;="&amp;AsOfWeek),""))</f>
        <v/>
      </c>
      <c r="T58" s="21">
        <f>IF(OR(P58="",S58=""),"",P58/S58-1)</f>
        <v/>
      </c>
      <c r="U58" s="22">
        <f>IF(OR(B58="",'Weekly Input'!G58="",P58="",P58=0),"",'Weekly Input'!G58/P58)</f>
        <v/>
      </c>
      <c r="V58" s="18">
        <f>IF(B58="","",IF(NOT(I58),"Not Ready",IF(NOT(K58),"Not Ready",IF(N58&lt;MinHistory,"Not Ready",IF(NOT(J58),"Not Ready",IF(OR(Q58="",Q58=0),"Noise",IF(Q58&lt;LowBaseThreshold,"Noise",IF(AND(R58&lt;=-OwnDecline,T58&lt;=-PeerGapThreshold),"Markdown Review",IF(AND(R58&gt;=ReorderUplift,U58&lt;&gt;"",U58&lt;=WeeksSupplyCap),"Reorder Candidate","Monitor"))))))))</f>
        <v/>
      </c>
      <c r="W58" s="18">
        <f>IF(B58="","",IF(NOT(I58),"INVALID_MASTER",IF(NOT(K58),"INCOMPLETE_SHELF_CYCLE",IF(N58&lt;MinHistory,"INSUFFICIENT_HISTORY",IF(NOT(J58),"INSUFFICIENT_IN_STOCK",IF(OR(Q58="",Q58=0),"NO_PRIOR_BASE",IF(Q58&lt;LowBaseThreshold,"LOW_BASE_NOISE",IF(V58="Markdown Review","MARKDOWN_PEER_GAP",IF(V58="Reorder Candidate","REORDER_UPLIFT_COVER","NO_MATERIAL_CHANGE"))))))))</f>
        <v/>
      </c>
      <c r="X58" s="18">
        <f>IF(V58="Markdown Review","Markdown support",IF(V58="Reorder Candidate","Second reorder",IF(V58="Monitor","Monitor",IF(V58="Noise","Hold / collect data",IF(V58="Not Ready","Not ready","")))))</f>
        <v/>
      </c>
      <c r="Y58" s="18">
        <f>IF(OR(R58="",T58=""),"",ABS(R58)+ABS(T58))</f>
        <v/>
      </c>
      <c r="Z58" s="21">
        <f>IF(OR(B58="",NOT(O58),R58=""),"",IF(ABS(R58)&gt;=MaterialThreshold,"Yes","No"))</f>
        <v/>
      </c>
      <c r="AA58" s="18">
        <f>IF(Z58&lt;&gt;"Yes","",IF(ABS(R58)&gt;=MaterialThreshold,IF(ABS(R58)&gt;=BroadShare,"Broad SKU movement","Store-concentrated movement"),""))</f>
        <v/>
      </c>
      <c r="AB58" s="18">
        <f>IF(O58,IF(COUNTIFS($O$5:O58,TRUE)&gt;0,COUNTIFS($O$5:O58,TRUE),0),0)</f>
        <v/>
      </c>
      <c r="AC58" s="18">
        <f>IF(V58="Markdown Review",1,IF(V58="Reorder Candidate",2,IF(V58="Monitor",3,IF(V58="Noise",4,IF(V58="Not Ready",5,99)))))</f>
        <v/>
      </c>
      <c r="AD58" s="18">
        <f>IF(O58,COUNTIFS($O$5:$O$504,TRUE,$AC$5:$AC$504,"&lt;"&amp;AC58)+COUNTIFS($O$5:O58,TRUE,$AC$5:AC58,AC58,$Y$5:Y58,"&gt;"&amp;Y58),0)</f>
        <v/>
      </c>
    </row>
    <row r="59">
      <c r="A59" s="17">
        <f>IF(COUNTA('Weekly Input'!A59:C59)=0,"",'Weekly Input'!B59&amp;"|"&amp;'Weekly Input'!C59&amp;"|"&amp;TEXT('Weekly Input'!A59,"yyyy-mm-dd"))</f>
        <v/>
      </c>
      <c r="B59" s="18">
        <f>'Weekly Input'!B59</f>
        <v/>
      </c>
      <c r="C59" s="18">
        <f>'Weekly Input'!C59</f>
        <v/>
      </c>
      <c r="D59" s="18">
        <f>IF(B59="","",IFERROR(INDEX('Master Data'!$B$6:$B$145,MATCH(B59,'Master Data'!$A$6:$A$145,0)),""))</f>
        <v/>
      </c>
      <c r="E59" s="18">
        <f>IF(C59="","",IFERROR(INDEX('Master Data'!$H$6:$H$13,MATCH(C59,'Master Data'!$F$6:$F$13,0)),""))</f>
        <v/>
      </c>
      <c r="F59" s="19">
        <f>'Weekly Input'!A59</f>
        <v/>
      </c>
      <c r="G59" s="19">
        <f>IF(B59="","",IFERROR(INDEX('Master Data'!$D$6:$D$145,MATCH(B59,'Master Data'!$A$6:$A$145,0)),""))</f>
        <v/>
      </c>
      <c r="H59" s="18">
        <f>IF(OR(F59="",G59=""),"",F59-G59)</f>
        <v/>
      </c>
      <c r="I59" s="18">
        <f>IF(B59="","",IF('Weekly Input'!J59="OK",TRUE,FALSE))</f>
        <v/>
      </c>
      <c r="J59" s="18">
        <f>IF(B59="","",'Weekly Input'!H59&gt;=MinInStockDays)</f>
        <v/>
      </c>
      <c r="K59" s="18">
        <f>IF(B59="","",H59&gt;=FullCycleMin)</f>
        <v/>
      </c>
      <c r="L59" s="18">
        <f>IF(B59="","",AND(I59,J59,K59,N59&gt;=MinHistory))</f>
        <v/>
      </c>
      <c r="M59" s="20">
        <f>IF(OR(B59="",'Weekly Input'!H59=0),"",'Weekly Input'!D59/'Weekly Input'!H59*7)</f>
        <v/>
      </c>
      <c r="N59" s="18">
        <f>IF(B59="","",COUNTIFS($B$5:$B$504,B59,$C$5:$C$504,C59,$I$5:$I$504,TRUE,$J$5:$J$504,TRUE,$K$5:$K$504,TRUE))</f>
        <v/>
      </c>
      <c r="O59" s="18">
        <f>IF(B59="","",AND(F59=AsOfWeek,AsOfWeek&lt;&gt;""))</f>
        <v/>
      </c>
      <c r="P59" s="20">
        <f>IF(OR(B59="",AsOfWeek=""),"",IFERROR(SUMIFS($M$5:$M$504,$B$5:$B$504,B59,$C$5:$C$504,C59,$L$5:$L$504,TRUE,$F$5:$F$504,"&gt;="&amp;AsOfWeek-7*(RecentWeeks-1),$F$5:$F$504,"&lt;="&amp;AsOfWeek),""))</f>
        <v/>
      </c>
      <c r="Q59" s="20">
        <f>IF(OR(B59="",AsOfWeek=""),"",IFERROR(SUMIFS($M$5:$M$504,$B$5:$B$504,B59,$C$5:$C$504,C59,$L$5:$L$504,TRUE,$F$5:$F$504,"&gt;="&amp;AsOfWeek-7*(RecentWeeks+PriorWeeks-1),$F$5:$F$504,"&lt;"&amp;AsOfWeek-7*(RecentWeeks-1)),""))</f>
        <v/>
      </c>
      <c r="R59" s="21">
        <f>IF(OR(P59="",Q59="",Q59=0),"",P59/Q59-1)</f>
        <v/>
      </c>
      <c r="S59" s="20">
        <f>IF(OR(C59="",AsOfWeek=""),"",IFERROR(AVERAGEIFS($M$5:$M$504,$C$5:$C$504,C59,$L$5:$L$504,TRUE,$F$5:$F$504,"&gt;="&amp;AsOfWeek-7*(RecentWeeks-1),$F$5:$F$504,"&lt;="&amp;AsOfWeek),""))</f>
        <v/>
      </c>
      <c r="T59" s="21">
        <f>IF(OR(P59="",S59=""),"",P59/S59-1)</f>
        <v/>
      </c>
      <c r="U59" s="22">
        <f>IF(OR(B59="",'Weekly Input'!G59="",P59="",P59=0),"",'Weekly Input'!G59/P59)</f>
        <v/>
      </c>
      <c r="V59" s="18">
        <f>IF(B59="","",IF(NOT(I59),"Not Ready",IF(NOT(K59),"Not Ready",IF(N59&lt;MinHistory,"Not Ready",IF(NOT(J59),"Not Ready",IF(OR(Q59="",Q59=0),"Noise",IF(Q59&lt;LowBaseThreshold,"Noise",IF(AND(R59&lt;=-OwnDecline,T59&lt;=-PeerGapThreshold),"Markdown Review",IF(AND(R59&gt;=ReorderUplift,U59&lt;&gt;"",U59&lt;=WeeksSupplyCap),"Reorder Candidate","Monitor"))))))))</f>
        <v/>
      </c>
      <c r="W59" s="18">
        <f>IF(B59="","",IF(NOT(I59),"INVALID_MASTER",IF(NOT(K59),"INCOMPLETE_SHELF_CYCLE",IF(N59&lt;MinHistory,"INSUFFICIENT_HISTORY",IF(NOT(J59),"INSUFFICIENT_IN_STOCK",IF(OR(Q59="",Q59=0),"NO_PRIOR_BASE",IF(Q59&lt;LowBaseThreshold,"LOW_BASE_NOISE",IF(V59="Markdown Review","MARKDOWN_PEER_GAP",IF(V59="Reorder Candidate","REORDER_UPLIFT_COVER","NO_MATERIAL_CHANGE"))))))))</f>
        <v/>
      </c>
      <c r="X59" s="18">
        <f>IF(V59="Markdown Review","Markdown support",IF(V59="Reorder Candidate","Second reorder",IF(V59="Monitor","Monitor",IF(V59="Noise","Hold / collect data",IF(V59="Not Ready","Not ready","")))))</f>
        <v/>
      </c>
      <c r="Y59" s="18">
        <f>IF(OR(R59="",T59=""),"",ABS(R59)+ABS(T59))</f>
        <v/>
      </c>
      <c r="Z59" s="21">
        <f>IF(OR(B59="",NOT(O59),R59=""),"",IF(ABS(R59)&gt;=MaterialThreshold,"Yes","No"))</f>
        <v/>
      </c>
      <c r="AA59" s="18">
        <f>IF(Z59&lt;&gt;"Yes","",IF(ABS(R59)&gt;=MaterialThreshold,IF(ABS(R59)&gt;=BroadShare,"Broad SKU movement","Store-concentrated movement"),""))</f>
        <v/>
      </c>
      <c r="AB59" s="18">
        <f>IF(O59,IF(COUNTIFS($O$5:O59,TRUE)&gt;0,COUNTIFS($O$5:O59,TRUE),0),0)</f>
        <v/>
      </c>
      <c r="AC59" s="18">
        <f>IF(V59="Markdown Review",1,IF(V59="Reorder Candidate",2,IF(V59="Monitor",3,IF(V59="Noise",4,IF(V59="Not Ready",5,99)))))</f>
        <v/>
      </c>
      <c r="AD59" s="18">
        <f>IF(O59,COUNTIFS($O$5:$O$504,TRUE,$AC$5:$AC$504,"&lt;"&amp;AC59)+COUNTIFS($O$5:O59,TRUE,$AC$5:AC59,AC59,$Y$5:Y59,"&gt;"&amp;Y59),0)</f>
        <v/>
      </c>
    </row>
    <row r="60">
      <c r="A60" s="17">
        <f>IF(COUNTA('Weekly Input'!A60:C60)=0,"",'Weekly Input'!B60&amp;"|"&amp;'Weekly Input'!C60&amp;"|"&amp;TEXT('Weekly Input'!A60,"yyyy-mm-dd"))</f>
        <v/>
      </c>
      <c r="B60" s="18">
        <f>'Weekly Input'!B60</f>
        <v/>
      </c>
      <c r="C60" s="18">
        <f>'Weekly Input'!C60</f>
        <v/>
      </c>
      <c r="D60" s="18">
        <f>IF(B60="","",IFERROR(INDEX('Master Data'!$B$6:$B$145,MATCH(B60,'Master Data'!$A$6:$A$145,0)),""))</f>
        <v/>
      </c>
      <c r="E60" s="18">
        <f>IF(C60="","",IFERROR(INDEX('Master Data'!$H$6:$H$13,MATCH(C60,'Master Data'!$F$6:$F$13,0)),""))</f>
        <v/>
      </c>
      <c r="F60" s="19">
        <f>'Weekly Input'!A60</f>
        <v/>
      </c>
      <c r="G60" s="19">
        <f>IF(B60="","",IFERROR(INDEX('Master Data'!$D$6:$D$145,MATCH(B60,'Master Data'!$A$6:$A$145,0)),""))</f>
        <v/>
      </c>
      <c r="H60" s="18">
        <f>IF(OR(F60="",G60=""),"",F60-G60)</f>
        <v/>
      </c>
      <c r="I60" s="18">
        <f>IF(B60="","",IF('Weekly Input'!J60="OK",TRUE,FALSE))</f>
        <v/>
      </c>
      <c r="J60" s="18">
        <f>IF(B60="","",'Weekly Input'!H60&gt;=MinInStockDays)</f>
        <v/>
      </c>
      <c r="K60" s="18">
        <f>IF(B60="","",H60&gt;=FullCycleMin)</f>
        <v/>
      </c>
      <c r="L60" s="18">
        <f>IF(B60="","",AND(I60,J60,K60,N60&gt;=MinHistory))</f>
        <v/>
      </c>
      <c r="M60" s="20">
        <f>IF(OR(B60="",'Weekly Input'!H60=0),"",'Weekly Input'!D60/'Weekly Input'!H60*7)</f>
        <v/>
      </c>
      <c r="N60" s="18">
        <f>IF(B60="","",COUNTIFS($B$5:$B$504,B60,$C$5:$C$504,C60,$I$5:$I$504,TRUE,$J$5:$J$504,TRUE,$K$5:$K$504,TRUE))</f>
        <v/>
      </c>
      <c r="O60" s="18">
        <f>IF(B60="","",AND(F60=AsOfWeek,AsOfWeek&lt;&gt;""))</f>
        <v/>
      </c>
      <c r="P60" s="20">
        <f>IF(OR(B60="",AsOfWeek=""),"",IFERROR(SUMIFS($M$5:$M$504,$B$5:$B$504,B60,$C$5:$C$504,C60,$L$5:$L$504,TRUE,$F$5:$F$504,"&gt;="&amp;AsOfWeek-7*(RecentWeeks-1),$F$5:$F$504,"&lt;="&amp;AsOfWeek),""))</f>
        <v/>
      </c>
      <c r="Q60" s="20">
        <f>IF(OR(B60="",AsOfWeek=""),"",IFERROR(SUMIFS($M$5:$M$504,$B$5:$B$504,B60,$C$5:$C$504,C60,$L$5:$L$504,TRUE,$F$5:$F$504,"&gt;="&amp;AsOfWeek-7*(RecentWeeks+PriorWeeks-1),$F$5:$F$504,"&lt;"&amp;AsOfWeek-7*(RecentWeeks-1)),""))</f>
        <v/>
      </c>
      <c r="R60" s="21">
        <f>IF(OR(P60="",Q60="",Q60=0),"",P60/Q60-1)</f>
        <v/>
      </c>
      <c r="S60" s="20">
        <f>IF(OR(C60="",AsOfWeek=""),"",IFERROR(AVERAGEIFS($M$5:$M$504,$C$5:$C$504,C60,$L$5:$L$504,TRUE,$F$5:$F$504,"&gt;="&amp;AsOfWeek-7*(RecentWeeks-1),$F$5:$F$504,"&lt;="&amp;AsOfWeek),""))</f>
        <v/>
      </c>
      <c r="T60" s="21">
        <f>IF(OR(P60="",S60=""),"",P60/S60-1)</f>
        <v/>
      </c>
      <c r="U60" s="22">
        <f>IF(OR(B60="",'Weekly Input'!G60="",P60="",P60=0),"",'Weekly Input'!G60/P60)</f>
        <v/>
      </c>
      <c r="V60" s="18">
        <f>IF(B60="","",IF(NOT(I60),"Not Ready",IF(NOT(K60),"Not Ready",IF(N60&lt;MinHistory,"Not Ready",IF(NOT(J60),"Not Ready",IF(OR(Q60="",Q60=0),"Noise",IF(Q60&lt;LowBaseThreshold,"Noise",IF(AND(R60&lt;=-OwnDecline,T60&lt;=-PeerGapThreshold),"Markdown Review",IF(AND(R60&gt;=ReorderUplift,U60&lt;&gt;"",U60&lt;=WeeksSupplyCap),"Reorder Candidate","Monitor"))))))))</f>
        <v/>
      </c>
      <c r="W60" s="18">
        <f>IF(B60="","",IF(NOT(I60),"INVALID_MASTER",IF(NOT(K60),"INCOMPLETE_SHELF_CYCLE",IF(N60&lt;MinHistory,"INSUFFICIENT_HISTORY",IF(NOT(J60),"INSUFFICIENT_IN_STOCK",IF(OR(Q60="",Q60=0),"NO_PRIOR_BASE",IF(Q60&lt;LowBaseThreshold,"LOW_BASE_NOISE",IF(V60="Markdown Review","MARKDOWN_PEER_GAP",IF(V60="Reorder Candidate","REORDER_UPLIFT_COVER","NO_MATERIAL_CHANGE"))))))))</f>
        <v/>
      </c>
      <c r="X60" s="18">
        <f>IF(V60="Markdown Review","Markdown support",IF(V60="Reorder Candidate","Second reorder",IF(V60="Monitor","Monitor",IF(V60="Noise","Hold / collect data",IF(V60="Not Ready","Not ready","")))))</f>
        <v/>
      </c>
      <c r="Y60" s="18">
        <f>IF(OR(R60="",T60=""),"",ABS(R60)+ABS(T60))</f>
        <v/>
      </c>
      <c r="Z60" s="21">
        <f>IF(OR(B60="",NOT(O60),R60=""),"",IF(ABS(R60)&gt;=MaterialThreshold,"Yes","No"))</f>
        <v/>
      </c>
      <c r="AA60" s="18">
        <f>IF(Z60&lt;&gt;"Yes","",IF(ABS(R60)&gt;=MaterialThreshold,IF(ABS(R60)&gt;=BroadShare,"Broad SKU movement","Store-concentrated movement"),""))</f>
        <v/>
      </c>
      <c r="AB60" s="18">
        <f>IF(O60,IF(COUNTIFS($O$5:O60,TRUE)&gt;0,COUNTIFS($O$5:O60,TRUE),0),0)</f>
        <v/>
      </c>
      <c r="AC60" s="18">
        <f>IF(V60="Markdown Review",1,IF(V60="Reorder Candidate",2,IF(V60="Monitor",3,IF(V60="Noise",4,IF(V60="Not Ready",5,99)))))</f>
        <v/>
      </c>
      <c r="AD60" s="18">
        <f>IF(O60,COUNTIFS($O$5:$O$504,TRUE,$AC$5:$AC$504,"&lt;"&amp;AC60)+COUNTIFS($O$5:O60,TRUE,$AC$5:AC60,AC60,$Y$5:Y60,"&gt;"&amp;Y60),0)</f>
        <v/>
      </c>
    </row>
    <row r="61">
      <c r="A61" s="17">
        <f>IF(COUNTA('Weekly Input'!A61:C61)=0,"",'Weekly Input'!B61&amp;"|"&amp;'Weekly Input'!C61&amp;"|"&amp;TEXT('Weekly Input'!A61,"yyyy-mm-dd"))</f>
        <v/>
      </c>
      <c r="B61" s="18">
        <f>'Weekly Input'!B61</f>
        <v/>
      </c>
      <c r="C61" s="18">
        <f>'Weekly Input'!C61</f>
        <v/>
      </c>
      <c r="D61" s="18">
        <f>IF(B61="","",IFERROR(INDEX('Master Data'!$B$6:$B$145,MATCH(B61,'Master Data'!$A$6:$A$145,0)),""))</f>
        <v/>
      </c>
      <c r="E61" s="18">
        <f>IF(C61="","",IFERROR(INDEX('Master Data'!$H$6:$H$13,MATCH(C61,'Master Data'!$F$6:$F$13,0)),""))</f>
        <v/>
      </c>
      <c r="F61" s="19">
        <f>'Weekly Input'!A61</f>
        <v/>
      </c>
      <c r="G61" s="19">
        <f>IF(B61="","",IFERROR(INDEX('Master Data'!$D$6:$D$145,MATCH(B61,'Master Data'!$A$6:$A$145,0)),""))</f>
        <v/>
      </c>
      <c r="H61" s="18">
        <f>IF(OR(F61="",G61=""),"",F61-G61)</f>
        <v/>
      </c>
      <c r="I61" s="18">
        <f>IF(B61="","",IF('Weekly Input'!J61="OK",TRUE,FALSE))</f>
        <v/>
      </c>
      <c r="J61" s="18">
        <f>IF(B61="","",'Weekly Input'!H61&gt;=MinInStockDays)</f>
        <v/>
      </c>
      <c r="K61" s="18">
        <f>IF(B61="","",H61&gt;=FullCycleMin)</f>
        <v/>
      </c>
      <c r="L61" s="18">
        <f>IF(B61="","",AND(I61,J61,K61,N61&gt;=MinHistory))</f>
        <v/>
      </c>
      <c r="M61" s="20">
        <f>IF(OR(B61="",'Weekly Input'!H61=0),"",'Weekly Input'!D61/'Weekly Input'!H61*7)</f>
        <v/>
      </c>
      <c r="N61" s="18">
        <f>IF(B61="","",COUNTIFS($B$5:$B$504,B61,$C$5:$C$504,C61,$I$5:$I$504,TRUE,$J$5:$J$504,TRUE,$K$5:$K$504,TRUE))</f>
        <v/>
      </c>
      <c r="O61" s="18">
        <f>IF(B61="","",AND(F61=AsOfWeek,AsOfWeek&lt;&gt;""))</f>
        <v/>
      </c>
      <c r="P61" s="20">
        <f>IF(OR(B61="",AsOfWeek=""),"",IFERROR(SUMIFS($M$5:$M$504,$B$5:$B$504,B61,$C$5:$C$504,C61,$L$5:$L$504,TRUE,$F$5:$F$504,"&gt;="&amp;AsOfWeek-7*(RecentWeeks-1),$F$5:$F$504,"&lt;="&amp;AsOfWeek),""))</f>
        <v/>
      </c>
      <c r="Q61" s="20">
        <f>IF(OR(B61="",AsOfWeek=""),"",IFERROR(SUMIFS($M$5:$M$504,$B$5:$B$504,B61,$C$5:$C$504,C61,$L$5:$L$504,TRUE,$F$5:$F$504,"&gt;="&amp;AsOfWeek-7*(RecentWeeks+PriorWeeks-1),$F$5:$F$504,"&lt;"&amp;AsOfWeek-7*(RecentWeeks-1)),""))</f>
        <v/>
      </c>
      <c r="R61" s="21">
        <f>IF(OR(P61="",Q61="",Q61=0),"",P61/Q61-1)</f>
        <v/>
      </c>
      <c r="S61" s="20">
        <f>IF(OR(C61="",AsOfWeek=""),"",IFERROR(AVERAGEIFS($M$5:$M$504,$C$5:$C$504,C61,$L$5:$L$504,TRUE,$F$5:$F$504,"&gt;="&amp;AsOfWeek-7*(RecentWeeks-1),$F$5:$F$504,"&lt;="&amp;AsOfWeek),""))</f>
        <v/>
      </c>
      <c r="T61" s="21">
        <f>IF(OR(P61="",S61=""),"",P61/S61-1)</f>
        <v/>
      </c>
      <c r="U61" s="22">
        <f>IF(OR(B61="",'Weekly Input'!G61="",P61="",P61=0),"",'Weekly Input'!G61/P61)</f>
        <v/>
      </c>
      <c r="V61" s="18">
        <f>IF(B61="","",IF(NOT(I61),"Not Ready",IF(NOT(K61),"Not Ready",IF(N61&lt;MinHistory,"Not Ready",IF(NOT(J61),"Not Ready",IF(OR(Q61="",Q61=0),"Noise",IF(Q61&lt;LowBaseThreshold,"Noise",IF(AND(R61&lt;=-OwnDecline,T61&lt;=-PeerGapThreshold),"Markdown Review",IF(AND(R61&gt;=ReorderUplift,U61&lt;&gt;"",U61&lt;=WeeksSupplyCap),"Reorder Candidate","Monitor"))))))))</f>
        <v/>
      </c>
      <c r="W61" s="18">
        <f>IF(B61="","",IF(NOT(I61),"INVALID_MASTER",IF(NOT(K61),"INCOMPLETE_SHELF_CYCLE",IF(N61&lt;MinHistory,"INSUFFICIENT_HISTORY",IF(NOT(J61),"INSUFFICIENT_IN_STOCK",IF(OR(Q61="",Q61=0),"NO_PRIOR_BASE",IF(Q61&lt;LowBaseThreshold,"LOW_BASE_NOISE",IF(V61="Markdown Review","MARKDOWN_PEER_GAP",IF(V61="Reorder Candidate","REORDER_UPLIFT_COVER","NO_MATERIAL_CHANGE"))))))))</f>
        <v/>
      </c>
      <c r="X61" s="18">
        <f>IF(V61="Markdown Review","Markdown support",IF(V61="Reorder Candidate","Second reorder",IF(V61="Monitor","Monitor",IF(V61="Noise","Hold / collect data",IF(V61="Not Ready","Not ready","")))))</f>
        <v/>
      </c>
      <c r="Y61" s="18">
        <f>IF(OR(R61="",T61=""),"",ABS(R61)+ABS(T61))</f>
        <v/>
      </c>
      <c r="Z61" s="21">
        <f>IF(OR(B61="",NOT(O61),R61=""),"",IF(ABS(R61)&gt;=MaterialThreshold,"Yes","No"))</f>
        <v/>
      </c>
      <c r="AA61" s="18">
        <f>IF(Z61&lt;&gt;"Yes","",IF(ABS(R61)&gt;=MaterialThreshold,IF(ABS(R61)&gt;=BroadShare,"Broad SKU movement","Store-concentrated movement"),""))</f>
        <v/>
      </c>
      <c r="AB61" s="18">
        <f>IF(O61,IF(COUNTIFS($O$5:O61,TRUE)&gt;0,COUNTIFS($O$5:O61,TRUE),0),0)</f>
        <v/>
      </c>
      <c r="AC61" s="18">
        <f>IF(V61="Markdown Review",1,IF(V61="Reorder Candidate",2,IF(V61="Monitor",3,IF(V61="Noise",4,IF(V61="Not Ready",5,99)))))</f>
        <v/>
      </c>
      <c r="AD61" s="18">
        <f>IF(O61,COUNTIFS($O$5:$O$504,TRUE,$AC$5:$AC$504,"&lt;"&amp;AC61)+COUNTIFS($O$5:O61,TRUE,$AC$5:AC61,AC61,$Y$5:Y61,"&gt;"&amp;Y61),0)</f>
        <v/>
      </c>
    </row>
    <row r="62">
      <c r="A62" s="17">
        <f>IF(COUNTA('Weekly Input'!A62:C62)=0,"",'Weekly Input'!B62&amp;"|"&amp;'Weekly Input'!C62&amp;"|"&amp;TEXT('Weekly Input'!A62,"yyyy-mm-dd"))</f>
        <v/>
      </c>
      <c r="B62" s="18">
        <f>'Weekly Input'!B62</f>
        <v/>
      </c>
      <c r="C62" s="18">
        <f>'Weekly Input'!C62</f>
        <v/>
      </c>
      <c r="D62" s="18">
        <f>IF(B62="","",IFERROR(INDEX('Master Data'!$B$6:$B$145,MATCH(B62,'Master Data'!$A$6:$A$145,0)),""))</f>
        <v/>
      </c>
      <c r="E62" s="18">
        <f>IF(C62="","",IFERROR(INDEX('Master Data'!$H$6:$H$13,MATCH(C62,'Master Data'!$F$6:$F$13,0)),""))</f>
        <v/>
      </c>
      <c r="F62" s="19">
        <f>'Weekly Input'!A62</f>
        <v/>
      </c>
      <c r="G62" s="19">
        <f>IF(B62="","",IFERROR(INDEX('Master Data'!$D$6:$D$145,MATCH(B62,'Master Data'!$A$6:$A$145,0)),""))</f>
        <v/>
      </c>
      <c r="H62" s="18">
        <f>IF(OR(F62="",G62=""),"",F62-G62)</f>
        <v/>
      </c>
      <c r="I62" s="18">
        <f>IF(B62="","",IF('Weekly Input'!J62="OK",TRUE,FALSE))</f>
        <v/>
      </c>
      <c r="J62" s="18">
        <f>IF(B62="","",'Weekly Input'!H62&gt;=MinInStockDays)</f>
        <v/>
      </c>
      <c r="K62" s="18">
        <f>IF(B62="","",H62&gt;=FullCycleMin)</f>
        <v/>
      </c>
      <c r="L62" s="18">
        <f>IF(B62="","",AND(I62,J62,K62,N62&gt;=MinHistory))</f>
        <v/>
      </c>
      <c r="M62" s="20">
        <f>IF(OR(B62="",'Weekly Input'!H62=0),"",'Weekly Input'!D62/'Weekly Input'!H62*7)</f>
        <v/>
      </c>
      <c r="N62" s="18">
        <f>IF(B62="","",COUNTIFS($B$5:$B$504,B62,$C$5:$C$504,C62,$I$5:$I$504,TRUE,$J$5:$J$504,TRUE,$K$5:$K$504,TRUE))</f>
        <v/>
      </c>
      <c r="O62" s="18">
        <f>IF(B62="","",AND(F62=AsOfWeek,AsOfWeek&lt;&gt;""))</f>
        <v/>
      </c>
      <c r="P62" s="20">
        <f>IF(OR(B62="",AsOfWeek=""),"",IFERROR(SUMIFS($M$5:$M$504,$B$5:$B$504,B62,$C$5:$C$504,C62,$L$5:$L$504,TRUE,$F$5:$F$504,"&gt;="&amp;AsOfWeek-7*(RecentWeeks-1),$F$5:$F$504,"&lt;="&amp;AsOfWeek),""))</f>
        <v/>
      </c>
      <c r="Q62" s="20">
        <f>IF(OR(B62="",AsOfWeek=""),"",IFERROR(SUMIFS($M$5:$M$504,$B$5:$B$504,B62,$C$5:$C$504,C62,$L$5:$L$504,TRUE,$F$5:$F$504,"&gt;="&amp;AsOfWeek-7*(RecentWeeks+PriorWeeks-1),$F$5:$F$504,"&lt;"&amp;AsOfWeek-7*(RecentWeeks-1)),""))</f>
        <v/>
      </c>
      <c r="R62" s="21">
        <f>IF(OR(P62="",Q62="",Q62=0),"",P62/Q62-1)</f>
        <v/>
      </c>
      <c r="S62" s="20">
        <f>IF(OR(C62="",AsOfWeek=""),"",IFERROR(AVERAGEIFS($M$5:$M$504,$C$5:$C$504,C62,$L$5:$L$504,TRUE,$F$5:$F$504,"&gt;="&amp;AsOfWeek-7*(RecentWeeks-1),$F$5:$F$504,"&lt;="&amp;AsOfWeek),""))</f>
        <v/>
      </c>
      <c r="T62" s="21">
        <f>IF(OR(P62="",S62=""),"",P62/S62-1)</f>
        <v/>
      </c>
      <c r="U62" s="22">
        <f>IF(OR(B62="",'Weekly Input'!G62="",P62="",P62=0),"",'Weekly Input'!G62/P62)</f>
        <v/>
      </c>
      <c r="V62" s="18">
        <f>IF(B62="","",IF(NOT(I62),"Not Ready",IF(NOT(K62),"Not Ready",IF(N62&lt;MinHistory,"Not Ready",IF(NOT(J62),"Not Ready",IF(OR(Q62="",Q62=0),"Noise",IF(Q62&lt;LowBaseThreshold,"Noise",IF(AND(R62&lt;=-OwnDecline,T62&lt;=-PeerGapThreshold),"Markdown Review",IF(AND(R62&gt;=ReorderUplift,U62&lt;&gt;"",U62&lt;=WeeksSupplyCap),"Reorder Candidate","Monitor"))))))))</f>
        <v/>
      </c>
      <c r="W62" s="18">
        <f>IF(B62="","",IF(NOT(I62),"INVALID_MASTER",IF(NOT(K62),"INCOMPLETE_SHELF_CYCLE",IF(N62&lt;MinHistory,"INSUFFICIENT_HISTORY",IF(NOT(J62),"INSUFFICIENT_IN_STOCK",IF(OR(Q62="",Q62=0),"NO_PRIOR_BASE",IF(Q62&lt;LowBaseThreshold,"LOW_BASE_NOISE",IF(V62="Markdown Review","MARKDOWN_PEER_GAP",IF(V62="Reorder Candidate","REORDER_UPLIFT_COVER","NO_MATERIAL_CHANGE"))))))))</f>
        <v/>
      </c>
      <c r="X62" s="18">
        <f>IF(V62="Markdown Review","Markdown support",IF(V62="Reorder Candidate","Second reorder",IF(V62="Monitor","Monitor",IF(V62="Noise","Hold / collect data",IF(V62="Not Ready","Not ready","")))))</f>
        <v/>
      </c>
      <c r="Y62" s="18">
        <f>IF(OR(R62="",T62=""),"",ABS(R62)+ABS(T62))</f>
        <v/>
      </c>
      <c r="Z62" s="21">
        <f>IF(OR(B62="",NOT(O62),R62=""),"",IF(ABS(R62)&gt;=MaterialThreshold,"Yes","No"))</f>
        <v/>
      </c>
      <c r="AA62" s="18">
        <f>IF(Z62&lt;&gt;"Yes","",IF(ABS(R62)&gt;=MaterialThreshold,IF(ABS(R62)&gt;=BroadShare,"Broad SKU movement","Store-concentrated movement"),""))</f>
        <v/>
      </c>
      <c r="AB62" s="18">
        <f>IF(O62,IF(COUNTIFS($O$5:O62,TRUE)&gt;0,COUNTIFS($O$5:O62,TRUE),0),0)</f>
        <v/>
      </c>
      <c r="AC62" s="18">
        <f>IF(V62="Markdown Review",1,IF(V62="Reorder Candidate",2,IF(V62="Monitor",3,IF(V62="Noise",4,IF(V62="Not Ready",5,99)))))</f>
        <v/>
      </c>
      <c r="AD62" s="18">
        <f>IF(O62,COUNTIFS($O$5:$O$504,TRUE,$AC$5:$AC$504,"&lt;"&amp;AC62)+COUNTIFS($O$5:O62,TRUE,$AC$5:AC62,AC62,$Y$5:Y62,"&gt;"&amp;Y62),0)</f>
        <v/>
      </c>
    </row>
    <row r="63">
      <c r="A63" s="17">
        <f>IF(COUNTA('Weekly Input'!A63:C63)=0,"",'Weekly Input'!B63&amp;"|"&amp;'Weekly Input'!C63&amp;"|"&amp;TEXT('Weekly Input'!A63,"yyyy-mm-dd"))</f>
        <v/>
      </c>
      <c r="B63" s="18">
        <f>'Weekly Input'!B63</f>
        <v/>
      </c>
      <c r="C63" s="18">
        <f>'Weekly Input'!C63</f>
        <v/>
      </c>
      <c r="D63" s="18">
        <f>IF(B63="","",IFERROR(INDEX('Master Data'!$B$6:$B$145,MATCH(B63,'Master Data'!$A$6:$A$145,0)),""))</f>
        <v/>
      </c>
      <c r="E63" s="18">
        <f>IF(C63="","",IFERROR(INDEX('Master Data'!$H$6:$H$13,MATCH(C63,'Master Data'!$F$6:$F$13,0)),""))</f>
        <v/>
      </c>
      <c r="F63" s="19">
        <f>'Weekly Input'!A63</f>
        <v/>
      </c>
      <c r="G63" s="19">
        <f>IF(B63="","",IFERROR(INDEX('Master Data'!$D$6:$D$145,MATCH(B63,'Master Data'!$A$6:$A$145,0)),""))</f>
        <v/>
      </c>
      <c r="H63" s="18">
        <f>IF(OR(F63="",G63=""),"",F63-G63)</f>
        <v/>
      </c>
      <c r="I63" s="18">
        <f>IF(B63="","",IF('Weekly Input'!J63="OK",TRUE,FALSE))</f>
        <v/>
      </c>
      <c r="J63" s="18">
        <f>IF(B63="","",'Weekly Input'!H63&gt;=MinInStockDays)</f>
        <v/>
      </c>
      <c r="K63" s="18">
        <f>IF(B63="","",H63&gt;=FullCycleMin)</f>
        <v/>
      </c>
      <c r="L63" s="18">
        <f>IF(B63="","",AND(I63,J63,K63,N63&gt;=MinHistory))</f>
        <v/>
      </c>
      <c r="M63" s="20">
        <f>IF(OR(B63="",'Weekly Input'!H63=0),"",'Weekly Input'!D63/'Weekly Input'!H63*7)</f>
        <v/>
      </c>
      <c r="N63" s="18">
        <f>IF(B63="","",COUNTIFS($B$5:$B$504,B63,$C$5:$C$504,C63,$I$5:$I$504,TRUE,$J$5:$J$504,TRUE,$K$5:$K$504,TRUE))</f>
        <v/>
      </c>
      <c r="O63" s="18">
        <f>IF(B63="","",AND(F63=AsOfWeek,AsOfWeek&lt;&gt;""))</f>
        <v/>
      </c>
      <c r="P63" s="20">
        <f>IF(OR(B63="",AsOfWeek=""),"",IFERROR(SUMIFS($M$5:$M$504,$B$5:$B$504,B63,$C$5:$C$504,C63,$L$5:$L$504,TRUE,$F$5:$F$504,"&gt;="&amp;AsOfWeek-7*(RecentWeeks-1),$F$5:$F$504,"&lt;="&amp;AsOfWeek),""))</f>
        <v/>
      </c>
      <c r="Q63" s="20">
        <f>IF(OR(B63="",AsOfWeek=""),"",IFERROR(SUMIFS($M$5:$M$504,$B$5:$B$504,B63,$C$5:$C$504,C63,$L$5:$L$504,TRUE,$F$5:$F$504,"&gt;="&amp;AsOfWeek-7*(RecentWeeks+PriorWeeks-1),$F$5:$F$504,"&lt;"&amp;AsOfWeek-7*(RecentWeeks-1)),""))</f>
        <v/>
      </c>
      <c r="R63" s="21">
        <f>IF(OR(P63="",Q63="",Q63=0),"",P63/Q63-1)</f>
        <v/>
      </c>
      <c r="S63" s="20">
        <f>IF(OR(C63="",AsOfWeek=""),"",IFERROR(AVERAGEIFS($M$5:$M$504,$C$5:$C$504,C63,$L$5:$L$504,TRUE,$F$5:$F$504,"&gt;="&amp;AsOfWeek-7*(RecentWeeks-1),$F$5:$F$504,"&lt;="&amp;AsOfWeek),""))</f>
        <v/>
      </c>
      <c r="T63" s="21">
        <f>IF(OR(P63="",S63=""),"",P63/S63-1)</f>
        <v/>
      </c>
      <c r="U63" s="22">
        <f>IF(OR(B63="",'Weekly Input'!G63="",P63="",P63=0),"",'Weekly Input'!G63/P63)</f>
        <v/>
      </c>
      <c r="V63" s="18">
        <f>IF(B63="","",IF(NOT(I63),"Not Ready",IF(NOT(K63),"Not Ready",IF(N63&lt;MinHistory,"Not Ready",IF(NOT(J63),"Not Ready",IF(OR(Q63="",Q63=0),"Noise",IF(Q63&lt;LowBaseThreshold,"Noise",IF(AND(R63&lt;=-OwnDecline,T63&lt;=-PeerGapThreshold),"Markdown Review",IF(AND(R63&gt;=ReorderUplift,U63&lt;&gt;"",U63&lt;=WeeksSupplyCap),"Reorder Candidate","Monitor"))))))))</f>
        <v/>
      </c>
      <c r="W63" s="18">
        <f>IF(B63="","",IF(NOT(I63),"INVALID_MASTER",IF(NOT(K63),"INCOMPLETE_SHELF_CYCLE",IF(N63&lt;MinHistory,"INSUFFICIENT_HISTORY",IF(NOT(J63),"INSUFFICIENT_IN_STOCK",IF(OR(Q63="",Q63=0),"NO_PRIOR_BASE",IF(Q63&lt;LowBaseThreshold,"LOW_BASE_NOISE",IF(V63="Markdown Review","MARKDOWN_PEER_GAP",IF(V63="Reorder Candidate","REORDER_UPLIFT_COVER","NO_MATERIAL_CHANGE"))))))))</f>
        <v/>
      </c>
      <c r="X63" s="18">
        <f>IF(V63="Markdown Review","Markdown support",IF(V63="Reorder Candidate","Second reorder",IF(V63="Monitor","Monitor",IF(V63="Noise","Hold / collect data",IF(V63="Not Ready","Not ready","")))))</f>
        <v/>
      </c>
      <c r="Y63" s="18">
        <f>IF(OR(R63="",T63=""),"",ABS(R63)+ABS(T63))</f>
        <v/>
      </c>
      <c r="Z63" s="21">
        <f>IF(OR(B63="",NOT(O63),R63=""),"",IF(ABS(R63)&gt;=MaterialThreshold,"Yes","No"))</f>
        <v/>
      </c>
      <c r="AA63" s="18">
        <f>IF(Z63&lt;&gt;"Yes","",IF(ABS(R63)&gt;=MaterialThreshold,IF(ABS(R63)&gt;=BroadShare,"Broad SKU movement","Store-concentrated movement"),""))</f>
        <v/>
      </c>
      <c r="AB63" s="18">
        <f>IF(O63,IF(COUNTIFS($O$5:O63,TRUE)&gt;0,COUNTIFS($O$5:O63,TRUE),0),0)</f>
        <v/>
      </c>
      <c r="AC63" s="18">
        <f>IF(V63="Markdown Review",1,IF(V63="Reorder Candidate",2,IF(V63="Monitor",3,IF(V63="Noise",4,IF(V63="Not Ready",5,99)))))</f>
        <v/>
      </c>
      <c r="AD63" s="18">
        <f>IF(O63,COUNTIFS($O$5:$O$504,TRUE,$AC$5:$AC$504,"&lt;"&amp;AC63)+COUNTIFS($O$5:O63,TRUE,$AC$5:AC63,AC63,$Y$5:Y63,"&gt;"&amp;Y63),0)</f>
        <v/>
      </c>
    </row>
    <row r="64">
      <c r="A64" s="17">
        <f>IF(COUNTA('Weekly Input'!A64:C64)=0,"",'Weekly Input'!B64&amp;"|"&amp;'Weekly Input'!C64&amp;"|"&amp;TEXT('Weekly Input'!A64,"yyyy-mm-dd"))</f>
        <v/>
      </c>
      <c r="B64" s="18">
        <f>'Weekly Input'!B64</f>
        <v/>
      </c>
      <c r="C64" s="18">
        <f>'Weekly Input'!C64</f>
        <v/>
      </c>
      <c r="D64" s="18">
        <f>IF(B64="","",IFERROR(INDEX('Master Data'!$B$6:$B$145,MATCH(B64,'Master Data'!$A$6:$A$145,0)),""))</f>
        <v/>
      </c>
      <c r="E64" s="18">
        <f>IF(C64="","",IFERROR(INDEX('Master Data'!$H$6:$H$13,MATCH(C64,'Master Data'!$F$6:$F$13,0)),""))</f>
        <v/>
      </c>
      <c r="F64" s="19">
        <f>'Weekly Input'!A64</f>
        <v/>
      </c>
      <c r="G64" s="19">
        <f>IF(B64="","",IFERROR(INDEX('Master Data'!$D$6:$D$145,MATCH(B64,'Master Data'!$A$6:$A$145,0)),""))</f>
        <v/>
      </c>
      <c r="H64" s="18">
        <f>IF(OR(F64="",G64=""),"",F64-G64)</f>
        <v/>
      </c>
      <c r="I64" s="18">
        <f>IF(B64="","",IF('Weekly Input'!J64="OK",TRUE,FALSE))</f>
        <v/>
      </c>
      <c r="J64" s="18">
        <f>IF(B64="","",'Weekly Input'!H64&gt;=MinInStockDays)</f>
        <v/>
      </c>
      <c r="K64" s="18">
        <f>IF(B64="","",H64&gt;=FullCycleMin)</f>
        <v/>
      </c>
      <c r="L64" s="18">
        <f>IF(B64="","",AND(I64,J64,K64,N64&gt;=MinHistory))</f>
        <v/>
      </c>
      <c r="M64" s="20">
        <f>IF(OR(B64="",'Weekly Input'!H64=0),"",'Weekly Input'!D64/'Weekly Input'!H64*7)</f>
        <v/>
      </c>
      <c r="N64" s="18">
        <f>IF(B64="","",COUNTIFS($B$5:$B$504,B64,$C$5:$C$504,C64,$I$5:$I$504,TRUE,$J$5:$J$504,TRUE,$K$5:$K$504,TRUE))</f>
        <v/>
      </c>
      <c r="O64" s="18">
        <f>IF(B64="","",AND(F64=AsOfWeek,AsOfWeek&lt;&gt;""))</f>
        <v/>
      </c>
      <c r="P64" s="20">
        <f>IF(OR(B64="",AsOfWeek=""),"",IFERROR(SUMIFS($M$5:$M$504,$B$5:$B$504,B64,$C$5:$C$504,C64,$L$5:$L$504,TRUE,$F$5:$F$504,"&gt;="&amp;AsOfWeek-7*(RecentWeeks-1),$F$5:$F$504,"&lt;="&amp;AsOfWeek),""))</f>
        <v/>
      </c>
      <c r="Q64" s="20">
        <f>IF(OR(B64="",AsOfWeek=""),"",IFERROR(SUMIFS($M$5:$M$504,$B$5:$B$504,B64,$C$5:$C$504,C64,$L$5:$L$504,TRUE,$F$5:$F$504,"&gt;="&amp;AsOfWeek-7*(RecentWeeks+PriorWeeks-1),$F$5:$F$504,"&lt;"&amp;AsOfWeek-7*(RecentWeeks-1)),""))</f>
        <v/>
      </c>
      <c r="R64" s="21">
        <f>IF(OR(P64="",Q64="",Q64=0),"",P64/Q64-1)</f>
        <v/>
      </c>
      <c r="S64" s="20">
        <f>IF(OR(C64="",AsOfWeek=""),"",IFERROR(AVERAGEIFS($M$5:$M$504,$C$5:$C$504,C64,$L$5:$L$504,TRUE,$F$5:$F$504,"&gt;="&amp;AsOfWeek-7*(RecentWeeks-1),$F$5:$F$504,"&lt;="&amp;AsOfWeek),""))</f>
        <v/>
      </c>
      <c r="T64" s="21">
        <f>IF(OR(P64="",S64=""),"",P64/S64-1)</f>
        <v/>
      </c>
      <c r="U64" s="22">
        <f>IF(OR(B64="",'Weekly Input'!G64="",P64="",P64=0),"",'Weekly Input'!G64/P64)</f>
        <v/>
      </c>
      <c r="V64" s="18">
        <f>IF(B64="","",IF(NOT(I64),"Not Ready",IF(NOT(K64),"Not Ready",IF(N64&lt;MinHistory,"Not Ready",IF(NOT(J64),"Not Ready",IF(OR(Q64="",Q64=0),"Noise",IF(Q64&lt;LowBaseThreshold,"Noise",IF(AND(R64&lt;=-OwnDecline,T64&lt;=-PeerGapThreshold),"Markdown Review",IF(AND(R64&gt;=ReorderUplift,U64&lt;&gt;"",U64&lt;=WeeksSupplyCap),"Reorder Candidate","Monitor"))))))))</f>
        <v/>
      </c>
      <c r="W64" s="18">
        <f>IF(B64="","",IF(NOT(I64),"INVALID_MASTER",IF(NOT(K64),"INCOMPLETE_SHELF_CYCLE",IF(N64&lt;MinHistory,"INSUFFICIENT_HISTORY",IF(NOT(J64),"INSUFFICIENT_IN_STOCK",IF(OR(Q64="",Q64=0),"NO_PRIOR_BASE",IF(Q64&lt;LowBaseThreshold,"LOW_BASE_NOISE",IF(V64="Markdown Review","MARKDOWN_PEER_GAP",IF(V64="Reorder Candidate","REORDER_UPLIFT_COVER","NO_MATERIAL_CHANGE"))))))))</f>
        <v/>
      </c>
      <c r="X64" s="18">
        <f>IF(V64="Markdown Review","Markdown support",IF(V64="Reorder Candidate","Second reorder",IF(V64="Monitor","Monitor",IF(V64="Noise","Hold / collect data",IF(V64="Not Ready","Not ready","")))))</f>
        <v/>
      </c>
      <c r="Y64" s="18">
        <f>IF(OR(R64="",T64=""),"",ABS(R64)+ABS(T64))</f>
        <v/>
      </c>
      <c r="Z64" s="21">
        <f>IF(OR(B64="",NOT(O64),R64=""),"",IF(ABS(R64)&gt;=MaterialThreshold,"Yes","No"))</f>
        <v/>
      </c>
      <c r="AA64" s="18">
        <f>IF(Z64&lt;&gt;"Yes","",IF(ABS(R64)&gt;=MaterialThreshold,IF(ABS(R64)&gt;=BroadShare,"Broad SKU movement","Store-concentrated movement"),""))</f>
        <v/>
      </c>
      <c r="AB64" s="18">
        <f>IF(O64,IF(COUNTIFS($O$5:O64,TRUE)&gt;0,COUNTIFS($O$5:O64,TRUE),0),0)</f>
        <v/>
      </c>
      <c r="AC64" s="18">
        <f>IF(V64="Markdown Review",1,IF(V64="Reorder Candidate",2,IF(V64="Monitor",3,IF(V64="Noise",4,IF(V64="Not Ready",5,99)))))</f>
        <v/>
      </c>
      <c r="AD64" s="18">
        <f>IF(O64,COUNTIFS($O$5:$O$504,TRUE,$AC$5:$AC$504,"&lt;"&amp;AC64)+COUNTIFS($O$5:O64,TRUE,$AC$5:AC64,AC64,$Y$5:Y64,"&gt;"&amp;Y64),0)</f>
        <v/>
      </c>
    </row>
    <row r="65">
      <c r="A65" s="17">
        <f>IF(COUNTA('Weekly Input'!A65:C65)=0,"",'Weekly Input'!B65&amp;"|"&amp;'Weekly Input'!C65&amp;"|"&amp;TEXT('Weekly Input'!A65,"yyyy-mm-dd"))</f>
        <v/>
      </c>
      <c r="B65" s="18">
        <f>'Weekly Input'!B65</f>
        <v/>
      </c>
      <c r="C65" s="18">
        <f>'Weekly Input'!C65</f>
        <v/>
      </c>
      <c r="D65" s="18">
        <f>IF(B65="","",IFERROR(INDEX('Master Data'!$B$6:$B$145,MATCH(B65,'Master Data'!$A$6:$A$145,0)),""))</f>
        <v/>
      </c>
      <c r="E65" s="18">
        <f>IF(C65="","",IFERROR(INDEX('Master Data'!$H$6:$H$13,MATCH(C65,'Master Data'!$F$6:$F$13,0)),""))</f>
        <v/>
      </c>
      <c r="F65" s="19">
        <f>'Weekly Input'!A65</f>
        <v/>
      </c>
      <c r="G65" s="19">
        <f>IF(B65="","",IFERROR(INDEX('Master Data'!$D$6:$D$145,MATCH(B65,'Master Data'!$A$6:$A$145,0)),""))</f>
        <v/>
      </c>
      <c r="H65" s="18">
        <f>IF(OR(F65="",G65=""),"",F65-G65)</f>
        <v/>
      </c>
      <c r="I65" s="18">
        <f>IF(B65="","",IF('Weekly Input'!J65="OK",TRUE,FALSE))</f>
        <v/>
      </c>
      <c r="J65" s="18">
        <f>IF(B65="","",'Weekly Input'!H65&gt;=MinInStockDays)</f>
        <v/>
      </c>
      <c r="K65" s="18">
        <f>IF(B65="","",H65&gt;=FullCycleMin)</f>
        <v/>
      </c>
      <c r="L65" s="18">
        <f>IF(B65="","",AND(I65,J65,K65,N65&gt;=MinHistory))</f>
        <v/>
      </c>
      <c r="M65" s="20">
        <f>IF(OR(B65="",'Weekly Input'!H65=0),"",'Weekly Input'!D65/'Weekly Input'!H65*7)</f>
        <v/>
      </c>
      <c r="N65" s="18">
        <f>IF(B65="","",COUNTIFS($B$5:$B$504,B65,$C$5:$C$504,C65,$I$5:$I$504,TRUE,$J$5:$J$504,TRUE,$K$5:$K$504,TRUE))</f>
        <v/>
      </c>
      <c r="O65" s="18">
        <f>IF(B65="","",AND(F65=AsOfWeek,AsOfWeek&lt;&gt;""))</f>
        <v/>
      </c>
      <c r="P65" s="20">
        <f>IF(OR(B65="",AsOfWeek=""),"",IFERROR(SUMIFS($M$5:$M$504,$B$5:$B$504,B65,$C$5:$C$504,C65,$L$5:$L$504,TRUE,$F$5:$F$504,"&gt;="&amp;AsOfWeek-7*(RecentWeeks-1),$F$5:$F$504,"&lt;="&amp;AsOfWeek),""))</f>
        <v/>
      </c>
      <c r="Q65" s="20">
        <f>IF(OR(B65="",AsOfWeek=""),"",IFERROR(SUMIFS($M$5:$M$504,$B$5:$B$504,B65,$C$5:$C$504,C65,$L$5:$L$504,TRUE,$F$5:$F$504,"&gt;="&amp;AsOfWeek-7*(RecentWeeks+PriorWeeks-1),$F$5:$F$504,"&lt;"&amp;AsOfWeek-7*(RecentWeeks-1)),""))</f>
        <v/>
      </c>
      <c r="R65" s="21">
        <f>IF(OR(P65="",Q65="",Q65=0),"",P65/Q65-1)</f>
        <v/>
      </c>
      <c r="S65" s="20">
        <f>IF(OR(C65="",AsOfWeek=""),"",IFERROR(AVERAGEIFS($M$5:$M$504,$C$5:$C$504,C65,$L$5:$L$504,TRUE,$F$5:$F$504,"&gt;="&amp;AsOfWeek-7*(RecentWeeks-1),$F$5:$F$504,"&lt;="&amp;AsOfWeek),""))</f>
        <v/>
      </c>
      <c r="T65" s="21">
        <f>IF(OR(P65="",S65=""),"",P65/S65-1)</f>
        <v/>
      </c>
      <c r="U65" s="22">
        <f>IF(OR(B65="",'Weekly Input'!G65="",P65="",P65=0),"",'Weekly Input'!G65/P65)</f>
        <v/>
      </c>
      <c r="V65" s="18">
        <f>IF(B65="","",IF(NOT(I65),"Not Ready",IF(NOT(K65),"Not Ready",IF(N65&lt;MinHistory,"Not Ready",IF(NOT(J65),"Not Ready",IF(OR(Q65="",Q65=0),"Noise",IF(Q65&lt;LowBaseThreshold,"Noise",IF(AND(R65&lt;=-OwnDecline,T65&lt;=-PeerGapThreshold),"Markdown Review",IF(AND(R65&gt;=ReorderUplift,U65&lt;&gt;"",U65&lt;=WeeksSupplyCap),"Reorder Candidate","Monitor"))))))))</f>
        <v/>
      </c>
      <c r="W65" s="18">
        <f>IF(B65="","",IF(NOT(I65),"INVALID_MASTER",IF(NOT(K65),"INCOMPLETE_SHELF_CYCLE",IF(N65&lt;MinHistory,"INSUFFICIENT_HISTORY",IF(NOT(J65),"INSUFFICIENT_IN_STOCK",IF(OR(Q65="",Q65=0),"NO_PRIOR_BASE",IF(Q65&lt;LowBaseThreshold,"LOW_BASE_NOISE",IF(V65="Markdown Review","MARKDOWN_PEER_GAP",IF(V65="Reorder Candidate","REORDER_UPLIFT_COVER","NO_MATERIAL_CHANGE"))))))))</f>
        <v/>
      </c>
      <c r="X65" s="18">
        <f>IF(V65="Markdown Review","Markdown support",IF(V65="Reorder Candidate","Second reorder",IF(V65="Monitor","Monitor",IF(V65="Noise","Hold / collect data",IF(V65="Not Ready","Not ready","")))))</f>
        <v/>
      </c>
      <c r="Y65" s="18">
        <f>IF(OR(R65="",T65=""),"",ABS(R65)+ABS(T65))</f>
        <v/>
      </c>
      <c r="Z65" s="21">
        <f>IF(OR(B65="",NOT(O65),R65=""),"",IF(ABS(R65)&gt;=MaterialThreshold,"Yes","No"))</f>
        <v/>
      </c>
      <c r="AA65" s="18">
        <f>IF(Z65&lt;&gt;"Yes","",IF(ABS(R65)&gt;=MaterialThreshold,IF(ABS(R65)&gt;=BroadShare,"Broad SKU movement","Store-concentrated movement"),""))</f>
        <v/>
      </c>
      <c r="AB65" s="18">
        <f>IF(O65,IF(COUNTIFS($O$5:O65,TRUE)&gt;0,COUNTIFS($O$5:O65,TRUE),0),0)</f>
        <v/>
      </c>
      <c r="AC65" s="18">
        <f>IF(V65="Markdown Review",1,IF(V65="Reorder Candidate",2,IF(V65="Monitor",3,IF(V65="Noise",4,IF(V65="Not Ready",5,99)))))</f>
        <v/>
      </c>
      <c r="AD65" s="18">
        <f>IF(O65,COUNTIFS($O$5:$O$504,TRUE,$AC$5:$AC$504,"&lt;"&amp;AC65)+COUNTIFS($O$5:O65,TRUE,$AC$5:AC65,AC65,$Y$5:Y65,"&gt;"&amp;Y65),0)</f>
        <v/>
      </c>
    </row>
    <row r="66">
      <c r="A66" s="17">
        <f>IF(COUNTA('Weekly Input'!A66:C66)=0,"",'Weekly Input'!B66&amp;"|"&amp;'Weekly Input'!C66&amp;"|"&amp;TEXT('Weekly Input'!A66,"yyyy-mm-dd"))</f>
        <v/>
      </c>
      <c r="B66" s="18">
        <f>'Weekly Input'!B66</f>
        <v/>
      </c>
      <c r="C66" s="18">
        <f>'Weekly Input'!C66</f>
        <v/>
      </c>
      <c r="D66" s="18">
        <f>IF(B66="","",IFERROR(INDEX('Master Data'!$B$6:$B$145,MATCH(B66,'Master Data'!$A$6:$A$145,0)),""))</f>
        <v/>
      </c>
      <c r="E66" s="18">
        <f>IF(C66="","",IFERROR(INDEX('Master Data'!$H$6:$H$13,MATCH(C66,'Master Data'!$F$6:$F$13,0)),""))</f>
        <v/>
      </c>
      <c r="F66" s="19">
        <f>'Weekly Input'!A66</f>
        <v/>
      </c>
      <c r="G66" s="19">
        <f>IF(B66="","",IFERROR(INDEX('Master Data'!$D$6:$D$145,MATCH(B66,'Master Data'!$A$6:$A$145,0)),""))</f>
        <v/>
      </c>
      <c r="H66" s="18">
        <f>IF(OR(F66="",G66=""),"",F66-G66)</f>
        <v/>
      </c>
      <c r="I66" s="18">
        <f>IF(B66="","",IF('Weekly Input'!J66="OK",TRUE,FALSE))</f>
        <v/>
      </c>
      <c r="J66" s="18">
        <f>IF(B66="","",'Weekly Input'!H66&gt;=MinInStockDays)</f>
        <v/>
      </c>
      <c r="K66" s="18">
        <f>IF(B66="","",H66&gt;=FullCycleMin)</f>
        <v/>
      </c>
      <c r="L66" s="18">
        <f>IF(B66="","",AND(I66,J66,K66,N66&gt;=MinHistory))</f>
        <v/>
      </c>
      <c r="M66" s="20">
        <f>IF(OR(B66="",'Weekly Input'!H66=0),"",'Weekly Input'!D66/'Weekly Input'!H66*7)</f>
        <v/>
      </c>
      <c r="N66" s="18">
        <f>IF(B66="","",COUNTIFS($B$5:$B$504,B66,$C$5:$C$504,C66,$I$5:$I$504,TRUE,$J$5:$J$504,TRUE,$K$5:$K$504,TRUE))</f>
        <v/>
      </c>
      <c r="O66" s="18">
        <f>IF(B66="","",AND(F66=AsOfWeek,AsOfWeek&lt;&gt;""))</f>
        <v/>
      </c>
      <c r="P66" s="20">
        <f>IF(OR(B66="",AsOfWeek=""),"",IFERROR(SUMIFS($M$5:$M$504,$B$5:$B$504,B66,$C$5:$C$504,C66,$L$5:$L$504,TRUE,$F$5:$F$504,"&gt;="&amp;AsOfWeek-7*(RecentWeeks-1),$F$5:$F$504,"&lt;="&amp;AsOfWeek),""))</f>
        <v/>
      </c>
      <c r="Q66" s="20">
        <f>IF(OR(B66="",AsOfWeek=""),"",IFERROR(SUMIFS($M$5:$M$504,$B$5:$B$504,B66,$C$5:$C$504,C66,$L$5:$L$504,TRUE,$F$5:$F$504,"&gt;="&amp;AsOfWeek-7*(RecentWeeks+PriorWeeks-1),$F$5:$F$504,"&lt;"&amp;AsOfWeek-7*(RecentWeeks-1)),""))</f>
        <v/>
      </c>
      <c r="R66" s="21">
        <f>IF(OR(P66="",Q66="",Q66=0),"",P66/Q66-1)</f>
        <v/>
      </c>
      <c r="S66" s="20">
        <f>IF(OR(C66="",AsOfWeek=""),"",IFERROR(AVERAGEIFS($M$5:$M$504,$C$5:$C$504,C66,$L$5:$L$504,TRUE,$F$5:$F$504,"&gt;="&amp;AsOfWeek-7*(RecentWeeks-1),$F$5:$F$504,"&lt;="&amp;AsOfWeek),""))</f>
        <v/>
      </c>
      <c r="T66" s="21">
        <f>IF(OR(P66="",S66=""),"",P66/S66-1)</f>
        <v/>
      </c>
      <c r="U66" s="22">
        <f>IF(OR(B66="",'Weekly Input'!G66="",P66="",P66=0),"",'Weekly Input'!G66/P66)</f>
        <v/>
      </c>
      <c r="V66" s="18">
        <f>IF(B66="","",IF(NOT(I66),"Not Ready",IF(NOT(K66),"Not Ready",IF(N66&lt;MinHistory,"Not Ready",IF(NOT(J66),"Not Ready",IF(OR(Q66="",Q66=0),"Noise",IF(Q66&lt;LowBaseThreshold,"Noise",IF(AND(R66&lt;=-OwnDecline,T66&lt;=-PeerGapThreshold),"Markdown Review",IF(AND(R66&gt;=ReorderUplift,U66&lt;&gt;"",U66&lt;=WeeksSupplyCap),"Reorder Candidate","Monitor"))))))))</f>
        <v/>
      </c>
      <c r="W66" s="18">
        <f>IF(B66="","",IF(NOT(I66),"INVALID_MASTER",IF(NOT(K66),"INCOMPLETE_SHELF_CYCLE",IF(N66&lt;MinHistory,"INSUFFICIENT_HISTORY",IF(NOT(J66),"INSUFFICIENT_IN_STOCK",IF(OR(Q66="",Q66=0),"NO_PRIOR_BASE",IF(Q66&lt;LowBaseThreshold,"LOW_BASE_NOISE",IF(V66="Markdown Review","MARKDOWN_PEER_GAP",IF(V66="Reorder Candidate","REORDER_UPLIFT_COVER","NO_MATERIAL_CHANGE"))))))))</f>
        <v/>
      </c>
      <c r="X66" s="18">
        <f>IF(V66="Markdown Review","Markdown support",IF(V66="Reorder Candidate","Second reorder",IF(V66="Monitor","Monitor",IF(V66="Noise","Hold / collect data",IF(V66="Not Ready","Not ready","")))))</f>
        <v/>
      </c>
      <c r="Y66" s="18">
        <f>IF(OR(R66="",T66=""),"",ABS(R66)+ABS(T66))</f>
        <v/>
      </c>
      <c r="Z66" s="21">
        <f>IF(OR(B66="",NOT(O66),R66=""),"",IF(ABS(R66)&gt;=MaterialThreshold,"Yes","No"))</f>
        <v/>
      </c>
      <c r="AA66" s="18">
        <f>IF(Z66&lt;&gt;"Yes","",IF(ABS(R66)&gt;=MaterialThreshold,IF(ABS(R66)&gt;=BroadShare,"Broad SKU movement","Store-concentrated movement"),""))</f>
        <v/>
      </c>
      <c r="AB66" s="18">
        <f>IF(O66,IF(COUNTIFS($O$5:O66,TRUE)&gt;0,COUNTIFS($O$5:O66,TRUE),0),0)</f>
        <v/>
      </c>
      <c r="AC66" s="18">
        <f>IF(V66="Markdown Review",1,IF(V66="Reorder Candidate",2,IF(V66="Monitor",3,IF(V66="Noise",4,IF(V66="Not Ready",5,99)))))</f>
        <v/>
      </c>
      <c r="AD66" s="18">
        <f>IF(O66,COUNTIFS($O$5:$O$504,TRUE,$AC$5:$AC$504,"&lt;"&amp;AC66)+COUNTIFS($O$5:O66,TRUE,$AC$5:AC66,AC66,$Y$5:Y66,"&gt;"&amp;Y66),0)</f>
        <v/>
      </c>
    </row>
    <row r="67">
      <c r="A67" s="17">
        <f>IF(COUNTA('Weekly Input'!A67:C67)=0,"",'Weekly Input'!B67&amp;"|"&amp;'Weekly Input'!C67&amp;"|"&amp;TEXT('Weekly Input'!A67,"yyyy-mm-dd"))</f>
        <v/>
      </c>
      <c r="B67" s="18">
        <f>'Weekly Input'!B67</f>
        <v/>
      </c>
      <c r="C67" s="18">
        <f>'Weekly Input'!C67</f>
        <v/>
      </c>
      <c r="D67" s="18">
        <f>IF(B67="","",IFERROR(INDEX('Master Data'!$B$6:$B$145,MATCH(B67,'Master Data'!$A$6:$A$145,0)),""))</f>
        <v/>
      </c>
      <c r="E67" s="18">
        <f>IF(C67="","",IFERROR(INDEX('Master Data'!$H$6:$H$13,MATCH(C67,'Master Data'!$F$6:$F$13,0)),""))</f>
        <v/>
      </c>
      <c r="F67" s="19">
        <f>'Weekly Input'!A67</f>
        <v/>
      </c>
      <c r="G67" s="19">
        <f>IF(B67="","",IFERROR(INDEX('Master Data'!$D$6:$D$145,MATCH(B67,'Master Data'!$A$6:$A$145,0)),""))</f>
        <v/>
      </c>
      <c r="H67" s="18">
        <f>IF(OR(F67="",G67=""),"",F67-G67)</f>
        <v/>
      </c>
      <c r="I67" s="18">
        <f>IF(B67="","",IF('Weekly Input'!J67="OK",TRUE,FALSE))</f>
        <v/>
      </c>
      <c r="J67" s="18">
        <f>IF(B67="","",'Weekly Input'!H67&gt;=MinInStockDays)</f>
        <v/>
      </c>
      <c r="K67" s="18">
        <f>IF(B67="","",H67&gt;=FullCycleMin)</f>
        <v/>
      </c>
      <c r="L67" s="18">
        <f>IF(B67="","",AND(I67,J67,K67,N67&gt;=MinHistory))</f>
        <v/>
      </c>
      <c r="M67" s="20">
        <f>IF(OR(B67="",'Weekly Input'!H67=0),"",'Weekly Input'!D67/'Weekly Input'!H67*7)</f>
        <v/>
      </c>
      <c r="N67" s="18">
        <f>IF(B67="","",COUNTIFS($B$5:$B$504,B67,$C$5:$C$504,C67,$I$5:$I$504,TRUE,$J$5:$J$504,TRUE,$K$5:$K$504,TRUE))</f>
        <v/>
      </c>
      <c r="O67" s="18">
        <f>IF(B67="","",AND(F67=AsOfWeek,AsOfWeek&lt;&gt;""))</f>
        <v/>
      </c>
      <c r="P67" s="20">
        <f>IF(OR(B67="",AsOfWeek=""),"",IFERROR(SUMIFS($M$5:$M$504,$B$5:$B$504,B67,$C$5:$C$504,C67,$L$5:$L$504,TRUE,$F$5:$F$504,"&gt;="&amp;AsOfWeek-7*(RecentWeeks-1),$F$5:$F$504,"&lt;="&amp;AsOfWeek),""))</f>
        <v/>
      </c>
      <c r="Q67" s="20">
        <f>IF(OR(B67="",AsOfWeek=""),"",IFERROR(SUMIFS($M$5:$M$504,$B$5:$B$504,B67,$C$5:$C$504,C67,$L$5:$L$504,TRUE,$F$5:$F$504,"&gt;="&amp;AsOfWeek-7*(RecentWeeks+PriorWeeks-1),$F$5:$F$504,"&lt;"&amp;AsOfWeek-7*(RecentWeeks-1)),""))</f>
        <v/>
      </c>
      <c r="R67" s="21">
        <f>IF(OR(P67="",Q67="",Q67=0),"",P67/Q67-1)</f>
        <v/>
      </c>
      <c r="S67" s="20">
        <f>IF(OR(C67="",AsOfWeek=""),"",IFERROR(AVERAGEIFS($M$5:$M$504,$C$5:$C$504,C67,$L$5:$L$504,TRUE,$F$5:$F$504,"&gt;="&amp;AsOfWeek-7*(RecentWeeks-1),$F$5:$F$504,"&lt;="&amp;AsOfWeek),""))</f>
        <v/>
      </c>
      <c r="T67" s="21">
        <f>IF(OR(P67="",S67=""),"",P67/S67-1)</f>
        <v/>
      </c>
      <c r="U67" s="22">
        <f>IF(OR(B67="",'Weekly Input'!G67="",P67="",P67=0),"",'Weekly Input'!G67/P67)</f>
        <v/>
      </c>
      <c r="V67" s="18">
        <f>IF(B67="","",IF(NOT(I67),"Not Ready",IF(NOT(K67),"Not Ready",IF(N67&lt;MinHistory,"Not Ready",IF(NOT(J67),"Not Ready",IF(OR(Q67="",Q67=0),"Noise",IF(Q67&lt;LowBaseThreshold,"Noise",IF(AND(R67&lt;=-OwnDecline,T67&lt;=-PeerGapThreshold),"Markdown Review",IF(AND(R67&gt;=ReorderUplift,U67&lt;&gt;"",U67&lt;=WeeksSupplyCap),"Reorder Candidate","Monitor"))))))))</f>
        <v/>
      </c>
      <c r="W67" s="18">
        <f>IF(B67="","",IF(NOT(I67),"INVALID_MASTER",IF(NOT(K67),"INCOMPLETE_SHELF_CYCLE",IF(N67&lt;MinHistory,"INSUFFICIENT_HISTORY",IF(NOT(J67),"INSUFFICIENT_IN_STOCK",IF(OR(Q67="",Q67=0),"NO_PRIOR_BASE",IF(Q67&lt;LowBaseThreshold,"LOW_BASE_NOISE",IF(V67="Markdown Review","MARKDOWN_PEER_GAP",IF(V67="Reorder Candidate","REORDER_UPLIFT_COVER","NO_MATERIAL_CHANGE"))))))))</f>
        <v/>
      </c>
      <c r="X67" s="18">
        <f>IF(V67="Markdown Review","Markdown support",IF(V67="Reorder Candidate","Second reorder",IF(V67="Monitor","Monitor",IF(V67="Noise","Hold / collect data",IF(V67="Not Ready","Not ready","")))))</f>
        <v/>
      </c>
      <c r="Y67" s="18">
        <f>IF(OR(R67="",T67=""),"",ABS(R67)+ABS(T67))</f>
        <v/>
      </c>
      <c r="Z67" s="21">
        <f>IF(OR(B67="",NOT(O67),R67=""),"",IF(ABS(R67)&gt;=MaterialThreshold,"Yes","No"))</f>
        <v/>
      </c>
      <c r="AA67" s="18">
        <f>IF(Z67&lt;&gt;"Yes","",IF(ABS(R67)&gt;=MaterialThreshold,IF(ABS(R67)&gt;=BroadShare,"Broad SKU movement","Store-concentrated movement"),""))</f>
        <v/>
      </c>
      <c r="AB67" s="18">
        <f>IF(O67,IF(COUNTIFS($O$5:O67,TRUE)&gt;0,COUNTIFS($O$5:O67,TRUE),0),0)</f>
        <v/>
      </c>
      <c r="AC67" s="18">
        <f>IF(V67="Markdown Review",1,IF(V67="Reorder Candidate",2,IF(V67="Monitor",3,IF(V67="Noise",4,IF(V67="Not Ready",5,99)))))</f>
        <v/>
      </c>
      <c r="AD67" s="18">
        <f>IF(O67,COUNTIFS($O$5:$O$504,TRUE,$AC$5:$AC$504,"&lt;"&amp;AC67)+COUNTIFS($O$5:O67,TRUE,$AC$5:AC67,AC67,$Y$5:Y67,"&gt;"&amp;Y67),0)</f>
        <v/>
      </c>
    </row>
    <row r="68">
      <c r="A68" s="17">
        <f>IF(COUNTA('Weekly Input'!A68:C68)=0,"",'Weekly Input'!B68&amp;"|"&amp;'Weekly Input'!C68&amp;"|"&amp;TEXT('Weekly Input'!A68,"yyyy-mm-dd"))</f>
        <v/>
      </c>
      <c r="B68" s="18">
        <f>'Weekly Input'!B68</f>
        <v/>
      </c>
      <c r="C68" s="18">
        <f>'Weekly Input'!C68</f>
        <v/>
      </c>
      <c r="D68" s="18">
        <f>IF(B68="","",IFERROR(INDEX('Master Data'!$B$6:$B$145,MATCH(B68,'Master Data'!$A$6:$A$145,0)),""))</f>
        <v/>
      </c>
      <c r="E68" s="18">
        <f>IF(C68="","",IFERROR(INDEX('Master Data'!$H$6:$H$13,MATCH(C68,'Master Data'!$F$6:$F$13,0)),""))</f>
        <v/>
      </c>
      <c r="F68" s="19">
        <f>'Weekly Input'!A68</f>
        <v/>
      </c>
      <c r="G68" s="19">
        <f>IF(B68="","",IFERROR(INDEX('Master Data'!$D$6:$D$145,MATCH(B68,'Master Data'!$A$6:$A$145,0)),""))</f>
        <v/>
      </c>
      <c r="H68" s="18">
        <f>IF(OR(F68="",G68=""),"",F68-G68)</f>
        <v/>
      </c>
      <c r="I68" s="18">
        <f>IF(B68="","",IF('Weekly Input'!J68="OK",TRUE,FALSE))</f>
        <v/>
      </c>
      <c r="J68" s="18">
        <f>IF(B68="","",'Weekly Input'!H68&gt;=MinInStockDays)</f>
        <v/>
      </c>
      <c r="K68" s="18">
        <f>IF(B68="","",H68&gt;=FullCycleMin)</f>
        <v/>
      </c>
      <c r="L68" s="18">
        <f>IF(B68="","",AND(I68,J68,K68,N68&gt;=MinHistory))</f>
        <v/>
      </c>
      <c r="M68" s="20">
        <f>IF(OR(B68="",'Weekly Input'!H68=0),"",'Weekly Input'!D68/'Weekly Input'!H68*7)</f>
        <v/>
      </c>
      <c r="N68" s="18">
        <f>IF(B68="","",COUNTIFS($B$5:$B$504,B68,$C$5:$C$504,C68,$I$5:$I$504,TRUE,$J$5:$J$504,TRUE,$K$5:$K$504,TRUE))</f>
        <v/>
      </c>
      <c r="O68" s="18">
        <f>IF(B68="","",AND(F68=AsOfWeek,AsOfWeek&lt;&gt;""))</f>
        <v/>
      </c>
      <c r="P68" s="20">
        <f>IF(OR(B68="",AsOfWeek=""),"",IFERROR(SUMIFS($M$5:$M$504,$B$5:$B$504,B68,$C$5:$C$504,C68,$L$5:$L$504,TRUE,$F$5:$F$504,"&gt;="&amp;AsOfWeek-7*(RecentWeeks-1),$F$5:$F$504,"&lt;="&amp;AsOfWeek),""))</f>
        <v/>
      </c>
      <c r="Q68" s="20">
        <f>IF(OR(B68="",AsOfWeek=""),"",IFERROR(SUMIFS($M$5:$M$504,$B$5:$B$504,B68,$C$5:$C$504,C68,$L$5:$L$504,TRUE,$F$5:$F$504,"&gt;="&amp;AsOfWeek-7*(RecentWeeks+PriorWeeks-1),$F$5:$F$504,"&lt;"&amp;AsOfWeek-7*(RecentWeeks-1)),""))</f>
        <v/>
      </c>
      <c r="R68" s="21">
        <f>IF(OR(P68="",Q68="",Q68=0),"",P68/Q68-1)</f>
        <v/>
      </c>
      <c r="S68" s="20">
        <f>IF(OR(C68="",AsOfWeek=""),"",IFERROR(AVERAGEIFS($M$5:$M$504,$C$5:$C$504,C68,$L$5:$L$504,TRUE,$F$5:$F$504,"&gt;="&amp;AsOfWeek-7*(RecentWeeks-1),$F$5:$F$504,"&lt;="&amp;AsOfWeek),""))</f>
        <v/>
      </c>
      <c r="T68" s="21">
        <f>IF(OR(P68="",S68=""),"",P68/S68-1)</f>
        <v/>
      </c>
      <c r="U68" s="22">
        <f>IF(OR(B68="",'Weekly Input'!G68="",P68="",P68=0),"",'Weekly Input'!G68/P68)</f>
        <v/>
      </c>
      <c r="V68" s="18">
        <f>IF(B68="","",IF(NOT(I68),"Not Ready",IF(NOT(K68),"Not Ready",IF(N68&lt;MinHistory,"Not Ready",IF(NOT(J68),"Not Ready",IF(OR(Q68="",Q68=0),"Noise",IF(Q68&lt;LowBaseThreshold,"Noise",IF(AND(R68&lt;=-OwnDecline,T68&lt;=-PeerGapThreshold),"Markdown Review",IF(AND(R68&gt;=ReorderUplift,U68&lt;&gt;"",U68&lt;=WeeksSupplyCap),"Reorder Candidate","Monitor"))))))))</f>
        <v/>
      </c>
      <c r="W68" s="18">
        <f>IF(B68="","",IF(NOT(I68),"INVALID_MASTER",IF(NOT(K68),"INCOMPLETE_SHELF_CYCLE",IF(N68&lt;MinHistory,"INSUFFICIENT_HISTORY",IF(NOT(J68),"INSUFFICIENT_IN_STOCK",IF(OR(Q68="",Q68=0),"NO_PRIOR_BASE",IF(Q68&lt;LowBaseThreshold,"LOW_BASE_NOISE",IF(V68="Markdown Review","MARKDOWN_PEER_GAP",IF(V68="Reorder Candidate","REORDER_UPLIFT_COVER","NO_MATERIAL_CHANGE"))))))))</f>
        <v/>
      </c>
      <c r="X68" s="18">
        <f>IF(V68="Markdown Review","Markdown support",IF(V68="Reorder Candidate","Second reorder",IF(V68="Monitor","Monitor",IF(V68="Noise","Hold / collect data",IF(V68="Not Ready","Not ready","")))))</f>
        <v/>
      </c>
      <c r="Y68" s="18">
        <f>IF(OR(R68="",T68=""),"",ABS(R68)+ABS(T68))</f>
        <v/>
      </c>
      <c r="Z68" s="21">
        <f>IF(OR(B68="",NOT(O68),R68=""),"",IF(ABS(R68)&gt;=MaterialThreshold,"Yes","No"))</f>
        <v/>
      </c>
      <c r="AA68" s="18">
        <f>IF(Z68&lt;&gt;"Yes","",IF(ABS(R68)&gt;=MaterialThreshold,IF(ABS(R68)&gt;=BroadShare,"Broad SKU movement","Store-concentrated movement"),""))</f>
        <v/>
      </c>
      <c r="AB68" s="18">
        <f>IF(O68,IF(COUNTIFS($O$5:O68,TRUE)&gt;0,COUNTIFS($O$5:O68,TRUE),0),0)</f>
        <v/>
      </c>
      <c r="AC68" s="18">
        <f>IF(V68="Markdown Review",1,IF(V68="Reorder Candidate",2,IF(V68="Monitor",3,IF(V68="Noise",4,IF(V68="Not Ready",5,99)))))</f>
        <v/>
      </c>
      <c r="AD68" s="18">
        <f>IF(O68,COUNTIFS($O$5:$O$504,TRUE,$AC$5:$AC$504,"&lt;"&amp;AC68)+COUNTIFS($O$5:O68,TRUE,$AC$5:AC68,AC68,$Y$5:Y68,"&gt;"&amp;Y68),0)</f>
        <v/>
      </c>
    </row>
    <row r="69">
      <c r="A69" s="17">
        <f>IF(COUNTA('Weekly Input'!A69:C69)=0,"",'Weekly Input'!B69&amp;"|"&amp;'Weekly Input'!C69&amp;"|"&amp;TEXT('Weekly Input'!A69,"yyyy-mm-dd"))</f>
        <v/>
      </c>
      <c r="B69" s="18">
        <f>'Weekly Input'!B69</f>
        <v/>
      </c>
      <c r="C69" s="18">
        <f>'Weekly Input'!C69</f>
        <v/>
      </c>
      <c r="D69" s="18">
        <f>IF(B69="","",IFERROR(INDEX('Master Data'!$B$6:$B$145,MATCH(B69,'Master Data'!$A$6:$A$145,0)),""))</f>
        <v/>
      </c>
      <c r="E69" s="18">
        <f>IF(C69="","",IFERROR(INDEX('Master Data'!$H$6:$H$13,MATCH(C69,'Master Data'!$F$6:$F$13,0)),""))</f>
        <v/>
      </c>
      <c r="F69" s="19">
        <f>'Weekly Input'!A69</f>
        <v/>
      </c>
      <c r="G69" s="19">
        <f>IF(B69="","",IFERROR(INDEX('Master Data'!$D$6:$D$145,MATCH(B69,'Master Data'!$A$6:$A$145,0)),""))</f>
        <v/>
      </c>
      <c r="H69" s="18">
        <f>IF(OR(F69="",G69=""),"",F69-G69)</f>
        <v/>
      </c>
      <c r="I69" s="18">
        <f>IF(B69="","",IF('Weekly Input'!J69="OK",TRUE,FALSE))</f>
        <v/>
      </c>
      <c r="J69" s="18">
        <f>IF(B69="","",'Weekly Input'!H69&gt;=MinInStockDays)</f>
        <v/>
      </c>
      <c r="K69" s="18">
        <f>IF(B69="","",H69&gt;=FullCycleMin)</f>
        <v/>
      </c>
      <c r="L69" s="18">
        <f>IF(B69="","",AND(I69,J69,K69,N69&gt;=MinHistory))</f>
        <v/>
      </c>
      <c r="M69" s="20">
        <f>IF(OR(B69="",'Weekly Input'!H69=0),"",'Weekly Input'!D69/'Weekly Input'!H69*7)</f>
        <v/>
      </c>
      <c r="N69" s="18">
        <f>IF(B69="","",COUNTIFS($B$5:$B$504,B69,$C$5:$C$504,C69,$I$5:$I$504,TRUE,$J$5:$J$504,TRUE,$K$5:$K$504,TRUE))</f>
        <v/>
      </c>
      <c r="O69" s="18">
        <f>IF(B69="","",AND(F69=AsOfWeek,AsOfWeek&lt;&gt;""))</f>
        <v/>
      </c>
      <c r="P69" s="20">
        <f>IF(OR(B69="",AsOfWeek=""),"",IFERROR(SUMIFS($M$5:$M$504,$B$5:$B$504,B69,$C$5:$C$504,C69,$L$5:$L$504,TRUE,$F$5:$F$504,"&gt;="&amp;AsOfWeek-7*(RecentWeeks-1),$F$5:$F$504,"&lt;="&amp;AsOfWeek),""))</f>
        <v/>
      </c>
      <c r="Q69" s="20">
        <f>IF(OR(B69="",AsOfWeek=""),"",IFERROR(SUMIFS($M$5:$M$504,$B$5:$B$504,B69,$C$5:$C$504,C69,$L$5:$L$504,TRUE,$F$5:$F$504,"&gt;="&amp;AsOfWeek-7*(RecentWeeks+PriorWeeks-1),$F$5:$F$504,"&lt;"&amp;AsOfWeek-7*(RecentWeeks-1)),""))</f>
        <v/>
      </c>
      <c r="R69" s="21">
        <f>IF(OR(P69="",Q69="",Q69=0),"",P69/Q69-1)</f>
        <v/>
      </c>
      <c r="S69" s="20">
        <f>IF(OR(C69="",AsOfWeek=""),"",IFERROR(AVERAGEIFS($M$5:$M$504,$C$5:$C$504,C69,$L$5:$L$504,TRUE,$F$5:$F$504,"&gt;="&amp;AsOfWeek-7*(RecentWeeks-1),$F$5:$F$504,"&lt;="&amp;AsOfWeek),""))</f>
        <v/>
      </c>
      <c r="T69" s="21">
        <f>IF(OR(P69="",S69=""),"",P69/S69-1)</f>
        <v/>
      </c>
      <c r="U69" s="22">
        <f>IF(OR(B69="",'Weekly Input'!G69="",P69="",P69=0),"",'Weekly Input'!G69/P69)</f>
        <v/>
      </c>
      <c r="V69" s="18">
        <f>IF(B69="","",IF(NOT(I69),"Not Ready",IF(NOT(K69),"Not Ready",IF(N69&lt;MinHistory,"Not Ready",IF(NOT(J69),"Not Ready",IF(OR(Q69="",Q69=0),"Noise",IF(Q69&lt;LowBaseThreshold,"Noise",IF(AND(R69&lt;=-OwnDecline,T69&lt;=-PeerGapThreshold),"Markdown Review",IF(AND(R69&gt;=ReorderUplift,U69&lt;&gt;"",U69&lt;=WeeksSupplyCap),"Reorder Candidate","Monitor"))))))))</f>
        <v/>
      </c>
      <c r="W69" s="18">
        <f>IF(B69="","",IF(NOT(I69),"INVALID_MASTER",IF(NOT(K69),"INCOMPLETE_SHELF_CYCLE",IF(N69&lt;MinHistory,"INSUFFICIENT_HISTORY",IF(NOT(J69),"INSUFFICIENT_IN_STOCK",IF(OR(Q69="",Q69=0),"NO_PRIOR_BASE",IF(Q69&lt;LowBaseThreshold,"LOW_BASE_NOISE",IF(V69="Markdown Review","MARKDOWN_PEER_GAP",IF(V69="Reorder Candidate","REORDER_UPLIFT_COVER","NO_MATERIAL_CHANGE"))))))))</f>
        <v/>
      </c>
      <c r="X69" s="18">
        <f>IF(V69="Markdown Review","Markdown support",IF(V69="Reorder Candidate","Second reorder",IF(V69="Monitor","Monitor",IF(V69="Noise","Hold / collect data",IF(V69="Not Ready","Not ready","")))))</f>
        <v/>
      </c>
      <c r="Y69" s="18">
        <f>IF(OR(R69="",T69=""),"",ABS(R69)+ABS(T69))</f>
        <v/>
      </c>
      <c r="Z69" s="21">
        <f>IF(OR(B69="",NOT(O69),R69=""),"",IF(ABS(R69)&gt;=MaterialThreshold,"Yes","No"))</f>
        <v/>
      </c>
      <c r="AA69" s="18">
        <f>IF(Z69&lt;&gt;"Yes","",IF(ABS(R69)&gt;=MaterialThreshold,IF(ABS(R69)&gt;=BroadShare,"Broad SKU movement","Store-concentrated movement"),""))</f>
        <v/>
      </c>
      <c r="AB69" s="18">
        <f>IF(O69,IF(COUNTIFS($O$5:O69,TRUE)&gt;0,COUNTIFS($O$5:O69,TRUE),0),0)</f>
        <v/>
      </c>
      <c r="AC69" s="18">
        <f>IF(V69="Markdown Review",1,IF(V69="Reorder Candidate",2,IF(V69="Monitor",3,IF(V69="Noise",4,IF(V69="Not Ready",5,99)))))</f>
        <v/>
      </c>
      <c r="AD69" s="18">
        <f>IF(O69,COUNTIFS($O$5:$O$504,TRUE,$AC$5:$AC$504,"&lt;"&amp;AC69)+COUNTIFS($O$5:O69,TRUE,$AC$5:AC69,AC69,$Y$5:Y69,"&gt;"&amp;Y69),0)</f>
        <v/>
      </c>
    </row>
    <row r="70">
      <c r="A70" s="17">
        <f>IF(COUNTA('Weekly Input'!A70:C70)=0,"",'Weekly Input'!B70&amp;"|"&amp;'Weekly Input'!C70&amp;"|"&amp;TEXT('Weekly Input'!A70,"yyyy-mm-dd"))</f>
        <v/>
      </c>
      <c r="B70" s="18">
        <f>'Weekly Input'!B70</f>
        <v/>
      </c>
      <c r="C70" s="18">
        <f>'Weekly Input'!C70</f>
        <v/>
      </c>
      <c r="D70" s="18">
        <f>IF(B70="","",IFERROR(INDEX('Master Data'!$B$6:$B$145,MATCH(B70,'Master Data'!$A$6:$A$145,0)),""))</f>
        <v/>
      </c>
      <c r="E70" s="18">
        <f>IF(C70="","",IFERROR(INDEX('Master Data'!$H$6:$H$13,MATCH(C70,'Master Data'!$F$6:$F$13,0)),""))</f>
        <v/>
      </c>
      <c r="F70" s="19">
        <f>'Weekly Input'!A70</f>
        <v/>
      </c>
      <c r="G70" s="19">
        <f>IF(B70="","",IFERROR(INDEX('Master Data'!$D$6:$D$145,MATCH(B70,'Master Data'!$A$6:$A$145,0)),""))</f>
        <v/>
      </c>
      <c r="H70" s="18">
        <f>IF(OR(F70="",G70=""),"",F70-G70)</f>
        <v/>
      </c>
      <c r="I70" s="18">
        <f>IF(B70="","",IF('Weekly Input'!J70="OK",TRUE,FALSE))</f>
        <v/>
      </c>
      <c r="J70" s="18">
        <f>IF(B70="","",'Weekly Input'!H70&gt;=MinInStockDays)</f>
        <v/>
      </c>
      <c r="K70" s="18">
        <f>IF(B70="","",H70&gt;=FullCycleMin)</f>
        <v/>
      </c>
      <c r="L70" s="18">
        <f>IF(B70="","",AND(I70,J70,K70,N70&gt;=MinHistory))</f>
        <v/>
      </c>
      <c r="M70" s="20">
        <f>IF(OR(B70="",'Weekly Input'!H70=0),"",'Weekly Input'!D70/'Weekly Input'!H70*7)</f>
        <v/>
      </c>
      <c r="N70" s="18">
        <f>IF(B70="","",COUNTIFS($B$5:$B$504,B70,$C$5:$C$504,C70,$I$5:$I$504,TRUE,$J$5:$J$504,TRUE,$K$5:$K$504,TRUE))</f>
        <v/>
      </c>
      <c r="O70" s="18">
        <f>IF(B70="","",AND(F70=AsOfWeek,AsOfWeek&lt;&gt;""))</f>
        <v/>
      </c>
      <c r="P70" s="20">
        <f>IF(OR(B70="",AsOfWeek=""),"",IFERROR(SUMIFS($M$5:$M$504,$B$5:$B$504,B70,$C$5:$C$504,C70,$L$5:$L$504,TRUE,$F$5:$F$504,"&gt;="&amp;AsOfWeek-7*(RecentWeeks-1),$F$5:$F$504,"&lt;="&amp;AsOfWeek),""))</f>
        <v/>
      </c>
      <c r="Q70" s="20">
        <f>IF(OR(B70="",AsOfWeek=""),"",IFERROR(SUMIFS($M$5:$M$504,$B$5:$B$504,B70,$C$5:$C$504,C70,$L$5:$L$504,TRUE,$F$5:$F$504,"&gt;="&amp;AsOfWeek-7*(RecentWeeks+PriorWeeks-1),$F$5:$F$504,"&lt;"&amp;AsOfWeek-7*(RecentWeeks-1)),""))</f>
        <v/>
      </c>
      <c r="R70" s="21">
        <f>IF(OR(P70="",Q70="",Q70=0),"",P70/Q70-1)</f>
        <v/>
      </c>
      <c r="S70" s="20">
        <f>IF(OR(C70="",AsOfWeek=""),"",IFERROR(AVERAGEIFS($M$5:$M$504,$C$5:$C$504,C70,$L$5:$L$504,TRUE,$F$5:$F$504,"&gt;="&amp;AsOfWeek-7*(RecentWeeks-1),$F$5:$F$504,"&lt;="&amp;AsOfWeek),""))</f>
        <v/>
      </c>
      <c r="T70" s="21">
        <f>IF(OR(P70="",S70=""),"",P70/S70-1)</f>
        <v/>
      </c>
      <c r="U70" s="22">
        <f>IF(OR(B70="",'Weekly Input'!G70="",P70="",P70=0),"",'Weekly Input'!G70/P70)</f>
        <v/>
      </c>
      <c r="V70" s="18">
        <f>IF(B70="","",IF(NOT(I70),"Not Ready",IF(NOT(K70),"Not Ready",IF(N70&lt;MinHistory,"Not Ready",IF(NOT(J70),"Not Ready",IF(OR(Q70="",Q70=0),"Noise",IF(Q70&lt;LowBaseThreshold,"Noise",IF(AND(R70&lt;=-OwnDecline,T70&lt;=-PeerGapThreshold),"Markdown Review",IF(AND(R70&gt;=ReorderUplift,U70&lt;&gt;"",U70&lt;=WeeksSupplyCap),"Reorder Candidate","Monitor"))))))))</f>
        <v/>
      </c>
      <c r="W70" s="18">
        <f>IF(B70="","",IF(NOT(I70),"INVALID_MASTER",IF(NOT(K70),"INCOMPLETE_SHELF_CYCLE",IF(N70&lt;MinHistory,"INSUFFICIENT_HISTORY",IF(NOT(J70),"INSUFFICIENT_IN_STOCK",IF(OR(Q70="",Q70=0),"NO_PRIOR_BASE",IF(Q70&lt;LowBaseThreshold,"LOW_BASE_NOISE",IF(V70="Markdown Review","MARKDOWN_PEER_GAP",IF(V70="Reorder Candidate","REORDER_UPLIFT_COVER","NO_MATERIAL_CHANGE"))))))))</f>
        <v/>
      </c>
      <c r="X70" s="18">
        <f>IF(V70="Markdown Review","Markdown support",IF(V70="Reorder Candidate","Second reorder",IF(V70="Monitor","Monitor",IF(V70="Noise","Hold / collect data",IF(V70="Not Ready","Not ready","")))))</f>
        <v/>
      </c>
      <c r="Y70" s="18">
        <f>IF(OR(R70="",T70=""),"",ABS(R70)+ABS(T70))</f>
        <v/>
      </c>
      <c r="Z70" s="21">
        <f>IF(OR(B70="",NOT(O70),R70=""),"",IF(ABS(R70)&gt;=MaterialThreshold,"Yes","No"))</f>
        <v/>
      </c>
      <c r="AA70" s="18">
        <f>IF(Z70&lt;&gt;"Yes","",IF(ABS(R70)&gt;=MaterialThreshold,IF(ABS(R70)&gt;=BroadShare,"Broad SKU movement","Store-concentrated movement"),""))</f>
        <v/>
      </c>
      <c r="AB70" s="18">
        <f>IF(O70,IF(COUNTIFS($O$5:O70,TRUE)&gt;0,COUNTIFS($O$5:O70,TRUE),0),0)</f>
        <v/>
      </c>
      <c r="AC70" s="18">
        <f>IF(V70="Markdown Review",1,IF(V70="Reorder Candidate",2,IF(V70="Monitor",3,IF(V70="Noise",4,IF(V70="Not Ready",5,99)))))</f>
        <v/>
      </c>
      <c r="AD70" s="18">
        <f>IF(O70,COUNTIFS($O$5:$O$504,TRUE,$AC$5:$AC$504,"&lt;"&amp;AC70)+COUNTIFS($O$5:O70,TRUE,$AC$5:AC70,AC70,$Y$5:Y70,"&gt;"&amp;Y70),0)</f>
        <v/>
      </c>
    </row>
    <row r="71">
      <c r="A71" s="17">
        <f>IF(COUNTA('Weekly Input'!A71:C71)=0,"",'Weekly Input'!B71&amp;"|"&amp;'Weekly Input'!C71&amp;"|"&amp;TEXT('Weekly Input'!A71,"yyyy-mm-dd"))</f>
        <v/>
      </c>
      <c r="B71" s="18">
        <f>'Weekly Input'!B71</f>
        <v/>
      </c>
      <c r="C71" s="18">
        <f>'Weekly Input'!C71</f>
        <v/>
      </c>
      <c r="D71" s="18">
        <f>IF(B71="","",IFERROR(INDEX('Master Data'!$B$6:$B$145,MATCH(B71,'Master Data'!$A$6:$A$145,0)),""))</f>
        <v/>
      </c>
      <c r="E71" s="18">
        <f>IF(C71="","",IFERROR(INDEX('Master Data'!$H$6:$H$13,MATCH(C71,'Master Data'!$F$6:$F$13,0)),""))</f>
        <v/>
      </c>
      <c r="F71" s="19">
        <f>'Weekly Input'!A71</f>
        <v/>
      </c>
      <c r="G71" s="19">
        <f>IF(B71="","",IFERROR(INDEX('Master Data'!$D$6:$D$145,MATCH(B71,'Master Data'!$A$6:$A$145,0)),""))</f>
        <v/>
      </c>
      <c r="H71" s="18">
        <f>IF(OR(F71="",G71=""),"",F71-G71)</f>
        <v/>
      </c>
      <c r="I71" s="18">
        <f>IF(B71="","",IF('Weekly Input'!J71="OK",TRUE,FALSE))</f>
        <v/>
      </c>
      <c r="J71" s="18">
        <f>IF(B71="","",'Weekly Input'!H71&gt;=MinInStockDays)</f>
        <v/>
      </c>
      <c r="K71" s="18">
        <f>IF(B71="","",H71&gt;=FullCycleMin)</f>
        <v/>
      </c>
      <c r="L71" s="18">
        <f>IF(B71="","",AND(I71,J71,K71,N71&gt;=MinHistory))</f>
        <v/>
      </c>
      <c r="M71" s="20">
        <f>IF(OR(B71="",'Weekly Input'!H71=0),"",'Weekly Input'!D71/'Weekly Input'!H71*7)</f>
        <v/>
      </c>
      <c r="N71" s="18">
        <f>IF(B71="","",COUNTIFS($B$5:$B$504,B71,$C$5:$C$504,C71,$I$5:$I$504,TRUE,$J$5:$J$504,TRUE,$K$5:$K$504,TRUE))</f>
        <v/>
      </c>
      <c r="O71" s="18">
        <f>IF(B71="","",AND(F71=AsOfWeek,AsOfWeek&lt;&gt;""))</f>
        <v/>
      </c>
      <c r="P71" s="20">
        <f>IF(OR(B71="",AsOfWeek=""),"",IFERROR(SUMIFS($M$5:$M$504,$B$5:$B$504,B71,$C$5:$C$504,C71,$L$5:$L$504,TRUE,$F$5:$F$504,"&gt;="&amp;AsOfWeek-7*(RecentWeeks-1),$F$5:$F$504,"&lt;="&amp;AsOfWeek),""))</f>
        <v/>
      </c>
      <c r="Q71" s="20">
        <f>IF(OR(B71="",AsOfWeek=""),"",IFERROR(SUMIFS($M$5:$M$504,$B$5:$B$504,B71,$C$5:$C$504,C71,$L$5:$L$504,TRUE,$F$5:$F$504,"&gt;="&amp;AsOfWeek-7*(RecentWeeks+PriorWeeks-1),$F$5:$F$504,"&lt;"&amp;AsOfWeek-7*(RecentWeeks-1)),""))</f>
        <v/>
      </c>
      <c r="R71" s="21">
        <f>IF(OR(P71="",Q71="",Q71=0),"",P71/Q71-1)</f>
        <v/>
      </c>
      <c r="S71" s="20">
        <f>IF(OR(C71="",AsOfWeek=""),"",IFERROR(AVERAGEIFS($M$5:$M$504,$C$5:$C$504,C71,$L$5:$L$504,TRUE,$F$5:$F$504,"&gt;="&amp;AsOfWeek-7*(RecentWeeks-1),$F$5:$F$504,"&lt;="&amp;AsOfWeek),""))</f>
        <v/>
      </c>
      <c r="T71" s="21">
        <f>IF(OR(P71="",S71=""),"",P71/S71-1)</f>
        <v/>
      </c>
      <c r="U71" s="22">
        <f>IF(OR(B71="",'Weekly Input'!G71="",P71="",P71=0),"",'Weekly Input'!G71/P71)</f>
        <v/>
      </c>
      <c r="V71" s="18">
        <f>IF(B71="","",IF(NOT(I71),"Not Ready",IF(NOT(K71),"Not Ready",IF(N71&lt;MinHistory,"Not Ready",IF(NOT(J71),"Not Ready",IF(OR(Q71="",Q71=0),"Noise",IF(Q71&lt;LowBaseThreshold,"Noise",IF(AND(R71&lt;=-OwnDecline,T71&lt;=-PeerGapThreshold),"Markdown Review",IF(AND(R71&gt;=ReorderUplift,U71&lt;&gt;"",U71&lt;=WeeksSupplyCap),"Reorder Candidate","Monitor"))))))))</f>
        <v/>
      </c>
      <c r="W71" s="18">
        <f>IF(B71="","",IF(NOT(I71),"INVALID_MASTER",IF(NOT(K71),"INCOMPLETE_SHELF_CYCLE",IF(N71&lt;MinHistory,"INSUFFICIENT_HISTORY",IF(NOT(J71),"INSUFFICIENT_IN_STOCK",IF(OR(Q71="",Q71=0),"NO_PRIOR_BASE",IF(Q71&lt;LowBaseThreshold,"LOW_BASE_NOISE",IF(V71="Markdown Review","MARKDOWN_PEER_GAP",IF(V71="Reorder Candidate","REORDER_UPLIFT_COVER","NO_MATERIAL_CHANGE"))))))))</f>
        <v/>
      </c>
      <c r="X71" s="18">
        <f>IF(V71="Markdown Review","Markdown support",IF(V71="Reorder Candidate","Second reorder",IF(V71="Monitor","Monitor",IF(V71="Noise","Hold / collect data",IF(V71="Not Ready","Not ready","")))))</f>
        <v/>
      </c>
      <c r="Y71" s="18">
        <f>IF(OR(R71="",T71=""),"",ABS(R71)+ABS(T71))</f>
        <v/>
      </c>
      <c r="Z71" s="21">
        <f>IF(OR(B71="",NOT(O71),R71=""),"",IF(ABS(R71)&gt;=MaterialThreshold,"Yes","No"))</f>
        <v/>
      </c>
      <c r="AA71" s="18">
        <f>IF(Z71&lt;&gt;"Yes","",IF(ABS(R71)&gt;=MaterialThreshold,IF(ABS(R71)&gt;=BroadShare,"Broad SKU movement","Store-concentrated movement"),""))</f>
        <v/>
      </c>
      <c r="AB71" s="18">
        <f>IF(O71,IF(COUNTIFS($O$5:O71,TRUE)&gt;0,COUNTIFS($O$5:O71,TRUE),0),0)</f>
        <v/>
      </c>
      <c r="AC71" s="18">
        <f>IF(V71="Markdown Review",1,IF(V71="Reorder Candidate",2,IF(V71="Monitor",3,IF(V71="Noise",4,IF(V71="Not Ready",5,99)))))</f>
        <v/>
      </c>
      <c r="AD71" s="18">
        <f>IF(O71,COUNTIFS($O$5:$O$504,TRUE,$AC$5:$AC$504,"&lt;"&amp;AC71)+COUNTIFS($O$5:O71,TRUE,$AC$5:AC71,AC71,$Y$5:Y71,"&gt;"&amp;Y71),0)</f>
        <v/>
      </c>
    </row>
    <row r="72">
      <c r="A72" s="17">
        <f>IF(COUNTA('Weekly Input'!A72:C72)=0,"",'Weekly Input'!B72&amp;"|"&amp;'Weekly Input'!C72&amp;"|"&amp;TEXT('Weekly Input'!A72,"yyyy-mm-dd"))</f>
        <v/>
      </c>
      <c r="B72" s="18">
        <f>'Weekly Input'!B72</f>
        <v/>
      </c>
      <c r="C72" s="18">
        <f>'Weekly Input'!C72</f>
        <v/>
      </c>
      <c r="D72" s="18">
        <f>IF(B72="","",IFERROR(INDEX('Master Data'!$B$6:$B$145,MATCH(B72,'Master Data'!$A$6:$A$145,0)),""))</f>
        <v/>
      </c>
      <c r="E72" s="18">
        <f>IF(C72="","",IFERROR(INDEX('Master Data'!$H$6:$H$13,MATCH(C72,'Master Data'!$F$6:$F$13,0)),""))</f>
        <v/>
      </c>
      <c r="F72" s="19">
        <f>'Weekly Input'!A72</f>
        <v/>
      </c>
      <c r="G72" s="19">
        <f>IF(B72="","",IFERROR(INDEX('Master Data'!$D$6:$D$145,MATCH(B72,'Master Data'!$A$6:$A$145,0)),""))</f>
        <v/>
      </c>
      <c r="H72" s="18">
        <f>IF(OR(F72="",G72=""),"",F72-G72)</f>
        <v/>
      </c>
      <c r="I72" s="18">
        <f>IF(B72="","",IF('Weekly Input'!J72="OK",TRUE,FALSE))</f>
        <v/>
      </c>
      <c r="J72" s="18">
        <f>IF(B72="","",'Weekly Input'!H72&gt;=MinInStockDays)</f>
        <v/>
      </c>
      <c r="K72" s="18">
        <f>IF(B72="","",H72&gt;=FullCycleMin)</f>
        <v/>
      </c>
      <c r="L72" s="18">
        <f>IF(B72="","",AND(I72,J72,K72,N72&gt;=MinHistory))</f>
        <v/>
      </c>
      <c r="M72" s="20">
        <f>IF(OR(B72="",'Weekly Input'!H72=0),"",'Weekly Input'!D72/'Weekly Input'!H72*7)</f>
        <v/>
      </c>
      <c r="N72" s="18">
        <f>IF(B72="","",COUNTIFS($B$5:$B$504,B72,$C$5:$C$504,C72,$I$5:$I$504,TRUE,$J$5:$J$504,TRUE,$K$5:$K$504,TRUE))</f>
        <v/>
      </c>
      <c r="O72" s="18">
        <f>IF(B72="","",AND(F72=AsOfWeek,AsOfWeek&lt;&gt;""))</f>
        <v/>
      </c>
      <c r="P72" s="20">
        <f>IF(OR(B72="",AsOfWeek=""),"",IFERROR(SUMIFS($M$5:$M$504,$B$5:$B$504,B72,$C$5:$C$504,C72,$L$5:$L$504,TRUE,$F$5:$F$504,"&gt;="&amp;AsOfWeek-7*(RecentWeeks-1),$F$5:$F$504,"&lt;="&amp;AsOfWeek),""))</f>
        <v/>
      </c>
      <c r="Q72" s="20">
        <f>IF(OR(B72="",AsOfWeek=""),"",IFERROR(SUMIFS($M$5:$M$504,$B$5:$B$504,B72,$C$5:$C$504,C72,$L$5:$L$504,TRUE,$F$5:$F$504,"&gt;="&amp;AsOfWeek-7*(RecentWeeks+PriorWeeks-1),$F$5:$F$504,"&lt;"&amp;AsOfWeek-7*(RecentWeeks-1)),""))</f>
        <v/>
      </c>
      <c r="R72" s="21">
        <f>IF(OR(P72="",Q72="",Q72=0),"",P72/Q72-1)</f>
        <v/>
      </c>
      <c r="S72" s="20">
        <f>IF(OR(C72="",AsOfWeek=""),"",IFERROR(AVERAGEIFS($M$5:$M$504,$C$5:$C$504,C72,$L$5:$L$504,TRUE,$F$5:$F$504,"&gt;="&amp;AsOfWeek-7*(RecentWeeks-1),$F$5:$F$504,"&lt;="&amp;AsOfWeek),""))</f>
        <v/>
      </c>
      <c r="T72" s="21">
        <f>IF(OR(P72="",S72=""),"",P72/S72-1)</f>
        <v/>
      </c>
      <c r="U72" s="22">
        <f>IF(OR(B72="",'Weekly Input'!G72="",P72="",P72=0),"",'Weekly Input'!G72/P72)</f>
        <v/>
      </c>
      <c r="V72" s="18">
        <f>IF(B72="","",IF(NOT(I72),"Not Ready",IF(NOT(K72),"Not Ready",IF(N72&lt;MinHistory,"Not Ready",IF(NOT(J72),"Not Ready",IF(OR(Q72="",Q72=0),"Noise",IF(Q72&lt;LowBaseThreshold,"Noise",IF(AND(R72&lt;=-OwnDecline,T72&lt;=-PeerGapThreshold),"Markdown Review",IF(AND(R72&gt;=ReorderUplift,U72&lt;&gt;"",U72&lt;=WeeksSupplyCap),"Reorder Candidate","Monitor"))))))))</f>
        <v/>
      </c>
      <c r="W72" s="18">
        <f>IF(B72="","",IF(NOT(I72),"INVALID_MASTER",IF(NOT(K72),"INCOMPLETE_SHELF_CYCLE",IF(N72&lt;MinHistory,"INSUFFICIENT_HISTORY",IF(NOT(J72),"INSUFFICIENT_IN_STOCK",IF(OR(Q72="",Q72=0),"NO_PRIOR_BASE",IF(Q72&lt;LowBaseThreshold,"LOW_BASE_NOISE",IF(V72="Markdown Review","MARKDOWN_PEER_GAP",IF(V72="Reorder Candidate","REORDER_UPLIFT_COVER","NO_MATERIAL_CHANGE"))))))))</f>
        <v/>
      </c>
      <c r="X72" s="18">
        <f>IF(V72="Markdown Review","Markdown support",IF(V72="Reorder Candidate","Second reorder",IF(V72="Monitor","Monitor",IF(V72="Noise","Hold / collect data",IF(V72="Not Ready","Not ready","")))))</f>
        <v/>
      </c>
      <c r="Y72" s="18">
        <f>IF(OR(R72="",T72=""),"",ABS(R72)+ABS(T72))</f>
        <v/>
      </c>
      <c r="Z72" s="21">
        <f>IF(OR(B72="",NOT(O72),R72=""),"",IF(ABS(R72)&gt;=MaterialThreshold,"Yes","No"))</f>
        <v/>
      </c>
      <c r="AA72" s="18">
        <f>IF(Z72&lt;&gt;"Yes","",IF(ABS(R72)&gt;=MaterialThreshold,IF(ABS(R72)&gt;=BroadShare,"Broad SKU movement","Store-concentrated movement"),""))</f>
        <v/>
      </c>
      <c r="AB72" s="18">
        <f>IF(O72,IF(COUNTIFS($O$5:O72,TRUE)&gt;0,COUNTIFS($O$5:O72,TRUE),0),0)</f>
        <v/>
      </c>
      <c r="AC72" s="18">
        <f>IF(V72="Markdown Review",1,IF(V72="Reorder Candidate",2,IF(V72="Monitor",3,IF(V72="Noise",4,IF(V72="Not Ready",5,99)))))</f>
        <v/>
      </c>
      <c r="AD72" s="18">
        <f>IF(O72,COUNTIFS($O$5:$O$504,TRUE,$AC$5:$AC$504,"&lt;"&amp;AC72)+COUNTIFS($O$5:O72,TRUE,$AC$5:AC72,AC72,$Y$5:Y72,"&gt;"&amp;Y72),0)</f>
        <v/>
      </c>
    </row>
    <row r="73">
      <c r="A73" s="17">
        <f>IF(COUNTA('Weekly Input'!A73:C73)=0,"",'Weekly Input'!B73&amp;"|"&amp;'Weekly Input'!C73&amp;"|"&amp;TEXT('Weekly Input'!A73,"yyyy-mm-dd"))</f>
        <v/>
      </c>
      <c r="B73" s="18">
        <f>'Weekly Input'!B73</f>
        <v/>
      </c>
      <c r="C73" s="18">
        <f>'Weekly Input'!C73</f>
        <v/>
      </c>
      <c r="D73" s="18">
        <f>IF(B73="","",IFERROR(INDEX('Master Data'!$B$6:$B$145,MATCH(B73,'Master Data'!$A$6:$A$145,0)),""))</f>
        <v/>
      </c>
      <c r="E73" s="18">
        <f>IF(C73="","",IFERROR(INDEX('Master Data'!$H$6:$H$13,MATCH(C73,'Master Data'!$F$6:$F$13,0)),""))</f>
        <v/>
      </c>
      <c r="F73" s="19">
        <f>'Weekly Input'!A73</f>
        <v/>
      </c>
      <c r="G73" s="19">
        <f>IF(B73="","",IFERROR(INDEX('Master Data'!$D$6:$D$145,MATCH(B73,'Master Data'!$A$6:$A$145,0)),""))</f>
        <v/>
      </c>
      <c r="H73" s="18">
        <f>IF(OR(F73="",G73=""),"",F73-G73)</f>
        <v/>
      </c>
      <c r="I73" s="18">
        <f>IF(B73="","",IF('Weekly Input'!J73="OK",TRUE,FALSE))</f>
        <v/>
      </c>
      <c r="J73" s="18">
        <f>IF(B73="","",'Weekly Input'!H73&gt;=MinInStockDays)</f>
        <v/>
      </c>
      <c r="K73" s="18">
        <f>IF(B73="","",H73&gt;=FullCycleMin)</f>
        <v/>
      </c>
      <c r="L73" s="18">
        <f>IF(B73="","",AND(I73,J73,K73,N73&gt;=MinHistory))</f>
        <v/>
      </c>
      <c r="M73" s="20">
        <f>IF(OR(B73="",'Weekly Input'!H73=0),"",'Weekly Input'!D73/'Weekly Input'!H73*7)</f>
        <v/>
      </c>
      <c r="N73" s="18">
        <f>IF(B73="","",COUNTIFS($B$5:$B$504,B73,$C$5:$C$504,C73,$I$5:$I$504,TRUE,$J$5:$J$504,TRUE,$K$5:$K$504,TRUE))</f>
        <v/>
      </c>
      <c r="O73" s="18">
        <f>IF(B73="","",AND(F73=AsOfWeek,AsOfWeek&lt;&gt;""))</f>
        <v/>
      </c>
      <c r="P73" s="20">
        <f>IF(OR(B73="",AsOfWeek=""),"",IFERROR(SUMIFS($M$5:$M$504,$B$5:$B$504,B73,$C$5:$C$504,C73,$L$5:$L$504,TRUE,$F$5:$F$504,"&gt;="&amp;AsOfWeek-7*(RecentWeeks-1),$F$5:$F$504,"&lt;="&amp;AsOfWeek),""))</f>
        <v/>
      </c>
      <c r="Q73" s="20">
        <f>IF(OR(B73="",AsOfWeek=""),"",IFERROR(SUMIFS($M$5:$M$504,$B$5:$B$504,B73,$C$5:$C$504,C73,$L$5:$L$504,TRUE,$F$5:$F$504,"&gt;="&amp;AsOfWeek-7*(RecentWeeks+PriorWeeks-1),$F$5:$F$504,"&lt;"&amp;AsOfWeek-7*(RecentWeeks-1)),""))</f>
        <v/>
      </c>
      <c r="R73" s="21">
        <f>IF(OR(P73="",Q73="",Q73=0),"",P73/Q73-1)</f>
        <v/>
      </c>
      <c r="S73" s="20">
        <f>IF(OR(C73="",AsOfWeek=""),"",IFERROR(AVERAGEIFS($M$5:$M$504,$C$5:$C$504,C73,$L$5:$L$504,TRUE,$F$5:$F$504,"&gt;="&amp;AsOfWeek-7*(RecentWeeks-1),$F$5:$F$504,"&lt;="&amp;AsOfWeek),""))</f>
        <v/>
      </c>
      <c r="T73" s="21">
        <f>IF(OR(P73="",S73=""),"",P73/S73-1)</f>
        <v/>
      </c>
      <c r="U73" s="22">
        <f>IF(OR(B73="",'Weekly Input'!G73="",P73="",P73=0),"",'Weekly Input'!G73/P73)</f>
        <v/>
      </c>
      <c r="V73" s="18">
        <f>IF(B73="","",IF(NOT(I73),"Not Ready",IF(NOT(K73),"Not Ready",IF(N73&lt;MinHistory,"Not Ready",IF(NOT(J73),"Not Ready",IF(OR(Q73="",Q73=0),"Noise",IF(Q73&lt;LowBaseThreshold,"Noise",IF(AND(R73&lt;=-OwnDecline,T73&lt;=-PeerGapThreshold),"Markdown Review",IF(AND(R73&gt;=ReorderUplift,U73&lt;&gt;"",U73&lt;=WeeksSupplyCap),"Reorder Candidate","Monitor"))))))))</f>
        <v/>
      </c>
      <c r="W73" s="18">
        <f>IF(B73="","",IF(NOT(I73),"INVALID_MASTER",IF(NOT(K73),"INCOMPLETE_SHELF_CYCLE",IF(N73&lt;MinHistory,"INSUFFICIENT_HISTORY",IF(NOT(J73),"INSUFFICIENT_IN_STOCK",IF(OR(Q73="",Q73=0),"NO_PRIOR_BASE",IF(Q73&lt;LowBaseThreshold,"LOW_BASE_NOISE",IF(V73="Markdown Review","MARKDOWN_PEER_GAP",IF(V73="Reorder Candidate","REORDER_UPLIFT_COVER","NO_MATERIAL_CHANGE"))))))))</f>
        <v/>
      </c>
      <c r="X73" s="18">
        <f>IF(V73="Markdown Review","Markdown support",IF(V73="Reorder Candidate","Second reorder",IF(V73="Monitor","Monitor",IF(V73="Noise","Hold / collect data",IF(V73="Not Ready","Not ready","")))))</f>
        <v/>
      </c>
      <c r="Y73" s="18">
        <f>IF(OR(R73="",T73=""),"",ABS(R73)+ABS(T73))</f>
        <v/>
      </c>
      <c r="Z73" s="21">
        <f>IF(OR(B73="",NOT(O73),R73=""),"",IF(ABS(R73)&gt;=MaterialThreshold,"Yes","No"))</f>
        <v/>
      </c>
      <c r="AA73" s="18">
        <f>IF(Z73&lt;&gt;"Yes","",IF(ABS(R73)&gt;=MaterialThreshold,IF(ABS(R73)&gt;=BroadShare,"Broad SKU movement","Store-concentrated movement"),""))</f>
        <v/>
      </c>
      <c r="AB73" s="18">
        <f>IF(O73,IF(COUNTIFS($O$5:O73,TRUE)&gt;0,COUNTIFS($O$5:O73,TRUE),0),0)</f>
        <v/>
      </c>
      <c r="AC73" s="18">
        <f>IF(V73="Markdown Review",1,IF(V73="Reorder Candidate",2,IF(V73="Monitor",3,IF(V73="Noise",4,IF(V73="Not Ready",5,99)))))</f>
        <v/>
      </c>
      <c r="AD73" s="18">
        <f>IF(O73,COUNTIFS($O$5:$O$504,TRUE,$AC$5:$AC$504,"&lt;"&amp;AC73)+COUNTIFS($O$5:O73,TRUE,$AC$5:AC73,AC73,$Y$5:Y73,"&gt;"&amp;Y73),0)</f>
        <v/>
      </c>
    </row>
    <row r="74">
      <c r="A74" s="17">
        <f>IF(COUNTA('Weekly Input'!A74:C74)=0,"",'Weekly Input'!B74&amp;"|"&amp;'Weekly Input'!C74&amp;"|"&amp;TEXT('Weekly Input'!A74,"yyyy-mm-dd"))</f>
        <v/>
      </c>
      <c r="B74" s="18">
        <f>'Weekly Input'!B74</f>
        <v/>
      </c>
      <c r="C74" s="18">
        <f>'Weekly Input'!C74</f>
        <v/>
      </c>
      <c r="D74" s="18">
        <f>IF(B74="","",IFERROR(INDEX('Master Data'!$B$6:$B$145,MATCH(B74,'Master Data'!$A$6:$A$145,0)),""))</f>
        <v/>
      </c>
      <c r="E74" s="18">
        <f>IF(C74="","",IFERROR(INDEX('Master Data'!$H$6:$H$13,MATCH(C74,'Master Data'!$F$6:$F$13,0)),""))</f>
        <v/>
      </c>
      <c r="F74" s="19">
        <f>'Weekly Input'!A74</f>
        <v/>
      </c>
      <c r="G74" s="19">
        <f>IF(B74="","",IFERROR(INDEX('Master Data'!$D$6:$D$145,MATCH(B74,'Master Data'!$A$6:$A$145,0)),""))</f>
        <v/>
      </c>
      <c r="H74" s="18">
        <f>IF(OR(F74="",G74=""),"",F74-G74)</f>
        <v/>
      </c>
      <c r="I74" s="18">
        <f>IF(B74="","",IF('Weekly Input'!J74="OK",TRUE,FALSE))</f>
        <v/>
      </c>
      <c r="J74" s="18">
        <f>IF(B74="","",'Weekly Input'!H74&gt;=MinInStockDays)</f>
        <v/>
      </c>
      <c r="K74" s="18">
        <f>IF(B74="","",H74&gt;=FullCycleMin)</f>
        <v/>
      </c>
      <c r="L74" s="18">
        <f>IF(B74="","",AND(I74,J74,K74,N74&gt;=MinHistory))</f>
        <v/>
      </c>
      <c r="M74" s="20">
        <f>IF(OR(B74="",'Weekly Input'!H74=0),"",'Weekly Input'!D74/'Weekly Input'!H74*7)</f>
        <v/>
      </c>
      <c r="N74" s="18">
        <f>IF(B74="","",COUNTIFS($B$5:$B$504,B74,$C$5:$C$504,C74,$I$5:$I$504,TRUE,$J$5:$J$504,TRUE,$K$5:$K$504,TRUE))</f>
        <v/>
      </c>
      <c r="O74" s="18">
        <f>IF(B74="","",AND(F74=AsOfWeek,AsOfWeek&lt;&gt;""))</f>
        <v/>
      </c>
      <c r="P74" s="20">
        <f>IF(OR(B74="",AsOfWeek=""),"",IFERROR(SUMIFS($M$5:$M$504,$B$5:$B$504,B74,$C$5:$C$504,C74,$L$5:$L$504,TRUE,$F$5:$F$504,"&gt;="&amp;AsOfWeek-7*(RecentWeeks-1),$F$5:$F$504,"&lt;="&amp;AsOfWeek),""))</f>
        <v/>
      </c>
      <c r="Q74" s="20">
        <f>IF(OR(B74="",AsOfWeek=""),"",IFERROR(SUMIFS($M$5:$M$504,$B$5:$B$504,B74,$C$5:$C$504,C74,$L$5:$L$504,TRUE,$F$5:$F$504,"&gt;="&amp;AsOfWeek-7*(RecentWeeks+PriorWeeks-1),$F$5:$F$504,"&lt;"&amp;AsOfWeek-7*(RecentWeeks-1)),""))</f>
        <v/>
      </c>
      <c r="R74" s="21">
        <f>IF(OR(P74="",Q74="",Q74=0),"",P74/Q74-1)</f>
        <v/>
      </c>
      <c r="S74" s="20">
        <f>IF(OR(C74="",AsOfWeek=""),"",IFERROR(AVERAGEIFS($M$5:$M$504,$C$5:$C$504,C74,$L$5:$L$504,TRUE,$F$5:$F$504,"&gt;="&amp;AsOfWeek-7*(RecentWeeks-1),$F$5:$F$504,"&lt;="&amp;AsOfWeek),""))</f>
        <v/>
      </c>
      <c r="T74" s="21">
        <f>IF(OR(P74="",S74=""),"",P74/S74-1)</f>
        <v/>
      </c>
      <c r="U74" s="22">
        <f>IF(OR(B74="",'Weekly Input'!G74="",P74="",P74=0),"",'Weekly Input'!G74/P74)</f>
        <v/>
      </c>
      <c r="V74" s="18">
        <f>IF(B74="","",IF(NOT(I74),"Not Ready",IF(NOT(K74),"Not Ready",IF(N74&lt;MinHistory,"Not Ready",IF(NOT(J74),"Not Ready",IF(OR(Q74="",Q74=0),"Noise",IF(Q74&lt;LowBaseThreshold,"Noise",IF(AND(R74&lt;=-OwnDecline,T74&lt;=-PeerGapThreshold),"Markdown Review",IF(AND(R74&gt;=ReorderUplift,U74&lt;&gt;"",U74&lt;=WeeksSupplyCap),"Reorder Candidate","Monitor"))))))))</f>
        <v/>
      </c>
      <c r="W74" s="18">
        <f>IF(B74="","",IF(NOT(I74),"INVALID_MASTER",IF(NOT(K74),"INCOMPLETE_SHELF_CYCLE",IF(N74&lt;MinHistory,"INSUFFICIENT_HISTORY",IF(NOT(J74),"INSUFFICIENT_IN_STOCK",IF(OR(Q74="",Q74=0),"NO_PRIOR_BASE",IF(Q74&lt;LowBaseThreshold,"LOW_BASE_NOISE",IF(V74="Markdown Review","MARKDOWN_PEER_GAP",IF(V74="Reorder Candidate","REORDER_UPLIFT_COVER","NO_MATERIAL_CHANGE"))))))))</f>
        <v/>
      </c>
      <c r="X74" s="18">
        <f>IF(V74="Markdown Review","Markdown support",IF(V74="Reorder Candidate","Second reorder",IF(V74="Monitor","Monitor",IF(V74="Noise","Hold / collect data",IF(V74="Not Ready","Not ready","")))))</f>
        <v/>
      </c>
      <c r="Y74" s="18">
        <f>IF(OR(R74="",T74=""),"",ABS(R74)+ABS(T74))</f>
        <v/>
      </c>
      <c r="Z74" s="21">
        <f>IF(OR(B74="",NOT(O74),R74=""),"",IF(ABS(R74)&gt;=MaterialThreshold,"Yes","No"))</f>
        <v/>
      </c>
      <c r="AA74" s="18">
        <f>IF(Z74&lt;&gt;"Yes","",IF(ABS(R74)&gt;=MaterialThreshold,IF(ABS(R74)&gt;=BroadShare,"Broad SKU movement","Store-concentrated movement"),""))</f>
        <v/>
      </c>
      <c r="AB74" s="18">
        <f>IF(O74,IF(COUNTIFS($O$5:O74,TRUE)&gt;0,COUNTIFS($O$5:O74,TRUE),0),0)</f>
        <v/>
      </c>
      <c r="AC74" s="18">
        <f>IF(V74="Markdown Review",1,IF(V74="Reorder Candidate",2,IF(V74="Monitor",3,IF(V74="Noise",4,IF(V74="Not Ready",5,99)))))</f>
        <v/>
      </c>
      <c r="AD74" s="18">
        <f>IF(O74,COUNTIFS($O$5:$O$504,TRUE,$AC$5:$AC$504,"&lt;"&amp;AC74)+COUNTIFS($O$5:O74,TRUE,$AC$5:AC74,AC74,$Y$5:Y74,"&gt;"&amp;Y74),0)</f>
        <v/>
      </c>
    </row>
    <row r="75">
      <c r="A75" s="17">
        <f>IF(COUNTA('Weekly Input'!A75:C75)=0,"",'Weekly Input'!B75&amp;"|"&amp;'Weekly Input'!C75&amp;"|"&amp;TEXT('Weekly Input'!A75,"yyyy-mm-dd"))</f>
        <v/>
      </c>
      <c r="B75" s="18">
        <f>'Weekly Input'!B75</f>
        <v/>
      </c>
      <c r="C75" s="18">
        <f>'Weekly Input'!C75</f>
        <v/>
      </c>
      <c r="D75" s="18">
        <f>IF(B75="","",IFERROR(INDEX('Master Data'!$B$6:$B$145,MATCH(B75,'Master Data'!$A$6:$A$145,0)),""))</f>
        <v/>
      </c>
      <c r="E75" s="18">
        <f>IF(C75="","",IFERROR(INDEX('Master Data'!$H$6:$H$13,MATCH(C75,'Master Data'!$F$6:$F$13,0)),""))</f>
        <v/>
      </c>
      <c r="F75" s="19">
        <f>'Weekly Input'!A75</f>
        <v/>
      </c>
      <c r="G75" s="19">
        <f>IF(B75="","",IFERROR(INDEX('Master Data'!$D$6:$D$145,MATCH(B75,'Master Data'!$A$6:$A$145,0)),""))</f>
        <v/>
      </c>
      <c r="H75" s="18">
        <f>IF(OR(F75="",G75=""),"",F75-G75)</f>
        <v/>
      </c>
      <c r="I75" s="18">
        <f>IF(B75="","",IF('Weekly Input'!J75="OK",TRUE,FALSE))</f>
        <v/>
      </c>
      <c r="J75" s="18">
        <f>IF(B75="","",'Weekly Input'!H75&gt;=MinInStockDays)</f>
        <v/>
      </c>
      <c r="K75" s="18">
        <f>IF(B75="","",H75&gt;=FullCycleMin)</f>
        <v/>
      </c>
      <c r="L75" s="18">
        <f>IF(B75="","",AND(I75,J75,K75,N75&gt;=MinHistory))</f>
        <v/>
      </c>
      <c r="M75" s="20">
        <f>IF(OR(B75="",'Weekly Input'!H75=0),"",'Weekly Input'!D75/'Weekly Input'!H75*7)</f>
        <v/>
      </c>
      <c r="N75" s="18">
        <f>IF(B75="","",COUNTIFS($B$5:$B$504,B75,$C$5:$C$504,C75,$I$5:$I$504,TRUE,$J$5:$J$504,TRUE,$K$5:$K$504,TRUE))</f>
        <v/>
      </c>
      <c r="O75" s="18">
        <f>IF(B75="","",AND(F75=AsOfWeek,AsOfWeek&lt;&gt;""))</f>
        <v/>
      </c>
      <c r="P75" s="20">
        <f>IF(OR(B75="",AsOfWeek=""),"",IFERROR(SUMIFS($M$5:$M$504,$B$5:$B$504,B75,$C$5:$C$504,C75,$L$5:$L$504,TRUE,$F$5:$F$504,"&gt;="&amp;AsOfWeek-7*(RecentWeeks-1),$F$5:$F$504,"&lt;="&amp;AsOfWeek),""))</f>
        <v/>
      </c>
      <c r="Q75" s="20">
        <f>IF(OR(B75="",AsOfWeek=""),"",IFERROR(SUMIFS($M$5:$M$504,$B$5:$B$504,B75,$C$5:$C$504,C75,$L$5:$L$504,TRUE,$F$5:$F$504,"&gt;="&amp;AsOfWeek-7*(RecentWeeks+PriorWeeks-1),$F$5:$F$504,"&lt;"&amp;AsOfWeek-7*(RecentWeeks-1)),""))</f>
        <v/>
      </c>
      <c r="R75" s="21">
        <f>IF(OR(P75="",Q75="",Q75=0),"",P75/Q75-1)</f>
        <v/>
      </c>
      <c r="S75" s="20">
        <f>IF(OR(C75="",AsOfWeek=""),"",IFERROR(AVERAGEIFS($M$5:$M$504,$C$5:$C$504,C75,$L$5:$L$504,TRUE,$F$5:$F$504,"&gt;="&amp;AsOfWeek-7*(RecentWeeks-1),$F$5:$F$504,"&lt;="&amp;AsOfWeek),""))</f>
        <v/>
      </c>
      <c r="T75" s="21">
        <f>IF(OR(P75="",S75=""),"",P75/S75-1)</f>
        <v/>
      </c>
      <c r="U75" s="22">
        <f>IF(OR(B75="",'Weekly Input'!G75="",P75="",P75=0),"",'Weekly Input'!G75/P75)</f>
        <v/>
      </c>
      <c r="V75" s="18">
        <f>IF(B75="","",IF(NOT(I75),"Not Ready",IF(NOT(K75),"Not Ready",IF(N75&lt;MinHistory,"Not Ready",IF(NOT(J75),"Not Ready",IF(OR(Q75="",Q75=0),"Noise",IF(Q75&lt;LowBaseThreshold,"Noise",IF(AND(R75&lt;=-OwnDecline,T75&lt;=-PeerGapThreshold),"Markdown Review",IF(AND(R75&gt;=ReorderUplift,U75&lt;&gt;"",U75&lt;=WeeksSupplyCap),"Reorder Candidate","Monitor"))))))))</f>
        <v/>
      </c>
      <c r="W75" s="18">
        <f>IF(B75="","",IF(NOT(I75),"INVALID_MASTER",IF(NOT(K75),"INCOMPLETE_SHELF_CYCLE",IF(N75&lt;MinHistory,"INSUFFICIENT_HISTORY",IF(NOT(J75),"INSUFFICIENT_IN_STOCK",IF(OR(Q75="",Q75=0),"NO_PRIOR_BASE",IF(Q75&lt;LowBaseThreshold,"LOW_BASE_NOISE",IF(V75="Markdown Review","MARKDOWN_PEER_GAP",IF(V75="Reorder Candidate","REORDER_UPLIFT_COVER","NO_MATERIAL_CHANGE"))))))))</f>
        <v/>
      </c>
      <c r="X75" s="18">
        <f>IF(V75="Markdown Review","Markdown support",IF(V75="Reorder Candidate","Second reorder",IF(V75="Monitor","Monitor",IF(V75="Noise","Hold / collect data",IF(V75="Not Ready","Not ready","")))))</f>
        <v/>
      </c>
      <c r="Y75" s="18">
        <f>IF(OR(R75="",T75=""),"",ABS(R75)+ABS(T75))</f>
        <v/>
      </c>
      <c r="Z75" s="21">
        <f>IF(OR(B75="",NOT(O75),R75=""),"",IF(ABS(R75)&gt;=MaterialThreshold,"Yes","No"))</f>
        <v/>
      </c>
      <c r="AA75" s="18">
        <f>IF(Z75&lt;&gt;"Yes","",IF(ABS(R75)&gt;=MaterialThreshold,IF(ABS(R75)&gt;=BroadShare,"Broad SKU movement","Store-concentrated movement"),""))</f>
        <v/>
      </c>
      <c r="AB75" s="18">
        <f>IF(O75,IF(COUNTIFS($O$5:O75,TRUE)&gt;0,COUNTIFS($O$5:O75,TRUE),0),0)</f>
        <v/>
      </c>
      <c r="AC75" s="18">
        <f>IF(V75="Markdown Review",1,IF(V75="Reorder Candidate",2,IF(V75="Monitor",3,IF(V75="Noise",4,IF(V75="Not Ready",5,99)))))</f>
        <v/>
      </c>
      <c r="AD75" s="18">
        <f>IF(O75,COUNTIFS($O$5:$O$504,TRUE,$AC$5:$AC$504,"&lt;"&amp;AC75)+COUNTIFS($O$5:O75,TRUE,$AC$5:AC75,AC75,$Y$5:Y75,"&gt;"&amp;Y75),0)</f>
        <v/>
      </c>
    </row>
    <row r="76">
      <c r="A76" s="17">
        <f>IF(COUNTA('Weekly Input'!A76:C76)=0,"",'Weekly Input'!B76&amp;"|"&amp;'Weekly Input'!C76&amp;"|"&amp;TEXT('Weekly Input'!A76,"yyyy-mm-dd"))</f>
        <v/>
      </c>
      <c r="B76" s="18">
        <f>'Weekly Input'!B76</f>
        <v/>
      </c>
      <c r="C76" s="18">
        <f>'Weekly Input'!C76</f>
        <v/>
      </c>
      <c r="D76" s="18">
        <f>IF(B76="","",IFERROR(INDEX('Master Data'!$B$6:$B$145,MATCH(B76,'Master Data'!$A$6:$A$145,0)),""))</f>
        <v/>
      </c>
      <c r="E76" s="18">
        <f>IF(C76="","",IFERROR(INDEX('Master Data'!$H$6:$H$13,MATCH(C76,'Master Data'!$F$6:$F$13,0)),""))</f>
        <v/>
      </c>
      <c r="F76" s="19">
        <f>'Weekly Input'!A76</f>
        <v/>
      </c>
      <c r="G76" s="19">
        <f>IF(B76="","",IFERROR(INDEX('Master Data'!$D$6:$D$145,MATCH(B76,'Master Data'!$A$6:$A$145,0)),""))</f>
        <v/>
      </c>
      <c r="H76" s="18">
        <f>IF(OR(F76="",G76=""),"",F76-G76)</f>
        <v/>
      </c>
      <c r="I76" s="18">
        <f>IF(B76="","",IF('Weekly Input'!J76="OK",TRUE,FALSE))</f>
        <v/>
      </c>
      <c r="J76" s="18">
        <f>IF(B76="","",'Weekly Input'!H76&gt;=MinInStockDays)</f>
        <v/>
      </c>
      <c r="K76" s="18">
        <f>IF(B76="","",H76&gt;=FullCycleMin)</f>
        <v/>
      </c>
      <c r="L76" s="18">
        <f>IF(B76="","",AND(I76,J76,K76,N76&gt;=MinHistory))</f>
        <v/>
      </c>
      <c r="M76" s="20">
        <f>IF(OR(B76="",'Weekly Input'!H76=0),"",'Weekly Input'!D76/'Weekly Input'!H76*7)</f>
        <v/>
      </c>
      <c r="N76" s="18">
        <f>IF(B76="","",COUNTIFS($B$5:$B$504,B76,$C$5:$C$504,C76,$I$5:$I$504,TRUE,$J$5:$J$504,TRUE,$K$5:$K$504,TRUE))</f>
        <v/>
      </c>
      <c r="O76" s="18">
        <f>IF(B76="","",AND(F76=AsOfWeek,AsOfWeek&lt;&gt;""))</f>
        <v/>
      </c>
      <c r="P76" s="20">
        <f>IF(OR(B76="",AsOfWeek=""),"",IFERROR(SUMIFS($M$5:$M$504,$B$5:$B$504,B76,$C$5:$C$504,C76,$L$5:$L$504,TRUE,$F$5:$F$504,"&gt;="&amp;AsOfWeek-7*(RecentWeeks-1),$F$5:$F$504,"&lt;="&amp;AsOfWeek),""))</f>
        <v/>
      </c>
      <c r="Q76" s="20">
        <f>IF(OR(B76="",AsOfWeek=""),"",IFERROR(SUMIFS($M$5:$M$504,$B$5:$B$504,B76,$C$5:$C$504,C76,$L$5:$L$504,TRUE,$F$5:$F$504,"&gt;="&amp;AsOfWeek-7*(RecentWeeks+PriorWeeks-1),$F$5:$F$504,"&lt;"&amp;AsOfWeek-7*(RecentWeeks-1)),""))</f>
        <v/>
      </c>
      <c r="R76" s="21">
        <f>IF(OR(P76="",Q76="",Q76=0),"",P76/Q76-1)</f>
        <v/>
      </c>
      <c r="S76" s="20">
        <f>IF(OR(C76="",AsOfWeek=""),"",IFERROR(AVERAGEIFS($M$5:$M$504,$C$5:$C$504,C76,$L$5:$L$504,TRUE,$F$5:$F$504,"&gt;="&amp;AsOfWeek-7*(RecentWeeks-1),$F$5:$F$504,"&lt;="&amp;AsOfWeek),""))</f>
        <v/>
      </c>
      <c r="T76" s="21">
        <f>IF(OR(P76="",S76=""),"",P76/S76-1)</f>
        <v/>
      </c>
      <c r="U76" s="22">
        <f>IF(OR(B76="",'Weekly Input'!G76="",P76="",P76=0),"",'Weekly Input'!G76/P76)</f>
        <v/>
      </c>
      <c r="V76" s="18">
        <f>IF(B76="","",IF(NOT(I76),"Not Ready",IF(NOT(K76),"Not Ready",IF(N76&lt;MinHistory,"Not Ready",IF(NOT(J76),"Not Ready",IF(OR(Q76="",Q76=0),"Noise",IF(Q76&lt;LowBaseThreshold,"Noise",IF(AND(R76&lt;=-OwnDecline,T76&lt;=-PeerGapThreshold),"Markdown Review",IF(AND(R76&gt;=ReorderUplift,U76&lt;&gt;"",U76&lt;=WeeksSupplyCap),"Reorder Candidate","Monitor"))))))))</f>
        <v/>
      </c>
      <c r="W76" s="18">
        <f>IF(B76="","",IF(NOT(I76),"INVALID_MASTER",IF(NOT(K76),"INCOMPLETE_SHELF_CYCLE",IF(N76&lt;MinHistory,"INSUFFICIENT_HISTORY",IF(NOT(J76),"INSUFFICIENT_IN_STOCK",IF(OR(Q76="",Q76=0),"NO_PRIOR_BASE",IF(Q76&lt;LowBaseThreshold,"LOW_BASE_NOISE",IF(V76="Markdown Review","MARKDOWN_PEER_GAP",IF(V76="Reorder Candidate","REORDER_UPLIFT_COVER","NO_MATERIAL_CHANGE"))))))))</f>
        <v/>
      </c>
      <c r="X76" s="18">
        <f>IF(V76="Markdown Review","Markdown support",IF(V76="Reorder Candidate","Second reorder",IF(V76="Monitor","Monitor",IF(V76="Noise","Hold / collect data",IF(V76="Not Ready","Not ready","")))))</f>
        <v/>
      </c>
      <c r="Y76" s="18">
        <f>IF(OR(R76="",T76=""),"",ABS(R76)+ABS(T76))</f>
        <v/>
      </c>
      <c r="Z76" s="21">
        <f>IF(OR(B76="",NOT(O76),R76=""),"",IF(ABS(R76)&gt;=MaterialThreshold,"Yes","No"))</f>
        <v/>
      </c>
      <c r="AA76" s="18">
        <f>IF(Z76&lt;&gt;"Yes","",IF(ABS(R76)&gt;=MaterialThreshold,IF(ABS(R76)&gt;=BroadShare,"Broad SKU movement","Store-concentrated movement"),""))</f>
        <v/>
      </c>
      <c r="AB76" s="18">
        <f>IF(O76,IF(COUNTIFS($O$5:O76,TRUE)&gt;0,COUNTIFS($O$5:O76,TRUE),0),0)</f>
        <v/>
      </c>
      <c r="AC76" s="18">
        <f>IF(V76="Markdown Review",1,IF(V76="Reorder Candidate",2,IF(V76="Monitor",3,IF(V76="Noise",4,IF(V76="Not Ready",5,99)))))</f>
        <v/>
      </c>
      <c r="AD76" s="18">
        <f>IF(O76,COUNTIFS($O$5:$O$504,TRUE,$AC$5:$AC$504,"&lt;"&amp;AC76)+COUNTIFS($O$5:O76,TRUE,$AC$5:AC76,AC76,$Y$5:Y76,"&gt;"&amp;Y76),0)</f>
        <v/>
      </c>
    </row>
    <row r="77">
      <c r="A77" s="17">
        <f>IF(COUNTA('Weekly Input'!A77:C77)=0,"",'Weekly Input'!B77&amp;"|"&amp;'Weekly Input'!C77&amp;"|"&amp;TEXT('Weekly Input'!A77,"yyyy-mm-dd"))</f>
        <v/>
      </c>
      <c r="B77" s="18">
        <f>'Weekly Input'!B77</f>
        <v/>
      </c>
      <c r="C77" s="18">
        <f>'Weekly Input'!C77</f>
        <v/>
      </c>
      <c r="D77" s="18">
        <f>IF(B77="","",IFERROR(INDEX('Master Data'!$B$6:$B$145,MATCH(B77,'Master Data'!$A$6:$A$145,0)),""))</f>
        <v/>
      </c>
      <c r="E77" s="18">
        <f>IF(C77="","",IFERROR(INDEX('Master Data'!$H$6:$H$13,MATCH(C77,'Master Data'!$F$6:$F$13,0)),""))</f>
        <v/>
      </c>
      <c r="F77" s="19">
        <f>'Weekly Input'!A77</f>
        <v/>
      </c>
      <c r="G77" s="19">
        <f>IF(B77="","",IFERROR(INDEX('Master Data'!$D$6:$D$145,MATCH(B77,'Master Data'!$A$6:$A$145,0)),""))</f>
        <v/>
      </c>
      <c r="H77" s="18">
        <f>IF(OR(F77="",G77=""),"",F77-G77)</f>
        <v/>
      </c>
      <c r="I77" s="18">
        <f>IF(B77="","",IF('Weekly Input'!J77="OK",TRUE,FALSE))</f>
        <v/>
      </c>
      <c r="J77" s="18">
        <f>IF(B77="","",'Weekly Input'!H77&gt;=MinInStockDays)</f>
        <v/>
      </c>
      <c r="K77" s="18">
        <f>IF(B77="","",H77&gt;=FullCycleMin)</f>
        <v/>
      </c>
      <c r="L77" s="18">
        <f>IF(B77="","",AND(I77,J77,K77,N77&gt;=MinHistory))</f>
        <v/>
      </c>
      <c r="M77" s="20">
        <f>IF(OR(B77="",'Weekly Input'!H77=0),"",'Weekly Input'!D77/'Weekly Input'!H77*7)</f>
        <v/>
      </c>
      <c r="N77" s="18">
        <f>IF(B77="","",COUNTIFS($B$5:$B$504,B77,$C$5:$C$504,C77,$I$5:$I$504,TRUE,$J$5:$J$504,TRUE,$K$5:$K$504,TRUE))</f>
        <v/>
      </c>
      <c r="O77" s="18">
        <f>IF(B77="","",AND(F77=AsOfWeek,AsOfWeek&lt;&gt;""))</f>
        <v/>
      </c>
      <c r="P77" s="20">
        <f>IF(OR(B77="",AsOfWeek=""),"",IFERROR(SUMIFS($M$5:$M$504,$B$5:$B$504,B77,$C$5:$C$504,C77,$L$5:$L$504,TRUE,$F$5:$F$504,"&gt;="&amp;AsOfWeek-7*(RecentWeeks-1),$F$5:$F$504,"&lt;="&amp;AsOfWeek),""))</f>
        <v/>
      </c>
      <c r="Q77" s="20">
        <f>IF(OR(B77="",AsOfWeek=""),"",IFERROR(SUMIFS($M$5:$M$504,$B$5:$B$504,B77,$C$5:$C$504,C77,$L$5:$L$504,TRUE,$F$5:$F$504,"&gt;="&amp;AsOfWeek-7*(RecentWeeks+PriorWeeks-1),$F$5:$F$504,"&lt;"&amp;AsOfWeek-7*(RecentWeeks-1)),""))</f>
        <v/>
      </c>
      <c r="R77" s="21">
        <f>IF(OR(P77="",Q77="",Q77=0),"",P77/Q77-1)</f>
        <v/>
      </c>
      <c r="S77" s="20">
        <f>IF(OR(C77="",AsOfWeek=""),"",IFERROR(AVERAGEIFS($M$5:$M$504,$C$5:$C$504,C77,$L$5:$L$504,TRUE,$F$5:$F$504,"&gt;="&amp;AsOfWeek-7*(RecentWeeks-1),$F$5:$F$504,"&lt;="&amp;AsOfWeek),""))</f>
        <v/>
      </c>
      <c r="T77" s="21">
        <f>IF(OR(P77="",S77=""),"",P77/S77-1)</f>
        <v/>
      </c>
      <c r="U77" s="22">
        <f>IF(OR(B77="",'Weekly Input'!G77="",P77="",P77=0),"",'Weekly Input'!G77/P77)</f>
        <v/>
      </c>
      <c r="V77" s="18">
        <f>IF(B77="","",IF(NOT(I77),"Not Ready",IF(NOT(K77),"Not Ready",IF(N77&lt;MinHistory,"Not Ready",IF(NOT(J77),"Not Ready",IF(OR(Q77="",Q77=0),"Noise",IF(Q77&lt;LowBaseThreshold,"Noise",IF(AND(R77&lt;=-OwnDecline,T77&lt;=-PeerGapThreshold),"Markdown Review",IF(AND(R77&gt;=ReorderUplift,U77&lt;&gt;"",U77&lt;=WeeksSupplyCap),"Reorder Candidate","Monitor"))))))))</f>
        <v/>
      </c>
      <c r="W77" s="18">
        <f>IF(B77="","",IF(NOT(I77),"INVALID_MASTER",IF(NOT(K77),"INCOMPLETE_SHELF_CYCLE",IF(N77&lt;MinHistory,"INSUFFICIENT_HISTORY",IF(NOT(J77),"INSUFFICIENT_IN_STOCK",IF(OR(Q77="",Q77=0),"NO_PRIOR_BASE",IF(Q77&lt;LowBaseThreshold,"LOW_BASE_NOISE",IF(V77="Markdown Review","MARKDOWN_PEER_GAP",IF(V77="Reorder Candidate","REORDER_UPLIFT_COVER","NO_MATERIAL_CHANGE"))))))))</f>
        <v/>
      </c>
      <c r="X77" s="18">
        <f>IF(V77="Markdown Review","Markdown support",IF(V77="Reorder Candidate","Second reorder",IF(V77="Monitor","Monitor",IF(V77="Noise","Hold / collect data",IF(V77="Not Ready","Not ready","")))))</f>
        <v/>
      </c>
      <c r="Y77" s="18">
        <f>IF(OR(R77="",T77=""),"",ABS(R77)+ABS(T77))</f>
        <v/>
      </c>
      <c r="Z77" s="21">
        <f>IF(OR(B77="",NOT(O77),R77=""),"",IF(ABS(R77)&gt;=MaterialThreshold,"Yes","No"))</f>
        <v/>
      </c>
      <c r="AA77" s="18">
        <f>IF(Z77&lt;&gt;"Yes","",IF(ABS(R77)&gt;=MaterialThreshold,IF(ABS(R77)&gt;=BroadShare,"Broad SKU movement","Store-concentrated movement"),""))</f>
        <v/>
      </c>
      <c r="AB77" s="18">
        <f>IF(O77,IF(COUNTIFS($O$5:O77,TRUE)&gt;0,COUNTIFS($O$5:O77,TRUE),0),0)</f>
        <v/>
      </c>
      <c r="AC77" s="18">
        <f>IF(V77="Markdown Review",1,IF(V77="Reorder Candidate",2,IF(V77="Monitor",3,IF(V77="Noise",4,IF(V77="Not Ready",5,99)))))</f>
        <v/>
      </c>
      <c r="AD77" s="18">
        <f>IF(O77,COUNTIFS($O$5:$O$504,TRUE,$AC$5:$AC$504,"&lt;"&amp;AC77)+COUNTIFS($O$5:O77,TRUE,$AC$5:AC77,AC77,$Y$5:Y77,"&gt;"&amp;Y77),0)</f>
        <v/>
      </c>
    </row>
    <row r="78">
      <c r="A78" s="17">
        <f>IF(COUNTA('Weekly Input'!A78:C78)=0,"",'Weekly Input'!B78&amp;"|"&amp;'Weekly Input'!C78&amp;"|"&amp;TEXT('Weekly Input'!A78,"yyyy-mm-dd"))</f>
        <v/>
      </c>
      <c r="B78" s="18">
        <f>'Weekly Input'!B78</f>
        <v/>
      </c>
      <c r="C78" s="18">
        <f>'Weekly Input'!C78</f>
        <v/>
      </c>
      <c r="D78" s="18">
        <f>IF(B78="","",IFERROR(INDEX('Master Data'!$B$6:$B$145,MATCH(B78,'Master Data'!$A$6:$A$145,0)),""))</f>
        <v/>
      </c>
      <c r="E78" s="18">
        <f>IF(C78="","",IFERROR(INDEX('Master Data'!$H$6:$H$13,MATCH(C78,'Master Data'!$F$6:$F$13,0)),""))</f>
        <v/>
      </c>
      <c r="F78" s="19">
        <f>'Weekly Input'!A78</f>
        <v/>
      </c>
      <c r="G78" s="19">
        <f>IF(B78="","",IFERROR(INDEX('Master Data'!$D$6:$D$145,MATCH(B78,'Master Data'!$A$6:$A$145,0)),""))</f>
        <v/>
      </c>
      <c r="H78" s="18">
        <f>IF(OR(F78="",G78=""),"",F78-G78)</f>
        <v/>
      </c>
      <c r="I78" s="18">
        <f>IF(B78="","",IF('Weekly Input'!J78="OK",TRUE,FALSE))</f>
        <v/>
      </c>
      <c r="J78" s="18">
        <f>IF(B78="","",'Weekly Input'!H78&gt;=MinInStockDays)</f>
        <v/>
      </c>
      <c r="K78" s="18">
        <f>IF(B78="","",H78&gt;=FullCycleMin)</f>
        <v/>
      </c>
      <c r="L78" s="18">
        <f>IF(B78="","",AND(I78,J78,K78,N78&gt;=MinHistory))</f>
        <v/>
      </c>
      <c r="M78" s="20">
        <f>IF(OR(B78="",'Weekly Input'!H78=0),"",'Weekly Input'!D78/'Weekly Input'!H78*7)</f>
        <v/>
      </c>
      <c r="N78" s="18">
        <f>IF(B78="","",COUNTIFS($B$5:$B$504,B78,$C$5:$C$504,C78,$I$5:$I$504,TRUE,$J$5:$J$504,TRUE,$K$5:$K$504,TRUE))</f>
        <v/>
      </c>
      <c r="O78" s="18">
        <f>IF(B78="","",AND(F78=AsOfWeek,AsOfWeek&lt;&gt;""))</f>
        <v/>
      </c>
      <c r="P78" s="20">
        <f>IF(OR(B78="",AsOfWeek=""),"",IFERROR(SUMIFS($M$5:$M$504,$B$5:$B$504,B78,$C$5:$C$504,C78,$L$5:$L$504,TRUE,$F$5:$F$504,"&gt;="&amp;AsOfWeek-7*(RecentWeeks-1),$F$5:$F$504,"&lt;="&amp;AsOfWeek),""))</f>
        <v/>
      </c>
      <c r="Q78" s="20">
        <f>IF(OR(B78="",AsOfWeek=""),"",IFERROR(SUMIFS($M$5:$M$504,$B$5:$B$504,B78,$C$5:$C$504,C78,$L$5:$L$504,TRUE,$F$5:$F$504,"&gt;="&amp;AsOfWeek-7*(RecentWeeks+PriorWeeks-1),$F$5:$F$504,"&lt;"&amp;AsOfWeek-7*(RecentWeeks-1)),""))</f>
        <v/>
      </c>
      <c r="R78" s="21">
        <f>IF(OR(P78="",Q78="",Q78=0),"",P78/Q78-1)</f>
        <v/>
      </c>
      <c r="S78" s="20">
        <f>IF(OR(C78="",AsOfWeek=""),"",IFERROR(AVERAGEIFS($M$5:$M$504,$C$5:$C$504,C78,$L$5:$L$504,TRUE,$F$5:$F$504,"&gt;="&amp;AsOfWeek-7*(RecentWeeks-1),$F$5:$F$504,"&lt;="&amp;AsOfWeek),""))</f>
        <v/>
      </c>
      <c r="T78" s="21">
        <f>IF(OR(P78="",S78=""),"",P78/S78-1)</f>
        <v/>
      </c>
      <c r="U78" s="22">
        <f>IF(OR(B78="",'Weekly Input'!G78="",P78="",P78=0),"",'Weekly Input'!G78/P78)</f>
        <v/>
      </c>
      <c r="V78" s="18">
        <f>IF(B78="","",IF(NOT(I78),"Not Ready",IF(NOT(K78),"Not Ready",IF(N78&lt;MinHistory,"Not Ready",IF(NOT(J78),"Not Ready",IF(OR(Q78="",Q78=0),"Noise",IF(Q78&lt;LowBaseThreshold,"Noise",IF(AND(R78&lt;=-OwnDecline,T78&lt;=-PeerGapThreshold),"Markdown Review",IF(AND(R78&gt;=ReorderUplift,U78&lt;&gt;"",U78&lt;=WeeksSupplyCap),"Reorder Candidate","Monitor"))))))))</f>
        <v/>
      </c>
      <c r="W78" s="18">
        <f>IF(B78="","",IF(NOT(I78),"INVALID_MASTER",IF(NOT(K78),"INCOMPLETE_SHELF_CYCLE",IF(N78&lt;MinHistory,"INSUFFICIENT_HISTORY",IF(NOT(J78),"INSUFFICIENT_IN_STOCK",IF(OR(Q78="",Q78=0),"NO_PRIOR_BASE",IF(Q78&lt;LowBaseThreshold,"LOW_BASE_NOISE",IF(V78="Markdown Review","MARKDOWN_PEER_GAP",IF(V78="Reorder Candidate","REORDER_UPLIFT_COVER","NO_MATERIAL_CHANGE"))))))))</f>
        <v/>
      </c>
      <c r="X78" s="18">
        <f>IF(V78="Markdown Review","Markdown support",IF(V78="Reorder Candidate","Second reorder",IF(V78="Monitor","Monitor",IF(V78="Noise","Hold / collect data",IF(V78="Not Ready","Not ready","")))))</f>
        <v/>
      </c>
      <c r="Y78" s="18">
        <f>IF(OR(R78="",T78=""),"",ABS(R78)+ABS(T78))</f>
        <v/>
      </c>
      <c r="Z78" s="21">
        <f>IF(OR(B78="",NOT(O78),R78=""),"",IF(ABS(R78)&gt;=MaterialThreshold,"Yes","No"))</f>
        <v/>
      </c>
      <c r="AA78" s="18">
        <f>IF(Z78&lt;&gt;"Yes","",IF(ABS(R78)&gt;=MaterialThreshold,IF(ABS(R78)&gt;=BroadShare,"Broad SKU movement","Store-concentrated movement"),""))</f>
        <v/>
      </c>
      <c r="AB78" s="18">
        <f>IF(O78,IF(COUNTIFS($O$5:O78,TRUE)&gt;0,COUNTIFS($O$5:O78,TRUE),0),0)</f>
        <v/>
      </c>
      <c r="AC78" s="18">
        <f>IF(V78="Markdown Review",1,IF(V78="Reorder Candidate",2,IF(V78="Monitor",3,IF(V78="Noise",4,IF(V78="Not Ready",5,99)))))</f>
        <v/>
      </c>
      <c r="AD78" s="18">
        <f>IF(O78,COUNTIFS($O$5:$O$504,TRUE,$AC$5:$AC$504,"&lt;"&amp;AC78)+COUNTIFS($O$5:O78,TRUE,$AC$5:AC78,AC78,$Y$5:Y78,"&gt;"&amp;Y78),0)</f>
        <v/>
      </c>
    </row>
    <row r="79">
      <c r="A79" s="17">
        <f>IF(COUNTA('Weekly Input'!A79:C79)=0,"",'Weekly Input'!B79&amp;"|"&amp;'Weekly Input'!C79&amp;"|"&amp;TEXT('Weekly Input'!A79,"yyyy-mm-dd"))</f>
        <v/>
      </c>
      <c r="B79" s="18">
        <f>'Weekly Input'!B79</f>
        <v/>
      </c>
      <c r="C79" s="18">
        <f>'Weekly Input'!C79</f>
        <v/>
      </c>
      <c r="D79" s="18">
        <f>IF(B79="","",IFERROR(INDEX('Master Data'!$B$6:$B$145,MATCH(B79,'Master Data'!$A$6:$A$145,0)),""))</f>
        <v/>
      </c>
      <c r="E79" s="18">
        <f>IF(C79="","",IFERROR(INDEX('Master Data'!$H$6:$H$13,MATCH(C79,'Master Data'!$F$6:$F$13,0)),""))</f>
        <v/>
      </c>
      <c r="F79" s="19">
        <f>'Weekly Input'!A79</f>
        <v/>
      </c>
      <c r="G79" s="19">
        <f>IF(B79="","",IFERROR(INDEX('Master Data'!$D$6:$D$145,MATCH(B79,'Master Data'!$A$6:$A$145,0)),""))</f>
        <v/>
      </c>
      <c r="H79" s="18">
        <f>IF(OR(F79="",G79=""),"",F79-G79)</f>
        <v/>
      </c>
      <c r="I79" s="18">
        <f>IF(B79="","",IF('Weekly Input'!J79="OK",TRUE,FALSE))</f>
        <v/>
      </c>
      <c r="J79" s="18">
        <f>IF(B79="","",'Weekly Input'!H79&gt;=MinInStockDays)</f>
        <v/>
      </c>
      <c r="K79" s="18">
        <f>IF(B79="","",H79&gt;=FullCycleMin)</f>
        <v/>
      </c>
      <c r="L79" s="18">
        <f>IF(B79="","",AND(I79,J79,K79,N79&gt;=MinHistory))</f>
        <v/>
      </c>
      <c r="M79" s="20">
        <f>IF(OR(B79="",'Weekly Input'!H79=0),"",'Weekly Input'!D79/'Weekly Input'!H79*7)</f>
        <v/>
      </c>
      <c r="N79" s="18">
        <f>IF(B79="","",COUNTIFS($B$5:$B$504,B79,$C$5:$C$504,C79,$I$5:$I$504,TRUE,$J$5:$J$504,TRUE,$K$5:$K$504,TRUE))</f>
        <v/>
      </c>
      <c r="O79" s="18">
        <f>IF(B79="","",AND(F79=AsOfWeek,AsOfWeek&lt;&gt;""))</f>
        <v/>
      </c>
      <c r="P79" s="20">
        <f>IF(OR(B79="",AsOfWeek=""),"",IFERROR(SUMIFS($M$5:$M$504,$B$5:$B$504,B79,$C$5:$C$504,C79,$L$5:$L$504,TRUE,$F$5:$F$504,"&gt;="&amp;AsOfWeek-7*(RecentWeeks-1),$F$5:$F$504,"&lt;="&amp;AsOfWeek),""))</f>
        <v/>
      </c>
      <c r="Q79" s="20">
        <f>IF(OR(B79="",AsOfWeek=""),"",IFERROR(SUMIFS($M$5:$M$504,$B$5:$B$504,B79,$C$5:$C$504,C79,$L$5:$L$504,TRUE,$F$5:$F$504,"&gt;="&amp;AsOfWeek-7*(RecentWeeks+PriorWeeks-1),$F$5:$F$504,"&lt;"&amp;AsOfWeek-7*(RecentWeeks-1)),""))</f>
        <v/>
      </c>
      <c r="R79" s="21">
        <f>IF(OR(P79="",Q79="",Q79=0),"",P79/Q79-1)</f>
        <v/>
      </c>
      <c r="S79" s="20">
        <f>IF(OR(C79="",AsOfWeek=""),"",IFERROR(AVERAGEIFS($M$5:$M$504,$C$5:$C$504,C79,$L$5:$L$504,TRUE,$F$5:$F$504,"&gt;="&amp;AsOfWeek-7*(RecentWeeks-1),$F$5:$F$504,"&lt;="&amp;AsOfWeek),""))</f>
        <v/>
      </c>
      <c r="T79" s="21">
        <f>IF(OR(P79="",S79=""),"",P79/S79-1)</f>
        <v/>
      </c>
      <c r="U79" s="22">
        <f>IF(OR(B79="",'Weekly Input'!G79="",P79="",P79=0),"",'Weekly Input'!G79/P79)</f>
        <v/>
      </c>
      <c r="V79" s="18">
        <f>IF(B79="","",IF(NOT(I79),"Not Ready",IF(NOT(K79),"Not Ready",IF(N79&lt;MinHistory,"Not Ready",IF(NOT(J79),"Not Ready",IF(OR(Q79="",Q79=0),"Noise",IF(Q79&lt;LowBaseThreshold,"Noise",IF(AND(R79&lt;=-OwnDecline,T79&lt;=-PeerGapThreshold),"Markdown Review",IF(AND(R79&gt;=ReorderUplift,U79&lt;&gt;"",U79&lt;=WeeksSupplyCap),"Reorder Candidate","Monitor"))))))))</f>
        <v/>
      </c>
      <c r="W79" s="18">
        <f>IF(B79="","",IF(NOT(I79),"INVALID_MASTER",IF(NOT(K79),"INCOMPLETE_SHELF_CYCLE",IF(N79&lt;MinHistory,"INSUFFICIENT_HISTORY",IF(NOT(J79),"INSUFFICIENT_IN_STOCK",IF(OR(Q79="",Q79=0),"NO_PRIOR_BASE",IF(Q79&lt;LowBaseThreshold,"LOW_BASE_NOISE",IF(V79="Markdown Review","MARKDOWN_PEER_GAP",IF(V79="Reorder Candidate","REORDER_UPLIFT_COVER","NO_MATERIAL_CHANGE"))))))))</f>
        <v/>
      </c>
      <c r="X79" s="18">
        <f>IF(V79="Markdown Review","Markdown support",IF(V79="Reorder Candidate","Second reorder",IF(V79="Monitor","Monitor",IF(V79="Noise","Hold / collect data",IF(V79="Not Ready","Not ready","")))))</f>
        <v/>
      </c>
      <c r="Y79" s="18">
        <f>IF(OR(R79="",T79=""),"",ABS(R79)+ABS(T79))</f>
        <v/>
      </c>
      <c r="Z79" s="21">
        <f>IF(OR(B79="",NOT(O79),R79=""),"",IF(ABS(R79)&gt;=MaterialThreshold,"Yes","No"))</f>
        <v/>
      </c>
      <c r="AA79" s="18">
        <f>IF(Z79&lt;&gt;"Yes","",IF(ABS(R79)&gt;=MaterialThreshold,IF(ABS(R79)&gt;=BroadShare,"Broad SKU movement","Store-concentrated movement"),""))</f>
        <v/>
      </c>
      <c r="AB79" s="18">
        <f>IF(O79,IF(COUNTIFS($O$5:O79,TRUE)&gt;0,COUNTIFS($O$5:O79,TRUE),0),0)</f>
        <v/>
      </c>
      <c r="AC79" s="18">
        <f>IF(V79="Markdown Review",1,IF(V79="Reorder Candidate",2,IF(V79="Monitor",3,IF(V79="Noise",4,IF(V79="Not Ready",5,99)))))</f>
        <v/>
      </c>
      <c r="AD79" s="18">
        <f>IF(O79,COUNTIFS($O$5:$O$504,TRUE,$AC$5:$AC$504,"&lt;"&amp;AC79)+COUNTIFS($O$5:O79,TRUE,$AC$5:AC79,AC79,$Y$5:Y79,"&gt;"&amp;Y79),0)</f>
        <v/>
      </c>
    </row>
    <row r="80">
      <c r="A80" s="17">
        <f>IF(COUNTA('Weekly Input'!A80:C80)=0,"",'Weekly Input'!B80&amp;"|"&amp;'Weekly Input'!C80&amp;"|"&amp;TEXT('Weekly Input'!A80,"yyyy-mm-dd"))</f>
        <v/>
      </c>
      <c r="B80" s="18">
        <f>'Weekly Input'!B80</f>
        <v/>
      </c>
      <c r="C80" s="18">
        <f>'Weekly Input'!C80</f>
        <v/>
      </c>
      <c r="D80" s="18">
        <f>IF(B80="","",IFERROR(INDEX('Master Data'!$B$6:$B$145,MATCH(B80,'Master Data'!$A$6:$A$145,0)),""))</f>
        <v/>
      </c>
      <c r="E80" s="18">
        <f>IF(C80="","",IFERROR(INDEX('Master Data'!$H$6:$H$13,MATCH(C80,'Master Data'!$F$6:$F$13,0)),""))</f>
        <v/>
      </c>
      <c r="F80" s="19">
        <f>'Weekly Input'!A80</f>
        <v/>
      </c>
      <c r="G80" s="19">
        <f>IF(B80="","",IFERROR(INDEX('Master Data'!$D$6:$D$145,MATCH(B80,'Master Data'!$A$6:$A$145,0)),""))</f>
        <v/>
      </c>
      <c r="H80" s="18">
        <f>IF(OR(F80="",G80=""),"",F80-G80)</f>
        <v/>
      </c>
      <c r="I80" s="18">
        <f>IF(B80="","",IF('Weekly Input'!J80="OK",TRUE,FALSE))</f>
        <v/>
      </c>
      <c r="J80" s="18">
        <f>IF(B80="","",'Weekly Input'!H80&gt;=MinInStockDays)</f>
        <v/>
      </c>
      <c r="K80" s="18">
        <f>IF(B80="","",H80&gt;=FullCycleMin)</f>
        <v/>
      </c>
      <c r="L80" s="18">
        <f>IF(B80="","",AND(I80,J80,K80,N80&gt;=MinHistory))</f>
        <v/>
      </c>
      <c r="M80" s="20">
        <f>IF(OR(B80="",'Weekly Input'!H80=0),"",'Weekly Input'!D80/'Weekly Input'!H80*7)</f>
        <v/>
      </c>
      <c r="N80" s="18">
        <f>IF(B80="","",COUNTIFS($B$5:$B$504,B80,$C$5:$C$504,C80,$I$5:$I$504,TRUE,$J$5:$J$504,TRUE,$K$5:$K$504,TRUE))</f>
        <v/>
      </c>
      <c r="O80" s="18">
        <f>IF(B80="","",AND(F80=AsOfWeek,AsOfWeek&lt;&gt;""))</f>
        <v/>
      </c>
      <c r="P80" s="20">
        <f>IF(OR(B80="",AsOfWeek=""),"",IFERROR(SUMIFS($M$5:$M$504,$B$5:$B$504,B80,$C$5:$C$504,C80,$L$5:$L$504,TRUE,$F$5:$F$504,"&gt;="&amp;AsOfWeek-7*(RecentWeeks-1),$F$5:$F$504,"&lt;="&amp;AsOfWeek),""))</f>
        <v/>
      </c>
      <c r="Q80" s="20">
        <f>IF(OR(B80="",AsOfWeek=""),"",IFERROR(SUMIFS($M$5:$M$504,$B$5:$B$504,B80,$C$5:$C$504,C80,$L$5:$L$504,TRUE,$F$5:$F$504,"&gt;="&amp;AsOfWeek-7*(RecentWeeks+PriorWeeks-1),$F$5:$F$504,"&lt;"&amp;AsOfWeek-7*(RecentWeeks-1)),""))</f>
        <v/>
      </c>
      <c r="R80" s="21">
        <f>IF(OR(P80="",Q80="",Q80=0),"",P80/Q80-1)</f>
        <v/>
      </c>
      <c r="S80" s="20">
        <f>IF(OR(C80="",AsOfWeek=""),"",IFERROR(AVERAGEIFS($M$5:$M$504,$C$5:$C$504,C80,$L$5:$L$504,TRUE,$F$5:$F$504,"&gt;="&amp;AsOfWeek-7*(RecentWeeks-1),$F$5:$F$504,"&lt;="&amp;AsOfWeek),""))</f>
        <v/>
      </c>
      <c r="T80" s="21">
        <f>IF(OR(P80="",S80=""),"",P80/S80-1)</f>
        <v/>
      </c>
      <c r="U80" s="22">
        <f>IF(OR(B80="",'Weekly Input'!G80="",P80="",P80=0),"",'Weekly Input'!G80/P80)</f>
        <v/>
      </c>
      <c r="V80" s="18">
        <f>IF(B80="","",IF(NOT(I80),"Not Ready",IF(NOT(K80),"Not Ready",IF(N80&lt;MinHistory,"Not Ready",IF(NOT(J80),"Not Ready",IF(OR(Q80="",Q80=0),"Noise",IF(Q80&lt;LowBaseThreshold,"Noise",IF(AND(R80&lt;=-OwnDecline,T80&lt;=-PeerGapThreshold),"Markdown Review",IF(AND(R80&gt;=ReorderUplift,U80&lt;&gt;"",U80&lt;=WeeksSupplyCap),"Reorder Candidate","Monitor"))))))))</f>
        <v/>
      </c>
      <c r="W80" s="18">
        <f>IF(B80="","",IF(NOT(I80),"INVALID_MASTER",IF(NOT(K80),"INCOMPLETE_SHELF_CYCLE",IF(N80&lt;MinHistory,"INSUFFICIENT_HISTORY",IF(NOT(J80),"INSUFFICIENT_IN_STOCK",IF(OR(Q80="",Q80=0),"NO_PRIOR_BASE",IF(Q80&lt;LowBaseThreshold,"LOW_BASE_NOISE",IF(V80="Markdown Review","MARKDOWN_PEER_GAP",IF(V80="Reorder Candidate","REORDER_UPLIFT_COVER","NO_MATERIAL_CHANGE"))))))))</f>
        <v/>
      </c>
      <c r="X80" s="18">
        <f>IF(V80="Markdown Review","Markdown support",IF(V80="Reorder Candidate","Second reorder",IF(V80="Monitor","Monitor",IF(V80="Noise","Hold / collect data",IF(V80="Not Ready","Not ready","")))))</f>
        <v/>
      </c>
      <c r="Y80" s="18">
        <f>IF(OR(R80="",T80=""),"",ABS(R80)+ABS(T80))</f>
        <v/>
      </c>
      <c r="Z80" s="21">
        <f>IF(OR(B80="",NOT(O80),R80=""),"",IF(ABS(R80)&gt;=MaterialThreshold,"Yes","No"))</f>
        <v/>
      </c>
      <c r="AA80" s="18">
        <f>IF(Z80&lt;&gt;"Yes","",IF(ABS(R80)&gt;=MaterialThreshold,IF(ABS(R80)&gt;=BroadShare,"Broad SKU movement","Store-concentrated movement"),""))</f>
        <v/>
      </c>
      <c r="AB80" s="18">
        <f>IF(O80,IF(COUNTIFS($O$5:O80,TRUE)&gt;0,COUNTIFS($O$5:O80,TRUE),0),0)</f>
        <v/>
      </c>
      <c r="AC80" s="18">
        <f>IF(V80="Markdown Review",1,IF(V80="Reorder Candidate",2,IF(V80="Monitor",3,IF(V80="Noise",4,IF(V80="Not Ready",5,99)))))</f>
        <v/>
      </c>
      <c r="AD80" s="18">
        <f>IF(O80,COUNTIFS($O$5:$O$504,TRUE,$AC$5:$AC$504,"&lt;"&amp;AC80)+COUNTIFS($O$5:O80,TRUE,$AC$5:AC80,AC80,$Y$5:Y80,"&gt;"&amp;Y80),0)</f>
        <v/>
      </c>
    </row>
    <row r="81">
      <c r="A81" s="17">
        <f>IF(COUNTA('Weekly Input'!A81:C81)=0,"",'Weekly Input'!B81&amp;"|"&amp;'Weekly Input'!C81&amp;"|"&amp;TEXT('Weekly Input'!A81,"yyyy-mm-dd"))</f>
        <v/>
      </c>
      <c r="B81" s="18">
        <f>'Weekly Input'!B81</f>
        <v/>
      </c>
      <c r="C81" s="18">
        <f>'Weekly Input'!C81</f>
        <v/>
      </c>
      <c r="D81" s="18">
        <f>IF(B81="","",IFERROR(INDEX('Master Data'!$B$6:$B$145,MATCH(B81,'Master Data'!$A$6:$A$145,0)),""))</f>
        <v/>
      </c>
      <c r="E81" s="18">
        <f>IF(C81="","",IFERROR(INDEX('Master Data'!$H$6:$H$13,MATCH(C81,'Master Data'!$F$6:$F$13,0)),""))</f>
        <v/>
      </c>
      <c r="F81" s="19">
        <f>'Weekly Input'!A81</f>
        <v/>
      </c>
      <c r="G81" s="19">
        <f>IF(B81="","",IFERROR(INDEX('Master Data'!$D$6:$D$145,MATCH(B81,'Master Data'!$A$6:$A$145,0)),""))</f>
        <v/>
      </c>
      <c r="H81" s="18">
        <f>IF(OR(F81="",G81=""),"",F81-G81)</f>
        <v/>
      </c>
      <c r="I81" s="18">
        <f>IF(B81="","",IF('Weekly Input'!J81="OK",TRUE,FALSE))</f>
        <v/>
      </c>
      <c r="J81" s="18">
        <f>IF(B81="","",'Weekly Input'!H81&gt;=MinInStockDays)</f>
        <v/>
      </c>
      <c r="K81" s="18">
        <f>IF(B81="","",H81&gt;=FullCycleMin)</f>
        <v/>
      </c>
      <c r="L81" s="18">
        <f>IF(B81="","",AND(I81,J81,K81,N81&gt;=MinHistory))</f>
        <v/>
      </c>
      <c r="M81" s="20">
        <f>IF(OR(B81="",'Weekly Input'!H81=0),"",'Weekly Input'!D81/'Weekly Input'!H81*7)</f>
        <v/>
      </c>
      <c r="N81" s="18">
        <f>IF(B81="","",COUNTIFS($B$5:$B$504,B81,$C$5:$C$504,C81,$I$5:$I$504,TRUE,$J$5:$J$504,TRUE,$K$5:$K$504,TRUE))</f>
        <v/>
      </c>
      <c r="O81" s="18">
        <f>IF(B81="","",AND(F81=AsOfWeek,AsOfWeek&lt;&gt;""))</f>
        <v/>
      </c>
      <c r="P81" s="20">
        <f>IF(OR(B81="",AsOfWeek=""),"",IFERROR(SUMIFS($M$5:$M$504,$B$5:$B$504,B81,$C$5:$C$504,C81,$L$5:$L$504,TRUE,$F$5:$F$504,"&gt;="&amp;AsOfWeek-7*(RecentWeeks-1),$F$5:$F$504,"&lt;="&amp;AsOfWeek),""))</f>
        <v/>
      </c>
      <c r="Q81" s="20">
        <f>IF(OR(B81="",AsOfWeek=""),"",IFERROR(SUMIFS($M$5:$M$504,$B$5:$B$504,B81,$C$5:$C$504,C81,$L$5:$L$504,TRUE,$F$5:$F$504,"&gt;="&amp;AsOfWeek-7*(RecentWeeks+PriorWeeks-1),$F$5:$F$504,"&lt;"&amp;AsOfWeek-7*(RecentWeeks-1)),""))</f>
        <v/>
      </c>
      <c r="R81" s="21">
        <f>IF(OR(P81="",Q81="",Q81=0),"",P81/Q81-1)</f>
        <v/>
      </c>
      <c r="S81" s="20">
        <f>IF(OR(C81="",AsOfWeek=""),"",IFERROR(AVERAGEIFS($M$5:$M$504,$C$5:$C$504,C81,$L$5:$L$504,TRUE,$F$5:$F$504,"&gt;="&amp;AsOfWeek-7*(RecentWeeks-1),$F$5:$F$504,"&lt;="&amp;AsOfWeek),""))</f>
        <v/>
      </c>
      <c r="T81" s="21">
        <f>IF(OR(P81="",S81=""),"",P81/S81-1)</f>
        <v/>
      </c>
      <c r="U81" s="22">
        <f>IF(OR(B81="",'Weekly Input'!G81="",P81="",P81=0),"",'Weekly Input'!G81/P81)</f>
        <v/>
      </c>
      <c r="V81" s="18">
        <f>IF(B81="","",IF(NOT(I81),"Not Ready",IF(NOT(K81),"Not Ready",IF(N81&lt;MinHistory,"Not Ready",IF(NOT(J81),"Not Ready",IF(OR(Q81="",Q81=0),"Noise",IF(Q81&lt;LowBaseThreshold,"Noise",IF(AND(R81&lt;=-OwnDecline,T81&lt;=-PeerGapThreshold),"Markdown Review",IF(AND(R81&gt;=ReorderUplift,U81&lt;&gt;"",U81&lt;=WeeksSupplyCap),"Reorder Candidate","Monitor"))))))))</f>
        <v/>
      </c>
      <c r="W81" s="18">
        <f>IF(B81="","",IF(NOT(I81),"INVALID_MASTER",IF(NOT(K81),"INCOMPLETE_SHELF_CYCLE",IF(N81&lt;MinHistory,"INSUFFICIENT_HISTORY",IF(NOT(J81),"INSUFFICIENT_IN_STOCK",IF(OR(Q81="",Q81=0),"NO_PRIOR_BASE",IF(Q81&lt;LowBaseThreshold,"LOW_BASE_NOISE",IF(V81="Markdown Review","MARKDOWN_PEER_GAP",IF(V81="Reorder Candidate","REORDER_UPLIFT_COVER","NO_MATERIAL_CHANGE"))))))))</f>
        <v/>
      </c>
      <c r="X81" s="18">
        <f>IF(V81="Markdown Review","Markdown support",IF(V81="Reorder Candidate","Second reorder",IF(V81="Monitor","Monitor",IF(V81="Noise","Hold / collect data",IF(V81="Not Ready","Not ready","")))))</f>
        <v/>
      </c>
      <c r="Y81" s="18">
        <f>IF(OR(R81="",T81=""),"",ABS(R81)+ABS(T81))</f>
        <v/>
      </c>
      <c r="Z81" s="21">
        <f>IF(OR(B81="",NOT(O81),R81=""),"",IF(ABS(R81)&gt;=MaterialThreshold,"Yes","No"))</f>
        <v/>
      </c>
      <c r="AA81" s="18">
        <f>IF(Z81&lt;&gt;"Yes","",IF(ABS(R81)&gt;=MaterialThreshold,IF(ABS(R81)&gt;=BroadShare,"Broad SKU movement","Store-concentrated movement"),""))</f>
        <v/>
      </c>
      <c r="AB81" s="18">
        <f>IF(O81,IF(COUNTIFS($O$5:O81,TRUE)&gt;0,COUNTIFS($O$5:O81,TRUE),0),0)</f>
        <v/>
      </c>
      <c r="AC81" s="18">
        <f>IF(V81="Markdown Review",1,IF(V81="Reorder Candidate",2,IF(V81="Monitor",3,IF(V81="Noise",4,IF(V81="Not Ready",5,99)))))</f>
        <v/>
      </c>
      <c r="AD81" s="18">
        <f>IF(O81,COUNTIFS($O$5:$O$504,TRUE,$AC$5:$AC$504,"&lt;"&amp;AC81)+COUNTIFS($O$5:O81,TRUE,$AC$5:AC81,AC81,$Y$5:Y81,"&gt;"&amp;Y81),0)</f>
        <v/>
      </c>
    </row>
    <row r="82">
      <c r="A82" s="17">
        <f>IF(COUNTA('Weekly Input'!A82:C82)=0,"",'Weekly Input'!B82&amp;"|"&amp;'Weekly Input'!C82&amp;"|"&amp;TEXT('Weekly Input'!A82,"yyyy-mm-dd"))</f>
        <v/>
      </c>
      <c r="B82" s="18">
        <f>'Weekly Input'!B82</f>
        <v/>
      </c>
      <c r="C82" s="18">
        <f>'Weekly Input'!C82</f>
        <v/>
      </c>
      <c r="D82" s="18">
        <f>IF(B82="","",IFERROR(INDEX('Master Data'!$B$6:$B$145,MATCH(B82,'Master Data'!$A$6:$A$145,0)),""))</f>
        <v/>
      </c>
      <c r="E82" s="18">
        <f>IF(C82="","",IFERROR(INDEX('Master Data'!$H$6:$H$13,MATCH(C82,'Master Data'!$F$6:$F$13,0)),""))</f>
        <v/>
      </c>
      <c r="F82" s="19">
        <f>'Weekly Input'!A82</f>
        <v/>
      </c>
      <c r="G82" s="19">
        <f>IF(B82="","",IFERROR(INDEX('Master Data'!$D$6:$D$145,MATCH(B82,'Master Data'!$A$6:$A$145,0)),""))</f>
        <v/>
      </c>
      <c r="H82" s="18">
        <f>IF(OR(F82="",G82=""),"",F82-G82)</f>
        <v/>
      </c>
      <c r="I82" s="18">
        <f>IF(B82="","",IF('Weekly Input'!J82="OK",TRUE,FALSE))</f>
        <v/>
      </c>
      <c r="J82" s="18">
        <f>IF(B82="","",'Weekly Input'!H82&gt;=MinInStockDays)</f>
        <v/>
      </c>
      <c r="K82" s="18">
        <f>IF(B82="","",H82&gt;=FullCycleMin)</f>
        <v/>
      </c>
      <c r="L82" s="18">
        <f>IF(B82="","",AND(I82,J82,K82,N82&gt;=MinHistory))</f>
        <v/>
      </c>
      <c r="M82" s="20">
        <f>IF(OR(B82="",'Weekly Input'!H82=0),"",'Weekly Input'!D82/'Weekly Input'!H82*7)</f>
        <v/>
      </c>
      <c r="N82" s="18">
        <f>IF(B82="","",COUNTIFS($B$5:$B$504,B82,$C$5:$C$504,C82,$I$5:$I$504,TRUE,$J$5:$J$504,TRUE,$K$5:$K$504,TRUE))</f>
        <v/>
      </c>
      <c r="O82" s="18">
        <f>IF(B82="","",AND(F82=AsOfWeek,AsOfWeek&lt;&gt;""))</f>
        <v/>
      </c>
      <c r="P82" s="20">
        <f>IF(OR(B82="",AsOfWeek=""),"",IFERROR(SUMIFS($M$5:$M$504,$B$5:$B$504,B82,$C$5:$C$504,C82,$L$5:$L$504,TRUE,$F$5:$F$504,"&gt;="&amp;AsOfWeek-7*(RecentWeeks-1),$F$5:$F$504,"&lt;="&amp;AsOfWeek),""))</f>
        <v/>
      </c>
      <c r="Q82" s="20">
        <f>IF(OR(B82="",AsOfWeek=""),"",IFERROR(SUMIFS($M$5:$M$504,$B$5:$B$504,B82,$C$5:$C$504,C82,$L$5:$L$504,TRUE,$F$5:$F$504,"&gt;="&amp;AsOfWeek-7*(RecentWeeks+PriorWeeks-1),$F$5:$F$504,"&lt;"&amp;AsOfWeek-7*(RecentWeeks-1)),""))</f>
        <v/>
      </c>
      <c r="R82" s="21">
        <f>IF(OR(P82="",Q82="",Q82=0),"",P82/Q82-1)</f>
        <v/>
      </c>
      <c r="S82" s="20">
        <f>IF(OR(C82="",AsOfWeek=""),"",IFERROR(AVERAGEIFS($M$5:$M$504,$C$5:$C$504,C82,$L$5:$L$504,TRUE,$F$5:$F$504,"&gt;="&amp;AsOfWeek-7*(RecentWeeks-1),$F$5:$F$504,"&lt;="&amp;AsOfWeek),""))</f>
        <v/>
      </c>
      <c r="T82" s="21">
        <f>IF(OR(P82="",S82=""),"",P82/S82-1)</f>
        <v/>
      </c>
      <c r="U82" s="22">
        <f>IF(OR(B82="",'Weekly Input'!G82="",P82="",P82=0),"",'Weekly Input'!G82/P82)</f>
        <v/>
      </c>
      <c r="V82" s="18">
        <f>IF(B82="","",IF(NOT(I82),"Not Ready",IF(NOT(K82),"Not Ready",IF(N82&lt;MinHistory,"Not Ready",IF(NOT(J82),"Not Ready",IF(OR(Q82="",Q82=0),"Noise",IF(Q82&lt;LowBaseThreshold,"Noise",IF(AND(R82&lt;=-OwnDecline,T82&lt;=-PeerGapThreshold),"Markdown Review",IF(AND(R82&gt;=ReorderUplift,U82&lt;&gt;"",U82&lt;=WeeksSupplyCap),"Reorder Candidate","Monitor"))))))))</f>
        <v/>
      </c>
      <c r="W82" s="18">
        <f>IF(B82="","",IF(NOT(I82),"INVALID_MASTER",IF(NOT(K82),"INCOMPLETE_SHELF_CYCLE",IF(N82&lt;MinHistory,"INSUFFICIENT_HISTORY",IF(NOT(J82),"INSUFFICIENT_IN_STOCK",IF(OR(Q82="",Q82=0),"NO_PRIOR_BASE",IF(Q82&lt;LowBaseThreshold,"LOW_BASE_NOISE",IF(V82="Markdown Review","MARKDOWN_PEER_GAP",IF(V82="Reorder Candidate","REORDER_UPLIFT_COVER","NO_MATERIAL_CHANGE"))))))))</f>
        <v/>
      </c>
      <c r="X82" s="18">
        <f>IF(V82="Markdown Review","Markdown support",IF(V82="Reorder Candidate","Second reorder",IF(V82="Monitor","Monitor",IF(V82="Noise","Hold / collect data",IF(V82="Not Ready","Not ready","")))))</f>
        <v/>
      </c>
      <c r="Y82" s="18">
        <f>IF(OR(R82="",T82=""),"",ABS(R82)+ABS(T82))</f>
        <v/>
      </c>
      <c r="Z82" s="21">
        <f>IF(OR(B82="",NOT(O82),R82=""),"",IF(ABS(R82)&gt;=MaterialThreshold,"Yes","No"))</f>
        <v/>
      </c>
      <c r="AA82" s="18">
        <f>IF(Z82&lt;&gt;"Yes","",IF(ABS(R82)&gt;=MaterialThreshold,IF(ABS(R82)&gt;=BroadShare,"Broad SKU movement","Store-concentrated movement"),""))</f>
        <v/>
      </c>
      <c r="AB82" s="18">
        <f>IF(O82,IF(COUNTIFS($O$5:O82,TRUE)&gt;0,COUNTIFS($O$5:O82,TRUE),0),0)</f>
        <v/>
      </c>
      <c r="AC82" s="18">
        <f>IF(V82="Markdown Review",1,IF(V82="Reorder Candidate",2,IF(V82="Monitor",3,IF(V82="Noise",4,IF(V82="Not Ready",5,99)))))</f>
        <v/>
      </c>
      <c r="AD82" s="18">
        <f>IF(O82,COUNTIFS($O$5:$O$504,TRUE,$AC$5:$AC$504,"&lt;"&amp;AC82)+COUNTIFS($O$5:O82,TRUE,$AC$5:AC82,AC82,$Y$5:Y82,"&gt;"&amp;Y82),0)</f>
        <v/>
      </c>
    </row>
    <row r="83">
      <c r="A83" s="17">
        <f>IF(COUNTA('Weekly Input'!A83:C83)=0,"",'Weekly Input'!B83&amp;"|"&amp;'Weekly Input'!C83&amp;"|"&amp;TEXT('Weekly Input'!A83,"yyyy-mm-dd"))</f>
        <v/>
      </c>
      <c r="B83" s="18">
        <f>'Weekly Input'!B83</f>
        <v/>
      </c>
      <c r="C83" s="18">
        <f>'Weekly Input'!C83</f>
        <v/>
      </c>
      <c r="D83" s="18">
        <f>IF(B83="","",IFERROR(INDEX('Master Data'!$B$6:$B$145,MATCH(B83,'Master Data'!$A$6:$A$145,0)),""))</f>
        <v/>
      </c>
      <c r="E83" s="18">
        <f>IF(C83="","",IFERROR(INDEX('Master Data'!$H$6:$H$13,MATCH(C83,'Master Data'!$F$6:$F$13,0)),""))</f>
        <v/>
      </c>
      <c r="F83" s="19">
        <f>'Weekly Input'!A83</f>
        <v/>
      </c>
      <c r="G83" s="19">
        <f>IF(B83="","",IFERROR(INDEX('Master Data'!$D$6:$D$145,MATCH(B83,'Master Data'!$A$6:$A$145,0)),""))</f>
        <v/>
      </c>
      <c r="H83" s="18">
        <f>IF(OR(F83="",G83=""),"",F83-G83)</f>
        <v/>
      </c>
      <c r="I83" s="18">
        <f>IF(B83="","",IF('Weekly Input'!J83="OK",TRUE,FALSE))</f>
        <v/>
      </c>
      <c r="J83" s="18">
        <f>IF(B83="","",'Weekly Input'!H83&gt;=MinInStockDays)</f>
        <v/>
      </c>
      <c r="K83" s="18">
        <f>IF(B83="","",H83&gt;=FullCycleMin)</f>
        <v/>
      </c>
      <c r="L83" s="18">
        <f>IF(B83="","",AND(I83,J83,K83,N83&gt;=MinHistory))</f>
        <v/>
      </c>
      <c r="M83" s="20">
        <f>IF(OR(B83="",'Weekly Input'!H83=0),"",'Weekly Input'!D83/'Weekly Input'!H83*7)</f>
        <v/>
      </c>
      <c r="N83" s="18">
        <f>IF(B83="","",COUNTIFS($B$5:$B$504,B83,$C$5:$C$504,C83,$I$5:$I$504,TRUE,$J$5:$J$504,TRUE,$K$5:$K$504,TRUE))</f>
        <v/>
      </c>
      <c r="O83" s="18">
        <f>IF(B83="","",AND(F83=AsOfWeek,AsOfWeek&lt;&gt;""))</f>
        <v/>
      </c>
      <c r="P83" s="20">
        <f>IF(OR(B83="",AsOfWeek=""),"",IFERROR(SUMIFS($M$5:$M$504,$B$5:$B$504,B83,$C$5:$C$504,C83,$L$5:$L$504,TRUE,$F$5:$F$504,"&gt;="&amp;AsOfWeek-7*(RecentWeeks-1),$F$5:$F$504,"&lt;="&amp;AsOfWeek),""))</f>
        <v/>
      </c>
      <c r="Q83" s="20">
        <f>IF(OR(B83="",AsOfWeek=""),"",IFERROR(SUMIFS($M$5:$M$504,$B$5:$B$504,B83,$C$5:$C$504,C83,$L$5:$L$504,TRUE,$F$5:$F$504,"&gt;="&amp;AsOfWeek-7*(RecentWeeks+PriorWeeks-1),$F$5:$F$504,"&lt;"&amp;AsOfWeek-7*(RecentWeeks-1)),""))</f>
        <v/>
      </c>
      <c r="R83" s="21">
        <f>IF(OR(P83="",Q83="",Q83=0),"",P83/Q83-1)</f>
        <v/>
      </c>
      <c r="S83" s="20">
        <f>IF(OR(C83="",AsOfWeek=""),"",IFERROR(AVERAGEIFS($M$5:$M$504,$C$5:$C$504,C83,$L$5:$L$504,TRUE,$F$5:$F$504,"&gt;="&amp;AsOfWeek-7*(RecentWeeks-1),$F$5:$F$504,"&lt;="&amp;AsOfWeek),""))</f>
        <v/>
      </c>
      <c r="T83" s="21">
        <f>IF(OR(P83="",S83=""),"",P83/S83-1)</f>
        <v/>
      </c>
      <c r="U83" s="22">
        <f>IF(OR(B83="",'Weekly Input'!G83="",P83="",P83=0),"",'Weekly Input'!G83/P83)</f>
        <v/>
      </c>
      <c r="V83" s="18">
        <f>IF(B83="","",IF(NOT(I83),"Not Ready",IF(NOT(K83),"Not Ready",IF(N83&lt;MinHistory,"Not Ready",IF(NOT(J83),"Not Ready",IF(OR(Q83="",Q83=0),"Noise",IF(Q83&lt;LowBaseThreshold,"Noise",IF(AND(R83&lt;=-OwnDecline,T83&lt;=-PeerGapThreshold),"Markdown Review",IF(AND(R83&gt;=ReorderUplift,U83&lt;&gt;"",U83&lt;=WeeksSupplyCap),"Reorder Candidate","Monitor"))))))))</f>
        <v/>
      </c>
      <c r="W83" s="18">
        <f>IF(B83="","",IF(NOT(I83),"INVALID_MASTER",IF(NOT(K83),"INCOMPLETE_SHELF_CYCLE",IF(N83&lt;MinHistory,"INSUFFICIENT_HISTORY",IF(NOT(J83),"INSUFFICIENT_IN_STOCK",IF(OR(Q83="",Q83=0),"NO_PRIOR_BASE",IF(Q83&lt;LowBaseThreshold,"LOW_BASE_NOISE",IF(V83="Markdown Review","MARKDOWN_PEER_GAP",IF(V83="Reorder Candidate","REORDER_UPLIFT_COVER","NO_MATERIAL_CHANGE"))))))))</f>
        <v/>
      </c>
      <c r="X83" s="18">
        <f>IF(V83="Markdown Review","Markdown support",IF(V83="Reorder Candidate","Second reorder",IF(V83="Monitor","Monitor",IF(V83="Noise","Hold / collect data",IF(V83="Not Ready","Not ready","")))))</f>
        <v/>
      </c>
      <c r="Y83" s="18">
        <f>IF(OR(R83="",T83=""),"",ABS(R83)+ABS(T83))</f>
        <v/>
      </c>
      <c r="Z83" s="21">
        <f>IF(OR(B83="",NOT(O83),R83=""),"",IF(ABS(R83)&gt;=MaterialThreshold,"Yes","No"))</f>
        <v/>
      </c>
      <c r="AA83" s="18">
        <f>IF(Z83&lt;&gt;"Yes","",IF(ABS(R83)&gt;=MaterialThreshold,IF(ABS(R83)&gt;=BroadShare,"Broad SKU movement","Store-concentrated movement"),""))</f>
        <v/>
      </c>
      <c r="AB83" s="18">
        <f>IF(O83,IF(COUNTIFS($O$5:O83,TRUE)&gt;0,COUNTIFS($O$5:O83,TRUE),0),0)</f>
        <v/>
      </c>
      <c r="AC83" s="18">
        <f>IF(V83="Markdown Review",1,IF(V83="Reorder Candidate",2,IF(V83="Monitor",3,IF(V83="Noise",4,IF(V83="Not Ready",5,99)))))</f>
        <v/>
      </c>
      <c r="AD83" s="18">
        <f>IF(O83,COUNTIFS($O$5:$O$504,TRUE,$AC$5:$AC$504,"&lt;"&amp;AC83)+COUNTIFS($O$5:O83,TRUE,$AC$5:AC83,AC83,$Y$5:Y83,"&gt;"&amp;Y83),0)</f>
        <v/>
      </c>
    </row>
    <row r="84">
      <c r="A84" s="17">
        <f>IF(COUNTA('Weekly Input'!A84:C84)=0,"",'Weekly Input'!B84&amp;"|"&amp;'Weekly Input'!C84&amp;"|"&amp;TEXT('Weekly Input'!A84,"yyyy-mm-dd"))</f>
        <v/>
      </c>
      <c r="B84" s="18">
        <f>'Weekly Input'!B84</f>
        <v/>
      </c>
      <c r="C84" s="18">
        <f>'Weekly Input'!C84</f>
        <v/>
      </c>
      <c r="D84" s="18">
        <f>IF(B84="","",IFERROR(INDEX('Master Data'!$B$6:$B$145,MATCH(B84,'Master Data'!$A$6:$A$145,0)),""))</f>
        <v/>
      </c>
      <c r="E84" s="18">
        <f>IF(C84="","",IFERROR(INDEX('Master Data'!$H$6:$H$13,MATCH(C84,'Master Data'!$F$6:$F$13,0)),""))</f>
        <v/>
      </c>
      <c r="F84" s="19">
        <f>'Weekly Input'!A84</f>
        <v/>
      </c>
      <c r="G84" s="19">
        <f>IF(B84="","",IFERROR(INDEX('Master Data'!$D$6:$D$145,MATCH(B84,'Master Data'!$A$6:$A$145,0)),""))</f>
        <v/>
      </c>
      <c r="H84" s="18">
        <f>IF(OR(F84="",G84=""),"",F84-G84)</f>
        <v/>
      </c>
      <c r="I84" s="18">
        <f>IF(B84="","",IF('Weekly Input'!J84="OK",TRUE,FALSE))</f>
        <v/>
      </c>
      <c r="J84" s="18">
        <f>IF(B84="","",'Weekly Input'!H84&gt;=MinInStockDays)</f>
        <v/>
      </c>
      <c r="K84" s="18">
        <f>IF(B84="","",H84&gt;=FullCycleMin)</f>
        <v/>
      </c>
      <c r="L84" s="18">
        <f>IF(B84="","",AND(I84,J84,K84,N84&gt;=MinHistory))</f>
        <v/>
      </c>
      <c r="M84" s="20">
        <f>IF(OR(B84="",'Weekly Input'!H84=0),"",'Weekly Input'!D84/'Weekly Input'!H84*7)</f>
        <v/>
      </c>
      <c r="N84" s="18">
        <f>IF(B84="","",COUNTIFS($B$5:$B$504,B84,$C$5:$C$504,C84,$I$5:$I$504,TRUE,$J$5:$J$504,TRUE,$K$5:$K$504,TRUE))</f>
        <v/>
      </c>
      <c r="O84" s="18">
        <f>IF(B84="","",AND(F84=AsOfWeek,AsOfWeek&lt;&gt;""))</f>
        <v/>
      </c>
      <c r="P84" s="20">
        <f>IF(OR(B84="",AsOfWeek=""),"",IFERROR(SUMIFS($M$5:$M$504,$B$5:$B$504,B84,$C$5:$C$504,C84,$L$5:$L$504,TRUE,$F$5:$F$504,"&gt;="&amp;AsOfWeek-7*(RecentWeeks-1),$F$5:$F$504,"&lt;="&amp;AsOfWeek),""))</f>
        <v/>
      </c>
      <c r="Q84" s="20">
        <f>IF(OR(B84="",AsOfWeek=""),"",IFERROR(SUMIFS($M$5:$M$504,$B$5:$B$504,B84,$C$5:$C$504,C84,$L$5:$L$504,TRUE,$F$5:$F$504,"&gt;="&amp;AsOfWeek-7*(RecentWeeks+PriorWeeks-1),$F$5:$F$504,"&lt;"&amp;AsOfWeek-7*(RecentWeeks-1)),""))</f>
        <v/>
      </c>
      <c r="R84" s="21">
        <f>IF(OR(P84="",Q84="",Q84=0),"",P84/Q84-1)</f>
        <v/>
      </c>
      <c r="S84" s="20">
        <f>IF(OR(C84="",AsOfWeek=""),"",IFERROR(AVERAGEIFS($M$5:$M$504,$C$5:$C$504,C84,$L$5:$L$504,TRUE,$F$5:$F$504,"&gt;="&amp;AsOfWeek-7*(RecentWeeks-1),$F$5:$F$504,"&lt;="&amp;AsOfWeek),""))</f>
        <v/>
      </c>
      <c r="T84" s="21">
        <f>IF(OR(P84="",S84=""),"",P84/S84-1)</f>
        <v/>
      </c>
      <c r="U84" s="22">
        <f>IF(OR(B84="",'Weekly Input'!G84="",P84="",P84=0),"",'Weekly Input'!G84/P84)</f>
        <v/>
      </c>
      <c r="V84" s="18">
        <f>IF(B84="","",IF(NOT(I84),"Not Ready",IF(NOT(K84),"Not Ready",IF(N84&lt;MinHistory,"Not Ready",IF(NOT(J84),"Not Ready",IF(OR(Q84="",Q84=0),"Noise",IF(Q84&lt;LowBaseThreshold,"Noise",IF(AND(R84&lt;=-OwnDecline,T84&lt;=-PeerGapThreshold),"Markdown Review",IF(AND(R84&gt;=ReorderUplift,U84&lt;&gt;"",U84&lt;=WeeksSupplyCap),"Reorder Candidate","Monitor"))))))))</f>
        <v/>
      </c>
      <c r="W84" s="18">
        <f>IF(B84="","",IF(NOT(I84),"INVALID_MASTER",IF(NOT(K84),"INCOMPLETE_SHELF_CYCLE",IF(N84&lt;MinHistory,"INSUFFICIENT_HISTORY",IF(NOT(J84),"INSUFFICIENT_IN_STOCK",IF(OR(Q84="",Q84=0),"NO_PRIOR_BASE",IF(Q84&lt;LowBaseThreshold,"LOW_BASE_NOISE",IF(V84="Markdown Review","MARKDOWN_PEER_GAP",IF(V84="Reorder Candidate","REORDER_UPLIFT_COVER","NO_MATERIAL_CHANGE"))))))))</f>
        <v/>
      </c>
      <c r="X84" s="18">
        <f>IF(V84="Markdown Review","Markdown support",IF(V84="Reorder Candidate","Second reorder",IF(V84="Monitor","Monitor",IF(V84="Noise","Hold / collect data",IF(V84="Not Ready","Not ready","")))))</f>
        <v/>
      </c>
      <c r="Y84" s="18">
        <f>IF(OR(R84="",T84=""),"",ABS(R84)+ABS(T84))</f>
        <v/>
      </c>
      <c r="Z84" s="21">
        <f>IF(OR(B84="",NOT(O84),R84=""),"",IF(ABS(R84)&gt;=MaterialThreshold,"Yes","No"))</f>
        <v/>
      </c>
      <c r="AA84" s="18">
        <f>IF(Z84&lt;&gt;"Yes","",IF(ABS(R84)&gt;=MaterialThreshold,IF(ABS(R84)&gt;=BroadShare,"Broad SKU movement","Store-concentrated movement"),""))</f>
        <v/>
      </c>
      <c r="AB84" s="18">
        <f>IF(O84,IF(COUNTIFS($O$5:O84,TRUE)&gt;0,COUNTIFS($O$5:O84,TRUE),0),0)</f>
        <v/>
      </c>
      <c r="AC84" s="18">
        <f>IF(V84="Markdown Review",1,IF(V84="Reorder Candidate",2,IF(V84="Monitor",3,IF(V84="Noise",4,IF(V84="Not Ready",5,99)))))</f>
        <v/>
      </c>
      <c r="AD84" s="18">
        <f>IF(O84,COUNTIFS($O$5:$O$504,TRUE,$AC$5:$AC$504,"&lt;"&amp;AC84)+COUNTIFS($O$5:O84,TRUE,$AC$5:AC84,AC84,$Y$5:Y84,"&gt;"&amp;Y84),0)</f>
        <v/>
      </c>
    </row>
    <row r="85">
      <c r="A85" s="17">
        <f>IF(COUNTA('Weekly Input'!A85:C85)=0,"",'Weekly Input'!B85&amp;"|"&amp;'Weekly Input'!C85&amp;"|"&amp;TEXT('Weekly Input'!A85,"yyyy-mm-dd"))</f>
        <v/>
      </c>
      <c r="B85" s="18">
        <f>'Weekly Input'!B85</f>
        <v/>
      </c>
      <c r="C85" s="18">
        <f>'Weekly Input'!C85</f>
        <v/>
      </c>
      <c r="D85" s="18">
        <f>IF(B85="","",IFERROR(INDEX('Master Data'!$B$6:$B$145,MATCH(B85,'Master Data'!$A$6:$A$145,0)),""))</f>
        <v/>
      </c>
      <c r="E85" s="18">
        <f>IF(C85="","",IFERROR(INDEX('Master Data'!$H$6:$H$13,MATCH(C85,'Master Data'!$F$6:$F$13,0)),""))</f>
        <v/>
      </c>
      <c r="F85" s="19">
        <f>'Weekly Input'!A85</f>
        <v/>
      </c>
      <c r="G85" s="19">
        <f>IF(B85="","",IFERROR(INDEX('Master Data'!$D$6:$D$145,MATCH(B85,'Master Data'!$A$6:$A$145,0)),""))</f>
        <v/>
      </c>
      <c r="H85" s="18">
        <f>IF(OR(F85="",G85=""),"",F85-G85)</f>
        <v/>
      </c>
      <c r="I85" s="18">
        <f>IF(B85="","",IF('Weekly Input'!J85="OK",TRUE,FALSE))</f>
        <v/>
      </c>
      <c r="J85" s="18">
        <f>IF(B85="","",'Weekly Input'!H85&gt;=MinInStockDays)</f>
        <v/>
      </c>
      <c r="K85" s="18">
        <f>IF(B85="","",H85&gt;=FullCycleMin)</f>
        <v/>
      </c>
      <c r="L85" s="18">
        <f>IF(B85="","",AND(I85,J85,K85,N85&gt;=MinHistory))</f>
        <v/>
      </c>
      <c r="M85" s="20">
        <f>IF(OR(B85="",'Weekly Input'!H85=0),"",'Weekly Input'!D85/'Weekly Input'!H85*7)</f>
        <v/>
      </c>
      <c r="N85" s="18">
        <f>IF(B85="","",COUNTIFS($B$5:$B$504,B85,$C$5:$C$504,C85,$I$5:$I$504,TRUE,$J$5:$J$504,TRUE,$K$5:$K$504,TRUE))</f>
        <v/>
      </c>
      <c r="O85" s="18">
        <f>IF(B85="","",AND(F85=AsOfWeek,AsOfWeek&lt;&gt;""))</f>
        <v/>
      </c>
      <c r="P85" s="20">
        <f>IF(OR(B85="",AsOfWeek=""),"",IFERROR(SUMIFS($M$5:$M$504,$B$5:$B$504,B85,$C$5:$C$504,C85,$L$5:$L$504,TRUE,$F$5:$F$504,"&gt;="&amp;AsOfWeek-7*(RecentWeeks-1),$F$5:$F$504,"&lt;="&amp;AsOfWeek),""))</f>
        <v/>
      </c>
      <c r="Q85" s="20">
        <f>IF(OR(B85="",AsOfWeek=""),"",IFERROR(SUMIFS($M$5:$M$504,$B$5:$B$504,B85,$C$5:$C$504,C85,$L$5:$L$504,TRUE,$F$5:$F$504,"&gt;="&amp;AsOfWeek-7*(RecentWeeks+PriorWeeks-1),$F$5:$F$504,"&lt;"&amp;AsOfWeek-7*(RecentWeeks-1)),""))</f>
        <v/>
      </c>
      <c r="R85" s="21">
        <f>IF(OR(P85="",Q85="",Q85=0),"",P85/Q85-1)</f>
        <v/>
      </c>
      <c r="S85" s="20">
        <f>IF(OR(C85="",AsOfWeek=""),"",IFERROR(AVERAGEIFS($M$5:$M$504,$C$5:$C$504,C85,$L$5:$L$504,TRUE,$F$5:$F$504,"&gt;="&amp;AsOfWeek-7*(RecentWeeks-1),$F$5:$F$504,"&lt;="&amp;AsOfWeek),""))</f>
        <v/>
      </c>
      <c r="T85" s="21">
        <f>IF(OR(P85="",S85=""),"",P85/S85-1)</f>
        <v/>
      </c>
      <c r="U85" s="22">
        <f>IF(OR(B85="",'Weekly Input'!G85="",P85="",P85=0),"",'Weekly Input'!G85/P85)</f>
        <v/>
      </c>
      <c r="V85" s="18">
        <f>IF(B85="","",IF(NOT(I85),"Not Ready",IF(NOT(K85),"Not Ready",IF(N85&lt;MinHistory,"Not Ready",IF(NOT(J85),"Not Ready",IF(OR(Q85="",Q85=0),"Noise",IF(Q85&lt;LowBaseThreshold,"Noise",IF(AND(R85&lt;=-OwnDecline,T85&lt;=-PeerGapThreshold),"Markdown Review",IF(AND(R85&gt;=ReorderUplift,U85&lt;&gt;"",U85&lt;=WeeksSupplyCap),"Reorder Candidate","Monitor"))))))))</f>
        <v/>
      </c>
      <c r="W85" s="18">
        <f>IF(B85="","",IF(NOT(I85),"INVALID_MASTER",IF(NOT(K85),"INCOMPLETE_SHELF_CYCLE",IF(N85&lt;MinHistory,"INSUFFICIENT_HISTORY",IF(NOT(J85),"INSUFFICIENT_IN_STOCK",IF(OR(Q85="",Q85=0),"NO_PRIOR_BASE",IF(Q85&lt;LowBaseThreshold,"LOW_BASE_NOISE",IF(V85="Markdown Review","MARKDOWN_PEER_GAP",IF(V85="Reorder Candidate","REORDER_UPLIFT_COVER","NO_MATERIAL_CHANGE"))))))))</f>
        <v/>
      </c>
      <c r="X85" s="18">
        <f>IF(V85="Markdown Review","Markdown support",IF(V85="Reorder Candidate","Second reorder",IF(V85="Monitor","Monitor",IF(V85="Noise","Hold / collect data",IF(V85="Not Ready","Not ready","")))))</f>
        <v/>
      </c>
      <c r="Y85" s="18">
        <f>IF(OR(R85="",T85=""),"",ABS(R85)+ABS(T85))</f>
        <v/>
      </c>
      <c r="Z85" s="21">
        <f>IF(OR(B85="",NOT(O85),R85=""),"",IF(ABS(R85)&gt;=MaterialThreshold,"Yes","No"))</f>
        <v/>
      </c>
      <c r="AA85" s="18">
        <f>IF(Z85&lt;&gt;"Yes","",IF(ABS(R85)&gt;=MaterialThreshold,IF(ABS(R85)&gt;=BroadShare,"Broad SKU movement","Store-concentrated movement"),""))</f>
        <v/>
      </c>
      <c r="AB85" s="18">
        <f>IF(O85,IF(COUNTIFS($O$5:O85,TRUE)&gt;0,COUNTIFS($O$5:O85,TRUE),0),0)</f>
        <v/>
      </c>
      <c r="AC85" s="18">
        <f>IF(V85="Markdown Review",1,IF(V85="Reorder Candidate",2,IF(V85="Monitor",3,IF(V85="Noise",4,IF(V85="Not Ready",5,99)))))</f>
        <v/>
      </c>
      <c r="AD85" s="18">
        <f>IF(O85,COUNTIFS($O$5:$O$504,TRUE,$AC$5:$AC$504,"&lt;"&amp;AC85)+COUNTIFS($O$5:O85,TRUE,$AC$5:AC85,AC85,$Y$5:Y85,"&gt;"&amp;Y85),0)</f>
        <v/>
      </c>
    </row>
    <row r="86">
      <c r="A86" s="17">
        <f>IF(COUNTA('Weekly Input'!A86:C86)=0,"",'Weekly Input'!B86&amp;"|"&amp;'Weekly Input'!C86&amp;"|"&amp;TEXT('Weekly Input'!A86,"yyyy-mm-dd"))</f>
        <v/>
      </c>
      <c r="B86" s="18">
        <f>'Weekly Input'!B86</f>
        <v/>
      </c>
      <c r="C86" s="18">
        <f>'Weekly Input'!C86</f>
        <v/>
      </c>
      <c r="D86" s="18">
        <f>IF(B86="","",IFERROR(INDEX('Master Data'!$B$6:$B$145,MATCH(B86,'Master Data'!$A$6:$A$145,0)),""))</f>
        <v/>
      </c>
      <c r="E86" s="18">
        <f>IF(C86="","",IFERROR(INDEX('Master Data'!$H$6:$H$13,MATCH(C86,'Master Data'!$F$6:$F$13,0)),""))</f>
        <v/>
      </c>
      <c r="F86" s="19">
        <f>'Weekly Input'!A86</f>
        <v/>
      </c>
      <c r="G86" s="19">
        <f>IF(B86="","",IFERROR(INDEX('Master Data'!$D$6:$D$145,MATCH(B86,'Master Data'!$A$6:$A$145,0)),""))</f>
        <v/>
      </c>
      <c r="H86" s="18">
        <f>IF(OR(F86="",G86=""),"",F86-G86)</f>
        <v/>
      </c>
      <c r="I86" s="18">
        <f>IF(B86="","",IF('Weekly Input'!J86="OK",TRUE,FALSE))</f>
        <v/>
      </c>
      <c r="J86" s="18">
        <f>IF(B86="","",'Weekly Input'!H86&gt;=MinInStockDays)</f>
        <v/>
      </c>
      <c r="K86" s="18">
        <f>IF(B86="","",H86&gt;=FullCycleMin)</f>
        <v/>
      </c>
      <c r="L86" s="18">
        <f>IF(B86="","",AND(I86,J86,K86,N86&gt;=MinHistory))</f>
        <v/>
      </c>
      <c r="M86" s="20">
        <f>IF(OR(B86="",'Weekly Input'!H86=0),"",'Weekly Input'!D86/'Weekly Input'!H86*7)</f>
        <v/>
      </c>
      <c r="N86" s="18">
        <f>IF(B86="","",COUNTIFS($B$5:$B$504,B86,$C$5:$C$504,C86,$I$5:$I$504,TRUE,$J$5:$J$504,TRUE,$K$5:$K$504,TRUE))</f>
        <v/>
      </c>
      <c r="O86" s="18">
        <f>IF(B86="","",AND(F86=AsOfWeek,AsOfWeek&lt;&gt;""))</f>
        <v/>
      </c>
      <c r="P86" s="20">
        <f>IF(OR(B86="",AsOfWeek=""),"",IFERROR(SUMIFS($M$5:$M$504,$B$5:$B$504,B86,$C$5:$C$504,C86,$L$5:$L$504,TRUE,$F$5:$F$504,"&gt;="&amp;AsOfWeek-7*(RecentWeeks-1),$F$5:$F$504,"&lt;="&amp;AsOfWeek),""))</f>
        <v/>
      </c>
      <c r="Q86" s="20">
        <f>IF(OR(B86="",AsOfWeek=""),"",IFERROR(SUMIFS($M$5:$M$504,$B$5:$B$504,B86,$C$5:$C$504,C86,$L$5:$L$504,TRUE,$F$5:$F$504,"&gt;="&amp;AsOfWeek-7*(RecentWeeks+PriorWeeks-1),$F$5:$F$504,"&lt;"&amp;AsOfWeek-7*(RecentWeeks-1)),""))</f>
        <v/>
      </c>
      <c r="R86" s="21">
        <f>IF(OR(P86="",Q86="",Q86=0),"",P86/Q86-1)</f>
        <v/>
      </c>
      <c r="S86" s="20">
        <f>IF(OR(C86="",AsOfWeek=""),"",IFERROR(AVERAGEIFS($M$5:$M$504,$C$5:$C$504,C86,$L$5:$L$504,TRUE,$F$5:$F$504,"&gt;="&amp;AsOfWeek-7*(RecentWeeks-1),$F$5:$F$504,"&lt;="&amp;AsOfWeek),""))</f>
        <v/>
      </c>
      <c r="T86" s="21">
        <f>IF(OR(P86="",S86=""),"",P86/S86-1)</f>
        <v/>
      </c>
      <c r="U86" s="22">
        <f>IF(OR(B86="",'Weekly Input'!G86="",P86="",P86=0),"",'Weekly Input'!G86/P86)</f>
        <v/>
      </c>
      <c r="V86" s="18">
        <f>IF(B86="","",IF(NOT(I86),"Not Ready",IF(NOT(K86),"Not Ready",IF(N86&lt;MinHistory,"Not Ready",IF(NOT(J86),"Not Ready",IF(OR(Q86="",Q86=0),"Noise",IF(Q86&lt;LowBaseThreshold,"Noise",IF(AND(R86&lt;=-OwnDecline,T86&lt;=-PeerGapThreshold),"Markdown Review",IF(AND(R86&gt;=ReorderUplift,U86&lt;&gt;"",U86&lt;=WeeksSupplyCap),"Reorder Candidate","Monitor"))))))))</f>
        <v/>
      </c>
      <c r="W86" s="18">
        <f>IF(B86="","",IF(NOT(I86),"INVALID_MASTER",IF(NOT(K86),"INCOMPLETE_SHELF_CYCLE",IF(N86&lt;MinHistory,"INSUFFICIENT_HISTORY",IF(NOT(J86),"INSUFFICIENT_IN_STOCK",IF(OR(Q86="",Q86=0),"NO_PRIOR_BASE",IF(Q86&lt;LowBaseThreshold,"LOW_BASE_NOISE",IF(V86="Markdown Review","MARKDOWN_PEER_GAP",IF(V86="Reorder Candidate","REORDER_UPLIFT_COVER","NO_MATERIAL_CHANGE"))))))))</f>
        <v/>
      </c>
      <c r="X86" s="18">
        <f>IF(V86="Markdown Review","Markdown support",IF(V86="Reorder Candidate","Second reorder",IF(V86="Monitor","Monitor",IF(V86="Noise","Hold / collect data",IF(V86="Not Ready","Not ready","")))))</f>
        <v/>
      </c>
      <c r="Y86" s="18">
        <f>IF(OR(R86="",T86=""),"",ABS(R86)+ABS(T86))</f>
        <v/>
      </c>
      <c r="Z86" s="21">
        <f>IF(OR(B86="",NOT(O86),R86=""),"",IF(ABS(R86)&gt;=MaterialThreshold,"Yes","No"))</f>
        <v/>
      </c>
      <c r="AA86" s="18">
        <f>IF(Z86&lt;&gt;"Yes","",IF(ABS(R86)&gt;=MaterialThreshold,IF(ABS(R86)&gt;=BroadShare,"Broad SKU movement","Store-concentrated movement"),""))</f>
        <v/>
      </c>
      <c r="AB86" s="18">
        <f>IF(O86,IF(COUNTIFS($O$5:O86,TRUE)&gt;0,COUNTIFS($O$5:O86,TRUE),0),0)</f>
        <v/>
      </c>
      <c r="AC86" s="18">
        <f>IF(V86="Markdown Review",1,IF(V86="Reorder Candidate",2,IF(V86="Monitor",3,IF(V86="Noise",4,IF(V86="Not Ready",5,99)))))</f>
        <v/>
      </c>
      <c r="AD86" s="18">
        <f>IF(O86,COUNTIFS($O$5:$O$504,TRUE,$AC$5:$AC$504,"&lt;"&amp;AC86)+COUNTIFS($O$5:O86,TRUE,$AC$5:AC86,AC86,$Y$5:Y86,"&gt;"&amp;Y86),0)</f>
        <v/>
      </c>
    </row>
    <row r="87">
      <c r="A87" s="17">
        <f>IF(COUNTA('Weekly Input'!A87:C87)=0,"",'Weekly Input'!B87&amp;"|"&amp;'Weekly Input'!C87&amp;"|"&amp;TEXT('Weekly Input'!A87,"yyyy-mm-dd"))</f>
        <v/>
      </c>
      <c r="B87" s="18">
        <f>'Weekly Input'!B87</f>
        <v/>
      </c>
      <c r="C87" s="18">
        <f>'Weekly Input'!C87</f>
        <v/>
      </c>
      <c r="D87" s="18">
        <f>IF(B87="","",IFERROR(INDEX('Master Data'!$B$6:$B$145,MATCH(B87,'Master Data'!$A$6:$A$145,0)),""))</f>
        <v/>
      </c>
      <c r="E87" s="18">
        <f>IF(C87="","",IFERROR(INDEX('Master Data'!$H$6:$H$13,MATCH(C87,'Master Data'!$F$6:$F$13,0)),""))</f>
        <v/>
      </c>
      <c r="F87" s="19">
        <f>'Weekly Input'!A87</f>
        <v/>
      </c>
      <c r="G87" s="19">
        <f>IF(B87="","",IFERROR(INDEX('Master Data'!$D$6:$D$145,MATCH(B87,'Master Data'!$A$6:$A$145,0)),""))</f>
        <v/>
      </c>
      <c r="H87" s="18">
        <f>IF(OR(F87="",G87=""),"",F87-G87)</f>
        <v/>
      </c>
      <c r="I87" s="18">
        <f>IF(B87="","",IF('Weekly Input'!J87="OK",TRUE,FALSE))</f>
        <v/>
      </c>
      <c r="J87" s="18">
        <f>IF(B87="","",'Weekly Input'!H87&gt;=MinInStockDays)</f>
        <v/>
      </c>
      <c r="K87" s="18">
        <f>IF(B87="","",H87&gt;=FullCycleMin)</f>
        <v/>
      </c>
      <c r="L87" s="18">
        <f>IF(B87="","",AND(I87,J87,K87,N87&gt;=MinHistory))</f>
        <v/>
      </c>
      <c r="M87" s="20">
        <f>IF(OR(B87="",'Weekly Input'!H87=0),"",'Weekly Input'!D87/'Weekly Input'!H87*7)</f>
        <v/>
      </c>
      <c r="N87" s="18">
        <f>IF(B87="","",COUNTIFS($B$5:$B$504,B87,$C$5:$C$504,C87,$I$5:$I$504,TRUE,$J$5:$J$504,TRUE,$K$5:$K$504,TRUE))</f>
        <v/>
      </c>
      <c r="O87" s="18">
        <f>IF(B87="","",AND(F87=AsOfWeek,AsOfWeek&lt;&gt;""))</f>
        <v/>
      </c>
      <c r="P87" s="20">
        <f>IF(OR(B87="",AsOfWeek=""),"",IFERROR(SUMIFS($M$5:$M$504,$B$5:$B$504,B87,$C$5:$C$504,C87,$L$5:$L$504,TRUE,$F$5:$F$504,"&gt;="&amp;AsOfWeek-7*(RecentWeeks-1),$F$5:$F$504,"&lt;="&amp;AsOfWeek),""))</f>
        <v/>
      </c>
      <c r="Q87" s="20">
        <f>IF(OR(B87="",AsOfWeek=""),"",IFERROR(SUMIFS($M$5:$M$504,$B$5:$B$504,B87,$C$5:$C$504,C87,$L$5:$L$504,TRUE,$F$5:$F$504,"&gt;="&amp;AsOfWeek-7*(RecentWeeks+PriorWeeks-1),$F$5:$F$504,"&lt;"&amp;AsOfWeek-7*(RecentWeeks-1)),""))</f>
        <v/>
      </c>
      <c r="R87" s="21">
        <f>IF(OR(P87="",Q87="",Q87=0),"",P87/Q87-1)</f>
        <v/>
      </c>
      <c r="S87" s="20">
        <f>IF(OR(C87="",AsOfWeek=""),"",IFERROR(AVERAGEIFS($M$5:$M$504,$C$5:$C$504,C87,$L$5:$L$504,TRUE,$F$5:$F$504,"&gt;="&amp;AsOfWeek-7*(RecentWeeks-1),$F$5:$F$504,"&lt;="&amp;AsOfWeek),""))</f>
        <v/>
      </c>
      <c r="T87" s="21">
        <f>IF(OR(P87="",S87=""),"",P87/S87-1)</f>
        <v/>
      </c>
      <c r="U87" s="22">
        <f>IF(OR(B87="",'Weekly Input'!G87="",P87="",P87=0),"",'Weekly Input'!G87/P87)</f>
        <v/>
      </c>
      <c r="V87" s="18">
        <f>IF(B87="","",IF(NOT(I87),"Not Ready",IF(NOT(K87),"Not Ready",IF(N87&lt;MinHistory,"Not Ready",IF(NOT(J87),"Not Ready",IF(OR(Q87="",Q87=0),"Noise",IF(Q87&lt;LowBaseThreshold,"Noise",IF(AND(R87&lt;=-OwnDecline,T87&lt;=-PeerGapThreshold),"Markdown Review",IF(AND(R87&gt;=ReorderUplift,U87&lt;&gt;"",U87&lt;=WeeksSupplyCap),"Reorder Candidate","Monitor"))))))))</f>
        <v/>
      </c>
      <c r="W87" s="18">
        <f>IF(B87="","",IF(NOT(I87),"INVALID_MASTER",IF(NOT(K87),"INCOMPLETE_SHELF_CYCLE",IF(N87&lt;MinHistory,"INSUFFICIENT_HISTORY",IF(NOT(J87),"INSUFFICIENT_IN_STOCK",IF(OR(Q87="",Q87=0),"NO_PRIOR_BASE",IF(Q87&lt;LowBaseThreshold,"LOW_BASE_NOISE",IF(V87="Markdown Review","MARKDOWN_PEER_GAP",IF(V87="Reorder Candidate","REORDER_UPLIFT_COVER","NO_MATERIAL_CHANGE"))))))))</f>
        <v/>
      </c>
      <c r="X87" s="18">
        <f>IF(V87="Markdown Review","Markdown support",IF(V87="Reorder Candidate","Second reorder",IF(V87="Monitor","Monitor",IF(V87="Noise","Hold / collect data",IF(V87="Not Ready","Not ready","")))))</f>
        <v/>
      </c>
      <c r="Y87" s="18">
        <f>IF(OR(R87="",T87=""),"",ABS(R87)+ABS(T87))</f>
        <v/>
      </c>
      <c r="Z87" s="21">
        <f>IF(OR(B87="",NOT(O87),R87=""),"",IF(ABS(R87)&gt;=MaterialThreshold,"Yes","No"))</f>
        <v/>
      </c>
      <c r="AA87" s="18">
        <f>IF(Z87&lt;&gt;"Yes","",IF(ABS(R87)&gt;=MaterialThreshold,IF(ABS(R87)&gt;=BroadShare,"Broad SKU movement","Store-concentrated movement"),""))</f>
        <v/>
      </c>
      <c r="AB87" s="18">
        <f>IF(O87,IF(COUNTIFS($O$5:O87,TRUE)&gt;0,COUNTIFS($O$5:O87,TRUE),0),0)</f>
        <v/>
      </c>
      <c r="AC87" s="18">
        <f>IF(V87="Markdown Review",1,IF(V87="Reorder Candidate",2,IF(V87="Monitor",3,IF(V87="Noise",4,IF(V87="Not Ready",5,99)))))</f>
        <v/>
      </c>
      <c r="AD87" s="18">
        <f>IF(O87,COUNTIFS($O$5:$O$504,TRUE,$AC$5:$AC$504,"&lt;"&amp;AC87)+COUNTIFS($O$5:O87,TRUE,$AC$5:AC87,AC87,$Y$5:Y87,"&gt;"&amp;Y87),0)</f>
        <v/>
      </c>
    </row>
    <row r="88">
      <c r="A88" s="17">
        <f>IF(COUNTA('Weekly Input'!A88:C88)=0,"",'Weekly Input'!B88&amp;"|"&amp;'Weekly Input'!C88&amp;"|"&amp;TEXT('Weekly Input'!A88,"yyyy-mm-dd"))</f>
        <v/>
      </c>
      <c r="B88" s="18">
        <f>'Weekly Input'!B88</f>
        <v/>
      </c>
      <c r="C88" s="18">
        <f>'Weekly Input'!C88</f>
        <v/>
      </c>
      <c r="D88" s="18">
        <f>IF(B88="","",IFERROR(INDEX('Master Data'!$B$6:$B$145,MATCH(B88,'Master Data'!$A$6:$A$145,0)),""))</f>
        <v/>
      </c>
      <c r="E88" s="18">
        <f>IF(C88="","",IFERROR(INDEX('Master Data'!$H$6:$H$13,MATCH(C88,'Master Data'!$F$6:$F$13,0)),""))</f>
        <v/>
      </c>
      <c r="F88" s="19">
        <f>'Weekly Input'!A88</f>
        <v/>
      </c>
      <c r="G88" s="19">
        <f>IF(B88="","",IFERROR(INDEX('Master Data'!$D$6:$D$145,MATCH(B88,'Master Data'!$A$6:$A$145,0)),""))</f>
        <v/>
      </c>
      <c r="H88" s="18">
        <f>IF(OR(F88="",G88=""),"",F88-G88)</f>
        <v/>
      </c>
      <c r="I88" s="18">
        <f>IF(B88="","",IF('Weekly Input'!J88="OK",TRUE,FALSE))</f>
        <v/>
      </c>
      <c r="J88" s="18">
        <f>IF(B88="","",'Weekly Input'!H88&gt;=MinInStockDays)</f>
        <v/>
      </c>
      <c r="K88" s="18">
        <f>IF(B88="","",H88&gt;=FullCycleMin)</f>
        <v/>
      </c>
      <c r="L88" s="18">
        <f>IF(B88="","",AND(I88,J88,K88,N88&gt;=MinHistory))</f>
        <v/>
      </c>
      <c r="M88" s="20">
        <f>IF(OR(B88="",'Weekly Input'!H88=0),"",'Weekly Input'!D88/'Weekly Input'!H88*7)</f>
        <v/>
      </c>
      <c r="N88" s="18">
        <f>IF(B88="","",COUNTIFS($B$5:$B$504,B88,$C$5:$C$504,C88,$I$5:$I$504,TRUE,$J$5:$J$504,TRUE,$K$5:$K$504,TRUE))</f>
        <v/>
      </c>
      <c r="O88" s="18">
        <f>IF(B88="","",AND(F88=AsOfWeek,AsOfWeek&lt;&gt;""))</f>
        <v/>
      </c>
      <c r="P88" s="20">
        <f>IF(OR(B88="",AsOfWeek=""),"",IFERROR(SUMIFS($M$5:$M$504,$B$5:$B$504,B88,$C$5:$C$504,C88,$L$5:$L$504,TRUE,$F$5:$F$504,"&gt;="&amp;AsOfWeek-7*(RecentWeeks-1),$F$5:$F$504,"&lt;="&amp;AsOfWeek),""))</f>
        <v/>
      </c>
      <c r="Q88" s="20">
        <f>IF(OR(B88="",AsOfWeek=""),"",IFERROR(SUMIFS($M$5:$M$504,$B$5:$B$504,B88,$C$5:$C$504,C88,$L$5:$L$504,TRUE,$F$5:$F$504,"&gt;="&amp;AsOfWeek-7*(RecentWeeks+PriorWeeks-1),$F$5:$F$504,"&lt;"&amp;AsOfWeek-7*(RecentWeeks-1)),""))</f>
        <v/>
      </c>
      <c r="R88" s="21">
        <f>IF(OR(P88="",Q88="",Q88=0),"",P88/Q88-1)</f>
        <v/>
      </c>
      <c r="S88" s="20">
        <f>IF(OR(C88="",AsOfWeek=""),"",IFERROR(AVERAGEIFS($M$5:$M$504,$C$5:$C$504,C88,$L$5:$L$504,TRUE,$F$5:$F$504,"&gt;="&amp;AsOfWeek-7*(RecentWeeks-1),$F$5:$F$504,"&lt;="&amp;AsOfWeek),""))</f>
        <v/>
      </c>
      <c r="T88" s="21">
        <f>IF(OR(P88="",S88=""),"",P88/S88-1)</f>
        <v/>
      </c>
      <c r="U88" s="22">
        <f>IF(OR(B88="",'Weekly Input'!G88="",P88="",P88=0),"",'Weekly Input'!G88/P88)</f>
        <v/>
      </c>
      <c r="V88" s="18">
        <f>IF(B88="","",IF(NOT(I88),"Not Ready",IF(NOT(K88),"Not Ready",IF(N88&lt;MinHistory,"Not Ready",IF(NOT(J88),"Not Ready",IF(OR(Q88="",Q88=0),"Noise",IF(Q88&lt;LowBaseThreshold,"Noise",IF(AND(R88&lt;=-OwnDecline,T88&lt;=-PeerGapThreshold),"Markdown Review",IF(AND(R88&gt;=ReorderUplift,U88&lt;&gt;"",U88&lt;=WeeksSupplyCap),"Reorder Candidate","Monitor"))))))))</f>
        <v/>
      </c>
      <c r="W88" s="18">
        <f>IF(B88="","",IF(NOT(I88),"INVALID_MASTER",IF(NOT(K88),"INCOMPLETE_SHELF_CYCLE",IF(N88&lt;MinHistory,"INSUFFICIENT_HISTORY",IF(NOT(J88),"INSUFFICIENT_IN_STOCK",IF(OR(Q88="",Q88=0),"NO_PRIOR_BASE",IF(Q88&lt;LowBaseThreshold,"LOW_BASE_NOISE",IF(V88="Markdown Review","MARKDOWN_PEER_GAP",IF(V88="Reorder Candidate","REORDER_UPLIFT_COVER","NO_MATERIAL_CHANGE"))))))))</f>
        <v/>
      </c>
      <c r="X88" s="18">
        <f>IF(V88="Markdown Review","Markdown support",IF(V88="Reorder Candidate","Second reorder",IF(V88="Monitor","Monitor",IF(V88="Noise","Hold / collect data",IF(V88="Not Ready","Not ready","")))))</f>
        <v/>
      </c>
      <c r="Y88" s="18">
        <f>IF(OR(R88="",T88=""),"",ABS(R88)+ABS(T88))</f>
        <v/>
      </c>
      <c r="Z88" s="21">
        <f>IF(OR(B88="",NOT(O88),R88=""),"",IF(ABS(R88)&gt;=MaterialThreshold,"Yes","No"))</f>
        <v/>
      </c>
      <c r="AA88" s="18">
        <f>IF(Z88&lt;&gt;"Yes","",IF(ABS(R88)&gt;=MaterialThreshold,IF(ABS(R88)&gt;=BroadShare,"Broad SKU movement","Store-concentrated movement"),""))</f>
        <v/>
      </c>
      <c r="AB88" s="18">
        <f>IF(O88,IF(COUNTIFS($O$5:O88,TRUE)&gt;0,COUNTIFS($O$5:O88,TRUE),0),0)</f>
        <v/>
      </c>
      <c r="AC88" s="18">
        <f>IF(V88="Markdown Review",1,IF(V88="Reorder Candidate",2,IF(V88="Monitor",3,IF(V88="Noise",4,IF(V88="Not Ready",5,99)))))</f>
        <v/>
      </c>
      <c r="AD88" s="18">
        <f>IF(O88,COUNTIFS($O$5:$O$504,TRUE,$AC$5:$AC$504,"&lt;"&amp;AC88)+COUNTIFS($O$5:O88,TRUE,$AC$5:AC88,AC88,$Y$5:Y88,"&gt;"&amp;Y88),0)</f>
        <v/>
      </c>
    </row>
    <row r="89">
      <c r="A89" s="17">
        <f>IF(COUNTA('Weekly Input'!A89:C89)=0,"",'Weekly Input'!B89&amp;"|"&amp;'Weekly Input'!C89&amp;"|"&amp;TEXT('Weekly Input'!A89,"yyyy-mm-dd"))</f>
        <v/>
      </c>
      <c r="B89" s="18">
        <f>'Weekly Input'!B89</f>
        <v/>
      </c>
      <c r="C89" s="18">
        <f>'Weekly Input'!C89</f>
        <v/>
      </c>
      <c r="D89" s="18">
        <f>IF(B89="","",IFERROR(INDEX('Master Data'!$B$6:$B$145,MATCH(B89,'Master Data'!$A$6:$A$145,0)),""))</f>
        <v/>
      </c>
      <c r="E89" s="18">
        <f>IF(C89="","",IFERROR(INDEX('Master Data'!$H$6:$H$13,MATCH(C89,'Master Data'!$F$6:$F$13,0)),""))</f>
        <v/>
      </c>
      <c r="F89" s="19">
        <f>'Weekly Input'!A89</f>
        <v/>
      </c>
      <c r="G89" s="19">
        <f>IF(B89="","",IFERROR(INDEX('Master Data'!$D$6:$D$145,MATCH(B89,'Master Data'!$A$6:$A$145,0)),""))</f>
        <v/>
      </c>
      <c r="H89" s="18">
        <f>IF(OR(F89="",G89=""),"",F89-G89)</f>
        <v/>
      </c>
      <c r="I89" s="18">
        <f>IF(B89="","",IF('Weekly Input'!J89="OK",TRUE,FALSE))</f>
        <v/>
      </c>
      <c r="J89" s="18">
        <f>IF(B89="","",'Weekly Input'!H89&gt;=MinInStockDays)</f>
        <v/>
      </c>
      <c r="K89" s="18">
        <f>IF(B89="","",H89&gt;=FullCycleMin)</f>
        <v/>
      </c>
      <c r="L89" s="18">
        <f>IF(B89="","",AND(I89,J89,K89,N89&gt;=MinHistory))</f>
        <v/>
      </c>
      <c r="M89" s="20">
        <f>IF(OR(B89="",'Weekly Input'!H89=0),"",'Weekly Input'!D89/'Weekly Input'!H89*7)</f>
        <v/>
      </c>
      <c r="N89" s="18">
        <f>IF(B89="","",COUNTIFS($B$5:$B$504,B89,$C$5:$C$504,C89,$I$5:$I$504,TRUE,$J$5:$J$504,TRUE,$K$5:$K$504,TRUE))</f>
        <v/>
      </c>
      <c r="O89" s="18">
        <f>IF(B89="","",AND(F89=AsOfWeek,AsOfWeek&lt;&gt;""))</f>
        <v/>
      </c>
      <c r="P89" s="20">
        <f>IF(OR(B89="",AsOfWeek=""),"",IFERROR(SUMIFS($M$5:$M$504,$B$5:$B$504,B89,$C$5:$C$504,C89,$L$5:$L$504,TRUE,$F$5:$F$504,"&gt;="&amp;AsOfWeek-7*(RecentWeeks-1),$F$5:$F$504,"&lt;="&amp;AsOfWeek),""))</f>
        <v/>
      </c>
      <c r="Q89" s="20">
        <f>IF(OR(B89="",AsOfWeek=""),"",IFERROR(SUMIFS($M$5:$M$504,$B$5:$B$504,B89,$C$5:$C$504,C89,$L$5:$L$504,TRUE,$F$5:$F$504,"&gt;="&amp;AsOfWeek-7*(RecentWeeks+PriorWeeks-1),$F$5:$F$504,"&lt;"&amp;AsOfWeek-7*(RecentWeeks-1)),""))</f>
        <v/>
      </c>
      <c r="R89" s="21">
        <f>IF(OR(P89="",Q89="",Q89=0),"",P89/Q89-1)</f>
        <v/>
      </c>
      <c r="S89" s="20">
        <f>IF(OR(C89="",AsOfWeek=""),"",IFERROR(AVERAGEIFS($M$5:$M$504,$C$5:$C$504,C89,$L$5:$L$504,TRUE,$F$5:$F$504,"&gt;="&amp;AsOfWeek-7*(RecentWeeks-1),$F$5:$F$504,"&lt;="&amp;AsOfWeek),""))</f>
        <v/>
      </c>
      <c r="T89" s="21">
        <f>IF(OR(P89="",S89=""),"",P89/S89-1)</f>
        <v/>
      </c>
      <c r="U89" s="22">
        <f>IF(OR(B89="",'Weekly Input'!G89="",P89="",P89=0),"",'Weekly Input'!G89/P89)</f>
        <v/>
      </c>
      <c r="V89" s="18">
        <f>IF(B89="","",IF(NOT(I89),"Not Ready",IF(NOT(K89),"Not Ready",IF(N89&lt;MinHistory,"Not Ready",IF(NOT(J89),"Not Ready",IF(OR(Q89="",Q89=0),"Noise",IF(Q89&lt;LowBaseThreshold,"Noise",IF(AND(R89&lt;=-OwnDecline,T89&lt;=-PeerGapThreshold),"Markdown Review",IF(AND(R89&gt;=ReorderUplift,U89&lt;&gt;"",U89&lt;=WeeksSupplyCap),"Reorder Candidate","Monitor"))))))))</f>
        <v/>
      </c>
      <c r="W89" s="18">
        <f>IF(B89="","",IF(NOT(I89),"INVALID_MASTER",IF(NOT(K89),"INCOMPLETE_SHELF_CYCLE",IF(N89&lt;MinHistory,"INSUFFICIENT_HISTORY",IF(NOT(J89),"INSUFFICIENT_IN_STOCK",IF(OR(Q89="",Q89=0),"NO_PRIOR_BASE",IF(Q89&lt;LowBaseThreshold,"LOW_BASE_NOISE",IF(V89="Markdown Review","MARKDOWN_PEER_GAP",IF(V89="Reorder Candidate","REORDER_UPLIFT_COVER","NO_MATERIAL_CHANGE"))))))))</f>
        <v/>
      </c>
      <c r="X89" s="18">
        <f>IF(V89="Markdown Review","Markdown support",IF(V89="Reorder Candidate","Second reorder",IF(V89="Monitor","Monitor",IF(V89="Noise","Hold / collect data",IF(V89="Not Ready","Not ready","")))))</f>
        <v/>
      </c>
      <c r="Y89" s="18">
        <f>IF(OR(R89="",T89=""),"",ABS(R89)+ABS(T89))</f>
        <v/>
      </c>
      <c r="Z89" s="21">
        <f>IF(OR(B89="",NOT(O89),R89=""),"",IF(ABS(R89)&gt;=MaterialThreshold,"Yes","No"))</f>
        <v/>
      </c>
      <c r="AA89" s="18">
        <f>IF(Z89&lt;&gt;"Yes","",IF(ABS(R89)&gt;=MaterialThreshold,IF(ABS(R89)&gt;=BroadShare,"Broad SKU movement","Store-concentrated movement"),""))</f>
        <v/>
      </c>
      <c r="AB89" s="18">
        <f>IF(O89,IF(COUNTIFS($O$5:O89,TRUE)&gt;0,COUNTIFS($O$5:O89,TRUE),0),0)</f>
        <v/>
      </c>
      <c r="AC89" s="18">
        <f>IF(V89="Markdown Review",1,IF(V89="Reorder Candidate",2,IF(V89="Monitor",3,IF(V89="Noise",4,IF(V89="Not Ready",5,99)))))</f>
        <v/>
      </c>
      <c r="AD89" s="18">
        <f>IF(O89,COUNTIFS($O$5:$O$504,TRUE,$AC$5:$AC$504,"&lt;"&amp;AC89)+COUNTIFS($O$5:O89,TRUE,$AC$5:AC89,AC89,$Y$5:Y89,"&gt;"&amp;Y89),0)</f>
        <v/>
      </c>
    </row>
    <row r="90">
      <c r="A90" s="17">
        <f>IF(COUNTA('Weekly Input'!A90:C90)=0,"",'Weekly Input'!B90&amp;"|"&amp;'Weekly Input'!C90&amp;"|"&amp;TEXT('Weekly Input'!A90,"yyyy-mm-dd"))</f>
        <v/>
      </c>
      <c r="B90" s="18">
        <f>'Weekly Input'!B90</f>
        <v/>
      </c>
      <c r="C90" s="18">
        <f>'Weekly Input'!C90</f>
        <v/>
      </c>
      <c r="D90" s="18">
        <f>IF(B90="","",IFERROR(INDEX('Master Data'!$B$6:$B$145,MATCH(B90,'Master Data'!$A$6:$A$145,0)),""))</f>
        <v/>
      </c>
      <c r="E90" s="18">
        <f>IF(C90="","",IFERROR(INDEX('Master Data'!$H$6:$H$13,MATCH(C90,'Master Data'!$F$6:$F$13,0)),""))</f>
        <v/>
      </c>
      <c r="F90" s="19">
        <f>'Weekly Input'!A90</f>
        <v/>
      </c>
      <c r="G90" s="19">
        <f>IF(B90="","",IFERROR(INDEX('Master Data'!$D$6:$D$145,MATCH(B90,'Master Data'!$A$6:$A$145,0)),""))</f>
        <v/>
      </c>
      <c r="H90" s="18">
        <f>IF(OR(F90="",G90=""),"",F90-G90)</f>
        <v/>
      </c>
      <c r="I90" s="18">
        <f>IF(B90="","",IF('Weekly Input'!J90="OK",TRUE,FALSE))</f>
        <v/>
      </c>
      <c r="J90" s="18">
        <f>IF(B90="","",'Weekly Input'!H90&gt;=MinInStockDays)</f>
        <v/>
      </c>
      <c r="K90" s="18">
        <f>IF(B90="","",H90&gt;=FullCycleMin)</f>
        <v/>
      </c>
      <c r="L90" s="18">
        <f>IF(B90="","",AND(I90,J90,K90,N90&gt;=MinHistory))</f>
        <v/>
      </c>
      <c r="M90" s="20">
        <f>IF(OR(B90="",'Weekly Input'!H90=0),"",'Weekly Input'!D90/'Weekly Input'!H90*7)</f>
        <v/>
      </c>
      <c r="N90" s="18">
        <f>IF(B90="","",COUNTIFS($B$5:$B$504,B90,$C$5:$C$504,C90,$I$5:$I$504,TRUE,$J$5:$J$504,TRUE,$K$5:$K$504,TRUE))</f>
        <v/>
      </c>
      <c r="O90" s="18">
        <f>IF(B90="","",AND(F90=AsOfWeek,AsOfWeek&lt;&gt;""))</f>
        <v/>
      </c>
      <c r="P90" s="20">
        <f>IF(OR(B90="",AsOfWeek=""),"",IFERROR(SUMIFS($M$5:$M$504,$B$5:$B$504,B90,$C$5:$C$504,C90,$L$5:$L$504,TRUE,$F$5:$F$504,"&gt;="&amp;AsOfWeek-7*(RecentWeeks-1),$F$5:$F$504,"&lt;="&amp;AsOfWeek),""))</f>
        <v/>
      </c>
      <c r="Q90" s="20">
        <f>IF(OR(B90="",AsOfWeek=""),"",IFERROR(SUMIFS($M$5:$M$504,$B$5:$B$504,B90,$C$5:$C$504,C90,$L$5:$L$504,TRUE,$F$5:$F$504,"&gt;="&amp;AsOfWeek-7*(RecentWeeks+PriorWeeks-1),$F$5:$F$504,"&lt;"&amp;AsOfWeek-7*(RecentWeeks-1)),""))</f>
        <v/>
      </c>
      <c r="R90" s="21">
        <f>IF(OR(P90="",Q90="",Q90=0),"",P90/Q90-1)</f>
        <v/>
      </c>
      <c r="S90" s="20">
        <f>IF(OR(C90="",AsOfWeek=""),"",IFERROR(AVERAGEIFS($M$5:$M$504,$C$5:$C$504,C90,$L$5:$L$504,TRUE,$F$5:$F$504,"&gt;="&amp;AsOfWeek-7*(RecentWeeks-1),$F$5:$F$504,"&lt;="&amp;AsOfWeek),""))</f>
        <v/>
      </c>
      <c r="T90" s="21">
        <f>IF(OR(P90="",S90=""),"",P90/S90-1)</f>
        <v/>
      </c>
      <c r="U90" s="22">
        <f>IF(OR(B90="",'Weekly Input'!G90="",P90="",P90=0),"",'Weekly Input'!G90/P90)</f>
        <v/>
      </c>
      <c r="V90" s="18">
        <f>IF(B90="","",IF(NOT(I90),"Not Ready",IF(NOT(K90),"Not Ready",IF(N90&lt;MinHistory,"Not Ready",IF(NOT(J90),"Not Ready",IF(OR(Q90="",Q90=0),"Noise",IF(Q90&lt;LowBaseThreshold,"Noise",IF(AND(R90&lt;=-OwnDecline,T90&lt;=-PeerGapThreshold),"Markdown Review",IF(AND(R90&gt;=ReorderUplift,U90&lt;&gt;"",U90&lt;=WeeksSupplyCap),"Reorder Candidate","Monitor"))))))))</f>
        <v/>
      </c>
      <c r="W90" s="18">
        <f>IF(B90="","",IF(NOT(I90),"INVALID_MASTER",IF(NOT(K90),"INCOMPLETE_SHELF_CYCLE",IF(N90&lt;MinHistory,"INSUFFICIENT_HISTORY",IF(NOT(J90),"INSUFFICIENT_IN_STOCK",IF(OR(Q90="",Q90=0),"NO_PRIOR_BASE",IF(Q90&lt;LowBaseThreshold,"LOW_BASE_NOISE",IF(V90="Markdown Review","MARKDOWN_PEER_GAP",IF(V90="Reorder Candidate","REORDER_UPLIFT_COVER","NO_MATERIAL_CHANGE"))))))))</f>
        <v/>
      </c>
      <c r="X90" s="18">
        <f>IF(V90="Markdown Review","Markdown support",IF(V90="Reorder Candidate","Second reorder",IF(V90="Monitor","Monitor",IF(V90="Noise","Hold / collect data",IF(V90="Not Ready","Not ready","")))))</f>
        <v/>
      </c>
      <c r="Y90" s="18">
        <f>IF(OR(R90="",T90=""),"",ABS(R90)+ABS(T90))</f>
        <v/>
      </c>
      <c r="Z90" s="21">
        <f>IF(OR(B90="",NOT(O90),R90=""),"",IF(ABS(R90)&gt;=MaterialThreshold,"Yes","No"))</f>
        <v/>
      </c>
      <c r="AA90" s="18">
        <f>IF(Z90&lt;&gt;"Yes","",IF(ABS(R90)&gt;=MaterialThreshold,IF(ABS(R90)&gt;=BroadShare,"Broad SKU movement","Store-concentrated movement"),""))</f>
        <v/>
      </c>
      <c r="AB90" s="18">
        <f>IF(O90,IF(COUNTIFS($O$5:O90,TRUE)&gt;0,COUNTIFS($O$5:O90,TRUE),0),0)</f>
        <v/>
      </c>
      <c r="AC90" s="18">
        <f>IF(V90="Markdown Review",1,IF(V90="Reorder Candidate",2,IF(V90="Monitor",3,IF(V90="Noise",4,IF(V90="Not Ready",5,99)))))</f>
        <v/>
      </c>
      <c r="AD90" s="18">
        <f>IF(O90,COUNTIFS($O$5:$O$504,TRUE,$AC$5:$AC$504,"&lt;"&amp;AC90)+COUNTIFS($O$5:O90,TRUE,$AC$5:AC90,AC90,$Y$5:Y90,"&gt;"&amp;Y90),0)</f>
        <v/>
      </c>
    </row>
    <row r="91">
      <c r="A91" s="17">
        <f>IF(COUNTA('Weekly Input'!A91:C91)=0,"",'Weekly Input'!B91&amp;"|"&amp;'Weekly Input'!C91&amp;"|"&amp;TEXT('Weekly Input'!A91,"yyyy-mm-dd"))</f>
        <v/>
      </c>
      <c r="B91" s="18">
        <f>'Weekly Input'!B91</f>
        <v/>
      </c>
      <c r="C91" s="18">
        <f>'Weekly Input'!C91</f>
        <v/>
      </c>
      <c r="D91" s="18">
        <f>IF(B91="","",IFERROR(INDEX('Master Data'!$B$6:$B$145,MATCH(B91,'Master Data'!$A$6:$A$145,0)),""))</f>
        <v/>
      </c>
      <c r="E91" s="18">
        <f>IF(C91="","",IFERROR(INDEX('Master Data'!$H$6:$H$13,MATCH(C91,'Master Data'!$F$6:$F$13,0)),""))</f>
        <v/>
      </c>
      <c r="F91" s="19">
        <f>'Weekly Input'!A91</f>
        <v/>
      </c>
      <c r="G91" s="19">
        <f>IF(B91="","",IFERROR(INDEX('Master Data'!$D$6:$D$145,MATCH(B91,'Master Data'!$A$6:$A$145,0)),""))</f>
        <v/>
      </c>
      <c r="H91" s="18">
        <f>IF(OR(F91="",G91=""),"",F91-G91)</f>
        <v/>
      </c>
      <c r="I91" s="18">
        <f>IF(B91="","",IF('Weekly Input'!J91="OK",TRUE,FALSE))</f>
        <v/>
      </c>
      <c r="J91" s="18">
        <f>IF(B91="","",'Weekly Input'!H91&gt;=MinInStockDays)</f>
        <v/>
      </c>
      <c r="K91" s="18">
        <f>IF(B91="","",H91&gt;=FullCycleMin)</f>
        <v/>
      </c>
      <c r="L91" s="18">
        <f>IF(B91="","",AND(I91,J91,K91,N91&gt;=MinHistory))</f>
        <v/>
      </c>
      <c r="M91" s="20">
        <f>IF(OR(B91="",'Weekly Input'!H91=0),"",'Weekly Input'!D91/'Weekly Input'!H91*7)</f>
        <v/>
      </c>
      <c r="N91" s="18">
        <f>IF(B91="","",COUNTIFS($B$5:$B$504,B91,$C$5:$C$504,C91,$I$5:$I$504,TRUE,$J$5:$J$504,TRUE,$K$5:$K$504,TRUE))</f>
        <v/>
      </c>
      <c r="O91" s="18">
        <f>IF(B91="","",AND(F91=AsOfWeek,AsOfWeek&lt;&gt;""))</f>
        <v/>
      </c>
      <c r="P91" s="20">
        <f>IF(OR(B91="",AsOfWeek=""),"",IFERROR(SUMIFS($M$5:$M$504,$B$5:$B$504,B91,$C$5:$C$504,C91,$L$5:$L$504,TRUE,$F$5:$F$504,"&gt;="&amp;AsOfWeek-7*(RecentWeeks-1),$F$5:$F$504,"&lt;="&amp;AsOfWeek),""))</f>
        <v/>
      </c>
      <c r="Q91" s="20">
        <f>IF(OR(B91="",AsOfWeek=""),"",IFERROR(SUMIFS($M$5:$M$504,$B$5:$B$504,B91,$C$5:$C$504,C91,$L$5:$L$504,TRUE,$F$5:$F$504,"&gt;="&amp;AsOfWeek-7*(RecentWeeks+PriorWeeks-1),$F$5:$F$504,"&lt;"&amp;AsOfWeek-7*(RecentWeeks-1)),""))</f>
        <v/>
      </c>
      <c r="R91" s="21">
        <f>IF(OR(P91="",Q91="",Q91=0),"",P91/Q91-1)</f>
        <v/>
      </c>
      <c r="S91" s="20">
        <f>IF(OR(C91="",AsOfWeek=""),"",IFERROR(AVERAGEIFS($M$5:$M$504,$C$5:$C$504,C91,$L$5:$L$504,TRUE,$F$5:$F$504,"&gt;="&amp;AsOfWeek-7*(RecentWeeks-1),$F$5:$F$504,"&lt;="&amp;AsOfWeek),""))</f>
        <v/>
      </c>
      <c r="T91" s="21">
        <f>IF(OR(P91="",S91=""),"",P91/S91-1)</f>
        <v/>
      </c>
      <c r="U91" s="22">
        <f>IF(OR(B91="",'Weekly Input'!G91="",P91="",P91=0),"",'Weekly Input'!G91/P91)</f>
        <v/>
      </c>
      <c r="V91" s="18">
        <f>IF(B91="","",IF(NOT(I91),"Not Ready",IF(NOT(K91),"Not Ready",IF(N91&lt;MinHistory,"Not Ready",IF(NOT(J91),"Not Ready",IF(OR(Q91="",Q91=0),"Noise",IF(Q91&lt;LowBaseThreshold,"Noise",IF(AND(R91&lt;=-OwnDecline,T91&lt;=-PeerGapThreshold),"Markdown Review",IF(AND(R91&gt;=ReorderUplift,U91&lt;&gt;"",U91&lt;=WeeksSupplyCap),"Reorder Candidate","Monitor"))))))))</f>
        <v/>
      </c>
      <c r="W91" s="18">
        <f>IF(B91="","",IF(NOT(I91),"INVALID_MASTER",IF(NOT(K91),"INCOMPLETE_SHELF_CYCLE",IF(N91&lt;MinHistory,"INSUFFICIENT_HISTORY",IF(NOT(J91),"INSUFFICIENT_IN_STOCK",IF(OR(Q91="",Q91=0),"NO_PRIOR_BASE",IF(Q91&lt;LowBaseThreshold,"LOW_BASE_NOISE",IF(V91="Markdown Review","MARKDOWN_PEER_GAP",IF(V91="Reorder Candidate","REORDER_UPLIFT_COVER","NO_MATERIAL_CHANGE"))))))))</f>
        <v/>
      </c>
      <c r="X91" s="18">
        <f>IF(V91="Markdown Review","Markdown support",IF(V91="Reorder Candidate","Second reorder",IF(V91="Monitor","Monitor",IF(V91="Noise","Hold / collect data",IF(V91="Not Ready","Not ready","")))))</f>
        <v/>
      </c>
      <c r="Y91" s="18">
        <f>IF(OR(R91="",T91=""),"",ABS(R91)+ABS(T91))</f>
        <v/>
      </c>
      <c r="Z91" s="21">
        <f>IF(OR(B91="",NOT(O91),R91=""),"",IF(ABS(R91)&gt;=MaterialThreshold,"Yes","No"))</f>
        <v/>
      </c>
      <c r="AA91" s="18">
        <f>IF(Z91&lt;&gt;"Yes","",IF(ABS(R91)&gt;=MaterialThreshold,IF(ABS(R91)&gt;=BroadShare,"Broad SKU movement","Store-concentrated movement"),""))</f>
        <v/>
      </c>
      <c r="AB91" s="18">
        <f>IF(O91,IF(COUNTIFS($O$5:O91,TRUE)&gt;0,COUNTIFS($O$5:O91,TRUE),0),0)</f>
        <v/>
      </c>
      <c r="AC91" s="18">
        <f>IF(V91="Markdown Review",1,IF(V91="Reorder Candidate",2,IF(V91="Monitor",3,IF(V91="Noise",4,IF(V91="Not Ready",5,99)))))</f>
        <v/>
      </c>
      <c r="AD91" s="18">
        <f>IF(O91,COUNTIFS($O$5:$O$504,TRUE,$AC$5:$AC$504,"&lt;"&amp;AC91)+COUNTIFS($O$5:O91,TRUE,$AC$5:AC91,AC91,$Y$5:Y91,"&gt;"&amp;Y91),0)</f>
        <v/>
      </c>
    </row>
    <row r="92">
      <c r="A92" s="17">
        <f>IF(COUNTA('Weekly Input'!A92:C92)=0,"",'Weekly Input'!B92&amp;"|"&amp;'Weekly Input'!C92&amp;"|"&amp;TEXT('Weekly Input'!A92,"yyyy-mm-dd"))</f>
        <v/>
      </c>
      <c r="B92" s="18">
        <f>'Weekly Input'!B92</f>
        <v/>
      </c>
      <c r="C92" s="18">
        <f>'Weekly Input'!C92</f>
        <v/>
      </c>
      <c r="D92" s="18">
        <f>IF(B92="","",IFERROR(INDEX('Master Data'!$B$6:$B$145,MATCH(B92,'Master Data'!$A$6:$A$145,0)),""))</f>
        <v/>
      </c>
      <c r="E92" s="18">
        <f>IF(C92="","",IFERROR(INDEX('Master Data'!$H$6:$H$13,MATCH(C92,'Master Data'!$F$6:$F$13,0)),""))</f>
        <v/>
      </c>
      <c r="F92" s="19">
        <f>'Weekly Input'!A92</f>
        <v/>
      </c>
      <c r="G92" s="19">
        <f>IF(B92="","",IFERROR(INDEX('Master Data'!$D$6:$D$145,MATCH(B92,'Master Data'!$A$6:$A$145,0)),""))</f>
        <v/>
      </c>
      <c r="H92" s="18">
        <f>IF(OR(F92="",G92=""),"",F92-G92)</f>
        <v/>
      </c>
      <c r="I92" s="18">
        <f>IF(B92="","",IF('Weekly Input'!J92="OK",TRUE,FALSE))</f>
        <v/>
      </c>
      <c r="J92" s="18">
        <f>IF(B92="","",'Weekly Input'!H92&gt;=MinInStockDays)</f>
        <v/>
      </c>
      <c r="K92" s="18">
        <f>IF(B92="","",H92&gt;=FullCycleMin)</f>
        <v/>
      </c>
      <c r="L92" s="18">
        <f>IF(B92="","",AND(I92,J92,K92,N92&gt;=MinHistory))</f>
        <v/>
      </c>
      <c r="M92" s="20">
        <f>IF(OR(B92="",'Weekly Input'!H92=0),"",'Weekly Input'!D92/'Weekly Input'!H92*7)</f>
        <v/>
      </c>
      <c r="N92" s="18">
        <f>IF(B92="","",COUNTIFS($B$5:$B$504,B92,$C$5:$C$504,C92,$I$5:$I$504,TRUE,$J$5:$J$504,TRUE,$K$5:$K$504,TRUE))</f>
        <v/>
      </c>
      <c r="O92" s="18">
        <f>IF(B92="","",AND(F92=AsOfWeek,AsOfWeek&lt;&gt;""))</f>
        <v/>
      </c>
      <c r="P92" s="20">
        <f>IF(OR(B92="",AsOfWeek=""),"",IFERROR(SUMIFS($M$5:$M$504,$B$5:$B$504,B92,$C$5:$C$504,C92,$L$5:$L$504,TRUE,$F$5:$F$504,"&gt;="&amp;AsOfWeek-7*(RecentWeeks-1),$F$5:$F$504,"&lt;="&amp;AsOfWeek),""))</f>
        <v/>
      </c>
      <c r="Q92" s="20">
        <f>IF(OR(B92="",AsOfWeek=""),"",IFERROR(SUMIFS($M$5:$M$504,$B$5:$B$504,B92,$C$5:$C$504,C92,$L$5:$L$504,TRUE,$F$5:$F$504,"&gt;="&amp;AsOfWeek-7*(RecentWeeks+PriorWeeks-1),$F$5:$F$504,"&lt;"&amp;AsOfWeek-7*(RecentWeeks-1)),""))</f>
        <v/>
      </c>
      <c r="R92" s="21">
        <f>IF(OR(P92="",Q92="",Q92=0),"",P92/Q92-1)</f>
        <v/>
      </c>
      <c r="S92" s="20">
        <f>IF(OR(C92="",AsOfWeek=""),"",IFERROR(AVERAGEIFS($M$5:$M$504,$C$5:$C$504,C92,$L$5:$L$504,TRUE,$F$5:$F$504,"&gt;="&amp;AsOfWeek-7*(RecentWeeks-1),$F$5:$F$504,"&lt;="&amp;AsOfWeek),""))</f>
        <v/>
      </c>
      <c r="T92" s="21">
        <f>IF(OR(P92="",S92=""),"",P92/S92-1)</f>
        <v/>
      </c>
      <c r="U92" s="22">
        <f>IF(OR(B92="",'Weekly Input'!G92="",P92="",P92=0),"",'Weekly Input'!G92/P92)</f>
        <v/>
      </c>
      <c r="V92" s="18">
        <f>IF(B92="","",IF(NOT(I92),"Not Ready",IF(NOT(K92),"Not Ready",IF(N92&lt;MinHistory,"Not Ready",IF(NOT(J92),"Not Ready",IF(OR(Q92="",Q92=0),"Noise",IF(Q92&lt;LowBaseThreshold,"Noise",IF(AND(R92&lt;=-OwnDecline,T92&lt;=-PeerGapThreshold),"Markdown Review",IF(AND(R92&gt;=ReorderUplift,U92&lt;&gt;"",U92&lt;=WeeksSupplyCap),"Reorder Candidate","Monitor"))))))))</f>
        <v/>
      </c>
      <c r="W92" s="18">
        <f>IF(B92="","",IF(NOT(I92),"INVALID_MASTER",IF(NOT(K92),"INCOMPLETE_SHELF_CYCLE",IF(N92&lt;MinHistory,"INSUFFICIENT_HISTORY",IF(NOT(J92),"INSUFFICIENT_IN_STOCK",IF(OR(Q92="",Q92=0),"NO_PRIOR_BASE",IF(Q92&lt;LowBaseThreshold,"LOW_BASE_NOISE",IF(V92="Markdown Review","MARKDOWN_PEER_GAP",IF(V92="Reorder Candidate","REORDER_UPLIFT_COVER","NO_MATERIAL_CHANGE"))))))))</f>
        <v/>
      </c>
      <c r="X92" s="18">
        <f>IF(V92="Markdown Review","Markdown support",IF(V92="Reorder Candidate","Second reorder",IF(V92="Monitor","Monitor",IF(V92="Noise","Hold / collect data",IF(V92="Not Ready","Not ready","")))))</f>
        <v/>
      </c>
      <c r="Y92" s="18">
        <f>IF(OR(R92="",T92=""),"",ABS(R92)+ABS(T92))</f>
        <v/>
      </c>
      <c r="Z92" s="21">
        <f>IF(OR(B92="",NOT(O92),R92=""),"",IF(ABS(R92)&gt;=MaterialThreshold,"Yes","No"))</f>
        <v/>
      </c>
      <c r="AA92" s="18">
        <f>IF(Z92&lt;&gt;"Yes","",IF(ABS(R92)&gt;=MaterialThreshold,IF(ABS(R92)&gt;=BroadShare,"Broad SKU movement","Store-concentrated movement"),""))</f>
        <v/>
      </c>
      <c r="AB92" s="18">
        <f>IF(O92,IF(COUNTIFS($O$5:O92,TRUE)&gt;0,COUNTIFS($O$5:O92,TRUE),0),0)</f>
        <v/>
      </c>
      <c r="AC92" s="18">
        <f>IF(V92="Markdown Review",1,IF(V92="Reorder Candidate",2,IF(V92="Monitor",3,IF(V92="Noise",4,IF(V92="Not Ready",5,99)))))</f>
        <v/>
      </c>
      <c r="AD92" s="18">
        <f>IF(O92,COUNTIFS($O$5:$O$504,TRUE,$AC$5:$AC$504,"&lt;"&amp;AC92)+COUNTIFS($O$5:O92,TRUE,$AC$5:AC92,AC92,$Y$5:Y92,"&gt;"&amp;Y92),0)</f>
        <v/>
      </c>
    </row>
    <row r="93">
      <c r="A93" s="17">
        <f>IF(COUNTA('Weekly Input'!A93:C93)=0,"",'Weekly Input'!B93&amp;"|"&amp;'Weekly Input'!C93&amp;"|"&amp;TEXT('Weekly Input'!A93,"yyyy-mm-dd"))</f>
        <v/>
      </c>
      <c r="B93" s="18">
        <f>'Weekly Input'!B93</f>
        <v/>
      </c>
      <c r="C93" s="18">
        <f>'Weekly Input'!C93</f>
        <v/>
      </c>
      <c r="D93" s="18">
        <f>IF(B93="","",IFERROR(INDEX('Master Data'!$B$6:$B$145,MATCH(B93,'Master Data'!$A$6:$A$145,0)),""))</f>
        <v/>
      </c>
      <c r="E93" s="18">
        <f>IF(C93="","",IFERROR(INDEX('Master Data'!$H$6:$H$13,MATCH(C93,'Master Data'!$F$6:$F$13,0)),""))</f>
        <v/>
      </c>
      <c r="F93" s="19">
        <f>'Weekly Input'!A93</f>
        <v/>
      </c>
      <c r="G93" s="19">
        <f>IF(B93="","",IFERROR(INDEX('Master Data'!$D$6:$D$145,MATCH(B93,'Master Data'!$A$6:$A$145,0)),""))</f>
        <v/>
      </c>
      <c r="H93" s="18">
        <f>IF(OR(F93="",G93=""),"",F93-G93)</f>
        <v/>
      </c>
      <c r="I93" s="18">
        <f>IF(B93="","",IF('Weekly Input'!J93="OK",TRUE,FALSE))</f>
        <v/>
      </c>
      <c r="J93" s="18">
        <f>IF(B93="","",'Weekly Input'!H93&gt;=MinInStockDays)</f>
        <v/>
      </c>
      <c r="K93" s="18">
        <f>IF(B93="","",H93&gt;=FullCycleMin)</f>
        <v/>
      </c>
      <c r="L93" s="18">
        <f>IF(B93="","",AND(I93,J93,K93,N93&gt;=MinHistory))</f>
        <v/>
      </c>
      <c r="M93" s="20">
        <f>IF(OR(B93="",'Weekly Input'!H93=0),"",'Weekly Input'!D93/'Weekly Input'!H93*7)</f>
        <v/>
      </c>
      <c r="N93" s="18">
        <f>IF(B93="","",COUNTIFS($B$5:$B$504,B93,$C$5:$C$504,C93,$I$5:$I$504,TRUE,$J$5:$J$504,TRUE,$K$5:$K$504,TRUE))</f>
        <v/>
      </c>
      <c r="O93" s="18">
        <f>IF(B93="","",AND(F93=AsOfWeek,AsOfWeek&lt;&gt;""))</f>
        <v/>
      </c>
      <c r="P93" s="20">
        <f>IF(OR(B93="",AsOfWeek=""),"",IFERROR(SUMIFS($M$5:$M$504,$B$5:$B$504,B93,$C$5:$C$504,C93,$L$5:$L$504,TRUE,$F$5:$F$504,"&gt;="&amp;AsOfWeek-7*(RecentWeeks-1),$F$5:$F$504,"&lt;="&amp;AsOfWeek),""))</f>
        <v/>
      </c>
      <c r="Q93" s="20">
        <f>IF(OR(B93="",AsOfWeek=""),"",IFERROR(SUMIFS($M$5:$M$504,$B$5:$B$504,B93,$C$5:$C$504,C93,$L$5:$L$504,TRUE,$F$5:$F$504,"&gt;="&amp;AsOfWeek-7*(RecentWeeks+PriorWeeks-1),$F$5:$F$504,"&lt;"&amp;AsOfWeek-7*(RecentWeeks-1)),""))</f>
        <v/>
      </c>
      <c r="R93" s="21">
        <f>IF(OR(P93="",Q93="",Q93=0),"",P93/Q93-1)</f>
        <v/>
      </c>
      <c r="S93" s="20">
        <f>IF(OR(C93="",AsOfWeek=""),"",IFERROR(AVERAGEIFS($M$5:$M$504,$C$5:$C$504,C93,$L$5:$L$504,TRUE,$F$5:$F$504,"&gt;="&amp;AsOfWeek-7*(RecentWeeks-1),$F$5:$F$504,"&lt;="&amp;AsOfWeek),""))</f>
        <v/>
      </c>
      <c r="T93" s="21">
        <f>IF(OR(P93="",S93=""),"",P93/S93-1)</f>
        <v/>
      </c>
      <c r="U93" s="22">
        <f>IF(OR(B93="",'Weekly Input'!G93="",P93="",P93=0),"",'Weekly Input'!G93/P93)</f>
        <v/>
      </c>
      <c r="V93" s="18">
        <f>IF(B93="","",IF(NOT(I93),"Not Ready",IF(NOT(K93),"Not Ready",IF(N93&lt;MinHistory,"Not Ready",IF(NOT(J93),"Not Ready",IF(OR(Q93="",Q93=0),"Noise",IF(Q93&lt;LowBaseThreshold,"Noise",IF(AND(R93&lt;=-OwnDecline,T93&lt;=-PeerGapThreshold),"Markdown Review",IF(AND(R93&gt;=ReorderUplift,U93&lt;&gt;"",U93&lt;=WeeksSupplyCap),"Reorder Candidate","Monitor"))))))))</f>
        <v/>
      </c>
      <c r="W93" s="18">
        <f>IF(B93="","",IF(NOT(I93),"INVALID_MASTER",IF(NOT(K93),"INCOMPLETE_SHELF_CYCLE",IF(N93&lt;MinHistory,"INSUFFICIENT_HISTORY",IF(NOT(J93),"INSUFFICIENT_IN_STOCK",IF(OR(Q93="",Q93=0),"NO_PRIOR_BASE",IF(Q93&lt;LowBaseThreshold,"LOW_BASE_NOISE",IF(V93="Markdown Review","MARKDOWN_PEER_GAP",IF(V93="Reorder Candidate","REORDER_UPLIFT_COVER","NO_MATERIAL_CHANGE"))))))))</f>
        <v/>
      </c>
      <c r="X93" s="18">
        <f>IF(V93="Markdown Review","Markdown support",IF(V93="Reorder Candidate","Second reorder",IF(V93="Monitor","Monitor",IF(V93="Noise","Hold / collect data",IF(V93="Not Ready","Not ready","")))))</f>
        <v/>
      </c>
      <c r="Y93" s="18">
        <f>IF(OR(R93="",T93=""),"",ABS(R93)+ABS(T93))</f>
        <v/>
      </c>
      <c r="Z93" s="21">
        <f>IF(OR(B93="",NOT(O93),R93=""),"",IF(ABS(R93)&gt;=MaterialThreshold,"Yes","No"))</f>
        <v/>
      </c>
      <c r="AA93" s="18">
        <f>IF(Z93&lt;&gt;"Yes","",IF(ABS(R93)&gt;=MaterialThreshold,IF(ABS(R93)&gt;=BroadShare,"Broad SKU movement","Store-concentrated movement"),""))</f>
        <v/>
      </c>
      <c r="AB93" s="18">
        <f>IF(O93,IF(COUNTIFS($O$5:O93,TRUE)&gt;0,COUNTIFS($O$5:O93,TRUE),0),0)</f>
        <v/>
      </c>
      <c r="AC93" s="18">
        <f>IF(V93="Markdown Review",1,IF(V93="Reorder Candidate",2,IF(V93="Monitor",3,IF(V93="Noise",4,IF(V93="Not Ready",5,99)))))</f>
        <v/>
      </c>
      <c r="AD93" s="18">
        <f>IF(O93,COUNTIFS($O$5:$O$504,TRUE,$AC$5:$AC$504,"&lt;"&amp;AC93)+COUNTIFS($O$5:O93,TRUE,$AC$5:AC93,AC93,$Y$5:Y93,"&gt;"&amp;Y93),0)</f>
        <v/>
      </c>
    </row>
    <row r="94">
      <c r="A94" s="17">
        <f>IF(COUNTA('Weekly Input'!A94:C94)=0,"",'Weekly Input'!B94&amp;"|"&amp;'Weekly Input'!C94&amp;"|"&amp;TEXT('Weekly Input'!A94,"yyyy-mm-dd"))</f>
        <v/>
      </c>
      <c r="B94" s="18">
        <f>'Weekly Input'!B94</f>
        <v/>
      </c>
      <c r="C94" s="18">
        <f>'Weekly Input'!C94</f>
        <v/>
      </c>
      <c r="D94" s="18">
        <f>IF(B94="","",IFERROR(INDEX('Master Data'!$B$6:$B$145,MATCH(B94,'Master Data'!$A$6:$A$145,0)),""))</f>
        <v/>
      </c>
      <c r="E94" s="18">
        <f>IF(C94="","",IFERROR(INDEX('Master Data'!$H$6:$H$13,MATCH(C94,'Master Data'!$F$6:$F$13,0)),""))</f>
        <v/>
      </c>
      <c r="F94" s="19">
        <f>'Weekly Input'!A94</f>
        <v/>
      </c>
      <c r="G94" s="19">
        <f>IF(B94="","",IFERROR(INDEX('Master Data'!$D$6:$D$145,MATCH(B94,'Master Data'!$A$6:$A$145,0)),""))</f>
        <v/>
      </c>
      <c r="H94" s="18">
        <f>IF(OR(F94="",G94=""),"",F94-G94)</f>
        <v/>
      </c>
      <c r="I94" s="18">
        <f>IF(B94="","",IF('Weekly Input'!J94="OK",TRUE,FALSE))</f>
        <v/>
      </c>
      <c r="J94" s="18">
        <f>IF(B94="","",'Weekly Input'!H94&gt;=MinInStockDays)</f>
        <v/>
      </c>
      <c r="K94" s="18">
        <f>IF(B94="","",H94&gt;=FullCycleMin)</f>
        <v/>
      </c>
      <c r="L94" s="18">
        <f>IF(B94="","",AND(I94,J94,K94,N94&gt;=MinHistory))</f>
        <v/>
      </c>
      <c r="M94" s="20">
        <f>IF(OR(B94="",'Weekly Input'!H94=0),"",'Weekly Input'!D94/'Weekly Input'!H94*7)</f>
        <v/>
      </c>
      <c r="N94" s="18">
        <f>IF(B94="","",COUNTIFS($B$5:$B$504,B94,$C$5:$C$504,C94,$I$5:$I$504,TRUE,$J$5:$J$504,TRUE,$K$5:$K$504,TRUE))</f>
        <v/>
      </c>
      <c r="O94" s="18">
        <f>IF(B94="","",AND(F94=AsOfWeek,AsOfWeek&lt;&gt;""))</f>
        <v/>
      </c>
      <c r="P94" s="20">
        <f>IF(OR(B94="",AsOfWeek=""),"",IFERROR(SUMIFS($M$5:$M$504,$B$5:$B$504,B94,$C$5:$C$504,C94,$L$5:$L$504,TRUE,$F$5:$F$504,"&gt;="&amp;AsOfWeek-7*(RecentWeeks-1),$F$5:$F$504,"&lt;="&amp;AsOfWeek),""))</f>
        <v/>
      </c>
      <c r="Q94" s="20">
        <f>IF(OR(B94="",AsOfWeek=""),"",IFERROR(SUMIFS($M$5:$M$504,$B$5:$B$504,B94,$C$5:$C$504,C94,$L$5:$L$504,TRUE,$F$5:$F$504,"&gt;="&amp;AsOfWeek-7*(RecentWeeks+PriorWeeks-1),$F$5:$F$504,"&lt;"&amp;AsOfWeek-7*(RecentWeeks-1)),""))</f>
        <v/>
      </c>
      <c r="R94" s="21">
        <f>IF(OR(P94="",Q94="",Q94=0),"",P94/Q94-1)</f>
        <v/>
      </c>
      <c r="S94" s="20">
        <f>IF(OR(C94="",AsOfWeek=""),"",IFERROR(AVERAGEIFS($M$5:$M$504,$C$5:$C$504,C94,$L$5:$L$504,TRUE,$F$5:$F$504,"&gt;="&amp;AsOfWeek-7*(RecentWeeks-1),$F$5:$F$504,"&lt;="&amp;AsOfWeek),""))</f>
        <v/>
      </c>
      <c r="T94" s="21">
        <f>IF(OR(P94="",S94=""),"",P94/S94-1)</f>
        <v/>
      </c>
      <c r="U94" s="22">
        <f>IF(OR(B94="",'Weekly Input'!G94="",P94="",P94=0),"",'Weekly Input'!G94/P94)</f>
        <v/>
      </c>
      <c r="V94" s="18">
        <f>IF(B94="","",IF(NOT(I94),"Not Ready",IF(NOT(K94),"Not Ready",IF(N94&lt;MinHistory,"Not Ready",IF(NOT(J94),"Not Ready",IF(OR(Q94="",Q94=0),"Noise",IF(Q94&lt;LowBaseThreshold,"Noise",IF(AND(R94&lt;=-OwnDecline,T94&lt;=-PeerGapThreshold),"Markdown Review",IF(AND(R94&gt;=ReorderUplift,U94&lt;&gt;"",U94&lt;=WeeksSupplyCap),"Reorder Candidate","Monitor"))))))))</f>
        <v/>
      </c>
      <c r="W94" s="18">
        <f>IF(B94="","",IF(NOT(I94),"INVALID_MASTER",IF(NOT(K94),"INCOMPLETE_SHELF_CYCLE",IF(N94&lt;MinHistory,"INSUFFICIENT_HISTORY",IF(NOT(J94),"INSUFFICIENT_IN_STOCK",IF(OR(Q94="",Q94=0),"NO_PRIOR_BASE",IF(Q94&lt;LowBaseThreshold,"LOW_BASE_NOISE",IF(V94="Markdown Review","MARKDOWN_PEER_GAP",IF(V94="Reorder Candidate","REORDER_UPLIFT_COVER","NO_MATERIAL_CHANGE"))))))))</f>
        <v/>
      </c>
      <c r="X94" s="18">
        <f>IF(V94="Markdown Review","Markdown support",IF(V94="Reorder Candidate","Second reorder",IF(V94="Monitor","Monitor",IF(V94="Noise","Hold / collect data",IF(V94="Not Ready","Not ready","")))))</f>
        <v/>
      </c>
      <c r="Y94" s="18">
        <f>IF(OR(R94="",T94=""),"",ABS(R94)+ABS(T94))</f>
        <v/>
      </c>
      <c r="Z94" s="21">
        <f>IF(OR(B94="",NOT(O94),R94=""),"",IF(ABS(R94)&gt;=MaterialThreshold,"Yes","No"))</f>
        <v/>
      </c>
      <c r="AA94" s="18">
        <f>IF(Z94&lt;&gt;"Yes","",IF(ABS(R94)&gt;=MaterialThreshold,IF(ABS(R94)&gt;=BroadShare,"Broad SKU movement","Store-concentrated movement"),""))</f>
        <v/>
      </c>
      <c r="AB94" s="18">
        <f>IF(O94,IF(COUNTIFS($O$5:O94,TRUE)&gt;0,COUNTIFS($O$5:O94,TRUE),0),0)</f>
        <v/>
      </c>
      <c r="AC94" s="18">
        <f>IF(V94="Markdown Review",1,IF(V94="Reorder Candidate",2,IF(V94="Monitor",3,IF(V94="Noise",4,IF(V94="Not Ready",5,99)))))</f>
        <v/>
      </c>
      <c r="AD94" s="18">
        <f>IF(O94,COUNTIFS($O$5:$O$504,TRUE,$AC$5:$AC$504,"&lt;"&amp;AC94)+COUNTIFS($O$5:O94,TRUE,$AC$5:AC94,AC94,$Y$5:Y94,"&gt;"&amp;Y94),0)</f>
        <v/>
      </c>
    </row>
    <row r="95">
      <c r="A95" s="17">
        <f>IF(COUNTA('Weekly Input'!A95:C95)=0,"",'Weekly Input'!B95&amp;"|"&amp;'Weekly Input'!C95&amp;"|"&amp;TEXT('Weekly Input'!A95,"yyyy-mm-dd"))</f>
        <v/>
      </c>
      <c r="B95" s="18">
        <f>'Weekly Input'!B95</f>
        <v/>
      </c>
      <c r="C95" s="18">
        <f>'Weekly Input'!C95</f>
        <v/>
      </c>
      <c r="D95" s="18">
        <f>IF(B95="","",IFERROR(INDEX('Master Data'!$B$6:$B$145,MATCH(B95,'Master Data'!$A$6:$A$145,0)),""))</f>
        <v/>
      </c>
      <c r="E95" s="18">
        <f>IF(C95="","",IFERROR(INDEX('Master Data'!$H$6:$H$13,MATCH(C95,'Master Data'!$F$6:$F$13,0)),""))</f>
        <v/>
      </c>
      <c r="F95" s="19">
        <f>'Weekly Input'!A95</f>
        <v/>
      </c>
      <c r="G95" s="19">
        <f>IF(B95="","",IFERROR(INDEX('Master Data'!$D$6:$D$145,MATCH(B95,'Master Data'!$A$6:$A$145,0)),""))</f>
        <v/>
      </c>
      <c r="H95" s="18">
        <f>IF(OR(F95="",G95=""),"",F95-G95)</f>
        <v/>
      </c>
      <c r="I95" s="18">
        <f>IF(B95="","",IF('Weekly Input'!J95="OK",TRUE,FALSE))</f>
        <v/>
      </c>
      <c r="J95" s="18">
        <f>IF(B95="","",'Weekly Input'!H95&gt;=MinInStockDays)</f>
        <v/>
      </c>
      <c r="K95" s="18">
        <f>IF(B95="","",H95&gt;=FullCycleMin)</f>
        <v/>
      </c>
      <c r="L95" s="18">
        <f>IF(B95="","",AND(I95,J95,K95,N95&gt;=MinHistory))</f>
        <v/>
      </c>
      <c r="M95" s="20">
        <f>IF(OR(B95="",'Weekly Input'!H95=0),"",'Weekly Input'!D95/'Weekly Input'!H95*7)</f>
        <v/>
      </c>
      <c r="N95" s="18">
        <f>IF(B95="","",COUNTIFS($B$5:$B$504,B95,$C$5:$C$504,C95,$I$5:$I$504,TRUE,$J$5:$J$504,TRUE,$K$5:$K$504,TRUE))</f>
        <v/>
      </c>
      <c r="O95" s="18">
        <f>IF(B95="","",AND(F95=AsOfWeek,AsOfWeek&lt;&gt;""))</f>
        <v/>
      </c>
      <c r="P95" s="20">
        <f>IF(OR(B95="",AsOfWeek=""),"",IFERROR(SUMIFS($M$5:$M$504,$B$5:$B$504,B95,$C$5:$C$504,C95,$L$5:$L$504,TRUE,$F$5:$F$504,"&gt;="&amp;AsOfWeek-7*(RecentWeeks-1),$F$5:$F$504,"&lt;="&amp;AsOfWeek),""))</f>
        <v/>
      </c>
      <c r="Q95" s="20">
        <f>IF(OR(B95="",AsOfWeek=""),"",IFERROR(SUMIFS($M$5:$M$504,$B$5:$B$504,B95,$C$5:$C$504,C95,$L$5:$L$504,TRUE,$F$5:$F$504,"&gt;="&amp;AsOfWeek-7*(RecentWeeks+PriorWeeks-1),$F$5:$F$504,"&lt;"&amp;AsOfWeek-7*(RecentWeeks-1)),""))</f>
        <v/>
      </c>
      <c r="R95" s="21">
        <f>IF(OR(P95="",Q95="",Q95=0),"",P95/Q95-1)</f>
        <v/>
      </c>
      <c r="S95" s="20">
        <f>IF(OR(C95="",AsOfWeek=""),"",IFERROR(AVERAGEIFS($M$5:$M$504,$C$5:$C$504,C95,$L$5:$L$504,TRUE,$F$5:$F$504,"&gt;="&amp;AsOfWeek-7*(RecentWeeks-1),$F$5:$F$504,"&lt;="&amp;AsOfWeek),""))</f>
        <v/>
      </c>
      <c r="T95" s="21">
        <f>IF(OR(P95="",S95=""),"",P95/S95-1)</f>
        <v/>
      </c>
      <c r="U95" s="22">
        <f>IF(OR(B95="",'Weekly Input'!G95="",P95="",P95=0),"",'Weekly Input'!G95/P95)</f>
        <v/>
      </c>
      <c r="V95" s="18">
        <f>IF(B95="","",IF(NOT(I95),"Not Ready",IF(NOT(K95),"Not Ready",IF(N95&lt;MinHistory,"Not Ready",IF(NOT(J95),"Not Ready",IF(OR(Q95="",Q95=0),"Noise",IF(Q95&lt;LowBaseThreshold,"Noise",IF(AND(R95&lt;=-OwnDecline,T95&lt;=-PeerGapThreshold),"Markdown Review",IF(AND(R95&gt;=ReorderUplift,U95&lt;&gt;"",U95&lt;=WeeksSupplyCap),"Reorder Candidate","Monitor"))))))))</f>
        <v/>
      </c>
      <c r="W95" s="18">
        <f>IF(B95="","",IF(NOT(I95),"INVALID_MASTER",IF(NOT(K95),"INCOMPLETE_SHELF_CYCLE",IF(N95&lt;MinHistory,"INSUFFICIENT_HISTORY",IF(NOT(J95),"INSUFFICIENT_IN_STOCK",IF(OR(Q95="",Q95=0),"NO_PRIOR_BASE",IF(Q95&lt;LowBaseThreshold,"LOW_BASE_NOISE",IF(V95="Markdown Review","MARKDOWN_PEER_GAP",IF(V95="Reorder Candidate","REORDER_UPLIFT_COVER","NO_MATERIAL_CHANGE"))))))))</f>
        <v/>
      </c>
      <c r="X95" s="18">
        <f>IF(V95="Markdown Review","Markdown support",IF(V95="Reorder Candidate","Second reorder",IF(V95="Monitor","Monitor",IF(V95="Noise","Hold / collect data",IF(V95="Not Ready","Not ready","")))))</f>
        <v/>
      </c>
      <c r="Y95" s="18">
        <f>IF(OR(R95="",T95=""),"",ABS(R95)+ABS(T95))</f>
        <v/>
      </c>
      <c r="Z95" s="21">
        <f>IF(OR(B95="",NOT(O95),R95=""),"",IF(ABS(R95)&gt;=MaterialThreshold,"Yes","No"))</f>
        <v/>
      </c>
      <c r="AA95" s="18">
        <f>IF(Z95&lt;&gt;"Yes","",IF(ABS(R95)&gt;=MaterialThreshold,IF(ABS(R95)&gt;=BroadShare,"Broad SKU movement","Store-concentrated movement"),""))</f>
        <v/>
      </c>
      <c r="AB95" s="18">
        <f>IF(O95,IF(COUNTIFS($O$5:O95,TRUE)&gt;0,COUNTIFS($O$5:O95,TRUE),0),0)</f>
        <v/>
      </c>
      <c r="AC95" s="18">
        <f>IF(V95="Markdown Review",1,IF(V95="Reorder Candidate",2,IF(V95="Monitor",3,IF(V95="Noise",4,IF(V95="Not Ready",5,99)))))</f>
        <v/>
      </c>
      <c r="AD95" s="18">
        <f>IF(O95,COUNTIFS($O$5:$O$504,TRUE,$AC$5:$AC$504,"&lt;"&amp;AC95)+COUNTIFS($O$5:O95,TRUE,$AC$5:AC95,AC95,$Y$5:Y95,"&gt;"&amp;Y95),0)</f>
        <v/>
      </c>
    </row>
    <row r="96">
      <c r="A96" s="17">
        <f>IF(COUNTA('Weekly Input'!A96:C96)=0,"",'Weekly Input'!B96&amp;"|"&amp;'Weekly Input'!C96&amp;"|"&amp;TEXT('Weekly Input'!A96,"yyyy-mm-dd"))</f>
        <v/>
      </c>
      <c r="B96" s="18">
        <f>'Weekly Input'!B96</f>
        <v/>
      </c>
      <c r="C96" s="18">
        <f>'Weekly Input'!C96</f>
        <v/>
      </c>
      <c r="D96" s="18">
        <f>IF(B96="","",IFERROR(INDEX('Master Data'!$B$6:$B$145,MATCH(B96,'Master Data'!$A$6:$A$145,0)),""))</f>
        <v/>
      </c>
      <c r="E96" s="18">
        <f>IF(C96="","",IFERROR(INDEX('Master Data'!$H$6:$H$13,MATCH(C96,'Master Data'!$F$6:$F$13,0)),""))</f>
        <v/>
      </c>
      <c r="F96" s="19">
        <f>'Weekly Input'!A96</f>
        <v/>
      </c>
      <c r="G96" s="19">
        <f>IF(B96="","",IFERROR(INDEX('Master Data'!$D$6:$D$145,MATCH(B96,'Master Data'!$A$6:$A$145,0)),""))</f>
        <v/>
      </c>
      <c r="H96" s="18">
        <f>IF(OR(F96="",G96=""),"",F96-G96)</f>
        <v/>
      </c>
      <c r="I96" s="18">
        <f>IF(B96="","",IF('Weekly Input'!J96="OK",TRUE,FALSE))</f>
        <v/>
      </c>
      <c r="J96" s="18">
        <f>IF(B96="","",'Weekly Input'!H96&gt;=MinInStockDays)</f>
        <v/>
      </c>
      <c r="K96" s="18">
        <f>IF(B96="","",H96&gt;=FullCycleMin)</f>
        <v/>
      </c>
      <c r="L96" s="18">
        <f>IF(B96="","",AND(I96,J96,K96,N96&gt;=MinHistory))</f>
        <v/>
      </c>
      <c r="M96" s="20">
        <f>IF(OR(B96="",'Weekly Input'!H96=0),"",'Weekly Input'!D96/'Weekly Input'!H96*7)</f>
        <v/>
      </c>
      <c r="N96" s="18">
        <f>IF(B96="","",COUNTIFS($B$5:$B$504,B96,$C$5:$C$504,C96,$I$5:$I$504,TRUE,$J$5:$J$504,TRUE,$K$5:$K$504,TRUE))</f>
        <v/>
      </c>
      <c r="O96" s="18">
        <f>IF(B96="","",AND(F96=AsOfWeek,AsOfWeek&lt;&gt;""))</f>
        <v/>
      </c>
      <c r="P96" s="20">
        <f>IF(OR(B96="",AsOfWeek=""),"",IFERROR(SUMIFS($M$5:$M$504,$B$5:$B$504,B96,$C$5:$C$504,C96,$L$5:$L$504,TRUE,$F$5:$F$504,"&gt;="&amp;AsOfWeek-7*(RecentWeeks-1),$F$5:$F$504,"&lt;="&amp;AsOfWeek),""))</f>
        <v/>
      </c>
      <c r="Q96" s="20">
        <f>IF(OR(B96="",AsOfWeek=""),"",IFERROR(SUMIFS($M$5:$M$504,$B$5:$B$504,B96,$C$5:$C$504,C96,$L$5:$L$504,TRUE,$F$5:$F$504,"&gt;="&amp;AsOfWeek-7*(RecentWeeks+PriorWeeks-1),$F$5:$F$504,"&lt;"&amp;AsOfWeek-7*(RecentWeeks-1)),""))</f>
        <v/>
      </c>
      <c r="R96" s="21">
        <f>IF(OR(P96="",Q96="",Q96=0),"",P96/Q96-1)</f>
        <v/>
      </c>
      <c r="S96" s="20">
        <f>IF(OR(C96="",AsOfWeek=""),"",IFERROR(AVERAGEIFS($M$5:$M$504,$C$5:$C$504,C96,$L$5:$L$504,TRUE,$F$5:$F$504,"&gt;="&amp;AsOfWeek-7*(RecentWeeks-1),$F$5:$F$504,"&lt;="&amp;AsOfWeek),""))</f>
        <v/>
      </c>
      <c r="T96" s="21">
        <f>IF(OR(P96="",S96=""),"",P96/S96-1)</f>
        <v/>
      </c>
      <c r="U96" s="22">
        <f>IF(OR(B96="",'Weekly Input'!G96="",P96="",P96=0),"",'Weekly Input'!G96/P96)</f>
        <v/>
      </c>
      <c r="V96" s="18">
        <f>IF(B96="","",IF(NOT(I96),"Not Ready",IF(NOT(K96),"Not Ready",IF(N96&lt;MinHistory,"Not Ready",IF(NOT(J96),"Not Ready",IF(OR(Q96="",Q96=0),"Noise",IF(Q96&lt;LowBaseThreshold,"Noise",IF(AND(R96&lt;=-OwnDecline,T96&lt;=-PeerGapThreshold),"Markdown Review",IF(AND(R96&gt;=ReorderUplift,U96&lt;&gt;"",U96&lt;=WeeksSupplyCap),"Reorder Candidate","Monitor"))))))))</f>
        <v/>
      </c>
      <c r="W96" s="18">
        <f>IF(B96="","",IF(NOT(I96),"INVALID_MASTER",IF(NOT(K96),"INCOMPLETE_SHELF_CYCLE",IF(N96&lt;MinHistory,"INSUFFICIENT_HISTORY",IF(NOT(J96),"INSUFFICIENT_IN_STOCK",IF(OR(Q96="",Q96=0),"NO_PRIOR_BASE",IF(Q96&lt;LowBaseThreshold,"LOW_BASE_NOISE",IF(V96="Markdown Review","MARKDOWN_PEER_GAP",IF(V96="Reorder Candidate","REORDER_UPLIFT_COVER","NO_MATERIAL_CHANGE"))))))))</f>
        <v/>
      </c>
      <c r="X96" s="18">
        <f>IF(V96="Markdown Review","Markdown support",IF(V96="Reorder Candidate","Second reorder",IF(V96="Monitor","Monitor",IF(V96="Noise","Hold / collect data",IF(V96="Not Ready","Not ready","")))))</f>
        <v/>
      </c>
      <c r="Y96" s="18">
        <f>IF(OR(R96="",T96=""),"",ABS(R96)+ABS(T96))</f>
        <v/>
      </c>
      <c r="Z96" s="21">
        <f>IF(OR(B96="",NOT(O96),R96=""),"",IF(ABS(R96)&gt;=MaterialThreshold,"Yes","No"))</f>
        <v/>
      </c>
      <c r="AA96" s="18">
        <f>IF(Z96&lt;&gt;"Yes","",IF(ABS(R96)&gt;=MaterialThreshold,IF(ABS(R96)&gt;=BroadShare,"Broad SKU movement","Store-concentrated movement"),""))</f>
        <v/>
      </c>
      <c r="AB96" s="18">
        <f>IF(O96,IF(COUNTIFS($O$5:O96,TRUE)&gt;0,COUNTIFS($O$5:O96,TRUE),0),0)</f>
        <v/>
      </c>
      <c r="AC96" s="18">
        <f>IF(V96="Markdown Review",1,IF(V96="Reorder Candidate",2,IF(V96="Monitor",3,IF(V96="Noise",4,IF(V96="Not Ready",5,99)))))</f>
        <v/>
      </c>
      <c r="AD96" s="18">
        <f>IF(O96,COUNTIFS($O$5:$O$504,TRUE,$AC$5:$AC$504,"&lt;"&amp;AC96)+COUNTIFS($O$5:O96,TRUE,$AC$5:AC96,AC96,$Y$5:Y96,"&gt;"&amp;Y96),0)</f>
        <v/>
      </c>
    </row>
    <row r="97">
      <c r="A97" s="17">
        <f>IF(COUNTA('Weekly Input'!A97:C97)=0,"",'Weekly Input'!B97&amp;"|"&amp;'Weekly Input'!C97&amp;"|"&amp;TEXT('Weekly Input'!A97,"yyyy-mm-dd"))</f>
        <v/>
      </c>
      <c r="B97" s="18">
        <f>'Weekly Input'!B97</f>
        <v/>
      </c>
      <c r="C97" s="18">
        <f>'Weekly Input'!C97</f>
        <v/>
      </c>
      <c r="D97" s="18">
        <f>IF(B97="","",IFERROR(INDEX('Master Data'!$B$6:$B$145,MATCH(B97,'Master Data'!$A$6:$A$145,0)),""))</f>
        <v/>
      </c>
      <c r="E97" s="18">
        <f>IF(C97="","",IFERROR(INDEX('Master Data'!$H$6:$H$13,MATCH(C97,'Master Data'!$F$6:$F$13,0)),""))</f>
        <v/>
      </c>
      <c r="F97" s="19">
        <f>'Weekly Input'!A97</f>
        <v/>
      </c>
      <c r="G97" s="19">
        <f>IF(B97="","",IFERROR(INDEX('Master Data'!$D$6:$D$145,MATCH(B97,'Master Data'!$A$6:$A$145,0)),""))</f>
        <v/>
      </c>
      <c r="H97" s="18">
        <f>IF(OR(F97="",G97=""),"",F97-G97)</f>
        <v/>
      </c>
      <c r="I97" s="18">
        <f>IF(B97="","",IF('Weekly Input'!J97="OK",TRUE,FALSE))</f>
        <v/>
      </c>
      <c r="J97" s="18">
        <f>IF(B97="","",'Weekly Input'!H97&gt;=MinInStockDays)</f>
        <v/>
      </c>
      <c r="K97" s="18">
        <f>IF(B97="","",H97&gt;=FullCycleMin)</f>
        <v/>
      </c>
      <c r="L97" s="18">
        <f>IF(B97="","",AND(I97,J97,K97,N97&gt;=MinHistory))</f>
        <v/>
      </c>
      <c r="M97" s="20">
        <f>IF(OR(B97="",'Weekly Input'!H97=0),"",'Weekly Input'!D97/'Weekly Input'!H97*7)</f>
        <v/>
      </c>
      <c r="N97" s="18">
        <f>IF(B97="","",COUNTIFS($B$5:$B$504,B97,$C$5:$C$504,C97,$I$5:$I$504,TRUE,$J$5:$J$504,TRUE,$K$5:$K$504,TRUE))</f>
        <v/>
      </c>
      <c r="O97" s="18">
        <f>IF(B97="","",AND(F97=AsOfWeek,AsOfWeek&lt;&gt;""))</f>
        <v/>
      </c>
      <c r="P97" s="20">
        <f>IF(OR(B97="",AsOfWeek=""),"",IFERROR(SUMIFS($M$5:$M$504,$B$5:$B$504,B97,$C$5:$C$504,C97,$L$5:$L$504,TRUE,$F$5:$F$504,"&gt;="&amp;AsOfWeek-7*(RecentWeeks-1),$F$5:$F$504,"&lt;="&amp;AsOfWeek),""))</f>
        <v/>
      </c>
      <c r="Q97" s="20">
        <f>IF(OR(B97="",AsOfWeek=""),"",IFERROR(SUMIFS($M$5:$M$504,$B$5:$B$504,B97,$C$5:$C$504,C97,$L$5:$L$504,TRUE,$F$5:$F$504,"&gt;="&amp;AsOfWeek-7*(RecentWeeks+PriorWeeks-1),$F$5:$F$504,"&lt;"&amp;AsOfWeek-7*(RecentWeeks-1)),""))</f>
        <v/>
      </c>
      <c r="R97" s="21">
        <f>IF(OR(P97="",Q97="",Q97=0),"",P97/Q97-1)</f>
        <v/>
      </c>
      <c r="S97" s="20">
        <f>IF(OR(C97="",AsOfWeek=""),"",IFERROR(AVERAGEIFS($M$5:$M$504,$C$5:$C$504,C97,$L$5:$L$504,TRUE,$F$5:$F$504,"&gt;="&amp;AsOfWeek-7*(RecentWeeks-1),$F$5:$F$504,"&lt;="&amp;AsOfWeek),""))</f>
        <v/>
      </c>
      <c r="T97" s="21">
        <f>IF(OR(P97="",S97=""),"",P97/S97-1)</f>
        <v/>
      </c>
      <c r="U97" s="22">
        <f>IF(OR(B97="",'Weekly Input'!G97="",P97="",P97=0),"",'Weekly Input'!G97/P97)</f>
        <v/>
      </c>
      <c r="V97" s="18">
        <f>IF(B97="","",IF(NOT(I97),"Not Ready",IF(NOT(K97),"Not Ready",IF(N97&lt;MinHistory,"Not Ready",IF(NOT(J97),"Not Ready",IF(OR(Q97="",Q97=0),"Noise",IF(Q97&lt;LowBaseThreshold,"Noise",IF(AND(R97&lt;=-OwnDecline,T97&lt;=-PeerGapThreshold),"Markdown Review",IF(AND(R97&gt;=ReorderUplift,U97&lt;&gt;"",U97&lt;=WeeksSupplyCap),"Reorder Candidate","Monitor"))))))))</f>
        <v/>
      </c>
      <c r="W97" s="18">
        <f>IF(B97="","",IF(NOT(I97),"INVALID_MASTER",IF(NOT(K97),"INCOMPLETE_SHELF_CYCLE",IF(N97&lt;MinHistory,"INSUFFICIENT_HISTORY",IF(NOT(J97),"INSUFFICIENT_IN_STOCK",IF(OR(Q97="",Q97=0),"NO_PRIOR_BASE",IF(Q97&lt;LowBaseThreshold,"LOW_BASE_NOISE",IF(V97="Markdown Review","MARKDOWN_PEER_GAP",IF(V97="Reorder Candidate","REORDER_UPLIFT_COVER","NO_MATERIAL_CHANGE"))))))))</f>
        <v/>
      </c>
      <c r="X97" s="18">
        <f>IF(V97="Markdown Review","Markdown support",IF(V97="Reorder Candidate","Second reorder",IF(V97="Monitor","Monitor",IF(V97="Noise","Hold / collect data",IF(V97="Not Ready","Not ready","")))))</f>
        <v/>
      </c>
      <c r="Y97" s="18">
        <f>IF(OR(R97="",T97=""),"",ABS(R97)+ABS(T97))</f>
        <v/>
      </c>
      <c r="Z97" s="21">
        <f>IF(OR(B97="",NOT(O97),R97=""),"",IF(ABS(R97)&gt;=MaterialThreshold,"Yes","No"))</f>
        <v/>
      </c>
      <c r="AA97" s="18">
        <f>IF(Z97&lt;&gt;"Yes","",IF(ABS(R97)&gt;=MaterialThreshold,IF(ABS(R97)&gt;=BroadShare,"Broad SKU movement","Store-concentrated movement"),""))</f>
        <v/>
      </c>
      <c r="AB97" s="18">
        <f>IF(O97,IF(COUNTIFS($O$5:O97,TRUE)&gt;0,COUNTIFS($O$5:O97,TRUE),0),0)</f>
        <v/>
      </c>
      <c r="AC97" s="18">
        <f>IF(V97="Markdown Review",1,IF(V97="Reorder Candidate",2,IF(V97="Monitor",3,IF(V97="Noise",4,IF(V97="Not Ready",5,99)))))</f>
        <v/>
      </c>
      <c r="AD97" s="18">
        <f>IF(O97,COUNTIFS($O$5:$O$504,TRUE,$AC$5:$AC$504,"&lt;"&amp;AC97)+COUNTIFS($O$5:O97,TRUE,$AC$5:AC97,AC97,$Y$5:Y97,"&gt;"&amp;Y97),0)</f>
        <v/>
      </c>
    </row>
    <row r="98">
      <c r="A98" s="17">
        <f>IF(COUNTA('Weekly Input'!A98:C98)=0,"",'Weekly Input'!B98&amp;"|"&amp;'Weekly Input'!C98&amp;"|"&amp;TEXT('Weekly Input'!A98,"yyyy-mm-dd"))</f>
        <v/>
      </c>
      <c r="B98" s="18">
        <f>'Weekly Input'!B98</f>
        <v/>
      </c>
      <c r="C98" s="18">
        <f>'Weekly Input'!C98</f>
        <v/>
      </c>
      <c r="D98" s="18">
        <f>IF(B98="","",IFERROR(INDEX('Master Data'!$B$6:$B$145,MATCH(B98,'Master Data'!$A$6:$A$145,0)),""))</f>
        <v/>
      </c>
      <c r="E98" s="18">
        <f>IF(C98="","",IFERROR(INDEX('Master Data'!$H$6:$H$13,MATCH(C98,'Master Data'!$F$6:$F$13,0)),""))</f>
        <v/>
      </c>
      <c r="F98" s="19">
        <f>'Weekly Input'!A98</f>
        <v/>
      </c>
      <c r="G98" s="19">
        <f>IF(B98="","",IFERROR(INDEX('Master Data'!$D$6:$D$145,MATCH(B98,'Master Data'!$A$6:$A$145,0)),""))</f>
        <v/>
      </c>
      <c r="H98" s="18">
        <f>IF(OR(F98="",G98=""),"",F98-G98)</f>
        <v/>
      </c>
      <c r="I98" s="18">
        <f>IF(B98="","",IF('Weekly Input'!J98="OK",TRUE,FALSE))</f>
        <v/>
      </c>
      <c r="J98" s="18">
        <f>IF(B98="","",'Weekly Input'!H98&gt;=MinInStockDays)</f>
        <v/>
      </c>
      <c r="K98" s="18">
        <f>IF(B98="","",H98&gt;=FullCycleMin)</f>
        <v/>
      </c>
      <c r="L98" s="18">
        <f>IF(B98="","",AND(I98,J98,K98,N98&gt;=MinHistory))</f>
        <v/>
      </c>
      <c r="M98" s="20">
        <f>IF(OR(B98="",'Weekly Input'!H98=0),"",'Weekly Input'!D98/'Weekly Input'!H98*7)</f>
        <v/>
      </c>
      <c r="N98" s="18">
        <f>IF(B98="","",COUNTIFS($B$5:$B$504,B98,$C$5:$C$504,C98,$I$5:$I$504,TRUE,$J$5:$J$504,TRUE,$K$5:$K$504,TRUE))</f>
        <v/>
      </c>
      <c r="O98" s="18">
        <f>IF(B98="","",AND(F98=AsOfWeek,AsOfWeek&lt;&gt;""))</f>
        <v/>
      </c>
      <c r="P98" s="20">
        <f>IF(OR(B98="",AsOfWeek=""),"",IFERROR(SUMIFS($M$5:$M$504,$B$5:$B$504,B98,$C$5:$C$504,C98,$L$5:$L$504,TRUE,$F$5:$F$504,"&gt;="&amp;AsOfWeek-7*(RecentWeeks-1),$F$5:$F$504,"&lt;="&amp;AsOfWeek),""))</f>
        <v/>
      </c>
      <c r="Q98" s="20">
        <f>IF(OR(B98="",AsOfWeek=""),"",IFERROR(SUMIFS($M$5:$M$504,$B$5:$B$504,B98,$C$5:$C$504,C98,$L$5:$L$504,TRUE,$F$5:$F$504,"&gt;="&amp;AsOfWeek-7*(RecentWeeks+PriorWeeks-1),$F$5:$F$504,"&lt;"&amp;AsOfWeek-7*(RecentWeeks-1)),""))</f>
        <v/>
      </c>
      <c r="R98" s="21">
        <f>IF(OR(P98="",Q98="",Q98=0),"",P98/Q98-1)</f>
        <v/>
      </c>
      <c r="S98" s="20">
        <f>IF(OR(C98="",AsOfWeek=""),"",IFERROR(AVERAGEIFS($M$5:$M$504,$C$5:$C$504,C98,$L$5:$L$504,TRUE,$F$5:$F$504,"&gt;="&amp;AsOfWeek-7*(RecentWeeks-1),$F$5:$F$504,"&lt;="&amp;AsOfWeek),""))</f>
        <v/>
      </c>
      <c r="T98" s="21">
        <f>IF(OR(P98="",S98=""),"",P98/S98-1)</f>
        <v/>
      </c>
      <c r="U98" s="22">
        <f>IF(OR(B98="",'Weekly Input'!G98="",P98="",P98=0),"",'Weekly Input'!G98/P98)</f>
        <v/>
      </c>
      <c r="V98" s="18">
        <f>IF(B98="","",IF(NOT(I98),"Not Ready",IF(NOT(K98),"Not Ready",IF(N98&lt;MinHistory,"Not Ready",IF(NOT(J98),"Not Ready",IF(OR(Q98="",Q98=0),"Noise",IF(Q98&lt;LowBaseThreshold,"Noise",IF(AND(R98&lt;=-OwnDecline,T98&lt;=-PeerGapThreshold),"Markdown Review",IF(AND(R98&gt;=ReorderUplift,U98&lt;&gt;"",U98&lt;=WeeksSupplyCap),"Reorder Candidate","Monitor"))))))))</f>
        <v/>
      </c>
      <c r="W98" s="18">
        <f>IF(B98="","",IF(NOT(I98),"INVALID_MASTER",IF(NOT(K98),"INCOMPLETE_SHELF_CYCLE",IF(N98&lt;MinHistory,"INSUFFICIENT_HISTORY",IF(NOT(J98),"INSUFFICIENT_IN_STOCK",IF(OR(Q98="",Q98=0),"NO_PRIOR_BASE",IF(Q98&lt;LowBaseThreshold,"LOW_BASE_NOISE",IF(V98="Markdown Review","MARKDOWN_PEER_GAP",IF(V98="Reorder Candidate","REORDER_UPLIFT_COVER","NO_MATERIAL_CHANGE"))))))))</f>
        <v/>
      </c>
      <c r="X98" s="18">
        <f>IF(V98="Markdown Review","Markdown support",IF(V98="Reorder Candidate","Second reorder",IF(V98="Monitor","Monitor",IF(V98="Noise","Hold / collect data",IF(V98="Not Ready","Not ready","")))))</f>
        <v/>
      </c>
      <c r="Y98" s="18">
        <f>IF(OR(R98="",T98=""),"",ABS(R98)+ABS(T98))</f>
        <v/>
      </c>
      <c r="Z98" s="21">
        <f>IF(OR(B98="",NOT(O98),R98=""),"",IF(ABS(R98)&gt;=MaterialThreshold,"Yes","No"))</f>
        <v/>
      </c>
      <c r="AA98" s="18">
        <f>IF(Z98&lt;&gt;"Yes","",IF(ABS(R98)&gt;=MaterialThreshold,IF(ABS(R98)&gt;=BroadShare,"Broad SKU movement","Store-concentrated movement"),""))</f>
        <v/>
      </c>
      <c r="AB98" s="18">
        <f>IF(O98,IF(COUNTIFS($O$5:O98,TRUE)&gt;0,COUNTIFS($O$5:O98,TRUE),0),0)</f>
        <v/>
      </c>
      <c r="AC98" s="18">
        <f>IF(V98="Markdown Review",1,IF(V98="Reorder Candidate",2,IF(V98="Monitor",3,IF(V98="Noise",4,IF(V98="Not Ready",5,99)))))</f>
        <v/>
      </c>
      <c r="AD98" s="18">
        <f>IF(O98,COUNTIFS($O$5:$O$504,TRUE,$AC$5:$AC$504,"&lt;"&amp;AC98)+COUNTIFS($O$5:O98,TRUE,$AC$5:AC98,AC98,$Y$5:Y98,"&gt;"&amp;Y98),0)</f>
        <v/>
      </c>
    </row>
    <row r="99">
      <c r="A99" s="17">
        <f>IF(COUNTA('Weekly Input'!A99:C99)=0,"",'Weekly Input'!B99&amp;"|"&amp;'Weekly Input'!C99&amp;"|"&amp;TEXT('Weekly Input'!A99,"yyyy-mm-dd"))</f>
        <v/>
      </c>
      <c r="B99" s="18">
        <f>'Weekly Input'!B99</f>
        <v/>
      </c>
      <c r="C99" s="18">
        <f>'Weekly Input'!C99</f>
        <v/>
      </c>
      <c r="D99" s="18">
        <f>IF(B99="","",IFERROR(INDEX('Master Data'!$B$6:$B$145,MATCH(B99,'Master Data'!$A$6:$A$145,0)),""))</f>
        <v/>
      </c>
      <c r="E99" s="18">
        <f>IF(C99="","",IFERROR(INDEX('Master Data'!$H$6:$H$13,MATCH(C99,'Master Data'!$F$6:$F$13,0)),""))</f>
        <v/>
      </c>
      <c r="F99" s="19">
        <f>'Weekly Input'!A99</f>
        <v/>
      </c>
      <c r="G99" s="19">
        <f>IF(B99="","",IFERROR(INDEX('Master Data'!$D$6:$D$145,MATCH(B99,'Master Data'!$A$6:$A$145,0)),""))</f>
        <v/>
      </c>
      <c r="H99" s="18">
        <f>IF(OR(F99="",G99=""),"",F99-G99)</f>
        <v/>
      </c>
      <c r="I99" s="18">
        <f>IF(B99="","",IF('Weekly Input'!J99="OK",TRUE,FALSE))</f>
        <v/>
      </c>
      <c r="J99" s="18">
        <f>IF(B99="","",'Weekly Input'!H99&gt;=MinInStockDays)</f>
        <v/>
      </c>
      <c r="K99" s="18">
        <f>IF(B99="","",H99&gt;=FullCycleMin)</f>
        <v/>
      </c>
      <c r="L99" s="18">
        <f>IF(B99="","",AND(I99,J99,K99,N99&gt;=MinHistory))</f>
        <v/>
      </c>
      <c r="M99" s="20">
        <f>IF(OR(B99="",'Weekly Input'!H99=0),"",'Weekly Input'!D99/'Weekly Input'!H99*7)</f>
        <v/>
      </c>
      <c r="N99" s="18">
        <f>IF(B99="","",COUNTIFS($B$5:$B$504,B99,$C$5:$C$504,C99,$I$5:$I$504,TRUE,$J$5:$J$504,TRUE,$K$5:$K$504,TRUE))</f>
        <v/>
      </c>
      <c r="O99" s="18">
        <f>IF(B99="","",AND(F99=AsOfWeek,AsOfWeek&lt;&gt;""))</f>
        <v/>
      </c>
      <c r="P99" s="20">
        <f>IF(OR(B99="",AsOfWeek=""),"",IFERROR(SUMIFS($M$5:$M$504,$B$5:$B$504,B99,$C$5:$C$504,C99,$L$5:$L$504,TRUE,$F$5:$F$504,"&gt;="&amp;AsOfWeek-7*(RecentWeeks-1),$F$5:$F$504,"&lt;="&amp;AsOfWeek),""))</f>
        <v/>
      </c>
      <c r="Q99" s="20">
        <f>IF(OR(B99="",AsOfWeek=""),"",IFERROR(SUMIFS($M$5:$M$504,$B$5:$B$504,B99,$C$5:$C$504,C99,$L$5:$L$504,TRUE,$F$5:$F$504,"&gt;="&amp;AsOfWeek-7*(RecentWeeks+PriorWeeks-1),$F$5:$F$504,"&lt;"&amp;AsOfWeek-7*(RecentWeeks-1)),""))</f>
        <v/>
      </c>
      <c r="R99" s="21">
        <f>IF(OR(P99="",Q99="",Q99=0),"",P99/Q99-1)</f>
        <v/>
      </c>
      <c r="S99" s="20">
        <f>IF(OR(C99="",AsOfWeek=""),"",IFERROR(AVERAGEIFS($M$5:$M$504,$C$5:$C$504,C99,$L$5:$L$504,TRUE,$F$5:$F$504,"&gt;="&amp;AsOfWeek-7*(RecentWeeks-1),$F$5:$F$504,"&lt;="&amp;AsOfWeek),""))</f>
        <v/>
      </c>
      <c r="T99" s="21">
        <f>IF(OR(P99="",S99=""),"",P99/S99-1)</f>
        <v/>
      </c>
      <c r="U99" s="22">
        <f>IF(OR(B99="",'Weekly Input'!G99="",P99="",P99=0),"",'Weekly Input'!G99/P99)</f>
        <v/>
      </c>
      <c r="V99" s="18">
        <f>IF(B99="","",IF(NOT(I99),"Not Ready",IF(NOT(K99),"Not Ready",IF(N99&lt;MinHistory,"Not Ready",IF(NOT(J99),"Not Ready",IF(OR(Q99="",Q99=0),"Noise",IF(Q99&lt;LowBaseThreshold,"Noise",IF(AND(R99&lt;=-OwnDecline,T99&lt;=-PeerGapThreshold),"Markdown Review",IF(AND(R99&gt;=ReorderUplift,U99&lt;&gt;"",U99&lt;=WeeksSupplyCap),"Reorder Candidate","Monitor"))))))))</f>
        <v/>
      </c>
      <c r="W99" s="18">
        <f>IF(B99="","",IF(NOT(I99),"INVALID_MASTER",IF(NOT(K99),"INCOMPLETE_SHELF_CYCLE",IF(N99&lt;MinHistory,"INSUFFICIENT_HISTORY",IF(NOT(J99),"INSUFFICIENT_IN_STOCK",IF(OR(Q99="",Q99=0),"NO_PRIOR_BASE",IF(Q99&lt;LowBaseThreshold,"LOW_BASE_NOISE",IF(V99="Markdown Review","MARKDOWN_PEER_GAP",IF(V99="Reorder Candidate","REORDER_UPLIFT_COVER","NO_MATERIAL_CHANGE"))))))))</f>
        <v/>
      </c>
      <c r="X99" s="18">
        <f>IF(V99="Markdown Review","Markdown support",IF(V99="Reorder Candidate","Second reorder",IF(V99="Monitor","Monitor",IF(V99="Noise","Hold / collect data",IF(V99="Not Ready","Not ready","")))))</f>
        <v/>
      </c>
      <c r="Y99" s="18">
        <f>IF(OR(R99="",T99=""),"",ABS(R99)+ABS(T99))</f>
        <v/>
      </c>
      <c r="Z99" s="21">
        <f>IF(OR(B99="",NOT(O99),R99=""),"",IF(ABS(R99)&gt;=MaterialThreshold,"Yes","No"))</f>
        <v/>
      </c>
      <c r="AA99" s="18">
        <f>IF(Z99&lt;&gt;"Yes","",IF(ABS(R99)&gt;=MaterialThreshold,IF(ABS(R99)&gt;=BroadShare,"Broad SKU movement","Store-concentrated movement"),""))</f>
        <v/>
      </c>
      <c r="AB99" s="18">
        <f>IF(O99,IF(COUNTIFS($O$5:O99,TRUE)&gt;0,COUNTIFS($O$5:O99,TRUE),0),0)</f>
        <v/>
      </c>
      <c r="AC99" s="18">
        <f>IF(V99="Markdown Review",1,IF(V99="Reorder Candidate",2,IF(V99="Monitor",3,IF(V99="Noise",4,IF(V99="Not Ready",5,99)))))</f>
        <v/>
      </c>
      <c r="AD99" s="18">
        <f>IF(O99,COUNTIFS($O$5:$O$504,TRUE,$AC$5:$AC$504,"&lt;"&amp;AC99)+COUNTIFS($O$5:O99,TRUE,$AC$5:AC99,AC99,$Y$5:Y99,"&gt;"&amp;Y99),0)</f>
        <v/>
      </c>
    </row>
    <row r="100">
      <c r="A100" s="17">
        <f>IF(COUNTA('Weekly Input'!A100:C100)=0,"",'Weekly Input'!B100&amp;"|"&amp;'Weekly Input'!C100&amp;"|"&amp;TEXT('Weekly Input'!A100,"yyyy-mm-dd"))</f>
        <v/>
      </c>
      <c r="B100" s="18">
        <f>'Weekly Input'!B100</f>
        <v/>
      </c>
      <c r="C100" s="18">
        <f>'Weekly Input'!C100</f>
        <v/>
      </c>
      <c r="D100" s="18">
        <f>IF(B100="","",IFERROR(INDEX('Master Data'!$B$6:$B$145,MATCH(B100,'Master Data'!$A$6:$A$145,0)),""))</f>
        <v/>
      </c>
      <c r="E100" s="18">
        <f>IF(C100="","",IFERROR(INDEX('Master Data'!$H$6:$H$13,MATCH(C100,'Master Data'!$F$6:$F$13,0)),""))</f>
        <v/>
      </c>
      <c r="F100" s="19">
        <f>'Weekly Input'!A100</f>
        <v/>
      </c>
      <c r="G100" s="19">
        <f>IF(B100="","",IFERROR(INDEX('Master Data'!$D$6:$D$145,MATCH(B100,'Master Data'!$A$6:$A$145,0)),""))</f>
        <v/>
      </c>
      <c r="H100" s="18">
        <f>IF(OR(F100="",G100=""),"",F100-G100)</f>
        <v/>
      </c>
      <c r="I100" s="18">
        <f>IF(B100="","",IF('Weekly Input'!J100="OK",TRUE,FALSE))</f>
        <v/>
      </c>
      <c r="J100" s="18">
        <f>IF(B100="","",'Weekly Input'!H100&gt;=MinInStockDays)</f>
        <v/>
      </c>
      <c r="K100" s="18">
        <f>IF(B100="","",H100&gt;=FullCycleMin)</f>
        <v/>
      </c>
      <c r="L100" s="18">
        <f>IF(B100="","",AND(I100,J100,K100,N100&gt;=MinHistory))</f>
        <v/>
      </c>
      <c r="M100" s="20">
        <f>IF(OR(B100="",'Weekly Input'!H100=0),"",'Weekly Input'!D100/'Weekly Input'!H100*7)</f>
        <v/>
      </c>
      <c r="N100" s="18">
        <f>IF(B100="","",COUNTIFS($B$5:$B$504,B100,$C$5:$C$504,C100,$I$5:$I$504,TRUE,$J$5:$J$504,TRUE,$K$5:$K$504,TRUE))</f>
        <v/>
      </c>
      <c r="O100" s="18">
        <f>IF(B100="","",AND(F100=AsOfWeek,AsOfWeek&lt;&gt;""))</f>
        <v/>
      </c>
      <c r="P100" s="20">
        <f>IF(OR(B100="",AsOfWeek=""),"",IFERROR(SUMIFS($M$5:$M$504,$B$5:$B$504,B100,$C$5:$C$504,C100,$L$5:$L$504,TRUE,$F$5:$F$504,"&gt;="&amp;AsOfWeek-7*(RecentWeeks-1),$F$5:$F$504,"&lt;="&amp;AsOfWeek),""))</f>
        <v/>
      </c>
      <c r="Q100" s="20">
        <f>IF(OR(B100="",AsOfWeek=""),"",IFERROR(SUMIFS($M$5:$M$504,$B$5:$B$504,B100,$C$5:$C$504,C100,$L$5:$L$504,TRUE,$F$5:$F$504,"&gt;="&amp;AsOfWeek-7*(RecentWeeks+PriorWeeks-1),$F$5:$F$504,"&lt;"&amp;AsOfWeek-7*(RecentWeeks-1)),""))</f>
        <v/>
      </c>
      <c r="R100" s="21">
        <f>IF(OR(P100="",Q100="",Q100=0),"",P100/Q100-1)</f>
        <v/>
      </c>
      <c r="S100" s="20">
        <f>IF(OR(C100="",AsOfWeek=""),"",IFERROR(AVERAGEIFS($M$5:$M$504,$C$5:$C$504,C100,$L$5:$L$504,TRUE,$F$5:$F$504,"&gt;="&amp;AsOfWeek-7*(RecentWeeks-1),$F$5:$F$504,"&lt;="&amp;AsOfWeek),""))</f>
        <v/>
      </c>
      <c r="T100" s="21">
        <f>IF(OR(P100="",S100=""),"",P100/S100-1)</f>
        <v/>
      </c>
      <c r="U100" s="22">
        <f>IF(OR(B100="",'Weekly Input'!G100="",P100="",P100=0),"",'Weekly Input'!G100/P100)</f>
        <v/>
      </c>
      <c r="V100" s="18">
        <f>IF(B100="","",IF(NOT(I100),"Not Ready",IF(NOT(K100),"Not Ready",IF(N100&lt;MinHistory,"Not Ready",IF(NOT(J100),"Not Ready",IF(OR(Q100="",Q100=0),"Noise",IF(Q100&lt;LowBaseThreshold,"Noise",IF(AND(R100&lt;=-OwnDecline,T100&lt;=-PeerGapThreshold),"Markdown Review",IF(AND(R100&gt;=ReorderUplift,U100&lt;&gt;"",U100&lt;=WeeksSupplyCap),"Reorder Candidate","Monitor"))))))))</f>
        <v/>
      </c>
      <c r="W100" s="18">
        <f>IF(B100="","",IF(NOT(I100),"INVALID_MASTER",IF(NOT(K100),"INCOMPLETE_SHELF_CYCLE",IF(N100&lt;MinHistory,"INSUFFICIENT_HISTORY",IF(NOT(J100),"INSUFFICIENT_IN_STOCK",IF(OR(Q100="",Q100=0),"NO_PRIOR_BASE",IF(Q100&lt;LowBaseThreshold,"LOW_BASE_NOISE",IF(V100="Markdown Review","MARKDOWN_PEER_GAP",IF(V100="Reorder Candidate","REORDER_UPLIFT_COVER","NO_MATERIAL_CHANGE"))))))))</f>
        <v/>
      </c>
      <c r="X100" s="18">
        <f>IF(V100="Markdown Review","Markdown support",IF(V100="Reorder Candidate","Second reorder",IF(V100="Monitor","Monitor",IF(V100="Noise","Hold / collect data",IF(V100="Not Ready","Not ready","")))))</f>
        <v/>
      </c>
      <c r="Y100" s="18">
        <f>IF(OR(R100="",T100=""),"",ABS(R100)+ABS(T100))</f>
        <v/>
      </c>
      <c r="Z100" s="21">
        <f>IF(OR(B100="",NOT(O100),R100=""),"",IF(ABS(R100)&gt;=MaterialThreshold,"Yes","No"))</f>
        <v/>
      </c>
      <c r="AA100" s="18">
        <f>IF(Z100&lt;&gt;"Yes","",IF(ABS(R100)&gt;=MaterialThreshold,IF(ABS(R100)&gt;=BroadShare,"Broad SKU movement","Store-concentrated movement"),""))</f>
        <v/>
      </c>
      <c r="AB100" s="18">
        <f>IF(O100,IF(COUNTIFS($O$5:O100,TRUE)&gt;0,COUNTIFS($O$5:O100,TRUE),0),0)</f>
        <v/>
      </c>
      <c r="AC100" s="18">
        <f>IF(V100="Markdown Review",1,IF(V100="Reorder Candidate",2,IF(V100="Monitor",3,IF(V100="Noise",4,IF(V100="Not Ready",5,99)))))</f>
        <v/>
      </c>
      <c r="AD100" s="18">
        <f>IF(O100,COUNTIFS($O$5:$O$504,TRUE,$AC$5:$AC$504,"&lt;"&amp;AC100)+COUNTIFS($O$5:O100,TRUE,$AC$5:AC100,AC100,$Y$5:Y100,"&gt;"&amp;Y100),0)</f>
        <v/>
      </c>
    </row>
    <row r="101">
      <c r="A101" s="17">
        <f>IF(COUNTA('Weekly Input'!A101:C101)=0,"",'Weekly Input'!B101&amp;"|"&amp;'Weekly Input'!C101&amp;"|"&amp;TEXT('Weekly Input'!A101,"yyyy-mm-dd"))</f>
        <v/>
      </c>
      <c r="B101" s="18">
        <f>'Weekly Input'!B101</f>
        <v/>
      </c>
      <c r="C101" s="18">
        <f>'Weekly Input'!C101</f>
        <v/>
      </c>
      <c r="D101" s="18">
        <f>IF(B101="","",IFERROR(INDEX('Master Data'!$B$6:$B$145,MATCH(B101,'Master Data'!$A$6:$A$145,0)),""))</f>
        <v/>
      </c>
      <c r="E101" s="18">
        <f>IF(C101="","",IFERROR(INDEX('Master Data'!$H$6:$H$13,MATCH(C101,'Master Data'!$F$6:$F$13,0)),""))</f>
        <v/>
      </c>
      <c r="F101" s="19">
        <f>'Weekly Input'!A101</f>
        <v/>
      </c>
      <c r="G101" s="19">
        <f>IF(B101="","",IFERROR(INDEX('Master Data'!$D$6:$D$145,MATCH(B101,'Master Data'!$A$6:$A$145,0)),""))</f>
        <v/>
      </c>
      <c r="H101" s="18">
        <f>IF(OR(F101="",G101=""),"",F101-G101)</f>
        <v/>
      </c>
      <c r="I101" s="18">
        <f>IF(B101="","",IF('Weekly Input'!J101="OK",TRUE,FALSE))</f>
        <v/>
      </c>
      <c r="J101" s="18">
        <f>IF(B101="","",'Weekly Input'!H101&gt;=MinInStockDays)</f>
        <v/>
      </c>
      <c r="K101" s="18">
        <f>IF(B101="","",H101&gt;=FullCycleMin)</f>
        <v/>
      </c>
      <c r="L101" s="18">
        <f>IF(B101="","",AND(I101,J101,K101,N101&gt;=MinHistory))</f>
        <v/>
      </c>
      <c r="M101" s="20">
        <f>IF(OR(B101="",'Weekly Input'!H101=0),"",'Weekly Input'!D101/'Weekly Input'!H101*7)</f>
        <v/>
      </c>
      <c r="N101" s="18">
        <f>IF(B101="","",COUNTIFS($B$5:$B$504,B101,$C$5:$C$504,C101,$I$5:$I$504,TRUE,$J$5:$J$504,TRUE,$K$5:$K$504,TRUE))</f>
        <v/>
      </c>
      <c r="O101" s="18">
        <f>IF(B101="","",AND(F101=AsOfWeek,AsOfWeek&lt;&gt;""))</f>
        <v/>
      </c>
      <c r="P101" s="20">
        <f>IF(OR(B101="",AsOfWeek=""),"",IFERROR(SUMIFS($M$5:$M$504,$B$5:$B$504,B101,$C$5:$C$504,C101,$L$5:$L$504,TRUE,$F$5:$F$504,"&gt;="&amp;AsOfWeek-7*(RecentWeeks-1),$F$5:$F$504,"&lt;="&amp;AsOfWeek),""))</f>
        <v/>
      </c>
      <c r="Q101" s="20">
        <f>IF(OR(B101="",AsOfWeek=""),"",IFERROR(SUMIFS($M$5:$M$504,$B$5:$B$504,B101,$C$5:$C$504,C101,$L$5:$L$504,TRUE,$F$5:$F$504,"&gt;="&amp;AsOfWeek-7*(RecentWeeks+PriorWeeks-1),$F$5:$F$504,"&lt;"&amp;AsOfWeek-7*(RecentWeeks-1)),""))</f>
        <v/>
      </c>
      <c r="R101" s="21">
        <f>IF(OR(P101="",Q101="",Q101=0),"",P101/Q101-1)</f>
        <v/>
      </c>
      <c r="S101" s="20">
        <f>IF(OR(C101="",AsOfWeek=""),"",IFERROR(AVERAGEIFS($M$5:$M$504,$C$5:$C$504,C101,$L$5:$L$504,TRUE,$F$5:$F$504,"&gt;="&amp;AsOfWeek-7*(RecentWeeks-1),$F$5:$F$504,"&lt;="&amp;AsOfWeek),""))</f>
        <v/>
      </c>
      <c r="T101" s="21">
        <f>IF(OR(P101="",S101=""),"",P101/S101-1)</f>
        <v/>
      </c>
      <c r="U101" s="22">
        <f>IF(OR(B101="",'Weekly Input'!G101="",P101="",P101=0),"",'Weekly Input'!G101/P101)</f>
        <v/>
      </c>
      <c r="V101" s="18">
        <f>IF(B101="","",IF(NOT(I101),"Not Ready",IF(NOT(K101),"Not Ready",IF(N101&lt;MinHistory,"Not Ready",IF(NOT(J101),"Not Ready",IF(OR(Q101="",Q101=0),"Noise",IF(Q101&lt;LowBaseThreshold,"Noise",IF(AND(R101&lt;=-OwnDecline,T101&lt;=-PeerGapThreshold),"Markdown Review",IF(AND(R101&gt;=ReorderUplift,U101&lt;&gt;"",U101&lt;=WeeksSupplyCap),"Reorder Candidate","Monitor"))))))))</f>
        <v/>
      </c>
      <c r="W101" s="18">
        <f>IF(B101="","",IF(NOT(I101),"INVALID_MASTER",IF(NOT(K101),"INCOMPLETE_SHELF_CYCLE",IF(N101&lt;MinHistory,"INSUFFICIENT_HISTORY",IF(NOT(J101),"INSUFFICIENT_IN_STOCK",IF(OR(Q101="",Q101=0),"NO_PRIOR_BASE",IF(Q101&lt;LowBaseThreshold,"LOW_BASE_NOISE",IF(V101="Markdown Review","MARKDOWN_PEER_GAP",IF(V101="Reorder Candidate","REORDER_UPLIFT_COVER","NO_MATERIAL_CHANGE"))))))))</f>
        <v/>
      </c>
      <c r="X101" s="18">
        <f>IF(V101="Markdown Review","Markdown support",IF(V101="Reorder Candidate","Second reorder",IF(V101="Monitor","Monitor",IF(V101="Noise","Hold / collect data",IF(V101="Not Ready","Not ready","")))))</f>
        <v/>
      </c>
      <c r="Y101" s="18">
        <f>IF(OR(R101="",T101=""),"",ABS(R101)+ABS(T101))</f>
        <v/>
      </c>
      <c r="Z101" s="21">
        <f>IF(OR(B101="",NOT(O101),R101=""),"",IF(ABS(R101)&gt;=MaterialThreshold,"Yes","No"))</f>
        <v/>
      </c>
      <c r="AA101" s="18">
        <f>IF(Z101&lt;&gt;"Yes","",IF(ABS(R101)&gt;=MaterialThreshold,IF(ABS(R101)&gt;=BroadShare,"Broad SKU movement","Store-concentrated movement"),""))</f>
        <v/>
      </c>
      <c r="AB101" s="18">
        <f>IF(O101,IF(COUNTIFS($O$5:O101,TRUE)&gt;0,COUNTIFS($O$5:O101,TRUE),0),0)</f>
        <v/>
      </c>
      <c r="AC101" s="18">
        <f>IF(V101="Markdown Review",1,IF(V101="Reorder Candidate",2,IF(V101="Monitor",3,IF(V101="Noise",4,IF(V101="Not Ready",5,99)))))</f>
        <v/>
      </c>
      <c r="AD101" s="18">
        <f>IF(O101,COUNTIFS($O$5:$O$504,TRUE,$AC$5:$AC$504,"&lt;"&amp;AC101)+COUNTIFS($O$5:O101,TRUE,$AC$5:AC101,AC101,$Y$5:Y101,"&gt;"&amp;Y101),0)</f>
        <v/>
      </c>
    </row>
    <row r="102">
      <c r="A102" s="17">
        <f>IF(COUNTA('Weekly Input'!A102:C102)=0,"",'Weekly Input'!B102&amp;"|"&amp;'Weekly Input'!C102&amp;"|"&amp;TEXT('Weekly Input'!A102,"yyyy-mm-dd"))</f>
        <v/>
      </c>
      <c r="B102" s="18">
        <f>'Weekly Input'!B102</f>
        <v/>
      </c>
      <c r="C102" s="18">
        <f>'Weekly Input'!C102</f>
        <v/>
      </c>
      <c r="D102" s="18">
        <f>IF(B102="","",IFERROR(INDEX('Master Data'!$B$6:$B$145,MATCH(B102,'Master Data'!$A$6:$A$145,0)),""))</f>
        <v/>
      </c>
      <c r="E102" s="18">
        <f>IF(C102="","",IFERROR(INDEX('Master Data'!$H$6:$H$13,MATCH(C102,'Master Data'!$F$6:$F$13,0)),""))</f>
        <v/>
      </c>
      <c r="F102" s="19">
        <f>'Weekly Input'!A102</f>
        <v/>
      </c>
      <c r="G102" s="19">
        <f>IF(B102="","",IFERROR(INDEX('Master Data'!$D$6:$D$145,MATCH(B102,'Master Data'!$A$6:$A$145,0)),""))</f>
        <v/>
      </c>
      <c r="H102" s="18">
        <f>IF(OR(F102="",G102=""),"",F102-G102)</f>
        <v/>
      </c>
      <c r="I102" s="18">
        <f>IF(B102="","",IF('Weekly Input'!J102="OK",TRUE,FALSE))</f>
        <v/>
      </c>
      <c r="J102" s="18">
        <f>IF(B102="","",'Weekly Input'!H102&gt;=MinInStockDays)</f>
        <v/>
      </c>
      <c r="K102" s="18">
        <f>IF(B102="","",H102&gt;=FullCycleMin)</f>
        <v/>
      </c>
      <c r="L102" s="18">
        <f>IF(B102="","",AND(I102,J102,K102,N102&gt;=MinHistory))</f>
        <v/>
      </c>
      <c r="M102" s="20">
        <f>IF(OR(B102="",'Weekly Input'!H102=0),"",'Weekly Input'!D102/'Weekly Input'!H102*7)</f>
        <v/>
      </c>
      <c r="N102" s="18">
        <f>IF(B102="","",COUNTIFS($B$5:$B$504,B102,$C$5:$C$504,C102,$I$5:$I$504,TRUE,$J$5:$J$504,TRUE,$K$5:$K$504,TRUE))</f>
        <v/>
      </c>
      <c r="O102" s="18">
        <f>IF(B102="","",AND(F102=AsOfWeek,AsOfWeek&lt;&gt;""))</f>
        <v/>
      </c>
      <c r="P102" s="20">
        <f>IF(OR(B102="",AsOfWeek=""),"",IFERROR(SUMIFS($M$5:$M$504,$B$5:$B$504,B102,$C$5:$C$504,C102,$L$5:$L$504,TRUE,$F$5:$F$504,"&gt;="&amp;AsOfWeek-7*(RecentWeeks-1),$F$5:$F$504,"&lt;="&amp;AsOfWeek),""))</f>
        <v/>
      </c>
      <c r="Q102" s="20">
        <f>IF(OR(B102="",AsOfWeek=""),"",IFERROR(SUMIFS($M$5:$M$504,$B$5:$B$504,B102,$C$5:$C$504,C102,$L$5:$L$504,TRUE,$F$5:$F$504,"&gt;="&amp;AsOfWeek-7*(RecentWeeks+PriorWeeks-1),$F$5:$F$504,"&lt;"&amp;AsOfWeek-7*(RecentWeeks-1)),""))</f>
        <v/>
      </c>
      <c r="R102" s="21">
        <f>IF(OR(P102="",Q102="",Q102=0),"",P102/Q102-1)</f>
        <v/>
      </c>
      <c r="S102" s="20">
        <f>IF(OR(C102="",AsOfWeek=""),"",IFERROR(AVERAGEIFS($M$5:$M$504,$C$5:$C$504,C102,$L$5:$L$504,TRUE,$F$5:$F$504,"&gt;="&amp;AsOfWeek-7*(RecentWeeks-1),$F$5:$F$504,"&lt;="&amp;AsOfWeek),""))</f>
        <v/>
      </c>
      <c r="T102" s="21">
        <f>IF(OR(P102="",S102=""),"",P102/S102-1)</f>
        <v/>
      </c>
      <c r="U102" s="22">
        <f>IF(OR(B102="",'Weekly Input'!G102="",P102="",P102=0),"",'Weekly Input'!G102/P102)</f>
        <v/>
      </c>
      <c r="V102" s="18">
        <f>IF(B102="","",IF(NOT(I102),"Not Ready",IF(NOT(K102),"Not Ready",IF(N102&lt;MinHistory,"Not Ready",IF(NOT(J102),"Not Ready",IF(OR(Q102="",Q102=0),"Noise",IF(Q102&lt;LowBaseThreshold,"Noise",IF(AND(R102&lt;=-OwnDecline,T102&lt;=-PeerGapThreshold),"Markdown Review",IF(AND(R102&gt;=ReorderUplift,U102&lt;&gt;"",U102&lt;=WeeksSupplyCap),"Reorder Candidate","Monitor"))))))))</f>
        <v/>
      </c>
      <c r="W102" s="18">
        <f>IF(B102="","",IF(NOT(I102),"INVALID_MASTER",IF(NOT(K102),"INCOMPLETE_SHELF_CYCLE",IF(N102&lt;MinHistory,"INSUFFICIENT_HISTORY",IF(NOT(J102),"INSUFFICIENT_IN_STOCK",IF(OR(Q102="",Q102=0),"NO_PRIOR_BASE",IF(Q102&lt;LowBaseThreshold,"LOW_BASE_NOISE",IF(V102="Markdown Review","MARKDOWN_PEER_GAP",IF(V102="Reorder Candidate","REORDER_UPLIFT_COVER","NO_MATERIAL_CHANGE"))))))))</f>
        <v/>
      </c>
      <c r="X102" s="18">
        <f>IF(V102="Markdown Review","Markdown support",IF(V102="Reorder Candidate","Second reorder",IF(V102="Monitor","Monitor",IF(V102="Noise","Hold / collect data",IF(V102="Not Ready","Not ready","")))))</f>
        <v/>
      </c>
      <c r="Y102" s="18">
        <f>IF(OR(R102="",T102=""),"",ABS(R102)+ABS(T102))</f>
        <v/>
      </c>
      <c r="Z102" s="21">
        <f>IF(OR(B102="",NOT(O102),R102=""),"",IF(ABS(R102)&gt;=MaterialThreshold,"Yes","No"))</f>
        <v/>
      </c>
      <c r="AA102" s="18">
        <f>IF(Z102&lt;&gt;"Yes","",IF(ABS(R102)&gt;=MaterialThreshold,IF(ABS(R102)&gt;=BroadShare,"Broad SKU movement","Store-concentrated movement"),""))</f>
        <v/>
      </c>
      <c r="AB102" s="18">
        <f>IF(O102,IF(COUNTIFS($O$5:O102,TRUE)&gt;0,COUNTIFS($O$5:O102,TRUE),0),0)</f>
        <v/>
      </c>
      <c r="AC102" s="18">
        <f>IF(V102="Markdown Review",1,IF(V102="Reorder Candidate",2,IF(V102="Monitor",3,IF(V102="Noise",4,IF(V102="Not Ready",5,99)))))</f>
        <v/>
      </c>
      <c r="AD102" s="18">
        <f>IF(O102,COUNTIFS($O$5:$O$504,TRUE,$AC$5:$AC$504,"&lt;"&amp;AC102)+COUNTIFS($O$5:O102,TRUE,$AC$5:AC102,AC102,$Y$5:Y102,"&gt;"&amp;Y102),0)</f>
        <v/>
      </c>
    </row>
    <row r="103">
      <c r="A103" s="17">
        <f>IF(COUNTA('Weekly Input'!A103:C103)=0,"",'Weekly Input'!B103&amp;"|"&amp;'Weekly Input'!C103&amp;"|"&amp;TEXT('Weekly Input'!A103,"yyyy-mm-dd"))</f>
        <v/>
      </c>
      <c r="B103" s="18">
        <f>'Weekly Input'!B103</f>
        <v/>
      </c>
      <c r="C103" s="18">
        <f>'Weekly Input'!C103</f>
        <v/>
      </c>
      <c r="D103" s="18">
        <f>IF(B103="","",IFERROR(INDEX('Master Data'!$B$6:$B$145,MATCH(B103,'Master Data'!$A$6:$A$145,0)),""))</f>
        <v/>
      </c>
      <c r="E103" s="18">
        <f>IF(C103="","",IFERROR(INDEX('Master Data'!$H$6:$H$13,MATCH(C103,'Master Data'!$F$6:$F$13,0)),""))</f>
        <v/>
      </c>
      <c r="F103" s="19">
        <f>'Weekly Input'!A103</f>
        <v/>
      </c>
      <c r="G103" s="19">
        <f>IF(B103="","",IFERROR(INDEX('Master Data'!$D$6:$D$145,MATCH(B103,'Master Data'!$A$6:$A$145,0)),""))</f>
        <v/>
      </c>
      <c r="H103" s="18">
        <f>IF(OR(F103="",G103=""),"",F103-G103)</f>
        <v/>
      </c>
      <c r="I103" s="18">
        <f>IF(B103="","",IF('Weekly Input'!J103="OK",TRUE,FALSE))</f>
        <v/>
      </c>
      <c r="J103" s="18">
        <f>IF(B103="","",'Weekly Input'!H103&gt;=MinInStockDays)</f>
        <v/>
      </c>
      <c r="K103" s="18">
        <f>IF(B103="","",H103&gt;=FullCycleMin)</f>
        <v/>
      </c>
      <c r="L103" s="18">
        <f>IF(B103="","",AND(I103,J103,K103,N103&gt;=MinHistory))</f>
        <v/>
      </c>
      <c r="M103" s="20">
        <f>IF(OR(B103="",'Weekly Input'!H103=0),"",'Weekly Input'!D103/'Weekly Input'!H103*7)</f>
        <v/>
      </c>
      <c r="N103" s="18">
        <f>IF(B103="","",COUNTIFS($B$5:$B$504,B103,$C$5:$C$504,C103,$I$5:$I$504,TRUE,$J$5:$J$504,TRUE,$K$5:$K$504,TRUE))</f>
        <v/>
      </c>
      <c r="O103" s="18">
        <f>IF(B103="","",AND(F103=AsOfWeek,AsOfWeek&lt;&gt;""))</f>
        <v/>
      </c>
      <c r="P103" s="20">
        <f>IF(OR(B103="",AsOfWeek=""),"",IFERROR(SUMIFS($M$5:$M$504,$B$5:$B$504,B103,$C$5:$C$504,C103,$L$5:$L$504,TRUE,$F$5:$F$504,"&gt;="&amp;AsOfWeek-7*(RecentWeeks-1),$F$5:$F$504,"&lt;="&amp;AsOfWeek),""))</f>
        <v/>
      </c>
      <c r="Q103" s="20">
        <f>IF(OR(B103="",AsOfWeek=""),"",IFERROR(SUMIFS($M$5:$M$504,$B$5:$B$504,B103,$C$5:$C$504,C103,$L$5:$L$504,TRUE,$F$5:$F$504,"&gt;="&amp;AsOfWeek-7*(RecentWeeks+PriorWeeks-1),$F$5:$F$504,"&lt;"&amp;AsOfWeek-7*(RecentWeeks-1)),""))</f>
        <v/>
      </c>
      <c r="R103" s="21">
        <f>IF(OR(P103="",Q103="",Q103=0),"",P103/Q103-1)</f>
        <v/>
      </c>
      <c r="S103" s="20">
        <f>IF(OR(C103="",AsOfWeek=""),"",IFERROR(AVERAGEIFS($M$5:$M$504,$C$5:$C$504,C103,$L$5:$L$504,TRUE,$F$5:$F$504,"&gt;="&amp;AsOfWeek-7*(RecentWeeks-1),$F$5:$F$504,"&lt;="&amp;AsOfWeek),""))</f>
        <v/>
      </c>
      <c r="T103" s="21">
        <f>IF(OR(P103="",S103=""),"",P103/S103-1)</f>
        <v/>
      </c>
      <c r="U103" s="22">
        <f>IF(OR(B103="",'Weekly Input'!G103="",P103="",P103=0),"",'Weekly Input'!G103/P103)</f>
        <v/>
      </c>
      <c r="V103" s="18">
        <f>IF(B103="","",IF(NOT(I103),"Not Ready",IF(NOT(K103),"Not Ready",IF(N103&lt;MinHistory,"Not Ready",IF(NOT(J103),"Not Ready",IF(OR(Q103="",Q103=0),"Noise",IF(Q103&lt;LowBaseThreshold,"Noise",IF(AND(R103&lt;=-OwnDecline,T103&lt;=-PeerGapThreshold),"Markdown Review",IF(AND(R103&gt;=ReorderUplift,U103&lt;&gt;"",U103&lt;=WeeksSupplyCap),"Reorder Candidate","Monitor"))))))))</f>
        <v/>
      </c>
      <c r="W103" s="18">
        <f>IF(B103="","",IF(NOT(I103),"INVALID_MASTER",IF(NOT(K103),"INCOMPLETE_SHELF_CYCLE",IF(N103&lt;MinHistory,"INSUFFICIENT_HISTORY",IF(NOT(J103),"INSUFFICIENT_IN_STOCK",IF(OR(Q103="",Q103=0),"NO_PRIOR_BASE",IF(Q103&lt;LowBaseThreshold,"LOW_BASE_NOISE",IF(V103="Markdown Review","MARKDOWN_PEER_GAP",IF(V103="Reorder Candidate","REORDER_UPLIFT_COVER","NO_MATERIAL_CHANGE"))))))))</f>
        <v/>
      </c>
      <c r="X103" s="18">
        <f>IF(V103="Markdown Review","Markdown support",IF(V103="Reorder Candidate","Second reorder",IF(V103="Monitor","Monitor",IF(V103="Noise","Hold / collect data",IF(V103="Not Ready","Not ready","")))))</f>
        <v/>
      </c>
      <c r="Y103" s="18">
        <f>IF(OR(R103="",T103=""),"",ABS(R103)+ABS(T103))</f>
        <v/>
      </c>
      <c r="Z103" s="21">
        <f>IF(OR(B103="",NOT(O103),R103=""),"",IF(ABS(R103)&gt;=MaterialThreshold,"Yes","No"))</f>
        <v/>
      </c>
      <c r="AA103" s="18">
        <f>IF(Z103&lt;&gt;"Yes","",IF(ABS(R103)&gt;=MaterialThreshold,IF(ABS(R103)&gt;=BroadShare,"Broad SKU movement","Store-concentrated movement"),""))</f>
        <v/>
      </c>
      <c r="AB103" s="18">
        <f>IF(O103,IF(COUNTIFS($O$5:O103,TRUE)&gt;0,COUNTIFS($O$5:O103,TRUE),0),0)</f>
        <v/>
      </c>
      <c r="AC103" s="18">
        <f>IF(V103="Markdown Review",1,IF(V103="Reorder Candidate",2,IF(V103="Monitor",3,IF(V103="Noise",4,IF(V103="Not Ready",5,99)))))</f>
        <v/>
      </c>
      <c r="AD103" s="18">
        <f>IF(O103,COUNTIFS($O$5:$O$504,TRUE,$AC$5:$AC$504,"&lt;"&amp;AC103)+COUNTIFS($O$5:O103,TRUE,$AC$5:AC103,AC103,$Y$5:Y103,"&gt;"&amp;Y103),0)</f>
        <v/>
      </c>
    </row>
    <row r="104">
      <c r="A104" s="17">
        <f>IF(COUNTA('Weekly Input'!A104:C104)=0,"",'Weekly Input'!B104&amp;"|"&amp;'Weekly Input'!C104&amp;"|"&amp;TEXT('Weekly Input'!A104,"yyyy-mm-dd"))</f>
        <v/>
      </c>
      <c r="B104" s="18">
        <f>'Weekly Input'!B104</f>
        <v/>
      </c>
      <c r="C104" s="18">
        <f>'Weekly Input'!C104</f>
        <v/>
      </c>
      <c r="D104" s="18">
        <f>IF(B104="","",IFERROR(INDEX('Master Data'!$B$6:$B$145,MATCH(B104,'Master Data'!$A$6:$A$145,0)),""))</f>
        <v/>
      </c>
      <c r="E104" s="18">
        <f>IF(C104="","",IFERROR(INDEX('Master Data'!$H$6:$H$13,MATCH(C104,'Master Data'!$F$6:$F$13,0)),""))</f>
        <v/>
      </c>
      <c r="F104" s="19">
        <f>'Weekly Input'!A104</f>
        <v/>
      </c>
      <c r="G104" s="19">
        <f>IF(B104="","",IFERROR(INDEX('Master Data'!$D$6:$D$145,MATCH(B104,'Master Data'!$A$6:$A$145,0)),""))</f>
        <v/>
      </c>
      <c r="H104" s="18">
        <f>IF(OR(F104="",G104=""),"",F104-G104)</f>
        <v/>
      </c>
      <c r="I104" s="18">
        <f>IF(B104="","",IF('Weekly Input'!J104="OK",TRUE,FALSE))</f>
        <v/>
      </c>
      <c r="J104" s="18">
        <f>IF(B104="","",'Weekly Input'!H104&gt;=MinInStockDays)</f>
        <v/>
      </c>
      <c r="K104" s="18">
        <f>IF(B104="","",H104&gt;=FullCycleMin)</f>
        <v/>
      </c>
      <c r="L104" s="18">
        <f>IF(B104="","",AND(I104,J104,K104,N104&gt;=MinHistory))</f>
        <v/>
      </c>
      <c r="M104" s="20">
        <f>IF(OR(B104="",'Weekly Input'!H104=0),"",'Weekly Input'!D104/'Weekly Input'!H104*7)</f>
        <v/>
      </c>
      <c r="N104" s="18">
        <f>IF(B104="","",COUNTIFS($B$5:$B$504,B104,$C$5:$C$504,C104,$I$5:$I$504,TRUE,$J$5:$J$504,TRUE,$K$5:$K$504,TRUE))</f>
        <v/>
      </c>
      <c r="O104" s="18">
        <f>IF(B104="","",AND(F104=AsOfWeek,AsOfWeek&lt;&gt;""))</f>
        <v/>
      </c>
      <c r="P104" s="20">
        <f>IF(OR(B104="",AsOfWeek=""),"",IFERROR(SUMIFS($M$5:$M$504,$B$5:$B$504,B104,$C$5:$C$504,C104,$L$5:$L$504,TRUE,$F$5:$F$504,"&gt;="&amp;AsOfWeek-7*(RecentWeeks-1),$F$5:$F$504,"&lt;="&amp;AsOfWeek),""))</f>
        <v/>
      </c>
      <c r="Q104" s="20">
        <f>IF(OR(B104="",AsOfWeek=""),"",IFERROR(SUMIFS($M$5:$M$504,$B$5:$B$504,B104,$C$5:$C$504,C104,$L$5:$L$504,TRUE,$F$5:$F$504,"&gt;="&amp;AsOfWeek-7*(RecentWeeks+PriorWeeks-1),$F$5:$F$504,"&lt;"&amp;AsOfWeek-7*(RecentWeeks-1)),""))</f>
        <v/>
      </c>
      <c r="R104" s="21">
        <f>IF(OR(P104="",Q104="",Q104=0),"",P104/Q104-1)</f>
        <v/>
      </c>
      <c r="S104" s="20">
        <f>IF(OR(C104="",AsOfWeek=""),"",IFERROR(AVERAGEIFS($M$5:$M$504,$C$5:$C$504,C104,$L$5:$L$504,TRUE,$F$5:$F$504,"&gt;="&amp;AsOfWeek-7*(RecentWeeks-1),$F$5:$F$504,"&lt;="&amp;AsOfWeek),""))</f>
        <v/>
      </c>
      <c r="T104" s="21">
        <f>IF(OR(P104="",S104=""),"",P104/S104-1)</f>
        <v/>
      </c>
      <c r="U104" s="22">
        <f>IF(OR(B104="",'Weekly Input'!G104="",P104="",P104=0),"",'Weekly Input'!G104/P104)</f>
        <v/>
      </c>
      <c r="V104" s="18">
        <f>IF(B104="","",IF(NOT(I104),"Not Ready",IF(NOT(K104),"Not Ready",IF(N104&lt;MinHistory,"Not Ready",IF(NOT(J104),"Not Ready",IF(OR(Q104="",Q104=0),"Noise",IF(Q104&lt;LowBaseThreshold,"Noise",IF(AND(R104&lt;=-OwnDecline,T104&lt;=-PeerGapThreshold),"Markdown Review",IF(AND(R104&gt;=ReorderUplift,U104&lt;&gt;"",U104&lt;=WeeksSupplyCap),"Reorder Candidate","Monitor"))))))))</f>
        <v/>
      </c>
      <c r="W104" s="18">
        <f>IF(B104="","",IF(NOT(I104),"INVALID_MASTER",IF(NOT(K104),"INCOMPLETE_SHELF_CYCLE",IF(N104&lt;MinHistory,"INSUFFICIENT_HISTORY",IF(NOT(J104),"INSUFFICIENT_IN_STOCK",IF(OR(Q104="",Q104=0),"NO_PRIOR_BASE",IF(Q104&lt;LowBaseThreshold,"LOW_BASE_NOISE",IF(V104="Markdown Review","MARKDOWN_PEER_GAP",IF(V104="Reorder Candidate","REORDER_UPLIFT_COVER","NO_MATERIAL_CHANGE"))))))))</f>
        <v/>
      </c>
      <c r="X104" s="18">
        <f>IF(V104="Markdown Review","Markdown support",IF(V104="Reorder Candidate","Second reorder",IF(V104="Monitor","Monitor",IF(V104="Noise","Hold / collect data",IF(V104="Not Ready","Not ready","")))))</f>
        <v/>
      </c>
      <c r="Y104" s="18">
        <f>IF(OR(R104="",T104=""),"",ABS(R104)+ABS(T104))</f>
        <v/>
      </c>
      <c r="Z104" s="21">
        <f>IF(OR(B104="",NOT(O104),R104=""),"",IF(ABS(R104)&gt;=MaterialThreshold,"Yes","No"))</f>
        <v/>
      </c>
      <c r="AA104" s="18">
        <f>IF(Z104&lt;&gt;"Yes","",IF(ABS(R104)&gt;=MaterialThreshold,IF(ABS(R104)&gt;=BroadShare,"Broad SKU movement","Store-concentrated movement"),""))</f>
        <v/>
      </c>
      <c r="AB104" s="18">
        <f>IF(O104,IF(COUNTIFS($O$5:O104,TRUE)&gt;0,COUNTIFS($O$5:O104,TRUE),0),0)</f>
        <v/>
      </c>
      <c r="AC104" s="18">
        <f>IF(V104="Markdown Review",1,IF(V104="Reorder Candidate",2,IF(V104="Monitor",3,IF(V104="Noise",4,IF(V104="Not Ready",5,99)))))</f>
        <v/>
      </c>
      <c r="AD104" s="18">
        <f>IF(O104,COUNTIFS($O$5:$O$504,TRUE,$AC$5:$AC$504,"&lt;"&amp;AC104)+COUNTIFS($O$5:O104,TRUE,$AC$5:AC104,AC104,$Y$5:Y104,"&gt;"&amp;Y104),0)</f>
        <v/>
      </c>
    </row>
    <row r="105">
      <c r="A105" s="17">
        <f>IF(COUNTA('Weekly Input'!A105:C105)=0,"",'Weekly Input'!B105&amp;"|"&amp;'Weekly Input'!C105&amp;"|"&amp;TEXT('Weekly Input'!A105,"yyyy-mm-dd"))</f>
        <v/>
      </c>
      <c r="B105" s="18">
        <f>'Weekly Input'!B105</f>
        <v/>
      </c>
      <c r="C105" s="18">
        <f>'Weekly Input'!C105</f>
        <v/>
      </c>
      <c r="D105" s="18">
        <f>IF(B105="","",IFERROR(INDEX('Master Data'!$B$6:$B$145,MATCH(B105,'Master Data'!$A$6:$A$145,0)),""))</f>
        <v/>
      </c>
      <c r="E105" s="18">
        <f>IF(C105="","",IFERROR(INDEX('Master Data'!$H$6:$H$13,MATCH(C105,'Master Data'!$F$6:$F$13,0)),""))</f>
        <v/>
      </c>
      <c r="F105" s="19">
        <f>'Weekly Input'!A105</f>
        <v/>
      </c>
      <c r="G105" s="19">
        <f>IF(B105="","",IFERROR(INDEX('Master Data'!$D$6:$D$145,MATCH(B105,'Master Data'!$A$6:$A$145,0)),""))</f>
        <v/>
      </c>
      <c r="H105" s="18">
        <f>IF(OR(F105="",G105=""),"",F105-G105)</f>
        <v/>
      </c>
      <c r="I105" s="18">
        <f>IF(B105="","",IF('Weekly Input'!J105="OK",TRUE,FALSE))</f>
        <v/>
      </c>
      <c r="J105" s="18">
        <f>IF(B105="","",'Weekly Input'!H105&gt;=MinInStockDays)</f>
        <v/>
      </c>
      <c r="K105" s="18">
        <f>IF(B105="","",H105&gt;=FullCycleMin)</f>
        <v/>
      </c>
      <c r="L105" s="18">
        <f>IF(B105="","",AND(I105,J105,K105,N105&gt;=MinHistory))</f>
        <v/>
      </c>
      <c r="M105" s="20">
        <f>IF(OR(B105="",'Weekly Input'!H105=0),"",'Weekly Input'!D105/'Weekly Input'!H105*7)</f>
        <v/>
      </c>
      <c r="N105" s="18">
        <f>IF(B105="","",COUNTIFS($B$5:$B$504,B105,$C$5:$C$504,C105,$I$5:$I$504,TRUE,$J$5:$J$504,TRUE,$K$5:$K$504,TRUE))</f>
        <v/>
      </c>
      <c r="O105" s="18">
        <f>IF(B105="","",AND(F105=AsOfWeek,AsOfWeek&lt;&gt;""))</f>
        <v/>
      </c>
      <c r="P105" s="20">
        <f>IF(OR(B105="",AsOfWeek=""),"",IFERROR(SUMIFS($M$5:$M$504,$B$5:$B$504,B105,$C$5:$C$504,C105,$L$5:$L$504,TRUE,$F$5:$F$504,"&gt;="&amp;AsOfWeek-7*(RecentWeeks-1),$F$5:$F$504,"&lt;="&amp;AsOfWeek),""))</f>
        <v/>
      </c>
      <c r="Q105" s="20">
        <f>IF(OR(B105="",AsOfWeek=""),"",IFERROR(SUMIFS($M$5:$M$504,$B$5:$B$504,B105,$C$5:$C$504,C105,$L$5:$L$504,TRUE,$F$5:$F$504,"&gt;="&amp;AsOfWeek-7*(RecentWeeks+PriorWeeks-1),$F$5:$F$504,"&lt;"&amp;AsOfWeek-7*(RecentWeeks-1)),""))</f>
        <v/>
      </c>
      <c r="R105" s="21">
        <f>IF(OR(P105="",Q105="",Q105=0),"",P105/Q105-1)</f>
        <v/>
      </c>
      <c r="S105" s="20">
        <f>IF(OR(C105="",AsOfWeek=""),"",IFERROR(AVERAGEIFS($M$5:$M$504,$C$5:$C$504,C105,$L$5:$L$504,TRUE,$F$5:$F$504,"&gt;="&amp;AsOfWeek-7*(RecentWeeks-1),$F$5:$F$504,"&lt;="&amp;AsOfWeek),""))</f>
        <v/>
      </c>
      <c r="T105" s="21">
        <f>IF(OR(P105="",S105=""),"",P105/S105-1)</f>
        <v/>
      </c>
      <c r="U105" s="22">
        <f>IF(OR(B105="",'Weekly Input'!G105="",P105="",P105=0),"",'Weekly Input'!G105/P105)</f>
        <v/>
      </c>
      <c r="V105" s="18">
        <f>IF(B105="","",IF(NOT(I105),"Not Ready",IF(NOT(K105),"Not Ready",IF(N105&lt;MinHistory,"Not Ready",IF(NOT(J105),"Not Ready",IF(OR(Q105="",Q105=0),"Noise",IF(Q105&lt;LowBaseThreshold,"Noise",IF(AND(R105&lt;=-OwnDecline,T105&lt;=-PeerGapThreshold),"Markdown Review",IF(AND(R105&gt;=ReorderUplift,U105&lt;&gt;"",U105&lt;=WeeksSupplyCap),"Reorder Candidate","Monitor"))))))))</f>
        <v/>
      </c>
      <c r="W105" s="18">
        <f>IF(B105="","",IF(NOT(I105),"INVALID_MASTER",IF(NOT(K105),"INCOMPLETE_SHELF_CYCLE",IF(N105&lt;MinHistory,"INSUFFICIENT_HISTORY",IF(NOT(J105),"INSUFFICIENT_IN_STOCK",IF(OR(Q105="",Q105=0),"NO_PRIOR_BASE",IF(Q105&lt;LowBaseThreshold,"LOW_BASE_NOISE",IF(V105="Markdown Review","MARKDOWN_PEER_GAP",IF(V105="Reorder Candidate","REORDER_UPLIFT_COVER","NO_MATERIAL_CHANGE"))))))))</f>
        <v/>
      </c>
      <c r="X105" s="18">
        <f>IF(V105="Markdown Review","Markdown support",IF(V105="Reorder Candidate","Second reorder",IF(V105="Monitor","Monitor",IF(V105="Noise","Hold / collect data",IF(V105="Not Ready","Not ready","")))))</f>
        <v/>
      </c>
      <c r="Y105" s="18">
        <f>IF(OR(R105="",T105=""),"",ABS(R105)+ABS(T105))</f>
        <v/>
      </c>
      <c r="Z105" s="21">
        <f>IF(OR(B105="",NOT(O105),R105=""),"",IF(ABS(R105)&gt;=MaterialThreshold,"Yes","No"))</f>
        <v/>
      </c>
      <c r="AA105" s="18">
        <f>IF(Z105&lt;&gt;"Yes","",IF(ABS(R105)&gt;=MaterialThreshold,IF(ABS(R105)&gt;=BroadShare,"Broad SKU movement","Store-concentrated movement"),""))</f>
        <v/>
      </c>
      <c r="AB105" s="18">
        <f>IF(O105,IF(COUNTIFS($O$5:O105,TRUE)&gt;0,COUNTIFS($O$5:O105,TRUE),0),0)</f>
        <v/>
      </c>
      <c r="AC105" s="18">
        <f>IF(V105="Markdown Review",1,IF(V105="Reorder Candidate",2,IF(V105="Monitor",3,IF(V105="Noise",4,IF(V105="Not Ready",5,99)))))</f>
        <v/>
      </c>
      <c r="AD105" s="18">
        <f>IF(O105,COUNTIFS($O$5:$O$504,TRUE,$AC$5:$AC$504,"&lt;"&amp;AC105)+COUNTIFS($O$5:O105,TRUE,$AC$5:AC105,AC105,$Y$5:Y105,"&gt;"&amp;Y105),0)</f>
        <v/>
      </c>
    </row>
    <row r="106">
      <c r="A106" s="17">
        <f>IF(COUNTA('Weekly Input'!A106:C106)=0,"",'Weekly Input'!B106&amp;"|"&amp;'Weekly Input'!C106&amp;"|"&amp;TEXT('Weekly Input'!A106,"yyyy-mm-dd"))</f>
        <v/>
      </c>
      <c r="B106" s="18">
        <f>'Weekly Input'!B106</f>
        <v/>
      </c>
      <c r="C106" s="18">
        <f>'Weekly Input'!C106</f>
        <v/>
      </c>
      <c r="D106" s="18">
        <f>IF(B106="","",IFERROR(INDEX('Master Data'!$B$6:$B$145,MATCH(B106,'Master Data'!$A$6:$A$145,0)),""))</f>
        <v/>
      </c>
      <c r="E106" s="18">
        <f>IF(C106="","",IFERROR(INDEX('Master Data'!$H$6:$H$13,MATCH(C106,'Master Data'!$F$6:$F$13,0)),""))</f>
        <v/>
      </c>
      <c r="F106" s="19">
        <f>'Weekly Input'!A106</f>
        <v/>
      </c>
      <c r="G106" s="19">
        <f>IF(B106="","",IFERROR(INDEX('Master Data'!$D$6:$D$145,MATCH(B106,'Master Data'!$A$6:$A$145,0)),""))</f>
        <v/>
      </c>
      <c r="H106" s="18">
        <f>IF(OR(F106="",G106=""),"",F106-G106)</f>
        <v/>
      </c>
      <c r="I106" s="18">
        <f>IF(B106="","",IF('Weekly Input'!J106="OK",TRUE,FALSE))</f>
        <v/>
      </c>
      <c r="J106" s="18">
        <f>IF(B106="","",'Weekly Input'!H106&gt;=MinInStockDays)</f>
        <v/>
      </c>
      <c r="K106" s="18">
        <f>IF(B106="","",H106&gt;=FullCycleMin)</f>
        <v/>
      </c>
      <c r="L106" s="18">
        <f>IF(B106="","",AND(I106,J106,K106,N106&gt;=MinHistory))</f>
        <v/>
      </c>
      <c r="M106" s="20">
        <f>IF(OR(B106="",'Weekly Input'!H106=0),"",'Weekly Input'!D106/'Weekly Input'!H106*7)</f>
        <v/>
      </c>
      <c r="N106" s="18">
        <f>IF(B106="","",COUNTIFS($B$5:$B$504,B106,$C$5:$C$504,C106,$I$5:$I$504,TRUE,$J$5:$J$504,TRUE,$K$5:$K$504,TRUE))</f>
        <v/>
      </c>
      <c r="O106" s="18">
        <f>IF(B106="","",AND(F106=AsOfWeek,AsOfWeek&lt;&gt;""))</f>
        <v/>
      </c>
      <c r="P106" s="20">
        <f>IF(OR(B106="",AsOfWeek=""),"",IFERROR(SUMIFS($M$5:$M$504,$B$5:$B$504,B106,$C$5:$C$504,C106,$L$5:$L$504,TRUE,$F$5:$F$504,"&gt;="&amp;AsOfWeek-7*(RecentWeeks-1),$F$5:$F$504,"&lt;="&amp;AsOfWeek),""))</f>
        <v/>
      </c>
      <c r="Q106" s="20">
        <f>IF(OR(B106="",AsOfWeek=""),"",IFERROR(SUMIFS($M$5:$M$504,$B$5:$B$504,B106,$C$5:$C$504,C106,$L$5:$L$504,TRUE,$F$5:$F$504,"&gt;="&amp;AsOfWeek-7*(RecentWeeks+PriorWeeks-1),$F$5:$F$504,"&lt;"&amp;AsOfWeek-7*(RecentWeeks-1)),""))</f>
        <v/>
      </c>
      <c r="R106" s="21">
        <f>IF(OR(P106="",Q106="",Q106=0),"",P106/Q106-1)</f>
        <v/>
      </c>
      <c r="S106" s="20">
        <f>IF(OR(C106="",AsOfWeek=""),"",IFERROR(AVERAGEIFS($M$5:$M$504,$C$5:$C$504,C106,$L$5:$L$504,TRUE,$F$5:$F$504,"&gt;="&amp;AsOfWeek-7*(RecentWeeks-1),$F$5:$F$504,"&lt;="&amp;AsOfWeek),""))</f>
        <v/>
      </c>
      <c r="T106" s="21">
        <f>IF(OR(P106="",S106=""),"",P106/S106-1)</f>
        <v/>
      </c>
      <c r="U106" s="22">
        <f>IF(OR(B106="",'Weekly Input'!G106="",P106="",P106=0),"",'Weekly Input'!G106/P106)</f>
        <v/>
      </c>
      <c r="V106" s="18">
        <f>IF(B106="","",IF(NOT(I106),"Not Ready",IF(NOT(K106),"Not Ready",IF(N106&lt;MinHistory,"Not Ready",IF(NOT(J106),"Not Ready",IF(OR(Q106="",Q106=0),"Noise",IF(Q106&lt;LowBaseThreshold,"Noise",IF(AND(R106&lt;=-OwnDecline,T106&lt;=-PeerGapThreshold),"Markdown Review",IF(AND(R106&gt;=ReorderUplift,U106&lt;&gt;"",U106&lt;=WeeksSupplyCap),"Reorder Candidate","Monitor"))))))))</f>
        <v/>
      </c>
      <c r="W106" s="18">
        <f>IF(B106="","",IF(NOT(I106),"INVALID_MASTER",IF(NOT(K106),"INCOMPLETE_SHELF_CYCLE",IF(N106&lt;MinHistory,"INSUFFICIENT_HISTORY",IF(NOT(J106),"INSUFFICIENT_IN_STOCK",IF(OR(Q106="",Q106=0),"NO_PRIOR_BASE",IF(Q106&lt;LowBaseThreshold,"LOW_BASE_NOISE",IF(V106="Markdown Review","MARKDOWN_PEER_GAP",IF(V106="Reorder Candidate","REORDER_UPLIFT_COVER","NO_MATERIAL_CHANGE"))))))))</f>
        <v/>
      </c>
      <c r="X106" s="18">
        <f>IF(V106="Markdown Review","Markdown support",IF(V106="Reorder Candidate","Second reorder",IF(V106="Monitor","Monitor",IF(V106="Noise","Hold / collect data",IF(V106="Not Ready","Not ready","")))))</f>
        <v/>
      </c>
      <c r="Y106" s="18">
        <f>IF(OR(R106="",T106=""),"",ABS(R106)+ABS(T106))</f>
        <v/>
      </c>
      <c r="Z106" s="21">
        <f>IF(OR(B106="",NOT(O106),R106=""),"",IF(ABS(R106)&gt;=MaterialThreshold,"Yes","No"))</f>
        <v/>
      </c>
      <c r="AA106" s="18">
        <f>IF(Z106&lt;&gt;"Yes","",IF(ABS(R106)&gt;=MaterialThreshold,IF(ABS(R106)&gt;=BroadShare,"Broad SKU movement","Store-concentrated movement"),""))</f>
        <v/>
      </c>
      <c r="AB106" s="18">
        <f>IF(O106,IF(COUNTIFS($O$5:O106,TRUE)&gt;0,COUNTIFS($O$5:O106,TRUE),0),0)</f>
        <v/>
      </c>
      <c r="AC106" s="18">
        <f>IF(V106="Markdown Review",1,IF(V106="Reorder Candidate",2,IF(V106="Monitor",3,IF(V106="Noise",4,IF(V106="Not Ready",5,99)))))</f>
        <v/>
      </c>
      <c r="AD106" s="18">
        <f>IF(O106,COUNTIFS($O$5:$O$504,TRUE,$AC$5:$AC$504,"&lt;"&amp;AC106)+COUNTIFS($O$5:O106,TRUE,$AC$5:AC106,AC106,$Y$5:Y106,"&gt;"&amp;Y106),0)</f>
        <v/>
      </c>
    </row>
    <row r="107">
      <c r="A107" s="17">
        <f>IF(COUNTA('Weekly Input'!A107:C107)=0,"",'Weekly Input'!B107&amp;"|"&amp;'Weekly Input'!C107&amp;"|"&amp;TEXT('Weekly Input'!A107,"yyyy-mm-dd"))</f>
        <v/>
      </c>
      <c r="B107" s="18">
        <f>'Weekly Input'!B107</f>
        <v/>
      </c>
      <c r="C107" s="18">
        <f>'Weekly Input'!C107</f>
        <v/>
      </c>
      <c r="D107" s="18">
        <f>IF(B107="","",IFERROR(INDEX('Master Data'!$B$6:$B$145,MATCH(B107,'Master Data'!$A$6:$A$145,0)),""))</f>
        <v/>
      </c>
      <c r="E107" s="18">
        <f>IF(C107="","",IFERROR(INDEX('Master Data'!$H$6:$H$13,MATCH(C107,'Master Data'!$F$6:$F$13,0)),""))</f>
        <v/>
      </c>
      <c r="F107" s="19">
        <f>'Weekly Input'!A107</f>
        <v/>
      </c>
      <c r="G107" s="19">
        <f>IF(B107="","",IFERROR(INDEX('Master Data'!$D$6:$D$145,MATCH(B107,'Master Data'!$A$6:$A$145,0)),""))</f>
        <v/>
      </c>
      <c r="H107" s="18">
        <f>IF(OR(F107="",G107=""),"",F107-G107)</f>
        <v/>
      </c>
      <c r="I107" s="18">
        <f>IF(B107="","",IF('Weekly Input'!J107="OK",TRUE,FALSE))</f>
        <v/>
      </c>
      <c r="J107" s="18">
        <f>IF(B107="","",'Weekly Input'!H107&gt;=MinInStockDays)</f>
        <v/>
      </c>
      <c r="K107" s="18">
        <f>IF(B107="","",H107&gt;=FullCycleMin)</f>
        <v/>
      </c>
      <c r="L107" s="18">
        <f>IF(B107="","",AND(I107,J107,K107,N107&gt;=MinHistory))</f>
        <v/>
      </c>
      <c r="M107" s="20">
        <f>IF(OR(B107="",'Weekly Input'!H107=0),"",'Weekly Input'!D107/'Weekly Input'!H107*7)</f>
        <v/>
      </c>
      <c r="N107" s="18">
        <f>IF(B107="","",COUNTIFS($B$5:$B$504,B107,$C$5:$C$504,C107,$I$5:$I$504,TRUE,$J$5:$J$504,TRUE,$K$5:$K$504,TRUE))</f>
        <v/>
      </c>
      <c r="O107" s="18">
        <f>IF(B107="","",AND(F107=AsOfWeek,AsOfWeek&lt;&gt;""))</f>
        <v/>
      </c>
      <c r="P107" s="20">
        <f>IF(OR(B107="",AsOfWeek=""),"",IFERROR(SUMIFS($M$5:$M$504,$B$5:$B$504,B107,$C$5:$C$504,C107,$L$5:$L$504,TRUE,$F$5:$F$504,"&gt;="&amp;AsOfWeek-7*(RecentWeeks-1),$F$5:$F$504,"&lt;="&amp;AsOfWeek),""))</f>
        <v/>
      </c>
      <c r="Q107" s="20">
        <f>IF(OR(B107="",AsOfWeek=""),"",IFERROR(SUMIFS($M$5:$M$504,$B$5:$B$504,B107,$C$5:$C$504,C107,$L$5:$L$504,TRUE,$F$5:$F$504,"&gt;="&amp;AsOfWeek-7*(RecentWeeks+PriorWeeks-1),$F$5:$F$504,"&lt;"&amp;AsOfWeek-7*(RecentWeeks-1)),""))</f>
        <v/>
      </c>
      <c r="R107" s="21">
        <f>IF(OR(P107="",Q107="",Q107=0),"",P107/Q107-1)</f>
        <v/>
      </c>
      <c r="S107" s="20">
        <f>IF(OR(C107="",AsOfWeek=""),"",IFERROR(AVERAGEIFS($M$5:$M$504,$C$5:$C$504,C107,$L$5:$L$504,TRUE,$F$5:$F$504,"&gt;="&amp;AsOfWeek-7*(RecentWeeks-1),$F$5:$F$504,"&lt;="&amp;AsOfWeek),""))</f>
        <v/>
      </c>
      <c r="T107" s="21">
        <f>IF(OR(P107="",S107=""),"",P107/S107-1)</f>
        <v/>
      </c>
      <c r="U107" s="22">
        <f>IF(OR(B107="",'Weekly Input'!G107="",P107="",P107=0),"",'Weekly Input'!G107/P107)</f>
        <v/>
      </c>
      <c r="V107" s="18">
        <f>IF(B107="","",IF(NOT(I107),"Not Ready",IF(NOT(K107),"Not Ready",IF(N107&lt;MinHistory,"Not Ready",IF(NOT(J107),"Not Ready",IF(OR(Q107="",Q107=0),"Noise",IF(Q107&lt;LowBaseThreshold,"Noise",IF(AND(R107&lt;=-OwnDecline,T107&lt;=-PeerGapThreshold),"Markdown Review",IF(AND(R107&gt;=ReorderUplift,U107&lt;&gt;"",U107&lt;=WeeksSupplyCap),"Reorder Candidate","Monitor"))))))))</f>
        <v/>
      </c>
      <c r="W107" s="18">
        <f>IF(B107="","",IF(NOT(I107),"INVALID_MASTER",IF(NOT(K107),"INCOMPLETE_SHELF_CYCLE",IF(N107&lt;MinHistory,"INSUFFICIENT_HISTORY",IF(NOT(J107),"INSUFFICIENT_IN_STOCK",IF(OR(Q107="",Q107=0),"NO_PRIOR_BASE",IF(Q107&lt;LowBaseThreshold,"LOW_BASE_NOISE",IF(V107="Markdown Review","MARKDOWN_PEER_GAP",IF(V107="Reorder Candidate","REORDER_UPLIFT_COVER","NO_MATERIAL_CHANGE"))))))))</f>
        <v/>
      </c>
      <c r="X107" s="18">
        <f>IF(V107="Markdown Review","Markdown support",IF(V107="Reorder Candidate","Second reorder",IF(V107="Monitor","Monitor",IF(V107="Noise","Hold / collect data",IF(V107="Not Ready","Not ready","")))))</f>
        <v/>
      </c>
      <c r="Y107" s="18">
        <f>IF(OR(R107="",T107=""),"",ABS(R107)+ABS(T107))</f>
        <v/>
      </c>
      <c r="Z107" s="21">
        <f>IF(OR(B107="",NOT(O107),R107=""),"",IF(ABS(R107)&gt;=MaterialThreshold,"Yes","No"))</f>
        <v/>
      </c>
      <c r="AA107" s="18">
        <f>IF(Z107&lt;&gt;"Yes","",IF(ABS(R107)&gt;=MaterialThreshold,IF(ABS(R107)&gt;=BroadShare,"Broad SKU movement","Store-concentrated movement"),""))</f>
        <v/>
      </c>
      <c r="AB107" s="18">
        <f>IF(O107,IF(COUNTIFS($O$5:O107,TRUE)&gt;0,COUNTIFS($O$5:O107,TRUE),0),0)</f>
        <v/>
      </c>
      <c r="AC107" s="18">
        <f>IF(V107="Markdown Review",1,IF(V107="Reorder Candidate",2,IF(V107="Monitor",3,IF(V107="Noise",4,IF(V107="Not Ready",5,99)))))</f>
        <v/>
      </c>
      <c r="AD107" s="18">
        <f>IF(O107,COUNTIFS($O$5:$O$504,TRUE,$AC$5:$AC$504,"&lt;"&amp;AC107)+COUNTIFS($O$5:O107,TRUE,$AC$5:AC107,AC107,$Y$5:Y107,"&gt;"&amp;Y107),0)</f>
        <v/>
      </c>
    </row>
    <row r="108">
      <c r="A108" s="17">
        <f>IF(COUNTA('Weekly Input'!A108:C108)=0,"",'Weekly Input'!B108&amp;"|"&amp;'Weekly Input'!C108&amp;"|"&amp;TEXT('Weekly Input'!A108,"yyyy-mm-dd"))</f>
        <v/>
      </c>
      <c r="B108" s="18">
        <f>'Weekly Input'!B108</f>
        <v/>
      </c>
      <c r="C108" s="18">
        <f>'Weekly Input'!C108</f>
        <v/>
      </c>
      <c r="D108" s="18">
        <f>IF(B108="","",IFERROR(INDEX('Master Data'!$B$6:$B$145,MATCH(B108,'Master Data'!$A$6:$A$145,0)),""))</f>
        <v/>
      </c>
      <c r="E108" s="18">
        <f>IF(C108="","",IFERROR(INDEX('Master Data'!$H$6:$H$13,MATCH(C108,'Master Data'!$F$6:$F$13,0)),""))</f>
        <v/>
      </c>
      <c r="F108" s="19">
        <f>'Weekly Input'!A108</f>
        <v/>
      </c>
      <c r="G108" s="19">
        <f>IF(B108="","",IFERROR(INDEX('Master Data'!$D$6:$D$145,MATCH(B108,'Master Data'!$A$6:$A$145,0)),""))</f>
        <v/>
      </c>
      <c r="H108" s="18">
        <f>IF(OR(F108="",G108=""),"",F108-G108)</f>
        <v/>
      </c>
      <c r="I108" s="18">
        <f>IF(B108="","",IF('Weekly Input'!J108="OK",TRUE,FALSE))</f>
        <v/>
      </c>
      <c r="J108" s="18">
        <f>IF(B108="","",'Weekly Input'!H108&gt;=MinInStockDays)</f>
        <v/>
      </c>
      <c r="K108" s="18">
        <f>IF(B108="","",H108&gt;=FullCycleMin)</f>
        <v/>
      </c>
      <c r="L108" s="18">
        <f>IF(B108="","",AND(I108,J108,K108,N108&gt;=MinHistory))</f>
        <v/>
      </c>
      <c r="M108" s="20">
        <f>IF(OR(B108="",'Weekly Input'!H108=0),"",'Weekly Input'!D108/'Weekly Input'!H108*7)</f>
        <v/>
      </c>
      <c r="N108" s="18">
        <f>IF(B108="","",COUNTIFS($B$5:$B$504,B108,$C$5:$C$504,C108,$I$5:$I$504,TRUE,$J$5:$J$504,TRUE,$K$5:$K$504,TRUE))</f>
        <v/>
      </c>
      <c r="O108" s="18">
        <f>IF(B108="","",AND(F108=AsOfWeek,AsOfWeek&lt;&gt;""))</f>
        <v/>
      </c>
      <c r="P108" s="20">
        <f>IF(OR(B108="",AsOfWeek=""),"",IFERROR(SUMIFS($M$5:$M$504,$B$5:$B$504,B108,$C$5:$C$504,C108,$L$5:$L$504,TRUE,$F$5:$F$504,"&gt;="&amp;AsOfWeek-7*(RecentWeeks-1),$F$5:$F$504,"&lt;="&amp;AsOfWeek),""))</f>
        <v/>
      </c>
      <c r="Q108" s="20">
        <f>IF(OR(B108="",AsOfWeek=""),"",IFERROR(SUMIFS($M$5:$M$504,$B$5:$B$504,B108,$C$5:$C$504,C108,$L$5:$L$504,TRUE,$F$5:$F$504,"&gt;="&amp;AsOfWeek-7*(RecentWeeks+PriorWeeks-1),$F$5:$F$504,"&lt;"&amp;AsOfWeek-7*(RecentWeeks-1)),""))</f>
        <v/>
      </c>
      <c r="R108" s="21">
        <f>IF(OR(P108="",Q108="",Q108=0),"",P108/Q108-1)</f>
        <v/>
      </c>
      <c r="S108" s="20">
        <f>IF(OR(C108="",AsOfWeek=""),"",IFERROR(AVERAGEIFS($M$5:$M$504,$C$5:$C$504,C108,$L$5:$L$504,TRUE,$F$5:$F$504,"&gt;="&amp;AsOfWeek-7*(RecentWeeks-1),$F$5:$F$504,"&lt;="&amp;AsOfWeek),""))</f>
        <v/>
      </c>
      <c r="T108" s="21">
        <f>IF(OR(P108="",S108=""),"",P108/S108-1)</f>
        <v/>
      </c>
      <c r="U108" s="22">
        <f>IF(OR(B108="",'Weekly Input'!G108="",P108="",P108=0),"",'Weekly Input'!G108/P108)</f>
        <v/>
      </c>
      <c r="V108" s="18">
        <f>IF(B108="","",IF(NOT(I108),"Not Ready",IF(NOT(K108),"Not Ready",IF(N108&lt;MinHistory,"Not Ready",IF(NOT(J108),"Not Ready",IF(OR(Q108="",Q108=0),"Noise",IF(Q108&lt;LowBaseThreshold,"Noise",IF(AND(R108&lt;=-OwnDecline,T108&lt;=-PeerGapThreshold),"Markdown Review",IF(AND(R108&gt;=ReorderUplift,U108&lt;&gt;"",U108&lt;=WeeksSupplyCap),"Reorder Candidate","Monitor"))))))))</f>
        <v/>
      </c>
      <c r="W108" s="18">
        <f>IF(B108="","",IF(NOT(I108),"INVALID_MASTER",IF(NOT(K108),"INCOMPLETE_SHELF_CYCLE",IF(N108&lt;MinHistory,"INSUFFICIENT_HISTORY",IF(NOT(J108),"INSUFFICIENT_IN_STOCK",IF(OR(Q108="",Q108=0),"NO_PRIOR_BASE",IF(Q108&lt;LowBaseThreshold,"LOW_BASE_NOISE",IF(V108="Markdown Review","MARKDOWN_PEER_GAP",IF(V108="Reorder Candidate","REORDER_UPLIFT_COVER","NO_MATERIAL_CHANGE"))))))))</f>
        <v/>
      </c>
      <c r="X108" s="18">
        <f>IF(V108="Markdown Review","Markdown support",IF(V108="Reorder Candidate","Second reorder",IF(V108="Monitor","Monitor",IF(V108="Noise","Hold / collect data",IF(V108="Not Ready","Not ready","")))))</f>
        <v/>
      </c>
      <c r="Y108" s="18">
        <f>IF(OR(R108="",T108=""),"",ABS(R108)+ABS(T108))</f>
        <v/>
      </c>
      <c r="Z108" s="21">
        <f>IF(OR(B108="",NOT(O108),R108=""),"",IF(ABS(R108)&gt;=MaterialThreshold,"Yes","No"))</f>
        <v/>
      </c>
      <c r="AA108" s="18">
        <f>IF(Z108&lt;&gt;"Yes","",IF(ABS(R108)&gt;=MaterialThreshold,IF(ABS(R108)&gt;=BroadShare,"Broad SKU movement","Store-concentrated movement"),""))</f>
        <v/>
      </c>
      <c r="AB108" s="18">
        <f>IF(O108,IF(COUNTIFS($O$5:O108,TRUE)&gt;0,COUNTIFS($O$5:O108,TRUE),0),0)</f>
        <v/>
      </c>
      <c r="AC108" s="18">
        <f>IF(V108="Markdown Review",1,IF(V108="Reorder Candidate",2,IF(V108="Monitor",3,IF(V108="Noise",4,IF(V108="Not Ready",5,99)))))</f>
        <v/>
      </c>
      <c r="AD108" s="18">
        <f>IF(O108,COUNTIFS($O$5:$O$504,TRUE,$AC$5:$AC$504,"&lt;"&amp;AC108)+COUNTIFS($O$5:O108,TRUE,$AC$5:AC108,AC108,$Y$5:Y108,"&gt;"&amp;Y108),0)</f>
        <v/>
      </c>
    </row>
    <row r="109">
      <c r="A109" s="17">
        <f>IF(COUNTA('Weekly Input'!A109:C109)=0,"",'Weekly Input'!B109&amp;"|"&amp;'Weekly Input'!C109&amp;"|"&amp;TEXT('Weekly Input'!A109,"yyyy-mm-dd"))</f>
        <v/>
      </c>
      <c r="B109" s="18">
        <f>'Weekly Input'!B109</f>
        <v/>
      </c>
      <c r="C109" s="18">
        <f>'Weekly Input'!C109</f>
        <v/>
      </c>
      <c r="D109" s="18">
        <f>IF(B109="","",IFERROR(INDEX('Master Data'!$B$6:$B$145,MATCH(B109,'Master Data'!$A$6:$A$145,0)),""))</f>
        <v/>
      </c>
      <c r="E109" s="18">
        <f>IF(C109="","",IFERROR(INDEX('Master Data'!$H$6:$H$13,MATCH(C109,'Master Data'!$F$6:$F$13,0)),""))</f>
        <v/>
      </c>
      <c r="F109" s="19">
        <f>'Weekly Input'!A109</f>
        <v/>
      </c>
      <c r="G109" s="19">
        <f>IF(B109="","",IFERROR(INDEX('Master Data'!$D$6:$D$145,MATCH(B109,'Master Data'!$A$6:$A$145,0)),""))</f>
        <v/>
      </c>
      <c r="H109" s="18">
        <f>IF(OR(F109="",G109=""),"",F109-G109)</f>
        <v/>
      </c>
      <c r="I109" s="18">
        <f>IF(B109="","",IF('Weekly Input'!J109="OK",TRUE,FALSE))</f>
        <v/>
      </c>
      <c r="J109" s="18">
        <f>IF(B109="","",'Weekly Input'!H109&gt;=MinInStockDays)</f>
        <v/>
      </c>
      <c r="K109" s="18">
        <f>IF(B109="","",H109&gt;=FullCycleMin)</f>
        <v/>
      </c>
      <c r="L109" s="18">
        <f>IF(B109="","",AND(I109,J109,K109,N109&gt;=MinHistory))</f>
        <v/>
      </c>
      <c r="M109" s="20">
        <f>IF(OR(B109="",'Weekly Input'!H109=0),"",'Weekly Input'!D109/'Weekly Input'!H109*7)</f>
        <v/>
      </c>
      <c r="N109" s="18">
        <f>IF(B109="","",COUNTIFS($B$5:$B$504,B109,$C$5:$C$504,C109,$I$5:$I$504,TRUE,$J$5:$J$504,TRUE,$K$5:$K$504,TRUE))</f>
        <v/>
      </c>
      <c r="O109" s="18">
        <f>IF(B109="","",AND(F109=AsOfWeek,AsOfWeek&lt;&gt;""))</f>
        <v/>
      </c>
      <c r="P109" s="20">
        <f>IF(OR(B109="",AsOfWeek=""),"",IFERROR(SUMIFS($M$5:$M$504,$B$5:$B$504,B109,$C$5:$C$504,C109,$L$5:$L$504,TRUE,$F$5:$F$504,"&gt;="&amp;AsOfWeek-7*(RecentWeeks-1),$F$5:$F$504,"&lt;="&amp;AsOfWeek),""))</f>
        <v/>
      </c>
      <c r="Q109" s="20">
        <f>IF(OR(B109="",AsOfWeek=""),"",IFERROR(SUMIFS($M$5:$M$504,$B$5:$B$504,B109,$C$5:$C$504,C109,$L$5:$L$504,TRUE,$F$5:$F$504,"&gt;="&amp;AsOfWeek-7*(RecentWeeks+PriorWeeks-1),$F$5:$F$504,"&lt;"&amp;AsOfWeek-7*(RecentWeeks-1)),""))</f>
        <v/>
      </c>
      <c r="R109" s="21">
        <f>IF(OR(P109="",Q109="",Q109=0),"",P109/Q109-1)</f>
        <v/>
      </c>
      <c r="S109" s="20">
        <f>IF(OR(C109="",AsOfWeek=""),"",IFERROR(AVERAGEIFS($M$5:$M$504,$C$5:$C$504,C109,$L$5:$L$504,TRUE,$F$5:$F$504,"&gt;="&amp;AsOfWeek-7*(RecentWeeks-1),$F$5:$F$504,"&lt;="&amp;AsOfWeek),""))</f>
        <v/>
      </c>
      <c r="T109" s="21">
        <f>IF(OR(P109="",S109=""),"",P109/S109-1)</f>
        <v/>
      </c>
      <c r="U109" s="22">
        <f>IF(OR(B109="",'Weekly Input'!G109="",P109="",P109=0),"",'Weekly Input'!G109/P109)</f>
        <v/>
      </c>
      <c r="V109" s="18">
        <f>IF(B109="","",IF(NOT(I109),"Not Ready",IF(NOT(K109),"Not Ready",IF(N109&lt;MinHistory,"Not Ready",IF(NOT(J109),"Not Ready",IF(OR(Q109="",Q109=0),"Noise",IF(Q109&lt;LowBaseThreshold,"Noise",IF(AND(R109&lt;=-OwnDecline,T109&lt;=-PeerGapThreshold),"Markdown Review",IF(AND(R109&gt;=ReorderUplift,U109&lt;&gt;"",U109&lt;=WeeksSupplyCap),"Reorder Candidate","Monitor"))))))))</f>
        <v/>
      </c>
      <c r="W109" s="18">
        <f>IF(B109="","",IF(NOT(I109),"INVALID_MASTER",IF(NOT(K109),"INCOMPLETE_SHELF_CYCLE",IF(N109&lt;MinHistory,"INSUFFICIENT_HISTORY",IF(NOT(J109),"INSUFFICIENT_IN_STOCK",IF(OR(Q109="",Q109=0),"NO_PRIOR_BASE",IF(Q109&lt;LowBaseThreshold,"LOW_BASE_NOISE",IF(V109="Markdown Review","MARKDOWN_PEER_GAP",IF(V109="Reorder Candidate","REORDER_UPLIFT_COVER","NO_MATERIAL_CHANGE"))))))))</f>
        <v/>
      </c>
      <c r="X109" s="18">
        <f>IF(V109="Markdown Review","Markdown support",IF(V109="Reorder Candidate","Second reorder",IF(V109="Monitor","Monitor",IF(V109="Noise","Hold / collect data",IF(V109="Not Ready","Not ready","")))))</f>
        <v/>
      </c>
      <c r="Y109" s="18">
        <f>IF(OR(R109="",T109=""),"",ABS(R109)+ABS(T109))</f>
        <v/>
      </c>
      <c r="Z109" s="21">
        <f>IF(OR(B109="",NOT(O109),R109=""),"",IF(ABS(R109)&gt;=MaterialThreshold,"Yes","No"))</f>
        <v/>
      </c>
      <c r="AA109" s="18">
        <f>IF(Z109&lt;&gt;"Yes","",IF(ABS(R109)&gt;=MaterialThreshold,IF(ABS(R109)&gt;=BroadShare,"Broad SKU movement","Store-concentrated movement"),""))</f>
        <v/>
      </c>
      <c r="AB109" s="18">
        <f>IF(O109,IF(COUNTIFS($O$5:O109,TRUE)&gt;0,COUNTIFS($O$5:O109,TRUE),0),0)</f>
        <v/>
      </c>
      <c r="AC109" s="18">
        <f>IF(V109="Markdown Review",1,IF(V109="Reorder Candidate",2,IF(V109="Monitor",3,IF(V109="Noise",4,IF(V109="Not Ready",5,99)))))</f>
        <v/>
      </c>
      <c r="AD109" s="18">
        <f>IF(O109,COUNTIFS($O$5:$O$504,TRUE,$AC$5:$AC$504,"&lt;"&amp;AC109)+COUNTIFS($O$5:O109,TRUE,$AC$5:AC109,AC109,$Y$5:Y109,"&gt;"&amp;Y109),0)</f>
        <v/>
      </c>
    </row>
    <row r="110">
      <c r="A110" s="17">
        <f>IF(COUNTA('Weekly Input'!A110:C110)=0,"",'Weekly Input'!B110&amp;"|"&amp;'Weekly Input'!C110&amp;"|"&amp;TEXT('Weekly Input'!A110,"yyyy-mm-dd"))</f>
        <v/>
      </c>
      <c r="B110" s="18">
        <f>'Weekly Input'!B110</f>
        <v/>
      </c>
      <c r="C110" s="18">
        <f>'Weekly Input'!C110</f>
        <v/>
      </c>
      <c r="D110" s="18">
        <f>IF(B110="","",IFERROR(INDEX('Master Data'!$B$6:$B$145,MATCH(B110,'Master Data'!$A$6:$A$145,0)),""))</f>
        <v/>
      </c>
      <c r="E110" s="18">
        <f>IF(C110="","",IFERROR(INDEX('Master Data'!$H$6:$H$13,MATCH(C110,'Master Data'!$F$6:$F$13,0)),""))</f>
        <v/>
      </c>
      <c r="F110" s="19">
        <f>'Weekly Input'!A110</f>
        <v/>
      </c>
      <c r="G110" s="19">
        <f>IF(B110="","",IFERROR(INDEX('Master Data'!$D$6:$D$145,MATCH(B110,'Master Data'!$A$6:$A$145,0)),""))</f>
        <v/>
      </c>
      <c r="H110" s="18">
        <f>IF(OR(F110="",G110=""),"",F110-G110)</f>
        <v/>
      </c>
      <c r="I110" s="18">
        <f>IF(B110="","",IF('Weekly Input'!J110="OK",TRUE,FALSE))</f>
        <v/>
      </c>
      <c r="J110" s="18">
        <f>IF(B110="","",'Weekly Input'!H110&gt;=MinInStockDays)</f>
        <v/>
      </c>
      <c r="K110" s="18">
        <f>IF(B110="","",H110&gt;=FullCycleMin)</f>
        <v/>
      </c>
      <c r="L110" s="18">
        <f>IF(B110="","",AND(I110,J110,K110,N110&gt;=MinHistory))</f>
        <v/>
      </c>
      <c r="M110" s="20">
        <f>IF(OR(B110="",'Weekly Input'!H110=0),"",'Weekly Input'!D110/'Weekly Input'!H110*7)</f>
        <v/>
      </c>
      <c r="N110" s="18">
        <f>IF(B110="","",COUNTIFS($B$5:$B$504,B110,$C$5:$C$504,C110,$I$5:$I$504,TRUE,$J$5:$J$504,TRUE,$K$5:$K$504,TRUE))</f>
        <v/>
      </c>
      <c r="O110" s="18">
        <f>IF(B110="","",AND(F110=AsOfWeek,AsOfWeek&lt;&gt;""))</f>
        <v/>
      </c>
      <c r="P110" s="20">
        <f>IF(OR(B110="",AsOfWeek=""),"",IFERROR(SUMIFS($M$5:$M$504,$B$5:$B$504,B110,$C$5:$C$504,C110,$L$5:$L$504,TRUE,$F$5:$F$504,"&gt;="&amp;AsOfWeek-7*(RecentWeeks-1),$F$5:$F$504,"&lt;="&amp;AsOfWeek),""))</f>
        <v/>
      </c>
      <c r="Q110" s="20">
        <f>IF(OR(B110="",AsOfWeek=""),"",IFERROR(SUMIFS($M$5:$M$504,$B$5:$B$504,B110,$C$5:$C$504,C110,$L$5:$L$504,TRUE,$F$5:$F$504,"&gt;="&amp;AsOfWeek-7*(RecentWeeks+PriorWeeks-1),$F$5:$F$504,"&lt;"&amp;AsOfWeek-7*(RecentWeeks-1)),""))</f>
        <v/>
      </c>
      <c r="R110" s="21">
        <f>IF(OR(P110="",Q110="",Q110=0),"",P110/Q110-1)</f>
        <v/>
      </c>
      <c r="S110" s="20">
        <f>IF(OR(C110="",AsOfWeek=""),"",IFERROR(AVERAGEIFS($M$5:$M$504,$C$5:$C$504,C110,$L$5:$L$504,TRUE,$F$5:$F$504,"&gt;="&amp;AsOfWeek-7*(RecentWeeks-1),$F$5:$F$504,"&lt;="&amp;AsOfWeek),""))</f>
        <v/>
      </c>
      <c r="T110" s="21">
        <f>IF(OR(P110="",S110=""),"",P110/S110-1)</f>
        <v/>
      </c>
      <c r="U110" s="22">
        <f>IF(OR(B110="",'Weekly Input'!G110="",P110="",P110=0),"",'Weekly Input'!G110/P110)</f>
        <v/>
      </c>
      <c r="V110" s="18">
        <f>IF(B110="","",IF(NOT(I110),"Not Ready",IF(NOT(K110),"Not Ready",IF(N110&lt;MinHistory,"Not Ready",IF(NOT(J110),"Not Ready",IF(OR(Q110="",Q110=0),"Noise",IF(Q110&lt;LowBaseThreshold,"Noise",IF(AND(R110&lt;=-OwnDecline,T110&lt;=-PeerGapThreshold),"Markdown Review",IF(AND(R110&gt;=ReorderUplift,U110&lt;&gt;"",U110&lt;=WeeksSupplyCap),"Reorder Candidate","Monitor"))))))))</f>
        <v/>
      </c>
      <c r="W110" s="18">
        <f>IF(B110="","",IF(NOT(I110),"INVALID_MASTER",IF(NOT(K110),"INCOMPLETE_SHELF_CYCLE",IF(N110&lt;MinHistory,"INSUFFICIENT_HISTORY",IF(NOT(J110),"INSUFFICIENT_IN_STOCK",IF(OR(Q110="",Q110=0),"NO_PRIOR_BASE",IF(Q110&lt;LowBaseThreshold,"LOW_BASE_NOISE",IF(V110="Markdown Review","MARKDOWN_PEER_GAP",IF(V110="Reorder Candidate","REORDER_UPLIFT_COVER","NO_MATERIAL_CHANGE"))))))))</f>
        <v/>
      </c>
      <c r="X110" s="18">
        <f>IF(V110="Markdown Review","Markdown support",IF(V110="Reorder Candidate","Second reorder",IF(V110="Monitor","Monitor",IF(V110="Noise","Hold / collect data",IF(V110="Not Ready","Not ready","")))))</f>
        <v/>
      </c>
      <c r="Y110" s="18">
        <f>IF(OR(R110="",T110=""),"",ABS(R110)+ABS(T110))</f>
        <v/>
      </c>
      <c r="Z110" s="21">
        <f>IF(OR(B110="",NOT(O110),R110=""),"",IF(ABS(R110)&gt;=MaterialThreshold,"Yes","No"))</f>
        <v/>
      </c>
      <c r="AA110" s="18">
        <f>IF(Z110&lt;&gt;"Yes","",IF(ABS(R110)&gt;=MaterialThreshold,IF(ABS(R110)&gt;=BroadShare,"Broad SKU movement","Store-concentrated movement"),""))</f>
        <v/>
      </c>
      <c r="AB110" s="18">
        <f>IF(O110,IF(COUNTIFS($O$5:O110,TRUE)&gt;0,COUNTIFS($O$5:O110,TRUE),0),0)</f>
        <v/>
      </c>
      <c r="AC110" s="18">
        <f>IF(V110="Markdown Review",1,IF(V110="Reorder Candidate",2,IF(V110="Monitor",3,IF(V110="Noise",4,IF(V110="Not Ready",5,99)))))</f>
        <v/>
      </c>
      <c r="AD110" s="18">
        <f>IF(O110,COUNTIFS($O$5:$O$504,TRUE,$AC$5:$AC$504,"&lt;"&amp;AC110)+COUNTIFS($O$5:O110,TRUE,$AC$5:AC110,AC110,$Y$5:Y110,"&gt;"&amp;Y110),0)</f>
        <v/>
      </c>
    </row>
    <row r="111">
      <c r="A111" s="17">
        <f>IF(COUNTA('Weekly Input'!A111:C111)=0,"",'Weekly Input'!B111&amp;"|"&amp;'Weekly Input'!C111&amp;"|"&amp;TEXT('Weekly Input'!A111,"yyyy-mm-dd"))</f>
        <v/>
      </c>
      <c r="B111" s="18">
        <f>'Weekly Input'!B111</f>
        <v/>
      </c>
      <c r="C111" s="18">
        <f>'Weekly Input'!C111</f>
        <v/>
      </c>
      <c r="D111" s="18">
        <f>IF(B111="","",IFERROR(INDEX('Master Data'!$B$6:$B$145,MATCH(B111,'Master Data'!$A$6:$A$145,0)),""))</f>
        <v/>
      </c>
      <c r="E111" s="18">
        <f>IF(C111="","",IFERROR(INDEX('Master Data'!$H$6:$H$13,MATCH(C111,'Master Data'!$F$6:$F$13,0)),""))</f>
        <v/>
      </c>
      <c r="F111" s="19">
        <f>'Weekly Input'!A111</f>
        <v/>
      </c>
      <c r="G111" s="19">
        <f>IF(B111="","",IFERROR(INDEX('Master Data'!$D$6:$D$145,MATCH(B111,'Master Data'!$A$6:$A$145,0)),""))</f>
        <v/>
      </c>
      <c r="H111" s="18">
        <f>IF(OR(F111="",G111=""),"",F111-G111)</f>
        <v/>
      </c>
      <c r="I111" s="18">
        <f>IF(B111="","",IF('Weekly Input'!J111="OK",TRUE,FALSE))</f>
        <v/>
      </c>
      <c r="J111" s="18">
        <f>IF(B111="","",'Weekly Input'!H111&gt;=MinInStockDays)</f>
        <v/>
      </c>
      <c r="K111" s="18">
        <f>IF(B111="","",H111&gt;=FullCycleMin)</f>
        <v/>
      </c>
      <c r="L111" s="18">
        <f>IF(B111="","",AND(I111,J111,K111,N111&gt;=MinHistory))</f>
        <v/>
      </c>
      <c r="M111" s="20">
        <f>IF(OR(B111="",'Weekly Input'!H111=0),"",'Weekly Input'!D111/'Weekly Input'!H111*7)</f>
        <v/>
      </c>
      <c r="N111" s="18">
        <f>IF(B111="","",COUNTIFS($B$5:$B$504,B111,$C$5:$C$504,C111,$I$5:$I$504,TRUE,$J$5:$J$504,TRUE,$K$5:$K$504,TRUE))</f>
        <v/>
      </c>
      <c r="O111" s="18">
        <f>IF(B111="","",AND(F111=AsOfWeek,AsOfWeek&lt;&gt;""))</f>
        <v/>
      </c>
      <c r="P111" s="20">
        <f>IF(OR(B111="",AsOfWeek=""),"",IFERROR(SUMIFS($M$5:$M$504,$B$5:$B$504,B111,$C$5:$C$504,C111,$L$5:$L$504,TRUE,$F$5:$F$504,"&gt;="&amp;AsOfWeek-7*(RecentWeeks-1),$F$5:$F$504,"&lt;="&amp;AsOfWeek),""))</f>
        <v/>
      </c>
      <c r="Q111" s="20">
        <f>IF(OR(B111="",AsOfWeek=""),"",IFERROR(SUMIFS($M$5:$M$504,$B$5:$B$504,B111,$C$5:$C$504,C111,$L$5:$L$504,TRUE,$F$5:$F$504,"&gt;="&amp;AsOfWeek-7*(RecentWeeks+PriorWeeks-1),$F$5:$F$504,"&lt;"&amp;AsOfWeek-7*(RecentWeeks-1)),""))</f>
        <v/>
      </c>
      <c r="R111" s="21">
        <f>IF(OR(P111="",Q111="",Q111=0),"",P111/Q111-1)</f>
        <v/>
      </c>
      <c r="S111" s="20">
        <f>IF(OR(C111="",AsOfWeek=""),"",IFERROR(AVERAGEIFS($M$5:$M$504,$C$5:$C$504,C111,$L$5:$L$504,TRUE,$F$5:$F$504,"&gt;="&amp;AsOfWeek-7*(RecentWeeks-1),$F$5:$F$504,"&lt;="&amp;AsOfWeek),""))</f>
        <v/>
      </c>
      <c r="T111" s="21">
        <f>IF(OR(P111="",S111=""),"",P111/S111-1)</f>
        <v/>
      </c>
      <c r="U111" s="22">
        <f>IF(OR(B111="",'Weekly Input'!G111="",P111="",P111=0),"",'Weekly Input'!G111/P111)</f>
        <v/>
      </c>
      <c r="V111" s="18">
        <f>IF(B111="","",IF(NOT(I111),"Not Ready",IF(NOT(K111),"Not Ready",IF(N111&lt;MinHistory,"Not Ready",IF(NOT(J111),"Not Ready",IF(OR(Q111="",Q111=0),"Noise",IF(Q111&lt;LowBaseThreshold,"Noise",IF(AND(R111&lt;=-OwnDecline,T111&lt;=-PeerGapThreshold),"Markdown Review",IF(AND(R111&gt;=ReorderUplift,U111&lt;&gt;"",U111&lt;=WeeksSupplyCap),"Reorder Candidate","Monitor"))))))))</f>
        <v/>
      </c>
      <c r="W111" s="18">
        <f>IF(B111="","",IF(NOT(I111),"INVALID_MASTER",IF(NOT(K111),"INCOMPLETE_SHELF_CYCLE",IF(N111&lt;MinHistory,"INSUFFICIENT_HISTORY",IF(NOT(J111),"INSUFFICIENT_IN_STOCK",IF(OR(Q111="",Q111=0),"NO_PRIOR_BASE",IF(Q111&lt;LowBaseThreshold,"LOW_BASE_NOISE",IF(V111="Markdown Review","MARKDOWN_PEER_GAP",IF(V111="Reorder Candidate","REORDER_UPLIFT_COVER","NO_MATERIAL_CHANGE"))))))))</f>
        <v/>
      </c>
      <c r="X111" s="18">
        <f>IF(V111="Markdown Review","Markdown support",IF(V111="Reorder Candidate","Second reorder",IF(V111="Monitor","Monitor",IF(V111="Noise","Hold / collect data",IF(V111="Not Ready","Not ready","")))))</f>
        <v/>
      </c>
      <c r="Y111" s="18">
        <f>IF(OR(R111="",T111=""),"",ABS(R111)+ABS(T111))</f>
        <v/>
      </c>
      <c r="Z111" s="21">
        <f>IF(OR(B111="",NOT(O111),R111=""),"",IF(ABS(R111)&gt;=MaterialThreshold,"Yes","No"))</f>
        <v/>
      </c>
      <c r="AA111" s="18">
        <f>IF(Z111&lt;&gt;"Yes","",IF(ABS(R111)&gt;=MaterialThreshold,IF(ABS(R111)&gt;=BroadShare,"Broad SKU movement","Store-concentrated movement"),""))</f>
        <v/>
      </c>
      <c r="AB111" s="18">
        <f>IF(O111,IF(COUNTIFS($O$5:O111,TRUE)&gt;0,COUNTIFS($O$5:O111,TRUE),0),0)</f>
        <v/>
      </c>
      <c r="AC111" s="18">
        <f>IF(V111="Markdown Review",1,IF(V111="Reorder Candidate",2,IF(V111="Monitor",3,IF(V111="Noise",4,IF(V111="Not Ready",5,99)))))</f>
        <v/>
      </c>
      <c r="AD111" s="18">
        <f>IF(O111,COUNTIFS($O$5:$O$504,TRUE,$AC$5:$AC$504,"&lt;"&amp;AC111)+COUNTIFS($O$5:O111,TRUE,$AC$5:AC111,AC111,$Y$5:Y111,"&gt;"&amp;Y111),0)</f>
        <v/>
      </c>
    </row>
    <row r="112">
      <c r="A112" s="17">
        <f>IF(COUNTA('Weekly Input'!A112:C112)=0,"",'Weekly Input'!B112&amp;"|"&amp;'Weekly Input'!C112&amp;"|"&amp;TEXT('Weekly Input'!A112,"yyyy-mm-dd"))</f>
        <v/>
      </c>
      <c r="B112" s="18">
        <f>'Weekly Input'!B112</f>
        <v/>
      </c>
      <c r="C112" s="18">
        <f>'Weekly Input'!C112</f>
        <v/>
      </c>
      <c r="D112" s="18">
        <f>IF(B112="","",IFERROR(INDEX('Master Data'!$B$6:$B$145,MATCH(B112,'Master Data'!$A$6:$A$145,0)),""))</f>
        <v/>
      </c>
      <c r="E112" s="18">
        <f>IF(C112="","",IFERROR(INDEX('Master Data'!$H$6:$H$13,MATCH(C112,'Master Data'!$F$6:$F$13,0)),""))</f>
        <v/>
      </c>
      <c r="F112" s="19">
        <f>'Weekly Input'!A112</f>
        <v/>
      </c>
      <c r="G112" s="19">
        <f>IF(B112="","",IFERROR(INDEX('Master Data'!$D$6:$D$145,MATCH(B112,'Master Data'!$A$6:$A$145,0)),""))</f>
        <v/>
      </c>
      <c r="H112" s="18">
        <f>IF(OR(F112="",G112=""),"",F112-G112)</f>
        <v/>
      </c>
      <c r="I112" s="18">
        <f>IF(B112="","",IF('Weekly Input'!J112="OK",TRUE,FALSE))</f>
        <v/>
      </c>
      <c r="J112" s="18">
        <f>IF(B112="","",'Weekly Input'!H112&gt;=MinInStockDays)</f>
        <v/>
      </c>
      <c r="K112" s="18">
        <f>IF(B112="","",H112&gt;=FullCycleMin)</f>
        <v/>
      </c>
      <c r="L112" s="18">
        <f>IF(B112="","",AND(I112,J112,K112,N112&gt;=MinHistory))</f>
        <v/>
      </c>
      <c r="M112" s="20">
        <f>IF(OR(B112="",'Weekly Input'!H112=0),"",'Weekly Input'!D112/'Weekly Input'!H112*7)</f>
        <v/>
      </c>
      <c r="N112" s="18">
        <f>IF(B112="","",COUNTIFS($B$5:$B$504,B112,$C$5:$C$504,C112,$I$5:$I$504,TRUE,$J$5:$J$504,TRUE,$K$5:$K$504,TRUE))</f>
        <v/>
      </c>
      <c r="O112" s="18">
        <f>IF(B112="","",AND(F112=AsOfWeek,AsOfWeek&lt;&gt;""))</f>
        <v/>
      </c>
      <c r="P112" s="20">
        <f>IF(OR(B112="",AsOfWeek=""),"",IFERROR(SUMIFS($M$5:$M$504,$B$5:$B$504,B112,$C$5:$C$504,C112,$L$5:$L$504,TRUE,$F$5:$F$504,"&gt;="&amp;AsOfWeek-7*(RecentWeeks-1),$F$5:$F$504,"&lt;="&amp;AsOfWeek),""))</f>
        <v/>
      </c>
      <c r="Q112" s="20">
        <f>IF(OR(B112="",AsOfWeek=""),"",IFERROR(SUMIFS($M$5:$M$504,$B$5:$B$504,B112,$C$5:$C$504,C112,$L$5:$L$504,TRUE,$F$5:$F$504,"&gt;="&amp;AsOfWeek-7*(RecentWeeks+PriorWeeks-1),$F$5:$F$504,"&lt;"&amp;AsOfWeek-7*(RecentWeeks-1)),""))</f>
        <v/>
      </c>
      <c r="R112" s="21">
        <f>IF(OR(P112="",Q112="",Q112=0),"",P112/Q112-1)</f>
        <v/>
      </c>
      <c r="S112" s="20">
        <f>IF(OR(C112="",AsOfWeek=""),"",IFERROR(AVERAGEIFS($M$5:$M$504,$C$5:$C$504,C112,$L$5:$L$504,TRUE,$F$5:$F$504,"&gt;="&amp;AsOfWeek-7*(RecentWeeks-1),$F$5:$F$504,"&lt;="&amp;AsOfWeek),""))</f>
        <v/>
      </c>
      <c r="T112" s="21">
        <f>IF(OR(P112="",S112=""),"",P112/S112-1)</f>
        <v/>
      </c>
      <c r="U112" s="22">
        <f>IF(OR(B112="",'Weekly Input'!G112="",P112="",P112=0),"",'Weekly Input'!G112/P112)</f>
        <v/>
      </c>
      <c r="V112" s="18">
        <f>IF(B112="","",IF(NOT(I112),"Not Ready",IF(NOT(K112),"Not Ready",IF(N112&lt;MinHistory,"Not Ready",IF(NOT(J112),"Not Ready",IF(OR(Q112="",Q112=0),"Noise",IF(Q112&lt;LowBaseThreshold,"Noise",IF(AND(R112&lt;=-OwnDecline,T112&lt;=-PeerGapThreshold),"Markdown Review",IF(AND(R112&gt;=ReorderUplift,U112&lt;&gt;"",U112&lt;=WeeksSupplyCap),"Reorder Candidate","Monitor"))))))))</f>
        <v/>
      </c>
      <c r="W112" s="18">
        <f>IF(B112="","",IF(NOT(I112),"INVALID_MASTER",IF(NOT(K112),"INCOMPLETE_SHELF_CYCLE",IF(N112&lt;MinHistory,"INSUFFICIENT_HISTORY",IF(NOT(J112),"INSUFFICIENT_IN_STOCK",IF(OR(Q112="",Q112=0),"NO_PRIOR_BASE",IF(Q112&lt;LowBaseThreshold,"LOW_BASE_NOISE",IF(V112="Markdown Review","MARKDOWN_PEER_GAP",IF(V112="Reorder Candidate","REORDER_UPLIFT_COVER","NO_MATERIAL_CHANGE"))))))))</f>
        <v/>
      </c>
      <c r="X112" s="18">
        <f>IF(V112="Markdown Review","Markdown support",IF(V112="Reorder Candidate","Second reorder",IF(V112="Monitor","Monitor",IF(V112="Noise","Hold / collect data",IF(V112="Not Ready","Not ready","")))))</f>
        <v/>
      </c>
      <c r="Y112" s="18">
        <f>IF(OR(R112="",T112=""),"",ABS(R112)+ABS(T112))</f>
        <v/>
      </c>
      <c r="Z112" s="21">
        <f>IF(OR(B112="",NOT(O112),R112=""),"",IF(ABS(R112)&gt;=MaterialThreshold,"Yes","No"))</f>
        <v/>
      </c>
      <c r="AA112" s="18">
        <f>IF(Z112&lt;&gt;"Yes","",IF(ABS(R112)&gt;=MaterialThreshold,IF(ABS(R112)&gt;=BroadShare,"Broad SKU movement","Store-concentrated movement"),""))</f>
        <v/>
      </c>
      <c r="AB112" s="18">
        <f>IF(O112,IF(COUNTIFS($O$5:O112,TRUE)&gt;0,COUNTIFS($O$5:O112,TRUE),0),0)</f>
        <v/>
      </c>
      <c r="AC112" s="18">
        <f>IF(V112="Markdown Review",1,IF(V112="Reorder Candidate",2,IF(V112="Monitor",3,IF(V112="Noise",4,IF(V112="Not Ready",5,99)))))</f>
        <v/>
      </c>
      <c r="AD112" s="18">
        <f>IF(O112,COUNTIFS($O$5:$O$504,TRUE,$AC$5:$AC$504,"&lt;"&amp;AC112)+COUNTIFS($O$5:O112,TRUE,$AC$5:AC112,AC112,$Y$5:Y112,"&gt;"&amp;Y112),0)</f>
        <v/>
      </c>
    </row>
    <row r="113">
      <c r="A113" s="17">
        <f>IF(COUNTA('Weekly Input'!A113:C113)=0,"",'Weekly Input'!B113&amp;"|"&amp;'Weekly Input'!C113&amp;"|"&amp;TEXT('Weekly Input'!A113,"yyyy-mm-dd"))</f>
        <v/>
      </c>
      <c r="B113" s="18">
        <f>'Weekly Input'!B113</f>
        <v/>
      </c>
      <c r="C113" s="18">
        <f>'Weekly Input'!C113</f>
        <v/>
      </c>
      <c r="D113" s="18">
        <f>IF(B113="","",IFERROR(INDEX('Master Data'!$B$6:$B$145,MATCH(B113,'Master Data'!$A$6:$A$145,0)),""))</f>
        <v/>
      </c>
      <c r="E113" s="18">
        <f>IF(C113="","",IFERROR(INDEX('Master Data'!$H$6:$H$13,MATCH(C113,'Master Data'!$F$6:$F$13,0)),""))</f>
        <v/>
      </c>
      <c r="F113" s="19">
        <f>'Weekly Input'!A113</f>
        <v/>
      </c>
      <c r="G113" s="19">
        <f>IF(B113="","",IFERROR(INDEX('Master Data'!$D$6:$D$145,MATCH(B113,'Master Data'!$A$6:$A$145,0)),""))</f>
        <v/>
      </c>
      <c r="H113" s="18">
        <f>IF(OR(F113="",G113=""),"",F113-G113)</f>
        <v/>
      </c>
      <c r="I113" s="18">
        <f>IF(B113="","",IF('Weekly Input'!J113="OK",TRUE,FALSE))</f>
        <v/>
      </c>
      <c r="J113" s="18">
        <f>IF(B113="","",'Weekly Input'!H113&gt;=MinInStockDays)</f>
        <v/>
      </c>
      <c r="K113" s="18">
        <f>IF(B113="","",H113&gt;=FullCycleMin)</f>
        <v/>
      </c>
      <c r="L113" s="18">
        <f>IF(B113="","",AND(I113,J113,K113,N113&gt;=MinHistory))</f>
        <v/>
      </c>
      <c r="M113" s="20">
        <f>IF(OR(B113="",'Weekly Input'!H113=0),"",'Weekly Input'!D113/'Weekly Input'!H113*7)</f>
        <v/>
      </c>
      <c r="N113" s="18">
        <f>IF(B113="","",COUNTIFS($B$5:$B$504,B113,$C$5:$C$504,C113,$I$5:$I$504,TRUE,$J$5:$J$504,TRUE,$K$5:$K$504,TRUE))</f>
        <v/>
      </c>
      <c r="O113" s="18">
        <f>IF(B113="","",AND(F113=AsOfWeek,AsOfWeek&lt;&gt;""))</f>
        <v/>
      </c>
      <c r="P113" s="20">
        <f>IF(OR(B113="",AsOfWeek=""),"",IFERROR(SUMIFS($M$5:$M$504,$B$5:$B$504,B113,$C$5:$C$504,C113,$L$5:$L$504,TRUE,$F$5:$F$504,"&gt;="&amp;AsOfWeek-7*(RecentWeeks-1),$F$5:$F$504,"&lt;="&amp;AsOfWeek),""))</f>
        <v/>
      </c>
      <c r="Q113" s="20">
        <f>IF(OR(B113="",AsOfWeek=""),"",IFERROR(SUMIFS($M$5:$M$504,$B$5:$B$504,B113,$C$5:$C$504,C113,$L$5:$L$504,TRUE,$F$5:$F$504,"&gt;="&amp;AsOfWeek-7*(RecentWeeks+PriorWeeks-1),$F$5:$F$504,"&lt;"&amp;AsOfWeek-7*(RecentWeeks-1)),""))</f>
        <v/>
      </c>
      <c r="R113" s="21">
        <f>IF(OR(P113="",Q113="",Q113=0),"",P113/Q113-1)</f>
        <v/>
      </c>
      <c r="S113" s="20">
        <f>IF(OR(C113="",AsOfWeek=""),"",IFERROR(AVERAGEIFS($M$5:$M$504,$C$5:$C$504,C113,$L$5:$L$504,TRUE,$F$5:$F$504,"&gt;="&amp;AsOfWeek-7*(RecentWeeks-1),$F$5:$F$504,"&lt;="&amp;AsOfWeek),""))</f>
        <v/>
      </c>
      <c r="T113" s="21">
        <f>IF(OR(P113="",S113=""),"",P113/S113-1)</f>
        <v/>
      </c>
      <c r="U113" s="22">
        <f>IF(OR(B113="",'Weekly Input'!G113="",P113="",P113=0),"",'Weekly Input'!G113/P113)</f>
        <v/>
      </c>
      <c r="V113" s="18">
        <f>IF(B113="","",IF(NOT(I113),"Not Ready",IF(NOT(K113),"Not Ready",IF(N113&lt;MinHistory,"Not Ready",IF(NOT(J113),"Not Ready",IF(OR(Q113="",Q113=0),"Noise",IF(Q113&lt;LowBaseThreshold,"Noise",IF(AND(R113&lt;=-OwnDecline,T113&lt;=-PeerGapThreshold),"Markdown Review",IF(AND(R113&gt;=ReorderUplift,U113&lt;&gt;"",U113&lt;=WeeksSupplyCap),"Reorder Candidate","Monitor"))))))))</f>
        <v/>
      </c>
      <c r="W113" s="18">
        <f>IF(B113="","",IF(NOT(I113),"INVALID_MASTER",IF(NOT(K113),"INCOMPLETE_SHELF_CYCLE",IF(N113&lt;MinHistory,"INSUFFICIENT_HISTORY",IF(NOT(J113),"INSUFFICIENT_IN_STOCK",IF(OR(Q113="",Q113=0),"NO_PRIOR_BASE",IF(Q113&lt;LowBaseThreshold,"LOW_BASE_NOISE",IF(V113="Markdown Review","MARKDOWN_PEER_GAP",IF(V113="Reorder Candidate","REORDER_UPLIFT_COVER","NO_MATERIAL_CHANGE"))))))))</f>
        <v/>
      </c>
      <c r="X113" s="18">
        <f>IF(V113="Markdown Review","Markdown support",IF(V113="Reorder Candidate","Second reorder",IF(V113="Monitor","Monitor",IF(V113="Noise","Hold / collect data",IF(V113="Not Ready","Not ready","")))))</f>
        <v/>
      </c>
      <c r="Y113" s="18">
        <f>IF(OR(R113="",T113=""),"",ABS(R113)+ABS(T113))</f>
        <v/>
      </c>
      <c r="Z113" s="21">
        <f>IF(OR(B113="",NOT(O113),R113=""),"",IF(ABS(R113)&gt;=MaterialThreshold,"Yes","No"))</f>
        <v/>
      </c>
      <c r="AA113" s="18">
        <f>IF(Z113&lt;&gt;"Yes","",IF(ABS(R113)&gt;=MaterialThreshold,IF(ABS(R113)&gt;=BroadShare,"Broad SKU movement","Store-concentrated movement"),""))</f>
        <v/>
      </c>
      <c r="AB113" s="18">
        <f>IF(O113,IF(COUNTIFS($O$5:O113,TRUE)&gt;0,COUNTIFS($O$5:O113,TRUE),0),0)</f>
        <v/>
      </c>
      <c r="AC113" s="18">
        <f>IF(V113="Markdown Review",1,IF(V113="Reorder Candidate",2,IF(V113="Monitor",3,IF(V113="Noise",4,IF(V113="Not Ready",5,99)))))</f>
        <v/>
      </c>
      <c r="AD113" s="18">
        <f>IF(O113,COUNTIFS($O$5:$O$504,TRUE,$AC$5:$AC$504,"&lt;"&amp;AC113)+COUNTIFS($O$5:O113,TRUE,$AC$5:AC113,AC113,$Y$5:Y113,"&gt;"&amp;Y113),0)</f>
        <v/>
      </c>
    </row>
    <row r="114">
      <c r="A114" s="17">
        <f>IF(COUNTA('Weekly Input'!A114:C114)=0,"",'Weekly Input'!B114&amp;"|"&amp;'Weekly Input'!C114&amp;"|"&amp;TEXT('Weekly Input'!A114,"yyyy-mm-dd"))</f>
        <v/>
      </c>
      <c r="B114" s="18">
        <f>'Weekly Input'!B114</f>
        <v/>
      </c>
      <c r="C114" s="18">
        <f>'Weekly Input'!C114</f>
        <v/>
      </c>
      <c r="D114" s="18">
        <f>IF(B114="","",IFERROR(INDEX('Master Data'!$B$6:$B$145,MATCH(B114,'Master Data'!$A$6:$A$145,0)),""))</f>
        <v/>
      </c>
      <c r="E114" s="18">
        <f>IF(C114="","",IFERROR(INDEX('Master Data'!$H$6:$H$13,MATCH(C114,'Master Data'!$F$6:$F$13,0)),""))</f>
        <v/>
      </c>
      <c r="F114" s="19">
        <f>'Weekly Input'!A114</f>
        <v/>
      </c>
      <c r="G114" s="19">
        <f>IF(B114="","",IFERROR(INDEX('Master Data'!$D$6:$D$145,MATCH(B114,'Master Data'!$A$6:$A$145,0)),""))</f>
        <v/>
      </c>
      <c r="H114" s="18">
        <f>IF(OR(F114="",G114=""),"",F114-G114)</f>
        <v/>
      </c>
      <c r="I114" s="18">
        <f>IF(B114="","",IF('Weekly Input'!J114="OK",TRUE,FALSE))</f>
        <v/>
      </c>
      <c r="J114" s="18">
        <f>IF(B114="","",'Weekly Input'!H114&gt;=MinInStockDays)</f>
        <v/>
      </c>
      <c r="K114" s="18">
        <f>IF(B114="","",H114&gt;=FullCycleMin)</f>
        <v/>
      </c>
      <c r="L114" s="18">
        <f>IF(B114="","",AND(I114,J114,K114,N114&gt;=MinHistory))</f>
        <v/>
      </c>
      <c r="M114" s="20">
        <f>IF(OR(B114="",'Weekly Input'!H114=0),"",'Weekly Input'!D114/'Weekly Input'!H114*7)</f>
        <v/>
      </c>
      <c r="N114" s="18">
        <f>IF(B114="","",COUNTIFS($B$5:$B$504,B114,$C$5:$C$504,C114,$I$5:$I$504,TRUE,$J$5:$J$504,TRUE,$K$5:$K$504,TRUE))</f>
        <v/>
      </c>
      <c r="O114" s="18">
        <f>IF(B114="","",AND(F114=AsOfWeek,AsOfWeek&lt;&gt;""))</f>
        <v/>
      </c>
      <c r="P114" s="20">
        <f>IF(OR(B114="",AsOfWeek=""),"",IFERROR(SUMIFS($M$5:$M$504,$B$5:$B$504,B114,$C$5:$C$504,C114,$L$5:$L$504,TRUE,$F$5:$F$504,"&gt;="&amp;AsOfWeek-7*(RecentWeeks-1),$F$5:$F$504,"&lt;="&amp;AsOfWeek),""))</f>
        <v/>
      </c>
      <c r="Q114" s="20">
        <f>IF(OR(B114="",AsOfWeek=""),"",IFERROR(SUMIFS($M$5:$M$504,$B$5:$B$504,B114,$C$5:$C$504,C114,$L$5:$L$504,TRUE,$F$5:$F$504,"&gt;="&amp;AsOfWeek-7*(RecentWeeks+PriorWeeks-1),$F$5:$F$504,"&lt;"&amp;AsOfWeek-7*(RecentWeeks-1)),""))</f>
        <v/>
      </c>
      <c r="R114" s="21">
        <f>IF(OR(P114="",Q114="",Q114=0),"",P114/Q114-1)</f>
        <v/>
      </c>
      <c r="S114" s="20">
        <f>IF(OR(C114="",AsOfWeek=""),"",IFERROR(AVERAGEIFS($M$5:$M$504,$C$5:$C$504,C114,$L$5:$L$504,TRUE,$F$5:$F$504,"&gt;="&amp;AsOfWeek-7*(RecentWeeks-1),$F$5:$F$504,"&lt;="&amp;AsOfWeek),""))</f>
        <v/>
      </c>
      <c r="T114" s="21">
        <f>IF(OR(P114="",S114=""),"",P114/S114-1)</f>
        <v/>
      </c>
      <c r="U114" s="22">
        <f>IF(OR(B114="",'Weekly Input'!G114="",P114="",P114=0),"",'Weekly Input'!G114/P114)</f>
        <v/>
      </c>
      <c r="V114" s="18">
        <f>IF(B114="","",IF(NOT(I114),"Not Ready",IF(NOT(K114),"Not Ready",IF(N114&lt;MinHistory,"Not Ready",IF(NOT(J114),"Not Ready",IF(OR(Q114="",Q114=0),"Noise",IF(Q114&lt;LowBaseThreshold,"Noise",IF(AND(R114&lt;=-OwnDecline,T114&lt;=-PeerGapThreshold),"Markdown Review",IF(AND(R114&gt;=ReorderUplift,U114&lt;&gt;"",U114&lt;=WeeksSupplyCap),"Reorder Candidate","Monitor"))))))))</f>
        <v/>
      </c>
      <c r="W114" s="18">
        <f>IF(B114="","",IF(NOT(I114),"INVALID_MASTER",IF(NOT(K114),"INCOMPLETE_SHELF_CYCLE",IF(N114&lt;MinHistory,"INSUFFICIENT_HISTORY",IF(NOT(J114),"INSUFFICIENT_IN_STOCK",IF(OR(Q114="",Q114=0),"NO_PRIOR_BASE",IF(Q114&lt;LowBaseThreshold,"LOW_BASE_NOISE",IF(V114="Markdown Review","MARKDOWN_PEER_GAP",IF(V114="Reorder Candidate","REORDER_UPLIFT_COVER","NO_MATERIAL_CHANGE"))))))))</f>
        <v/>
      </c>
      <c r="X114" s="18">
        <f>IF(V114="Markdown Review","Markdown support",IF(V114="Reorder Candidate","Second reorder",IF(V114="Monitor","Monitor",IF(V114="Noise","Hold / collect data",IF(V114="Not Ready","Not ready","")))))</f>
        <v/>
      </c>
      <c r="Y114" s="18">
        <f>IF(OR(R114="",T114=""),"",ABS(R114)+ABS(T114))</f>
        <v/>
      </c>
      <c r="Z114" s="21">
        <f>IF(OR(B114="",NOT(O114),R114=""),"",IF(ABS(R114)&gt;=MaterialThreshold,"Yes","No"))</f>
        <v/>
      </c>
      <c r="AA114" s="18">
        <f>IF(Z114&lt;&gt;"Yes","",IF(ABS(R114)&gt;=MaterialThreshold,IF(ABS(R114)&gt;=BroadShare,"Broad SKU movement","Store-concentrated movement"),""))</f>
        <v/>
      </c>
      <c r="AB114" s="18">
        <f>IF(O114,IF(COUNTIFS($O$5:O114,TRUE)&gt;0,COUNTIFS($O$5:O114,TRUE),0),0)</f>
        <v/>
      </c>
      <c r="AC114" s="18">
        <f>IF(V114="Markdown Review",1,IF(V114="Reorder Candidate",2,IF(V114="Monitor",3,IF(V114="Noise",4,IF(V114="Not Ready",5,99)))))</f>
        <v/>
      </c>
      <c r="AD114" s="18">
        <f>IF(O114,COUNTIFS($O$5:$O$504,TRUE,$AC$5:$AC$504,"&lt;"&amp;AC114)+COUNTIFS($O$5:O114,TRUE,$AC$5:AC114,AC114,$Y$5:Y114,"&gt;"&amp;Y114),0)</f>
        <v/>
      </c>
    </row>
    <row r="115">
      <c r="A115" s="17">
        <f>IF(COUNTA('Weekly Input'!A115:C115)=0,"",'Weekly Input'!B115&amp;"|"&amp;'Weekly Input'!C115&amp;"|"&amp;TEXT('Weekly Input'!A115,"yyyy-mm-dd"))</f>
        <v/>
      </c>
      <c r="B115" s="18">
        <f>'Weekly Input'!B115</f>
        <v/>
      </c>
      <c r="C115" s="18">
        <f>'Weekly Input'!C115</f>
        <v/>
      </c>
      <c r="D115" s="18">
        <f>IF(B115="","",IFERROR(INDEX('Master Data'!$B$6:$B$145,MATCH(B115,'Master Data'!$A$6:$A$145,0)),""))</f>
        <v/>
      </c>
      <c r="E115" s="18">
        <f>IF(C115="","",IFERROR(INDEX('Master Data'!$H$6:$H$13,MATCH(C115,'Master Data'!$F$6:$F$13,0)),""))</f>
        <v/>
      </c>
      <c r="F115" s="19">
        <f>'Weekly Input'!A115</f>
        <v/>
      </c>
      <c r="G115" s="19">
        <f>IF(B115="","",IFERROR(INDEX('Master Data'!$D$6:$D$145,MATCH(B115,'Master Data'!$A$6:$A$145,0)),""))</f>
        <v/>
      </c>
      <c r="H115" s="18">
        <f>IF(OR(F115="",G115=""),"",F115-G115)</f>
        <v/>
      </c>
      <c r="I115" s="18">
        <f>IF(B115="","",IF('Weekly Input'!J115="OK",TRUE,FALSE))</f>
        <v/>
      </c>
      <c r="J115" s="18">
        <f>IF(B115="","",'Weekly Input'!H115&gt;=MinInStockDays)</f>
        <v/>
      </c>
      <c r="K115" s="18">
        <f>IF(B115="","",H115&gt;=FullCycleMin)</f>
        <v/>
      </c>
      <c r="L115" s="18">
        <f>IF(B115="","",AND(I115,J115,K115,N115&gt;=MinHistory))</f>
        <v/>
      </c>
      <c r="M115" s="20">
        <f>IF(OR(B115="",'Weekly Input'!H115=0),"",'Weekly Input'!D115/'Weekly Input'!H115*7)</f>
        <v/>
      </c>
      <c r="N115" s="18">
        <f>IF(B115="","",COUNTIFS($B$5:$B$504,B115,$C$5:$C$504,C115,$I$5:$I$504,TRUE,$J$5:$J$504,TRUE,$K$5:$K$504,TRUE))</f>
        <v/>
      </c>
      <c r="O115" s="18">
        <f>IF(B115="","",AND(F115=AsOfWeek,AsOfWeek&lt;&gt;""))</f>
        <v/>
      </c>
      <c r="P115" s="20">
        <f>IF(OR(B115="",AsOfWeek=""),"",IFERROR(SUMIFS($M$5:$M$504,$B$5:$B$504,B115,$C$5:$C$504,C115,$L$5:$L$504,TRUE,$F$5:$F$504,"&gt;="&amp;AsOfWeek-7*(RecentWeeks-1),$F$5:$F$504,"&lt;="&amp;AsOfWeek),""))</f>
        <v/>
      </c>
      <c r="Q115" s="20">
        <f>IF(OR(B115="",AsOfWeek=""),"",IFERROR(SUMIFS($M$5:$M$504,$B$5:$B$504,B115,$C$5:$C$504,C115,$L$5:$L$504,TRUE,$F$5:$F$504,"&gt;="&amp;AsOfWeek-7*(RecentWeeks+PriorWeeks-1),$F$5:$F$504,"&lt;"&amp;AsOfWeek-7*(RecentWeeks-1)),""))</f>
        <v/>
      </c>
      <c r="R115" s="21">
        <f>IF(OR(P115="",Q115="",Q115=0),"",P115/Q115-1)</f>
        <v/>
      </c>
      <c r="S115" s="20">
        <f>IF(OR(C115="",AsOfWeek=""),"",IFERROR(AVERAGEIFS($M$5:$M$504,$C$5:$C$504,C115,$L$5:$L$504,TRUE,$F$5:$F$504,"&gt;="&amp;AsOfWeek-7*(RecentWeeks-1),$F$5:$F$504,"&lt;="&amp;AsOfWeek),""))</f>
        <v/>
      </c>
      <c r="T115" s="21">
        <f>IF(OR(P115="",S115=""),"",P115/S115-1)</f>
        <v/>
      </c>
      <c r="U115" s="22">
        <f>IF(OR(B115="",'Weekly Input'!G115="",P115="",P115=0),"",'Weekly Input'!G115/P115)</f>
        <v/>
      </c>
      <c r="V115" s="18">
        <f>IF(B115="","",IF(NOT(I115),"Not Ready",IF(NOT(K115),"Not Ready",IF(N115&lt;MinHistory,"Not Ready",IF(NOT(J115),"Not Ready",IF(OR(Q115="",Q115=0),"Noise",IF(Q115&lt;LowBaseThreshold,"Noise",IF(AND(R115&lt;=-OwnDecline,T115&lt;=-PeerGapThreshold),"Markdown Review",IF(AND(R115&gt;=ReorderUplift,U115&lt;&gt;"",U115&lt;=WeeksSupplyCap),"Reorder Candidate","Monitor"))))))))</f>
        <v/>
      </c>
      <c r="W115" s="18">
        <f>IF(B115="","",IF(NOT(I115),"INVALID_MASTER",IF(NOT(K115),"INCOMPLETE_SHELF_CYCLE",IF(N115&lt;MinHistory,"INSUFFICIENT_HISTORY",IF(NOT(J115),"INSUFFICIENT_IN_STOCK",IF(OR(Q115="",Q115=0),"NO_PRIOR_BASE",IF(Q115&lt;LowBaseThreshold,"LOW_BASE_NOISE",IF(V115="Markdown Review","MARKDOWN_PEER_GAP",IF(V115="Reorder Candidate","REORDER_UPLIFT_COVER","NO_MATERIAL_CHANGE"))))))))</f>
        <v/>
      </c>
      <c r="X115" s="18">
        <f>IF(V115="Markdown Review","Markdown support",IF(V115="Reorder Candidate","Second reorder",IF(V115="Monitor","Monitor",IF(V115="Noise","Hold / collect data",IF(V115="Not Ready","Not ready","")))))</f>
        <v/>
      </c>
      <c r="Y115" s="18">
        <f>IF(OR(R115="",T115=""),"",ABS(R115)+ABS(T115))</f>
        <v/>
      </c>
      <c r="Z115" s="21">
        <f>IF(OR(B115="",NOT(O115),R115=""),"",IF(ABS(R115)&gt;=MaterialThreshold,"Yes","No"))</f>
        <v/>
      </c>
      <c r="AA115" s="18">
        <f>IF(Z115&lt;&gt;"Yes","",IF(ABS(R115)&gt;=MaterialThreshold,IF(ABS(R115)&gt;=BroadShare,"Broad SKU movement","Store-concentrated movement"),""))</f>
        <v/>
      </c>
      <c r="AB115" s="18">
        <f>IF(O115,IF(COUNTIFS($O$5:O115,TRUE)&gt;0,COUNTIFS($O$5:O115,TRUE),0),0)</f>
        <v/>
      </c>
      <c r="AC115" s="18">
        <f>IF(V115="Markdown Review",1,IF(V115="Reorder Candidate",2,IF(V115="Monitor",3,IF(V115="Noise",4,IF(V115="Not Ready",5,99)))))</f>
        <v/>
      </c>
      <c r="AD115" s="18">
        <f>IF(O115,COUNTIFS($O$5:$O$504,TRUE,$AC$5:$AC$504,"&lt;"&amp;AC115)+COUNTIFS($O$5:O115,TRUE,$AC$5:AC115,AC115,$Y$5:Y115,"&gt;"&amp;Y115),0)</f>
        <v/>
      </c>
    </row>
    <row r="116">
      <c r="A116" s="17">
        <f>IF(COUNTA('Weekly Input'!A116:C116)=0,"",'Weekly Input'!B116&amp;"|"&amp;'Weekly Input'!C116&amp;"|"&amp;TEXT('Weekly Input'!A116,"yyyy-mm-dd"))</f>
        <v/>
      </c>
      <c r="B116" s="18">
        <f>'Weekly Input'!B116</f>
        <v/>
      </c>
      <c r="C116" s="18">
        <f>'Weekly Input'!C116</f>
        <v/>
      </c>
      <c r="D116" s="18">
        <f>IF(B116="","",IFERROR(INDEX('Master Data'!$B$6:$B$145,MATCH(B116,'Master Data'!$A$6:$A$145,0)),""))</f>
        <v/>
      </c>
      <c r="E116" s="18">
        <f>IF(C116="","",IFERROR(INDEX('Master Data'!$H$6:$H$13,MATCH(C116,'Master Data'!$F$6:$F$13,0)),""))</f>
        <v/>
      </c>
      <c r="F116" s="19">
        <f>'Weekly Input'!A116</f>
        <v/>
      </c>
      <c r="G116" s="19">
        <f>IF(B116="","",IFERROR(INDEX('Master Data'!$D$6:$D$145,MATCH(B116,'Master Data'!$A$6:$A$145,0)),""))</f>
        <v/>
      </c>
      <c r="H116" s="18">
        <f>IF(OR(F116="",G116=""),"",F116-G116)</f>
        <v/>
      </c>
      <c r="I116" s="18">
        <f>IF(B116="","",IF('Weekly Input'!J116="OK",TRUE,FALSE))</f>
        <v/>
      </c>
      <c r="J116" s="18">
        <f>IF(B116="","",'Weekly Input'!H116&gt;=MinInStockDays)</f>
        <v/>
      </c>
      <c r="K116" s="18">
        <f>IF(B116="","",H116&gt;=FullCycleMin)</f>
        <v/>
      </c>
      <c r="L116" s="18">
        <f>IF(B116="","",AND(I116,J116,K116,N116&gt;=MinHistory))</f>
        <v/>
      </c>
      <c r="M116" s="20">
        <f>IF(OR(B116="",'Weekly Input'!H116=0),"",'Weekly Input'!D116/'Weekly Input'!H116*7)</f>
        <v/>
      </c>
      <c r="N116" s="18">
        <f>IF(B116="","",COUNTIFS($B$5:$B$504,B116,$C$5:$C$504,C116,$I$5:$I$504,TRUE,$J$5:$J$504,TRUE,$K$5:$K$504,TRUE))</f>
        <v/>
      </c>
      <c r="O116" s="18">
        <f>IF(B116="","",AND(F116=AsOfWeek,AsOfWeek&lt;&gt;""))</f>
        <v/>
      </c>
      <c r="P116" s="20">
        <f>IF(OR(B116="",AsOfWeek=""),"",IFERROR(SUMIFS($M$5:$M$504,$B$5:$B$504,B116,$C$5:$C$504,C116,$L$5:$L$504,TRUE,$F$5:$F$504,"&gt;="&amp;AsOfWeek-7*(RecentWeeks-1),$F$5:$F$504,"&lt;="&amp;AsOfWeek),""))</f>
        <v/>
      </c>
      <c r="Q116" s="20">
        <f>IF(OR(B116="",AsOfWeek=""),"",IFERROR(SUMIFS($M$5:$M$504,$B$5:$B$504,B116,$C$5:$C$504,C116,$L$5:$L$504,TRUE,$F$5:$F$504,"&gt;="&amp;AsOfWeek-7*(RecentWeeks+PriorWeeks-1),$F$5:$F$504,"&lt;"&amp;AsOfWeek-7*(RecentWeeks-1)),""))</f>
        <v/>
      </c>
      <c r="R116" s="21">
        <f>IF(OR(P116="",Q116="",Q116=0),"",P116/Q116-1)</f>
        <v/>
      </c>
      <c r="S116" s="20">
        <f>IF(OR(C116="",AsOfWeek=""),"",IFERROR(AVERAGEIFS($M$5:$M$504,$C$5:$C$504,C116,$L$5:$L$504,TRUE,$F$5:$F$504,"&gt;="&amp;AsOfWeek-7*(RecentWeeks-1),$F$5:$F$504,"&lt;="&amp;AsOfWeek),""))</f>
        <v/>
      </c>
      <c r="T116" s="21">
        <f>IF(OR(P116="",S116=""),"",P116/S116-1)</f>
        <v/>
      </c>
      <c r="U116" s="22">
        <f>IF(OR(B116="",'Weekly Input'!G116="",P116="",P116=0),"",'Weekly Input'!G116/P116)</f>
        <v/>
      </c>
      <c r="V116" s="18">
        <f>IF(B116="","",IF(NOT(I116),"Not Ready",IF(NOT(K116),"Not Ready",IF(N116&lt;MinHistory,"Not Ready",IF(NOT(J116),"Not Ready",IF(OR(Q116="",Q116=0),"Noise",IF(Q116&lt;LowBaseThreshold,"Noise",IF(AND(R116&lt;=-OwnDecline,T116&lt;=-PeerGapThreshold),"Markdown Review",IF(AND(R116&gt;=ReorderUplift,U116&lt;&gt;"",U116&lt;=WeeksSupplyCap),"Reorder Candidate","Monitor"))))))))</f>
        <v/>
      </c>
      <c r="W116" s="18">
        <f>IF(B116="","",IF(NOT(I116),"INVALID_MASTER",IF(NOT(K116),"INCOMPLETE_SHELF_CYCLE",IF(N116&lt;MinHistory,"INSUFFICIENT_HISTORY",IF(NOT(J116),"INSUFFICIENT_IN_STOCK",IF(OR(Q116="",Q116=0),"NO_PRIOR_BASE",IF(Q116&lt;LowBaseThreshold,"LOW_BASE_NOISE",IF(V116="Markdown Review","MARKDOWN_PEER_GAP",IF(V116="Reorder Candidate","REORDER_UPLIFT_COVER","NO_MATERIAL_CHANGE"))))))))</f>
        <v/>
      </c>
      <c r="X116" s="18">
        <f>IF(V116="Markdown Review","Markdown support",IF(V116="Reorder Candidate","Second reorder",IF(V116="Monitor","Monitor",IF(V116="Noise","Hold / collect data",IF(V116="Not Ready","Not ready","")))))</f>
        <v/>
      </c>
      <c r="Y116" s="18">
        <f>IF(OR(R116="",T116=""),"",ABS(R116)+ABS(T116))</f>
        <v/>
      </c>
      <c r="Z116" s="21">
        <f>IF(OR(B116="",NOT(O116),R116=""),"",IF(ABS(R116)&gt;=MaterialThreshold,"Yes","No"))</f>
        <v/>
      </c>
      <c r="AA116" s="18">
        <f>IF(Z116&lt;&gt;"Yes","",IF(ABS(R116)&gt;=MaterialThreshold,IF(ABS(R116)&gt;=BroadShare,"Broad SKU movement","Store-concentrated movement"),""))</f>
        <v/>
      </c>
      <c r="AB116" s="18">
        <f>IF(O116,IF(COUNTIFS($O$5:O116,TRUE)&gt;0,COUNTIFS($O$5:O116,TRUE),0),0)</f>
        <v/>
      </c>
      <c r="AC116" s="18">
        <f>IF(V116="Markdown Review",1,IF(V116="Reorder Candidate",2,IF(V116="Monitor",3,IF(V116="Noise",4,IF(V116="Not Ready",5,99)))))</f>
        <v/>
      </c>
      <c r="AD116" s="18">
        <f>IF(O116,COUNTIFS($O$5:$O$504,TRUE,$AC$5:$AC$504,"&lt;"&amp;AC116)+COUNTIFS($O$5:O116,TRUE,$AC$5:AC116,AC116,$Y$5:Y116,"&gt;"&amp;Y116),0)</f>
        <v/>
      </c>
    </row>
    <row r="117">
      <c r="A117" s="17">
        <f>IF(COUNTA('Weekly Input'!A117:C117)=0,"",'Weekly Input'!B117&amp;"|"&amp;'Weekly Input'!C117&amp;"|"&amp;TEXT('Weekly Input'!A117,"yyyy-mm-dd"))</f>
        <v/>
      </c>
      <c r="B117" s="18">
        <f>'Weekly Input'!B117</f>
        <v/>
      </c>
      <c r="C117" s="18">
        <f>'Weekly Input'!C117</f>
        <v/>
      </c>
      <c r="D117" s="18">
        <f>IF(B117="","",IFERROR(INDEX('Master Data'!$B$6:$B$145,MATCH(B117,'Master Data'!$A$6:$A$145,0)),""))</f>
        <v/>
      </c>
      <c r="E117" s="18">
        <f>IF(C117="","",IFERROR(INDEX('Master Data'!$H$6:$H$13,MATCH(C117,'Master Data'!$F$6:$F$13,0)),""))</f>
        <v/>
      </c>
      <c r="F117" s="19">
        <f>'Weekly Input'!A117</f>
        <v/>
      </c>
      <c r="G117" s="19">
        <f>IF(B117="","",IFERROR(INDEX('Master Data'!$D$6:$D$145,MATCH(B117,'Master Data'!$A$6:$A$145,0)),""))</f>
        <v/>
      </c>
      <c r="H117" s="18">
        <f>IF(OR(F117="",G117=""),"",F117-G117)</f>
        <v/>
      </c>
      <c r="I117" s="18">
        <f>IF(B117="","",IF('Weekly Input'!J117="OK",TRUE,FALSE))</f>
        <v/>
      </c>
      <c r="J117" s="18">
        <f>IF(B117="","",'Weekly Input'!H117&gt;=MinInStockDays)</f>
        <v/>
      </c>
      <c r="K117" s="18">
        <f>IF(B117="","",H117&gt;=FullCycleMin)</f>
        <v/>
      </c>
      <c r="L117" s="18">
        <f>IF(B117="","",AND(I117,J117,K117,N117&gt;=MinHistory))</f>
        <v/>
      </c>
      <c r="M117" s="20">
        <f>IF(OR(B117="",'Weekly Input'!H117=0),"",'Weekly Input'!D117/'Weekly Input'!H117*7)</f>
        <v/>
      </c>
      <c r="N117" s="18">
        <f>IF(B117="","",COUNTIFS($B$5:$B$504,B117,$C$5:$C$504,C117,$I$5:$I$504,TRUE,$J$5:$J$504,TRUE,$K$5:$K$504,TRUE))</f>
        <v/>
      </c>
      <c r="O117" s="18">
        <f>IF(B117="","",AND(F117=AsOfWeek,AsOfWeek&lt;&gt;""))</f>
        <v/>
      </c>
      <c r="P117" s="20">
        <f>IF(OR(B117="",AsOfWeek=""),"",IFERROR(SUMIFS($M$5:$M$504,$B$5:$B$504,B117,$C$5:$C$504,C117,$L$5:$L$504,TRUE,$F$5:$F$504,"&gt;="&amp;AsOfWeek-7*(RecentWeeks-1),$F$5:$F$504,"&lt;="&amp;AsOfWeek),""))</f>
        <v/>
      </c>
      <c r="Q117" s="20">
        <f>IF(OR(B117="",AsOfWeek=""),"",IFERROR(SUMIFS($M$5:$M$504,$B$5:$B$504,B117,$C$5:$C$504,C117,$L$5:$L$504,TRUE,$F$5:$F$504,"&gt;="&amp;AsOfWeek-7*(RecentWeeks+PriorWeeks-1),$F$5:$F$504,"&lt;"&amp;AsOfWeek-7*(RecentWeeks-1)),""))</f>
        <v/>
      </c>
      <c r="R117" s="21">
        <f>IF(OR(P117="",Q117="",Q117=0),"",P117/Q117-1)</f>
        <v/>
      </c>
      <c r="S117" s="20">
        <f>IF(OR(C117="",AsOfWeek=""),"",IFERROR(AVERAGEIFS($M$5:$M$504,$C$5:$C$504,C117,$L$5:$L$504,TRUE,$F$5:$F$504,"&gt;="&amp;AsOfWeek-7*(RecentWeeks-1),$F$5:$F$504,"&lt;="&amp;AsOfWeek),""))</f>
        <v/>
      </c>
      <c r="T117" s="21">
        <f>IF(OR(P117="",S117=""),"",P117/S117-1)</f>
        <v/>
      </c>
      <c r="U117" s="22">
        <f>IF(OR(B117="",'Weekly Input'!G117="",P117="",P117=0),"",'Weekly Input'!G117/P117)</f>
        <v/>
      </c>
      <c r="V117" s="18">
        <f>IF(B117="","",IF(NOT(I117),"Not Ready",IF(NOT(K117),"Not Ready",IF(N117&lt;MinHistory,"Not Ready",IF(NOT(J117),"Not Ready",IF(OR(Q117="",Q117=0),"Noise",IF(Q117&lt;LowBaseThreshold,"Noise",IF(AND(R117&lt;=-OwnDecline,T117&lt;=-PeerGapThreshold),"Markdown Review",IF(AND(R117&gt;=ReorderUplift,U117&lt;&gt;"",U117&lt;=WeeksSupplyCap),"Reorder Candidate","Monitor"))))))))</f>
        <v/>
      </c>
      <c r="W117" s="18">
        <f>IF(B117="","",IF(NOT(I117),"INVALID_MASTER",IF(NOT(K117),"INCOMPLETE_SHELF_CYCLE",IF(N117&lt;MinHistory,"INSUFFICIENT_HISTORY",IF(NOT(J117),"INSUFFICIENT_IN_STOCK",IF(OR(Q117="",Q117=0),"NO_PRIOR_BASE",IF(Q117&lt;LowBaseThreshold,"LOW_BASE_NOISE",IF(V117="Markdown Review","MARKDOWN_PEER_GAP",IF(V117="Reorder Candidate","REORDER_UPLIFT_COVER","NO_MATERIAL_CHANGE"))))))))</f>
        <v/>
      </c>
      <c r="X117" s="18">
        <f>IF(V117="Markdown Review","Markdown support",IF(V117="Reorder Candidate","Second reorder",IF(V117="Monitor","Monitor",IF(V117="Noise","Hold / collect data",IF(V117="Not Ready","Not ready","")))))</f>
        <v/>
      </c>
      <c r="Y117" s="18">
        <f>IF(OR(R117="",T117=""),"",ABS(R117)+ABS(T117))</f>
        <v/>
      </c>
      <c r="Z117" s="21">
        <f>IF(OR(B117="",NOT(O117),R117=""),"",IF(ABS(R117)&gt;=MaterialThreshold,"Yes","No"))</f>
        <v/>
      </c>
      <c r="AA117" s="18">
        <f>IF(Z117&lt;&gt;"Yes","",IF(ABS(R117)&gt;=MaterialThreshold,IF(ABS(R117)&gt;=BroadShare,"Broad SKU movement","Store-concentrated movement"),""))</f>
        <v/>
      </c>
      <c r="AB117" s="18">
        <f>IF(O117,IF(COUNTIFS($O$5:O117,TRUE)&gt;0,COUNTIFS($O$5:O117,TRUE),0),0)</f>
        <v/>
      </c>
      <c r="AC117" s="18">
        <f>IF(V117="Markdown Review",1,IF(V117="Reorder Candidate",2,IF(V117="Monitor",3,IF(V117="Noise",4,IF(V117="Not Ready",5,99)))))</f>
        <v/>
      </c>
      <c r="AD117" s="18">
        <f>IF(O117,COUNTIFS($O$5:$O$504,TRUE,$AC$5:$AC$504,"&lt;"&amp;AC117)+COUNTIFS($O$5:O117,TRUE,$AC$5:AC117,AC117,$Y$5:Y117,"&gt;"&amp;Y117),0)</f>
        <v/>
      </c>
    </row>
    <row r="118">
      <c r="A118" s="17">
        <f>IF(COUNTA('Weekly Input'!A118:C118)=0,"",'Weekly Input'!B118&amp;"|"&amp;'Weekly Input'!C118&amp;"|"&amp;TEXT('Weekly Input'!A118,"yyyy-mm-dd"))</f>
        <v/>
      </c>
      <c r="B118" s="18">
        <f>'Weekly Input'!B118</f>
        <v/>
      </c>
      <c r="C118" s="18">
        <f>'Weekly Input'!C118</f>
        <v/>
      </c>
      <c r="D118" s="18">
        <f>IF(B118="","",IFERROR(INDEX('Master Data'!$B$6:$B$145,MATCH(B118,'Master Data'!$A$6:$A$145,0)),""))</f>
        <v/>
      </c>
      <c r="E118" s="18">
        <f>IF(C118="","",IFERROR(INDEX('Master Data'!$H$6:$H$13,MATCH(C118,'Master Data'!$F$6:$F$13,0)),""))</f>
        <v/>
      </c>
      <c r="F118" s="19">
        <f>'Weekly Input'!A118</f>
        <v/>
      </c>
      <c r="G118" s="19">
        <f>IF(B118="","",IFERROR(INDEX('Master Data'!$D$6:$D$145,MATCH(B118,'Master Data'!$A$6:$A$145,0)),""))</f>
        <v/>
      </c>
      <c r="H118" s="18">
        <f>IF(OR(F118="",G118=""),"",F118-G118)</f>
        <v/>
      </c>
      <c r="I118" s="18">
        <f>IF(B118="","",IF('Weekly Input'!J118="OK",TRUE,FALSE))</f>
        <v/>
      </c>
      <c r="J118" s="18">
        <f>IF(B118="","",'Weekly Input'!H118&gt;=MinInStockDays)</f>
        <v/>
      </c>
      <c r="K118" s="18">
        <f>IF(B118="","",H118&gt;=FullCycleMin)</f>
        <v/>
      </c>
      <c r="L118" s="18">
        <f>IF(B118="","",AND(I118,J118,K118,N118&gt;=MinHistory))</f>
        <v/>
      </c>
      <c r="M118" s="20">
        <f>IF(OR(B118="",'Weekly Input'!H118=0),"",'Weekly Input'!D118/'Weekly Input'!H118*7)</f>
        <v/>
      </c>
      <c r="N118" s="18">
        <f>IF(B118="","",COUNTIFS($B$5:$B$504,B118,$C$5:$C$504,C118,$I$5:$I$504,TRUE,$J$5:$J$504,TRUE,$K$5:$K$504,TRUE))</f>
        <v/>
      </c>
      <c r="O118" s="18">
        <f>IF(B118="","",AND(F118=AsOfWeek,AsOfWeek&lt;&gt;""))</f>
        <v/>
      </c>
      <c r="P118" s="20">
        <f>IF(OR(B118="",AsOfWeek=""),"",IFERROR(SUMIFS($M$5:$M$504,$B$5:$B$504,B118,$C$5:$C$504,C118,$L$5:$L$504,TRUE,$F$5:$F$504,"&gt;="&amp;AsOfWeek-7*(RecentWeeks-1),$F$5:$F$504,"&lt;="&amp;AsOfWeek),""))</f>
        <v/>
      </c>
      <c r="Q118" s="20">
        <f>IF(OR(B118="",AsOfWeek=""),"",IFERROR(SUMIFS($M$5:$M$504,$B$5:$B$504,B118,$C$5:$C$504,C118,$L$5:$L$504,TRUE,$F$5:$F$504,"&gt;="&amp;AsOfWeek-7*(RecentWeeks+PriorWeeks-1),$F$5:$F$504,"&lt;"&amp;AsOfWeek-7*(RecentWeeks-1)),""))</f>
        <v/>
      </c>
      <c r="R118" s="21">
        <f>IF(OR(P118="",Q118="",Q118=0),"",P118/Q118-1)</f>
        <v/>
      </c>
      <c r="S118" s="20">
        <f>IF(OR(C118="",AsOfWeek=""),"",IFERROR(AVERAGEIFS($M$5:$M$504,$C$5:$C$504,C118,$L$5:$L$504,TRUE,$F$5:$F$504,"&gt;="&amp;AsOfWeek-7*(RecentWeeks-1),$F$5:$F$504,"&lt;="&amp;AsOfWeek),""))</f>
        <v/>
      </c>
      <c r="T118" s="21">
        <f>IF(OR(P118="",S118=""),"",P118/S118-1)</f>
        <v/>
      </c>
      <c r="U118" s="22">
        <f>IF(OR(B118="",'Weekly Input'!G118="",P118="",P118=0),"",'Weekly Input'!G118/P118)</f>
        <v/>
      </c>
      <c r="V118" s="18">
        <f>IF(B118="","",IF(NOT(I118),"Not Ready",IF(NOT(K118),"Not Ready",IF(N118&lt;MinHistory,"Not Ready",IF(NOT(J118),"Not Ready",IF(OR(Q118="",Q118=0),"Noise",IF(Q118&lt;LowBaseThreshold,"Noise",IF(AND(R118&lt;=-OwnDecline,T118&lt;=-PeerGapThreshold),"Markdown Review",IF(AND(R118&gt;=ReorderUplift,U118&lt;&gt;"",U118&lt;=WeeksSupplyCap),"Reorder Candidate","Monitor"))))))))</f>
        <v/>
      </c>
      <c r="W118" s="18">
        <f>IF(B118="","",IF(NOT(I118),"INVALID_MASTER",IF(NOT(K118),"INCOMPLETE_SHELF_CYCLE",IF(N118&lt;MinHistory,"INSUFFICIENT_HISTORY",IF(NOT(J118),"INSUFFICIENT_IN_STOCK",IF(OR(Q118="",Q118=0),"NO_PRIOR_BASE",IF(Q118&lt;LowBaseThreshold,"LOW_BASE_NOISE",IF(V118="Markdown Review","MARKDOWN_PEER_GAP",IF(V118="Reorder Candidate","REORDER_UPLIFT_COVER","NO_MATERIAL_CHANGE"))))))))</f>
        <v/>
      </c>
      <c r="X118" s="18">
        <f>IF(V118="Markdown Review","Markdown support",IF(V118="Reorder Candidate","Second reorder",IF(V118="Monitor","Monitor",IF(V118="Noise","Hold / collect data",IF(V118="Not Ready","Not ready","")))))</f>
        <v/>
      </c>
      <c r="Y118" s="18">
        <f>IF(OR(R118="",T118=""),"",ABS(R118)+ABS(T118))</f>
        <v/>
      </c>
      <c r="Z118" s="21">
        <f>IF(OR(B118="",NOT(O118),R118=""),"",IF(ABS(R118)&gt;=MaterialThreshold,"Yes","No"))</f>
        <v/>
      </c>
      <c r="AA118" s="18">
        <f>IF(Z118&lt;&gt;"Yes","",IF(ABS(R118)&gt;=MaterialThreshold,IF(ABS(R118)&gt;=BroadShare,"Broad SKU movement","Store-concentrated movement"),""))</f>
        <v/>
      </c>
      <c r="AB118" s="18">
        <f>IF(O118,IF(COUNTIFS($O$5:O118,TRUE)&gt;0,COUNTIFS($O$5:O118,TRUE),0),0)</f>
        <v/>
      </c>
      <c r="AC118" s="18">
        <f>IF(V118="Markdown Review",1,IF(V118="Reorder Candidate",2,IF(V118="Monitor",3,IF(V118="Noise",4,IF(V118="Not Ready",5,99)))))</f>
        <v/>
      </c>
      <c r="AD118" s="18">
        <f>IF(O118,COUNTIFS($O$5:$O$504,TRUE,$AC$5:$AC$504,"&lt;"&amp;AC118)+COUNTIFS($O$5:O118,TRUE,$AC$5:AC118,AC118,$Y$5:Y118,"&gt;"&amp;Y118),0)</f>
        <v/>
      </c>
    </row>
    <row r="119">
      <c r="A119" s="17">
        <f>IF(COUNTA('Weekly Input'!A119:C119)=0,"",'Weekly Input'!B119&amp;"|"&amp;'Weekly Input'!C119&amp;"|"&amp;TEXT('Weekly Input'!A119,"yyyy-mm-dd"))</f>
        <v/>
      </c>
      <c r="B119" s="18">
        <f>'Weekly Input'!B119</f>
        <v/>
      </c>
      <c r="C119" s="18">
        <f>'Weekly Input'!C119</f>
        <v/>
      </c>
      <c r="D119" s="18">
        <f>IF(B119="","",IFERROR(INDEX('Master Data'!$B$6:$B$145,MATCH(B119,'Master Data'!$A$6:$A$145,0)),""))</f>
        <v/>
      </c>
      <c r="E119" s="18">
        <f>IF(C119="","",IFERROR(INDEX('Master Data'!$H$6:$H$13,MATCH(C119,'Master Data'!$F$6:$F$13,0)),""))</f>
        <v/>
      </c>
      <c r="F119" s="19">
        <f>'Weekly Input'!A119</f>
        <v/>
      </c>
      <c r="G119" s="19">
        <f>IF(B119="","",IFERROR(INDEX('Master Data'!$D$6:$D$145,MATCH(B119,'Master Data'!$A$6:$A$145,0)),""))</f>
        <v/>
      </c>
      <c r="H119" s="18">
        <f>IF(OR(F119="",G119=""),"",F119-G119)</f>
        <v/>
      </c>
      <c r="I119" s="18">
        <f>IF(B119="","",IF('Weekly Input'!J119="OK",TRUE,FALSE))</f>
        <v/>
      </c>
      <c r="J119" s="18">
        <f>IF(B119="","",'Weekly Input'!H119&gt;=MinInStockDays)</f>
        <v/>
      </c>
      <c r="K119" s="18">
        <f>IF(B119="","",H119&gt;=FullCycleMin)</f>
        <v/>
      </c>
      <c r="L119" s="18">
        <f>IF(B119="","",AND(I119,J119,K119,N119&gt;=MinHistory))</f>
        <v/>
      </c>
      <c r="M119" s="20">
        <f>IF(OR(B119="",'Weekly Input'!H119=0),"",'Weekly Input'!D119/'Weekly Input'!H119*7)</f>
        <v/>
      </c>
      <c r="N119" s="18">
        <f>IF(B119="","",COUNTIFS($B$5:$B$504,B119,$C$5:$C$504,C119,$I$5:$I$504,TRUE,$J$5:$J$504,TRUE,$K$5:$K$504,TRUE))</f>
        <v/>
      </c>
      <c r="O119" s="18">
        <f>IF(B119="","",AND(F119=AsOfWeek,AsOfWeek&lt;&gt;""))</f>
        <v/>
      </c>
      <c r="P119" s="20">
        <f>IF(OR(B119="",AsOfWeek=""),"",IFERROR(SUMIFS($M$5:$M$504,$B$5:$B$504,B119,$C$5:$C$504,C119,$L$5:$L$504,TRUE,$F$5:$F$504,"&gt;="&amp;AsOfWeek-7*(RecentWeeks-1),$F$5:$F$504,"&lt;="&amp;AsOfWeek),""))</f>
        <v/>
      </c>
      <c r="Q119" s="20">
        <f>IF(OR(B119="",AsOfWeek=""),"",IFERROR(SUMIFS($M$5:$M$504,$B$5:$B$504,B119,$C$5:$C$504,C119,$L$5:$L$504,TRUE,$F$5:$F$504,"&gt;="&amp;AsOfWeek-7*(RecentWeeks+PriorWeeks-1),$F$5:$F$504,"&lt;"&amp;AsOfWeek-7*(RecentWeeks-1)),""))</f>
        <v/>
      </c>
      <c r="R119" s="21">
        <f>IF(OR(P119="",Q119="",Q119=0),"",P119/Q119-1)</f>
        <v/>
      </c>
      <c r="S119" s="20">
        <f>IF(OR(C119="",AsOfWeek=""),"",IFERROR(AVERAGEIFS($M$5:$M$504,$C$5:$C$504,C119,$L$5:$L$504,TRUE,$F$5:$F$504,"&gt;="&amp;AsOfWeek-7*(RecentWeeks-1),$F$5:$F$504,"&lt;="&amp;AsOfWeek),""))</f>
        <v/>
      </c>
      <c r="T119" s="21">
        <f>IF(OR(P119="",S119=""),"",P119/S119-1)</f>
        <v/>
      </c>
      <c r="U119" s="22">
        <f>IF(OR(B119="",'Weekly Input'!G119="",P119="",P119=0),"",'Weekly Input'!G119/P119)</f>
        <v/>
      </c>
      <c r="V119" s="18">
        <f>IF(B119="","",IF(NOT(I119),"Not Ready",IF(NOT(K119),"Not Ready",IF(N119&lt;MinHistory,"Not Ready",IF(NOT(J119),"Not Ready",IF(OR(Q119="",Q119=0),"Noise",IF(Q119&lt;LowBaseThreshold,"Noise",IF(AND(R119&lt;=-OwnDecline,T119&lt;=-PeerGapThreshold),"Markdown Review",IF(AND(R119&gt;=ReorderUplift,U119&lt;&gt;"",U119&lt;=WeeksSupplyCap),"Reorder Candidate","Monitor"))))))))</f>
        <v/>
      </c>
      <c r="W119" s="18">
        <f>IF(B119="","",IF(NOT(I119),"INVALID_MASTER",IF(NOT(K119),"INCOMPLETE_SHELF_CYCLE",IF(N119&lt;MinHistory,"INSUFFICIENT_HISTORY",IF(NOT(J119),"INSUFFICIENT_IN_STOCK",IF(OR(Q119="",Q119=0),"NO_PRIOR_BASE",IF(Q119&lt;LowBaseThreshold,"LOW_BASE_NOISE",IF(V119="Markdown Review","MARKDOWN_PEER_GAP",IF(V119="Reorder Candidate","REORDER_UPLIFT_COVER","NO_MATERIAL_CHANGE"))))))))</f>
        <v/>
      </c>
      <c r="X119" s="18">
        <f>IF(V119="Markdown Review","Markdown support",IF(V119="Reorder Candidate","Second reorder",IF(V119="Monitor","Monitor",IF(V119="Noise","Hold / collect data",IF(V119="Not Ready","Not ready","")))))</f>
        <v/>
      </c>
      <c r="Y119" s="18">
        <f>IF(OR(R119="",T119=""),"",ABS(R119)+ABS(T119))</f>
        <v/>
      </c>
      <c r="Z119" s="21">
        <f>IF(OR(B119="",NOT(O119),R119=""),"",IF(ABS(R119)&gt;=MaterialThreshold,"Yes","No"))</f>
        <v/>
      </c>
      <c r="AA119" s="18">
        <f>IF(Z119&lt;&gt;"Yes","",IF(ABS(R119)&gt;=MaterialThreshold,IF(ABS(R119)&gt;=BroadShare,"Broad SKU movement","Store-concentrated movement"),""))</f>
        <v/>
      </c>
      <c r="AB119" s="18">
        <f>IF(O119,IF(COUNTIFS($O$5:O119,TRUE)&gt;0,COUNTIFS($O$5:O119,TRUE),0),0)</f>
        <v/>
      </c>
      <c r="AC119" s="18">
        <f>IF(V119="Markdown Review",1,IF(V119="Reorder Candidate",2,IF(V119="Monitor",3,IF(V119="Noise",4,IF(V119="Not Ready",5,99)))))</f>
        <v/>
      </c>
      <c r="AD119" s="18">
        <f>IF(O119,COUNTIFS($O$5:$O$504,TRUE,$AC$5:$AC$504,"&lt;"&amp;AC119)+COUNTIFS($O$5:O119,TRUE,$AC$5:AC119,AC119,$Y$5:Y119,"&gt;"&amp;Y119),0)</f>
        <v/>
      </c>
    </row>
    <row r="120">
      <c r="A120" s="17">
        <f>IF(COUNTA('Weekly Input'!A120:C120)=0,"",'Weekly Input'!B120&amp;"|"&amp;'Weekly Input'!C120&amp;"|"&amp;TEXT('Weekly Input'!A120,"yyyy-mm-dd"))</f>
        <v/>
      </c>
      <c r="B120" s="18">
        <f>'Weekly Input'!B120</f>
        <v/>
      </c>
      <c r="C120" s="18">
        <f>'Weekly Input'!C120</f>
        <v/>
      </c>
      <c r="D120" s="18">
        <f>IF(B120="","",IFERROR(INDEX('Master Data'!$B$6:$B$145,MATCH(B120,'Master Data'!$A$6:$A$145,0)),""))</f>
        <v/>
      </c>
      <c r="E120" s="18">
        <f>IF(C120="","",IFERROR(INDEX('Master Data'!$H$6:$H$13,MATCH(C120,'Master Data'!$F$6:$F$13,0)),""))</f>
        <v/>
      </c>
      <c r="F120" s="19">
        <f>'Weekly Input'!A120</f>
        <v/>
      </c>
      <c r="G120" s="19">
        <f>IF(B120="","",IFERROR(INDEX('Master Data'!$D$6:$D$145,MATCH(B120,'Master Data'!$A$6:$A$145,0)),""))</f>
        <v/>
      </c>
      <c r="H120" s="18">
        <f>IF(OR(F120="",G120=""),"",F120-G120)</f>
        <v/>
      </c>
      <c r="I120" s="18">
        <f>IF(B120="","",IF('Weekly Input'!J120="OK",TRUE,FALSE))</f>
        <v/>
      </c>
      <c r="J120" s="18">
        <f>IF(B120="","",'Weekly Input'!H120&gt;=MinInStockDays)</f>
        <v/>
      </c>
      <c r="K120" s="18">
        <f>IF(B120="","",H120&gt;=FullCycleMin)</f>
        <v/>
      </c>
      <c r="L120" s="18">
        <f>IF(B120="","",AND(I120,J120,K120,N120&gt;=MinHistory))</f>
        <v/>
      </c>
      <c r="M120" s="20">
        <f>IF(OR(B120="",'Weekly Input'!H120=0),"",'Weekly Input'!D120/'Weekly Input'!H120*7)</f>
        <v/>
      </c>
      <c r="N120" s="18">
        <f>IF(B120="","",COUNTIFS($B$5:$B$504,B120,$C$5:$C$504,C120,$I$5:$I$504,TRUE,$J$5:$J$504,TRUE,$K$5:$K$504,TRUE))</f>
        <v/>
      </c>
      <c r="O120" s="18">
        <f>IF(B120="","",AND(F120=AsOfWeek,AsOfWeek&lt;&gt;""))</f>
        <v/>
      </c>
      <c r="P120" s="20">
        <f>IF(OR(B120="",AsOfWeek=""),"",IFERROR(SUMIFS($M$5:$M$504,$B$5:$B$504,B120,$C$5:$C$504,C120,$L$5:$L$504,TRUE,$F$5:$F$504,"&gt;="&amp;AsOfWeek-7*(RecentWeeks-1),$F$5:$F$504,"&lt;="&amp;AsOfWeek),""))</f>
        <v/>
      </c>
      <c r="Q120" s="20">
        <f>IF(OR(B120="",AsOfWeek=""),"",IFERROR(SUMIFS($M$5:$M$504,$B$5:$B$504,B120,$C$5:$C$504,C120,$L$5:$L$504,TRUE,$F$5:$F$504,"&gt;="&amp;AsOfWeek-7*(RecentWeeks+PriorWeeks-1),$F$5:$F$504,"&lt;"&amp;AsOfWeek-7*(RecentWeeks-1)),""))</f>
        <v/>
      </c>
      <c r="R120" s="21">
        <f>IF(OR(P120="",Q120="",Q120=0),"",P120/Q120-1)</f>
        <v/>
      </c>
      <c r="S120" s="20">
        <f>IF(OR(C120="",AsOfWeek=""),"",IFERROR(AVERAGEIFS($M$5:$M$504,$C$5:$C$504,C120,$L$5:$L$504,TRUE,$F$5:$F$504,"&gt;="&amp;AsOfWeek-7*(RecentWeeks-1),$F$5:$F$504,"&lt;="&amp;AsOfWeek),""))</f>
        <v/>
      </c>
      <c r="T120" s="21">
        <f>IF(OR(P120="",S120=""),"",P120/S120-1)</f>
        <v/>
      </c>
      <c r="U120" s="22">
        <f>IF(OR(B120="",'Weekly Input'!G120="",P120="",P120=0),"",'Weekly Input'!G120/P120)</f>
        <v/>
      </c>
      <c r="V120" s="18">
        <f>IF(B120="","",IF(NOT(I120),"Not Ready",IF(NOT(K120),"Not Ready",IF(N120&lt;MinHistory,"Not Ready",IF(NOT(J120),"Not Ready",IF(OR(Q120="",Q120=0),"Noise",IF(Q120&lt;LowBaseThreshold,"Noise",IF(AND(R120&lt;=-OwnDecline,T120&lt;=-PeerGapThreshold),"Markdown Review",IF(AND(R120&gt;=ReorderUplift,U120&lt;&gt;"",U120&lt;=WeeksSupplyCap),"Reorder Candidate","Monitor"))))))))</f>
        <v/>
      </c>
      <c r="W120" s="18">
        <f>IF(B120="","",IF(NOT(I120),"INVALID_MASTER",IF(NOT(K120),"INCOMPLETE_SHELF_CYCLE",IF(N120&lt;MinHistory,"INSUFFICIENT_HISTORY",IF(NOT(J120),"INSUFFICIENT_IN_STOCK",IF(OR(Q120="",Q120=0),"NO_PRIOR_BASE",IF(Q120&lt;LowBaseThreshold,"LOW_BASE_NOISE",IF(V120="Markdown Review","MARKDOWN_PEER_GAP",IF(V120="Reorder Candidate","REORDER_UPLIFT_COVER","NO_MATERIAL_CHANGE"))))))))</f>
        <v/>
      </c>
      <c r="X120" s="18">
        <f>IF(V120="Markdown Review","Markdown support",IF(V120="Reorder Candidate","Second reorder",IF(V120="Monitor","Monitor",IF(V120="Noise","Hold / collect data",IF(V120="Not Ready","Not ready","")))))</f>
        <v/>
      </c>
      <c r="Y120" s="18">
        <f>IF(OR(R120="",T120=""),"",ABS(R120)+ABS(T120))</f>
        <v/>
      </c>
      <c r="Z120" s="21">
        <f>IF(OR(B120="",NOT(O120),R120=""),"",IF(ABS(R120)&gt;=MaterialThreshold,"Yes","No"))</f>
        <v/>
      </c>
      <c r="AA120" s="18">
        <f>IF(Z120&lt;&gt;"Yes","",IF(ABS(R120)&gt;=MaterialThreshold,IF(ABS(R120)&gt;=BroadShare,"Broad SKU movement","Store-concentrated movement"),""))</f>
        <v/>
      </c>
      <c r="AB120" s="18">
        <f>IF(O120,IF(COUNTIFS($O$5:O120,TRUE)&gt;0,COUNTIFS($O$5:O120,TRUE),0),0)</f>
        <v/>
      </c>
      <c r="AC120" s="18">
        <f>IF(V120="Markdown Review",1,IF(V120="Reorder Candidate",2,IF(V120="Monitor",3,IF(V120="Noise",4,IF(V120="Not Ready",5,99)))))</f>
        <v/>
      </c>
      <c r="AD120" s="18">
        <f>IF(O120,COUNTIFS($O$5:$O$504,TRUE,$AC$5:$AC$504,"&lt;"&amp;AC120)+COUNTIFS($O$5:O120,TRUE,$AC$5:AC120,AC120,$Y$5:Y120,"&gt;"&amp;Y120),0)</f>
        <v/>
      </c>
    </row>
    <row r="121">
      <c r="A121" s="17">
        <f>IF(COUNTA('Weekly Input'!A121:C121)=0,"",'Weekly Input'!B121&amp;"|"&amp;'Weekly Input'!C121&amp;"|"&amp;TEXT('Weekly Input'!A121,"yyyy-mm-dd"))</f>
        <v/>
      </c>
      <c r="B121" s="18">
        <f>'Weekly Input'!B121</f>
        <v/>
      </c>
      <c r="C121" s="18">
        <f>'Weekly Input'!C121</f>
        <v/>
      </c>
      <c r="D121" s="18">
        <f>IF(B121="","",IFERROR(INDEX('Master Data'!$B$6:$B$145,MATCH(B121,'Master Data'!$A$6:$A$145,0)),""))</f>
        <v/>
      </c>
      <c r="E121" s="18">
        <f>IF(C121="","",IFERROR(INDEX('Master Data'!$H$6:$H$13,MATCH(C121,'Master Data'!$F$6:$F$13,0)),""))</f>
        <v/>
      </c>
      <c r="F121" s="19">
        <f>'Weekly Input'!A121</f>
        <v/>
      </c>
      <c r="G121" s="19">
        <f>IF(B121="","",IFERROR(INDEX('Master Data'!$D$6:$D$145,MATCH(B121,'Master Data'!$A$6:$A$145,0)),""))</f>
        <v/>
      </c>
      <c r="H121" s="18">
        <f>IF(OR(F121="",G121=""),"",F121-G121)</f>
        <v/>
      </c>
      <c r="I121" s="18">
        <f>IF(B121="","",IF('Weekly Input'!J121="OK",TRUE,FALSE))</f>
        <v/>
      </c>
      <c r="J121" s="18">
        <f>IF(B121="","",'Weekly Input'!H121&gt;=MinInStockDays)</f>
        <v/>
      </c>
      <c r="K121" s="18">
        <f>IF(B121="","",H121&gt;=FullCycleMin)</f>
        <v/>
      </c>
      <c r="L121" s="18">
        <f>IF(B121="","",AND(I121,J121,K121,N121&gt;=MinHistory))</f>
        <v/>
      </c>
      <c r="M121" s="20">
        <f>IF(OR(B121="",'Weekly Input'!H121=0),"",'Weekly Input'!D121/'Weekly Input'!H121*7)</f>
        <v/>
      </c>
      <c r="N121" s="18">
        <f>IF(B121="","",COUNTIFS($B$5:$B$504,B121,$C$5:$C$504,C121,$I$5:$I$504,TRUE,$J$5:$J$504,TRUE,$K$5:$K$504,TRUE))</f>
        <v/>
      </c>
      <c r="O121" s="18">
        <f>IF(B121="","",AND(F121=AsOfWeek,AsOfWeek&lt;&gt;""))</f>
        <v/>
      </c>
      <c r="P121" s="20">
        <f>IF(OR(B121="",AsOfWeek=""),"",IFERROR(SUMIFS($M$5:$M$504,$B$5:$B$504,B121,$C$5:$C$504,C121,$L$5:$L$504,TRUE,$F$5:$F$504,"&gt;="&amp;AsOfWeek-7*(RecentWeeks-1),$F$5:$F$504,"&lt;="&amp;AsOfWeek),""))</f>
        <v/>
      </c>
      <c r="Q121" s="20">
        <f>IF(OR(B121="",AsOfWeek=""),"",IFERROR(SUMIFS($M$5:$M$504,$B$5:$B$504,B121,$C$5:$C$504,C121,$L$5:$L$504,TRUE,$F$5:$F$504,"&gt;="&amp;AsOfWeek-7*(RecentWeeks+PriorWeeks-1),$F$5:$F$504,"&lt;"&amp;AsOfWeek-7*(RecentWeeks-1)),""))</f>
        <v/>
      </c>
      <c r="R121" s="21">
        <f>IF(OR(P121="",Q121="",Q121=0),"",P121/Q121-1)</f>
        <v/>
      </c>
      <c r="S121" s="20">
        <f>IF(OR(C121="",AsOfWeek=""),"",IFERROR(AVERAGEIFS($M$5:$M$504,$C$5:$C$504,C121,$L$5:$L$504,TRUE,$F$5:$F$504,"&gt;="&amp;AsOfWeek-7*(RecentWeeks-1),$F$5:$F$504,"&lt;="&amp;AsOfWeek),""))</f>
        <v/>
      </c>
      <c r="T121" s="21">
        <f>IF(OR(P121="",S121=""),"",P121/S121-1)</f>
        <v/>
      </c>
      <c r="U121" s="22">
        <f>IF(OR(B121="",'Weekly Input'!G121="",P121="",P121=0),"",'Weekly Input'!G121/P121)</f>
        <v/>
      </c>
      <c r="V121" s="18">
        <f>IF(B121="","",IF(NOT(I121),"Not Ready",IF(NOT(K121),"Not Ready",IF(N121&lt;MinHistory,"Not Ready",IF(NOT(J121),"Not Ready",IF(OR(Q121="",Q121=0),"Noise",IF(Q121&lt;LowBaseThreshold,"Noise",IF(AND(R121&lt;=-OwnDecline,T121&lt;=-PeerGapThreshold),"Markdown Review",IF(AND(R121&gt;=ReorderUplift,U121&lt;&gt;"",U121&lt;=WeeksSupplyCap),"Reorder Candidate","Monitor"))))))))</f>
        <v/>
      </c>
      <c r="W121" s="18">
        <f>IF(B121="","",IF(NOT(I121),"INVALID_MASTER",IF(NOT(K121),"INCOMPLETE_SHELF_CYCLE",IF(N121&lt;MinHistory,"INSUFFICIENT_HISTORY",IF(NOT(J121),"INSUFFICIENT_IN_STOCK",IF(OR(Q121="",Q121=0),"NO_PRIOR_BASE",IF(Q121&lt;LowBaseThreshold,"LOW_BASE_NOISE",IF(V121="Markdown Review","MARKDOWN_PEER_GAP",IF(V121="Reorder Candidate","REORDER_UPLIFT_COVER","NO_MATERIAL_CHANGE"))))))))</f>
        <v/>
      </c>
      <c r="X121" s="18">
        <f>IF(V121="Markdown Review","Markdown support",IF(V121="Reorder Candidate","Second reorder",IF(V121="Monitor","Monitor",IF(V121="Noise","Hold / collect data",IF(V121="Not Ready","Not ready","")))))</f>
        <v/>
      </c>
      <c r="Y121" s="18">
        <f>IF(OR(R121="",T121=""),"",ABS(R121)+ABS(T121))</f>
        <v/>
      </c>
      <c r="Z121" s="21">
        <f>IF(OR(B121="",NOT(O121),R121=""),"",IF(ABS(R121)&gt;=MaterialThreshold,"Yes","No"))</f>
        <v/>
      </c>
      <c r="AA121" s="18">
        <f>IF(Z121&lt;&gt;"Yes","",IF(ABS(R121)&gt;=MaterialThreshold,IF(ABS(R121)&gt;=BroadShare,"Broad SKU movement","Store-concentrated movement"),""))</f>
        <v/>
      </c>
      <c r="AB121" s="18">
        <f>IF(O121,IF(COUNTIFS($O$5:O121,TRUE)&gt;0,COUNTIFS($O$5:O121,TRUE),0),0)</f>
        <v/>
      </c>
      <c r="AC121" s="18">
        <f>IF(V121="Markdown Review",1,IF(V121="Reorder Candidate",2,IF(V121="Monitor",3,IF(V121="Noise",4,IF(V121="Not Ready",5,99)))))</f>
        <v/>
      </c>
      <c r="AD121" s="18">
        <f>IF(O121,COUNTIFS($O$5:$O$504,TRUE,$AC$5:$AC$504,"&lt;"&amp;AC121)+COUNTIFS($O$5:O121,TRUE,$AC$5:AC121,AC121,$Y$5:Y121,"&gt;"&amp;Y121),0)</f>
        <v/>
      </c>
    </row>
    <row r="122">
      <c r="A122" s="17">
        <f>IF(COUNTA('Weekly Input'!A122:C122)=0,"",'Weekly Input'!B122&amp;"|"&amp;'Weekly Input'!C122&amp;"|"&amp;TEXT('Weekly Input'!A122,"yyyy-mm-dd"))</f>
        <v/>
      </c>
      <c r="B122" s="18">
        <f>'Weekly Input'!B122</f>
        <v/>
      </c>
      <c r="C122" s="18">
        <f>'Weekly Input'!C122</f>
        <v/>
      </c>
      <c r="D122" s="18">
        <f>IF(B122="","",IFERROR(INDEX('Master Data'!$B$6:$B$145,MATCH(B122,'Master Data'!$A$6:$A$145,0)),""))</f>
        <v/>
      </c>
      <c r="E122" s="18">
        <f>IF(C122="","",IFERROR(INDEX('Master Data'!$H$6:$H$13,MATCH(C122,'Master Data'!$F$6:$F$13,0)),""))</f>
        <v/>
      </c>
      <c r="F122" s="19">
        <f>'Weekly Input'!A122</f>
        <v/>
      </c>
      <c r="G122" s="19">
        <f>IF(B122="","",IFERROR(INDEX('Master Data'!$D$6:$D$145,MATCH(B122,'Master Data'!$A$6:$A$145,0)),""))</f>
        <v/>
      </c>
      <c r="H122" s="18">
        <f>IF(OR(F122="",G122=""),"",F122-G122)</f>
        <v/>
      </c>
      <c r="I122" s="18">
        <f>IF(B122="","",IF('Weekly Input'!J122="OK",TRUE,FALSE))</f>
        <v/>
      </c>
      <c r="J122" s="18">
        <f>IF(B122="","",'Weekly Input'!H122&gt;=MinInStockDays)</f>
        <v/>
      </c>
      <c r="K122" s="18">
        <f>IF(B122="","",H122&gt;=FullCycleMin)</f>
        <v/>
      </c>
      <c r="L122" s="18">
        <f>IF(B122="","",AND(I122,J122,K122,N122&gt;=MinHistory))</f>
        <v/>
      </c>
      <c r="M122" s="20">
        <f>IF(OR(B122="",'Weekly Input'!H122=0),"",'Weekly Input'!D122/'Weekly Input'!H122*7)</f>
        <v/>
      </c>
      <c r="N122" s="18">
        <f>IF(B122="","",COUNTIFS($B$5:$B$504,B122,$C$5:$C$504,C122,$I$5:$I$504,TRUE,$J$5:$J$504,TRUE,$K$5:$K$504,TRUE))</f>
        <v/>
      </c>
      <c r="O122" s="18">
        <f>IF(B122="","",AND(F122=AsOfWeek,AsOfWeek&lt;&gt;""))</f>
        <v/>
      </c>
      <c r="P122" s="20">
        <f>IF(OR(B122="",AsOfWeek=""),"",IFERROR(SUMIFS($M$5:$M$504,$B$5:$B$504,B122,$C$5:$C$504,C122,$L$5:$L$504,TRUE,$F$5:$F$504,"&gt;="&amp;AsOfWeek-7*(RecentWeeks-1),$F$5:$F$504,"&lt;="&amp;AsOfWeek),""))</f>
        <v/>
      </c>
      <c r="Q122" s="20">
        <f>IF(OR(B122="",AsOfWeek=""),"",IFERROR(SUMIFS($M$5:$M$504,$B$5:$B$504,B122,$C$5:$C$504,C122,$L$5:$L$504,TRUE,$F$5:$F$504,"&gt;="&amp;AsOfWeek-7*(RecentWeeks+PriorWeeks-1),$F$5:$F$504,"&lt;"&amp;AsOfWeek-7*(RecentWeeks-1)),""))</f>
        <v/>
      </c>
      <c r="R122" s="21">
        <f>IF(OR(P122="",Q122="",Q122=0),"",P122/Q122-1)</f>
        <v/>
      </c>
      <c r="S122" s="20">
        <f>IF(OR(C122="",AsOfWeek=""),"",IFERROR(AVERAGEIFS($M$5:$M$504,$C$5:$C$504,C122,$L$5:$L$504,TRUE,$F$5:$F$504,"&gt;="&amp;AsOfWeek-7*(RecentWeeks-1),$F$5:$F$504,"&lt;="&amp;AsOfWeek),""))</f>
        <v/>
      </c>
      <c r="T122" s="21">
        <f>IF(OR(P122="",S122=""),"",P122/S122-1)</f>
        <v/>
      </c>
      <c r="U122" s="22">
        <f>IF(OR(B122="",'Weekly Input'!G122="",P122="",P122=0),"",'Weekly Input'!G122/P122)</f>
        <v/>
      </c>
      <c r="V122" s="18">
        <f>IF(B122="","",IF(NOT(I122),"Not Ready",IF(NOT(K122),"Not Ready",IF(N122&lt;MinHistory,"Not Ready",IF(NOT(J122),"Not Ready",IF(OR(Q122="",Q122=0),"Noise",IF(Q122&lt;LowBaseThreshold,"Noise",IF(AND(R122&lt;=-OwnDecline,T122&lt;=-PeerGapThreshold),"Markdown Review",IF(AND(R122&gt;=ReorderUplift,U122&lt;&gt;"",U122&lt;=WeeksSupplyCap),"Reorder Candidate","Monitor"))))))))</f>
        <v/>
      </c>
      <c r="W122" s="18">
        <f>IF(B122="","",IF(NOT(I122),"INVALID_MASTER",IF(NOT(K122),"INCOMPLETE_SHELF_CYCLE",IF(N122&lt;MinHistory,"INSUFFICIENT_HISTORY",IF(NOT(J122),"INSUFFICIENT_IN_STOCK",IF(OR(Q122="",Q122=0),"NO_PRIOR_BASE",IF(Q122&lt;LowBaseThreshold,"LOW_BASE_NOISE",IF(V122="Markdown Review","MARKDOWN_PEER_GAP",IF(V122="Reorder Candidate","REORDER_UPLIFT_COVER","NO_MATERIAL_CHANGE"))))))))</f>
        <v/>
      </c>
      <c r="X122" s="18">
        <f>IF(V122="Markdown Review","Markdown support",IF(V122="Reorder Candidate","Second reorder",IF(V122="Monitor","Monitor",IF(V122="Noise","Hold / collect data",IF(V122="Not Ready","Not ready","")))))</f>
        <v/>
      </c>
      <c r="Y122" s="18">
        <f>IF(OR(R122="",T122=""),"",ABS(R122)+ABS(T122))</f>
        <v/>
      </c>
      <c r="Z122" s="21">
        <f>IF(OR(B122="",NOT(O122),R122=""),"",IF(ABS(R122)&gt;=MaterialThreshold,"Yes","No"))</f>
        <v/>
      </c>
      <c r="AA122" s="18">
        <f>IF(Z122&lt;&gt;"Yes","",IF(ABS(R122)&gt;=MaterialThreshold,IF(ABS(R122)&gt;=BroadShare,"Broad SKU movement","Store-concentrated movement"),""))</f>
        <v/>
      </c>
      <c r="AB122" s="18">
        <f>IF(O122,IF(COUNTIFS($O$5:O122,TRUE)&gt;0,COUNTIFS($O$5:O122,TRUE),0),0)</f>
        <v/>
      </c>
      <c r="AC122" s="18">
        <f>IF(V122="Markdown Review",1,IF(V122="Reorder Candidate",2,IF(V122="Monitor",3,IF(V122="Noise",4,IF(V122="Not Ready",5,99)))))</f>
        <v/>
      </c>
      <c r="AD122" s="18">
        <f>IF(O122,COUNTIFS($O$5:$O$504,TRUE,$AC$5:$AC$504,"&lt;"&amp;AC122)+COUNTIFS($O$5:O122,TRUE,$AC$5:AC122,AC122,$Y$5:Y122,"&gt;"&amp;Y122),0)</f>
        <v/>
      </c>
    </row>
    <row r="123">
      <c r="A123" s="17">
        <f>IF(COUNTA('Weekly Input'!A123:C123)=0,"",'Weekly Input'!B123&amp;"|"&amp;'Weekly Input'!C123&amp;"|"&amp;TEXT('Weekly Input'!A123,"yyyy-mm-dd"))</f>
        <v/>
      </c>
      <c r="B123" s="18">
        <f>'Weekly Input'!B123</f>
        <v/>
      </c>
      <c r="C123" s="18">
        <f>'Weekly Input'!C123</f>
        <v/>
      </c>
      <c r="D123" s="18">
        <f>IF(B123="","",IFERROR(INDEX('Master Data'!$B$6:$B$145,MATCH(B123,'Master Data'!$A$6:$A$145,0)),""))</f>
        <v/>
      </c>
      <c r="E123" s="18">
        <f>IF(C123="","",IFERROR(INDEX('Master Data'!$H$6:$H$13,MATCH(C123,'Master Data'!$F$6:$F$13,0)),""))</f>
        <v/>
      </c>
      <c r="F123" s="19">
        <f>'Weekly Input'!A123</f>
        <v/>
      </c>
      <c r="G123" s="19">
        <f>IF(B123="","",IFERROR(INDEX('Master Data'!$D$6:$D$145,MATCH(B123,'Master Data'!$A$6:$A$145,0)),""))</f>
        <v/>
      </c>
      <c r="H123" s="18">
        <f>IF(OR(F123="",G123=""),"",F123-G123)</f>
        <v/>
      </c>
      <c r="I123" s="18">
        <f>IF(B123="","",IF('Weekly Input'!J123="OK",TRUE,FALSE))</f>
        <v/>
      </c>
      <c r="J123" s="18">
        <f>IF(B123="","",'Weekly Input'!H123&gt;=MinInStockDays)</f>
        <v/>
      </c>
      <c r="K123" s="18">
        <f>IF(B123="","",H123&gt;=FullCycleMin)</f>
        <v/>
      </c>
      <c r="L123" s="18">
        <f>IF(B123="","",AND(I123,J123,K123,N123&gt;=MinHistory))</f>
        <v/>
      </c>
      <c r="M123" s="20">
        <f>IF(OR(B123="",'Weekly Input'!H123=0),"",'Weekly Input'!D123/'Weekly Input'!H123*7)</f>
        <v/>
      </c>
      <c r="N123" s="18">
        <f>IF(B123="","",COUNTIFS($B$5:$B$504,B123,$C$5:$C$504,C123,$I$5:$I$504,TRUE,$J$5:$J$504,TRUE,$K$5:$K$504,TRUE))</f>
        <v/>
      </c>
      <c r="O123" s="18">
        <f>IF(B123="","",AND(F123=AsOfWeek,AsOfWeek&lt;&gt;""))</f>
        <v/>
      </c>
      <c r="P123" s="20">
        <f>IF(OR(B123="",AsOfWeek=""),"",IFERROR(SUMIFS($M$5:$M$504,$B$5:$B$504,B123,$C$5:$C$504,C123,$L$5:$L$504,TRUE,$F$5:$F$504,"&gt;="&amp;AsOfWeek-7*(RecentWeeks-1),$F$5:$F$504,"&lt;="&amp;AsOfWeek),""))</f>
        <v/>
      </c>
      <c r="Q123" s="20">
        <f>IF(OR(B123="",AsOfWeek=""),"",IFERROR(SUMIFS($M$5:$M$504,$B$5:$B$504,B123,$C$5:$C$504,C123,$L$5:$L$504,TRUE,$F$5:$F$504,"&gt;="&amp;AsOfWeek-7*(RecentWeeks+PriorWeeks-1),$F$5:$F$504,"&lt;"&amp;AsOfWeek-7*(RecentWeeks-1)),""))</f>
        <v/>
      </c>
      <c r="R123" s="21">
        <f>IF(OR(P123="",Q123="",Q123=0),"",P123/Q123-1)</f>
        <v/>
      </c>
      <c r="S123" s="20">
        <f>IF(OR(C123="",AsOfWeek=""),"",IFERROR(AVERAGEIFS($M$5:$M$504,$C$5:$C$504,C123,$L$5:$L$504,TRUE,$F$5:$F$504,"&gt;="&amp;AsOfWeek-7*(RecentWeeks-1),$F$5:$F$504,"&lt;="&amp;AsOfWeek),""))</f>
        <v/>
      </c>
      <c r="T123" s="21">
        <f>IF(OR(P123="",S123=""),"",P123/S123-1)</f>
        <v/>
      </c>
      <c r="U123" s="22">
        <f>IF(OR(B123="",'Weekly Input'!G123="",P123="",P123=0),"",'Weekly Input'!G123/P123)</f>
        <v/>
      </c>
      <c r="V123" s="18">
        <f>IF(B123="","",IF(NOT(I123),"Not Ready",IF(NOT(K123),"Not Ready",IF(N123&lt;MinHistory,"Not Ready",IF(NOT(J123),"Not Ready",IF(OR(Q123="",Q123=0),"Noise",IF(Q123&lt;LowBaseThreshold,"Noise",IF(AND(R123&lt;=-OwnDecline,T123&lt;=-PeerGapThreshold),"Markdown Review",IF(AND(R123&gt;=ReorderUplift,U123&lt;&gt;"",U123&lt;=WeeksSupplyCap),"Reorder Candidate","Monitor"))))))))</f>
        <v/>
      </c>
      <c r="W123" s="18">
        <f>IF(B123="","",IF(NOT(I123),"INVALID_MASTER",IF(NOT(K123),"INCOMPLETE_SHELF_CYCLE",IF(N123&lt;MinHistory,"INSUFFICIENT_HISTORY",IF(NOT(J123),"INSUFFICIENT_IN_STOCK",IF(OR(Q123="",Q123=0),"NO_PRIOR_BASE",IF(Q123&lt;LowBaseThreshold,"LOW_BASE_NOISE",IF(V123="Markdown Review","MARKDOWN_PEER_GAP",IF(V123="Reorder Candidate","REORDER_UPLIFT_COVER","NO_MATERIAL_CHANGE"))))))))</f>
        <v/>
      </c>
      <c r="X123" s="18">
        <f>IF(V123="Markdown Review","Markdown support",IF(V123="Reorder Candidate","Second reorder",IF(V123="Monitor","Monitor",IF(V123="Noise","Hold / collect data",IF(V123="Not Ready","Not ready","")))))</f>
        <v/>
      </c>
      <c r="Y123" s="18">
        <f>IF(OR(R123="",T123=""),"",ABS(R123)+ABS(T123))</f>
        <v/>
      </c>
      <c r="Z123" s="21">
        <f>IF(OR(B123="",NOT(O123),R123=""),"",IF(ABS(R123)&gt;=MaterialThreshold,"Yes","No"))</f>
        <v/>
      </c>
      <c r="AA123" s="18">
        <f>IF(Z123&lt;&gt;"Yes","",IF(ABS(R123)&gt;=MaterialThreshold,IF(ABS(R123)&gt;=BroadShare,"Broad SKU movement","Store-concentrated movement"),""))</f>
        <v/>
      </c>
      <c r="AB123" s="18">
        <f>IF(O123,IF(COUNTIFS($O$5:O123,TRUE)&gt;0,COUNTIFS($O$5:O123,TRUE),0),0)</f>
        <v/>
      </c>
      <c r="AC123" s="18">
        <f>IF(V123="Markdown Review",1,IF(V123="Reorder Candidate",2,IF(V123="Monitor",3,IF(V123="Noise",4,IF(V123="Not Ready",5,99)))))</f>
        <v/>
      </c>
      <c r="AD123" s="18">
        <f>IF(O123,COUNTIFS($O$5:$O$504,TRUE,$AC$5:$AC$504,"&lt;"&amp;AC123)+COUNTIFS($O$5:O123,TRUE,$AC$5:AC123,AC123,$Y$5:Y123,"&gt;"&amp;Y123),0)</f>
        <v/>
      </c>
    </row>
    <row r="124">
      <c r="A124" s="17">
        <f>IF(COUNTA('Weekly Input'!A124:C124)=0,"",'Weekly Input'!B124&amp;"|"&amp;'Weekly Input'!C124&amp;"|"&amp;TEXT('Weekly Input'!A124,"yyyy-mm-dd"))</f>
        <v/>
      </c>
      <c r="B124" s="18">
        <f>'Weekly Input'!B124</f>
        <v/>
      </c>
      <c r="C124" s="18">
        <f>'Weekly Input'!C124</f>
        <v/>
      </c>
      <c r="D124" s="18">
        <f>IF(B124="","",IFERROR(INDEX('Master Data'!$B$6:$B$145,MATCH(B124,'Master Data'!$A$6:$A$145,0)),""))</f>
        <v/>
      </c>
      <c r="E124" s="18">
        <f>IF(C124="","",IFERROR(INDEX('Master Data'!$H$6:$H$13,MATCH(C124,'Master Data'!$F$6:$F$13,0)),""))</f>
        <v/>
      </c>
      <c r="F124" s="19">
        <f>'Weekly Input'!A124</f>
        <v/>
      </c>
      <c r="G124" s="19">
        <f>IF(B124="","",IFERROR(INDEX('Master Data'!$D$6:$D$145,MATCH(B124,'Master Data'!$A$6:$A$145,0)),""))</f>
        <v/>
      </c>
      <c r="H124" s="18">
        <f>IF(OR(F124="",G124=""),"",F124-G124)</f>
        <v/>
      </c>
      <c r="I124" s="18">
        <f>IF(B124="","",IF('Weekly Input'!J124="OK",TRUE,FALSE))</f>
        <v/>
      </c>
      <c r="J124" s="18">
        <f>IF(B124="","",'Weekly Input'!H124&gt;=MinInStockDays)</f>
        <v/>
      </c>
      <c r="K124" s="18">
        <f>IF(B124="","",H124&gt;=FullCycleMin)</f>
        <v/>
      </c>
      <c r="L124" s="18">
        <f>IF(B124="","",AND(I124,J124,K124,N124&gt;=MinHistory))</f>
        <v/>
      </c>
      <c r="M124" s="20">
        <f>IF(OR(B124="",'Weekly Input'!H124=0),"",'Weekly Input'!D124/'Weekly Input'!H124*7)</f>
        <v/>
      </c>
      <c r="N124" s="18">
        <f>IF(B124="","",COUNTIFS($B$5:$B$504,B124,$C$5:$C$504,C124,$I$5:$I$504,TRUE,$J$5:$J$504,TRUE,$K$5:$K$504,TRUE))</f>
        <v/>
      </c>
      <c r="O124" s="18">
        <f>IF(B124="","",AND(F124=AsOfWeek,AsOfWeek&lt;&gt;""))</f>
        <v/>
      </c>
      <c r="P124" s="20">
        <f>IF(OR(B124="",AsOfWeek=""),"",IFERROR(SUMIFS($M$5:$M$504,$B$5:$B$504,B124,$C$5:$C$504,C124,$L$5:$L$504,TRUE,$F$5:$F$504,"&gt;="&amp;AsOfWeek-7*(RecentWeeks-1),$F$5:$F$504,"&lt;="&amp;AsOfWeek),""))</f>
        <v/>
      </c>
      <c r="Q124" s="20">
        <f>IF(OR(B124="",AsOfWeek=""),"",IFERROR(SUMIFS($M$5:$M$504,$B$5:$B$504,B124,$C$5:$C$504,C124,$L$5:$L$504,TRUE,$F$5:$F$504,"&gt;="&amp;AsOfWeek-7*(RecentWeeks+PriorWeeks-1),$F$5:$F$504,"&lt;"&amp;AsOfWeek-7*(RecentWeeks-1)),""))</f>
        <v/>
      </c>
      <c r="R124" s="21">
        <f>IF(OR(P124="",Q124="",Q124=0),"",P124/Q124-1)</f>
        <v/>
      </c>
      <c r="S124" s="20">
        <f>IF(OR(C124="",AsOfWeek=""),"",IFERROR(AVERAGEIFS($M$5:$M$504,$C$5:$C$504,C124,$L$5:$L$504,TRUE,$F$5:$F$504,"&gt;="&amp;AsOfWeek-7*(RecentWeeks-1),$F$5:$F$504,"&lt;="&amp;AsOfWeek),""))</f>
        <v/>
      </c>
      <c r="T124" s="21">
        <f>IF(OR(P124="",S124=""),"",P124/S124-1)</f>
        <v/>
      </c>
      <c r="U124" s="22">
        <f>IF(OR(B124="",'Weekly Input'!G124="",P124="",P124=0),"",'Weekly Input'!G124/P124)</f>
        <v/>
      </c>
      <c r="V124" s="18">
        <f>IF(B124="","",IF(NOT(I124),"Not Ready",IF(NOT(K124),"Not Ready",IF(N124&lt;MinHistory,"Not Ready",IF(NOT(J124),"Not Ready",IF(OR(Q124="",Q124=0),"Noise",IF(Q124&lt;LowBaseThreshold,"Noise",IF(AND(R124&lt;=-OwnDecline,T124&lt;=-PeerGapThreshold),"Markdown Review",IF(AND(R124&gt;=ReorderUplift,U124&lt;&gt;"",U124&lt;=WeeksSupplyCap),"Reorder Candidate","Monitor"))))))))</f>
        <v/>
      </c>
      <c r="W124" s="18">
        <f>IF(B124="","",IF(NOT(I124),"INVALID_MASTER",IF(NOT(K124),"INCOMPLETE_SHELF_CYCLE",IF(N124&lt;MinHistory,"INSUFFICIENT_HISTORY",IF(NOT(J124),"INSUFFICIENT_IN_STOCK",IF(OR(Q124="",Q124=0),"NO_PRIOR_BASE",IF(Q124&lt;LowBaseThreshold,"LOW_BASE_NOISE",IF(V124="Markdown Review","MARKDOWN_PEER_GAP",IF(V124="Reorder Candidate","REORDER_UPLIFT_COVER","NO_MATERIAL_CHANGE"))))))))</f>
        <v/>
      </c>
      <c r="X124" s="18">
        <f>IF(V124="Markdown Review","Markdown support",IF(V124="Reorder Candidate","Second reorder",IF(V124="Monitor","Monitor",IF(V124="Noise","Hold / collect data",IF(V124="Not Ready","Not ready","")))))</f>
        <v/>
      </c>
      <c r="Y124" s="18">
        <f>IF(OR(R124="",T124=""),"",ABS(R124)+ABS(T124))</f>
        <v/>
      </c>
      <c r="Z124" s="21">
        <f>IF(OR(B124="",NOT(O124),R124=""),"",IF(ABS(R124)&gt;=MaterialThreshold,"Yes","No"))</f>
        <v/>
      </c>
      <c r="AA124" s="18">
        <f>IF(Z124&lt;&gt;"Yes","",IF(ABS(R124)&gt;=MaterialThreshold,IF(ABS(R124)&gt;=BroadShare,"Broad SKU movement","Store-concentrated movement"),""))</f>
        <v/>
      </c>
      <c r="AB124" s="18">
        <f>IF(O124,IF(COUNTIFS($O$5:O124,TRUE)&gt;0,COUNTIFS($O$5:O124,TRUE),0),0)</f>
        <v/>
      </c>
      <c r="AC124" s="18">
        <f>IF(V124="Markdown Review",1,IF(V124="Reorder Candidate",2,IF(V124="Monitor",3,IF(V124="Noise",4,IF(V124="Not Ready",5,99)))))</f>
        <v/>
      </c>
      <c r="AD124" s="18">
        <f>IF(O124,COUNTIFS($O$5:$O$504,TRUE,$AC$5:$AC$504,"&lt;"&amp;AC124)+COUNTIFS($O$5:O124,TRUE,$AC$5:AC124,AC124,$Y$5:Y124,"&gt;"&amp;Y124),0)</f>
        <v/>
      </c>
    </row>
    <row r="125">
      <c r="A125" s="17">
        <f>IF(COUNTA('Weekly Input'!A125:C125)=0,"",'Weekly Input'!B125&amp;"|"&amp;'Weekly Input'!C125&amp;"|"&amp;TEXT('Weekly Input'!A125,"yyyy-mm-dd"))</f>
        <v/>
      </c>
      <c r="B125" s="18">
        <f>'Weekly Input'!B125</f>
        <v/>
      </c>
      <c r="C125" s="18">
        <f>'Weekly Input'!C125</f>
        <v/>
      </c>
      <c r="D125" s="18">
        <f>IF(B125="","",IFERROR(INDEX('Master Data'!$B$6:$B$145,MATCH(B125,'Master Data'!$A$6:$A$145,0)),""))</f>
        <v/>
      </c>
      <c r="E125" s="18">
        <f>IF(C125="","",IFERROR(INDEX('Master Data'!$H$6:$H$13,MATCH(C125,'Master Data'!$F$6:$F$13,0)),""))</f>
        <v/>
      </c>
      <c r="F125" s="19">
        <f>'Weekly Input'!A125</f>
        <v/>
      </c>
      <c r="G125" s="19">
        <f>IF(B125="","",IFERROR(INDEX('Master Data'!$D$6:$D$145,MATCH(B125,'Master Data'!$A$6:$A$145,0)),""))</f>
        <v/>
      </c>
      <c r="H125" s="18">
        <f>IF(OR(F125="",G125=""),"",F125-G125)</f>
        <v/>
      </c>
      <c r="I125" s="18">
        <f>IF(B125="","",IF('Weekly Input'!J125="OK",TRUE,FALSE))</f>
        <v/>
      </c>
      <c r="J125" s="18">
        <f>IF(B125="","",'Weekly Input'!H125&gt;=MinInStockDays)</f>
        <v/>
      </c>
      <c r="K125" s="18">
        <f>IF(B125="","",H125&gt;=FullCycleMin)</f>
        <v/>
      </c>
      <c r="L125" s="18">
        <f>IF(B125="","",AND(I125,J125,K125,N125&gt;=MinHistory))</f>
        <v/>
      </c>
      <c r="M125" s="20">
        <f>IF(OR(B125="",'Weekly Input'!H125=0),"",'Weekly Input'!D125/'Weekly Input'!H125*7)</f>
        <v/>
      </c>
      <c r="N125" s="18">
        <f>IF(B125="","",COUNTIFS($B$5:$B$504,B125,$C$5:$C$504,C125,$I$5:$I$504,TRUE,$J$5:$J$504,TRUE,$K$5:$K$504,TRUE))</f>
        <v/>
      </c>
      <c r="O125" s="18">
        <f>IF(B125="","",AND(F125=AsOfWeek,AsOfWeek&lt;&gt;""))</f>
        <v/>
      </c>
      <c r="P125" s="20">
        <f>IF(OR(B125="",AsOfWeek=""),"",IFERROR(SUMIFS($M$5:$M$504,$B$5:$B$504,B125,$C$5:$C$504,C125,$L$5:$L$504,TRUE,$F$5:$F$504,"&gt;="&amp;AsOfWeek-7*(RecentWeeks-1),$F$5:$F$504,"&lt;="&amp;AsOfWeek),""))</f>
        <v/>
      </c>
      <c r="Q125" s="20">
        <f>IF(OR(B125="",AsOfWeek=""),"",IFERROR(SUMIFS($M$5:$M$504,$B$5:$B$504,B125,$C$5:$C$504,C125,$L$5:$L$504,TRUE,$F$5:$F$504,"&gt;="&amp;AsOfWeek-7*(RecentWeeks+PriorWeeks-1),$F$5:$F$504,"&lt;"&amp;AsOfWeek-7*(RecentWeeks-1)),""))</f>
        <v/>
      </c>
      <c r="R125" s="21">
        <f>IF(OR(P125="",Q125="",Q125=0),"",P125/Q125-1)</f>
        <v/>
      </c>
      <c r="S125" s="20">
        <f>IF(OR(C125="",AsOfWeek=""),"",IFERROR(AVERAGEIFS($M$5:$M$504,$C$5:$C$504,C125,$L$5:$L$504,TRUE,$F$5:$F$504,"&gt;="&amp;AsOfWeek-7*(RecentWeeks-1),$F$5:$F$504,"&lt;="&amp;AsOfWeek),""))</f>
        <v/>
      </c>
      <c r="T125" s="21">
        <f>IF(OR(P125="",S125=""),"",P125/S125-1)</f>
        <v/>
      </c>
      <c r="U125" s="22">
        <f>IF(OR(B125="",'Weekly Input'!G125="",P125="",P125=0),"",'Weekly Input'!G125/P125)</f>
        <v/>
      </c>
      <c r="V125" s="18">
        <f>IF(B125="","",IF(NOT(I125),"Not Ready",IF(NOT(K125),"Not Ready",IF(N125&lt;MinHistory,"Not Ready",IF(NOT(J125),"Not Ready",IF(OR(Q125="",Q125=0),"Noise",IF(Q125&lt;LowBaseThreshold,"Noise",IF(AND(R125&lt;=-OwnDecline,T125&lt;=-PeerGapThreshold),"Markdown Review",IF(AND(R125&gt;=ReorderUplift,U125&lt;&gt;"",U125&lt;=WeeksSupplyCap),"Reorder Candidate","Monitor"))))))))</f>
        <v/>
      </c>
      <c r="W125" s="18">
        <f>IF(B125="","",IF(NOT(I125),"INVALID_MASTER",IF(NOT(K125),"INCOMPLETE_SHELF_CYCLE",IF(N125&lt;MinHistory,"INSUFFICIENT_HISTORY",IF(NOT(J125),"INSUFFICIENT_IN_STOCK",IF(OR(Q125="",Q125=0),"NO_PRIOR_BASE",IF(Q125&lt;LowBaseThreshold,"LOW_BASE_NOISE",IF(V125="Markdown Review","MARKDOWN_PEER_GAP",IF(V125="Reorder Candidate","REORDER_UPLIFT_COVER","NO_MATERIAL_CHANGE"))))))))</f>
        <v/>
      </c>
      <c r="X125" s="18">
        <f>IF(V125="Markdown Review","Markdown support",IF(V125="Reorder Candidate","Second reorder",IF(V125="Monitor","Monitor",IF(V125="Noise","Hold / collect data",IF(V125="Not Ready","Not ready","")))))</f>
        <v/>
      </c>
      <c r="Y125" s="18">
        <f>IF(OR(R125="",T125=""),"",ABS(R125)+ABS(T125))</f>
        <v/>
      </c>
      <c r="Z125" s="21">
        <f>IF(OR(B125="",NOT(O125),R125=""),"",IF(ABS(R125)&gt;=MaterialThreshold,"Yes","No"))</f>
        <v/>
      </c>
      <c r="AA125" s="18">
        <f>IF(Z125&lt;&gt;"Yes","",IF(ABS(R125)&gt;=MaterialThreshold,IF(ABS(R125)&gt;=BroadShare,"Broad SKU movement","Store-concentrated movement"),""))</f>
        <v/>
      </c>
      <c r="AB125" s="18">
        <f>IF(O125,IF(COUNTIFS($O$5:O125,TRUE)&gt;0,COUNTIFS($O$5:O125,TRUE),0),0)</f>
        <v/>
      </c>
      <c r="AC125" s="18">
        <f>IF(V125="Markdown Review",1,IF(V125="Reorder Candidate",2,IF(V125="Monitor",3,IF(V125="Noise",4,IF(V125="Not Ready",5,99)))))</f>
        <v/>
      </c>
      <c r="AD125" s="18">
        <f>IF(O125,COUNTIFS($O$5:$O$504,TRUE,$AC$5:$AC$504,"&lt;"&amp;AC125)+COUNTIFS($O$5:O125,TRUE,$AC$5:AC125,AC125,$Y$5:Y125,"&gt;"&amp;Y125),0)</f>
        <v/>
      </c>
    </row>
    <row r="126">
      <c r="A126" s="17">
        <f>IF(COUNTA('Weekly Input'!A126:C126)=0,"",'Weekly Input'!B126&amp;"|"&amp;'Weekly Input'!C126&amp;"|"&amp;TEXT('Weekly Input'!A126,"yyyy-mm-dd"))</f>
        <v/>
      </c>
      <c r="B126" s="18">
        <f>'Weekly Input'!B126</f>
        <v/>
      </c>
      <c r="C126" s="18">
        <f>'Weekly Input'!C126</f>
        <v/>
      </c>
      <c r="D126" s="18">
        <f>IF(B126="","",IFERROR(INDEX('Master Data'!$B$6:$B$145,MATCH(B126,'Master Data'!$A$6:$A$145,0)),""))</f>
        <v/>
      </c>
      <c r="E126" s="18">
        <f>IF(C126="","",IFERROR(INDEX('Master Data'!$H$6:$H$13,MATCH(C126,'Master Data'!$F$6:$F$13,0)),""))</f>
        <v/>
      </c>
      <c r="F126" s="19">
        <f>'Weekly Input'!A126</f>
        <v/>
      </c>
      <c r="G126" s="19">
        <f>IF(B126="","",IFERROR(INDEX('Master Data'!$D$6:$D$145,MATCH(B126,'Master Data'!$A$6:$A$145,0)),""))</f>
        <v/>
      </c>
      <c r="H126" s="18">
        <f>IF(OR(F126="",G126=""),"",F126-G126)</f>
        <v/>
      </c>
      <c r="I126" s="18">
        <f>IF(B126="","",IF('Weekly Input'!J126="OK",TRUE,FALSE))</f>
        <v/>
      </c>
      <c r="J126" s="18">
        <f>IF(B126="","",'Weekly Input'!H126&gt;=MinInStockDays)</f>
        <v/>
      </c>
      <c r="K126" s="18">
        <f>IF(B126="","",H126&gt;=FullCycleMin)</f>
        <v/>
      </c>
      <c r="L126" s="18">
        <f>IF(B126="","",AND(I126,J126,K126,N126&gt;=MinHistory))</f>
        <v/>
      </c>
      <c r="M126" s="20">
        <f>IF(OR(B126="",'Weekly Input'!H126=0),"",'Weekly Input'!D126/'Weekly Input'!H126*7)</f>
        <v/>
      </c>
      <c r="N126" s="18">
        <f>IF(B126="","",COUNTIFS($B$5:$B$504,B126,$C$5:$C$504,C126,$I$5:$I$504,TRUE,$J$5:$J$504,TRUE,$K$5:$K$504,TRUE))</f>
        <v/>
      </c>
      <c r="O126" s="18">
        <f>IF(B126="","",AND(F126=AsOfWeek,AsOfWeek&lt;&gt;""))</f>
        <v/>
      </c>
      <c r="P126" s="20">
        <f>IF(OR(B126="",AsOfWeek=""),"",IFERROR(SUMIFS($M$5:$M$504,$B$5:$B$504,B126,$C$5:$C$504,C126,$L$5:$L$504,TRUE,$F$5:$F$504,"&gt;="&amp;AsOfWeek-7*(RecentWeeks-1),$F$5:$F$504,"&lt;="&amp;AsOfWeek),""))</f>
        <v/>
      </c>
      <c r="Q126" s="20">
        <f>IF(OR(B126="",AsOfWeek=""),"",IFERROR(SUMIFS($M$5:$M$504,$B$5:$B$504,B126,$C$5:$C$504,C126,$L$5:$L$504,TRUE,$F$5:$F$504,"&gt;="&amp;AsOfWeek-7*(RecentWeeks+PriorWeeks-1),$F$5:$F$504,"&lt;"&amp;AsOfWeek-7*(RecentWeeks-1)),""))</f>
        <v/>
      </c>
      <c r="R126" s="21">
        <f>IF(OR(P126="",Q126="",Q126=0),"",P126/Q126-1)</f>
        <v/>
      </c>
      <c r="S126" s="20">
        <f>IF(OR(C126="",AsOfWeek=""),"",IFERROR(AVERAGEIFS($M$5:$M$504,$C$5:$C$504,C126,$L$5:$L$504,TRUE,$F$5:$F$504,"&gt;="&amp;AsOfWeek-7*(RecentWeeks-1),$F$5:$F$504,"&lt;="&amp;AsOfWeek),""))</f>
        <v/>
      </c>
      <c r="T126" s="21">
        <f>IF(OR(P126="",S126=""),"",P126/S126-1)</f>
        <v/>
      </c>
      <c r="U126" s="22">
        <f>IF(OR(B126="",'Weekly Input'!G126="",P126="",P126=0),"",'Weekly Input'!G126/P126)</f>
        <v/>
      </c>
      <c r="V126" s="18">
        <f>IF(B126="","",IF(NOT(I126),"Not Ready",IF(NOT(K126),"Not Ready",IF(N126&lt;MinHistory,"Not Ready",IF(NOT(J126),"Not Ready",IF(OR(Q126="",Q126=0),"Noise",IF(Q126&lt;LowBaseThreshold,"Noise",IF(AND(R126&lt;=-OwnDecline,T126&lt;=-PeerGapThreshold),"Markdown Review",IF(AND(R126&gt;=ReorderUplift,U126&lt;&gt;"",U126&lt;=WeeksSupplyCap),"Reorder Candidate","Monitor"))))))))</f>
        <v/>
      </c>
      <c r="W126" s="18">
        <f>IF(B126="","",IF(NOT(I126),"INVALID_MASTER",IF(NOT(K126),"INCOMPLETE_SHELF_CYCLE",IF(N126&lt;MinHistory,"INSUFFICIENT_HISTORY",IF(NOT(J126),"INSUFFICIENT_IN_STOCK",IF(OR(Q126="",Q126=0),"NO_PRIOR_BASE",IF(Q126&lt;LowBaseThreshold,"LOW_BASE_NOISE",IF(V126="Markdown Review","MARKDOWN_PEER_GAP",IF(V126="Reorder Candidate","REORDER_UPLIFT_COVER","NO_MATERIAL_CHANGE"))))))))</f>
        <v/>
      </c>
      <c r="X126" s="18">
        <f>IF(V126="Markdown Review","Markdown support",IF(V126="Reorder Candidate","Second reorder",IF(V126="Monitor","Monitor",IF(V126="Noise","Hold / collect data",IF(V126="Not Ready","Not ready","")))))</f>
        <v/>
      </c>
      <c r="Y126" s="18">
        <f>IF(OR(R126="",T126=""),"",ABS(R126)+ABS(T126))</f>
        <v/>
      </c>
      <c r="Z126" s="21">
        <f>IF(OR(B126="",NOT(O126),R126=""),"",IF(ABS(R126)&gt;=MaterialThreshold,"Yes","No"))</f>
        <v/>
      </c>
      <c r="AA126" s="18">
        <f>IF(Z126&lt;&gt;"Yes","",IF(ABS(R126)&gt;=MaterialThreshold,IF(ABS(R126)&gt;=BroadShare,"Broad SKU movement","Store-concentrated movement"),""))</f>
        <v/>
      </c>
      <c r="AB126" s="18">
        <f>IF(O126,IF(COUNTIFS($O$5:O126,TRUE)&gt;0,COUNTIFS($O$5:O126,TRUE),0),0)</f>
        <v/>
      </c>
      <c r="AC126" s="18">
        <f>IF(V126="Markdown Review",1,IF(V126="Reorder Candidate",2,IF(V126="Monitor",3,IF(V126="Noise",4,IF(V126="Not Ready",5,99)))))</f>
        <v/>
      </c>
      <c r="AD126" s="18">
        <f>IF(O126,COUNTIFS($O$5:$O$504,TRUE,$AC$5:$AC$504,"&lt;"&amp;AC126)+COUNTIFS($O$5:O126,TRUE,$AC$5:AC126,AC126,$Y$5:Y126,"&gt;"&amp;Y126),0)</f>
        <v/>
      </c>
    </row>
    <row r="127">
      <c r="A127" s="17">
        <f>IF(COUNTA('Weekly Input'!A127:C127)=0,"",'Weekly Input'!B127&amp;"|"&amp;'Weekly Input'!C127&amp;"|"&amp;TEXT('Weekly Input'!A127,"yyyy-mm-dd"))</f>
        <v/>
      </c>
      <c r="B127" s="18">
        <f>'Weekly Input'!B127</f>
        <v/>
      </c>
      <c r="C127" s="18">
        <f>'Weekly Input'!C127</f>
        <v/>
      </c>
      <c r="D127" s="18">
        <f>IF(B127="","",IFERROR(INDEX('Master Data'!$B$6:$B$145,MATCH(B127,'Master Data'!$A$6:$A$145,0)),""))</f>
        <v/>
      </c>
      <c r="E127" s="18">
        <f>IF(C127="","",IFERROR(INDEX('Master Data'!$H$6:$H$13,MATCH(C127,'Master Data'!$F$6:$F$13,0)),""))</f>
        <v/>
      </c>
      <c r="F127" s="19">
        <f>'Weekly Input'!A127</f>
        <v/>
      </c>
      <c r="G127" s="19">
        <f>IF(B127="","",IFERROR(INDEX('Master Data'!$D$6:$D$145,MATCH(B127,'Master Data'!$A$6:$A$145,0)),""))</f>
        <v/>
      </c>
      <c r="H127" s="18">
        <f>IF(OR(F127="",G127=""),"",F127-G127)</f>
        <v/>
      </c>
      <c r="I127" s="18">
        <f>IF(B127="","",IF('Weekly Input'!J127="OK",TRUE,FALSE))</f>
        <v/>
      </c>
      <c r="J127" s="18">
        <f>IF(B127="","",'Weekly Input'!H127&gt;=MinInStockDays)</f>
        <v/>
      </c>
      <c r="K127" s="18">
        <f>IF(B127="","",H127&gt;=FullCycleMin)</f>
        <v/>
      </c>
      <c r="L127" s="18">
        <f>IF(B127="","",AND(I127,J127,K127,N127&gt;=MinHistory))</f>
        <v/>
      </c>
      <c r="M127" s="20">
        <f>IF(OR(B127="",'Weekly Input'!H127=0),"",'Weekly Input'!D127/'Weekly Input'!H127*7)</f>
        <v/>
      </c>
      <c r="N127" s="18">
        <f>IF(B127="","",COUNTIFS($B$5:$B$504,B127,$C$5:$C$504,C127,$I$5:$I$504,TRUE,$J$5:$J$504,TRUE,$K$5:$K$504,TRUE))</f>
        <v/>
      </c>
      <c r="O127" s="18">
        <f>IF(B127="","",AND(F127=AsOfWeek,AsOfWeek&lt;&gt;""))</f>
        <v/>
      </c>
      <c r="P127" s="20">
        <f>IF(OR(B127="",AsOfWeek=""),"",IFERROR(SUMIFS($M$5:$M$504,$B$5:$B$504,B127,$C$5:$C$504,C127,$L$5:$L$504,TRUE,$F$5:$F$504,"&gt;="&amp;AsOfWeek-7*(RecentWeeks-1),$F$5:$F$504,"&lt;="&amp;AsOfWeek),""))</f>
        <v/>
      </c>
      <c r="Q127" s="20">
        <f>IF(OR(B127="",AsOfWeek=""),"",IFERROR(SUMIFS($M$5:$M$504,$B$5:$B$504,B127,$C$5:$C$504,C127,$L$5:$L$504,TRUE,$F$5:$F$504,"&gt;="&amp;AsOfWeek-7*(RecentWeeks+PriorWeeks-1),$F$5:$F$504,"&lt;"&amp;AsOfWeek-7*(RecentWeeks-1)),""))</f>
        <v/>
      </c>
      <c r="R127" s="21">
        <f>IF(OR(P127="",Q127="",Q127=0),"",P127/Q127-1)</f>
        <v/>
      </c>
      <c r="S127" s="20">
        <f>IF(OR(C127="",AsOfWeek=""),"",IFERROR(AVERAGEIFS($M$5:$M$504,$C$5:$C$504,C127,$L$5:$L$504,TRUE,$F$5:$F$504,"&gt;="&amp;AsOfWeek-7*(RecentWeeks-1),$F$5:$F$504,"&lt;="&amp;AsOfWeek),""))</f>
        <v/>
      </c>
      <c r="T127" s="21">
        <f>IF(OR(P127="",S127=""),"",P127/S127-1)</f>
        <v/>
      </c>
      <c r="U127" s="22">
        <f>IF(OR(B127="",'Weekly Input'!G127="",P127="",P127=0),"",'Weekly Input'!G127/P127)</f>
        <v/>
      </c>
      <c r="V127" s="18">
        <f>IF(B127="","",IF(NOT(I127),"Not Ready",IF(NOT(K127),"Not Ready",IF(N127&lt;MinHistory,"Not Ready",IF(NOT(J127),"Not Ready",IF(OR(Q127="",Q127=0),"Noise",IF(Q127&lt;LowBaseThreshold,"Noise",IF(AND(R127&lt;=-OwnDecline,T127&lt;=-PeerGapThreshold),"Markdown Review",IF(AND(R127&gt;=ReorderUplift,U127&lt;&gt;"",U127&lt;=WeeksSupplyCap),"Reorder Candidate","Monitor"))))))))</f>
        <v/>
      </c>
      <c r="W127" s="18">
        <f>IF(B127="","",IF(NOT(I127),"INVALID_MASTER",IF(NOT(K127),"INCOMPLETE_SHELF_CYCLE",IF(N127&lt;MinHistory,"INSUFFICIENT_HISTORY",IF(NOT(J127),"INSUFFICIENT_IN_STOCK",IF(OR(Q127="",Q127=0),"NO_PRIOR_BASE",IF(Q127&lt;LowBaseThreshold,"LOW_BASE_NOISE",IF(V127="Markdown Review","MARKDOWN_PEER_GAP",IF(V127="Reorder Candidate","REORDER_UPLIFT_COVER","NO_MATERIAL_CHANGE"))))))))</f>
        <v/>
      </c>
      <c r="X127" s="18">
        <f>IF(V127="Markdown Review","Markdown support",IF(V127="Reorder Candidate","Second reorder",IF(V127="Monitor","Monitor",IF(V127="Noise","Hold / collect data",IF(V127="Not Ready","Not ready","")))))</f>
        <v/>
      </c>
      <c r="Y127" s="18">
        <f>IF(OR(R127="",T127=""),"",ABS(R127)+ABS(T127))</f>
        <v/>
      </c>
      <c r="Z127" s="21">
        <f>IF(OR(B127="",NOT(O127),R127=""),"",IF(ABS(R127)&gt;=MaterialThreshold,"Yes","No"))</f>
        <v/>
      </c>
      <c r="AA127" s="18">
        <f>IF(Z127&lt;&gt;"Yes","",IF(ABS(R127)&gt;=MaterialThreshold,IF(ABS(R127)&gt;=BroadShare,"Broad SKU movement","Store-concentrated movement"),""))</f>
        <v/>
      </c>
      <c r="AB127" s="18">
        <f>IF(O127,IF(COUNTIFS($O$5:O127,TRUE)&gt;0,COUNTIFS($O$5:O127,TRUE),0),0)</f>
        <v/>
      </c>
      <c r="AC127" s="18">
        <f>IF(V127="Markdown Review",1,IF(V127="Reorder Candidate",2,IF(V127="Monitor",3,IF(V127="Noise",4,IF(V127="Not Ready",5,99)))))</f>
        <v/>
      </c>
      <c r="AD127" s="18">
        <f>IF(O127,COUNTIFS($O$5:$O$504,TRUE,$AC$5:$AC$504,"&lt;"&amp;AC127)+COUNTIFS($O$5:O127,TRUE,$AC$5:AC127,AC127,$Y$5:Y127,"&gt;"&amp;Y127),0)</f>
        <v/>
      </c>
    </row>
    <row r="128">
      <c r="A128" s="17">
        <f>IF(COUNTA('Weekly Input'!A128:C128)=0,"",'Weekly Input'!B128&amp;"|"&amp;'Weekly Input'!C128&amp;"|"&amp;TEXT('Weekly Input'!A128,"yyyy-mm-dd"))</f>
        <v/>
      </c>
      <c r="B128" s="18">
        <f>'Weekly Input'!B128</f>
        <v/>
      </c>
      <c r="C128" s="18">
        <f>'Weekly Input'!C128</f>
        <v/>
      </c>
      <c r="D128" s="18">
        <f>IF(B128="","",IFERROR(INDEX('Master Data'!$B$6:$B$145,MATCH(B128,'Master Data'!$A$6:$A$145,0)),""))</f>
        <v/>
      </c>
      <c r="E128" s="18">
        <f>IF(C128="","",IFERROR(INDEX('Master Data'!$H$6:$H$13,MATCH(C128,'Master Data'!$F$6:$F$13,0)),""))</f>
        <v/>
      </c>
      <c r="F128" s="19">
        <f>'Weekly Input'!A128</f>
        <v/>
      </c>
      <c r="G128" s="19">
        <f>IF(B128="","",IFERROR(INDEX('Master Data'!$D$6:$D$145,MATCH(B128,'Master Data'!$A$6:$A$145,0)),""))</f>
        <v/>
      </c>
      <c r="H128" s="18">
        <f>IF(OR(F128="",G128=""),"",F128-G128)</f>
        <v/>
      </c>
      <c r="I128" s="18">
        <f>IF(B128="","",IF('Weekly Input'!J128="OK",TRUE,FALSE))</f>
        <v/>
      </c>
      <c r="J128" s="18">
        <f>IF(B128="","",'Weekly Input'!H128&gt;=MinInStockDays)</f>
        <v/>
      </c>
      <c r="K128" s="18">
        <f>IF(B128="","",H128&gt;=FullCycleMin)</f>
        <v/>
      </c>
      <c r="L128" s="18">
        <f>IF(B128="","",AND(I128,J128,K128,N128&gt;=MinHistory))</f>
        <v/>
      </c>
      <c r="M128" s="20">
        <f>IF(OR(B128="",'Weekly Input'!H128=0),"",'Weekly Input'!D128/'Weekly Input'!H128*7)</f>
        <v/>
      </c>
      <c r="N128" s="18">
        <f>IF(B128="","",COUNTIFS($B$5:$B$504,B128,$C$5:$C$504,C128,$I$5:$I$504,TRUE,$J$5:$J$504,TRUE,$K$5:$K$504,TRUE))</f>
        <v/>
      </c>
      <c r="O128" s="18">
        <f>IF(B128="","",AND(F128=AsOfWeek,AsOfWeek&lt;&gt;""))</f>
        <v/>
      </c>
      <c r="P128" s="20">
        <f>IF(OR(B128="",AsOfWeek=""),"",IFERROR(SUMIFS($M$5:$M$504,$B$5:$B$504,B128,$C$5:$C$504,C128,$L$5:$L$504,TRUE,$F$5:$F$504,"&gt;="&amp;AsOfWeek-7*(RecentWeeks-1),$F$5:$F$504,"&lt;="&amp;AsOfWeek),""))</f>
        <v/>
      </c>
      <c r="Q128" s="20">
        <f>IF(OR(B128="",AsOfWeek=""),"",IFERROR(SUMIFS($M$5:$M$504,$B$5:$B$504,B128,$C$5:$C$504,C128,$L$5:$L$504,TRUE,$F$5:$F$504,"&gt;="&amp;AsOfWeek-7*(RecentWeeks+PriorWeeks-1),$F$5:$F$504,"&lt;"&amp;AsOfWeek-7*(RecentWeeks-1)),""))</f>
        <v/>
      </c>
      <c r="R128" s="21">
        <f>IF(OR(P128="",Q128="",Q128=0),"",P128/Q128-1)</f>
        <v/>
      </c>
      <c r="S128" s="20">
        <f>IF(OR(C128="",AsOfWeek=""),"",IFERROR(AVERAGEIFS($M$5:$M$504,$C$5:$C$504,C128,$L$5:$L$504,TRUE,$F$5:$F$504,"&gt;="&amp;AsOfWeek-7*(RecentWeeks-1),$F$5:$F$504,"&lt;="&amp;AsOfWeek),""))</f>
        <v/>
      </c>
      <c r="T128" s="21">
        <f>IF(OR(P128="",S128=""),"",P128/S128-1)</f>
        <v/>
      </c>
      <c r="U128" s="22">
        <f>IF(OR(B128="",'Weekly Input'!G128="",P128="",P128=0),"",'Weekly Input'!G128/P128)</f>
        <v/>
      </c>
      <c r="V128" s="18">
        <f>IF(B128="","",IF(NOT(I128),"Not Ready",IF(NOT(K128),"Not Ready",IF(N128&lt;MinHistory,"Not Ready",IF(NOT(J128),"Not Ready",IF(OR(Q128="",Q128=0),"Noise",IF(Q128&lt;LowBaseThreshold,"Noise",IF(AND(R128&lt;=-OwnDecline,T128&lt;=-PeerGapThreshold),"Markdown Review",IF(AND(R128&gt;=ReorderUplift,U128&lt;&gt;"",U128&lt;=WeeksSupplyCap),"Reorder Candidate","Monitor"))))))))</f>
        <v/>
      </c>
      <c r="W128" s="18">
        <f>IF(B128="","",IF(NOT(I128),"INVALID_MASTER",IF(NOT(K128),"INCOMPLETE_SHELF_CYCLE",IF(N128&lt;MinHistory,"INSUFFICIENT_HISTORY",IF(NOT(J128),"INSUFFICIENT_IN_STOCK",IF(OR(Q128="",Q128=0),"NO_PRIOR_BASE",IF(Q128&lt;LowBaseThreshold,"LOW_BASE_NOISE",IF(V128="Markdown Review","MARKDOWN_PEER_GAP",IF(V128="Reorder Candidate","REORDER_UPLIFT_COVER","NO_MATERIAL_CHANGE"))))))))</f>
        <v/>
      </c>
      <c r="X128" s="18">
        <f>IF(V128="Markdown Review","Markdown support",IF(V128="Reorder Candidate","Second reorder",IF(V128="Monitor","Monitor",IF(V128="Noise","Hold / collect data",IF(V128="Not Ready","Not ready","")))))</f>
        <v/>
      </c>
      <c r="Y128" s="18">
        <f>IF(OR(R128="",T128=""),"",ABS(R128)+ABS(T128))</f>
        <v/>
      </c>
      <c r="Z128" s="21">
        <f>IF(OR(B128="",NOT(O128),R128=""),"",IF(ABS(R128)&gt;=MaterialThreshold,"Yes","No"))</f>
        <v/>
      </c>
      <c r="AA128" s="18">
        <f>IF(Z128&lt;&gt;"Yes","",IF(ABS(R128)&gt;=MaterialThreshold,IF(ABS(R128)&gt;=BroadShare,"Broad SKU movement","Store-concentrated movement"),""))</f>
        <v/>
      </c>
      <c r="AB128" s="18">
        <f>IF(O128,IF(COUNTIFS($O$5:O128,TRUE)&gt;0,COUNTIFS($O$5:O128,TRUE),0),0)</f>
        <v/>
      </c>
      <c r="AC128" s="18">
        <f>IF(V128="Markdown Review",1,IF(V128="Reorder Candidate",2,IF(V128="Monitor",3,IF(V128="Noise",4,IF(V128="Not Ready",5,99)))))</f>
        <v/>
      </c>
      <c r="AD128" s="18">
        <f>IF(O128,COUNTIFS($O$5:$O$504,TRUE,$AC$5:$AC$504,"&lt;"&amp;AC128)+COUNTIFS($O$5:O128,TRUE,$AC$5:AC128,AC128,$Y$5:Y128,"&gt;"&amp;Y128),0)</f>
        <v/>
      </c>
    </row>
    <row r="129">
      <c r="A129" s="17">
        <f>IF(COUNTA('Weekly Input'!A129:C129)=0,"",'Weekly Input'!B129&amp;"|"&amp;'Weekly Input'!C129&amp;"|"&amp;TEXT('Weekly Input'!A129,"yyyy-mm-dd"))</f>
        <v/>
      </c>
      <c r="B129" s="18">
        <f>'Weekly Input'!B129</f>
        <v/>
      </c>
      <c r="C129" s="18">
        <f>'Weekly Input'!C129</f>
        <v/>
      </c>
      <c r="D129" s="18">
        <f>IF(B129="","",IFERROR(INDEX('Master Data'!$B$6:$B$145,MATCH(B129,'Master Data'!$A$6:$A$145,0)),""))</f>
        <v/>
      </c>
      <c r="E129" s="18">
        <f>IF(C129="","",IFERROR(INDEX('Master Data'!$H$6:$H$13,MATCH(C129,'Master Data'!$F$6:$F$13,0)),""))</f>
        <v/>
      </c>
      <c r="F129" s="19">
        <f>'Weekly Input'!A129</f>
        <v/>
      </c>
      <c r="G129" s="19">
        <f>IF(B129="","",IFERROR(INDEX('Master Data'!$D$6:$D$145,MATCH(B129,'Master Data'!$A$6:$A$145,0)),""))</f>
        <v/>
      </c>
      <c r="H129" s="18">
        <f>IF(OR(F129="",G129=""),"",F129-G129)</f>
        <v/>
      </c>
      <c r="I129" s="18">
        <f>IF(B129="","",IF('Weekly Input'!J129="OK",TRUE,FALSE))</f>
        <v/>
      </c>
      <c r="J129" s="18">
        <f>IF(B129="","",'Weekly Input'!H129&gt;=MinInStockDays)</f>
        <v/>
      </c>
      <c r="K129" s="18">
        <f>IF(B129="","",H129&gt;=FullCycleMin)</f>
        <v/>
      </c>
      <c r="L129" s="18">
        <f>IF(B129="","",AND(I129,J129,K129,N129&gt;=MinHistory))</f>
        <v/>
      </c>
      <c r="M129" s="20">
        <f>IF(OR(B129="",'Weekly Input'!H129=0),"",'Weekly Input'!D129/'Weekly Input'!H129*7)</f>
        <v/>
      </c>
      <c r="N129" s="18">
        <f>IF(B129="","",COUNTIFS($B$5:$B$504,B129,$C$5:$C$504,C129,$I$5:$I$504,TRUE,$J$5:$J$504,TRUE,$K$5:$K$504,TRUE))</f>
        <v/>
      </c>
      <c r="O129" s="18">
        <f>IF(B129="","",AND(F129=AsOfWeek,AsOfWeek&lt;&gt;""))</f>
        <v/>
      </c>
      <c r="P129" s="20">
        <f>IF(OR(B129="",AsOfWeek=""),"",IFERROR(SUMIFS($M$5:$M$504,$B$5:$B$504,B129,$C$5:$C$504,C129,$L$5:$L$504,TRUE,$F$5:$F$504,"&gt;="&amp;AsOfWeek-7*(RecentWeeks-1),$F$5:$F$504,"&lt;="&amp;AsOfWeek),""))</f>
        <v/>
      </c>
      <c r="Q129" s="20">
        <f>IF(OR(B129="",AsOfWeek=""),"",IFERROR(SUMIFS($M$5:$M$504,$B$5:$B$504,B129,$C$5:$C$504,C129,$L$5:$L$504,TRUE,$F$5:$F$504,"&gt;="&amp;AsOfWeek-7*(RecentWeeks+PriorWeeks-1),$F$5:$F$504,"&lt;"&amp;AsOfWeek-7*(RecentWeeks-1)),""))</f>
        <v/>
      </c>
      <c r="R129" s="21">
        <f>IF(OR(P129="",Q129="",Q129=0),"",P129/Q129-1)</f>
        <v/>
      </c>
      <c r="S129" s="20">
        <f>IF(OR(C129="",AsOfWeek=""),"",IFERROR(AVERAGEIFS($M$5:$M$504,$C$5:$C$504,C129,$L$5:$L$504,TRUE,$F$5:$F$504,"&gt;="&amp;AsOfWeek-7*(RecentWeeks-1),$F$5:$F$504,"&lt;="&amp;AsOfWeek),""))</f>
        <v/>
      </c>
      <c r="T129" s="21">
        <f>IF(OR(P129="",S129=""),"",P129/S129-1)</f>
        <v/>
      </c>
      <c r="U129" s="22">
        <f>IF(OR(B129="",'Weekly Input'!G129="",P129="",P129=0),"",'Weekly Input'!G129/P129)</f>
        <v/>
      </c>
      <c r="V129" s="18">
        <f>IF(B129="","",IF(NOT(I129),"Not Ready",IF(NOT(K129),"Not Ready",IF(N129&lt;MinHistory,"Not Ready",IF(NOT(J129),"Not Ready",IF(OR(Q129="",Q129=0),"Noise",IF(Q129&lt;LowBaseThreshold,"Noise",IF(AND(R129&lt;=-OwnDecline,T129&lt;=-PeerGapThreshold),"Markdown Review",IF(AND(R129&gt;=ReorderUplift,U129&lt;&gt;"",U129&lt;=WeeksSupplyCap),"Reorder Candidate","Monitor"))))))))</f>
        <v/>
      </c>
      <c r="W129" s="18">
        <f>IF(B129="","",IF(NOT(I129),"INVALID_MASTER",IF(NOT(K129),"INCOMPLETE_SHELF_CYCLE",IF(N129&lt;MinHistory,"INSUFFICIENT_HISTORY",IF(NOT(J129),"INSUFFICIENT_IN_STOCK",IF(OR(Q129="",Q129=0),"NO_PRIOR_BASE",IF(Q129&lt;LowBaseThreshold,"LOW_BASE_NOISE",IF(V129="Markdown Review","MARKDOWN_PEER_GAP",IF(V129="Reorder Candidate","REORDER_UPLIFT_COVER","NO_MATERIAL_CHANGE"))))))))</f>
        <v/>
      </c>
      <c r="X129" s="18">
        <f>IF(V129="Markdown Review","Markdown support",IF(V129="Reorder Candidate","Second reorder",IF(V129="Monitor","Monitor",IF(V129="Noise","Hold / collect data",IF(V129="Not Ready","Not ready","")))))</f>
        <v/>
      </c>
      <c r="Y129" s="18">
        <f>IF(OR(R129="",T129=""),"",ABS(R129)+ABS(T129))</f>
        <v/>
      </c>
      <c r="Z129" s="21">
        <f>IF(OR(B129="",NOT(O129),R129=""),"",IF(ABS(R129)&gt;=MaterialThreshold,"Yes","No"))</f>
        <v/>
      </c>
      <c r="AA129" s="18">
        <f>IF(Z129&lt;&gt;"Yes","",IF(ABS(R129)&gt;=MaterialThreshold,IF(ABS(R129)&gt;=BroadShare,"Broad SKU movement","Store-concentrated movement"),""))</f>
        <v/>
      </c>
      <c r="AB129" s="18">
        <f>IF(O129,IF(COUNTIFS($O$5:O129,TRUE)&gt;0,COUNTIFS($O$5:O129,TRUE),0),0)</f>
        <v/>
      </c>
      <c r="AC129" s="18">
        <f>IF(V129="Markdown Review",1,IF(V129="Reorder Candidate",2,IF(V129="Monitor",3,IF(V129="Noise",4,IF(V129="Not Ready",5,99)))))</f>
        <v/>
      </c>
      <c r="AD129" s="18">
        <f>IF(O129,COUNTIFS($O$5:$O$504,TRUE,$AC$5:$AC$504,"&lt;"&amp;AC129)+COUNTIFS($O$5:O129,TRUE,$AC$5:AC129,AC129,$Y$5:Y129,"&gt;"&amp;Y129),0)</f>
        <v/>
      </c>
    </row>
    <row r="130">
      <c r="A130" s="17">
        <f>IF(COUNTA('Weekly Input'!A130:C130)=0,"",'Weekly Input'!B130&amp;"|"&amp;'Weekly Input'!C130&amp;"|"&amp;TEXT('Weekly Input'!A130,"yyyy-mm-dd"))</f>
        <v/>
      </c>
      <c r="B130" s="18">
        <f>'Weekly Input'!B130</f>
        <v/>
      </c>
      <c r="C130" s="18">
        <f>'Weekly Input'!C130</f>
        <v/>
      </c>
      <c r="D130" s="18">
        <f>IF(B130="","",IFERROR(INDEX('Master Data'!$B$6:$B$145,MATCH(B130,'Master Data'!$A$6:$A$145,0)),""))</f>
        <v/>
      </c>
      <c r="E130" s="18">
        <f>IF(C130="","",IFERROR(INDEX('Master Data'!$H$6:$H$13,MATCH(C130,'Master Data'!$F$6:$F$13,0)),""))</f>
        <v/>
      </c>
      <c r="F130" s="19">
        <f>'Weekly Input'!A130</f>
        <v/>
      </c>
      <c r="G130" s="19">
        <f>IF(B130="","",IFERROR(INDEX('Master Data'!$D$6:$D$145,MATCH(B130,'Master Data'!$A$6:$A$145,0)),""))</f>
        <v/>
      </c>
      <c r="H130" s="18">
        <f>IF(OR(F130="",G130=""),"",F130-G130)</f>
        <v/>
      </c>
      <c r="I130" s="18">
        <f>IF(B130="","",IF('Weekly Input'!J130="OK",TRUE,FALSE))</f>
        <v/>
      </c>
      <c r="J130" s="18">
        <f>IF(B130="","",'Weekly Input'!H130&gt;=MinInStockDays)</f>
        <v/>
      </c>
      <c r="K130" s="18">
        <f>IF(B130="","",H130&gt;=FullCycleMin)</f>
        <v/>
      </c>
      <c r="L130" s="18">
        <f>IF(B130="","",AND(I130,J130,K130,N130&gt;=MinHistory))</f>
        <v/>
      </c>
      <c r="M130" s="20">
        <f>IF(OR(B130="",'Weekly Input'!H130=0),"",'Weekly Input'!D130/'Weekly Input'!H130*7)</f>
        <v/>
      </c>
      <c r="N130" s="18">
        <f>IF(B130="","",COUNTIFS($B$5:$B$504,B130,$C$5:$C$504,C130,$I$5:$I$504,TRUE,$J$5:$J$504,TRUE,$K$5:$K$504,TRUE))</f>
        <v/>
      </c>
      <c r="O130" s="18">
        <f>IF(B130="","",AND(F130=AsOfWeek,AsOfWeek&lt;&gt;""))</f>
        <v/>
      </c>
      <c r="P130" s="20">
        <f>IF(OR(B130="",AsOfWeek=""),"",IFERROR(SUMIFS($M$5:$M$504,$B$5:$B$504,B130,$C$5:$C$504,C130,$L$5:$L$504,TRUE,$F$5:$F$504,"&gt;="&amp;AsOfWeek-7*(RecentWeeks-1),$F$5:$F$504,"&lt;="&amp;AsOfWeek),""))</f>
        <v/>
      </c>
      <c r="Q130" s="20">
        <f>IF(OR(B130="",AsOfWeek=""),"",IFERROR(SUMIFS($M$5:$M$504,$B$5:$B$504,B130,$C$5:$C$504,C130,$L$5:$L$504,TRUE,$F$5:$F$504,"&gt;="&amp;AsOfWeek-7*(RecentWeeks+PriorWeeks-1),$F$5:$F$504,"&lt;"&amp;AsOfWeek-7*(RecentWeeks-1)),""))</f>
        <v/>
      </c>
      <c r="R130" s="21">
        <f>IF(OR(P130="",Q130="",Q130=0),"",P130/Q130-1)</f>
        <v/>
      </c>
      <c r="S130" s="20">
        <f>IF(OR(C130="",AsOfWeek=""),"",IFERROR(AVERAGEIFS($M$5:$M$504,$C$5:$C$504,C130,$L$5:$L$504,TRUE,$F$5:$F$504,"&gt;="&amp;AsOfWeek-7*(RecentWeeks-1),$F$5:$F$504,"&lt;="&amp;AsOfWeek),""))</f>
        <v/>
      </c>
      <c r="T130" s="21">
        <f>IF(OR(P130="",S130=""),"",P130/S130-1)</f>
        <v/>
      </c>
      <c r="U130" s="22">
        <f>IF(OR(B130="",'Weekly Input'!G130="",P130="",P130=0),"",'Weekly Input'!G130/P130)</f>
        <v/>
      </c>
      <c r="V130" s="18">
        <f>IF(B130="","",IF(NOT(I130),"Not Ready",IF(NOT(K130),"Not Ready",IF(N130&lt;MinHistory,"Not Ready",IF(NOT(J130),"Not Ready",IF(OR(Q130="",Q130=0),"Noise",IF(Q130&lt;LowBaseThreshold,"Noise",IF(AND(R130&lt;=-OwnDecline,T130&lt;=-PeerGapThreshold),"Markdown Review",IF(AND(R130&gt;=ReorderUplift,U130&lt;&gt;"",U130&lt;=WeeksSupplyCap),"Reorder Candidate","Monitor"))))))))</f>
        <v/>
      </c>
      <c r="W130" s="18">
        <f>IF(B130="","",IF(NOT(I130),"INVALID_MASTER",IF(NOT(K130),"INCOMPLETE_SHELF_CYCLE",IF(N130&lt;MinHistory,"INSUFFICIENT_HISTORY",IF(NOT(J130),"INSUFFICIENT_IN_STOCK",IF(OR(Q130="",Q130=0),"NO_PRIOR_BASE",IF(Q130&lt;LowBaseThreshold,"LOW_BASE_NOISE",IF(V130="Markdown Review","MARKDOWN_PEER_GAP",IF(V130="Reorder Candidate","REORDER_UPLIFT_COVER","NO_MATERIAL_CHANGE"))))))))</f>
        <v/>
      </c>
      <c r="X130" s="18">
        <f>IF(V130="Markdown Review","Markdown support",IF(V130="Reorder Candidate","Second reorder",IF(V130="Monitor","Monitor",IF(V130="Noise","Hold / collect data",IF(V130="Not Ready","Not ready","")))))</f>
        <v/>
      </c>
      <c r="Y130" s="18">
        <f>IF(OR(R130="",T130=""),"",ABS(R130)+ABS(T130))</f>
        <v/>
      </c>
      <c r="Z130" s="21">
        <f>IF(OR(B130="",NOT(O130),R130=""),"",IF(ABS(R130)&gt;=MaterialThreshold,"Yes","No"))</f>
        <v/>
      </c>
      <c r="AA130" s="18">
        <f>IF(Z130&lt;&gt;"Yes","",IF(ABS(R130)&gt;=MaterialThreshold,IF(ABS(R130)&gt;=BroadShare,"Broad SKU movement","Store-concentrated movement"),""))</f>
        <v/>
      </c>
      <c r="AB130" s="18">
        <f>IF(O130,IF(COUNTIFS($O$5:O130,TRUE)&gt;0,COUNTIFS($O$5:O130,TRUE),0),0)</f>
        <v/>
      </c>
      <c r="AC130" s="18">
        <f>IF(V130="Markdown Review",1,IF(V130="Reorder Candidate",2,IF(V130="Monitor",3,IF(V130="Noise",4,IF(V130="Not Ready",5,99)))))</f>
        <v/>
      </c>
      <c r="AD130" s="18">
        <f>IF(O130,COUNTIFS($O$5:$O$504,TRUE,$AC$5:$AC$504,"&lt;"&amp;AC130)+COUNTIFS($O$5:O130,TRUE,$AC$5:AC130,AC130,$Y$5:Y130,"&gt;"&amp;Y130),0)</f>
        <v/>
      </c>
    </row>
    <row r="131">
      <c r="A131" s="17">
        <f>IF(COUNTA('Weekly Input'!A131:C131)=0,"",'Weekly Input'!B131&amp;"|"&amp;'Weekly Input'!C131&amp;"|"&amp;TEXT('Weekly Input'!A131,"yyyy-mm-dd"))</f>
        <v/>
      </c>
      <c r="B131" s="18">
        <f>'Weekly Input'!B131</f>
        <v/>
      </c>
      <c r="C131" s="18">
        <f>'Weekly Input'!C131</f>
        <v/>
      </c>
      <c r="D131" s="18">
        <f>IF(B131="","",IFERROR(INDEX('Master Data'!$B$6:$B$145,MATCH(B131,'Master Data'!$A$6:$A$145,0)),""))</f>
        <v/>
      </c>
      <c r="E131" s="18">
        <f>IF(C131="","",IFERROR(INDEX('Master Data'!$H$6:$H$13,MATCH(C131,'Master Data'!$F$6:$F$13,0)),""))</f>
        <v/>
      </c>
      <c r="F131" s="19">
        <f>'Weekly Input'!A131</f>
        <v/>
      </c>
      <c r="G131" s="19">
        <f>IF(B131="","",IFERROR(INDEX('Master Data'!$D$6:$D$145,MATCH(B131,'Master Data'!$A$6:$A$145,0)),""))</f>
        <v/>
      </c>
      <c r="H131" s="18">
        <f>IF(OR(F131="",G131=""),"",F131-G131)</f>
        <v/>
      </c>
      <c r="I131" s="18">
        <f>IF(B131="","",IF('Weekly Input'!J131="OK",TRUE,FALSE))</f>
        <v/>
      </c>
      <c r="J131" s="18">
        <f>IF(B131="","",'Weekly Input'!H131&gt;=MinInStockDays)</f>
        <v/>
      </c>
      <c r="K131" s="18">
        <f>IF(B131="","",H131&gt;=FullCycleMin)</f>
        <v/>
      </c>
      <c r="L131" s="18">
        <f>IF(B131="","",AND(I131,J131,K131,N131&gt;=MinHistory))</f>
        <v/>
      </c>
      <c r="M131" s="20">
        <f>IF(OR(B131="",'Weekly Input'!H131=0),"",'Weekly Input'!D131/'Weekly Input'!H131*7)</f>
        <v/>
      </c>
      <c r="N131" s="18">
        <f>IF(B131="","",COUNTIFS($B$5:$B$504,B131,$C$5:$C$504,C131,$I$5:$I$504,TRUE,$J$5:$J$504,TRUE,$K$5:$K$504,TRUE))</f>
        <v/>
      </c>
      <c r="O131" s="18">
        <f>IF(B131="","",AND(F131=AsOfWeek,AsOfWeek&lt;&gt;""))</f>
        <v/>
      </c>
      <c r="P131" s="20">
        <f>IF(OR(B131="",AsOfWeek=""),"",IFERROR(SUMIFS($M$5:$M$504,$B$5:$B$504,B131,$C$5:$C$504,C131,$L$5:$L$504,TRUE,$F$5:$F$504,"&gt;="&amp;AsOfWeek-7*(RecentWeeks-1),$F$5:$F$504,"&lt;="&amp;AsOfWeek),""))</f>
        <v/>
      </c>
      <c r="Q131" s="20">
        <f>IF(OR(B131="",AsOfWeek=""),"",IFERROR(SUMIFS($M$5:$M$504,$B$5:$B$504,B131,$C$5:$C$504,C131,$L$5:$L$504,TRUE,$F$5:$F$504,"&gt;="&amp;AsOfWeek-7*(RecentWeeks+PriorWeeks-1),$F$5:$F$504,"&lt;"&amp;AsOfWeek-7*(RecentWeeks-1)),""))</f>
        <v/>
      </c>
      <c r="R131" s="21">
        <f>IF(OR(P131="",Q131="",Q131=0),"",P131/Q131-1)</f>
        <v/>
      </c>
      <c r="S131" s="20">
        <f>IF(OR(C131="",AsOfWeek=""),"",IFERROR(AVERAGEIFS($M$5:$M$504,$C$5:$C$504,C131,$L$5:$L$504,TRUE,$F$5:$F$504,"&gt;="&amp;AsOfWeek-7*(RecentWeeks-1),$F$5:$F$504,"&lt;="&amp;AsOfWeek),""))</f>
        <v/>
      </c>
      <c r="T131" s="21">
        <f>IF(OR(P131="",S131=""),"",P131/S131-1)</f>
        <v/>
      </c>
      <c r="U131" s="22">
        <f>IF(OR(B131="",'Weekly Input'!G131="",P131="",P131=0),"",'Weekly Input'!G131/P131)</f>
        <v/>
      </c>
      <c r="V131" s="18">
        <f>IF(B131="","",IF(NOT(I131),"Not Ready",IF(NOT(K131),"Not Ready",IF(N131&lt;MinHistory,"Not Ready",IF(NOT(J131),"Not Ready",IF(OR(Q131="",Q131=0),"Noise",IF(Q131&lt;LowBaseThreshold,"Noise",IF(AND(R131&lt;=-OwnDecline,T131&lt;=-PeerGapThreshold),"Markdown Review",IF(AND(R131&gt;=ReorderUplift,U131&lt;&gt;"",U131&lt;=WeeksSupplyCap),"Reorder Candidate","Monitor"))))))))</f>
        <v/>
      </c>
      <c r="W131" s="18">
        <f>IF(B131="","",IF(NOT(I131),"INVALID_MASTER",IF(NOT(K131),"INCOMPLETE_SHELF_CYCLE",IF(N131&lt;MinHistory,"INSUFFICIENT_HISTORY",IF(NOT(J131),"INSUFFICIENT_IN_STOCK",IF(OR(Q131="",Q131=0),"NO_PRIOR_BASE",IF(Q131&lt;LowBaseThreshold,"LOW_BASE_NOISE",IF(V131="Markdown Review","MARKDOWN_PEER_GAP",IF(V131="Reorder Candidate","REORDER_UPLIFT_COVER","NO_MATERIAL_CHANGE"))))))))</f>
        <v/>
      </c>
      <c r="X131" s="18">
        <f>IF(V131="Markdown Review","Markdown support",IF(V131="Reorder Candidate","Second reorder",IF(V131="Monitor","Monitor",IF(V131="Noise","Hold / collect data",IF(V131="Not Ready","Not ready","")))))</f>
        <v/>
      </c>
      <c r="Y131" s="18">
        <f>IF(OR(R131="",T131=""),"",ABS(R131)+ABS(T131))</f>
        <v/>
      </c>
      <c r="Z131" s="21">
        <f>IF(OR(B131="",NOT(O131),R131=""),"",IF(ABS(R131)&gt;=MaterialThreshold,"Yes","No"))</f>
        <v/>
      </c>
      <c r="AA131" s="18">
        <f>IF(Z131&lt;&gt;"Yes","",IF(ABS(R131)&gt;=MaterialThreshold,IF(ABS(R131)&gt;=BroadShare,"Broad SKU movement","Store-concentrated movement"),""))</f>
        <v/>
      </c>
      <c r="AB131" s="18">
        <f>IF(O131,IF(COUNTIFS($O$5:O131,TRUE)&gt;0,COUNTIFS($O$5:O131,TRUE),0),0)</f>
        <v/>
      </c>
      <c r="AC131" s="18">
        <f>IF(V131="Markdown Review",1,IF(V131="Reorder Candidate",2,IF(V131="Monitor",3,IF(V131="Noise",4,IF(V131="Not Ready",5,99)))))</f>
        <v/>
      </c>
      <c r="AD131" s="18">
        <f>IF(O131,COUNTIFS($O$5:$O$504,TRUE,$AC$5:$AC$504,"&lt;"&amp;AC131)+COUNTIFS($O$5:O131,TRUE,$AC$5:AC131,AC131,$Y$5:Y131,"&gt;"&amp;Y131),0)</f>
        <v/>
      </c>
    </row>
    <row r="132">
      <c r="A132" s="17">
        <f>IF(COUNTA('Weekly Input'!A132:C132)=0,"",'Weekly Input'!B132&amp;"|"&amp;'Weekly Input'!C132&amp;"|"&amp;TEXT('Weekly Input'!A132,"yyyy-mm-dd"))</f>
        <v/>
      </c>
      <c r="B132" s="18">
        <f>'Weekly Input'!B132</f>
        <v/>
      </c>
      <c r="C132" s="18">
        <f>'Weekly Input'!C132</f>
        <v/>
      </c>
      <c r="D132" s="18">
        <f>IF(B132="","",IFERROR(INDEX('Master Data'!$B$6:$B$145,MATCH(B132,'Master Data'!$A$6:$A$145,0)),""))</f>
        <v/>
      </c>
      <c r="E132" s="18">
        <f>IF(C132="","",IFERROR(INDEX('Master Data'!$H$6:$H$13,MATCH(C132,'Master Data'!$F$6:$F$13,0)),""))</f>
        <v/>
      </c>
      <c r="F132" s="19">
        <f>'Weekly Input'!A132</f>
        <v/>
      </c>
      <c r="G132" s="19">
        <f>IF(B132="","",IFERROR(INDEX('Master Data'!$D$6:$D$145,MATCH(B132,'Master Data'!$A$6:$A$145,0)),""))</f>
        <v/>
      </c>
      <c r="H132" s="18">
        <f>IF(OR(F132="",G132=""),"",F132-G132)</f>
        <v/>
      </c>
      <c r="I132" s="18">
        <f>IF(B132="","",IF('Weekly Input'!J132="OK",TRUE,FALSE))</f>
        <v/>
      </c>
      <c r="J132" s="18">
        <f>IF(B132="","",'Weekly Input'!H132&gt;=MinInStockDays)</f>
        <v/>
      </c>
      <c r="K132" s="18">
        <f>IF(B132="","",H132&gt;=FullCycleMin)</f>
        <v/>
      </c>
      <c r="L132" s="18">
        <f>IF(B132="","",AND(I132,J132,K132,N132&gt;=MinHistory))</f>
        <v/>
      </c>
      <c r="M132" s="20">
        <f>IF(OR(B132="",'Weekly Input'!H132=0),"",'Weekly Input'!D132/'Weekly Input'!H132*7)</f>
        <v/>
      </c>
      <c r="N132" s="18">
        <f>IF(B132="","",COUNTIFS($B$5:$B$504,B132,$C$5:$C$504,C132,$I$5:$I$504,TRUE,$J$5:$J$504,TRUE,$K$5:$K$504,TRUE))</f>
        <v/>
      </c>
      <c r="O132" s="18">
        <f>IF(B132="","",AND(F132=AsOfWeek,AsOfWeek&lt;&gt;""))</f>
        <v/>
      </c>
      <c r="P132" s="20">
        <f>IF(OR(B132="",AsOfWeek=""),"",IFERROR(SUMIFS($M$5:$M$504,$B$5:$B$504,B132,$C$5:$C$504,C132,$L$5:$L$504,TRUE,$F$5:$F$504,"&gt;="&amp;AsOfWeek-7*(RecentWeeks-1),$F$5:$F$504,"&lt;="&amp;AsOfWeek),""))</f>
        <v/>
      </c>
      <c r="Q132" s="20">
        <f>IF(OR(B132="",AsOfWeek=""),"",IFERROR(SUMIFS($M$5:$M$504,$B$5:$B$504,B132,$C$5:$C$504,C132,$L$5:$L$504,TRUE,$F$5:$F$504,"&gt;="&amp;AsOfWeek-7*(RecentWeeks+PriorWeeks-1),$F$5:$F$504,"&lt;"&amp;AsOfWeek-7*(RecentWeeks-1)),""))</f>
        <v/>
      </c>
      <c r="R132" s="21">
        <f>IF(OR(P132="",Q132="",Q132=0),"",P132/Q132-1)</f>
        <v/>
      </c>
      <c r="S132" s="20">
        <f>IF(OR(C132="",AsOfWeek=""),"",IFERROR(AVERAGEIFS($M$5:$M$504,$C$5:$C$504,C132,$L$5:$L$504,TRUE,$F$5:$F$504,"&gt;="&amp;AsOfWeek-7*(RecentWeeks-1),$F$5:$F$504,"&lt;="&amp;AsOfWeek),""))</f>
        <v/>
      </c>
      <c r="T132" s="21">
        <f>IF(OR(P132="",S132=""),"",P132/S132-1)</f>
        <v/>
      </c>
      <c r="U132" s="22">
        <f>IF(OR(B132="",'Weekly Input'!G132="",P132="",P132=0),"",'Weekly Input'!G132/P132)</f>
        <v/>
      </c>
      <c r="V132" s="18">
        <f>IF(B132="","",IF(NOT(I132),"Not Ready",IF(NOT(K132),"Not Ready",IF(N132&lt;MinHistory,"Not Ready",IF(NOT(J132),"Not Ready",IF(OR(Q132="",Q132=0),"Noise",IF(Q132&lt;LowBaseThreshold,"Noise",IF(AND(R132&lt;=-OwnDecline,T132&lt;=-PeerGapThreshold),"Markdown Review",IF(AND(R132&gt;=ReorderUplift,U132&lt;&gt;"",U132&lt;=WeeksSupplyCap),"Reorder Candidate","Monitor"))))))))</f>
        <v/>
      </c>
      <c r="W132" s="18">
        <f>IF(B132="","",IF(NOT(I132),"INVALID_MASTER",IF(NOT(K132),"INCOMPLETE_SHELF_CYCLE",IF(N132&lt;MinHistory,"INSUFFICIENT_HISTORY",IF(NOT(J132),"INSUFFICIENT_IN_STOCK",IF(OR(Q132="",Q132=0),"NO_PRIOR_BASE",IF(Q132&lt;LowBaseThreshold,"LOW_BASE_NOISE",IF(V132="Markdown Review","MARKDOWN_PEER_GAP",IF(V132="Reorder Candidate","REORDER_UPLIFT_COVER","NO_MATERIAL_CHANGE"))))))))</f>
        <v/>
      </c>
      <c r="X132" s="18">
        <f>IF(V132="Markdown Review","Markdown support",IF(V132="Reorder Candidate","Second reorder",IF(V132="Monitor","Monitor",IF(V132="Noise","Hold / collect data",IF(V132="Not Ready","Not ready","")))))</f>
        <v/>
      </c>
      <c r="Y132" s="18">
        <f>IF(OR(R132="",T132=""),"",ABS(R132)+ABS(T132))</f>
        <v/>
      </c>
      <c r="Z132" s="21">
        <f>IF(OR(B132="",NOT(O132),R132=""),"",IF(ABS(R132)&gt;=MaterialThreshold,"Yes","No"))</f>
        <v/>
      </c>
      <c r="AA132" s="18">
        <f>IF(Z132&lt;&gt;"Yes","",IF(ABS(R132)&gt;=MaterialThreshold,IF(ABS(R132)&gt;=BroadShare,"Broad SKU movement","Store-concentrated movement"),""))</f>
        <v/>
      </c>
      <c r="AB132" s="18">
        <f>IF(O132,IF(COUNTIFS($O$5:O132,TRUE)&gt;0,COUNTIFS($O$5:O132,TRUE),0),0)</f>
        <v/>
      </c>
      <c r="AC132" s="18">
        <f>IF(V132="Markdown Review",1,IF(V132="Reorder Candidate",2,IF(V132="Monitor",3,IF(V132="Noise",4,IF(V132="Not Ready",5,99)))))</f>
        <v/>
      </c>
      <c r="AD132" s="18">
        <f>IF(O132,COUNTIFS($O$5:$O$504,TRUE,$AC$5:$AC$504,"&lt;"&amp;AC132)+COUNTIFS($O$5:O132,TRUE,$AC$5:AC132,AC132,$Y$5:Y132,"&gt;"&amp;Y132),0)</f>
        <v/>
      </c>
    </row>
    <row r="133">
      <c r="A133" s="17">
        <f>IF(COUNTA('Weekly Input'!A133:C133)=0,"",'Weekly Input'!B133&amp;"|"&amp;'Weekly Input'!C133&amp;"|"&amp;TEXT('Weekly Input'!A133,"yyyy-mm-dd"))</f>
        <v/>
      </c>
      <c r="B133" s="18">
        <f>'Weekly Input'!B133</f>
        <v/>
      </c>
      <c r="C133" s="18">
        <f>'Weekly Input'!C133</f>
        <v/>
      </c>
      <c r="D133" s="18">
        <f>IF(B133="","",IFERROR(INDEX('Master Data'!$B$6:$B$145,MATCH(B133,'Master Data'!$A$6:$A$145,0)),""))</f>
        <v/>
      </c>
      <c r="E133" s="18">
        <f>IF(C133="","",IFERROR(INDEX('Master Data'!$H$6:$H$13,MATCH(C133,'Master Data'!$F$6:$F$13,0)),""))</f>
        <v/>
      </c>
      <c r="F133" s="19">
        <f>'Weekly Input'!A133</f>
        <v/>
      </c>
      <c r="G133" s="19">
        <f>IF(B133="","",IFERROR(INDEX('Master Data'!$D$6:$D$145,MATCH(B133,'Master Data'!$A$6:$A$145,0)),""))</f>
        <v/>
      </c>
      <c r="H133" s="18">
        <f>IF(OR(F133="",G133=""),"",F133-G133)</f>
        <v/>
      </c>
      <c r="I133" s="18">
        <f>IF(B133="","",IF('Weekly Input'!J133="OK",TRUE,FALSE))</f>
        <v/>
      </c>
      <c r="J133" s="18">
        <f>IF(B133="","",'Weekly Input'!H133&gt;=MinInStockDays)</f>
        <v/>
      </c>
      <c r="K133" s="18">
        <f>IF(B133="","",H133&gt;=FullCycleMin)</f>
        <v/>
      </c>
      <c r="L133" s="18">
        <f>IF(B133="","",AND(I133,J133,K133,N133&gt;=MinHistory))</f>
        <v/>
      </c>
      <c r="M133" s="20">
        <f>IF(OR(B133="",'Weekly Input'!H133=0),"",'Weekly Input'!D133/'Weekly Input'!H133*7)</f>
        <v/>
      </c>
      <c r="N133" s="18">
        <f>IF(B133="","",COUNTIFS($B$5:$B$504,B133,$C$5:$C$504,C133,$I$5:$I$504,TRUE,$J$5:$J$504,TRUE,$K$5:$K$504,TRUE))</f>
        <v/>
      </c>
      <c r="O133" s="18">
        <f>IF(B133="","",AND(F133=AsOfWeek,AsOfWeek&lt;&gt;""))</f>
        <v/>
      </c>
      <c r="P133" s="20">
        <f>IF(OR(B133="",AsOfWeek=""),"",IFERROR(SUMIFS($M$5:$M$504,$B$5:$B$504,B133,$C$5:$C$504,C133,$L$5:$L$504,TRUE,$F$5:$F$504,"&gt;="&amp;AsOfWeek-7*(RecentWeeks-1),$F$5:$F$504,"&lt;="&amp;AsOfWeek),""))</f>
        <v/>
      </c>
      <c r="Q133" s="20">
        <f>IF(OR(B133="",AsOfWeek=""),"",IFERROR(SUMIFS($M$5:$M$504,$B$5:$B$504,B133,$C$5:$C$504,C133,$L$5:$L$504,TRUE,$F$5:$F$504,"&gt;="&amp;AsOfWeek-7*(RecentWeeks+PriorWeeks-1),$F$5:$F$504,"&lt;"&amp;AsOfWeek-7*(RecentWeeks-1)),""))</f>
        <v/>
      </c>
      <c r="R133" s="21">
        <f>IF(OR(P133="",Q133="",Q133=0),"",P133/Q133-1)</f>
        <v/>
      </c>
      <c r="S133" s="20">
        <f>IF(OR(C133="",AsOfWeek=""),"",IFERROR(AVERAGEIFS($M$5:$M$504,$C$5:$C$504,C133,$L$5:$L$504,TRUE,$F$5:$F$504,"&gt;="&amp;AsOfWeek-7*(RecentWeeks-1),$F$5:$F$504,"&lt;="&amp;AsOfWeek),""))</f>
        <v/>
      </c>
      <c r="T133" s="21">
        <f>IF(OR(P133="",S133=""),"",P133/S133-1)</f>
        <v/>
      </c>
      <c r="U133" s="22">
        <f>IF(OR(B133="",'Weekly Input'!G133="",P133="",P133=0),"",'Weekly Input'!G133/P133)</f>
        <v/>
      </c>
      <c r="V133" s="18">
        <f>IF(B133="","",IF(NOT(I133),"Not Ready",IF(NOT(K133),"Not Ready",IF(N133&lt;MinHistory,"Not Ready",IF(NOT(J133),"Not Ready",IF(OR(Q133="",Q133=0),"Noise",IF(Q133&lt;LowBaseThreshold,"Noise",IF(AND(R133&lt;=-OwnDecline,T133&lt;=-PeerGapThreshold),"Markdown Review",IF(AND(R133&gt;=ReorderUplift,U133&lt;&gt;"",U133&lt;=WeeksSupplyCap),"Reorder Candidate","Monitor"))))))))</f>
        <v/>
      </c>
      <c r="W133" s="18">
        <f>IF(B133="","",IF(NOT(I133),"INVALID_MASTER",IF(NOT(K133),"INCOMPLETE_SHELF_CYCLE",IF(N133&lt;MinHistory,"INSUFFICIENT_HISTORY",IF(NOT(J133),"INSUFFICIENT_IN_STOCK",IF(OR(Q133="",Q133=0),"NO_PRIOR_BASE",IF(Q133&lt;LowBaseThreshold,"LOW_BASE_NOISE",IF(V133="Markdown Review","MARKDOWN_PEER_GAP",IF(V133="Reorder Candidate","REORDER_UPLIFT_COVER","NO_MATERIAL_CHANGE"))))))))</f>
        <v/>
      </c>
      <c r="X133" s="18">
        <f>IF(V133="Markdown Review","Markdown support",IF(V133="Reorder Candidate","Second reorder",IF(V133="Monitor","Monitor",IF(V133="Noise","Hold / collect data",IF(V133="Not Ready","Not ready","")))))</f>
        <v/>
      </c>
      <c r="Y133" s="18">
        <f>IF(OR(R133="",T133=""),"",ABS(R133)+ABS(T133))</f>
        <v/>
      </c>
      <c r="Z133" s="21">
        <f>IF(OR(B133="",NOT(O133),R133=""),"",IF(ABS(R133)&gt;=MaterialThreshold,"Yes","No"))</f>
        <v/>
      </c>
      <c r="AA133" s="18">
        <f>IF(Z133&lt;&gt;"Yes","",IF(ABS(R133)&gt;=MaterialThreshold,IF(ABS(R133)&gt;=BroadShare,"Broad SKU movement","Store-concentrated movement"),""))</f>
        <v/>
      </c>
      <c r="AB133" s="18">
        <f>IF(O133,IF(COUNTIFS($O$5:O133,TRUE)&gt;0,COUNTIFS($O$5:O133,TRUE),0),0)</f>
        <v/>
      </c>
      <c r="AC133" s="18">
        <f>IF(V133="Markdown Review",1,IF(V133="Reorder Candidate",2,IF(V133="Monitor",3,IF(V133="Noise",4,IF(V133="Not Ready",5,99)))))</f>
        <v/>
      </c>
      <c r="AD133" s="18">
        <f>IF(O133,COUNTIFS($O$5:$O$504,TRUE,$AC$5:$AC$504,"&lt;"&amp;AC133)+COUNTIFS($O$5:O133,TRUE,$AC$5:AC133,AC133,$Y$5:Y133,"&gt;"&amp;Y133),0)</f>
        <v/>
      </c>
    </row>
    <row r="134">
      <c r="A134" s="17">
        <f>IF(COUNTA('Weekly Input'!A134:C134)=0,"",'Weekly Input'!B134&amp;"|"&amp;'Weekly Input'!C134&amp;"|"&amp;TEXT('Weekly Input'!A134,"yyyy-mm-dd"))</f>
        <v/>
      </c>
      <c r="B134" s="18">
        <f>'Weekly Input'!B134</f>
        <v/>
      </c>
      <c r="C134" s="18">
        <f>'Weekly Input'!C134</f>
        <v/>
      </c>
      <c r="D134" s="18">
        <f>IF(B134="","",IFERROR(INDEX('Master Data'!$B$6:$B$145,MATCH(B134,'Master Data'!$A$6:$A$145,0)),""))</f>
        <v/>
      </c>
      <c r="E134" s="18">
        <f>IF(C134="","",IFERROR(INDEX('Master Data'!$H$6:$H$13,MATCH(C134,'Master Data'!$F$6:$F$13,0)),""))</f>
        <v/>
      </c>
      <c r="F134" s="19">
        <f>'Weekly Input'!A134</f>
        <v/>
      </c>
      <c r="G134" s="19">
        <f>IF(B134="","",IFERROR(INDEX('Master Data'!$D$6:$D$145,MATCH(B134,'Master Data'!$A$6:$A$145,0)),""))</f>
        <v/>
      </c>
      <c r="H134" s="18">
        <f>IF(OR(F134="",G134=""),"",F134-G134)</f>
        <v/>
      </c>
      <c r="I134" s="18">
        <f>IF(B134="","",IF('Weekly Input'!J134="OK",TRUE,FALSE))</f>
        <v/>
      </c>
      <c r="J134" s="18">
        <f>IF(B134="","",'Weekly Input'!H134&gt;=MinInStockDays)</f>
        <v/>
      </c>
      <c r="K134" s="18">
        <f>IF(B134="","",H134&gt;=FullCycleMin)</f>
        <v/>
      </c>
      <c r="L134" s="18">
        <f>IF(B134="","",AND(I134,J134,K134,N134&gt;=MinHistory))</f>
        <v/>
      </c>
      <c r="M134" s="20">
        <f>IF(OR(B134="",'Weekly Input'!H134=0),"",'Weekly Input'!D134/'Weekly Input'!H134*7)</f>
        <v/>
      </c>
      <c r="N134" s="18">
        <f>IF(B134="","",COUNTIFS($B$5:$B$504,B134,$C$5:$C$504,C134,$I$5:$I$504,TRUE,$J$5:$J$504,TRUE,$K$5:$K$504,TRUE))</f>
        <v/>
      </c>
      <c r="O134" s="18">
        <f>IF(B134="","",AND(F134=AsOfWeek,AsOfWeek&lt;&gt;""))</f>
        <v/>
      </c>
      <c r="P134" s="20">
        <f>IF(OR(B134="",AsOfWeek=""),"",IFERROR(SUMIFS($M$5:$M$504,$B$5:$B$504,B134,$C$5:$C$504,C134,$L$5:$L$504,TRUE,$F$5:$F$504,"&gt;="&amp;AsOfWeek-7*(RecentWeeks-1),$F$5:$F$504,"&lt;="&amp;AsOfWeek),""))</f>
        <v/>
      </c>
      <c r="Q134" s="20">
        <f>IF(OR(B134="",AsOfWeek=""),"",IFERROR(SUMIFS($M$5:$M$504,$B$5:$B$504,B134,$C$5:$C$504,C134,$L$5:$L$504,TRUE,$F$5:$F$504,"&gt;="&amp;AsOfWeek-7*(RecentWeeks+PriorWeeks-1),$F$5:$F$504,"&lt;"&amp;AsOfWeek-7*(RecentWeeks-1)),""))</f>
        <v/>
      </c>
      <c r="R134" s="21">
        <f>IF(OR(P134="",Q134="",Q134=0),"",P134/Q134-1)</f>
        <v/>
      </c>
      <c r="S134" s="20">
        <f>IF(OR(C134="",AsOfWeek=""),"",IFERROR(AVERAGEIFS($M$5:$M$504,$C$5:$C$504,C134,$L$5:$L$504,TRUE,$F$5:$F$504,"&gt;="&amp;AsOfWeek-7*(RecentWeeks-1),$F$5:$F$504,"&lt;="&amp;AsOfWeek),""))</f>
        <v/>
      </c>
      <c r="T134" s="21">
        <f>IF(OR(P134="",S134=""),"",P134/S134-1)</f>
        <v/>
      </c>
      <c r="U134" s="22">
        <f>IF(OR(B134="",'Weekly Input'!G134="",P134="",P134=0),"",'Weekly Input'!G134/P134)</f>
        <v/>
      </c>
      <c r="V134" s="18">
        <f>IF(B134="","",IF(NOT(I134),"Not Ready",IF(NOT(K134),"Not Ready",IF(N134&lt;MinHistory,"Not Ready",IF(NOT(J134),"Not Ready",IF(OR(Q134="",Q134=0),"Noise",IF(Q134&lt;LowBaseThreshold,"Noise",IF(AND(R134&lt;=-OwnDecline,T134&lt;=-PeerGapThreshold),"Markdown Review",IF(AND(R134&gt;=ReorderUplift,U134&lt;&gt;"",U134&lt;=WeeksSupplyCap),"Reorder Candidate","Monitor"))))))))</f>
        <v/>
      </c>
      <c r="W134" s="18">
        <f>IF(B134="","",IF(NOT(I134),"INVALID_MASTER",IF(NOT(K134),"INCOMPLETE_SHELF_CYCLE",IF(N134&lt;MinHistory,"INSUFFICIENT_HISTORY",IF(NOT(J134),"INSUFFICIENT_IN_STOCK",IF(OR(Q134="",Q134=0),"NO_PRIOR_BASE",IF(Q134&lt;LowBaseThreshold,"LOW_BASE_NOISE",IF(V134="Markdown Review","MARKDOWN_PEER_GAP",IF(V134="Reorder Candidate","REORDER_UPLIFT_COVER","NO_MATERIAL_CHANGE"))))))))</f>
        <v/>
      </c>
      <c r="X134" s="18">
        <f>IF(V134="Markdown Review","Markdown support",IF(V134="Reorder Candidate","Second reorder",IF(V134="Monitor","Monitor",IF(V134="Noise","Hold / collect data",IF(V134="Not Ready","Not ready","")))))</f>
        <v/>
      </c>
      <c r="Y134" s="18">
        <f>IF(OR(R134="",T134=""),"",ABS(R134)+ABS(T134))</f>
        <v/>
      </c>
      <c r="Z134" s="21">
        <f>IF(OR(B134="",NOT(O134),R134=""),"",IF(ABS(R134)&gt;=MaterialThreshold,"Yes","No"))</f>
        <v/>
      </c>
      <c r="AA134" s="18">
        <f>IF(Z134&lt;&gt;"Yes","",IF(ABS(R134)&gt;=MaterialThreshold,IF(ABS(R134)&gt;=BroadShare,"Broad SKU movement","Store-concentrated movement"),""))</f>
        <v/>
      </c>
      <c r="AB134" s="18">
        <f>IF(O134,IF(COUNTIFS($O$5:O134,TRUE)&gt;0,COUNTIFS($O$5:O134,TRUE),0),0)</f>
        <v/>
      </c>
      <c r="AC134" s="18">
        <f>IF(V134="Markdown Review",1,IF(V134="Reorder Candidate",2,IF(V134="Monitor",3,IF(V134="Noise",4,IF(V134="Not Ready",5,99)))))</f>
        <v/>
      </c>
      <c r="AD134" s="18">
        <f>IF(O134,COUNTIFS($O$5:$O$504,TRUE,$AC$5:$AC$504,"&lt;"&amp;AC134)+COUNTIFS($O$5:O134,TRUE,$AC$5:AC134,AC134,$Y$5:Y134,"&gt;"&amp;Y134),0)</f>
        <v/>
      </c>
    </row>
    <row r="135">
      <c r="A135" s="17">
        <f>IF(COUNTA('Weekly Input'!A135:C135)=0,"",'Weekly Input'!B135&amp;"|"&amp;'Weekly Input'!C135&amp;"|"&amp;TEXT('Weekly Input'!A135,"yyyy-mm-dd"))</f>
        <v/>
      </c>
      <c r="B135" s="18">
        <f>'Weekly Input'!B135</f>
        <v/>
      </c>
      <c r="C135" s="18">
        <f>'Weekly Input'!C135</f>
        <v/>
      </c>
      <c r="D135" s="18">
        <f>IF(B135="","",IFERROR(INDEX('Master Data'!$B$6:$B$145,MATCH(B135,'Master Data'!$A$6:$A$145,0)),""))</f>
        <v/>
      </c>
      <c r="E135" s="18">
        <f>IF(C135="","",IFERROR(INDEX('Master Data'!$H$6:$H$13,MATCH(C135,'Master Data'!$F$6:$F$13,0)),""))</f>
        <v/>
      </c>
      <c r="F135" s="19">
        <f>'Weekly Input'!A135</f>
        <v/>
      </c>
      <c r="G135" s="19">
        <f>IF(B135="","",IFERROR(INDEX('Master Data'!$D$6:$D$145,MATCH(B135,'Master Data'!$A$6:$A$145,0)),""))</f>
        <v/>
      </c>
      <c r="H135" s="18">
        <f>IF(OR(F135="",G135=""),"",F135-G135)</f>
        <v/>
      </c>
      <c r="I135" s="18">
        <f>IF(B135="","",IF('Weekly Input'!J135="OK",TRUE,FALSE))</f>
        <v/>
      </c>
      <c r="J135" s="18">
        <f>IF(B135="","",'Weekly Input'!H135&gt;=MinInStockDays)</f>
        <v/>
      </c>
      <c r="K135" s="18">
        <f>IF(B135="","",H135&gt;=FullCycleMin)</f>
        <v/>
      </c>
      <c r="L135" s="18">
        <f>IF(B135="","",AND(I135,J135,K135,N135&gt;=MinHistory))</f>
        <v/>
      </c>
      <c r="M135" s="20">
        <f>IF(OR(B135="",'Weekly Input'!H135=0),"",'Weekly Input'!D135/'Weekly Input'!H135*7)</f>
        <v/>
      </c>
      <c r="N135" s="18">
        <f>IF(B135="","",COUNTIFS($B$5:$B$504,B135,$C$5:$C$504,C135,$I$5:$I$504,TRUE,$J$5:$J$504,TRUE,$K$5:$K$504,TRUE))</f>
        <v/>
      </c>
      <c r="O135" s="18">
        <f>IF(B135="","",AND(F135=AsOfWeek,AsOfWeek&lt;&gt;""))</f>
        <v/>
      </c>
      <c r="P135" s="20">
        <f>IF(OR(B135="",AsOfWeek=""),"",IFERROR(SUMIFS($M$5:$M$504,$B$5:$B$504,B135,$C$5:$C$504,C135,$L$5:$L$504,TRUE,$F$5:$F$504,"&gt;="&amp;AsOfWeek-7*(RecentWeeks-1),$F$5:$F$504,"&lt;="&amp;AsOfWeek),""))</f>
        <v/>
      </c>
      <c r="Q135" s="20">
        <f>IF(OR(B135="",AsOfWeek=""),"",IFERROR(SUMIFS($M$5:$M$504,$B$5:$B$504,B135,$C$5:$C$504,C135,$L$5:$L$504,TRUE,$F$5:$F$504,"&gt;="&amp;AsOfWeek-7*(RecentWeeks+PriorWeeks-1),$F$5:$F$504,"&lt;"&amp;AsOfWeek-7*(RecentWeeks-1)),""))</f>
        <v/>
      </c>
      <c r="R135" s="21">
        <f>IF(OR(P135="",Q135="",Q135=0),"",P135/Q135-1)</f>
        <v/>
      </c>
      <c r="S135" s="20">
        <f>IF(OR(C135="",AsOfWeek=""),"",IFERROR(AVERAGEIFS($M$5:$M$504,$C$5:$C$504,C135,$L$5:$L$504,TRUE,$F$5:$F$504,"&gt;="&amp;AsOfWeek-7*(RecentWeeks-1),$F$5:$F$504,"&lt;="&amp;AsOfWeek),""))</f>
        <v/>
      </c>
      <c r="T135" s="21">
        <f>IF(OR(P135="",S135=""),"",P135/S135-1)</f>
        <v/>
      </c>
      <c r="U135" s="22">
        <f>IF(OR(B135="",'Weekly Input'!G135="",P135="",P135=0),"",'Weekly Input'!G135/P135)</f>
        <v/>
      </c>
      <c r="V135" s="18">
        <f>IF(B135="","",IF(NOT(I135),"Not Ready",IF(NOT(K135),"Not Ready",IF(N135&lt;MinHistory,"Not Ready",IF(NOT(J135),"Not Ready",IF(OR(Q135="",Q135=0),"Noise",IF(Q135&lt;LowBaseThreshold,"Noise",IF(AND(R135&lt;=-OwnDecline,T135&lt;=-PeerGapThreshold),"Markdown Review",IF(AND(R135&gt;=ReorderUplift,U135&lt;&gt;"",U135&lt;=WeeksSupplyCap),"Reorder Candidate","Monitor"))))))))</f>
        <v/>
      </c>
      <c r="W135" s="18">
        <f>IF(B135="","",IF(NOT(I135),"INVALID_MASTER",IF(NOT(K135),"INCOMPLETE_SHELF_CYCLE",IF(N135&lt;MinHistory,"INSUFFICIENT_HISTORY",IF(NOT(J135),"INSUFFICIENT_IN_STOCK",IF(OR(Q135="",Q135=0),"NO_PRIOR_BASE",IF(Q135&lt;LowBaseThreshold,"LOW_BASE_NOISE",IF(V135="Markdown Review","MARKDOWN_PEER_GAP",IF(V135="Reorder Candidate","REORDER_UPLIFT_COVER","NO_MATERIAL_CHANGE"))))))))</f>
        <v/>
      </c>
      <c r="X135" s="18">
        <f>IF(V135="Markdown Review","Markdown support",IF(V135="Reorder Candidate","Second reorder",IF(V135="Monitor","Monitor",IF(V135="Noise","Hold / collect data",IF(V135="Not Ready","Not ready","")))))</f>
        <v/>
      </c>
      <c r="Y135" s="18">
        <f>IF(OR(R135="",T135=""),"",ABS(R135)+ABS(T135))</f>
        <v/>
      </c>
      <c r="Z135" s="21">
        <f>IF(OR(B135="",NOT(O135),R135=""),"",IF(ABS(R135)&gt;=MaterialThreshold,"Yes","No"))</f>
        <v/>
      </c>
      <c r="AA135" s="18">
        <f>IF(Z135&lt;&gt;"Yes","",IF(ABS(R135)&gt;=MaterialThreshold,IF(ABS(R135)&gt;=BroadShare,"Broad SKU movement","Store-concentrated movement"),""))</f>
        <v/>
      </c>
      <c r="AB135" s="18">
        <f>IF(O135,IF(COUNTIFS($O$5:O135,TRUE)&gt;0,COUNTIFS($O$5:O135,TRUE),0),0)</f>
        <v/>
      </c>
      <c r="AC135" s="18">
        <f>IF(V135="Markdown Review",1,IF(V135="Reorder Candidate",2,IF(V135="Monitor",3,IF(V135="Noise",4,IF(V135="Not Ready",5,99)))))</f>
        <v/>
      </c>
      <c r="AD135" s="18">
        <f>IF(O135,COUNTIFS($O$5:$O$504,TRUE,$AC$5:$AC$504,"&lt;"&amp;AC135)+COUNTIFS($O$5:O135,TRUE,$AC$5:AC135,AC135,$Y$5:Y135,"&gt;"&amp;Y135),0)</f>
        <v/>
      </c>
    </row>
    <row r="136">
      <c r="A136" s="17">
        <f>IF(COUNTA('Weekly Input'!A136:C136)=0,"",'Weekly Input'!B136&amp;"|"&amp;'Weekly Input'!C136&amp;"|"&amp;TEXT('Weekly Input'!A136,"yyyy-mm-dd"))</f>
        <v/>
      </c>
      <c r="B136" s="18">
        <f>'Weekly Input'!B136</f>
        <v/>
      </c>
      <c r="C136" s="18">
        <f>'Weekly Input'!C136</f>
        <v/>
      </c>
      <c r="D136" s="18">
        <f>IF(B136="","",IFERROR(INDEX('Master Data'!$B$6:$B$145,MATCH(B136,'Master Data'!$A$6:$A$145,0)),""))</f>
        <v/>
      </c>
      <c r="E136" s="18">
        <f>IF(C136="","",IFERROR(INDEX('Master Data'!$H$6:$H$13,MATCH(C136,'Master Data'!$F$6:$F$13,0)),""))</f>
        <v/>
      </c>
      <c r="F136" s="19">
        <f>'Weekly Input'!A136</f>
        <v/>
      </c>
      <c r="G136" s="19">
        <f>IF(B136="","",IFERROR(INDEX('Master Data'!$D$6:$D$145,MATCH(B136,'Master Data'!$A$6:$A$145,0)),""))</f>
        <v/>
      </c>
      <c r="H136" s="18">
        <f>IF(OR(F136="",G136=""),"",F136-G136)</f>
        <v/>
      </c>
      <c r="I136" s="18">
        <f>IF(B136="","",IF('Weekly Input'!J136="OK",TRUE,FALSE))</f>
        <v/>
      </c>
      <c r="J136" s="18">
        <f>IF(B136="","",'Weekly Input'!H136&gt;=MinInStockDays)</f>
        <v/>
      </c>
      <c r="K136" s="18">
        <f>IF(B136="","",H136&gt;=FullCycleMin)</f>
        <v/>
      </c>
      <c r="L136" s="18">
        <f>IF(B136="","",AND(I136,J136,K136,N136&gt;=MinHistory))</f>
        <v/>
      </c>
      <c r="M136" s="20">
        <f>IF(OR(B136="",'Weekly Input'!H136=0),"",'Weekly Input'!D136/'Weekly Input'!H136*7)</f>
        <v/>
      </c>
      <c r="N136" s="18">
        <f>IF(B136="","",COUNTIFS($B$5:$B$504,B136,$C$5:$C$504,C136,$I$5:$I$504,TRUE,$J$5:$J$504,TRUE,$K$5:$K$504,TRUE))</f>
        <v/>
      </c>
      <c r="O136" s="18">
        <f>IF(B136="","",AND(F136=AsOfWeek,AsOfWeek&lt;&gt;""))</f>
        <v/>
      </c>
      <c r="P136" s="20">
        <f>IF(OR(B136="",AsOfWeek=""),"",IFERROR(SUMIFS($M$5:$M$504,$B$5:$B$504,B136,$C$5:$C$504,C136,$L$5:$L$504,TRUE,$F$5:$F$504,"&gt;="&amp;AsOfWeek-7*(RecentWeeks-1),$F$5:$F$504,"&lt;="&amp;AsOfWeek),""))</f>
        <v/>
      </c>
      <c r="Q136" s="20">
        <f>IF(OR(B136="",AsOfWeek=""),"",IFERROR(SUMIFS($M$5:$M$504,$B$5:$B$504,B136,$C$5:$C$504,C136,$L$5:$L$504,TRUE,$F$5:$F$504,"&gt;="&amp;AsOfWeek-7*(RecentWeeks+PriorWeeks-1),$F$5:$F$504,"&lt;"&amp;AsOfWeek-7*(RecentWeeks-1)),""))</f>
        <v/>
      </c>
      <c r="R136" s="21">
        <f>IF(OR(P136="",Q136="",Q136=0),"",P136/Q136-1)</f>
        <v/>
      </c>
      <c r="S136" s="20">
        <f>IF(OR(C136="",AsOfWeek=""),"",IFERROR(AVERAGEIFS($M$5:$M$504,$C$5:$C$504,C136,$L$5:$L$504,TRUE,$F$5:$F$504,"&gt;="&amp;AsOfWeek-7*(RecentWeeks-1),$F$5:$F$504,"&lt;="&amp;AsOfWeek),""))</f>
        <v/>
      </c>
      <c r="T136" s="21">
        <f>IF(OR(P136="",S136=""),"",P136/S136-1)</f>
        <v/>
      </c>
      <c r="U136" s="22">
        <f>IF(OR(B136="",'Weekly Input'!G136="",P136="",P136=0),"",'Weekly Input'!G136/P136)</f>
        <v/>
      </c>
      <c r="V136" s="18">
        <f>IF(B136="","",IF(NOT(I136),"Not Ready",IF(NOT(K136),"Not Ready",IF(N136&lt;MinHistory,"Not Ready",IF(NOT(J136),"Not Ready",IF(OR(Q136="",Q136=0),"Noise",IF(Q136&lt;LowBaseThreshold,"Noise",IF(AND(R136&lt;=-OwnDecline,T136&lt;=-PeerGapThreshold),"Markdown Review",IF(AND(R136&gt;=ReorderUplift,U136&lt;&gt;"",U136&lt;=WeeksSupplyCap),"Reorder Candidate","Monitor"))))))))</f>
        <v/>
      </c>
      <c r="W136" s="18">
        <f>IF(B136="","",IF(NOT(I136),"INVALID_MASTER",IF(NOT(K136),"INCOMPLETE_SHELF_CYCLE",IF(N136&lt;MinHistory,"INSUFFICIENT_HISTORY",IF(NOT(J136),"INSUFFICIENT_IN_STOCK",IF(OR(Q136="",Q136=0),"NO_PRIOR_BASE",IF(Q136&lt;LowBaseThreshold,"LOW_BASE_NOISE",IF(V136="Markdown Review","MARKDOWN_PEER_GAP",IF(V136="Reorder Candidate","REORDER_UPLIFT_COVER","NO_MATERIAL_CHANGE"))))))))</f>
        <v/>
      </c>
      <c r="X136" s="18">
        <f>IF(V136="Markdown Review","Markdown support",IF(V136="Reorder Candidate","Second reorder",IF(V136="Monitor","Monitor",IF(V136="Noise","Hold / collect data",IF(V136="Not Ready","Not ready","")))))</f>
        <v/>
      </c>
      <c r="Y136" s="18">
        <f>IF(OR(R136="",T136=""),"",ABS(R136)+ABS(T136))</f>
        <v/>
      </c>
      <c r="Z136" s="21">
        <f>IF(OR(B136="",NOT(O136),R136=""),"",IF(ABS(R136)&gt;=MaterialThreshold,"Yes","No"))</f>
        <v/>
      </c>
      <c r="AA136" s="18">
        <f>IF(Z136&lt;&gt;"Yes","",IF(ABS(R136)&gt;=MaterialThreshold,IF(ABS(R136)&gt;=BroadShare,"Broad SKU movement","Store-concentrated movement"),""))</f>
        <v/>
      </c>
      <c r="AB136" s="18">
        <f>IF(O136,IF(COUNTIFS($O$5:O136,TRUE)&gt;0,COUNTIFS($O$5:O136,TRUE),0),0)</f>
        <v/>
      </c>
      <c r="AC136" s="18">
        <f>IF(V136="Markdown Review",1,IF(V136="Reorder Candidate",2,IF(V136="Monitor",3,IF(V136="Noise",4,IF(V136="Not Ready",5,99)))))</f>
        <v/>
      </c>
      <c r="AD136" s="18">
        <f>IF(O136,COUNTIFS($O$5:$O$504,TRUE,$AC$5:$AC$504,"&lt;"&amp;AC136)+COUNTIFS($O$5:O136,TRUE,$AC$5:AC136,AC136,$Y$5:Y136,"&gt;"&amp;Y136),0)</f>
        <v/>
      </c>
    </row>
    <row r="137">
      <c r="A137" s="17">
        <f>IF(COUNTA('Weekly Input'!A137:C137)=0,"",'Weekly Input'!B137&amp;"|"&amp;'Weekly Input'!C137&amp;"|"&amp;TEXT('Weekly Input'!A137,"yyyy-mm-dd"))</f>
        <v/>
      </c>
      <c r="B137" s="18">
        <f>'Weekly Input'!B137</f>
        <v/>
      </c>
      <c r="C137" s="18">
        <f>'Weekly Input'!C137</f>
        <v/>
      </c>
      <c r="D137" s="18">
        <f>IF(B137="","",IFERROR(INDEX('Master Data'!$B$6:$B$145,MATCH(B137,'Master Data'!$A$6:$A$145,0)),""))</f>
        <v/>
      </c>
      <c r="E137" s="18">
        <f>IF(C137="","",IFERROR(INDEX('Master Data'!$H$6:$H$13,MATCH(C137,'Master Data'!$F$6:$F$13,0)),""))</f>
        <v/>
      </c>
      <c r="F137" s="19">
        <f>'Weekly Input'!A137</f>
        <v/>
      </c>
      <c r="G137" s="19">
        <f>IF(B137="","",IFERROR(INDEX('Master Data'!$D$6:$D$145,MATCH(B137,'Master Data'!$A$6:$A$145,0)),""))</f>
        <v/>
      </c>
      <c r="H137" s="18">
        <f>IF(OR(F137="",G137=""),"",F137-G137)</f>
        <v/>
      </c>
      <c r="I137" s="18">
        <f>IF(B137="","",IF('Weekly Input'!J137="OK",TRUE,FALSE))</f>
        <v/>
      </c>
      <c r="J137" s="18">
        <f>IF(B137="","",'Weekly Input'!H137&gt;=MinInStockDays)</f>
        <v/>
      </c>
      <c r="K137" s="18">
        <f>IF(B137="","",H137&gt;=FullCycleMin)</f>
        <v/>
      </c>
      <c r="L137" s="18">
        <f>IF(B137="","",AND(I137,J137,K137,N137&gt;=MinHistory))</f>
        <v/>
      </c>
      <c r="M137" s="20">
        <f>IF(OR(B137="",'Weekly Input'!H137=0),"",'Weekly Input'!D137/'Weekly Input'!H137*7)</f>
        <v/>
      </c>
      <c r="N137" s="18">
        <f>IF(B137="","",COUNTIFS($B$5:$B$504,B137,$C$5:$C$504,C137,$I$5:$I$504,TRUE,$J$5:$J$504,TRUE,$K$5:$K$504,TRUE))</f>
        <v/>
      </c>
      <c r="O137" s="18">
        <f>IF(B137="","",AND(F137=AsOfWeek,AsOfWeek&lt;&gt;""))</f>
        <v/>
      </c>
      <c r="P137" s="20">
        <f>IF(OR(B137="",AsOfWeek=""),"",IFERROR(SUMIFS($M$5:$M$504,$B$5:$B$504,B137,$C$5:$C$504,C137,$L$5:$L$504,TRUE,$F$5:$F$504,"&gt;="&amp;AsOfWeek-7*(RecentWeeks-1),$F$5:$F$504,"&lt;="&amp;AsOfWeek),""))</f>
        <v/>
      </c>
      <c r="Q137" s="20">
        <f>IF(OR(B137="",AsOfWeek=""),"",IFERROR(SUMIFS($M$5:$M$504,$B$5:$B$504,B137,$C$5:$C$504,C137,$L$5:$L$504,TRUE,$F$5:$F$504,"&gt;="&amp;AsOfWeek-7*(RecentWeeks+PriorWeeks-1),$F$5:$F$504,"&lt;"&amp;AsOfWeek-7*(RecentWeeks-1)),""))</f>
        <v/>
      </c>
      <c r="R137" s="21">
        <f>IF(OR(P137="",Q137="",Q137=0),"",P137/Q137-1)</f>
        <v/>
      </c>
      <c r="S137" s="20">
        <f>IF(OR(C137="",AsOfWeek=""),"",IFERROR(AVERAGEIFS($M$5:$M$504,$C$5:$C$504,C137,$L$5:$L$504,TRUE,$F$5:$F$504,"&gt;="&amp;AsOfWeek-7*(RecentWeeks-1),$F$5:$F$504,"&lt;="&amp;AsOfWeek),""))</f>
        <v/>
      </c>
      <c r="T137" s="21">
        <f>IF(OR(P137="",S137=""),"",P137/S137-1)</f>
        <v/>
      </c>
      <c r="U137" s="22">
        <f>IF(OR(B137="",'Weekly Input'!G137="",P137="",P137=0),"",'Weekly Input'!G137/P137)</f>
        <v/>
      </c>
      <c r="V137" s="18">
        <f>IF(B137="","",IF(NOT(I137),"Not Ready",IF(NOT(K137),"Not Ready",IF(N137&lt;MinHistory,"Not Ready",IF(NOT(J137),"Not Ready",IF(OR(Q137="",Q137=0),"Noise",IF(Q137&lt;LowBaseThreshold,"Noise",IF(AND(R137&lt;=-OwnDecline,T137&lt;=-PeerGapThreshold),"Markdown Review",IF(AND(R137&gt;=ReorderUplift,U137&lt;&gt;"",U137&lt;=WeeksSupplyCap),"Reorder Candidate","Monitor"))))))))</f>
        <v/>
      </c>
      <c r="W137" s="18">
        <f>IF(B137="","",IF(NOT(I137),"INVALID_MASTER",IF(NOT(K137),"INCOMPLETE_SHELF_CYCLE",IF(N137&lt;MinHistory,"INSUFFICIENT_HISTORY",IF(NOT(J137),"INSUFFICIENT_IN_STOCK",IF(OR(Q137="",Q137=0),"NO_PRIOR_BASE",IF(Q137&lt;LowBaseThreshold,"LOW_BASE_NOISE",IF(V137="Markdown Review","MARKDOWN_PEER_GAP",IF(V137="Reorder Candidate","REORDER_UPLIFT_COVER","NO_MATERIAL_CHANGE"))))))))</f>
        <v/>
      </c>
      <c r="X137" s="18">
        <f>IF(V137="Markdown Review","Markdown support",IF(V137="Reorder Candidate","Second reorder",IF(V137="Monitor","Monitor",IF(V137="Noise","Hold / collect data",IF(V137="Not Ready","Not ready","")))))</f>
        <v/>
      </c>
      <c r="Y137" s="18">
        <f>IF(OR(R137="",T137=""),"",ABS(R137)+ABS(T137))</f>
        <v/>
      </c>
      <c r="Z137" s="21">
        <f>IF(OR(B137="",NOT(O137),R137=""),"",IF(ABS(R137)&gt;=MaterialThreshold,"Yes","No"))</f>
        <v/>
      </c>
      <c r="AA137" s="18">
        <f>IF(Z137&lt;&gt;"Yes","",IF(ABS(R137)&gt;=MaterialThreshold,IF(ABS(R137)&gt;=BroadShare,"Broad SKU movement","Store-concentrated movement"),""))</f>
        <v/>
      </c>
      <c r="AB137" s="18">
        <f>IF(O137,IF(COUNTIFS($O$5:O137,TRUE)&gt;0,COUNTIFS($O$5:O137,TRUE),0),0)</f>
        <v/>
      </c>
      <c r="AC137" s="18">
        <f>IF(V137="Markdown Review",1,IF(V137="Reorder Candidate",2,IF(V137="Monitor",3,IF(V137="Noise",4,IF(V137="Not Ready",5,99)))))</f>
        <v/>
      </c>
      <c r="AD137" s="18">
        <f>IF(O137,COUNTIFS($O$5:$O$504,TRUE,$AC$5:$AC$504,"&lt;"&amp;AC137)+COUNTIFS($O$5:O137,TRUE,$AC$5:AC137,AC137,$Y$5:Y137,"&gt;"&amp;Y137),0)</f>
        <v/>
      </c>
    </row>
    <row r="138">
      <c r="A138" s="17">
        <f>IF(COUNTA('Weekly Input'!A138:C138)=0,"",'Weekly Input'!B138&amp;"|"&amp;'Weekly Input'!C138&amp;"|"&amp;TEXT('Weekly Input'!A138,"yyyy-mm-dd"))</f>
        <v/>
      </c>
      <c r="B138" s="18">
        <f>'Weekly Input'!B138</f>
        <v/>
      </c>
      <c r="C138" s="18">
        <f>'Weekly Input'!C138</f>
        <v/>
      </c>
      <c r="D138" s="18">
        <f>IF(B138="","",IFERROR(INDEX('Master Data'!$B$6:$B$145,MATCH(B138,'Master Data'!$A$6:$A$145,0)),""))</f>
        <v/>
      </c>
      <c r="E138" s="18">
        <f>IF(C138="","",IFERROR(INDEX('Master Data'!$H$6:$H$13,MATCH(C138,'Master Data'!$F$6:$F$13,0)),""))</f>
        <v/>
      </c>
      <c r="F138" s="19">
        <f>'Weekly Input'!A138</f>
        <v/>
      </c>
      <c r="G138" s="19">
        <f>IF(B138="","",IFERROR(INDEX('Master Data'!$D$6:$D$145,MATCH(B138,'Master Data'!$A$6:$A$145,0)),""))</f>
        <v/>
      </c>
      <c r="H138" s="18">
        <f>IF(OR(F138="",G138=""),"",F138-G138)</f>
        <v/>
      </c>
      <c r="I138" s="18">
        <f>IF(B138="","",IF('Weekly Input'!J138="OK",TRUE,FALSE))</f>
        <v/>
      </c>
      <c r="J138" s="18">
        <f>IF(B138="","",'Weekly Input'!H138&gt;=MinInStockDays)</f>
        <v/>
      </c>
      <c r="K138" s="18">
        <f>IF(B138="","",H138&gt;=FullCycleMin)</f>
        <v/>
      </c>
      <c r="L138" s="18">
        <f>IF(B138="","",AND(I138,J138,K138,N138&gt;=MinHistory))</f>
        <v/>
      </c>
      <c r="M138" s="20">
        <f>IF(OR(B138="",'Weekly Input'!H138=0),"",'Weekly Input'!D138/'Weekly Input'!H138*7)</f>
        <v/>
      </c>
      <c r="N138" s="18">
        <f>IF(B138="","",COUNTIFS($B$5:$B$504,B138,$C$5:$C$504,C138,$I$5:$I$504,TRUE,$J$5:$J$504,TRUE,$K$5:$K$504,TRUE))</f>
        <v/>
      </c>
      <c r="O138" s="18">
        <f>IF(B138="","",AND(F138=AsOfWeek,AsOfWeek&lt;&gt;""))</f>
        <v/>
      </c>
      <c r="P138" s="20">
        <f>IF(OR(B138="",AsOfWeek=""),"",IFERROR(SUMIFS($M$5:$M$504,$B$5:$B$504,B138,$C$5:$C$504,C138,$L$5:$L$504,TRUE,$F$5:$F$504,"&gt;="&amp;AsOfWeek-7*(RecentWeeks-1),$F$5:$F$504,"&lt;="&amp;AsOfWeek),""))</f>
        <v/>
      </c>
      <c r="Q138" s="20">
        <f>IF(OR(B138="",AsOfWeek=""),"",IFERROR(SUMIFS($M$5:$M$504,$B$5:$B$504,B138,$C$5:$C$504,C138,$L$5:$L$504,TRUE,$F$5:$F$504,"&gt;="&amp;AsOfWeek-7*(RecentWeeks+PriorWeeks-1),$F$5:$F$504,"&lt;"&amp;AsOfWeek-7*(RecentWeeks-1)),""))</f>
        <v/>
      </c>
      <c r="R138" s="21">
        <f>IF(OR(P138="",Q138="",Q138=0),"",P138/Q138-1)</f>
        <v/>
      </c>
      <c r="S138" s="20">
        <f>IF(OR(C138="",AsOfWeek=""),"",IFERROR(AVERAGEIFS($M$5:$M$504,$C$5:$C$504,C138,$L$5:$L$504,TRUE,$F$5:$F$504,"&gt;="&amp;AsOfWeek-7*(RecentWeeks-1),$F$5:$F$504,"&lt;="&amp;AsOfWeek),""))</f>
        <v/>
      </c>
      <c r="T138" s="21">
        <f>IF(OR(P138="",S138=""),"",P138/S138-1)</f>
        <v/>
      </c>
      <c r="U138" s="22">
        <f>IF(OR(B138="",'Weekly Input'!G138="",P138="",P138=0),"",'Weekly Input'!G138/P138)</f>
        <v/>
      </c>
      <c r="V138" s="18">
        <f>IF(B138="","",IF(NOT(I138),"Not Ready",IF(NOT(K138),"Not Ready",IF(N138&lt;MinHistory,"Not Ready",IF(NOT(J138),"Not Ready",IF(OR(Q138="",Q138=0),"Noise",IF(Q138&lt;LowBaseThreshold,"Noise",IF(AND(R138&lt;=-OwnDecline,T138&lt;=-PeerGapThreshold),"Markdown Review",IF(AND(R138&gt;=ReorderUplift,U138&lt;&gt;"",U138&lt;=WeeksSupplyCap),"Reorder Candidate","Monitor"))))))))</f>
        <v/>
      </c>
      <c r="W138" s="18">
        <f>IF(B138="","",IF(NOT(I138),"INVALID_MASTER",IF(NOT(K138),"INCOMPLETE_SHELF_CYCLE",IF(N138&lt;MinHistory,"INSUFFICIENT_HISTORY",IF(NOT(J138),"INSUFFICIENT_IN_STOCK",IF(OR(Q138="",Q138=0),"NO_PRIOR_BASE",IF(Q138&lt;LowBaseThreshold,"LOW_BASE_NOISE",IF(V138="Markdown Review","MARKDOWN_PEER_GAP",IF(V138="Reorder Candidate","REORDER_UPLIFT_COVER","NO_MATERIAL_CHANGE"))))))))</f>
        <v/>
      </c>
      <c r="X138" s="18">
        <f>IF(V138="Markdown Review","Markdown support",IF(V138="Reorder Candidate","Second reorder",IF(V138="Monitor","Monitor",IF(V138="Noise","Hold / collect data",IF(V138="Not Ready","Not ready","")))))</f>
        <v/>
      </c>
      <c r="Y138" s="18">
        <f>IF(OR(R138="",T138=""),"",ABS(R138)+ABS(T138))</f>
        <v/>
      </c>
      <c r="Z138" s="21">
        <f>IF(OR(B138="",NOT(O138),R138=""),"",IF(ABS(R138)&gt;=MaterialThreshold,"Yes","No"))</f>
        <v/>
      </c>
      <c r="AA138" s="18">
        <f>IF(Z138&lt;&gt;"Yes","",IF(ABS(R138)&gt;=MaterialThreshold,IF(ABS(R138)&gt;=BroadShare,"Broad SKU movement","Store-concentrated movement"),""))</f>
        <v/>
      </c>
      <c r="AB138" s="18">
        <f>IF(O138,IF(COUNTIFS($O$5:O138,TRUE)&gt;0,COUNTIFS($O$5:O138,TRUE),0),0)</f>
        <v/>
      </c>
      <c r="AC138" s="18">
        <f>IF(V138="Markdown Review",1,IF(V138="Reorder Candidate",2,IF(V138="Monitor",3,IF(V138="Noise",4,IF(V138="Not Ready",5,99)))))</f>
        <v/>
      </c>
      <c r="AD138" s="18">
        <f>IF(O138,COUNTIFS($O$5:$O$504,TRUE,$AC$5:$AC$504,"&lt;"&amp;AC138)+COUNTIFS($O$5:O138,TRUE,$AC$5:AC138,AC138,$Y$5:Y138,"&gt;"&amp;Y138),0)</f>
        <v/>
      </c>
    </row>
    <row r="139">
      <c r="A139" s="17">
        <f>IF(COUNTA('Weekly Input'!A139:C139)=0,"",'Weekly Input'!B139&amp;"|"&amp;'Weekly Input'!C139&amp;"|"&amp;TEXT('Weekly Input'!A139,"yyyy-mm-dd"))</f>
        <v/>
      </c>
      <c r="B139" s="18">
        <f>'Weekly Input'!B139</f>
        <v/>
      </c>
      <c r="C139" s="18">
        <f>'Weekly Input'!C139</f>
        <v/>
      </c>
      <c r="D139" s="18">
        <f>IF(B139="","",IFERROR(INDEX('Master Data'!$B$6:$B$145,MATCH(B139,'Master Data'!$A$6:$A$145,0)),""))</f>
        <v/>
      </c>
      <c r="E139" s="18">
        <f>IF(C139="","",IFERROR(INDEX('Master Data'!$H$6:$H$13,MATCH(C139,'Master Data'!$F$6:$F$13,0)),""))</f>
        <v/>
      </c>
      <c r="F139" s="19">
        <f>'Weekly Input'!A139</f>
        <v/>
      </c>
      <c r="G139" s="19">
        <f>IF(B139="","",IFERROR(INDEX('Master Data'!$D$6:$D$145,MATCH(B139,'Master Data'!$A$6:$A$145,0)),""))</f>
        <v/>
      </c>
      <c r="H139" s="18">
        <f>IF(OR(F139="",G139=""),"",F139-G139)</f>
        <v/>
      </c>
      <c r="I139" s="18">
        <f>IF(B139="","",IF('Weekly Input'!J139="OK",TRUE,FALSE))</f>
        <v/>
      </c>
      <c r="J139" s="18">
        <f>IF(B139="","",'Weekly Input'!H139&gt;=MinInStockDays)</f>
        <v/>
      </c>
      <c r="K139" s="18">
        <f>IF(B139="","",H139&gt;=FullCycleMin)</f>
        <v/>
      </c>
      <c r="L139" s="18">
        <f>IF(B139="","",AND(I139,J139,K139,N139&gt;=MinHistory))</f>
        <v/>
      </c>
      <c r="M139" s="20">
        <f>IF(OR(B139="",'Weekly Input'!H139=0),"",'Weekly Input'!D139/'Weekly Input'!H139*7)</f>
        <v/>
      </c>
      <c r="N139" s="18">
        <f>IF(B139="","",COUNTIFS($B$5:$B$504,B139,$C$5:$C$504,C139,$I$5:$I$504,TRUE,$J$5:$J$504,TRUE,$K$5:$K$504,TRUE))</f>
        <v/>
      </c>
      <c r="O139" s="18">
        <f>IF(B139="","",AND(F139=AsOfWeek,AsOfWeek&lt;&gt;""))</f>
        <v/>
      </c>
      <c r="P139" s="20">
        <f>IF(OR(B139="",AsOfWeek=""),"",IFERROR(SUMIFS($M$5:$M$504,$B$5:$B$504,B139,$C$5:$C$504,C139,$L$5:$L$504,TRUE,$F$5:$F$504,"&gt;="&amp;AsOfWeek-7*(RecentWeeks-1),$F$5:$F$504,"&lt;="&amp;AsOfWeek),""))</f>
        <v/>
      </c>
      <c r="Q139" s="20">
        <f>IF(OR(B139="",AsOfWeek=""),"",IFERROR(SUMIFS($M$5:$M$504,$B$5:$B$504,B139,$C$5:$C$504,C139,$L$5:$L$504,TRUE,$F$5:$F$504,"&gt;="&amp;AsOfWeek-7*(RecentWeeks+PriorWeeks-1),$F$5:$F$504,"&lt;"&amp;AsOfWeek-7*(RecentWeeks-1)),""))</f>
        <v/>
      </c>
      <c r="R139" s="21">
        <f>IF(OR(P139="",Q139="",Q139=0),"",P139/Q139-1)</f>
        <v/>
      </c>
      <c r="S139" s="20">
        <f>IF(OR(C139="",AsOfWeek=""),"",IFERROR(AVERAGEIFS($M$5:$M$504,$C$5:$C$504,C139,$L$5:$L$504,TRUE,$F$5:$F$504,"&gt;="&amp;AsOfWeek-7*(RecentWeeks-1),$F$5:$F$504,"&lt;="&amp;AsOfWeek),""))</f>
        <v/>
      </c>
      <c r="T139" s="21">
        <f>IF(OR(P139="",S139=""),"",P139/S139-1)</f>
        <v/>
      </c>
      <c r="U139" s="22">
        <f>IF(OR(B139="",'Weekly Input'!G139="",P139="",P139=0),"",'Weekly Input'!G139/P139)</f>
        <v/>
      </c>
      <c r="V139" s="18">
        <f>IF(B139="","",IF(NOT(I139),"Not Ready",IF(NOT(K139),"Not Ready",IF(N139&lt;MinHistory,"Not Ready",IF(NOT(J139),"Not Ready",IF(OR(Q139="",Q139=0),"Noise",IF(Q139&lt;LowBaseThreshold,"Noise",IF(AND(R139&lt;=-OwnDecline,T139&lt;=-PeerGapThreshold),"Markdown Review",IF(AND(R139&gt;=ReorderUplift,U139&lt;&gt;"",U139&lt;=WeeksSupplyCap),"Reorder Candidate","Monitor"))))))))</f>
        <v/>
      </c>
      <c r="W139" s="18">
        <f>IF(B139="","",IF(NOT(I139),"INVALID_MASTER",IF(NOT(K139),"INCOMPLETE_SHELF_CYCLE",IF(N139&lt;MinHistory,"INSUFFICIENT_HISTORY",IF(NOT(J139),"INSUFFICIENT_IN_STOCK",IF(OR(Q139="",Q139=0),"NO_PRIOR_BASE",IF(Q139&lt;LowBaseThreshold,"LOW_BASE_NOISE",IF(V139="Markdown Review","MARKDOWN_PEER_GAP",IF(V139="Reorder Candidate","REORDER_UPLIFT_COVER","NO_MATERIAL_CHANGE"))))))))</f>
        <v/>
      </c>
      <c r="X139" s="18">
        <f>IF(V139="Markdown Review","Markdown support",IF(V139="Reorder Candidate","Second reorder",IF(V139="Monitor","Monitor",IF(V139="Noise","Hold / collect data",IF(V139="Not Ready","Not ready","")))))</f>
        <v/>
      </c>
      <c r="Y139" s="18">
        <f>IF(OR(R139="",T139=""),"",ABS(R139)+ABS(T139))</f>
        <v/>
      </c>
      <c r="Z139" s="21">
        <f>IF(OR(B139="",NOT(O139),R139=""),"",IF(ABS(R139)&gt;=MaterialThreshold,"Yes","No"))</f>
        <v/>
      </c>
      <c r="AA139" s="18">
        <f>IF(Z139&lt;&gt;"Yes","",IF(ABS(R139)&gt;=MaterialThreshold,IF(ABS(R139)&gt;=BroadShare,"Broad SKU movement","Store-concentrated movement"),""))</f>
        <v/>
      </c>
      <c r="AB139" s="18">
        <f>IF(O139,IF(COUNTIFS($O$5:O139,TRUE)&gt;0,COUNTIFS($O$5:O139,TRUE),0),0)</f>
        <v/>
      </c>
      <c r="AC139" s="18">
        <f>IF(V139="Markdown Review",1,IF(V139="Reorder Candidate",2,IF(V139="Monitor",3,IF(V139="Noise",4,IF(V139="Not Ready",5,99)))))</f>
        <v/>
      </c>
      <c r="AD139" s="18">
        <f>IF(O139,COUNTIFS($O$5:$O$504,TRUE,$AC$5:$AC$504,"&lt;"&amp;AC139)+COUNTIFS($O$5:O139,TRUE,$AC$5:AC139,AC139,$Y$5:Y139,"&gt;"&amp;Y139),0)</f>
        <v/>
      </c>
    </row>
    <row r="140">
      <c r="A140" s="17">
        <f>IF(COUNTA('Weekly Input'!A140:C140)=0,"",'Weekly Input'!B140&amp;"|"&amp;'Weekly Input'!C140&amp;"|"&amp;TEXT('Weekly Input'!A140,"yyyy-mm-dd"))</f>
        <v/>
      </c>
      <c r="B140" s="18">
        <f>'Weekly Input'!B140</f>
        <v/>
      </c>
      <c r="C140" s="18">
        <f>'Weekly Input'!C140</f>
        <v/>
      </c>
      <c r="D140" s="18">
        <f>IF(B140="","",IFERROR(INDEX('Master Data'!$B$6:$B$145,MATCH(B140,'Master Data'!$A$6:$A$145,0)),""))</f>
        <v/>
      </c>
      <c r="E140" s="18">
        <f>IF(C140="","",IFERROR(INDEX('Master Data'!$H$6:$H$13,MATCH(C140,'Master Data'!$F$6:$F$13,0)),""))</f>
        <v/>
      </c>
      <c r="F140" s="19">
        <f>'Weekly Input'!A140</f>
        <v/>
      </c>
      <c r="G140" s="19">
        <f>IF(B140="","",IFERROR(INDEX('Master Data'!$D$6:$D$145,MATCH(B140,'Master Data'!$A$6:$A$145,0)),""))</f>
        <v/>
      </c>
      <c r="H140" s="18">
        <f>IF(OR(F140="",G140=""),"",F140-G140)</f>
        <v/>
      </c>
      <c r="I140" s="18">
        <f>IF(B140="","",IF('Weekly Input'!J140="OK",TRUE,FALSE))</f>
        <v/>
      </c>
      <c r="J140" s="18">
        <f>IF(B140="","",'Weekly Input'!H140&gt;=MinInStockDays)</f>
        <v/>
      </c>
      <c r="K140" s="18">
        <f>IF(B140="","",H140&gt;=FullCycleMin)</f>
        <v/>
      </c>
      <c r="L140" s="18">
        <f>IF(B140="","",AND(I140,J140,K140,N140&gt;=MinHistory))</f>
        <v/>
      </c>
      <c r="M140" s="20">
        <f>IF(OR(B140="",'Weekly Input'!H140=0),"",'Weekly Input'!D140/'Weekly Input'!H140*7)</f>
        <v/>
      </c>
      <c r="N140" s="18">
        <f>IF(B140="","",COUNTIFS($B$5:$B$504,B140,$C$5:$C$504,C140,$I$5:$I$504,TRUE,$J$5:$J$504,TRUE,$K$5:$K$504,TRUE))</f>
        <v/>
      </c>
      <c r="O140" s="18">
        <f>IF(B140="","",AND(F140=AsOfWeek,AsOfWeek&lt;&gt;""))</f>
        <v/>
      </c>
      <c r="P140" s="20">
        <f>IF(OR(B140="",AsOfWeek=""),"",IFERROR(SUMIFS($M$5:$M$504,$B$5:$B$504,B140,$C$5:$C$504,C140,$L$5:$L$504,TRUE,$F$5:$F$504,"&gt;="&amp;AsOfWeek-7*(RecentWeeks-1),$F$5:$F$504,"&lt;="&amp;AsOfWeek),""))</f>
        <v/>
      </c>
      <c r="Q140" s="20">
        <f>IF(OR(B140="",AsOfWeek=""),"",IFERROR(SUMIFS($M$5:$M$504,$B$5:$B$504,B140,$C$5:$C$504,C140,$L$5:$L$504,TRUE,$F$5:$F$504,"&gt;="&amp;AsOfWeek-7*(RecentWeeks+PriorWeeks-1),$F$5:$F$504,"&lt;"&amp;AsOfWeek-7*(RecentWeeks-1)),""))</f>
        <v/>
      </c>
      <c r="R140" s="21">
        <f>IF(OR(P140="",Q140="",Q140=0),"",P140/Q140-1)</f>
        <v/>
      </c>
      <c r="S140" s="20">
        <f>IF(OR(C140="",AsOfWeek=""),"",IFERROR(AVERAGEIFS($M$5:$M$504,$C$5:$C$504,C140,$L$5:$L$504,TRUE,$F$5:$F$504,"&gt;="&amp;AsOfWeek-7*(RecentWeeks-1),$F$5:$F$504,"&lt;="&amp;AsOfWeek),""))</f>
        <v/>
      </c>
      <c r="T140" s="21">
        <f>IF(OR(P140="",S140=""),"",P140/S140-1)</f>
        <v/>
      </c>
      <c r="U140" s="22">
        <f>IF(OR(B140="",'Weekly Input'!G140="",P140="",P140=0),"",'Weekly Input'!G140/P140)</f>
        <v/>
      </c>
      <c r="V140" s="18">
        <f>IF(B140="","",IF(NOT(I140),"Not Ready",IF(NOT(K140),"Not Ready",IF(N140&lt;MinHistory,"Not Ready",IF(NOT(J140),"Not Ready",IF(OR(Q140="",Q140=0),"Noise",IF(Q140&lt;LowBaseThreshold,"Noise",IF(AND(R140&lt;=-OwnDecline,T140&lt;=-PeerGapThreshold),"Markdown Review",IF(AND(R140&gt;=ReorderUplift,U140&lt;&gt;"",U140&lt;=WeeksSupplyCap),"Reorder Candidate","Monitor"))))))))</f>
        <v/>
      </c>
      <c r="W140" s="18">
        <f>IF(B140="","",IF(NOT(I140),"INVALID_MASTER",IF(NOT(K140),"INCOMPLETE_SHELF_CYCLE",IF(N140&lt;MinHistory,"INSUFFICIENT_HISTORY",IF(NOT(J140),"INSUFFICIENT_IN_STOCK",IF(OR(Q140="",Q140=0),"NO_PRIOR_BASE",IF(Q140&lt;LowBaseThreshold,"LOW_BASE_NOISE",IF(V140="Markdown Review","MARKDOWN_PEER_GAP",IF(V140="Reorder Candidate","REORDER_UPLIFT_COVER","NO_MATERIAL_CHANGE"))))))))</f>
        <v/>
      </c>
      <c r="X140" s="18">
        <f>IF(V140="Markdown Review","Markdown support",IF(V140="Reorder Candidate","Second reorder",IF(V140="Monitor","Monitor",IF(V140="Noise","Hold / collect data",IF(V140="Not Ready","Not ready","")))))</f>
        <v/>
      </c>
      <c r="Y140" s="18">
        <f>IF(OR(R140="",T140=""),"",ABS(R140)+ABS(T140))</f>
        <v/>
      </c>
      <c r="Z140" s="21">
        <f>IF(OR(B140="",NOT(O140),R140=""),"",IF(ABS(R140)&gt;=MaterialThreshold,"Yes","No"))</f>
        <v/>
      </c>
      <c r="AA140" s="18">
        <f>IF(Z140&lt;&gt;"Yes","",IF(ABS(R140)&gt;=MaterialThreshold,IF(ABS(R140)&gt;=BroadShare,"Broad SKU movement","Store-concentrated movement"),""))</f>
        <v/>
      </c>
      <c r="AB140" s="18">
        <f>IF(O140,IF(COUNTIFS($O$5:O140,TRUE)&gt;0,COUNTIFS($O$5:O140,TRUE),0),0)</f>
        <v/>
      </c>
      <c r="AC140" s="18">
        <f>IF(V140="Markdown Review",1,IF(V140="Reorder Candidate",2,IF(V140="Monitor",3,IF(V140="Noise",4,IF(V140="Not Ready",5,99)))))</f>
        <v/>
      </c>
      <c r="AD140" s="18">
        <f>IF(O140,COUNTIFS($O$5:$O$504,TRUE,$AC$5:$AC$504,"&lt;"&amp;AC140)+COUNTIFS($O$5:O140,TRUE,$AC$5:AC140,AC140,$Y$5:Y140,"&gt;"&amp;Y140),0)</f>
        <v/>
      </c>
    </row>
    <row r="141">
      <c r="A141" s="17">
        <f>IF(COUNTA('Weekly Input'!A141:C141)=0,"",'Weekly Input'!B141&amp;"|"&amp;'Weekly Input'!C141&amp;"|"&amp;TEXT('Weekly Input'!A141,"yyyy-mm-dd"))</f>
        <v/>
      </c>
      <c r="B141" s="18">
        <f>'Weekly Input'!B141</f>
        <v/>
      </c>
      <c r="C141" s="18">
        <f>'Weekly Input'!C141</f>
        <v/>
      </c>
      <c r="D141" s="18">
        <f>IF(B141="","",IFERROR(INDEX('Master Data'!$B$6:$B$145,MATCH(B141,'Master Data'!$A$6:$A$145,0)),""))</f>
        <v/>
      </c>
      <c r="E141" s="18">
        <f>IF(C141="","",IFERROR(INDEX('Master Data'!$H$6:$H$13,MATCH(C141,'Master Data'!$F$6:$F$13,0)),""))</f>
        <v/>
      </c>
      <c r="F141" s="19">
        <f>'Weekly Input'!A141</f>
        <v/>
      </c>
      <c r="G141" s="19">
        <f>IF(B141="","",IFERROR(INDEX('Master Data'!$D$6:$D$145,MATCH(B141,'Master Data'!$A$6:$A$145,0)),""))</f>
        <v/>
      </c>
      <c r="H141" s="18">
        <f>IF(OR(F141="",G141=""),"",F141-G141)</f>
        <v/>
      </c>
      <c r="I141" s="18">
        <f>IF(B141="","",IF('Weekly Input'!J141="OK",TRUE,FALSE))</f>
        <v/>
      </c>
      <c r="J141" s="18">
        <f>IF(B141="","",'Weekly Input'!H141&gt;=MinInStockDays)</f>
        <v/>
      </c>
      <c r="K141" s="18">
        <f>IF(B141="","",H141&gt;=FullCycleMin)</f>
        <v/>
      </c>
      <c r="L141" s="18">
        <f>IF(B141="","",AND(I141,J141,K141,N141&gt;=MinHistory))</f>
        <v/>
      </c>
      <c r="M141" s="20">
        <f>IF(OR(B141="",'Weekly Input'!H141=0),"",'Weekly Input'!D141/'Weekly Input'!H141*7)</f>
        <v/>
      </c>
      <c r="N141" s="18">
        <f>IF(B141="","",COUNTIFS($B$5:$B$504,B141,$C$5:$C$504,C141,$I$5:$I$504,TRUE,$J$5:$J$504,TRUE,$K$5:$K$504,TRUE))</f>
        <v/>
      </c>
      <c r="O141" s="18">
        <f>IF(B141="","",AND(F141=AsOfWeek,AsOfWeek&lt;&gt;""))</f>
        <v/>
      </c>
      <c r="P141" s="20">
        <f>IF(OR(B141="",AsOfWeek=""),"",IFERROR(SUMIFS($M$5:$M$504,$B$5:$B$504,B141,$C$5:$C$504,C141,$L$5:$L$504,TRUE,$F$5:$F$504,"&gt;="&amp;AsOfWeek-7*(RecentWeeks-1),$F$5:$F$504,"&lt;="&amp;AsOfWeek),""))</f>
        <v/>
      </c>
      <c r="Q141" s="20">
        <f>IF(OR(B141="",AsOfWeek=""),"",IFERROR(SUMIFS($M$5:$M$504,$B$5:$B$504,B141,$C$5:$C$504,C141,$L$5:$L$504,TRUE,$F$5:$F$504,"&gt;="&amp;AsOfWeek-7*(RecentWeeks+PriorWeeks-1),$F$5:$F$504,"&lt;"&amp;AsOfWeek-7*(RecentWeeks-1)),""))</f>
        <v/>
      </c>
      <c r="R141" s="21">
        <f>IF(OR(P141="",Q141="",Q141=0),"",P141/Q141-1)</f>
        <v/>
      </c>
      <c r="S141" s="20">
        <f>IF(OR(C141="",AsOfWeek=""),"",IFERROR(AVERAGEIFS($M$5:$M$504,$C$5:$C$504,C141,$L$5:$L$504,TRUE,$F$5:$F$504,"&gt;="&amp;AsOfWeek-7*(RecentWeeks-1),$F$5:$F$504,"&lt;="&amp;AsOfWeek),""))</f>
        <v/>
      </c>
      <c r="T141" s="21">
        <f>IF(OR(P141="",S141=""),"",P141/S141-1)</f>
        <v/>
      </c>
      <c r="U141" s="22">
        <f>IF(OR(B141="",'Weekly Input'!G141="",P141="",P141=0),"",'Weekly Input'!G141/P141)</f>
        <v/>
      </c>
      <c r="V141" s="18">
        <f>IF(B141="","",IF(NOT(I141),"Not Ready",IF(NOT(K141),"Not Ready",IF(N141&lt;MinHistory,"Not Ready",IF(NOT(J141),"Not Ready",IF(OR(Q141="",Q141=0),"Noise",IF(Q141&lt;LowBaseThreshold,"Noise",IF(AND(R141&lt;=-OwnDecline,T141&lt;=-PeerGapThreshold),"Markdown Review",IF(AND(R141&gt;=ReorderUplift,U141&lt;&gt;"",U141&lt;=WeeksSupplyCap),"Reorder Candidate","Monitor"))))))))</f>
        <v/>
      </c>
      <c r="W141" s="18">
        <f>IF(B141="","",IF(NOT(I141),"INVALID_MASTER",IF(NOT(K141),"INCOMPLETE_SHELF_CYCLE",IF(N141&lt;MinHistory,"INSUFFICIENT_HISTORY",IF(NOT(J141),"INSUFFICIENT_IN_STOCK",IF(OR(Q141="",Q141=0),"NO_PRIOR_BASE",IF(Q141&lt;LowBaseThreshold,"LOW_BASE_NOISE",IF(V141="Markdown Review","MARKDOWN_PEER_GAP",IF(V141="Reorder Candidate","REORDER_UPLIFT_COVER","NO_MATERIAL_CHANGE"))))))))</f>
        <v/>
      </c>
      <c r="X141" s="18">
        <f>IF(V141="Markdown Review","Markdown support",IF(V141="Reorder Candidate","Second reorder",IF(V141="Monitor","Monitor",IF(V141="Noise","Hold / collect data",IF(V141="Not Ready","Not ready","")))))</f>
        <v/>
      </c>
      <c r="Y141" s="18">
        <f>IF(OR(R141="",T141=""),"",ABS(R141)+ABS(T141))</f>
        <v/>
      </c>
      <c r="Z141" s="21">
        <f>IF(OR(B141="",NOT(O141),R141=""),"",IF(ABS(R141)&gt;=MaterialThreshold,"Yes","No"))</f>
        <v/>
      </c>
      <c r="AA141" s="18">
        <f>IF(Z141&lt;&gt;"Yes","",IF(ABS(R141)&gt;=MaterialThreshold,IF(ABS(R141)&gt;=BroadShare,"Broad SKU movement","Store-concentrated movement"),""))</f>
        <v/>
      </c>
      <c r="AB141" s="18">
        <f>IF(O141,IF(COUNTIFS($O$5:O141,TRUE)&gt;0,COUNTIFS($O$5:O141,TRUE),0),0)</f>
        <v/>
      </c>
      <c r="AC141" s="18">
        <f>IF(V141="Markdown Review",1,IF(V141="Reorder Candidate",2,IF(V141="Monitor",3,IF(V141="Noise",4,IF(V141="Not Ready",5,99)))))</f>
        <v/>
      </c>
      <c r="AD141" s="18">
        <f>IF(O141,COUNTIFS($O$5:$O$504,TRUE,$AC$5:$AC$504,"&lt;"&amp;AC141)+COUNTIFS($O$5:O141,TRUE,$AC$5:AC141,AC141,$Y$5:Y141,"&gt;"&amp;Y141),0)</f>
        <v/>
      </c>
    </row>
    <row r="142">
      <c r="A142" s="17">
        <f>IF(COUNTA('Weekly Input'!A142:C142)=0,"",'Weekly Input'!B142&amp;"|"&amp;'Weekly Input'!C142&amp;"|"&amp;TEXT('Weekly Input'!A142,"yyyy-mm-dd"))</f>
        <v/>
      </c>
      <c r="B142" s="18">
        <f>'Weekly Input'!B142</f>
        <v/>
      </c>
      <c r="C142" s="18">
        <f>'Weekly Input'!C142</f>
        <v/>
      </c>
      <c r="D142" s="18">
        <f>IF(B142="","",IFERROR(INDEX('Master Data'!$B$6:$B$145,MATCH(B142,'Master Data'!$A$6:$A$145,0)),""))</f>
        <v/>
      </c>
      <c r="E142" s="18">
        <f>IF(C142="","",IFERROR(INDEX('Master Data'!$H$6:$H$13,MATCH(C142,'Master Data'!$F$6:$F$13,0)),""))</f>
        <v/>
      </c>
      <c r="F142" s="19">
        <f>'Weekly Input'!A142</f>
        <v/>
      </c>
      <c r="G142" s="19">
        <f>IF(B142="","",IFERROR(INDEX('Master Data'!$D$6:$D$145,MATCH(B142,'Master Data'!$A$6:$A$145,0)),""))</f>
        <v/>
      </c>
      <c r="H142" s="18">
        <f>IF(OR(F142="",G142=""),"",F142-G142)</f>
        <v/>
      </c>
      <c r="I142" s="18">
        <f>IF(B142="","",IF('Weekly Input'!J142="OK",TRUE,FALSE))</f>
        <v/>
      </c>
      <c r="J142" s="18">
        <f>IF(B142="","",'Weekly Input'!H142&gt;=MinInStockDays)</f>
        <v/>
      </c>
      <c r="K142" s="18">
        <f>IF(B142="","",H142&gt;=FullCycleMin)</f>
        <v/>
      </c>
      <c r="L142" s="18">
        <f>IF(B142="","",AND(I142,J142,K142,N142&gt;=MinHistory))</f>
        <v/>
      </c>
      <c r="M142" s="20">
        <f>IF(OR(B142="",'Weekly Input'!H142=0),"",'Weekly Input'!D142/'Weekly Input'!H142*7)</f>
        <v/>
      </c>
      <c r="N142" s="18">
        <f>IF(B142="","",COUNTIFS($B$5:$B$504,B142,$C$5:$C$504,C142,$I$5:$I$504,TRUE,$J$5:$J$504,TRUE,$K$5:$K$504,TRUE))</f>
        <v/>
      </c>
      <c r="O142" s="18">
        <f>IF(B142="","",AND(F142=AsOfWeek,AsOfWeek&lt;&gt;""))</f>
        <v/>
      </c>
      <c r="P142" s="20">
        <f>IF(OR(B142="",AsOfWeek=""),"",IFERROR(SUMIFS($M$5:$M$504,$B$5:$B$504,B142,$C$5:$C$504,C142,$L$5:$L$504,TRUE,$F$5:$F$504,"&gt;="&amp;AsOfWeek-7*(RecentWeeks-1),$F$5:$F$504,"&lt;="&amp;AsOfWeek),""))</f>
        <v/>
      </c>
      <c r="Q142" s="20">
        <f>IF(OR(B142="",AsOfWeek=""),"",IFERROR(SUMIFS($M$5:$M$504,$B$5:$B$504,B142,$C$5:$C$504,C142,$L$5:$L$504,TRUE,$F$5:$F$504,"&gt;="&amp;AsOfWeek-7*(RecentWeeks+PriorWeeks-1),$F$5:$F$504,"&lt;"&amp;AsOfWeek-7*(RecentWeeks-1)),""))</f>
        <v/>
      </c>
      <c r="R142" s="21">
        <f>IF(OR(P142="",Q142="",Q142=0),"",P142/Q142-1)</f>
        <v/>
      </c>
      <c r="S142" s="20">
        <f>IF(OR(C142="",AsOfWeek=""),"",IFERROR(AVERAGEIFS($M$5:$M$504,$C$5:$C$504,C142,$L$5:$L$504,TRUE,$F$5:$F$504,"&gt;="&amp;AsOfWeek-7*(RecentWeeks-1),$F$5:$F$504,"&lt;="&amp;AsOfWeek),""))</f>
        <v/>
      </c>
      <c r="T142" s="21">
        <f>IF(OR(P142="",S142=""),"",P142/S142-1)</f>
        <v/>
      </c>
      <c r="U142" s="22">
        <f>IF(OR(B142="",'Weekly Input'!G142="",P142="",P142=0),"",'Weekly Input'!G142/P142)</f>
        <v/>
      </c>
      <c r="V142" s="18">
        <f>IF(B142="","",IF(NOT(I142),"Not Ready",IF(NOT(K142),"Not Ready",IF(N142&lt;MinHistory,"Not Ready",IF(NOT(J142),"Not Ready",IF(OR(Q142="",Q142=0),"Noise",IF(Q142&lt;LowBaseThreshold,"Noise",IF(AND(R142&lt;=-OwnDecline,T142&lt;=-PeerGapThreshold),"Markdown Review",IF(AND(R142&gt;=ReorderUplift,U142&lt;&gt;"",U142&lt;=WeeksSupplyCap),"Reorder Candidate","Monitor"))))))))</f>
        <v/>
      </c>
      <c r="W142" s="18">
        <f>IF(B142="","",IF(NOT(I142),"INVALID_MASTER",IF(NOT(K142),"INCOMPLETE_SHELF_CYCLE",IF(N142&lt;MinHistory,"INSUFFICIENT_HISTORY",IF(NOT(J142),"INSUFFICIENT_IN_STOCK",IF(OR(Q142="",Q142=0),"NO_PRIOR_BASE",IF(Q142&lt;LowBaseThreshold,"LOW_BASE_NOISE",IF(V142="Markdown Review","MARKDOWN_PEER_GAP",IF(V142="Reorder Candidate","REORDER_UPLIFT_COVER","NO_MATERIAL_CHANGE"))))))))</f>
        <v/>
      </c>
      <c r="X142" s="18">
        <f>IF(V142="Markdown Review","Markdown support",IF(V142="Reorder Candidate","Second reorder",IF(V142="Monitor","Monitor",IF(V142="Noise","Hold / collect data",IF(V142="Not Ready","Not ready","")))))</f>
        <v/>
      </c>
      <c r="Y142" s="18">
        <f>IF(OR(R142="",T142=""),"",ABS(R142)+ABS(T142))</f>
        <v/>
      </c>
      <c r="Z142" s="21">
        <f>IF(OR(B142="",NOT(O142),R142=""),"",IF(ABS(R142)&gt;=MaterialThreshold,"Yes","No"))</f>
        <v/>
      </c>
      <c r="AA142" s="18">
        <f>IF(Z142&lt;&gt;"Yes","",IF(ABS(R142)&gt;=MaterialThreshold,IF(ABS(R142)&gt;=BroadShare,"Broad SKU movement","Store-concentrated movement"),""))</f>
        <v/>
      </c>
      <c r="AB142" s="18">
        <f>IF(O142,IF(COUNTIFS($O$5:O142,TRUE)&gt;0,COUNTIFS($O$5:O142,TRUE),0),0)</f>
        <v/>
      </c>
      <c r="AC142" s="18">
        <f>IF(V142="Markdown Review",1,IF(V142="Reorder Candidate",2,IF(V142="Monitor",3,IF(V142="Noise",4,IF(V142="Not Ready",5,99)))))</f>
        <v/>
      </c>
      <c r="AD142" s="18">
        <f>IF(O142,COUNTIFS($O$5:$O$504,TRUE,$AC$5:$AC$504,"&lt;"&amp;AC142)+COUNTIFS($O$5:O142,TRUE,$AC$5:AC142,AC142,$Y$5:Y142,"&gt;"&amp;Y142),0)</f>
        <v/>
      </c>
    </row>
    <row r="143">
      <c r="A143" s="17">
        <f>IF(COUNTA('Weekly Input'!A143:C143)=0,"",'Weekly Input'!B143&amp;"|"&amp;'Weekly Input'!C143&amp;"|"&amp;TEXT('Weekly Input'!A143,"yyyy-mm-dd"))</f>
        <v/>
      </c>
      <c r="B143" s="18">
        <f>'Weekly Input'!B143</f>
        <v/>
      </c>
      <c r="C143" s="18">
        <f>'Weekly Input'!C143</f>
        <v/>
      </c>
      <c r="D143" s="18">
        <f>IF(B143="","",IFERROR(INDEX('Master Data'!$B$6:$B$145,MATCH(B143,'Master Data'!$A$6:$A$145,0)),""))</f>
        <v/>
      </c>
      <c r="E143" s="18">
        <f>IF(C143="","",IFERROR(INDEX('Master Data'!$H$6:$H$13,MATCH(C143,'Master Data'!$F$6:$F$13,0)),""))</f>
        <v/>
      </c>
      <c r="F143" s="19">
        <f>'Weekly Input'!A143</f>
        <v/>
      </c>
      <c r="G143" s="19">
        <f>IF(B143="","",IFERROR(INDEX('Master Data'!$D$6:$D$145,MATCH(B143,'Master Data'!$A$6:$A$145,0)),""))</f>
        <v/>
      </c>
      <c r="H143" s="18">
        <f>IF(OR(F143="",G143=""),"",F143-G143)</f>
        <v/>
      </c>
      <c r="I143" s="18">
        <f>IF(B143="","",IF('Weekly Input'!J143="OK",TRUE,FALSE))</f>
        <v/>
      </c>
      <c r="J143" s="18">
        <f>IF(B143="","",'Weekly Input'!H143&gt;=MinInStockDays)</f>
        <v/>
      </c>
      <c r="K143" s="18">
        <f>IF(B143="","",H143&gt;=FullCycleMin)</f>
        <v/>
      </c>
      <c r="L143" s="18">
        <f>IF(B143="","",AND(I143,J143,K143,N143&gt;=MinHistory))</f>
        <v/>
      </c>
      <c r="M143" s="20">
        <f>IF(OR(B143="",'Weekly Input'!H143=0),"",'Weekly Input'!D143/'Weekly Input'!H143*7)</f>
        <v/>
      </c>
      <c r="N143" s="18">
        <f>IF(B143="","",COUNTIFS($B$5:$B$504,B143,$C$5:$C$504,C143,$I$5:$I$504,TRUE,$J$5:$J$504,TRUE,$K$5:$K$504,TRUE))</f>
        <v/>
      </c>
      <c r="O143" s="18">
        <f>IF(B143="","",AND(F143=AsOfWeek,AsOfWeek&lt;&gt;""))</f>
        <v/>
      </c>
      <c r="P143" s="20">
        <f>IF(OR(B143="",AsOfWeek=""),"",IFERROR(SUMIFS($M$5:$M$504,$B$5:$B$504,B143,$C$5:$C$504,C143,$L$5:$L$504,TRUE,$F$5:$F$504,"&gt;="&amp;AsOfWeek-7*(RecentWeeks-1),$F$5:$F$504,"&lt;="&amp;AsOfWeek),""))</f>
        <v/>
      </c>
      <c r="Q143" s="20">
        <f>IF(OR(B143="",AsOfWeek=""),"",IFERROR(SUMIFS($M$5:$M$504,$B$5:$B$504,B143,$C$5:$C$504,C143,$L$5:$L$504,TRUE,$F$5:$F$504,"&gt;="&amp;AsOfWeek-7*(RecentWeeks+PriorWeeks-1),$F$5:$F$504,"&lt;"&amp;AsOfWeek-7*(RecentWeeks-1)),""))</f>
        <v/>
      </c>
      <c r="R143" s="21">
        <f>IF(OR(P143="",Q143="",Q143=0),"",P143/Q143-1)</f>
        <v/>
      </c>
      <c r="S143" s="20">
        <f>IF(OR(C143="",AsOfWeek=""),"",IFERROR(AVERAGEIFS($M$5:$M$504,$C$5:$C$504,C143,$L$5:$L$504,TRUE,$F$5:$F$504,"&gt;="&amp;AsOfWeek-7*(RecentWeeks-1),$F$5:$F$504,"&lt;="&amp;AsOfWeek),""))</f>
        <v/>
      </c>
      <c r="T143" s="21">
        <f>IF(OR(P143="",S143=""),"",P143/S143-1)</f>
        <v/>
      </c>
      <c r="U143" s="22">
        <f>IF(OR(B143="",'Weekly Input'!G143="",P143="",P143=0),"",'Weekly Input'!G143/P143)</f>
        <v/>
      </c>
      <c r="V143" s="18">
        <f>IF(B143="","",IF(NOT(I143),"Not Ready",IF(NOT(K143),"Not Ready",IF(N143&lt;MinHistory,"Not Ready",IF(NOT(J143),"Not Ready",IF(OR(Q143="",Q143=0),"Noise",IF(Q143&lt;LowBaseThreshold,"Noise",IF(AND(R143&lt;=-OwnDecline,T143&lt;=-PeerGapThreshold),"Markdown Review",IF(AND(R143&gt;=ReorderUplift,U143&lt;&gt;"",U143&lt;=WeeksSupplyCap),"Reorder Candidate","Monitor"))))))))</f>
        <v/>
      </c>
      <c r="W143" s="18">
        <f>IF(B143="","",IF(NOT(I143),"INVALID_MASTER",IF(NOT(K143),"INCOMPLETE_SHELF_CYCLE",IF(N143&lt;MinHistory,"INSUFFICIENT_HISTORY",IF(NOT(J143),"INSUFFICIENT_IN_STOCK",IF(OR(Q143="",Q143=0),"NO_PRIOR_BASE",IF(Q143&lt;LowBaseThreshold,"LOW_BASE_NOISE",IF(V143="Markdown Review","MARKDOWN_PEER_GAP",IF(V143="Reorder Candidate","REORDER_UPLIFT_COVER","NO_MATERIAL_CHANGE"))))))))</f>
        <v/>
      </c>
      <c r="X143" s="18">
        <f>IF(V143="Markdown Review","Markdown support",IF(V143="Reorder Candidate","Second reorder",IF(V143="Monitor","Monitor",IF(V143="Noise","Hold / collect data",IF(V143="Not Ready","Not ready","")))))</f>
        <v/>
      </c>
      <c r="Y143" s="18">
        <f>IF(OR(R143="",T143=""),"",ABS(R143)+ABS(T143))</f>
        <v/>
      </c>
      <c r="Z143" s="21">
        <f>IF(OR(B143="",NOT(O143),R143=""),"",IF(ABS(R143)&gt;=MaterialThreshold,"Yes","No"))</f>
        <v/>
      </c>
      <c r="AA143" s="18">
        <f>IF(Z143&lt;&gt;"Yes","",IF(ABS(R143)&gt;=MaterialThreshold,IF(ABS(R143)&gt;=BroadShare,"Broad SKU movement","Store-concentrated movement"),""))</f>
        <v/>
      </c>
      <c r="AB143" s="18">
        <f>IF(O143,IF(COUNTIFS($O$5:O143,TRUE)&gt;0,COUNTIFS($O$5:O143,TRUE),0),0)</f>
        <v/>
      </c>
      <c r="AC143" s="18">
        <f>IF(V143="Markdown Review",1,IF(V143="Reorder Candidate",2,IF(V143="Monitor",3,IF(V143="Noise",4,IF(V143="Not Ready",5,99)))))</f>
        <v/>
      </c>
      <c r="AD143" s="18">
        <f>IF(O143,COUNTIFS($O$5:$O$504,TRUE,$AC$5:$AC$504,"&lt;"&amp;AC143)+COUNTIFS($O$5:O143,TRUE,$AC$5:AC143,AC143,$Y$5:Y143,"&gt;"&amp;Y143),0)</f>
        <v/>
      </c>
    </row>
    <row r="144">
      <c r="A144" s="17">
        <f>IF(COUNTA('Weekly Input'!A144:C144)=0,"",'Weekly Input'!B144&amp;"|"&amp;'Weekly Input'!C144&amp;"|"&amp;TEXT('Weekly Input'!A144,"yyyy-mm-dd"))</f>
        <v/>
      </c>
      <c r="B144" s="18">
        <f>'Weekly Input'!B144</f>
        <v/>
      </c>
      <c r="C144" s="18">
        <f>'Weekly Input'!C144</f>
        <v/>
      </c>
      <c r="D144" s="18">
        <f>IF(B144="","",IFERROR(INDEX('Master Data'!$B$6:$B$145,MATCH(B144,'Master Data'!$A$6:$A$145,0)),""))</f>
        <v/>
      </c>
      <c r="E144" s="18">
        <f>IF(C144="","",IFERROR(INDEX('Master Data'!$H$6:$H$13,MATCH(C144,'Master Data'!$F$6:$F$13,0)),""))</f>
        <v/>
      </c>
      <c r="F144" s="19">
        <f>'Weekly Input'!A144</f>
        <v/>
      </c>
      <c r="G144" s="19">
        <f>IF(B144="","",IFERROR(INDEX('Master Data'!$D$6:$D$145,MATCH(B144,'Master Data'!$A$6:$A$145,0)),""))</f>
        <v/>
      </c>
      <c r="H144" s="18">
        <f>IF(OR(F144="",G144=""),"",F144-G144)</f>
        <v/>
      </c>
      <c r="I144" s="18">
        <f>IF(B144="","",IF('Weekly Input'!J144="OK",TRUE,FALSE))</f>
        <v/>
      </c>
      <c r="J144" s="18">
        <f>IF(B144="","",'Weekly Input'!H144&gt;=MinInStockDays)</f>
        <v/>
      </c>
      <c r="K144" s="18">
        <f>IF(B144="","",H144&gt;=FullCycleMin)</f>
        <v/>
      </c>
      <c r="L144" s="18">
        <f>IF(B144="","",AND(I144,J144,K144,N144&gt;=MinHistory))</f>
        <v/>
      </c>
      <c r="M144" s="20">
        <f>IF(OR(B144="",'Weekly Input'!H144=0),"",'Weekly Input'!D144/'Weekly Input'!H144*7)</f>
        <v/>
      </c>
      <c r="N144" s="18">
        <f>IF(B144="","",COUNTIFS($B$5:$B$504,B144,$C$5:$C$504,C144,$I$5:$I$504,TRUE,$J$5:$J$504,TRUE,$K$5:$K$504,TRUE))</f>
        <v/>
      </c>
      <c r="O144" s="18">
        <f>IF(B144="","",AND(F144=AsOfWeek,AsOfWeek&lt;&gt;""))</f>
        <v/>
      </c>
      <c r="P144" s="20">
        <f>IF(OR(B144="",AsOfWeek=""),"",IFERROR(SUMIFS($M$5:$M$504,$B$5:$B$504,B144,$C$5:$C$504,C144,$L$5:$L$504,TRUE,$F$5:$F$504,"&gt;="&amp;AsOfWeek-7*(RecentWeeks-1),$F$5:$F$504,"&lt;="&amp;AsOfWeek),""))</f>
        <v/>
      </c>
      <c r="Q144" s="20">
        <f>IF(OR(B144="",AsOfWeek=""),"",IFERROR(SUMIFS($M$5:$M$504,$B$5:$B$504,B144,$C$5:$C$504,C144,$L$5:$L$504,TRUE,$F$5:$F$504,"&gt;="&amp;AsOfWeek-7*(RecentWeeks+PriorWeeks-1),$F$5:$F$504,"&lt;"&amp;AsOfWeek-7*(RecentWeeks-1)),""))</f>
        <v/>
      </c>
      <c r="R144" s="21">
        <f>IF(OR(P144="",Q144="",Q144=0),"",P144/Q144-1)</f>
        <v/>
      </c>
      <c r="S144" s="20">
        <f>IF(OR(C144="",AsOfWeek=""),"",IFERROR(AVERAGEIFS($M$5:$M$504,$C$5:$C$504,C144,$L$5:$L$504,TRUE,$F$5:$F$504,"&gt;="&amp;AsOfWeek-7*(RecentWeeks-1),$F$5:$F$504,"&lt;="&amp;AsOfWeek),""))</f>
        <v/>
      </c>
      <c r="T144" s="21">
        <f>IF(OR(P144="",S144=""),"",P144/S144-1)</f>
        <v/>
      </c>
      <c r="U144" s="22">
        <f>IF(OR(B144="",'Weekly Input'!G144="",P144="",P144=0),"",'Weekly Input'!G144/P144)</f>
        <v/>
      </c>
      <c r="V144" s="18">
        <f>IF(B144="","",IF(NOT(I144),"Not Ready",IF(NOT(K144),"Not Ready",IF(N144&lt;MinHistory,"Not Ready",IF(NOT(J144),"Not Ready",IF(OR(Q144="",Q144=0),"Noise",IF(Q144&lt;LowBaseThreshold,"Noise",IF(AND(R144&lt;=-OwnDecline,T144&lt;=-PeerGapThreshold),"Markdown Review",IF(AND(R144&gt;=ReorderUplift,U144&lt;&gt;"",U144&lt;=WeeksSupplyCap),"Reorder Candidate","Monitor"))))))))</f>
        <v/>
      </c>
      <c r="W144" s="18">
        <f>IF(B144="","",IF(NOT(I144),"INVALID_MASTER",IF(NOT(K144),"INCOMPLETE_SHELF_CYCLE",IF(N144&lt;MinHistory,"INSUFFICIENT_HISTORY",IF(NOT(J144),"INSUFFICIENT_IN_STOCK",IF(OR(Q144="",Q144=0),"NO_PRIOR_BASE",IF(Q144&lt;LowBaseThreshold,"LOW_BASE_NOISE",IF(V144="Markdown Review","MARKDOWN_PEER_GAP",IF(V144="Reorder Candidate","REORDER_UPLIFT_COVER","NO_MATERIAL_CHANGE"))))))))</f>
        <v/>
      </c>
      <c r="X144" s="18">
        <f>IF(V144="Markdown Review","Markdown support",IF(V144="Reorder Candidate","Second reorder",IF(V144="Monitor","Monitor",IF(V144="Noise","Hold / collect data",IF(V144="Not Ready","Not ready","")))))</f>
        <v/>
      </c>
      <c r="Y144" s="18">
        <f>IF(OR(R144="",T144=""),"",ABS(R144)+ABS(T144))</f>
        <v/>
      </c>
      <c r="Z144" s="21">
        <f>IF(OR(B144="",NOT(O144),R144=""),"",IF(ABS(R144)&gt;=MaterialThreshold,"Yes","No"))</f>
        <v/>
      </c>
      <c r="AA144" s="18">
        <f>IF(Z144&lt;&gt;"Yes","",IF(ABS(R144)&gt;=MaterialThreshold,IF(ABS(R144)&gt;=BroadShare,"Broad SKU movement","Store-concentrated movement"),""))</f>
        <v/>
      </c>
      <c r="AB144" s="18">
        <f>IF(O144,IF(COUNTIFS($O$5:O144,TRUE)&gt;0,COUNTIFS($O$5:O144,TRUE),0),0)</f>
        <v/>
      </c>
      <c r="AC144" s="18">
        <f>IF(V144="Markdown Review",1,IF(V144="Reorder Candidate",2,IF(V144="Monitor",3,IF(V144="Noise",4,IF(V144="Not Ready",5,99)))))</f>
        <v/>
      </c>
      <c r="AD144" s="18">
        <f>IF(O144,COUNTIFS($O$5:$O$504,TRUE,$AC$5:$AC$504,"&lt;"&amp;AC144)+COUNTIFS($O$5:O144,TRUE,$AC$5:AC144,AC144,$Y$5:Y144,"&gt;"&amp;Y144),0)</f>
        <v/>
      </c>
    </row>
    <row r="145">
      <c r="A145" s="17">
        <f>IF(COUNTA('Weekly Input'!A145:C145)=0,"",'Weekly Input'!B145&amp;"|"&amp;'Weekly Input'!C145&amp;"|"&amp;TEXT('Weekly Input'!A145,"yyyy-mm-dd"))</f>
        <v/>
      </c>
      <c r="B145" s="18">
        <f>'Weekly Input'!B145</f>
        <v/>
      </c>
      <c r="C145" s="18">
        <f>'Weekly Input'!C145</f>
        <v/>
      </c>
      <c r="D145" s="18">
        <f>IF(B145="","",IFERROR(INDEX('Master Data'!$B$6:$B$145,MATCH(B145,'Master Data'!$A$6:$A$145,0)),""))</f>
        <v/>
      </c>
      <c r="E145" s="18">
        <f>IF(C145="","",IFERROR(INDEX('Master Data'!$H$6:$H$13,MATCH(C145,'Master Data'!$F$6:$F$13,0)),""))</f>
        <v/>
      </c>
      <c r="F145" s="19">
        <f>'Weekly Input'!A145</f>
        <v/>
      </c>
      <c r="G145" s="19">
        <f>IF(B145="","",IFERROR(INDEX('Master Data'!$D$6:$D$145,MATCH(B145,'Master Data'!$A$6:$A$145,0)),""))</f>
        <v/>
      </c>
      <c r="H145" s="18">
        <f>IF(OR(F145="",G145=""),"",F145-G145)</f>
        <v/>
      </c>
      <c r="I145" s="18">
        <f>IF(B145="","",IF('Weekly Input'!J145="OK",TRUE,FALSE))</f>
        <v/>
      </c>
      <c r="J145" s="18">
        <f>IF(B145="","",'Weekly Input'!H145&gt;=MinInStockDays)</f>
        <v/>
      </c>
      <c r="K145" s="18">
        <f>IF(B145="","",H145&gt;=FullCycleMin)</f>
        <v/>
      </c>
      <c r="L145" s="18">
        <f>IF(B145="","",AND(I145,J145,K145,N145&gt;=MinHistory))</f>
        <v/>
      </c>
      <c r="M145" s="20">
        <f>IF(OR(B145="",'Weekly Input'!H145=0),"",'Weekly Input'!D145/'Weekly Input'!H145*7)</f>
        <v/>
      </c>
      <c r="N145" s="18">
        <f>IF(B145="","",COUNTIFS($B$5:$B$504,B145,$C$5:$C$504,C145,$I$5:$I$504,TRUE,$J$5:$J$504,TRUE,$K$5:$K$504,TRUE))</f>
        <v/>
      </c>
      <c r="O145" s="18">
        <f>IF(B145="","",AND(F145=AsOfWeek,AsOfWeek&lt;&gt;""))</f>
        <v/>
      </c>
      <c r="P145" s="20">
        <f>IF(OR(B145="",AsOfWeek=""),"",IFERROR(SUMIFS($M$5:$M$504,$B$5:$B$504,B145,$C$5:$C$504,C145,$L$5:$L$504,TRUE,$F$5:$F$504,"&gt;="&amp;AsOfWeek-7*(RecentWeeks-1),$F$5:$F$504,"&lt;="&amp;AsOfWeek),""))</f>
        <v/>
      </c>
      <c r="Q145" s="20">
        <f>IF(OR(B145="",AsOfWeek=""),"",IFERROR(SUMIFS($M$5:$M$504,$B$5:$B$504,B145,$C$5:$C$504,C145,$L$5:$L$504,TRUE,$F$5:$F$504,"&gt;="&amp;AsOfWeek-7*(RecentWeeks+PriorWeeks-1),$F$5:$F$504,"&lt;"&amp;AsOfWeek-7*(RecentWeeks-1)),""))</f>
        <v/>
      </c>
      <c r="R145" s="21">
        <f>IF(OR(P145="",Q145="",Q145=0),"",P145/Q145-1)</f>
        <v/>
      </c>
      <c r="S145" s="20">
        <f>IF(OR(C145="",AsOfWeek=""),"",IFERROR(AVERAGEIFS($M$5:$M$504,$C$5:$C$504,C145,$L$5:$L$504,TRUE,$F$5:$F$504,"&gt;="&amp;AsOfWeek-7*(RecentWeeks-1),$F$5:$F$504,"&lt;="&amp;AsOfWeek),""))</f>
        <v/>
      </c>
      <c r="T145" s="21">
        <f>IF(OR(P145="",S145=""),"",P145/S145-1)</f>
        <v/>
      </c>
      <c r="U145" s="22">
        <f>IF(OR(B145="",'Weekly Input'!G145="",P145="",P145=0),"",'Weekly Input'!G145/P145)</f>
        <v/>
      </c>
      <c r="V145" s="18">
        <f>IF(B145="","",IF(NOT(I145),"Not Ready",IF(NOT(K145),"Not Ready",IF(N145&lt;MinHistory,"Not Ready",IF(NOT(J145),"Not Ready",IF(OR(Q145="",Q145=0),"Noise",IF(Q145&lt;LowBaseThreshold,"Noise",IF(AND(R145&lt;=-OwnDecline,T145&lt;=-PeerGapThreshold),"Markdown Review",IF(AND(R145&gt;=ReorderUplift,U145&lt;&gt;"",U145&lt;=WeeksSupplyCap),"Reorder Candidate","Monitor"))))))))</f>
        <v/>
      </c>
      <c r="W145" s="18">
        <f>IF(B145="","",IF(NOT(I145),"INVALID_MASTER",IF(NOT(K145),"INCOMPLETE_SHELF_CYCLE",IF(N145&lt;MinHistory,"INSUFFICIENT_HISTORY",IF(NOT(J145),"INSUFFICIENT_IN_STOCK",IF(OR(Q145="",Q145=0),"NO_PRIOR_BASE",IF(Q145&lt;LowBaseThreshold,"LOW_BASE_NOISE",IF(V145="Markdown Review","MARKDOWN_PEER_GAP",IF(V145="Reorder Candidate","REORDER_UPLIFT_COVER","NO_MATERIAL_CHANGE"))))))))</f>
        <v/>
      </c>
      <c r="X145" s="18">
        <f>IF(V145="Markdown Review","Markdown support",IF(V145="Reorder Candidate","Second reorder",IF(V145="Monitor","Monitor",IF(V145="Noise","Hold / collect data",IF(V145="Not Ready","Not ready","")))))</f>
        <v/>
      </c>
      <c r="Y145" s="18">
        <f>IF(OR(R145="",T145=""),"",ABS(R145)+ABS(T145))</f>
        <v/>
      </c>
      <c r="Z145" s="21">
        <f>IF(OR(B145="",NOT(O145),R145=""),"",IF(ABS(R145)&gt;=MaterialThreshold,"Yes","No"))</f>
        <v/>
      </c>
      <c r="AA145" s="18">
        <f>IF(Z145&lt;&gt;"Yes","",IF(ABS(R145)&gt;=MaterialThreshold,IF(ABS(R145)&gt;=BroadShare,"Broad SKU movement","Store-concentrated movement"),""))</f>
        <v/>
      </c>
      <c r="AB145" s="18">
        <f>IF(O145,IF(COUNTIFS($O$5:O145,TRUE)&gt;0,COUNTIFS($O$5:O145,TRUE),0),0)</f>
        <v/>
      </c>
      <c r="AC145" s="18">
        <f>IF(V145="Markdown Review",1,IF(V145="Reorder Candidate",2,IF(V145="Monitor",3,IF(V145="Noise",4,IF(V145="Not Ready",5,99)))))</f>
        <v/>
      </c>
      <c r="AD145" s="18">
        <f>IF(O145,COUNTIFS($O$5:$O$504,TRUE,$AC$5:$AC$504,"&lt;"&amp;AC145)+COUNTIFS($O$5:O145,TRUE,$AC$5:AC145,AC145,$Y$5:Y145,"&gt;"&amp;Y145),0)</f>
        <v/>
      </c>
    </row>
    <row r="146">
      <c r="A146" s="17">
        <f>IF(COUNTA('Weekly Input'!A146:C146)=0,"",'Weekly Input'!B146&amp;"|"&amp;'Weekly Input'!C146&amp;"|"&amp;TEXT('Weekly Input'!A146,"yyyy-mm-dd"))</f>
        <v/>
      </c>
      <c r="B146" s="18">
        <f>'Weekly Input'!B146</f>
        <v/>
      </c>
      <c r="C146" s="18">
        <f>'Weekly Input'!C146</f>
        <v/>
      </c>
      <c r="D146" s="18">
        <f>IF(B146="","",IFERROR(INDEX('Master Data'!$B$6:$B$145,MATCH(B146,'Master Data'!$A$6:$A$145,0)),""))</f>
        <v/>
      </c>
      <c r="E146" s="18">
        <f>IF(C146="","",IFERROR(INDEX('Master Data'!$H$6:$H$13,MATCH(C146,'Master Data'!$F$6:$F$13,0)),""))</f>
        <v/>
      </c>
      <c r="F146" s="19">
        <f>'Weekly Input'!A146</f>
        <v/>
      </c>
      <c r="G146" s="19">
        <f>IF(B146="","",IFERROR(INDEX('Master Data'!$D$6:$D$145,MATCH(B146,'Master Data'!$A$6:$A$145,0)),""))</f>
        <v/>
      </c>
      <c r="H146" s="18">
        <f>IF(OR(F146="",G146=""),"",F146-G146)</f>
        <v/>
      </c>
      <c r="I146" s="18">
        <f>IF(B146="","",IF('Weekly Input'!J146="OK",TRUE,FALSE))</f>
        <v/>
      </c>
      <c r="J146" s="18">
        <f>IF(B146="","",'Weekly Input'!H146&gt;=MinInStockDays)</f>
        <v/>
      </c>
      <c r="K146" s="18">
        <f>IF(B146="","",H146&gt;=FullCycleMin)</f>
        <v/>
      </c>
      <c r="L146" s="18">
        <f>IF(B146="","",AND(I146,J146,K146,N146&gt;=MinHistory))</f>
        <v/>
      </c>
      <c r="M146" s="20">
        <f>IF(OR(B146="",'Weekly Input'!H146=0),"",'Weekly Input'!D146/'Weekly Input'!H146*7)</f>
        <v/>
      </c>
      <c r="N146" s="18">
        <f>IF(B146="","",COUNTIFS($B$5:$B$504,B146,$C$5:$C$504,C146,$I$5:$I$504,TRUE,$J$5:$J$504,TRUE,$K$5:$K$504,TRUE))</f>
        <v/>
      </c>
      <c r="O146" s="18">
        <f>IF(B146="","",AND(F146=AsOfWeek,AsOfWeek&lt;&gt;""))</f>
        <v/>
      </c>
      <c r="P146" s="20">
        <f>IF(OR(B146="",AsOfWeek=""),"",IFERROR(SUMIFS($M$5:$M$504,$B$5:$B$504,B146,$C$5:$C$504,C146,$L$5:$L$504,TRUE,$F$5:$F$504,"&gt;="&amp;AsOfWeek-7*(RecentWeeks-1),$F$5:$F$504,"&lt;="&amp;AsOfWeek),""))</f>
        <v/>
      </c>
      <c r="Q146" s="20">
        <f>IF(OR(B146="",AsOfWeek=""),"",IFERROR(SUMIFS($M$5:$M$504,$B$5:$B$504,B146,$C$5:$C$504,C146,$L$5:$L$504,TRUE,$F$5:$F$504,"&gt;="&amp;AsOfWeek-7*(RecentWeeks+PriorWeeks-1),$F$5:$F$504,"&lt;"&amp;AsOfWeek-7*(RecentWeeks-1)),""))</f>
        <v/>
      </c>
      <c r="R146" s="21">
        <f>IF(OR(P146="",Q146="",Q146=0),"",P146/Q146-1)</f>
        <v/>
      </c>
      <c r="S146" s="20">
        <f>IF(OR(C146="",AsOfWeek=""),"",IFERROR(AVERAGEIFS($M$5:$M$504,$C$5:$C$504,C146,$L$5:$L$504,TRUE,$F$5:$F$504,"&gt;="&amp;AsOfWeek-7*(RecentWeeks-1),$F$5:$F$504,"&lt;="&amp;AsOfWeek),""))</f>
        <v/>
      </c>
      <c r="T146" s="21">
        <f>IF(OR(P146="",S146=""),"",P146/S146-1)</f>
        <v/>
      </c>
      <c r="U146" s="22">
        <f>IF(OR(B146="",'Weekly Input'!G146="",P146="",P146=0),"",'Weekly Input'!G146/P146)</f>
        <v/>
      </c>
      <c r="V146" s="18">
        <f>IF(B146="","",IF(NOT(I146),"Not Ready",IF(NOT(K146),"Not Ready",IF(N146&lt;MinHistory,"Not Ready",IF(NOT(J146),"Not Ready",IF(OR(Q146="",Q146=0),"Noise",IF(Q146&lt;LowBaseThreshold,"Noise",IF(AND(R146&lt;=-OwnDecline,T146&lt;=-PeerGapThreshold),"Markdown Review",IF(AND(R146&gt;=ReorderUplift,U146&lt;&gt;"",U146&lt;=WeeksSupplyCap),"Reorder Candidate","Monitor"))))))))</f>
        <v/>
      </c>
      <c r="W146" s="18">
        <f>IF(B146="","",IF(NOT(I146),"INVALID_MASTER",IF(NOT(K146),"INCOMPLETE_SHELF_CYCLE",IF(N146&lt;MinHistory,"INSUFFICIENT_HISTORY",IF(NOT(J146),"INSUFFICIENT_IN_STOCK",IF(OR(Q146="",Q146=0),"NO_PRIOR_BASE",IF(Q146&lt;LowBaseThreshold,"LOW_BASE_NOISE",IF(V146="Markdown Review","MARKDOWN_PEER_GAP",IF(V146="Reorder Candidate","REORDER_UPLIFT_COVER","NO_MATERIAL_CHANGE"))))))))</f>
        <v/>
      </c>
      <c r="X146" s="18">
        <f>IF(V146="Markdown Review","Markdown support",IF(V146="Reorder Candidate","Second reorder",IF(V146="Monitor","Monitor",IF(V146="Noise","Hold / collect data",IF(V146="Not Ready","Not ready","")))))</f>
        <v/>
      </c>
      <c r="Y146" s="18">
        <f>IF(OR(R146="",T146=""),"",ABS(R146)+ABS(T146))</f>
        <v/>
      </c>
      <c r="Z146" s="21">
        <f>IF(OR(B146="",NOT(O146),R146=""),"",IF(ABS(R146)&gt;=MaterialThreshold,"Yes","No"))</f>
        <v/>
      </c>
      <c r="AA146" s="18">
        <f>IF(Z146&lt;&gt;"Yes","",IF(ABS(R146)&gt;=MaterialThreshold,IF(ABS(R146)&gt;=BroadShare,"Broad SKU movement","Store-concentrated movement"),""))</f>
        <v/>
      </c>
      <c r="AB146" s="18">
        <f>IF(O146,IF(COUNTIFS($O$5:O146,TRUE)&gt;0,COUNTIFS($O$5:O146,TRUE),0),0)</f>
        <v/>
      </c>
      <c r="AC146" s="18">
        <f>IF(V146="Markdown Review",1,IF(V146="Reorder Candidate",2,IF(V146="Monitor",3,IF(V146="Noise",4,IF(V146="Not Ready",5,99)))))</f>
        <v/>
      </c>
      <c r="AD146" s="18">
        <f>IF(O146,COUNTIFS($O$5:$O$504,TRUE,$AC$5:$AC$504,"&lt;"&amp;AC146)+COUNTIFS($O$5:O146,TRUE,$AC$5:AC146,AC146,$Y$5:Y146,"&gt;"&amp;Y146),0)</f>
        <v/>
      </c>
    </row>
    <row r="147">
      <c r="A147" s="17">
        <f>IF(COUNTA('Weekly Input'!A147:C147)=0,"",'Weekly Input'!B147&amp;"|"&amp;'Weekly Input'!C147&amp;"|"&amp;TEXT('Weekly Input'!A147,"yyyy-mm-dd"))</f>
        <v/>
      </c>
      <c r="B147" s="18">
        <f>'Weekly Input'!B147</f>
        <v/>
      </c>
      <c r="C147" s="18">
        <f>'Weekly Input'!C147</f>
        <v/>
      </c>
      <c r="D147" s="18">
        <f>IF(B147="","",IFERROR(INDEX('Master Data'!$B$6:$B$145,MATCH(B147,'Master Data'!$A$6:$A$145,0)),""))</f>
        <v/>
      </c>
      <c r="E147" s="18">
        <f>IF(C147="","",IFERROR(INDEX('Master Data'!$H$6:$H$13,MATCH(C147,'Master Data'!$F$6:$F$13,0)),""))</f>
        <v/>
      </c>
      <c r="F147" s="19">
        <f>'Weekly Input'!A147</f>
        <v/>
      </c>
      <c r="G147" s="19">
        <f>IF(B147="","",IFERROR(INDEX('Master Data'!$D$6:$D$145,MATCH(B147,'Master Data'!$A$6:$A$145,0)),""))</f>
        <v/>
      </c>
      <c r="H147" s="18">
        <f>IF(OR(F147="",G147=""),"",F147-G147)</f>
        <v/>
      </c>
      <c r="I147" s="18">
        <f>IF(B147="","",IF('Weekly Input'!J147="OK",TRUE,FALSE))</f>
        <v/>
      </c>
      <c r="J147" s="18">
        <f>IF(B147="","",'Weekly Input'!H147&gt;=MinInStockDays)</f>
        <v/>
      </c>
      <c r="K147" s="18">
        <f>IF(B147="","",H147&gt;=FullCycleMin)</f>
        <v/>
      </c>
      <c r="L147" s="18">
        <f>IF(B147="","",AND(I147,J147,K147,N147&gt;=MinHistory))</f>
        <v/>
      </c>
      <c r="M147" s="20">
        <f>IF(OR(B147="",'Weekly Input'!H147=0),"",'Weekly Input'!D147/'Weekly Input'!H147*7)</f>
        <v/>
      </c>
      <c r="N147" s="18">
        <f>IF(B147="","",COUNTIFS($B$5:$B$504,B147,$C$5:$C$504,C147,$I$5:$I$504,TRUE,$J$5:$J$504,TRUE,$K$5:$K$504,TRUE))</f>
        <v/>
      </c>
      <c r="O147" s="18">
        <f>IF(B147="","",AND(F147=AsOfWeek,AsOfWeek&lt;&gt;""))</f>
        <v/>
      </c>
      <c r="P147" s="20">
        <f>IF(OR(B147="",AsOfWeek=""),"",IFERROR(SUMIFS($M$5:$M$504,$B$5:$B$504,B147,$C$5:$C$504,C147,$L$5:$L$504,TRUE,$F$5:$F$504,"&gt;="&amp;AsOfWeek-7*(RecentWeeks-1),$F$5:$F$504,"&lt;="&amp;AsOfWeek),""))</f>
        <v/>
      </c>
      <c r="Q147" s="20">
        <f>IF(OR(B147="",AsOfWeek=""),"",IFERROR(SUMIFS($M$5:$M$504,$B$5:$B$504,B147,$C$5:$C$504,C147,$L$5:$L$504,TRUE,$F$5:$F$504,"&gt;="&amp;AsOfWeek-7*(RecentWeeks+PriorWeeks-1),$F$5:$F$504,"&lt;"&amp;AsOfWeek-7*(RecentWeeks-1)),""))</f>
        <v/>
      </c>
      <c r="R147" s="21">
        <f>IF(OR(P147="",Q147="",Q147=0),"",P147/Q147-1)</f>
        <v/>
      </c>
      <c r="S147" s="20">
        <f>IF(OR(C147="",AsOfWeek=""),"",IFERROR(AVERAGEIFS($M$5:$M$504,$C$5:$C$504,C147,$L$5:$L$504,TRUE,$F$5:$F$504,"&gt;="&amp;AsOfWeek-7*(RecentWeeks-1),$F$5:$F$504,"&lt;="&amp;AsOfWeek),""))</f>
        <v/>
      </c>
      <c r="T147" s="21">
        <f>IF(OR(P147="",S147=""),"",P147/S147-1)</f>
        <v/>
      </c>
      <c r="U147" s="22">
        <f>IF(OR(B147="",'Weekly Input'!G147="",P147="",P147=0),"",'Weekly Input'!G147/P147)</f>
        <v/>
      </c>
      <c r="V147" s="18">
        <f>IF(B147="","",IF(NOT(I147),"Not Ready",IF(NOT(K147),"Not Ready",IF(N147&lt;MinHistory,"Not Ready",IF(NOT(J147),"Not Ready",IF(OR(Q147="",Q147=0),"Noise",IF(Q147&lt;LowBaseThreshold,"Noise",IF(AND(R147&lt;=-OwnDecline,T147&lt;=-PeerGapThreshold),"Markdown Review",IF(AND(R147&gt;=ReorderUplift,U147&lt;&gt;"",U147&lt;=WeeksSupplyCap),"Reorder Candidate","Monitor"))))))))</f>
        <v/>
      </c>
      <c r="W147" s="18">
        <f>IF(B147="","",IF(NOT(I147),"INVALID_MASTER",IF(NOT(K147),"INCOMPLETE_SHELF_CYCLE",IF(N147&lt;MinHistory,"INSUFFICIENT_HISTORY",IF(NOT(J147),"INSUFFICIENT_IN_STOCK",IF(OR(Q147="",Q147=0),"NO_PRIOR_BASE",IF(Q147&lt;LowBaseThreshold,"LOW_BASE_NOISE",IF(V147="Markdown Review","MARKDOWN_PEER_GAP",IF(V147="Reorder Candidate","REORDER_UPLIFT_COVER","NO_MATERIAL_CHANGE"))))))))</f>
        <v/>
      </c>
      <c r="X147" s="18">
        <f>IF(V147="Markdown Review","Markdown support",IF(V147="Reorder Candidate","Second reorder",IF(V147="Monitor","Monitor",IF(V147="Noise","Hold / collect data",IF(V147="Not Ready","Not ready","")))))</f>
        <v/>
      </c>
      <c r="Y147" s="18">
        <f>IF(OR(R147="",T147=""),"",ABS(R147)+ABS(T147))</f>
        <v/>
      </c>
      <c r="Z147" s="21">
        <f>IF(OR(B147="",NOT(O147),R147=""),"",IF(ABS(R147)&gt;=MaterialThreshold,"Yes","No"))</f>
        <v/>
      </c>
      <c r="AA147" s="18">
        <f>IF(Z147&lt;&gt;"Yes","",IF(ABS(R147)&gt;=MaterialThreshold,IF(ABS(R147)&gt;=BroadShare,"Broad SKU movement","Store-concentrated movement"),""))</f>
        <v/>
      </c>
      <c r="AB147" s="18">
        <f>IF(O147,IF(COUNTIFS($O$5:O147,TRUE)&gt;0,COUNTIFS($O$5:O147,TRUE),0),0)</f>
        <v/>
      </c>
      <c r="AC147" s="18">
        <f>IF(V147="Markdown Review",1,IF(V147="Reorder Candidate",2,IF(V147="Monitor",3,IF(V147="Noise",4,IF(V147="Not Ready",5,99)))))</f>
        <v/>
      </c>
      <c r="AD147" s="18">
        <f>IF(O147,COUNTIFS($O$5:$O$504,TRUE,$AC$5:$AC$504,"&lt;"&amp;AC147)+COUNTIFS($O$5:O147,TRUE,$AC$5:AC147,AC147,$Y$5:Y147,"&gt;"&amp;Y147),0)</f>
        <v/>
      </c>
    </row>
    <row r="148">
      <c r="A148" s="17">
        <f>IF(COUNTA('Weekly Input'!A148:C148)=0,"",'Weekly Input'!B148&amp;"|"&amp;'Weekly Input'!C148&amp;"|"&amp;TEXT('Weekly Input'!A148,"yyyy-mm-dd"))</f>
        <v/>
      </c>
      <c r="B148" s="18">
        <f>'Weekly Input'!B148</f>
        <v/>
      </c>
      <c r="C148" s="18">
        <f>'Weekly Input'!C148</f>
        <v/>
      </c>
      <c r="D148" s="18">
        <f>IF(B148="","",IFERROR(INDEX('Master Data'!$B$6:$B$145,MATCH(B148,'Master Data'!$A$6:$A$145,0)),""))</f>
        <v/>
      </c>
      <c r="E148" s="18">
        <f>IF(C148="","",IFERROR(INDEX('Master Data'!$H$6:$H$13,MATCH(C148,'Master Data'!$F$6:$F$13,0)),""))</f>
        <v/>
      </c>
      <c r="F148" s="19">
        <f>'Weekly Input'!A148</f>
        <v/>
      </c>
      <c r="G148" s="19">
        <f>IF(B148="","",IFERROR(INDEX('Master Data'!$D$6:$D$145,MATCH(B148,'Master Data'!$A$6:$A$145,0)),""))</f>
        <v/>
      </c>
      <c r="H148" s="18">
        <f>IF(OR(F148="",G148=""),"",F148-G148)</f>
        <v/>
      </c>
      <c r="I148" s="18">
        <f>IF(B148="","",IF('Weekly Input'!J148="OK",TRUE,FALSE))</f>
        <v/>
      </c>
      <c r="J148" s="18">
        <f>IF(B148="","",'Weekly Input'!H148&gt;=MinInStockDays)</f>
        <v/>
      </c>
      <c r="K148" s="18">
        <f>IF(B148="","",H148&gt;=FullCycleMin)</f>
        <v/>
      </c>
      <c r="L148" s="18">
        <f>IF(B148="","",AND(I148,J148,K148,N148&gt;=MinHistory))</f>
        <v/>
      </c>
      <c r="M148" s="20">
        <f>IF(OR(B148="",'Weekly Input'!H148=0),"",'Weekly Input'!D148/'Weekly Input'!H148*7)</f>
        <v/>
      </c>
      <c r="N148" s="18">
        <f>IF(B148="","",COUNTIFS($B$5:$B$504,B148,$C$5:$C$504,C148,$I$5:$I$504,TRUE,$J$5:$J$504,TRUE,$K$5:$K$504,TRUE))</f>
        <v/>
      </c>
      <c r="O148" s="18">
        <f>IF(B148="","",AND(F148=AsOfWeek,AsOfWeek&lt;&gt;""))</f>
        <v/>
      </c>
      <c r="P148" s="20">
        <f>IF(OR(B148="",AsOfWeek=""),"",IFERROR(SUMIFS($M$5:$M$504,$B$5:$B$504,B148,$C$5:$C$504,C148,$L$5:$L$504,TRUE,$F$5:$F$504,"&gt;="&amp;AsOfWeek-7*(RecentWeeks-1),$F$5:$F$504,"&lt;="&amp;AsOfWeek),""))</f>
        <v/>
      </c>
      <c r="Q148" s="20">
        <f>IF(OR(B148="",AsOfWeek=""),"",IFERROR(SUMIFS($M$5:$M$504,$B$5:$B$504,B148,$C$5:$C$504,C148,$L$5:$L$504,TRUE,$F$5:$F$504,"&gt;="&amp;AsOfWeek-7*(RecentWeeks+PriorWeeks-1),$F$5:$F$504,"&lt;"&amp;AsOfWeek-7*(RecentWeeks-1)),""))</f>
        <v/>
      </c>
      <c r="R148" s="21">
        <f>IF(OR(P148="",Q148="",Q148=0),"",P148/Q148-1)</f>
        <v/>
      </c>
      <c r="S148" s="20">
        <f>IF(OR(C148="",AsOfWeek=""),"",IFERROR(AVERAGEIFS($M$5:$M$504,$C$5:$C$504,C148,$L$5:$L$504,TRUE,$F$5:$F$504,"&gt;="&amp;AsOfWeek-7*(RecentWeeks-1),$F$5:$F$504,"&lt;="&amp;AsOfWeek),""))</f>
        <v/>
      </c>
      <c r="T148" s="21">
        <f>IF(OR(P148="",S148=""),"",P148/S148-1)</f>
        <v/>
      </c>
      <c r="U148" s="22">
        <f>IF(OR(B148="",'Weekly Input'!G148="",P148="",P148=0),"",'Weekly Input'!G148/P148)</f>
        <v/>
      </c>
      <c r="V148" s="18">
        <f>IF(B148="","",IF(NOT(I148),"Not Ready",IF(NOT(K148),"Not Ready",IF(N148&lt;MinHistory,"Not Ready",IF(NOT(J148),"Not Ready",IF(OR(Q148="",Q148=0),"Noise",IF(Q148&lt;LowBaseThreshold,"Noise",IF(AND(R148&lt;=-OwnDecline,T148&lt;=-PeerGapThreshold),"Markdown Review",IF(AND(R148&gt;=ReorderUplift,U148&lt;&gt;"",U148&lt;=WeeksSupplyCap),"Reorder Candidate","Monitor"))))))))</f>
        <v/>
      </c>
      <c r="W148" s="18">
        <f>IF(B148="","",IF(NOT(I148),"INVALID_MASTER",IF(NOT(K148),"INCOMPLETE_SHELF_CYCLE",IF(N148&lt;MinHistory,"INSUFFICIENT_HISTORY",IF(NOT(J148),"INSUFFICIENT_IN_STOCK",IF(OR(Q148="",Q148=0),"NO_PRIOR_BASE",IF(Q148&lt;LowBaseThreshold,"LOW_BASE_NOISE",IF(V148="Markdown Review","MARKDOWN_PEER_GAP",IF(V148="Reorder Candidate","REORDER_UPLIFT_COVER","NO_MATERIAL_CHANGE"))))))))</f>
        <v/>
      </c>
      <c r="X148" s="18">
        <f>IF(V148="Markdown Review","Markdown support",IF(V148="Reorder Candidate","Second reorder",IF(V148="Monitor","Monitor",IF(V148="Noise","Hold / collect data",IF(V148="Not Ready","Not ready","")))))</f>
        <v/>
      </c>
      <c r="Y148" s="18">
        <f>IF(OR(R148="",T148=""),"",ABS(R148)+ABS(T148))</f>
        <v/>
      </c>
      <c r="Z148" s="21">
        <f>IF(OR(B148="",NOT(O148),R148=""),"",IF(ABS(R148)&gt;=MaterialThreshold,"Yes","No"))</f>
        <v/>
      </c>
      <c r="AA148" s="18">
        <f>IF(Z148&lt;&gt;"Yes","",IF(ABS(R148)&gt;=MaterialThreshold,IF(ABS(R148)&gt;=BroadShare,"Broad SKU movement","Store-concentrated movement"),""))</f>
        <v/>
      </c>
      <c r="AB148" s="18">
        <f>IF(O148,IF(COUNTIFS($O$5:O148,TRUE)&gt;0,COUNTIFS($O$5:O148,TRUE),0),0)</f>
        <v/>
      </c>
      <c r="AC148" s="18">
        <f>IF(V148="Markdown Review",1,IF(V148="Reorder Candidate",2,IF(V148="Monitor",3,IF(V148="Noise",4,IF(V148="Not Ready",5,99)))))</f>
        <v/>
      </c>
      <c r="AD148" s="18">
        <f>IF(O148,COUNTIFS($O$5:$O$504,TRUE,$AC$5:$AC$504,"&lt;"&amp;AC148)+COUNTIFS($O$5:O148,TRUE,$AC$5:AC148,AC148,$Y$5:Y148,"&gt;"&amp;Y148),0)</f>
        <v/>
      </c>
    </row>
    <row r="149">
      <c r="A149" s="17">
        <f>IF(COUNTA('Weekly Input'!A149:C149)=0,"",'Weekly Input'!B149&amp;"|"&amp;'Weekly Input'!C149&amp;"|"&amp;TEXT('Weekly Input'!A149,"yyyy-mm-dd"))</f>
        <v/>
      </c>
      <c r="B149" s="18">
        <f>'Weekly Input'!B149</f>
        <v/>
      </c>
      <c r="C149" s="18">
        <f>'Weekly Input'!C149</f>
        <v/>
      </c>
      <c r="D149" s="18">
        <f>IF(B149="","",IFERROR(INDEX('Master Data'!$B$6:$B$145,MATCH(B149,'Master Data'!$A$6:$A$145,0)),""))</f>
        <v/>
      </c>
      <c r="E149" s="18">
        <f>IF(C149="","",IFERROR(INDEX('Master Data'!$H$6:$H$13,MATCH(C149,'Master Data'!$F$6:$F$13,0)),""))</f>
        <v/>
      </c>
      <c r="F149" s="19">
        <f>'Weekly Input'!A149</f>
        <v/>
      </c>
      <c r="G149" s="19">
        <f>IF(B149="","",IFERROR(INDEX('Master Data'!$D$6:$D$145,MATCH(B149,'Master Data'!$A$6:$A$145,0)),""))</f>
        <v/>
      </c>
      <c r="H149" s="18">
        <f>IF(OR(F149="",G149=""),"",F149-G149)</f>
        <v/>
      </c>
      <c r="I149" s="18">
        <f>IF(B149="","",IF('Weekly Input'!J149="OK",TRUE,FALSE))</f>
        <v/>
      </c>
      <c r="J149" s="18">
        <f>IF(B149="","",'Weekly Input'!H149&gt;=MinInStockDays)</f>
        <v/>
      </c>
      <c r="K149" s="18">
        <f>IF(B149="","",H149&gt;=FullCycleMin)</f>
        <v/>
      </c>
      <c r="L149" s="18">
        <f>IF(B149="","",AND(I149,J149,K149,N149&gt;=MinHistory))</f>
        <v/>
      </c>
      <c r="M149" s="20">
        <f>IF(OR(B149="",'Weekly Input'!H149=0),"",'Weekly Input'!D149/'Weekly Input'!H149*7)</f>
        <v/>
      </c>
      <c r="N149" s="18">
        <f>IF(B149="","",COUNTIFS($B$5:$B$504,B149,$C$5:$C$504,C149,$I$5:$I$504,TRUE,$J$5:$J$504,TRUE,$K$5:$K$504,TRUE))</f>
        <v/>
      </c>
      <c r="O149" s="18">
        <f>IF(B149="","",AND(F149=AsOfWeek,AsOfWeek&lt;&gt;""))</f>
        <v/>
      </c>
      <c r="P149" s="20">
        <f>IF(OR(B149="",AsOfWeek=""),"",IFERROR(SUMIFS($M$5:$M$504,$B$5:$B$504,B149,$C$5:$C$504,C149,$L$5:$L$504,TRUE,$F$5:$F$504,"&gt;="&amp;AsOfWeek-7*(RecentWeeks-1),$F$5:$F$504,"&lt;="&amp;AsOfWeek),""))</f>
        <v/>
      </c>
      <c r="Q149" s="20">
        <f>IF(OR(B149="",AsOfWeek=""),"",IFERROR(SUMIFS($M$5:$M$504,$B$5:$B$504,B149,$C$5:$C$504,C149,$L$5:$L$504,TRUE,$F$5:$F$504,"&gt;="&amp;AsOfWeek-7*(RecentWeeks+PriorWeeks-1),$F$5:$F$504,"&lt;"&amp;AsOfWeek-7*(RecentWeeks-1)),""))</f>
        <v/>
      </c>
      <c r="R149" s="21">
        <f>IF(OR(P149="",Q149="",Q149=0),"",P149/Q149-1)</f>
        <v/>
      </c>
      <c r="S149" s="20">
        <f>IF(OR(C149="",AsOfWeek=""),"",IFERROR(AVERAGEIFS($M$5:$M$504,$C$5:$C$504,C149,$L$5:$L$504,TRUE,$F$5:$F$504,"&gt;="&amp;AsOfWeek-7*(RecentWeeks-1),$F$5:$F$504,"&lt;="&amp;AsOfWeek),""))</f>
        <v/>
      </c>
      <c r="T149" s="21">
        <f>IF(OR(P149="",S149=""),"",P149/S149-1)</f>
        <v/>
      </c>
      <c r="U149" s="22">
        <f>IF(OR(B149="",'Weekly Input'!G149="",P149="",P149=0),"",'Weekly Input'!G149/P149)</f>
        <v/>
      </c>
      <c r="V149" s="18">
        <f>IF(B149="","",IF(NOT(I149),"Not Ready",IF(NOT(K149),"Not Ready",IF(N149&lt;MinHistory,"Not Ready",IF(NOT(J149),"Not Ready",IF(OR(Q149="",Q149=0),"Noise",IF(Q149&lt;LowBaseThreshold,"Noise",IF(AND(R149&lt;=-OwnDecline,T149&lt;=-PeerGapThreshold),"Markdown Review",IF(AND(R149&gt;=ReorderUplift,U149&lt;&gt;"",U149&lt;=WeeksSupplyCap),"Reorder Candidate","Monitor"))))))))</f>
        <v/>
      </c>
      <c r="W149" s="18">
        <f>IF(B149="","",IF(NOT(I149),"INVALID_MASTER",IF(NOT(K149),"INCOMPLETE_SHELF_CYCLE",IF(N149&lt;MinHistory,"INSUFFICIENT_HISTORY",IF(NOT(J149),"INSUFFICIENT_IN_STOCK",IF(OR(Q149="",Q149=0),"NO_PRIOR_BASE",IF(Q149&lt;LowBaseThreshold,"LOW_BASE_NOISE",IF(V149="Markdown Review","MARKDOWN_PEER_GAP",IF(V149="Reorder Candidate","REORDER_UPLIFT_COVER","NO_MATERIAL_CHANGE"))))))))</f>
        <v/>
      </c>
      <c r="X149" s="18">
        <f>IF(V149="Markdown Review","Markdown support",IF(V149="Reorder Candidate","Second reorder",IF(V149="Monitor","Monitor",IF(V149="Noise","Hold / collect data",IF(V149="Not Ready","Not ready","")))))</f>
        <v/>
      </c>
      <c r="Y149" s="18">
        <f>IF(OR(R149="",T149=""),"",ABS(R149)+ABS(T149))</f>
        <v/>
      </c>
      <c r="Z149" s="21">
        <f>IF(OR(B149="",NOT(O149),R149=""),"",IF(ABS(R149)&gt;=MaterialThreshold,"Yes","No"))</f>
        <v/>
      </c>
      <c r="AA149" s="18">
        <f>IF(Z149&lt;&gt;"Yes","",IF(ABS(R149)&gt;=MaterialThreshold,IF(ABS(R149)&gt;=BroadShare,"Broad SKU movement","Store-concentrated movement"),""))</f>
        <v/>
      </c>
      <c r="AB149" s="18">
        <f>IF(O149,IF(COUNTIFS($O$5:O149,TRUE)&gt;0,COUNTIFS($O$5:O149,TRUE),0),0)</f>
        <v/>
      </c>
      <c r="AC149" s="18">
        <f>IF(V149="Markdown Review",1,IF(V149="Reorder Candidate",2,IF(V149="Monitor",3,IF(V149="Noise",4,IF(V149="Not Ready",5,99)))))</f>
        <v/>
      </c>
      <c r="AD149" s="18">
        <f>IF(O149,COUNTIFS($O$5:$O$504,TRUE,$AC$5:$AC$504,"&lt;"&amp;AC149)+COUNTIFS($O$5:O149,TRUE,$AC$5:AC149,AC149,$Y$5:Y149,"&gt;"&amp;Y149),0)</f>
        <v/>
      </c>
    </row>
    <row r="150">
      <c r="A150" s="17">
        <f>IF(COUNTA('Weekly Input'!A150:C150)=0,"",'Weekly Input'!B150&amp;"|"&amp;'Weekly Input'!C150&amp;"|"&amp;TEXT('Weekly Input'!A150,"yyyy-mm-dd"))</f>
        <v/>
      </c>
      <c r="B150" s="18">
        <f>'Weekly Input'!B150</f>
        <v/>
      </c>
      <c r="C150" s="18">
        <f>'Weekly Input'!C150</f>
        <v/>
      </c>
      <c r="D150" s="18">
        <f>IF(B150="","",IFERROR(INDEX('Master Data'!$B$6:$B$145,MATCH(B150,'Master Data'!$A$6:$A$145,0)),""))</f>
        <v/>
      </c>
      <c r="E150" s="18">
        <f>IF(C150="","",IFERROR(INDEX('Master Data'!$H$6:$H$13,MATCH(C150,'Master Data'!$F$6:$F$13,0)),""))</f>
        <v/>
      </c>
      <c r="F150" s="19">
        <f>'Weekly Input'!A150</f>
        <v/>
      </c>
      <c r="G150" s="19">
        <f>IF(B150="","",IFERROR(INDEX('Master Data'!$D$6:$D$145,MATCH(B150,'Master Data'!$A$6:$A$145,0)),""))</f>
        <v/>
      </c>
      <c r="H150" s="18">
        <f>IF(OR(F150="",G150=""),"",F150-G150)</f>
        <v/>
      </c>
      <c r="I150" s="18">
        <f>IF(B150="","",IF('Weekly Input'!J150="OK",TRUE,FALSE))</f>
        <v/>
      </c>
      <c r="J150" s="18">
        <f>IF(B150="","",'Weekly Input'!H150&gt;=MinInStockDays)</f>
        <v/>
      </c>
      <c r="K150" s="18">
        <f>IF(B150="","",H150&gt;=FullCycleMin)</f>
        <v/>
      </c>
      <c r="L150" s="18">
        <f>IF(B150="","",AND(I150,J150,K150,N150&gt;=MinHistory))</f>
        <v/>
      </c>
      <c r="M150" s="20">
        <f>IF(OR(B150="",'Weekly Input'!H150=0),"",'Weekly Input'!D150/'Weekly Input'!H150*7)</f>
        <v/>
      </c>
      <c r="N150" s="18">
        <f>IF(B150="","",COUNTIFS($B$5:$B$504,B150,$C$5:$C$504,C150,$I$5:$I$504,TRUE,$J$5:$J$504,TRUE,$K$5:$K$504,TRUE))</f>
        <v/>
      </c>
      <c r="O150" s="18">
        <f>IF(B150="","",AND(F150=AsOfWeek,AsOfWeek&lt;&gt;""))</f>
        <v/>
      </c>
      <c r="P150" s="20">
        <f>IF(OR(B150="",AsOfWeek=""),"",IFERROR(SUMIFS($M$5:$M$504,$B$5:$B$504,B150,$C$5:$C$504,C150,$L$5:$L$504,TRUE,$F$5:$F$504,"&gt;="&amp;AsOfWeek-7*(RecentWeeks-1),$F$5:$F$504,"&lt;="&amp;AsOfWeek),""))</f>
        <v/>
      </c>
      <c r="Q150" s="20">
        <f>IF(OR(B150="",AsOfWeek=""),"",IFERROR(SUMIFS($M$5:$M$504,$B$5:$B$504,B150,$C$5:$C$504,C150,$L$5:$L$504,TRUE,$F$5:$F$504,"&gt;="&amp;AsOfWeek-7*(RecentWeeks+PriorWeeks-1),$F$5:$F$504,"&lt;"&amp;AsOfWeek-7*(RecentWeeks-1)),""))</f>
        <v/>
      </c>
      <c r="R150" s="21">
        <f>IF(OR(P150="",Q150="",Q150=0),"",P150/Q150-1)</f>
        <v/>
      </c>
      <c r="S150" s="20">
        <f>IF(OR(C150="",AsOfWeek=""),"",IFERROR(AVERAGEIFS($M$5:$M$504,$C$5:$C$504,C150,$L$5:$L$504,TRUE,$F$5:$F$504,"&gt;="&amp;AsOfWeek-7*(RecentWeeks-1),$F$5:$F$504,"&lt;="&amp;AsOfWeek),""))</f>
        <v/>
      </c>
      <c r="T150" s="21">
        <f>IF(OR(P150="",S150=""),"",P150/S150-1)</f>
        <v/>
      </c>
      <c r="U150" s="22">
        <f>IF(OR(B150="",'Weekly Input'!G150="",P150="",P150=0),"",'Weekly Input'!G150/P150)</f>
        <v/>
      </c>
      <c r="V150" s="18">
        <f>IF(B150="","",IF(NOT(I150),"Not Ready",IF(NOT(K150),"Not Ready",IF(N150&lt;MinHistory,"Not Ready",IF(NOT(J150),"Not Ready",IF(OR(Q150="",Q150=0),"Noise",IF(Q150&lt;LowBaseThreshold,"Noise",IF(AND(R150&lt;=-OwnDecline,T150&lt;=-PeerGapThreshold),"Markdown Review",IF(AND(R150&gt;=ReorderUplift,U150&lt;&gt;"",U150&lt;=WeeksSupplyCap),"Reorder Candidate","Monitor"))))))))</f>
        <v/>
      </c>
      <c r="W150" s="18">
        <f>IF(B150="","",IF(NOT(I150),"INVALID_MASTER",IF(NOT(K150),"INCOMPLETE_SHELF_CYCLE",IF(N150&lt;MinHistory,"INSUFFICIENT_HISTORY",IF(NOT(J150),"INSUFFICIENT_IN_STOCK",IF(OR(Q150="",Q150=0),"NO_PRIOR_BASE",IF(Q150&lt;LowBaseThreshold,"LOW_BASE_NOISE",IF(V150="Markdown Review","MARKDOWN_PEER_GAP",IF(V150="Reorder Candidate","REORDER_UPLIFT_COVER","NO_MATERIAL_CHANGE"))))))))</f>
        <v/>
      </c>
      <c r="X150" s="18">
        <f>IF(V150="Markdown Review","Markdown support",IF(V150="Reorder Candidate","Second reorder",IF(V150="Monitor","Monitor",IF(V150="Noise","Hold / collect data",IF(V150="Not Ready","Not ready","")))))</f>
        <v/>
      </c>
      <c r="Y150" s="18">
        <f>IF(OR(R150="",T150=""),"",ABS(R150)+ABS(T150))</f>
        <v/>
      </c>
      <c r="Z150" s="21">
        <f>IF(OR(B150="",NOT(O150),R150=""),"",IF(ABS(R150)&gt;=MaterialThreshold,"Yes","No"))</f>
        <v/>
      </c>
      <c r="AA150" s="18">
        <f>IF(Z150&lt;&gt;"Yes","",IF(ABS(R150)&gt;=MaterialThreshold,IF(ABS(R150)&gt;=BroadShare,"Broad SKU movement","Store-concentrated movement"),""))</f>
        <v/>
      </c>
      <c r="AB150" s="18">
        <f>IF(O150,IF(COUNTIFS($O$5:O150,TRUE)&gt;0,COUNTIFS($O$5:O150,TRUE),0),0)</f>
        <v/>
      </c>
      <c r="AC150" s="18">
        <f>IF(V150="Markdown Review",1,IF(V150="Reorder Candidate",2,IF(V150="Monitor",3,IF(V150="Noise",4,IF(V150="Not Ready",5,99)))))</f>
        <v/>
      </c>
      <c r="AD150" s="18">
        <f>IF(O150,COUNTIFS($O$5:$O$504,TRUE,$AC$5:$AC$504,"&lt;"&amp;AC150)+COUNTIFS($O$5:O150,TRUE,$AC$5:AC150,AC150,$Y$5:Y150,"&gt;"&amp;Y150),0)</f>
        <v/>
      </c>
    </row>
    <row r="151">
      <c r="A151" s="17">
        <f>IF(COUNTA('Weekly Input'!A151:C151)=0,"",'Weekly Input'!B151&amp;"|"&amp;'Weekly Input'!C151&amp;"|"&amp;TEXT('Weekly Input'!A151,"yyyy-mm-dd"))</f>
        <v/>
      </c>
      <c r="B151" s="18">
        <f>'Weekly Input'!B151</f>
        <v/>
      </c>
      <c r="C151" s="18">
        <f>'Weekly Input'!C151</f>
        <v/>
      </c>
      <c r="D151" s="18">
        <f>IF(B151="","",IFERROR(INDEX('Master Data'!$B$6:$B$145,MATCH(B151,'Master Data'!$A$6:$A$145,0)),""))</f>
        <v/>
      </c>
      <c r="E151" s="18">
        <f>IF(C151="","",IFERROR(INDEX('Master Data'!$H$6:$H$13,MATCH(C151,'Master Data'!$F$6:$F$13,0)),""))</f>
        <v/>
      </c>
      <c r="F151" s="19">
        <f>'Weekly Input'!A151</f>
        <v/>
      </c>
      <c r="G151" s="19">
        <f>IF(B151="","",IFERROR(INDEX('Master Data'!$D$6:$D$145,MATCH(B151,'Master Data'!$A$6:$A$145,0)),""))</f>
        <v/>
      </c>
      <c r="H151" s="18">
        <f>IF(OR(F151="",G151=""),"",F151-G151)</f>
        <v/>
      </c>
      <c r="I151" s="18">
        <f>IF(B151="","",IF('Weekly Input'!J151="OK",TRUE,FALSE))</f>
        <v/>
      </c>
      <c r="J151" s="18">
        <f>IF(B151="","",'Weekly Input'!H151&gt;=MinInStockDays)</f>
        <v/>
      </c>
      <c r="K151" s="18">
        <f>IF(B151="","",H151&gt;=FullCycleMin)</f>
        <v/>
      </c>
      <c r="L151" s="18">
        <f>IF(B151="","",AND(I151,J151,K151,N151&gt;=MinHistory))</f>
        <v/>
      </c>
      <c r="M151" s="20">
        <f>IF(OR(B151="",'Weekly Input'!H151=0),"",'Weekly Input'!D151/'Weekly Input'!H151*7)</f>
        <v/>
      </c>
      <c r="N151" s="18">
        <f>IF(B151="","",COUNTIFS($B$5:$B$504,B151,$C$5:$C$504,C151,$I$5:$I$504,TRUE,$J$5:$J$504,TRUE,$K$5:$K$504,TRUE))</f>
        <v/>
      </c>
      <c r="O151" s="18">
        <f>IF(B151="","",AND(F151=AsOfWeek,AsOfWeek&lt;&gt;""))</f>
        <v/>
      </c>
      <c r="P151" s="20">
        <f>IF(OR(B151="",AsOfWeek=""),"",IFERROR(SUMIFS($M$5:$M$504,$B$5:$B$504,B151,$C$5:$C$504,C151,$L$5:$L$504,TRUE,$F$5:$F$504,"&gt;="&amp;AsOfWeek-7*(RecentWeeks-1),$F$5:$F$504,"&lt;="&amp;AsOfWeek),""))</f>
        <v/>
      </c>
      <c r="Q151" s="20">
        <f>IF(OR(B151="",AsOfWeek=""),"",IFERROR(SUMIFS($M$5:$M$504,$B$5:$B$504,B151,$C$5:$C$504,C151,$L$5:$L$504,TRUE,$F$5:$F$504,"&gt;="&amp;AsOfWeek-7*(RecentWeeks+PriorWeeks-1),$F$5:$F$504,"&lt;"&amp;AsOfWeek-7*(RecentWeeks-1)),""))</f>
        <v/>
      </c>
      <c r="R151" s="21">
        <f>IF(OR(P151="",Q151="",Q151=0),"",P151/Q151-1)</f>
        <v/>
      </c>
      <c r="S151" s="20">
        <f>IF(OR(C151="",AsOfWeek=""),"",IFERROR(AVERAGEIFS($M$5:$M$504,$C$5:$C$504,C151,$L$5:$L$504,TRUE,$F$5:$F$504,"&gt;="&amp;AsOfWeek-7*(RecentWeeks-1),$F$5:$F$504,"&lt;="&amp;AsOfWeek),""))</f>
        <v/>
      </c>
      <c r="T151" s="21">
        <f>IF(OR(P151="",S151=""),"",P151/S151-1)</f>
        <v/>
      </c>
      <c r="U151" s="22">
        <f>IF(OR(B151="",'Weekly Input'!G151="",P151="",P151=0),"",'Weekly Input'!G151/P151)</f>
        <v/>
      </c>
      <c r="V151" s="18">
        <f>IF(B151="","",IF(NOT(I151),"Not Ready",IF(NOT(K151),"Not Ready",IF(N151&lt;MinHistory,"Not Ready",IF(NOT(J151),"Not Ready",IF(OR(Q151="",Q151=0),"Noise",IF(Q151&lt;LowBaseThreshold,"Noise",IF(AND(R151&lt;=-OwnDecline,T151&lt;=-PeerGapThreshold),"Markdown Review",IF(AND(R151&gt;=ReorderUplift,U151&lt;&gt;"",U151&lt;=WeeksSupplyCap),"Reorder Candidate","Monitor"))))))))</f>
        <v/>
      </c>
      <c r="W151" s="18">
        <f>IF(B151="","",IF(NOT(I151),"INVALID_MASTER",IF(NOT(K151),"INCOMPLETE_SHELF_CYCLE",IF(N151&lt;MinHistory,"INSUFFICIENT_HISTORY",IF(NOT(J151),"INSUFFICIENT_IN_STOCK",IF(OR(Q151="",Q151=0),"NO_PRIOR_BASE",IF(Q151&lt;LowBaseThreshold,"LOW_BASE_NOISE",IF(V151="Markdown Review","MARKDOWN_PEER_GAP",IF(V151="Reorder Candidate","REORDER_UPLIFT_COVER","NO_MATERIAL_CHANGE"))))))))</f>
        <v/>
      </c>
      <c r="X151" s="18">
        <f>IF(V151="Markdown Review","Markdown support",IF(V151="Reorder Candidate","Second reorder",IF(V151="Monitor","Monitor",IF(V151="Noise","Hold / collect data",IF(V151="Not Ready","Not ready","")))))</f>
        <v/>
      </c>
      <c r="Y151" s="18">
        <f>IF(OR(R151="",T151=""),"",ABS(R151)+ABS(T151))</f>
        <v/>
      </c>
      <c r="Z151" s="21">
        <f>IF(OR(B151="",NOT(O151),R151=""),"",IF(ABS(R151)&gt;=MaterialThreshold,"Yes","No"))</f>
        <v/>
      </c>
      <c r="AA151" s="18">
        <f>IF(Z151&lt;&gt;"Yes","",IF(ABS(R151)&gt;=MaterialThreshold,IF(ABS(R151)&gt;=BroadShare,"Broad SKU movement","Store-concentrated movement"),""))</f>
        <v/>
      </c>
      <c r="AB151" s="18">
        <f>IF(O151,IF(COUNTIFS($O$5:O151,TRUE)&gt;0,COUNTIFS($O$5:O151,TRUE),0),0)</f>
        <v/>
      </c>
      <c r="AC151" s="18">
        <f>IF(V151="Markdown Review",1,IF(V151="Reorder Candidate",2,IF(V151="Monitor",3,IF(V151="Noise",4,IF(V151="Not Ready",5,99)))))</f>
        <v/>
      </c>
      <c r="AD151" s="18">
        <f>IF(O151,COUNTIFS($O$5:$O$504,TRUE,$AC$5:$AC$504,"&lt;"&amp;AC151)+COUNTIFS($O$5:O151,TRUE,$AC$5:AC151,AC151,$Y$5:Y151,"&gt;"&amp;Y151),0)</f>
        <v/>
      </c>
    </row>
    <row r="152">
      <c r="A152" s="17">
        <f>IF(COUNTA('Weekly Input'!A152:C152)=0,"",'Weekly Input'!B152&amp;"|"&amp;'Weekly Input'!C152&amp;"|"&amp;TEXT('Weekly Input'!A152,"yyyy-mm-dd"))</f>
        <v/>
      </c>
      <c r="B152" s="18">
        <f>'Weekly Input'!B152</f>
        <v/>
      </c>
      <c r="C152" s="18">
        <f>'Weekly Input'!C152</f>
        <v/>
      </c>
      <c r="D152" s="18">
        <f>IF(B152="","",IFERROR(INDEX('Master Data'!$B$6:$B$145,MATCH(B152,'Master Data'!$A$6:$A$145,0)),""))</f>
        <v/>
      </c>
      <c r="E152" s="18">
        <f>IF(C152="","",IFERROR(INDEX('Master Data'!$H$6:$H$13,MATCH(C152,'Master Data'!$F$6:$F$13,0)),""))</f>
        <v/>
      </c>
      <c r="F152" s="19">
        <f>'Weekly Input'!A152</f>
        <v/>
      </c>
      <c r="G152" s="19">
        <f>IF(B152="","",IFERROR(INDEX('Master Data'!$D$6:$D$145,MATCH(B152,'Master Data'!$A$6:$A$145,0)),""))</f>
        <v/>
      </c>
      <c r="H152" s="18">
        <f>IF(OR(F152="",G152=""),"",F152-G152)</f>
        <v/>
      </c>
      <c r="I152" s="18">
        <f>IF(B152="","",IF('Weekly Input'!J152="OK",TRUE,FALSE))</f>
        <v/>
      </c>
      <c r="J152" s="18">
        <f>IF(B152="","",'Weekly Input'!H152&gt;=MinInStockDays)</f>
        <v/>
      </c>
      <c r="K152" s="18">
        <f>IF(B152="","",H152&gt;=FullCycleMin)</f>
        <v/>
      </c>
      <c r="L152" s="18">
        <f>IF(B152="","",AND(I152,J152,K152,N152&gt;=MinHistory))</f>
        <v/>
      </c>
      <c r="M152" s="20">
        <f>IF(OR(B152="",'Weekly Input'!H152=0),"",'Weekly Input'!D152/'Weekly Input'!H152*7)</f>
        <v/>
      </c>
      <c r="N152" s="18">
        <f>IF(B152="","",COUNTIFS($B$5:$B$504,B152,$C$5:$C$504,C152,$I$5:$I$504,TRUE,$J$5:$J$504,TRUE,$K$5:$K$504,TRUE))</f>
        <v/>
      </c>
      <c r="O152" s="18">
        <f>IF(B152="","",AND(F152=AsOfWeek,AsOfWeek&lt;&gt;""))</f>
        <v/>
      </c>
      <c r="P152" s="20">
        <f>IF(OR(B152="",AsOfWeek=""),"",IFERROR(SUMIFS($M$5:$M$504,$B$5:$B$504,B152,$C$5:$C$504,C152,$L$5:$L$504,TRUE,$F$5:$F$504,"&gt;="&amp;AsOfWeek-7*(RecentWeeks-1),$F$5:$F$504,"&lt;="&amp;AsOfWeek),""))</f>
        <v/>
      </c>
      <c r="Q152" s="20">
        <f>IF(OR(B152="",AsOfWeek=""),"",IFERROR(SUMIFS($M$5:$M$504,$B$5:$B$504,B152,$C$5:$C$504,C152,$L$5:$L$504,TRUE,$F$5:$F$504,"&gt;="&amp;AsOfWeek-7*(RecentWeeks+PriorWeeks-1),$F$5:$F$504,"&lt;"&amp;AsOfWeek-7*(RecentWeeks-1)),""))</f>
        <v/>
      </c>
      <c r="R152" s="21">
        <f>IF(OR(P152="",Q152="",Q152=0),"",P152/Q152-1)</f>
        <v/>
      </c>
      <c r="S152" s="20">
        <f>IF(OR(C152="",AsOfWeek=""),"",IFERROR(AVERAGEIFS($M$5:$M$504,$C$5:$C$504,C152,$L$5:$L$504,TRUE,$F$5:$F$504,"&gt;="&amp;AsOfWeek-7*(RecentWeeks-1),$F$5:$F$504,"&lt;="&amp;AsOfWeek),""))</f>
        <v/>
      </c>
      <c r="T152" s="21">
        <f>IF(OR(P152="",S152=""),"",P152/S152-1)</f>
        <v/>
      </c>
      <c r="U152" s="22">
        <f>IF(OR(B152="",'Weekly Input'!G152="",P152="",P152=0),"",'Weekly Input'!G152/P152)</f>
        <v/>
      </c>
      <c r="V152" s="18">
        <f>IF(B152="","",IF(NOT(I152),"Not Ready",IF(NOT(K152),"Not Ready",IF(N152&lt;MinHistory,"Not Ready",IF(NOT(J152),"Not Ready",IF(OR(Q152="",Q152=0),"Noise",IF(Q152&lt;LowBaseThreshold,"Noise",IF(AND(R152&lt;=-OwnDecline,T152&lt;=-PeerGapThreshold),"Markdown Review",IF(AND(R152&gt;=ReorderUplift,U152&lt;&gt;"",U152&lt;=WeeksSupplyCap),"Reorder Candidate","Monitor"))))))))</f>
        <v/>
      </c>
      <c r="W152" s="18">
        <f>IF(B152="","",IF(NOT(I152),"INVALID_MASTER",IF(NOT(K152),"INCOMPLETE_SHELF_CYCLE",IF(N152&lt;MinHistory,"INSUFFICIENT_HISTORY",IF(NOT(J152),"INSUFFICIENT_IN_STOCK",IF(OR(Q152="",Q152=0),"NO_PRIOR_BASE",IF(Q152&lt;LowBaseThreshold,"LOW_BASE_NOISE",IF(V152="Markdown Review","MARKDOWN_PEER_GAP",IF(V152="Reorder Candidate","REORDER_UPLIFT_COVER","NO_MATERIAL_CHANGE"))))))))</f>
        <v/>
      </c>
      <c r="X152" s="18">
        <f>IF(V152="Markdown Review","Markdown support",IF(V152="Reorder Candidate","Second reorder",IF(V152="Monitor","Monitor",IF(V152="Noise","Hold / collect data",IF(V152="Not Ready","Not ready","")))))</f>
        <v/>
      </c>
      <c r="Y152" s="18">
        <f>IF(OR(R152="",T152=""),"",ABS(R152)+ABS(T152))</f>
        <v/>
      </c>
      <c r="Z152" s="21">
        <f>IF(OR(B152="",NOT(O152),R152=""),"",IF(ABS(R152)&gt;=MaterialThreshold,"Yes","No"))</f>
        <v/>
      </c>
      <c r="AA152" s="18">
        <f>IF(Z152&lt;&gt;"Yes","",IF(ABS(R152)&gt;=MaterialThreshold,IF(ABS(R152)&gt;=BroadShare,"Broad SKU movement","Store-concentrated movement"),""))</f>
        <v/>
      </c>
      <c r="AB152" s="18">
        <f>IF(O152,IF(COUNTIFS($O$5:O152,TRUE)&gt;0,COUNTIFS($O$5:O152,TRUE),0),0)</f>
        <v/>
      </c>
      <c r="AC152" s="18">
        <f>IF(V152="Markdown Review",1,IF(V152="Reorder Candidate",2,IF(V152="Monitor",3,IF(V152="Noise",4,IF(V152="Not Ready",5,99)))))</f>
        <v/>
      </c>
      <c r="AD152" s="18">
        <f>IF(O152,COUNTIFS($O$5:$O$504,TRUE,$AC$5:$AC$504,"&lt;"&amp;AC152)+COUNTIFS($O$5:O152,TRUE,$AC$5:AC152,AC152,$Y$5:Y152,"&gt;"&amp;Y152),0)</f>
        <v/>
      </c>
    </row>
    <row r="153">
      <c r="A153" s="17">
        <f>IF(COUNTA('Weekly Input'!A153:C153)=0,"",'Weekly Input'!B153&amp;"|"&amp;'Weekly Input'!C153&amp;"|"&amp;TEXT('Weekly Input'!A153,"yyyy-mm-dd"))</f>
        <v/>
      </c>
      <c r="B153" s="18">
        <f>'Weekly Input'!B153</f>
        <v/>
      </c>
      <c r="C153" s="18">
        <f>'Weekly Input'!C153</f>
        <v/>
      </c>
      <c r="D153" s="18">
        <f>IF(B153="","",IFERROR(INDEX('Master Data'!$B$6:$B$145,MATCH(B153,'Master Data'!$A$6:$A$145,0)),""))</f>
        <v/>
      </c>
      <c r="E153" s="18">
        <f>IF(C153="","",IFERROR(INDEX('Master Data'!$H$6:$H$13,MATCH(C153,'Master Data'!$F$6:$F$13,0)),""))</f>
        <v/>
      </c>
      <c r="F153" s="19">
        <f>'Weekly Input'!A153</f>
        <v/>
      </c>
      <c r="G153" s="19">
        <f>IF(B153="","",IFERROR(INDEX('Master Data'!$D$6:$D$145,MATCH(B153,'Master Data'!$A$6:$A$145,0)),""))</f>
        <v/>
      </c>
      <c r="H153" s="18">
        <f>IF(OR(F153="",G153=""),"",F153-G153)</f>
        <v/>
      </c>
      <c r="I153" s="18">
        <f>IF(B153="","",IF('Weekly Input'!J153="OK",TRUE,FALSE))</f>
        <v/>
      </c>
      <c r="J153" s="18">
        <f>IF(B153="","",'Weekly Input'!H153&gt;=MinInStockDays)</f>
        <v/>
      </c>
      <c r="K153" s="18">
        <f>IF(B153="","",H153&gt;=FullCycleMin)</f>
        <v/>
      </c>
      <c r="L153" s="18">
        <f>IF(B153="","",AND(I153,J153,K153,N153&gt;=MinHistory))</f>
        <v/>
      </c>
      <c r="M153" s="20">
        <f>IF(OR(B153="",'Weekly Input'!H153=0),"",'Weekly Input'!D153/'Weekly Input'!H153*7)</f>
        <v/>
      </c>
      <c r="N153" s="18">
        <f>IF(B153="","",COUNTIFS($B$5:$B$504,B153,$C$5:$C$504,C153,$I$5:$I$504,TRUE,$J$5:$J$504,TRUE,$K$5:$K$504,TRUE))</f>
        <v/>
      </c>
      <c r="O153" s="18">
        <f>IF(B153="","",AND(F153=AsOfWeek,AsOfWeek&lt;&gt;""))</f>
        <v/>
      </c>
      <c r="P153" s="20">
        <f>IF(OR(B153="",AsOfWeek=""),"",IFERROR(SUMIFS($M$5:$M$504,$B$5:$B$504,B153,$C$5:$C$504,C153,$L$5:$L$504,TRUE,$F$5:$F$504,"&gt;="&amp;AsOfWeek-7*(RecentWeeks-1),$F$5:$F$504,"&lt;="&amp;AsOfWeek),""))</f>
        <v/>
      </c>
      <c r="Q153" s="20">
        <f>IF(OR(B153="",AsOfWeek=""),"",IFERROR(SUMIFS($M$5:$M$504,$B$5:$B$504,B153,$C$5:$C$504,C153,$L$5:$L$504,TRUE,$F$5:$F$504,"&gt;="&amp;AsOfWeek-7*(RecentWeeks+PriorWeeks-1),$F$5:$F$504,"&lt;"&amp;AsOfWeek-7*(RecentWeeks-1)),""))</f>
        <v/>
      </c>
      <c r="R153" s="21">
        <f>IF(OR(P153="",Q153="",Q153=0),"",P153/Q153-1)</f>
        <v/>
      </c>
      <c r="S153" s="20">
        <f>IF(OR(C153="",AsOfWeek=""),"",IFERROR(AVERAGEIFS($M$5:$M$504,$C$5:$C$504,C153,$L$5:$L$504,TRUE,$F$5:$F$504,"&gt;="&amp;AsOfWeek-7*(RecentWeeks-1),$F$5:$F$504,"&lt;="&amp;AsOfWeek),""))</f>
        <v/>
      </c>
      <c r="T153" s="21">
        <f>IF(OR(P153="",S153=""),"",P153/S153-1)</f>
        <v/>
      </c>
      <c r="U153" s="22">
        <f>IF(OR(B153="",'Weekly Input'!G153="",P153="",P153=0),"",'Weekly Input'!G153/P153)</f>
        <v/>
      </c>
      <c r="V153" s="18">
        <f>IF(B153="","",IF(NOT(I153),"Not Ready",IF(NOT(K153),"Not Ready",IF(N153&lt;MinHistory,"Not Ready",IF(NOT(J153),"Not Ready",IF(OR(Q153="",Q153=0),"Noise",IF(Q153&lt;LowBaseThreshold,"Noise",IF(AND(R153&lt;=-OwnDecline,T153&lt;=-PeerGapThreshold),"Markdown Review",IF(AND(R153&gt;=ReorderUplift,U153&lt;&gt;"",U153&lt;=WeeksSupplyCap),"Reorder Candidate","Monitor"))))))))</f>
        <v/>
      </c>
      <c r="W153" s="18">
        <f>IF(B153="","",IF(NOT(I153),"INVALID_MASTER",IF(NOT(K153),"INCOMPLETE_SHELF_CYCLE",IF(N153&lt;MinHistory,"INSUFFICIENT_HISTORY",IF(NOT(J153),"INSUFFICIENT_IN_STOCK",IF(OR(Q153="",Q153=0),"NO_PRIOR_BASE",IF(Q153&lt;LowBaseThreshold,"LOW_BASE_NOISE",IF(V153="Markdown Review","MARKDOWN_PEER_GAP",IF(V153="Reorder Candidate","REORDER_UPLIFT_COVER","NO_MATERIAL_CHANGE"))))))))</f>
        <v/>
      </c>
      <c r="X153" s="18">
        <f>IF(V153="Markdown Review","Markdown support",IF(V153="Reorder Candidate","Second reorder",IF(V153="Monitor","Monitor",IF(V153="Noise","Hold / collect data",IF(V153="Not Ready","Not ready","")))))</f>
        <v/>
      </c>
      <c r="Y153" s="18">
        <f>IF(OR(R153="",T153=""),"",ABS(R153)+ABS(T153))</f>
        <v/>
      </c>
      <c r="Z153" s="21">
        <f>IF(OR(B153="",NOT(O153),R153=""),"",IF(ABS(R153)&gt;=MaterialThreshold,"Yes","No"))</f>
        <v/>
      </c>
      <c r="AA153" s="18">
        <f>IF(Z153&lt;&gt;"Yes","",IF(ABS(R153)&gt;=MaterialThreshold,IF(ABS(R153)&gt;=BroadShare,"Broad SKU movement","Store-concentrated movement"),""))</f>
        <v/>
      </c>
      <c r="AB153" s="18">
        <f>IF(O153,IF(COUNTIFS($O$5:O153,TRUE)&gt;0,COUNTIFS($O$5:O153,TRUE),0),0)</f>
        <v/>
      </c>
      <c r="AC153" s="18">
        <f>IF(V153="Markdown Review",1,IF(V153="Reorder Candidate",2,IF(V153="Monitor",3,IF(V153="Noise",4,IF(V153="Not Ready",5,99)))))</f>
        <v/>
      </c>
      <c r="AD153" s="18">
        <f>IF(O153,COUNTIFS($O$5:$O$504,TRUE,$AC$5:$AC$504,"&lt;"&amp;AC153)+COUNTIFS($O$5:O153,TRUE,$AC$5:AC153,AC153,$Y$5:Y153,"&gt;"&amp;Y153),0)</f>
        <v/>
      </c>
    </row>
    <row r="154">
      <c r="A154" s="17">
        <f>IF(COUNTA('Weekly Input'!A154:C154)=0,"",'Weekly Input'!B154&amp;"|"&amp;'Weekly Input'!C154&amp;"|"&amp;TEXT('Weekly Input'!A154,"yyyy-mm-dd"))</f>
        <v/>
      </c>
      <c r="B154" s="18">
        <f>'Weekly Input'!B154</f>
        <v/>
      </c>
      <c r="C154" s="18">
        <f>'Weekly Input'!C154</f>
        <v/>
      </c>
      <c r="D154" s="18">
        <f>IF(B154="","",IFERROR(INDEX('Master Data'!$B$6:$B$145,MATCH(B154,'Master Data'!$A$6:$A$145,0)),""))</f>
        <v/>
      </c>
      <c r="E154" s="18">
        <f>IF(C154="","",IFERROR(INDEX('Master Data'!$H$6:$H$13,MATCH(C154,'Master Data'!$F$6:$F$13,0)),""))</f>
        <v/>
      </c>
      <c r="F154" s="19">
        <f>'Weekly Input'!A154</f>
        <v/>
      </c>
      <c r="G154" s="19">
        <f>IF(B154="","",IFERROR(INDEX('Master Data'!$D$6:$D$145,MATCH(B154,'Master Data'!$A$6:$A$145,0)),""))</f>
        <v/>
      </c>
      <c r="H154" s="18">
        <f>IF(OR(F154="",G154=""),"",F154-G154)</f>
        <v/>
      </c>
      <c r="I154" s="18">
        <f>IF(B154="","",IF('Weekly Input'!J154="OK",TRUE,FALSE))</f>
        <v/>
      </c>
      <c r="J154" s="18">
        <f>IF(B154="","",'Weekly Input'!H154&gt;=MinInStockDays)</f>
        <v/>
      </c>
      <c r="K154" s="18">
        <f>IF(B154="","",H154&gt;=FullCycleMin)</f>
        <v/>
      </c>
      <c r="L154" s="18">
        <f>IF(B154="","",AND(I154,J154,K154,N154&gt;=MinHistory))</f>
        <v/>
      </c>
      <c r="M154" s="20">
        <f>IF(OR(B154="",'Weekly Input'!H154=0),"",'Weekly Input'!D154/'Weekly Input'!H154*7)</f>
        <v/>
      </c>
      <c r="N154" s="18">
        <f>IF(B154="","",COUNTIFS($B$5:$B$504,B154,$C$5:$C$504,C154,$I$5:$I$504,TRUE,$J$5:$J$504,TRUE,$K$5:$K$504,TRUE))</f>
        <v/>
      </c>
      <c r="O154" s="18">
        <f>IF(B154="","",AND(F154=AsOfWeek,AsOfWeek&lt;&gt;""))</f>
        <v/>
      </c>
      <c r="P154" s="20">
        <f>IF(OR(B154="",AsOfWeek=""),"",IFERROR(SUMIFS($M$5:$M$504,$B$5:$B$504,B154,$C$5:$C$504,C154,$L$5:$L$504,TRUE,$F$5:$F$504,"&gt;="&amp;AsOfWeek-7*(RecentWeeks-1),$F$5:$F$504,"&lt;="&amp;AsOfWeek),""))</f>
        <v/>
      </c>
      <c r="Q154" s="20">
        <f>IF(OR(B154="",AsOfWeek=""),"",IFERROR(SUMIFS($M$5:$M$504,$B$5:$B$504,B154,$C$5:$C$504,C154,$L$5:$L$504,TRUE,$F$5:$F$504,"&gt;="&amp;AsOfWeek-7*(RecentWeeks+PriorWeeks-1),$F$5:$F$504,"&lt;"&amp;AsOfWeek-7*(RecentWeeks-1)),""))</f>
        <v/>
      </c>
      <c r="R154" s="21">
        <f>IF(OR(P154="",Q154="",Q154=0),"",P154/Q154-1)</f>
        <v/>
      </c>
      <c r="S154" s="20">
        <f>IF(OR(C154="",AsOfWeek=""),"",IFERROR(AVERAGEIFS($M$5:$M$504,$C$5:$C$504,C154,$L$5:$L$504,TRUE,$F$5:$F$504,"&gt;="&amp;AsOfWeek-7*(RecentWeeks-1),$F$5:$F$504,"&lt;="&amp;AsOfWeek),""))</f>
        <v/>
      </c>
      <c r="T154" s="21">
        <f>IF(OR(P154="",S154=""),"",P154/S154-1)</f>
        <v/>
      </c>
      <c r="U154" s="22">
        <f>IF(OR(B154="",'Weekly Input'!G154="",P154="",P154=0),"",'Weekly Input'!G154/P154)</f>
        <v/>
      </c>
      <c r="V154" s="18">
        <f>IF(B154="","",IF(NOT(I154),"Not Ready",IF(NOT(K154),"Not Ready",IF(N154&lt;MinHistory,"Not Ready",IF(NOT(J154),"Not Ready",IF(OR(Q154="",Q154=0),"Noise",IF(Q154&lt;LowBaseThreshold,"Noise",IF(AND(R154&lt;=-OwnDecline,T154&lt;=-PeerGapThreshold),"Markdown Review",IF(AND(R154&gt;=ReorderUplift,U154&lt;&gt;"",U154&lt;=WeeksSupplyCap),"Reorder Candidate","Monitor"))))))))</f>
        <v/>
      </c>
      <c r="W154" s="18">
        <f>IF(B154="","",IF(NOT(I154),"INVALID_MASTER",IF(NOT(K154),"INCOMPLETE_SHELF_CYCLE",IF(N154&lt;MinHistory,"INSUFFICIENT_HISTORY",IF(NOT(J154),"INSUFFICIENT_IN_STOCK",IF(OR(Q154="",Q154=0),"NO_PRIOR_BASE",IF(Q154&lt;LowBaseThreshold,"LOW_BASE_NOISE",IF(V154="Markdown Review","MARKDOWN_PEER_GAP",IF(V154="Reorder Candidate","REORDER_UPLIFT_COVER","NO_MATERIAL_CHANGE"))))))))</f>
        <v/>
      </c>
      <c r="X154" s="18">
        <f>IF(V154="Markdown Review","Markdown support",IF(V154="Reorder Candidate","Second reorder",IF(V154="Monitor","Monitor",IF(V154="Noise","Hold / collect data",IF(V154="Not Ready","Not ready","")))))</f>
        <v/>
      </c>
      <c r="Y154" s="18">
        <f>IF(OR(R154="",T154=""),"",ABS(R154)+ABS(T154))</f>
        <v/>
      </c>
      <c r="Z154" s="21">
        <f>IF(OR(B154="",NOT(O154),R154=""),"",IF(ABS(R154)&gt;=MaterialThreshold,"Yes","No"))</f>
        <v/>
      </c>
      <c r="AA154" s="18">
        <f>IF(Z154&lt;&gt;"Yes","",IF(ABS(R154)&gt;=MaterialThreshold,IF(ABS(R154)&gt;=BroadShare,"Broad SKU movement","Store-concentrated movement"),""))</f>
        <v/>
      </c>
      <c r="AB154" s="18">
        <f>IF(O154,IF(COUNTIFS($O$5:O154,TRUE)&gt;0,COUNTIFS($O$5:O154,TRUE),0),0)</f>
        <v/>
      </c>
      <c r="AC154" s="18">
        <f>IF(V154="Markdown Review",1,IF(V154="Reorder Candidate",2,IF(V154="Monitor",3,IF(V154="Noise",4,IF(V154="Not Ready",5,99)))))</f>
        <v/>
      </c>
      <c r="AD154" s="18">
        <f>IF(O154,COUNTIFS($O$5:$O$504,TRUE,$AC$5:$AC$504,"&lt;"&amp;AC154)+COUNTIFS($O$5:O154,TRUE,$AC$5:AC154,AC154,$Y$5:Y154,"&gt;"&amp;Y154),0)</f>
        <v/>
      </c>
    </row>
    <row r="155">
      <c r="A155" s="17">
        <f>IF(COUNTA('Weekly Input'!A155:C155)=0,"",'Weekly Input'!B155&amp;"|"&amp;'Weekly Input'!C155&amp;"|"&amp;TEXT('Weekly Input'!A155,"yyyy-mm-dd"))</f>
        <v/>
      </c>
      <c r="B155" s="18">
        <f>'Weekly Input'!B155</f>
        <v/>
      </c>
      <c r="C155" s="18">
        <f>'Weekly Input'!C155</f>
        <v/>
      </c>
      <c r="D155" s="18">
        <f>IF(B155="","",IFERROR(INDEX('Master Data'!$B$6:$B$145,MATCH(B155,'Master Data'!$A$6:$A$145,0)),""))</f>
        <v/>
      </c>
      <c r="E155" s="18">
        <f>IF(C155="","",IFERROR(INDEX('Master Data'!$H$6:$H$13,MATCH(C155,'Master Data'!$F$6:$F$13,0)),""))</f>
        <v/>
      </c>
      <c r="F155" s="19">
        <f>'Weekly Input'!A155</f>
        <v/>
      </c>
      <c r="G155" s="19">
        <f>IF(B155="","",IFERROR(INDEX('Master Data'!$D$6:$D$145,MATCH(B155,'Master Data'!$A$6:$A$145,0)),""))</f>
        <v/>
      </c>
      <c r="H155" s="18">
        <f>IF(OR(F155="",G155=""),"",F155-G155)</f>
        <v/>
      </c>
      <c r="I155" s="18">
        <f>IF(B155="","",IF('Weekly Input'!J155="OK",TRUE,FALSE))</f>
        <v/>
      </c>
      <c r="J155" s="18">
        <f>IF(B155="","",'Weekly Input'!H155&gt;=MinInStockDays)</f>
        <v/>
      </c>
      <c r="K155" s="18">
        <f>IF(B155="","",H155&gt;=FullCycleMin)</f>
        <v/>
      </c>
      <c r="L155" s="18">
        <f>IF(B155="","",AND(I155,J155,K155,N155&gt;=MinHistory))</f>
        <v/>
      </c>
      <c r="M155" s="20">
        <f>IF(OR(B155="",'Weekly Input'!H155=0),"",'Weekly Input'!D155/'Weekly Input'!H155*7)</f>
        <v/>
      </c>
      <c r="N155" s="18">
        <f>IF(B155="","",COUNTIFS($B$5:$B$504,B155,$C$5:$C$504,C155,$I$5:$I$504,TRUE,$J$5:$J$504,TRUE,$K$5:$K$504,TRUE))</f>
        <v/>
      </c>
      <c r="O155" s="18">
        <f>IF(B155="","",AND(F155=AsOfWeek,AsOfWeek&lt;&gt;""))</f>
        <v/>
      </c>
      <c r="P155" s="20">
        <f>IF(OR(B155="",AsOfWeek=""),"",IFERROR(SUMIFS($M$5:$M$504,$B$5:$B$504,B155,$C$5:$C$504,C155,$L$5:$L$504,TRUE,$F$5:$F$504,"&gt;="&amp;AsOfWeek-7*(RecentWeeks-1),$F$5:$F$504,"&lt;="&amp;AsOfWeek),""))</f>
        <v/>
      </c>
      <c r="Q155" s="20">
        <f>IF(OR(B155="",AsOfWeek=""),"",IFERROR(SUMIFS($M$5:$M$504,$B$5:$B$504,B155,$C$5:$C$504,C155,$L$5:$L$504,TRUE,$F$5:$F$504,"&gt;="&amp;AsOfWeek-7*(RecentWeeks+PriorWeeks-1),$F$5:$F$504,"&lt;"&amp;AsOfWeek-7*(RecentWeeks-1)),""))</f>
        <v/>
      </c>
      <c r="R155" s="21">
        <f>IF(OR(P155="",Q155="",Q155=0),"",P155/Q155-1)</f>
        <v/>
      </c>
      <c r="S155" s="20">
        <f>IF(OR(C155="",AsOfWeek=""),"",IFERROR(AVERAGEIFS($M$5:$M$504,$C$5:$C$504,C155,$L$5:$L$504,TRUE,$F$5:$F$504,"&gt;="&amp;AsOfWeek-7*(RecentWeeks-1),$F$5:$F$504,"&lt;="&amp;AsOfWeek),""))</f>
        <v/>
      </c>
      <c r="T155" s="21">
        <f>IF(OR(P155="",S155=""),"",P155/S155-1)</f>
        <v/>
      </c>
      <c r="U155" s="22">
        <f>IF(OR(B155="",'Weekly Input'!G155="",P155="",P155=0),"",'Weekly Input'!G155/P155)</f>
        <v/>
      </c>
      <c r="V155" s="18">
        <f>IF(B155="","",IF(NOT(I155),"Not Ready",IF(NOT(K155),"Not Ready",IF(N155&lt;MinHistory,"Not Ready",IF(NOT(J155),"Not Ready",IF(OR(Q155="",Q155=0),"Noise",IF(Q155&lt;LowBaseThreshold,"Noise",IF(AND(R155&lt;=-OwnDecline,T155&lt;=-PeerGapThreshold),"Markdown Review",IF(AND(R155&gt;=ReorderUplift,U155&lt;&gt;"",U155&lt;=WeeksSupplyCap),"Reorder Candidate","Monitor"))))))))</f>
        <v/>
      </c>
      <c r="W155" s="18">
        <f>IF(B155="","",IF(NOT(I155),"INVALID_MASTER",IF(NOT(K155),"INCOMPLETE_SHELF_CYCLE",IF(N155&lt;MinHistory,"INSUFFICIENT_HISTORY",IF(NOT(J155),"INSUFFICIENT_IN_STOCK",IF(OR(Q155="",Q155=0),"NO_PRIOR_BASE",IF(Q155&lt;LowBaseThreshold,"LOW_BASE_NOISE",IF(V155="Markdown Review","MARKDOWN_PEER_GAP",IF(V155="Reorder Candidate","REORDER_UPLIFT_COVER","NO_MATERIAL_CHANGE"))))))))</f>
        <v/>
      </c>
      <c r="X155" s="18">
        <f>IF(V155="Markdown Review","Markdown support",IF(V155="Reorder Candidate","Second reorder",IF(V155="Monitor","Monitor",IF(V155="Noise","Hold / collect data",IF(V155="Not Ready","Not ready","")))))</f>
        <v/>
      </c>
      <c r="Y155" s="18">
        <f>IF(OR(R155="",T155=""),"",ABS(R155)+ABS(T155))</f>
        <v/>
      </c>
      <c r="Z155" s="21">
        <f>IF(OR(B155="",NOT(O155),R155=""),"",IF(ABS(R155)&gt;=MaterialThreshold,"Yes","No"))</f>
        <v/>
      </c>
      <c r="AA155" s="18">
        <f>IF(Z155&lt;&gt;"Yes","",IF(ABS(R155)&gt;=MaterialThreshold,IF(ABS(R155)&gt;=BroadShare,"Broad SKU movement","Store-concentrated movement"),""))</f>
        <v/>
      </c>
      <c r="AB155" s="18">
        <f>IF(O155,IF(COUNTIFS($O$5:O155,TRUE)&gt;0,COUNTIFS($O$5:O155,TRUE),0),0)</f>
        <v/>
      </c>
      <c r="AC155" s="18">
        <f>IF(V155="Markdown Review",1,IF(V155="Reorder Candidate",2,IF(V155="Monitor",3,IF(V155="Noise",4,IF(V155="Not Ready",5,99)))))</f>
        <v/>
      </c>
      <c r="AD155" s="18">
        <f>IF(O155,COUNTIFS($O$5:$O$504,TRUE,$AC$5:$AC$504,"&lt;"&amp;AC155)+COUNTIFS($O$5:O155,TRUE,$AC$5:AC155,AC155,$Y$5:Y155,"&gt;"&amp;Y155),0)</f>
        <v/>
      </c>
    </row>
    <row r="156">
      <c r="A156" s="17">
        <f>IF(COUNTA('Weekly Input'!A156:C156)=0,"",'Weekly Input'!B156&amp;"|"&amp;'Weekly Input'!C156&amp;"|"&amp;TEXT('Weekly Input'!A156,"yyyy-mm-dd"))</f>
        <v/>
      </c>
      <c r="B156" s="18">
        <f>'Weekly Input'!B156</f>
        <v/>
      </c>
      <c r="C156" s="18">
        <f>'Weekly Input'!C156</f>
        <v/>
      </c>
      <c r="D156" s="18">
        <f>IF(B156="","",IFERROR(INDEX('Master Data'!$B$6:$B$145,MATCH(B156,'Master Data'!$A$6:$A$145,0)),""))</f>
        <v/>
      </c>
      <c r="E156" s="18">
        <f>IF(C156="","",IFERROR(INDEX('Master Data'!$H$6:$H$13,MATCH(C156,'Master Data'!$F$6:$F$13,0)),""))</f>
        <v/>
      </c>
      <c r="F156" s="19">
        <f>'Weekly Input'!A156</f>
        <v/>
      </c>
      <c r="G156" s="19">
        <f>IF(B156="","",IFERROR(INDEX('Master Data'!$D$6:$D$145,MATCH(B156,'Master Data'!$A$6:$A$145,0)),""))</f>
        <v/>
      </c>
      <c r="H156" s="18">
        <f>IF(OR(F156="",G156=""),"",F156-G156)</f>
        <v/>
      </c>
      <c r="I156" s="18">
        <f>IF(B156="","",IF('Weekly Input'!J156="OK",TRUE,FALSE))</f>
        <v/>
      </c>
      <c r="J156" s="18">
        <f>IF(B156="","",'Weekly Input'!H156&gt;=MinInStockDays)</f>
        <v/>
      </c>
      <c r="K156" s="18">
        <f>IF(B156="","",H156&gt;=FullCycleMin)</f>
        <v/>
      </c>
      <c r="L156" s="18">
        <f>IF(B156="","",AND(I156,J156,K156,N156&gt;=MinHistory))</f>
        <v/>
      </c>
      <c r="M156" s="20">
        <f>IF(OR(B156="",'Weekly Input'!H156=0),"",'Weekly Input'!D156/'Weekly Input'!H156*7)</f>
        <v/>
      </c>
      <c r="N156" s="18">
        <f>IF(B156="","",COUNTIFS($B$5:$B$504,B156,$C$5:$C$504,C156,$I$5:$I$504,TRUE,$J$5:$J$504,TRUE,$K$5:$K$504,TRUE))</f>
        <v/>
      </c>
      <c r="O156" s="18">
        <f>IF(B156="","",AND(F156=AsOfWeek,AsOfWeek&lt;&gt;""))</f>
        <v/>
      </c>
      <c r="P156" s="20">
        <f>IF(OR(B156="",AsOfWeek=""),"",IFERROR(SUMIFS($M$5:$M$504,$B$5:$B$504,B156,$C$5:$C$504,C156,$L$5:$L$504,TRUE,$F$5:$F$504,"&gt;="&amp;AsOfWeek-7*(RecentWeeks-1),$F$5:$F$504,"&lt;="&amp;AsOfWeek),""))</f>
        <v/>
      </c>
      <c r="Q156" s="20">
        <f>IF(OR(B156="",AsOfWeek=""),"",IFERROR(SUMIFS($M$5:$M$504,$B$5:$B$504,B156,$C$5:$C$504,C156,$L$5:$L$504,TRUE,$F$5:$F$504,"&gt;="&amp;AsOfWeek-7*(RecentWeeks+PriorWeeks-1),$F$5:$F$504,"&lt;"&amp;AsOfWeek-7*(RecentWeeks-1)),""))</f>
        <v/>
      </c>
      <c r="R156" s="21">
        <f>IF(OR(P156="",Q156="",Q156=0),"",P156/Q156-1)</f>
        <v/>
      </c>
      <c r="S156" s="20">
        <f>IF(OR(C156="",AsOfWeek=""),"",IFERROR(AVERAGEIFS($M$5:$M$504,$C$5:$C$504,C156,$L$5:$L$504,TRUE,$F$5:$F$504,"&gt;="&amp;AsOfWeek-7*(RecentWeeks-1),$F$5:$F$504,"&lt;="&amp;AsOfWeek),""))</f>
        <v/>
      </c>
      <c r="T156" s="21">
        <f>IF(OR(P156="",S156=""),"",P156/S156-1)</f>
        <v/>
      </c>
      <c r="U156" s="22">
        <f>IF(OR(B156="",'Weekly Input'!G156="",P156="",P156=0),"",'Weekly Input'!G156/P156)</f>
        <v/>
      </c>
      <c r="V156" s="18">
        <f>IF(B156="","",IF(NOT(I156),"Not Ready",IF(NOT(K156),"Not Ready",IF(N156&lt;MinHistory,"Not Ready",IF(NOT(J156),"Not Ready",IF(OR(Q156="",Q156=0),"Noise",IF(Q156&lt;LowBaseThreshold,"Noise",IF(AND(R156&lt;=-OwnDecline,T156&lt;=-PeerGapThreshold),"Markdown Review",IF(AND(R156&gt;=ReorderUplift,U156&lt;&gt;"",U156&lt;=WeeksSupplyCap),"Reorder Candidate","Monitor"))))))))</f>
        <v/>
      </c>
      <c r="W156" s="18">
        <f>IF(B156="","",IF(NOT(I156),"INVALID_MASTER",IF(NOT(K156),"INCOMPLETE_SHELF_CYCLE",IF(N156&lt;MinHistory,"INSUFFICIENT_HISTORY",IF(NOT(J156),"INSUFFICIENT_IN_STOCK",IF(OR(Q156="",Q156=0),"NO_PRIOR_BASE",IF(Q156&lt;LowBaseThreshold,"LOW_BASE_NOISE",IF(V156="Markdown Review","MARKDOWN_PEER_GAP",IF(V156="Reorder Candidate","REORDER_UPLIFT_COVER","NO_MATERIAL_CHANGE"))))))))</f>
        <v/>
      </c>
      <c r="X156" s="18">
        <f>IF(V156="Markdown Review","Markdown support",IF(V156="Reorder Candidate","Second reorder",IF(V156="Monitor","Monitor",IF(V156="Noise","Hold / collect data",IF(V156="Not Ready","Not ready","")))))</f>
        <v/>
      </c>
      <c r="Y156" s="18">
        <f>IF(OR(R156="",T156=""),"",ABS(R156)+ABS(T156))</f>
        <v/>
      </c>
      <c r="Z156" s="21">
        <f>IF(OR(B156="",NOT(O156),R156=""),"",IF(ABS(R156)&gt;=MaterialThreshold,"Yes","No"))</f>
        <v/>
      </c>
      <c r="AA156" s="18">
        <f>IF(Z156&lt;&gt;"Yes","",IF(ABS(R156)&gt;=MaterialThreshold,IF(ABS(R156)&gt;=BroadShare,"Broad SKU movement","Store-concentrated movement"),""))</f>
        <v/>
      </c>
      <c r="AB156" s="18">
        <f>IF(O156,IF(COUNTIFS($O$5:O156,TRUE)&gt;0,COUNTIFS($O$5:O156,TRUE),0),0)</f>
        <v/>
      </c>
      <c r="AC156" s="18">
        <f>IF(V156="Markdown Review",1,IF(V156="Reorder Candidate",2,IF(V156="Monitor",3,IF(V156="Noise",4,IF(V156="Not Ready",5,99)))))</f>
        <v/>
      </c>
      <c r="AD156" s="18">
        <f>IF(O156,COUNTIFS($O$5:$O$504,TRUE,$AC$5:$AC$504,"&lt;"&amp;AC156)+COUNTIFS($O$5:O156,TRUE,$AC$5:AC156,AC156,$Y$5:Y156,"&gt;"&amp;Y156),0)</f>
        <v/>
      </c>
    </row>
    <row r="157">
      <c r="A157" s="17">
        <f>IF(COUNTA('Weekly Input'!A157:C157)=0,"",'Weekly Input'!B157&amp;"|"&amp;'Weekly Input'!C157&amp;"|"&amp;TEXT('Weekly Input'!A157,"yyyy-mm-dd"))</f>
        <v/>
      </c>
      <c r="B157" s="18">
        <f>'Weekly Input'!B157</f>
        <v/>
      </c>
      <c r="C157" s="18">
        <f>'Weekly Input'!C157</f>
        <v/>
      </c>
      <c r="D157" s="18">
        <f>IF(B157="","",IFERROR(INDEX('Master Data'!$B$6:$B$145,MATCH(B157,'Master Data'!$A$6:$A$145,0)),""))</f>
        <v/>
      </c>
      <c r="E157" s="18">
        <f>IF(C157="","",IFERROR(INDEX('Master Data'!$H$6:$H$13,MATCH(C157,'Master Data'!$F$6:$F$13,0)),""))</f>
        <v/>
      </c>
      <c r="F157" s="19">
        <f>'Weekly Input'!A157</f>
        <v/>
      </c>
      <c r="G157" s="19">
        <f>IF(B157="","",IFERROR(INDEX('Master Data'!$D$6:$D$145,MATCH(B157,'Master Data'!$A$6:$A$145,0)),""))</f>
        <v/>
      </c>
      <c r="H157" s="18">
        <f>IF(OR(F157="",G157=""),"",F157-G157)</f>
        <v/>
      </c>
      <c r="I157" s="18">
        <f>IF(B157="","",IF('Weekly Input'!J157="OK",TRUE,FALSE))</f>
        <v/>
      </c>
      <c r="J157" s="18">
        <f>IF(B157="","",'Weekly Input'!H157&gt;=MinInStockDays)</f>
        <v/>
      </c>
      <c r="K157" s="18">
        <f>IF(B157="","",H157&gt;=FullCycleMin)</f>
        <v/>
      </c>
      <c r="L157" s="18">
        <f>IF(B157="","",AND(I157,J157,K157,N157&gt;=MinHistory))</f>
        <v/>
      </c>
      <c r="M157" s="20">
        <f>IF(OR(B157="",'Weekly Input'!H157=0),"",'Weekly Input'!D157/'Weekly Input'!H157*7)</f>
        <v/>
      </c>
      <c r="N157" s="18">
        <f>IF(B157="","",COUNTIFS($B$5:$B$504,B157,$C$5:$C$504,C157,$I$5:$I$504,TRUE,$J$5:$J$504,TRUE,$K$5:$K$504,TRUE))</f>
        <v/>
      </c>
      <c r="O157" s="18">
        <f>IF(B157="","",AND(F157=AsOfWeek,AsOfWeek&lt;&gt;""))</f>
        <v/>
      </c>
      <c r="P157" s="20">
        <f>IF(OR(B157="",AsOfWeek=""),"",IFERROR(SUMIFS($M$5:$M$504,$B$5:$B$504,B157,$C$5:$C$504,C157,$L$5:$L$504,TRUE,$F$5:$F$504,"&gt;="&amp;AsOfWeek-7*(RecentWeeks-1),$F$5:$F$504,"&lt;="&amp;AsOfWeek),""))</f>
        <v/>
      </c>
      <c r="Q157" s="20">
        <f>IF(OR(B157="",AsOfWeek=""),"",IFERROR(SUMIFS($M$5:$M$504,$B$5:$B$504,B157,$C$5:$C$504,C157,$L$5:$L$504,TRUE,$F$5:$F$504,"&gt;="&amp;AsOfWeek-7*(RecentWeeks+PriorWeeks-1),$F$5:$F$504,"&lt;"&amp;AsOfWeek-7*(RecentWeeks-1)),""))</f>
        <v/>
      </c>
      <c r="R157" s="21">
        <f>IF(OR(P157="",Q157="",Q157=0),"",P157/Q157-1)</f>
        <v/>
      </c>
      <c r="S157" s="20">
        <f>IF(OR(C157="",AsOfWeek=""),"",IFERROR(AVERAGEIFS($M$5:$M$504,$C$5:$C$504,C157,$L$5:$L$504,TRUE,$F$5:$F$504,"&gt;="&amp;AsOfWeek-7*(RecentWeeks-1),$F$5:$F$504,"&lt;="&amp;AsOfWeek),""))</f>
        <v/>
      </c>
      <c r="T157" s="21">
        <f>IF(OR(P157="",S157=""),"",P157/S157-1)</f>
        <v/>
      </c>
      <c r="U157" s="22">
        <f>IF(OR(B157="",'Weekly Input'!G157="",P157="",P157=0),"",'Weekly Input'!G157/P157)</f>
        <v/>
      </c>
      <c r="V157" s="18">
        <f>IF(B157="","",IF(NOT(I157),"Not Ready",IF(NOT(K157),"Not Ready",IF(N157&lt;MinHistory,"Not Ready",IF(NOT(J157),"Not Ready",IF(OR(Q157="",Q157=0),"Noise",IF(Q157&lt;LowBaseThreshold,"Noise",IF(AND(R157&lt;=-OwnDecline,T157&lt;=-PeerGapThreshold),"Markdown Review",IF(AND(R157&gt;=ReorderUplift,U157&lt;&gt;"",U157&lt;=WeeksSupplyCap),"Reorder Candidate","Monitor"))))))))</f>
        <v/>
      </c>
      <c r="W157" s="18">
        <f>IF(B157="","",IF(NOT(I157),"INVALID_MASTER",IF(NOT(K157),"INCOMPLETE_SHELF_CYCLE",IF(N157&lt;MinHistory,"INSUFFICIENT_HISTORY",IF(NOT(J157),"INSUFFICIENT_IN_STOCK",IF(OR(Q157="",Q157=0),"NO_PRIOR_BASE",IF(Q157&lt;LowBaseThreshold,"LOW_BASE_NOISE",IF(V157="Markdown Review","MARKDOWN_PEER_GAP",IF(V157="Reorder Candidate","REORDER_UPLIFT_COVER","NO_MATERIAL_CHANGE"))))))))</f>
        <v/>
      </c>
      <c r="X157" s="18">
        <f>IF(V157="Markdown Review","Markdown support",IF(V157="Reorder Candidate","Second reorder",IF(V157="Monitor","Monitor",IF(V157="Noise","Hold / collect data",IF(V157="Not Ready","Not ready","")))))</f>
        <v/>
      </c>
      <c r="Y157" s="18">
        <f>IF(OR(R157="",T157=""),"",ABS(R157)+ABS(T157))</f>
        <v/>
      </c>
      <c r="Z157" s="21">
        <f>IF(OR(B157="",NOT(O157),R157=""),"",IF(ABS(R157)&gt;=MaterialThreshold,"Yes","No"))</f>
        <v/>
      </c>
      <c r="AA157" s="18">
        <f>IF(Z157&lt;&gt;"Yes","",IF(ABS(R157)&gt;=MaterialThreshold,IF(ABS(R157)&gt;=BroadShare,"Broad SKU movement","Store-concentrated movement"),""))</f>
        <v/>
      </c>
      <c r="AB157" s="18">
        <f>IF(O157,IF(COUNTIFS($O$5:O157,TRUE)&gt;0,COUNTIFS($O$5:O157,TRUE),0),0)</f>
        <v/>
      </c>
      <c r="AC157" s="18">
        <f>IF(V157="Markdown Review",1,IF(V157="Reorder Candidate",2,IF(V157="Monitor",3,IF(V157="Noise",4,IF(V157="Not Ready",5,99)))))</f>
        <v/>
      </c>
      <c r="AD157" s="18">
        <f>IF(O157,COUNTIFS($O$5:$O$504,TRUE,$AC$5:$AC$504,"&lt;"&amp;AC157)+COUNTIFS($O$5:O157,TRUE,$AC$5:AC157,AC157,$Y$5:Y157,"&gt;"&amp;Y157),0)</f>
        <v/>
      </c>
    </row>
    <row r="158">
      <c r="A158" s="17">
        <f>IF(COUNTA('Weekly Input'!A158:C158)=0,"",'Weekly Input'!B158&amp;"|"&amp;'Weekly Input'!C158&amp;"|"&amp;TEXT('Weekly Input'!A158,"yyyy-mm-dd"))</f>
        <v/>
      </c>
      <c r="B158" s="18">
        <f>'Weekly Input'!B158</f>
        <v/>
      </c>
      <c r="C158" s="18">
        <f>'Weekly Input'!C158</f>
        <v/>
      </c>
      <c r="D158" s="18">
        <f>IF(B158="","",IFERROR(INDEX('Master Data'!$B$6:$B$145,MATCH(B158,'Master Data'!$A$6:$A$145,0)),""))</f>
        <v/>
      </c>
      <c r="E158" s="18">
        <f>IF(C158="","",IFERROR(INDEX('Master Data'!$H$6:$H$13,MATCH(C158,'Master Data'!$F$6:$F$13,0)),""))</f>
        <v/>
      </c>
      <c r="F158" s="19">
        <f>'Weekly Input'!A158</f>
        <v/>
      </c>
      <c r="G158" s="19">
        <f>IF(B158="","",IFERROR(INDEX('Master Data'!$D$6:$D$145,MATCH(B158,'Master Data'!$A$6:$A$145,0)),""))</f>
        <v/>
      </c>
      <c r="H158" s="18">
        <f>IF(OR(F158="",G158=""),"",F158-G158)</f>
        <v/>
      </c>
      <c r="I158" s="18">
        <f>IF(B158="","",IF('Weekly Input'!J158="OK",TRUE,FALSE))</f>
        <v/>
      </c>
      <c r="J158" s="18">
        <f>IF(B158="","",'Weekly Input'!H158&gt;=MinInStockDays)</f>
        <v/>
      </c>
      <c r="K158" s="18">
        <f>IF(B158="","",H158&gt;=FullCycleMin)</f>
        <v/>
      </c>
      <c r="L158" s="18">
        <f>IF(B158="","",AND(I158,J158,K158,N158&gt;=MinHistory))</f>
        <v/>
      </c>
      <c r="M158" s="20">
        <f>IF(OR(B158="",'Weekly Input'!H158=0),"",'Weekly Input'!D158/'Weekly Input'!H158*7)</f>
        <v/>
      </c>
      <c r="N158" s="18">
        <f>IF(B158="","",COUNTIFS($B$5:$B$504,B158,$C$5:$C$504,C158,$I$5:$I$504,TRUE,$J$5:$J$504,TRUE,$K$5:$K$504,TRUE))</f>
        <v/>
      </c>
      <c r="O158" s="18">
        <f>IF(B158="","",AND(F158=AsOfWeek,AsOfWeek&lt;&gt;""))</f>
        <v/>
      </c>
      <c r="P158" s="20">
        <f>IF(OR(B158="",AsOfWeek=""),"",IFERROR(SUMIFS($M$5:$M$504,$B$5:$B$504,B158,$C$5:$C$504,C158,$L$5:$L$504,TRUE,$F$5:$F$504,"&gt;="&amp;AsOfWeek-7*(RecentWeeks-1),$F$5:$F$504,"&lt;="&amp;AsOfWeek),""))</f>
        <v/>
      </c>
      <c r="Q158" s="20">
        <f>IF(OR(B158="",AsOfWeek=""),"",IFERROR(SUMIFS($M$5:$M$504,$B$5:$B$504,B158,$C$5:$C$504,C158,$L$5:$L$504,TRUE,$F$5:$F$504,"&gt;="&amp;AsOfWeek-7*(RecentWeeks+PriorWeeks-1),$F$5:$F$504,"&lt;"&amp;AsOfWeek-7*(RecentWeeks-1)),""))</f>
        <v/>
      </c>
      <c r="R158" s="21">
        <f>IF(OR(P158="",Q158="",Q158=0),"",P158/Q158-1)</f>
        <v/>
      </c>
      <c r="S158" s="20">
        <f>IF(OR(C158="",AsOfWeek=""),"",IFERROR(AVERAGEIFS($M$5:$M$504,$C$5:$C$504,C158,$L$5:$L$504,TRUE,$F$5:$F$504,"&gt;="&amp;AsOfWeek-7*(RecentWeeks-1),$F$5:$F$504,"&lt;="&amp;AsOfWeek),""))</f>
        <v/>
      </c>
      <c r="T158" s="21">
        <f>IF(OR(P158="",S158=""),"",P158/S158-1)</f>
        <v/>
      </c>
      <c r="U158" s="22">
        <f>IF(OR(B158="",'Weekly Input'!G158="",P158="",P158=0),"",'Weekly Input'!G158/P158)</f>
        <v/>
      </c>
      <c r="V158" s="18">
        <f>IF(B158="","",IF(NOT(I158),"Not Ready",IF(NOT(K158),"Not Ready",IF(N158&lt;MinHistory,"Not Ready",IF(NOT(J158),"Not Ready",IF(OR(Q158="",Q158=0),"Noise",IF(Q158&lt;LowBaseThreshold,"Noise",IF(AND(R158&lt;=-OwnDecline,T158&lt;=-PeerGapThreshold),"Markdown Review",IF(AND(R158&gt;=ReorderUplift,U158&lt;&gt;"",U158&lt;=WeeksSupplyCap),"Reorder Candidate","Monitor"))))))))</f>
        <v/>
      </c>
      <c r="W158" s="18">
        <f>IF(B158="","",IF(NOT(I158),"INVALID_MASTER",IF(NOT(K158),"INCOMPLETE_SHELF_CYCLE",IF(N158&lt;MinHistory,"INSUFFICIENT_HISTORY",IF(NOT(J158),"INSUFFICIENT_IN_STOCK",IF(OR(Q158="",Q158=0),"NO_PRIOR_BASE",IF(Q158&lt;LowBaseThreshold,"LOW_BASE_NOISE",IF(V158="Markdown Review","MARKDOWN_PEER_GAP",IF(V158="Reorder Candidate","REORDER_UPLIFT_COVER","NO_MATERIAL_CHANGE"))))))))</f>
        <v/>
      </c>
      <c r="X158" s="18">
        <f>IF(V158="Markdown Review","Markdown support",IF(V158="Reorder Candidate","Second reorder",IF(V158="Monitor","Monitor",IF(V158="Noise","Hold / collect data",IF(V158="Not Ready","Not ready","")))))</f>
        <v/>
      </c>
      <c r="Y158" s="18">
        <f>IF(OR(R158="",T158=""),"",ABS(R158)+ABS(T158))</f>
        <v/>
      </c>
      <c r="Z158" s="21">
        <f>IF(OR(B158="",NOT(O158),R158=""),"",IF(ABS(R158)&gt;=MaterialThreshold,"Yes","No"))</f>
        <v/>
      </c>
      <c r="AA158" s="18">
        <f>IF(Z158&lt;&gt;"Yes","",IF(ABS(R158)&gt;=MaterialThreshold,IF(ABS(R158)&gt;=BroadShare,"Broad SKU movement","Store-concentrated movement"),""))</f>
        <v/>
      </c>
      <c r="AB158" s="18">
        <f>IF(O158,IF(COUNTIFS($O$5:O158,TRUE)&gt;0,COUNTIFS($O$5:O158,TRUE),0),0)</f>
        <v/>
      </c>
      <c r="AC158" s="18">
        <f>IF(V158="Markdown Review",1,IF(V158="Reorder Candidate",2,IF(V158="Monitor",3,IF(V158="Noise",4,IF(V158="Not Ready",5,99)))))</f>
        <v/>
      </c>
      <c r="AD158" s="18">
        <f>IF(O158,COUNTIFS($O$5:$O$504,TRUE,$AC$5:$AC$504,"&lt;"&amp;AC158)+COUNTIFS($O$5:O158,TRUE,$AC$5:AC158,AC158,$Y$5:Y158,"&gt;"&amp;Y158),0)</f>
        <v/>
      </c>
    </row>
    <row r="159">
      <c r="A159" s="17">
        <f>IF(COUNTA('Weekly Input'!A159:C159)=0,"",'Weekly Input'!B159&amp;"|"&amp;'Weekly Input'!C159&amp;"|"&amp;TEXT('Weekly Input'!A159,"yyyy-mm-dd"))</f>
        <v/>
      </c>
      <c r="B159" s="18">
        <f>'Weekly Input'!B159</f>
        <v/>
      </c>
      <c r="C159" s="18">
        <f>'Weekly Input'!C159</f>
        <v/>
      </c>
      <c r="D159" s="18">
        <f>IF(B159="","",IFERROR(INDEX('Master Data'!$B$6:$B$145,MATCH(B159,'Master Data'!$A$6:$A$145,0)),""))</f>
        <v/>
      </c>
      <c r="E159" s="18">
        <f>IF(C159="","",IFERROR(INDEX('Master Data'!$H$6:$H$13,MATCH(C159,'Master Data'!$F$6:$F$13,0)),""))</f>
        <v/>
      </c>
      <c r="F159" s="19">
        <f>'Weekly Input'!A159</f>
        <v/>
      </c>
      <c r="G159" s="19">
        <f>IF(B159="","",IFERROR(INDEX('Master Data'!$D$6:$D$145,MATCH(B159,'Master Data'!$A$6:$A$145,0)),""))</f>
        <v/>
      </c>
      <c r="H159" s="18">
        <f>IF(OR(F159="",G159=""),"",F159-G159)</f>
        <v/>
      </c>
      <c r="I159" s="18">
        <f>IF(B159="","",IF('Weekly Input'!J159="OK",TRUE,FALSE))</f>
        <v/>
      </c>
      <c r="J159" s="18">
        <f>IF(B159="","",'Weekly Input'!H159&gt;=MinInStockDays)</f>
        <v/>
      </c>
      <c r="K159" s="18">
        <f>IF(B159="","",H159&gt;=FullCycleMin)</f>
        <v/>
      </c>
      <c r="L159" s="18">
        <f>IF(B159="","",AND(I159,J159,K159,N159&gt;=MinHistory))</f>
        <v/>
      </c>
      <c r="M159" s="20">
        <f>IF(OR(B159="",'Weekly Input'!H159=0),"",'Weekly Input'!D159/'Weekly Input'!H159*7)</f>
        <v/>
      </c>
      <c r="N159" s="18">
        <f>IF(B159="","",COUNTIFS($B$5:$B$504,B159,$C$5:$C$504,C159,$I$5:$I$504,TRUE,$J$5:$J$504,TRUE,$K$5:$K$504,TRUE))</f>
        <v/>
      </c>
      <c r="O159" s="18">
        <f>IF(B159="","",AND(F159=AsOfWeek,AsOfWeek&lt;&gt;""))</f>
        <v/>
      </c>
      <c r="P159" s="20">
        <f>IF(OR(B159="",AsOfWeek=""),"",IFERROR(SUMIFS($M$5:$M$504,$B$5:$B$504,B159,$C$5:$C$504,C159,$L$5:$L$504,TRUE,$F$5:$F$504,"&gt;="&amp;AsOfWeek-7*(RecentWeeks-1),$F$5:$F$504,"&lt;="&amp;AsOfWeek),""))</f>
        <v/>
      </c>
      <c r="Q159" s="20">
        <f>IF(OR(B159="",AsOfWeek=""),"",IFERROR(SUMIFS($M$5:$M$504,$B$5:$B$504,B159,$C$5:$C$504,C159,$L$5:$L$504,TRUE,$F$5:$F$504,"&gt;="&amp;AsOfWeek-7*(RecentWeeks+PriorWeeks-1),$F$5:$F$504,"&lt;"&amp;AsOfWeek-7*(RecentWeeks-1)),""))</f>
        <v/>
      </c>
      <c r="R159" s="21">
        <f>IF(OR(P159="",Q159="",Q159=0),"",P159/Q159-1)</f>
        <v/>
      </c>
      <c r="S159" s="20">
        <f>IF(OR(C159="",AsOfWeek=""),"",IFERROR(AVERAGEIFS($M$5:$M$504,$C$5:$C$504,C159,$L$5:$L$504,TRUE,$F$5:$F$504,"&gt;="&amp;AsOfWeek-7*(RecentWeeks-1),$F$5:$F$504,"&lt;="&amp;AsOfWeek),""))</f>
        <v/>
      </c>
      <c r="T159" s="21">
        <f>IF(OR(P159="",S159=""),"",P159/S159-1)</f>
        <v/>
      </c>
      <c r="U159" s="22">
        <f>IF(OR(B159="",'Weekly Input'!G159="",P159="",P159=0),"",'Weekly Input'!G159/P159)</f>
        <v/>
      </c>
      <c r="V159" s="18">
        <f>IF(B159="","",IF(NOT(I159),"Not Ready",IF(NOT(K159),"Not Ready",IF(N159&lt;MinHistory,"Not Ready",IF(NOT(J159),"Not Ready",IF(OR(Q159="",Q159=0),"Noise",IF(Q159&lt;LowBaseThreshold,"Noise",IF(AND(R159&lt;=-OwnDecline,T159&lt;=-PeerGapThreshold),"Markdown Review",IF(AND(R159&gt;=ReorderUplift,U159&lt;&gt;"",U159&lt;=WeeksSupplyCap),"Reorder Candidate","Monitor"))))))))</f>
        <v/>
      </c>
      <c r="W159" s="18">
        <f>IF(B159="","",IF(NOT(I159),"INVALID_MASTER",IF(NOT(K159),"INCOMPLETE_SHELF_CYCLE",IF(N159&lt;MinHistory,"INSUFFICIENT_HISTORY",IF(NOT(J159),"INSUFFICIENT_IN_STOCK",IF(OR(Q159="",Q159=0),"NO_PRIOR_BASE",IF(Q159&lt;LowBaseThreshold,"LOW_BASE_NOISE",IF(V159="Markdown Review","MARKDOWN_PEER_GAP",IF(V159="Reorder Candidate","REORDER_UPLIFT_COVER","NO_MATERIAL_CHANGE"))))))))</f>
        <v/>
      </c>
      <c r="X159" s="18">
        <f>IF(V159="Markdown Review","Markdown support",IF(V159="Reorder Candidate","Second reorder",IF(V159="Monitor","Monitor",IF(V159="Noise","Hold / collect data",IF(V159="Not Ready","Not ready","")))))</f>
        <v/>
      </c>
      <c r="Y159" s="18">
        <f>IF(OR(R159="",T159=""),"",ABS(R159)+ABS(T159))</f>
        <v/>
      </c>
      <c r="Z159" s="21">
        <f>IF(OR(B159="",NOT(O159),R159=""),"",IF(ABS(R159)&gt;=MaterialThreshold,"Yes","No"))</f>
        <v/>
      </c>
      <c r="AA159" s="18">
        <f>IF(Z159&lt;&gt;"Yes","",IF(ABS(R159)&gt;=MaterialThreshold,IF(ABS(R159)&gt;=BroadShare,"Broad SKU movement","Store-concentrated movement"),""))</f>
        <v/>
      </c>
      <c r="AB159" s="18">
        <f>IF(O159,IF(COUNTIFS($O$5:O159,TRUE)&gt;0,COUNTIFS($O$5:O159,TRUE),0),0)</f>
        <v/>
      </c>
      <c r="AC159" s="18">
        <f>IF(V159="Markdown Review",1,IF(V159="Reorder Candidate",2,IF(V159="Monitor",3,IF(V159="Noise",4,IF(V159="Not Ready",5,99)))))</f>
        <v/>
      </c>
      <c r="AD159" s="18">
        <f>IF(O159,COUNTIFS($O$5:$O$504,TRUE,$AC$5:$AC$504,"&lt;"&amp;AC159)+COUNTIFS($O$5:O159,TRUE,$AC$5:AC159,AC159,$Y$5:Y159,"&gt;"&amp;Y159),0)</f>
        <v/>
      </c>
    </row>
    <row r="160">
      <c r="A160" s="17">
        <f>IF(COUNTA('Weekly Input'!A160:C160)=0,"",'Weekly Input'!B160&amp;"|"&amp;'Weekly Input'!C160&amp;"|"&amp;TEXT('Weekly Input'!A160,"yyyy-mm-dd"))</f>
        <v/>
      </c>
      <c r="B160" s="18">
        <f>'Weekly Input'!B160</f>
        <v/>
      </c>
      <c r="C160" s="18">
        <f>'Weekly Input'!C160</f>
        <v/>
      </c>
      <c r="D160" s="18">
        <f>IF(B160="","",IFERROR(INDEX('Master Data'!$B$6:$B$145,MATCH(B160,'Master Data'!$A$6:$A$145,0)),""))</f>
        <v/>
      </c>
      <c r="E160" s="18">
        <f>IF(C160="","",IFERROR(INDEX('Master Data'!$H$6:$H$13,MATCH(C160,'Master Data'!$F$6:$F$13,0)),""))</f>
        <v/>
      </c>
      <c r="F160" s="19">
        <f>'Weekly Input'!A160</f>
        <v/>
      </c>
      <c r="G160" s="19">
        <f>IF(B160="","",IFERROR(INDEX('Master Data'!$D$6:$D$145,MATCH(B160,'Master Data'!$A$6:$A$145,0)),""))</f>
        <v/>
      </c>
      <c r="H160" s="18">
        <f>IF(OR(F160="",G160=""),"",F160-G160)</f>
        <v/>
      </c>
      <c r="I160" s="18">
        <f>IF(B160="","",IF('Weekly Input'!J160="OK",TRUE,FALSE))</f>
        <v/>
      </c>
      <c r="J160" s="18">
        <f>IF(B160="","",'Weekly Input'!H160&gt;=MinInStockDays)</f>
        <v/>
      </c>
      <c r="K160" s="18">
        <f>IF(B160="","",H160&gt;=FullCycleMin)</f>
        <v/>
      </c>
      <c r="L160" s="18">
        <f>IF(B160="","",AND(I160,J160,K160,N160&gt;=MinHistory))</f>
        <v/>
      </c>
      <c r="M160" s="20">
        <f>IF(OR(B160="",'Weekly Input'!H160=0),"",'Weekly Input'!D160/'Weekly Input'!H160*7)</f>
        <v/>
      </c>
      <c r="N160" s="18">
        <f>IF(B160="","",COUNTIFS($B$5:$B$504,B160,$C$5:$C$504,C160,$I$5:$I$504,TRUE,$J$5:$J$504,TRUE,$K$5:$K$504,TRUE))</f>
        <v/>
      </c>
      <c r="O160" s="18">
        <f>IF(B160="","",AND(F160=AsOfWeek,AsOfWeek&lt;&gt;""))</f>
        <v/>
      </c>
      <c r="P160" s="20">
        <f>IF(OR(B160="",AsOfWeek=""),"",IFERROR(SUMIFS($M$5:$M$504,$B$5:$B$504,B160,$C$5:$C$504,C160,$L$5:$L$504,TRUE,$F$5:$F$504,"&gt;="&amp;AsOfWeek-7*(RecentWeeks-1),$F$5:$F$504,"&lt;="&amp;AsOfWeek),""))</f>
        <v/>
      </c>
      <c r="Q160" s="20">
        <f>IF(OR(B160="",AsOfWeek=""),"",IFERROR(SUMIFS($M$5:$M$504,$B$5:$B$504,B160,$C$5:$C$504,C160,$L$5:$L$504,TRUE,$F$5:$F$504,"&gt;="&amp;AsOfWeek-7*(RecentWeeks+PriorWeeks-1),$F$5:$F$504,"&lt;"&amp;AsOfWeek-7*(RecentWeeks-1)),""))</f>
        <v/>
      </c>
      <c r="R160" s="21">
        <f>IF(OR(P160="",Q160="",Q160=0),"",P160/Q160-1)</f>
        <v/>
      </c>
      <c r="S160" s="20">
        <f>IF(OR(C160="",AsOfWeek=""),"",IFERROR(AVERAGEIFS($M$5:$M$504,$C$5:$C$504,C160,$L$5:$L$504,TRUE,$F$5:$F$504,"&gt;="&amp;AsOfWeek-7*(RecentWeeks-1),$F$5:$F$504,"&lt;="&amp;AsOfWeek),""))</f>
        <v/>
      </c>
      <c r="T160" s="21">
        <f>IF(OR(P160="",S160=""),"",P160/S160-1)</f>
        <v/>
      </c>
      <c r="U160" s="22">
        <f>IF(OR(B160="",'Weekly Input'!G160="",P160="",P160=0),"",'Weekly Input'!G160/P160)</f>
        <v/>
      </c>
      <c r="V160" s="18">
        <f>IF(B160="","",IF(NOT(I160),"Not Ready",IF(NOT(K160),"Not Ready",IF(N160&lt;MinHistory,"Not Ready",IF(NOT(J160),"Not Ready",IF(OR(Q160="",Q160=0),"Noise",IF(Q160&lt;LowBaseThreshold,"Noise",IF(AND(R160&lt;=-OwnDecline,T160&lt;=-PeerGapThreshold),"Markdown Review",IF(AND(R160&gt;=ReorderUplift,U160&lt;&gt;"",U160&lt;=WeeksSupplyCap),"Reorder Candidate","Monitor"))))))))</f>
        <v/>
      </c>
      <c r="W160" s="18">
        <f>IF(B160="","",IF(NOT(I160),"INVALID_MASTER",IF(NOT(K160),"INCOMPLETE_SHELF_CYCLE",IF(N160&lt;MinHistory,"INSUFFICIENT_HISTORY",IF(NOT(J160),"INSUFFICIENT_IN_STOCK",IF(OR(Q160="",Q160=0),"NO_PRIOR_BASE",IF(Q160&lt;LowBaseThreshold,"LOW_BASE_NOISE",IF(V160="Markdown Review","MARKDOWN_PEER_GAP",IF(V160="Reorder Candidate","REORDER_UPLIFT_COVER","NO_MATERIAL_CHANGE"))))))))</f>
        <v/>
      </c>
      <c r="X160" s="18">
        <f>IF(V160="Markdown Review","Markdown support",IF(V160="Reorder Candidate","Second reorder",IF(V160="Monitor","Monitor",IF(V160="Noise","Hold / collect data",IF(V160="Not Ready","Not ready","")))))</f>
        <v/>
      </c>
      <c r="Y160" s="18">
        <f>IF(OR(R160="",T160=""),"",ABS(R160)+ABS(T160))</f>
        <v/>
      </c>
      <c r="Z160" s="21">
        <f>IF(OR(B160="",NOT(O160),R160=""),"",IF(ABS(R160)&gt;=MaterialThreshold,"Yes","No"))</f>
        <v/>
      </c>
      <c r="AA160" s="18">
        <f>IF(Z160&lt;&gt;"Yes","",IF(ABS(R160)&gt;=MaterialThreshold,IF(ABS(R160)&gt;=BroadShare,"Broad SKU movement","Store-concentrated movement"),""))</f>
        <v/>
      </c>
      <c r="AB160" s="18">
        <f>IF(O160,IF(COUNTIFS($O$5:O160,TRUE)&gt;0,COUNTIFS($O$5:O160,TRUE),0),0)</f>
        <v/>
      </c>
      <c r="AC160" s="18">
        <f>IF(V160="Markdown Review",1,IF(V160="Reorder Candidate",2,IF(V160="Monitor",3,IF(V160="Noise",4,IF(V160="Not Ready",5,99)))))</f>
        <v/>
      </c>
      <c r="AD160" s="18">
        <f>IF(O160,COUNTIFS($O$5:$O$504,TRUE,$AC$5:$AC$504,"&lt;"&amp;AC160)+COUNTIFS($O$5:O160,TRUE,$AC$5:AC160,AC160,$Y$5:Y160,"&gt;"&amp;Y160),0)</f>
        <v/>
      </c>
    </row>
    <row r="161">
      <c r="A161" s="17">
        <f>IF(COUNTA('Weekly Input'!A161:C161)=0,"",'Weekly Input'!B161&amp;"|"&amp;'Weekly Input'!C161&amp;"|"&amp;TEXT('Weekly Input'!A161,"yyyy-mm-dd"))</f>
        <v/>
      </c>
      <c r="B161" s="18">
        <f>'Weekly Input'!B161</f>
        <v/>
      </c>
      <c r="C161" s="18">
        <f>'Weekly Input'!C161</f>
        <v/>
      </c>
      <c r="D161" s="18">
        <f>IF(B161="","",IFERROR(INDEX('Master Data'!$B$6:$B$145,MATCH(B161,'Master Data'!$A$6:$A$145,0)),""))</f>
        <v/>
      </c>
      <c r="E161" s="18">
        <f>IF(C161="","",IFERROR(INDEX('Master Data'!$H$6:$H$13,MATCH(C161,'Master Data'!$F$6:$F$13,0)),""))</f>
        <v/>
      </c>
      <c r="F161" s="19">
        <f>'Weekly Input'!A161</f>
        <v/>
      </c>
      <c r="G161" s="19">
        <f>IF(B161="","",IFERROR(INDEX('Master Data'!$D$6:$D$145,MATCH(B161,'Master Data'!$A$6:$A$145,0)),""))</f>
        <v/>
      </c>
      <c r="H161" s="18">
        <f>IF(OR(F161="",G161=""),"",F161-G161)</f>
        <v/>
      </c>
      <c r="I161" s="18">
        <f>IF(B161="","",IF('Weekly Input'!J161="OK",TRUE,FALSE))</f>
        <v/>
      </c>
      <c r="J161" s="18">
        <f>IF(B161="","",'Weekly Input'!H161&gt;=MinInStockDays)</f>
        <v/>
      </c>
      <c r="K161" s="18">
        <f>IF(B161="","",H161&gt;=FullCycleMin)</f>
        <v/>
      </c>
      <c r="L161" s="18">
        <f>IF(B161="","",AND(I161,J161,K161,N161&gt;=MinHistory))</f>
        <v/>
      </c>
      <c r="M161" s="20">
        <f>IF(OR(B161="",'Weekly Input'!H161=0),"",'Weekly Input'!D161/'Weekly Input'!H161*7)</f>
        <v/>
      </c>
      <c r="N161" s="18">
        <f>IF(B161="","",COUNTIFS($B$5:$B$504,B161,$C$5:$C$504,C161,$I$5:$I$504,TRUE,$J$5:$J$504,TRUE,$K$5:$K$504,TRUE))</f>
        <v/>
      </c>
      <c r="O161" s="18">
        <f>IF(B161="","",AND(F161=AsOfWeek,AsOfWeek&lt;&gt;""))</f>
        <v/>
      </c>
      <c r="P161" s="20">
        <f>IF(OR(B161="",AsOfWeek=""),"",IFERROR(SUMIFS($M$5:$M$504,$B$5:$B$504,B161,$C$5:$C$504,C161,$L$5:$L$504,TRUE,$F$5:$F$504,"&gt;="&amp;AsOfWeek-7*(RecentWeeks-1),$F$5:$F$504,"&lt;="&amp;AsOfWeek),""))</f>
        <v/>
      </c>
      <c r="Q161" s="20">
        <f>IF(OR(B161="",AsOfWeek=""),"",IFERROR(SUMIFS($M$5:$M$504,$B$5:$B$504,B161,$C$5:$C$504,C161,$L$5:$L$504,TRUE,$F$5:$F$504,"&gt;="&amp;AsOfWeek-7*(RecentWeeks+PriorWeeks-1),$F$5:$F$504,"&lt;"&amp;AsOfWeek-7*(RecentWeeks-1)),""))</f>
        <v/>
      </c>
      <c r="R161" s="21">
        <f>IF(OR(P161="",Q161="",Q161=0),"",P161/Q161-1)</f>
        <v/>
      </c>
      <c r="S161" s="20">
        <f>IF(OR(C161="",AsOfWeek=""),"",IFERROR(AVERAGEIFS($M$5:$M$504,$C$5:$C$504,C161,$L$5:$L$504,TRUE,$F$5:$F$504,"&gt;="&amp;AsOfWeek-7*(RecentWeeks-1),$F$5:$F$504,"&lt;="&amp;AsOfWeek),""))</f>
        <v/>
      </c>
      <c r="T161" s="21">
        <f>IF(OR(P161="",S161=""),"",P161/S161-1)</f>
        <v/>
      </c>
      <c r="U161" s="22">
        <f>IF(OR(B161="",'Weekly Input'!G161="",P161="",P161=0),"",'Weekly Input'!G161/P161)</f>
        <v/>
      </c>
      <c r="V161" s="18">
        <f>IF(B161="","",IF(NOT(I161),"Not Ready",IF(NOT(K161),"Not Ready",IF(N161&lt;MinHistory,"Not Ready",IF(NOT(J161),"Not Ready",IF(OR(Q161="",Q161=0),"Noise",IF(Q161&lt;LowBaseThreshold,"Noise",IF(AND(R161&lt;=-OwnDecline,T161&lt;=-PeerGapThreshold),"Markdown Review",IF(AND(R161&gt;=ReorderUplift,U161&lt;&gt;"",U161&lt;=WeeksSupplyCap),"Reorder Candidate","Monitor"))))))))</f>
        <v/>
      </c>
      <c r="W161" s="18">
        <f>IF(B161="","",IF(NOT(I161),"INVALID_MASTER",IF(NOT(K161),"INCOMPLETE_SHELF_CYCLE",IF(N161&lt;MinHistory,"INSUFFICIENT_HISTORY",IF(NOT(J161),"INSUFFICIENT_IN_STOCK",IF(OR(Q161="",Q161=0),"NO_PRIOR_BASE",IF(Q161&lt;LowBaseThreshold,"LOW_BASE_NOISE",IF(V161="Markdown Review","MARKDOWN_PEER_GAP",IF(V161="Reorder Candidate","REORDER_UPLIFT_COVER","NO_MATERIAL_CHANGE"))))))))</f>
        <v/>
      </c>
      <c r="X161" s="18">
        <f>IF(V161="Markdown Review","Markdown support",IF(V161="Reorder Candidate","Second reorder",IF(V161="Monitor","Monitor",IF(V161="Noise","Hold / collect data",IF(V161="Not Ready","Not ready","")))))</f>
        <v/>
      </c>
      <c r="Y161" s="18">
        <f>IF(OR(R161="",T161=""),"",ABS(R161)+ABS(T161))</f>
        <v/>
      </c>
      <c r="Z161" s="21">
        <f>IF(OR(B161="",NOT(O161),R161=""),"",IF(ABS(R161)&gt;=MaterialThreshold,"Yes","No"))</f>
        <v/>
      </c>
      <c r="AA161" s="18">
        <f>IF(Z161&lt;&gt;"Yes","",IF(ABS(R161)&gt;=MaterialThreshold,IF(ABS(R161)&gt;=BroadShare,"Broad SKU movement","Store-concentrated movement"),""))</f>
        <v/>
      </c>
      <c r="AB161" s="18">
        <f>IF(O161,IF(COUNTIFS($O$5:O161,TRUE)&gt;0,COUNTIFS($O$5:O161,TRUE),0),0)</f>
        <v/>
      </c>
      <c r="AC161" s="18">
        <f>IF(V161="Markdown Review",1,IF(V161="Reorder Candidate",2,IF(V161="Monitor",3,IF(V161="Noise",4,IF(V161="Not Ready",5,99)))))</f>
        <v/>
      </c>
      <c r="AD161" s="18">
        <f>IF(O161,COUNTIFS($O$5:$O$504,TRUE,$AC$5:$AC$504,"&lt;"&amp;AC161)+COUNTIFS($O$5:O161,TRUE,$AC$5:AC161,AC161,$Y$5:Y161,"&gt;"&amp;Y161),0)</f>
        <v/>
      </c>
    </row>
    <row r="162">
      <c r="A162" s="17">
        <f>IF(COUNTA('Weekly Input'!A162:C162)=0,"",'Weekly Input'!B162&amp;"|"&amp;'Weekly Input'!C162&amp;"|"&amp;TEXT('Weekly Input'!A162,"yyyy-mm-dd"))</f>
        <v/>
      </c>
      <c r="B162" s="18">
        <f>'Weekly Input'!B162</f>
        <v/>
      </c>
      <c r="C162" s="18">
        <f>'Weekly Input'!C162</f>
        <v/>
      </c>
      <c r="D162" s="18">
        <f>IF(B162="","",IFERROR(INDEX('Master Data'!$B$6:$B$145,MATCH(B162,'Master Data'!$A$6:$A$145,0)),""))</f>
        <v/>
      </c>
      <c r="E162" s="18">
        <f>IF(C162="","",IFERROR(INDEX('Master Data'!$H$6:$H$13,MATCH(C162,'Master Data'!$F$6:$F$13,0)),""))</f>
        <v/>
      </c>
      <c r="F162" s="19">
        <f>'Weekly Input'!A162</f>
        <v/>
      </c>
      <c r="G162" s="19">
        <f>IF(B162="","",IFERROR(INDEX('Master Data'!$D$6:$D$145,MATCH(B162,'Master Data'!$A$6:$A$145,0)),""))</f>
        <v/>
      </c>
      <c r="H162" s="18">
        <f>IF(OR(F162="",G162=""),"",F162-G162)</f>
        <v/>
      </c>
      <c r="I162" s="18">
        <f>IF(B162="","",IF('Weekly Input'!J162="OK",TRUE,FALSE))</f>
        <v/>
      </c>
      <c r="J162" s="18">
        <f>IF(B162="","",'Weekly Input'!H162&gt;=MinInStockDays)</f>
        <v/>
      </c>
      <c r="K162" s="18">
        <f>IF(B162="","",H162&gt;=FullCycleMin)</f>
        <v/>
      </c>
      <c r="L162" s="18">
        <f>IF(B162="","",AND(I162,J162,K162,N162&gt;=MinHistory))</f>
        <v/>
      </c>
      <c r="M162" s="20">
        <f>IF(OR(B162="",'Weekly Input'!H162=0),"",'Weekly Input'!D162/'Weekly Input'!H162*7)</f>
        <v/>
      </c>
      <c r="N162" s="18">
        <f>IF(B162="","",COUNTIFS($B$5:$B$504,B162,$C$5:$C$504,C162,$I$5:$I$504,TRUE,$J$5:$J$504,TRUE,$K$5:$K$504,TRUE))</f>
        <v/>
      </c>
      <c r="O162" s="18">
        <f>IF(B162="","",AND(F162=AsOfWeek,AsOfWeek&lt;&gt;""))</f>
        <v/>
      </c>
      <c r="P162" s="20">
        <f>IF(OR(B162="",AsOfWeek=""),"",IFERROR(SUMIFS($M$5:$M$504,$B$5:$B$504,B162,$C$5:$C$504,C162,$L$5:$L$504,TRUE,$F$5:$F$504,"&gt;="&amp;AsOfWeek-7*(RecentWeeks-1),$F$5:$F$504,"&lt;="&amp;AsOfWeek),""))</f>
        <v/>
      </c>
      <c r="Q162" s="20">
        <f>IF(OR(B162="",AsOfWeek=""),"",IFERROR(SUMIFS($M$5:$M$504,$B$5:$B$504,B162,$C$5:$C$504,C162,$L$5:$L$504,TRUE,$F$5:$F$504,"&gt;="&amp;AsOfWeek-7*(RecentWeeks+PriorWeeks-1),$F$5:$F$504,"&lt;"&amp;AsOfWeek-7*(RecentWeeks-1)),""))</f>
        <v/>
      </c>
      <c r="R162" s="21">
        <f>IF(OR(P162="",Q162="",Q162=0),"",P162/Q162-1)</f>
        <v/>
      </c>
      <c r="S162" s="20">
        <f>IF(OR(C162="",AsOfWeek=""),"",IFERROR(AVERAGEIFS($M$5:$M$504,$C$5:$C$504,C162,$L$5:$L$504,TRUE,$F$5:$F$504,"&gt;="&amp;AsOfWeek-7*(RecentWeeks-1),$F$5:$F$504,"&lt;="&amp;AsOfWeek),""))</f>
        <v/>
      </c>
      <c r="T162" s="21">
        <f>IF(OR(P162="",S162=""),"",P162/S162-1)</f>
        <v/>
      </c>
      <c r="U162" s="22">
        <f>IF(OR(B162="",'Weekly Input'!G162="",P162="",P162=0),"",'Weekly Input'!G162/P162)</f>
        <v/>
      </c>
      <c r="V162" s="18">
        <f>IF(B162="","",IF(NOT(I162),"Not Ready",IF(NOT(K162),"Not Ready",IF(N162&lt;MinHistory,"Not Ready",IF(NOT(J162),"Not Ready",IF(OR(Q162="",Q162=0),"Noise",IF(Q162&lt;LowBaseThreshold,"Noise",IF(AND(R162&lt;=-OwnDecline,T162&lt;=-PeerGapThreshold),"Markdown Review",IF(AND(R162&gt;=ReorderUplift,U162&lt;&gt;"",U162&lt;=WeeksSupplyCap),"Reorder Candidate","Monitor"))))))))</f>
        <v/>
      </c>
      <c r="W162" s="18">
        <f>IF(B162="","",IF(NOT(I162),"INVALID_MASTER",IF(NOT(K162),"INCOMPLETE_SHELF_CYCLE",IF(N162&lt;MinHistory,"INSUFFICIENT_HISTORY",IF(NOT(J162),"INSUFFICIENT_IN_STOCK",IF(OR(Q162="",Q162=0),"NO_PRIOR_BASE",IF(Q162&lt;LowBaseThreshold,"LOW_BASE_NOISE",IF(V162="Markdown Review","MARKDOWN_PEER_GAP",IF(V162="Reorder Candidate","REORDER_UPLIFT_COVER","NO_MATERIAL_CHANGE"))))))))</f>
        <v/>
      </c>
      <c r="X162" s="18">
        <f>IF(V162="Markdown Review","Markdown support",IF(V162="Reorder Candidate","Second reorder",IF(V162="Monitor","Monitor",IF(V162="Noise","Hold / collect data",IF(V162="Not Ready","Not ready","")))))</f>
        <v/>
      </c>
      <c r="Y162" s="18">
        <f>IF(OR(R162="",T162=""),"",ABS(R162)+ABS(T162))</f>
        <v/>
      </c>
      <c r="Z162" s="21">
        <f>IF(OR(B162="",NOT(O162),R162=""),"",IF(ABS(R162)&gt;=MaterialThreshold,"Yes","No"))</f>
        <v/>
      </c>
      <c r="AA162" s="18">
        <f>IF(Z162&lt;&gt;"Yes","",IF(ABS(R162)&gt;=MaterialThreshold,IF(ABS(R162)&gt;=BroadShare,"Broad SKU movement","Store-concentrated movement"),""))</f>
        <v/>
      </c>
      <c r="AB162" s="18">
        <f>IF(O162,IF(COUNTIFS($O$5:O162,TRUE)&gt;0,COUNTIFS($O$5:O162,TRUE),0),0)</f>
        <v/>
      </c>
      <c r="AC162" s="18">
        <f>IF(V162="Markdown Review",1,IF(V162="Reorder Candidate",2,IF(V162="Monitor",3,IF(V162="Noise",4,IF(V162="Not Ready",5,99)))))</f>
        <v/>
      </c>
      <c r="AD162" s="18">
        <f>IF(O162,COUNTIFS($O$5:$O$504,TRUE,$AC$5:$AC$504,"&lt;"&amp;AC162)+COUNTIFS($O$5:O162,TRUE,$AC$5:AC162,AC162,$Y$5:Y162,"&gt;"&amp;Y162),0)</f>
        <v/>
      </c>
    </row>
    <row r="163">
      <c r="A163" s="17">
        <f>IF(COUNTA('Weekly Input'!A163:C163)=0,"",'Weekly Input'!B163&amp;"|"&amp;'Weekly Input'!C163&amp;"|"&amp;TEXT('Weekly Input'!A163,"yyyy-mm-dd"))</f>
        <v/>
      </c>
      <c r="B163" s="18">
        <f>'Weekly Input'!B163</f>
        <v/>
      </c>
      <c r="C163" s="18">
        <f>'Weekly Input'!C163</f>
        <v/>
      </c>
      <c r="D163" s="18">
        <f>IF(B163="","",IFERROR(INDEX('Master Data'!$B$6:$B$145,MATCH(B163,'Master Data'!$A$6:$A$145,0)),""))</f>
        <v/>
      </c>
      <c r="E163" s="18">
        <f>IF(C163="","",IFERROR(INDEX('Master Data'!$H$6:$H$13,MATCH(C163,'Master Data'!$F$6:$F$13,0)),""))</f>
        <v/>
      </c>
      <c r="F163" s="19">
        <f>'Weekly Input'!A163</f>
        <v/>
      </c>
      <c r="G163" s="19">
        <f>IF(B163="","",IFERROR(INDEX('Master Data'!$D$6:$D$145,MATCH(B163,'Master Data'!$A$6:$A$145,0)),""))</f>
        <v/>
      </c>
      <c r="H163" s="18">
        <f>IF(OR(F163="",G163=""),"",F163-G163)</f>
        <v/>
      </c>
      <c r="I163" s="18">
        <f>IF(B163="","",IF('Weekly Input'!J163="OK",TRUE,FALSE))</f>
        <v/>
      </c>
      <c r="J163" s="18">
        <f>IF(B163="","",'Weekly Input'!H163&gt;=MinInStockDays)</f>
        <v/>
      </c>
      <c r="K163" s="18">
        <f>IF(B163="","",H163&gt;=FullCycleMin)</f>
        <v/>
      </c>
      <c r="L163" s="18">
        <f>IF(B163="","",AND(I163,J163,K163,N163&gt;=MinHistory))</f>
        <v/>
      </c>
      <c r="M163" s="20">
        <f>IF(OR(B163="",'Weekly Input'!H163=0),"",'Weekly Input'!D163/'Weekly Input'!H163*7)</f>
        <v/>
      </c>
      <c r="N163" s="18">
        <f>IF(B163="","",COUNTIFS($B$5:$B$504,B163,$C$5:$C$504,C163,$I$5:$I$504,TRUE,$J$5:$J$504,TRUE,$K$5:$K$504,TRUE))</f>
        <v/>
      </c>
      <c r="O163" s="18">
        <f>IF(B163="","",AND(F163=AsOfWeek,AsOfWeek&lt;&gt;""))</f>
        <v/>
      </c>
      <c r="P163" s="20">
        <f>IF(OR(B163="",AsOfWeek=""),"",IFERROR(SUMIFS($M$5:$M$504,$B$5:$B$504,B163,$C$5:$C$504,C163,$L$5:$L$504,TRUE,$F$5:$F$504,"&gt;="&amp;AsOfWeek-7*(RecentWeeks-1),$F$5:$F$504,"&lt;="&amp;AsOfWeek),""))</f>
        <v/>
      </c>
      <c r="Q163" s="20">
        <f>IF(OR(B163="",AsOfWeek=""),"",IFERROR(SUMIFS($M$5:$M$504,$B$5:$B$504,B163,$C$5:$C$504,C163,$L$5:$L$504,TRUE,$F$5:$F$504,"&gt;="&amp;AsOfWeek-7*(RecentWeeks+PriorWeeks-1),$F$5:$F$504,"&lt;"&amp;AsOfWeek-7*(RecentWeeks-1)),""))</f>
        <v/>
      </c>
      <c r="R163" s="21">
        <f>IF(OR(P163="",Q163="",Q163=0),"",P163/Q163-1)</f>
        <v/>
      </c>
      <c r="S163" s="20">
        <f>IF(OR(C163="",AsOfWeek=""),"",IFERROR(AVERAGEIFS($M$5:$M$504,$C$5:$C$504,C163,$L$5:$L$504,TRUE,$F$5:$F$504,"&gt;="&amp;AsOfWeek-7*(RecentWeeks-1),$F$5:$F$504,"&lt;="&amp;AsOfWeek),""))</f>
        <v/>
      </c>
      <c r="T163" s="21">
        <f>IF(OR(P163="",S163=""),"",P163/S163-1)</f>
        <v/>
      </c>
      <c r="U163" s="22">
        <f>IF(OR(B163="",'Weekly Input'!G163="",P163="",P163=0),"",'Weekly Input'!G163/P163)</f>
        <v/>
      </c>
      <c r="V163" s="18">
        <f>IF(B163="","",IF(NOT(I163),"Not Ready",IF(NOT(K163),"Not Ready",IF(N163&lt;MinHistory,"Not Ready",IF(NOT(J163),"Not Ready",IF(OR(Q163="",Q163=0),"Noise",IF(Q163&lt;LowBaseThreshold,"Noise",IF(AND(R163&lt;=-OwnDecline,T163&lt;=-PeerGapThreshold),"Markdown Review",IF(AND(R163&gt;=ReorderUplift,U163&lt;&gt;"",U163&lt;=WeeksSupplyCap),"Reorder Candidate","Monitor"))))))))</f>
        <v/>
      </c>
      <c r="W163" s="18">
        <f>IF(B163="","",IF(NOT(I163),"INVALID_MASTER",IF(NOT(K163),"INCOMPLETE_SHELF_CYCLE",IF(N163&lt;MinHistory,"INSUFFICIENT_HISTORY",IF(NOT(J163),"INSUFFICIENT_IN_STOCK",IF(OR(Q163="",Q163=0),"NO_PRIOR_BASE",IF(Q163&lt;LowBaseThreshold,"LOW_BASE_NOISE",IF(V163="Markdown Review","MARKDOWN_PEER_GAP",IF(V163="Reorder Candidate","REORDER_UPLIFT_COVER","NO_MATERIAL_CHANGE"))))))))</f>
        <v/>
      </c>
      <c r="X163" s="18">
        <f>IF(V163="Markdown Review","Markdown support",IF(V163="Reorder Candidate","Second reorder",IF(V163="Monitor","Monitor",IF(V163="Noise","Hold / collect data",IF(V163="Not Ready","Not ready","")))))</f>
        <v/>
      </c>
      <c r="Y163" s="18">
        <f>IF(OR(R163="",T163=""),"",ABS(R163)+ABS(T163))</f>
        <v/>
      </c>
      <c r="Z163" s="21">
        <f>IF(OR(B163="",NOT(O163),R163=""),"",IF(ABS(R163)&gt;=MaterialThreshold,"Yes","No"))</f>
        <v/>
      </c>
      <c r="AA163" s="18">
        <f>IF(Z163&lt;&gt;"Yes","",IF(ABS(R163)&gt;=MaterialThreshold,IF(ABS(R163)&gt;=BroadShare,"Broad SKU movement","Store-concentrated movement"),""))</f>
        <v/>
      </c>
      <c r="AB163" s="18">
        <f>IF(O163,IF(COUNTIFS($O$5:O163,TRUE)&gt;0,COUNTIFS($O$5:O163,TRUE),0),0)</f>
        <v/>
      </c>
      <c r="AC163" s="18">
        <f>IF(V163="Markdown Review",1,IF(V163="Reorder Candidate",2,IF(V163="Monitor",3,IF(V163="Noise",4,IF(V163="Not Ready",5,99)))))</f>
        <v/>
      </c>
      <c r="AD163" s="18">
        <f>IF(O163,COUNTIFS($O$5:$O$504,TRUE,$AC$5:$AC$504,"&lt;"&amp;AC163)+COUNTIFS($O$5:O163,TRUE,$AC$5:AC163,AC163,$Y$5:Y163,"&gt;"&amp;Y163),0)</f>
        <v/>
      </c>
    </row>
    <row r="164">
      <c r="A164" s="17">
        <f>IF(COUNTA('Weekly Input'!A164:C164)=0,"",'Weekly Input'!B164&amp;"|"&amp;'Weekly Input'!C164&amp;"|"&amp;TEXT('Weekly Input'!A164,"yyyy-mm-dd"))</f>
        <v/>
      </c>
      <c r="B164" s="18">
        <f>'Weekly Input'!B164</f>
        <v/>
      </c>
      <c r="C164" s="18">
        <f>'Weekly Input'!C164</f>
        <v/>
      </c>
      <c r="D164" s="18">
        <f>IF(B164="","",IFERROR(INDEX('Master Data'!$B$6:$B$145,MATCH(B164,'Master Data'!$A$6:$A$145,0)),""))</f>
        <v/>
      </c>
      <c r="E164" s="18">
        <f>IF(C164="","",IFERROR(INDEX('Master Data'!$H$6:$H$13,MATCH(C164,'Master Data'!$F$6:$F$13,0)),""))</f>
        <v/>
      </c>
      <c r="F164" s="19">
        <f>'Weekly Input'!A164</f>
        <v/>
      </c>
      <c r="G164" s="19">
        <f>IF(B164="","",IFERROR(INDEX('Master Data'!$D$6:$D$145,MATCH(B164,'Master Data'!$A$6:$A$145,0)),""))</f>
        <v/>
      </c>
      <c r="H164" s="18">
        <f>IF(OR(F164="",G164=""),"",F164-G164)</f>
        <v/>
      </c>
      <c r="I164" s="18">
        <f>IF(B164="","",IF('Weekly Input'!J164="OK",TRUE,FALSE))</f>
        <v/>
      </c>
      <c r="J164" s="18">
        <f>IF(B164="","",'Weekly Input'!H164&gt;=MinInStockDays)</f>
        <v/>
      </c>
      <c r="K164" s="18">
        <f>IF(B164="","",H164&gt;=FullCycleMin)</f>
        <v/>
      </c>
      <c r="L164" s="18">
        <f>IF(B164="","",AND(I164,J164,K164,N164&gt;=MinHistory))</f>
        <v/>
      </c>
      <c r="M164" s="20">
        <f>IF(OR(B164="",'Weekly Input'!H164=0),"",'Weekly Input'!D164/'Weekly Input'!H164*7)</f>
        <v/>
      </c>
      <c r="N164" s="18">
        <f>IF(B164="","",COUNTIFS($B$5:$B$504,B164,$C$5:$C$504,C164,$I$5:$I$504,TRUE,$J$5:$J$504,TRUE,$K$5:$K$504,TRUE))</f>
        <v/>
      </c>
      <c r="O164" s="18">
        <f>IF(B164="","",AND(F164=AsOfWeek,AsOfWeek&lt;&gt;""))</f>
        <v/>
      </c>
      <c r="P164" s="20">
        <f>IF(OR(B164="",AsOfWeek=""),"",IFERROR(SUMIFS($M$5:$M$504,$B$5:$B$504,B164,$C$5:$C$504,C164,$L$5:$L$504,TRUE,$F$5:$F$504,"&gt;="&amp;AsOfWeek-7*(RecentWeeks-1),$F$5:$F$504,"&lt;="&amp;AsOfWeek),""))</f>
        <v/>
      </c>
      <c r="Q164" s="20">
        <f>IF(OR(B164="",AsOfWeek=""),"",IFERROR(SUMIFS($M$5:$M$504,$B$5:$B$504,B164,$C$5:$C$504,C164,$L$5:$L$504,TRUE,$F$5:$F$504,"&gt;="&amp;AsOfWeek-7*(RecentWeeks+PriorWeeks-1),$F$5:$F$504,"&lt;"&amp;AsOfWeek-7*(RecentWeeks-1)),""))</f>
        <v/>
      </c>
      <c r="R164" s="21">
        <f>IF(OR(P164="",Q164="",Q164=0),"",P164/Q164-1)</f>
        <v/>
      </c>
      <c r="S164" s="20">
        <f>IF(OR(C164="",AsOfWeek=""),"",IFERROR(AVERAGEIFS($M$5:$M$504,$C$5:$C$504,C164,$L$5:$L$504,TRUE,$F$5:$F$504,"&gt;="&amp;AsOfWeek-7*(RecentWeeks-1),$F$5:$F$504,"&lt;="&amp;AsOfWeek),""))</f>
        <v/>
      </c>
      <c r="T164" s="21">
        <f>IF(OR(P164="",S164=""),"",P164/S164-1)</f>
        <v/>
      </c>
      <c r="U164" s="22">
        <f>IF(OR(B164="",'Weekly Input'!G164="",P164="",P164=0),"",'Weekly Input'!G164/P164)</f>
        <v/>
      </c>
      <c r="V164" s="18">
        <f>IF(B164="","",IF(NOT(I164),"Not Ready",IF(NOT(K164),"Not Ready",IF(N164&lt;MinHistory,"Not Ready",IF(NOT(J164),"Not Ready",IF(OR(Q164="",Q164=0),"Noise",IF(Q164&lt;LowBaseThreshold,"Noise",IF(AND(R164&lt;=-OwnDecline,T164&lt;=-PeerGapThreshold),"Markdown Review",IF(AND(R164&gt;=ReorderUplift,U164&lt;&gt;"",U164&lt;=WeeksSupplyCap),"Reorder Candidate","Monitor"))))))))</f>
        <v/>
      </c>
      <c r="W164" s="18">
        <f>IF(B164="","",IF(NOT(I164),"INVALID_MASTER",IF(NOT(K164),"INCOMPLETE_SHELF_CYCLE",IF(N164&lt;MinHistory,"INSUFFICIENT_HISTORY",IF(NOT(J164),"INSUFFICIENT_IN_STOCK",IF(OR(Q164="",Q164=0),"NO_PRIOR_BASE",IF(Q164&lt;LowBaseThreshold,"LOW_BASE_NOISE",IF(V164="Markdown Review","MARKDOWN_PEER_GAP",IF(V164="Reorder Candidate","REORDER_UPLIFT_COVER","NO_MATERIAL_CHANGE"))))))))</f>
        <v/>
      </c>
      <c r="X164" s="18">
        <f>IF(V164="Markdown Review","Markdown support",IF(V164="Reorder Candidate","Second reorder",IF(V164="Monitor","Monitor",IF(V164="Noise","Hold / collect data",IF(V164="Not Ready","Not ready","")))))</f>
        <v/>
      </c>
      <c r="Y164" s="18">
        <f>IF(OR(R164="",T164=""),"",ABS(R164)+ABS(T164))</f>
        <v/>
      </c>
      <c r="Z164" s="21">
        <f>IF(OR(B164="",NOT(O164),R164=""),"",IF(ABS(R164)&gt;=MaterialThreshold,"Yes","No"))</f>
        <v/>
      </c>
      <c r="AA164" s="18">
        <f>IF(Z164&lt;&gt;"Yes","",IF(ABS(R164)&gt;=MaterialThreshold,IF(ABS(R164)&gt;=BroadShare,"Broad SKU movement","Store-concentrated movement"),""))</f>
        <v/>
      </c>
      <c r="AB164" s="18">
        <f>IF(O164,IF(COUNTIFS($O$5:O164,TRUE)&gt;0,COUNTIFS($O$5:O164,TRUE),0),0)</f>
        <v/>
      </c>
      <c r="AC164" s="18">
        <f>IF(V164="Markdown Review",1,IF(V164="Reorder Candidate",2,IF(V164="Monitor",3,IF(V164="Noise",4,IF(V164="Not Ready",5,99)))))</f>
        <v/>
      </c>
      <c r="AD164" s="18">
        <f>IF(O164,COUNTIFS($O$5:$O$504,TRUE,$AC$5:$AC$504,"&lt;"&amp;AC164)+COUNTIFS($O$5:O164,TRUE,$AC$5:AC164,AC164,$Y$5:Y164,"&gt;"&amp;Y164),0)</f>
        <v/>
      </c>
    </row>
    <row r="165">
      <c r="A165" s="17">
        <f>IF(COUNTA('Weekly Input'!A165:C165)=0,"",'Weekly Input'!B165&amp;"|"&amp;'Weekly Input'!C165&amp;"|"&amp;TEXT('Weekly Input'!A165,"yyyy-mm-dd"))</f>
        <v/>
      </c>
      <c r="B165" s="18">
        <f>'Weekly Input'!B165</f>
        <v/>
      </c>
      <c r="C165" s="18">
        <f>'Weekly Input'!C165</f>
        <v/>
      </c>
      <c r="D165" s="18">
        <f>IF(B165="","",IFERROR(INDEX('Master Data'!$B$6:$B$145,MATCH(B165,'Master Data'!$A$6:$A$145,0)),""))</f>
        <v/>
      </c>
      <c r="E165" s="18">
        <f>IF(C165="","",IFERROR(INDEX('Master Data'!$H$6:$H$13,MATCH(C165,'Master Data'!$F$6:$F$13,0)),""))</f>
        <v/>
      </c>
      <c r="F165" s="19">
        <f>'Weekly Input'!A165</f>
        <v/>
      </c>
      <c r="G165" s="19">
        <f>IF(B165="","",IFERROR(INDEX('Master Data'!$D$6:$D$145,MATCH(B165,'Master Data'!$A$6:$A$145,0)),""))</f>
        <v/>
      </c>
      <c r="H165" s="18">
        <f>IF(OR(F165="",G165=""),"",F165-G165)</f>
        <v/>
      </c>
      <c r="I165" s="18">
        <f>IF(B165="","",IF('Weekly Input'!J165="OK",TRUE,FALSE))</f>
        <v/>
      </c>
      <c r="J165" s="18">
        <f>IF(B165="","",'Weekly Input'!H165&gt;=MinInStockDays)</f>
        <v/>
      </c>
      <c r="K165" s="18">
        <f>IF(B165="","",H165&gt;=FullCycleMin)</f>
        <v/>
      </c>
      <c r="L165" s="18">
        <f>IF(B165="","",AND(I165,J165,K165,N165&gt;=MinHistory))</f>
        <v/>
      </c>
      <c r="M165" s="20">
        <f>IF(OR(B165="",'Weekly Input'!H165=0),"",'Weekly Input'!D165/'Weekly Input'!H165*7)</f>
        <v/>
      </c>
      <c r="N165" s="18">
        <f>IF(B165="","",COUNTIFS($B$5:$B$504,B165,$C$5:$C$504,C165,$I$5:$I$504,TRUE,$J$5:$J$504,TRUE,$K$5:$K$504,TRUE))</f>
        <v/>
      </c>
      <c r="O165" s="18">
        <f>IF(B165="","",AND(F165=AsOfWeek,AsOfWeek&lt;&gt;""))</f>
        <v/>
      </c>
      <c r="P165" s="20">
        <f>IF(OR(B165="",AsOfWeek=""),"",IFERROR(SUMIFS($M$5:$M$504,$B$5:$B$504,B165,$C$5:$C$504,C165,$L$5:$L$504,TRUE,$F$5:$F$504,"&gt;="&amp;AsOfWeek-7*(RecentWeeks-1),$F$5:$F$504,"&lt;="&amp;AsOfWeek),""))</f>
        <v/>
      </c>
      <c r="Q165" s="20">
        <f>IF(OR(B165="",AsOfWeek=""),"",IFERROR(SUMIFS($M$5:$M$504,$B$5:$B$504,B165,$C$5:$C$504,C165,$L$5:$L$504,TRUE,$F$5:$F$504,"&gt;="&amp;AsOfWeek-7*(RecentWeeks+PriorWeeks-1),$F$5:$F$504,"&lt;"&amp;AsOfWeek-7*(RecentWeeks-1)),""))</f>
        <v/>
      </c>
      <c r="R165" s="21">
        <f>IF(OR(P165="",Q165="",Q165=0),"",P165/Q165-1)</f>
        <v/>
      </c>
      <c r="S165" s="20">
        <f>IF(OR(C165="",AsOfWeek=""),"",IFERROR(AVERAGEIFS($M$5:$M$504,$C$5:$C$504,C165,$L$5:$L$504,TRUE,$F$5:$F$504,"&gt;="&amp;AsOfWeek-7*(RecentWeeks-1),$F$5:$F$504,"&lt;="&amp;AsOfWeek),""))</f>
        <v/>
      </c>
      <c r="T165" s="21">
        <f>IF(OR(P165="",S165=""),"",P165/S165-1)</f>
        <v/>
      </c>
      <c r="U165" s="22">
        <f>IF(OR(B165="",'Weekly Input'!G165="",P165="",P165=0),"",'Weekly Input'!G165/P165)</f>
        <v/>
      </c>
      <c r="V165" s="18">
        <f>IF(B165="","",IF(NOT(I165),"Not Ready",IF(NOT(K165),"Not Ready",IF(N165&lt;MinHistory,"Not Ready",IF(NOT(J165),"Not Ready",IF(OR(Q165="",Q165=0),"Noise",IF(Q165&lt;LowBaseThreshold,"Noise",IF(AND(R165&lt;=-OwnDecline,T165&lt;=-PeerGapThreshold),"Markdown Review",IF(AND(R165&gt;=ReorderUplift,U165&lt;&gt;"",U165&lt;=WeeksSupplyCap),"Reorder Candidate","Monitor"))))))))</f>
        <v/>
      </c>
      <c r="W165" s="18">
        <f>IF(B165="","",IF(NOT(I165),"INVALID_MASTER",IF(NOT(K165),"INCOMPLETE_SHELF_CYCLE",IF(N165&lt;MinHistory,"INSUFFICIENT_HISTORY",IF(NOT(J165),"INSUFFICIENT_IN_STOCK",IF(OR(Q165="",Q165=0),"NO_PRIOR_BASE",IF(Q165&lt;LowBaseThreshold,"LOW_BASE_NOISE",IF(V165="Markdown Review","MARKDOWN_PEER_GAP",IF(V165="Reorder Candidate","REORDER_UPLIFT_COVER","NO_MATERIAL_CHANGE"))))))))</f>
        <v/>
      </c>
      <c r="X165" s="18">
        <f>IF(V165="Markdown Review","Markdown support",IF(V165="Reorder Candidate","Second reorder",IF(V165="Monitor","Monitor",IF(V165="Noise","Hold / collect data",IF(V165="Not Ready","Not ready","")))))</f>
        <v/>
      </c>
      <c r="Y165" s="18">
        <f>IF(OR(R165="",T165=""),"",ABS(R165)+ABS(T165))</f>
        <v/>
      </c>
      <c r="Z165" s="21">
        <f>IF(OR(B165="",NOT(O165),R165=""),"",IF(ABS(R165)&gt;=MaterialThreshold,"Yes","No"))</f>
        <v/>
      </c>
      <c r="AA165" s="18">
        <f>IF(Z165&lt;&gt;"Yes","",IF(ABS(R165)&gt;=MaterialThreshold,IF(ABS(R165)&gt;=BroadShare,"Broad SKU movement","Store-concentrated movement"),""))</f>
        <v/>
      </c>
      <c r="AB165" s="18">
        <f>IF(O165,IF(COUNTIFS($O$5:O165,TRUE)&gt;0,COUNTIFS($O$5:O165,TRUE),0),0)</f>
        <v/>
      </c>
      <c r="AC165" s="18">
        <f>IF(V165="Markdown Review",1,IF(V165="Reorder Candidate",2,IF(V165="Monitor",3,IF(V165="Noise",4,IF(V165="Not Ready",5,99)))))</f>
        <v/>
      </c>
      <c r="AD165" s="18">
        <f>IF(O165,COUNTIFS($O$5:$O$504,TRUE,$AC$5:$AC$504,"&lt;"&amp;AC165)+COUNTIFS($O$5:O165,TRUE,$AC$5:AC165,AC165,$Y$5:Y165,"&gt;"&amp;Y165),0)</f>
        <v/>
      </c>
    </row>
    <row r="166">
      <c r="A166" s="17">
        <f>IF(COUNTA('Weekly Input'!A166:C166)=0,"",'Weekly Input'!B166&amp;"|"&amp;'Weekly Input'!C166&amp;"|"&amp;TEXT('Weekly Input'!A166,"yyyy-mm-dd"))</f>
        <v/>
      </c>
      <c r="B166" s="18">
        <f>'Weekly Input'!B166</f>
        <v/>
      </c>
      <c r="C166" s="18">
        <f>'Weekly Input'!C166</f>
        <v/>
      </c>
      <c r="D166" s="18">
        <f>IF(B166="","",IFERROR(INDEX('Master Data'!$B$6:$B$145,MATCH(B166,'Master Data'!$A$6:$A$145,0)),""))</f>
        <v/>
      </c>
      <c r="E166" s="18">
        <f>IF(C166="","",IFERROR(INDEX('Master Data'!$H$6:$H$13,MATCH(C166,'Master Data'!$F$6:$F$13,0)),""))</f>
        <v/>
      </c>
      <c r="F166" s="19">
        <f>'Weekly Input'!A166</f>
        <v/>
      </c>
      <c r="G166" s="19">
        <f>IF(B166="","",IFERROR(INDEX('Master Data'!$D$6:$D$145,MATCH(B166,'Master Data'!$A$6:$A$145,0)),""))</f>
        <v/>
      </c>
      <c r="H166" s="18">
        <f>IF(OR(F166="",G166=""),"",F166-G166)</f>
        <v/>
      </c>
      <c r="I166" s="18">
        <f>IF(B166="","",IF('Weekly Input'!J166="OK",TRUE,FALSE))</f>
        <v/>
      </c>
      <c r="J166" s="18">
        <f>IF(B166="","",'Weekly Input'!H166&gt;=MinInStockDays)</f>
        <v/>
      </c>
      <c r="K166" s="18">
        <f>IF(B166="","",H166&gt;=FullCycleMin)</f>
        <v/>
      </c>
      <c r="L166" s="18">
        <f>IF(B166="","",AND(I166,J166,K166,N166&gt;=MinHistory))</f>
        <v/>
      </c>
      <c r="M166" s="20">
        <f>IF(OR(B166="",'Weekly Input'!H166=0),"",'Weekly Input'!D166/'Weekly Input'!H166*7)</f>
        <v/>
      </c>
      <c r="N166" s="18">
        <f>IF(B166="","",COUNTIFS($B$5:$B$504,B166,$C$5:$C$504,C166,$I$5:$I$504,TRUE,$J$5:$J$504,TRUE,$K$5:$K$504,TRUE))</f>
        <v/>
      </c>
      <c r="O166" s="18">
        <f>IF(B166="","",AND(F166=AsOfWeek,AsOfWeek&lt;&gt;""))</f>
        <v/>
      </c>
      <c r="P166" s="20">
        <f>IF(OR(B166="",AsOfWeek=""),"",IFERROR(SUMIFS($M$5:$M$504,$B$5:$B$504,B166,$C$5:$C$504,C166,$L$5:$L$504,TRUE,$F$5:$F$504,"&gt;="&amp;AsOfWeek-7*(RecentWeeks-1),$F$5:$F$504,"&lt;="&amp;AsOfWeek),""))</f>
        <v/>
      </c>
      <c r="Q166" s="20">
        <f>IF(OR(B166="",AsOfWeek=""),"",IFERROR(SUMIFS($M$5:$M$504,$B$5:$B$504,B166,$C$5:$C$504,C166,$L$5:$L$504,TRUE,$F$5:$F$504,"&gt;="&amp;AsOfWeek-7*(RecentWeeks+PriorWeeks-1),$F$5:$F$504,"&lt;"&amp;AsOfWeek-7*(RecentWeeks-1)),""))</f>
        <v/>
      </c>
      <c r="R166" s="21">
        <f>IF(OR(P166="",Q166="",Q166=0),"",P166/Q166-1)</f>
        <v/>
      </c>
      <c r="S166" s="20">
        <f>IF(OR(C166="",AsOfWeek=""),"",IFERROR(AVERAGEIFS($M$5:$M$504,$C$5:$C$504,C166,$L$5:$L$504,TRUE,$F$5:$F$504,"&gt;="&amp;AsOfWeek-7*(RecentWeeks-1),$F$5:$F$504,"&lt;="&amp;AsOfWeek),""))</f>
        <v/>
      </c>
      <c r="T166" s="21">
        <f>IF(OR(P166="",S166=""),"",P166/S166-1)</f>
        <v/>
      </c>
      <c r="U166" s="22">
        <f>IF(OR(B166="",'Weekly Input'!G166="",P166="",P166=0),"",'Weekly Input'!G166/P166)</f>
        <v/>
      </c>
      <c r="V166" s="18">
        <f>IF(B166="","",IF(NOT(I166),"Not Ready",IF(NOT(K166),"Not Ready",IF(N166&lt;MinHistory,"Not Ready",IF(NOT(J166),"Not Ready",IF(OR(Q166="",Q166=0),"Noise",IF(Q166&lt;LowBaseThreshold,"Noise",IF(AND(R166&lt;=-OwnDecline,T166&lt;=-PeerGapThreshold),"Markdown Review",IF(AND(R166&gt;=ReorderUplift,U166&lt;&gt;"",U166&lt;=WeeksSupplyCap),"Reorder Candidate","Monitor"))))))))</f>
        <v/>
      </c>
      <c r="W166" s="18">
        <f>IF(B166="","",IF(NOT(I166),"INVALID_MASTER",IF(NOT(K166),"INCOMPLETE_SHELF_CYCLE",IF(N166&lt;MinHistory,"INSUFFICIENT_HISTORY",IF(NOT(J166),"INSUFFICIENT_IN_STOCK",IF(OR(Q166="",Q166=0),"NO_PRIOR_BASE",IF(Q166&lt;LowBaseThreshold,"LOW_BASE_NOISE",IF(V166="Markdown Review","MARKDOWN_PEER_GAP",IF(V166="Reorder Candidate","REORDER_UPLIFT_COVER","NO_MATERIAL_CHANGE"))))))))</f>
        <v/>
      </c>
      <c r="X166" s="18">
        <f>IF(V166="Markdown Review","Markdown support",IF(V166="Reorder Candidate","Second reorder",IF(V166="Monitor","Monitor",IF(V166="Noise","Hold / collect data",IF(V166="Not Ready","Not ready","")))))</f>
        <v/>
      </c>
      <c r="Y166" s="18">
        <f>IF(OR(R166="",T166=""),"",ABS(R166)+ABS(T166))</f>
        <v/>
      </c>
      <c r="Z166" s="21">
        <f>IF(OR(B166="",NOT(O166),R166=""),"",IF(ABS(R166)&gt;=MaterialThreshold,"Yes","No"))</f>
        <v/>
      </c>
      <c r="AA166" s="18">
        <f>IF(Z166&lt;&gt;"Yes","",IF(ABS(R166)&gt;=MaterialThreshold,IF(ABS(R166)&gt;=BroadShare,"Broad SKU movement","Store-concentrated movement"),""))</f>
        <v/>
      </c>
      <c r="AB166" s="18">
        <f>IF(O166,IF(COUNTIFS($O$5:O166,TRUE)&gt;0,COUNTIFS($O$5:O166,TRUE),0),0)</f>
        <v/>
      </c>
      <c r="AC166" s="18">
        <f>IF(V166="Markdown Review",1,IF(V166="Reorder Candidate",2,IF(V166="Monitor",3,IF(V166="Noise",4,IF(V166="Not Ready",5,99)))))</f>
        <v/>
      </c>
      <c r="AD166" s="18">
        <f>IF(O166,COUNTIFS($O$5:$O$504,TRUE,$AC$5:$AC$504,"&lt;"&amp;AC166)+COUNTIFS($O$5:O166,TRUE,$AC$5:AC166,AC166,$Y$5:Y166,"&gt;"&amp;Y166),0)</f>
        <v/>
      </c>
    </row>
    <row r="167">
      <c r="A167" s="17">
        <f>IF(COUNTA('Weekly Input'!A167:C167)=0,"",'Weekly Input'!B167&amp;"|"&amp;'Weekly Input'!C167&amp;"|"&amp;TEXT('Weekly Input'!A167,"yyyy-mm-dd"))</f>
        <v/>
      </c>
      <c r="B167" s="18">
        <f>'Weekly Input'!B167</f>
        <v/>
      </c>
      <c r="C167" s="18">
        <f>'Weekly Input'!C167</f>
        <v/>
      </c>
      <c r="D167" s="18">
        <f>IF(B167="","",IFERROR(INDEX('Master Data'!$B$6:$B$145,MATCH(B167,'Master Data'!$A$6:$A$145,0)),""))</f>
        <v/>
      </c>
      <c r="E167" s="18">
        <f>IF(C167="","",IFERROR(INDEX('Master Data'!$H$6:$H$13,MATCH(C167,'Master Data'!$F$6:$F$13,0)),""))</f>
        <v/>
      </c>
      <c r="F167" s="19">
        <f>'Weekly Input'!A167</f>
        <v/>
      </c>
      <c r="G167" s="19">
        <f>IF(B167="","",IFERROR(INDEX('Master Data'!$D$6:$D$145,MATCH(B167,'Master Data'!$A$6:$A$145,0)),""))</f>
        <v/>
      </c>
      <c r="H167" s="18">
        <f>IF(OR(F167="",G167=""),"",F167-G167)</f>
        <v/>
      </c>
      <c r="I167" s="18">
        <f>IF(B167="","",IF('Weekly Input'!J167="OK",TRUE,FALSE))</f>
        <v/>
      </c>
      <c r="J167" s="18">
        <f>IF(B167="","",'Weekly Input'!H167&gt;=MinInStockDays)</f>
        <v/>
      </c>
      <c r="K167" s="18">
        <f>IF(B167="","",H167&gt;=FullCycleMin)</f>
        <v/>
      </c>
      <c r="L167" s="18">
        <f>IF(B167="","",AND(I167,J167,K167,N167&gt;=MinHistory))</f>
        <v/>
      </c>
      <c r="M167" s="20">
        <f>IF(OR(B167="",'Weekly Input'!H167=0),"",'Weekly Input'!D167/'Weekly Input'!H167*7)</f>
        <v/>
      </c>
      <c r="N167" s="18">
        <f>IF(B167="","",COUNTIFS($B$5:$B$504,B167,$C$5:$C$504,C167,$I$5:$I$504,TRUE,$J$5:$J$504,TRUE,$K$5:$K$504,TRUE))</f>
        <v/>
      </c>
      <c r="O167" s="18">
        <f>IF(B167="","",AND(F167=AsOfWeek,AsOfWeek&lt;&gt;""))</f>
        <v/>
      </c>
      <c r="P167" s="20">
        <f>IF(OR(B167="",AsOfWeek=""),"",IFERROR(SUMIFS($M$5:$M$504,$B$5:$B$504,B167,$C$5:$C$504,C167,$L$5:$L$504,TRUE,$F$5:$F$504,"&gt;="&amp;AsOfWeek-7*(RecentWeeks-1),$F$5:$F$504,"&lt;="&amp;AsOfWeek),""))</f>
        <v/>
      </c>
      <c r="Q167" s="20">
        <f>IF(OR(B167="",AsOfWeek=""),"",IFERROR(SUMIFS($M$5:$M$504,$B$5:$B$504,B167,$C$5:$C$504,C167,$L$5:$L$504,TRUE,$F$5:$F$504,"&gt;="&amp;AsOfWeek-7*(RecentWeeks+PriorWeeks-1),$F$5:$F$504,"&lt;"&amp;AsOfWeek-7*(RecentWeeks-1)),""))</f>
        <v/>
      </c>
      <c r="R167" s="21">
        <f>IF(OR(P167="",Q167="",Q167=0),"",P167/Q167-1)</f>
        <v/>
      </c>
      <c r="S167" s="20">
        <f>IF(OR(C167="",AsOfWeek=""),"",IFERROR(AVERAGEIFS($M$5:$M$504,$C$5:$C$504,C167,$L$5:$L$504,TRUE,$F$5:$F$504,"&gt;="&amp;AsOfWeek-7*(RecentWeeks-1),$F$5:$F$504,"&lt;="&amp;AsOfWeek),""))</f>
        <v/>
      </c>
      <c r="T167" s="21">
        <f>IF(OR(P167="",S167=""),"",P167/S167-1)</f>
        <v/>
      </c>
      <c r="U167" s="22">
        <f>IF(OR(B167="",'Weekly Input'!G167="",P167="",P167=0),"",'Weekly Input'!G167/P167)</f>
        <v/>
      </c>
      <c r="V167" s="18">
        <f>IF(B167="","",IF(NOT(I167),"Not Ready",IF(NOT(K167),"Not Ready",IF(N167&lt;MinHistory,"Not Ready",IF(NOT(J167),"Not Ready",IF(OR(Q167="",Q167=0),"Noise",IF(Q167&lt;LowBaseThreshold,"Noise",IF(AND(R167&lt;=-OwnDecline,T167&lt;=-PeerGapThreshold),"Markdown Review",IF(AND(R167&gt;=ReorderUplift,U167&lt;&gt;"",U167&lt;=WeeksSupplyCap),"Reorder Candidate","Monitor"))))))))</f>
        <v/>
      </c>
      <c r="W167" s="18">
        <f>IF(B167="","",IF(NOT(I167),"INVALID_MASTER",IF(NOT(K167),"INCOMPLETE_SHELF_CYCLE",IF(N167&lt;MinHistory,"INSUFFICIENT_HISTORY",IF(NOT(J167),"INSUFFICIENT_IN_STOCK",IF(OR(Q167="",Q167=0),"NO_PRIOR_BASE",IF(Q167&lt;LowBaseThreshold,"LOW_BASE_NOISE",IF(V167="Markdown Review","MARKDOWN_PEER_GAP",IF(V167="Reorder Candidate","REORDER_UPLIFT_COVER","NO_MATERIAL_CHANGE"))))))))</f>
        <v/>
      </c>
      <c r="X167" s="18">
        <f>IF(V167="Markdown Review","Markdown support",IF(V167="Reorder Candidate","Second reorder",IF(V167="Monitor","Monitor",IF(V167="Noise","Hold / collect data",IF(V167="Not Ready","Not ready","")))))</f>
        <v/>
      </c>
      <c r="Y167" s="18">
        <f>IF(OR(R167="",T167=""),"",ABS(R167)+ABS(T167))</f>
        <v/>
      </c>
      <c r="Z167" s="21">
        <f>IF(OR(B167="",NOT(O167),R167=""),"",IF(ABS(R167)&gt;=MaterialThreshold,"Yes","No"))</f>
        <v/>
      </c>
      <c r="AA167" s="18">
        <f>IF(Z167&lt;&gt;"Yes","",IF(ABS(R167)&gt;=MaterialThreshold,IF(ABS(R167)&gt;=BroadShare,"Broad SKU movement","Store-concentrated movement"),""))</f>
        <v/>
      </c>
      <c r="AB167" s="18">
        <f>IF(O167,IF(COUNTIFS($O$5:O167,TRUE)&gt;0,COUNTIFS($O$5:O167,TRUE),0),0)</f>
        <v/>
      </c>
      <c r="AC167" s="18">
        <f>IF(V167="Markdown Review",1,IF(V167="Reorder Candidate",2,IF(V167="Monitor",3,IF(V167="Noise",4,IF(V167="Not Ready",5,99)))))</f>
        <v/>
      </c>
      <c r="AD167" s="18">
        <f>IF(O167,COUNTIFS($O$5:$O$504,TRUE,$AC$5:$AC$504,"&lt;"&amp;AC167)+COUNTIFS($O$5:O167,TRUE,$AC$5:AC167,AC167,$Y$5:Y167,"&gt;"&amp;Y167),0)</f>
        <v/>
      </c>
    </row>
    <row r="168">
      <c r="A168" s="17">
        <f>IF(COUNTA('Weekly Input'!A168:C168)=0,"",'Weekly Input'!B168&amp;"|"&amp;'Weekly Input'!C168&amp;"|"&amp;TEXT('Weekly Input'!A168,"yyyy-mm-dd"))</f>
        <v/>
      </c>
      <c r="B168" s="18">
        <f>'Weekly Input'!B168</f>
        <v/>
      </c>
      <c r="C168" s="18">
        <f>'Weekly Input'!C168</f>
        <v/>
      </c>
      <c r="D168" s="18">
        <f>IF(B168="","",IFERROR(INDEX('Master Data'!$B$6:$B$145,MATCH(B168,'Master Data'!$A$6:$A$145,0)),""))</f>
        <v/>
      </c>
      <c r="E168" s="18">
        <f>IF(C168="","",IFERROR(INDEX('Master Data'!$H$6:$H$13,MATCH(C168,'Master Data'!$F$6:$F$13,0)),""))</f>
        <v/>
      </c>
      <c r="F168" s="19">
        <f>'Weekly Input'!A168</f>
        <v/>
      </c>
      <c r="G168" s="19">
        <f>IF(B168="","",IFERROR(INDEX('Master Data'!$D$6:$D$145,MATCH(B168,'Master Data'!$A$6:$A$145,0)),""))</f>
        <v/>
      </c>
      <c r="H168" s="18">
        <f>IF(OR(F168="",G168=""),"",F168-G168)</f>
        <v/>
      </c>
      <c r="I168" s="18">
        <f>IF(B168="","",IF('Weekly Input'!J168="OK",TRUE,FALSE))</f>
        <v/>
      </c>
      <c r="J168" s="18">
        <f>IF(B168="","",'Weekly Input'!H168&gt;=MinInStockDays)</f>
        <v/>
      </c>
      <c r="K168" s="18">
        <f>IF(B168="","",H168&gt;=FullCycleMin)</f>
        <v/>
      </c>
      <c r="L168" s="18">
        <f>IF(B168="","",AND(I168,J168,K168,N168&gt;=MinHistory))</f>
        <v/>
      </c>
      <c r="M168" s="20">
        <f>IF(OR(B168="",'Weekly Input'!H168=0),"",'Weekly Input'!D168/'Weekly Input'!H168*7)</f>
        <v/>
      </c>
      <c r="N168" s="18">
        <f>IF(B168="","",COUNTIFS($B$5:$B$504,B168,$C$5:$C$504,C168,$I$5:$I$504,TRUE,$J$5:$J$504,TRUE,$K$5:$K$504,TRUE))</f>
        <v/>
      </c>
      <c r="O168" s="18">
        <f>IF(B168="","",AND(F168=AsOfWeek,AsOfWeek&lt;&gt;""))</f>
        <v/>
      </c>
      <c r="P168" s="20">
        <f>IF(OR(B168="",AsOfWeek=""),"",IFERROR(SUMIFS($M$5:$M$504,$B$5:$B$504,B168,$C$5:$C$504,C168,$L$5:$L$504,TRUE,$F$5:$F$504,"&gt;="&amp;AsOfWeek-7*(RecentWeeks-1),$F$5:$F$504,"&lt;="&amp;AsOfWeek),""))</f>
        <v/>
      </c>
      <c r="Q168" s="20">
        <f>IF(OR(B168="",AsOfWeek=""),"",IFERROR(SUMIFS($M$5:$M$504,$B$5:$B$504,B168,$C$5:$C$504,C168,$L$5:$L$504,TRUE,$F$5:$F$504,"&gt;="&amp;AsOfWeek-7*(RecentWeeks+PriorWeeks-1),$F$5:$F$504,"&lt;"&amp;AsOfWeek-7*(RecentWeeks-1)),""))</f>
        <v/>
      </c>
      <c r="R168" s="21">
        <f>IF(OR(P168="",Q168="",Q168=0),"",P168/Q168-1)</f>
        <v/>
      </c>
      <c r="S168" s="20">
        <f>IF(OR(C168="",AsOfWeek=""),"",IFERROR(AVERAGEIFS($M$5:$M$504,$C$5:$C$504,C168,$L$5:$L$504,TRUE,$F$5:$F$504,"&gt;="&amp;AsOfWeek-7*(RecentWeeks-1),$F$5:$F$504,"&lt;="&amp;AsOfWeek),""))</f>
        <v/>
      </c>
      <c r="T168" s="21">
        <f>IF(OR(P168="",S168=""),"",P168/S168-1)</f>
        <v/>
      </c>
      <c r="U168" s="22">
        <f>IF(OR(B168="",'Weekly Input'!G168="",P168="",P168=0),"",'Weekly Input'!G168/P168)</f>
        <v/>
      </c>
      <c r="V168" s="18">
        <f>IF(B168="","",IF(NOT(I168),"Not Ready",IF(NOT(K168),"Not Ready",IF(N168&lt;MinHistory,"Not Ready",IF(NOT(J168),"Not Ready",IF(OR(Q168="",Q168=0),"Noise",IF(Q168&lt;LowBaseThreshold,"Noise",IF(AND(R168&lt;=-OwnDecline,T168&lt;=-PeerGapThreshold),"Markdown Review",IF(AND(R168&gt;=ReorderUplift,U168&lt;&gt;"",U168&lt;=WeeksSupplyCap),"Reorder Candidate","Monitor"))))))))</f>
        <v/>
      </c>
      <c r="W168" s="18">
        <f>IF(B168="","",IF(NOT(I168),"INVALID_MASTER",IF(NOT(K168),"INCOMPLETE_SHELF_CYCLE",IF(N168&lt;MinHistory,"INSUFFICIENT_HISTORY",IF(NOT(J168),"INSUFFICIENT_IN_STOCK",IF(OR(Q168="",Q168=0),"NO_PRIOR_BASE",IF(Q168&lt;LowBaseThreshold,"LOW_BASE_NOISE",IF(V168="Markdown Review","MARKDOWN_PEER_GAP",IF(V168="Reorder Candidate","REORDER_UPLIFT_COVER","NO_MATERIAL_CHANGE"))))))))</f>
        <v/>
      </c>
      <c r="X168" s="18">
        <f>IF(V168="Markdown Review","Markdown support",IF(V168="Reorder Candidate","Second reorder",IF(V168="Monitor","Monitor",IF(V168="Noise","Hold / collect data",IF(V168="Not Ready","Not ready","")))))</f>
        <v/>
      </c>
      <c r="Y168" s="18">
        <f>IF(OR(R168="",T168=""),"",ABS(R168)+ABS(T168))</f>
        <v/>
      </c>
      <c r="Z168" s="21">
        <f>IF(OR(B168="",NOT(O168),R168=""),"",IF(ABS(R168)&gt;=MaterialThreshold,"Yes","No"))</f>
        <v/>
      </c>
      <c r="AA168" s="18">
        <f>IF(Z168&lt;&gt;"Yes","",IF(ABS(R168)&gt;=MaterialThreshold,IF(ABS(R168)&gt;=BroadShare,"Broad SKU movement","Store-concentrated movement"),""))</f>
        <v/>
      </c>
      <c r="AB168" s="18">
        <f>IF(O168,IF(COUNTIFS($O$5:O168,TRUE)&gt;0,COUNTIFS($O$5:O168,TRUE),0),0)</f>
        <v/>
      </c>
      <c r="AC168" s="18">
        <f>IF(V168="Markdown Review",1,IF(V168="Reorder Candidate",2,IF(V168="Monitor",3,IF(V168="Noise",4,IF(V168="Not Ready",5,99)))))</f>
        <v/>
      </c>
      <c r="AD168" s="18">
        <f>IF(O168,COUNTIFS($O$5:$O$504,TRUE,$AC$5:$AC$504,"&lt;"&amp;AC168)+COUNTIFS($O$5:O168,TRUE,$AC$5:AC168,AC168,$Y$5:Y168,"&gt;"&amp;Y168),0)</f>
        <v/>
      </c>
    </row>
    <row r="169">
      <c r="A169" s="17">
        <f>IF(COUNTA('Weekly Input'!A169:C169)=0,"",'Weekly Input'!B169&amp;"|"&amp;'Weekly Input'!C169&amp;"|"&amp;TEXT('Weekly Input'!A169,"yyyy-mm-dd"))</f>
        <v/>
      </c>
      <c r="B169" s="18">
        <f>'Weekly Input'!B169</f>
        <v/>
      </c>
      <c r="C169" s="18">
        <f>'Weekly Input'!C169</f>
        <v/>
      </c>
      <c r="D169" s="18">
        <f>IF(B169="","",IFERROR(INDEX('Master Data'!$B$6:$B$145,MATCH(B169,'Master Data'!$A$6:$A$145,0)),""))</f>
        <v/>
      </c>
      <c r="E169" s="18">
        <f>IF(C169="","",IFERROR(INDEX('Master Data'!$H$6:$H$13,MATCH(C169,'Master Data'!$F$6:$F$13,0)),""))</f>
        <v/>
      </c>
      <c r="F169" s="19">
        <f>'Weekly Input'!A169</f>
        <v/>
      </c>
      <c r="G169" s="19">
        <f>IF(B169="","",IFERROR(INDEX('Master Data'!$D$6:$D$145,MATCH(B169,'Master Data'!$A$6:$A$145,0)),""))</f>
        <v/>
      </c>
      <c r="H169" s="18">
        <f>IF(OR(F169="",G169=""),"",F169-G169)</f>
        <v/>
      </c>
      <c r="I169" s="18">
        <f>IF(B169="","",IF('Weekly Input'!J169="OK",TRUE,FALSE))</f>
        <v/>
      </c>
      <c r="J169" s="18">
        <f>IF(B169="","",'Weekly Input'!H169&gt;=MinInStockDays)</f>
        <v/>
      </c>
      <c r="K169" s="18">
        <f>IF(B169="","",H169&gt;=FullCycleMin)</f>
        <v/>
      </c>
      <c r="L169" s="18">
        <f>IF(B169="","",AND(I169,J169,K169,N169&gt;=MinHistory))</f>
        <v/>
      </c>
      <c r="M169" s="20">
        <f>IF(OR(B169="",'Weekly Input'!H169=0),"",'Weekly Input'!D169/'Weekly Input'!H169*7)</f>
        <v/>
      </c>
      <c r="N169" s="18">
        <f>IF(B169="","",COUNTIFS($B$5:$B$504,B169,$C$5:$C$504,C169,$I$5:$I$504,TRUE,$J$5:$J$504,TRUE,$K$5:$K$504,TRUE))</f>
        <v/>
      </c>
      <c r="O169" s="18">
        <f>IF(B169="","",AND(F169=AsOfWeek,AsOfWeek&lt;&gt;""))</f>
        <v/>
      </c>
      <c r="P169" s="20">
        <f>IF(OR(B169="",AsOfWeek=""),"",IFERROR(SUMIFS($M$5:$M$504,$B$5:$B$504,B169,$C$5:$C$504,C169,$L$5:$L$504,TRUE,$F$5:$F$504,"&gt;="&amp;AsOfWeek-7*(RecentWeeks-1),$F$5:$F$504,"&lt;="&amp;AsOfWeek),""))</f>
        <v/>
      </c>
      <c r="Q169" s="20">
        <f>IF(OR(B169="",AsOfWeek=""),"",IFERROR(SUMIFS($M$5:$M$504,$B$5:$B$504,B169,$C$5:$C$504,C169,$L$5:$L$504,TRUE,$F$5:$F$504,"&gt;="&amp;AsOfWeek-7*(RecentWeeks+PriorWeeks-1),$F$5:$F$504,"&lt;"&amp;AsOfWeek-7*(RecentWeeks-1)),""))</f>
        <v/>
      </c>
      <c r="R169" s="21">
        <f>IF(OR(P169="",Q169="",Q169=0),"",P169/Q169-1)</f>
        <v/>
      </c>
      <c r="S169" s="20">
        <f>IF(OR(C169="",AsOfWeek=""),"",IFERROR(AVERAGEIFS($M$5:$M$504,$C$5:$C$504,C169,$L$5:$L$504,TRUE,$F$5:$F$504,"&gt;="&amp;AsOfWeek-7*(RecentWeeks-1),$F$5:$F$504,"&lt;="&amp;AsOfWeek),""))</f>
        <v/>
      </c>
      <c r="T169" s="21">
        <f>IF(OR(P169="",S169=""),"",P169/S169-1)</f>
        <v/>
      </c>
      <c r="U169" s="22">
        <f>IF(OR(B169="",'Weekly Input'!G169="",P169="",P169=0),"",'Weekly Input'!G169/P169)</f>
        <v/>
      </c>
      <c r="V169" s="18">
        <f>IF(B169="","",IF(NOT(I169),"Not Ready",IF(NOT(K169),"Not Ready",IF(N169&lt;MinHistory,"Not Ready",IF(NOT(J169),"Not Ready",IF(OR(Q169="",Q169=0),"Noise",IF(Q169&lt;LowBaseThreshold,"Noise",IF(AND(R169&lt;=-OwnDecline,T169&lt;=-PeerGapThreshold),"Markdown Review",IF(AND(R169&gt;=ReorderUplift,U169&lt;&gt;"",U169&lt;=WeeksSupplyCap),"Reorder Candidate","Monitor"))))))))</f>
        <v/>
      </c>
      <c r="W169" s="18">
        <f>IF(B169="","",IF(NOT(I169),"INVALID_MASTER",IF(NOT(K169),"INCOMPLETE_SHELF_CYCLE",IF(N169&lt;MinHistory,"INSUFFICIENT_HISTORY",IF(NOT(J169),"INSUFFICIENT_IN_STOCK",IF(OR(Q169="",Q169=0),"NO_PRIOR_BASE",IF(Q169&lt;LowBaseThreshold,"LOW_BASE_NOISE",IF(V169="Markdown Review","MARKDOWN_PEER_GAP",IF(V169="Reorder Candidate","REORDER_UPLIFT_COVER","NO_MATERIAL_CHANGE"))))))))</f>
        <v/>
      </c>
      <c r="X169" s="18">
        <f>IF(V169="Markdown Review","Markdown support",IF(V169="Reorder Candidate","Second reorder",IF(V169="Monitor","Monitor",IF(V169="Noise","Hold / collect data",IF(V169="Not Ready","Not ready","")))))</f>
        <v/>
      </c>
      <c r="Y169" s="18">
        <f>IF(OR(R169="",T169=""),"",ABS(R169)+ABS(T169))</f>
        <v/>
      </c>
      <c r="Z169" s="21">
        <f>IF(OR(B169="",NOT(O169),R169=""),"",IF(ABS(R169)&gt;=MaterialThreshold,"Yes","No"))</f>
        <v/>
      </c>
      <c r="AA169" s="18">
        <f>IF(Z169&lt;&gt;"Yes","",IF(ABS(R169)&gt;=MaterialThreshold,IF(ABS(R169)&gt;=BroadShare,"Broad SKU movement","Store-concentrated movement"),""))</f>
        <v/>
      </c>
      <c r="AB169" s="18">
        <f>IF(O169,IF(COUNTIFS($O$5:O169,TRUE)&gt;0,COUNTIFS($O$5:O169,TRUE),0),0)</f>
        <v/>
      </c>
      <c r="AC169" s="18">
        <f>IF(V169="Markdown Review",1,IF(V169="Reorder Candidate",2,IF(V169="Monitor",3,IF(V169="Noise",4,IF(V169="Not Ready",5,99)))))</f>
        <v/>
      </c>
      <c r="AD169" s="18">
        <f>IF(O169,COUNTIFS($O$5:$O$504,TRUE,$AC$5:$AC$504,"&lt;"&amp;AC169)+COUNTIFS($O$5:O169,TRUE,$AC$5:AC169,AC169,$Y$5:Y169,"&gt;"&amp;Y169),0)</f>
        <v/>
      </c>
    </row>
    <row r="170">
      <c r="A170" s="17">
        <f>IF(COUNTA('Weekly Input'!A170:C170)=0,"",'Weekly Input'!B170&amp;"|"&amp;'Weekly Input'!C170&amp;"|"&amp;TEXT('Weekly Input'!A170,"yyyy-mm-dd"))</f>
        <v/>
      </c>
      <c r="B170" s="18">
        <f>'Weekly Input'!B170</f>
        <v/>
      </c>
      <c r="C170" s="18">
        <f>'Weekly Input'!C170</f>
        <v/>
      </c>
      <c r="D170" s="18">
        <f>IF(B170="","",IFERROR(INDEX('Master Data'!$B$6:$B$145,MATCH(B170,'Master Data'!$A$6:$A$145,0)),""))</f>
        <v/>
      </c>
      <c r="E170" s="18">
        <f>IF(C170="","",IFERROR(INDEX('Master Data'!$H$6:$H$13,MATCH(C170,'Master Data'!$F$6:$F$13,0)),""))</f>
        <v/>
      </c>
      <c r="F170" s="19">
        <f>'Weekly Input'!A170</f>
        <v/>
      </c>
      <c r="G170" s="19">
        <f>IF(B170="","",IFERROR(INDEX('Master Data'!$D$6:$D$145,MATCH(B170,'Master Data'!$A$6:$A$145,0)),""))</f>
        <v/>
      </c>
      <c r="H170" s="18">
        <f>IF(OR(F170="",G170=""),"",F170-G170)</f>
        <v/>
      </c>
      <c r="I170" s="18">
        <f>IF(B170="","",IF('Weekly Input'!J170="OK",TRUE,FALSE))</f>
        <v/>
      </c>
      <c r="J170" s="18">
        <f>IF(B170="","",'Weekly Input'!H170&gt;=MinInStockDays)</f>
        <v/>
      </c>
      <c r="K170" s="18">
        <f>IF(B170="","",H170&gt;=FullCycleMin)</f>
        <v/>
      </c>
      <c r="L170" s="18">
        <f>IF(B170="","",AND(I170,J170,K170,N170&gt;=MinHistory))</f>
        <v/>
      </c>
      <c r="M170" s="20">
        <f>IF(OR(B170="",'Weekly Input'!H170=0),"",'Weekly Input'!D170/'Weekly Input'!H170*7)</f>
        <v/>
      </c>
      <c r="N170" s="18">
        <f>IF(B170="","",COUNTIFS($B$5:$B$504,B170,$C$5:$C$504,C170,$I$5:$I$504,TRUE,$J$5:$J$504,TRUE,$K$5:$K$504,TRUE))</f>
        <v/>
      </c>
      <c r="O170" s="18">
        <f>IF(B170="","",AND(F170=AsOfWeek,AsOfWeek&lt;&gt;""))</f>
        <v/>
      </c>
      <c r="P170" s="20">
        <f>IF(OR(B170="",AsOfWeek=""),"",IFERROR(SUMIFS($M$5:$M$504,$B$5:$B$504,B170,$C$5:$C$504,C170,$L$5:$L$504,TRUE,$F$5:$F$504,"&gt;="&amp;AsOfWeek-7*(RecentWeeks-1),$F$5:$F$504,"&lt;="&amp;AsOfWeek),""))</f>
        <v/>
      </c>
      <c r="Q170" s="20">
        <f>IF(OR(B170="",AsOfWeek=""),"",IFERROR(SUMIFS($M$5:$M$504,$B$5:$B$504,B170,$C$5:$C$504,C170,$L$5:$L$504,TRUE,$F$5:$F$504,"&gt;="&amp;AsOfWeek-7*(RecentWeeks+PriorWeeks-1),$F$5:$F$504,"&lt;"&amp;AsOfWeek-7*(RecentWeeks-1)),""))</f>
        <v/>
      </c>
      <c r="R170" s="21">
        <f>IF(OR(P170="",Q170="",Q170=0),"",P170/Q170-1)</f>
        <v/>
      </c>
      <c r="S170" s="20">
        <f>IF(OR(C170="",AsOfWeek=""),"",IFERROR(AVERAGEIFS($M$5:$M$504,$C$5:$C$504,C170,$L$5:$L$504,TRUE,$F$5:$F$504,"&gt;="&amp;AsOfWeek-7*(RecentWeeks-1),$F$5:$F$504,"&lt;="&amp;AsOfWeek),""))</f>
        <v/>
      </c>
      <c r="T170" s="21">
        <f>IF(OR(P170="",S170=""),"",P170/S170-1)</f>
        <v/>
      </c>
      <c r="U170" s="22">
        <f>IF(OR(B170="",'Weekly Input'!G170="",P170="",P170=0),"",'Weekly Input'!G170/P170)</f>
        <v/>
      </c>
      <c r="V170" s="18">
        <f>IF(B170="","",IF(NOT(I170),"Not Ready",IF(NOT(K170),"Not Ready",IF(N170&lt;MinHistory,"Not Ready",IF(NOT(J170),"Not Ready",IF(OR(Q170="",Q170=0),"Noise",IF(Q170&lt;LowBaseThreshold,"Noise",IF(AND(R170&lt;=-OwnDecline,T170&lt;=-PeerGapThreshold),"Markdown Review",IF(AND(R170&gt;=ReorderUplift,U170&lt;&gt;"",U170&lt;=WeeksSupplyCap),"Reorder Candidate","Monitor"))))))))</f>
        <v/>
      </c>
      <c r="W170" s="18">
        <f>IF(B170="","",IF(NOT(I170),"INVALID_MASTER",IF(NOT(K170),"INCOMPLETE_SHELF_CYCLE",IF(N170&lt;MinHistory,"INSUFFICIENT_HISTORY",IF(NOT(J170),"INSUFFICIENT_IN_STOCK",IF(OR(Q170="",Q170=0),"NO_PRIOR_BASE",IF(Q170&lt;LowBaseThreshold,"LOW_BASE_NOISE",IF(V170="Markdown Review","MARKDOWN_PEER_GAP",IF(V170="Reorder Candidate","REORDER_UPLIFT_COVER","NO_MATERIAL_CHANGE"))))))))</f>
        <v/>
      </c>
      <c r="X170" s="18">
        <f>IF(V170="Markdown Review","Markdown support",IF(V170="Reorder Candidate","Second reorder",IF(V170="Monitor","Monitor",IF(V170="Noise","Hold / collect data",IF(V170="Not Ready","Not ready","")))))</f>
        <v/>
      </c>
      <c r="Y170" s="18">
        <f>IF(OR(R170="",T170=""),"",ABS(R170)+ABS(T170))</f>
        <v/>
      </c>
      <c r="Z170" s="21">
        <f>IF(OR(B170="",NOT(O170),R170=""),"",IF(ABS(R170)&gt;=MaterialThreshold,"Yes","No"))</f>
        <v/>
      </c>
      <c r="AA170" s="18">
        <f>IF(Z170&lt;&gt;"Yes","",IF(ABS(R170)&gt;=MaterialThreshold,IF(ABS(R170)&gt;=BroadShare,"Broad SKU movement","Store-concentrated movement"),""))</f>
        <v/>
      </c>
      <c r="AB170" s="18">
        <f>IF(O170,IF(COUNTIFS($O$5:O170,TRUE)&gt;0,COUNTIFS($O$5:O170,TRUE),0),0)</f>
        <v/>
      </c>
      <c r="AC170" s="18">
        <f>IF(V170="Markdown Review",1,IF(V170="Reorder Candidate",2,IF(V170="Monitor",3,IF(V170="Noise",4,IF(V170="Not Ready",5,99)))))</f>
        <v/>
      </c>
      <c r="AD170" s="18">
        <f>IF(O170,COUNTIFS($O$5:$O$504,TRUE,$AC$5:$AC$504,"&lt;"&amp;AC170)+COUNTIFS($O$5:O170,TRUE,$AC$5:AC170,AC170,$Y$5:Y170,"&gt;"&amp;Y170),0)</f>
        <v/>
      </c>
    </row>
    <row r="171">
      <c r="A171" s="17">
        <f>IF(COUNTA('Weekly Input'!A171:C171)=0,"",'Weekly Input'!B171&amp;"|"&amp;'Weekly Input'!C171&amp;"|"&amp;TEXT('Weekly Input'!A171,"yyyy-mm-dd"))</f>
        <v/>
      </c>
      <c r="B171" s="18">
        <f>'Weekly Input'!B171</f>
        <v/>
      </c>
      <c r="C171" s="18">
        <f>'Weekly Input'!C171</f>
        <v/>
      </c>
      <c r="D171" s="18">
        <f>IF(B171="","",IFERROR(INDEX('Master Data'!$B$6:$B$145,MATCH(B171,'Master Data'!$A$6:$A$145,0)),""))</f>
        <v/>
      </c>
      <c r="E171" s="18">
        <f>IF(C171="","",IFERROR(INDEX('Master Data'!$H$6:$H$13,MATCH(C171,'Master Data'!$F$6:$F$13,0)),""))</f>
        <v/>
      </c>
      <c r="F171" s="19">
        <f>'Weekly Input'!A171</f>
        <v/>
      </c>
      <c r="G171" s="19">
        <f>IF(B171="","",IFERROR(INDEX('Master Data'!$D$6:$D$145,MATCH(B171,'Master Data'!$A$6:$A$145,0)),""))</f>
        <v/>
      </c>
      <c r="H171" s="18">
        <f>IF(OR(F171="",G171=""),"",F171-G171)</f>
        <v/>
      </c>
      <c r="I171" s="18">
        <f>IF(B171="","",IF('Weekly Input'!J171="OK",TRUE,FALSE))</f>
        <v/>
      </c>
      <c r="J171" s="18">
        <f>IF(B171="","",'Weekly Input'!H171&gt;=MinInStockDays)</f>
        <v/>
      </c>
      <c r="K171" s="18">
        <f>IF(B171="","",H171&gt;=FullCycleMin)</f>
        <v/>
      </c>
      <c r="L171" s="18">
        <f>IF(B171="","",AND(I171,J171,K171,N171&gt;=MinHistory))</f>
        <v/>
      </c>
      <c r="M171" s="20">
        <f>IF(OR(B171="",'Weekly Input'!H171=0),"",'Weekly Input'!D171/'Weekly Input'!H171*7)</f>
        <v/>
      </c>
      <c r="N171" s="18">
        <f>IF(B171="","",COUNTIFS($B$5:$B$504,B171,$C$5:$C$504,C171,$I$5:$I$504,TRUE,$J$5:$J$504,TRUE,$K$5:$K$504,TRUE))</f>
        <v/>
      </c>
      <c r="O171" s="18">
        <f>IF(B171="","",AND(F171=AsOfWeek,AsOfWeek&lt;&gt;""))</f>
        <v/>
      </c>
      <c r="P171" s="20">
        <f>IF(OR(B171="",AsOfWeek=""),"",IFERROR(SUMIFS($M$5:$M$504,$B$5:$B$504,B171,$C$5:$C$504,C171,$L$5:$L$504,TRUE,$F$5:$F$504,"&gt;="&amp;AsOfWeek-7*(RecentWeeks-1),$F$5:$F$504,"&lt;="&amp;AsOfWeek),""))</f>
        <v/>
      </c>
      <c r="Q171" s="20">
        <f>IF(OR(B171="",AsOfWeek=""),"",IFERROR(SUMIFS($M$5:$M$504,$B$5:$B$504,B171,$C$5:$C$504,C171,$L$5:$L$504,TRUE,$F$5:$F$504,"&gt;="&amp;AsOfWeek-7*(RecentWeeks+PriorWeeks-1),$F$5:$F$504,"&lt;"&amp;AsOfWeek-7*(RecentWeeks-1)),""))</f>
        <v/>
      </c>
      <c r="R171" s="21">
        <f>IF(OR(P171="",Q171="",Q171=0),"",P171/Q171-1)</f>
        <v/>
      </c>
      <c r="S171" s="20">
        <f>IF(OR(C171="",AsOfWeek=""),"",IFERROR(AVERAGEIFS($M$5:$M$504,$C$5:$C$504,C171,$L$5:$L$504,TRUE,$F$5:$F$504,"&gt;="&amp;AsOfWeek-7*(RecentWeeks-1),$F$5:$F$504,"&lt;="&amp;AsOfWeek),""))</f>
        <v/>
      </c>
      <c r="T171" s="21">
        <f>IF(OR(P171="",S171=""),"",P171/S171-1)</f>
        <v/>
      </c>
      <c r="U171" s="22">
        <f>IF(OR(B171="",'Weekly Input'!G171="",P171="",P171=0),"",'Weekly Input'!G171/P171)</f>
        <v/>
      </c>
      <c r="V171" s="18">
        <f>IF(B171="","",IF(NOT(I171),"Not Ready",IF(NOT(K171),"Not Ready",IF(N171&lt;MinHistory,"Not Ready",IF(NOT(J171),"Not Ready",IF(OR(Q171="",Q171=0),"Noise",IF(Q171&lt;LowBaseThreshold,"Noise",IF(AND(R171&lt;=-OwnDecline,T171&lt;=-PeerGapThreshold),"Markdown Review",IF(AND(R171&gt;=ReorderUplift,U171&lt;&gt;"",U171&lt;=WeeksSupplyCap),"Reorder Candidate","Monitor"))))))))</f>
        <v/>
      </c>
      <c r="W171" s="18">
        <f>IF(B171="","",IF(NOT(I171),"INVALID_MASTER",IF(NOT(K171),"INCOMPLETE_SHELF_CYCLE",IF(N171&lt;MinHistory,"INSUFFICIENT_HISTORY",IF(NOT(J171),"INSUFFICIENT_IN_STOCK",IF(OR(Q171="",Q171=0),"NO_PRIOR_BASE",IF(Q171&lt;LowBaseThreshold,"LOW_BASE_NOISE",IF(V171="Markdown Review","MARKDOWN_PEER_GAP",IF(V171="Reorder Candidate","REORDER_UPLIFT_COVER","NO_MATERIAL_CHANGE"))))))))</f>
        <v/>
      </c>
      <c r="X171" s="18">
        <f>IF(V171="Markdown Review","Markdown support",IF(V171="Reorder Candidate","Second reorder",IF(V171="Monitor","Monitor",IF(V171="Noise","Hold / collect data",IF(V171="Not Ready","Not ready","")))))</f>
        <v/>
      </c>
      <c r="Y171" s="18">
        <f>IF(OR(R171="",T171=""),"",ABS(R171)+ABS(T171))</f>
        <v/>
      </c>
      <c r="Z171" s="21">
        <f>IF(OR(B171="",NOT(O171),R171=""),"",IF(ABS(R171)&gt;=MaterialThreshold,"Yes","No"))</f>
        <v/>
      </c>
      <c r="AA171" s="18">
        <f>IF(Z171&lt;&gt;"Yes","",IF(ABS(R171)&gt;=MaterialThreshold,IF(ABS(R171)&gt;=BroadShare,"Broad SKU movement","Store-concentrated movement"),""))</f>
        <v/>
      </c>
      <c r="AB171" s="18">
        <f>IF(O171,IF(COUNTIFS($O$5:O171,TRUE)&gt;0,COUNTIFS($O$5:O171,TRUE),0),0)</f>
        <v/>
      </c>
      <c r="AC171" s="18">
        <f>IF(V171="Markdown Review",1,IF(V171="Reorder Candidate",2,IF(V171="Monitor",3,IF(V171="Noise",4,IF(V171="Not Ready",5,99)))))</f>
        <v/>
      </c>
      <c r="AD171" s="18">
        <f>IF(O171,COUNTIFS($O$5:$O$504,TRUE,$AC$5:$AC$504,"&lt;"&amp;AC171)+COUNTIFS($O$5:O171,TRUE,$AC$5:AC171,AC171,$Y$5:Y171,"&gt;"&amp;Y171),0)</f>
        <v/>
      </c>
    </row>
    <row r="172">
      <c r="A172" s="17">
        <f>IF(COUNTA('Weekly Input'!A172:C172)=0,"",'Weekly Input'!B172&amp;"|"&amp;'Weekly Input'!C172&amp;"|"&amp;TEXT('Weekly Input'!A172,"yyyy-mm-dd"))</f>
        <v/>
      </c>
      <c r="B172" s="18">
        <f>'Weekly Input'!B172</f>
        <v/>
      </c>
      <c r="C172" s="18">
        <f>'Weekly Input'!C172</f>
        <v/>
      </c>
      <c r="D172" s="18">
        <f>IF(B172="","",IFERROR(INDEX('Master Data'!$B$6:$B$145,MATCH(B172,'Master Data'!$A$6:$A$145,0)),""))</f>
        <v/>
      </c>
      <c r="E172" s="18">
        <f>IF(C172="","",IFERROR(INDEX('Master Data'!$H$6:$H$13,MATCH(C172,'Master Data'!$F$6:$F$13,0)),""))</f>
        <v/>
      </c>
      <c r="F172" s="19">
        <f>'Weekly Input'!A172</f>
        <v/>
      </c>
      <c r="G172" s="19">
        <f>IF(B172="","",IFERROR(INDEX('Master Data'!$D$6:$D$145,MATCH(B172,'Master Data'!$A$6:$A$145,0)),""))</f>
        <v/>
      </c>
      <c r="H172" s="18">
        <f>IF(OR(F172="",G172=""),"",F172-G172)</f>
        <v/>
      </c>
      <c r="I172" s="18">
        <f>IF(B172="","",IF('Weekly Input'!J172="OK",TRUE,FALSE))</f>
        <v/>
      </c>
      <c r="J172" s="18">
        <f>IF(B172="","",'Weekly Input'!H172&gt;=MinInStockDays)</f>
        <v/>
      </c>
      <c r="K172" s="18">
        <f>IF(B172="","",H172&gt;=FullCycleMin)</f>
        <v/>
      </c>
      <c r="L172" s="18">
        <f>IF(B172="","",AND(I172,J172,K172,N172&gt;=MinHistory))</f>
        <v/>
      </c>
      <c r="M172" s="20">
        <f>IF(OR(B172="",'Weekly Input'!H172=0),"",'Weekly Input'!D172/'Weekly Input'!H172*7)</f>
        <v/>
      </c>
      <c r="N172" s="18">
        <f>IF(B172="","",COUNTIFS($B$5:$B$504,B172,$C$5:$C$504,C172,$I$5:$I$504,TRUE,$J$5:$J$504,TRUE,$K$5:$K$504,TRUE))</f>
        <v/>
      </c>
      <c r="O172" s="18">
        <f>IF(B172="","",AND(F172=AsOfWeek,AsOfWeek&lt;&gt;""))</f>
        <v/>
      </c>
      <c r="P172" s="20">
        <f>IF(OR(B172="",AsOfWeek=""),"",IFERROR(SUMIFS($M$5:$M$504,$B$5:$B$504,B172,$C$5:$C$504,C172,$L$5:$L$504,TRUE,$F$5:$F$504,"&gt;="&amp;AsOfWeek-7*(RecentWeeks-1),$F$5:$F$504,"&lt;="&amp;AsOfWeek),""))</f>
        <v/>
      </c>
      <c r="Q172" s="20">
        <f>IF(OR(B172="",AsOfWeek=""),"",IFERROR(SUMIFS($M$5:$M$504,$B$5:$B$504,B172,$C$5:$C$504,C172,$L$5:$L$504,TRUE,$F$5:$F$504,"&gt;="&amp;AsOfWeek-7*(RecentWeeks+PriorWeeks-1),$F$5:$F$504,"&lt;"&amp;AsOfWeek-7*(RecentWeeks-1)),""))</f>
        <v/>
      </c>
      <c r="R172" s="21">
        <f>IF(OR(P172="",Q172="",Q172=0),"",P172/Q172-1)</f>
        <v/>
      </c>
      <c r="S172" s="20">
        <f>IF(OR(C172="",AsOfWeek=""),"",IFERROR(AVERAGEIFS($M$5:$M$504,$C$5:$C$504,C172,$L$5:$L$504,TRUE,$F$5:$F$504,"&gt;="&amp;AsOfWeek-7*(RecentWeeks-1),$F$5:$F$504,"&lt;="&amp;AsOfWeek),""))</f>
        <v/>
      </c>
      <c r="T172" s="21">
        <f>IF(OR(P172="",S172=""),"",P172/S172-1)</f>
        <v/>
      </c>
      <c r="U172" s="22">
        <f>IF(OR(B172="",'Weekly Input'!G172="",P172="",P172=0),"",'Weekly Input'!G172/P172)</f>
        <v/>
      </c>
      <c r="V172" s="18">
        <f>IF(B172="","",IF(NOT(I172),"Not Ready",IF(NOT(K172),"Not Ready",IF(N172&lt;MinHistory,"Not Ready",IF(NOT(J172),"Not Ready",IF(OR(Q172="",Q172=0),"Noise",IF(Q172&lt;LowBaseThreshold,"Noise",IF(AND(R172&lt;=-OwnDecline,T172&lt;=-PeerGapThreshold),"Markdown Review",IF(AND(R172&gt;=ReorderUplift,U172&lt;&gt;"",U172&lt;=WeeksSupplyCap),"Reorder Candidate","Monitor"))))))))</f>
        <v/>
      </c>
      <c r="W172" s="18">
        <f>IF(B172="","",IF(NOT(I172),"INVALID_MASTER",IF(NOT(K172),"INCOMPLETE_SHELF_CYCLE",IF(N172&lt;MinHistory,"INSUFFICIENT_HISTORY",IF(NOT(J172),"INSUFFICIENT_IN_STOCK",IF(OR(Q172="",Q172=0),"NO_PRIOR_BASE",IF(Q172&lt;LowBaseThreshold,"LOW_BASE_NOISE",IF(V172="Markdown Review","MARKDOWN_PEER_GAP",IF(V172="Reorder Candidate","REORDER_UPLIFT_COVER","NO_MATERIAL_CHANGE"))))))))</f>
        <v/>
      </c>
      <c r="X172" s="18">
        <f>IF(V172="Markdown Review","Markdown support",IF(V172="Reorder Candidate","Second reorder",IF(V172="Monitor","Monitor",IF(V172="Noise","Hold / collect data",IF(V172="Not Ready","Not ready","")))))</f>
        <v/>
      </c>
      <c r="Y172" s="18">
        <f>IF(OR(R172="",T172=""),"",ABS(R172)+ABS(T172))</f>
        <v/>
      </c>
      <c r="Z172" s="21">
        <f>IF(OR(B172="",NOT(O172),R172=""),"",IF(ABS(R172)&gt;=MaterialThreshold,"Yes","No"))</f>
        <v/>
      </c>
      <c r="AA172" s="18">
        <f>IF(Z172&lt;&gt;"Yes","",IF(ABS(R172)&gt;=MaterialThreshold,IF(ABS(R172)&gt;=BroadShare,"Broad SKU movement","Store-concentrated movement"),""))</f>
        <v/>
      </c>
      <c r="AB172" s="18">
        <f>IF(O172,IF(COUNTIFS($O$5:O172,TRUE)&gt;0,COUNTIFS($O$5:O172,TRUE),0),0)</f>
        <v/>
      </c>
      <c r="AC172" s="18">
        <f>IF(V172="Markdown Review",1,IF(V172="Reorder Candidate",2,IF(V172="Monitor",3,IF(V172="Noise",4,IF(V172="Not Ready",5,99)))))</f>
        <v/>
      </c>
      <c r="AD172" s="18">
        <f>IF(O172,COUNTIFS($O$5:$O$504,TRUE,$AC$5:$AC$504,"&lt;"&amp;AC172)+COUNTIFS($O$5:O172,TRUE,$AC$5:AC172,AC172,$Y$5:Y172,"&gt;"&amp;Y172),0)</f>
        <v/>
      </c>
    </row>
    <row r="173">
      <c r="A173" s="17">
        <f>IF(COUNTA('Weekly Input'!A173:C173)=0,"",'Weekly Input'!B173&amp;"|"&amp;'Weekly Input'!C173&amp;"|"&amp;TEXT('Weekly Input'!A173,"yyyy-mm-dd"))</f>
        <v/>
      </c>
      <c r="B173" s="18">
        <f>'Weekly Input'!B173</f>
        <v/>
      </c>
      <c r="C173" s="18">
        <f>'Weekly Input'!C173</f>
        <v/>
      </c>
      <c r="D173" s="18">
        <f>IF(B173="","",IFERROR(INDEX('Master Data'!$B$6:$B$145,MATCH(B173,'Master Data'!$A$6:$A$145,0)),""))</f>
        <v/>
      </c>
      <c r="E173" s="18">
        <f>IF(C173="","",IFERROR(INDEX('Master Data'!$H$6:$H$13,MATCH(C173,'Master Data'!$F$6:$F$13,0)),""))</f>
        <v/>
      </c>
      <c r="F173" s="19">
        <f>'Weekly Input'!A173</f>
        <v/>
      </c>
      <c r="G173" s="19">
        <f>IF(B173="","",IFERROR(INDEX('Master Data'!$D$6:$D$145,MATCH(B173,'Master Data'!$A$6:$A$145,0)),""))</f>
        <v/>
      </c>
      <c r="H173" s="18">
        <f>IF(OR(F173="",G173=""),"",F173-G173)</f>
        <v/>
      </c>
      <c r="I173" s="18">
        <f>IF(B173="","",IF('Weekly Input'!J173="OK",TRUE,FALSE))</f>
        <v/>
      </c>
      <c r="J173" s="18">
        <f>IF(B173="","",'Weekly Input'!H173&gt;=MinInStockDays)</f>
        <v/>
      </c>
      <c r="K173" s="18">
        <f>IF(B173="","",H173&gt;=FullCycleMin)</f>
        <v/>
      </c>
      <c r="L173" s="18">
        <f>IF(B173="","",AND(I173,J173,K173,N173&gt;=MinHistory))</f>
        <v/>
      </c>
      <c r="M173" s="20">
        <f>IF(OR(B173="",'Weekly Input'!H173=0),"",'Weekly Input'!D173/'Weekly Input'!H173*7)</f>
        <v/>
      </c>
      <c r="N173" s="18">
        <f>IF(B173="","",COUNTIFS($B$5:$B$504,B173,$C$5:$C$504,C173,$I$5:$I$504,TRUE,$J$5:$J$504,TRUE,$K$5:$K$504,TRUE))</f>
        <v/>
      </c>
      <c r="O173" s="18">
        <f>IF(B173="","",AND(F173=AsOfWeek,AsOfWeek&lt;&gt;""))</f>
        <v/>
      </c>
      <c r="P173" s="20">
        <f>IF(OR(B173="",AsOfWeek=""),"",IFERROR(SUMIFS($M$5:$M$504,$B$5:$B$504,B173,$C$5:$C$504,C173,$L$5:$L$504,TRUE,$F$5:$F$504,"&gt;="&amp;AsOfWeek-7*(RecentWeeks-1),$F$5:$F$504,"&lt;="&amp;AsOfWeek),""))</f>
        <v/>
      </c>
      <c r="Q173" s="20">
        <f>IF(OR(B173="",AsOfWeek=""),"",IFERROR(SUMIFS($M$5:$M$504,$B$5:$B$504,B173,$C$5:$C$504,C173,$L$5:$L$504,TRUE,$F$5:$F$504,"&gt;="&amp;AsOfWeek-7*(RecentWeeks+PriorWeeks-1),$F$5:$F$504,"&lt;"&amp;AsOfWeek-7*(RecentWeeks-1)),""))</f>
        <v/>
      </c>
      <c r="R173" s="21">
        <f>IF(OR(P173="",Q173="",Q173=0),"",P173/Q173-1)</f>
        <v/>
      </c>
      <c r="S173" s="20">
        <f>IF(OR(C173="",AsOfWeek=""),"",IFERROR(AVERAGEIFS($M$5:$M$504,$C$5:$C$504,C173,$L$5:$L$504,TRUE,$F$5:$F$504,"&gt;="&amp;AsOfWeek-7*(RecentWeeks-1),$F$5:$F$504,"&lt;="&amp;AsOfWeek),""))</f>
        <v/>
      </c>
      <c r="T173" s="21">
        <f>IF(OR(P173="",S173=""),"",P173/S173-1)</f>
        <v/>
      </c>
      <c r="U173" s="22">
        <f>IF(OR(B173="",'Weekly Input'!G173="",P173="",P173=0),"",'Weekly Input'!G173/P173)</f>
        <v/>
      </c>
      <c r="V173" s="18">
        <f>IF(B173="","",IF(NOT(I173),"Not Ready",IF(NOT(K173),"Not Ready",IF(N173&lt;MinHistory,"Not Ready",IF(NOT(J173),"Not Ready",IF(OR(Q173="",Q173=0),"Noise",IF(Q173&lt;LowBaseThreshold,"Noise",IF(AND(R173&lt;=-OwnDecline,T173&lt;=-PeerGapThreshold),"Markdown Review",IF(AND(R173&gt;=ReorderUplift,U173&lt;&gt;"",U173&lt;=WeeksSupplyCap),"Reorder Candidate","Monitor"))))))))</f>
        <v/>
      </c>
      <c r="W173" s="18">
        <f>IF(B173="","",IF(NOT(I173),"INVALID_MASTER",IF(NOT(K173),"INCOMPLETE_SHELF_CYCLE",IF(N173&lt;MinHistory,"INSUFFICIENT_HISTORY",IF(NOT(J173),"INSUFFICIENT_IN_STOCK",IF(OR(Q173="",Q173=0),"NO_PRIOR_BASE",IF(Q173&lt;LowBaseThreshold,"LOW_BASE_NOISE",IF(V173="Markdown Review","MARKDOWN_PEER_GAP",IF(V173="Reorder Candidate","REORDER_UPLIFT_COVER","NO_MATERIAL_CHANGE"))))))))</f>
        <v/>
      </c>
      <c r="X173" s="18">
        <f>IF(V173="Markdown Review","Markdown support",IF(V173="Reorder Candidate","Second reorder",IF(V173="Monitor","Monitor",IF(V173="Noise","Hold / collect data",IF(V173="Not Ready","Not ready","")))))</f>
        <v/>
      </c>
      <c r="Y173" s="18">
        <f>IF(OR(R173="",T173=""),"",ABS(R173)+ABS(T173))</f>
        <v/>
      </c>
      <c r="Z173" s="21">
        <f>IF(OR(B173="",NOT(O173),R173=""),"",IF(ABS(R173)&gt;=MaterialThreshold,"Yes","No"))</f>
        <v/>
      </c>
      <c r="AA173" s="18">
        <f>IF(Z173&lt;&gt;"Yes","",IF(ABS(R173)&gt;=MaterialThreshold,IF(ABS(R173)&gt;=BroadShare,"Broad SKU movement","Store-concentrated movement"),""))</f>
        <v/>
      </c>
      <c r="AB173" s="18">
        <f>IF(O173,IF(COUNTIFS($O$5:O173,TRUE)&gt;0,COUNTIFS($O$5:O173,TRUE),0),0)</f>
        <v/>
      </c>
      <c r="AC173" s="18">
        <f>IF(V173="Markdown Review",1,IF(V173="Reorder Candidate",2,IF(V173="Monitor",3,IF(V173="Noise",4,IF(V173="Not Ready",5,99)))))</f>
        <v/>
      </c>
      <c r="AD173" s="18">
        <f>IF(O173,COUNTIFS($O$5:$O$504,TRUE,$AC$5:$AC$504,"&lt;"&amp;AC173)+COUNTIFS($O$5:O173,TRUE,$AC$5:AC173,AC173,$Y$5:Y173,"&gt;"&amp;Y173),0)</f>
        <v/>
      </c>
    </row>
    <row r="174">
      <c r="A174" s="17">
        <f>IF(COUNTA('Weekly Input'!A174:C174)=0,"",'Weekly Input'!B174&amp;"|"&amp;'Weekly Input'!C174&amp;"|"&amp;TEXT('Weekly Input'!A174,"yyyy-mm-dd"))</f>
        <v/>
      </c>
      <c r="B174" s="18">
        <f>'Weekly Input'!B174</f>
        <v/>
      </c>
      <c r="C174" s="18">
        <f>'Weekly Input'!C174</f>
        <v/>
      </c>
      <c r="D174" s="18">
        <f>IF(B174="","",IFERROR(INDEX('Master Data'!$B$6:$B$145,MATCH(B174,'Master Data'!$A$6:$A$145,0)),""))</f>
        <v/>
      </c>
      <c r="E174" s="18">
        <f>IF(C174="","",IFERROR(INDEX('Master Data'!$H$6:$H$13,MATCH(C174,'Master Data'!$F$6:$F$13,0)),""))</f>
        <v/>
      </c>
      <c r="F174" s="19">
        <f>'Weekly Input'!A174</f>
        <v/>
      </c>
      <c r="G174" s="19">
        <f>IF(B174="","",IFERROR(INDEX('Master Data'!$D$6:$D$145,MATCH(B174,'Master Data'!$A$6:$A$145,0)),""))</f>
        <v/>
      </c>
      <c r="H174" s="18">
        <f>IF(OR(F174="",G174=""),"",F174-G174)</f>
        <v/>
      </c>
      <c r="I174" s="18">
        <f>IF(B174="","",IF('Weekly Input'!J174="OK",TRUE,FALSE))</f>
        <v/>
      </c>
      <c r="J174" s="18">
        <f>IF(B174="","",'Weekly Input'!H174&gt;=MinInStockDays)</f>
        <v/>
      </c>
      <c r="K174" s="18">
        <f>IF(B174="","",H174&gt;=FullCycleMin)</f>
        <v/>
      </c>
      <c r="L174" s="18">
        <f>IF(B174="","",AND(I174,J174,K174,N174&gt;=MinHistory))</f>
        <v/>
      </c>
      <c r="M174" s="20">
        <f>IF(OR(B174="",'Weekly Input'!H174=0),"",'Weekly Input'!D174/'Weekly Input'!H174*7)</f>
        <v/>
      </c>
      <c r="N174" s="18">
        <f>IF(B174="","",COUNTIFS($B$5:$B$504,B174,$C$5:$C$504,C174,$I$5:$I$504,TRUE,$J$5:$J$504,TRUE,$K$5:$K$504,TRUE))</f>
        <v/>
      </c>
      <c r="O174" s="18">
        <f>IF(B174="","",AND(F174=AsOfWeek,AsOfWeek&lt;&gt;""))</f>
        <v/>
      </c>
      <c r="P174" s="20">
        <f>IF(OR(B174="",AsOfWeek=""),"",IFERROR(SUMIFS($M$5:$M$504,$B$5:$B$504,B174,$C$5:$C$504,C174,$L$5:$L$504,TRUE,$F$5:$F$504,"&gt;="&amp;AsOfWeek-7*(RecentWeeks-1),$F$5:$F$504,"&lt;="&amp;AsOfWeek),""))</f>
        <v/>
      </c>
      <c r="Q174" s="20">
        <f>IF(OR(B174="",AsOfWeek=""),"",IFERROR(SUMIFS($M$5:$M$504,$B$5:$B$504,B174,$C$5:$C$504,C174,$L$5:$L$504,TRUE,$F$5:$F$504,"&gt;="&amp;AsOfWeek-7*(RecentWeeks+PriorWeeks-1),$F$5:$F$504,"&lt;"&amp;AsOfWeek-7*(RecentWeeks-1)),""))</f>
        <v/>
      </c>
      <c r="R174" s="21">
        <f>IF(OR(P174="",Q174="",Q174=0),"",P174/Q174-1)</f>
        <v/>
      </c>
      <c r="S174" s="20">
        <f>IF(OR(C174="",AsOfWeek=""),"",IFERROR(AVERAGEIFS($M$5:$M$504,$C$5:$C$504,C174,$L$5:$L$504,TRUE,$F$5:$F$504,"&gt;="&amp;AsOfWeek-7*(RecentWeeks-1),$F$5:$F$504,"&lt;="&amp;AsOfWeek),""))</f>
        <v/>
      </c>
      <c r="T174" s="21">
        <f>IF(OR(P174="",S174=""),"",P174/S174-1)</f>
        <v/>
      </c>
      <c r="U174" s="22">
        <f>IF(OR(B174="",'Weekly Input'!G174="",P174="",P174=0),"",'Weekly Input'!G174/P174)</f>
        <v/>
      </c>
      <c r="V174" s="18">
        <f>IF(B174="","",IF(NOT(I174),"Not Ready",IF(NOT(K174),"Not Ready",IF(N174&lt;MinHistory,"Not Ready",IF(NOT(J174),"Not Ready",IF(OR(Q174="",Q174=0),"Noise",IF(Q174&lt;LowBaseThreshold,"Noise",IF(AND(R174&lt;=-OwnDecline,T174&lt;=-PeerGapThreshold),"Markdown Review",IF(AND(R174&gt;=ReorderUplift,U174&lt;&gt;"",U174&lt;=WeeksSupplyCap),"Reorder Candidate","Monitor"))))))))</f>
        <v/>
      </c>
      <c r="W174" s="18">
        <f>IF(B174="","",IF(NOT(I174),"INVALID_MASTER",IF(NOT(K174),"INCOMPLETE_SHELF_CYCLE",IF(N174&lt;MinHistory,"INSUFFICIENT_HISTORY",IF(NOT(J174),"INSUFFICIENT_IN_STOCK",IF(OR(Q174="",Q174=0),"NO_PRIOR_BASE",IF(Q174&lt;LowBaseThreshold,"LOW_BASE_NOISE",IF(V174="Markdown Review","MARKDOWN_PEER_GAP",IF(V174="Reorder Candidate","REORDER_UPLIFT_COVER","NO_MATERIAL_CHANGE"))))))))</f>
        <v/>
      </c>
      <c r="X174" s="18">
        <f>IF(V174="Markdown Review","Markdown support",IF(V174="Reorder Candidate","Second reorder",IF(V174="Monitor","Monitor",IF(V174="Noise","Hold / collect data",IF(V174="Not Ready","Not ready","")))))</f>
        <v/>
      </c>
      <c r="Y174" s="18">
        <f>IF(OR(R174="",T174=""),"",ABS(R174)+ABS(T174))</f>
        <v/>
      </c>
      <c r="Z174" s="21">
        <f>IF(OR(B174="",NOT(O174),R174=""),"",IF(ABS(R174)&gt;=MaterialThreshold,"Yes","No"))</f>
        <v/>
      </c>
      <c r="AA174" s="18">
        <f>IF(Z174&lt;&gt;"Yes","",IF(ABS(R174)&gt;=MaterialThreshold,IF(ABS(R174)&gt;=BroadShare,"Broad SKU movement","Store-concentrated movement"),""))</f>
        <v/>
      </c>
      <c r="AB174" s="18">
        <f>IF(O174,IF(COUNTIFS($O$5:O174,TRUE)&gt;0,COUNTIFS($O$5:O174,TRUE),0),0)</f>
        <v/>
      </c>
      <c r="AC174" s="18">
        <f>IF(V174="Markdown Review",1,IF(V174="Reorder Candidate",2,IF(V174="Monitor",3,IF(V174="Noise",4,IF(V174="Not Ready",5,99)))))</f>
        <v/>
      </c>
      <c r="AD174" s="18">
        <f>IF(O174,COUNTIFS($O$5:$O$504,TRUE,$AC$5:$AC$504,"&lt;"&amp;AC174)+COUNTIFS($O$5:O174,TRUE,$AC$5:AC174,AC174,$Y$5:Y174,"&gt;"&amp;Y174),0)</f>
        <v/>
      </c>
    </row>
    <row r="175">
      <c r="A175" s="17">
        <f>IF(COUNTA('Weekly Input'!A175:C175)=0,"",'Weekly Input'!B175&amp;"|"&amp;'Weekly Input'!C175&amp;"|"&amp;TEXT('Weekly Input'!A175,"yyyy-mm-dd"))</f>
        <v/>
      </c>
      <c r="B175" s="18">
        <f>'Weekly Input'!B175</f>
        <v/>
      </c>
      <c r="C175" s="18">
        <f>'Weekly Input'!C175</f>
        <v/>
      </c>
      <c r="D175" s="18">
        <f>IF(B175="","",IFERROR(INDEX('Master Data'!$B$6:$B$145,MATCH(B175,'Master Data'!$A$6:$A$145,0)),""))</f>
        <v/>
      </c>
      <c r="E175" s="18">
        <f>IF(C175="","",IFERROR(INDEX('Master Data'!$H$6:$H$13,MATCH(C175,'Master Data'!$F$6:$F$13,0)),""))</f>
        <v/>
      </c>
      <c r="F175" s="19">
        <f>'Weekly Input'!A175</f>
        <v/>
      </c>
      <c r="G175" s="19">
        <f>IF(B175="","",IFERROR(INDEX('Master Data'!$D$6:$D$145,MATCH(B175,'Master Data'!$A$6:$A$145,0)),""))</f>
        <v/>
      </c>
      <c r="H175" s="18">
        <f>IF(OR(F175="",G175=""),"",F175-G175)</f>
        <v/>
      </c>
      <c r="I175" s="18">
        <f>IF(B175="","",IF('Weekly Input'!J175="OK",TRUE,FALSE))</f>
        <v/>
      </c>
      <c r="J175" s="18">
        <f>IF(B175="","",'Weekly Input'!H175&gt;=MinInStockDays)</f>
        <v/>
      </c>
      <c r="K175" s="18">
        <f>IF(B175="","",H175&gt;=FullCycleMin)</f>
        <v/>
      </c>
      <c r="L175" s="18">
        <f>IF(B175="","",AND(I175,J175,K175,N175&gt;=MinHistory))</f>
        <v/>
      </c>
      <c r="M175" s="20">
        <f>IF(OR(B175="",'Weekly Input'!H175=0),"",'Weekly Input'!D175/'Weekly Input'!H175*7)</f>
        <v/>
      </c>
      <c r="N175" s="18">
        <f>IF(B175="","",COUNTIFS($B$5:$B$504,B175,$C$5:$C$504,C175,$I$5:$I$504,TRUE,$J$5:$J$504,TRUE,$K$5:$K$504,TRUE))</f>
        <v/>
      </c>
      <c r="O175" s="18">
        <f>IF(B175="","",AND(F175=AsOfWeek,AsOfWeek&lt;&gt;""))</f>
        <v/>
      </c>
      <c r="P175" s="20">
        <f>IF(OR(B175="",AsOfWeek=""),"",IFERROR(SUMIFS($M$5:$M$504,$B$5:$B$504,B175,$C$5:$C$504,C175,$L$5:$L$504,TRUE,$F$5:$F$504,"&gt;="&amp;AsOfWeek-7*(RecentWeeks-1),$F$5:$F$504,"&lt;="&amp;AsOfWeek),""))</f>
        <v/>
      </c>
      <c r="Q175" s="20">
        <f>IF(OR(B175="",AsOfWeek=""),"",IFERROR(SUMIFS($M$5:$M$504,$B$5:$B$504,B175,$C$5:$C$504,C175,$L$5:$L$504,TRUE,$F$5:$F$504,"&gt;="&amp;AsOfWeek-7*(RecentWeeks+PriorWeeks-1),$F$5:$F$504,"&lt;"&amp;AsOfWeek-7*(RecentWeeks-1)),""))</f>
        <v/>
      </c>
      <c r="R175" s="21">
        <f>IF(OR(P175="",Q175="",Q175=0),"",P175/Q175-1)</f>
        <v/>
      </c>
      <c r="S175" s="20">
        <f>IF(OR(C175="",AsOfWeek=""),"",IFERROR(AVERAGEIFS($M$5:$M$504,$C$5:$C$504,C175,$L$5:$L$504,TRUE,$F$5:$F$504,"&gt;="&amp;AsOfWeek-7*(RecentWeeks-1),$F$5:$F$504,"&lt;="&amp;AsOfWeek),""))</f>
        <v/>
      </c>
      <c r="T175" s="21">
        <f>IF(OR(P175="",S175=""),"",P175/S175-1)</f>
        <v/>
      </c>
      <c r="U175" s="22">
        <f>IF(OR(B175="",'Weekly Input'!G175="",P175="",P175=0),"",'Weekly Input'!G175/P175)</f>
        <v/>
      </c>
      <c r="V175" s="18">
        <f>IF(B175="","",IF(NOT(I175),"Not Ready",IF(NOT(K175),"Not Ready",IF(N175&lt;MinHistory,"Not Ready",IF(NOT(J175),"Not Ready",IF(OR(Q175="",Q175=0),"Noise",IF(Q175&lt;LowBaseThreshold,"Noise",IF(AND(R175&lt;=-OwnDecline,T175&lt;=-PeerGapThreshold),"Markdown Review",IF(AND(R175&gt;=ReorderUplift,U175&lt;&gt;"",U175&lt;=WeeksSupplyCap),"Reorder Candidate","Monitor"))))))))</f>
        <v/>
      </c>
      <c r="W175" s="18">
        <f>IF(B175="","",IF(NOT(I175),"INVALID_MASTER",IF(NOT(K175),"INCOMPLETE_SHELF_CYCLE",IF(N175&lt;MinHistory,"INSUFFICIENT_HISTORY",IF(NOT(J175),"INSUFFICIENT_IN_STOCK",IF(OR(Q175="",Q175=0),"NO_PRIOR_BASE",IF(Q175&lt;LowBaseThreshold,"LOW_BASE_NOISE",IF(V175="Markdown Review","MARKDOWN_PEER_GAP",IF(V175="Reorder Candidate","REORDER_UPLIFT_COVER","NO_MATERIAL_CHANGE"))))))))</f>
        <v/>
      </c>
      <c r="X175" s="18">
        <f>IF(V175="Markdown Review","Markdown support",IF(V175="Reorder Candidate","Second reorder",IF(V175="Monitor","Monitor",IF(V175="Noise","Hold / collect data",IF(V175="Not Ready","Not ready","")))))</f>
        <v/>
      </c>
      <c r="Y175" s="18">
        <f>IF(OR(R175="",T175=""),"",ABS(R175)+ABS(T175))</f>
        <v/>
      </c>
      <c r="Z175" s="21">
        <f>IF(OR(B175="",NOT(O175),R175=""),"",IF(ABS(R175)&gt;=MaterialThreshold,"Yes","No"))</f>
        <v/>
      </c>
      <c r="AA175" s="18">
        <f>IF(Z175&lt;&gt;"Yes","",IF(ABS(R175)&gt;=MaterialThreshold,IF(ABS(R175)&gt;=BroadShare,"Broad SKU movement","Store-concentrated movement"),""))</f>
        <v/>
      </c>
      <c r="AB175" s="18">
        <f>IF(O175,IF(COUNTIFS($O$5:O175,TRUE)&gt;0,COUNTIFS($O$5:O175,TRUE),0),0)</f>
        <v/>
      </c>
      <c r="AC175" s="18">
        <f>IF(V175="Markdown Review",1,IF(V175="Reorder Candidate",2,IF(V175="Monitor",3,IF(V175="Noise",4,IF(V175="Not Ready",5,99)))))</f>
        <v/>
      </c>
      <c r="AD175" s="18">
        <f>IF(O175,COUNTIFS($O$5:$O$504,TRUE,$AC$5:$AC$504,"&lt;"&amp;AC175)+COUNTIFS($O$5:O175,TRUE,$AC$5:AC175,AC175,$Y$5:Y175,"&gt;"&amp;Y175),0)</f>
        <v/>
      </c>
    </row>
    <row r="176">
      <c r="A176" s="17">
        <f>IF(COUNTA('Weekly Input'!A176:C176)=0,"",'Weekly Input'!B176&amp;"|"&amp;'Weekly Input'!C176&amp;"|"&amp;TEXT('Weekly Input'!A176,"yyyy-mm-dd"))</f>
        <v/>
      </c>
      <c r="B176" s="18">
        <f>'Weekly Input'!B176</f>
        <v/>
      </c>
      <c r="C176" s="18">
        <f>'Weekly Input'!C176</f>
        <v/>
      </c>
      <c r="D176" s="18">
        <f>IF(B176="","",IFERROR(INDEX('Master Data'!$B$6:$B$145,MATCH(B176,'Master Data'!$A$6:$A$145,0)),""))</f>
        <v/>
      </c>
      <c r="E176" s="18">
        <f>IF(C176="","",IFERROR(INDEX('Master Data'!$H$6:$H$13,MATCH(C176,'Master Data'!$F$6:$F$13,0)),""))</f>
        <v/>
      </c>
      <c r="F176" s="19">
        <f>'Weekly Input'!A176</f>
        <v/>
      </c>
      <c r="G176" s="19">
        <f>IF(B176="","",IFERROR(INDEX('Master Data'!$D$6:$D$145,MATCH(B176,'Master Data'!$A$6:$A$145,0)),""))</f>
        <v/>
      </c>
      <c r="H176" s="18">
        <f>IF(OR(F176="",G176=""),"",F176-G176)</f>
        <v/>
      </c>
      <c r="I176" s="18">
        <f>IF(B176="","",IF('Weekly Input'!J176="OK",TRUE,FALSE))</f>
        <v/>
      </c>
      <c r="J176" s="18">
        <f>IF(B176="","",'Weekly Input'!H176&gt;=MinInStockDays)</f>
        <v/>
      </c>
      <c r="K176" s="18">
        <f>IF(B176="","",H176&gt;=FullCycleMin)</f>
        <v/>
      </c>
      <c r="L176" s="18">
        <f>IF(B176="","",AND(I176,J176,K176,N176&gt;=MinHistory))</f>
        <v/>
      </c>
      <c r="M176" s="20">
        <f>IF(OR(B176="",'Weekly Input'!H176=0),"",'Weekly Input'!D176/'Weekly Input'!H176*7)</f>
        <v/>
      </c>
      <c r="N176" s="18">
        <f>IF(B176="","",COUNTIFS($B$5:$B$504,B176,$C$5:$C$504,C176,$I$5:$I$504,TRUE,$J$5:$J$504,TRUE,$K$5:$K$504,TRUE))</f>
        <v/>
      </c>
      <c r="O176" s="18">
        <f>IF(B176="","",AND(F176=AsOfWeek,AsOfWeek&lt;&gt;""))</f>
        <v/>
      </c>
      <c r="P176" s="20">
        <f>IF(OR(B176="",AsOfWeek=""),"",IFERROR(SUMIFS($M$5:$M$504,$B$5:$B$504,B176,$C$5:$C$504,C176,$L$5:$L$504,TRUE,$F$5:$F$504,"&gt;="&amp;AsOfWeek-7*(RecentWeeks-1),$F$5:$F$504,"&lt;="&amp;AsOfWeek),""))</f>
        <v/>
      </c>
      <c r="Q176" s="20">
        <f>IF(OR(B176="",AsOfWeek=""),"",IFERROR(SUMIFS($M$5:$M$504,$B$5:$B$504,B176,$C$5:$C$504,C176,$L$5:$L$504,TRUE,$F$5:$F$504,"&gt;="&amp;AsOfWeek-7*(RecentWeeks+PriorWeeks-1),$F$5:$F$504,"&lt;"&amp;AsOfWeek-7*(RecentWeeks-1)),""))</f>
        <v/>
      </c>
      <c r="R176" s="21">
        <f>IF(OR(P176="",Q176="",Q176=0),"",P176/Q176-1)</f>
        <v/>
      </c>
      <c r="S176" s="20">
        <f>IF(OR(C176="",AsOfWeek=""),"",IFERROR(AVERAGEIFS($M$5:$M$504,$C$5:$C$504,C176,$L$5:$L$504,TRUE,$F$5:$F$504,"&gt;="&amp;AsOfWeek-7*(RecentWeeks-1),$F$5:$F$504,"&lt;="&amp;AsOfWeek),""))</f>
        <v/>
      </c>
      <c r="T176" s="21">
        <f>IF(OR(P176="",S176=""),"",P176/S176-1)</f>
        <v/>
      </c>
      <c r="U176" s="22">
        <f>IF(OR(B176="",'Weekly Input'!G176="",P176="",P176=0),"",'Weekly Input'!G176/P176)</f>
        <v/>
      </c>
      <c r="V176" s="18">
        <f>IF(B176="","",IF(NOT(I176),"Not Ready",IF(NOT(K176),"Not Ready",IF(N176&lt;MinHistory,"Not Ready",IF(NOT(J176),"Not Ready",IF(OR(Q176="",Q176=0),"Noise",IF(Q176&lt;LowBaseThreshold,"Noise",IF(AND(R176&lt;=-OwnDecline,T176&lt;=-PeerGapThreshold),"Markdown Review",IF(AND(R176&gt;=ReorderUplift,U176&lt;&gt;"",U176&lt;=WeeksSupplyCap),"Reorder Candidate","Monitor"))))))))</f>
        <v/>
      </c>
      <c r="W176" s="18">
        <f>IF(B176="","",IF(NOT(I176),"INVALID_MASTER",IF(NOT(K176),"INCOMPLETE_SHELF_CYCLE",IF(N176&lt;MinHistory,"INSUFFICIENT_HISTORY",IF(NOT(J176),"INSUFFICIENT_IN_STOCK",IF(OR(Q176="",Q176=0),"NO_PRIOR_BASE",IF(Q176&lt;LowBaseThreshold,"LOW_BASE_NOISE",IF(V176="Markdown Review","MARKDOWN_PEER_GAP",IF(V176="Reorder Candidate","REORDER_UPLIFT_COVER","NO_MATERIAL_CHANGE"))))))))</f>
        <v/>
      </c>
      <c r="X176" s="18">
        <f>IF(V176="Markdown Review","Markdown support",IF(V176="Reorder Candidate","Second reorder",IF(V176="Monitor","Monitor",IF(V176="Noise","Hold / collect data",IF(V176="Not Ready","Not ready","")))))</f>
        <v/>
      </c>
      <c r="Y176" s="18">
        <f>IF(OR(R176="",T176=""),"",ABS(R176)+ABS(T176))</f>
        <v/>
      </c>
      <c r="Z176" s="21">
        <f>IF(OR(B176="",NOT(O176),R176=""),"",IF(ABS(R176)&gt;=MaterialThreshold,"Yes","No"))</f>
        <v/>
      </c>
      <c r="AA176" s="18">
        <f>IF(Z176&lt;&gt;"Yes","",IF(ABS(R176)&gt;=MaterialThreshold,IF(ABS(R176)&gt;=BroadShare,"Broad SKU movement","Store-concentrated movement"),""))</f>
        <v/>
      </c>
      <c r="AB176" s="18">
        <f>IF(O176,IF(COUNTIFS($O$5:O176,TRUE)&gt;0,COUNTIFS($O$5:O176,TRUE),0),0)</f>
        <v/>
      </c>
      <c r="AC176" s="18">
        <f>IF(V176="Markdown Review",1,IF(V176="Reorder Candidate",2,IF(V176="Monitor",3,IF(V176="Noise",4,IF(V176="Not Ready",5,99)))))</f>
        <v/>
      </c>
      <c r="AD176" s="18">
        <f>IF(O176,COUNTIFS($O$5:$O$504,TRUE,$AC$5:$AC$504,"&lt;"&amp;AC176)+COUNTIFS($O$5:O176,TRUE,$AC$5:AC176,AC176,$Y$5:Y176,"&gt;"&amp;Y176),0)</f>
        <v/>
      </c>
    </row>
    <row r="177">
      <c r="A177" s="17">
        <f>IF(COUNTA('Weekly Input'!A177:C177)=0,"",'Weekly Input'!B177&amp;"|"&amp;'Weekly Input'!C177&amp;"|"&amp;TEXT('Weekly Input'!A177,"yyyy-mm-dd"))</f>
        <v/>
      </c>
      <c r="B177" s="18">
        <f>'Weekly Input'!B177</f>
        <v/>
      </c>
      <c r="C177" s="18">
        <f>'Weekly Input'!C177</f>
        <v/>
      </c>
      <c r="D177" s="18">
        <f>IF(B177="","",IFERROR(INDEX('Master Data'!$B$6:$B$145,MATCH(B177,'Master Data'!$A$6:$A$145,0)),""))</f>
        <v/>
      </c>
      <c r="E177" s="18">
        <f>IF(C177="","",IFERROR(INDEX('Master Data'!$H$6:$H$13,MATCH(C177,'Master Data'!$F$6:$F$13,0)),""))</f>
        <v/>
      </c>
      <c r="F177" s="19">
        <f>'Weekly Input'!A177</f>
        <v/>
      </c>
      <c r="G177" s="19">
        <f>IF(B177="","",IFERROR(INDEX('Master Data'!$D$6:$D$145,MATCH(B177,'Master Data'!$A$6:$A$145,0)),""))</f>
        <v/>
      </c>
      <c r="H177" s="18">
        <f>IF(OR(F177="",G177=""),"",F177-G177)</f>
        <v/>
      </c>
      <c r="I177" s="18">
        <f>IF(B177="","",IF('Weekly Input'!J177="OK",TRUE,FALSE))</f>
        <v/>
      </c>
      <c r="J177" s="18">
        <f>IF(B177="","",'Weekly Input'!H177&gt;=MinInStockDays)</f>
        <v/>
      </c>
      <c r="K177" s="18">
        <f>IF(B177="","",H177&gt;=FullCycleMin)</f>
        <v/>
      </c>
      <c r="L177" s="18">
        <f>IF(B177="","",AND(I177,J177,K177,N177&gt;=MinHistory))</f>
        <v/>
      </c>
      <c r="M177" s="20">
        <f>IF(OR(B177="",'Weekly Input'!H177=0),"",'Weekly Input'!D177/'Weekly Input'!H177*7)</f>
        <v/>
      </c>
      <c r="N177" s="18">
        <f>IF(B177="","",COUNTIFS($B$5:$B$504,B177,$C$5:$C$504,C177,$I$5:$I$504,TRUE,$J$5:$J$504,TRUE,$K$5:$K$504,TRUE))</f>
        <v/>
      </c>
      <c r="O177" s="18">
        <f>IF(B177="","",AND(F177=AsOfWeek,AsOfWeek&lt;&gt;""))</f>
        <v/>
      </c>
      <c r="P177" s="20">
        <f>IF(OR(B177="",AsOfWeek=""),"",IFERROR(SUMIFS($M$5:$M$504,$B$5:$B$504,B177,$C$5:$C$504,C177,$L$5:$L$504,TRUE,$F$5:$F$504,"&gt;="&amp;AsOfWeek-7*(RecentWeeks-1),$F$5:$F$504,"&lt;="&amp;AsOfWeek),""))</f>
        <v/>
      </c>
      <c r="Q177" s="20">
        <f>IF(OR(B177="",AsOfWeek=""),"",IFERROR(SUMIFS($M$5:$M$504,$B$5:$B$504,B177,$C$5:$C$504,C177,$L$5:$L$504,TRUE,$F$5:$F$504,"&gt;="&amp;AsOfWeek-7*(RecentWeeks+PriorWeeks-1),$F$5:$F$504,"&lt;"&amp;AsOfWeek-7*(RecentWeeks-1)),""))</f>
        <v/>
      </c>
      <c r="R177" s="21">
        <f>IF(OR(P177="",Q177="",Q177=0),"",P177/Q177-1)</f>
        <v/>
      </c>
      <c r="S177" s="20">
        <f>IF(OR(C177="",AsOfWeek=""),"",IFERROR(AVERAGEIFS($M$5:$M$504,$C$5:$C$504,C177,$L$5:$L$504,TRUE,$F$5:$F$504,"&gt;="&amp;AsOfWeek-7*(RecentWeeks-1),$F$5:$F$504,"&lt;="&amp;AsOfWeek),""))</f>
        <v/>
      </c>
      <c r="T177" s="21">
        <f>IF(OR(P177="",S177=""),"",P177/S177-1)</f>
        <v/>
      </c>
      <c r="U177" s="22">
        <f>IF(OR(B177="",'Weekly Input'!G177="",P177="",P177=0),"",'Weekly Input'!G177/P177)</f>
        <v/>
      </c>
      <c r="V177" s="18">
        <f>IF(B177="","",IF(NOT(I177),"Not Ready",IF(NOT(K177),"Not Ready",IF(N177&lt;MinHistory,"Not Ready",IF(NOT(J177),"Not Ready",IF(OR(Q177="",Q177=0),"Noise",IF(Q177&lt;LowBaseThreshold,"Noise",IF(AND(R177&lt;=-OwnDecline,T177&lt;=-PeerGapThreshold),"Markdown Review",IF(AND(R177&gt;=ReorderUplift,U177&lt;&gt;"",U177&lt;=WeeksSupplyCap),"Reorder Candidate","Monitor"))))))))</f>
        <v/>
      </c>
      <c r="W177" s="18">
        <f>IF(B177="","",IF(NOT(I177),"INVALID_MASTER",IF(NOT(K177),"INCOMPLETE_SHELF_CYCLE",IF(N177&lt;MinHistory,"INSUFFICIENT_HISTORY",IF(NOT(J177),"INSUFFICIENT_IN_STOCK",IF(OR(Q177="",Q177=0),"NO_PRIOR_BASE",IF(Q177&lt;LowBaseThreshold,"LOW_BASE_NOISE",IF(V177="Markdown Review","MARKDOWN_PEER_GAP",IF(V177="Reorder Candidate","REORDER_UPLIFT_COVER","NO_MATERIAL_CHANGE"))))))))</f>
        <v/>
      </c>
      <c r="X177" s="18">
        <f>IF(V177="Markdown Review","Markdown support",IF(V177="Reorder Candidate","Second reorder",IF(V177="Monitor","Monitor",IF(V177="Noise","Hold / collect data",IF(V177="Not Ready","Not ready","")))))</f>
        <v/>
      </c>
      <c r="Y177" s="18">
        <f>IF(OR(R177="",T177=""),"",ABS(R177)+ABS(T177))</f>
        <v/>
      </c>
      <c r="Z177" s="21">
        <f>IF(OR(B177="",NOT(O177),R177=""),"",IF(ABS(R177)&gt;=MaterialThreshold,"Yes","No"))</f>
        <v/>
      </c>
      <c r="AA177" s="18">
        <f>IF(Z177&lt;&gt;"Yes","",IF(ABS(R177)&gt;=MaterialThreshold,IF(ABS(R177)&gt;=BroadShare,"Broad SKU movement","Store-concentrated movement"),""))</f>
        <v/>
      </c>
      <c r="AB177" s="18">
        <f>IF(O177,IF(COUNTIFS($O$5:O177,TRUE)&gt;0,COUNTIFS($O$5:O177,TRUE),0),0)</f>
        <v/>
      </c>
      <c r="AC177" s="18">
        <f>IF(V177="Markdown Review",1,IF(V177="Reorder Candidate",2,IF(V177="Monitor",3,IF(V177="Noise",4,IF(V177="Not Ready",5,99)))))</f>
        <v/>
      </c>
      <c r="AD177" s="18">
        <f>IF(O177,COUNTIFS($O$5:$O$504,TRUE,$AC$5:$AC$504,"&lt;"&amp;AC177)+COUNTIFS($O$5:O177,TRUE,$AC$5:AC177,AC177,$Y$5:Y177,"&gt;"&amp;Y177),0)</f>
        <v/>
      </c>
    </row>
    <row r="178">
      <c r="A178" s="17">
        <f>IF(COUNTA('Weekly Input'!A178:C178)=0,"",'Weekly Input'!B178&amp;"|"&amp;'Weekly Input'!C178&amp;"|"&amp;TEXT('Weekly Input'!A178,"yyyy-mm-dd"))</f>
        <v/>
      </c>
      <c r="B178" s="18">
        <f>'Weekly Input'!B178</f>
        <v/>
      </c>
      <c r="C178" s="18">
        <f>'Weekly Input'!C178</f>
        <v/>
      </c>
      <c r="D178" s="18">
        <f>IF(B178="","",IFERROR(INDEX('Master Data'!$B$6:$B$145,MATCH(B178,'Master Data'!$A$6:$A$145,0)),""))</f>
        <v/>
      </c>
      <c r="E178" s="18">
        <f>IF(C178="","",IFERROR(INDEX('Master Data'!$H$6:$H$13,MATCH(C178,'Master Data'!$F$6:$F$13,0)),""))</f>
        <v/>
      </c>
      <c r="F178" s="19">
        <f>'Weekly Input'!A178</f>
        <v/>
      </c>
      <c r="G178" s="19">
        <f>IF(B178="","",IFERROR(INDEX('Master Data'!$D$6:$D$145,MATCH(B178,'Master Data'!$A$6:$A$145,0)),""))</f>
        <v/>
      </c>
      <c r="H178" s="18">
        <f>IF(OR(F178="",G178=""),"",F178-G178)</f>
        <v/>
      </c>
      <c r="I178" s="18">
        <f>IF(B178="","",IF('Weekly Input'!J178="OK",TRUE,FALSE))</f>
        <v/>
      </c>
      <c r="J178" s="18">
        <f>IF(B178="","",'Weekly Input'!H178&gt;=MinInStockDays)</f>
        <v/>
      </c>
      <c r="K178" s="18">
        <f>IF(B178="","",H178&gt;=FullCycleMin)</f>
        <v/>
      </c>
      <c r="L178" s="18">
        <f>IF(B178="","",AND(I178,J178,K178,N178&gt;=MinHistory))</f>
        <v/>
      </c>
      <c r="M178" s="20">
        <f>IF(OR(B178="",'Weekly Input'!H178=0),"",'Weekly Input'!D178/'Weekly Input'!H178*7)</f>
        <v/>
      </c>
      <c r="N178" s="18">
        <f>IF(B178="","",COUNTIFS($B$5:$B$504,B178,$C$5:$C$504,C178,$I$5:$I$504,TRUE,$J$5:$J$504,TRUE,$K$5:$K$504,TRUE))</f>
        <v/>
      </c>
      <c r="O178" s="18">
        <f>IF(B178="","",AND(F178=AsOfWeek,AsOfWeek&lt;&gt;""))</f>
        <v/>
      </c>
      <c r="P178" s="20">
        <f>IF(OR(B178="",AsOfWeek=""),"",IFERROR(SUMIFS($M$5:$M$504,$B$5:$B$504,B178,$C$5:$C$504,C178,$L$5:$L$504,TRUE,$F$5:$F$504,"&gt;="&amp;AsOfWeek-7*(RecentWeeks-1),$F$5:$F$504,"&lt;="&amp;AsOfWeek),""))</f>
        <v/>
      </c>
      <c r="Q178" s="20">
        <f>IF(OR(B178="",AsOfWeek=""),"",IFERROR(SUMIFS($M$5:$M$504,$B$5:$B$504,B178,$C$5:$C$504,C178,$L$5:$L$504,TRUE,$F$5:$F$504,"&gt;="&amp;AsOfWeek-7*(RecentWeeks+PriorWeeks-1),$F$5:$F$504,"&lt;"&amp;AsOfWeek-7*(RecentWeeks-1)),""))</f>
        <v/>
      </c>
      <c r="R178" s="21">
        <f>IF(OR(P178="",Q178="",Q178=0),"",P178/Q178-1)</f>
        <v/>
      </c>
      <c r="S178" s="20">
        <f>IF(OR(C178="",AsOfWeek=""),"",IFERROR(AVERAGEIFS($M$5:$M$504,$C$5:$C$504,C178,$L$5:$L$504,TRUE,$F$5:$F$504,"&gt;="&amp;AsOfWeek-7*(RecentWeeks-1),$F$5:$F$504,"&lt;="&amp;AsOfWeek),""))</f>
        <v/>
      </c>
      <c r="T178" s="21">
        <f>IF(OR(P178="",S178=""),"",P178/S178-1)</f>
        <v/>
      </c>
      <c r="U178" s="22">
        <f>IF(OR(B178="",'Weekly Input'!G178="",P178="",P178=0),"",'Weekly Input'!G178/P178)</f>
        <v/>
      </c>
      <c r="V178" s="18">
        <f>IF(B178="","",IF(NOT(I178),"Not Ready",IF(NOT(K178),"Not Ready",IF(N178&lt;MinHistory,"Not Ready",IF(NOT(J178),"Not Ready",IF(OR(Q178="",Q178=0),"Noise",IF(Q178&lt;LowBaseThreshold,"Noise",IF(AND(R178&lt;=-OwnDecline,T178&lt;=-PeerGapThreshold),"Markdown Review",IF(AND(R178&gt;=ReorderUplift,U178&lt;&gt;"",U178&lt;=WeeksSupplyCap),"Reorder Candidate","Monitor"))))))))</f>
        <v/>
      </c>
      <c r="W178" s="18">
        <f>IF(B178="","",IF(NOT(I178),"INVALID_MASTER",IF(NOT(K178),"INCOMPLETE_SHELF_CYCLE",IF(N178&lt;MinHistory,"INSUFFICIENT_HISTORY",IF(NOT(J178),"INSUFFICIENT_IN_STOCK",IF(OR(Q178="",Q178=0),"NO_PRIOR_BASE",IF(Q178&lt;LowBaseThreshold,"LOW_BASE_NOISE",IF(V178="Markdown Review","MARKDOWN_PEER_GAP",IF(V178="Reorder Candidate","REORDER_UPLIFT_COVER","NO_MATERIAL_CHANGE"))))))))</f>
        <v/>
      </c>
      <c r="X178" s="18">
        <f>IF(V178="Markdown Review","Markdown support",IF(V178="Reorder Candidate","Second reorder",IF(V178="Monitor","Monitor",IF(V178="Noise","Hold / collect data",IF(V178="Not Ready","Not ready","")))))</f>
        <v/>
      </c>
      <c r="Y178" s="18">
        <f>IF(OR(R178="",T178=""),"",ABS(R178)+ABS(T178))</f>
        <v/>
      </c>
      <c r="Z178" s="21">
        <f>IF(OR(B178="",NOT(O178),R178=""),"",IF(ABS(R178)&gt;=MaterialThreshold,"Yes","No"))</f>
        <v/>
      </c>
      <c r="AA178" s="18">
        <f>IF(Z178&lt;&gt;"Yes","",IF(ABS(R178)&gt;=MaterialThreshold,IF(ABS(R178)&gt;=BroadShare,"Broad SKU movement","Store-concentrated movement"),""))</f>
        <v/>
      </c>
      <c r="AB178" s="18">
        <f>IF(O178,IF(COUNTIFS($O$5:O178,TRUE)&gt;0,COUNTIFS($O$5:O178,TRUE),0),0)</f>
        <v/>
      </c>
      <c r="AC178" s="18">
        <f>IF(V178="Markdown Review",1,IF(V178="Reorder Candidate",2,IF(V178="Monitor",3,IF(V178="Noise",4,IF(V178="Not Ready",5,99)))))</f>
        <v/>
      </c>
      <c r="AD178" s="18">
        <f>IF(O178,COUNTIFS($O$5:$O$504,TRUE,$AC$5:$AC$504,"&lt;"&amp;AC178)+COUNTIFS($O$5:O178,TRUE,$AC$5:AC178,AC178,$Y$5:Y178,"&gt;"&amp;Y178),0)</f>
        <v/>
      </c>
    </row>
    <row r="179">
      <c r="A179" s="17">
        <f>IF(COUNTA('Weekly Input'!A179:C179)=0,"",'Weekly Input'!B179&amp;"|"&amp;'Weekly Input'!C179&amp;"|"&amp;TEXT('Weekly Input'!A179,"yyyy-mm-dd"))</f>
        <v/>
      </c>
      <c r="B179" s="18">
        <f>'Weekly Input'!B179</f>
        <v/>
      </c>
      <c r="C179" s="18">
        <f>'Weekly Input'!C179</f>
        <v/>
      </c>
      <c r="D179" s="18">
        <f>IF(B179="","",IFERROR(INDEX('Master Data'!$B$6:$B$145,MATCH(B179,'Master Data'!$A$6:$A$145,0)),""))</f>
        <v/>
      </c>
      <c r="E179" s="18">
        <f>IF(C179="","",IFERROR(INDEX('Master Data'!$H$6:$H$13,MATCH(C179,'Master Data'!$F$6:$F$13,0)),""))</f>
        <v/>
      </c>
      <c r="F179" s="19">
        <f>'Weekly Input'!A179</f>
        <v/>
      </c>
      <c r="G179" s="19">
        <f>IF(B179="","",IFERROR(INDEX('Master Data'!$D$6:$D$145,MATCH(B179,'Master Data'!$A$6:$A$145,0)),""))</f>
        <v/>
      </c>
      <c r="H179" s="18">
        <f>IF(OR(F179="",G179=""),"",F179-G179)</f>
        <v/>
      </c>
      <c r="I179" s="18">
        <f>IF(B179="","",IF('Weekly Input'!J179="OK",TRUE,FALSE))</f>
        <v/>
      </c>
      <c r="J179" s="18">
        <f>IF(B179="","",'Weekly Input'!H179&gt;=MinInStockDays)</f>
        <v/>
      </c>
      <c r="K179" s="18">
        <f>IF(B179="","",H179&gt;=FullCycleMin)</f>
        <v/>
      </c>
      <c r="L179" s="18">
        <f>IF(B179="","",AND(I179,J179,K179,N179&gt;=MinHistory))</f>
        <v/>
      </c>
      <c r="M179" s="20">
        <f>IF(OR(B179="",'Weekly Input'!H179=0),"",'Weekly Input'!D179/'Weekly Input'!H179*7)</f>
        <v/>
      </c>
      <c r="N179" s="18">
        <f>IF(B179="","",COUNTIFS($B$5:$B$504,B179,$C$5:$C$504,C179,$I$5:$I$504,TRUE,$J$5:$J$504,TRUE,$K$5:$K$504,TRUE))</f>
        <v/>
      </c>
      <c r="O179" s="18">
        <f>IF(B179="","",AND(F179=AsOfWeek,AsOfWeek&lt;&gt;""))</f>
        <v/>
      </c>
      <c r="P179" s="20">
        <f>IF(OR(B179="",AsOfWeek=""),"",IFERROR(SUMIFS($M$5:$M$504,$B$5:$B$504,B179,$C$5:$C$504,C179,$L$5:$L$504,TRUE,$F$5:$F$504,"&gt;="&amp;AsOfWeek-7*(RecentWeeks-1),$F$5:$F$504,"&lt;="&amp;AsOfWeek),""))</f>
        <v/>
      </c>
      <c r="Q179" s="20">
        <f>IF(OR(B179="",AsOfWeek=""),"",IFERROR(SUMIFS($M$5:$M$504,$B$5:$B$504,B179,$C$5:$C$504,C179,$L$5:$L$504,TRUE,$F$5:$F$504,"&gt;="&amp;AsOfWeek-7*(RecentWeeks+PriorWeeks-1),$F$5:$F$504,"&lt;"&amp;AsOfWeek-7*(RecentWeeks-1)),""))</f>
        <v/>
      </c>
      <c r="R179" s="21">
        <f>IF(OR(P179="",Q179="",Q179=0),"",P179/Q179-1)</f>
        <v/>
      </c>
      <c r="S179" s="20">
        <f>IF(OR(C179="",AsOfWeek=""),"",IFERROR(AVERAGEIFS($M$5:$M$504,$C$5:$C$504,C179,$L$5:$L$504,TRUE,$F$5:$F$504,"&gt;="&amp;AsOfWeek-7*(RecentWeeks-1),$F$5:$F$504,"&lt;="&amp;AsOfWeek),""))</f>
        <v/>
      </c>
      <c r="T179" s="21">
        <f>IF(OR(P179="",S179=""),"",P179/S179-1)</f>
        <v/>
      </c>
      <c r="U179" s="22">
        <f>IF(OR(B179="",'Weekly Input'!G179="",P179="",P179=0),"",'Weekly Input'!G179/P179)</f>
        <v/>
      </c>
      <c r="V179" s="18">
        <f>IF(B179="","",IF(NOT(I179),"Not Ready",IF(NOT(K179),"Not Ready",IF(N179&lt;MinHistory,"Not Ready",IF(NOT(J179),"Not Ready",IF(OR(Q179="",Q179=0),"Noise",IF(Q179&lt;LowBaseThreshold,"Noise",IF(AND(R179&lt;=-OwnDecline,T179&lt;=-PeerGapThreshold),"Markdown Review",IF(AND(R179&gt;=ReorderUplift,U179&lt;&gt;"",U179&lt;=WeeksSupplyCap),"Reorder Candidate","Monitor"))))))))</f>
        <v/>
      </c>
      <c r="W179" s="18">
        <f>IF(B179="","",IF(NOT(I179),"INVALID_MASTER",IF(NOT(K179),"INCOMPLETE_SHELF_CYCLE",IF(N179&lt;MinHistory,"INSUFFICIENT_HISTORY",IF(NOT(J179),"INSUFFICIENT_IN_STOCK",IF(OR(Q179="",Q179=0),"NO_PRIOR_BASE",IF(Q179&lt;LowBaseThreshold,"LOW_BASE_NOISE",IF(V179="Markdown Review","MARKDOWN_PEER_GAP",IF(V179="Reorder Candidate","REORDER_UPLIFT_COVER","NO_MATERIAL_CHANGE"))))))))</f>
        <v/>
      </c>
      <c r="X179" s="18">
        <f>IF(V179="Markdown Review","Markdown support",IF(V179="Reorder Candidate","Second reorder",IF(V179="Monitor","Monitor",IF(V179="Noise","Hold / collect data",IF(V179="Not Ready","Not ready","")))))</f>
        <v/>
      </c>
      <c r="Y179" s="18">
        <f>IF(OR(R179="",T179=""),"",ABS(R179)+ABS(T179))</f>
        <v/>
      </c>
      <c r="Z179" s="21">
        <f>IF(OR(B179="",NOT(O179),R179=""),"",IF(ABS(R179)&gt;=MaterialThreshold,"Yes","No"))</f>
        <v/>
      </c>
      <c r="AA179" s="18">
        <f>IF(Z179&lt;&gt;"Yes","",IF(ABS(R179)&gt;=MaterialThreshold,IF(ABS(R179)&gt;=BroadShare,"Broad SKU movement","Store-concentrated movement"),""))</f>
        <v/>
      </c>
      <c r="AB179" s="18">
        <f>IF(O179,IF(COUNTIFS($O$5:O179,TRUE)&gt;0,COUNTIFS($O$5:O179,TRUE),0),0)</f>
        <v/>
      </c>
      <c r="AC179" s="18">
        <f>IF(V179="Markdown Review",1,IF(V179="Reorder Candidate",2,IF(V179="Monitor",3,IF(V179="Noise",4,IF(V179="Not Ready",5,99)))))</f>
        <v/>
      </c>
      <c r="AD179" s="18">
        <f>IF(O179,COUNTIFS($O$5:$O$504,TRUE,$AC$5:$AC$504,"&lt;"&amp;AC179)+COUNTIFS($O$5:O179,TRUE,$AC$5:AC179,AC179,$Y$5:Y179,"&gt;"&amp;Y179),0)</f>
        <v/>
      </c>
    </row>
    <row r="180">
      <c r="A180" s="17">
        <f>IF(COUNTA('Weekly Input'!A180:C180)=0,"",'Weekly Input'!B180&amp;"|"&amp;'Weekly Input'!C180&amp;"|"&amp;TEXT('Weekly Input'!A180,"yyyy-mm-dd"))</f>
        <v/>
      </c>
      <c r="B180" s="18">
        <f>'Weekly Input'!B180</f>
        <v/>
      </c>
      <c r="C180" s="18">
        <f>'Weekly Input'!C180</f>
        <v/>
      </c>
      <c r="D180" s="18">
        <f>IF(B180="","",IFERROR(INDEX('Master Data'!$B$6:$B$145,MATCH(B180,'Master Data'!$A$6:$A$145,0)),""))</f>
        <v/>
      </c>
      <c r="E180" s="18">
        <f>IF(C180="","",IFERROR(INDEX('Master Data'!$H$6:$H$13,MATCH(C180,'Master Data'!$F$6:$F$13,0)),""))</f>
        <v/>
      </c>
      <c r="F180" s="19">
        <f>'Weekly Input'!A180</f>
        <v/>
      </c>
      <c r="G180" s="19">
        <f>IF(B180="","",IFERROR(INDEX('Master Data'!$D$6:$D$145,MATCH(B180,'Master Data'!$A$6:$A$145,0)),""))</f>
        <v/>
      </c>
      <c r="H180" s="18">
        <f>IF(OR(F180="",G180=""),"",F180-G180)</f>
        <v/>
      </c>
      <c r="I180" s="18">
        <f>IF(B180="","",IF('Weekly Input'!J180="OK",TRUE,FALSE))</f>
        <v/>
      </c>
      <c r="J180" s="18">
        <f>IF(B180="","",'Weekly Input'!H180&gt;=MinInStockDays)</f>
        <v/>
      </c>
      <c r="K180" s="18">
        <f>IF(B180="","",H180&gt;=FullCycleMin)</f>
        <v/>
      </c>
      <c r="L180" s="18">
        <f>IF(B180="","",AND(I180,J180,K180,N180&gt;=MinHistory))</f>
        <v/>
      </c>
      <c r="M180" s="20">
        <f>IF(OR(B180="",'Weekly Input'!H180=0),"",'Weekly Input'!D180/'Weekly Input'!H180*7)</f>
        <v/>
      </c>
      <c r="N180" s="18">
        <f>IF(B180="","",COUNTIFS($B$5:$B$504,B180,$C$5:$C$504,C180,$I$5:$I$504,TRUE,$J$5:$J$504,TRUE,$K$5:$K$504,TRUE))</f>
        <v/>
      </c>
      <c r="O180" s="18">
        <f>IF(B180="","",AND(F180=AsOfWeek,AsOfWeek&lt;&gt;""))</f>
        <v/>
      </c>
      <c r="P180" s="20">
        <f>IF(OR(B180="",AsOfWeek=""),"",IFERROR(SUMIFS($M$5:$M$504,$B$5:$B$504,B180,$C$5:$C$504,C180,$L$5:$L$504,TRUE,$F$5:$F$504,"&gt;="&amp;AsOfWeek-7*(RecentWeeks-1),$F$5:$F$504,"&lt;="&amp;AsOfWeek),""))</f>
        <v/>
      </c>
      <c r="Q180" s="20">
        <f>IF(OR(B180="",AsOfWeek=""),"",IFERROR(SUMIFS($M$5:$M$504,$B$5:$B$504,B180,$C$5:$C$504,C180,$L$5:$L$504,TRUE,$F$5:$F$504,"&gt;="&amp;AsOfWeek-7*(RecentWeeks+PriorWeeks-1),$F$5:$F$504,"&lt;"&amp;AsOfWeek-7*(RecentWeeks-1)),""))</f>
        <v/>
      </c>
      <c r="R180" s="21">
        <f>IF(OR(P180="",Q180="",Q180=0),"",P180/Q180-1)</f>
        <v/>
      </c>
      <c r="S180" s="20">
        <f>IF(OR(C180="",AsOfWeek=""),"",IFERROR(AVERAGEIFS($M$5:$M$504,$C$5:$C$504,C180,$L$5:$L$504,TRUE,$F$5:$F$504,"&gt;="&amp;AsOfWeek-7*(RecentWeeks-1),$F$5:$F$504,"&lt;="&amp;AsOfWeek),""))</f>
        <v/>
      </c>
      <c r="T180" s="21">
        <f>IF(OR(P180="",S180=""),"",P180/S180-1)</f>
        <v/>
      </c>
      <c r="U180" s="22">
        <f>IF(OR(B180="",'Weekly Input'!G180="",P180="",P180=0),"",'Weekly Input'!G180/P180)</f>
        <v/>
      </c>
      <c r="V180" s="18">
        <f>IF(B180="","",IF(NOT(I180),"Not Ready",IF(NOT(K180),"Not Ready",IF(N180&lt;MinHistory,"Not Ready",IF(NOT(J180),"Not Ready",IF(OR(Q180="",Q180=0),"Noise",IF(Q180&lt;LowBaseThreshold,"Noise",IF(AND(R180&lt;=-OwnDecline,T180&lt;=-PeerGapThreshold),"Markdown Review",IF(AND(R180&gt;=ReorderUplift,U180&lt;&gt;"",U180&lt;=WeeksSupplyCap),"Reorder Candidate","Monitor"))))))))</f>
        <v/>
      </c>
      <c r="W180" s="18">
        <f>IF(B180="","",IF(NOT(I180),"INVALID_MASTER",IF(NOT(K180),"INCOMPLETE_SHELF_CYCLE",IF(N180&lt;MinHistory,"INSUFFICIENT_HISTORY",IF(NOT(J180),"INSUFFICIENT_IN_STOCK",IF(OR(Q180="",Q180=0),"NO_PRIOR_BASE",IF(Q180&lt;LowBaseThreshold,"LOW_BASE_NOISE",IF(V180="Markdown Review","MARKDOWN_PEER_GAP",IF(V180="Reorder Candidate","REORDER_UPLIFT_COVER","NO_MATERIAL_CHANGE"))))))))</f>
        <v/>
      </c>
      <c r="X180" s="18">
        <f>IF(V180="Markdown Review","Markdown support",IF(V180="Reorder Candidate","Second reorder",IF(V180="Monitor","Monitor",IF(V180="Noise","Hold / collect data",IF(V180="Not Ready","Not ready","")))))</f>
        <v/>
      </c>
      <c r="Y180" s="18">
        <f>IF(OR(R180="",T180=""),"",ABS(R180)+ABS(T180))</f>
        <v/>
      </c>
      <c r="Z180" s="21">
        <f>IF(OR(B180="",NOT(O180),R180=""),"",IF(ABS(R180)&gt;=MaterialThreshold,"Yes","No"))</f>
        <v/>
      </c>
      <c r="AA180" s="18">
        <f>IF(Z180&lt;&gt;"Yes","",IF(ABS(R180)&gt;=MaterialThreshold,IF(ABS(R180)&gt;=BroadShare,"Broad SKU movement","Store-concentrated movement"),""))</f>
        <v/>
      </c>
      <c r="AB180" s="18">
        <f>IF(O180,IF(COUNTIFS($O$5:O180,TRUE)&gt;0,COUNTIFS($O$5:O180,TRUE),0),0)</f>
        <v/>
      </c>
      <c r="AC180" s="18">
        <f>IF(V180="Markdown Review",1,IF(V180="Reorder Candidate",2,IF(V180="Monitor",3,IF(V180="Noise",4,IF(V180="Not Ready",5,99)))))</f>
        <v/>
      </c>
      <c r="AD180" s="18">
        <f>IF(O180,COUNTIFS($O$5:$O$504,TRUE,$AC$5:$AC$504,"&lt;"&amp;AC180)+COUNTIFS($O$5:O180,TRUE,$AC$5:AC180,AC180,$Y$5:Y180,"&gt;"&amp;Y180),0)</f>
        <v/>
      </c>
    </row>
    <row r="181">
      <c r="A181" s="17">
        <f>IF(COUNTA('Weekly Input'!A181:C181)=0,"",'Weekly Input'!B181&amp;"|"&amp;'Weekly Input'!C181&amp;"|"&amp;TEXT('Weekly Input'!A181,"yyyy-mm-dd"))</f>
        <v/>
      </c>
      <c r="B181" s="18">
        <f>'Weekly Input'!B181</f>
        <v/>
      </c>
      <c r="C181" s="18">
        <f>'Weekly Input'!C181</f>
        <v/>
      </c>
      <c r="D181" s="18">
        <f>IF(B181="","",IFERROR(INDEX('Master Data'!$B$6:$B$145,MATCH(B181,'Master Data'!$A$6:$A$145,0)),""))</f>
        <v/>
      </c>
      <c r="E181" s="18">
        <f>IF(C181="","",IFERROR(INDEX('Master Data'!$H$6:$H$13,MATCH(C181,'Master Data'!$F$6:$F$13,0)),""))</f>
        <v/>
      </c>
      <c r="F181" s="19">
        <f>'Weekly Input'!A181</f>
        <v/>
      </c>
      <c r="G181" s="19">
        <f>IF(B181="","",IFERROR(INDEX('Master Data'!$D$6:$D$145,MATCH(B181,'Master Data'!$A$6:$A$145,0)),""))</f>
        <v/>
      </c>
      <c r="H181" s="18">
        <f>IF(OR(F181="",G181=""),"",F181-G181)</f>
        <v/>
      </c>
      <c r="I181" s="18">
        <f>IF(B181="","",IF('Weekly Input'!J181="OK",TRUE,FALSE))</f>
        <v/>
      </c>
      <c r="J181" s="18">
        <f>IF(B181="","",'Weekly Input'!H181&gt;=MinInStockDays)</f>
        <v/>
      </c>
      <c r="K181" s="18">
        <f>IF(B181="","",H181&gt;=FullCycleMin)</f>
        <v/>
      </c>
      <c r="L181" s="18">
        <f>IF(B181="","",AND(I181,J181,K181,N181&gt;=MinHistory))</f>
        <v/>
      </c>
      <c r="M181" s="20">
        <f>IF(OR(B181="",'Weekly Input'!H181=0),"",'Weekly Input'!D181/'Weekly Input'!H181*7)</f>
        <v/>
      </c>
      <c r="N181" s="18">
        <f>IF(B181="","",COUNTIFS($B$5:$B$504,B181,$C$5:$C$504,C181,$I$5:$I$504,TRUE,$J$5:$J$504,TRUE,$K$5:$K$504,TRUE))</f>
        <v/>
      </c>
      <c r="O181" s="18">
        <f>IF(B181="","",AND(F181=AsOfWeek,AsOfWeek&lt;&gt;""))</f>
        <v/>
      </c>
      <c r="P181" s="20">
        <f>IF(OR(B181="",AsOfWeek=""),"",IFERROR(SUMIFS($M$5:$M$504,$B$5:$B$504,B181,$C$5:$C$504,C181,$L$5:$L$504,TRUE,$F$5:$F$504,"&gt;="&amp;AsOfWeek-7*(RecentWeeks-1),$F$5:$F$504,"&lt;="&amp;AsOfWeek),""))</f>
        <v/>
      </c>
      <c r="Q181" s="20">
        <f>IF(OR(B181="",AsOfWeek=""),"",IFERROR(SUMIFS($M$5:$M$504,$B$5:$B$504,B181,$C$5:$C$504,C181,$L$5:$L$504,TRUE,$F$5:$F$504,"&gt;="&amp;AsOfWeek-7*(RecentWeeks+PriorWeeks-1),$F$5:$F$504,"&lt;"&amp;AsOfWeek-7*(RecentWeeks-1)),""))</f>
        <v/>
      </c>
      <c r="R181" s="21">
        <f>IF(OR(P181="",Q181="",Q181=0),"",P181/Q181-1)</f>
        <v/>
      </c>
      <c r="S181" s="20">
        <f>IF(OR(C181="",AsOfWeek=""),"",IFERROR(AVERAGEIFS($M$5:$M$504,$C$5:$C$504,C181,$L$5:$L$504,TRUE,$F$5:$F$504,"&gt;="&amp;AsOfWeek-7*(RecentWeeks-1),$F$5:$F$504,"&lt;="&amp;AsOfWeek),""))</f>
        <v/>
      </c>
      <c r="T181" s="21">
        <f>IF(OR(P181="",S181=""),"",P181/S181-1)</f>
        <v/>
      </c>
      <c r="U181" s="22">
        <f>IF(OR(B181="",'Weekly Input'!G181="",P181="",P181=0),"",'Weekly Input'!G181/P181)</f>
        <v/>
      </c>
      <c r="V181" s="18">
        <f>IF(B181="","",IF(NOT(I181),"Not Ready",IF(NOT(K181),"Not Ready",IF(N181&lt;MinHistory,"Not Ready",IF(NOT(J181),"Not Ready",IF(OR(Q181="",Q181=0),"Noise",IF(Q181&lt;LowBaseThreshold,"Noise",IF(AND(R181&lt;=-OwnDecline,T181&lt;=-PeerGapThreshold),"Markdown Review",IF(AND(R181&gt;=ReorderUplift,U181&lt;&gt;"",U181&lt;=WeeksSupplyCap),"Reorder Candidate","Monitor"))))))))</f>
        <v/>
      </c>
      <c r="W181" s="18">
        <f>IF(B181="","",IF(NOT(I181),"INVALID_MASTER",IF(NOT(K181),"INCOMPLETE_SHELF_CYCLE",IF(N181&lt;MinHistory,"INSUFFICIENT_HISTORY",IF(NOT(J181),"INSUFFICIENT_IN_STOCK",IF(OR(Q181="",Q181=0),"NO_PRIOR_BASE",IF(Q181&lt;LowBaseThreshold,"LOW_BASE_NOISE",IF(V181="Markdown Review","MARKDOWN_PEER_GAP",IF(V181="Reorder Candidate","REORDER_UPLIFT_COVER","NO_MATERIAL_CHANGE"))))))))</f>
        <v/>
      </c>
      <c r="X181" s="18">
        <f>IF(V181="Markdown Review","Markdown support",IF(V181="Reorder Candidate","Second reorder",IF(V181="Monitor","Monitor",IF(V181="Noise","Hold / collect data",IF(V181="Not Ready","Not ready","")))))</f>
        <v/>
      </c>
      <c r="Y181" s="18">
        <f>IF(OR(R181="",T181=""),"",ABS(R181)+ABS(T181))</f>
        <v/>
      </c>
      <c r="Z181" s="21">
        <f>IF(OR(B181="",NOT(O181),R181=""),"",IF(ABS(R181)&gt;=MaterialThreshold,"Yes","No"))</f>
        <v/>
      </c>
      <c r="AA181" s="18">
        <f>IF(Z181&lt;&gt;"Yes","",IF(ABS(R181)&gt;=MaterialThreshold,IF(ABS(R181)&gt;=BroadShare,"Broad SKU movement","Store-concentrated movement"),""))</f>
        <v/>
      </c>
      <c r="AB181" s="18">
        <f>IF(O181,IF(COUNTIFS($O$5:O181,TRUE)&gt;0,COUNTIFS($O$5:O181,TRUE),0),0)</f>
        <v/>
      </c>
      <c r="AC181" s="18">
        <f>IF(V181="Markdown Review",1,IF(V181="Reorder Candidate",2,IF(V181="Monitor",3,IF(V181="Noise",4,IF(V181="Not Ready",5,99)))))</f>
        <v/>
      </c>
      <c r="AD181" s="18">
        <f>IF(O181,COUNTIFS($O$5:$O$504,TRUE,$AC$5:$AC$504,"&lt;"&amp;AC181)+COUNTIFS($O$5:O181,TRUE,$AC$5:AC181,AC181,$Y$5:Y181,"&gt;"&amp;Y181),0)</f>
        <v/>
      </c>
    </row>
    <row r="182">
      <c r="A182" s="17">
        <f>IF(COUNTA('Weekly Input'!A182:C182)=0,"",'Weekly Input'!B182&amp;"|"&amp;'Weekly Input'!C182&amp;"|"&amp;TEXT('Weekly Input'!A182,"yyyy-mm-dd"))</f>
        <v/>
      </c>
      <c r="B182" s="18">
        <f>'Weekly Input'!B182</f>
        <v/>
      </c>
      <c r="C182" s="18">
        <f>'Weekly Input'!C182</f>
        <v/>
      </c>
      <c r="D182" s="18">
        <f>IF(B182="","",IFERROR(INDEX('Master Data'!$B$6:$B$145,MATCH(B182,'Master Data'!$A$6:$A$145,0)),""))</f>
        <v/>
      </c>
      <c r="E182" s="18">
        <f>IF(C182="","",IFERROR(INDEX('Master Data'!$H$6:$H$13,MATCH(C182,'Master Data'!$F$6:$F$13,0)),""))</f>
        <v/>
      </c>
      <c r="F182" s="19">
        <f>'Weekly Input'!A182</f>
        <v/>
      </c>
      <c r="G182" s="19">
        <f>IF(B182="","",IFERROR(INDEX('Master Data'!$D$6:$D$145,MATCH(B182,'Master Data'!$A$6:$A$145,0)),""))</f>
        <v/>
      </c>
      <c r="H182" s="18">
        <f>IF(OR(F182="",G182=""),"",F182-G182)</f>
        <v/>
      </c>
      <c r="I182" s="18">
        <f>IF(B182="","",IF('Weekly Input'!J182="OK",TRUE,FALSE))</f>
        <v/>
      </c>
      <c r="J182" s="18">
        <f>IF(B182="","",'Weekly Input'!H182&gt;=MinInStockDays)</f>
        <v/>
      </c>
      <c r="K182" s="18">
        <f>IF(B182="","",H182&gt;=FullCycleMin)</f>
        <v/>
      </c>
      <c r="L182" s="18">
        <f>IF(B182="","",AND(I182,J182,K182,N182&gt;=MinHistory))</f>
        <v/>
      </c>
      <c r="M182" s="20">
        <f>IF(OR(B182="",'Weekly Input'!H182=0),"",'Weekly Input'!D182/'Weekly Input'!H182*7)</f>
        <v/>
      </c>
      <c r="N182" s="18">
        <f>IF(B182="","",COUNTIFS($B$5:$B$504,B182,$C$5:$C$504,C182,$I$5:$I$504,TRUE,$J$5:$J$504,TRUE,$K$5:$K$504,TRUE))</f>
        <v/>
      </c>
      <c r="O182" s="18">
        <f>IF(B182="","",AND(F182=AsOfWeek,AsOfWeek&lt;&gt;""))</f>
        <v/>
      </c>
      <c r="P182" s="20">
        <f>IF(OR(B182="",AsOfWeek=""),"",IFERROR(SUMIFS($M$5:$M$504,$B$5:$B$504,B182,$C$5:$C$504,C182,$L$5:$L$504,TRUE,$F$5:$F$504,"&gt;="&amp;AsOfWeek-7*(RecentWeeks-1),$F$5:$F$504,"&lt;="&amp;AsOfWeek),""))</f>
        <v/>
      </c>
      <c r="Q182" s="20">
        <f>IF(OR(B182="",AsOfWeek=""),"",IFERROR(SUMIFS($M$5:$M$504,$B$5:$B$504,B182,$C$5:$C$504,C182,$L$5:$L$504,TRUE,$F$5:$F$504,"&gt;="&amp;AsOfWeek-7*(RecentWeeks+PriorWeeks-1),$F$5:$F$504,"&lt;"&amp;AsOfWeek-7*(RecentWeeks-1)),""))</f>
        <v/>
      </c>
      <c r="R182" s="21">
        <f>IF(OR(P182="",Q182="",Q182=0),"",P182/Q182-1)</f>
        <v/>
      </c>
      <c r="S182" s="20">
        <f>IF(OR(C182="",AsOfWeek=""),"",IFERROR(AVERAGEIFS($M$5:$M$504,$C$5:$C$504,C182,$L$5:$L$504,TRUE,$F$5:$F$504,"&gt;="&amp;AsOfWeek-7*(RecentWeeks-1),$F$5:$F$504,"&lt;="&amp;AsOfWeek),""))</f>
        <v/>
      </c>
      <c r="T182" s="21">
        <f>IF(OR(P182="",S182=""),"",P182/S182-1)</f>
        <v/>
      </c>
      <c r="U182" s="22">
        <f>IF(OR(B182="",'Weekly Input'!G182="",P182="",P182=0),"",'Weekly Input'!G182/P182)</f>
        <v/>
      </c>
      <c r="V182" s="18">
        <f>IF(B182="","",IF(NOT(I182),"Not Ready",IF(NOT(K182),"Not Ready",IF(N182&lt;MinHistory,"Not Ready",IF(NOT(J182),"Not Ready",IF(OR(Q182="",Q182=0),"Noise",IF(Q182&lt;LowBaseThreshold,"Noise",IF(AND(R182&lt;=-OwnDecline,T182&lt;=-PeerGapThreshold),"Markdown Review",IF(AND(R182&gt;=ReorderUplift,U182&lt;&gt;"",U182&lt;=WeeksSupplyCap),"Reorder Candidate","Monitor"))))))))</f>
        <v/>
      </c>
      <c r="W182" s="18">
        <f>IF(B182="","",IF(NOT(I182),"INVALID_MASTER",IF(NOT(K182),"INCOMPLETE_SHELF_CYCLE",IF(N182&lt;MinHistory,"INSUFFICIENT_HISTORY",IF(NOT(J182),"INSUFFICIENT_IN_STOCK",IF(OR(Q182="",Q182=0),"NO_PRIOR_BASE",IF(Q182&lt;LowBaseThreshold,"LOW_BASE_NOISE",IF(V182="Markdown Review","MARKDOWN_PEER_GAP",IF(V182="Reorder Candidate","REORDER_UPLIFT_COVER","NO_MATERIAL_CHANGE"))))))))</f>
        <v/>
      </c>
      <c r="X182" s="18">
        <f>IF(V182="Markdown Review","Markdown support",IF(V182="Reorder Candidate","Second reorder",IF(V182="Monitor","Monitor",IF(V182="Noise","Hold / collect data",IF(V182="Not Ready","Not ready","")))))</f>
        <v/>
      </c>
      <c r="Y182" s="18">
        <f>IF(OR(R182="",T182=""),"",ABS(R182)+ABS(T182))</f>
        <v/>
      </c>
      <c r="Z182" s="21">
        <f>IF(OR(B182="",NOT(O182),R182=""),"",IF(ABS(R182)&gt;=MaterialThreshold,"Yes","No"))</f>
        <v/>
      </c>
      <c r="AA182" s="18">
        <f>IF(Z182&lt;&gt;"Yes","",IF(ABS(R182)&gt;=MaterialThreshold,IF(ABS(R182)&gt;=BroadShare,"Broad SKU movement","Store-concentrated movement"),""))</f>
        <v/>
      </c>
      <c r="AB182" s="18">
        <f>IF(O182,IF(COUNTIFS($O$5:O182,TRUE)&gt;0,COUNTIFS($O$5:O182,TRUE),0),0)</f>
        <v/>
      </c>
      <c r="AC182" s="18">
        <f>IF(V182="Markdown Review",1,IF(V182="Reorder Candidate",2,IF(V182="Monitor",3,IF(V182="Noise",4,IF(V182="Not Ready",5,99)))))</f>
        <v/>
      </c>
      <c r="AD182" s="18">
        <f>IF(O182,COUNTIFS($O$5:$O$504,TRUE,$AC$5:$AC$504,"&lt;"&amp;AC182)+COUNTIFS($O$5:O182,TRUE,$AC$5:AC182,AC182,$Y$5:Y182,"&gt;"&amp;Y182),0)</f>
        <v/>
      </c>
    </row>
    <row r="183">
      <c r="A183" s="17">
        <f>IF(COUNTA('Weekly Input'!A183:C183)=0,"",'Weekly Input'!B183&amp;"|"&amp;'Weekly Input'!C183&amp;"|"&amp;TEXT('Weekly Input'!A183,"yyyy-mm-dd"))</f>
        <v/>
      </c>
      <c r="B183" s="18">
        <f>'Weekly Input'!B183</f>
        <v/>
      </c>
      <c r="C183" s="18">
        <f>'Weekly Input'!C183</f>
        <v/>
      </c>
      <c r="D183" s="18">
        <f>IF(B183="","",IFERROR(INDEX('Master Data'!$B$6:$B$145,MATCH(B183,'Master Data'!$A$6:$A$145,0)),""))</f>
        <v/>
      </c>
      <c r="E183" s="18">
        <f>IF(C183="","",IFERROR(INDEX('Master Data'!$H$6:$H$13,MATCH(C183,'Master Data'!$F$6:$F$13,0)),""))</f>
        <v/>
      </c>
      <c r="F183" s="19">
        <f>'Weekly Input'!A183</f>
        <v/>
      </c>
      <c r="G183" s="19">
        <f>IF(B183="","",IFERROR(INDEX('Master Data'!$D$6:$D$145,MATCH(B183,'Master Data'!$A$6:$A$145,0)),""))</f>
        <v/>
      </c>
      <c r="H183" s="18">
        <f>IF(OR(F183="",G183=""),"",F183-G183)</f>
        <v/>
      </c>
      <c r="I183" s="18">
        <f>IF(B183="","",IF('Weekly Input'!J183="OK",TRUE,FALSE))</f>
        <v/>
      </c>
      <c r="J183" s="18">
        <f>IF(B183="","",'Weekly Input'!H183&gt;=MinInStockDays)</f>
        <v/>
      </c>
      <c r="K183" s="18">
        <f>IF(B183="","",H183&gt;=FullCycleMin)</f>
        <v/>
      </c>
      <c r="L183" s="18">
        <f>IF(B183="","",AND(I183,J183,K183,N183&gt;=MinHistory))</f>
        <v/>
      </c>
      <c r="M183" s="20">
        <f>IF(OR(B183="",'Weekly Input'!H183=0),"",'Weekly Input'!D183/'Weekly Input'!H183*7)</f>
        <v/>
      </c>
      <c r="N183" s="18">
        <f>IF(B183="","",COUNTIFS($B$5:$B$504,B183,$C$5:$C$504,C183,$I$5:$I$504,TRUE,$J$5:$J$504,TRUE,$K$5:$K$504,TRUE))</f>
        <v/>
      </c>
      <c r="O183" s="18">
        <f>IF(B183="","",AND(F183=AsOfWeek,AsOfWeek&lt;&gt;""))</f>
        <v/>
      </c>
      <c r="P183" s="20">
        <f>IF(OR(B183="",AsOfWeek=""),"",IFERROR(SUMIFS($M$5:$M$504,$B$5:$B$504,B183,$C$5:$C$504,C183,$L$5:$L$504,TRUE,$F$5:$F$504,"&gt;="&amp;AsOfWeek-7*(RecentWeeks-1),$F$5:$F$504,"&lt;="&amp;AsOfWeek),""))</f>
        <v/>
      </c>
      <c r="Q183" s="20">
        <f>IF(OR(B183="",AsOfWeek=""),"",IFERROR(SUMIFS($M$5:$M$504,$B$5:$B$504,B183,$C$5:$C$504,C183,$L$5:$L$504,TRUE,$F$5:$F$504,"&gt;="&amp;AsOfWeek-7*(RecentWeeks+PriorWeeks-1),$F$5:$F$504,"&lt;"&amp;AsOfWeek-7*(RecentWeeks-1)),""))</f>
        <v/>
      </c>
      <c r="R183" s="21">
        <f>IF(OR(P183="",Q183="",Q183=0),"",P183/Q183-1)</f>
        <v/>
      </c>
      <c r="S183" s="20">
        <f>IF(OR(C183="",AsOfWeek=""),"",IFERROR(AVERAGEIFS($M$5:$M$504,$C$5:$C$504,C183,$L$5:$L$504,TRUE,$F$5:$F$504,"&gt;="&amp;AsOfWeek-7*(RecentWeeks-1),$F$5:$F$504,"&lt;="&amp;AsOfWeek),""))</f>
        <v/>
      </c>
      <c r="T183" s="21">
        <f>IF(OR(P183="",S183=""),"",P183/S183-1)</f>
        <v/>
      </c>
      <c r="U183" s="22">
        <f>IF(OR(B183="",'Weekly Input'!G183="",P183="",P183=0),"",'Weekly Input'!G183/P183)</f>
        <v/>
      </c>
      <c r="V183" s="18">
        <f>IF(B183="","",IF(NOT(I183),"Not Ready",IF(NOT(K183),"Not Ready",IF(N183&lt;MinHistory,"Not Ready",IF(NOT(J183),"Not Ready",IF(OR(Q183="",Q183=0),"Noise",IF(Q183&lt;LowBaseThreshold,"Noise",IF(AND(R183&lt;=-OwnDecline,T183&lt;=-PeerGapThreshold),"Markdown Review",IF(AND(R183&gt;=ReorderUplift,U183&lt;&gt;"",U183&lt;=WeeksSupplyCap),"Reorder Candidate","Monitor"))))))))</f>
        <v/>
      </c>
      <c r="W183" s="18">
        <f>IF(B183="","",IF(NOT(I183),"INVALID_MASTER",IF(NOT(K183),"INCOMPLETE_SHELF_CYCLE",IF(N183&lt;MinHistory,"INSUFFICIENT_HISTORY",IF(NOT(J183),"INSUFFICIENT_IN_STOCK",IF(OR(Q183="",Q183=0),"NO_PRIOR_BASE",IF(Q183&lt;LowBaseThreshold,"LOW_BASE_NOISE",IF(V183="Markdown Review","MARKDOWN_PEER_GAP",IF(V183="Reorder Candidate","REORDER_UPLIFT_COVER","NO_MATERIAL_CHANGE"))))))))</f>
        <v/>
      </c>
      <c r="X183" s="18">
        <f>IF(V183="Markdown Review","Markdown support",IF(V183="Reorder Candidate","Second reorder",IF(V183="Monitor","Monitor",IF(V183="Noise","Hold / collect data",IF(V183="Not Ready","Not ready","")))))</f>
        <v/>
      </c>
      <c r="Y183" s="18">
        <f>IF(OR(R183="",T183=""),"",ABS(R183)+ABS(T183))</f>
        <v/>
      </c>
      <c r="Z183" s="21">
        <f>IF(OR(B183="",NOT(O183),R183=""),"",IF(ABS(R183)&gt;=MaterialThreshold,"Yes","No"))</f>
        <v/>
      </c>
      <c r="AA183" s="18">
        <f>IF(Z183&lt;&gt;"Yes","",IF(ABS(R183)&gt;=MaterialThreshold,IF(ABS(R183)&gt;=BroadShare,"Broad SKU movement","Store-concentrated movement"),""))</f>
        <v/>
      </c>
      <c r="AB183" s="18">
        <f>IF(O183,IF(COUNTIFS($O$5:O183,TRUE)&gt;0,COUNTIFS($O$5:O183,TRUE),0),0)</f>
        <v/>
      </c>
      <c r="AC183" s="18">
        <f>IF(V183="Markdown Review",1,IF(V183="Reorder Candidate",2,IF(V183="Monitor",3,IF(V183="Noise",4,IF(V183="Not Ready",5,99)))))</f>
        <v/>
      </c>
      <c r="AD183" s="18">
        <f>IF(O183,COUNTIFS($O$5:$O$504,TRUE,$AC$5:$AC$504,"&lt;"&amp;AC183)+COUNTIFS($O$5:O183,TRUE,$AC$5:AC183,AC183,$Y$5:Y183,"&gt;"&amp;Y183),0)</f>
        <v/>
      </c>
    </row>
    <row r="184">
      <c r="A184" s="17">
        <f>IF(COUNTA('Weekly Input'!A184:C184)=0,"",'Weekly Input'!B184&amp;"|"&amp;'Weekly Input'!C184&amp;"|"&amp;TEXT('Weekly Input'!A184,"yyyy-mm-dd"))</f>
        <v/>
      </c>
      <c r="B184" s="18">
        <f>'Weekly Input'!B184</f>
        <v/>
      </c>
      <c r="C184" s="18">
        <f>'Weekly Input'!C184</f>
        <v/>
      </c>
      <c r="D184" s="18">
        <f>IF(B184="","",IFERROR(INDEX('Master Data'!$B$6:$B$145,MATCH(B184,'Master Data'!$A$6:$A$145,0)),""))</f>
        <v/>
      </c>
      <c r="E184" s="18">
        <f>IF(C184="","",IFERROR(INDEX('Master Data'!$H$6:$H$13,MATCH(C184,'Master Data'!$F$6:$F$13,0)),""))</f>
        <v/>
      </c>
      <c r="F184" s="19">
        <f>'Weekly Input'!A184</f>
        <v/>
      </c>
      <c r="G184" s="19">
        <f>IF(B184="","",IFERROR(INDEX('Master Data'!$D$6:$D$145,MATCH(B184,'Master Data'!$A$6:$A$145,0)),""))</f>
        <v/>
      </c>
      <c r="H184" s="18">
        <f>IF(OR(F184="",G184=""),"",F184-G184)</f>
        <v/>
      </c>
      <c r="I184" s="18">
        <f>IF(B184="","",IF('Weekly Input'!J184="OK",TRUE,FALSE))</f>
        <v/>
      </c>
      <c r="J184" s="18">
        <f>IF(B184="","",'Weekly Input'!H184&gt;=MinInStockDays)</f>
        <v/>
      </c>
      <c r="K184" s="18">
        <f>IF(B184="","",H184&gt;=FullCycleMin)</f>
        <v/>
      </c>
      <c r="L184" s="18">
        <f>IF(B184="","",AND(I184,J184,K184,N184&gt;=MinHistory))</f>
        <v/>
      </c>
      <c r="M184" s="20">
        <f>IF(OR(B184="",'Weekly Input'!H184=0),"",'Weekly Input'!D184/'Weekly Input'!H184*7)</f>
        <v/>
      </c>
      <c r="N184" s="18">
        <f>IF(B184="","",COUNTIFS($B$5:$B$504,B184,$C$5:$C$504,C184,$I$5:$I$504,TRUE,$J$5:$J$504,TRUE,$K$5:$K$504,TRUE))</f>
        <v/>
      </c>
      <c r="O184" s="18">
        <f>IF(B184="","",AND(F184=AsOfWeek,AsOfWeek&lt;&gt;""))</f>
        <v/>
      </c>
      <c r="P184" s="20">
        <f>IF(OR(B184="",AsOfWeek=""),"",IFERROR(SUMIFS($M$5:$M$504,$B$5:$B$504,B184,$C$5:$C$504,C184,$L$5:$L$504,TRUE,$F$5:$F$504,"&gt;="&amp;AsOfWeek-7*(RecentWeeks-1),$F$5:$F$504,"&lt;="&amp;AsOfWeek),""))</f>
        <v/>
      </c>
      <c r="Q184" s="20">
        <f>IF(OR(B184="",AsOfWeek=""),"",IFERROR(SUMIFS($M$5:$M$504,$B$5:$B$504,B184,$C$5:$C$504,C184,$L$5:$L$504,TRUE,$F$5:$F$504,"&gt;="&amp;AsOfWeek-7*(RecentWeeks+PriorWeeks-1),$F$5:$F$504,"&lt;"&amp;AsOfWeek-7*(RecentWeeks-1)),""))</f>
        <v/>
      </c>
      <c r="R184" s="21">
        <f>IF(OR(P184="",Q184="",Q184=0),"",P184/Q184-1)</f>
        <v/>
      </c>
      <c r="S184" s="20">
        <f>IF(OR(C184="",AsOfWeek=""),"",IFERROR(AVERAGEIFS($M$5:$M$504,$C$5:$C$504,C184,$L$5:$L$504,TRUE,$F$5:$F$504,"&gt;="&amp;AsOfWeek-7*(RecentWeeks-1),$F$5:$F$504,"&lt;="&amp;AsOfWeek),""))</f>
        <v/>
      </c>
      <c r="T184" s="21">
        <f>IF(OR(P184="",S184=""),"",P184/S184-1)</f>
        <v/>
      </c>
      <c r="U184" s="22">
        <f>IF(OR(B184="",'Weekly Input'!G184="",P184="",P184=0),"",'Weekly Input'!G184/P184)</f>
        <v/>
      </c>
      <c r="V184" s="18">
        <f>IF(B184="","",IF(NOT(I184),"Not Ready",IF(NOT(K184),"Not Ready",IF(N184&lt;MinHistory,"Not Ready",IF(NOT(J184),"Not Ready",IF(OR(Q184="",Q184=0),"Noise",IF(Q184&lt;LowBaseThreshold,"Noise",IF(AND(R184&lt;=-OwnDecline,T184&lt;=-PeerGapThreshold),"Markdown Review",IF(AND(R184&gt;=ReorderUplift,U184&lt;&gt;"",U184&lt;=WeeksSupplyCap),"Reorder Candidate","Monitor"))))))))</f>
        <v/>
      </c>
      <c r="W184" s="18">
        <f>IF(B184="","",IF(NOT(I184),"INVALID_MASTER",IF(NOT(K184),"INCOMPLETE_SHELF_CYCLE",IF(N184&lt;MinHistory,"INSUFFICIENT_HISTORY",IF(NOT(J184),"INSUFFICIENT_IN_STOCK",IF(OR(Q184="",Q184=0),"NO_PRIOR_BASE",IF(Q184&lt;LowBaseThreshold,"LOW_BASE_NOISE",IF(V184="Markdown Review","MARKDOWN_PEER_GAP",IF(V184="Reorder Candidate","REORDER_UPLIFT_COVER","NO_MATERIAL_CHANGE"))))))))</f>
        <v/>
      </c>
      <c r="X184" s="18">
        <f>IF(V184="Markdown Review","Markdown support",IF(V184="Reorder Candidate","Second reorder",IF(V184="Monitor","Monitor",IF(V184="Noise","Hold / collect data",IF(V184="Not Ready","Not ready","")))))</f>
        <v/>
      </c>
      <c r="Y184" s="18">
        <f>IF(OR(R184="",T184=""),"",ABS(R184)+ABS(T184))</f>
        <v/>
      </c>
      <c r="Z184" s="21">
        <f>IF(OR(B184="",NOT(O184),R184=""),"",IF(ABS(R184)&gt;=MaterialThreshold,"Yes","No"))</f>
        <v/>
      </c>
      <c r="AA184" s="18">
        <f>IF(Z184&lt;&gt;"Yes","",IF(ABS(R184)&gt;=MaterialThreshold,IF(ABS(R184)&gt;=BroadShare,"Broad SKU movement","Store-concentrated movement"),""))</f>
        <v/>
      </c>
      <c r="AB184" s="18">
        <f>IF(O184,IF(COUNTIFS($O$5:O184,TRUE)&gt;0,COUNTIFS($O$5:O184,TRUE),0),0)</f>
        <v/>
      </c>
      <c r="AC184" s="18">
        <f>IF(V184="Markdown Review",1,IF(V184="Reorder Candidate",2,IF(V184="Monitor",3,IF(V184="Noise",4,IF(V184="Not Ready",5,99)))))</f>
        <v/>
      </c>
      <c r="AD184" s="18">
        <f>IF(O184,COUNTIFS($O$5:$O$504,TRUE,$AC$5:$AC$504,"&lt;"&amp;AC184)+COUNTIFS($O$5:O184,TRUE,$AC$5:AC184,AC184,$Y$5:Y184,"&gt;"&amp;Y184),0)</f>
        <v/>
      </c>
    </row>
    <row r="185">
      <c r="A185" s="17">
        <f>IF(COUNTA('Weekly Input'!A185:C185)=0,"",'Weekly Input'!B185&amp;"|"&amp;'Weekly Input'!C185&amp;"|"&amp;TEXT('Weekly Input'!A185,"yyyy-mm-dd"))</f>
        <v/>
      </c>
      <c r="B185" s="18">
        <f>'Weekly Input'!B185</f>
        <v/>
      </c>
      <c r="C185" s="18">
        <f>'Weekly Input'!C185</f>
        <v/>
      </c>
      <c r="D185" s="18">
        <f>IF(B185="","",IFERROR(INDEX('Master Data'!$B$6:$B$145,MATCH(B185,'Master Data'!$A$6:$A$145,0)),""))</f>
        <v/>
      </c>
      <c r="E185" s="18">
        <f>IF(C185="","",IFERROR(INDEX('Master Data'!$H$6:$H$13,MATCH(C185,'Master Data'!$F$6:$F$13,0)),""))</f>
        <v/>
      </c>
      <c r="F185" s="19">
        <f>'Weekly Input'!A185</f>
        <v/>
      </c>
      <c r="G185" s="19">
        <f>IF(B185="","",IFERROR(INDEX('Master Data'!$D$6:$D$145,MATCH(B185,'Master Data'!$A$6:$A$145,0)),""))</f>
        <v/>
      </c>
      <c r="H185" s="18">
        <f>IF(OR(F185="",G185=""),"",F185-G185)</f>
        <v/>
      </c>
      <c r="I185" s="18">
        <f>IF(B185="","",IF('Weekly Input'!J185="OK",TRUE,FALSE))</f>
        <v/>
      </c>
      <c r="J185" s="18">
        <f>IF(B185="","",'Weekly Input'!H185&gt;=MinInStockDays)</f>
        <v/>
      </c>
      <c r="K185" s="18">
        <f>IF(B185="","",H185&gt;=FullCycleMin)</f>
        <v/>
      </c>
      <c r="L185" s="18">
        <f>IF(B185="","",AND(I185,J185,K185,N185&gt;=MinHistory))</f>
        <v/>
      </c>
      <c r="M185" s="20">
        <f>IF(OR(B185="",'Weekly Input'!H185=0),"",'Weekly Input'!D185/'Weekly Input'!H185*7)</f>
        <v/>
      </c>
      <c r="N185" s="18">
        <f>IF(B185="","",COUNTIFS($B$5:$B$504,B185,$C$5:$C$504,C185,$I$5:$I$504,TRUE,$J$5:$J$504,TRUE,$K$5:$K$504,TRUE))</f>
        <v/>
      </c>
      <c r="O185" s="18">
        <f>IF(B185="","",AND(F185=AsOfWeek,AsOfWeek&lt;&gt;""))</f>
        <v/>
      </c>
      <c r="P185" s="20">
        <f>IF(OR(B185="",AsOfWeek=""),"",IFERROR(SUMIFS($M$5:$M$504,$B$5:$B$504,B185,$C$5:$C$504,C185,$L$5:$L$504,TRUE,$F$5:$F$504,"&gt;="&amp;AsOfWeek-7*(RecentWeeks-1),$F$5:$F$504,"&lt;="&amp;AsOfWeek),""))</f>
        <v/>
      </c>
      <c r="Q185" s="20">
        <f>IF(OR(B185="",AsOfWeek=""),"",IFERROR(SUMIFS($M$5:$M$504,$B$5:$B$504,B185,$C$5:$C$504,C185,$L$5:$L$504,TRUE,$F$5:$F$504,"&gt;="&amp;AsOfWeek-7*(RecentWeeks+PriorWeeks-1),$F$5:$F$504,"&lt;"&amp;AsOfWeek-7*(RecentWeeks-1)),""))</f>
        <v/>
      </c>
      <c r="R185" s="21">
        <f>IF(OR(P185="",Q185="",Q185=0),"",P185/Q185-1)</f>
        <v/>
      </c>
      <c r="S185" s="20">
        <f>IF(OR(C185="",AsOfWeek=""),"",IFERROR(AVERAGEIFS($M$5:$M$504,$C$5:$C$504,C185,$L$5:$L$504,TRUE,$F$5:$F$504,"&gt;="&amp;AsOfWeek-7*(RecentWeeks-1),$F$5:$F$504,"&lt;="&amp;AsOfWeek),""))</f>
        <v/>
      </c>
      <c r="T185" s="21">
        <f>IF(OR(P185="",S185=""),"",P185/S185-1)</f>
        <v/>
      </c>
      <c r="U185" s="22">
        <f>IF(OR(B185="",'Weekly Input'!G185="",P185="",P185=0),"",'Weekly Input'!G185/P185)</f>
        <v/>
      </c>
      <c r="V185" s="18">
        <f>IF(B185="","",IF(NOT(I185),"Not Ready",IF(NOT(K185),"Not Ready",IF(N185&lt;MinHistory,"Not Ready",IF(NOT(J185),"Not Ready",IF(OR(Q185="",Q185=0),"Noise",IF(Q185&lt;LowBaseThreshold,"Noise",IF(AND(R185&lt;=-OwnDecline,T185&lt;=-PeerGapThreshold),"Markdown Review",IF(AND(R185&gt;=ReorderUplift,U185&lt;&gt;"",U185&lt;=WeeksSupplyCap),"Reorder Candidate","Monitor"))))))))</f>
        <v/>
      </c>
      <c r="W185" s="18">
        <f>IF(B185="","",IF(NOT(I185),"INVALID_MASTER",IF(NOT(K185),"INCOMPLETE_SHELF_CYCLE",IF(N185&lt;MinHistory,"INSUFFICIENT_HISTORY",IF(NOT(J185),"INSUFFICIENT_IN_STOCK",IF(OR(Q185="",Q185=0),"NO_PRIOR_BASE",IF(Q185&lt;LowBaseThreshold,"LOW_BASE_NOISE",IF(V185="Markdown Review","MARKDOWN_PEER_GAP",IF(V185="Reorder Candidate","REORDER_UPLIFT_COVER","NO_MATERIAL_CHANGE"))))))))</f>
        <v/>
      </c>
      <c r="X185" s="18">
        <f>IF(V185="Markdown Review","Markdown support",IF(V185="Reorder Candidate","Second reorder",IF(V185="Monitor","Monitor",IF(V185="Noise","Hold / collect data",IF(V185="Not Ready","Not ready","")))))</f>
        <v/>
      </c>
      <c r="Y185" s="18">
        <f>IF(OR(R185="",T185=""),"",ABS(R185)+ABS(T185))</f>
        <v/>
      </c>
      <c r="Z185" s="21">
        <f>IF(OR(B185="",NOT(O185),R185=""),"",IF(ABS(R185)&gt;=MaterialThreshold,"Yes","No"))</f>
        <v/>
      </c>
      <c r="AA185" s="18">
        <f>IF(Z185&lt;&gt;"Yes","",IF(ABS(R185)&gt;=MaterialThreshold,IF(ABS(R185)&gt;=BroadShare,"Broad SKU movement","Store-concentrated movement"),""))</f>
        <v/>
      </c>
      <c r="AB185" s="18">
        <f>IF(O185,IF(COUNTIFS($O$5:O185,TRUE)&gt;0,COUNTIFS($O$5:O185,TRUE),0),0)</f>
        <v/>
      </c>
      <c r="AC185" s="18">
        <f>IF(V185="Markdown Review",1,IF(V185="Reorder Candidate",2,IF(V185="Monitor",3,IF(V185="Noise",4,IF(V185="Not Ready",5,99)))))</f>
        <v/>
      </c>
      <c r="AD185" s="18">
        <f>IF(O185,COUNTIFS($O$5:$O$504,TRUE,$AC$5:$AC$504,"&lt;"&amp;AC185)+COUNTIFS($O$5:O185,TRUE,$AC$5:AC185,AC185,$Y$5:Y185,"&gt;"&amp;Y185),0)</f>
        <v/>
      </c>
    </row>
    <row r="186">
      <c r="A186" s="17">
        <f>IF(COUNTA('Weekly Input'!A186:C186)=0,"",'Weekly Input'!B186&amp;"|"&amp;'Weekly Input'!C186&amp;"|"&amp;TEXT('Weekly Input'!A186,"yyyy-mm-dd"))</f>
        <v/>
      </c>
      <c r="B186" s="18">
        <f>'Weekly Input'!B186</f>
        <v/>
      </c>
      <c r="C186" s="18">
        <f>'Weekly Input'!C186</f>
        <v/>
      </c>
      <c r="D186" s="18">
        <f>IF(B186="","",IFERROR(INDEX('Master Data'!$B$6:$B$145,MATCH(B186,'Master Data'!$A$6:$A$145,0)),""))</f>
        <v/>
      </c>
      <c r="E186" s="18">
        <f>IF(C186="","",IFERROR(INDEX('Master Data'!$H$6:$H$13,MATCH(C186,'Master Data'!$F$6:$F$13,0)),""))</f>
        <v/>
      </c>
      <c r="F186" s="19">
        <f>'Weekly Input'!A186</f>
        <v/>
      </c>
      <c r="G186" s="19">
        <f>IF(B186="","",IFERROR(INDEX('Master Data'!$D$6:$D$145,MATCH(B186,'Master Data'!$A$6:$A$145,0)),""))</f>
        <v/>
      </c>
      <c r="H186" s="18">
        <f>IF(OR(F186="",G186=""),"",F186-G186)</f>
        <v/>
      </c>
      <c r="I186" s="18">
        <f>IF(B186="","",IF('Weekly Input'!J186="OK",TRUE,FALSE))</f>
        <v/>
      </c>
      <c r="J186" s="18">
        <f>IF(B186="","",'Weekly Input'!H186&gt;=MinInStockDays)</f>
        <v/>
      </c>
      <c r="K186" s="18">
        <f>IF(B186="","",H186&gt;=FullCycleMin)</f>
        <v/>
      </c>
      <c r="L186" s="18">
        <f>IF(B186="","",AND(I186,J186,K186,N186&gt;=MinHistory))</f>
        <v/>
      </c>
      <c r="M186" s="20">
        <f>IF(OR(B186="",'Weekly Input'!H186=0),"",'Weekly Input'!D186/'Weekly Input'!H186*7)</f>
        <v/>
      </c>
      <c r="N186" s="18">
        <f>IF(B186="","",COUNTIFS($B$5:$B$504,B186,$C$5:$C$504,C186,$I$5:$I$504,TRUE,$J$5:$J$504,TRUE,$K$5:$K$504,TRUE))</f>
        <v/>
      </c>
      <c r="O186" s="18">
        <f>IF(B186="","",AND(F186=AsOfWeek,AsOfWeek&lt;&gt;""))</f>
        <v/>
      </c>
      <c r="P186" s="20">
        <f>IF(OR(B186="",AsOfWeek=""),"",IFERROR(SUMIFS($M$5:$M$504,$B$5:$B$504,B186,$C$5:$C$504,C186,$L$5:$L$504,TRUE,$F$5:$F$504,"&gt;="&amp;AsOfWeek-7*(RecentWeeks-1),$F$5:$F$504,"&lt;="&amp;AsOfWeek),""))</f>
        <v/>
      </c>
      <c r="Q186" s="20">
        <f>IF(OR(B186="",AsOfWeek=""),"",IFERROR(SUMIFS($M$5:$M$504,$B$5:$B$504,B186,$C$5:$C$504,C186,$L$5:$L$504,TRUE,$F$5:$F$504,"&gt;="&amp;AsOfWeek-7*(RecentWeeks+PriorWeeks-1),$F$5:$F$504,"&lt;"&amp;AsOfWeek-7*(RecentWeeks-1)),""))</f>
        <v/>
      </c>
      <c r="R186" s="21">
        <f>IF(OR(P186="",Q186="",Q186=0),"",P186/Q186-1)</f>
        <v/>
      </c>
      <c r="S186" s="20">
        <f>IF(OR(C186="",AsOfWeek=""),"",IFERROR(AVERAGEIFS($M$5:$M$504,$C$5:$C$504,C186,$L$5:$L$504,TRUE,$F$5:$F$504,"&gt;="&amp;AsOfWeek-7*(RecentWeeks-1),$F$5:$F$504,"&lt;="&amp;AsOfWeek),""))</f>
        <v/>
      </c>
      <c r="T186" s="21">
        <f>IF(OR(P186="",S186=""),"",P186/S186-1)</f>
        <v/>
      </c>
      <c r="U186" s="22">
        <f>IF(OR(B186="",'Weekly Input'!G186="",P186="",P186=0),"",'Weekly Input'!G186/P186)</f>
        <v/>
      </c>
      <c r="V186" s="18">
        <f>IF(B186="","",IF(NOT(I186),"Not Ready",IF(NOT(K186),"Not Ready",IF(N186&lt;MinHistory,"Not Ready",IF(NOT(J186),"Not Ready",IF(OR(Q186="",Q186=0),"Noise",IF(Q186&lt;LowBaseThreshold,"Noise",IF(AND(R186&lt;=-OwnDecline,T186&lt;=-PeerGapThreshold),"Markdown Review",IF(AND(R186&gt;=ReorderUplift,U186&lt;&gt;"",U186&lt;=WeeksSupplyCap),"Reorder Candidate","Monitor"))))))))</f>
        <v/>
      </c>
      <c r="W186" s="18">
        <f>IF(B186="","",IF(NOT(I186),"INVALID_MASTER",IF(NOT(K186),"INCOMPLETE_SHELF_CYCLE",IF(N186&lt;MinHistory,"INSUFFICIENT_HISTORY",IF(NOT(J186),"INSUFFICIENT_IN_STOCK",IF(OR(Q186="",Q186=0),"NO_PRIOR_BASE",IF(Q186&lt;LowBaseThreshold,"LOW_BASE_NOISE",IF(V186="Markdown Review","MARKDOWN_PEER_GAP",IF(V186="Reorder Candidate","REORDER_UPLIFT_COVER","NO_MATERIAL_CHANGE"))))))))</f>
        <v/>
      </c>
      <c r="X186" s="18">
        <f>IF(V186="Markdown Review","Markdown support",IF(V186="Reorder Candidate","Second reorder",IF(V186="Monitor","Monitor",IF(V186="Noise","Hold / collect data",IF(V186="Not Ready","Not ready","")))))</f>
        <v/>
      </c>
      <c r="Y186" s="18">
        <f>IF(OR(R186="",T186=""),"",ABS(R186)+ABS(T186))</f>
        <v/>
      </c>
      <c r="Z186" s="21">
        <f>IF(OR(B186="",NOT(O186),R186=""),"",IF(ABS(R186)&gt;=MaterialThreshold,"Yes","No"))</f>
        <v/>
      </c>
      <c r="AA186" s="18">
        <f>IF(Z186&lt;&gt;"Yes","",IF(ABS(R186)&gt;=MaterialThreshold,IF(ABS(R186)&gt;=BroadShare,"Broad SKU movement","Store-concentrated movement"),""))</f>
        <v/>
      </c>
      <c r="AB186" s="18">
        <f>IF(O186,IF(COUNTIFS($O$5:O186,TRUE)&gt;0,COUNTIFS($O$5:O186,TRUE),0),0)</f>
        <v/>
      </c>
      <c r="AC186" s="18">
        <f>IF(V186="Markdown Review",1,IF(V186="Reorder Candidate",2,IF(V186="Monitor",3,IF(V186="Noise",4,IF(V186="Not Ready",5,99)))))</f>
        <v/>
      </c>
      <c r="AD186" s="18">
        <f>IF(O186,COUNTIFS($O$5:$O$504,TRUE,$AC$5:$AC$504,"&lt;"&amp;AC186)+COUNTIFS($O$5:O186,TRUE,$AC$5:AC186,AC186,$Y$5:Y186,"&gt;"&amp;Y186),0)</f>
        <v/>
      </c>
    </row>
    <row r="187">
      <c r="A187" s="17">
        <f>IF(COUNTA('Weekly Input'!A187:C187)=0,"",'Weekly Input'!B187&amp;"|"&amp;'Weekly Input'!C187&amp;"|"&amp;TEXT('Weekly Input'!A187,"yyyy-mm-dd"))</f>
        <v/>
      </c>
      <c r="B187" s="18">
        <f>'Weekly Input'!B187</f>
        <v/>
      </c>
      <c r="C187" s="18">
        <f>'Weekly Input'!C187</f>
        <v/>
      </c>
      <c r="D187" s="18">
        <f>IF(B187="","",IFERROR(INDEX('Master Data'!$B$6:$B$145,MATCH(B187,'Master Data'!$A$6:$A$145,0)),""))</f>
        <v/>
      </c>
      <c r="E187" s="18">
        <f>IF(C187="","",IFERROR(INDEX('Master Data'!$H$6:$H$13,MATCH(C187,'Master Data'!$F$6:$F$13,0)),""))</f>
        <v/>
      </c>
      <c r="F187" s="19">
        <f>'Weekly Input'!A187</f>
        <v/>
      </c>
      <c r="G187" s="19">
        <f>IF(B187="","",IFERROR(INDEX('Master Data'!$D$6:$D$145,MATCH(B187,'Master Data'!$A$6:$A$145,0)),""))</f>
        <v/>
      </c>
      <c r="H187" s="18">
        <f>IF(OR(F187="",G187=""),"",F187-G187)</f>
        <v/>
      </c>
      <c r="I187" s="18">
        <f>IF(B187="","",IF('Weekly Input'!J187="OK",TRUE,FALSE))</f>
        <v/>
      </c>
      <c r="J187" s="18">
        <f>IF(B187="","",'Weekly Input'!H187&gt;=MinInStockDays)</f>
        <v/>
      </c>
      <c r="K187" s="18">
        <f>IF(B187="","",H187&gt;=FullCycleMin)</f>
        <v/>
      </c>
      <c r="L187" s="18">
        <f>IF(B187="","",AND(I187,J187,K187,N187&gt;=MinHistory))</f>
        <v/>
      </c>
      <c r="M187" s="20">
        <f>IF(OR(B187="",'Weekly Input'!H187=0),"",'Weekly Input'!D187/'Weekly Input'!H187*7)</f>
        <v/>
      </c>
      <c r="N187" s="18">
        <f>IF(B187="","",COUNTIFS($B$5:$B$504,B187,$C$5:$C$504,C187,$I$5:$I$504,TRUE,$J$5:$J$504,TRUE,$K$5:$K$504,TRUE))</f>
        <v/>
      </c>
      <c r="O187" s="18">
        <f>IF(B187="","",AND(F187=AsOfWeek,AsOfWeek&lt;&gt;""))</f>
        <v/>
      </c>
      <c r="P187" s="20">
        <f>IF(OR(B187="",AsOfWeek=""),"",IFERROR(SUMIFS($M$5:$M$504,$B$5:$B$504,B187,$C$5:$C$504,C187,$L$5:$L$504,TRUE,$F$5:$F$504,"&gt;="&amp;AsOfWeek-7*(RecentWeeks-1),$F$5:$F$504,"&lt;="&amp;AsOfWeek),""))</f>
        <v/>
      </c>
      <c r="Q187" s="20">
        <f>IF(OR(B187="",AsOfWeek=""),"",IFERROR(SUMIFS($M$5:$M$504,$B$5:$B$504,B187,$C$5:$C$504,C187,$L$5:$L$504,TRUE,$F$5:$F$504,"&gt;="&amp;AsOfWeek-7*(RecentWeeks+PriorWeeks-1),$F$5:$F$504,"&lt;"&amp;AsOfWeek-7*(RecentWeeks-1)),""))</f>
        <v/>
      </c>
      <c r="R187" s="21">
        <f>IF(OR(P187="",Q187="",Q187=0),"",P187/Q187-1)</f>
        <v/>
      </c>
      <c r="S187" s="20">
        <f>IF(OR(C187="",AsOfWeek=""),"",IFERROR(AVERAGEIFS($M$5:$M$504,$C$5:$C$504,C187,$L$5:$L$504,TRUE,$F$5:$F$504,"&gt;="&amp;AsOfWeek-7*(RecentWeeks-1),$F$5:$F$504,"&lt;="&amp;AsOfWeek),""))</f>
        <v/>
      </c>
      <c r="T187" s="21">
        <f>IF(OR(P187="",S187=""),"",P187/S187-1)</f>
        <v/>
      </c>
      <c r="U187" s="22">
        <f>IF(OR(B187="",'Weekly Input'!G187="",P187="",P187=0),"",'Weekly Input'!G187/P187)</f>
        <v/>
      </c>
      <c r="V187" s="18">
        <f>IF(B187="","",IF(NOT(I187),"Not Ready",IF(NOT(K187),"Not Ready",IF(N187&lt;MinHistory,"Not Ready",IF(NOT(J187),"Not Ready",IF(OR(Q187="",Q187=0),"Noise",IF(Q187&lt;LowBaseThreshold,"Noise",IF(AND(R187&lt;=-OwnDecline,T187&lt;=-PeerGapThreshold),"Markdown Review",IF(AND(R187&gt;=ReorderUplift,U187&lt;&gt;"",U187&lt;=WeeksSupplyCap),"Reorder Candidate","Monitor"))))))))</f>
        <v/>
      </c>
      <c r="W187" s="18">
        <f>IF(B187="","",IF(NOT(I187),"INVALID_MASTER",IF(NOT(K187),"INCOMPLETE_SHELF_CYCLE",IF(N187&lt;MinHistory,"INSUFFICIENT_HISTORY",IF(NOT(J187),"INSUFFICIENT_IN_STOCK",IF(OR(Q187="",Q187=0),"NO_PRIOR_BASE",IF(Q187&lt;LowBaseThreshold,"LOW_BASE_NOISE",IF(V187="Markdown Review","MARKDOWN_PEER_GAP",IF(V187="Reorder Candidate","REORDER_UPLIFT_COVER","NO_MATERIAL_CHANGE"))))))))</f>
        <v/>
      </c>
      <c r="X187" s="18">
        <f>IF(V187="Markdown Review","Markdown support",IF(V187="Reorder Candidate","Second reorder",IF(V187="Monitor","Monitor",IF(V187="Noise","Hold / collect data",IF(V187="Not Ready","Not ready","")))))</f>
        <v/>
      </c>
      <c r="Y187" s="18">
        <f>IF(OR(R187="",T187=""),"",ABS(R187)+ABS(T187))</f>
        <v/>
      </c>
      <c r="Z187" s="21">
        <f>IF(OR(B187="",NOT(O187),R187=""),"",IF(ABS(R187)&gt;=MaterialThreshold,"Yes","No"))</f>
        <v/>
      </c>
      <c r="AA187" s="18">
        <f>IF(Z187&lt;&gt;"Yes","",IF(ABS(R187)&gt;=MaterialThreshold,IF(ABS(R187)&gt;=BroadShare,"Broad SKU movement","Store-concentrated movement"),""))</f>
        <v/>
      </c>
      <c r="AB187" s="18">
        <f>IF(O187,IF(COUNTIFS($O$5:O187,TRUE)&gt;0,COUNTIFS($O$5:O187,TRUE),0),0)</f>
        <v/>
      </c>
      <c r="AC187" s="18">
        <f>IF(V187="Markdown Review",1,IF(V187="Reorder Candidate",2,IF(V187="Monitor",3,IF(V187="Noise",4,IF(V187="Not Ready",5,99)))))</f>
        <v/>
      </c>
      <c r="AD187" s="18">
        <f>IF(O187,COUNTIFS($O$5:$O$504,TRUE,$AC$5:$AC$504,"&lt;"&amp;AC187)+COUNTIFS($O$5:O187,TRUE,$AC$5:AC187,AC187,$Y$5:Y187,"&gt;"&amp;Y187),0)</f>
        <v/>
      </c>
    </row>
    <row r="188">
      <c r="A188" s="17">
        <f>IF(COUNTA('Weekly Input'!A188:C188)=0,"",'Weekly Input'!B188&amp;"|"&amp;'Weekly Input'!C188&amp;"|"&amp;TEXT('Weekly Input'!A188,"yyyy-mm-dd"))</f>
        <v/>
      </c>
      <c r="B188" s="18">
        <f>'Weekly Input'!B188</f>
        <v/>
      </c>
      <c r="C188" s="18">
        <f>'Weekly Input'!C188</f>
        <v/>
      </c>
      <c r="D188" s="18">
        <f>IF(B188="","",IFERROR(INDEX('Master Data'!$B$6:$B$145,MATCH(B188,'Master Data'!$A$6:$A$145,0)),""))</f>
        <v/>
      </c>
      <c r="E188" s="18">
        <f>IF(C188="","",IFERROR(INDEX('Master Data'!$H$6:$H$13,MATCH(C188,'Master Data'!$F$6:$F$13,0)),""))</f>
        <v/>
      </c>
      <c r="F188" s="19">
        <f>'Weekly Input'!A188</f>
        <v/>
      </c>
      <c r="G188" s="19">
        <f>IF(B188="","",IFERROR(INDEX('Master Data'!$D$6:$D$145,MATCH(B188,'Master Data'!$A$6:$A$145,0)),""))</f>
        <v/>
      </c>
      <c r="H188" s="18">
        <f>IF(OR(F188="",G188=""),"",F188-G188)</f>
        <v/>
      </c>
      <c r="I188" s="18">
        <f>IF(B188="","",IF('Weekly Input'!J188="OK",TRUE,FALSE))</f>
        <v/>
      </c>
      <c r="J188" s="18">
        <f>IF(B188="","",'Weekly Input'!H188&gt;=MinInStockDays)</f>
        <v/>
      </c>
      <c r="K188" s="18">
        <f>IF(B188="","",H188&gt;=FullCycleMin)</f>
        <v/>
      </c>
      <c r="L188" s="18">
        <f>IF(B188="","",AND(I188,J188,K188,N188&gt;=MinHistory))</f>
        <v/>
      </c>
      <c r="M188" s="20">
        <f>IF(OR(B188="",'Weekly Input'!H188=0),"",'Weekly Input'!D188/'Weekly Input'!H188*7)</f>
        <v/>
      </c>
      <c r="N188" s="18">
        <f>IF(B188="","",COUNTIFS($B$5:$B$504,B188,$C$5:$C$504,C188,$I$5:$I$504,TRUE,$J$5:$J$504,TRUE,$K$5:$K$504,TRUE))</f>
        <v/>
      </c>
      <c r="O188" s="18">
        <f>IF(B188="","",AND(F188=AsOfWeek,AsOfWeek&lt;&gt;""))</f>
        <v/>
      </c>
      <c r="P188" s="20">
        <f>IF(OR(B188="",AsOfWeek=""),"",IFERROR(SUMIFS($M$5:$M$504,$B$5:$B$504,B188,$C$5:$C$504,C188,$L$5:$L$504,TRUE,$F$5:$F$504,"&gt;="&amp;AsOfWeek-7*(RecentWeeks-1),$F$5:$F$504,"&lt;="&amp;AsOfWeek),""))</f>
        <v/>
      </c>
      <c r="Q188" s="20">
        <f>IF(OR(B188="",AsOfWeek=""),"",IFERROR(SUMIFS($M$5:$M$504,$B$5:$B$504,B188,$C$5:$C$504,C188,$L$5:$L$504,TRUE,$F$5:$F$504,"&gt;="&amp;AsOfWeek-7*(RecentWeeks+PriorWeeks-1),$F$5:$F$504,"&lt;"&amp;AsOfWeek-7*(RecentWeeks-1)),""))</f>
        <v/>
      </c>
      <c r="R188" s="21">
        <f>IF(OR(P188="",Q188="",Q188=0),"",P188/Q188-1)</f>
        <v/>
      </c>
      <c r="S188" s="20">
        <f>IF(OR(C188="",AsOfWeek=""),"",IFERROR(AVERAGEIFS($M$5:$M$504,$C$5:$C$504,C188,$L$5:$L$504,TRUE,$F$5:$F$504,"&gt;="&amp;AsOfWeek-7*(RecentWeeks-1),$F$5:$F$504,"&lt;="&amp;AsOfWeek),""))</f>
        <v/>
      </c>
      <c r="T188" s="21">
        <f>IF(OR(P188="",S188=""),"",P188/S188-1)</f>
        <v/>
      </c>
      <c r="U188" s="22">
        <f>IF(OR(B188="",'Weekly Input'!G188="",P188="",P188=0),"",'Weekly Input'!G188/P188)</f>
        <v/>
      </c>
      <c r="V188" s="18">
        <f>IF(B188="","",IF(NOT(I188),"Not Ready",IF(NOT(K188),"Not Ready",IF(N188&lt;MinHistory,"Not Ready",IF(NOT(J188),"Not Ready",IF(OR(Q188="",Q188=0),"Noise",IF(Q188&lt;LowBaseThreshold,"Noise",IF(AND(R188&lt;=-OwnDecline,T188&lt;=-PeerGapThreshold),"Markdown Review",IF(AND(R188&gt;=ReorderUplift,U188&lt;&gt;"",U188&lt;=WeeksSupplyCap),"Reorder Candidate","Monitor"))))))))</f>
        <v/>
      </c>
      <c r="W188" s="18">
        <f>IF(B188="","",IF(NOT(I188),"INVALID_MASTER",IF(NOT(K188),"INCOMPLETE_SHELF_CYCLE",IF(N188&lt;MinHistory,"INSUFFICIENT_HISTORY",IF(NOT(J188),"INSUFFICIENT_IN_STOCK",IF(OR(Q188="",Q188=0),"NO_PRIOR_BASE",IF(Q188&lt;LowBaseThreshold,"LOW_BASE_NOISE",IF(V188="Markdown Review","MARKDOWN_PEER_GAP",IF(V188="Reorder Candidate","REORDER_UPLIFT_COVER","NO_MATERIAL_CHANGE"))))))))</f>
        <v/>
      </c>
      <c r="X188" s="18">
        <f>IF(V188="Markdown Review","Markdown support",IF(V188="Reorder Candidate","Second reorder",IF(V188="Monitor","Monitor",IF(V188="Noise","Hold / collect data",IF(V188="Not Ready","Not ready","")))))</f>
        <v/>
      </c>
      <c r="Y188" s="18">
        <f>IF(OR(R188="",T188=""),"",ABS(R188)+ABS(T188))</f>
        <v/>
      </c>
      <c r="Z188" s="21">
        <f>IF(OR(B188="",NOT(O188),R188=""),"",IF(ABS(R188)&gt;=MaterialThreshold,"Yes","No"))</f>
        <v/>
      </c>
      <c r="AA188" s="18">
        <f>IF(Z188&lt;&gt;"Yes","",IF(ABS(R188)&gt;=MaterialThreshold,IF(ABS(R188)&gt;=BroadShare,"Broad SKU movement","Store-concentrated movement"),""))</f>
        <v/>
      </c>
      <c r="AB188" s="18">
        <f>IF(O188,IF(COUNTIFS($O$5:O188,TRUE)&gt;0,COUNTIFS($O$5:O188,TRUE),0),0)</f>
        <v/>
      </c>
      <c r="AC188" s="18">
        <f>IF(V188="Markdown Review",1,IF(V188="Reorder Candidate",2,IF(V188="Monitor",3,IF(V188="Noise",4,IF(V188="Not Ready",5,99)))))</f>
        <v/>
      </c>
      <c r="AD188" s="18">
        <f>IF(O188,COUNTIFS($O$5:$O$504,TRUE,$AC$5:$AC$504,"&lt;"&amp;AC188)+COUNTIFS($O$5:O188,TRUE,$AC$5:AC188,AC188,$Y$5:Y188,"&gt;"&amp;Y188),0)</f>
        <v/>
      </c>
    </row>
    <row r="189">
      <c r="A189" s="17">
        <f>IF(COUNTA('Weekly Input'!A189:C189)=0,"",'Weekly Input'!B189&amp;"|"&amp;'Weekly Input'!C189&amp;"|"&amp;TEXT('Weekly Input'!A189,"yyyy-mm-dd"))</f>
        <v/>
      </c>
      <c r="B189" s="18">
        <f>'Weekly Input'!B189</f>
        <v/>
      </c>
      <c r="C189" s="18">
        <f>'Weekly Input'!C189</f>
        <v/>
      </c>
      <c r="D189" s="18">
        <f>IF(B189="","",IFERROR(INDEX('Master Data'!$B$6:$B$145,MATCH(B189,'Master Data'!$A$6:$A$145,0)),""))</f>
        <v/>
      </c>
      <c r="E189" s="18">
        <f>IF(C189="","",IFERROR(INDEX('Master Data'!$H$6:$H$13,MATCH(C189,'Master Data'!$F$6:$F$13,0)),""))</f>
        <v/>
      </c>
      <c r="F189" s="19">
        <f>'Weekly Input'!A189</f>
        <v/>
      </c>
      <c r="G189" s="19">
        <f>IF(B189="","",IFERROR(INDEX('Master Data'!$D$6:$D$145,MATCH(B189,'Master Data'!$A$6:$A$145,0)),""))</f>
        <v/>
      </c>
      <c r="H189" s="18">
        <f>IF(OR(F189="",G189=""),"",F189-G189)</f>
        <v/>
      </c>
      <c r="I189" s="18">
        <f>IF(B189="","",IF('Weekly Input'!J189="OK",TRUE,FALSE))</f>
        <v/>
      </c>
      <c r="J189" s="18">
        <f>IF(B189="","",'Weekly Input'!H189&gt;=MinInStockDays)</f>
        <v/>
      </c>
      <c r="K189" s="18">
        <f>IF(B189="","",H189&gt;=FullCycleMin)</f>
        <v/>
      </c>
      <c r="L189" s="18">
        <f>IF(B189="","",AND(I189,J189,K189,N189&gt;=MinHistory))</f>
        <v/>
      </c>
      <c r="M189" s="20">
        <f>IF(OR(B189="",'Weekly Input'!H189=0),"",'Weekly Input'!D189/'Weekly Input'!H189*7)</f>
        <v/>
      </c>
      <c r="N189" s="18">
        <f>IF(B189="","",COUNTIFS($B$5:$B$504,B189,$C$5:$C$504,C189,$I$5:$I$504,TRUE,$J$5:$J$504,TRUE,$K$5:$K$504,TRUE))</f>
        <v/>
      </c>
      <c r="O189" s="18">
        <f>IF(B189="","",AND(F189=AsOfWeek,AsOfWeek&lt;&gt;""))</f>
        <v/>
      </c>
      <c r="P189" s="20">
        <f>IF(OR(B189="",AsOfWeek=""),"",IFERROR(SUMIFS($M$5:$M$504,$B$5:$B$504,B189,$C$5:$C$504,C189,$L$5:$L$504,TRUE,$F$5:$F$504,"&gt;="&amp;AsOfWeek-7*(RecentWeeks-1),$F$5:$F$504,"&lt;="&amp;AsOfWeek),""))</f>
        <v/>
      </c>
      <c r="Q189" s="20">
        <f>IF(OR(B189="",AsOfWeek=""),"",IFERROR(SUMIFS($M$5:$M$504,$B$5:$B$504,B189,$C$5:$C$504,C189,$L$5:$L$504,TRUE,$F$5:$F$504,"&gt;="&amp;AsOfWeek-7*(RecentWeeks+PriorWeeks-1),$F$5:$F$504,"&lt;"&amp;AsOfWeek-7*(RecentWeeks-1)),""))</f>
        <v/>
      </c>
      <c r="R189" s="21">
        <f>IF(OR(P189="",Q189="",Q189=0),"",P189/Q189-1)</f>
        <v/>
      </c>
      <c r="S189" s="20">
        <f>IF(OR(C189="",AsOfWeek=""),"",IFERROR(AVERAGEIFS($M$5:$M$504,$C$5:$C$504,C189,$L$5:$L$504,TRUE,$F$5:$F$504,"&gt;="&amp;AsOfWeek-7*(RecentWeeks-1),$F$5:$F$504,"&lt;="&amp;AsOfWeek),""))</f>
        <v/>
      </c>
      <c r="T189" s="21">
        <f>IF(OR(P189="",S189=""),"",P189/S189-1)</f>
        <v/>
      </c>
      <c r="U189" s="22">
        <f>IF(OR(B189="",'Weekly Input'!G189="",P189="",P189=0),"",'Weekly Input'!G189/P189)</f>
        <v/>
      </c>
      <c r="V189" s="18">
        <f>IF(B189="","",IF(NOT(I189),"Not Ready",IF(NOT(K189),"Not Ready",IF(N189&lt;MinHistory,"Not Ready",IF(NOT(J189),"Not Ready",IF(OR(Q189="",Q189=0),"Noise",IF(Q189&lt;LowBaseThreshold,"Noise",IF(AND(R189&lt;=-OwnDecline,T189&lt;=-PeerGapThreshold),"Markdown Review",IF(AND(R189&gt;=ReorderUplift,U189&lt;&gt;"",U189&lt;=WeeksSupplyCap),"Reorder Candidate","Monitor"))))))))</f>
        <v/>
      </c>
      <c r="W189" s="18">
        <f>IF(B189="","",IF(NOT(I189),"INVALID_MASTER",IF(NOT(K189),"INCOMPLETE_SHELF_CYCLE",IF(N189&lt;MinHistory,"INSUFFICIENT_HISTORY",IF(NOT(J189),"INSUFFICIENT_IN_STOCK",IF(OR(Q189="",Q189=0),"NO_PRIOR_BASE",IF(Q189&lt;LowBaseThreshold,"LOW_BASE_NOISE",IF(V189="Markdown Review","MARKDOWN_PEER_GAP",IF(V189="Reorder Candidate","REORDER_UPLIFT_COVER","NO_MATERIAL_CHANGE"))))))))</f>
        <v/>
      </c>
      <c r="X189" s="18">
        <f>IF(V189="Markdown Review","Markdown support",IF(V189="Reorder Candidate","Second reorder",IF(V189="Monitor","Monitor",IF(V189="Noise","Hold / collect data",IF(V189="Not Ready","Not ready","")))))</f>
        <v/>
      </c>
      <c r="Y189" s="18">
        <f>IF(OR(R189="",T189=""),"",ABS(R189)+ABS(T189))</f>
        <v/>
      </c>
      <c r="Z189" s="21">
        <f>IF(OR(B189="",NOT(O189),R189=""),"",IF(ABS(R189)&gt;=MaterialThreshold,"Yes","No"))</f>
        <v/>
      </c>
      <c r="AA189" s="18">
        <f>IF(Z189&lt;&gt;"Yes","",IF(ABS(R189)&gt;=MaterialThreshold,IF(ABS(R189)&gt;=BroadShare,"Broad SKU movement","Store-concentrated movement"),""))</f>
        <v/>
      </c>
      <c r="AB189" s="18">
        <f>IF(O189,IF(COUNTIFS($O$5:O189,TRUE)&gt;0,COUNTIFS($O$5:O189,TRUE),0),0)</f>
        <v/>
      </c>
      <c r="AC189" s="18">
        <f>IF(V189="Markdown Review",1,IF(V189="Reorder Candidate",2,IF(V189="Monitor",3,IF(V189="Noise",4,IF(V189="Not Ready",5,99)))))</f>
        <v/>
      </c>
      <c r="AD189" s="18">
        <f>IF(O189,COUNTIFS($O$5:$O$504,TRUE,$AC$5:$AC$504,"&lt;"&amp;AC189)+COUNTIFS($O$5:O189,TRUE,$AC$5:AC189,AC189,$Y$5:Y189,"&gt;"&amp;Y189),0)</f>
        <v/>
      </c>
    </row>
    <row r="190">
      <c r="A190" s="17">
        <f>IF(COUNTA('Weekly Input'!A190:C190)=0,"",'Weekly Input'!B190&amp;"|"&amp;'Weekly Input'!C190&amp;"|"&amp;TEXT('Weekly Input'!A190,"yyyy-mm-dd"))</f>
        <v/>
      </c>
      <c r="B190" s="18">
        <f>'Weekly Input'!B190</f>
        <v/>
      </c>
      <c r="C190" s="18">
        <f>'Weekly Input'!C190</f>
        <v/>
      </c>
      <c r="D190" s="18">
        <f>IF(B190="","",IFERROR(INDEX('Master Data'!$B$6:$B$145,MATCH(B190,'Master Data'!$A$6:$A$145,0)),""))</f>
        <v/>
      </c>
      <c r="E190" s="18">
        <f>IF(C190="","",IFERROR(INDEX('Master Data'!$H$6:$H$13,MATCH(C190,'Master Data'!$F$6:$F$13,0)),""))</f>
        <v/>
      </c>
      <c r="F190" s="19">
        <f>'Weekly Input'!A190</f>
        <v/>
      </c>
      <c r="G190" s="19">
        <f>IF(B190="","",IFERROR(INDEX('Master Data'!$D$6:$D$145,MATCH(B190,'Master Data'!$A$6:$A$145,0)),""))</f>
        <v/>
      </c>
      <c r="H190" s="18">
        <f>IF(OR(F190="",G190=""),"",F190-G190)</f>
        <v/>
      </c>
      <c r="I190" s="18">
        <f>IF(B190="","",IF('Weekly Input'!J190="OK",TRUE,FALSE))</f>
        <v/>
      </c>
      <c r="J190" s="18">
        <f>IF(B190="","",'Weekly Input'!H190&gt;=MinInStockDays)</f>
        <v/>
      </c>
      <c r="K190" s="18">
        <f>IF(B190="","",H190&gt;=FullCycleMin)</f>
        <v/>
      </c>
      <c r="L190" s="18">
        <f>IF(B190="","",AND(I190,J190,K190,N190&gt;=MinHistory))</f>
        <v/>
      </c>
      <c r="M190" s="20">
        <f>IF(OR(B190="",'Weekly Input'!H190=0),"",'Weekly Input'!D190/'Weekly Input'!H190*7)</f>
        <v/>
      </c>
      <c r="N190" s="18">
        <f>IF(B190="","",COUNTIFS($B$5:$B$504,B190,$C$5:$C$504,C190,$I$5:$I$504,TRUE,$J$5:$J$504,TRUE,$K$5:$K$504,TRUE))</f>
        <v/>
      </c>
      <c r="O190" s="18">
        <f>IF(B190="","",AND(F190=AsOfWeek,AsOfWeek&lt;&gt;""))</f>
        <v/>
      </c>
      <c r="P190" s="20">
        <f>IF(OR(B190="",AsOfWeek=""),"",IFERROR(SUMIFS($M$5:$M$504,$B$5:$B$504,B190,$C$5:$C$504,C190,$L$5:$L$504,TRUE,$F$5:$F$504,"&gt;="&amp;AsOfWeek-7*(RecentWeeks-1),$F$5:$F$504,"&lt;="&amp;AsOfWeek),""))</f>
        <v/>
      </c>
      <c r="Q190" s="20">
        <f>IF(OR(B190="",AsOfWeek=""),"",IFERROR(SUMIFS($M$5:$M$504,$B$5:$B$504,B190,$C$5:$C$504,C190,$L$5:$L$504,TRUE,$F$5:$F$504,"&gt;="&amp;AsOfWeek-7*(RecentWeeks+PriorWeeks-1),$F$5:$F$504,"&lt;"&amp;AsOfWeek-7*(RecentWeeks-1)),""))</f>
        <v/>
      </c>
      <c r="R190" s="21">
        <f>IF(OR(P190="",Q190="",Q190=0),"",P190/Q190-1)</f>
        <v/>
      </c>
      <c r="S190" s="20">
        <f>IF(OR(C190="",AsOfWeek=""),"",IFERROR(AVERAGEIFS($M$5:$M$504,$C$5:$C$504,C190,$L$5:$L$504,TRUE,$F$5:$F$504,"&gt;="&amp;AsOfWeek-7*(RecentWeeks-1),$F$5:$F$504,"&lt;="&amp;AsOfWeek),""))</f>
        <v/>
      </c>
      <c r="T190" s="21">
        <f>IF(OR(P190="",S190=""),"",P190/S190-1)</f>
        <v/>
      </c>
      <c r="U190" s="22">
        <f>IF(OR(B190="",'Weekly Input'!G190="",P190="",P190=0),"",'Weekly Input'!G190/P190)</f>
        <v/>
      </c>
      <c r="V190" s="18">
        <f>IF(B190="","",IF(NOT(I190),"Not Ready",IF(NOT(K190),"Not Ready",IF(N190&lt;MinHistory,"Not Ready",IF(NOT(J190),"Not Ready",IF(OR(Q190="",Q190=0),"Noise",IF(Q190&lt;LowBaseThreshold,"Noise",IF(AND(R190&lt;=-OwnDecline,T190&lt;=-PeerGapThreshold),"Markdown Review",IF(AND(R190&gt;=ReorderUplift,U190&lt;&gt;"",U190&lt;=WeeksSupplyCap),"Reorder Candidate","Monitor"))))))))</f>
        <v/>
      </c>
      <c r="W190" s="18">
        <f>IF(B190="","",IF(NOT(I190),"INVALID_MASTER",IF(NOT(K190),"INCOMPLETE_SHELF_CYCLE",IF(N190&lt;MinHistory,"INSUFFICIENT_HISTORY",IF(NOT(J190),"INSUFFICIENT_IN_STOCK",IF(OR(Q190="",Q190=0),"NO_PRIOR_BASE",IF(Q190&lt;LowBaseThreshold,"LOW_BASE_NOISE",IF(V190="Markdown Review","MARKDOWN_PEER_GAP",IF(V190="Reorder Candidate","REORDER_UPLIFT_COVER","NO_MATERIAL_CHANGE"))))))))</f>
        <v/>
      </c>
      <c r="X190" s="18">
        <f>IF(V190="Markdown Review","Markdown support",IF(V190="Reorder Candidate","Second reorder",IF(V190="Monitor","Monitor",IF(V190="Noise","Hold / collect data",IF(V190="Not Ready","Not ready","")))))</f>
        <v/>
      </c>
      <c r="Y190" s="18">
        <f>IF(OR(R190="",T190=""),"",ABS(R190)+ABS(T190))</f>
        <v/>
      </c>
      <c r="Z190" s="21">
        <f>IF(OR(B190="",NOT(O190),R190=""),"",IF(ABS(R190)&gt;=MaterialThreshold,"Yes","No"))</f>
        <v/>
      </c>
      <c r="AA190" s="18">
        <f>IF(Z190&lt;&gt;"Yes","",IF(ABS(R190)&gt;=MaterialThreshold,IF(ABS(R190)&gt;=BroadShare,"Broad SKU movement","Store-concentrated movement"),""))</f>
        <v/>
      </c>
      <c r="AB190" s="18">
        <f>IF(O190,IF(COUNTIFS($O$5:O190,TRUE)&gt;0,COUNTIFS($O$5:O190,TRUE),0),0)</f>
        <v/>
      </c>
      <c r="AC190" s="18">
        <f>IF(V190="Markdown Review",1,IF(V190="Reorder Candidate",2,IF(V190="Monitor",3,IF(V190="Noise",4,IF(V190="Not Ready",5,99)))))</f>
        <v/>
      </c>
      <c r="AD190" s="18">
        <f>IF(O190,COUNTIFS($O$5:$O$504,TRUE,$AC$5:$AC$504,"&lt;"&amp;AC190)+COUNTIFS($O$5:O190,TRUE,$AC$5:AC190,AC190,$Y$5:Y190,"&gt;"&amp;Y190),0)</f>
        <v/>
      </c>
    </row>
    <row r="191">
      <c r="A191" s="17">
        <f>IF(COUNTA('Weekly Input'!A191:C191)=0,"",'Weekly Input'!B191&amp;"|"&amp;'Weekly Input'!C191&amp;"|"&amp;TEXT('Weekly Input'!A191,"yyyy-mm-dd"))</f>
        <v/>
      </c>
      <c r="B191" s="18">
        <f>'Weekly Input'!B191</f>
        <v/>
      </c>
      <c r="C191" s="18">
        <f>'Weekly Input'!C191</f>
        <v/>
      </c>
      <c r="D191" s="18">
        <f>IF(B191="","",IFERROR(INDEX('Master Data'!$B$6:$B$145,MATCH(B191,'Master Data'!$A$6:$A$145,0)),""))</f>
        <v/>
      </c>
      <c r="E191" s="18">
        <f>IF(C191="","",IFERROR(INDEX('Master Data'!$H$6:$H$13,MATCH(C191,'Master Data'!$F$6:$F$13,0)),""))</f>
        <v/>
      </c>
      <c r="F191" s="19">
        <f>'Weekly Input'!A191</f>
        <v/>
      </c>
      <c r="G191" s="19">
        <f>IF(B191="","",IFERROR(INDEX('Master Data'!$D$6:$D$145,MATCH(B191,'Master Data'!$A$6:$A$145,0)),""))</f>
        <v/>
      </c>
      <c r="H191" s="18">
        <f>IF(OR(F191="",G191=""),"",F191-G191)</f>
        <v/>
      </c>
      <c r="I191" s="18">
        <f>IF(B191="","",IF('Weekly Input'!J191="OK",TRUE,FALSE))</f>
        <v/>
      </c>
      <c r="J191" s="18">
        <f>IF(B191="","",'Weekly Input'!H191&gt;=MinInStockDays)</f>
        <v/>
      </c>
      <c r="K191" s="18">
        <f>IF(B191="","",H191&gt;=FullCycleMin)</f>
        <v/>
      </c>
      <c r="L191" s="18">
        <f>IF(B191="","",AND(I191,J191,K191,N191&gt;=MinHistory))</f>
        <v/>
      </c>
      <c r="M191" s="20">
        <f>IF(OR(B191="",'Weekly Input'!H191=0),"",'Weekly Input'!D191/'Weekly Input'!H191*7)</f>
        <v/>
      </c>
      <c r="N191" s="18">
        <f>IF(B191="","",COUNTIFS($B$5:$B$504,B191,$C$5:$C$504,C191,$I$5:$I$504,TRUE,$J$5:$J$504,TRUE,$K$5:$K$504,TRUE))</f>
        <v/>
      </c>
      <c r="O191" s="18">
        <f>IF(B191="","",AND(F191=AsOfWeek,AsOfWeek&lt;&gt;""))</f>
        <v/>
      </c>
      <c r="P191" s="20">
        <f>IF(OR(B191="",AsOfWeek=""),"",IFERROR(SUMIFS($M$5:$M$504,$B$5:$B$504,B191,$C$5:$C$504,C191,$L$5:$L$504,TRUE,$F$5:$F$504,"&gt;="&amp;AsOfWeek-7*(RecentWeeks-1),$F$5:$F$504,"&lt;="&amp;AsOfWeek),""))</f>
        <v/>
      </c>
      <c r="Q191" s="20">
        <f>IF(OR(B191="",AsOfWeek=""),"",IFERROR(SUMIFS($M$5:$M$504,$B$5:$B$504,B191,$C$5:$C$504,C191,$L$5:$L$504,TRUE,$F$5:$F$504,"&gt;="&amp;AsOfWeek-7*(RecentWeeks+PriorWeeks-1),$F$5:$F$504,"&lt;"&amp;AsOfWeek-7*(RecentWeeks-1)),""))</f>
        <v/>
      </c>
      <c r="R191" s="21">
        <f>IF(OR(P191="",Q191="",Q191=0),"",P191/Q191-1)</f>
        <v/>
      </c>
      <c r="S191" s="20">
        <f>IF(OR(C191="",AsOfWeek=""),"",IFERROR(AVERAGEIFS($M$5:$M$504,$C$5:$C$504,C191,$L$5:$L$504,TRUE,$F$5:$F$504,"&gt;="&amp;AsOfWeek-7*(RecentWeeks-1),$F$5:$F$504,"&lt;="&amp;AsOfWeek),""))</f>
        <v/>
      </c>
      <c r="T191" s="21">
        <f>IF(OR(P191="",S191=""),"",P191/S191-1)</f>
        <v/>
      </c>
      <c r="U191" s="22">
        <f>IF(OR(B191="",'Weekly Input'!G191="",P191="",P191=0),"",'Weekly Input'!G191/P191)</f>
        <v/>
      </c>
      <c r="V191" s="18">
        <f>IF(B191="","",IF(NOT(I191),"Not Ready",IF(NOT(K191),"Not Ready",IF(N191&lt;MinHistory,"Not Ready",IF(NOT(J191),"Not Ready",IF(OR(Q191="",Q191=0),"Noise",IF(Q191&lt;LowBaseThreshold,"Noise",IF(AND(R191&lt;=-OwnDecline,T191&lt;=-PeerGapThreshold),"Markdown Review",IF(AND(R191&gt;=ReorderUplift,U191&lt;&gt;"",U191&lt;=WeeksSupplyCap),"Reorder Candidate","Monitor"))))))))</f>
        <v/>
      </c>
      <c r="W191" s="18">
        <f>IF(B191="","",IF(NOT(I191),"INVALID_MASTER",IF(NOT(K191),"INCOMPLETE_SHELF_CYCLE",IF(N191&lt;MinHistory,"INSUFFICIENT_HISTORY",IF(NOT(J191),"INSUFFICIENT_IN_STOCK",IF(OR(Q191="",Q191=0),"NO_PRIOR_BASE",IF(Q191&lt;LowBaseThreshold,"LOW_BASE_NOISE",IF(V191="Markdown Review","MARKDOWN_PEER_GAP",IF(V191="Reorder Candidate","REORDER_UPLIFT_COVER","NO_MATERIAL_CHANGE"))))))))</f>
        <v/>
      </c>
      <c r="X191" s="18">
        <f>IF(V191="Markdown Review","Markdown support",IF(V191="Reorder Candidate","Second reorder",IF(V191="Monitor","Monitor",IF(V191="Noise","Hold / collect data",IF(V191="Not Ready","Not ready","")))))</f>
        <v/>
      </c>
      <c r="Y191" s="18">
        <f>IF(OR(R191="",T191=""),"",ABS(R191)+ABS(T191))</f>
        <v/>
      </c>
      <c r="Z191" s="21">
        <f>IF(OR(B191="",NOT(O191),R191=""),"",IF(ABS(R191)&gt;=MaterialThreshold,"Yes","No"))</f>
        <v/>
      </c>
      <c r="AA191" s="18">
        <f>IF(Z191&lt;&gt;"Yes","",IF(ABS(R191)&gt;=MaterialThreshold,IF(ABS(R191)&gt;=BroadShare,"Broad SKU movement","Store-concentrated movement"),""))</f>
        <v/>
      </c>
      <c r="AB191" s="18">
        <f>IF(O191,IF(COUNTIFS($O$5:O191,TRUE)&gt;0,COUNTIFS($O$5:O191,TRUE),0),0)</f>
        <v/>
      </c>
      <c r="AC191" s="18">
        <f>IF(V191="Markdown Review",1,IF(V191="Reorder Candidate",2,IF(V191="Monitor",3,IF(V191="Noise",4,IF(V191="Not Ready",5,99)))))</f>
        <v/>
      </c>
      <c r="AD191" s="18">
        <f>IF(O191,COUNTIFS($O$5:$O$504,TRUE,$AC$5:$AC$504,"&lt;"&amp;AC191)+COUNTIFS($O$5:O191,TRUE,$AC$5:AC191,AC191,$Y$5:Y191,"&gt;"&amp;Y191),0)</f>
        <v/>
      </c>
    </row>
    <row r="192">
      <c r="A192" s="17">
        <f>IF(COUNTA('Weekly Input'!A192:C192)=0,"",'Weekly Input'!B192&amp;"|"&amp;'Weekly Input'!C192&amp;"|"&amp;TEXT('Weekly Input'!A192,"yyyy-mm-dd"))</f>
        <v/>
      </c>
      <c r="B192" s="18">
        <f>'Weekly Input'!B192</f>
        <v/>
      </c>
      <c r="C192" s="18">
        <f>'Weekly Input'!C192</f>
        <v/>
      </c>
      <c r="D192" s="18">
        <f>IF(B192="","",IFERROR(INDEX('Master Data'!$B$6:$B$145,MATCH(B192,'Master Data'!$A$6:$A$145,0)),""))</f>
        <v/>
      </c>
      <c r="E192" s="18">
        <f>IF(C192="","",IFERROR(INDEX('Master Data'!$H$6:$H$13,MATCH(C192,'Master Data'!$F$6:$F$13,0)),""))</f>
        <v/>
      </c>
      <c r="F192" s="19">
        <f>'Weekly Input'!A192</f>
        <v/>
      </c>
      <c r="G192" s="19">
        <f>IF(B192="","",IFERROR(INDEX('Master Data'!$D$6:$D$145,MATCH(B192,'Master Data'!$A$6:$A$145,0)),""))</f>
        <v/>
      </c>
      <c r="H192" s="18">
        <f>IF(OR(F192="",G192=""),"",F192-G192)</f>
        <v/>
      </c>
      <c r="I192" s="18">
        <f>IF(B192="","",IF('Weekly Input'!J192="OK",TRUE,FALSE))</f>
        <v/>
      </c>
      <c r="J192" s="18">
        <f>IF(B192="","",'Weekly Input'!H192&gt;=MinInStockDays)</f>
        <v/>
      </c>
      <c r="K192" s="18">
        <f>IF(B192="","",H192&gt;=FullCycleMin)</f>
        <v/>
      </c>
      <c r="L192" s="18">
        <f>IF(B192="","",AND(I192,J192,K192,N192&gt;=MinHistory))</f>
        <v/>
      </c>
      <c r="M192" s="20">
        <f>IF(OR(B192="",'Weekly Input'!H192=0),"",'Weekly Input'!D192/'Weekly Input'!H192*7)</f>
        <v/>
      </c>
      <c r="N192" s="18">
        <f>IF(B192="","",COUNTIFS($B$5:$B$504,B192,$C$5:$C$504,C192,$I$5:$I$504,TRUE,$J$5:$J$504,TRUE,$K$5:$K$504,TRUE))</f>
        <v/>
      </c>
      <c r="O192" s="18">
        <f>IF(B192="","",AND(F192=AsOfWeek,AsOfWeek&lt;&gt;""))</f>
        <v/>
      </c>
      <c r="P192" s="20">
        <f>IF(OR(B192="",AsOfWeek=""),"",IFERROR(SUMIFS($M$5:$M$504,$B$5:$B$504,B192,$C$5:$C$504,C192,$L$5:$L$504,TRUE,$F$5:$F$504,"&gt;="&amp;AsOfWeek-7*(RecentWeeks-1),$F$5:$F$504,"&lt;="&amp;AsOfWeek),""))</f>
        <v/>
      </c>
      <c r="Q192" s="20">
        <f>IF(OR(B192="",AsOfWeek=""),"",IFERROR(SUMIFS($M$5:$M$504,$B$5:$B$504,B192,$C$5:$C$504,C192,$L$5:$L$504,TRUE,$F$5:$F$504,"&gt;="&amp;AsOfWeek-7*(RecentWeeks+PriorWeeks-1),$F$5:$F$504,"&lt;"&amp;AsOfWeek-7*(RecentWeeks-1)),""))</f>
        <v/>
      </c>
      <c r="R192" s="21">
        <f>IF(OR(P192="",Q192="",Q192=0),"",P192/Q192-1)</f>
        <v/>
      </c>
      <c r="S192" s="20">
        <f>IF(OR(C192="",AsOfWeek=""),"",IFERROR(AVERAGEIFS($M$5:$M$504,$C$5:$C$504,C192,$L$5:$L$504,TRUE,$F$5:$F$504,"&gt;="&amp;AsOfWeek-7*(RecentWeeks-1),$F$5:$F$504,"&lt;="&amp;AsOfWeek),""))</f>
        <v/>
      </c>
      <c r="T192" s="21">
        <f>IF(OR(P192="",S192=""),"",P192/S192-1)</f>
        <v/>
      </c>
      <c r="U192" s="22">
        <f>IF(OR(B192="",'Weekly Input'!G192="",P192="",P192=0),"",'Weekly Input'!G192/P192)</f>
        <v/>
      </c>
      <c r="V192" s="18">
        <f>IF(B192="","",IF(NOT(I192),"Not Ready",IF(NOT(K192),"Not Ready",IF(N192&lt;MinHistory,"Not Ready",IF(NOT(J192),"Not Ready",IF(OR(Q192="",Q192=0),"Noise",IF(Q192&lt;LowBaseThreshold,"Noise",IF(AND(R192&lt;=-OwnDecline,T192&lt;=-PeerGapThreshold),"Markdown Review",IF(AND(R192&gt;=ReorderUplift,U192&lt;&gt;"",U192&lt;=WeeksSupplyCap),"Reorder Candidate","Monitor"))))))))</f>
        <v/>
      </c>
      <c r="W192" s="18">
        <f>IF(B192="","",IF(NOT(I192),"INVALID_MASTER",IF(NOT(K192),"INCOMPLETE_SHELF_CYCLE",IF(N192&lt;MinHistory,"INSUFFICIENT_HISTORY",IF(NOT(J192),"INSUFFICIENT_IN_STOCK",IF(OR(Q192="",Q192=0),"NO_PRIOR_BASE",IF(Q192&lt;LowBaseThreshold,"LOW_BASE_NOISE",IF(V192="Markdown Review","MARKDOWN_PEER_GAP",IF(V192="Reorder Candidate","REORDER_UPLIFT_COVER","NO_MATERIAL_CHANGE"))))))))</f>
        <v/>
      </c>
      <c r="X192" s="18">
        <f>IF(V192="Markdown Review","Markdown support",IF(V192="Reorder Candidate","Second reorder",IF(V192="Monitor","Monitor",IF(V192="Noise","Hold / collect data",IF(V192="Not Ready","Not ready","")))))</f>
        <v/>
      </c>
      <c r="Y192" s="18">
        <f>IF(OR(R192="",T192=""),"",ABS(R192)+ABS(T192))</f>
        <v/>
      </c>
      <c r="Z192" s="21">
        <f>IF(OR(B192="",NOT(O192),R192=""),"",IF(ABS(R192)&gt;=MaterialThreshold,"Yes","No"))</f>
        <v/>
      </c>
      <c r="AA192" s="18">
        <f>IF(Z192&lt;&gt;"Yes","",IF(ABS(R192)&gt;=MaterialThreshold,IF(ABS(R192)&gt;=BroadShare,"Broad SKU movement","Store-concentrated movement"),""))</f>
        <v/>
      </c>
      <c r="AB192" s="18">
        <f>IF(O192,IF(COUNTIFS($O$5:O192,TRUE)&gt;0,COUNTIFS($O$5:O192,TRUE),0),0)</f>
        <v/>
      </c>
      <c r="AC192" s="18">
        <f>IF(V192="Markdown Review",1,IF(V192="Reorder Candidate",2,IF(V192="Monitor",3,IF(V192="Noise",4,IF(V192="Not Ready",5,99)))))</f>
        <v/>
      </c>
      <c r="AD192" s="18">
        <f>IF(O192,COUNTIFS($O$5:$O$504,TRUE,$AC$5:$AC$504,"&lt;"&amp;AC192)+COUNTIFS($O$5:O192,TRUE,$AC$5:AC192,AC192,$Y$5:Y192,"&gt;"&amp;Y192),0)</f>
        <v/>
      </c>
    </row>
    <row r="193">
      <c r="A193" s="17">
        <f>IF(COUNTA('Weekly Input'!A193:C193)=0,"",'Weekly Input'!B193&amp;"|"&amp;'Weekly Input'!C193&amp;"|"&amp;TEXT('Weekly Input'!A193,"yyyy-mm-dd"))</f>
        <v/>
      </c>
      <c r="B193" s="18">
        <f>'Weekly Input'!B193</f>
        <v/>
      </c>
      <c r="C193" s="18">
        <f>'Weekly Input'!C193</f>
        <v/>
      </c>
      <c r="D193" s="18">
        <f>IF(B193="","",IFERROR(INDEX('Master Data'!$B$6:$B$145,MATCH(B193,'Master Data'!$A$6:$A$145,0)),""))</f>
        <v/>
      </c>
      <c r="E193" s="18">
        <f>IF(C193="","",IFERROR(INDEX('Master Data'!$H$6:$H$13,MATCH(C193,'Master Data'!$F$6:$F$13,0)),""))</f>
        <v/>
      </c>
      <c r="F193" s="19">
        <f>'Weekly Input'!A193</f>
        <v/>
      </c>
      <c r="G193" s="19">
        <f>IF(B193="","",IFERROR(INDEX('Master Data'!$D$6:$D$145,MATCH(B193,'Master Data'!$A$6:$A$145,0)),""))</f>
        <v/>
      </c>
      <c r="H193" s="18">
        <f>IF(OR(F193="",G193=""),"",F193-G193)</f>
        <v/>
      </c>
      <c r="I193" s="18">
        <f>IF(B193="","",IF('Weekly Input'!J193="OK",TRUE,FALSE))</f>
        <v/>
      </c>
      <c r="J193" s="18">
        <f>IF(B193="","",'Weekly Input'!H193&gt;=MinInStockDays)</f>
        <v/>
      </c>
      <c r="K193" s="18">
        <f>IF(B193="","",H193&gt;=FullCycleMin)</f>
        <v/>
      </c>
      <c r="L193" s="18">
        <f>IF(B193="","",AND(I193,J193,K193,N193&gt;=MinHistory))</f>
        <v/>
      </c>
      <c r="M193" s="20">
        <f>IF(OR(B193="",'Weekly Input'!H193=0),"",'Weekly Input'!D193/'Weekly Input'!H193*7)</f>
        <v/>
      </c>
      <c r="N193" s="18">
        <f>IF(B193="","",COUNTIFS($B$5:$B$504,B193,$C$5:$C$504,C193,$I$5:$I$504,TRUE,$J$5:$J$504,TRUE,$K$5:$K$504,TRUE))</f>
        <v/>
      </c>
      <c r="O193" s="18">
        <f>IF(B193="","",AND(F193=AsOfWeek,AsOfWeek&lt;&gt;""))</f>
        <v/>
      </c>
      <c r="P193" s="20">
        <f>IF(OR(B193="",AsOfWeek=""),"",IFERROR(SUMIFS($M$5:$M$504,$B$5:$B$504,B193,$C$5:$C$504,C193,$L$5:$L$504,TRUE,$F$5:$F$504,"&gt;="&amp;AsOfWeek-7*(RecentWeeks-1),$F$5:$F$504,"&lt;="&amp;AsOfWeek),""))</f>
        <v/>
      </c>
      <c r="Q193" s="20">
        <f>IF(OR(B193="",AsOfWeek=""),"",IFERROR(SUMIFS($M$5:$M$504,$B$5:$B$504,B193,$C$5:$C$504,C193,$L$5:$L$504,TRUE,$F$5:$F$504,"&gt;="&amp;AsOfWeek-7*(RecentWeeks+PriorWeeks-1),$F$5:$F$504,"&lt;"&amp;AsOfWeek-7*(RecentWeeks-1)),""))</f>
        <v/>
      </c>
      <c r="R193" s="21">
        <f>IF(OR(P193="",Q193="",Q193=0),"",P193/Q193-1)</f>
        <v/>
      </c>
      <c r="S193" s="20">
        <f>IF(OR(C193="",AsOfWeek=""),"",IFERROR(AVERAGEIFS($M$5:$M$504,$C$5:$C$504,C193,$L$5:$L$504,TRUE,$F$5:$F$504,"&gt;="&amp;AsOfWeek-7*(RecentWeeks-1),$F$5:$F$504,"&lt;="&amp;AsOfWeek),""))</f>
        <v/>
      </c>
      <c r="T193" s="21">
        <f>IF(OR(P193="",S193=""),"",P193/S193-1)</f>
        <v/>
      </c>
      <c r="U193" s="22">
        <f>IF(OR(B193="",'Weekly Input'!G193="",P193="",P193=0),"",'Weekly Input'!G193/P193)</f>
        <v/>
      </c>
      <c r="V193" s="18">
        <f>IF(B193="","",IF(NOT(I193),"Not Ready",IF(NOT(K193),"Not Ready",IF(N193&lt;MinHistory,"Not Ready",IF(NOT(J193),"Not Ready",IF(OR(Q193="",Q193=0),"Noise",IF(Q193&lt;LowBaseThreshold,"Noise",IF(AND(R193&lt;=-OwnDecline,T193&lt;=-PeerGapThreshold),"Markdown Review",IF(AND(R193&gt;=ReorderUplift,U193&lt;&gt;"",U193&lt;=WeeksSupplyCap),"Reorder Candidate","Monitor"))))))))</f>
        <v/>
      </c>
      <c r="W193" s="18">
        <f>IF(B193="","",IF(NOT(I193),"INVALID_MASTER",IF(NOT(K193),"INCOMPLETE_SHELF_CYCLE",IF(N193&lt;MinHistory,"INSUFFICIENT_HISTORY",IF(NOT(J193),"INSUFFICIENT_IN_STOCK",IF(OR(Q193="",Q193=0),"NO_PRIOR_BASE",IF(Q193&lt;LowBaseThreshold,"LOW_BASE_NOISE",IF(V193="Markdown Review","MARKDOWN_PEER_GAP",IF(V193="Reorder Candidate","REORDER_UPLIFT_COVER","NO_MATERIAL_CHANGE"))))))))</f>
        <v/>
      </c>
      <c r="X193" s="18">
        <f>IF(V193="Markdown Review","Markdown support",IF(V193="Reorder Candidate","Second reorder",IF(V193="Monitor","Monitor",IF(V193="Noise","Hold / collect data",IF(V193="Not Ready","Not ready","")))))</f>
        <v/>
      </c>
      <c r="Y193" s="18">
        <f>IF(OR(R193="",T193=""),"",ABS(R193)+ABS(T193))</f>
        <v/>
      </c>
      <c r="Z193" s="21">
        <f>IF(OR(B193="",NOT(O193),R193=""),"",IF(ABS(R193)&gt;=MaterialThreshold,"Yes","No"))</f>
        <v/>
      </c>
      <c r="AA193" s="18">
        <f>IF(Z193&lt;&gt;"Yes","",IF(ABS(R193)&gt;=MaterialThreshold,IF(ABS(R193)&gt;=BroadShare,"Broad SKU movement","Store-concentrated movement"),""))</f>
        <v/>
      </c>
      <c r="AB193" s="18">
        <f>IF(O193,IF(COUNTIFS($O$5:O193,TRUE)&gt;0,COUNTIFS($O$5:O193,TRUE),0),0)</f>
        <v/>
      </c>
      <c r="AC193" s="18">
        <f>IF(V193="Markdown Review",1,IF(V193="Reorder Candidate",2,IF(V193="Monitor",3,IF(V193="Noise",4,IF(V193="Not Ready",5,99)))))</f>
        <v/>
      </c>
      <c r="AD193" s="18">
        <f>IF(O193,COUNTIFS($O$5:$O$504,TRUE,$AC$5:$AC$504,"&lt;"&amp;AC193)+COUNTIFS($O$5:O193,TRUE,$AC$5:AC193,AC193,$Y$5:Y193,"&gt;"&amp;Y193),0)</f>
        <v/>
      </c>
    </row>
    <row r="194">
      <c r="A194" s="17">
        <f>IF(COUNTA('Weekly Input'!A194:C194)=0,"",'Weekly Input'!B194&amp;"|"&amp;'Weekly Input'!C194&amp;"|"&amp;TEXT('Weekly Input'!A194,"yyyy-mm-dd"))</f>
        <v/>
      </c>
      <c r="B194" s="18">
        <f>'Weekly Input'!B194</f>
        <v/>
      </c>
      <c r="C194" s="18">
        <f>'Weekly Input'!C194</f>
        <v/>
      </c>
      <c r="D194" s="18">
        <f>IF(B194="","",IFERROR(INDEX('Master Data'!$B$6:$B$145,MATCH(B194,'Master Data'!$A$6:$A$145,0)),""))</f>
        <v/>
      </c>
      <c r="E194" s="18">
        <f>IF(C194="","",IFERROR(INDEX('Master Data'!$H$6:$H$13,MATCH(C194,'Master Data'!$F$6:$F$13,0)),""))</f>
        <v/>
      </c>
      <c r="F194" s="19">
        <f>'Weekly Input'!A194</f>
        <v/>
      </c>
      <c r="G194" s="19">
        <f>IF(B194="","",IFERROR(INDEX('Master Data'!$D$6:$D$145,MATCH(B194,'Master Data'!$A$6:$A$145,0)),""))</f>
        <v/>
      </c>
      <c r="H194" s="18">
        <f>IF(OR(F194="",G194=""),"",F194-G194)</f>
        <v/>
      </c>
      <c r="I194" s="18">
        <f>IF(B194="","",IF('Weekly Input'!J194="OK",TRUE,FALSE))</f>
        <v/>
      </c>
      <c r="J194" s="18">
        <f>IF(B194="","",'Weekly Input'!H194&gt;=MinInStockDays)</f>
        <v/>
      </c>
      <c r="K194" s="18">
        <f>IF(B194="","",H194&gt;=FullCycleMin)</f>
        <v/>
      </c>
      <c r="L194" s="18">
        <f>IF(B194="","",AND(I194,J194,K194,N194&gt;=MinHistory))</f>
        <v/>
      </c>
      <c r="M194" s="20">
        <f>IF(OR(B194="",'Weekly Input'!H194=0),"",'Weekly Input'!D194/'Weekly Input'!H194*7)</f>
        <v/>
      </c>
      <c r="N194" s="18">
        <f>IF(B194="","",COUNTIFS($B$5:$B$504,B194,$C$5:$C$504,C194,$I$5:$I$504,TRUE,$J$5:$J$504,TRUE,$K$5:$K$504,TRUE))</f>
        <v/>
      </c>
      <c r="O194" s="18">
        <f>IF(B194="","",AND(F194=AsOfWeek,AsOfWeek&lt;&gt;""))</f>
        <v/>
      </c>
      <c r="P194" s="20">
        <f>IF(OR(B194="",AsOfWeek=""),"",IFERROR(SUMIFS($M$5:$M$504,$B$5:$B$504,B194,$C$5:$C$504,C194,$L$5:$L$504,TRUE,$F$5:$F$504,"&gt;="&amp;AsOfWeek-7*(RecentWeeks-1),$F$5:$F$504,"&lt;="&amp;AsOfWeek),""))</f>
        <v/>
      </c>
      <c r="Q194" s="20">
        <f>IF(OR(B194="",AsOfWeek=""),"",IFERROR(SUMIFS($M$5:$M$504,$B$5:$B$504,B194,$C$5:$C$504,C194,$L$5:$L$504,TRUE,$F$5:$F$504,"&gt;="&amp;AsOfWeek-7*(RecentWeeks+PriorWeeks-1),$F$5:$F$504,"&lt;"&amp;AsOfWeek-7*(RecentWeeks-1)),""))</f>
        <v/>
      </c>
      <c r="R194" s="21">
        <f>IF(OR(P194="",Q194="",Q194=0),"",P194/Q194-1)</f>
        <v/>
      </c>
      <c r="S194" s="20">
        <f>IF(OR(C194="",AsOfWeek=""),"",IFERROR(AVERAGEIFS($M$5:$M$504,$C$5:$C$504,C194,$L$5:$L$504,TRUE,$F$5:$F$504,"&gt;="&amp;AsOfWeek-7*(RecentWeeks-1),$F$5:$F$504,"&lt;="&amp;AsOfWeek),""))</f>
        <v/>
      </c>
      <c r="T194" s="21">
        <f>IF(OR(P194="",S194=""),"",P194/S194-1)</f>
        <v/>
      </c>
      <c r="U194" s="22">
        <f>IF(OR(B194="",'Weekly Input'!G194="",P194="",P194=0),"",'Weekly Input'!G194/P194)</f>
        <v/>
      </c>
      <c r="V194" s="18">
        <f>IF(B194="","",IF(NOT(I194),"Not Ready",IF(NOT(K194),"Not Ready",IF(N194&lt;MinHistory,"Not Ready",IF(NOT(J194),"Not Ready",IF(OR(Q194="",Q194=0),"Noise",IF(Q194&lt;LowBaseThreshold,"Noise",IF(AND(R194&lt;=-OwnDecline,T194&lt;=-PeerGapThreshold),"Markdown Review",IF(AND(R194&gt;=ReorderUplift,U194&lt;&gt;"",U194&lt;=WeeksSupplyCap),"Reorder Candidate","Monitor"))))))))</f>
        <v/>
      </c>
      <c r="W194" s="18">
        <f>IF(B194="","",IF(NOT(I194),"INVALID_MASTER",IF(NOT(K194),"INCOMPLETE_SHELF_CYCLE",IF(N194&lt;MinHistory,"INSUFFICIENT_HISTORY",IF(NOT(J194),"INSUFFICIENT_IN_STOCK",IF(OR(Q194="",Q194=0),"NO_PRIOR_BASE",IF(Q194&lt;LowBaseThreshold,"LOW_BASE_NOISE",IF(V194="Markdown Review","MARKDOWN_PEER_GAP",IF(V194="Reorder Candidate","REORDER_UPLIFT_COVER","NO_MATERIAL_CHANGE"))))))))</f>
        <v/>
      </c>
      <c r="X194" s="18">
        <f>IF(V194="Markdown Review","Markdown support",IF(V194="Reorder Candidate","Second reorder",IF(V194="Monitor","Monitor",IF(V194="Noise","Hold / collect data",IF(V194="Not Ready","Not ready","")))))</f>
        <v/>
      </c>
      <c r="Y194" s="18">
        <f>IF(OR(R194="",T194=""),"",ABS(R194)+ABS(T194))</f>
        <v/>
      </c>
      <c r="Z194" s="21">
        <f>IF(OR(B194="",NOT(O194),R194=""),"",IF(ABS(R194)&gt;=MaterialThreshold,"Yes","No"))</f>
        <v/>
      </c>
      <c r="AA194" s="18">
        <f>IF(Z194&lt;&gt;"Yes","",IF(ABS(R194)&gt;=MaterialThreshold,IF(ABS(R194)&gt;=BroadShare,"Broad SKU movement","Store-concentrated movement"),""))</f>
        <v/>
      </c>
      <c r="AB194" s="18">
        <f>IF(O194,IF(COUNTIFS($O$5:O194,TRUE)&gt;0,COUNTIFS($O$5:O194,TRUE),0),0)</f>
        <v/>
      </c>
      <c r="AC194" s="18">
        <f>IF(V194="Markdown Review",1,IF(V194="Reorder Candidate",2,IF(V194="Monitor",3,IF(V194="Noise",4,IF(V194="Not Ready",5,99)))))</f>
        <v/>
      </c>
      <c r="AD194" s="18">
        <f>IF(O194,COUNTIFS($O$5:$O$504,TRUE,$AC$5:$AC$504,"&lt;"&amp;AC194)+COUNTIFS($O$5:O194,TRUE,$AC$5:AC194,AC194,$Y$5:Y194,"&gt;"&amp;Y194),0)</f>
        <v/>
      </c>
    </row>
    <row r="195">
      <c r="A195" s="17">
        <f>IF(COUNTA('Weekly Input'!A195:C195)=0,"",'Weekly Input'!B195&amp;"|"&amp;'Weekly Input'!C195&amp;"|"&amp;TEXT('Weekly Input'!A195,"yyyy-mm-dd"))</f>
        <v/>
      </c>
      <c r="B195" s="18">
        <f>'Weekly Input'!B195</f>
        <v/>
      </c>
      <c r="C195" s="18">
        <f>'Weekly Input'!C195</f>
        <v/>
      </c>
      <c r="D195" s="18">
        <f>IF(B195="","",IFERROR(INDEX('Master Data'!$B$6:$B$145,MATCH(B195,'Master Data'!$A$6:$A$145,0)),""))</f>
        <v/>
      </c>
      <c r="E195" s="18">
        <f>IF(C195="","",IFERROR(INDEX('Master Data'!$H$6:$H$13,MATCH(C195,'Master Data'!$F$6:$F$13,0)),""))</f>
        <v/>
      </c>
      <c r="F195" s="19">
        <f>'Weekly Input'!A195</f>
        <v/>
      </c>
      <c r="G195" s="19">
        <f>IF(B195="","",IFERROR(INDEX('Master Data'!$D$6:$D$145,MATCH(B195,'Master Data'!$A$6:$A$145,0)),""))</f>
        <v/>
      </c>
      <c r="H195" s="18">
        <f>IF(OR(F195="",G195=""),"",F195-G195)</f>
        <v/>
      </c>
      <c r="I195" s="18">
        <f>IF(B195="","",IF('Weekly Input'!J195="OK",TRUE,FALSE))</f>
        <v/>
      </c>
      <c r="J195" s="18">
        <f>IF(B195="","",'Weekly Input'!H195&gt;=MinInStockDays)</f>
        <v/>
      </c>
      <c r="K195" s="18">
        <f>IF(B195="","",H195&gt;=FullCycleMin)</f>
        <v/>
      </c>
      <c r="L195" s="18">
        <f>IF(B195="","",AND(I195,J195,K195,N195&gt;=MinHistory))</f>
        <v/>
      </c>
      <c r="M195" s="20">
        <f>IF(OR(B195="",'Weekly Input'!H195=0),"",'Weekly Input'!D195/'Weekly Input'!H195*7)</f>
        <v/>
      </c>
      <c r="N195" s="18">
        <f>IF(B195="","",COUNTIFS($B$5:$B$504,B195,$C$5:$C$504,C195,$I$5:$I$504,TRUE,$J$5:$J$504,TRUE,$K$5:$K$504,TRUE))</f>
        <v/>
      </c>
      <c r="O195" s="18">
        <f>IF(B195="","",AND(F195=AsOfWeek,AsOfWeek&lt;&gt;""))</f>
        <v/>
      </c>
      <c r="P195" s="20">
        <f>IF(OR(B195="",AsOfWeek=""),"",IFERROR(SUMIFS($M$5:$M$504,$B$5:$B$504,B195,$C$5:$C$504,C195,$L$5:$L$504,TRUE,$F$5:$F$504,"&gt;="&amp;AsOfWeek-7*(RecentWeeks-1),$F$5:$F$504,"&lt;="&amp;AsOfWeek),""))</f>
        <v/>
      </c>
      <c r="Q195" s="20">
        <f>IF(OR(B195="",AsOfWeek=""),"",IFERROR(SUMIFS($M$5:$M$504,$B$5:$B$504,B195,$C$5:$C$504,C195,$L$5:$L$504,TRUE,$F$5:$F$504,"&gt;="&amp;AsOfWeek-7*(RecentWeeks+PriorWeeks-1),$F$5:$F$504,"&lt;"&amp;AsOfWeek-7*(RecentWeeks-1)),""))</f>
        <v/>
      </c>
      <c r="R195" s="21">
        <f>IF(OR(P195="",Q195="",Q195=0),"",P195/Q195-1)</f>
        <v/>
      </c>
      <c r="S195" s="20">
        <f>IF(OR(C195="",AsOfWeek=""),"",IFERROR(AVERAGEIFS($M$5:$M$504,$C$5:$C$504,C195,$L$5:$L$504,TRUE,$F$5:$F$504,"&gt;="&amp;AsOfWeek-7*(RecentWeeks-1),$F$5:$F$504,"&lt;="&amp;AsOfWeek),""))</f>
        <v/>
      </c>
      <c r="T195" s="21">
        <f>IF(OR(P195="",S195=""),"",P195/S195-1)</f>
        <v/>
      </c>
      <c r="U195" s="22">
        <f>IF(OR(B195="",'Weekly Input'!G195="",P195="",P195=0),"",'Weekly Input'!G195/P195)</f>
        <v/>
      </c>
      <c r="V195" s="18">
        <f>IF(B195="","",IF(NOT(I195),"Not Ready",IF(NOT(K195),"Not Ready",IF(N195&lt;MinHistory,"Not Ready",IF(NOT(J195),"Not Ready",IF(OR(Q195="",Q195=0),"Noise",IF(Q195&lt;LowBaseThreshold,"Noise",IF(AND(R195&lt;=-OwnDecline,T195&lt;=-PeerGapThreshold),"Markdown Review",IF(AND(R195&gt;=ReorderUplift,U195&lt;&gt;"",U195&lt;=WeeksSupplyCap),"Reorder Candidate","Monitor"))))))))</f>
        <v/>
      </c>
      <c r="W195" s="18">
        <f>IF(B195="","",IF(NOT(I195),"INVALID_MASTER",IF(NOT(K195),"INCOMPLETE_SHELF_CYCLE",IF(N195&lt;MinHistory,"INSUFFICIENT_HISTORY",IF(NOT(J195),"INSUFFICIENT_IN_STOCK",IF(OR(Q195="",Q195=0),"NO_PRIOR_BASE",IF(Q195&lt;LowBaseThreshold,"LOW_BASE_NOISE",IF(V195="Markdown Review","MARKDOWN_PEER_GAP",IF(V195="Reorder Candidate","REORDER_UPLIFT_COVER","NO_MATERIAL_CHANGE"))))))))</f>
        <v/>
      </c>
      <c r="X195" s="18">
        <f>IF(V195="Markdown Review","Markdown support",IF(V195="Reorder Candidate","Second reorder",IF(V195="Monitor","Monitor",IF(V195="Noise","Hold / collect data",IF(V195="Not Ready","Not ready","")))))</f>
        <v/>
      </c>
      <c r="Y195" s="18">
        <f>IF(OR(R195="",T195=""),"",ABS(R195)+ABS(T195))</f>
        <v/>
      </c>
      <c r="Z195" s="21">
        <f>IF(OR(B195="",NOT(O195),R195=""),"",IF(ABS(R195)&gt;=MaterialThreshold,"Yes","No"))</f>
        <v/>
      </c>
      <c r="AA195" s="18">
        <f>IF(Z195&lt;&gt;"Yes","",IF(ABS(R195)&gt;=MaterialThreshold,IF(ABS(R195)&gt;=BroadShare,"Broad SKU movement","Store-concentrated movement"),""))</f>
        <v/>
      </c>
      <c r="AB195" s="18">
        <f>IF(O195,IF(COUNTIFS($O$5:O195,TRUE)&gt;0,COUNTIFS($O$5:O195,TRUE),0),0)</f>
        <v/>
      </c>
      <c r="AC195" s="18">
        <f>IF(V195="Markdown Review",1,IF(V195="Reorder Candidate",2,IF(V195="Monitor",3,IF(V195="Noise",4,IF(V195="Not Ready",5,99)))))</f>
        <v/>
      </c>
      <c r="AD195" s="18">
        <f>IF(O195,COUNTIFS($O$5:$O$504,TRUE,$AC$5:$AC$504,"&lt;"&amp;AC195)+COUNTIFS($O$5:O195,TRUE,$AC$5:AC195,AC195,$Y$5:Y195,"&gt;"&amp;Y195),0)</f>
        <v/>
      </c>
    </row>
    <row r="196">
      <c r="A196" s="17">
        <f>IF(COUNTA('Weekly Input'!A196:C196)=0,"",'Weekly Input'!B196&amp;"|"&amp;'Weekly Input'!C196&amp;"|"&amp;TEXT('Weekly Input'!A196,"yyyy-mm-dd"))</f>
        <v/>
      </c>
      <c r="B196" s="18">
        <f>'Weekly Input'!B196</f>
        <v/>
      </c>
      <c r="C196" s="18">
        <f>'Weekly Input'!C196</f>
        <v/>
      </c>
      <c r="D196" s="18">
        <f>IF(B196="","",IFERROR(INDEX('Master Data'!$B$6:$B$145,MATCH(B196,'Master Data'!$A$6:$A$145,0)),""))</f>
        <v/>
      </c>
      <c r="E196" s="18">
        <f>IF(C196="","",IFERROR(INDEX('Master Data'!$H$6:$H$13,MATCH(C196,'Master Data'!$F$6:$F$13,0)),""))</f>
        <v/>
      </c>
      <c r="F196" s="19">
        <f>'Weekly Input'!A196</f>
        <v/>
      </c>
      <c r="G196" s="19">
        <f>IF(B196="","",IFERROR(INDEX('Master Data'!$D$6:$D$145,MATCH(B196,'Master Data'!$A$6:$A$145,0)),""))</f>
        <v/>
      </c>
      <c r="H196" s="18">
        <f>IF(OR(F196="",G196=""),"",F196-G196)</f>
        <v/>
      </c>
      <c r="I196" s="18">
        <f>IF(B196="","",IF('Weekly Input'!J196="OK",TRUE,FALSE))</f>
        <v/>
      </c>
      <c r="J196" s="18">
        <f>IF(B196="","",'Weekly Input'!H196&gt;=MinInStockDays)</f>
        <v/>
      </c>
      <c r="K196" s="18">
        <f>IF(B196="","",H196&gt;=FullCycleMin)</f>
        <v/>
      </c>
      <c r="L196" s="18">
        <f>IF(B196="","",AND(I196,J196,K196,N196&gt;=MinHistory))</f>
        <v/>
      </c>
      <c r="M196" s="20">
        <f>IF(OR(B196="",'Weekly Input'!H196=0),"",'Weekly Input'!D196/'Weekly Input'!H196*7)</f>
        <v/>
      </c>
      <c r="N196" s="18">
        <f>IF(B196="","",COUNTIFS($B$5:$B$504,B196,$C$5:$C$504,C196,$I$5:$I$504,TRUE,$J$5:$J$504,TRUE,$K$5:$K$504,TRUE))</f>
        <v/>
      </c>
      <c r="O196" s="18">
        <f>IF(B196="","",AND(F196=AsOfWeek,AsOfWeek&lt;&gt;""))</f>
        <v/>
      </c>
      <c r="P196" s="20">
        <f>IF(OR(B196="",AsOfWeek=""),"",IFERROR(SUMIFS($M$5:$M$504,$B$5:$B$504,B196,$C$5:$C$504,C196,$L$5:$L$504,TRUE,$F$5:$F$504,"&gt;="&amp;AsOfWeek-7*(RecentWeeks-1),$F$5:$F$504,"&lt;="&amp;AsOfWeek),""))</f>
        <v/>
      </c>
      <c r="Q196" s="20">
        <f>IF(OR(B196="",AsOfWeek=""),"",IFERROR(SUMIFS($M$5:$M$504,$B$5:$B$504,B196,$C$5:$C$504,C196,$L$5:$L$504,TRUE,$F$5:$F$504,"&gt;="&amp;AsOfWeek-7*(RecentWeeks+PriorWeeks-1),$F$5:$F$504,"&lt;"&amp;AsOfWeek-7*(RecentWeeks-1)),""))</f>
        <v/>
      </c>
      <c r="R196" s="21">
        <f>IF(OR(P196="",Q196="",Q196=0),"",P196/Q196-1)</f>
        <v/>
      </c>
      <c r="S196" s="20">
        <f>IF(OR(C196="",AsOfWeek=""),"",IFERROR(AVERAGEIFS($M$5:$M$504,$C$5:$C$504,C196,$L$5:$L$504,TRUE,$F$5:$F$504,"&gt;="&amp;AsOfWeek-7*(RecentWeeks-1),$F$5:$F$504,"&lt;="&amp;AsOfWeek),""))</f>
        <v/>
      </c>
      <c r="T196" s="21">
        <f>IF(OR(P196="",S196=""),"",P196/S196-1)</f>
        <v/>
      </c>
      <c r="U196" s="22">
        <f>IF(OR(B196="",'Weekly Input'!G196="",P196="",P196=0),"",'Weekly Input'!G196/P196)</f>
        <v/>
      </c>
      <c r="V196" s="18">
        <f>IF(B196="","",IF(NOT(I196),"Not Ready",IF(NOT(K196),"Not Ready",IF(N196&lt;MinHistory,"Not Ready",IF(NOT(J196),"Not Ready",IF(OR(Q196="",Q196=0),"Noise",IF(Q196&lt;LowBaseThreshold,"Noise",IF(AND(R196&lt;=-OwnDecline,T196&lt;=-PeerGapThreshold),"Markdown Review",IF(AND(R196&gt;=ReorderUplift,U196&lt;&gt;"",U196&lt;=WeeksSupplyCap),"Reorder Candidate","Monitor"))))))))</f>
        <v/>
      </c>
      <c r="W196" s="18">
        <f>IF(B196="","",IF(NOT(I196),"INVALID_MASTER",IF(NOT(K196),"INCOMPLETE_SHELF_CYCLE",IF(N196&lt;MinHistory,"INSUFFICIENT_HISTORY",IF(NOT(J196),"INSUFFICIENT_IN_STOCK",IF(OR(Q196="",Q196=0),"NO_PRIOR_BASE",IF(Q196&lt;LowBaseThreshold,"LOW_BASE_NOISE",IF(V196="Markdown Review","MARKDOWN_PEER_GAP",IF(V196="Reorder Candidate","REORDER_UPLIFT_COVER","NO_MATERIAL_CHANGE"))))))))</f>
        <v/>
      </c>
      <c r="X196" s="18">
        <f>IF(V196="Markdown Review","Markdown support",IF(V196="Reorder Candidate","Second reorder",IF(V196="Monitor","Monitor",IF(V196="Noise","Hold / collect data",IF(V196="Not Ready","Not ready","")))))</f>
        <v/>
      </c>
      <c r="Y196" s="18">
        <f>IF(OR(R196="",T196=""),"",ABS(R196)+ABS(T196))</f>
        <v/>
      </c>
      <c r="Z196" s="21">
        <f>IF(OR(B196="",NOT(O196),R196=""),"",IF(ABS(R196)&gt;=MaterialThreshold,"Yes","No"))</f>
        <v/>
      </c>
      <c r="AA196" s="18">
        <f>IF(Z196&lt;&gt;"Yes","",IF(ABS(R196)&gt;=MaterialThreshold,IF(ABS(R196)&gt;=BroadShare,"Broad SKU movement","Store-concentrated movement"),""))</f>
        <v/>
      </c>
      <c r="AB196" s="18">
        <f>IF(O196,IF(COUNTIFS($O$5:O196,TRUE)&gt;0,COUNTIFS($O$5:O196,TRUE),0),0)</f>
        <v/>
      </c>
      <c r="AC196" s="18">
        <f>IF(V196="Markdown Review",1,IF(V196="Reorder Candidate",2,IF(V196="Monitor",3,IF(V196="Noise",4,IF(V196="Not Ready",5,99)))))</f>
        <v/>
      </c>
      <c r="AD196" s="18">
        <f>IF(O196,COUNTIFS($O$5:$O$504,TRUE,$AC$5:$AC$504,"&lt;"&amp;AC196)+COUNTIFS($O$5:O196,TRUE,$AC$5:AC196,AC196,$Y$5:Y196,"&gt;"&amp;Y196),0)</f>
        <v/>
      </c>
    </row>
    <row r="197">
      <c r="A197" s="17">
        <f>IF(COUNTA('Weekly Input'!A197:C197)=0,"",'Weekly Input'!B197&amp;"|"&amp;'Weekly Input'!C197&amp;"|"&amp;TEXT('Weekly Input'!A197,"yyyy-mm-dd"))</f>
        <v/>
      </c>
      <c r="B197" s="18">
        <f>'Weekly Input'!B197</f>
        <v/>
      </c>
      <c r="C197" s="18">
        <f>'Weekly Input'!C197</f>
        <v/>
      </c>
      <c r="D197" s="18">
        <f>IF(B197="","",IFERROR(INDEX('Master Data'!$B$6:$B$145,MATCH(B197,'Master Data'!$A$6:$A$145,0)),""))</f>
        <v/>
      </c>
      <c r="E197" s="18">
        <f>IF(C197="","",IFERROR(INDEX('Master Data'!$H$6:$H$13,MATCH(C197,'Master Data'!$F$6:$F$13,0)),""))</f>
        <v/>
      </c>
      <c r="F197" s="19">
        <f>'Weekly Input'!A197</f>
        <v/>
      </c>
      <c r="G197" s="19">
        <f>IF(B197="","",IFERROR(INDEX('Master Data'!$D$6:$D$145,MATCH(B197,'Master Data'!$A$6:$A$145,0)),""))</f>
        <v/>
      </c>
      <c r="H197" s="18">
        <f>IF(OR(F197="",G197=""),"",F197-G197)</f>
        <v/>
      </c>
      <c r="I197" s="18">
        <f>IF(B197="","",IF('Weekly Input'!J197="OK",TRUE,FALSE))</f>
        <v/>
      </c>
      <c r="J197" s="18">
        <f>IF(B197="","",'Weekly Input'!H197&gt;=MinInStockDays)</f>
        <v/>
      </c>
      <c r="K197" s="18">
        <f>IF(B197="","",H197&gt;=FullCycleMin)</f>
        <v/>
      </c>
      <c r="L197" s="18">
        <f>IF(B197="","",AND(I197,J197,K197,N197&gt;=MinHistory))</f>
        <v/>
      </c>
      <c r="M197" s="20">
        <f>IF(OR(B197="",'Weekly Input'!H197=0),"",'Weekly Input'!D197/'Weekly Input'!H197*7)</f>
        <v/>
      </c>
      <c r="N197" s="18">
        <f>IF(B197="","",COUNTIFS($B$5:$B$504,B197,$C$5:$C$504,C197,$I$5:$I$504,TRUE,$J$5:$J$504,TRUE,$K$5:$K$504,TRUE))</f>
        <v/>
      </c>
      <c r="O197" s="18">
        <f>IF(B197="","",AND(F197=AsOfWeek,AsOfWeek&lt;&gt;""))</f>
        <v/>
      </c>
      <c r="P197" s="20">
        <f>IF(OR(B197="",AsOfWeek=""),"",IFERROR(SUMIFS($M$5:$M$504,$B$5:$B$504,B197,$C$5:$C$504,C197,$L$5:$L$504,TRUE,$F$5:$F$504,"&gt;="&amp;AsOfWeek-7*(RecentWeeks-1),$F$5:$F$504,"&lt;="&amp;AsOfWeek),""))</f>
        <v/>
      </c>
      <c r="Q197" s="20">
        <f>IF(OR(B197="",AsOfWeek=""),"",IFERROR(SUMIFS($M$5:$M$504,$B$5:$B$504,B197,$C$5:$C$504,C197,$L$5:$L$504,TRUE,$F$5:$F$504,"&gt;="&amp;AsOfWeek-7*(RecentWeeks+PriorWeeks-1),$F$5:$F$504,"&lt;"&amp;AsOfWeek-7*(RecentWeeks-1)),""))</f>
        <v/>
      </c>
      <c r="R197" s="21">
        <f>IF(OR(P197="",Q197="",Q197=0),"",P197/Q197-1)</f>
        <v/>
      </c>
      <c r="S197" s="20">
        <f>IF(OR(C197="",AsOfWeek=""),"",IFERROR(AVERAGEIFS($M$5:$M$504,$C$5:$C$504,C197,$L$5:$L$504,TRUE,$F$5:$F$504,"&gt;="&amp;AsOfWeek-7*(RecentWeeks-1),$F$5:$F$504,"&lt;="&amp;AsOfWeek),""))</f>
        <v/>
      </c>
      <c r="T197" s="21">
        <f>IF(OR(P197="",S197=""),"",P197/S197-1)</f>
        <v/>
      </c>
      <c r="U197" s="22">
        <f>IF(OR(B197="",'Weekly Input'!G197="",P197="",P197=0),"",'Weekly Input'!G197/P197)</f>
        <v/>
      </c>
      <c r="V197" s="18">
        <f>IF(B197="","",IF(NOT(I197),"Not Ready",IF(NOT(K197),"Not Ready",IF(N197&lt;MinHistory,"Not Ready",IF(NOT(J197),"Not Ready",IF(OR(Q197="",Q197=0),"Noise",IF(Q197&lt;LowBaseThreshold,"Noise",IF(AND(R197&lt;=-OwnDecline,T197&lt;=-PeerGapThreshold),"Markdown Review",IF(AND(R197&gt;=ReorderUplift,U197&lt;&gt;"",U197&lt;=WeeksSupplyCap),"Reorder Candidate","Monitor"))))))))</f>
        <v/>
      </c>
      <c r="W197" s="18">
        <f>IF(B197="","",IF(NOT(I197),"INVALID_MASTER",IF(NOT(K197),"INCOMPLETE_SHELF_CYCLE",IF(N197&lt;MinHistory,"INSUFFICIENT_HISTORY",IF(NOT(J197),"INSUFFICIENT_IN_STOCK",IF(OR(Q197="",Q197=0),"NO_PRIOR_BASE",IF(Q197&lt;LowBaseThreshold,"LOW_BASE_NOISE",IF(V197="Markdown Review","MARKDOWN_PEER_GAP",IF(V197="Reorder Candidate","REORDER_UPLIFT_COVER","NO_MATERIAL_CHANGE"))))))))</f>
        <v/>
      </c>
      <c r="X197" s="18">
        <f>IF(V197="Markdown Review","Markdown support",IF(V197="Reorder Candidate","Second reorder",IF(V197="Monitor","Monitor",IF(V197="Noise","Hold / collect data",IF(V197="Not Ready","Not ready","")))))</f>
        <v/>
      </c>
      <c r="Y197" s="18">
        <f>IF(OR(R197="",T197=""),"",ABS(R197)+ABS(T197))</f>
        <v/>
      </c>
      <c r="Z197" s="21">
        <f>IF(OR(B197="",NOT(O197),R197=""),"",IF(ABS(R197)&gt;=MaterialThreshold,"Yes","No"))</f>
        <v/>
      </c>
      <c r="AA197" s="18">
        <f>IF(Z197&lt;&gt;"Yes","",IF(ABS(R197)&gt;=MaterialThreshold,IF(ABS(R197)&gt;=BroadShare,"Broad SKU movement","Store-concentrated movement"),""))</f>
        <v/>
      </c>
      <c r="AB197" s="18">
        <f>IF(O197,IF(COUNTIFS($O$5:O197,TRUE)&gt;0,COUNTIFS($O$5:O197,TRUE),0),0)</f>
        <v/>
      </c>
      <c r="AC197" s="18">
        <f>IF(V197="Markdown Review",1,IF(V197="Reorder Candidate",2,IF(V197="Monitor",3,IF(V197="Noise",4,IF(V197="Not Ready",5,99)))))</f>
        <v/>
      </c>
      <c r="AD197" s="18">
        <f>IF(O197,COUNTIFS($O$5:$O$504,TRUE,$AC$5:$AC$504,"&lt;"&amp;AC197)+COUNTIFS($O$5:O197,TRUE,$AC$5:AC197,AC197,$Y$5:Y197,"&gt;"&amp;Y197),0)</f>
        <v/>
      </c>
    </row>
    <row r="198">
      <c r="A198" s="17">
        <f>IF(COUNTA('Weekly Input'!A198:C198)=0,"",'Weekly Input'!B198&amp;"|"&amp;'Weekly Input'!C198&amp;"|"&amp;TEXT('Weekly Input'!A198,"yyyy-mm-dd"))</f>
        <v/>
      </c>
      <c r="B198" s="18">
        <f>'Weekly Input'!B198</f>
        <v/>
      </c>
      <c r="C198" s="18">
        <f>'Weekly Input'!C198</f>
        <v/>
      </c>
      <c r="D198" s="18">
        <f>IF(B198="","",IFERROR(INDEX('Master Data'!$B$6:$B$145,MATCH(B198,'Master Data'!$A$6:$A$145,0)),""))</f>
        <v/>
      </c>
      <c r="E198" s="18">
        <f>IF(C198="","",IFERROR(INDEX('Master Data'!$H$6:$H$13,MATCH(C198,'Master Data'!$F$6:$F$13,0)),""))</f>
        <v/>
      </c>
      <c r="F198" s="19">
        <f>'Weekly Input'!A198</f>
        <v/>
      </c>
      <c r="G198" s="19">
        <f>IF(B198="","",IFERROR(INDEX('Master Data'!$D$6:$D$145,MATCH(B198,'Master Data'!$A$6:$A$145,0)),""))</f>
        <v/>
      </c>
      <c r="H198" s="18">
        <f>IF(OR(F198="",G198=""),"",F198-G198)</f>
        <v/>
      </c>
      <c r="I198" s="18">
        <f>IF(B198="","",IF('Weekly Input'!J198="OK",TRUE,FALSE))</f>
        <v/>
      </c>
      <c r="J198" s="18">
        <f>IF(B198="","",'Weekly Input'!H198&gt;=MinInStockDays)</f>
        <v/>
      </c>
      <c r="K198" s="18">
        <f>IF(B198="","",H198&gt;=FullCycleMin)</f>
        <v/>
      </c>
      <c r="L198" s="18">
        <f>IF(B198="","",AND(I198,J198,K198,N198&gt;=MinHistory))</f>
        <v/>
      </c>
      <c r="M198" s="20">
        <f>IF(OR(B198="",'Weekly Input'!H198=0),"",'Weekly Input'!D198/'Weekly Input'!H198*7)</f>
        <v/>
      </c>
      <c r="N198" s="18">
        <f>IF(B198="","",COUNTIFS($B$5:$B$504,B198,$C$5:$C$504,C198,$I$5:$I$504,TRUE,$J$5:$J$504,TRUE,$K$5:$K$504,TRUE))</f>
        <v/>
      </c>
      <c r="O198" s="18">
        <f>IF(B198="","",AND(F198=AsOfWeek,AsOfWeek&lt;&gt;""))</f>
        <v/>
      </c>
      <c r="P198" s="20">
        <f>IF(OR(B198="",AsOfWeek=""),"",IFERROR(SUMIFS($M$5:$M$504,$B$5:$B$504,B198,$C$5:$C$504,C198,$L$5:$L$504,TRUE,$F$5:$F$504,"&gt;="&amp;AsOfWeek-7*(RecentWeeks-1),$F$5:$F$504,"&lt;="&amp;AsOfWeek),""))</f>
        <v/>
      </c>
      <c r="Q198" s="20">
        <f>IF(OR(B198="",AsOfWeek=""),"",IFERROR(SUMIFS($M$5:$M$504,$B$5:$B$504,B198,$C$5:$C$504,C198,$L$5:$L$504,TRUE,$F$5:$F$504,"&gt;="&amp;AsOfWeek-7*(RecentWeeks+PriorWeeks-1),$F$5:$F$504,"&lt;"&amp;AsOfWeek-7*(RecentWeeks-1)),""))</f>
        <v/>
      </c>
      <c r="R198" s="21">
        <f>IF(OR(P198="",Q198="",Q198=0),"",P198/Q198-1)</f>
        <v/>
      </c>
      <c r="S198" s="20">
        <f>IF(OR(C198="",AsOfWeek=""),"",IFERROR(AVERAGEIFS($M$5:$M$504,$C$5:$C$504,C198,$L$5:$L$504,TRUE,$F$5:$F$504,"&gt;="&amp;AsOfWeek-7*(RecentWeeks-1),$F$5:$F$504,"&lt;="&amp;AsOfWeek),""))</f>
        <v/>
      </c>
      <c r="T198" s="21">
        <f>IF(OR(P198="",S198=""),"",P198/S198-1)</f>
        <v/>
      </c>
      <c r="U198" s="22">
        <f>IF(OR(B198="",'Weekly Input'!G198="",P198="",P198=0),"",'Weekly Input'!G198/P198)</f>
        <v/>
      </c>
      <c r="V198" s="18">
        <f>IF(B198="","",IF(NOT(I198),"Not Ready",IF(NOT(K198),"Not Ready",IF(N198&lt;MinHistory,"Not Ready",IF(NOT(J198),"Not Ready",IF(OR(Q198="",Q198=0),"Noise",IF(Q198&lt;LowBaseThreshold,"Noise",IF(AND(R198&lt;=-OwnDecline,T198&lt;=-PeerGapThreshold),"Markdown Review",IF(AND(R198&gt;=ReorderUplift,U198&lt;&gt;"",U198&lt;=WeeksSupplyCap),"Reorder Candidate","Monitor"))))))))</f>
        <v/>
      </c>
      <c r="W198" s="18">
        <f>IF(B198="","",IF(NOT(I198),"INVALID_MASTER",IF(NOT(K198),"INCOMPLETE_SHELF_CYCLE",IF(N198&lt;MinHistory,"INSUFFICIENT_HISTORY",IF(NOT(J198),"INSUFFICIENT_IN_STOCK",IF(OR(Q198="",Q198=0),"NO_PRIOR_BASE",IF(Q198&lt;LowBaseThreshold,"LOW_BASE_NOISE",IF(V198="Markdown Review","MARKDOWN_PEER_GAP",IF(V198="Reorder Candidate","REORDER_UPLIFT_COVER","NO_MATERIAL_CHANGE"))))))))</f>
        <v/>
      </c>
      <c r="X198" s="18">
        <f>IF(V198="Markdown Review","Markdown support",IF(V198="Reorder Candidate","Second reorder",IF(V198="Monitor","Monitor",IF(V198="Noise","Hold / collect data",IF(V198="Not Ready","Not ready","")))))</f>
        <v/>
      </c>
      <c r="Y198" s="18">
        <f>IF(OR(R198="",T198=""),"",ABS(R198)+ABS(T198))</f>
        <v/>
      </c>
      <c r="Z198" s="21">
        <f>IF(OR(B198="",NOT(O198),R198=""),"",IF(ABS(R198)&gt;=MaterialThreshold,"Yes","No"))</f>
        <v/>
      </c>
      <c r="AA198" s="18">
        <f>IF(Z198&lt;&gt;"Yes","",IF(ABS(R198)&gt;=MaterialThreshold,IF(ABS(R198)&gt;=BroadShare,"Broad SKU movement","Store-concentrated movement"),""))</f>
        <v/>
      </c>
      <c r="AB198" s="18">
        <f>IF(O198,IF(COUNTIFS($O$5:O198,TRUE)&gt;0,COUNTIFS($O$5:O198,TRUE),0),0)</f>
        <v/>
      </c>
      <c r="AC198" s="18">
        <f>IF(V198="Markdown Review",1,IF(V198="Reorder Candidate",2,IF(V198="Monitor",3,IF(V198="Noise",4,IF(V198="Not Ready",5,99)))))</f>
        <v/>
      </c>
      <c r="AD198" s="18">
        <f>IF(O198,COUNTIFS($O$5:$O$504,TRUE,$AC$5:$AC$504,"&lt;"&amp;AC198)+COUNTIFS($O$5:O198,TRUE,$AC$5:AC198,AC198,$Y$5:Y198,"&gt;"&amp;Y198),0)</f>
        <v/>
      </c>
    </row>
    <row r="199">
      <c r="A199" s="17">
        <f>IF(COUNTA('Weekly Input'!A199:C199)=0,"",'Weekly Input'!B199&amp;"|"&amp;'Weekly Input'!C199&amp;"|"&amp;TEXT('Weekly Input'!A199,"yyyy-mm-dd"))</f>
        <v/>
      </c>
      <c r="B199" s="18">
        <f>'Weekly Input'!B199</f>
        <v/>
      </c>
      <c r="C199" s="18">
        <f>'Weekly Input'!C199</f>
        <v/>
      </c>
      <c r="D199" s="18">
        <f>IF(B199="","",IFERROR(INDEX('Master Data'!$B$6:$B$145,MATCH(B199,'Master Data'!$A$6:$A$145,0)),""))</f>
        <v/>
      </c>
      <c r="E199" s="18">
        <f>IF(C199="","",IFERROR(INDEX('Master Data'!$H$6:$H$13,MATCH(C199,'Master Data'!$F$6:$F$13,0)),""))</f>
        <v/>
      </c>
      <c r="F199" s="19">
        <f>'Weekly Input'!A199</f>
        <v/>
      </c>
      <c r="G199" s="19">
        <f>IF(B199="","",IFERROR(INDEX('Master Data'!$D$6:$D$145,MATCH(B199,'Master Data'!$A$6:$A$145,0)),""))</f>
        <v/>
      </c>
      <c r="H199" s="18">
        <f>IF(OR(F199="",G199=""),"",F199-G199)</f>
        <v/>
      </c>
      <c r="I199" s="18">
        <f>IF(B199="","",IF('Weekly Input'!J199="OK",TRUE,FALSE))</f>
        <v/>
      </c>
      <c r="J199" s="18">
        <f>IF(B199="","",'Weekly Input'!H199&gt;=MinInStockDays)</f>
        <v/>
      </c>
      <c r="K199" s="18">
        <f>IF(B199="","",H199&gt;=FullCycleMin)</f>
        <v/>
      </c>
      <c r="L199" s="18">
        <f>IF(B199="","",AND(I199,J199,K199,N199&gt;=MinHistory))</f>
        <v/>
      </c>
      <c r="M199" s="20">
        <f>IF(OR(B199="",'Weekly Input'!H199=0),"",'Weekly Input'!D199/'Weekly Input'!H199*7)</f>
        <v/>
      </c>
      <c r="N199" s="18">
        <f>IF(B199="","",COUNTIFS($B$5:$B$504,B199,$C$5:$C$504,C199,$I$5:$I$504,TRUE,$J$5:$J$504,TRUE,$K$5:$K$504,TRUE))</f>
        <v/>
      </c>
      <c r="O199" s="18">
        <f>IF(B199="","",AND(F199=AsOfWeek,AsOfWeek&lt;&gt;""))</f>
        <v/>
      </c>
      <c r="P199" s="20">
        <f>IF(OR(B199="",AsOfWeek=""),"",IFERROR(SUMIFS($M$5:$M$504,$B$5:$B$504,B199,$C$5:$C$504,C199,$L$5:$L$504,TRUE,$F$5:$F$504,"&gt;="&amp;AsOfWeek-7*(RecentWeeks-1),$F$5:$F$504,"&lt;="&amp;AsOfWeek),""))</f>
        <v/>
      </c>
      <c r="Q199" s="20">
        <f>IF(OR(B199="",AsOfWeek=""),"",IFERROR(SUMIFS($M$5:$M$504,$B$5:$B$504,B199,$C$5:$C$504,C199,$L$5:$L$504,TRUE,$F$5:$F$504,"&gt;="&amp;AsOfWeek-7*(RecentWeeks+PriorWeeks-1),$F$5:$F$504,"&lt;"&amp;AsOfWeek-7*(RecentWeeks-1)),""))</f>
        <v/>
      </c>
      <c r="R199" s="21">
        <f>IF(OR(P199="",Q199="",Q199=0),"",P199/Q199-1)</f>
        <v/>
      </c>
      <c r="S199" s="20">
        <f>IF(OR(C199="",AsOfWeek=""),"",IFERROR(AVERAGEIFS($M$5:$M$504,$C$5:$C$504,C199,$L$5:$L$504,TRUE,$F$5:$F$504,"&gt;="&amp;AsOfWeek-7*(RecentWeeks-1),$F$5:$F$504,"&lt;="&amp;AsOfWeek),""))</f>
        <v/>
      </c>
      <c r="T199" s="21">
        <f>IF(OR(P199="",S199=""),"",P199/S199-1)</f>
        <v/>
      </c>
      <c r="U199" s="22">
        <f>IF(OR(B199="",'Weekly Input'!G199="",P199="",P199=0),"",'Weekly Input'!G199/P199)</f>
        <v/>
      </c>
      <c r="V199" s="18">
        <f>IF(B199="","",IF(NOT(I199),"Not Ready",IF(NOT(K199),"Not Ready",IF(N199&lt;MinHistory,"Not Ready",IF(NOT(J199),"Not Ready",IF(OR(Q199="",Q199=0),"Noise",IF(Q199&lt;LowBaseThreshold,"Noise",IF(AND(R199&lt;=-OwnDecline,T199&lt;=-PeerGapThreshold),"Markdown Review",IF(AND(R199&gt;=ReorderUplift,U199&lt;&gt;"",U199&lt;=WeeksSupplyCap),"Reorder Candidate","Monitor"))))))))</f>
        <v/>
      </c>
      <c r="W199" s="18">
        <f>IF(B199="","",IF(NOT(I199),"INVALID_MASTER",IF(NOT(K199),"INCOMPLETE_SHELF_CYCLE",IF(N199&lt;MinHistory,"INSUFFICIENT_HISTORY",IF(NOT(J199),"INSUFFICIENT_IN_STOCK",IF(OR(Q199="",Q199=0),"NO_PRIOR_BASE",IF(Q199&lt;LowBaseThreshold,"LOW_BASE_NOISE",IF(V199="Markdown Review","MARKDOWN_PEER_GAP",IF(V199="Reorder Candidate","REORDER_UPLIFT_COVER","NO_MATERIAL_CHANGE"))))))))</f>
        <v/>
      </c>
      <c r="X199" s="18">
        <f>IF(V199="Markdown Review","Markdown support",IF(V199="Reorder Candidate","Second reorder",IF(V199="Monitor","Monitor",IF(V199="Noise","Hold / collect data",IF(V199="Not Ready","Not ready","")))))</f>
        <v/>
      </c>
      <c r="Y199" s="18">
        <f>IF(OR(R199="",T199=""),"",ABS(R199)+ABS(T199))</f>
        <v/>
      </c>
      <c r="Z199" s="21">
        <f>IF(OR(B199="",NOT(O199),R199=""),"",IF(ABS(R199)&gt;=MaterialThreshold,"Yes","No"))</f>
        <v/>
      </c>
      <c r="AA199" s="18">
        <f>IF(Z199&lt;&gt;"Yes","",IF(ABS(R199)&gt;=MaterialThreshold,IF(ABS(R199)&gt;=BroadShare,"Broad SKU movement","Store-concentrated movement"),""))</f>
        <v/>
      </c>
      <c r="AB199" s="18">
        <f>IF(O199,IF(COUNTIFS($O$5:O199,TRUE)&gt;0,COUNTIFS($O$5:O199,TRUE),0),0)</f>
        <v/>
      </c>
      <c r="AC199" s="18">
        <f>IF(V199="Markdown Review",1,IF(V199="Reorder Candidate",2,IF(V199="Monitor",3,IF(V199="Noise",4,IF(V199="Not Ready",5,99)))))</f>
        <v/>
      </c>
      <c r="AD199" s="18">
        <f>IF(O199,COUNTIFS($O$5:$O$504,TRUE,$AC$5:$AC$504,"&lt;"&amp;AC199)+COUNTIFS($O$5:O199,TRUE,$AC$5:AC199,AC199,$Y$5:Y199,"&gt;"&amp;Y199),0)</f>
        <v/>
      </c>
    </row>
    <row r="200">
      <c r="A200" s="17">
        <f>IF(COUNTA('Weekly Input'!A200:C200)=0,"",'Weekly Input'!B200&amp;"|"&amp;'Weekly Input'!C200&amp;"|"&amp;TEXT('Weekly Input'!A200,"yyyy-mm-dd"))</f>
        <v/>
      </c>
      <c r="B200" s="18">
        <f>'Weekly Input'!B200</f>
        <v/>
      </c>
      <c r="C200" s="18">
        <f>'Weekly Input'!C200</f>
        <v/>
      </c>
      <c r="D200" s="18">
        <f>IF(B200="","",IFERROR(INDEX('Master Data'!$B$6:$B$145,MATCH(B200,'Master Data'!$A$6:$A$145,0)),""))</f>
        <v/>
      </c>
      <c r="E200" s="18">
        <f>IF(C200="","",IFERROR(INDEX('Master Data'!$H$6:$H$13,MATCH(C200,'Master Data'!$F$6:$F$13,0)),""))</f>
        <v/>
      </c>
      <c r="F200" s="19">
        <f>'Weekly Input'!A200</f>
        <v/>
      </c>
      <c r="G200" s="19">
        <f>IF(B200="","",IFERROR(INDEX('Master Data'!$D$6:$D$145,MATCH(B200,'Master Data'!$A$6:$A$145,0)),""))</f>
        <v/>
      </c>
      <c r="H200" s="18">
        <f>IF(OR(F200="",G200=""),"",F200-G200)</f>
        <v/>
      </c>
      <c r="I200" s="18">
        <f>IF(B200="","",IF('Weekly Input'!J200="OK",TRUE,FALSE))</f>
        <v/>
      </c>
      <c r="J200" s="18">
        <f>IF(B200="","",'Weekly Input'!H200&gt;=MinInStockDays)</f>
        <v/>
      </c>
      <c r="K200" s="18">
        <f>IF(B200="","",H200&gt;=FullCycleMin)</f>
        <v/>
      </c>
      <c r="L200" s="18">
        <f>IF(B200="","",AND(I200,J200,K200,N200&gt;=MinHistory))</f>
        <v/>
      </c>
      <c r="M200" s="20">
        <f>IF(OR(B200="",'Weekly Input'!H200=0),"",'Weekly Input'!D200/'Weekly Input'!H200*7)</f>
        <v/>
      </c>
      <c r="N200" s="18">
        <f>IF(B200="","",COUNTIFS($B$5:$B$504,B200,$C$5:$C$504,C200,$I$5:$I$504,TRUE,$J$5:$J$504,TRUE,$K$5:$K$504,TRUE))</f>
        <v/>
      </c>
      <c r="O200" s="18">
        <f>IF(B200="","",AND(F200=AsOfWeek,AsOfWeek&lt;&gt;""))</f>
        <v/>
      </c>
      <c r="P200" s="20">
        <f>IF(OR(B200="",AsOfWeek=""),"",IFERROR(SUMIFS($M$5:$M$504,$B$5:$B$504,B200,$C$5:$C$504,C200,$L$5:$L$504,TRUE,$F$5:$F$504,"&gt;="&amp;AsOfWeek-7*(RecentWeeks-1),$F$5:$F$504,"&lt;="&amp;AsOfWeek),""))</f>
        <v/>
      </c>
      <c r="Q200" s="20">
        <f>IF(OR(B200="",AsOfWeek=""),"",IFERROR(SUMIFS($M$5:$M$504,$B$5:$B$504,B200,$C$5:$C$504,C200,$L$5:$L$504,TRUE,$F$5:$F$504,"&gt;="&amp;AsOfWeek-7*(RecentWeeks+PriorWeeks-1),$F$5:$F$504,"&lt;"&amp;AsOfWeek-7*(RecentWeeks-1)),""))</f>
        <v/>
      </c>
      <c r="R200" s="21">
        <f>IF(OR(P200="",Q200="",Q200=0),"",P200/Q200-1)</f>
        <v/>
      </c>
      <c r="S200" s="20">
        <f>IF(OR(C200="",AsOfWeek=""),"",IFERROR(AVERAGEIFS($M$5:$M$504,$C$5:$C$504,C200,$L$5:$L$504,TRUE,$F$5:$F$504,"&gt;="&amp;AsOfWeek-7*(RecentWeeks-1),$F$5:$F$504,"&lt;="&amp;AsOfWeek),""))</f>
        <v/>
      </c>
      <c r="T200" s="21">
        <f>IF(OR(P200="",S200=""),"",P200/S200-1)</f>
        <v/>
      </c>
      <c r="U200" s="22">
        <f>IF(OR(B200="",'Weekly Input'!G200="",P200="",P200=0),"",'Weekly Input'!G200/P200)</f>
        <v/>
      </c>
      <c r="V200" s="18">
        <f>IF(B200="","",IF(NOT(I200),"Not Ready",IF(NOT(K200),"Not Ready",IF(N200&lt;MinHistory,"Not Ready",IF(NOT(J200),"Not Ready",IF(OR(Q200="",Q200=0),"Noise",IF(Q200&lt;LowBaseThreshold,"Noise",IF(AND(R200&lt;=-OwnDecline,T200&lt;=-PeerGapThreshold),"Markdown Review",IF(AND(R200&gt;=ReorderUplift,U200&lt;&gt;"",U200&lt;=WeeksSupplyCap),"Reorder Candidate","Monitor"))))))))</f>
        <v/>
      </c>
      <c r="W200" s="18">
        <f>IF(B200="","",IF(NOT(I200),"INVALID_MASTER",IF(NOT(K200),"INCOMPLETE_SHELF_CYCLE",IF(N200&lt;MinHistory,"INSUFFICIENT_HISTORY",IF(NOT(J200),"INSUFFICIENT_IN_STOCK",IF(OR(Q200="",Q200=0),"NO_PRIOR_BASE",IF(Q200&lt;LowBaseThreshold,"LOW_BASE_NOISE",IF(V200="Markdown Review","MARKDOWN_PEER_GAP",IF(V200="Reorder Candidate","REORDER_UPLIFT_COVER","NO_MATERIAL_CHANGE"))))))))</f>
        <v/>
      </c>
      <c r="X200" s="18">
        <f>IF(V200="Markdown Review","Markdown support",IF(V200="Reorder Candidate","Second reorder",IF(V200="Monitor","Monitor",IF(V200="Noise","Hold / collect data",IF(V200="Not Ready","Not ready","")))))</f>
        <v/>
      </c>
      <c r="Y200" s="18">
        <f>IF(OR(R200="",T200=""),"",ABS(R200)+ABS(T200))</f>
        <v/>
      </c>
      <c r="Z200" s="21">
        <f>IF(OR(B200="",NOT(O200),R200=""),"",IF(ABS(R200)&gt;=MaterialThreshold,"Yes","No"))</f>
        <v/>
      </c>
      <c r="AA200" s="18">
        <f>IF(Z200&lt;&gt;"Yes","",IF(ABS(R200)&gt;=MaterialThreshold,IF(ABS(R200)&gt;=BroadShare,"Broad SKU movement","Store-concentrated movement"),""))</f>
        <v/>
      </c>
      <c r="AB200" s="18">
        <f>IF(O200,IF(COUNTIFS($O$5:O200,TRUE)&gt;0,COUNTIFS($O$5:O200,TRUE),0),0)</f>
        <v/>
      </c>
      <c r="AC200" s="18">
        <f>IF(V200="Markdown Review",1,IF(V200="Reorder Candidate",2,IF(V200="Monitor",3,IF(V200="Noise",4,IF(V200="Not Ready",5,99)))))</f>
        <v/>
      </c>
      <c r="AD200" s="18">
        <f>IF(O200,COUNTIFS($O$5:$O$504,TRUE,$AC$5:$AC$504,"&lt;"&amp;AC200)+COUNTIFS($O$5:O200,TRUE,$AC$5:AC200,AC200,$Y$5:Y200,"&gt;"&amp;Y200),0)</f>
        <v/>
      </c>
    </row>
    <row r="201">
      <c r="A201" s="17">
        <f>IF(COUNTA('Weekly Input'!A201:C201)=0,"",'Weekly Input'!B201&amp;"|"&amp;'Weekly Input'!C201&amp;"|"&amp;TEXT('Weekly Input'!A201,"yyyy-mm-dd"))</f>
        <v/>
      </c>
      <c r="B201" s="18">
        <f>'Weekly Input'!B201</f>
        <v/>
      </c>
      <c r="C201" s="18">
        <f>'Weekly Input'!C201</f>
        <v/>
      </c>
      <c r="D201" s="18">
        <f>IF(B201="","",IFERROR(INDEX('Master Data'!$B$6:$B$145,MATCH(B201,'Master Data'!$A$6:$A$145,0)),""))</f>
        <v/>
      </c>
      <c r="E201" s="18">
        <f>IF(C201="","",IFERROR(INDEX('Master Data'!$H$6:$H$13,MATCH(C201,'Master Data'!$F$6:$F$13,0)),""))</f>
        <v/>
      </c>
      <c r="F201" s="19">
        <f>'Weekly Input'!A201</f>
        <v/>
      </c>
      <c r="G201" s="19">
        <f>IF(B201="","",IFERROR(INDEX('Master Data'!$D$6:$D$145,MATCH(B201,'Master Data'!$A$6:$A$145,0)),""))</f>
        <v/>
      </c>
      <c r="H201" s="18">
        <f>IF(OR(F201="",G201=""),"",F201-G201)</f>
        <v/>
      </c>
      <c r="I201" s="18">
        <f>IF(B201="","",IF('Weekly Input'!J201="OK",TRUE,FALSE))</f>
        <v/>
      </c>
      <c r="J201" s="18">
        <f>IF(B201="","",'Weekly Input'!H201&gt;=MinInStockDays)</f>
        <v/>
      </c>
      <c r="K201" s="18">
        <f>IF(B201="","",H201&gt;=FullCycleMin)</f>
        <v/>
      </c>
      <c r="L201" s="18">
        <f>IF(B201="","",AND(I201,J201,K201,N201&gt;=MinHistory))</f>
        <v/>
      </c>
      <c r="M201" s="20">
        <f>IF(OR(B201="",'Weekly Input'!H201=0),"",'Weekly Input'!D201/'Weekly Input'!H201*7)</f>
        <v/>
      </c>
      <c r="N201" s="18">
        <f>IF(B201="","",COUNTIFS($B$5:$B$504,B201,$C$5:$C$504,C201,$I$5:$I$504,TRUE,$J$5:$J$504,TRUE,$K$5:$K$504,TRUE))</f>
        <v/>
      </c>
      <c r="O201" s="18">
        <f>IF(B201="","",AND(F201=AsOfWeek,AsOfWeek&lt;&gt;""))</f>
        <v/>
      </c>
      <c r="P201" s="20">
        <f>IF(OR(B201="",AsOfWeek=""),"",IFERROR(SUMIFS($M$5:$M$504,$B$5:$B$504,B201,$C$5:$C$504,C201,$L$5:$L$504,TRUE,$F$5:$F$504,"&gt;="&amp;AsOfWeek-7*(RecentWeeks-1),$F$5:$F$504,"&lt;="&amp;AsOfWeek),""))</f>
        <v/>
      </c>
      <c r="Q201" s="20">
        <f>IF(OR(B201="",AsOfWeek=""),"",IFERROR(SUMIFS($M$5:$M$504,$B$5:$B$504,B201,$C$5:$C$504,C201,$L$5:$L$504,TRUE,$F$5:$F$504,"&gt;="&amp;AsOfWeek-7*(RecentWeeks+PriorWeeks-1),$F$5:$F$504,"&lt;"&amp;AsOfWeek-7*(RecentWeeks-1)),""))</f>
        <v/>
      </c>
      <c r="R201" s="21">
        <f>IF(OR(P201="",Q201="",Q201=0),"",P201/Q201-1)</f>
        <v/>
      </c>
      <c r="S201" s="20">
        <f>IF(OR(C201="",AsOfWeek=""),"",IFERROR(AVERAGEIFS($M$5:$M$504,$C$5:$C$504,C201,$L$5:$L$504,TRUE,$F$5:$F$504,"&gt;="&amp;AsOfWeek-7*(RecentWeeks-1),$F$5:$F$504,"&lt;="&amp;AsOfWeek),""))</f>
        <v/>
      </c>
      <c r="T201" s="21">
        <f>IF(OR(P201="",S201=""),"",P201/S201-1)</f>
        <v/>
      </c>
      <c r="U201" s="22">
        <f>IF(OR(B201="",'Weekly Input'!G201="",P201="",P201=0),"",'Weekly Input'!G201/P201)</f>
        <v/>
      </c>
      <c r="V201" s="18">
        <f>IF(B201="","",IF(NOT(I201),"Not Ready",IF(NOT(K201),"Not Ready",IF(N201&lt;MinHistory,"Not Ready",IF(NOT(J201),"Not Ready",IF(OR(Q201="",Q201=0),"Noise",IF(Q201&lt;LowBaseThreshold,"Noise",IF(AND(R201&lt;=-OwnDecline,T201&lt;=-PeerGapThreshold),"Markdown Review",IF(AND(R201&gt;=ReorderUplift,U201&lt;&gt;"",U201&lt;=WeeksSupplyCap),"Reorder Candidate","Monitor"))))))))</f>
        <v/>
      </c>
      <c r="W201" s="18">
        <f>IF(B201="","",IF(NOT(I201),"INVALID_MASTER",IF(NOT(K201),"INCOMPLETE_SHELF_CYCLE",IF(N201&lt;MinHistory,"INSUFFICIENT_HISTORY",IF(NOT(J201),"INSUFFICIENT_IN_STOCK",IF(OR(Q201="",Q201=0),"NO_PRIOR_BASE",IF(Q201&lt;LowBaseThreshold,"LOW_BASE_NOISE",IF(V201="Markdown Review","MARKDOWN_PEER_GAP",IF(V201="Reorder Candidate","REORDER_UPLIFT_COVER","NO_MATERIAL_CHANGE"))))))))</f>
        <v/>
      </c>
      <c r="X201" s="18">
        <f>IF(V201="Markdown Review","Markdown support",IF(V201="Reorder Candidate","Second reorder",IF(V201="Monitor","Monitor",IF(V201="Noise","Hold / collect data",IF(V201="Not Ready","Not ready","")))))</f>
        <v/>
      </c>
      <c r="Y201" s="18">
        <f>IF(OR(R201="",T201=""),"",ABS(R201)+ABS(T201))</f>
        <v/>
      </c>
      <c r="Z201" s="21">
        <f>IF(OR(B201="",NOT(O201),R201=""),"",IF(ABS(R201)&gt;=MaterialThreshold,"Yes","No"))</f>
        <v/>
      </c>
      <c r="AA201" s="18">
        <f>IF(Z201&lt;&gt;"Yes","",IF(ABS(R201)&gt;=MaterialThreshold,IF(ABS(R201)&gt;=BroadShare,"Broad SKU movement","Store-concentrated movement"),""))</f>
        <v/>
      </c>
      <c r="AB201" s="18">
        <f>IF(O201,IF(COUNTIFS($O$5:O201,TRUE)&gt;0,COUNTIFS($O$5:O201,TRUE),0),0)</f>
        <v/>
      </c>
      <c r="AC201" s="18">
        <f>IF(V201="Markdown Review",1,IF(V201="Reorder Candidate",2,IF(V201="Monitor",3,IF(V201="Noise",4,IF(V201="Not Ready",5,99)))))</f>
        <v/>
      </c>
      <c r="AD201" s="18">
        <f>IF(O201,COUNTIFS($O$5:$O$504,TRUE,$AC$5:$AC$504,"&lt;"&amp;AC201)+COUNTIFS($O$5:O201,TRUE,$AC$5:AC201,AC201,$Y$5:Y201,"&gt;"&amp;Y201),0)</f>
        <v/>
      </c>
    </row>
    <row r="202">
      <c r="A202" s="17">
        <f>IF(COUNTA('Weekly Input'!A202:C202)=0,"",'Weekly Input'!B202&amp;"|"&amp;'Weekly Input'!C202&amp;"|"&amp;TEXT('Weekly Input'!A202,"yyyy-mm-dd"))</f>
        <v/>
      </c>
      <c r="B202" s="18">
        <f>'Weekly Input'!B202</f>
        <v/>
      </c>
      <c r="C202" s="18">
        <f>'Weekly Input'!C202</f>
        <v/>
      </c>
      <c r="D202" s="18">
        <f>IF(B202="","",IFERROR(INDEX('Master Data'!$B$6:$B$145,MATCH(B202,'Master Data'!$A$6:$A$145,0)),""))</f>
        <v/>
      </c>
      <c r="E202" s="18">
        <f>IF(C202="","",IFERROR(INDEX('Master Data'!$H$6:$H$13,MATCH(C202,'Master Data'!$F$6:$F$13,0)),""))</f>
        <v/>
      </c>
      <c r="F202" s="19">
        <f>'Weekly Input'!A202</f>
        <v/>
      </c>
      <c r="G202" s="19">
        <f>IF(B202="","",IFERROR(INDEX('Master Data'!$D$6:$D$145,MATCH(B202,'Master Data'!$A$6:$A$145,0)),""))</f>
        <v/>
      </c>
      <c r="H202" s="18">
        <f>IF(OR(F202="",G202=""),"",F202-G202)</f>
        <v/>
      </c>
      <c r="I202" s="18">
        <f>IF(B202="","",IF('Weekly Input'!J202="OK",TRUE,FALSE))</f>
        <v/>
      </c>
      <c r="J202" s="18">
        <f>IF(B202="","",'Weekly Input'!H202&gt;=MinInStockDays)</f>
        <v/>
      </c>
      <c r="K202" s="18">
        <f>IF(B202="","",H202&gt;=FullCycleMin)</f>
        <v/>
      </c>
      <c r="L202" s="18">
        <f>IF(B202="","",AND(I202,J202,K202,N202&gt;=MinHistory))</f>
        <v/>
      </c>
      <c r="M202" s="20">
        <f>IF(OR(B202="",'Weekly Input'!H202=0),"",'Weekly Input'!D202/'Weekly Input'!H202*7)</f>
        <v/>
      </c>
      <c r="N202" s="18">
        <f>IF(B202="","",COUNTIFS($B$5:$B$504,B202,$C$5:$C$504,C202,$I$5:$I$504,TRUE,$J$5:$J$504,TRUE,$K$5:$K$504,TRUE))</f>
        <v/>
      </c>
      <c r="O202" s="18">
        <f>IF(B202="","",AND(F202=AsOfWeek,AsOfWeek&lt;&gt;""))</f>
        <v/>
      </c>
      <c r="P202" s="20">
        <f>IF(OR(B202="",AsOfWeek=""),"",IFERROR(SUMIFS($M$5:$M$504,$B$5:$B$504,B202,$C$5:$C$504,C202,$L$5:$L$504,TRUE,$F$5:$F$504,"&gt;="&amp;AsOfWeek-7*(RecentWeeks-1),$F$5:$F$504,"&lt;="&amp;AsOfWeek),""))</f>
        <v/>
      </c>
      <c r="Q202" s="20">
        <f>IF(OR(B202="",AsOfWeek=""),"",IFERROR(SUMIFS($M$5:$M$504,$B$5:$B$504,B202,$C$5:$C$504,C202,$L$5:$L$504,TRUE,$F$5:$F$504,"&gt;="&amp;AsOfWeek-7*(RecentWeeks+PriorWeeks-1),$F$5:$F$504,"&lt;"&amp;AsOfWeek-7*(RecentWeeks-1)),""))</f>
        <v/>
      </c>
      <c r="R202" s="21">
        <f>IF(OR(P202="",Q202="",Q202=0),"",P202/Q202-1)</f>
        <v/>
      </c>
      <c r="S202" s="20">
        <f>IF(OR(C202="",AsOfWeek=""),"",IFERROR(AVERAGEIFS($M$5:$M$504,$C$5:$C$504,C202,$L$5:$L$504,TRUE,$F$5:$F$504,"&gt;="&amp;AsOfWeek-7*(RecentWeeks-1),$F$5:$F$504,"&lt;="&amp;AsOfWeek),""))</f>
        <v/>
      </c>
      <c r="T202" s="21">
        <f>IF(OR(P202="",S202=""),"",P202/S202-1)</f>
        <v/>
      </c>
      <c r="U202" s="22">
        <f>IF(OR(B202="",'Weekly Input'!G202="",P202="",P202=0),"",'Weekly Input'!G202/P202)</f>
        <v/>
      </c>
      <c r="V202" s="18">
        <f>IF(B202="","",IF(NOT(I202),"Not Ready",IF(NOT(K202),"Not Ready",IF(N202&lt;MinHistory,"Not Ready",IF(NOT(J202),"Not Ready",IF(OR(Q202="",Q202=0),"Noise",IF(Q202&lt;LowBaseThreshold,"Noise",IF(AND(R202&lt;=-OwnDecline,T202&lt;=-PeerGapThreshold),"Markdown Review",IF(AND(R202&gt;=ReorderUplift,U202&lt;&gt;"",U202&lt;=WeeksSupplyCap),"Reorder Candidate","Monitor"))))))))</f>
        <v/>
      </c>
      <c r="W202" s="18">
        <f>IF(B202="","",IF(NOT(I202),"INVALID_MASTER",IF(NOT(K202),"INCOMPLETE_SHELF_CYCLE",IF(N202&lt;MinHistory,"INSUFFICIENT_HISTORY",IF(NOT(J202),"INSUFFICIENT_IN_STOCK",IF(OR(Q202="",Q202=0),"NO_PRIOR_BASE",IF(Q202&lt;LowBaseThreshold,"LOW_BASE_NOISE",IF(V202="Markdown Review","MARKDOWN_PEER_GAP",IF(V202="Reorder Candidate","REORDER_UPLIFT_COVER","NO_MATERIAL_CHANGE"))))))))</f>
        <v/>
      </c>
      <c r="X202" s="18">
        <f>IF(V202="Markdown Review","Markdown support",IF(V202="Reorder Candidate","Second reorder",IF(V202="Monitor","Monitor",IF(V202="Noise","Hold / collect data",IF(V202="Not Ready","Not ready","")))))</f>
        <v/>
      </c>
      <c r="Y202" s="18">
        <f>IF(OR(R202="",T202=""),"",ABS(R202)+ABS(T202))</f>
        <v/>
      </c>
      <c r="Z202" s="21">
        <f>IF(OR(B202="",NOT(O202),R202=""),"",IF(ABS(R202)&gt;=MaterialThreshold,"Yes","No"))</f>
        <v/>
      </c>
      <c r="AA202" s="18">
        <f>IF(Z202&lt;&gt;"Yes","",IF(ABS(R202)&gt;=MaterialThreshold,IF(ABS(R202)&gt;=BroadShare,"Broad SKU movement","Store-concentrated movement"),""))</f>
        <v/>
      </c>
      <c r="AB202" s="18">
        <f>IF(O202,IF(COUNTIFS($O$5:O202,TRUE)&gt;0,COUNTIFS($O$5:O202,TRUE),0),0)</f>
        <v/>
      </c>
      <c r="AC202" s="18">
        <f>IF(V202="Markdown Review",1,IF(V202="Reorder Candidate",2,IF(V202="Monitor",3,IF(V202="Noise",4,IF(V202="Not Ready",5,99)))))</f>
        <v/>
      </c>
      <c r="AD202" s="18">
        <f>IF(O202,COUNTIFS($O$5:$O$504,TRUE,$AC$5:$AC$504,"&lt;"&amp;AC202)+COUNTIFS($O$5:O202,TRUE,$AC$5:AC202,AC202,$Y$5:Y202,"&gt;"&amp;Y202),0)</f>
        <v/>
      </c>
    </row>
    <row r="203">
      <c r="A203" s="17">
        <f>IF(COUNTA('Weekly Input'!A203:C203)=0,"",'Weekly Input'!B203&amp;"|"&amp;'Weekly Input'!C203&amp;"|"&amp;TEXT('Weekly Input'!A203,"yyyy-mm-dd"))</f>
        <v/>
      </c>
      <c r="B203" s="18">
        <f>'Weekly Input'!B203</f>
        <v/>
      </c>
      <c r="C203" s="18">
        <f>'Weekly Input'!C203</f>
        <v/>
      </c>
      <c r="D203" s="18">
        <f>IF(B203="","",IFERROR(INDEX('Master Data'!$B$6:$B$145,MATCH(B203,'Master Data'!$A$6:$A$145,0)),""))</f>
        <v/>
      </c>
      <c r="E203" s="18">
        <f>IF(C203="","",IFERROR(INDEX('Master Data'!$H$6:$H$13,MATCH(C203,'Master Data'!$F$6:$F$13,0)),""))</f>
        <v/>
      </c>
      <c r="F203" s="19">
        <f>'Weekly Input'!A203</f>
        <v/>
      </c>
      <c r="G203" s="19">
        <f>IF(B203="","",IFERROR(INDEX('Master Data'!$D$6:$D$145,MATCH(B203,'Master Data'!$A$6:$A$145,0)),""))</f>
        <v/>
      </c>
      <c r="H203" s="18">
        <f>IF(OR(F203="",G203=""),"",F203-G203)</f>
        <v/>
      </c>
      <c r="I203" s="18">
        <f>IF(B203="","",IF('Weekly Input'!J203="OK",TRUE,FALSE))</f>
        <v/>
      </c>
      <c r="J203" s="18">
        <f>IF(B203="","",'Weekly Input'!H203&gt;=MinInStockDays)</f>
        <v/>
      </c>
      <c r="K203" s="18">
        <f>IF(B203="","",H203&gt;=FullCycleMin)</f>
        <v/>
      </c>
      <c r="L203" s="18">
        <f>IF(B203="","",AND(I203,J203,K203,N203&gt;=MinHistory))</f>
        <v/>
      </c>
      <c r="M203" s="20">
        <f>IF(OR(B203="",'Weekly Input'!H203=0),"",'Weekly Input'!D203/'Weekly Input'!H203*7)</f>
        <v/>
      </c>
      <c r="N203" s="18">
        <f>IF(B203="","",COUNTIFS($B$5:$B$504,B203,$C$5:$C$504,C203,$I$5:$I$504,TRUE,$J$5:$J$504,TRUE,$K$5:$K$504,TRUE))</f>
        <v/>
      </c>
      <c r="O203" s="18">
        <f>IF(B203="","",AND(F203=AsOfWeek,AsOfWeek&lt;&gt;""))</f>
        <v/>
      </c>
      <c r="P203" s="20">
        <f>IF(OR(B203="",AsOfWeek=""),"",IFERROR(SUMIFS($M$5:$M$504,$B$5:$B$504,B203,$C$5:$C$504,C203,$L$5:$L$504,TRUE,$F$5:$F$504,"&gt;="&amp;AsOfWeek-7*(RecentWeeks-1),$F$5:$F$504,"&lt;="&amp;AsOfWeek),""))</f>
        <v/>
      </c>
      <c r="Q203" s="20">
        <f>IF(OR(B203="",AsOfWeek=""),"",IFERROR(SUMIFS($M$5:$M$504,$B$5:$B$504,B203,$C$5:$C$504,C203,$L$5:$L$504,TRUE,$F$5:$F$504,"&gt;="&amp;AsOfWeek-7*(RecentWeeks+PriorWeeks-1),$F$5:$F$504,"&lt;"&amp;AsOfWeek-7*(RecentWeeks-1)),""))</f>
        <v/>
      </c>
      <c r="R203" s="21">
        <f>IF(OR(P203="",Q203="",Q203=0),"",P203/Q203-1)</f>
        <v/>
      </c>
      <c r="S203" s="20">
        <f>IF(OR(C203="",AsOfWeek=""),"",IFERROR(AVERAGEIFS($M$5:$M$504,$C$5:$C$504,C203,$L$5:$L$504,TRUE,$F$5:$F$504,"&gt;="&amp;AsOfWeek-7*(RecentWeeks-1),$F$5:$F$504,"&lt;="&amp;AsOfWeek),""))</f>
        <v/>
      </c>
      <c r="T203" s="21">
        <f>IF(OR(P203="",S203=""),"",P203/S203-1)</f>
        <v/>
      </c>
      <c r="U203" s="22">
        <f>IF(OR(B203="",'Weekly Input'!G203="",P203="",P203=0),"",'Weekly Input'!G203/P203)</f>
        <v/>
      </c>
      <c r="V203" s="18">
        <f>IF(B203="","",IF(NOT(I203),"Not Ready",IF(NOT(K203),"Not Ready",IF(N203&lt;MinHistory,"Not Ready",IF(NOT(J203),"Not Ready",IF(OR(Q203="",Q203=0),"Noise",IF(Q203&lt;LowBaseThreshold,"Noise",IF(AND(R203&lt;=-OwnDecline,T203&lt;=-PeerGapThreshold),"Markdown Review",IF(AND(R203&gt;=ReorderUplift,U203&lt;&gt;"",U203&lt;=WeeksSupplyCap),"Reorder Candidate","Monitor"))))))))</f>
        <v/>
      </c>
      <c r="W203" s="18">
        <f>IF(B203="","",IF(NOT(I203),"INVALID_MASTER",IF(NOT(K203),"INCOMPLETE_SHELF_CYCLE",IF(N203&lt;MinHistory,"INSUFFICIENT_HISTORY",IF(NOT(J203),"INSUFFICIENT_IN_STOCK",IF(OR(Q203="",Q203=0),"NO_PRIOR_BASE",IF(Q203&lt;LowBaseThreshold,"LOW_BASE_NOISE",IF(V203="Markdown Review","MARKDOWN_PEER_GAP",IF(V203="Reorder Candidate","REORDER_UPLIFT_COVER","NO_MATERIAL_CHANGE"))))))))</f>
        <v/>
      </c>
      <c r="X203" s="18">
        <f>IF(V203="Markdown Review","Markdown support",IF(V203="Reorder Candidate","Second reorder",IF(V203="Monitor","Monitor",IF(V203="Noise","Hold / collect data",IF(V203="Not Ready","Not ready","")))))</f>
        <v/>
      </c>
      <c r="Y203" s="18">
        <f>IF(OR(R203="",T203=""),"",ABS(R203)+ABS(T203))</f>
        <v/>
      </c>
      <c r="Z203" s="21">
        <f>IF(OR(B203="",NOT(O203),R203=""),"",IF(ABS(R203)&gt;=MaterialThreshold,"Yes","No"))</f>
        <v/>
      </c>
      <c r="AA203" s="18">
        <f>IF(Z203&lt;&gt;"Yes","",IF(ABS(R203)&gt;=MaterialThreshold,IF(ABS(R203)&gt;=BroadShare,"Broad SKU movement","Store-concentrated movement"),""))</f>
        <v/>
      </c>
      <c r="AB203" s="18">
        <f>IF(O203,IF(COUNTIFS($O$5:O203,TRUE)&gt;0,COUNTIFS($O$5:O203,TRUE),0),0)</f>
        <v/>
      </c>
      <c r="AC203" s="18">
        <f>IF(V203="Markdown Review",1,IF(V203="Reorder Candidate",2,IF(V203="Monitor",3,IF(V203="Noise",4,IF(V203="Not Ready",5,99)))))</f>
        <v/>
      </c>
      <c r="AD203" s="18">
        <f>IF(O203,COUNTIFS($O$5:$O$504,TRUE,$AC$5:$AC$504,"&lt;"&amp;AC203)+COUNTIFS($O$5:O203,TRUE,$AC$5:AC203,AC203,$Y$5:Y203,"&gt;"&amp;Y203),0)</f>
        <v/>
      </c>
    </row>
    <row r="204">
      <c r="A204" s="17">
        <f>IF(COUNTA('Weekly Input'!A204:C204)=0,"",'Weekly Input'!B204&amp;"|"&amp;'Weekly Input'!C204&amp;"|"&amp;TEXT('Weekly Input'!A204,"yyyy-mm-dd"))</f>
        <v/>
      </c>
      <c r="B204" s="18">
        <f>'Weekly Input'!B204</f>
        <v/>
      </c>
      <c r="C204" s="18">
        <f>'Weekly Input'!C204</f>
        <v/>
      </c>
      <c r="D204" s="18">
        <f>IF(B204="","",IFERROR(INDEX('Master Data'!$B$6:$B$145,MATCH(B204,'Master Data'!$A$6:$A$145,0)),""))</f>
        <v/>
      </c>
      <c r="E204" s="18">
        <f>IF(C204="","",IFERROR(INDEX('Master Data'!$H$6:$H$13,MATCH(C204,'Master Data'!$F$6:$F$13,0)),""))</f>
        <v/>
      </c>
      <c r="F204" s="19">
        <f>'Weekly Input'!A204</f>
        <v/>
      </c>
      <c r="G204" s="19">
        <f>IF(B204="","",IFERROR(INDEX('Master Data'!$D$6:$D$145,MATCH(B204,'Master Data'!$A$6:$A$145,0)),""))</f>
        <v/>
      </c>
      <c r="H204" s="18">
        <f>IF(OR(F204="",G204=""),"",F204-G204)</f>
        <v/>
      </c>
      <c r="I204" s="18">
        <f>IF(B204="","",IF('Weekly Input'!J204="OK",TRUE,FALSE))</f>
        <v/>
      </c>
      <c r="J204" s="18">
        <f>IF(B204="","",'Weekly Input'!H204&gt;=MinInStockDays)</f>
        <v/>
      </c>
      <c r="K204" s="18">
        <f>IF(B204="","",H204&gt;=FullCycleMin)</f>
        <v/>
      </c>
      <c r="L204" s="18">
        <f>IF(B204="","",AND(I204,J204,K204,N204&gt;=MinHistory))</f>
        <v/>
      </c>
      <c r="M204" s="20">
        <f>IF(OR(B204="",'Weekly Input'!H204=0),"",'Weekly Input'!D204/'Weekly Input'!H204*7)</f>
        <v/>
      </c>
      <c r="N204" s="18">
        <f>IF(B204="","",COUNTIFS($B$5:$B$504,B204,$C$5:$C$504,C204,$I$5:$I$504,TRUE,$J$5:$J$504,TRUE,$K$5:$K$504,TRUE))</f>
        <v/>
      </c>
      <c r="O204" s="18">
        <f>IF(B204="","",AND(F204=AsOfWeek,AsOfWeek&lt;&gt;""))</f>
        <v/>
      </c>
      <c r="P204" s="20">
        <f>IF(OR(B204="",AsOfWeek=""),"",IFERROR(SUMIFS($M$5:$M$504,$B$5:$B$504,B204,$C$5:$C$504,C204,$L$5:$L$504,TRUE,$F$5:$F$504,"&gt;="&amp;AsOfWeek-7*(RecentWeeks-1),$F$5:$F$504,"&lt;="&amp;AsOfWeek),""))</f>
        <v/>
      </c>
      <c r="Q204" s="20">
        <f>IF(OR(B204="",AsOfWeek=""),"",IFERROR(SUMIFS($M$5:$M$504,$B$5:$B$504,B204,$C$5:$C$504,C204,$L$5:$L$504,TRUE,$F$5:$F$504,"&gt;="&amp;AsOfWeek-7*(RecentWeeks+PriorWeeks-1),$F$5:$F$504,"&lt;"&amp;AsOfWeek-7*(RecentWeeks-1)),""))</f>
        <v/>
      </c>
      <c r="R204" s="21">
        <f>IF(OR(P204="",Q204="",Q204=0),"",P204/Q204-1)</f>
        <v/>
      </c>
      <c r="S204" s="20">
        <f>IF(OR(C204="",AsOfWeek=""),"",IFERROR(AVERAGEIFS($M$5:$M$504,$C$5:$C$504,C204,$L$5:$L$504,TRUE,$F$5:$F$504,"&gt;="&amp;AsOfWeek-7*(RecentWeeks-1),$F$5:$F$504,"&lt;="&amp;AsOfWeek),""))</f>
        <v/>
      </c>
      <c r="T204" s="21">
        <f>IF(OR(P204="",S204=""),"",P204/S204-1)</f>
        <v/>
      </c>
      <c r="U204" s="22">
        <f>IF(OR(B204="",'Weekly Input'!G204="",P204="",P204=0),"",'Weekly Input'!G204/P204)</f>
        <v/>
      </c>
      <c r="V204" s="18">
        <f>IF(B204="","",IF(NOT(I204),"Not Ready",IF(NOT(K204),"Not Ready",IF(N204&lt;MinHistory,"Not Ready",IF(NOT(J204),"Not Ready",IF(OR(Q204="",Q204=0),"Noise",IF(Q204&lt;LowBaseThreshold,"Noise",IF(AND(R204&lt;=-OwnDecline,T204&lt;=-PeerGapThreshold),"Markdown Review",IF(AND(R204&gt;=ReorderUplift,U204&lt;&gt;"",U204&lt;=WeeksSupplyCap),"Reorder Candidate","Monitor"))))))))</f>
        <v/>
      </c>
      <c r="W204" s="18">
        <f>IF(B204="","",IF(NOT(I204),"INVALID_MASTER",IF(NOT(K204),"INCOMPLETE_SHELF_CYCLE",IF(N204&lt;MinHistory,"INSUFFICIENT_HISTORY",IF(NOT(J204),"INSUFFICIENT_IN_STOCK",IF(OR(Q204="",Q204=0),"NO_PRIOR_BASE",IF(Q204&lt;LowBaseThreshold,"LOW_BASE_NOISE",IF(V204="Markdown Review","MARKDOWN_PEER_GAP",IF(V204="Reorder Candidate","REORDER_UPLIFT_COVER","NO_MATERIAL_CHANGE"))))))))</f>
        <v/>
      </c>
      <c r="X204" s="18">
        <f>IF(V204="Markdown Review","Markdown support",IF(V204="Reorder Candidate","Second reorder",IF(V204="Monitor","Monitor",IF(V204="Noise","Hold / collect data",IF(V204="Not Ready","Not ready","")))))</f>
        <v/>
      </c>
      <c r="Y204" s="18">
        <f>IF(OR(R204="",T204=""),"",ABS(R204)+ABS(T204))</f>
        <v/>
      </c>
      <c r="Z204" s="21">
        <f>IF(OR(B204="",NOT(O204),R204=""),"",IF(ABS(R204)&gt;=MaterialThreshold,"Yes","No"))</f>
        <v/>
      </c>
      <c r="AA204" s="18">
        <f>IF(Z204&lt;&gt;"Yes","",IF(ABS(R204)&gt;=MaterialThreshold,IF(ABS(R204)&gt;=BroadShare,"Broad SKU movement","Store-concentrated movement"),""))</f>
        <v/>
      </c>
      <c r="AB204" s="18">
        <f>IF(O204,IF(COUNTIFS($O$5:O204,TRUE)&gt;0,COUNTIFS($O$5:O204,TRUE),0),0)</f>
        <v/>
      </c>
      <c r="AC204" s="18">
        <f>IF(V204="Markdown Review",1,IF(V204="Reorder Candidate",2,IF(V204="Monitor",3,IF(V204="Noise",4,IF(V204="Not Ready",5,99)))))</f>
        <v/>
      </c>
      <c r="AD204" s="18">
        <f>IF(O204,COUNTIFS($O$5:$O$504,TRUE,$AC$5:$AC$504,"&lt;"&amp;AC204)+COUNTIFS($O$5:O204,TRUE,$AC$5:AC204,AC204,$Y$5:Y204,"&gt;"&amp;Y204),0)</f>
        <v/>
      </c>
    </row>
    <row r="205">
      <c r="A205" s="17">
        <f>IF(COUNTA('Weekly Input'!A205:C205)=0,"",'Weekly Input'!B205&amp;"|"&amp;'Weekly Input'!C205&amp;"|"&amp;TEXT('Weekly Input'!A205,"yyyy-mm-dd"))</f>
        <v/>
      </c>
      <c r="B205" s="18">
        <f>'Weekly Input'!B205</f>
        <v/>
      </c>
      <c r="C205" s="18">
        <f>'Weekly Input'!C205</f>
        <v/>
      </c>
      <c r="D205" s="18">
        <f>IF(B205="","",IFERROR(INDEX('Master Data'!$B$6:$B$145,MATCH(B205,'Master Data'!$A$6:$A$145,0)),""))</f>
        <v/>
      </c>
      <c r="E205" s="18">
        <f>IF(C205="","",IFERROR(INDEX('Master Data'!$H$6:$H$13,MATCH(C205,'Master Data'!$F$6:$F$13,0)),""))</f>
        <v/>
      </c>
      <c r="F205" s="19">
        <f>'Weekly Input'!A205</f>
        <v/>
      </c>
      <c r="G205" s="19">
        <f>IF(B205="","",IFERROR(INDEX('Master Data'!$D$6:$D$145,MATCH(B205,'Master Data'!$A$6:$A$145,0)),""))</f>
        <v/>
      </c>
      <c r="H205" s="18">
        <f>IF(OR(F205="",G205=""),"",F205-G205)</f>
        <v/>
      </c>
      <c r="I205" s="18">
        <f>IF(B205="","",IF('Weekly Input'!J205="OK",TRUE,FALSE))</f>
        <v/>
      </c>
      <c r="J205" s="18">
        <f>IF(B205="","",'Weekly Input'!H205&gt;=MinInStockDays)</f>
        <v/>
      </c>
      <c r="K205" s="18">
        <f>IF(B205="","",H205&gt;=FullCycleMin)</f>
        <v/>
      </c>
      <c r="L205" s="18">
        <f>IF(B205="","",AND(I205,J205,K205,N205&gt;=MinHistory))</f>
        <v/>
      </c>
      <c r="M205" s="20">
        <f>IF(OR(B205="",'Weekly Input'!H205=0),"",'Weekly Input'!D205/'Weekly Input'!H205*7)</f>
        <v/>
      </c>
      <c r="N205" s="18">
        <f>IF(B205="","",COUNTIFS($B$5:$B$504,B205,$C$5:$C$504,C205,$I$5:$I$504,TRUE,$J$5:$J$504,TRUE,$K$5:$K$504,TRUE))</f>
        <v/>
      </c>
      <c r="O205" s="18">
        <f>IF(B205="","",AND(F205=AsOfWeek,AsOfWeek&lt;&gt;""))</f>
        <v/>
      </c>
      <c r="P205" s="20">
        <f>IF(OR(B205="",AsOfWeek=""),"",IFERROR(SUMIFS($M$5:$M$504,$B$5:$B$504,B205,$C$5:$C$504,C205,$L$5:$L$504,TRUE,$F$5:$F$504,"&gt;="&amp;AsOfWeek-7*(RecentWeeks-1),$F$5:$F$504,"&lt;="&amp;AsOfWeek),""))</f>
        <v/>
      </c>
      <c r="Q205" s="20">
        <f>IF(OR(B205="",AsOfWeek=""),"",IFERROR(SUMIFS($M$5:$M$504,$B$5:$B$504,B205,$C$5:$C$504,C205,$L$5:$L$504,TRUE,$F$5:$F$504,"&gt;="&amp;AsOfWeek-7*(RecentWeeks+PriorWeeks-1),$F$5:$F$504,"&lt;"&amp;AsOfWeek-7*(RecentWeeks-1)),""))</f>
        <v/>
      </c>
      <c r="R205" s="21">
        <f>IF(OR(P205="",Q205="",Q205=0),"",P205/Q205-1)</f>
        <v/>
      </c>
      <c r="S205" s="20">
        <f>IF(OR(C205="",AsOfWeek=""),"",IFERROR(AVERAGEIFS($M$5:$M$504,$C$5:$C$504,C205,$L$5:$L$504,TRUE,$F$5:$F$504,"&gt;="&amp;AsOfWeek-7*(RecentWeeks-1),$F$5:$F$504,"&lt;="&amp;AsOfWeek),""))</f>
        <v/>
      </c>
      <c r="T205" s="21">
        <f>IF(OR(P205="",S205=""),"",P205/S205-1)</f>
        <v/>
      </c>
      <c r="U205" s="22">
        <f>IF(OR(B205="",'Weekly Input'!G205="",P205="",P205=0),"",'Weekly Input'!G205/P205)</f>
        <v/>
      </c>
      <c r="V205" s="18">
        <f>IF(B205="","",IF(NOT(I205),"Not Ready",IF(NOT(K205),"Not Ready",IF(N205&lt;MinHistory,"Not Ready",IF(NOT(J205),"Not Ready",IF(OR(Q205="",Q205=0),"Noise",IF(Q205&lt;LowBaseThreshold,"Noise",IF(AND(R205&lt;=-OwnDecline,T205&lt;=-PeerGapThreshold),"Markdown Review",IF(AND(R205&gt;=ReorderUplift,U205&lt;&gt;"",U205&lt;=WeeksSupplyCap),"Reorder Candidate","Monitor"))))))))</f>
        <v/>
      </c>
      <c r="W205" s="18">
        <f>IF(B205="","",IF(NOT(I205),"INVALID_MASTER",IF(NOT(K205),"INCOMPLETE_SHELF_CYCLE",IF(N205&lt;MinHistory,"INSUFFICIENT_HISTORY",IF(NOT(J205),"INSUFFICIENT_IN_STOCK",IF(OR(Q205="",Q205=0),"NO_PRIOR_BASE",IF(Q205&lt;LowBaseThreshold,"LOW_BASE_NOISE",IF(V205="Markdown Review","MARKDOWN_PEER_GAP",IF(V205="Reorder Candidate","REORDER_UPLIFT_COVER","NO_MATERIAL_CHANGE"))))))))</f>
        <v/>
      </c>
      <c r="X205" s="18">
        <f>IF(V205="Markdown Review","Markdown support",IF(V205="Reorder Candidate","Second reorder",IF(V205="Monitor","Monitor",IF(V205="Noise","Hold / collect data",IF(V205="Not Ready","Not ready","")))))</f>
        <v/>
      </c>
      <c r="Y205" s="18">
        <f>IF(OR(R205="",T205=""),"",ABS(R205)+ABS(T205))</f>
        <v/>
      </c>
      <c r="Z205" s="21">
        <f>IF(OR(B205="",NOT(O205),R205=""),"",IF(ABS(R205)&gt;=MaterialThreshold,"Yes","No"))</f>
        <v/>
      </c>
      <c r="AA205" s="18">
        <f>IF(Z205&lt;&gt;"Yes","",IF(ABS(R205)&gt;=MaterialThreshold,IF(ABS(R205)&gt;=BroadShare,"Broad SKU movement","Store-concentrated movement"),""))</f>
        <v/>
      </c>
      <c r="AB205" s="18">
        <f>IF(O205,IF(COUNTIFS($O$5:O205,TRUE)&gt;0,COUNTIFS($O$5:O205,TRUE),0),0)</f>
        <v/>
      </c>
      <c r="AC205" s="18">
        <f>IF(V205="Markdown Review",1,IF(V205="Reorder Candidate",2,IF(V205="Monitor",3,IF(V205="Noise",4,IF(V205="Not Ready",5,99)))))</f>
        <v/>
      </c>
      <c r="AD205" s="18">
        <f>IF(O205,COUNTIFS($O$5:$O$504,TRUE,$AC$5:$AC$504,"&lt;"&amp;AC205)+COUNTIFS($O$5:O205,TRUE,$AC$5:AC205,AC205,$Y$5:Y205,"&gt;"&amp;Y205),0)</f>
        <v/>
      </c>
    </row>
    <row r="206">
      <c r="A206" s="17">
        <f>IF(COUNTA('Weekly Input'!A206:C206)=0,"",'Weekly Input'!B206&amp;"|"&amp;'Weekly Input'!C206&amp;"|"&amp;TEXT('Weekly Input'!A206,"yyyy-mm-dd"))</f>
        <v/>
      </c>
      <c r="B206" s="18">
        <f>'Weekly Input'!B206</f>
        <v/>
      </c>
      <c r="C206" s="18">
        <f>'Weekly Input'!C206</f>
        <v/>
      </c>
      <c r="D206" s="18">
        <f>IF(B206="","",IFERROR(INDEX('Master Data'!$B$6:$B$145,MATCH(B206,'Master Data'!$A$6:$A$145,0)),""))</f>
        <v/>
      </c>
      <c r="E206" s="18">
        <f>IF(C206="","",IFERROR(INDEX('Master Data'!$H$6:$H$13,MATCH(C206,'Master Data'!$F$6:$F$13,0)),""))</f>
        <v/>
      </c>
      <c r="F206" s="19">
        <f>'Weekly Input'!A206</f>
        <v/>
      </c>
      <c r="G206" s="19">
        <f>IF(B206="","",IFERROR(INDEX('Master Data'!$D$6:$D$145,MATCH(B206,'Master Data'!$A$6:$A$145,0)),""))</f>
        <v/>
      </c>
      <c r="H206" s="18">
        <f>IF(OR(F206="",G206=""),"",F206-G206)</f>
        <v/>
      </c>
      <c r="I206" s="18">
        <f>IF(B206="","",IF('Weekly Input'!J206="OK",TRUE,FALSE))</f>
        <v/>
      </c>
      <c r="J206" s="18">
        <f>IF(B206="","",'Weekly Input'!H206&gt;=MinInStockDays)</f>
        <v/>
      </c>
      <c r="K206" s="18">
        <f>IF(B206="","",H206&gt;=FullCycleMin)</f>
        <v/>
      </c>
      <c r="L206" s="18">
        <f>IF(B206="","",AND(I206,J206,K206,N206&gt;=MinHistory))</f>
        <v/>
      </c>
      <c r="M206" s="20">
        <f>IF(OR(B206="",'Weekly Input'!H206=0),"",'Weekly Input'!D206/'Weekly Input'!H206*7)</f>
        <v/>
      </c>
      <c r="N206" s="18">
        <f>IF(B206="","",COUNTIFS($B$5:$B$504,B206,$C$5:$C$504,C206,$I$5:$I$504,TRUE,$J$5:$J$504,TRUE,$K$5:$K$504,TRUE))</f>
        <v/>
      </c>
      <c r="O206" s="18">
        <f>IF(B206="","",AND(F206=AsOfWeek,AsOfWeek&lt;&gt;""))</f>
        <v/>
      </c>
      <c r="P206" s="20">
        <f>IF(OR(B206="",AsOfWeek=""),"",IFERROR(SUMIFS($M$5:$M$504,$B$5:$B$504,B206,$C$5:$C$504,C206,$L$5:$L$504,TRUE,$F$5:$F$504,"&gt;="&amp;AsOfWeek-7*(RecentWeeks-1),$F$5:$F$504,"&lt;="&amp;AsOfWeek),""))</f>
        <v/>
      </c>
      <c r="Q206" s="20">
        <f>IF(OR(B206="",AsOfWeek=""),"",IFERROR(SUMIFS($M$5:$M$504,$B$5:$B$504,B206,$C$5:$C$504,C206,$L$5:$L$504,TRUE,$F$5:$F$504,"&gt;="&amp;AsOfWeek-7*(RecentWeeks+PriorWeeks-1),$F$5:$F$504,"&lt;"&amp;AsOfWeek-7*(RecentWeeks-1)),""))</f>
        <v/>
      </c>
      <c r="R206" s="21">
        <f>IF(OR(P206="",Q206="",Q206=0),"",P206/Q206-1)</f>
        <v/>
      </c>
      <c r="S206" s="20">
        <f>IF(OR(C206="",AsOfWeek=""),"",IFERROR(AVERAGEIFS($M$5:$M$504,$C$5:$C$504,C206,$L$5:$L$504,TRUE,$F$5:$F$504,"&gt;="&amp;AsOfWeek-7*(RecentWeeks-1),$F$5:$F$504,"&lt;="&amp;AsOfWeek),""))</f>
        <v/>
      </c>
      <c r="T206" s="21">
        <f>IF(OR(P206="",S206=""),"",P206/S206-1)</f>
        <v/>
      </c>
      <c r="U206" s="22">
        <f>IF(OR(B206="",'Weekly Input'!G206="",P206="",P206=0),"",'Weekly Input'!G206/P206)</f>
        <v/>
      </c>
      <c r="V206" s="18">
        <f>IF(B206="","",IF(NOT(I206),"Not Ready",IF(NOT(K206),"Not Ready",IF(N206&lt;MinHistory,"Not Ready",IF(NOT(J206),"Not Ready",IF(OR(Q206="",Q206=0),"Noise",IF(Q206&lt;LowBaseThreshold,"Noise",IF(AND(R206&lt;=-OwnDecline,T206&lt;=-PeerGapThreshold),"Markdown Review",IF(AND(R206&gt;=ReorderUplift,U206&lt;&gt;"",U206&lt;=WeeksSupplyCap),"Reorder Candidate","Monitor"))))))))</f>
        <v/>
      </c>
      <c r="W206" s="18">
        <f>IF(B206="","",IF(NOT(I206),"INVALID_MASTER",IF(NOT(K206),"INCOMPLETE_SHELF_CYCLE",IF(N206&lt;MinHistory,"INSUFFICIENT_HISTORY",IF(NOT(J206),"INSUFFICIENT_IN_STOCK",IF(OR(Q206="",Q206=0),"NO_PRIOR_BASE",IF(Q206&lt;LowBaseThreshold,"LOW_BASE_NOISE",IF(V206="Markdown Review","MARKDOWN_PEER_GAP",IF(V206="Reorder Candidate","REORDER_UPLIFT_COVER","NO_MATERIAL_CHANGE"))))))))</f>
        <v/>
      </c>
      <c r="X206" s="18">
        <f>IF(V206="Markdown Review","Markdown support",IF(V206="Reorder Candidate","Second reorder",IF(V206="Monitor","Monitor",IF(V206="Noise","Hold / collect data",IF(V206="Not Ready","Not ready","")))))</f>
        <v/>
      </c>
      <c r="Y206" s="18">
        <f>IF(OR(R206="",T206=""),"",ABS(R206)+ABS(T206))</f>
        <v/>
      </c>
      <c r="Z206" s="21">
        <f>IF(OR(B206="",NOT(O206),R206=""),"",IF(ABS(R206)&gt;=MaterialThreshold,"Yes","No"))</f>
        <v/>
      </c>
      <c r="AA206" s="18">
        <f>IF(Z206&lt;&gt;"Yes","",IF(ABS(R206)&gt;=MaterialThreshold,IF(ABS(R206)&gt;=BroadShare,"Broad SKU movement","Store-concentrated movement"),""))</f>
        <v/>
      </c>
      <c r="AB206" s="18">
        <f>IF(O206,IF(COUNTIFS($O$5:O206,TRUE)&gt;0,COUNTIFS($O$5:O206,TRUE),0),0)</f>
        <v/>
      </c>
      <c r="AC206" s="18">
        <f>IF(V206="Markdown Review",1,IF(V206="Reorder Candidate",2,IF(V206="Monitor",3,IF(V206="Noise",4,IF(V206="Not Ready",5,99)))))</f>
        <v/>
      </c>
      <c r="AD206" s="18">
        <f>IF(O206,COUNTIFS($O$5:$O$504,TRUE,$AC$5:$AC$504,"&lt;"&amp;AC206)+COUNTIFS($O$5:O206,TRUE,$AC$5:AC206,AC206,$Y$5:Y206,"&gt;"&amp;Y206),0)</f>
        <v/>
      </c>
    </row>
    <row r="207">
      <c r="A207" s="17">
        <f>IF(COUNTA('Weekly Input'!A207:C207)=0,"",'Weekly Input'!B207&amp;"|"&amp;'Weekly Input'!C207&amp;"|"&amp;TEXT('Weekly Input'!A207,"yyyy-mm-dd"))</f>
        <v/>
      </c>
      <c r="B207" s="18">
        <f>'Weekly Input'!B207</f>
        <v/>
      </c>
      <c r="C207" s="18">
        <f>'Weekly Input'!C207</f>
        <v/>
      </c>
      <c r="D207" s="18">
        <f>IF(B207="","",IFERROR(INDEX('Master Data'!$B$6:$B$145,MATCH(B207,'Master Data'!$A$6:$A$145,0)),""))</f>
        <v/>
      </c>
      <c r="E207" s="18">
        <f>IF(C207="","",IFERROR(INDEX('Master Data'!$H$6:$H$13,MATCH(C207,'Master Data'!$F$6:$F$13,0)),""))</f>
        <v/>
      </c>
      <c r="F207" s="19">
        <f>'Weekly Input'!A207</f>
        <v/>
      </c>
      <c r="G207" s="19">
        <f>IF(B207="","",IFERROR(INDEX('Master Data'!$D$6:$D$145,MATCH(B207,'Master Data'!$A$6:$A$145,0)),""))</f>
        <v/>
      </c>
      <c r="H207" s="18">
        <f>IF(OR(F207="",G207=""),"",F207-G207)</f>
        <v/>
      </c>
      <c r="I207" s="18">
        <f>IF(B207="","",IF('Weekly Input'!J207="OK",TRUE,FALSE))</f>
        <v/>
      </c>
      <c r="J207" s="18">
        <f>IF(B207="","",'Weekly Input'!H207&gt;=MinInStockDays)</f>
        <v/>
      </c>
      <c r="K207" s="18">
        <f>IF(B207="","",H207&gt;=FullCycleMin)</f>
        <v/>
      </c>
      <c r="L207" s="18">
        <f>IF(B207="","",AND(I207,J207,K207,N207&gt;=MinHistory))</f>
        <v/>
      </c>
      <c r="M207" s="20">
        <f>IF(OR(B207="",'Weekly Input'!H207=0),"",'Weekly Input'!D207/'Weekly Input'!H207*7)</f>
        <v/>
      </c>
      <c r="N207" s="18">
        <f>IF(B207="","",COUNTIFS($B$5:$B$504,B207,$C$5:$C$504,C207,$I$5:$I$504,TRUE,$J$5:$J$504,TRUE,$K$5:$K$504,TRUE))</f>
        <v/>
      </c>
      <c r="O207" s="18">
        <f>IF(B207="","",AND(F207=AsOfWeek,AsOfWeek&lt;&gt;""))</f>
        <v/>
      </c>
      <c r="P207" s="20">
        <f>IF(OR(B207="",AsOfWeek=""),"",IFERROR(SUMIFS($M$5:$M$504,$B$5:$B$504,B207,$C$5:$C$504,C207,$L$5:$L$504,TRUE,$F$5:$F$504,"&gt;="&amp;AsOfWeek-7*(RecentWeeks-1),$F$5:$F$504,"&lt;="&amp;AsOfWeek),""))</f>
        <v/>
      </c>
      <c r="Q207" s="20">
        <f>IF(OR(B207="",AsOfWeek=""),"",IFERROR(SUMIFS($M$5:$M$504,$B$5:$B$504,B207,$C$5:$C$504,C207,$L$5:$L$504,TRUE,$F$5:$F$504,"&gt;="&amp;AsOfWeek-7*(RecentWeeks+PriorWeeks-1),$F$5:$F$504,"&lt;"&amp;AsOfWeek-7*(RecentWeeks-1)),""))</f>
        <v/>
      </c>
      <c r="R207" s="21">
        <f>IF(OR(P207="",Q207="",Q207=0),"",P207/Q207-1)</f>
        <v/>
      </c>
      <c r="S207" s="20">
        <f>IF(OR(C207="",AsOfWeek=""),"",IFERROR(AVERAGEIFS($M$5:$M$504,$C$5:$C$504,C207,$L$5:$L$504,TRUE,$F$5:$F$504,"&gt;="&amp;AsOfWeek-7*(RecentWeeks-1),$F$5:$F$504,"&lt;="&amp;AsOfWeek),""))</f>
        <v/>
      </c>
      <c r="T207" s="21">
        <f>IF(OR(P207="",S207=""),"",P207/S207-1)</f>
        <v/>
      </c>
      <c r="U207" s="22">
        <f>IF(OR(B207="",'Weekly Input'!G207="",P207="",P207=0),"",'Weekly Input'!G207/P207)</f>
        <v/>
      </c>
      <c r="V207" s="18">
        <f>IF(B207="","",IF(NOT(I207),"Not Ready",IF(NOT(K207),"Not Ready",IF(N207&lt;MinHistory,"Not Ready",IF(NOT(J207),"Not Ready",IF(OR(Q207="",Q207=0),"Noise",IF(Q207&lt;LowBaseThreshold,"Noise",IF(AND(R207&lt;=-OwnDecline,T207&lt;=-PeerGapThreshold),"Markdown Review",IF(AND(R207&gt;=ReorderUplift,U207&lt;&gt;"",U207&lt;=WeeksSupplyCap),"Reorder Candidate","Monitor"))))))))</f>
        <v/>
      </c>
      <c r="W207" s="18">
        <f>IF(B207="","",IF(NOT(I207),"INVALID_MASTER",IF(NOT(K207),"INCOMPLETE_SHELF_CYCLE",IF(N207&lt;MinHistory,"INSUFFICIENT_HISTORY",IF(NOT(J207),"INSUFFICIENT_IN_STOCK",IF(OR(Q207="",Q207=0),"NO_PRIOR_BASE",IF(Q207&lt;LowBaseThreshold,"LOW_BASE_NOISE",IF(V207="Markdown Review","MARKDOWN_PEER_GAP",IF(V207="Reorder Candidate","REORDER_UPLIFT_COVER","NO_MATERIAL_CHANGE"))))))))</f>
        <v/>
      </c>
      <c r="X207" s="18">
        <f>IF(V207="Markdown Review","Markdown support",IF(V207="Reorder Candidate","Second reorder",IF(V207="Monitor","Monitor",IF(V207="Noise","Hold / collect data",IF(V207="Not Ready","Not ready","")))))</f>
        <v/>
      </c>
      <c r="Y207" s="18">
        <f>IF(OR(R207="",T207=""),"",ABS(R207)+ABS(T207))</f>
        <v/>
      </c>
      <c r="Z207" s="21">
        <f>IF(OR(B207="",NOT(O207),R207=""),"",IF(ABS(R207)&gt;=MaterialThreshold,"Yes","No"))</f>
        <v/>
      </c>
      <c r="AA207" s="18">
        <f>IF(Z207&lt;&gt;"Yes","",IF(ABS(R207)&gt;=MaterialThreshold,IF(ABS(R207)&gt;=BroadShare,"Broad SKU movement","Store-concentrated movement"),""))</f>
        <v/>
      </c>
      <c r="AB207" s="18">
        <f>IF(O207,IF(COUNTIFS($O$5:O207,TRUE)&gt;0,COUNTIFS($O$5:O207,TRUE),0),0)</f>
        <v/>
      </c>
      <c r="AC207" s="18">
        <f>IF(V207="Markdown Review",1,IF(V207="Reorder Candidate",2,IF(V207="Monitor",3,IF(V207="Noise",4,IF(V207="Not Ready",5,99)))))</f>
        <v/>
      </c>
      <c r="AD207" s="18">
        <f>IF(O207,COUNTIFS($O$5:$O$504,TRUE,$AC$5:$AC$504,"&lt;"&amp;AC207)+COUNTIFS($O$5:O207,TRUE,$AC$5:AC207,AC207,$Y$5:Y207,"&gt;"&amp;Y207),0)</f>
        <v/>
      </c>
    </row>
    <row r="208">
      <c r="A208" s="17">
        <f>IF(COUNTA('Weekly Input'!A208:C208)=0,"",'Weekly Input'!B208&amp;"|"&amp;'Weekly Input'!C208&amp;"|"&amp;TEXT('Weekly Input'!A208,"yyyy-mm-dd"))</f>
        <v/>
      </c>
      <c r="B208" s="18">
        <f>'Weekly Input'!B208</f>
        <v/>
      </c>
      <c r="C208" s="18">
        <f>'Weekly Input'!C208</f>
        <v/>
      </c>
      <c r="D208" s="18">
        <f>IF(B208="","",IFERROR(INDEX('Master Data'!$B$6:$B$145,MATCH(B208,'Master Data'!$A$6:$A$145,0)),""))</f>
        <v/>
      </c>
      <c r="E208" s="18">
        <f>IF(C208="","",IFERROR(INDEX('Master Data'!$H$6:$H$13,MATCH(C208,'Master Data'!$F$6:$F$13,0)),""))</f>
        <v/>
      </c>
      <c r="F208" s="19">
        <f>'Weekly Input'!A208</f>
        <v/>
      </c>
      <c r="G208" s="19">
        <f>IF(B208="","",IFERROR(INDEX('Master Data'!$D$6:$D$145,MATCH(B208,'Master Data'!$A$6:$A$145,0)),""))</f>
        <v/>
      </c>
      <c r="H208" s="18">
        <f>IF(OR(F208="",G208=""),"",F208-G208)</f>
        <v/>
      </c>
      <c r="I208" s="18">
        <f>IF(B208="","",IF('Weekly Input'!J208="OK",TRUE,FALSE))</f>
        <v/>
      </c>
      <c r="J208" s="18">
        <f>IF(B208="","",'Weekly Input'!H208&gt;=MinInStockDays)</f>
        <v/>
      </c>
      <c r="K208" s="18">
        <f>IF(B208="","",H208&gt;=FullCycleMin)</f>
        <v/>
      </c>
      <c r="L208" s="18">
        <f>IF(B208="","",AND(I208,J208,K208,N208&gt;=MinHistory))</f>
        <v/>
      </c>
      <c r="M208" s="20">
        <f>IF(OR(B208="",'Weekly Input'!H208=0),"",'Weekly Input'!D208/'Weekly Input'!H208*7)</f>
        <v/>
      </c>
      <c r="N208" s="18">
        <f>IF(B208="","",COUNTIFS($B$5:$B$504,B208,$C$5:$C$504,C208,$I$5:$I$504,TRUE,$J$5:$J$504,TRUE,$K$5:$K$504,TRUE))</f>
        <v/>
      </c>
      <c r="O208" s="18">
        <f>IF(B208="","",AND(F208=AsOfWeek,AsOfWeek&lt;&gt;""))</f>
        <v/>
      </c>
      <c r="P208" s="20">
        <f>IF(OR(B208="",AsOfWeek=""),"",IFERROR(SUMIFS($M$5:$M$504,$B$5:$B$504,B208,$C$5:$C$504,C208,$L$5:$L$504,TRUE,$F$5:$F$504,"&gt;="&amp;AsOfWeek-7*(RecentWeeks-1),$F$5:$F$504,"&lt;="&amp;AsOfWeek),""))</f>
        <v/>
      </c>
      <c r="Q208" s="20">
        <f>IF(OR(B208="",AsOfWeek=""),"",IFERROR(SUMIFS($M$5:$M$504,$B$5:$B$504,B208,$C$5:$C$504,C208,$L$5:$L$504,TRUE,$F$5:$F$504,"&gt;="&amp;AsOfWeek-7*(RecentWeeks+PriorWeeks-1),$F$5:$F$504,"&lt;"&amp;AsOfWeek-7*(RecentWeeks-1)),""))</f>
        <v/>
      </c>
      <c r="R208" s="21">
        <f>IF(OR(P208="",Q208="",Q208=0),"",P208/Q208-1)</f>
        <v/>
      </c>
      <c r="S208" s="20">
        <f>IF(OR(C208="",AsOfWeek=""),"",IFERROR(AVERAGEIFS($M$5:$M$504,$C$5:$C$504,C208,$L$5:$L$504,TRUE,$F$5:$F$504,"&gt;="&amp;AsOfWeek-7*(RecentWeeks-1),$F$5:$F$504,"&lt;="&amp;AsOfWeek),""))</f>
        <v/>
      </c>
      <c r="T208" s="21">
        <f>IF(OR(P208="",S208=""),"",P208/S208-1)</f>
        <v/>
      </c>
      <c r="U208" s="22">
        <f>IF(OR(B208="",'Weekly Input'!G208="",P208="",P208=0),"",'Weekly Input'!G208/P208)</f>
        <v/>
      </c>
      <c r="V208" s="18">
        <f>IF(B208="","",IF(NOT(I208),"Not Ready",IF(NOT(K208),"Not Ready",IF(N208&lt;MinHistory,"Not Ready",IF(NOT(J208),"Not Ready",IF(OR(Q208="",Q208=0),"Noise",IF(Q208&lt;LowBaseThreshold,"Noise",IF(AND(R208&lt;=-OwnDecline,T208&lt;=-PeerGapThreshold),"Markdown Review",IF(AND(R208&gt;=ReorderUplift,U208&lt;&gt;"",U208&lt;=WeeksSupplyCap),"Reorder Candidate","Monitor"))))))))</f>
        <v/>
      </c>
      <c r="W208" s="18">
        <f>IF(B208="","",IF(NOT(I208),"INVALID_MASTER",IF(NOT(K208),"INCOMPLETE_SHELF_CYCLE",IF(N208&lt;MinHistory,"INSUFFICIENT_HISTORY",IF(NOT(J208),"INSUFFICIENT_IN_STOCK",IF(OR(Q208="",Q208=0),"NO_PRIOR_BASE",IF(Q208&lt;LowBaseThreshold,"LOW_BASE_NOISE",IF(V208="Markdown Review","MARKDOWN_PEER_GAP",IF(V208="Reorder Candidate","REORDER_UPLIFT_COVER","NO_MATERIAL_CHANGE"))))))))</f>
        <v/>
      </c>
      <c r="X208" s="18">
        <f>IF(V208="Markdown Review","Markdown support",IF(V208="Reorder Candidate","Second reorder",IF(V208="Monitor","Monitor",IF(V208="Noise","Hold / collect data",IF(V208="Not Ready","Not ready","")))))</f>
        <v/>
      </c>
      <c r="Y208" s="18">
        <f>IF(OR(R208="",T208=""),"",ABS(R208)+ABS(T208))</f>
        <v/>
      </c>
      <c r="Z208" s="21">
        <f>IF(OR(B208="",NOT(O208),R208=""),"",IF(ABS(R208)&gt;=MaterialThreshold,"Yes","No"))</f>
        <v/>
      </c>
      <c r="AA208" s="18">
        <f>IF(Z208&lt;&gt;"Yes","",IF(ABS(R208)&gt;=MaterialThreshold,IF(ABS(R208)&gt;=BroadShare,"Broad SKU movement","Store-concentrated movement"),""))</f>
        <v/>
      </c>
      <c r="AB208" s="18">
        <f>IF(O208,IF(COUNTIFS($O$5:O208,TRUE)&gt;0,COUNTIFS($O$5:O208,TRUE),0),0)</f>
        <v/>
      </c>
      <c r="AC208" s="18">
        <f>IF(V208="Markdown Review",1,IF(V208="Reorder Candidate",2,IF(V208="Monitor",3,IF(V208="Noise",4,IF(V208="Not Ready",5,99)))))</f>
        <v/>
      </c>
      <c r="AD208" s="18">
        <f>IF(O208,COUNTIFS($O$5:$O$504,TRUE,$AC$5:$AC$504,"&lt;"&amp;AC208)+COUNTIFS($O$5:O208,TRUE,$AC$5:AC208,AC208,$Y$5:Y208,"&gt;"&amp;Y208),0)</f>
        <v/>
      </c>
    </row>
    <row r="209">
      <c r="A209" s="17">
        <f>IF(COUNTA('Weekly Input'!A209:C209)=0,"",'Weekly Input'!B209&amp;"|"&amp;'Weekly Input'!C209&amp;"|"&amp;TEXT('Weekly Input'!A209,"yyyy-mm-dd"))</f>
        <v/>
      </c>
      <c r="B209" s="18">
        <f>'Weekly Input'!B209</f>
        <v/>
      </c>
      <c r="C209" s="18">
        <f>'Weekly Input'!C209</f>
        <v/>
      </c>
      <c r="D209" s="18">
        <f>IF(B209="","",IFERROR(INDEX('Master Data'!$B$6:$B$145,MATCH(B209,'Master Data'!$A$6:$A$145,0)),""))</f>
        <v/>
      </c>
      <c r="E209" s="18">
        <f>IF(C209="","",IFERROR(INDEX('Master Data'!$H$6:$H$13,MATCH(C209,'Master Data'!$F$6:$F$13,0)),""))</f>
        <v/>
      </c>
      <c r="F209" s="19">
        <f>'Weekly Input'!A209</f>
        <v/>
      </c>
      <c r="G209" s="19">
        <f>IF(B209="","",IFERROR(INDEX('Master Data'!$D$6:$D$145,MATCH(B209,'Master Data'!$A$6:$A$145,0)),""))</f>
        <v/>
      </c>
      <c r="H209" s="18">
        <f>IF(OR(F209="",G209=""),"",F209-G209)</f>
        <v/>
      </c>
      <c r="I209" s="18">
        <f>IF(B209="","",IF('Weekly Input'!J209="OK",TRUE,FALSE))</f>
        <v/>
      </c>
      <c r="J209" s="18">
        <f>IF(B209="","",'Weekly Input'!H209&gt;=MinInStockDays)</f>
        <v/>
      </c>
      <c r="K209" s="18">
        <f>IF(B209="","",H209&gt;=FullCycleMin)</f>
        <v/>
      </c>
      <c r="L209" s="18">
        <f>IF(B209="","",AND(I209,J209,K209,N209&gt;=MinHistory))</f>
        <v/>
      </c>
      <c r="M209" s="20">
        <f>IF(OR(B209="",'Weekly Input'!H209=0),"",'Weekly Input'!D209/'Weekly Input'!H209*7)</f>
        <v/>
      </c>
      <c r="N209" s="18">
        <f>IF(B209="","",COUNTIFS($B$5:$B$504,B209,$C$5:$C$504,C209,$I$5:$I$504,TRUE,$J$5:$J$504,TRUE,$K$5:$K$504,TRUE))</f>
        <v/>
      </c>
      <c r="O209" s="18">
        <f>IF(B209="","",AND(F209=AsOfWeek,AsOfWeek&lt;&gt;""))</f>
        <v/>
      </c>
      <c r="P209" s="20">
        <f>IF(OR(B209="",AsOfWeek=""),"",IFERROR(SUMIFS($M$5:$M$504,$B$5:$B$504,B209,$C$5:$C$504,C209,$L$5:$L$504,TRUE,$F$5:$F$504,"&gt;="&amp;AsOfWeek-7*(RecentWeeks-1),$F$5:$F$504,"&lt;="&amp;AsOfWeek),""))</f>
        <v/>
      </c>
      <c r="Q209" s="20">
        <f>IF(OR(B209="",AsOfWeek=""),"",IFERROR(SUMIFS($M$5:$M$504,$B$5:$B$504,B209,$C$5:$C$504,C209,$L$5:$L$504,TRUE,$F$5:$F$504,"&gt;="&amp;AsOfWeek-7*(RecentWeeks+PriorWeeks-1),$F$5:$F$504,"&lt;"&amp;AsOfWeek-7*(RecentWeeks-1)),""))</f>
        <v/>
      </c>
      <c r="R209" s="21">
        <f>IF(OR(P209="",Q209="",Q209=0),"",P209/Q209-1)</f>
        <v/>
      </c>
      <c r="S209" s="20">
        <f>IF(OR(C209="",AsOfWeek=""),"",IFERROR(AVERAGEIFS($M$5:$M$504,$C$5:$C$504,C209,$L$5:$L$504,TRUE,$F$5:$F$504,"&gt;="&amp;AsOfWeek-7*(RecentWeeks-1),$F$5:$F$504,"&lt;="&amp;AsOfWeek),""))</f>
        <v/>
      </c>
      <c r="T209" s="21">
        <f>IF(OR(P209="",S209=""),"",P209/S209-1)</f>
        <v/>
      </c>
      <c r="U209" s="22">
        <f>IF(OR(B209="",'Weekly Input'!G209="",P209="",P209=0),"",'Weekly Input'!G209/P209)</f>
        <v/>
      </c>
      <c r="V209" s="18">
        <f>IF(B209="","",IF(NOT(I209),"Not Ready",IF(NOT(K209),"Not Ready",IF(N209&lt;MinHistory,"Not Ready",IF(NOT(J209),"Not Ready",IF(OR(Q209="",Q209=0),"Noise",IF(Q209&lt;LowBaseThreshold,"Noise",IF(AND(R209&lt;=-OwnDecline,T209&lt;=-PeerGapThreshold),"Markdown Review",IF(AND(R209&gt;=ReorderUplift,U209&lt;&gt;"",U209&lt;=WeeksSupplyCap),"Reorder Candidate","Monitor"))))))))</f>
        <v/>
      </c>
      <c r="W209" s="18">
        <f>IF(B209="","",IF(NOT(I209),"INVALID_MASTER",IF(NOT(K209),"INCOMPLETE_SHELF_CYCLE",IF(N209&lt;MinHistory,"INSUFFICIENT_HISTORY",IF(NOT(J209),"INSUFFICIENT_IN_STOCK",IF(OR(Q209="",Q209=0),"NO_PRIOR_BASE",IF(Q209&lt;LowBaseThreshold,"LOW_BASE_NOISE",IF(V209="Markdown Review","MARKDOWN_PEER_GAP",IF(V209="Reorder Candidate","REORDER_UPLIFT_COVER","NO_MATERIAL_CHANGE"))))))))</f>
        <v/>
      </c>
      <c r="X209" s="18">
        <f>IF(V209="Markdown Review","Markdown support",IF(V209="Reorder Candidate","Second reorder",IF(V209="Monitor","Monitor",IF(V209="Noise","Hold / collect data",IF(V209="Not Ready","Not ready","")))))</f>
        <v/>
      </c>
      <c r="Y209" s="18">
        <f>IF(OR(R209="",T209=""),"",ABS(R209)+ABS(T209))</f>
        <v/>
      </c>
      <c r="Z209" s="21">
        <f>IF(OR(B209="",NOT(O209),R209=""),"",IF(ABS(R209)&gt;=MaterialThreshold,"Yes","No"))</f>
        <v/>
      </c>
      <c r="AA209" s="18">
        <f>IF(Z209&lt;&gt;"Yes","",IF(ABS(R209)&gt;=MaterialThreshold,IF(ABS(R209)&gt;=BroadShare,"Broad SKU movement","Store-concentrated movement"),""))</f>
        <v/>
      </c>
      <c r="AB209" s="18">
        <f>IF(O209,IF(COUNTIFS($O$5:O209,TRUE)&gt;0,COUNTIFS($O$5:O209,TRUE),0),0)</f>
        <v/>
      </c>
      <c r="AC209" s="18">
        <f>IF(V209="Markdown Review",1,IF(V209="Reorder Candidate",2,IF(V209="Monitor",3,IF(V209="Noise",4,IF(V209="Not Ready",5,99)))))</f>
        <v/>
      </c>
      <c r="AD209" s="18">
        <f>IF(O209,COUNTIFS($O$5:$O$504,TRUE,$AC$5:$AC$504,"&lt;"&amp;AC209)+COUNTIFS($O$5:O209,TRUE,$AC$5:AC209,AC209,$Y$5:Y209,"&gt;"&amp;Y209),0)</f>
        <v/>
      </c>
    </row>
    <row r="210">
      <c r="A210" s="17">
        <f>IF(COUNTA('Weekly Input'!A210:C210)=0,"",'Weekly Input'!B210&amp;"|"&amp;'Weekly Input'!C210&amp;"|"&amp;TEXT('Weekly Input'!A210,"yyyy-mm-dd"))</f>
        <v/>
      </c>
      <c r="B210" s="18">
        <f>'Weekly Input'!B210</f>
        <v/>
      </c>
      <c r="C210" s="18">
        <f>'Weekly Input'!C210</f>
        <v/>
      </c>
      <c r="D210" s="18">
        <f>IF(B210="","",IFERROR(INDEX('Master Data'!$B$6:$B$145,MATCH(B210,'Master Data'!$A$6:$A$145,0)),""))</f>
        <v/>
      </c>
      <c r="E210" s="18">
        <f>IF(C210="","",IFERROR(INDEX('Master Data'!$H$6:$H$13,MATCH(C210,'Master Data'!$F$6:$F$13,0)),""))</f>
        <v/>
      </c>
      <c r="F210" s="19">
        <f>'Weekly Input'!A210</f>
        <v/>
      </c>
      <c r="G210" s="19">
        <f>IF(B210="","",IFERROR(INDEX('Master Data'!$D$6:$D$145,MATCH(B210,'Master Data'!$A$6:$A$145,0)),""))</f>
        <v/>
      </c>
      <c r="H210" s="18">
        <f>IF(OR(F210="",G210=""),"",F210-G210)</f>
        <v/>
      </c>
      <c r="I210" s="18">
        <f>IF(B210="","",IF('Weekly Input'!J210="OK",TRUE,FALSE))</f>
        <v/>
      </c>
      <c r="J210" s="18">
        <f>IF(B210="","",'Weekly Input'!H210&gt;=MinInStockDays)</f>
        <v/>
      </c>
      <c r="K210" s="18">
        <f>IF(B210="","",H210&gt;=FullCycleMin)</f>
        <v/>
      </c>
      <c r="L210" s="18">
        <f>IF(B210="","",AND(I210,J210,K210,N210&gt;=MinHistory))</f>
        <v/>
      </c>
      <c r="M210" s="20">
        <f>IF(OR(B210="",'Weekly Input'!H210=0),"",'Weekly Input'!D210/'Weekly Input'!H210*7)</f>
        <v/>
      </c>
      <c r="N210" s="18">
        <f>IF(B210="","",COUNTIFS($B$5:$B$504,B210,$C$5:$C$504,C210,$I$5:$I$504,TRUE,$J$5:$J$504,TRUE,$K$5:$K$504,TRUE))</f>
        <v/>
      </c>
      <c r="O210" s="18">
        <f>IF(B210="","",AND(F210=AsOfWeek,AsOfWeek&lt;&gt;""))</f>
        <v/>
      </c>
      <c r="P210" s="20">
        <f>IF(OR(B210="",AsOfWeek=""),"",IFERROR(SUMIFS($M$5:$M$504,$B$5:$B$504,B210,$C$5:$C$504,C210,$L$5:$L$504,TRUE,$F$5:$F$504,"&gt;="&amp;AsOfWeek-7*(RecentWeeks-1),$F$5:$F$504,"&lt;="&amp;AsOfWeek),""))</f>
        <v/>
      </c>
      <c r="Q210" s="20">
        <f>IF(OR(B210="",AsOfWeek=""),"",IFERROR(SUMIFS($M$5:$M$504,$B$5:$B$504,B210,$C$5:$C$504,C210,$L$5:$L$504,TRUE,$F$5:$F$504,"&gt;="&amp;AsOfWeek-7*(RecentWeeks+PriorWeeks-1),$F$5:$F$504,"&lt;"&amp;AsOfWeek-7*(RecentWeeks-1)),""))</f>
        <v/>
      </c>
      <c r="R210" s="21">
        <f>IF(OR(P210="",Q210="",Q210=0),"",P210/Q210-1)</f>
        <v/>
      </c>
      <c r="S210" s="20">
        <f>IF(OR(C210="",AsOfWeek=""),"",IFERROR(AVERAGEIFS($M$5:$M$504,$C$5:$C$504,C210,$L$5:$L$504,TRUE,$F$5:$F$504,"&gt;="&amp;AsOfWeek-7*(RecentWeeks-1),$F$5:$F$504,"&lt;="&amp;AsOfWeek),""))</f>
        <v/>
      </c>
      <c r="T210" s="21">
        <f>IF(OR(P210="",S210=""),"",P210/S210-1)</f>
        <v/>
      </c>
      <c r="U210" s="22">
        <f>IF(OR(B210="",'Weekly Input'!G210="",P210="",P210=0),"",'Weekly Input'!G210/P210)</f>
        <v/>
      </c>
      <c r="V210" s="18">
        <f>IF(B210="","",IF(NOT(I210),"Not Ready",IF(NOT(K210),"Not Ready",IF(N210&lt;MinHistory,"Not Ready",IF(NOT(J210),"Not Ready",IF(OR(Q210="",Q210=0),"Noise",IF(Q210&lt;LowBaseThreshold,"Noise",IF(AND(R210&lt;=-OwnDecline,T210&lt;=-PeerGapThreshold),"Markdown Review",IF(AND(R210&gt;=ReorderUplift,U210&lt;&gt;"",U210&lt;=WeeksSupplyCap),"Reorder Candidate","Monitor"))))))))</f>
        <v/>
      </c>
      <c r="W210" s="18">
        <f>IF(B210="","",IF(NOT(I210),"INVALID_MASTER",IF(NOT(K210),"INCOMPLETE_SHELF_CYCLE",IF(N210&lt;MinHistory,"INSUFFICIENT_HISTORY",IF(NOT(J210),"INSUFFICIENT_IN_STOCK",IF(OR(Q210="",Q210=0),"NO_PRIOR_BASE",IF(Q210&lt;LowBaseThreshold,"LOW_BASE_NOISE",IF(V210="Markdown Review","MARKDOWN_PEER_GAP",IF(V210="Reorder Candidate","REORDER_UPLIFT_COVER","NO_MATERIAL_CHANGE"))))))))</f>
        <v/>
      </c>
      <c r="X210" s="18">
        <f>IF(V210="Markdown Review","Markdown support",IF(V210="Reorder Candidate","Second reorder",IF(V210="Monitor","Monitor",IF(V210="Noise","Hold / collect data",IF(V210="Not Ready","Not ready","")))))</f>
        <v/>
      </c>
      <c r="Y210" s="18">
        <f>IF(OR(R210="",T210=""),"",ABS(R210)+ABS(T210))</f>
        <v/>
      </c>
      <c r="Z210" s="21">
        <f>IF(OR(B210="",NOT(O210),R210=""),"",IF(ABS(R210)&gt;=MaterialThreshold,"Yes","No"))</f>
        <v/>
      </c>
      <c r="AA210" s="18">
        <f>IF(Z210&lt;&gt;"Yes","",IF(ABS(R210)&gt;=MaterialThreshold,IF(ABS(R210)&gt;=BroadShare,"Broad SKU movement","Store-concentrated movement"),""))</f>
        <v/>
      </c>
      <c r="AB210" s="18">
        <f>IF(O210,IF(COUNTIFS($O$5:O210,TRUE)&gt;0,COUNTIFS($O$5:O210,TRUE),0),0)</f>
        <v/>
      </c>
      <c r="AC210" s="18">
        <f>IF(V210="Markdown Review",1,IF(V210="Reorder Candidate",2,IF(V210="Monitor",3,IF(V210="Noise",4,IF(V210="Not Ready",5,99)))))</f>
        <v/>
      </c>
      <c r="AD210" s="18">
        <f>IF(O210,COUNTIFS($O$5:$O$504,TRUE,$AC$5:$AC$504,"&lt;"&amp;AC210)+COUNTIFS($O$5:O210,TRUE,$AC$5:AC210,AC210,$Y$5:Y210,"&gt;"&amp;Y210),0)</f>
        <v/>
      </c>
    </row>
    <row r="211">
      <c r="A211" s="17">
        <f>IF(COUNTA('Weekly Input'!A211:C211)=0,"",'Weekly Input'!B211&amp;"|"&amp;'Weekly Input'!C211&amp;"|"&amp;TEXT('Weekly Input'!A211,"yyyy-mm-dd"))</f>
        <v/>
      </c>
      <c r="B211" s="18">
        <f>'Weekly Input'!B211</f>
        <v/>
      </c>
      <c r="C211" s="18">
        <f>'Weekly Input'!C211</f>
        <v/>
      </c>
      <c r="D211" s="18">
        <f>IF(B211="","",IFERROR(INDEX('Master Data'!$B$6:$B$145,MATCH(B211,'Master Data'!$A$6:$A$145,0)),""))</f>
        <v/>
      </c>
      <c r="E211" s="18">
        <f>IF(C211="","",IFERROR(INDEX('Master Data'!$H$6:$H$13,MATCH(C211,'Master Data'!$F$6:$F$13,0)),""))</f>
        <v/>
      </c>
      <c r="F211" s="19">
        <f>'Weekly Input'!A211</f>
        <v/>
      </c>
      <c r="G211" s="19">
        <f>IF(B211="","",IFERROR(INDEX('Master Data'!$D$6:$D$145,MATCH(B211,'Master Data'!$A$6:$A$145,0)),""))</f>
        <v/>
      </c>
      <c r="H211" s="18">
        <f>IF(OR(F211="",G211=""),"",F211-G211)</f>
        <v/>
      </c>
      <c r="I211" s="18">
        <f>IF(B211="","",IF('Weekly Input'!J211="OK",TRUE,FALSE))</f>
        <v/>
      </c>
      <c r="J211" s="18">
        <f>IF(B211="","",'Weekly Input'!H211&gt;=MinInStockDays)</f>
        <v/>
      </c>
      <c r="K211" s="18">
        <f>IF(B211="","",H211&gt;=FullCycleMin)</f>
        <v/>
      </c>
      <c r="L211" s="18">
        <f>IF(B211="","",AND(I211,J211,K211,N211&gt;=MinHistory))</f>
        <v/>
      </c>
      <c r="M211" s="20">
        <f>IF(OR(B211="",'Weekly Input'!H211=0),"",'Weekly Input'!D211/'Weekly Input'!H211*7)</f>
        <v/>
      </c>
      <c r="N211" s="18">
        <f>IF(B211="","",COUNTIFS($B$5:$B$504,B211,$C$5:$C$504,C211,$I$5:$I$504,TRUE,$J$5:$J$504,TRUE,$K$5:$K$504,TRUE))</f>
        <v/>
      </c>
      <c r="O211" s="18">
        <f>IF(B211="","",AND(F211=AsOfWeek,AsOfWeek&lt;&gt;""))</f>
        <v/>
      </c>
      <c r="P211" s="20">
        <f>IF(OR(B211="",AsOfWeek=""),"",IFERROR(SUMIFS($M$5:$M$504,$B$5:$B$504,B211,$C$5:$C$504,C211,$L$5:$L$504,TRUE,$F$5:$F$504,"&gt;="&amp;AsOfWeek-7*(RecentWeeks-1),$F$5:$F$504,"&lt;="&amp;AsOfWeek),""))</f>
        <v/>
      </c>
      <c r="Q211" s="20">
        <f>IF(OR(B211="",AsOfWeek=""),"",IFERROR(SUMIFS($M$5:$M$504,$B$5:$B$504,B211,$C$5:$C$504,C211,$L$5:$L$504,TRUE,$F$5:$F$504,"&gt;="&amp;AsOfWeek-7*(RecentWeeks+PriorWeeks-1),$F$5:$F$504,"&lt;"&amp;AsOfWeek-7*(RecentWeeks-1)),""))</f>
        <v/>
      </c>
      <c r="R211" s="21">
        <f>IF(OR(P211="",Q211="",Q211=0),"",P211/Q211-1)</f>
        <v/>
      </c>
      <c r="S211" s="20">
        <f>IF(OR(C211="",AsOfWeek=""),"",IFERROR(AVERAGEIFS($M$5:$M$504,$C$5:$C$504,C211,$L$5:$L$504,TRUE,$F$5:$F$504,"&gt;="&amp;AsOfWeek-7*(RecentWeeks-1),$F$5:$F$504,"&lt;="&amp;AsOfWeek),""))</f>
        <v/>
      </c>
      <c r="T211" s="21">
        <f>IF(OR(P211="",S211=""),"",P211/S211-1)</f>
        <v/>
      </c>
      <c r="U211" s="22">
        <f>IF(OR(B211="",'Weekly Input'!G211="",P211="",P211=0),"",'Weekly Input'!G211/P211)</f>
        <v/>
      </c>
      <c r="V211" s="18">
        <f>IF(B211="","",IF(NOT(I211),"Not Ready",IF(NOT(K211),"Not Ready",IF(N211&lt;MinHistory,"Not Ready",IF(NOT(J211),"Not Ready",IF(OR(Q211="",Q211=0),"Noise",IF(Q211&lt;LowBaseThreshold,"Noise",IF(AND(R211&lt;=-OwnDecline,T211&lt;=-PeerGapThreshold),"Markdown Review",IF(AND(R211&gt;=ReorderUplift,U211&lt;&gt;"",U211&lt;=WeeksSupplyCap),"Reorder Candidate","Monitor"))))))))</f>
        <v/>
      </c>
      <c r="W211" s="18">
        <f>IF(B211="","",IF(NOT(I211),"INVALID_MASTER",IF(NOT(K211),"INCOMPLETE_SHELF_CYCLE",IF(N211&lt;MinHistory,"INSUFFICIENT_HISTORY",IF(NOT(J211),"INSUFFICIENT_IN_STOCK",IF(OR(Q211="",Q211=0),"NO_PRIOR_BASE",IF(Q211&lt;LowBaseThreshold,"LOW_BASE_NOISE",IF(V211="Markdown Review","MARKDOWN_PEER_GAP",IF(V211="Reorder Candidate","REORDER_UPLIFT_COVER","NO_MATERIAL_CHANGE"))))))))</f>
        <v/>
      </c>
      <c r="X211" s="18">
        <f>IF(V211="Markdown Review","Markdown support",IF(V211="Reorder Candidate","Second reorder",IF(V211="Monitor","Monitor",IF(V211="Noise","Hold / collect data",IF(V211="Not Ready","Not ready","")))))</f>
        <v/>
      </c>
      <c r="Y211" s="18">
        <f>IF(OR(R211="",T211=""),"",ABS(R211)+ABS(T211))</f>
        <v/>
      </c>
      <c r="Z211" s="21">
        <f>IF(OR(B211="",NOT(O211),R211=""),"",IF(ABS(R211)&gt;=MaterialThreshold,"Yes","No"))</f>
        <v/>
      </c>
      <c r="AA211" s="18">
        <f>IF(Z211&lt;&gt;"Yes","",IF(ABS(R211)&gt;=MaterialThreshold,IF(ABS(R211)&gt;=BroadShare,"Broad SKU movement","Store-concentrated movement"),""))</f>
        <v/>
      </c>
      <c r="AB211" s="18">
        <f>IF(O211,IF(COUNTIFS($O$5:O211,TRUE)&gt;0,COUNTIFS($O$5:O211,TRUE),0),0)</f>
        <v/>
      </c>
      <c r="AC211" s="18">
        <f>IF(V211="Markdown Review",1,IF(V211="Reorder Candidate",2,IF(V211="Monitor",3,IF(V211="Noise",4,IF(V211="Not Ready",5,99)))))</f>
        <v/>
      </c>
      <c r="AD211" s="18">
        <f>IF(O211,COUNTIFS($O$5:$O$504,TRUE,$AC$5:$AC$504,"&lt;"&amp;AC211)+COUNTIFS($O$5:O211,TRUE,$AC$5:AC211,AC211,$Y$5:Y211,"&gt;"&amp;Y211),0)</f>
        <v/>
      </c>
    </row>
    <row r="212">
      <c r="A212" s="17">
        <f>IF(COUNTA('Weekly Input'!A212:C212)=0,"",'Weekly Input'!B212&amp;"|"&amp;'Weekly Input'!C212&amp;"|"&amp;TEXT('Weekly Input'!A212,"yyyy-mm-dd"))</f>
        <v/>
      </c>
      <c r="B212" s="18">
        <f>'Weekly Input'!B212</f>
        <v/>
      </c>
      <c r="C212" s="18">
        <f>'Weekly Input'!C212</f>
        <v/>
      </c>
      <c r="D212" s="18">
        <f>IF(B212="","",IFERROR(INDEX('Master Data'!$B$6:$B$145,MATCH(B212,'Master Data'!$A$6:$A$145,0)),""))</f>
        <v/>
      </c>
      <c r="E212" s="18">
        <f>IF(C212="","",IFERROR(INDEX('Master Data'!$H$6:$H$13,MATCH(C212,'Master Data'!$F$6:$F$13,0)),""))</f>
        <v/>
      </c>
      <c r="F212" s="19">
        <f>'Weekly Input'!A212</f>
        <v/>
      </c>
      <c r="G212" s="19">
        <f>IF(B212="","",IFERROR(INDEX('Master Data'!$D$6:$D$145,MATCH(B212,'Master Data'!$A$6:$A$145,0)),""))</f>
        <v/>
      </c>
      <c r="H212" s="18">
        <f>IF(OR(F212="",G212=""),"",F212-G212)</f>
        <v/>
      </c>
      <c r="I212" s="18">
        <f>IF(B212="","",IF('Weekly Input'!J212="OK",TRUE,FALSE))</f>
        <v/>
      </c>
      <c r="J212" s="18">
        <f>IF(B212="","",'Weekly Input'!H212&gt;=MinInStockDays)</f>
        <v/>
      </c>
      <c r="K212" s="18">
        <f>IF(B212="","",H212&gt;=FullCycleMin)</f>
        <v/>
      </c>
      <c r="L212" s="18">
        <f>IF(B212="","",AND(I212,J212,K212,N212&gt;=MinHistory))</f>
        <v/>
      </c>
      <c r="M212" s="20">
        <f>IF(OR(B212="",'Weekly Input'!H212=0),"",'Weekly Input'!D212/'Weekly Input'!H212*7)</f>
        <v/>
      </c>
      <c r="N212" s="18">
        <f>IF(B212="","",COUNTIFS($B$5:$B$504,B212,$C$5:$C$504,C212,$I$5:$I$504,TRUE,$J$5:$J$504,TRUE,$K$5:$K$504,TRUE))</f>
        <v/>
      </c>
      <c r="O212" s="18">
        <f>IF(B212="","",AND(F212=AsOfWeek,AsOfWeek&lt;&gt;""))</f>
        <v/>
      </c>
      <c r="P212" s="20">
        <f>IF(OR(B212="",AsOfWeek=""),"",IFERROR(SUMIFS($M$5:$M$504,$B$5:$B$504,B212,$C$5:$C$504,C212,$L$5:$L$504,TRUE,$F$5:$F$504,"&gt;="&amp;AsOfWeek-7*(RecentWeeks-1),$F$5:$F$504,"&lt;="&amp;AsOfWeek),""))</f>
        <v/>
      </c>
      <c r="Q212" s="20">
        <f>IF(OR(B212="",AsOfWeek=""),"",IFERROR(SUMIFS($M$5:$M$504,$B$5:$B$504,B212,$C$5:$C$504,C212,$L$5:$L$504,TRUE,$F$5:$F$504,"&gt;="&amp;AsOfWeek-7*(RecentWeeks+PriorWeeks-1),$F$5:$F$504,"&lt;"&amp;AsOfWeek-7*(RecentWeeks-1)),""))</f>
        <v/>
      </c>
      <c r="R212" s="21">
        <f>IF(OR(P212="",Q212="",Q212=0),"",P212/Q212-1)</f>
        <v/>
      </c>
      <c r="S212" s="20">
        <f>IF(OR(C212="",AsOfWeek=""),"",IFERROR(AVERAGEIFS($M$5:$M$504,$C$5:$C$504,C212,$L$5:$L$504,TRUE,$F$5:$F$504,"&gt;="&amp;AsOfWeek-7*(RecentWeeks-1),$F$5:$F$504,"&lt;="&amp;AsOfWeek),""))</f>
        <v/>
      </c>
      <c r="T212" s="21">
        <f>IF(OR(P212="",S212=""),"",P212/S212-1)</f>
        <v/>
      </c>
      <c r="U212" s="22">
        <f>IF(OR(B212="",'Weekly Input'!G212="",P212="",P212=0),"",'Weekly Input'!G212/P212)</f>
        <v/>
      </c>
      <c r="V212" s="18">
        <f>IF(B212="","",IF(NOT(I212),"Not Ready",IF(NOT(K212),"Not Ready",IF(N212&lt;MinHistory,"Not Ready",IF(NOT(J212),"Not Ready",IF(OR(Q212="",Q212=0),"Noise",IF(Q212&lt;LowBaseThreshold,"Noise",IF(AND(R212&lt;=-OwnDecline,T212&lt;=-PeerGapThreshold),"Markdown Review",IF(AND(R212&gt;=ReorderUplift,U212&lt;&gt;"",U212&lt;=WeeksSupplyCap),"Reorder Candidate","Monitor"))))))))</f>
        <v/>
      </c>
      <c r="W212" s="18">
        <f>IF(B212="","",IF(NOT(I212),"INVALID_MASTER",IF(NOT(K212),"INCOMPLETE_SHELF_CYCLE",IF(N212&lt;MinHistory,"INSUFFICIENT_HISTORY",IF(NOT(J212),"INSUFFICIENT_IN_STOCK",IF(OR(Q212="",Q212=0),"NO_PRIOR_BASE",IF(Q212&lt;LowBaseThreshold,"LOW_BASE_NOISE",IF(V212="Markdown Review","MARKDOWN_PEER_GAP",IF(V212="Reorder Candidate","REORDER_UPLIFT_COVER","NO_MATERIAL_CHANGE"))))))))</f>
        <v/>
      </c>
      <c r="X212" s="18">
        <f>IF(V212="Markdown Review","Markdown support",IF(V212="Reorder Candidate","Second reorder",IF(V212="Monitor","Monitor",IF(V212="Noise","Hold / collect data",IF(V212="Not Ready","Not ready","")))))</f>
        <v/>
      </c>
      <c r="Y212" s="18">
        <f>IF(OR(R212="",T212=""),"",ABS(R212)+ABS(T212))</f>
        <v/>
      </c>
      <c r="Z212" s="21">
        <f>IF(OR(B212="",NOT(O212),R212=""),"",IF(ABS(R212)&gt;=MaterialThreshold,"Yes","No"))</f>
        <v/>
      </c>
      <c r="AA212" s="18">
        <f>IF(Z212&lt;&gt;"Yes","",IF(ABS(R212)&gt;=MaterialThreshold,IF(ABS(R212)&gt;=BroadShare,"Broad SKU movement","Store-concentrated movement"),""))</f>
        <v/>
      </c>
      <c r="AB212" s="18">
        <f>IF(O212,IF(COUNTIFS($O$5:O212,TRUE)&gt;0,COUNTIFS($O$5:O212,TRUE),0),0)</f>
        <v/>
      </c>
      <c r="AC212" s="18">
        <f>IF(V212="Markdown Review",1,IF(V212="Reorder Candidate",2,IF(V212="Monitor",3,IF(V212="Noise",4,IF(V212="Not Ready",5,99)))))</f>
        <v/>
      </c>
      <c r="AD212" s="18">
        <f>IF(O212,COUNTIFS($O$5:$O$504,TRUE,$AC$5:$AC$504,"&lt;"&amp;AC212)+COUNTIFS($O$5:O212,TRUE,$AC$5:AC212,AC212,$Y$5:Y212,"&gt;"&amp;Y212),0)</f>
        <v/>
      </c>
    </row>
    <row r="213">
      <c r="A213" s="17">
        <f>IF(COUNTA('Weekly Input'!A213:C213)=0,"",'Weekly Input'!B213&amp;"|"&amp;'Weekly Input'!C213&amp;"|"&amp;TEXT('Weekly Input'!A213,"yyyy-mm-dd"))</f>
        <v/>
      </c>
      <c r="B213" s="18">
        <f>'Weekly Input'!B213</f>
        <v/>
      </c>
      <c r="C213" s="18">
        <f>'Weekly Input'!C213</f>
        <v/>
      </c>
      <c r="D213" s="18">
        <f>IF(B213="","",IFERROR(INDEX('Master Data'!$B$6:$B$145,MATCH(B213,'Master Data'!$A$6:$A$145,0)),""))</f>
        <v/>
      </c>
      <c r="E213" s="18">
        <f>IF(C213="","",IFERROR(INDEX('Master Data'!$H$6:$H$13,MATCH(C213,'Master Data'!$F$6:$F$13,0)),""))</f>
        <v/>
      </c>
      <c r="F213" s="19">
        <f>'Weekly Input'!A213</f>
        <v/>
      </c>
      <c r="G213" s="19">
        <f>IF(B213="","",IFERROR(INDEX('Master Data'!$D$6:$D$145,MATCH(B213,'Master Data'!$A$6:$A$145,0)),""))</f>
        <v/>
      </c>
      <c r="H213" s="18">
        <f>IF(OR(F213="",G213=""),"",F213-G213)</f>
        <v/>
      </c>
      <c r="I213" s="18">
        <f>IF(B213="","",IF('Weekly Input'!J213="OK",TRUE,FALSE))</f>
        <v/>
      </c>
      <c r="J213" s="18">
        <f>IF(B213="","",'Weekly Input'!H213&gt;=MinInStockDays)</f>
        <v/>
      </c>
      <c r="K213" s="18">
        <f>IF(B213="","",H213&gt;=FullCycleMin)</f>
        <v/>
      </c>
      <c r="L213" s="18">
        <f>IF(B213="","",AND(I213,J213,K213,N213&gt;=MinHistory))</f>
        <v/>
      </c>
      <c r="M213" s="20">
        <f>IF(OR(B213="",'Weekly Input'!H213=0),"",'Weekly Input'!D213/'Weekly Input'!H213*7)</f>
        <v/>
      </c>
      <c r="N213" s="18">
        <f>IF(B213="","",COUNTIFS($B$5:$B$504,B213,$C$5:$C$504,C213,$I$5:$I$504,TRUE,$J$5:$J$504,TRUE,$K$5:$K$504,TRUE))</f>
        <v/>
      </c>
      <c r="O213" s="18">
        <f>IF(B213="","",AND(F213=AsOfWeek,AsOfWeek&lt;&gt;""))</f>
        <v/>
      </c>
      <c r="P213" s="20">
        <f>IF(OR(B213="",AsOfWeek=""),"",IFERROR(SUMIFS($M$5:$M$504,$B$5:$B$504,B213,$C$5:$C$504,C213,$L$5:$L$504,TRUE,$F$5:$F$504,"&gt;="&amp;AsOfWeek-7*(RecentWeeks-1),$F$5:$F$504,"&lt;="&amp;AsOfWeek),""))</f>
        <v/>
      </c>
      <c r="Q213" s="20">
        <f>IF(OR(B213="",AsOfWeek=""),"",IFERROR(SUMIFS($M$5:$M$504,$B$5:$B$504,B213,$C$5:$C$504,C213,$L$5:$L$504,TRUE,$F$5:$F$504,"&gt;="&amp;AsOfWeek-7*(RecentWeeks+PriorWeeks-1),$F$5:$F$504,"&lt;"&amp;AsOfWeek-7*(RecentWeeks-1)),""))</f>
        <v/>
      </c>
      <c r="R213" s="21">
        <f>IF(OR(P213="",Q213="",Q213=0),"",P213/Q213-1)</f>
        <v/>
      </c>
      <c r="S213" s="20">
        <f>IF(OR(C213="",AsOfWeek=""),"",IFERROR(AVERAGEIFS($M$5:$M$504,$C$5:$C$504,C213,$L$5:$L$504,TRUE,$F$5:$F$504,"&gt;="&amp;AsOfWeek-7*(RecentWeeks-1),$F$5:$F$504,"&lt;="&amp;AsOfWeek),""))</f>
        <v/>
      </c>
      <c r="T213" s="21">
        <f>IF(OR(P213="",S213=""),"",P213/S213-1)</f>
        <v/>
      </c>
      <c r="U213" s="22">
        <f>IF(OR(B213="",'Weekly Input'!G213="",P213="",P213=0),"",'Weekly Input'!G213/P213)</f>
        <v/>
      </c>
      <c r="V213" s="18">
        <f>IF(B213="","",IF(NOT(I213),"Not Ready",IF(NOT(K213),"Not Ready",IF(N213&lt;MinHistory,"Not Ready",IF(NOT(J213),"Not Ready",IF(OR(Q213="",Q213=0),"Noise",IF(Q213&lt;LowBaseThreshold,"Noise",IF(AND(R213&lt;=-OwnDecline,T213&lt;=-PeerGapThreshold),"Markdown Review",IF(AND(R213&gt;=ReorderUplift,U213&lt;&gt;"",U213&lt;=WeeksSupplyCap),"Reorder Candidate","Monitor"))))))))</f>
        <v/>
      </c>
      <c r="W213" s="18">
        <f>IF(B213="","",IF(NOT(I213),"INVALID_MASTER",IF(NOT(K213),"INCOMPLETE_SHELF_CYCLE",IF(N213&lt;MinHistory,"INSUFFICIENT_HISTORY",IF(NOT(J213),"INSUFFICIENT_IN_STOCK",IF(OR(Q213="",Q213=0),"NO_PRIOR_BASE",IF(Q213&lt;LowBaseThreshold,"LOW_BASE_NOISE",IF(V213="Markdown Review","MARKDOWN_PEER_GAP",IF(V213="Reorder Candidate","REORDER_UPLIFT_COVER","NO_MATERIAL_CHANGE"))))))))</f>
        <v/>
      </c>
      <c r="X213" s="18">
        <f>IF(V213="Markdown Review","Markdown support",IF(V213="Reorder Candidate","Second reorder",IF(V213="Monitor","Monitor",IF(V213="Noise","Hold / collect data",IF(V213="Not Ready","Not ready","")))))</f>
        <v/>
      </c>
      <c r="Y213" s="18">
        <f>IF(OR(R213="",T213=""),"",ABS(R213)+ABS(T213))</f>
        <v/>
      </c>
      <c r="Z213" s="21">
        <f>IF(OR(B213="",NOT(O213),R213=""),"",IF(ABS(R213)&gt;=MaterialThreshold,"Yes","No"))</f>
        <v/>
      </c>
      <c r="AA213" s="18">
        <f>IF(Z213&lt;&gt;"Yes","",IF(ABS(R213)&gt;=MaterialThreshold,IF(ABS(R213)&gt;=BroadShare,"Broad SKU movement","Store-concentrated movement"),""))</f>
        <v/>
      </c>
      <c r="AB213" s="18">
        <f>IF(O213,IF(COUNTIFS($O$5:O213,TRUE)&gt;0,COUNTIFS($O$5:O213,TRUE),0),0)</f>
        <v/>
      </c>
      <c r="AC213" s="18">
        <f>IF(V213="Markdown Review",1,IF(V213="Reorder Candidate",2,IF(V213="Monitor",3,IF(V213="Noise",4,IF(V213="Not Ready",5,99)))))</f>
        <v/>
      </c>
      <c r="AD213" s="18">
        <f>IF(O213,COUNTIFS($O$5:$O$504,TRUE,$AC$5:$AC$504,"&lt;"&amp;AC213)+COUNTIFS($O$5:O213,TRUE,$AC$5:AC213,AC213,$Y$5:Y213,"&gt;"&amp;Y213),0)</f>
        <v/>
      </c>
    </row>
    <row r="214">
      <c r="A214" s="17">
        <f>IF(COUNTA('Weekly Input'!A214:C214)=0,"",'Weekly Input'!B214&amp;"|"&amp;'Weekly Input'!C214&amp;"|"&amp;TEXT('Weekly Input'!A214,"yyyy-mm-dd"))</f>
        <v/>
      </c>
      <c r="B214" s="18">
        <f>'Weekly Input'!B214</f>
        <v/>
      </c>
      <c r="C214" s="18">
        <f>'Weekly Input'!C214</f>
        <v/>
      </c>
      <c r="D214" s="18">
        <f>IF(B214="","",IFERROR(INDEX('Master Data'!$B$6:$B$145,MATCH(B214,'Master Data'!$A$6:$A$145,0)),""))</f>
        <v/>
      </c>
      <c r="E214" s="18">
        <f>IF(C214="","",IFERROR(INDEX('Master Data'!$H$6:$H$13,MATCH(C214,'Master Data'!$F$6:$F$13,0)),""))</f>
        <v/>
      </c>
      <c r="F214" s="19">
        <f>'Weekly Input'!A214</f>
        <v/>
      </c>
      <c r="G214" s="19">
        <f>IF(B214="","",IFERROR(INDEX('Master Data'!$D$6:$D$145,MATCH(B214,'Master Data'!$A$6:$A$145,0)),""))</f>
        <v/>
      </c>
      <c r="H214" s="18">
        <f>IF(OR(F214="",G214=""),"",F214-G214)</f>
        <v/>
      </c>
      <c r="I214" s="18">
        <f>IF(B214="","",IF('Weekly Input'!J214="OK",TRUE,FALSE))</f>
        <v/>
      </c>
      <c r="J214" s="18">
        <f>IF(B214="","",'Weekly Input'!H214&gt;=MinInStockDays)</f>
        <v/>
      </c>
      <c r="K214" s="18">
        <f>IF(B214="","",H214&gt;=FullCycleMin)</f>
        <v/>
      </c>
      <c r="L214" s="18">
        <f>IF(B214="","",AND(I214,J214,K214,N214&gt;=MinHistory))</f>
        <v/>
      </c>
      <c r="M214" s="20">
        <f>IF(OR(B214="",'Weekly Input'!H214=0),"",'Weekly Input'!D214/'Weekly Input'!H214*7)</f>
        <v/>
      </c>
      <c r="N214" s="18">
        <f>IF(B214="","",COUNTIFS($B$5:$B$504,B214,$C$5:$C$504,C214,$I$5:$I$504,TRUE,$J$5:$J$504,TRUE,$K$5:$K$504,TRUE))</f>
        <v/>
      </c>
      <c r="O214" s="18">
        <f>IF(B214="","",AND(F214=AsOfWeek,AsOfWeek&lt;&gt;""))</f>
        <v/>
      </c>
      <c r="P214" s="20">
        <f>IF(OR(B214="",AsOfWeek=""),"",IFERROR(SUMIFS($M$5:$M$504,$B$5:$B$504,B214,$C$5:$C$504,C214,$L$5:$L$504,TRUE,$F$5:$F$504,"&gt;="&amp;AsOfWeek-7*(RecentWeeks-1),$F$5:$F$504,"&lt;="&amp;AsOfWeek),""))</f>
        <v/>
      </c>
      <c r="Q214" s="20">
        <f>IF(OR(B214="",AsOfWeek=""),"",IFERROR(SUMIFS($M$5:$M$504,$B$5:$B$504,B214,$C$5:$C$504,C214,$L$5:$L$504,TRUE,$F$5:$F$504,"&gt;="&amp;AsOfWeek-7*(RecentWeeks+PriorWeeks-1),$F$5:$F$504,"&lt;"&amp;AsOfWeek-7*(RecentWeeks-1)),""))</f>
        <v/>
      </c>
      <c r="R214" s="21">
        <f>IF(OR(P214="",Q214="",Q214=0),"",P214/Q214-1)</f>
        <v/>
      </c>
      <c r="S214" s="20">
        <f>IF(OR(C214="",AsOfWeek=""),"",IFERROR(AVERAGEIFS($M$5:$M$504,$C$5:$C$504,C214,$L$5:$L$504,TRUE,$F$5:$F$504,"&gt;="&amp;AsOfWeek-7*(RecentWeeks-1),$F$5:$F$504,"&lt;="&amp;AsOfWeek),""))</f>
        <v/>
      </c>
      <c r="T214" s="21">
        <f>IF(OR(P214="",S214=""),"",P214/S214-1)</f>
        <v/>
      </c>
      <c r="U214" s="22">
        <f>IF(OR(B214="",'Weekly Input'!G214="",P214="",P214=0),"",'Weekly Input'!G214/P214)</f>
        <v/>
      </c>
      <c r="V214" s="18">
        <f>IF(B214="","",IF(NOT(I214),"Not Ready",IF(NOT(K214),"Not Ready",IF(N214&lt;MinHistory,"Not Ready",IF(NOT(J214),"Not Ready",IF(OR(Q214="",Q214=0),"Noise",IF(Q214&lt;LowBaseThreshold,"Noise",IF(AND(R214&lt;=-OwnDecline,T214&lt;=-PeerGapThreshold),"Markdown Review",IF(AND(R214&gt;=ReorderUplift,U214&lt;&gt;"",U214&lt;=WeeksSupplyCap),"Reorder Candidate","Monitor"))))))))</f>
        <v/>
      </c>
      <c r="W214" s="18">
        <f>IF(B214="","",IF(NOT(I214),"INVALID_MASTER",IF(NOT(K214),"INCOMPLETE_SHELF_CYCLE",IF(N214&lt;MinHistory,"INSUFFICIENT_HISTORY",IF(NOT(J214),"INSUFFICIENT_IN_STOCK",IF(OR(Q214="",Q214=0),"NO_PRIOR_BASE",IF(Q214&lt;LowBaseThreshold,"LOW_BASE_NOISE",IF(V214="Markdown Review","MARKDOWN_PEER_GAP",IF(V214="Reorder Candidate","REORDER_UPLIFT_COVER","NO_MATERIAL_CHANGE"))))))))</f>
        <v/>
      </c>
      <c r="X214" s="18">
        <f>IF(V214="Markdown Review","Markdown support",IF(V214="Reorder Candidate","Second reorder",IF(V214="Monitor","Monitor",IF(V214="Noise","Hold / collect data",IF(V214="Not Ready","Not ready","")))))</f>
        <v/>
      </c>
      <c r="Y214" s="18">
        <f>IF(OR(R214="",T214=""),"",ABS(R214)+ABS(T214))</f>
        <v/>
      </c>
      <c r="Z214" s="21">
        <f>IF(OR(B214="",NOT(O214),R214=""),"",IF(ABS(R214)&gt;=MaterialThreshold,"Yes","No"))</f>
        <v/>
      </c>
      <c r="AA214" s="18">
        <f>IF(Z214&lt;&gt;"Yes","",IF(ABS(R214)&gt;=MaterialThreshold,IF(ABS(R214)&gt;=BroadShare,"Broad SKU movement","Store-concentrated movement"),""))</f>
        <v/>
      </c>
      <c r="AB214" s="18">
        <f>IF(O214,IF(COUNTIFS($O$5:O214,TRUE)&gt;0,COUNTIFS($O$5:O214,TRUE),0),0)</f>
        <v/>
      </c>
      <c r="AC214" s="18">
        <f>IF(V214="Markdown Review",1,IF(V214="Reorder Candidate",2,IF(V214="Monitor",3,IF(V214="Noise",4,IF(V214="Not Ready",5,99)))))</f>
        <v/>
      </c>
      <c r="AD214" s="18">
        <f>IF(O214,COUNTIFS($O$5:$O$504,TRUE,$AC$5:$AC$504,"&lt;"&amp;AC214)+COUNTIFS($O$5:O214,TRUE,$AC$5:AC214,AC214,$Y$5:Y214,"&gt;"&amp;Y214),0)</f>
        <v/>
      </c>
    </row>
    <row r="215">
      <c r="A215" s="17">
        <f>IF(COUNTA('Weekly Input'!A215:C215)=0,"",'Weekly Input'!B215&amp;"|"&amp;'Weekly Input'!C215&amp;"|"&amp;TEXT('Weekly Input'!A215,"yyyy-mm-dd"))</f>
        <v/>
      </c>
      <c r="B215" s="18">
        <f>'Weekly Input'!B215</f>
        <v/>
      </c>
      <c r="C215" s="18">
        <f>'Weekly Input'!C215</f>
        <v/>
      </c>
      <c r="D215" s="18">
        <f>IF(B215="","",IFERROR(INDEX('Master Data'!$B$6:$B$145,MATCH(B215,'Master Data'!$A$6:$A$145,0)),""))</f>
        <v/>
      </c>
      <c r="E215" s="18">
        <f>IF(C215="","",IFERROR(INDEX('Master Data'!$H$6:$H$13,MATCH(C215,'Master Data'!$F$6:$F$13,0)),""))</f>
        <v/>
      </c>
      <c r="F215" s="19">
        <f>'Weekly Input'!A215</f>
        <v/>
      </c>
      <c r="G215" s="19">
        <f>IF(B215="","",IFERROR(INDEX('Master Data'!$D$6:$D$145,MATCH(B215,'Master Data'!$A$6:$A$145,0)),""))</f>
        <v/>
      </c>
      <c r="H215" s="18">
        <f>IF(OR(F215="",G215=""),"",F215-G215)</f>
        <v/>
      </c>
      <c r="I215" s="18">
        <f>IF(B215="","",IF('Weekly Input'!J215="OK",TRUE,FALSE))</f>
        <v/>
      </c>
      <c r="J215" s="18">
        <f>IF(B215="","",'Weekly Input'!H215&gt;=MinInStockDays)</f>
        <v/>
      </c>
      <c r="K215" s="18">
        <f>IF(B215="","",H215&gt;=FullCycleMin)</f>
        <v/>
      </c>
      <c r="L215" s="18">
        <f>IF(B215="","",AND(I215,J215,K215,N215&gt;=MinHistory))</f>
        <v/>
      </c>
      <c r="M215" s="20">
        <f>IF(OR(B215="",'Weekly Input'!H215=0),"",'Weekly Input'!D215/'Weekly Input'!H215*7)</f>
        <v/>
      </c>
      <c r="N215" s="18">
        <f>IF(B215="","",COUNTIFS($B$5:$B$504,B215,$C$5:$C$504,C215,$I$5:$I$504,TRUE,$J$5:$J$504,TRUE,$K$5:$K$504,TRUE))</f>
        <v/>
      </c>
      <c r="O215" s="18">
        <f>IF(B215="","",AND(F215=AsOfWeek,AsOfWeek&lt;&gt;""))</f>
        <v/>
      </c>
      <c r="P215" s="20">
        <f>IF(OR(B215="",AsOfWeek=""),"",IFERROR(SUMIFS($M$5:$M$504,$B$5:$B$504,B215,$C$5:$C$504,C215,$L$5:$L$504,TRUE,$F$5:$F$504,"&gt;="&amp;AsOfWeek-7*(RecentWeeks-1),$F$5:$F$504,"&lt;="&amp;AsOfWeek),""))</f>
        <v/>
      </c>
      <c r="Q215" s="20">
        <f>IF(OR(B215="",AsOfWeek=""),"",IFERROR(SUMIFS($M$5:$M$504,$B$5:$B$504,B215,$C$5:$C$504,C215,$L$5:$L$504,TRUE,$F$5:$F$504,"&gt;="&amp;AsOfWeek-7*(RecentWeeks+PriorWeeks-1),$F$5:$F$504,"&lt;"&amp;AsOfWeek-7*(RecentWeeks-1)),""))</f>
        <v/>
      </c>
      <c r="R215" s="21">
        <f>IF(OR(P215="",Q215="",Q215=0),"",P215/Q215-1)</f>
        <v/>
      </c>
      <c r="S215" s="20">
        <f>IF(OR(C215="",AsOfWeek=""),"",IFERROR(AVERAGEIFS($M$5:$M$504,$C$5:$C$504,C215,$L$5:$L$504,TRUE,$F$5:$F$504,"&gt;="&amp;AsOfWeek-7*(RecentWeeks-1),$F$5:$F$504,"&lt;="&amp;AsOfWeek),""))</f>
        <v/>
      </c>
      <c r="T215" s="21">
        <f>IF(OR(P215="",S215=""),"",P215/S215-1)</f>
        <v/>
      </c>
      <c r="U215" s="22">
        <f>IF(OR(B215="",'Weekly Input'!G215="",P215="",P215=0),"",'Weekly Input'!G215/P215)</f>
        <v/>
      </c>
      <c r="V215" s="18">
        <f>IF(B215="","",IF(NOT(I215),"Not Ready",IF(NOT(K215),"Not Ready",IF(N215&lt;MinHistory,"Not Ready",IF(NOT(J215),"Not Ready",IF(OR(Q215="",Q215=0),"Noise",IF(Q215&lt;LowBaseThreshold,"Noise",IF(AND(R215&lt;=-OwnDecline,T215&lt;=-PeerGapThreshold),"Markdown Review",IF(AND(R215&gt;=ReorderUplift,U215&lt;&gt;"",U215&lt;=WeeksSupplyCap),"Reorder Candidate","Monitor"))))))))</f>
        <v/>
      </c>
      <c r="W215" s="18">
        <f>IF(B215="","",IF(NOT(I215),"INVALID_MASTER",IF(NOT(K215),"INCOMPLETE_SHELF_CYCLE",IF(N215&lt;MinHistory,"INSUFFICIENT_HISTORY",IF(NOT(J215),"INSUFFICIENT_IN_STOCK",IF(OR(Q215="",Q215=0),"NO_PRIOR_BASE",IF(Q215&lt;LowBaseThreshold,"LOW_BASE_NOISE",IF(V215="Markdown Review","MARKDOWN_PEER_GAP",IF(V215="Reorder Candidate","REORDER_UPLIFT_COVER","NO_MATERIAL_CHANGE"))))))))</f>
        <v/>
      </c>
      <c r="X215" s="18">
        <f>IF(V215="Markdown Review","Markdown support",IF(V215="Reorder Candidate","Second reorder",IF(V215="Monitor","Monitor",IF(V215="Noise","Hold / collect data",IF(V215="Not Ready","Not ready","")))))</f>
        <v/>
      </c>
      <c r="Y215" s="18">
        <f>IF(OR(R215="",T215=""),"",ABS(R215)+ABS(T215))</f>
        <v/>
      </c>
      <c r="Z215" s="21">
        <f>IF(OR(B215="",NOT(O215),R215=""),"",IF(ABS(R215)&gt;=MaterialThreshold,"Yes","No"))</f>
        <v/>
      </c>
      <c r="AA215" s="18">
        <f>IF(Z215&lt;&gt;"Yes","",IF(ABS(R215)&gt;=MaterialThreshold,IF(ABS(R215)&gt;=BroadShare,"Broad SKU movement","Store-concentrated movement"),""))</f>
        <v/>
      </c>
      <c r="AB215" s="18">
        <f>IF(O215,IF(COUNTIFS($O$5:O215,TRUE)&gt;0,COUNTIFS($O$5:O215,TRUE),0),0)</f>
        <v/>
      </c>
      <c r="AC215" s="18">
        <f>IF(V215="Markdown Review",1,IF(V215="Reorder Candidate",2,IF(V215="Monitor",3,IF(V215="Noise",4,IF(V215="Not Ready",5,99)))))</f>
        <v/>
      </c>
      <c r="AD215" s="18">
        <f>IF(O215,COUNTIFS($O$5:$O$504,TRUE,$AC$5:$AC$504,"&lt;"&amp;AC215)+COUNTIFS($O$5:O215,TRUE,$AC$5:AC215,AC215,$Y$5:Y215,"&gt;"&amp;Y215),0)</f>
        <v/>
      </c>
    </row>
    <row r="216">
      <c r="A216" s="17">
        <f>IF(COUNTA('Weekly Input'!A216:C216)=0,"",'Weekly Input'!B216&amp;"|"&amp;'Weekly Input'!C216&amp;"|"&amp;TEXT('Weekly Input'!A216,"yyyy-mm-dd"))</f>
        <v/>
      </c>
      <c r="B216" s="18">
        <f>'Weekly Input'!B216</f>
        <v/>
      </c>
      <c r="C216" s="18">
        <f>'Weekly Input'!C216</f>
        <v/>
      </c>
      <c r="D216" s="18">
        <f>IF(B216="","",IFERROR(INDEX('Master Data'!$B$6:$B$145,MATCH(B216,'Master Data'!$A$6:$A$145,0)),""))</f>
        <v/>
      </c>
      <c r="E216" s="18">
        <f>IF(C216="","",IFERROR(INDEX('Master Data'!$H$6:$H$13,MATCH(C216,'Master Data'!$F$6:$F$13,0)),""))</f>
        <v/>
      </c>
      <c r="F216" s="19">
        <f>'Weekly Input'!A216</f>
        <v/>
      </c>
      <c r="G216" s="19">
        <f>IF(B216="","",IFERROR(INDEX('Master Data'!$D$6:$D$145,MATCH(B216,'Master Data'!$A$6:$A$145,0)),""))</f>
        <v/>
      </c>
      <c r="H216" s="18">
        <f>IF(OR(F216="",G216=""),"",F216-G216)</f>
        <v/>
      </c>
      <c r="I216" s="18">
        <f>IF(B216="","",IF('Weekly Input'!J216="OK",TRUE,FALSE))</f>
        <v/>
      </c>
      <c r="J216" s="18">
        <f>IF(B216="","",'Weekly Input'!H216&gt;=MinInStockDays)</f>
        <v/>
      </c>
      <c r="K216" s="18">
        <f>IF(B216="","",H216&gt;=FullCycleMin)</f>
        <v/>
      </c>
      <c r="L216" s="18">
        <f>IF(B216="","",AND(I216,J216,K216,N216&gt;=MinHistory))</f>
        <v/>
      </c>
      <c r="M216" s="20">
        <f>IF(OR(B216="",'Weekly Input'!H216=0),"",'Weekly Input'!D216/'Weekly Input'!H216*7)</f>
        <v/>
      </c>
      <c r="N216" s="18">
        <f>IF(B216="","",COUNTIFS($B$5:$B$504,B216,$C$5:$C$504,C216,$I$5:$I$504,TRUE,$J$5:$J$504,TRUE,$K$5:$K$504,TRUE))</f>
        <v/>
      </c>
      <c r="O216" s="18">
        <f>IF(B216="","",AND(F216=AsOfWeek,AsOfWeek&lt;&gt;""))</f>
        <v/>
      </c>
      <c r="P216" s="20">
        <f>IF(OR(B216="",AsOfWeek=""),"",IFERROR(SUMIFS($M$5:$M$504,$B$5:$B$504,B216,$C$5:$C$504,C216,$L$5:$L$504,TRUE,$F$5:$F$504,"&gt;="&amp;AsOfWeek-7*(RecentWeeks-1),$F$5:$F$504,"&lt;="&amp;AsOfWeek),""))</f>
        <v/>
      </c>
      <c r="Q216" s="20">
        <f>IF(OR(B216="",AsOfWeek=""),"",IFERROR(SUMIFS($M$5:$M$504,$B$5:$B$504,B216,$C$5:$C$504,C216,$L$5:$L$504,TRUE,$F$5:$F$504,"&gt;="&amp;AsOfWeek-7*(RecentWeeks+PriorWeeks-1),$F$5:$F$504,"&lt;"&amp;AsOfWeek-7*(RecentWeeks-1)),""))</f>
        <v/>
      </c>
      <c r="R216" s="21">
        <f>IF(OR(P216="",Q216="",Q216=0),"",P216/Q216-1)</f>
        <v/>
      </c>
      <c r="S216" s="20">
        <f>IF(OR(C216="",AsOfWeek=""),"",IFERROR(AVERAGEIFS($M$5:$M$504,$C$5:$C$504,C216,$L$5:$L$504,TRUE,$F$5:$F$504,"&gt;="&amp;AsOfWeek-7*(RecentWeeks-1),$F$5:$F$504,"&lt;="&amp;AsOfWeek),""))</f>
        <v/>
      </c>
      <c r="T216" s="21">
        <f>IF(OR(P216="",S216=""),"",P216/S216-1)</f>
        <v/>
      </c>
      <c r="U216" s="22">
        <f>IF(OR(B216="",'Weekly Input'!G216="",P216="",P216=0),"",'Weekly Input'!G216/P216)</f>
        <v/>
      </c>
      <c r="V216" s="18">
        <f>IF(B216="","",IF(NOT(I216),"Not Ready",IF(NOT(K216),"Not Ready",IF(N216&lt;MinHistory,"Not Ready",IF(NOT(J216),"Not Ready",IF(OR(Q216="",Q216=0),"Noise",IF(Q216&lt;LowBaseThreshold,"Noise",IF(AND(R216&lt;=-OwnDecline,T216&lt;=-PeerGapThreshold),"Markdown Review",IF(AND(R216&gt;=ReorderUplift,U216&lt;&gt;"",U216&lt;=WeeksSupplyCap),"Reorder Candidate","Monitor"))))))))</f>
        <v/>
      </c>
      <c r="W216" s="18">
        <f>IF(B216="","",IF(NOT(I216),"INVALID_MASTER",IF(NOT(K216),"INCOMPLETE_SHELF_CYCLE",IF(N216&lt;MinHistory,"INSUFFICIENT_HISTORY",IF(NOT(J216),"INSUFFICIENT_IN_STOCK",IF(OR(Q216="",Q216=0),"NO_PRIOR_BASE",IF(Q216&lt;LowBaseThreshold,"LOW_BASE_NOISE",IF(V216="Markdown Review","MARKDOWN_PEER_GAP",IF(V216="Reorder Candidate","REORDER_UPLIFT_COVER","NO_MATERIAL_CHANGE"))))))))</f>
        <v/>
      </c>
      <c r="X216" s="18">
        <f>IF(V216="Markdown Review","Markdown support",IF(V216="Reorder Candidate","Second reorder",IF(V216="Monitor","Monitor",IF(V216="Noise","Hold / collect data",IF(V216="Not Ready","Not ready","")))))</f>
        <v/>
      </c>
      <c r="Y216" s="18">
        <f>IF(OR(R216="",T216=""),"",ABS(R216)+ABS(T216))</f>
        <v/>
      </c>
      <c r="Z216" s="21">
        <f>IF(OR(B216="",NOT(O216),R216=""),"",IF(ABS(R216)&gt;=MaterialThreshold,"Yes","No"))</f>
        <v/>
      </c>
      <c r="AA216" s="18">
        <f>IF(Z216&lt;&gt;"Yes","",IF(ABS(R216)&gt;=MaterialThreshold,IF(ABS(R216)&gt;=BroadShare,"Broad SKU movement","Store-concentrated movement"),""))</f>
        <v/>
      </c>
      <c r="AB216" s="18">
        <f>IF(O216,IF(COUNTIFS($O$5:O216,TRUE)&gt;0,COUNTIFS($O$5:O216,TRUE),0),0)</f>
        <v/>
      </c>
      <c r="AC216" s="18">
        <f>IF(V216="Markdown Review",1,IF(V216="Reorder Candidate",2,IF(V216="Monitor",3,IF(V216="Noise",4,IF(V216="Not Ready",5,99)))))</f>
        <v/>
      </c>
      <c r="AD216" s="18">
        <f>IF(O216,COUNTIFS($O$5:$O$504,TRUE,$AC$5:$AC$504,"&lt;"&amp;AC216)+COUNTIFS($O$5:O216,TRUE,$AC$5:AC216,AC216,$Y$5:Y216,"&gt;"&amp;Y216),0)</f>
        <v/>
      </c>
    </row>
    <row r="217">
      <c r="A217" s="17">
        <f>IF(COUNTA('Weekly Input'!A217:C217)=0,"",'Weekly Input'!B217&amp;"|"&amp;'Weekly Input'!C217&amp;"|"&amp;TEXT('Weekly Input'!A217,"yyyy-mm-dd"))</f>
        <v/>
      </c>
      <c r="B217" s="18">
        <f>'Weekly Input'!B217</f>
        <v/>
      </c>
      <c r="C217" s="18">
        <f>'Weekly Input'!C217</f>
        <v/>
      </c>
      <c r="D217" s="18">
        <f>IF(B217="","",IFERROR(INDEX('Master Data'!$B$6:$B$145,MATCH(B217,'Master Data'!$A$6:$A$145,0)),""))</f>
        <v/>
      </c>
      <c r="E217" s="18">
        <f>IF(C217="","",IFERROR(INDEX('Master Data'!$H$6:$H$13,MATCH(C217,'Master Data'!$F$6:$F$13,0)),""))</f>
        <v/>
      </c>
      <c r="F217" s="19">
        <f>'Weekly Input'!A217</f>
        <v/>
      </c>
      <c r="G217" s="19">
        <f>IF(B217="","",IFERROR(INDEX('Master Data'!$D$6:$D$145,MATCH(B217,'Master Data'!$A$6:$A$145,0)),""))</f>
        <v/>
      </c>
      <c r="H217" s="18">
        <f>IF(OR(F217="",G217=""),"",F217-G217)</f>
        <v/>
      </c>
      <c r="I217" s="18">
        <f>IF(B217="","",IF('Weekly Input'!J217="OK",TRUE,FALSE))</f>
        <v/>
      </c>
      <c r="J217" s="18">
        <f>IF(B217="","",'Weekly Input'!H217&gt;=MinInStockDays)</f>
        <v/>
      </c>
      <c r="K217" s="18">
        <f>IF(B217="","",H217&gt;=FullCycleMin)</f>
        <v/>
      </c>
      <c r="L217" s="18">
        <f>IF(B217="","",AND(I217,J217,K217,N217&gt;=MinHistory))</f>
        <v/>
      </c>
      <c r="M217" s="20">
        <f>IF(OR(B217="",'Weekly Input'!H217=0),"",'Weekly Input'!D217/'Weekly Input'!H217*7)</f>
        <v/>
      </c>
      <c r="N217" s="18">
        <f>IF(B217="","",COUNTIFS($B$5:$B$504,B217,$C$5:$C$504,C217,$I$5:$I$504,TRUE,$J$5:$J$504,TRUE,$K$5:$K$504,TRUE))</f>
        <v/>
      </c>
      <c r="O217" s="18">
        <f>IF(B217="","",AND(F217=AsOfWeek,AsOfWeek&lt;&gt;""))</f>
        <v/>
      </c>
      <c r="P217" s="20">
        <f>IF(OR(B217="",AsOfWeek=""),"",IFERROR(SUMIFS($M$5:$M$504,$B$5:$B$504,B217,$C$5:$C$504,C217,$L$5:$L$504,TRUE,$F$5:$F$504,"&gt;="&amp;AsOfWeek-7*(RecentWeeks-1),$F$5:$F$504,"&lt;="&amp;AsOfWeek),""))</f>
        <v/>
      </c>
      <c r="Q217" s="20">
        <f>IF(OR(B217="",AsOfWeek=""),"",IFERROR(SUMIFS($M$5:$M$504,$B$5:$B$504,B217,$C$5:$C$504,C217,$L$5:$L$504,TRUE,$F$5:$F$504,"&gt;="&amp;AsOfWeek-7*(RecentWeeks+PriorWeeks-1),$F$5:$F$504,"&lt;"&amp;AsOfWeek-7*(RecentWeeks-1)),""))</f>
        <v/>
      </c>
      <c r="R217" s="21">
        <f>IF(OR(P217="",Q217="",Q217=0),"",P217/Q217-1)</f>
        <v/>
      </c>
      <c r="S217" s="20">
        <f>IF(OR(C217="",AsOfWeek=""),"",IFERROR(AVERAGEIFS($M$5:$M$504,$C$5:$C$504,C217,$L$5:$L$504,TRUE,$F$5:$F$504,"&gt;="&amp;AsOfWeek-7*(RecentWeeks-1),$F$5:$F$504,"&lt;="&amp;AsOfWeek),""))</f>
        <v/>
      </c>
      <c r="T217" s="21">
        <f>IF(OR(P217="",S217=""),"",P217/S217-1)</f>
        <v/>
      </c>
      <c r="U217" s="22">
        <f>IF(OR(B217="",'Weekly Input'!G217="",P217="",P217=0),"",'Weekly Input'!G217/P217)</f>
        <v/>
      </c>
      <c r="V217" s="18">
        <f>IF(B217="","",IF(NOT(I217),"Not Ready",IF(NOT(K217),"Not Ready",IF(N217&lt;MinHistory,"Not Ready",IF(NOT(J217),"Not Ready",IF(OR(Q217="",Q217=0),"Noise",IF(Q217&lt;LowBaseThreshold,"Noise",IF(AND(R217&lt;=-OwnDecline,T217&lt;=-PeerGapThreshold),"Markdown Review",IF(AND(R217&gt;=ReorderUplift,U217&lt;&gt;"",U217&lt;=WeeksSupplyCap),"Reorder Candidate","Monitor"))))))))</f>
        <v/>
      </c>
      <c r="W217" s="18">
        <f>IF(B217="","",IF(NOT(I217),"INVALID_MASTER",IF(NOT(K217),"INCOMPLETE_SHELF_CYCLE",IF(N217&lt;MinHistory,"INSUFFICIENT_HISTORY",IF(NOT(J217),"INSUFFICIENT_IN_STOCK",IF(OR(Q217="",Q217=0),"NO_PRIOR_BASE",IF(Q217&lt;LowBaseThreshold,"LOW_BASE_NOISE",IF(V217="Markdown Review","MARKDOWN_PEER_GAP",IF(V217="Reorder Candidate","REORDER_UPLIFT_COVER","NO_MATERIAL_CHANGE"))))))))</f>
        <v/>
      </c>
      <c r="X217" s="18">
        <f>IF(V217="Markdown Review","Markdown support",IF(V217="Reorder Candidate","Second reorder",IF(V217="Monitor","Monitor",IF(V217="Noise","Hold / collect data",IF(V217="Not Ready","Not ready","")))))</f>
        <v/>
      </c>
      <c r="Y217" s="18">
        <f>IF(OR(R217="",T217=""),"",ABS(R217)+ABS(T217))</f>
        <v/>
      </c>
      <c r="Z217" s="21">
        <f>IF(OR(B217="",NOT(O217),R217=""),"",IF(ABS(R217)&gt;=MaterialThreshold,"Yes","No"))</f>
        <v/>
      </c>
      <c r="AA217" s="18">
        <f>IF(Z217&lt;&gt;"Yes","",IF(ABS(R217)&gt;=MaterialThreshold,IF(ABS(R217)&gt;=BroadShare,"Broad SKU movement","Store-concentrated movement"),""))</f>
        <v/>
      </c>
      <c r="AB217" s="18">
        <f>IF(O217,IF(COUNTIFS($O$5:O217,TRUE)&gt;0,COUNTIFS($O$5:O217,TRUE),0),0)</f>
        <v/>
      </c>
      <c r="AC217" s="18">
        <f>IF(V217="Markdown Review",1,IF(V217="Reorder Candidate",2,IF(V217="Monitor",3,IF(V217="Noise",4,IF(V217="Not Ready",5,99)))))</f>
        <v/>
      </c>
      <c r="AD217" s="18">
        <f>IF(O217,COUNTIFS($O$5:$O$504,TRUE,$AC$5:$AC$504,"&lt;"&amp;AC217)+COUNTIFS($O$5:O217,TRUE,$AC$5:AC217,AC217,$Y$5:Y217,"&gt;"&amp;Y217),0)</f>
        <v/>
      </c>
    </row>
    <row r="218">
      <c r="A218" s="17">
        <f>IF(COUNTA('Weekly Input'!A218:C218)=0,"",'Weekly Input'!B218&amp;"|"&amp;'Weekly Input'!C218&amp;"|"&amp;TEXT('Weekly Input'!A218,"yyyy-mm-dd"))</f>
        <v/>
      </c>
      <c r="B218" s="18">
        <f>'Weekly Input'!B218</f>
        <v/>
      </c>
      <c r="C218" s="18">
        <f>'Weekly Input'!C218</f>
        <v/>
      </c>
      <c r="D218" s="18">
        <f>IF(B218="","",IFERROR(INDEX('Master Data'!$B$6:$B$145,MATCH(B218,'Master Data'!$A$6:$A$145,0)),""))</f>
        <v/>
      </c>
      <c r="E218" s="18">
        <f>IF(C218="","",IFERROR(INDEX('Master Data'!$H$6:$H$13,MATCH(C218,'Master Data'!$F$6:$F$13,0)),""))</f>
        <v/>
      </c>
      <c r="F218" s="19">
        <f>'Weekly Input'!A218</f>
        <v/>
      </c>
      <c r="G218" s="19">
        <f>IF(B218="","",IFERROR(INDEX('Master Data'!$D$6:$D$145,MATCH(B218,'Master Data'!$A$6:$A$145,0)),""))</f>
        <v/>
      </c>
      <c r="H218" s="18">
        <f>IF(OR(F218="",G218=""),"",F218-G218)</f>
        <v/>
      </c>
      <c r="I218" s="18">
        <f>IF(B218="","",IF('Weekly Input'!J218="OK",TRUE,FALSE))</f>
        <v/>
      </c>
      <c r="J218" s="18">
        <f>IF(B218="","",'Weekly Input'!H218&gt;=MinInStockDays)</f>
        <v/>
      </c>
      <c r="K218" s="18">
        <f>IF(B218="","",H218&gt;=FullCycleMin)</f>
        <v/>
      </c>
      <c r="L218" s="18">
        <f>IF(B218="","",AND(I218,J218,K218,N218&gt;=MinHistory))</f>
        <v/>
      </c>
      <c r="M218" s="20">
        <f>IF(OR(B218="",'Weekly Input'!H218=0),"",'Weekly Input'!D218/'Weekly Input'!H218*7)</f>
        <v/>
      </c>
      <c r="N218" s="18">
        <f>IF(B218="","",COUNTIFS($B$5:$B$504,B218,$C$5:$C$504,C218,$I$5:$I$504,TRUE,$J$5:$J$504,TRUE,$K$5:$K$504,TRUE))</f>
        <v/>
      </c>
      <c r="O218" s="18">
        <f>IF(B218="","",AND(F218=AsOfWeek,AsOfWeek&lt;&gt;""))</f>
        <v/>
      </c>
      <c r="P218" s="20">
        <f>IF(OR(B218="",AsOfWeek=""),"",IFERROR(SUMIFS($M$5:$M$504,$B$5:$B$504,B218,$C$5:$C$504,C218,$L$5:$L$504,TRUE,$F$5:$F$504,"&gt;="&amp;AsOfWeek-7*(RecentWeeks-1),$F$5:$F$504,"&lt;="&amp;AsOfWeek),""))</f>
        <v/>
      </c>
      <c r="Q218" s="20">
        <f>IF(OR(B218="",AsOfWeek=""),"",IFERROR(SUMIFS($M$5:$M$504,$B$5:$B$504,B218,$C$5:$C$504,C218,$L$5:$L$504,TRUE,$F$5:$F$504,"&gt;="&amp;AsOfWeek-7*(RecentWeeks+PriorWeeks-1),$F$5:$F$504,"&lt;"&amp;AsOfWeek-7*(RecentWeeks-1)),""))</f>
        <v/>
      </c>
      <c r="R218" s="21">
        <f>IF(OR(P218="",Q218="",Q218=0),"",P218/Q218-1)</f>
        <v/>
      </c>
      <c r="S218" s="20">
        <f>IF(OR(C218="",AsOfWeek=""),"",IFERROR(AVERAGEIFS($M$5:$M$504,$C$5:$C$504,C218,$L$5:$L$504,TRUE,$F$5:$F$504,"&gt;="&amp;AsOfWeek-7*(RecentWeeks-1),$F$5:$F$504,"&lt;="&amp;AsOfWeek),""))</f>
        <v/>
      </c>
      <c r="T218" s="21">
        <f>IF(OR(P218="",S218=""),"",P218/S218-1)</f>
        <v/>
      </c>
      <c r="U218" s="22">
        <f>IF(OR(B218="",'Weekly Input'!G218="",P218="",P218=0),"",'Weekly Input'!G218/P218)</f>
        <v/>
      </c>
      <c r="V218" s="18">
        <f>IF(B218="","",IF(NOT(I218),"Not Ready",IF(NOT(K218),"Not Ready",IF(N218&lt;MinHistory,"Not Ready",IF(NOT(J218),"Not Ready",IF(OR(Q218="",Q218=0),"Noise",IF(Q218&lt;LowBaseThreshold,"Noise",IF(AND(R218&lt;=-OwnDecline,T218&lt;=-PeerGapThreshold),"Markdown Review",IF(AND(R218&gt;=ReorderUplift,U218&lt;&gt;"",U218&lt;=WeeksSupplyCap),"Reorder Candidate","Monitor"))))))))</f>
        <v/>
      </c>
      <c r="W218" s="18">
        <f>IF(B218="","",IF(NOT(I218),"INVALID_MASTER",IF(NOT(K218),"INCOMPLETE_SHELF_CYCLE",IF(N218&lt;MinHistory,"INSUFFICIENT_HISTORY",IF(NOT(J218),"INSUFFICIENT_IN_STOCK",IF(OR(Q218="",Q218=0),"NO_PRIOR_BASE",IF(Q218&lt;LowBaseThreshold,"LOW_BASE_NOISE",IF(V218="Markdown Review","MARKDOWN_PEER_GAP",IF(V218="Reorder Candidate","REORDER_UPLIFT_COVER","NO_MATERIAL_CHANGE"))))))))</f>
        <v/>
      </c>
      <c r="X218" s="18">
        <f>IF(V218="Markdown Review","Markdown support",IF(V218="Reorder Candidate","Second reorder",IF(V218="Monitor","Monitor",IF(V218="Noise","Hold / collect data",IF(V218="Not Ready","Not ready","")))))</f>
        <v/>
      </c>
      <c r="Y218" s="18">
        <f>IF(OR(R218="",T218=""),"",ABS(R218)+ABS(T218))</f>
        <v/>
      </c>
      <c r="Z218" s="21">
        <f>IF(OR(B218="",NOT(O218),R218=""),"",IF(ABS(R218)&gt;=MaterialThreshold,"Yes","No"))</f>
        <v/>
      </c>
      <c r="AA218" s="18">
        <f>IF(Z218&lt;&gt;"Yes","",IF(ABS(R218)&gt;=MaterialThreshold,IF(ABS(R218)&gt;=BroadShare,"Broad SKU movement","Store-concentrated movement"),""))</f>
        <v/>
      </c>
      <c r="AB218" s="18">
        <f>IF(O218,IF(COUNTIFS($O$5:O218,TRUE)&gt;0,COUNTIFS($O$5:O218,TRUE),0),0)</f>
        <v/>
      </c>
      <c r="AC218" s="18">
        <f>IF(V218="Markdown Review",1,IF(V218="Reorder Candidate",2,IF(V218="Monitor",3,IF(V218="Noise",4,IF(V218="Not Ready",5,99)))))</f>
        <v/>
      </c>
      <c r="AD218" s="18">
        <f>IF(O218,COUNTIFS($O$5:$O$504,TRUE,$AC$5:$AC$504,"&lt;"&amp;AC218)+COUNTIFS($O$5:O218,TRUE,$AC$5:AC218,AC218,$Y$5:Y218,"&gt;"&amp;Y218),0)</f>
        <v/>
      </c>
    </row>
    <row r="219">
      <c r="A219" s="17">
        <f>IF(COUNTA('Weekly Input'!A219:C219)=0,"",'Weekly Input'!B219&amp;"|"&amp;'Weekly Input'!C219&amp;"|"&amp;TEXT('Weekly Input'!A219,"yyyy-mm-dd"))</f>
        <v/>
      </c>
      <c r="B219" s="18">
        <f>'Weekly Input'!B219</f>
        <v/>
      </c>
      <c r="C219" s="18">
        <f>'Weekly Input'!C219</f>
        <v/>
      </c>
      <c r="D219" s="18">
        <f>IF(B219="","",IFERROR(INDEX('Master Data'!$B$6:$B$145,MATCH(B219,'Master Data'!$A$6:$A$145,0)),""))</f>
        <v/>
      </c>
      <c r="E219" s="18">
        <f>IF(C219="","",IFERROR(INDEX('Master Data'!$H$6:$H$13,MATCH(C219,'Master Data'!$F$6:$F$13,0)),""))</f>
        <v/>
      </c>
      <c r="F219" s="19">
        <f>'Weekly Input'!A219</f>
        <v/>
      </c>
      <c r="G219" s="19">
        <f>IF(B219="","",IFERROR(INDEX('Master Data'!$D$6:$D$145,MATCH(B219,'Master Data'!$A$6:$A$145,0)),""))</f>
        <v/>
      </c>
      <c r="H219" s="18">
        <f>IF(OR(F219="",G219=""),"",F219-G219)</f>
        <v/>
      </c>
      <c r="I219" s="18">
        <f>IF(B219="","",IF('Weekly Input'!J219="OK",TRUE,FALSE))</f>
        <v/>
      </c>
      <c r="J219" s="18">
        <f>IF(B219="","",'Weekly Input'!H219&gt;=MinInStockDays)</f>
        <v/>
      </c>
      <c r="K219" s="18">
        <f>IF(B219="","",H219&gt;=FullCycleMin)</f>
        <v/>
      </c>
      <c r="L219" s="18">
        <f>IF(B219="","",AND(I219,J219,K219,N219&gt;=MinHistory))</f>
        <v/>
      </c>
      <c r="M219" s="20">
        <f>IF(OR(B219="",'Weekly Input'!H219=0),"",'Weekly Input'!D219/'Weekly Input'!H219*7)</f>
        <v/>
      </c>
      <c r="N219" s="18">
        <f>IF(B219="","",COUNTIFS($B$5:$B$504,B219,$C$5:$C$504,C219,$I$5:$I$504,TRUE,$J$5:$J$504,TRUE,$K$5:$K$504,TRUE))</f>
        <v/>
      </c>
      <c r="O219" s="18">
        <f>IF(B219="","",AND(F219=AsOfWeek,AsOfWeek&lt;&gt;""))</f>
        <v/>
      </c>
      <c r="P219" s="20">
        <f>IF(OR(B219="",AsOfWeek=""),"",IFERROR(SUMIFS($M$5:$M$504,$B$5:$B$504,B219,$C$5:$C$504,C219,$L$5:$L$504,TRUE,$F$5:$F$504,"&gt;="&amp;AsOfWeek-7*(RecentWeeks-1),$F$5:$F$504,"&lt;="&amp;AsOfWeek),""))</f>
        <v/>
      </c>
      <c r="Q219" s="20">
        <f>IF(OR(B219="",AsOfWeek=""),"",IFERROR(SUMIFS($M$5:$M$504,$B$5:$B$504,B219,$C$5:$C$504,C219,$L$5:$L$504,TRUE,$F$5:$F$504,"&gt;="&amp;AsOfWeek-7*(RecentWeeks+PriorWeeks-1),$F$5:$F$504,"&lt;"&amp;AsOfWeek-7*(RecentWeeks-1)),""))</f>
        <v/>
      </c>
      <c r="R219" s="21">
        <f>IF(OR(P219="",Q219="",Q219=0),"",P219/Q219-1)</f>
        <v/>
      </c>
      <c r="S219" s="20">
        <f>IF(OR(C219="",AsOfWeek=""),"",IFERROR(AVERAGEIFS($M$5:$M$504,$C$5:$C$504,C219,$L$5:$L$504,TRUE,$F$5:$F$504,"&gt;="&amp;AsOfWeek-7*(RecentWeeks-1),$F$5:$F$504,"&lt;="&amp;AsOfWeek),""))</f>
        <v/>
      </c>
      <c r="T219" s="21">
        <f>IF(OR(P219="",S219=""),"",P219/S219-1)</f>
        <v/>
      </c>
      <c r="U219" s="22">
        <f>IF(OR(B219="",'Weekly Input'!G219="",P219="",P219=0),"",'Weekly Input'!G219/P219)</f>
        <v/>
      </c>
      <c r="V219" s="18">
        <f>IF(B219="","",IF(NOT(I219),"Not Ready",IF(NOT(K219),"Not Ready",IF(N219&lt;MinHistory,"Not Ready",IF(NOT(J219),"Not Ready",IF(OR(Q219="",Q219=0),"Noise",IF(Q219&lt;LowBaseThreshold,"Noise",IF(AND(R219&lt;=-OwnDecline,T219&lt;=-PeerGapThreshold),"Markdown Review",IF(AND(R219&gt;=ReorderUplift,U219&lt;&gt;"",U219&lt;=WeeksSupplyCap),"Reorder Candidate","Monitor"))))))))</f>
        <v/>
      </c>
      <c r="W219" s="18">
        <f>IF(B219="","",IF(NOT(I219),"INVALID_MASTER",IF(NOT(K219),"INCOMPLETE_SHELF_CYCLE",IF(N219&lt;MinHistory,"INSUFFICIENT_HISTORY",IF(NOT(J219),"INSUFFICIENT_IN_STOCK",IF(OR(Q219="",Q219=0),"NO_PRIOR_BASE",IF(Q219&lt;LowBaseThreshold,"LOW_BASE_NOISE",IF(V219="Markdown Review","MARKDOWN_PEER_GAP",IF(V219="Reorder Candidate","REORDER_UPLIFT_COVER","NO_MATERIAL_CHANGE"))))))))</f>
        <v/>
      </c>
      <c r="X219" s="18">
        <f>IF(V219="Markdown Review","Markdown support",IF(V219="Reorder Candidate","Second reorder",IF(V219="Monitor","Monitor",IF(V219="Noise","Hold / collect data",IF(V219="Not Ready","Not ready","")))))</f>
        <v/>
      </c>
      <c r="Y219" s="18">
        <f>IF(OR(R219="",T219=""),"",ABS(R219)+ABS(T219))</f>
        <v/>
      </c>
      <c r="Z219" s="21">
        <f>IF(OR(B219="",NOT(O219),R219=""),"",IF(ABS(R219)&gt;=MaterialThreshold,"Yes","No"))</f>
        <v/>
      </c>
      <c r="AA219" s="18">
        <f>IF(Z219&lt;&gt;"Yes","",IF(ABS(R219)&gt;=MaterialThreshold,IF(ABS(R219)&gt;=BroadShare,"Broad SKU movement","Store-concentrated movement"),""))</f>
        <v/>
      </c>
      <c r="AB219" s="18">
        <f>IF(O219,IF(COUNTIFS($O$5:O219,TRUE)&gt;0,COUNTIFS($O$5:O219,TRUE),0),0)</f>
        <v/>
      </c>
      <c r="AC219" s="18">
        <f>IF(V219="Markdown Review",1,IF(V219="Reorder Candidate",2,IF(V219="Monitor",3,IF(V219="Noise",4,IF(V219="Not Ready",5,99)))))</f>
        <v/>
      </c>
      <c r="AD219" s="18">
        <f>IF(O219,COUNTIFS($O$5:$O$504,TRUE,$AC$5:$AC$504,"&lt;"&amp;AC219)+COUNTIFS($O$5:O219,TRUE,$AC$5:AC219,AC219,$Y$5:Y219,"&gt;"&amp;Y219),0)</f>
        <v/>
      </c>
    </row>
    <row r="220">
      <c r="A220" s="17">
        <f>IF(COUNTA('Weekly Input'!A220:C220)=0,"",'Weekly Input'!B220&amp;"|"&amp;'Weekly Input'!C220&amp;"|"&amp;TEXT('Weekly Input'!A220,"yyyy-mm-dd"))</f>
        <v/>
      </c>
      <c r="B220" s="18">
        <f>'Weekly Input'!B220</f>
        <v/>
      </c>
      <c r="C220" s="18">
        <f>'Weekly Input'!C220</f>
        <v/>
      </c>
      <c r="D220" s="18">
        <f>IF(B220="","",IFERROR(INDEX('Master Data'!$B$6:$B$145,MATCH(B220,'Master Data'!$A$6:$A$145,0)),""))</f>
        <v/>
      </c>
      <c r="E220" s="18">
        <f>IF(C220="","",IFERROR(INDEX('Master Data'!$H$6:$H$13,MATCH(C220,'Master Data'!$F$6:$F$13,0)),""))</f>
        <v/>
      </c>
      <c r="F220" s="19">
        <f>'Weekly Input'!A220</f>
        <v/>
      </c>
      <c r="G220" s="19">
        <f>IF(B220="","",IFERROR(INDEX('Master Data'!$D$6:$D$145,MATCH(B220,'Master Data'!$A$6:$A$145,0)),""))</f>
        <v/>
      </c>
      <c r="H220" s="18">
        <f>IF(OR(F220="",G220=""),"",F220-G220)</f>
        <v/>
      </c>
      <c r="I220" s="18">
        <f>IF(B220="","",IF('Weekly Input'!J220="OK",TRUE,FALSE))</f>
        <v/>
      </c>
      <c r="J220" s="18">
        <f>IF(B220="","",'Weekly Input'!H220&gt;=MinInStockDays)</f>
        <v/>
      </c>
      <c r="K220" s="18">
        <f>IF(B220="","",H220&gt;=FullCycleMin)</f>
        <v/>
      </c>
      <c r="L220" s="18">
        <f>IF(B220="","",AND(I220,J220,K220,N220&gt;=MinHistory))</f>
        <v/>
      </c>
      <c r="M220" s="20">
        <f>IF(OR(B220="",'Weekly Input'!H220=0),"",'Weekly Input'!D220/'Weekly Input'!H220*7)</f>
        <v/>
      </c>
      <c r="N220" s="18">
        <f>IF(B220="","",COUNTIFS($B$5:$B$504,B220,$C$5:$C$504,C220,$I$5:$I$504,TRUE,$J$5:$J$504,TRUE,$K$5:$K$504,TRUE))</f>
        <v/>
      </c>
      <c r="O220" s="18">
        <f>IF(B220="","",AND(F220=AsOfWeek,AsOfWeek&lt;&gt;""))</f>
        <v/>
      </c>
      <c r="P220" s="20">
        <f>IF(OR(B220="",AsOfWeek=""),"",IFERROR(SUMIFS($M$5:$M$504,$B$5:$B$504,B220,$C$5:$C$504,C220,$L$5:$L$504,TRUE,$F$5:$F$504,"&gt;="&amp;AsOfWeek-7*(RecentWeeks-1),$F$5:$F$504,"&lt;="&amp;AsOfWeek),""))</f>
        <v/>
      </c>
      <c r="Q220" s="20">
        <f>IF(OR(B220="",AsOfWeek=""),"",IFERROR(SUMIFS($M$5:$M$504,$B$5:$B$504,B220,$C$5:$C$504,C220,$L$5:$L$504,TRUE,$F$5:$F$504,"&gt;="&amp;AsOfWeek-7*(RecentWeeks+PriorWeeks-1),$F$5:$F$504,"&lt;"&amp;AsOfWeek-7*(RecentWeeks-1)),""))</f>
        <v/>
      </c>
      <c r="R220" s="21">
        <f>IF(OR(P220="",Q220="",Q220=0),"",P220/Q220-1)</f>
        <v/>
      </c>
      <c r="S220" s="20">
        <f>IF(OR(C220="",AsOfWeek=""),"",IFERROR(AVERAGEIFS($M$5:$M$504,$C$5:$C$504,C220,$L$5:$L$504,TRUE,$F$5:$F$504,"&gt;="&amp;AsOfWeek-7*(RecentWeeks-1),$F$5:$F$504,"&lt;="&amp;AsOfWeek),""))</f>
        <v/>
      </c>
      <c r="T220" s="21">
        <f>IF(OR(P220="",S220=""),"",P220/S220-1)</f>
        <v/>
      </c>
      <c r="U220" s="22">
        <f>IF(OR(B220="",'Weekly Input'!G220="",P220="",P220=0),"",'Weekly Input'!G220/P220)</f>
        <v/>
      </c>
      <c r="V220" s="18">
        <f>IF(B220="","",IF(NOT(I220),"Not Ready",IF(NOT(K220),"Not Ready",IF(N220&lt;MinHistory,"Not Ready",IF(NOT(J220),"Not Ready",IF(OR(Q220="",Q220=0),"Noise",IF(Q220&lt;LowBaseThreshold,"Noise",IF(AND(R220&lt;=-OwnDecline,T220&lt;=-PeerGapThreshold),"Markdown Review",IF(AND(R220&gt;=ReorderUplift,U220&lt;&gt;"",U220&lt;=WeeksSupplyCap),"Reorder Candidate","Monitor"))))))))</f>
        <v/>
      </c>
      <c r="W220" s="18">
        <f>IF(B220="","",IF(NOT(I220),"INVALID_MASTER",IF(NOT(K220),"INCOMPLETE_SHELF_CYCLE",IF(N220&lt;MinHistory,"INSUFFICIENT_HISTORY",IF(NOT(J220),"INSUFFICIENT_IN_STOCK",IF(OR(Q220="",Q220=0),"NO_PRIOR_BASE",IF(Q220&lt;LowBaseThreshold,"LOW_BASE_NOISE",IF(V220="Markdown Review","MARKDOWN_PEER_GAP",IF(V220="Reorder Candidate","REORDER_UPLIFT_COVER","NO_MATERIAL_CHANGE"))))))))</f>
        <v/>
      </c>
      <c r="X220" s="18">
        <f>IF(V220="Markdown Review","Markdown support",IF(V220="Reorder Candidate","Second reorder",IF(V220="Monitor","Monitor",IF(V220="Noise","Hold / collect data",IF(V220="Not Ready","Not ready","")))))</f>
        <v/>
      </c>
      <c r="Y220" s="18">
        <f>IF(OR(R220="",T220=""),"",ABS(R220)+ABS(T220))</f>
        <v/>
      </c>
      <c r="Z220" s="21">
        <f>IF(OR(B220="",NOT(O220),R220=""),"",IF(ABS(R220)&gt;=MaterialThreshold,"Yes","No"))</f>
        <v/>
      </c>
      <c r="AA220" s="18">
        <f>IF(Z220&lt;&gt;"Yes","",IF(ABS(R220)&gt;=MaterialThreshold,IF(ABS(R220)&gt;=BroadShare,"Broad SKU movement","Store-concentrated movement"),""))</f>
        <v/>
      </c>
      <c r="AB220" s="18">
        <f>IF(O220,IF(COUNTIFS($O$5:O220,TRUE)&gt;0,COUNTIFS($O$5:O220,TRUE),0),0)</f>
        <v/>
      </c>
      <c r="AC220" s="18">
        <f>IF(V220="Markdown Review",1,IF(V220="Reorder Candidate",2,IF(V220="Monitor",3,IF(V220="Noise",4,IF(V220="Not Ready",5,99)))))</f>
        <v/>
      </c>
      <c r="AD220" s="18">
        <f>IF(O220,COUNTIFS($O$5:$O$504,TRUE,$AC$5:$AC$504,"&lt;"&amp;AC220)+COUNTIFS($O$5:O220,TRUE,$AC$5:AC220,AC220,$Y$5:Y220,"&gt;"&amp;Y220),0)</f>
        <v/>
      </c>
    </row>
    <row r="221">
      <c r="A221" s="17">
        <f>IF(COUNTA('Weekly Input'!A221:C221)=0,"",'Weekly Input'!B221&amp;"|"&amp;'Weekly Input'!C221&amp;"|"&amp;TEXT('Weekly Input'!A221,"yyyy-mm-dd"))</f>
        <v/>
      </c>
      <c r="B221" s="18">
        <f>'Weekly Input'!B221</f>
        <v/>
      </c>
      <c r="C221" s="18">
        <f>'Weekly Input'!C221</f>
        <v/>
      </c>
      <c r="D221" s="18">
        <f>IF(B221="","",IFERROR(INDEX('Master Data'!$B$6:$B$145,MATCH(B221,'Master Data'!$A$6:$A$145,0)),""))</f>
        <v/>
      </c>
      <c r="E221" s="18">
        <f>IF(C221="","",IFERROR(INDEX('Master Data'!$H$6:$H$13,MATCH(C221,'Master Data'!$F$6:$F$13,0)),""))</f>
        <v/>
      </c>
      <c r="F221" s="19">
        <f>'Weekly Input'!A221</f>
        <v/>
      </c>
      <c r="G221" s="19">
        <f>IF(B221="","",IFERROR(INDEX('Master Data'!$D$6:$D$145,MATCH(B221,'Master Data'!$A$6:$A$145,0)),""))</f>
        <v/>
      </c>
      <c r="H221" s="18">
        <f>IF(OR(F221="",G221=""),"",F221-G221)</f>
        <v/>
      </c>
      <c r="I221" s="18">
        <f>IF(B221="","",IF('Weekly Input'!J221="OK",TRUE,FALSE))</f>
        <v/>
      </c>
      <c r="J221" s="18">
        <f>IF(B221="","",'Weekly Input'!H221&gt;=MinInStockDays)</f>
        <v/>
      </c>
      <c r="K221" s="18">
        <f>IF(B221="","",H221&gt;=FullCycleMin)</f>
        <v/>
      </c>
      <c r="L221" s="18">
        <f>IF(B221="","",AND(I221,J221,K221,N221&gt;=MinHistory))</f>
        <v/>
      </c>
      <c r="M221" s="20">
        <f>IF(OR(B221="",'Weekly Input'!H221=0),"",'Weekly Input'!D221/'Weekly Input'!H221*7)</f>
        <v/>
      </c>
      <c r="N221" s="18">
        <f>IF(B221="","",COUNTIFS($B$5:$B$504,B221,$C$5:$C$504,C221,$I$5:$I$504,TRUE,$J$5:$J$504,TRUE,$K$5:$K$504,TRUE))</f>
        <v/>
      </c>
      <c r="O221" s="18">
        <f>IF(B221="","",AND(F221=AsOfWeek,AsOfWeek&lt;&gt;""))</f>
        <v/>
      </c>
      <c r="P221" s="20">
        <f>IF(OR(B221="",AsOfWeek=""),"",IFERROR(SUMIFS($M$5:$M$504,$B$5:$B$504,B221,$C$5:$C$504,C221,$L$5:$L$504,TRUE,$F$5:$F$504,"&gt;="&amp;AsOfWeek-7*(RecentWeeks-1),$F$5:$F$504,"&lt;="&amp;AsOfWeek),""))</f>
        <v/>
      </c>
      <c r="Q221" s="20">
        <f>IF(OR(B221="",AsOfWeek=""),"",IFERROR(SUMIFS($M$5:$M$504,$B$5:$B$504,B221,$C$5:$C$504,C221,$L$5:$L$504,TRUE,$F$5:$F$504,"&gt;="&amp;AsOfWeek-7*(RecentWeeks+PriorWeeks-1),$F$5:$F$504,"&lt;"&amp;AsOfWeek-7*(RecentWeeks-1)),""))</f>
        <v/>
      </c>
      <c r="R221" s="21">
        <f>IF(OR(P221="",Q221="",Q221=0),"",P221/Q221-1)</f>
        <v/>
      </c>
      <c r="S221" s="20">
        <f>IF(OR(C221="",AsOfWeek=""),"",IFERROR(AVERAGEIFS($M$5:$M$504,$C$5:$C$504,C221,$L$5:$L$504,TRUE,$F$5:$F$504,"&gt;="&amp;AsOfWeek-7*(RecentWeeks-1),$F$5:$F$504,"&lt;="&amp;AsOfWeek),""))</f>
        <v/>
      </c>
      <c r="T221" s="21">
        <f>IF(OR(P221="",S221=""),"",P221/S221-1)</f>
        <v/>
      </c>
      <c r="U221" s="22">
        <f>IF(OR(B221="",'Weekly Input'!G221="",P221="",P221=0),"",'Weekly Input'!G221/P221)</f>
        <v/>
      </c>
      <c r="V221" s="18">
        <f>IF(B221="","",IF(NOT(I221),"Not Ready",IF(NOT(K221),"Not Ready",IF(N221&lt;MinHistory,"Not Ready",IF(NOT(J221),"Not Ready",IF(OR(Q221="",Q221=0),"Noise",IF(Q221&lt;LowBaseThreshold,"Noise",IF(AND(R221&lt;=-OwnDecline,T221&lt;=-PeerGapThreshold),"Markdown Review",IF(AND(R221&gt;=ReorderUplift,U221&lt;&gt;"",U221&lt;=WeeksSupplyCap),"Reorder Candidate","Monitor"))))))))</f>
        <v/>
      </c>
      <c r="W221" s="18">
        <f>IF(B221="","",IF(NOT(I221),"INVALID_MASTER",IF(NOT(K221),"INCOMPLETE_SHELF_CYCLE",IF(N221&lt;MinHistory,"INSUFFICIENT_HISTORY",IF(NOT(J221),"INSUFFICIENT_IN_STOCK",IF(OR(Q221="",Q221=0),"NO_PRIOR_BASE",IF(Q221&lt;LowBaseThreshold,"LOW_BASE_NOISE",IF(V221="Markdown Review","MARKDOWN_PEER_GAP",IF(V221="Reorder Candidate","REORDER_UPLIFT_COVER","NO_MATERIAL_CHANGE"))))))))</f>
        <v/>
      </c>
      <c r="X221" s="18">
        <f>IF(V221="Markdown Review","Markdown support",IF(V221="Reorder Candidate","Second reorder",IF(V221="Monitor","Monitor",IF(V221="Noise","Hold / collect data",IF(V221="Not Ready","Not ready","")))))</f>
        <v/>
      </c>
      <c r="Y221" s="18">
        <f>IF(OR(R221="",T221=""),"",ABS(R221)+ABS(T221))</f>
        <v/>
      </c>
      <c r="Z221" s="21">
        <f>IF(OR(B221="",NOT(O221),R221=""),"",IF(ABS(R221)&gt;=MaterialThreshold,"Yes","No"))</f>
        <v/>
      </c>
      <c r="AA221" s="18">
        <f>IF(Z221&lt;&gt;"Yes","",IF(ABS(R221)&gt;=MaterialThreshold,IF(ABS(R221)&gt;=BroadShare,"Broad SKU movement","Store-concentrated movement"),""))</f>
        <v/>
      </c>
      <c r="AB221" s="18">
        <f>IF(O221,IF(COUNTIFS($O$5:O221,TRUE)&gt;0,COUNTIFS($O$5:O221,TRUE),0),0)</f>
        <v/>
      </c>
      <c r="AC221" s="18">
        <f>IF(V221="Markdown Review",1,IF(V221="Reorder Candidate",2,IF(V221="Monitor",3,IF(V221="Noise",4,IF(V221="Not Ready",5,99)))))</f>
        <v/>
      </c>
      <c r="AD221" s="18">
        <f>IF(O221,COUNTIFS($O$5:$O$504,TRUE,$AC$5:$AC$504,"&lt;"&amp;AC221)+COUNTIFS($O$5:O221,TRUE,$AC$5:AC221,AC221,$Y$5:Y221,"&gt;"&amp;Y221),0)</f>
        <v/>
      </c>
    </row>
    <row r="222">
      <c r="A222" s="17">
        <f>IF(COUNTA('Weekly Input'!A222:C222)=0,"",'Weekly Input'!B222&amp;"|"&amp;'Weekly Input'!C222&amp;"|"&amp;TEXT('Weekly Input'!A222,"yyyy-mm-dd"))</f>
        <v/>
      </c>
      <c r="B222" s="18">
        <f>'Weekly Input'!B222</f>
        <v/>
      </c>
      <c r="C222" s="18">
        <f>'Weekly Input'!C222</f>
        <v/>
      </c>
      <c r="D222" s="18">
        <f>IF(B222="","",IFERROR(INDEX('Master Data'!$B$6:$B$145,MATCH(B222,'Master Data'!$A$6:$A$145,0)),""))</f>
        <v/>
      </c>
      <c r="E222" s="18">
        <f>IF(C222="","",IFERROR(INDEX('Master Data'!$H$6:$H$13,MATCH(C222,'Master Data'!$F$6:$F$13,0)),""))</f>
        <v/>
      </c>
      <c r="F222" s="19">
        <f>'Weekly Input'!A222</f>
        <v/>
      </c>
      <c r="G222" s="19">
        <f>IF(B222="","",IFERROR(INDEX('Master Data'!$D$6:$D$145,MATCH(B222,'Master Data'!$A$6:$A$145,0)),""))</f>
        <v/>
      </c>
      <c r="H222" s="18">
        <f>IF(OR(F222="",G222=""),"",F222-G222)</f>
        <v/>
      </c>
      <c r="I222" s="18">
        <f>IF(B222="","",IF('Weekly Input'!J222="OK",TRUE,FALSE))</f>
        <v/>
      </c>
      <c r="J222" s="18">
        <f>IF(B222="","",'Weekly Input'!H222&gt;=MinInStockDays)</f>
        <v/>
      </c>
      <c r="K222" s="18">
        <f>IF(B222="","",H222&gt;=FullCycleMin)</f>
        <v/>
      </c>
      <c r="L222" s="18">
        <f>IF(B222="","",AND(I222,J222,K222,N222&gt;=MinHistory))</f>
        <v/>
      </c>
      <c r="M222" s="20">
        <f>IF(OR(B222="",'Weekly Input'!H222=0),"",'Weekly Input'!D222/'Weekly Input'!H222*7)</f>
        <v/>
      </c>
      <c r="N222" s="18">
        <f>IF(B222="","",COUNTIFS($B$5:$B$504,B222,$C$5:$C$504,C222,$I$5:$I$504,TRUE,$J$5:$J$504,TRUE,$K$5:$K$504,TRUE))</f>
        <v/>
      </c>
      <c r="O222" s="18">
        <f>IF(B222="","",AND(F222=AsOfWeek,AsOfWeek&lt;&gt;""))</f>
        <v/>
      </c>
      <c r="P222" s="20">
        <f>IF(OR(B222="",AsOfWeek=""),"",IFERROR(SUMIFS($M$5:$M$504,$B$5:$B$504,B222,$C$5:$C$504,C222,$L$5:$L$504,TRUE,$F$5:$F$504,"&gt;="&amp;AsOfWeek-7*(RecentWeeks-1),$F$5:$F$504,"&lt;="&amp;AsOfWeek),""))</f>
        <v/>
      </c>
      <c r="Q222" s="20">
        <f>IF(OR(B222="",AsOfWeek=""),"",IFERROR(SUMIFS($M$5:$M$504,$B$5:$B$504,B222,$C$5:$C$504,C222,$L$5:$L$504,TRUE,$F$5:$F$504,"&gt;="&amp;AsOfWeek-7*(RecentWeeks+PriorWeeks-1),$F$5:$F$504,"&lt;"&amp;AsOfWeek-7*(RecentWeeks-1)),""))</f>
        <v/>
      </c>
      <c r="R222" s="21">
        <f>IF(OR(P222="",Q222="",Q222=0),"",P222/Q222-1)</f>
        <v/>
      </c>
      <c r="S222" s="20">
        <f>IF(OR(C222="",AsOfWeek=""),"",IFERROR(AVERAGEIFS($M$5:$M$504,$C$5:$C$504,C222,$L$5:$L$504,TRUE,$F$5:$F$504,"&gt;="&amp;AsOfWeek-7*(RecentWeeks-1),$F$5:$F$504,"&lt;="&amp;AsOfWeek),""))</f>
        <v/>
      </c>
      <c r="T222" s="21">
        <f>IF(OR(P222="",S222=""),"",P222/S222-1)</f>
        <v/>
      </c>
      <c r="U222" s="22">
        <f>IF(OR(B222="",'Weekly Input'!G222="",P222="",P222=0),"",'Weekly Input'!G222/P222)</f>
        <v/>
      </c>
      <c r="V222" s="18">
        <f>IF(B222="","",IF(NOT(I222),"Not Ready",IF(NOT(K222),"Not Ready",IF(N222&lt;MinHistory,"Not Ready",IF(NOT(J222),"Not Ready",IF(OR(Q222="",Q222=0),"Noise",IF(Q222&lt;LowBaseThreshold,"Noise",IF(AND(R222&lt;=-OwnDecline,T222&lt;=-PeerGapThreshold),"Markdown Review",IF(AND(R222&gt;=ReorderUplift,U222&lt;&gt;"",U222&lt;=WeeksSupplyCap),"Reorder Candidate","Monitor"))))))))</f>
        <v/>
      </c>
      <c r="W222" s="18">
        <f>IF(B222="","",IF(NOT(I222),"INVALID_MASTER",IF(NOT(K222),"INCOMPLETE_SHELF_CYCLE",IF(N222&lt;MinHistory,"INSUFFICIENT_HISTORY",IF(NOT(J222),"INSUFFICIENT_IN_STOCK",IF(OR(Q222="",Q222=0),"NO_PRIOR_BASE",IF(Q222&lt;LowBaseThreshold,"LOW_BASE_NOISE",IF(V222="Markdown Review","MARKDOWN_PEER_GAP",IF(V222="Reorder Candidate","REORDER_UPLIFT_COVER","NO_MATERIAL_CHANGE"))))))))</f>
        <v/>
      </c>
      <c r="X222" s="18">
        <f>IF(V222="Markdown Review","Markdown support",IF(V222="Reorder Candidate","Second reorder",IF(V222="Monitor","Monitor",IF(V222="Noise","Hold / collect data",IF(V222="Not Ready","Not ready","")))))</f>
        <v/>
      </c>
      <c r="Y222" s="18">
        <f>IF(OR(R222="",T222=""),"",ABS(R222)+ABS(T222))</f>
        <v/>
      </c>
      <c r="Z222" s="21">
        <f>IF(OR(B222="",NOT(O222),R222=""),"",IF(ABS(R222)&gt;=MaterialThreshold,"Yes","No"))</f>
        <v/>
      </c>
      <c r="AA222" s="18">
        <f>IF(Z222&lt;&gt;"Yes","",IF(ABS(R222)&gt;=MaterialThreshold,IF(ABS(R222)&gt;=BroadShare,"Broad SKU movement","Store-concentrated movement"),""))</f>
        <v/>
      </c>
      <c r="AB222" s="18">
        <f>IF(O222,IF(COUNTIFS($O$5:O222,TRUE)&gt;0,COUNTIFS($O$5:O222,TRUE),0),0)</f>
        <v/>
      </c>
      <c r="AC222" s="18">
        <f>IF(V222="Markdown Review",1,IF(V222="Reorder Candidate",2,IF(V222="Monitor",3,IF(V222="Noise",4,IF(V222="Not Ready",5,99)))))</f>
        <v/>
      </c>
      <c r="AD222" s="18">
        <f>IF(O222,COUNTIFS($O$5:$O$504,TRUE,$AC$5:$AC$504,"&lt;"&amp;AC222)+COUNTIFS($O$5:O222,TRUE,$AC$5:AC222,AC222,$Y$5:Y222,"&gt;"&amp;Y222),0)</f>
        <v/>
      </c>
    </row>
    <row r="223">
      <c r="A223" s="17">
        <f>IF(COUNTA('Weekly Input'!A223:C223)=0,"",'Weekly Input'!B223&amp;"|"&amp;'Weekly Input'!C223&amp;"|"&amp;TEXT('Weekly Input'!A223,"yyyy-mm-dd"))</f>
        <v/>
      </c>
      <c r="B223" s="18">
        <f>'Weekly Input'!B223</f>
        <v/>
      </c>
      <c r="C223" s="18">
        <f>'Weekly Input'!C223</f>
        <v/>
      </c>
      <c r="D223" s="18">
        <f>IF(B223="","",IFERROR(INDEX('Master Data'!$B$6:$B$145,MATCH(B223,'Master Data'!$A$6:$A$145,0)),""))</f>
        <v/>
      </c>
      <c r="E223" s="18">
        <f>IF(C223="","",IFERROR(INDEX('Master Data'!$H$6:$H$13,MATCH(C223,'Master Data'!$F$6:$F$13,0)),""))</f>
        <v/>
      </c>
      <c r="F223" s="19">
        <f>'Weekly Input'!A223</f>
        <v/>
      </c>
      <c r="G223" s="19">
        <f>IF(B223="","",IFERROR(INDEX('Master Data'!$D$6:$D$145,MATCH(B223,'Master Data'!$A$6:$A$145,0)),""))</f>
        <v/>
      </c>
      <c r="H223" s="18">
        <f>IF(OR(F223="",G223=""),"",F223-G223)</f>
        <v/>
      </c>
      <c r="I223" s="18">
        <f>IF(B223="","",IF('Weekly Input'!J223="OK",TRUE,FALSE))</f>
        <v/>
      </c>
      <c r="J223" s="18">
        <f>IF(B223="","",'Weekly Input'!H223&gt;=MinInStockDays)</f>
        <v/>
      </c>
      <c r="K223" s="18">
        <f>IF(B223="","",H223&gt;=FullCycleMin)</f>
        <v/>
      </c>
      <c r="L223" s="18">
        <f>IF(B223="","",AND(I223,J223,K223,N223&gt;=MinHistory))</f>
        <v/>
      </c>
      <c r="M223" s="20">
        <f>IF(OR(B223="",'Weekly Input'!H223=0),"",'Weekly Input'!D223/'Weekly Input'!H223*7)</f>
        <v/>
      </c>
      <c r="N223" s="18">
        <f>IF(B223="","",COUNTIFS($B$5:$B$504,B223,$C$5:$C$504,C223,$I$5:$I$504,TRUE,$J$5:$J$504,TRUE,$K$5:$K$504,TRUE))</f>
        <v/>
      </c>
      <c r="O223" s="18">
        <f>IF(B223="","",AND(F223=AsOfWeek,AsOfWeek&lt;&gt;""))</f>
        <v/>
      </c>
      <c r="P223" s="20">
        <f>IF(OR(B223="",AsOfWeek=""),"",IFERROR(SUMIFS($M$5:$M$504,$B$5:$B$504,B223,$C$5:$C$504,C223,$L$5:$L$504,TRUE,$F$5:$F$504,"&gt;="&amp;AsOfWeek-7*(RecentWeeks-1),$F$5:$F$504,"&lt;="&amp;AsOfWeek),""))</f>
        <v/>
      </c>
      <c r="Q223" s="20">
        <f>IF(OR(B223="",AsOfWeek=""),"",IFERROR(SUMIFS($M$5:$M$504,$B$5:$B$504,B223,$C$5:$C$504,C223,$L$5:$L$504,TRUE,$F$5:$F$504,"&gt;="&amp;AsOfWeek-7*(RecentWeeks+PriorWeeks-1),$F$5:$F$504,"&lt;"&amp;AsOfWeek-7*(RecentWeeks-1)),""))</f>
        <v/>
      </c>
      <c r="R223" s="21">
        <f>IF(OR(P223="",Q223="",Q223=0),"",P223/Q223-1)</f>
        <v/>
      </c>
      <c r="S223" s="20">
        <f>IF(OR(C223="",AsOfWeek=""),"",IFERROR(AVERAGEIFS($M$5:$M$504,$C$5:$C$504,C223,$L$5:$L$504,TRUE,$F$5:$F$504,"&gt;="&amp;AsOfWeek-7*(RecentWeeks-1),$F$5:$F$504,"&lt;="&amp;AsOfWeek),""))</f>
        <v/>
      </c>
      <c r="T223" s="21">
        <f>IF(OR(P223="",S223=""),"",P223/S223-1)</f>
        <v/>
      </c>
      <c r="U223" s="22">
        <f>IF(OR(B223="",'Weekly Input'!G223="",P223="",P223=0),"",'Weekly Input'!G223/P223)</f>
        <v/>
      </c>
      <c r="V223" s="18">
        <f>IF(B223="","",IF(NOT(I223),"Not Ready",IF(NOT(K223),"Not Ready",IF(N223&lt;MinHistory,"Not Ready",IF(NOT(J223),"Not Ready",IF(OR(Q223="",Q223=0),"Noise",IF(Q223&lt;LowBaseThreshold,"Noise",IF(AND(R223&lt;=-OwnDecline,T223&lt;=-PeerGapThreshold),"Markdown Review",IF(AND(R223&gt;=ReorderUplift,U223&lt;&gt;"",U223&lt;=WeeksSupplyCap),"Reorder Candidate","Monitor"))))))))</f>
        <v/>
      </c>
      <c r="W223" s="18">
        <f>IF(B223="","",IF(NOT(I223),"INVALID_MASTER",IF(NOT(K223),"INCOMPLETE_SHELF_CYCLE",IF(N223&lt;MinHistory,"INSUFFICIENT_HISTORY",IF(NOT(J223),"INSUFFICIENT_IN_STOCK",IF(OR(Q223="",Q223=0),"NO_PRIOR_BASE",IF(Q223&lt;LowBaseThreshold,"LOW_BASE_NOISE",IF(V223="Markdown Review","MARKDOWN_PEER_GAP",IF(V223="Reorder Candidate","REORDER_UPLIFT_COVER","NO_MATERIAL_CHANGE"))))))))</f>
        <v/>
      </c>
      <c r="X223" s="18">
        <f>IF(V223="Markdown Review","Markdown support",IF(V223="Reorder Candidate","Second reorder",IF(V223="Monitor","Monitor",IF(V223="Noise","Hold / collect data",IF(V223="Not Ready","Not ready","")))))</f>
        <v/>
      </c>
      <c r="Y223" s="18">
        <f>IF(OR(R223="",T223=""),"",ABS(R223)+ABS(T223))</f>
        <v/>
      </c>
      <c r="Z223" s="21">
        <f>IF(OR(B223="",NOT(O223),R223=""),"",IF(ABS(R223)&gt;=MaterialThreshold,"Yes","No"))</f>
        <v/>
      </c>
      <c r="AA223" s="18">
        <f>IF(Z223&lt;&gt;"Yes","",IF(ABS(R223)&gt;=MaterialThreshold,IF(ABS(R223)&gt;=BroadShare,"Broad SKU movement","Store-concentrated movement"),""))</f>
        <v/>
      </c>
      <c r="AB223" s="18">
        <f>IF(O223,IF(COUNTIFS($O$5:O223,TRUE)&gt;0,COUNTIFS($O$5:O223,TRUE),0),0)</f>
        <v/>
      </c>
      <c r="AC223" s="18">
        <f>IF(V223="Markdown Review",1,IF(V223="Reorder Candidate",2,IF(V223="Monitor",3,IF(V223="Noise",4,IF(V223="Not Ready",5,99)))))</f>
        <v/>
      </c>
      <c r="AD223" s="18">
        <f>IF(O223,COUNTIFS($O$5:$O$504,TRUE,$AC$5:$AC$504,"&lt;"&amp;AC223)+COUNTIFS($O$5:O223,TRUE,$AC$5:AC223,AC223,$Y$5:Y223,"&gt;"&amp;Y223),0)</f>
        <v/>
      </c>
    </row>
    <row r="224">
      <c r="A224" s="17">
        <f>IF(COUNTA('Weekly Input'!A224:C224)=0,"",'Weekly Input'!B224&amp;"|"&amp;'Weekly Input'!C224&amp;"|"&amp;TEXT('Weekly Input'!A224,"yyyy-mm-dd"))</f>
        <v/>
      </c>
      <c r="B224" s="18">
        <f>'Weekly Input'!B224</f>
        <v/>
      </c>
      <c r="C224" s="18">
        <f>'Weekly Input'!C224</f>
        <v/>
      </c>
      <c r="D224" s="18">
        <f>IF(B224="","",IFERROR(INDEX('Master Data'!$B$6:$B$145,MATCH(B224,'Master Data'!$A$6:$A$145,0)),""))</f>
        <v/>
      </c>
      <c r="E224" s="18">
        <f>IF(C224="","",IFERROR(INDEX('Master Data'!$H$6:$H$13,MATCH(C224,'Master Data'!$F$6:$F$13,0)),""))</f>
        <v/>
      </c>
      <c r="F224" s="19">
        <f>'Weekly Input'!A224</f>
        <v/>
      </c>
      <c r="G224" s="19">
        <f>IF(B224="","",IFERROR(INDEX('Master Data'!$D$6:$D$145,MATCH(B224,'Master Data'!$A$6:$A$145,0)),""))</f>
        <v/>
      </c>
      <c r="H224" s="18">
        <f>IF(OR(F224="",G224=""),"",F224-G224)</f>
        <v/>
      </c>
      <c r="I224" s="18">
        <f>IF(B224="","",IF('Weekly Input'!J224="OK",TRUE,FALSE))</f>
        <v/>
      </c>
      <c r="J224" s="18">
        <f>IF(B224="","",'Weekly Input'!H224&gt;=MinInStockDays)</f>
        <v/>
      </c>
      <c r="K224" s="18">
        <f>IF(B224="","",H224&gt;=FullCycleMin)</f>
        <v/>
      </c>
      <c r="L224" s="18">
        <f>IF(B224="","",AND(I224,J224,K224,N224&gt;=MinHistory))</f>
        <v/>
      </c>
      <c r="M224" s="20">
        <f>IF(OR(B224="",'Weekly Input'!H224=0),"",'Weekly Input'!D224/'Weekly Input'!H224*7)</f>
        <v/>
      </c>
      <c r="N224" s="18">
        <f>IF(B224="","",COUNTIFS($B$5:$B$504,B224,$C$5:$C$504,C224,$I$5:$I$504,TRUE,$J$5:$J$504,TRUE,$K$5:$K$504,TRUE))</f>
        <v/>
      </c>
      <c r="O224" s="18">
        <f>IF(B224="","",AND(F224=AsOfWeek,AsOfWeek&lt;&gt;""))</f>
        <v/>
      </c>
      <c r="P224" s="20">
        <f>IF(OR(B224="",AsOfWeek=""),"",IFERROR(SUMIFS($M$5:$M$504,$B$5:$B$504,B224,$C$5:$C$504,C224,$L$5:$L$504,TRUE,$F$5:$F$504,"&gt;="&amp;AsOfWeek-7*(RecentWeeks-1),$F$5:$F$504,"&lt;="&amp;AsOfWeek),""))</f>
        <v/>
      </c>
      <c r="Q224" s="20">
        <f>IF(OR(B224="",AsOfWeek=""),"",IFERROR(SUMIFS($M$5:$M$504,$B$5:$B$504,B224,$C$5:$C$504,C224,$L$5:$L$504,TRUE,$F$5:$F$504,"&gt;="&amp;AsOfWeek-7*(RecentWeeks+PriorWeeks-1),$F$5:$F$504,"&lt;"&amp;AsOfWeek-7*(RecentWeeks-1)),""))</f>
        <v/>
      </c>
      <c r="R224" s="21">
        <f>IF(OR(P224="",Q224="",Q224=0),"",P224/Q224-1)</f>
        <v/>
      </c>
      <c r="S224" s="20">
        <f>IF(OR(C224="",AsOfWeek=""),"",IFERROR(AVERAGEIFS($M$5:$M$504,$C$5:$C$504,C224,$L$5:$L$504,TRUE,$F$5:$F$504,"&gt;="&amp;AsOfWeek-7*(RecentWeeks-1),$F$5:$F$504,"&lt;="&amp;AsOfWeek),""))</f>
        <v/>
      </c>
      <c r="T224" s="21">
        <f>IF(OR(P224="",S224=""),"",P224/S224-1)</f>
        <v/>
      </c>
      <c r="U224" s="22">
        <f>IF(OR(B224="",'Weekly Input'!G224="",P224="",P224=0),"",'Weekly Input'!G224/P224)</f>
        <v/>
      </c>
      <c r="V224" s="18">
        <f>IF(B224="","",IF(NOT(I224),"Not Ready",IF(NOT(K224),"Not Ready",IF(N224&lt;MinHistory,"Not Ready",IF(NOT(J224),"Not Ready",IF(OR(Q224="",Q224=0),"Noise",IF(Q224&lt;LowBaseThreshold,"Noise",IF(AND(R224&lt;=-OwnDecline,T224&lt;=-PeerGapThreshold),"Markdown Review",IF(AND(R224&gt;=ReorderUplift,U224&lt;&gt;"",U224&lt;=WeeksSupplyCap),"Reorder Candidate","Monitor"))))))))</f>
        <v/>
      </c>
      <c r="W224" s="18">
        <f>IF(B224="","",IF(NOT(I224),"INVALID_MASTER",IF(NOT(K224),"INCOMPLETE_SHELF_CYCLE",IF(N224&lt;MinHistory,"INSUFFICIENT_HISTORY",IF(NOT(J224),"INSUFFICIENT_IN_STOCK",IF(OR(Q224="",Q224=0),"NO_PRIOR_BASE",IF(Q224&lt;LowBaseThreshold,"LOW_BASE_NOISE",IF(V224="Markdown Review","MARKDOWN_PEER_GAP",IF(V224="Reorder Candidate","REORDER_UPLIFT_COVER","NO_MATERIAL_CHANGE"))))))))</f>
        <v/>
      </c>
      <c r="X224" s="18">
        <f>IF(V224="Markdown Review","Markdown support",IF(V224="Reorder Candidate","Second reorder",IF(V224="Monitor","Monitor",IF(V224="Noise","Hold / collect data",IF(V224="Not Ready","Not ready","")))))</f>
        <v/>
      </c>
      <c r="Y224" s="18">
        <f>IF(OR(R224="",T224=""),"",ABS(R224)+ABS(T224))</f>
        <v/>
      </c>
      <c r="Z224" s="21">
        <f>IF(OR(B224="",NOT(O224),R224=""),"",IF(ABS(R224)&gt;=MaterialThreshold,"Yes","No"))</f>
        <v/>
      </c>
      <c r="AA224" s="18">
        <f>IF(Z224&lt;&gt;"Yes","",IF(ABS(R224)&gt;=MaterialThreshold,IF(ABS(R224)&gt;=BroadShare,"Broad SKU movement","Store-concentrated movement"),""))</f>
        <v/>
      </c>
      <c r="AB224" s="18">
        <f>IF(O224,IF(COUNTIFS($O$5:O224,TRUE)&gt;0,COUNTIFS($O$5:O224,TRUE),0),0)</f>
        <v/>
      </c>
      <c r="AC224" s="18">
        <f>IF(V224="Markdown Review",1,IF(V224="Reorder Candidate",2,IF(V224="Monitor",3,IF(V224="Noise",4,IF(V224="Not Ready",5,99)))))</f>
        <v/>
      </c>
      <c r="AD224" s="18">
        <f>IF(O224,COUNTIFS($O$5:$O$504,TRUE,$AC$5:$AC$504,"&lt;"&amp;AC224)+COUNTIFS($O$5:O224,TRUE,$AC$5:AC224,AC224,$Y$5:Y224,"&gt;"&amp;Y224),0)</f>
        <v/>
      </c>
    </row>
    <row r="225">
      <c r="A225" s="17">
        <f>IF(COUNTA('Weekly Input'!A225:C225)=0,"",'Weekly Input'!B225&amp;"|"&amp;'Weekly Input'!C225&amp;"|"&amp;TEXT('Weekly Input'!A225,"yyyy-mm-dd"))</f>
        <v/>
      </c>
      <c r="B225" s="18">
        <f>'Weekly Input'!B225</f>
        <v/>
      </c>
      <c r="C225" s="18">
        <f>'Weekly Input'!C225</f>
        <v/>
      </c>
      <c r="D225" s="18">
        <f>IF(B225="","",IFERROR(INDEX('Master Data'!$B$6:$B$145,MATCH(B225,'Master Data'!$A$6:$A$145,0)),""))</f>
        <v/>
      </c>
      <c r="E225" s="18">
        <f>IF(C225="","",IFERROR(INDEX('Master Data'!$H$6:$H$13,MATCH(C225,'Master Data'!$F$6:$F$13,0)),""))</f>
        <v/>
      </c>
      <c r="F225" s="19">
        <f>'Weekly Input'!A225</f>
        <v/>
      </c>
      <c r="G225" s="19">
        <f>IF(B225="","",IFERROR(INDEX('Master Data'!$D$6:$D$145,MATCH(B225,'Master Data'!$A$6:$A$145,0)),""))</f>
        <v/>
      </c>
      <c r="H225" s="18">
        <f>IF(OR(F225="",G225=""),"",F225-G225)</f>
        <v/>
      </c>
      <c r="I225" s="18">
        <f>IF(B225="","",IF('Weekly Input'!J225="OK",TRUE,FALSE))</f>
        <v/>
      </c>
      <c r="J225" s="18">
        <f>IF(B225="","",'Weekly Input'!H225&gt;=MinInStockDays)</f>
        <v/>
      </c>
      <c r="K225" s="18">
        <f>IF(B225="","",H225&gt;=FullCycleMin)</f>
        <v/>
      </c>
      <c r="L225" s="18">
        <f>IF(B225="","",AND(I225,J225,K225,N225&gt;=MinHistory))</f>
        <v/>
      </c>
      <c r="M225" s="20">
        <f>IF(OR(B225="",'Weekly Input'!H225=0),"",'Weekly Input'!D225/'Weekly Input'!H225*7)</f>
        <v/>
      </c>
      <c r="N225" s="18">
        <f>IF(B225="","",COUNTIFS($B$5:$B$504,B225,$C$5:$C$504,C225,$I$5:$I$504,TRUE,$J$5:$J$504,TRUE,$K$5:$K$504,TRUE))</f>
        <v/>
      </c>
      <c r="O225" s="18">
        <f>IF(B225="","",AND(F225=AsOfWeek,AsOfWeek&lt;&gt;""))</f>
        <v/>
      </c>
      <c r="P225" s="20">
        <f>IF(OR(B225="",AsOfWeek=""),"",IFERROR(SUMIFS($M$5:$M$504,$B$5:$B$504,B225,$C$5:$C$504,C225,$L$5:$L$504,TRUE,$F$5:$F$504,"&gt;="&amp;AsOfWeek-7*(RecentWeeks-1),$F$5:$F$504,"&lt;="&amp;AsOfWeek),""))</f>
        <v/>
      </c>
      <c r="Q225" s="20">
        <f>IF(OR(B225="",AsOfWeek=""),"",IFERROR(SUMIFS($M$5:$M$504,$B$5:$B$504,B225,$C$5:$C$504,C225,$L$5:$L$504,TRUE,$F$5:$F$504,"&gt;="&amp;AsOfWeek-7*(RecentWeeks+PriorWeeks-1),$F$5:$F$504,"&lt;"&amp;AsOfWeek-7*(RecentWeeks-1)),""))</f>
        <v/>
      </c>
      <c r="R225" s="21">
        <f>IF(OR(P225="",Q225="",Q225=0),"",P225/Q225-1)</f>
        <v/>
      </c>
      <c r="S225" s="20">
        <f>IF(OR(C225="",AsOfWeek=""),"",IFERROR(AVERAGEIFS($M$5:$M$504,$C$5:$C$504,C225,$L$5:$L$504,TRUE,$F$5:$F$504,"&gt;="&amp;AsOfWeek-7*(RecentWeeks-1),$F$5:$F$504,"&lt;="&amp;AsOfWeek),""))</f>
        <v/>
      </c>
      <c r="T225" s="21">
        <f>IF(OR(P225="",S225=""),"",P225/S225-1)</f>
        <v/>
      </c>
      <c r="U225" s="22">
        <f>IF(OR(B225="",'Weekly Input'!G225="",P225="",P225=0),"",'Weekly Input'!G225/P225)</f>
        <v/>
      </c>
      <c r="V225" s="18">
        <f>IF(B225="","",IF(NOT(I225),"Not Ready",IF(NOT(K225),"Not Ready",IF(N225&lt;MinHistory,"Not Ready",IF(NOT(J225),"Not Ready",IF(OR(Q225="",Q225=0),"Noise",IF(Q225&lt;LowBaseThreshold,"Noise",IF(AND(R225&lt;=-OwnDecline,T225&lt;=-PeerGapThreshold),"Markdown Review",IF(AND(R225&gt;=ReorderUplift,U225&lt;&gt;"",U225&lt;=WeeksSupplyCap),"Reorder Candidate","Monitor"))))))))</f>
        <v/>
      </c>
      <c r="W225" s="18">
        <f>IF(B225="","",IF(NOT(I225),"INVALID_MASTER",IF(NOT(K225),"INCOMPLETE_SHELF_CYCLE",IF(N225&lt;MinHistory,"INSUFFICIENT_HISTORY",IF(NOT(J225),"INSUFFICIENT_IN_STOCK",IF(OR(Q225="",Q225=0),"NO_PRIOR_BASE",IF(Q225&lt;LowBaseThreshold,"LOW_BASE_NOISE",IF(V225="Markdown Review","MARKDOWN_PEER_GAP",IF(V225="Reorder Candidate","REORDER_UPLIFT_COVER","NO_MATERIAL_CHANGE"))))))))</f>
        <v/>
      </c>
      <c r="X225" s="18">
        <f>IF(V225="Markdown Review","Markdown support",IF(V225="Reorder Candidate","Second reorder",IF(V225="Monitor","Monitor",IF(V225="Noise","Hold / collect data",IF(V225="Not Ready","Not ready","")))))</f>
        <v/>
      </c>
      <c r="Y225" s="18">
        <f>IF(OR(R225="",T225=""),"",ABS(R225)+ABS(T225))</f>
        <v/>
      </c>
      <c r="Z225" s="21">
        <f>IF(OR(B225="",NOT(O225),R225=""),"",IF(ABS(R225)&gt;=MaterialThreshold,"Yes","No"))</f>
        <v/>
      </c>
      <c r="AA225" s="18">
        <f>IF(Z225&lt;&gt;"Yes","",IF(ABS(R225)&gt;=MaterialThreshold,IF(ABS(R225)&gt;=BroadShare,"Broad SKU movement","Store-concentrated movement"),""))</f>
        <v/>
      </c>
      <c r="AB225" s="18">
        <f>IF(O225,IF(COUNTIFS($O$5:O225,TRUE)&gt;0,COUNTIFS($O$5:O225,TRUE),0),0)</f>
        <v/>
      </c>
      <c r="AC225" s="18">
        <f>IF(V225="Markdown Review",1,IF(V225="Reorder Candidate",2,IF(V225="Monitor",3,IF(V225="Noise",4,IF(V225="Not Ready",5,99)))))</f>
        <v/>
      </c>
      <c r="AD225" s="18">
        <f>IF(O225,COUNTIFS($O$5:$O$504,TRUE,$AC$5:$AC$504,"&lt;"&amp;AC225)+COUNTIFS($O$5:O225,TRUE,$AC$5:AC225,AC225,$Y$5:Y225,"&gt;"&amp;Y225),0)</f>
        <v/>
      </c>
    </row>
    <row r="226">
      <c r="A226" s="17">
        <f>IF(COUNTA('Weekly Input'!A226:C226)=0,"",'Weekly Input'!B226&amp;"|"&amp;'Weekly Input'!C226&amp;"|"&amp;TEXT('Weekly Input'!A226,"yyyy-mm-dd"))</f>
        <v/>
      </c>
      <c r="B226" s="18">
        <f>'Weekly Input'!B226</f>
        <v/>
      </c>
      <c r="C226" s="18">
        <f>'Weekly Input'!C226</f>
        <v/>
      </c>
      <c r="D226" s="18">
        <f>IF(B226="","",IFERROR(INDEX('Master Data'!$B$6:$B$145,MATCH(B226,'Master Data'!$A$6:$A$145,0)),""))</f>
        <v/>
      </c>
      <c r="E226" s="18">
        <f>IF(C226="","",IFERROR(INDEX('Master Data'!$H$6:$H$13,MATCH(C226,'Master Data'!$F$6:$F$13,0)),""))</f>
        <v/>
      </c>
      <c r="F226" s="19">
        <f>'Weekly Input'!A226</f>
        <v/>
      </c>
      <c r="G226" s="19">
        <f>IF(B226="","",IFERROR(INDEX('Master Data'!$D$6:$D$145,MATCH(B226,'Master Data'!$A$6:$A$145,0)),""))</f>
        <v/>
      </c>
      <c r="H226" s="18">
        <f>IF(OR(F226="",G226=""),"",F226-G226)</f>
        <v/>
      </c>
      <c r="I226" s="18">
        <f>IF(B226="","",IF('Weekly Input'!J226="OK",TRUE,FALSE))</f>
        <v/>
      </c>
      <c r="J226" s="18">
        <f>IF(B226="","",'Weekly Input'!H226&gt;=MinInStockDays)</f>
        <v/>
      </c>
      <c r="K226" s="18">
        <f>IF(B226="","",H226&gt;=FullCycleMin)</f>
        <v/>
      </c>
      <c r="L226" s="18">
        <f>IF(B226="","",AND(I226,J226,K226,N226&gt;=MinHistory))</f>
        <v/>
      </c>
      <c r="M226" s="20">
        <f>IF(OR(B226="",'Weekly Input'!H226=0),"",'Weekly Input'!D226/'Weekly Input'!H226*7)</f>
        <v/>
      </c>
      <c r="N226" s="18">
        <f>IF(B226="","",COUNTIFS($B$5:$B$504,B226,$C$5:$C$504,C226,$I$5:$I$504,TRUE,$J$5:$J$504,TRUE,$K$5:$K$504,TRUE))</f>
        <v/>
      </c>
      <c r="O226" s="18">
        <f>IF(B226="","",AND(F226=AsOfWeek,AsOfWeek&lt;&gt;""))</f>
        <v/>
      </c>
      <c r="P226" s="20">
        <f>IF(OR(B226="",AsOfWeek=""),"",IFERROR(SUMIFS($M$5:$M$504,$B$5:$B$504,B226,$C$5:$C$504,C226,$L$5:$L$504,TRUE,$F$5:$F$504,"&gt;="&amp;AsOfWeek-7*(RecentWeeks-1),$F$5:$F$504,"&lt;="&amp;AsOfWeek),""))</f>
        <v/>
      </c>
      <c r="Q226" s="20">
        <f>IF(OR(B226="",AsOfWeek=""),"",IFERROR(SUMIFS($M$5:$M$504,$B$5:$B$504,B226,$C$5:$C$504,C226,$L$5:$L$504,TRUE,$F$5:$F$504,"&gt;="&amp;AsOfWeek-7*(RecentWeeks+PriorWeeks-1),$F$5:$F$504,"&lt;"&amp;AsOfWeek-7*(RecentWeeks-1)),""))</f>
        <v/>
      </c>
      <c r="R226" s="21">
        <f>IF(OR(P226="",Q226="",Q226=0),"",P226/Q226-1)</f>
        <v/>
      </c>
      <c r="S226" s="20">
        <f>IF(OR(C226="",AsOfWeek=""),"",IFERROR(AVERAGEIFS($M$5:$M$504,$C$5:$C$504,C226,$L$5:$L$504,TRUE,$F$5:$F$504,"&gt;="&amp;AsOfWeek-7*(RecentWeeks-1),$F$5:$F$504,"&lt;="&amp;AsOfWeek),""))</f>
        <v/>
      </c>
      <c r="T226" s="21">
        <f>IF(OR(P226="",S226=""),"",P226/S226-1)</f>
        <v/>
      </c>
      <c r="U226" s="22">
        <f>IF(OR(B226="",'Weekly Input'!G226="",P226="",P226=0),"",'Weekly Input'!G226/P226)</f>
        <v/>
      </c>
      <c r="V226" s="18">
        <f>IF(B226="","",IF(NOT(I226),"Not Ready",IF(NOT(K226),"Not Ready",IF(N226&lt;MinHistory,"Not Ready",IF(NOT(J226),"Not Ready",IF(OR(Q226="",Q226=0),"Noise",IF(Q226&lt;LowBaseThreshold,"Noise",IF(AND(R226&lt;=-OwnDecline,T226&lt;=-PeerGapThreshold),"Markdown Review",IF(AND(R226&gt;=ReorderUplift,U226&lt;&gt;"",U226&lt;=WeeksSupplyCap),"Reorder Candidate","Monitor"))))))))</f>
        <v/>
      </c>
      <c r="W226" s="18">
        <f>IF(B226="","",IF(NOT(I226),"INVALID_MASTER",IF(NOT(K226),"INCOMPLETE_SHELF_CYCLE",IF(N226&lt;MinHistory,"INSUFFICIENT_HISTORY",IF(NOT(J226),"INSUFFICIENT_IN_STOCK",IF(OR(Q226="",Q226=0),"NO_PRIOR_BASE",IF(Q226&lt;LowBaseThreshold,"LOW_BASE_NOISE",IF(V226="Markdown Review","MARKDOWN_PEER_GAP",IF(V226="Reorder Candidate","REORDER_UPLIFT_COVER","NO_MATERIAL_CHANGE"))))))))</f>
        <v/>
      </c>
      <c r="X226" s="18">
        <f>IF(V226="Markdown Review","Markdown support",IF(V226="Reorder Candidate","Second reorder",IF(V226="Monitor","Monitor",IF(V226="Noise","Hold / collect data",IF(V226="Not Ready","Not ready","")))))</f>
        <v/>
      </c>
      <c r="Y226" s="18">
        <f>IF(OR(R226="",T226=""),"",ABS(R226)+ABS(T226))</f>
        <v/>
      </c>
      <c r="Z226" s="21">
        <f>IF(OR(B226="",NOT(O226),R226=""),"",IF(ABS(R226)&gt;=MaterialThreshold,"Yes","No"))</f>
        <v/>
      </c>
      <c r="AA226" s="18">
        <f>IF(Z226&lt;&gt;"Yes","",IF(ABS(R226)&gt;=MaterialThreshold,IF(ABS(R226)&gt;=BroadShare,"Broad SKU movement","Store-concentrated movement"),""))</f>
        <v/>
      </c>
      <c r="AB226" s="18">
        <f>IF(O226,IF(COUNTIFS($O$5:O226,TRUE)&gt;0,COUNTIFS($O$5:O226,TRUE),0),0)</f>
        <v/>
      </c>
      <c r="AC226" s="18">
        <f>IF(V226="Markdown Review",1,IF(V226="Reorder Candidate",2,IF(V226="Monitor",3,IF(V226="Noise",4,IF(V226="Not Ready",5,99)))))</f>
        <v/>
      </c>
      <c r="AD226" s="18">
        <f>IF(O226,COUNTIFS($O$5:$O$504,TRUE,$AC$5:$AC$504,"&lt;"&amp;AC226)+COUNTIFS($O$5:O226,TRUE,$AC$5:AC226,AC226,$Y$5:Y226,"&gt;"&amp;Y226),0)</f>
        <v/>
      </c>
    </row>
    <row r="227">
      <c r="A227" s="17">
        <f>IF(COUNTA('Weekly Input'!A227:C227)=0,"",'Weekly Input'!B227&amp;"|"&amp;'Weekly Input'!C227&amp;"|"&amp;TEXT('Weekly Input'!A227,"yyyy-mm-dd"))</f>
        <v/>
      </c>
      <c r="B227" s="18">
        <f>'Weekly Input'!B227</f>
        <v/>
      </c>
      <c r="C227" s="18">
        <f>'Weekly Input'!C227</f>
        <v/>
      </c>
      <c r="D227" s="18">
        <f>IF(B227="","",IFERROR(INDEX('Master Data'!$B$6:$B$145,MATCH(B227,'Master Data'!$A$6:$A$145,0)),""))</f>
        <v/>
      </c>
      <c r="E227" s="18">
        <f>IF(C227="","",IFERROR(INDEX('Master Data'!$H$6:$H$13,MATCH(C227,'Master Data'!$F$6:$F$13,0)),""))</f>
        <v/>
      </c>
      <c r="F227" s="19">
        <f>'Weekly Input'!A227</f>
        <v/>
      </c>
      <c r="G227" s="19">
        <f>IF(B227="","",IFERROR(INDEX('Master Data'!$D$6:$D$145,MATCH(B227,'Master Data'!$A$6:$A$145,0)),""))</f>
        <v/>
      </c>
      <c r="H227" s="18">
        <f>IF(OR(F227="",G227=""),"",F227-G227)</f>
        <v/>
      </c>
      <c r="I227" s="18">
        <f>IF(B227="","",IF('Weekly Input'!J227="OK",TRUE,FALSE))</f>
        <v/>
      </c>
      <c r="J227" s="18">
        <f>IF(B227="","",'Weekly Input'!H227&gt;=MinInStockDays)</f>
        <v/>
      </c>
      <c r="K227" s="18">
        <f>IF(B227="","",H227&gt;=FullCycleMin)</f>
        <v/>
      </c>
      <c r="L227" s="18">
        <f>IF(B227="","",AND(I227,J227,K227,N227&gt;=MinHistory))</f>
        <v/>
      </c>
      <c r="M227" s="20">
        <f>IF(OR(B227="",'Weekly Input'!H227=0),"",'Weekly Input'!D227/'Weekly Input'!H227*7)</f>
        <v/>
      </c>
      <c r="N227" s="18">
        <f>IF(B227="","",COUNTIFS($B$5:$B$504,B227,$C$5:$C$504,C227,$I$5:$I$504,TRUE,$J$5:$J$504,TRUE,$K$5:$K$504,TRUE))</f>
        <v/>
      </c>
      <c r="O227" s="18">
        <f>IF(B227="","",AND(F227=AsOfWeek,AsOfWeek&lt;&gt;""))</f>
        <v/>
      </c>
      <c r="P227" s="20">
        <f>IF(OR(B227="",AsOfWeek=""),"",IFERROR(SUMIFS($M$5:$M$504,$B$5:$B$504,B227,$C$5:$C$504,C227,$L$5:$L$504,TRUE,$F$5:$F$504,"&gt;="&amp;AsOfWeek-7*(RecentWeeks-1),$F$5:$F$504,"&lt;="&amp;AsOfWeek),""))</f>
        <v/>
      </c>
      <c r="Q227" s="20">
        <f>IF(OR(B227="",AsOfWeek=""),"",IFERROR(SUMIFS($M$5:$M$504,$B$5:$B$504,B227,$C$5:$C$504,C227,$L$5:$L$504,TRUE,$F$5:$F$504,"&gt;="&amp;AsOfWeek-7*(RecentWeeks+PriorWeeks-1),$F$5:$F$504,"&lt;"&amp;AsOfWeek-7*(RecentWeeks-1)),""))</f>
        <v/>
      </c>
      <c r="R227" s="21">
        <f>IF(OR(P227="",Q227="",Q227=0),"",P227/Q227-1)</f>
        <v/>
      </c>
      <c r="S227" s="20">
        <f>IF(OR(C227="",AsOfWeek=""),"",IFERROR(AVERAGEIFS($M$5:$M$504,$C$5:$C$504,C227,$L$5:$L$504,TRUE,$F$5:$F$504,"&gt;="&amp;AsOfWeek-7*(RecentWeeks-1),$F$5:$F$504,"&lt;="&amp;AsOfWeek),""))</f>
        <v/>
      </c>
      <c r="T227" s="21">
        <f>IF(OR(P227="",S227=""),"",P227/S227-1)</f>
        <v/>
      </c>
      <c r="U227" s="22">
        <f>IF(OR(B227="",'Weekly Input'!G227="",P227="",P227=0),"",'Weekly Input'!G227/P227)</f>
        <v/>
      </c>
      <c r="V227" s="18">
        <f>IF(B227="","",IF(NOT(I227),"Not Ready",IF(NOT(K227),"Not Ready",IF(N227&lt;MinHistory,"Not Ready",IF(NOT(J227),"Not Ready",IF(OR(Q227="",Q227=0),"Noise",IF(Q227&lt;LowBaseThreshold,"Noise",IF(AND(R227&lt;=-OwnDecline,T227&lt;=-PeerGapThreshold),"Markdown Review",IF(AND(R227&gt;=ReorderUplift,U227&lt;&gt;"",U227&lt;=WeeksSupplyCap),"Reorder Candidate","Monitor"))))))))</f>
        <v/>
      </c>
      <c r="W227" s="18">
        <f>IF(B227="","",IF(NOT(I227),"INVALID_MASTER",IF(NOT(K227),"INCOMPLETE_SHELF_CYCLE",IF(N227&lt;MinHistory,"INSUFFICIENT_HISTORY",IF(NOT(J227),"INSUFFICIENT_IN_STOCK",IF(OR(Q227="",Q227=0),"NO_PRIOR_BASE",IF(Q227&lt;LowBaseThreshold,"LOW_BASE_NOISE",IF(V227="Markdown Review","MARKDOWN_PEER_GAP",IF(V227="Reorder Candidate","REORDER_UPLIFT_COVER","NO_MATERIAL_CHANGE"))))))))</f>
        <v/>
      </c>
      <c r="X227" s="18">
        <f>IF(V227="Markdown Review","Markdown support",IF(V227="Reorder Candidate","Second reorder",IF(V227="Monitor","Monitor",IF(V227="Noise","Hold / collect data",IF(V227="Not Ready","Not ready","")))))</f>
        <v/>
      </c>
      <c r="Y227" s="18">
        <f>IF(OR(R227="",T227=""),"",ABS(R227)+ABS(T227))</f>
        <v/>
      </c>
      <c r="Z227" s="21">
        <f>IF(OR(B227="",NOT(O227),R227=""),"",IF(ABS(R227)&gt;=MaterialThreshold,"Yes","No"))</f>
        <v/>
      </c>
      <c r="AA227" s="18">
        <f>IF(Z227&lt;&gt;"Yes","",IF(ABS(R227)&gt;=MaterialThreshold,IF(ABS(R227)&gt;=BroadShare,"Broad SKU movement","Store-concentrated movement"),""))</f>
        <v/>
      </c>
      <c r="AB227" s="18">
        <f>IF(O227,IF(COUNTIFS($O$5:O227,TRUE)&gt;0,COUNTIFS($O$5:O227,TRUE),0),0)</f>
        <v/>
      </c>
      <c r="AC227" s="18">
        <f>IF(V227="Markdown Review",1,IF(V227="Reorder Candidate",2,IF(V227="Monitor",3,IF(V227="Noise",4,IF(V227="Not Ready",5,99)))))</f>
        <v/>
      </c>
      <c r="AD227" s="18">
        <f>IF(O227,COUNTIFS($O$5:$O$504,TRUE,$AC$5:$AC$504,"&lt;"&amp;AC227)+COUNTIFS($O$5:O227,TRUE,$AC$5:AC227,AC227,$Y$5:Y227,"&gt;"&amp;Y227),0)</f>
        <v/>
      </c>
    </row>
    <row r="228">
      <c r="A228" s="17">
        <f>IF(COUNTA('Weekly Input'!A228:C228)=0,"",'Weekly Input'!B228&amp;"|"&amp;'Weekly Input'!C228&amp;"|"&amp;TEXT('Weekly Input'!A228,"yyyy-mm-dd"))</f>
        <v/>
      </c>
      <c r="B228" s="18">
        <f>'Weekly Input'!B228</f>
        <v/>
      </c>
      <c r="C228" s="18">
        <f>'Weekly Input'!C228</f>
        <v/>
      </c>
      <c r="D228" s="18">
        <f>IF(B228="","",IFERROR(INDEX('Master Data'!$B$6:$B$145,MATCH(B228,'Master Data'!$A$6:$A$145,0)),""))</f>
        <v/>
      </c>
      <c r="E228" s="18">
        <f>IF(C228="","",IFERROR(INDEX('Master Data'!$H$6:$H$13,MATCH(C228,'Master Data'!$F$6:$F$13,0)),""))</f>
        <v/>
      </c>
      <c r="F228" s="19">
        <f>'Weekly Input'!A228</f>
        <v/>
      </c>
      <c r="G228" s="19">
        <f>IF(B228="","",IFERROR(INDEX('Master Data'!$D$6:$D$145,MATCH(B228,'Master Data'!$A$6:$A$145,0)),""))</f>
        <v/>
      </c>
      <c r="H228" s="18">
        <f>IF(OR(F228="",G228=""),"",F228-G228)</f>
        <v/>
      </c>
      <c r="I228" s="18">
        <f>IF(B228="","",IF('Weekly Input'!J228="OK",TRUE,FALSE))</f>
        <v/>
      </c>
      <c r="J228" s="18">
        <f>IF(B228="","",'Weekly Input'!H228&gt;=MinInStockDays)</f>
        <v/>
      </c>
      <c r="K228" s="18">
        <f>IF(B228="","",H228&gt;=FullCycleMin)</f>
        <v/>
      </c>
      <c r="L228" s="18">
        <f>IF(B228="","",AND(I228,J228,K228,N228&gt;=MinHistory))</f>
        <v/>
      </c>
      <c r="M228" s="20">
        <f>IF(OR(B228="",'Weekly Input'!H228=0),"",'Weekly Input'!D228/'Weekly Input'!H228*7)</f>
        <v/>
      </c>
      <c r="N228" s="18">
        <f>IF(B228="","",COUNTIFS($B$5:$B$504,B228,$C$5:$C$504,C228,$I$5:$I$504,TRUE,$J$5:$J$504,TRUE,$K$5:$K$504,TRUE))</f>
        <v/>
      </c>
      <c r="O228" s="18">
        <f>IF(B228="","",AND(F228=AsOfWeek,AsOfWeek&lt;&gt;""))</f>
        <v/>
      </c>
      <c r="P228" s="20">
        <f>IF(OR(B228="",AsOfWeek=""),"",IFERROR(SUMIFS($M$5:$M$504,$B$5:$B$504,B228,$C$5:$C$504,C228,$L$5:$L$504,TRUE,$F$5:$F$504,"&gt;="&amp;AsOfWeek-7*(RecentWeeks-1),$F$5:$F$504,"&lt;="&amp;AsOfWeek),""))</f>
        <v/>
      </c>
      <c r="Q228" s="20">
        <f>IF(OR(B228="",AsOfWeek=""),"",IFERROR(SUMIFS($M$5:$M$504,$B$5:$B$504,B228,$C$5:$C$504,C228,$L$5:$L$504,TRUE,$F$5:$F$504,"&gt;="&amp;AsOfWeek-7*(RecentWeeks+PriorWeeks-1),$F$5:$F$504,"&lt;"&amp;AsOfWeek-7*(RecentWeeks-1)),""))</f>
        <v/>
      </c>
      <c r="R228" s="21">
        <f>IF(OR(P228="",Q228="",Q228=0),"",P228/Q228-1)</f>
        <v/>
      </c>
      <c r="S228" s="20">
        <f>IF(OR(C228="",AsOfWeek=""),"",IFERROR(AVERAGEIFS($M$5:$M$504,$C$5:$C$504,C228,$L$5:$L$504,TRUE,$F$5:$F$504,"&gt;="&amp;AsOfWeek-7*(RecentWeeks-1),$F$5:$F$504,"&lt;="&amp;AsOfWeek),""))</f>
        <v/>
      </c>
      <c r="T228" s="21">
        <f>IF(OR(P228="",S228=""),"",P228/S228-1)</f>
        <v/>
      </c>
      <c r="U228" s="22">
        <f>IF(OR(B228="",'Weekly Input'!G228="",P228="",P228=0),"",'Weekly Input'!G228/P228)</f>
        <v/>
      </c>
      <c r="V228" s="18">
        <f>IF(B228="","",IF(NOT(I228),"Not Ready",IF(NOT(K228),"Not Ready",IF(N228&lt;MinHistory,"Not Ready",IF(NOT(J228),"Not Ready",IF(OR(Q228="",Q228=0),"Noise",IF(Q228&lt;LowBaseThreshold,"Noise",IF(AND(R228&lt;=-OwnDecline,T228&lt;=-PeerGapThreshold),"Markdown Review",IF(AND(R228&gt;=ReorderUplift,U228&lt;&gt;"",U228&lt;=WeeksSupplyCap),"Reorder Candidate","Monitor"))))))))</f>
        <v/>
      </c>
      <c r="W228" s="18">
        <f>IF(B228="","",IF(NOT(I228),"INVALID_MASTER",IF(NOT(K228),"INCOMPLETE_SHELF_CYCLE",IF(N228&lt;MinHistory,"INSUFFICIENT_HISTORY",IF(NOT(J228),"INSUFFICIENT_IN_STOCK",IF(OR(Q228="",Q228=0),"NO_PRIOR_BASE",IF(Q228&lt;LowBaseThreshold,"LOW_BASE_NOISE",IF(V228="Markdown Review","MARKDOWN_PEER_GAP",IF(V228="Reorder Candidate","REORDER_UPLIFT_COVER","NO_MATERIAL_CHANGE"))))))))</f>
        <v/>
      </c>
      <c r="X228" s="18">
        <f>IF(V228="Markdown Review","Markdown support",IF(V228="Reorder Candidate","Second reorder",IF(V228="Monitor","Monitor",IF(V228="Noise","Hold / collect data",IF(V228="Not Ready","Not ready","")))))</f>
        <v/>
      </c>
      <c r="Y228" s="18">
        <f>IF(OR(R228="",T228=""),"",ABS(R228)+ABS(T228))</f>
        <v/>
      </c>
      <c r="Z228" s="21">
        <f>IF(OR(B228="",NOT(O228),R228=""),"",IF(ABS(R228)&gt;=MaterialThreshold,"Yes","No"))</f>
        <v/>
      </c>
      <c r="AA228" s="18">
        <f>IF(Z228&lt;&gt;"Yes","",IF(ABS(R228)&gt;=MaterialThreshold,IF(ABS(R228)&gt;=BroadShare,"Broad SKU movement","Store-concentrated movement"),""))</f>
        <v/>
      </c>
      <c r="AB228" s="18">
        <f>IF(O228,IF(COUNTIFS($O$5:O228,TRUE)&gt;0,COUNTIFS($O$5:O228,TRUE),0),0)</f>
        <v/>
      </c>
      <c r="AC228" s="18">
        <f>IF(V228="Markdown Review",1,IF(V228="Reorder Candidate",2,IF(V228="Monitor",3,IF(V228="Noise",4,IF(V228="Not Ready",5,99)))))</f>
        <v/>
      </c>
      <c r="AD228" s="18">
        <f>IF(O228,COUNTIFS($O$5:$O$504,TRUE,$AC$5:$AC$504,"&lt;"&amp;AC228)+COUNTIFS($O$5:O228,TRUE,$AC$5:AC228,AC228,$Y$5:Y228,"&gt;"&amp;Y228),0)</f>
        <v/>
      </c>
    </row>
    <row r="229">
      <c r="A229" s="17">
        <f>IF(COUNTA('Weekly Input'!A229:C229)=0,"",'Weekly Input'!B229&amp;"|"&amp;'Weekly Input'!C229&amp;"|"&amp;TEXT('Weekly Input'!A229,"yyyy-mm-dd"))</f>
        <v/>
      </c>
      <c r="B229" s="18">
        <f>'Weekly Input'!B229</f>
        <v/>
      </c>
      <c r="C229" s="18">
        <f>'Weekly Input'!C229</f>
        <v/>
      </c>
      <c r="D229" s="18">
        <f>IF(B229="","",IFERROR(INDEX('Master Data'!$B$6:$B$145,MATCH(B229,'Master Data'!$A$6:$A$145,0)),""))</f>
        <v/>
      </c>
      <c r="E229" s="18">
        <f>IF(C229="","",IFERROR(INDEX('Master Data'!$H$6:$H$13,MATCH(C229,'Master Data'!$F$6:$F$13,0)),""))</f>
        <v/>
      </c>
      <c r="F229" s="19">
        <f>'Weekly Input'!A229</f>
        <v/>
      </c>
      <c r="G229" s="19">
        <f>IF(B229="","",IFERROR(INDEX('Master Data'!$D$6:$D$145,MATCH(B229,'Master Data'!$A$6:$A$145,0)),""))</f>
        <v/>
      </c>
      <c r="H229" s="18">
        <f>IF(OR(F229="",G229=""),"",F229-G229)</f>
        <v/>
      </c>
      <c r="I229" s="18">
        <f>IF(B229="","",IF('Weekly Input'!J229="OK",TRUE,FALSE))</f>
        <v/>
      </c>
      <c r="J229" s="18">
        <f>IF(B229="","",'Weekly Input'!H229&gt;=MinInStockDays)</f>
        <v/>
      </c>
      <c r="K229" s="18">
        <f>IF(B229="","",H229&gt;=FullCycleMin)</f>
        <v/>
      </c>
      <c r="L229" s="18">
        <f>IF(B229="","",AND(I229,J229,K229,N229&gt;=MinHistory))</f>
        <v/>
      </c>
      <c r="M229" s="20">
        <f>IF(OR(B229="",'Weekly Input'!H229=0),"",'Weekly Input'!D229/'Weekly Input'!H229*7)</f>
        <v/>
      </c>
      <c r="N229" s="18">
        <f>IF(B229="","",COUNTIFS($B$5:$B$504,B229,$C$5:$C$504,C229,$I$5:$I$504,TRUE,$J$5:$J$504,TRUE,$K$5:$K$504,TRUE))</f>
        <v/>
      </c>
      <c r="O229" s="18">
        <f>IF(B229="","",AND(F229=AsOfWeek,AsOfWeek&lt;&gt;""))</f>
        <v/>
      </c>
      <c r="P229" s="20">
        <f>IF(OR(B229="",AsOfWeek=""),"",IFERROR(SUMIFS($M$5:$M$504,$B$5:$B$504,B229,$C$5:$C$504,C229,$L$5:$L$504,TRUE,$F$5:$F$504,"&gt;="&amp;AsOfWeek-7*(RecentWeeks-1),$F$5:$F$504,"&lt;="&amp;AsOfWeek),""))</f>
        <v/>
      </c>
      <c r="Q229" s="20">
        <f>IF(OR(B229="",AsOfWeek=""),"",IFERROR(SUMIFS($M$5:$M$504,$B$5:$B$504,B229,$C$5:$C$504,C229,$L$5:$L$504,TRUE,$F$5:$F$504,"&gt;="&amp;AsOfWeek-7*(RecentWeeks+PriorWeeks-1),$F$5:$F$504,"&lt;"&amp;AsOfWeek-7*(RecentWeeks-1)),""))</f>
        <v/>
      </c>
      <c r="R229" s="21">
        <f>IF(OR(P229="",Q229="",Q229=0),"",P229/Q229-1)</f>
        <v/>
      </c>
      <c r="S229" s="20">
        <f>IF(OR(C229="",AsOfWeek=""),"",IFERROR(AVERAGEIFS($M$5:$M$504,$C$5:$C$504,C229,$L$5:$L$504,TRUE,$F$5:$F$504,"&gt;="&amp;AsOfWeek-7*(RecentWeeks-1),$F$5:$F$504,"&lt;="&amp;AsOfWeek),""))</f>
        <v/>
      </c>
      <c r="T229" s="21">
        <f>IF(OR(P229="",S229=""),"",P229/S229-1)</f>
        <v/>
      </c>
      <c r="U229" s="22">
        <f>IF(OR(B229="",'Weekly Input'!G229="",P229="",P229=0),"",'Weekly Input'!G229/P229)</f>
        <v/>
      </c>
      <c r="V229" s="18">
        <f>IF(B229="","",IF(NOT(I229),"Not Ready",IF(NOT(K229),"Not Ready",IF(N229&lt;MinHistory,"Not Ready",IF(NOT(J229),"Not Ready",IF(OR(Q229="",Q229=0),"Noise",IF(Q229&lt;LowBaseThreshold,"Noise",IF(AND(R229&lt;=-OwnDecline,T229&lt;=-PeerGapThreshold),"Markdown Review",IF(AND(R229&gt;=ReorderUplift,U229&lt;&gt;"",U229&lt;=WeeksSupplyCap),"Reorder Candidate","Monitor"))))))))</f>
        <v/>
      </c>
      <c r="W229" s="18">
        <f>IF(B229="","",IF(NOT(I229),"INVALID_MASTER",IF(NOT(K229),"INCOMPLETE_SHELF_CYCLE",IF(N229&lt;MinHistory,"INSUFFICIENT_HISTORY",IF(NOT(J229),"INSUFFICIENT_IN_STOCK",IF(OR(Q229="",Q229=0),"NO_PRIOR_BASE",IF(Q229&lt;LowBaseThreshold,"LOW_BASE_NOISE",IF(V229="Markdown Review","MARKDOWN_PEER_GAP",IF(V229="Reorder Candidate","REORDER_UPLIFT_COVER","NO_MATERIAL_CHANGE"))))))))</f>
        <v/>
      </c>
      <c r="X229" s="18">
        <f>IF(V229="Markdown Review","Markdown support",IF(V229="Reorder Candidate","Second reorder",IF(V229="Monitor","Monitor",IF(V229="Noise","Hold / collect data",IF(V229="Not Ready","Not ready","")))))</f>
        <v/>
      </c>
      <c r="Y229" s="18">
        <f>IF(OR(R229="",T229=""),"",ABS(R229)+ABS(T229))</f>
        <v/>
      </c>
      <c r="Z229" s="21">
        <f>IF(OR(B229="",NOT(O229),R229=""),"",IF(ABS(R229)&gt;=MaterialThreshold,"Yes","No"))</f>
        <v/>
      </c>
      <c r="AA229" s="18">
        <f>IF(Z229&lt;&gt;"Yes","",IF(ABS(R229)&gt;=MaterialThreshold,IF(ABS(R229)&gt;=BroadShare,"Broad SKU movement","Store-concentrated movement"),""))</f>
        <v/>
      </c>
      <c r="AB229" s="18">
        <f>IF(O229,IF(COUNTIFS($O$5:O229,TRUE)&gt;0,COUNTIFS($O$5:O229,TRUE),0),0)</f>
        <v/>
      </c>
      <c r="AC229" s="18">
        <f>IF(V229="Markdown Review",1,IF(V229="Reorder Candidate",2,IF(V229="Monitor",3,IF(V229="Noise",4,IF(V229="Not Ready",5,99)))))</f>
        <v/>
      </c>
      <c r="AD229" s="18">
        <f>IF(O229,COUNTIFS($O$5:$O$504,TRUE,$AC$5:$AC$504,"&lt;"&amp;AC229)+COUNTIFS($O$5:O229,TRUE,$AC$5:AC229,AC229,$Y$5:Y229,"&gt;"&amp;Y229),0)</f>
        <v/>
      </c>
    </row>
    <row r="230">
      <c r="A230" s="17">
        <f>IF(COUNTA('Weekly Input'!A230:C230)=0,"",'Weekly Input'!B230&amp;"|"&amp;'Weekly Input'!C230&amp;"|"&amp;TEXT('Weekly Input'!A230,"yyyy-mm-dd"))</f>
        <v/>
      </c>
      <c r="B230" s="18">
        <f>'Weekly Input'!B230</f>
        <v/>
      </c>
      <c r="C230" s="18">
        <f>'Weekly Input'!C230</f>
        <v/>
      </c>
      <c r="D230" s="18">
        <f>IF(B230="","",IFERROR(INDEX('Master Data'!$B$6:$B$145,MATCH(B230,'Master Data'!$A$6:$A$145,0)),""))</f>
        <v/>
      </c>
      <c r="E230" s="18">
        <f>IF(C230="","",IFERROR(INDEX('Master Data'!$H$6:$H$13,MATCH(C230,'Master Data'!$F$6:$F$13,0)),""))</f>
        <v/>
      </c>
      <c r="F230" s="19">
        <f>'Weekly Input'!A230</f>
        <v/>
      </c>
      <c r="G230" s="19">
        <f>IF(B230="","",IFERROR(INDEX('Master Data'!$D$6:$D$145,MATCH(B230,'Master Data'!$A$6:$A$145,0)),""))</f>
        <v/>
      </c>
      <c r="H230" s="18">
        <f>IF(OR(F230="",G230=""),"",F230-G230)</f>
        <v/>
      </c>
      <c r="I230" s="18">
        <f>IF(B230="","",IF('Weekly Input'!J230="OK",TRUE,FALSE))</f>
        <v/>
      </c>
      <c r="J230" s="18">
        <f>IF(B230="","",'Weekly Input'!H230&gt;=MinInStockDays)</f>
        <v/>
      </c>
      <c r="K230" s="18">
        <f>IF(B230="","",H230&gt;=FullCycleMin)</f>
        <v/>
      </c>
      <c r="L230" s="18">
        <f>IF(B230="","",AND(I230,J230,K230,N230&gt;=MinHistory))</f>
        <v/>
      </c>
      <c r="M230" s="20">
        <f>IF(OR(B230="",'Weekly Input'!H230=0),"",'Weekly Input'!D230/'Weekly Input'!H230*7)</f>
        <v/>
      </c>
      <c r="N230" s="18">
        <f>IF(B230="","",COUNTIFS($B$5:$B$504,B230,$C$5:$C$504,C230,$I$5:$I$504,TRUE,$J$5:$J$504,TRUE,$K$5:$K$504,TRUE))</f>
        <v/>
      </c>
      <c r="O230" s="18">
        <f>IF(B230="","",AND(F230=AsOfWeek,AsOfWeek&lt;&gt;""))</f>
        <v/>
      </c>
      <c r="P230" s="20">
        <f>IF(OR(B230="",AsOfWeek=""),"",IFERROR(SUMIFS($M$5:$M$504,$B$5:$B$504,B230,$C$5:$C$504,C230,$L$5:$L$504,TRUE,$F$5:$F$504,"&gt;="&amp;AsOfWeek-7*(RecentWeeks-1),$F$5:$F$504,"&lt;="&amp;AsOfWeek),""))</f>
        <v/>
      </c>
      <c r="Q230" s="20">
        <f>IF(OR(B230="",AsOfWeek=""),"",IFERROR(SUMIFS($M$5:$M$504,$B$5:$B$504,B230,$C$5:$C$504,C230,$L$5:$L$504,TRUE,$F$5:$F$504,"&gt;="&amp;AsOfWeek-7*(RecentWeeks+PriorWeeks-1),$F$5:$F$504,"&lt;"&amp;AsOfWeek-7*(RecentWeeks-1)),""))</f>
        <v/>
      </c>
      <c r="R230" s="21">
        <f>IF(OR(P230="",Q230="",Q230=0),"",P230/Q230-1)</f>
        <v/>
      </c>
      <c r="S230" s="20">
        <f>IF(OR(C230="",AsOfWeek=""),"",IFERROR(AVERAGEIFS($M$5:$M$504,$C$5:$C$504,C230,$L$5:$L$504,TRUE,$F$5:$F$504,"&gt;="&amp;AsOfWeek-7*(RecentWeeks-1),$F$5:$F$504,"&lt;="&amp;AsOfWeek),""))</f>
        <v/>
      </c>
      <c r="T230" s="21">
        <f>IF(OR(P230="",S230=""),"",P230/S230-1)</f>
        <v/>
      </c>
      <c r="U230" s="22">
        <f>IF(OR(B230="",'Weekly Input'!G230="",P230="",P230=0),"",'Weekly Input'!G230/P230)</f>
        <v/>
      </c>
      <c r="V230" s="18">
        <f>IF(B230="","",IF(NOT(I230),"Not Ready",IF(NOT(K230),"Not Ready",IF(N230&lt;MinHistory,"Not Ready",IF(NOT(J230),"Not Ready",IF(OR(Q230="",Q230=0),"Noise",IF(Q230&lt;LowBaseThreshold,"Noise",IF(AND(R230&lt;=-OwnDecline,T230&lt;=-PeerGapThreshold),"Markdown Review",IF(AND(R230&gt;=ReorderUplift,U230&lt;&gt;"",U230&lt;=WeeksSupplyCap),"Reorder Candidate","Monitor"))))))))</f>
        <v/>
      </c>
      <c r="W230" s="18">
        <f>IF(B230="","",IF(NOT(I230),"INVALID_MASTER",IF(NOT(K230),"INCOMPLETE_SHELF_CYCLE",IF(N230&lt;MinHistory,"INSUFFICIENT_HISTORY",IF(NOT(J230),"INSUFFICIENT_IN_STOCK",IF(OR(Q230="",Q230=0),"NO_PRIOR_BASE",IF(Q230&lt;LowBaseThreshold,"LOW_BASE_NOISE",IF(V230="Markdown Review","MARKDOWN_PEER_GAP",IF(V230="Reorder Candidate","REORDER_UPLIFT_COVER","NO_MATERIAL_CHANGE"))))))))</f>
        <v/>
      </c>
      <c r="X230" s="18">
        <f>IF(V230="Markdown Review","Markdown support",IF(V230="Reorder Candidate","Second reorder",IF(V230="Monitor","Monitor",IF(V230="Noise","Hold / collect data",IF(V230="Not Ready","Not ready","")))))</f>
        <v/>
      </c>
      <c r="Y230" s="18">
        <f>IF(OR(R230="",T230=""),"",ABS(R230)+ABS(T230))</f>
        <v/>
      </c>
      <c r="Z230" s="21">
        <f>IF(OR(B230="",NOT(O230),R230=""),"",IF(ABS(R230)&gt;=MaterialThreshold,"Yes","No"))</f>
        <v/>
      </c>
      <c r="AA230" s="18">
        <f>IF(Z230&lt;&gt;"Yes","",IF(ABS(R230)&gt;=MaterialThreshold,IF(ABS(R230)&gt;=BroadShare,"Broad SKU movement","Store-concentrated movement"),""))</f>
        <v/>
      </c>
      <c r="AB230" s="18">
        <f>IF(O230,IF(COUNTIFS($O$5:O230,TRUE)&gt;0,COUNTIFS($O$5:O230,TRUE),0),0)</f>
        <v/>
      </c>
      <c r="AC230" s="18">
        <f>IF(V230="Markdown Review",1,IF(V230="Reorder Candidate",2,IF(V230="Monitor",3,IF(V230="Noise",4,IF(V230="Not Ready",5,99)))))</f>
        <v/>
      </c>
      <c r="AD230" s="18">
        <f>IF(O230,COUNTIFS($O$5:$O$504,TRUE,$AC$5:$AC$504,"&lt;"&amp;AC230)+COUNTIFS($O$5:O230,TRUE,$AC$5:AC230,AC230,$Y$5:Y230,"&gt;"&amp;Y230),0)</f>
        <v/>
      </c>
    </row>
    <row r="231">
      <c r="A231" s="17">
        <f>IF(COUNTA('Weekly Input'!A231:C231)=0,"",'Weekly Input'!B231&amp;"|"&amp;'Weekly Input'!C231&amp;"|"&amp;TEXT('Weekly Input'!A231,"yyyy-mm-dd"))</f>
        <v/>
      </c>
      <c r="B231" s="18">
        <f>'Weekly Input'!B231</f>
        <v/>
      </c>
      <c r="C231" s="18">
        <f>'Weekly Input'!C231</f>
        <v/>
      </c>
      <c r="D231" s="18">
        <f>IF(B231="","",IFERROR(INDEX('Master Data'!$B$6:$B$145,MATCH(B231,'Master Data'!$A$6:$A$145,0)),""))</f>
        <v/>
      </c>
      <c r="E231" s="18">
        <f>IF(C231="","",IFERROR(INDEX('Master Data'!$H$6:$H$13,MATCH(C231,'Master Data'!$F$6:$F$13,0)),""))</f>
        <v/>
      </c>
      <c r="F231" s="19">
        <f>'Weekly Input'!A231</f>
        <v/>
      </c>
      <c r="G231" s="19">
        <f>IF(B231="","",IFERROR(INDEX('Master Data'!$D$6:$D$145,MATCH(B231,'Master Data'!$A$6:$A$145,0)),""))</f>
        <v/>
      </c>
      <c r="H231" s="18">
        <f>IF(OR(F231="",G231=""),"",F231-G231)</f>
        <v/>
      </c>
      <c r="I231" s="18">
        <f>IF(B231="","",IF('Weekly Input'!J231="OK",TRUE,FALSE))</f>
        <v/>
      </c>
      <c r="J231" s="18">
        <f>IF(B231="","",'Weekly Input'!H231&gt;=MinInStockDays)</f>
        <v/>
      </c>
      <c r="K231" s="18">
        <f>IF(B231="","",H231&gt;=FullCycleMin)</f>
        <v/>
      </c>
      <c r="L231" s="18">
        <f>IF(B231="","",AND(I231,J231,K231,N231&gt;=MinHistory))</f>
        <v/>
      </c>
      <c r="M231" s="20">
        <f>IF(OR(B231="",'Weekly Input'!H231=0),"",'Weekly Input'!D231/'Weekly Input'!H231*7)</f>
        <v/>
      </c>
      <c r="N231" s="18">
        <f>IF(B231="","",COUNTIFS($B$5:$B$504,B231,$C$5:$C$504,C231,$I$5:$I$504,TRUE,$J$5:$J$504,TRUE,$K$5:$K$504,TRUE))</f>
        <v/>
      </c>
      <c r="O231" s="18">
        <f>IF(B231="","",AND(F231=AsOfWeek,AsOfWeek&lt;&gt;""))</f>
        <v/>
      </c>
      <c r="P231" s="20">
        <f>IF(OR(B231="",AsOfWeek=""),"",IFERROR(SUMIFS($M$5:$M$504,$B$5:$B$504,B231,$C$5:$C$504,C231,$L$5:$L$504,TRUE,$F$5:$F$504,"&gt;="&amp;AsOfWeek-7*(RecentWeeks-1),$F$5:$F$504,"&lt;="&amp;AsOfWeek),""))</f>
        <v/>
      </c>
      <c r="Q231" s="20">
        <f>IF(OR(B231="",AsOfWeek=""),"",IFERROR(SUMIFS($M$5:$M$504,$B$5:$B$504,B231,$C$5:$C$504,C231,$L$5:$L$504,TRUE,$F$5:$F$504,"&gt;="&amp;AsOfWeek-7*(RecentWeeks+PriorWeeks-1),$F$5:$F$504,"&lt;"&amp;AsOfWeek-7*(RecentWeeks-1)),""))</f>
        <v/>
      </c>
      <c r="R231" s="21">
        <f>IF(OR(P231="",Q231="",Q231=0),"",P231/Q231-1)</f>
        <v/>
      </c>
      <c r="S231" s="20">
        <f>IF(OR(C231="",AsOfWeek=""),"",IFERROR(AVERAGEIFS($M$5:$M$504,$C$5:$C$504,C231,$L$5:$L$504,TRUE,$F$5:$F$504,"&gt;="&amp;AsOfWeek-7*(RecentWeeks-1),$F$5:$F$504,"&lt;="&amp;AsOfWeek),""))</f>
        <v/>
      </c>
      <c r="T231" s="21">
        <f>IF(OR(P231="",S231=""),"",P231/S231-1)</f>
        <v/>
      </c>
      <c r="U231" s="22">
        <f>IF(OR(B231="",'Weekly Input'!G231="",P231="",P231=0),"",'Weekly Input'!G231/P231)</f>
        <v/>
      </c>
      <c r="V231" s="18">
        <f>IF(B231="","",IF(NOT(I231),"Not Ready",IF(NOT(K231),"Not Ready",IF(N231&lt;MinHistory,"Not Ready",IF(NOT(J231),"Not Ready",IF(OR(Q231="",Q231=0),"Noise",IF(Q231&lt;LowBaseThreshold,"Noise",IF(AND(R231&lt;=-OwnDecline,T231&lt;=-PeerGapThreshold),"Markdown Review",IF(AND(R231&gt;=ReorderUplift,U231&lt;&gt;"",U231&lt;=WeeksSupplyCap),"Reorder Candidate","Monitor"))))))))</f>
        <v/>
      </c>
      <c r="W231" s="18">
        <f>IF(B231="","",IF(NOT(I231),"INVALID_MASTER",IF(NOT(K231),"INCOMPLETE_SHELF_CYCLE",IF(N231&lt;MinHistory,"INSUFFICIENT_HISTORY",IF(NOT(J231),"INSUFFICIENT_IN_STOCK",IF(OR(Q231="",Q231=0),"NO_PRIOR_BASE",IF(Q231&lt;LowBaseThreshold,"LOW_BASE_NOISE",IF(V231="Markdown Review","MARKDOWN_PEER_GAP",IF(V231="Reorder Candidate","REORDER_UPLIFT_COVER","NO_MATERIAL_CHANGE"))))))))</f>
        <v/>
      </c>
      <c r="X231" s="18">
        <f>IF(V231="Markdown Review","Markdown support",IF(V231="Reorder Candidate","Second reorder",IF(V231="Monitor","Monitor",IF(V231="Noise","Hold / collect data",IF(V231="Not Ready","Not ready","")))))</f>
        <v/>
      </c>
      <c r="Y231" s="18">
        <f>IF(OR(R231="",T231=""),"",ABS(R231)+ABS(T231))</f>
        <v/>
      </c>
      <c r="Z231" s="21">
        <f>IF(OR(B231="",NOT(O231),R231=""),"",IF(ABS(R231)&gt;=MaterialThreshold,"Yes","No"))</f>
        <v/>
      </c>
      <c r="AA231" s="18">
        <f>IF(Z231&lt;&gt;"Yes","",IF(ABS(R231)&gt;=MaterialThreshold,IF(ABS(R231)&gt;=BroadShare,"Broad SKU movement","Store-concentrated movement"),""))</f>
        <v/>
      </c>
      <c r="AB231" s="18">
        <f>IF(O231,IF(COUNTIFS($O$5:O231,TRUE)&gt;0,COUNTIFS($O$5:O231,TRUE),0),0)</f>
        <v/>
      </c>
      <c r="AC231" s="18">
        <f>IF(V231="Markdown Review",1,IF(V231="Reorder Candidate",2,IF(V231="Monitor",3,IF(V231="Noise",4,IF(V231="Not Ready",5,99)))))</f>
        <v/>
      </c>
      <c r="AD231" s="18">
        <f>IF(O231,COUNTIFS($O$5:$O$504,TRUE,$AC$5:$AC$504,"&lt;"&amp;AC231)+COUNTIFS($O$5:O231,TRUE,$AC$5:AC231,AC231,$Y$5:Y231,"&gt;"&amp;Y231),0)</f>
        <v/>
      </c>
    </row>
    <row r="232">
      <c r="A232" s="17">
        <f>IF(COUNTA('Weekly Input'!A232:C232)=0,"",'Weekly Input'!B232&amp;"|"&amp;'Weekly Input'!C232&amp;"|"&amp;TEXT('Weekly Input'!A232,"yyyy-mm-dd"))</f>
        <v/>
      </c>
      <c r="B232" s="18">
        <f>'Weekly Input'!B232</f>
        <v/>
      </c>
      <c r="C232" s="18">
        <f>'Weekly Input'!C232</f>
        <v/>
      </c>
      <c r="D232" s="18">
        <f>IF(B232="","",IFERROR(INDEX('Master Data'!$B$6:$B$145,MATCH(B232,'Master Data'!$A$6:$A$145,0)),""))</f>
        <v/>
      </c>
      <c r="E232" s="18">
        <f>IF(C232="","",IFERROR(INDEX('Master Data'!$H$6:$H$13,MATCH(C232,'Master Data'!$F$6:$F$13,0)),""))</f>
        <v/>
      </c>
      <c r="F232" s="19">
        <f>'Weekly Input'!A232</f>
        <v/>
      </c>
      <c r="G232" s="19">
        <f>IF(B232="","",IFERROR(INDEX('Master Data'!$D$6:$D$145,MATCH(B232,'Master Data'!$A$6:$A$145,0)),""))</f>
        <v/>
      </c>
      <c r="H232" s="18">
        <f>IF(OR(F232="",G232=""),"",F232-G232)</f>
        <v/>
      </c>
      <c r="I232" s="18">
        <f>IF(B232="","",IF('Weekly Input'!J232="OK",TRUE,FALSE))</f>
        <v/>
      </c>
      <c r="J232" s="18">
        <f>IF(B232="","",'Weekly Input'!H232&gt;=MinInStockDays)</f>
        <v/>
      </c>
      <c r="K232" s="18">
        <f>IF(B232="","",H232&gt;=FullCycleMin)</f>
        <v/>
      </c>
      <c r="L232" s="18">
        <f>IF(B232="","",AND(I232,J232,K232,N232&gt;=MinHistory))</f>
        <v/>
      </c>
      <c r="M232" s="20">
        <f>IF(OR(B232="",'Weekly Input'!H232=0),"",'Weekly Input'!D232/'Weekly Input'!H232*7)</f>
        <v/>
      </c>
      <c r="N232" s="18">
        <f>IF(B232="","",COUNTIFS($B$5:$B$504,B232,$C$5:$C$504,C232,$I$5:$I$504,TRUE,$J$5:$J$504,TRUE,$K$5:$K$504,TRUE))</f>
        <v/>
      </c>
      <c r="O232" s="18">
        <f>IF(B232="","",AND(F232=AsOfWeek,AsOfWeek&lt;&gt;""))</f>
        <v/>
      </c>
      <c r="P232" s="20">
        <f>IF(OR(B232="",AsOfWeek=""),"",IFERROR(SUMIFS($M$5:$M$504,$B$5:$B$504,B232,$C$5:$C$504,C232,$L$5:$L$504,TRUE,$F$5:$F$504,"&gt;="&amp;AsOfWeek-7*(RecentWeeks-1),$F$5:$F$504,"&lt;="&amp;AsOfWeek),""))</f>
        <v/>
      </c>
      <c r="Q232" s="20">
        <f>IF(OR(B232="",AsOfWeek=""),"",IFERROR(SUMIFS($M$5:$M$504,$B$5:$B$504,B232,$C$5:$C$504,C232,$L$5:$L$504,TRUE,$F$5:$F$504,"&gt;="&amp;AsOfWeek-7*(RecentWeeks+PriorWeeks-1),$F$5:$F$504,"&lt;"&amp;AsOfWeek-7*(RecentWeeks-1)),""))</f>
        <v/>
      </c>
      <c r="R232" s="21">
        <f>IF(OR(P232="",Q232="",Q232=0),"",P232/Q232-1)</f>
        <v/>
      </c>
      <c r="S232" s="20">
        <f>IF(OR(C232="",AsOfWeek=""),"",IFERROR(AVERAGEIFS($M$5:$M$504,$C$5:$C$504,C232,$L$5:$L$504,TRUE,$F$5:$F$504,"&gt;="&amp;AsOfWeek-7*(RecentWeeks-1),$F$5:$F$504,"&lt;="&amp;AsOfWeek),""))</f>
        <v/>
      </c>
      <c r="T232" s="21">
        <f>IF(OR(P232="",S232=""),"",P232/S232-1)</f>
        <v/>
      </c>
      <c r="U232" s="22">
        <f>IF(OR(B232="",'Weekly Input'!G232="",P232="",P232=0),"",'Weekly Input'!G232/P232)</f>
        <v/>
      </c>
      <c r="V232" s="18">
        <f>IF(B232="","",IF(NOT(I232),"Not Ready",IF(NOT(K232),"Not Ready",IF(N232&lt;MinHistory,"Not Ready",IF(NOT(J232),"Not Ready",IF(OR(Q232="",Q232=0),"Noise",IF(Q232&lt;LowBaseThreshold,"Noise",IF(AND(R232&lt;=-OwnDecline,T232&lt;=-PeerGapThreshold),"Markdown Review",IF(AND(R232&gt;=ReorderUplift,U232&lt;&gt;"",U232&lt;=WeeksSupplyCap),"Reorder Candidate","Monitor"))))))))</f>
        <v/>
      </c>
      <c r="W232" s="18">
        <f>IF(B232="","",IF(NOT(I232),"INVALID_MASTER",IF(NOT(K232),"INCOMPLETE_SHELF_CYCLE",IF(N232&lt;MinHistory,"INSUFFICIENT_HISTORY",IF(NOT(J232),"INSUFFICIENT_IN_STOCK",IF(OR(Q232="",Q232=0),"NO_PRIOR_BASE",IF(Q232&lt;LowBaseThreshold,"LOW_BASE_NOISE",IF(V232="Markdown Review","MARKDOWN_PEER_GAP",IF(V232="Reorder Candidate","REORDER_UPLIFT_COVER","NO_MATERIAL_CHANGE"))))))))</f>
        <v/>
      </c>
      <c r="X232" s="18">
        <f>IF(V232="Markdown Review","Markdown support",IF(V232="Reorder Candidate","Second reorder",IF(V232="Monitor","Monitor",IF(V232="Noise","Hold / collect data",IF(V232="Not Ready","Not ready","")))))</f>
        <v/>
      </c>
      <c r="Y232" s="18">
        <f>IF(OR(R232="",T232=""),"",ABS(R232)+ABS(T232))</f>
        <v/>
      </c>
      <c r="Z232" s="21">
        <f>IF(OR(B232="",NOT(O232),R232=""),"",IF(ABS(R232)&gt;=MaterialThreshold,"Yes","No"))</f>
        <v/>
      </c>
      <c r="AA232" s="18">
        <f>IF(Z232&lt;&gt;"Yes","",IF(ABS(R232)&gt;=MaterialThreshold,IF(ABS(R232)&gt;=BroadShare,"Broad SKU movement","Store-concentrated movement"),""))</f>
        <v/>
      </c>
      <c r="AB232" s="18">
        <f>IF(O232,IF(COUNTIFS($O$5:O232,TRUE)&gt;0,COUNTIFS($O$5:O232,TRUE),0),0)</f>
        <v/>
      </c>
      <c r="AC232" s="18">
        <f>IF(V232="Markdown Review",1,IF(V232="Reorder Candidate",2,IF(V232="Monitor",3,IF(V232="Noise",4,IF(V232="Not Ready",5,99)))))</f>
        <v/>
      </c>
      <c r="AD232" s="18">
        <f>IF(O232,COUNTIFS($O$5:$O$504,TRUE,$AC$5:$AC$504,"&lt;"&amp;AC232)+COUNTIFS($O$5:O232,TRUE,$AC$5:AC232,AC232,$Y$5:Y232,"&gt;"&amp;Y232),0)</f>
        <v/>
      </c>
    </row>
    <row r="233">
      <c r="A233" s="17">
        <f>IF(COUNTA('Weekly Input'!A233:C233)=0,"",'Weekly Input'!B233&amp;"|"&amp;'Weekly Input'!C233&amp;"|"&amp;TEXT('Weekly Input'!A233,"yyyy-mm-dd"))</f>
        <v/>
      </c>
      <c r="B233" s="18">
        <f>'Weekly Input'!B233</f>
        <v/>
      </c>
      <c r="C233" s="18">
        <f>'Weekly Input'!C233</f>
        <v/>
      </c>
      <c r="D233" s="18">
        <f>IF(B233="","",IFERROR(INDEX('Master Data'!$B$6:$B$145,MATCH(B233,'Master Data'!$A$6:$A$145,0)),""))</f>
        <v/>
      </c>
      <c r="E233" s="18">
        <f>IF(C233="","",IFERROR(INDEX('Master Data'!$H$6:$H$13,MATCH(C233,'Master Data'!$F$6:$F$13,0)),""))</f>
        <v/>
      </c>
      <c r="F233" s="19">
        <f>'Weekly Input'!A233</f>
        <v/>
      </c>
      <c r="G233" s="19">
        <f>IF(B233="","",IFERROR(INDEX('Master Data'!$D$6:$D$145,MATCH(B233,'Master Data'!$A$6:$A$145,0)),""))</f>
        <v/>
      </c>
      <c r="H233" s="18">
        <f>IF(OR(F233="",G233=""),"",F233-G233)</f>
        <v/>
      </c>
      <c r="I233" s="18">
        <f>IF(B233="","",IF('Weekly Input'!J233="OK",TRUE,FALSE))</f>
        <v/>
      </c>
      <c r="J233" s="18">
        <f>IF(B233="","",'Weekly Input'!H233&gt;=MinInStockDays)</f>
        <v/>
      </c>
      <c r="K233" s="18">
        <f>IF(B233="","",H233&gt;=FullCycleMin)</f>
        <v/>
      </c>
      <c r="L233" s="18">
        <f>IF(B233="","",AND(I233,J233,K233,N233&gt;=MinHistory))</f>
        <v/>
      </c>
      <c r="M233" s="20">
        <f>IF(OR(B233="",'Weekly Input'!H233=0),"",'Weekly Input'!D233/'Weekly Input'!H233*7)</f>
        <v/>
      </c>
      <c r="N233" s="18">
        <f>IF(B233="","",COUNTIFS($B$5:$B$504,B233,$C$5:$C$504,C233,$I$5:$I$504,TRUE,$J$5:$J$504,TRUE,$K$5:$K$504,TRUE))</f>
        <v/>
      </c>
      <c r="O233" s="18">
        <f>IF(B233="","",AND(F233=AsOfWeek,AsOfWeek&lt;&gt;""))</f>
        <v/>
      </c>
      <c r="P233" s="20">
        <f>IF(OR(B233="",AsOfWeek=""),"",IFERROR(SUMIFS($M$5:$M$504,$B$5:$B$504,B233,$C$5:$C$504,C233,$L$5:$L$504,TRUE,$F$5:$F$504,"&gt;="&amp;AsOfWeek-7*(RecentWeeks-1),$F$5:$F$504,"&lt;="&amp;AsOfWeek),""))</f>
        <v/>
      </c>
      <c r="Q233" s="20">
        <f>IF(OR(B233="",AsOfWeek=""),"",IFERROR(SUMIFS($M$5:$M$504,$B$5:$B$504,B233,$C$5:$C$504,C233,$L$5:$L$504,TRUE,$F$5:$F$504,"&gt;="&amp;AsOfWeek-7*(RecentWeeks+PriorWeeks-1),$F$5:$F$504,"&lt;"&amp;AsOfWeek-7*(RecentWeeks-1)),""))</f>
        <v/>
      </c>
      <c r="R233" s="21">
        <f>IF(OR(P233="",Q233="",Q233=0),"",P233/Q233-1)</f>
        <v/>
      </c>
      <c r="S233" s="20">
        <f>IF(OR(C233="",AsOfWeek=""),"",IFERROR(AVERAGEIFS($M$5:$M$504,$C$5:$C$504,C233,$L$5:$L$504,TRUE,$F$5:$F$504,"&gt;="&amp;AsOfWeek-7*(RecentWeeks-1),$F$5:$F$504,"&lt;="&amp;AsOfWeek),""))</f>
        <v/>
      </c>
      <c r="T233" s="21">
        <f>IF(OR(P233="",S233=""),"",P233/S233-1)</f>
        <v/>
      </c>
      <c r="U233" s="22">
        <f>IF(OR(B233="",'Weekly Input'!G233="",P233="",P233=0),"",'Weekly Input'!G233/P233)</f>
        <v/>
      </c>
      <c r="V233" s="18">
        <f>IF(B233="","",IF(NOT(I233),"Not Ready",IF(NOT(K233),"Not Ready",IF(N233&lt;MinHistory,"Not Ready",IF(NOT(J233),"Not Ready",IF(OR(Q233="",Q233=0),"Noise",IF(Q233&lt;LowBaseThreshold,"Noise",IF(AND(R233&lt;=-OwnDecline,T233&lt;=-PeerGapThreshold),"Markdown Review",IF(AND(R233&gt;=ReorderUplift,U233&lt;&gt;"",U233&lt;=WeeksSupplyCap),"Reorder Candidate","Monitor"))))))))</f>
        <v/>
      </c>
      <c r="W233" s="18">
        <f>IF(B233="","",IF(NOT(I233),"INVALID_MASTER",IF(NOT(K233),"INCOMPLETE_SHELF_CYCLE",IF(N233&lt;MinHistory,"INSUFFICIENT_HISTORY",IF(NOT(J233),"INSUFFICIENT_IN_STOCK",IF(OR(Q233="",Q233=0),"NO_PRIOR_BASE",IF(Q233&lt;LowBaseThreshold,"LOW_BASE_NOISE",IF(V233="Markdown Review","MARKDOWN_PEER_GAP",IF(V233="Reorder Candidate","REORDER_UPLIFT_COVER","NO_MATERIAL_CHANGE"))))))))</f>
        <v/>
      </c>
      <c r="X233" s="18">
        <f>IF(V233="Markdown Review","Markdown support",IF(V233="Reorder Candidate","Second reorder",IF(V233="Monitor","Monitor",IF(V233="Noise","Hold / collect data",IF(V233="Not Ready","Not ready","")))))</f>
        <v/>
      </c>
      <c r="Y233" s="18">
        <f>IF(OR(R233="",T233=""),"",ABS(R233)+ABS(T233))</f>
        <v/>
      </c>
      <c r="Z233" s="21">
        <f>IF(OR(B233="",NOT(O233),R233=""),"",IF(ABS(R233)&gt;=MaterialThreshold,"Yes","No"))</f>
        <v/>
      </c>
      <c r="AA233" s="18">
        <f>IF(Z233&lt;&gt;"Yes","",IF(ABS(R233)&gt;=MaterialThreshold,IF(ABS(R233)&gt;=BroadShare,"Broad SKU movement","Store-concentrated movement"),""))</f>
        <v/>
      </c>
      <c r="AB233" s="18">
        <f>IF(O233,IF(COUNTIFS($O$5:O233,TRUE)&gt;0,COUNTIFS($O$5:O233,TRUE),0),0)</f>
        <v/>
      </c>
      <c r="AC233" s="18">
        <f>IF(V233="Markdown Review",1,IF(V233="Reorder Candidate",2,IF(V233="Monitor",3,IF(V233="Noise",4,IF(V233="Not Ready",5,99)))))</f>
        <v/>
      </c>
      <c r="AD233" s="18">
        <f>IF(O233,COUNTIFS($O$5:$O$504,TRUE,$AC$5:$AC$504,"&lt;"&amp;AC233)+COUNTIFS($O$5:O233,TRUE,$AC$5:AC233,AC233,$Y$5:Y233,"&gt;"&amp;Y233),0)</f>
        <v/>
      </c>
    </row>
    <row r="234">
      <c r="A234" s="17">
        <f>IF(COUNTA('Weekly Input'!A234:C234)=0,"",'Weekly Input'!B234&amp;"|"&amp;'Weekly Input'!C234&amp;"|"&amp;TEXT('Weekly Input'!A234,"yyyy-mm-dd"))</f>
        <v/>
      </c>
      <c r="B234" s="18">
        <f>'Weekly Input'!B234</f>
        <v/>
      </c>
      <c r="C234" s="18">
        <f>'Weekly Input'!C234</f>
        <v/>
      </c>
      <c r="D234" s="18">
        <f>IF(B234="","",IFERROR(INDEX('Master Data'!$B$6:$B$145,MATCH(B234,'Master Data'!$A$6:$A$145,0)),""))</f>
        <v/>
      </c>
      <c r="E234" s="18">
        <f>IF(C234="","",IFERROR(INDEX('Master Data'!$H$6:$H$13,MATCH(C234,'Master Data'!$F$6:$F$13,0)),""))</f>
        <v/>
      </c>
      <c r="F234" s="19">
        <f>'Weekly Input'!A234</f>
        <v/>
      </c>
      <c r="G234" s="19">
        <f>IF(B234="","",IFERROR(INDEX('Master Data'!$D$6:$D$145,MATCH(B234,'Master Data'!$A$6:$A$145,0)),""))</f>
        <v/>
      </c>
      <c r="H234" s="18">
        <f>IF(OR(F234="",G234=""),"",F234-G234)</f>
        <v/>
      </c>
      <c r="I234" s="18">
        <f>IF(B234="","",IF('Weekly Input'!J234="OK",TRUE,FALSE))</f>
        <v/>
      </c>
      <c r="J234" s="18">
        <f>IF(B234="","",'Weekly Input'!H234&gt;=MinInStockDays)</f>
        <v/>
      </c>
      <c r="K234" s="18">
        <f>IF(B234="","",H234&gt;=FullCycleMin)</f>
        <v/>
      </c>
      <c r="L234" s="18">
        <f>IF(B234="","",AND(I234,J234,K234,N234&gt;=MinHistory))</f>
        <v/>
      </c>
      <c r="M234" s="20">
        <f>IF(OR(B234="",'Weekly Input'!H234=0),"",'Weekly Input'!D234/'Weekly Input'!H234*7)</f>
        <v/>
      </c>
      <c r="N234" s="18">
        <f>IF(B234="","",COUNTIFS($B$5:$B$504,B234,$C$5:$C$504,C234,$I$5:$I$504,TRUE,$J$5:$J$504,TRUE,$K$5:$K$504,TRUE))</f>
        <v/>
      </c>
      <c r="O234" s="18">
        <f>IF(B234="","",AND(F234=AsOfWeek,AsOfWeek&lt;&gt;""))</f>
        <v/>
      </c>
      <c r="P234" s="20">
        <f>IF(OR(B234="",AsOfWeek=""),"",IFERROR(SUMIFS($M$5:$M$504,$B$5:$B$504,B234,$C$5:$C$504,C234,$L$5:$L$504,TRUE,$F$5:$F$504,"&gt;="&amp;AsOfWeek-7*(RecentWeeks-1),$F$5:$F$504,"&lt;="&amp;AsOfWeek),""))</f>
        <v/>
      </c>
      <c r="Q234" s="20">
        <f>IF(OR(B234="",AsOfWeek=""),"",IFERROR(SUMIFS($M$5:$M$504,$B$5:$B$504,B234,$C$5:$C$504,C234,$L$5:$L$504,TRUE,$F$5:$F$504,"&gt;="&amp;AsOfWeek-7*(RecentWeeks+PriorWeeks-1),$F$5:$F$504,"&lt;"&amp;AsOfWeek-7*(RecentWeeks-1)),""))</f>
        <v/>
      </c>
      <c r="R234" s="21">
        <f>IF(OR(P234="",Q234="",Q234=0),"",P234/Q234-1)</f>
        <v/>
      </c>
      <c r="S234" s="20">
        <f>IF(OR(C234="",AsOfWeek=""),"",IFERROR(AVERAGEIFS($M$5:$M$504,$C$5:$C$504,C234,$L$5:$L$504,TRUE,$F$5:$F$504,"&gt;="&amp;AsOfWeek-7*(RecentWeeks-1),$F$5:$F$504,"&lt;="&amp;AsOfWeek),""))</f>
        <v/>
      </c>
      <c r="T234" s="21">
        <f>IF(OR(P234="",S234=""),"",P234/S234-1)</f>
        <v/>
      </c>
      <c r="U234" s="22">
        <f>IF(OR(B234="",'Weekly Input'!G234="",P234="",P234=0),"",'Weekly Input'!G234/P234)</f>
        <v/>
      </c>
      <c r="V234" s="18">
        <f>IF(B234="","",IF(NOT(I234),"Not Ready",IF(NOT(K234),"Not Ready",IF(N234&lt;MinHistory,"Not Ready",IF(NOT(J234),"Not Ready",IF(OR(Q234="",Q234=0),"Noise",IF(Q234&lt;LowBaseThreshold,"Noise",IF(AND(R234&lt;=-OwnDecline,T234&lt;=-PeerGapThreshold),"Markdown Review",IF(AND(R234&gt;=ReorderUplift,U234&lt;&gt;"",U234&lt;=WeeksSupplyCap),"Reorder Candidate","Monitor"))))))))</f>
        <v/>
      </c>
      <c r="W234" s="18">
        <f>IF(B234="","",IF(NOT(I234),"INVALID_MASTER",IF(NOT(K234),"INCOMPLETE_SHELF_CYCLE",IF(N234&lt;MinHistory,"INSUFFICIENT_HISTORY",IF(NOT(J234),"INSUFFICIENT_IN_STOCK",IF(OR(Q234="",Q234=0),"NO_PRIOR_BASE",IF(Q234&lt;LowBaseThreshold,"LOW_BASE_NOISE",IF(V234="Markdown Review","MARKDOWN_PEER_GAP",IF(V234="Reorder Candidate","REORDER_UPLIFT_COVER","NO_MATERIAL_CHANGE"))))))))</f>
        <v/>
      </c>
      <c r="X234" s="18">
        <f>IF(V234="Markdown Review","Markdown support",IF(V234="Reorder Candidate","Second reorder",IF(V234="Monitor","Monitor",IF(V234="Noise","Hold / collect data",IF(V234="Not Ready","Not ready","")))))</f>
        <v/>
      </c>
      <c r="Y234" s="18">
        <f>IF(OR(R234="",T234=""),"",ABS(R234)+ABS(T234))</f>
        <v/>
      </c>
      <c r="Z234" s="21">
        <f>IF(OR(B234="",NOT(O234),R234=""),"",IF(ABS(R234)&gt;=MaterialThreshold,"Yes","No"))</f>
        <v/>
      </c>
      <c r="AA234" s="18">
        <f>IF(Z234&lt;&gt;"Yes","",IF(ABS(R234)&gt;=MaterialThreshold,IF(ABS(R234)&gt;=BroadShare,"Broad SKU movement","Store-concentrated movement"),""))</f>
        <v/>
      </c>
      <c r="AB234" s="18">
        <f>IF(O234,IF(COUNTIFS($O$5:O234,TRUE)&gt;0,COUNTIFS($O$5:O234,TRUE),0),0)</f>
        <v/>
      </c>
      <c r="AC234" s="18">
        <f>IF(V234="Markdown Review",1,IF(V234="Reorder Candidate",2,IF(V234="Monitor",3,IF(V234="Noise",4,IF(V234="Not Ready",5,99)))))</f>
        <v/>
      </c>
      <c r="AD234" s="18">
        <f>IF(O234,COUNTIFS($O$5:$O$504,TRUE,$AC$5:$AC$504,"&lt;"&amp;AC234)+COUNTIFS($O$5:O234,TRUE,$AC$5:AC234,AC234,$Y$5:Y234,"&gt;"&amp;Y234),0)</f>
        <v/>
      </c>
    </row>
    <row r="235">
      <c r="A235" s="17">
        <f>IF(COUNTA('Weekly Input'!A235:C235)=0,"",'Weekly Input'!B235&amp;"|"&amp;'Weekly Input'!C235&amp;"|"&amp;TEXT('Weekly Input'!A235,"yyyy-mm-dd"))</f>
        <v/>
      </c>
      <c r="B235" s="18">
        <f>'Weekly Input'!B235</f>
        <v/>
      </c>
      <c r="C235" s="18">
        <f>'Weekly Input'!C235</f>
        <v/>
      </c>
      <c r="D235" s="18">
        <f>IF(B235="","",IFERROR(INDEX('Master Data'!$B$6:$B$145,MATCH(B235,'Master Data'!$A$6:$A$145,0)),""))</f>
        <v/>
      </c>
      <c r="E235" s="18">
        <f>IF(C235="","",IFERROR(INDEX('Master Data'!$H$6:$H$13,MATCH(C235,'Master Data'!$F$6:$F$13,0)),""))</f>
        <v/>
      </c>
      <c r="F235" s="19">
        <f>'Weekly Input'!A235</f>
        <v/>
      </c>
      <c r="G235" s="19">
        <f>IF(B235="","",IFERROR(INDEX('Master Data'!$D$6:$D$145,MATCH(B235,'Master Data'!$A$6:$A$145,0)),""))</f>
        <v/>
      </c>
      <c r="H235" s="18">
        <f>IF(OR(F235="",G235=""),"",F235-G235)</f>
        <v/>
      </c>
      <c r="I235" s="18">
        <f>IF(B235="","",IF('Weekly Input'!J235="OK",TRUE,FALSE))</f>
        <v/>
      </c>
      <c r="J235" s="18">
        <f>IF(B235="","",'Weekly Input'!H235&gt;=MinInStockDays)</f>
        <v/>
      </c>
      <c r="K235" s="18">
        <f>IF(B235="","",H235&gt;=FullCycleMin)</f>
        <v/>
      </c>
      <c r="L235" s="18">
        <f>IF(B235="","",AND(I235,J235,K235,N235&gt;=MinHistory))</f>
        <v/>
      </c>
      <c r="M235" s="20">
        <f>IF(OR(B235="",'Weekly Input'!H235=0),"",'Weekly Input'!D235/'Weekly Input'!H235*7)</f>
        <v/>
      </c>
      <c r="N235" s="18">
        <f>IF(B235="","",COUNTIFS($B$5:$B$504,B235,$C$5:$C$504,C235,$I$5:$I$504,TRUE,$J$5:$J$504,TRUE,$K$5:$K$504,TRUE))</f>
        <v/>
      </c>
      <c r="O235" s="18">
        <f>IF(B235="","",AND(F235=AsOfWeek,AsOfWeek&lt;&gt;""))</f>
        <v/>
      </c>
      <c r="P235" s="20">
        <f>IF(OR(B235="",AsOfWeek=""),"",IFERROR(SUMIFS($M$5:$M$504,$B$5:$B$504,B235,$C$5:$C$504,C235,$L$5:$L$504,TRUE,$F$5:$F$504,"&gt;="&amp;AsOfWeek-7*(RecentWeeks-1),$F$5:$F$504,"&lt;="&amp;AsOfWeek),""))</f>
        <v/>
      </c>
      <c r="Q235" s="20">
        <f>IF(OR(B235="",AsOfWeek=""),"",IFERROR(SUMIFS($M$5:$M$504,$B$5:$B$504,B235,$C$5:$C$504,C235,$L$5:$L$504,TRUE,$F$5:$F$504,"&gt;="&amp;AsOfWeek-7*(RecentWeeks+PriorWeeks-1),$F$5:$F$504,"&lt;"&amp;AsOfWeek-7*(RecentWeeks-1)),""))</f>
        <v/>
      </c>
      <c r="R235" s="21">
        <f>IF(OR(P235="",Q235="",Q235=0),"",P235/Q235-1)</f>
        <v/>
      </c>
      <c r="S235" s="20">
        <f>IF(OR(C235="",AsOfWeek=""),"",IFERROR(AVERAGEIFS($M$5:$M$504,$C$5:$C$504,C235,$L$5:$L$504,TRUE,$F$5:$F$504,"&gt;="&amp;AsOfWeek-7*(RecentWeeks-1),$F$5:$F$504,"&lt;="&amp;AsOfWeek),""))</f>
        <v/>
      </c>
      <c r="T235" s="21">
        <f>IF(OR(P235="",S235=""),"",P235/S235-1)</f>
        <v/>
      </c>
      <c r="U235" s="22">
        <f>IF(OR(B235="",'Weekly Input'!G235="",P235="",P235=0),"",'Weekly Input'!G235/P235)</f>
        <v/>
      </c>
      <c r="V235" s="18">
        <f>IF(B235="","",IF(NOT(I235),"Not Ready",IF(NOT(K235),"Not Ready",IF(N235&lt;MinHistory,"Not Ready",IF(NOT(J235),"Not Ready",IF(OR(Q235="",Q235=0),"Noise",IF(Q235&lt;LowBaseThreshold,"Noise",IF(AND(R235&lt;=-OwnDecline,T235&lt;=-PeerGapThreshold),"Markdown Review",IF(AND(R235&gt;=ReorderUplift,U235&lt;&gt;"",U235&lt;=WeeksSupplyCap),"Reorder Candidate","Monitor"))))))))</f>
        <v/>
      </c>
      <c r="W235" s="18">
        <f>IF(B235="","",IF(NOT(I235),"INVALID_MASTER",IF(NOT(K235),"INCOMPLETE_SHELF_CYCLE",IF(N235&lt;MinHistory,"INSUFFICIENT_HISTORY",IF(NOT(J235),"INSUFFICIENT_IN_STOCK",IF(OR(Q235="",Q235=0),"NO_PRIOR_BASE",IF(Q235&lt;LowBaseThreshold,"LOW_BASE_NOISE",IF(V235="Markdown Review","MARKDOWN_PEER_GAP",IF(V235="Reorder Candidate","REORDER_UPLIFT_COVER","NO_MATERIAL_CHANGE"))))))))</f>
        <v/>
      </c>
      <c r="X235" s="18">
        <f>IF(V235="Markdown Review","Markdown support",IF(V235="Reorder Candidate","Second reorder",IF(V235="Monitor","Monitor",IF(V235="Noise","Hold / collect data",IF(V235="Not Ready","Not ready","")))))</f>
        <v/>
      </c>
      <c r="Y235" s="18">
        <f>IF(OR(R235="",T235=""),"",ABS(R235)+ABS(T235))</f>
        <v/>
      </c>
      <c r="Z235" s="21">
        <f>IF(OR(B235="",NOT(O235),R235=""),"",IF(ABS(R235)&gt;=MaterialThreshold,"Yes","No"))</f>
        <v/>
      </c>
      <c r="AA235" s="18">
        <f>IF(Z235&lt;&gt;"Yes","",IF(ABS(R235)&gt;=MaterialThreshold,IF(ABS(R235)&gt;=BroadShare,"Broad SKU movement","Store-concentrated movement"),""))</f>
        <v/>
      </c>
      <c r="AB235" s="18">
        <f>IF(O235,IF(COUNTIFS($O$5:O235,TRUE)&gt;0,COUNTIFS($O$5:O235,TRUE),0),0)</f>
        <v/>
      </c>
      <c r="AC235" s="18">
        <f>IF(V235="Markdown Review",1,IF(V235="Reorder Candidate",2,IF(V235="Monitor",3,IF(V235="Noise",4,IF(V235="Not Ready",5,99)))))</f>
        <v/>
      </c>
      <c r="AD235" s="18">
        <f>IF(O235,COUNTIFS($O$5:$O$504,TRUE,$AC$5:$AC$504,"&lt;"&amp;AC235)+COUNTIFS($O$5:O235,TRUE,$AC$5:AC235,AC235,$Y$5:Y235,"&gt;"&amp;Y235),0)</f>
        <v/>
      </c>
    </row>
    <row r="236">
      <c r="A236" s="17">
        <f>IF(COUNTA('Weekly Input'!A236:C236)=0,"",'Weekly Input'!B236&amp;"|"&amp;'Weekly Input'!C236&amp;"|"&amp;TEXT('Weekly Input'!A236,"yyyy-mm-dd"))</f>
        <v/>
      </c>
      <c r="B236" s="18">
        <f>'Weekly Input'!B236</f>
        <v/>
      </c>
      <c r="C236" s="18">
        <f>'Weekly Input'!C236</f>
        <v/>
      </c>
      <c r="D236" s="18">
        <f>IF(B236="","",IFERROR(INDEX('Master Data'!$B$6:$B$145,MATCH(B236,'Master Data'!$A$6:$A$145,0)),""))</f>
        <v/>
      </c>
      <c r="E236" s="18">
        <f>IF(C236="","",IFERROR(INDEX('Master Data'!$H$6:$H$13,MATCH(C236,'Master Data'!$F$6:$F$13,0)),""))</f>
        <v/>
      </c>
      <c r="F236" s="19">
        <f>'Weekly Input'!A236</f>
        <v/>
      </c>
      <c r="G236" s="19">
        <f>IF(B236="","",IFERROR(INDEX('Master Data'!$D$6:$D$145,MATCH(B236,'Master Data'!$A$6:$A$145,0)),""))</f>
        <v/>
      </c>
      <c r="H236" s="18">
        <f>IF(OR(F236="",G236=""),"",F236-G236)</f>
        <v/>
      </c>
      <c r="I236" s="18">
        <f>IF(B236="","",IF('Weekly Input'!J236="OK",TRUE,FALSE))</f>
        <v/>
      </c>
      <c r="J236" s="18">
        <f>IF(B236="","",'Weekly Input'!H236&gt;=MinInStockDays)</f>
        <v/>
      </c>
      <c r="K236" s="18">
        <f>IF(B236="","",H236&gt;=FullCycleMin)</f>
        <v/>
      </c>
      <c r="L236" s="18">
        <f>IF(B236="","",AND(I236,J236,K236,N236&gt;=MinHistory))</f>
        <v/>
      </c>
      <c r="M236" s="20">
        <f>IF(OR(B236="",'Weekly Input'!H236=0),"",'Weekly Input'!D236/'Weekly Input'!H236*7)</f>
        <v/>
      </c>
      <c r="N236" s="18">
        <f>IF(B236="","",COUNTIFS($B$5:$B$504,B236,$C$5:$C$504,C236,$I$5:$I$504,TRUE,$J$5:$J$504,TRUE,$K$5:$K$504,TRUE))</f>
        <v/>
      </c>
      <c r="O236" s="18">
        <f>IF(B236="","",AND(F236=AsOfWeek,AsOfWeek&lt;&gt;""))</f>
        <v/>
      </c>
      <c r="P236" s="20">
        <f>IF(OR(B236="",AsOfWeek=""),"",IFERROR(SUMIFS($M$5:$M$504,$B$5:$B$504,B236,$C$5:$C$504,C236,$L$5:$L$504,TRUE,$F$5:$F$504,"&gt;="&amp;AsOfWeek-7*(RecentWeeks-1),$F$5:$F$504,"&lt;="&amp;AsOfWeek),""))</f>
        <v/>
      </c>
      <c r="Q236" s="20">
        <f>IF(OR(B236="",AsOfWeek=""),"",IFERROR(SUMIFS($M$5:$M$504,$B$5:$B$504,B236,$C$5:$C$504,C236,$L$5:$L$504,TRUE,$F$5:$F$504,"&gt;="&amp;AsOfWeek-7*(RecentWeeks+PriorWeeks-1),$F$5:$F$504,"&lt;"&amp;AsOfWeek-7*(RecentWeeks-1)),""))</f>
        <v/>
      </c>
      <c r="R236" s="21">
        <f>IF(OR(P236="",Q236="",Q236=0),"",P236/Q236-1)</f>
        <v/>
      </c>
      <c r="S236" s="20">
        <f>IF(OR(C236="",AsOfWeek=""),"",IFERROR(AVERAGEIFS($M$5:$M$504,$C$5:$C$504,C236,$L$5:$L$504,TRUE,$F$5:$F$504,"&gt;="&amp;AsOfWeek-7*(RecentWeeks-1),$F$5:$F$504,"&lt;="&amp;AsOfWeek),""))</f>
        <v/>
      </c>
      <c r="T236" s="21">
        <f>IF(OR(P236="",S236=""),"",P236/S236-1)</f>
        <v/>
      </c>
      <c r="U236" s="22">
        <f>IF(OR(B236="",'Weekly Input'!G236="",P236="",P236=0),"",'Weekly Input'!G236/P236)</f>
        <v/>
      </c>
      <c r="V236" s="18">
        <f>IF(B236="","",IF(NOT(I236),"Not Ready",IF(NOT(K236),"Not Ready",IF(N236&lt;MinHistory,"Not Ready",IF(NOT(J236),"Not Ready",IF(OR(Q236="",Q236=0),"Noise",IF(Q236&lt;LowBaseThreshold,"Noise",IF(AND(R236&lt;=-OwnDecline,T236&lt;=-PeerGapThreshold),"Markdown Review",IF(AND(R236&gt;=ReorderUplift,U236&lt;&gt;"",U236&lt;=WeeksSupplyCap),"Reorder Candidate","Monitor"))))))))</f>
        <v/>
      </c>
      <c r="W236" s="18">
        <f>IF(B236="","",IF(NOT(I236),"INVALID_MASTER",IF(NOT(K236),"INCOMPLETE_SHELF_CYCLE",IF(N236&lt;MinHistory,"INSUFFICIENT_HISTORY",IF(NOT(J236),"INSUFFICIENT_IN_STOCK",IF(OR(Q236="",Q236=0),"NO_PRIOR_BASE",IF(Q236&lt;LowBaseThreshold,"LOW_BASE_NOISE",IF(V236="Markdown Review","MARKDOWN_PEER_GAP",IF(V236="Reorder Candidate","REORDER_UPLIFT_COVER","NO_MATERIAL_CHANGE"))))))))</f>
        <v/>
      </c>
      <c r="X236" s="18">
        <f>IF(V236="Markdown Review","Markdown support",IF(V236="Reorder Candidate","Second reorder",IF(V236="Monitor","Monitor",IF(V236="Noise","Hold / collect data",IF(V236="Not Ready","Not ready","")))))</f>
        <v/>
      </c>
      <c r="Y236" s="18">
        <f>IF(OR(R236="",T236=""),"",ABS(R236)+ABS(T236))</f>
        <v/>
      </c>
      <c r="Z236" s="21">
        <f>IF(OR(B236="",NOT(O236),R236=""),"",IF(ABS(R236)&gt;=MaterialThreshold,"Yes","No"))</f>
        <v/>
      </c>
      <c r="AA236" s="18">
        <f>IF(Z236&lt;&gt;"Yes","",IF(ABS(R236)&gt;=MaterialThreshold,IF(ABS(R236)&gt;=BroadShare,"Broad SKU movement","Store-concentrated movement"),""))</f>
        <v/>
      </c>
      <c r="AB236" s="18">
        <f>IF(O236,IF(COUNTIFS($O$5:O236,TRUE)&gt;0,COUNTIFS($O$5:O236,TRUE),0),0)</f>
        <v/>
      </c>
      <c r="AC236" s="18">
        <f>IF(V236="Markdown Review",1,IF(V236="Reorder Candidate",2,IF(V236="Monitor",3,IF(V236="Noise",4,IF(V236="Not Ready",5,99)))))</f>
        <v/>
      </c>
      <c r="AD236" s="18">
        <f>IF(O236,COUNTIFS($O$5:$O$504,TRUE,$AC$5:$AC$504,"&lt;"&amp;AC236)+COUNTIFS($O$5:O236,TRUE,$AC$5:AC236,AC236,$Y$5:Y236,"&gt;"&amp;Y236),0)</f>
        <v/>
      </c>
    </row>
    <row r="237">
      <c r="A237" s="17">
        <f>IF(COUNTA('Weekly Input'!A237:C237)=0,"",'Weekly Input'!B237&amp;"|"&amp;'Weekly Input'!C237&amp;"|"&amp;TEXT('Weekly Input'!A237,"yyyy-mm-dd"))</f>
        <v/>
      </c>
      <c r="B237" s="18">
        <f>'Weekly Input'!B237</f>
        <v/>
      </c>
      <c r="C237" s="18">
        <f>'Weekly Input'!C237</f>
        <v/>
      </c>
      <c r="D237" s="18">
        <f>IF(B237="","",IFERROR(INDEX('Master Data'!$B$6:$B$145,MATCH(B237,'Master Data'!$A$6:$A$145,0)),""))</f>
        <v/>
      </c>
      <c r="E237" s="18">
        <f>IF(C237="","",IFERROR(INDEX('Master Data'!$H$6:$H$13,MATCH(C237,'Master Data'!$F$6:$F$13,0)),""))</f>
        <v/>
      </c>
      <c r="F237" s="19">
        <f>'Weekly Input'!A237</f>
        <v/>
      </c>
      <c r="G237" s="19">
        <f>IF(B237="","",IFERROR(INDEX('Master Data'!$D$6:$D$145,MATCH(B237,'Master Data'!$A$6:$A$145,0)),""))</f>
        <v/>
      </c>
      <c r="H237" s="18">
        <f>IF(OR(F237="",G237=""),"",F237-G237)</f>
        <v/>
      </c>
      <c r="I237" s="18">
        <f>IF(B237="","",IF('Weekly Input'!J237="OK",TRUE,FALSE))</f>
        <v/>
      </c>
      <c r="J237" s="18">
        <f>IF(B237="","",'Weekly Input'!H237&gt;=MinInStockDays)</f>
        <v/>
      </c>
      <c r="K237" s="18">
        <f>IF(B237="","",H237&gt;=FullCycleMin)</f>
        <v/>
      </c>
      <c r="L237" s="18">
        <f>IF(B237="","",AND(I237,J237,K237,N237&gt;=MinHistory))</f>
        <v/>
      </c>
      <c r="M237" s="20">
        <f>IF(OR(B237="",'Weekly Input'!H237=0),"",'Weekly Input'!D237/'Weekly Input'!H237*7)</f>
        <v/>
      </c>
      <c r="N237" s="18">
        <f>IF(B237="","",COUNTIFS($B$5:$B$504,B237,$C$5:$C$504,C237,$I$5:$I$504,TRUE,$J$5:$J$504,TRUE,$K$5:$K$504,TRUE))</f>
        <v/>
      </c>
      <c r="O237" s="18">
        <f>IF(B237="","",AND(F237=AsOfWeek,AsOfWeek&lt;&gt;""))</f>
        <v/>
      </c>
      <c r="P237" s="20">
        <f>IF(OR(B237="",AsOfWeek=""),"",IFERROR(SUMIFS($M$5:$M$504,$B$5:$B$504,B237,$C$5:$C$504,C237,$L$5:$L$504,TRUE,$F$5:$F$504,"&gt;="&amp;AsOfWeek-7*(RecentWeeks-1),$F$5:$F$504,"&lt;="&amp;AsOfWeek),""))</f>
        <v/>
      </c>
      <c r="Q237" s="20">
        <f>IF(OR(B237="",AsOfWeek=""),"",IFERROR(SUMIFS($M$5:$M$504,$B$5:$B$504,B237,$C$5:$C$504,C237,$L$5:$L$504,TRUE,$F$5:$F$504,"&gt;="&amp;AsOfWeek-7*(RecentWeeks+PriorWeeks-1),$F$5:$F$504,"&lt;"&amp;AsOfWeek-7*(RecentWeeks-1)),""))</f>
        <v/>
      </c>
      <c r="R237" s="21">
        <f>IF(OR(P237="",Q237="",Q237=0),"",P237/Q237-1)</f>
        <v/>
      </c>
      <c r="S237" s="20">
        <f>IF(OR(C237="",AsOfWeek=""),"",IFERROR(AVERAGEIFS($M$5:$M$504,$C$5:$C$504,C237,$L$5:$L$504,TRUE,$F$5:$F$504,"&gt;="&amp;AsOfWeek-7*(RecentWeeks-1),$F$5:$F$504,"&lt;="&amp;AsOfWeek),""))</f>
        <v/>
      </c>
      <c r="T237" s="21">
        <f>IF(OR(P237="",S237=""),"",P237/S237-1)</f>
        <v/>
      </c>
      <c r="U237" s="22">
        <f>IF(OR(B237="",'Weekly Input'!G237="",P237="",P237=0),"",'Weekly Input'!G237/P237)</f>
        <v/>
      </c>
      <c r="V237" s="18">
        <f>IF(B237="","",IF(NOT(I237),"Not Ready",IF(NOT(K237),"Not Ready",IF(N237&lt;MinHistory,"Not Ready",IF(NOT(J237),"Not Ready",IF(OR(Q237="",Q237=0),"Noise",IF(Q237&lt;LowBaseThreshold,"Noise",IF(AND(R237&lt;=-OwnDecline,T237&lt;=-PeerGapThreshold),"Markdown Review",IF(AND(R237&gt;=ReorderUplift,U237&lt;&gt;"",U237&lt;=WeeksSupplyCap),"Reorder Candidate","Monitor"))))))))</f>
        <v/>
      </c>
      <c r="W237" s="18">
        <f>IF(B237="","",IF(NOT(I237),"INVALID_MASTER",IF(NOT(K237),"INCOMPLETE_SHELF_CYCLE",IF(N237&lt;MinHistory,"INSUFFICIENT_HISTORY",IF(NOT(J237),"INSUFFICIENT_IN_STOCK",IF(OR(Q237="",Q237=0),"NO_PRIOR_BASE",IF(Q237&lt;LowBaseThreshold,"LOW_BASE_NOISE",IF(V237="Markdown Review","MARKDOWN_PEER_GAP",IF(V237="Reorder Candidate","REORDER_UPLIFT_COVER","NO_MATERIAL_CHANGE"))))))))</f>
        <v/>
      </c>
      <c r="X237" s="18">
        <f>IF(V237="Markdown Review","Markdown support",IF(V237="Reorder Candidate","Second reorder",IF(V237="Monitor","Monitor",IF(V237="Noise","Hold / collect data",IF(V237="Not Ready","Not ready","")))))</f>
        <v/>
      </c>
      <c r="Y237" s="18">
        <f>IF(OR(R237="",T237=""),"",ABS(R237)+ABS(T237))</f>
        <v/>
      </c>
      <c r="Z237" s="21">
        <f>IF(OR(B237="",NOT(O237),R237=""),"",IF(ABS(R237)&gt;=MaterialThreshold,"Yes","No"))</f>
        <v/>
      </c>
      <c r="AA237" s="18">
        <f>IF(Z237&lt;&gt;"Yes","",IF(ABS(R237)&gt;=MaterialThreshold,IF(ABS(R237)&gt;=BroadShare,"Broad SKU movement","Store-concentrated movement"),""))</f>
        <v/>
      </c>
      <c r="AB237" s="18">
        <f>IF(O237,IF(COUNTIFS($O$5:O237,TRUE)&gt;0,COUNTIFS($O$5:O237,TRUE),0),0)</f>
        <v/>
      </c>
      <c r="AC237" s="18">
        <f>IF(V237="Markdown Review",1,IF(V237="Reorder Candidate",2,IF(V237="Monitor",3,IF(V237="Noise",4,IF(V237="Not Ready",5,99)))))</f>
        <v/>
      </c>
      <c r="AD237" s="18">
        <f>IF(O237,COUNTIFS($O$5:$O$504,TRUE,$AC$5:$AC$504,"&lt;"&amp;AC237)+COUNTIFS($O$5:O237,TRUE,$AC$5:AC237,AC237,$Y$5:Y237,"&gt;"&amp;Y237),0)</f>
        <v/>
      </c>
    </row>
    <row r="238">
      <c r="A238" s="17">
        <f>IF(COUNTA('Weekly Input'!A238:C238)=0,"",'Weekly Input'!B238&amp;"|"&amp;'Weekly Input'!C238&amp;"|"&amp;TEXT('Weekly Input'!A238,"yyyy-mm-dd"))</f>
        <v/>
      </c>
      <c r="B238" s="18">
        <f>'Weekly Input'!B238</f>
        <v/>
      </c>
      <c r="C238" s="18">
        <f>'Weekly Input'!C238</f>
        <v/>
      </c>
      <c r="D238" s="18">
        <f>IF(B238="","",IFERROR(INDEX('Master Data'!$B$6:$B$145,MATCH(B238,'Master Data'!$A$6:$A$145,0)),""))</f>
        <v/>
      </c>
      <c r="E238" s="18">
        <f>IF(C238="","",IFERROR(INDEX('Master Data'!$H$6:$H$13,MATCH(C238,'Master Data'!$F$6:$F$13,0)),""))</f>
        <v/>
      </c>
      <c r="F238" s="19">
        <f>'Weekly Input'!A238</f>
        <v/>
      </c>
      <c r="G238" s="19">
        <f>IF(B238="","",IFERROR(INDEX('Master Data'!$D$6:$D$145,MATCH(B238,'Master Data'!$A$6:$A$145,0)),""))</f>
        <v/>
      </c>
      <c r="H238" s="18">
        <f>IF(OR(F238="",G238=""),"",F238-G238)</f>
        <v/>
      </c>
      <c r="I238" s="18">
        <f>IF(B238="","",IF('Weekly Input'!J238="OK",TRUE,FALSE))</f>
        <v/>
      </c>
      <c r="J238" s="18">
        <f>IF(B238="","",'Weekly Input'!H238&gt;=MinInStockDays)</f>
        <v/>
      </c>
      <c r="K238" s="18">
        <f>IF(B238="","",H238&gt;=FullCycleMin)</f>
        <v/>
      </c>
      <c r="L238" s="18">
        <f>IF(B238="","",AND(I238,J238,K238,N238&gt;=MinHistory))</f>
        <v/>
      </c>
      <c r="M238" s="20">
        <f>IF(OR(B238="",'Weekly Input'!H238=0),"",'Weekly Input'!D238/'Weekly Input'!H238*7)</f>
        <v/>
      </c>
      <c r="N238" s="18">
        <f>IF(B238="","",COUNTIFS($B$5:$B$504,B238,$C$5:$C$504,C238,$I$5:$I$504,TRUE,$J$5:$J$504,TRUE,$K$5:$K$504,TRUE))</f>
        <v/>
      </c>
      <c r="O238" s="18">
        <f>IF(B238="","",AND(F238=AsOfWeek,AsOfWeek&lt;&gt;""))</f>
        <v/>
      </c>
      <c r="P238" s="20">
        <f>IF(OR(B238="",AsOfWeek=""),"",IFERROR(SUMIFS($M$5:$M$504,$B$5:$B$504,B238,$C$5:$C$504,C238,$L$5:$L$504,TRUE,$F$5:$F$504,"&gt;="&amp;AsOfWeek-7*(RecentWeeks-1),$F$5:$F$504,"&lt;="&amp;AsOfWeek),""))</f>
        <v/>
      </c>
      <c r="Q238" s="20">
        <f>IF(OR(B238="",AsOfWeek=""),"",IFERROR(SUMIFS($M$5:$M$504,$B$5:$B$504,B238,$C$5:$C$504,C238,$L$5:$L$504,TRUE,$F$5:$F$504,"&gt;="&amp;AsOfWeek-7*(RecentWeeks+PriorWeeks-1),$F$5:$F$504,"&lt;"&amp;AsOfWeek-7*(RecentWeeks-1)),""))</f>
        <v/>
      </c>
      <c r="R238" s="21">
        <f>IF(OR(P238="",Q238="",Q238=0),"",P238/Q238-1)</f>
        <v/>
      </c>
      <c r="S238" s="20">
        <f>IF(OR(C238="",AsOfWeek=""),"",IFERROR(AVERAGEIFS($M$5:$M$504,$C$5:$C$504,C238,$L$5:$L$504,TRUE,$F$5:$F$504,"&gt;="&amp;AsOfWeek-7*(RecentWeeks-1),$F$5:$F$504,"&lt;="&amp;AsOfWeek),""))</f>
        <v/>
      </c>
      <c r="T238" s="21">
        <f>IF(OR(P238="",S238=""),"",P238/S238-1)</f>
        <v/>
      </c>
      <c r="U238" s="22">
        <f>IF(OR(B238="",'Weekly Input'!G238="",P238="",P238=0),"",'Weekly Input'!G238/P238)</f>
        <v/>
      </c>
      <c r="V238" s="18">
        <f>IF(B238="","",IF(NOT(I238),"Not Ready",IF(NOT(K238),"Not Ready",IF(N238&lt;MinHistory,"Not Ready",IF(NOT(J238),"Not Ready",IF(OR(Q238="",Q238=0),"Noise",IF(Q238&lt;LowBaseThreshold,"Noise",IF(AND(R238&lt;=-OwnDecline,T238&lt;=-PeerGapThreshold),"Markdown Review",IF(AND(R238&gt;=ReorderUplift,U238&lt;&gt;"",U238&lt;=WeeksSupplyCap),"Reorder Candidate","Monitor"))))))))</f>
        <v/>
      </c>
      <c r="W238" s="18">
        <f>IF(B238="","",IF(NOT(I238),"INVALID_MASTER",IF(NOT(K238),"INCOMPLETE_SHELF_CYCLE",IF(N238&lt;MinHistory,"INSUFFICIENT_HISTORY",IF(NOT(J238),"INSUFFICIENT_IN_STOCK",IF(OR(Q238="",Q238=0),"NO_PRIOR_BASE",IF(Q238&lt;LowBaseThreshold,"LOW_BASE_NOISE",IF(V238="Markdown Review","MARKDOWN_PEER_GAP",IF(V238="Reorder Candidate","REORDER_UPLIFT_COVER","NO_MATERIAL_CHANGE"))))))))</f>
        <v/>
      </c>
      <c r="X238" s="18">
        <f>IF(V238="Markdown Review","Markdown support",IF(V238="Reorder Candidate","Second reorder",IF(V238="Monitor","Monitor",IF(V238="Noise","Hold / collect data",IF(V238="Not Ready","Not ready","")))))</f>
        <v/>
      </c>
      <c r="Y238" s="18">
        <f>IF(OR(R238="",T238=""),"",ABS(R238)+ABS(T238))</f>
        <v/>
      </c>
      <c r="Z238" s="21">
        <f>IF(OR(B238="",NOT(O238),R238=""),"",IF(ABS(R238)&gt;=MaterialThreshold,"Yes","No"))</f>
        <v/>
      </c>
      <c r="AA238" s="18">
        <f>IF(Z238&lt;&gt;"Yes","",IF(ABS(R238)&gt;=MaterialThreshold,IF(ABS(R238)&gt;=BroadShare,"Broad SKU movement","Store-concentrated movement"),""))</f>
        <v/>
      </c>
      <c r="AB238" s="18">
        <f>IF(O238,IF(COUNTIFS($O$5:O238,TRUE)&gt;0,COUNTIFS($O$5:O238,TRUE),0),0)</f>
        <v/>
      </c>
      <c r="AC238" s="18">
        <f>IF(V238="Markdown Review",1,IF(V238="Reorder Candidate",2,IF(V238="Monitor",3,IF(V238="Noise",4,IF(V238="Not Ready",5,99)))))</f>
        <v/>
      </c>
      <c r="AD238" s="18">
        <f>IF(O238,COUNTIFS($O$5:$O$504,TRUE,$AC$5:$AC$504,"&lt;"&amp;AC238)+COUNTIFS($O$5:O238,TRUE,$AC$5:AC238,AC238,$Y$5:Y238,"&gt;"&amp;Y238),0)</f>
        <v/>
      </c>
    </row>
    <row r="239">
      <c r="A239" s="17">
        <f>IF(COUNTA('Weekly Input'!A239:C239)=0,"",'Weekly Input'!B239&amp;"|"&amp;'Weekly Input'!C239&amp;"|"&amp;TEXT('Weekly Input'!A239,"yyyy-mm-dd"))</f>
        <v/>
      </c>
      <c r="B239" s="18">
        <f>'Weekly Input'!B239</f>
        <v/>
      </c>
      <c r="C239" s="18">
        <f>'Weekly Input'!C239</f>
        <v/>
      </c>
      <c r="D239" s="18">
        <f>IF(B239="","",IFERROR(INDEX('Master Data'!$B$6:$B$145,MATCH(B239,'Master Data'!$A$6:$A$145,0)),""))</f>
        <v/>
      </c>
      <c r="E239" s="18">
        <f>IF(C239="","",IFERROR(INDEX('Master Data'!$H$6:$H$13,MATCH(C239,'Master Data'!$F$6:$F$13,0)),""))</f>
        <v/>
      </c>
      <c r="F239" s="19">
        <f>'Weekly Input'!A239</f>
        <v/>
      </c>
      <c r="G239" s="19">
        <f>IF(B239="","",IFERROR(INDEX('Master Data'!$D$6:$D$145,MATCH(B239,'Master Data'!$A$6:$A$145,0)),""))</f>
        <v/>
      </c>
      <c r="H239" s="18">
        <f>IF(OR(F239="",G239=""),"",F239-G239)</f>
        <v/>
      </c>
      <c r="I239" s="18">
        <f>IF(B239="","",IF('Weekly Input'!J239="OK",TRUE,FALSE))</f>
        <v/>
      </c>
      <c r="J239" s="18">
        <f>IF(B239="","",'Weekly Input'!H239&gt;=MinInStockDays)</f>
        <v/>
      </c>
      <c r="K239" s="18">
        <f>IF(B239="","",H239&gt;=FullCycleMin)</f>
        <v/>
      </c>
      <c r="L239" s="18">
        <f>IF(B239="","",AND(I239,J239,K239,N239&gt;=MinHistory))</f>
        <v/>
      </c>
      <c r="M239" s="20">
        <f>IF(OR(B239="",'Weekly Input'!H239=0),"",'Weekly Input'!D239/'Weekly Input'!H239*7)</f>
        <v/>
      </c>
      <c r="N239" s="18">
        <f>IF(B239="","",COUNTIFS($B$5:$B$504,B239,$C$5:$C$504,C239,$I$5:$I$504,TRUE,$J$5:$J$504,TRUE,$K$5:$K$504,TRUE))</f>
        <v/>
      </c>
      <c r="O239" s="18">
        <f>IF(B239="","",AND(F239=AsOfWeek,AsOfWeek&lt;&gt;""))</f>
        <v/>
      </c>
      <c r="P239" s="20">
        <f>IF(OR(B239="",AsOfWeek=""),"",IFERROR(SUMIFS($M$5:$M$504,$B$5:$B$504,B239,$C$5:$C$504,C239,$L$5:$L$504,TRUE,$F$5:$F$504,"&gt;="&amp;AsOfWeek-7*(RecentWeeks-1),$F$5:$F$504,"&lt;="&amp;AsOfWeek),""))</f>
        <v/>
      </c>
      <c r="Q239" s="20">
        <f>IF(OR(B239="",AsOfWeek=""),"",IFERROR(SUMIFS($M$5:$M$504,$B$5:$B$504,B239,$C$5:$C$504,C239,$L$5:$L$504,TRUE,$F$5:$F$504,"&gt;="&amp;AsOfWeek-7*(RecentWeeks+PriorWeeks-1),$F$5:$F$504,"&lt;"&amp;AsOfWeek-7*(RecentWeeks-1)),""))</f>
        <v/>
      </c>
      <c r="R239" s="21">
        <f>IF(OR(P239="",Q239="",Q239=0),"",P239/Q239-1)</f>
        <v/>
      </c>
      <c r="S239" s="20">
        <f>IF(OR(C239="",AsOfWeek=""),"",IFERROR(AVERAGEIFS($M$5:$M$504,$C$5:$C$504,C239,$L$5:$L$504,TRUE,$F$5:$F$504,"&gt;="&amp;AsOfWeek-7*(RecentWeeks-1),$F$5:$F$504,"&lt;="&amp;AsOfWeek),""))</f>
        <v/>
      </c>
      <c r="T239" s="21">
        <f>IF(OR(P239="",S239=""),"",P239/S239-1)</f>
        <v/>
      </c>
      <c r="U239" s="22">
        <f>IF(OR(B239="",'Weekly Input'!G239="",P239="",P239=0),"",'Weekly Input'!G239/P239)</f>
        <v/>
      </c>
      <c r="V239" s="18">
        <f>IF(B239="","",IF(NOT(I239),"Not Ready",IF(NOT(K239),"Not Ready",IF(N239&lt;MinHistory,"Not Ready",IF(NOT(J239),"Not Ready",IF(OR(Q239="",Q239=0),"Noise",IF(Q239&lt;LowBaseThreshold,"Noise",IF(AND(R239&lt;=-OwnDecline,T239&lt;=-PeerGapThreshold),"Markdown Review",IF(AND(R239&gt;=ReorderUplift,U239&lt;&gt;"",U239&lt;=WeeksSupplyCap),"Reorder Candidate","Monitor"))))))))</f>
        <v/>
      </c>
      <c r="W239" s="18">
        <f>IF(B239="","",IF(NOT(I239),"INVALID_MASTER",IF(NOT(K239),"INCOMPLETE_SHELF_CYCLE",IF(N239&lt;MinHistory,"INSUFFICIENT_HISTORY",IF(NOT(J239),"INSUFFICIENT_IN_STOCK",IF(OR(Q239="",Q239=0),"NO_PRIOR_BASE",IF(Q239&lt;LowBaseThreshold,"LOW_BASE_NOISE",IF(V239="Markdown Review","MARKDOWN_PEER_GAP",IF(V239="Reorder Candidate","REORDER_UPLIFT_COVER","NO_MATERIAL_CHANGE"))))))))</f>
        <v/>
      </c>
      <c r="X239" s="18">
        <f>IF(V239="Markdown Review","Markdown support",IF(V239="Reorder Candidate","Second reorder",IF(V239="Monitor","Monitor",IF(V239="Noise","Hold / collect data",IF(V239="Not Ready","Not ready","")))))</f>
        <v/>
      </c>
      <c r="Y239" s="18">
        <f>IF(OR(R239="",T239=""),"",ABS(R239)+ABS(T239))</f>
        <v/>
      </c>
      <c r="Z239" s="21">
        <f>IF(OR(B239="",NOT(O239),R239=""),"",IF(ABS(R239)&gt;=MaterialThreshold,"Yes","No"))</f>
        <v/>
      </c>
      <c r="AA239" s="18">
        <f>IF(Z239&lt;&gt;"Yes","",IF(ABS(R239)&gt;=MaterialThreshold,IF(ABS(R239)&gt;=BroadShare,"Broad SKU movement","Store-concentrated movement"),""))</f>
        <v/>
      </c>
      <c r="AB239" s="18">
        <f>IF(O239,IF(COUNTIFS($O$5:O239,TRUE)&gt;0,COUNTIFS($O$5:O239,TRUE),0),0)</f>
        <v/>
      </c>
      <c r="AC239" s="18">
        <f>IF(V239="Markdown Review",1,IF(V239="Reorder Candidate",2,IF(V239="Monitor",3,IF(V239="Noise",4,IF(V239="Not Ready",5,99)))))</f>
        <v/>
      </c>
      <c r="AD239" s="18">
        <f>IF(O239,COUNTIFS($O$5:$O$504,TRUE,$AC$5:$AC$504,"&lt;"&amp;AC239)+COUNTIFS($O$5:O239,TRUE,$AC$5:AC239,AC239,$Y$5:Y239,"&gt;"&amp;Y239),0)</f>
        <v/>
      </c>
    </row>
    <row r="240">
      <c r="A240" s="17">
        <f>IF(COUNTA('Weekly Input'!A240:C240)=0,"",'Weekly Input'!B240&amp;"|"&amp;'Weekly Input'!C240&amp;"|"&amp;TEXT('Weekly Input'!A240,"yyyy-mm-dd"))</f>
        <v/>
      </c>
      <c r="B240" s="18">
        <f>'Weekly Input'!B240</f>
        <v/>
      </c>
      <c r="C240" s="18">
        <f>'Weekly Input'!C240</f>
        <v/>
      </c>
      <c r="D240" s="18">
        <f>IF(B240="","",IFERROR(INDEX('Master Data'!$B$6:$B$145,MATCH(B240,'Master Data'!$A$6:$A$145,0)),""))</f>
        <v/>
      </c>
      <c r="E240" s="18">
        <f>IF(C240="","",IFERROR(INDEX('Master Data'!$H$6:$H$13,MATCH(C240,'Master Data'!$F$6:$F$13,0)),""))</f>
        <v/>
      </c>
      <c r="F240" s="19">
        <f>'Weekly Input'!A240</f>
        <v/>
      </c>
      <c r="G240" s="19">
        <f>IF(B240="","",IFERROR(INDEX('Master Data'!$D$6:$D$145,MATCH(B240,'Master Data'!$A$6:$A$145,0)),""))</f>
        <v/>
      </c>
      <c r="H240" s="18">
        <f>IF(OR(F240="",G240=""),"",F240-G240)</f>
        <v/>
      </c>
      <c r="I240" s="18">
        <f>IF(B240="","",IF('Weekly Input'!J240="OK",TRUE,FALSE))</f>
        <v/>
      </c>
      <c r="J240" s="18">
        <f>IF(B240="","",'Weekly Input'!H240&gt;=MinInStockDays)</f>
        <v/>
      </c>
      <c r="K240" s="18">
        <f>IF(B240="","",H240&gt;=FullCycleMin)</f>
        <v/>
      </c>
      <c r="L240" s="18">
        <f>IF(B240="","",AND(I240,J240,K240,N240&gt;=MinHistory))</f>
        <v/>
      </c>
      <c r="M240" s="20">
        <f>IF(OR(B240="",'Weekly Input'!H240=0),"",'Weekly Input'!D240/'Weekly Input'!H240*7)</f>
        <v/>
      </c>
      <c r="N240" s="18">
        <f>IF(B240="","",COUNTIFS($B$5:$B$504,B240,$C$5:$C$504,C240,$I$5:$I$504,TRUE,$J$5:$J$504,TRUE,$K$5:$K$504,TRUE))</f>
        <v/>
      </c>
      <c r="O240" s="18">
        <f>IF(B240="","",AND(F240=AsOfWeek,AsOfWeek&lt;&gt;""))</f>
        <v/>
      </c>
      <c r="P240" s="20">
        <f>IF(OR(B240="",AsOfWeek=""),"",IFERROR(SUMIFS($M$5:$M$504,$B$5:$B$504,B240,$C$5:$C$504,C240,$L$5:$L$504,TRUE,$F$5:$F$504,"&gt;="&amp;AsOfWeek-7*(RecentWeeks-1),$F$5:$F$504,"&lt;="&amp;AsOfWeek),""))</f>
        <v/>
      </c>
      <c r="Q240" s="20">
        <f>IF(OR(B240="",AsOfWeek=""),"",IFERROR(SUMIFS($M$5:$M$504,$B$5:$B$504,B240,$C$5:$C$504,C240,$L$5:$L$504,TRUE,$F$5:$F$504,"&gt;="&amp;AsOfWeek-7*(RecentWeeks+PriorWeeks-1),$F$5:$F$504,"&lt;"&amp;AsOfWeek-7*(RecentWeeks-1)),""))</f>
        <v/>
      </c>
      <c r="R240" s="21">
        <f>IF(OR(P240="",Q240="",Q240=0),"",P240/Q240-1)</f>
        <v/>
      </c>
      <c r="S240" s="20">
        <f>IF(OR(C240="",AsOfWeek=""),"",IFERROR(AVERAGEIFS($M$5:$M$504,$C$5:$C$504,C240,$L$5:$L$504,TRUE,$F$5:$F$504,"&gt;="&amp;AsOfWeek-7*(RecentWeeks-1),$F$5:$F$504,"&lt;="&amp;AsOfWeek),""))</f>
        <v/>
      </c>
      <c r="T240" s="21">
        <f>IF(OR(P240="",S240=""),"",P240/S240-1)</f>
        <v/>
      </c>
      <c r="U240" s="22">
        <f>IF(OR(B240="",'Weekly Input'!G240="",P240="",P240=0),"",'Weekly Input'!G240/P240)</f>
        <v/>
      </c>
      <c r="V240" s="18">
        <f>IF(B240="","",IF(NOT(I240),"Not Ready",IF(NOT(K240),"Not Ready",IF(N240&lt;MinHistory,"Not Ready",IF(NOT(J240),"Not Ready",IF(OR(Q240="",Q240=0),"Noise",IF(Q240&lt;LowBaseThreshold,"Noise",IF(AND(R240&lt;=-OwnDecline,T240&lt;=-PeerGapThreshold),"Markdown Review",IF(AND(R240&gt;=ReorderUplift,U240&lt;&gt;"",U240&lt;=WeeksSupplyCap),"Reorder Candidate","Monitor"))))))))</f>
        <v/>
      </c>
      <c r="W240" s="18">
        <f>IF(B240="","",IF(NOT(I240),"INVALID_MASTER",IF(NOT(K240),"INCOMPLETE_SHELF_CYCLE",IF(N240&lt;MinHistory,"INSUFFICIENT_HISTORY",IF(NOT(J240),"INSUFFICIENT_IN_STOCK",IF(OR(Q240="",Q240=0),"NO_PRIOR_BASE",IF(Q240&lt;LowBaseThreshold,"LOW_BASE_NOISE",IF(V240="Markdown Review","MARKDOWN_PEER_GAP",IF(V240="Reorder Candidate","REORDER_UPLIFT_COVER","NO_MATERIAL_CHANGE"))))))))</f>
        <v/>
      </c>
      <c r="X240" s="18">
        <f>IF(V240="Markdown Review","Markdown support",IF(V240="Reorder Candidate","Second reorder",IF(V240="Monitor","Monitor",IF(V240="Noise","Hold / collect data",IF(V240="Not Ready","Not ready","")))))</f>
        <v/>
      </c>
      <c r="Y240" s="18">
        <f>IF(OR(R240="",T240=""),"",ABS(R240)+ABS(T240))</f>
        <v/>
      </c>
      <c r="Z240" s="21">
        <f>IF(OR(B240="",NOT(O240),R240=""),"",IF(ABS(R240)&gt;=MaterialThreshold,"Yes","No"))</f>
        <v/>
      </c>
      <c r="AA240" s="18">
        <f>IF(Z240&lt;&gt;"Yes","",IF(ABS(R240)&gt;=MaterialThreshold,IF(ABS(R240)&gt;=BroadShare,"Broad SKU movement","Store-concentrated movement"),""))</f>
        <v/>
      </c>
      <c r="AB240" s="18">
        <f>IF(O240,IF(COUNTIFS($O$5:O240,TRUE)&gt;0,COUNTIFS($O$5:O240,TRUE),0),0)</f>
        <v/>
      </c>
      <c r="AC240" s="18">
        <f>IF(V240="Markdown Review",1,IF(V240="Reorder Candidate",2,IF(V240="Monitor",3,IF(V240="Noise",4,IF(V240="Not Ready",5,99)))))</f>
        <v/>
      </c>
      <c r="AD240" s="18">
        <f>IF(O240,COUNTIFS($O$5:$O$504,TRUE,$AC$5:$AC$504,"&lt;"&amp;AC240)+COUNTIFS($O$5:O240,TRUE,$AC$5:AC240,AC240,$Y$5:Y240,"&gt;"&amp;Y240),0)</f>
        <v/>
      </c>
    </row>
    <row r="241">
      <c r="A241" s="17">
        <f>IF(COUNTA('Weekly Input'!A241:C241)=0,"",'Weekly Input'!B241&amp;"|"&amp;'Weekly Input'!C241&amp;"|"&amp;TEXT('Weekly Input'!A241,"yyyy-mm-dd"))</f>
        <v/>
      </c>
      <c r="B241" s="18">
        <f>'Weekly Input'!B241</f>
        <v/>
      </c>
      <c r="C241" s="18">
        <f>'Weekly Input'!C241</f>
        <v/>
      </c>
      <c r="D241" s="18">
        <f>IF(B241="","",IFERROR(INDEX('Master Data'!$B$6:$B$145,MATCH(B241,'Master Data'!$A$6:$A$145,0)),""))</f>
        <v/>
      </c>
      <c r="E241" s="18">
        <f>IF(C241="","",IFERROR(INDEX('Master Data'!$H$6:$H$13,MATCH(C241,'Master Data'!$F$6:$F$13,0)),""))</f>
        <v/>
      </c>
      <c r="F241" s="19">
        <f>'Weekly Input'!A241</f>
        <v/>
      </c>
      <c r="G241" s="19">
        <f>IF(B241="","",IFERROR(INDEX('Master Data'!$D$6:$D$145,MATCH(B241,'Master Data'!$A$6:$A$145,0)),""))</f>
        <v/>
      </c>
      <c r="H241" s="18">
        <f>IF(OR(F241="",G241=""),"",F241-G241)</f>
        <v/>
      </c>
      <c r="I241" s="18">
        <f>IF(B241="","",IF('Weekly Input'!J241="OK",TRUE,FALSE))</f>
        <v/>
      </c>
      <c r="J241" s="18">
        <f>IF(B241="","",'Weekly Input'!H241&gt;=MinInStockDays)</f>
        <v/>
      </c>
      <c r="K241" s="18">
        <f>IF(B241="","",H241&gt;=FullCycleMin)</f>
        <v/>
      </c>
      <c r="L241" s="18">
        <f>IF(B241="","",AND(I241,J241,K241,N241&gt;=MinHistory))</f>
        <v/>
      </c>
      <c r="M241" s="20">
        <f>IF(OR(B241="",'Weekly Input'!H241=0),"",'Weekly Input'!D241/'Weekly Input'!H241*7)</f>
        <v/>
      </c>
      <c r="N241" s="18">
        <f>IF(B241="","",COUNTIFS($B$5:$B$504,B241,$C$5:$C$504,C241,$I$5:$I$504,TRUE,$J$5:$J$504,TRUE,$K$5:$K$504,TRUE))</f>
        <v/>
      </c>
      <c r="O241" s="18">
        <f>IF(B241="","",AND(F241=AsOfWeek,AsOfWeek&lt;&gt;""))</f>
        <v/>
      </c>
      <c r="P241" s="20">
        <f>IF(OR(B241="",AsOfWeek=""),"",IFERROR(SUMIFS($M$5:$M$504,$B$5:$B$504,B241,$C$5:$C$504,C241,$L$5:$L$504,TRUE,$F$5:$F$504,"&gt;="&amp;AsOfWeek-7*(RecentWeeks-1),$F$5:$F$504,"&lt;="&amp;AsOfWeek),""))</f>
        <v/>
      </c>
      <c r="Q241" s="20">
        <f>IF(OR(B241="",AsOfWeek=""),"",IFERROR(SUMIFS($M$5:$M$504,$B$5:$B$504,B241,$C$5:$C$504,C241,$L$5:$L$504,TRUE,$F$5:$F$504,"&gt;="&amp;AsOfWeek-7*(RecentWeeks+PriorWeeks-1),$F$5:$F$504,"&lt;"&amp;AsOfWeek-7*(RecentWeeks-1)),""))</f>
        <v/>
      </c>
      <c r="R241" s="21">
        <f>IF(OR(P241="",Q241="",Q241=0),"",P241/Q241-1)</f>
        <v/>
      </c>
      <c r="S241" s="20">
        <f>IF(OR(C241="",AsOfWeek=""),"",IFERROR(AVERAGEIFS($M$5:$M$504,$C$5:$C$504,C241,$L$5:$L$504,TRUE,$F$5:$F$504,"&gt;="&amp;AsOfWeek-7*(RecentWeeks-1),$F$5:$F$504,"&lt;="&amp;AsOfWeek),""))</f>
        <v/>
      </c>
      <c r="T241" s="21">
        <f>IF(OR(P241="",S241=""),"",P241/S241-1)</f>
        <v/>
      </c>
      <c r="U241" s="22">
        <f>IF(OR(B241="",'Weekly Input'!G241="",P241="",P241=0),"",'Weekly Input'!G241/P241)</f>
        <v/>
      </c>
      <c r="V241" s="18">
        <f>IF(B241="","",IF(NOT(I241),"Not Ready",IF(NOT(K241),"Not Ready",IF(N241&lt;MinHistory,"Not Ready",IF(NOT(J241),"Not Ready",IF(OR(Q241="",Q241=0),"Noise",IF(Q241&lt;LowBaseThreshold,"Noise",IF(AND(R241&lt;=-OwnDecline,T241&lt;=-PeerGapThreshold),"Markdown Review",IF(AND(R241&gt;=ReorderUplift,U241&lt;&gt;"",U241&lt;=WeeksSupplyCap),"Reorder Candidate","Monitor"))))))))</f>
        <v/>
      </c>
      <c r="W241" s="18">
        <f>IF(B241="","",IF(NOT(I241),"INVALID_MASTER",IF(NOT(K241),"INCOMPLETE_SHELF_CYCLE",IF(N241&lt;MinHistory,"INSUFFICIENT_HISTORY",IF(NOT(J241),"INSUFFICIENT_IN_STOCK",IF(OR(Q241="",Q241=0),"NO_PRIOR_BASE",IF(Q241&lt;LowBaseThreshold,"LOW_BASE_NOISE",IF(V241="Markdown Review","MARKDOWN_PEER_GAP",IF(V241="Reorder Candidate","REORDER_UPLIFT_COVER","NO_MATERIAL_CHANGE"))))))))</f>
        <v/>
      </c>
      <c r="X241" s="18">
        <f>IF(V241="Markdown Review","Markdown support",IF(V241="Reorder Candidate","Second reorder",IF(V241="Monitor","Monitor",IF(V241="Noise","Hold / collect data",IF(V241="Not Ready","Not ready","")))))</f>
        <v/>
      </c>
      <c r="Y241" s="18">
        <f>IF(OR(R241="",T241=""),"",ABS(R241)+ABS(T241))</f>
        <v/>
      </c>
      <c r="Z241" s="21">
        <f>IF(OR(B241="",NOT(O241),R241=""),"",IF(ABS(R241)&gt;=MaterialThreshold,"Yes","No"))</f>
        <v/>
      </c>
      <c r="AA241" s="18">
        <f>IF(Z241&lt;&gt;"Yes","",IF(ABS(R241)&gt;=MaterialThreshold,IF(ABS(R241)&gt;=BroadShare,"Broad SKU movement","Store-concentrated movement"),""))</f>
        <v/>
      </c>
      <c r="AB241" s="18">
        <f>IF(O241,IF(COUNTIFS($O$5:O241,TRUE)&gt;0,COUNTIFS($O$5:O241,TRUE),0),0)</f>
        <v/>
      </c>
      <c r="AC241" s="18">
        <f>IF(V241="Markdown Review",1,IF(V241="Reorder Candidate",2,IF(V241="Monitor",3,IF(V241="Noise",4,IF(V241="Not Ready",5,99)))))</f>
        <v/>
      </c>
      <c r="AD241" s="18">
        <f>IF(O241,COUNTIFS($O$5:$O$504,TRUE,$AC$5:$AC$504,"&lt;"&amp;AC241)+COUNTIFS($O$5:O241,TRUE,$AC$5:AC241,AC241,$Y$5:Y241,"&gt;"&amp;Y241),0)</f>
        <v/>
      </c>
    </row>
    <row r="242">
      <c r="A242" s="17">
        <f>IF(COUNTA('Weekly Input'!A242:C242)=0,"",'Weekly Input'!B242&amp;"|"&amp;'Weekly Input'!C242&amp;"|"&amp;TEXT('Weekly Input'!A242,"yyyy-mm-dd"))</f>
        <v/>
      </c>
      <c r="B242" s="18">
        <f>'Weekly Input'!B242</f>
        <v/>
      </c>
      <c r="C242" s="18">
        <f>'Weekly Input'!C242</f>
        <v/>
      </c>
      <c r="D242" s="18">
        <f>IF(B242="","",IFERROR(INDEX('Master Data'!$B$6:$B$145,MATCH(B242,'Master Data'!$A$6:$A$145,0)),""))</f>
        <v/>
      </c>
      <c r="E242" s="18">
        <f>IF(C242="","",IFERROR(INDEX('Master Data'!$H$6:$H$13,MATCH(C242,'Master Data'!$F$6:$F$13,0)),""))</f>
        <v/>
      </c>
      <c r="F242" s="19">
        <f>'Weekly Input'!A242</f>
        <v/>
      </c>
      <c r="G242" s="19">
        <f>IF(B242="","",IFERROR(INDEX('Master Data'!$D$6:$D$145,MATCH(B242,'Master Data'!$A$6:$A$145,0)),""))</f>
        <v/>
      </c>
      <c r="H242" s="18">
        <f>IF(OR(F242="",G242=""),"",F242-G242)</f>
        <v/>
      </c>
      <c r="I242" s="18">
        <f>IF(B242="","",IF('Weekly Input'!J242="OK",TRUE,FALSE))</f>
        <v/>
      </c>
      <c r="J242" s="18">
        <f>IF(B242="","",'Weekly Input'!H242&gt;=MinInStockDays)</f>
        <v/>
      </c>
      <c r="K242" s="18">
        <f>IF(B242="","",H242&gt;=FullCycleMin)</f>
        <v/>
      </c>
      <c r="L242" s="18">
        <f>IF(B242="","",AND(I242,J242,K242,N242&gt;=MinHistory))</f>
        <v/>
      </c>
      <c r="M242" s="20">
        <f>IF(OR(B242="",'Weekly Input'!H242=0),"",'Weekly Input'!D242/'Weekly Input'!H242*7)</f>
        <v/>
      </c>
      <c r="N242" s="18">
        <f>IF(B242="","",COUNTIFS($B$5:$B$504,B242,$C$5:$C$504,C242,$I$5:$I$504,TRUE,$J$5:$J$504,TRUE,$K$5:$K$504,TRUE))</f>
        <v/>
      </c>
      <c r="O242" s="18">
        <f>IF(B242="","",AND(F242=AsOfWeek,AsOfWeek&lt;&gt;""))</f>
        <v/>
      </c>
      <c r="P242" s="20">
        <f>IF(OR(B242="",AsOfWeek=""),"",IFERROR(SUMIFS($M$5:$M$504,$B$5:$B$504,B242,$C$5:$C$504,C242,$L$5:$L$504,TRUE,$F$5:$F$504,"&gt;="&amp;AsOfWeek-7*(RecentWeeks-1),$F$5:$F$504,"&lt;="&amp;AsOfWeek),""))</f>
        <v/>
      </c>
      <c r="Q242" s="20">
        <f>IF(OR(B242="",AsOfWeek=""),"",IFERROR(SUMIFS($M$5:$M$504,$B$5:$B$504,B242,$C$5:$C$504,C242,$L$5:$L$504,TRUE,$F$5:$F$504,"&gt;="&amp;AsOfWeek-7*(RecentWeeks+PriorWeeks-1),$F$5:$F$504,"&lt;"&amp;AsOfWeek-7*(RecentWeeks-1)),""))</f>
        <v/>
      </c>
      <c r="R242" s="21">
        <f>IF(OR(P242="",Q242="",Q242=0),"",P242/Q242-1)</f>
        <v/>
      </c>
      <c r="S242" s="20">
        <f>IF(OR(C242="",AsOfWeek=""),"",IFERROR(AVERAGEIFS($M$5:$M$504,$C$5:$C$504,C242,$L$5:$L$504,TRUE,$F$5:$F$504,"&gt;="&amp;AsOfWeek-7*(RecentWeeks-1),$F$5:$F$504,"&lt;="&amp;AsOfWeek),""))</f>
        <v/>
      </c>
      <c r="T242" s="21">
        <f>IF(OR(P242="",S242=""),"",P242/S242-1)</f>
        <v/>
      </c>
      <c r="U242" s="22">
        <f>IF(OR(B242="",'Weekly Input'!G242="",P242="",P242=0),"",'Weekly Input'!G242/P242)</f>
        <v/>
      </c>
      <c r="V242" s="18">
        <f>IF(B242="","",IF(NOT(I242),"Not Ready",IF(NOT(K242),"Not Ready",IF(N242&lt;MinHistory,"Not Ready",IF(NOT(J242),"Not Ready",IF(OR(Q242="",Q242=0),"Noise",IF(Q242&lt;LowBaseThreshold,"Noise",IF(AND(R242&lt;=-OwnDecline,T242&lt;=-PeerGapThreshold),"Markdown Review",IF(AND(R242&gt;=ReorderUplift,U242&lt;&gt;"",U242&lt;=WeeksSupplyCap),"Reorder Candidate","Monitor"))))))))</f>
        <v/>
      </c>
      <c r="W242" s="18">
        <f>IF(B242="","",IF(NOT(I242),"INVALID_MASTER",IF(NOT(K242),"INCOMPLETE_SHELF_CYCLE",IF(N242&lt;MinHistory,"INSUFFICIENT_HISTORY",IF(NOT(J242),"INSUFFICIENT_IN_STOCK",IF(OR(Q242="",Q242=0),"NO_PRIOR_BASE",IF(Q242&lt;LowBaseThreshold,"LOW_BASE_NOISE",IF(V242="Markdown Review","MARKDOWN_PEER_GAP",IF(V242="Reorder Candidate","REORDER_UPLIFT_COVER","NO_MATERIAL_CHANGE"))))))))</f>
        <v/>
      </c>
      <c r="X242" s="18">
        <f>IF(V242="Markdown Review","Markdown support",IF(V242="Reorder Candidate","Second reorder",IF(V242="Monitor","Monitor",IF(V242="Noise","Hold / collect data",IF(V242="Not Ready","Not ready","")))))</f>
        <v/>
      </c>
      <c r="Y242" s="18">
        <f>IF(OR(R242="",T242=""),"",ABS(R242)+ABS(T242))</f>
        <v/>
      </c>
      <c r="Z242" s="21">
        <f>IF(OR(B242="",NOT(O242),R242=""),"",IF(ABS(R242)&gt;=MaterialThreshold,"Yes","No"))</f>
        <v/>
      </c>
      <c r="AA242" s="18">
        <f>IF(Z242&lt;&gt;"Yes","",IF(ABS(R242)&gt;=MaterialThreshold,IF(ABS(R242)&gt;=BroadShare,"Broad SKU movement","Store-concentrated movement"),""))</f>
        <v/>
      </c>
      <c r="AB242" s="18">
        <f>IF(O242,IF(COUNTIFS($O$5:O242,TRUE)&gt;0,COUNTIFS($O$5:O242,TRUE),0),0)</f>
        <v/>
      </c>
      <c r="AC242" s="18">
        <f>IF(V242="Markdown Review",1,IF(V242="Reorder Candidate",2,IF(V242="Monitor",3,IF(V242="Noise",4,IF(V242="Not Ready",5,99)))))</f>
        <v/>
      </c>
      <c r="AD242" s="18">
        <f>IF(O242,COUNTIFS($O$5:$O$504,TRUE,$AC$5:$AC$504,"&lt;"&amp;AC242)+COUNTIFS($O$5:O242,TRUE,$AC$5:AC242,AC242,$Y$5:Y242,"&gt;"&amp;Y242),0)</f>
        <v/>
      </c>
    </row>
    <row r="243">
      <c r="A243" s="17">
        <f>IF(COUNTA('Weekly Input'!A243:C243)=0,"",'Weekly Input'!B243&amp;"|"&amp;'Weekly Input'!C243&amp;"|"&amp;TEXT('Weekly Input'!A243,"yyyy-mm-dd"))</f>
        <v/>
      </c>
      <c r="B243" s="18">
        <f>'Weekly Input'!B243</f>
        <v/>
      </c>
      <c r="C243" s="18">
        <f>'Weekly Input'!C243</f>
        <v/>
      </c>
      <c r="D243" s="18">
        <f>IF(B243="","",IFERROR(INDEX('Master Data'!$B$6:$B$145,MATCH(B243,'Master Data'!$A$6:$A$145,0)),""))</f>
        <v/>
      </c>
      <c r="E243" s="18">
        <f>IF(C243="","",IFERROR(INDEX('Master Data'!$H$6:$H$13,MATCH(C243,'Master Data'!$F$6:$F$13,0)),""))</f>
        <v/>
      </c>
      <c r="F243" s="19">
        <f>'Weekly Input'!A243</f>
        <v/>
      </c>
      <c r="G243" s="19">
        <f>IF(B243="","",IFERROR(INDEX('Master Data'!$D$6:$D$145,MATCH(B243,'Master Data'!$A$6:$A$145,0)),""))</f>
        <v/>
      </c>
      <c r="H243" s="18">
        <f>IF(OR(F243="",G243=""),"",F243-G243)</f>
        <v/>
      </c>
      <c r="I243" s="18">
        <f>IF(B243="","",IF('Weekly Input'!J243="OK",TRUE,FALSE))</f>
        <v/>
      </c>
      <c r="J243" s="18">
        <f>IF(B243="","",'Weekly Input'!H243&gt;=MinInStockDays)</f>
        <v/>
      </c>
      <c r="K243" s="18">
        <f>IF(B243="","",H243&gt;=FullCycleMin)</f>
        <v/>
      </c>
      <c r="L243" s="18">
        <f>IF(B243="","",AND(I243,J243,K243,N243&gt;=MinHistory))</f>
        <v/>
      </c>
      <c r="M243" s="20">
        <f>IF(OR(B243="",'Weekly Input'!H243=0),"",'Weekly Input'!D243/'Weekly Input'!H243*7)</f>
        <v/>
      </c>
      <c r="N243" s="18">
        <f>IF(B243="","",COUNTIFS($B$5:$B$504,B243,$C$5:$C$504,C243,$I$5:$I$504,TRUE,$J$5:$J$504,TRUE,$K$5:$K$504,TRUE))</f>
        <v/>
      </c>
      <c r="O243" s="18">
        <f>IF(B243="","",AND(F243=AsOfWeek,AsOfWeek&lt;&gt;""))</f>
        <v/>
      </c>
      <c r="P243" s="20">
        <f>IF(OR(B243="",AsOfWeek=""),"",IFERROR(SUMIFS($M$5:$M$504,$B$5:$B$504,B243,$C$5:$C$504,C243,$L$5:$L$504,TRUE,$F$5:$F$504,"&gt;="&amp;AsOfWeek-7*(RecentWeeks-1),$F$5:$F$504,"&lt;="&amp;AsOfWeek),""))</f>
        <v/>
      </c>
      <c r="Q243" s="20">
        <f>IF(OR(B243="",AsOfWeek=""),"",IFERROR(SUMIFS($M$5:$M$504,$B$5:$B$504,B243,$C$5:$C$504,C243,$L$5:$L$504,TRUE,$F$5:$F$504,"&gt;="&amp;AsOfWeek-7*(RecentWeeks+PriorWeeks-1),$F$5:$F$504,"&lt;"&amp;AsOfWeek-7*(RecentWeeks-1)),""))</f>
        <v/>
      </c>
      <c r="R243" s="21">
        <f>IF(OR(P243="",Q243="",Q243=0),"",P243/Q243-1)</f>
        <v/>
      </c>
      <c r="S243" s="20">
        <f>IF(OR(C243="",AsOfWeek=""),"",IFERROR(AVERAGEIFS($M$5:$M$504,$C$5:$C$504,C243,$L$5:$L$504,TRUE,$F$5:$F$504,"&gt;="&amp;AsOfWeek-7*(RecentWeeks-1),$F$5:$F$504,"&lt;="&amp;AsOfWeek),""))</f>
        <v/>
      </c>
      <c r="T243" s="21">
        <f>IF(OR(P243="",S243=""),"",P243/S243-1)</f>
        <v/>
      </c>
      <c r="U243" s="22">
        <f>IF(OR(B243="",'Weekly Input'!G243="",P243="",P243=0),"",'Weekly Input'!G243/P243)</f>
        <v/>
      </c>
      <c r="V243" s="18">
        <f>IF(B243="","",IF(NOT(I243),"Not Ready",IF(NOT(K243),"Not Ready",IF(N243&lt;MinHistory,"Not Ready",IF(NOT(J243),"Not Ready",IF(OR(Q243="",Q243=0),"Noise",IF(Q243&lt;LowBaseThreshold,"Noise",IF(AND(R243&lt;=-OwnDecline,T243&lt;=-PeerGapThreshold),"Markdown Review",IF(AND(R243&gt;=ReorderUplift,U243&lt;&gt;"",U243&lt;=WeeksSupplyCap),"Reorder Candidate","Monitor"))))))))</f>
        <v/>
      </c>
      <c r="W243" s="18">
        <f>IF(B243="","",IF(NOT(I243),"INVALID_MASTER",IF(NOT(K243),"INCOMPLETE_SHELF_CYCLE",IF(N243&lt;MinHistory,"INSUFFICIENT_HISTORY",IF(NOT(J243),"INSUFFICIENT_IN_STOCK",IF(OR(Q243="",Q243=0),"NO_PRIOR_BASE",IF(Q243&lt;LowBaseThreshold,"LOW_BASE_NOISE",IF(V243="Markdown Review","MARKDOWN_PEER_GAP",IF(V243="Reorder Candidate","REORDER_UPLIFT_COVER","NO_MATERIAL_CHANGE"))))))))</f>
        <v/>
      </c>
      <c r="X243" s="18">
        <f>IF(V243="Markdown Review","Markdown support",IF(V243="Reorder Candidate","Second reorder",IF(V243="Monitor","Monitor",IF(V243="Noise","Hold / collect data",IF(V243="Not Ready","Not ready","")))))</f>
        <v/>
      </c>
      <c r="Y243" s="18">
        <f>IF(OR(R243="",T243=""),"",ABS(R243)+ABS(T243))</f>
        <v/>
      </c>
      <c r="Z243" s="21">
        <f>IF(OR(B243="",NOT(O243),R243=""),"",IF(ABS(R243)&gt;=MaterialThreshold,"Yes","No"))</f>
        <v/>
      </c>
      <c r="AA243" s="18">
        <f>IF(Z243&lt;&gt;"Yes","",IF(ABS(R243)&gt;=MaterialThreshold,IF(ABS(R243)&gt;=BroadShare,"Broad SKU movement","Store-concentrated movement"),""))</f>
        <v/>
      </c>
      <c r="AB243" s="18">
        <f>IF(O243,IF(COUNTIFS($O$5:O243,TRUE)&gt;0,COUNTIFS($O$5:O243,TRUE),0),0)</f>
        <v/>
      </c>
      <c r="AC243" s="18">
        <f>IF(V243="Markdown Review",1,IF(V243="Reorder Candidate",2,IF(V243="Monitor",3,IF(V243="Noise",4,IF(V243="Not Ready",5,99)))))</f>
        <v/>
      </c>
      <c r="AD243" s="18">
        <f>IF(O243,COUNTIFS($O$5:$O$504,TRUE,$AC$5:$AC$504,"&lt;"&amp;AC243)+COUNTIFS($O$5:O243,TRUE,$AC$5:AC243,AC243,$Y$5:Y243,"&gt;"&amp;Y243),0)</f>
        <v/>
      </c>
    </row>
    <row r="244">
      <c r="A244" s="17">
        <f>IF(COUNTA('Weekly Input'!A244:C244)=0,"",'Weekly Input'!B244&amp;"|"&amp;'Weekly Input'!C244&amp;"|"&amp;TEXT('Weekly Input'!A244,"yyyy-mm-dd"))</f>
        <v/>
      </c>
      <c r="B244" s="18">
        <f>'Weekly Input'!B244</f>
        <v/>
      </c>
      <c r="C244" s="18">
        <f>'Weekly Input'!C244</f>
        <v/>
      </c>
      <c r="D244" s="18">
        <f>IF(B244="","",IFERROR(INDEX('Master Data'!$B$6:$B$145,MATCH(B244,'Master Data'!$A$6:$A$145,0)),""))</f>
        <v/>
      </c>
      <c r="E244" s="18">
        <f>IF(C244="","",IFERROR(INDEX('Master Data'!$H$6:$H$13,MATCH(C244,'Master Data'!$F$6:$F$13,0)),""))</f>
        <v/>
      </c>
      <c r="F244" s="19">
        <f>'Weekly Input'!A244</f>
        <v/>
      </c>
      <c r="G244" s="19">
        <f>IF(B244="","",IFERROR(INDEX('Master Data'!$D$6:$D$145,MATCH(B244,'Master Data'!$A$6:$A$145,0)),""))</f>
        <v/>
      </c>
      <c r="H244" s="18">
        <f>IF(OR(F244="",G244=""),"",F244-G244)</f>
        <v/>
      </c>
      <c r="I244" s="18">
        <f>IF(B244="","",IF('Weekly Input'!J244="OK",TRUE,FALSE))</f>
        <v/>
      </c>
      <c r="J244" s="18">
        <f>IF(B244="","",'Weekly Input'!H244&gt;=MinInStockDays)</f>
        <v/>
      </c>
      <c r="K244" s="18">
        <f>IF(B244="","",H244&gt;=FullCycleMin)</f>
        <v/>
      </c>
      <c r="L244" s="18">
        <f>IF(B244="","",AND(I244,J244,K244,N244&gt;=MinHistory))</f>
        <v/>
      </c>
      <c r="M244" s="20">
        <f>IF(OR(B244="",'Weekly Input'!H244=0),"",'Weekly Input'!D244/'Weekly Input'!H244*7)</f>
        <v/>
      </c>
      <c r="N244" s="18">
        <f>IF(B244="","",COUNTIFS($B$5:$B$504,B244,$C$5:$C$504,C244,$I$5:$I$504,TRUE,$J$5:$J$504,TRUE,$K$5:$K$504,TRUE))</f>
        <v/>
      </c>
      <c r="O244" s="18">
        <f>IF(B244="","",AND(F244=AsOfWeek,AsOfWeek&lt;&gt;""))</f>
        <v/>
      </c>
      <c r="P244" s="20">
        <f>IF(OR(B244="",AsOfWeek=""),"",IFERROR(SUMIFS($M$5:$M$504,$B$5:$B$504,B244,$C$5:$C$504,C244,$L$5:$L$504,TRUE,$F$5:$F$504,"&gt;="&amp;AsOfWeek-7*(RecentWeeks-1),$F$5:$F$504,"&lt;="&amp;AsOfWeek),""))</f>
        <v/>
      </c>
      <c r="Q244" s="20">
        <f>IF(OR(B244="",AsOfWeek=""),"",IFERROR(SUMIFS($M$5:$M$504,$B$5:$B$504,B244,$C$5:$C$504,C244,$L$5:$L$504,TRUE,$F$5:$F$504,"&gt;="&amp;AsOfWeek-7*(RecentWeeks+PriorWeeks-1),$F$5:$F$504,"&lt;"&amp;AsOfWeek-7*(RecentWeeks-1)),""))</f>
        <v/>
      </c>
      <c r="R244" s="21">
        <f>IF(OR(P244="",Q244="",Q244=0),"",P244/Q244-1)</f>
        <v/>
      </c>
      <c r="S244" s="20">
        <f>IF(OR(C244="",AsOfWeek=""),"",IFERROR(AVERAGEIFS($M$5:$M$504,$C$5:$C$504,C244,$L$5:$L$504,TRUE,$F$5:$F$504,"&gt;="&amp;AsOfWeek-7*(RecentWeeks-1),$F$5:$F$504,"&lt;="&amp;AsOfWeek),""))</f>
        <v/>
      </c>
      <c r="T244" s="21">
        <f>IF(OR(P244="",S244=""),"",P244/S244-1)</f>
        <v/>
      </c>
      <c r="U244" s="22">
        <f>IF(OR(B244="",'Weekly Input'!G244="",P244="",P244=0),"",'Weekly Input'!G244/P244)</f>
        <v/>
      </c>
      <c r="V244" s="18">
        <f>IF(B244="","",IF(NOT(I244),"Not Ready",IF(NOT(K244),"Not Ready",IF(N244&lt;MinHistory,"Not Ready",IF(NOT(J244),"Not Ready",IF(OR(Q244="",Q244=0),"Noise",IF(Q244&lt;LowBaseThreshold,"Noise",IF(AND(R244&lt;=-OwnDecline,T244&lt;=-PeerGapThreshold),"Markdown Review",IF(AND(R244&gt;=ReorderUplift,U244&lt;&gt;"",U244&lt;=WeeksSupplyCap),"Reorder Candidate","Monitor"))))))))</f>
        <v/>
      </c>
      <c r="W244" s="18">
        <f>IF(B244="","",IF(NOT(I244),"INVALID_MASTER",IF(NOT(K244),"INCOMPLETE_SHELF_CYCLE",IF(N244&lt;MinHistory,"INSUFFICIENT_HISTORY",IF(NOT(J244),"INSUFFICIENT_IN_STOCK",IF(OR(Q244="",Q244=0),"NO_PRIOR_BASE",IF(Q244&lt;LowBaseThreshold,"LOW_BASE_NOISE",IF(V244="Markdown Review","MARKDOWN_PEER_GAP",IF(V244="Reorder Candidate","REORDER_UPLIFT_COVER","NO_MATERIAL_CHANGE"))))))))</f>
        <v/>
      </c>
      <c r="X244" s="18">
        <f>IF(V244="Markdown Review","Markdown support",IF(V244="Reorder Candidate","Second reorder",IF(V244="Monitor","Monitor",IF(V244="Noise","Hold / collect data",IF(V244="Not Ready","Not ready","")))))</f>
        <v/>
      </c>
      <c r="Y244" s="18">
        <f>IF(OR(R244="",T244=""),"",ABS(R244)+ABS(T244))</f>
        <v/>
      </c>
      <c r="Z244" s="21">
        <f>IF(OR(B244="",NOT(O244),R244=""),"",IF(ABS(R244)&gt;=MaterialThreshold,"Yes","No"))</f>
        <v/>
      </c>
      <c r="AA244" s="18">
        <f>IF(Z244&lt;&gt;"Yes","",IF(ABS(R244)&gt;=MaterialThreshold,IF(ABS(R244)&gt;=BroadShare,"Broad SKU movement","Store-concentrated movement"),""))</f>
        <v/>
      </c>
      <c r="AB244" s="18">
        <f>IF(O244,IF(COUNTIFS($O$5:O244,TRUE)&gt;0,COUNTIFS($O$5:O244,TRUE),0),0)</f>
        <v/>
      </c>
      <c r="AC244" s="18">
        <f>IF(V244="Markdown Review",1,IF(V244="Reorder Candidate",2,IF(V244="Monitor",3,IF(V244="Noise",4,IF(V244="Not Ready",5,99)))))</f>
        <v/>
      </c>
      <c r="AD244" s="18">
        <f>IF(O244,COUNTIFS($O$5:$O$504,TRUE,$AC$5:$AC$504,"&lt;"&amp;AC244)+COUNTIFS($O$5:O244,TRUE,$AC$5:AC244,AC244,$Y$5:Y244,"&gt;"&amp;Y244),0)</f>
        <v/>
      </c>
    </row>
    <row r="245">
      <c r="A245" s="17">
        <f>IF(COUNTA('Weekly Input'!A245:C245)=0,"",'Weekly Input'!B245&amp;"|"&amp;'Weekly Input'!C245&amp;"|"&amp;TEXT('Weekly Input'!A245,"yyyy-mm-dd"))</f>
        <v/>
      </c>
      <c r="B245" s="18">
        <f>'Weekly Input'!B245</f>
        <v/>
      </c>
      <c r="C245" s="18">
        <f>'Weekly Input'!C245</f>
        <v/>
      </c>
      <c r="D245" s="18">
        <f>IF(B245="","",IFERROR(INDEX('Master Data'!$B$6:$B$145,MATCH(B245,'Master Data'!$A$6:$A$145,0)),""))</f>
        <v/>
      </c>
      <c r="E245" s="18">
        <f>IF(C245="","",IFERROR(INDEX('Master Data'!$H$6:$H$13,MATCH(C245,'Master Data'!$F$6:$F$13,0)),""))</f>
        <v/>
      </c>
      <c r="F245" s="19">
        <f>'Weekly Input'!A245</f>
        <v/>
      </c>
      <c r="G245" s="19">
        <f>IF(B245="","",IFERROR(INDEX('Master Data'!$D$6:$D$145,MATCH(B245,'Master Data'!$A$6:$A$145,0)),""))</f>
        <v/>
      </c>
      <c r="H245" s="18">
        <f>IF(OR(F245="",G245=""),"",F245-G245)</f>
        <v/>
      </c>
      <c r="I245" s="18">
        <f>IF(B245="","",IF('Weekly Input'!J245="OK",TRUE,FALSE))</f>
        <v/>
      </c>
      <c r="J245" s="18">
        <f>IF(B245="","",'Weekly Input'!H245&gt;=MinInStockDays)</f>
        <v/>
      </c>
      <c r="K245" s="18">
        <f>IF(B245="","",H245&gt;=FullCycleMin)</f>
        <v/>
      </c>
      <c r="L245" s="18">
        <f>IF(B245="","",AND(I245,J245,K245,N245&gt;=MinHistory))</f>
        <v/>
      </c>
      <c r="M245" s="20">
        <f>IF(OR(B245="",'Weekly Input'!H245=0),"",'Weekly Input'!D245/'Weekly Input'!H245*7)</f>
        <v/>
      </c>
      <c r="N245" s="18">
        <f>IF(B245="","",COUNTIFS($B$5:$B$504,B245,$C$5:$C$504,C245,$I$5:$I$504,TRUE,$J$5:$J$504,TRUE,$K$5:$K$504,TRUE))</f>
        <v/>
      </c>
      <c r="O245" s="18">
        <f>IF(B245="","",AND(F245=AsOfWeek,AsOfWeek&lt;&gt;""))</f>
        <v/>
      </c>
      <c r="P245" s="20">
        <f>IF(OR(B245="",AsOfWeek=""),"",IFERROR(SUMIFS($M$5:$M$504,$B$5:$B$504,B245,$C$5:$C$504,C245,$L$5:$L$504,TRUE,$F$5:$F$504,"&gt;="&amp;AsOfWeek-7*(RecentWeeks-1),$F$5:$F$504,"&lt;="&amp;AsOfWeek),""))</f>
        <v/>
      </c>
      <c r="Q245" s="20">
        <f>IF(OR(B245="",AsOfWeek=""),"",IFERROR(SUMIFS($M$5:$M$504,$B$5:$B$504,B245,$C$5:$C$504,C245,$L$5:$L$504,TRUE,$F$5:$F$504,"&gt;="&amp;AsOfWeek-7*(RecentWeeks+PriorWeeks-1),$F$5:$F$504,"&lt;"&amp;AsOfWeek-7*(RecentWeeks-1)),""))</f>
        <v/>
      </c>
      <c r="R245" s="21">
        <f>IF(OR(P245="",Q245="",Q245=0),"",P245/Q245-1)</f>
        <v/>
      </c>
      <c r="S245" s="20">
        <f>IF(OR(C245="",AsOfWeek=""),"",IFERROR(AVERAGEIFS($M$5:$M$504,$C$5:$C$504,C245,$L$5:$L$504,TRUE,$F$5:$F$504,"&gt;="&amp;AsOfWeek-7*(RecentWeeks-1),$F$5:$F$504,"&lt;="&amp;AsOfWeek),""))</f>
        <v/>
      </c>
      <c r="T245" s="21">
        <f>IF(OR(P245="",S245=""),"",P245/S245-1)</f>
        <v/>
      </c>
      <c r="U245" s="22">
        <f>IF(OR(B245="",'Weekly Input'!G245="",P245="",P245=0),"",'Weekly Input'!G245/P245)</f>
        <v/>
      </c>
      <c r="V245" s="18">
        <f>IF(B245="","",IF(NOT(I245),"Not Ready",IF(NOT(K245),"Not Ready",IF(N245&lt;MinHistory,"Not Ready",IF(NOT(J245),"Not Ready",IF(OR(Q245="",Q245=0),"Noise",IF(Q245&lt;LowBaseThreshold,"Noise",IF(AND(R245&lt;=-OwnDecline,T245&lt;=-PeerGapThreshold),"Markdown Review",IF(AND(R245&gt;=ReorderUplift,U245&lt;&gt;"",U245&lt;=WeeksSupplyCap),"Reorder Candidate","Monitor"))))))))</f>
        <v/>
      </c>
      <c r="W245" s="18">
        <f>IF(B245="","",IF(NOT(I245),"INVALID_MASTER",IF(NOT(K245),"INCOMPLETE_SHELF_CYCLE",IF(N245&lt;MinHistory,"INSUFFICIENT_HISTORY",IF(NOT(J245),"INSUFFICIENT_IN_STOCK",IF(OR(Q245="",Q245=0),"NO_PRIOR_BASE",IF(Q245&lt;LowBaseThreshold,"LOW_BASE_NOISE",IF(V245="Markdown Review","MARKDOWN_PEER_GAP",IF(V245="Reorder Candidate","REORDER_UPLIFT_COVER","NO_MATERIAL_CHANGE"))))))))</f>
        <v/>
      </c>
      <c r="X245" s="18">
        <f>IF(V245="Markdown Review","Markdown support",IF(V245="Reorder Candidate","Second reorder",IF(V245="Monitor","Monitor",IF(V245="Noise","Hold / collect data",IF(V245="Not Ready","Not ready","")))))</f>
        <v/>
      </c>
      <c r="Y245" s="18">
        <f>IF(OR(R245="",T245=""),"",ABS(R245)+ABS(T245))</f>
        <v/>
      </c>
      <c r="Z245" s="21">
        <f>IF(OR(B245="",NOT(O245),R245=""),"",IF(ABS(R245)&gt;=MaterialThreshold,"Yes","No"))</f>
        <v/>
      </c>
      <c r="AA245" s="18">
        <f>IF(Z245&lt;&gt;"Yes","",IF(ABS(R245)&gt;=MaterialThreshold,IF(ABS(R245)&gt;=BroadShare,"Broad SKU movement","Store-concentrated movement"),""))</f>
        <v/>
      </c>
      <c r="AB245" s="18">
        <f>IF(O245,IF(COUNTIFS($O$5:O245,TRUE)&gt;0,COUNTIFS($O$5:O245,TRUE),0),0)</f>
        <v/>
      </c>
      <c r="AC245" s="18">
        <f>IF(V245="Markdown Review",1,IF(V245="Reorder Candidate",2,IF(V245="Monitor",3,IF(V245="Noise",4,IF(V245="Not Ready",5,99)))))</f>
        <v/>
      </c>
      <c r="AD245" s="18">
        <f>IF(O245,COUNTIFS($O$5:$O$504,TRUE,$AC$5:$AC$504,"&lt;"&amp;AC245)+COUNTIFS($O$5:O245,TRUE,$AC$5:AC245,AC245,$Y$5:Y245,"&gt;"&amp;Y245),0)</f>
        <v/>
      </c>
    </row>
    <row r="246">
      <c r="A246" s="17">
        <f>IF(COUNTA('Weekly Input'!A246:C246)=0,"",'Weekly Input'!B246&amp;"|"&amp;'Weekly Input'!C246&amp;"|"&amp;TEXT('Weekly Input'!A246,"yyyy-mm-dd"))</f>
        <v/>
      </c>
      <c r="B246" s="18">
        <f>'Weekly Input'!B246</f>
        <v/>
      </c>
      <c r="C246" s="18">
        <f>'Weekly Input'!C246</f>
        <v/>
      </c>
      <c r="D246" s="18">
        <f>IF(B246="","",IFERROR(INDEX('Master Data'!$B$6:$B$145,MATCH(B246,'Master Data'!$A$6:$A$145,0)),""))</f>
        <v/>
      </c>
      <c r="E246" s="18">
        <f>IF(C246="","",IFERROR(INDEX('Master Data'!$H$6:$H$13,MATCH(C246,'Master Data'!$F$6:$F$13,0)),""))</f>
        <v/>
      </c>
      <c r="F246" s="19">
        <f>'Weekly Input'!A246</f>
        <v/>
      </c>
      <c r="G246" s="19">
        <f>IF(B246="","",IFERROR(INDEX('Master Data'!$D$6:$D$145,MATCH(B246,'Master Data'!$A$6:$A$145,0)),""))</f>
        <v/>
      </c>
      <c r="H246" s="18">
        <f>IF(OR(F246="",G246=""),"",F246-G246)</f>
        <v/>
      </c>
      <c r="I246" s="18">
        <f>IF(B246="","",IF('Weekly Input'!J246="OK",TRUE,FALSE))</f>
        <v/>
      </c>
      <c r="J246" s="18">
        <f>IF(B246="","",'Weekly Input'!H246&gt;=MinInStockDays)</f>
        <v/>
      </c>
      <c r="K246" s="18">
        <f>IF(B246="","",H246&gt;=FullCycleMin)</f>
        <v/>
      </c>
      <c r="L246" s="18">
        <f>IF(B246="","",AND(I246,J246,K246,N246&gt;=MinHistory))</f>
        <v/>
      </c>
      <c r="M246" s="20">
        <f>IF(OR(B246="",'Weekly Input'!H246=0),"",'Weekly Input'!D246/'Weekly Input'!H246*7)</f>
        <v/>
      </c>
      <c r="N246" s="18">
        <f>IF(B246="","",COUNTIFS($B$5:$B$504,B246,$C$5:$C$504,C246,$I$5:$I$504,TRUE,$J$5:$J$504,TRUE,$K$5:$K$504,TRUE))</f>
        <v/>
      </c>
      <c r="O246" s="18">
        <f>IF(B246="","",AND(F246=AsOfWeek,AsOfWeek&lt;&gt;""))</f>
        <v/>
      </c>
      <c r="P246" s="20">
        <f>IF(OR(B246="",AsOfWeek=""),"",IFERROR(SUMIFS($M$5:$M$504,$B$5:$B$504,B246,$C$5:$C$504,C246,$L$5:$L$504,TRUE,$F$5:$F$504,"&gt;="&amp;AsOfWeek-7*(RecentWeeks-1),$F$5:$F$504,"&lt;="&amp;AsOfWeek),""))</f>
        <v/>
      </c>
      <c r="Q246" s="20">
        <f>IF(OR(B246="",AsOfWeek=""),"",IFERROR(SUMIFS($M$5:$M$504,$B$5:$B$504,B246,$C$5:$C$504,C246,$L$5:$L$504,TRUE,$F$5:$F$504,"&gt;="&amp;AsOfWeek-7*(RecentWeeks+PriorWeeks-1),$F$5:$F$504,"&lt;"&amp;AsOfWeek-7*(RecentWeeks-1)),""))</f>
        <v/>
      </c>
      <c r="R246" s="21">
        <f>IF(OR(P246="",Q246="",Q246=0),"",P246/Q246-1)</f>
        <v/>
      </c>
      <c r="S246" s="20">
        <f>IF(OR(C246="",AsOfWeek=""),"",IFERROR(AVERAGEIFS($M$5:$M$504,$C$5:$C$504,C246,$L$5:$L$504,TRUE,$F$5:$F$504,"&gt;="&amp;AsOfWeek-7*(RecentWeeks-1),$F$5:$F$504,"&lt;="&amp;AsOfWeek),""))</f>
        <v/>
      </c>
      <c r="T246" s="21">
        <f>IF(OR(P246="",S246=""),"",P246/S246-1)</f>
        <v/>
      </c>
      <c r="U246" s="22">
        <f>IF(OR(B246="",'Weekly Input'!G246="",P246="",P246=0),"",'Weekly Input'!G246/P246)</f>
        <v/>
      </c>
      <c r="V246" s="18">
        <f>IF(B246="","",IF(NOT(I246),"Not Ready",IF(NOT(K246),"Not Ready",IF(N246&lt;MinHistory,"Not Ready",IF(NOT(J246),"Not Ready",IF(OR(Q246="",Q246=0),"Noise",IF(Q246&lt;LowBaseThreshold,"Noise",IF(AND(R246&lt;=-OwnDecline,T246&lt;=-PeerGapThreshold),"Markdown Review",IF(AND(R246&gt;=ReorderUplift,U246&lt;&gt;"",U246&lt;=WeeksSupplyCap),"Reorder Candidate","Monitor"))))))))</f>
        <v/>
      </c>
      <c r="W246" s="18">
        <f>IF(B246="","",IF(NOT(I246),"INVALID_MASTER",IF(NOT(K246),"INCOMPLETE_SHELF_CYCLE",IF(N246&lt;MinHistory,"INSUFFICIENT_HISTORY",IF(NOT(J246),"INSUFFICIENT_IN_STOCK",IF(OR(Q246="",Q246=0),"NO_PRIOR_BASE",IF(Q246&lt;LowBaseThreshold,"LOW_BASE_NOISE",IF(V246="Markdown Review","MARKDOWN_PEER_GAP",IF(V246="Reorder Candidate","REORDER_UPLIFT_COVER","NO_MATERIAL_CHANGE"))))))))</f>
        <v/>
      </c>
      <c r="X246" s="18">
        <f>IF(V246="Markdown Review","Markdown support",IF(V246="Reorder Candidate","Second reorder",IF(V246="Monitor","Monitor",IF(V246="Noise","Hold / collect data",IF(V246="Not Ready","Not ready","")))))</f>
        <v/>
      </c>
      <c r="Y246" s="18">
        <f>IF(OR(R246="",T246=""),"",ABS(R246)+ABS(T246))</f>
        <v/>
      </c>
      <c r="Z246" s="21">
        <f>IF(OR(B246="",NOT(O246),R246=""),"",IF(ABS(R246)&gt;=MaterialThreshold,"Yes","No"))</f>
        <v/>
      </c>
      <c r="AA246" s="18">
        <f>IF(Z246&lt;&gt;"Yes","",IF(ABS(R246)&gt;=MaterialThreshold,IF(ABS(R246)&gt;=BroadShare,"Broad SKU movement","Store-concentrated movement"),""))</f>
        <v/>
      </c>
      <c r="AB246" s="18">
        <f>IF(O246,IF(COUNTIFS($O$5:O246,TRUE)&gt;0,COUNTIFS($O$5:O246,TRUE),0),0)</f>
        <v/>
      </c>
      <c r="AC246" s="18">
        <f>IF(V246="Markdown Review",1,IF(V246="Reorder Candidate",2,IF(V246="Monitor",3,IF(V246="Noise",4,IF(V246="Not Ready",5,99)))))</f>
        <v/>
      </c>
      <c r="AD246" s="18">
        <f>IF(O246,COUNTIFS($O$5:$O$504,TRUE,$AC$5:$AC$504,"&lt;"&amp;AC246)+COUNTIFS($O$5:O246,TRUE,$AC$5:AC246,AC246,$Y$5:Y246,"&gt;"&amp;Y246),0)</f>
        <v/>
      </c>
    </row>
    <row r="247">
      <c r="A247" s="17">
        <f>IF(COUNTA('Weekly Input'!A247:C247)=0,"",'Weekly Input'!B247&amp;"|"&amp;'Weekly Input'!C247&amp;"|"&amp;TEXT('Weekly Input'!A247,"yyyy-mm-dd"))</f>
        <v/>
      </c>
      <c r="B247" s="18">
        <f>'Weekly Input'!B247</f>
        <v/>
      </c>
      <c r="C247" s="18">
        <f>'Weekly Input'!C247</f>
        <v/>
      </c>
      <c r="D247" s="18">
        <f>IF(B247="","",IFERROR(INDEX('Master Data'!$B$6:$B$145,MATCH(B247,'Master Data'!$A$6:$A$145,0)),""))</f>
        <v/>
      </c>
      <c r="E247" s="18">
        <f>IF(C247="","",IFERROR(INDEX('Master Data'!$H$6:$H$13,MATCH(C247,'Master Data'!$F$6:$F$13,0)),""))</f>
        <v/>
      </c>
      <c r="F247" s="19">
        <f>'Weekly Input'!A247</f>
        <v/>
      </c>
      <c r="G247" s="19">
        <f>IF(B247="","",IFERROR(INDEX('Master Data'!$D$6:$D$145,MATCH(B247,'Master Data'!$A$6:$A$145,0)),""))</f>
        <v/>
      </c>
      <c r="H247" s="18">
        <f>IF(OR(F247="",G247=""),"",F247-G247)</f>
        <v/>
      </c>
      <c r="I247" s="18">
        <f>IF(B247="","",IF('Weekly Input'!J247="OK",TRUE,FALSE))</f>
        <v/>
      </c>
      <c r="J247" s="18">
        <f>IF(B247="","",'Weekly Input'!H247&gt;=MinInStockDays)</f>
        <v/>
      </c>
      <c r="K247" s="18">
        <f>IF(B247="","",H247&gt;=FullCycleMin)</f>
        <v/>
      </c>
      <c r="L247" s="18">
        <f>IF(B247="","",AND(I247,J247,K247,N247&gt;=MinHistory))</f>
        <v/>
      </c>
      <c r="M247" s="20">
        <f>IF(OR(B247="",'Weekly Input'!H247=0),"",'Weekly Input'!D247/'Weekly Input'!H247*7)</f>
        <v/>
      </c>
      <c r="N247" s="18">
        <f>IF(B247="","",COUNTIFS($B$5:$B$504,B247,$C$5:$C$504,C247,$I$5:$I$504,TRUE,$J$5:$J$504,TRUE,$K$5:$K$504,TRUE))</f>
        <v/>
      </c>
      <c r="O247" s="18">
        <f>IF(B247="","",AND(F247=AsOfWeek,AsOfWeek&lt;&gt;""))</f>
        <v/>
      </c>
      <c r="P247" s="20">
        <f>IF(OR(B247="",AsOfWeek=""),"",IFERROR(SUMIFS($M$5:$M$504,$B$5:$B$504,B247,$C$5:$C$504,C247,$L$5:$L$504,TRUE,$F$5:$F$504,"&gt;="&amp;AsOfWeek-7*(RecentWeeks-1),$F$5:$F$504,"&lt;="&amp;AsOfWeek),""))</f>
        <v/>
      </c>
      <c r="Q247" s="20">
        <f>IF(OR(B247="",AsOfWeek=""),"",IFERROR(SUMIFS($M$5:$M$504,$B$5:$B$504,B247,$C$5:$C$504,C247,$L$5:$L$504,TRUE,$F$5:$F$504,"&gt;="&amp;AsOfWeek-7*(RecentWeeks+PriorWeeks-1),$F$5:$F$504,"&lt;"&amp;AsOfWeek-7*(RecentWeeks-1)),""))</f>
        <v/>
      </c>
      <c r="R247" s="21">
        <f>IF(OR(P247="",Q247="",Q247=0),"",P247/Q247-1)</f>
        <v/>
      </c>
      <c r="S247" s="20">
        <f>IF(OR(C247="",AsOfWeek=""),"",IFERROR(AVERAGEIFS($M$5:$M$504,$C$5:$C$504,C247,$L$5:$L$504,TRUE,$F$5:$F$504,"&gt;="&amp;AsOfWeek-7*(RecentWeeks-1),$F$5:$F$504,"&lt;="&amp;AsOfWeek),""))</f>
        <v/>
      </c>
      <c r="T247" s="21">
        <f>IF(OR(P247="",S247=""),"",P247/S247-1)</f>
        <v/>
      </c>
      <c r="U247" s="22">
        <f>IF(OR(B247="",'Weekly Input'!G247="",P247="",P247=0),"",'Weekly Input'!G247/P247)</f>
        <v/>
      </c>
      <c r="V247" s="18">
        <f>IF(B247="","",IF(NOT(I247),"Not Ready",IF(NOT(K247),"Not Ready",IF(N247&lt;MinHistory,"Not Ready",IF(NOT(J247),"Not Ready",IF(OR(Q247="",Q247=0),"Noise",IF(Q247&lt;LowBaseThreshold,"Noise",IF(AND(R247&lt;=-OwnDecline,T247&lt;=-PeerGapThreshold),"Markdown Review",IF(AND(R247&gt;=ReorderUplift,U247&lt;&gt;"",U247&lt;=WeeksSupplyCap),"Reorder Candidate","Monitor"))))))))</f>
        <v/>
      </c>
      <c r="W247" s="18">
        <f>IF(B247="","",IF(NOT(I247),"INVALID_MASTER",IF(NOT(K247),"INCOMPLETE_SHELF_CYCLE",IF(N247&lt;MinHistory,"INSUFFICIENT_HISTORY",IF(NOT(J247),"INSUFFICIENT_IN_STOCK",IF(OR(Q247="",Q247=0),"NO_PRIOR_BASE",IF(Q247&lt;LowBaseThreshold,"LOW_BASE_NOISE",IF(V247="Markdown Review","MARKDOWN_PEER_GAP",IF(V247="Reorder Candidate","REORDER_UPLIFT_COVER","NO_MATERIAL_CHANGE"))))))))</f>
        <v/>
      </c>
      <c r="X247" s="18">
        <f>IF(V247="Markdown Review","Markdown support",IF(V247="Reorder Candidate","Second reorder",IF(V247="Monitor","Monitor",IF(V247="Noise","Hold / collect data",IF(V247="Not Ready","Not ready","")))))</f>
        <v/>
      </c>
      <c r="Y247" s="18">
        <f>IF(OR(R247="",T247=""),"",ABS(R247)+ABS(T247))</f>
        <v/>
      </c>
      <c r="Z247" s="21">
        <f>IF(OR(B247="",NOT(O247),R247=""),"",IF(ABS(R247)&gt;=MaterialThreshold,"Yes","No"))</f>
        <v/>
      </c>
      <c r="AA247" s="18">
        <f>IF(Z247&lt;&gt;"Yes","",IF(ABS(R247)&gt;=MaterialThreshold,IF(ABS(R247)&gt;=BroadShare,"Broad SKU movement","Store-concentrated movement"),""))</f>
        <v/>
      </c>
      <c r="AB247" s="18">
        <f>IF(O247,IF(COUNTIFS($O$5:O247,TRUE)&gt;0,COUNTIFS($O$5:O247,TRUE),0),0)</f>
        <v/>
      </c>
      <c r="AC247" s="18">
        <f>IF(V247="Markdown Review",1,IF(V247="Reorder Candidate",2,IF(V247="Monitor",3,IF(V247="Noise",4,IF(V247="Not Ready",5,99)))))</f>
        <v/>
      </c>
      <c r="AD247" s="18">
        <f>IF(O247,COUNTIFS($O$5:$O$504,TRUE,$AC$5:$AC$504,"&lt;"&amp;AC247)+COUNTIFS($O$5:O247,TRUE,$AC$5:AC247,AC247,$Y$5:Y247,"&gt;"&amp;Y247),0)</f>
        <v/>
      </c>
    </row>
    <row r="248">
      <c r="A248" s="17">
        <f>IF(COUNTA('Weekly Input'!A248:C248)=0,"",'Weekly Input'!B248&amp;"|"&amp;'Weekly Input'!C248&amp;"|"&amp;TEXT('Weekly Input'!A248,"yyyy-mm-dd"))</f>
        <v/>
      </c>
      <c r="B248" s="18">
        <f>'Weekly Input'!B248</f>
        <v/>
      </c>
      <c r="C248" s="18">
        <f>'Weekly Input'!C248</f>
        <v/>
      </c>
      <c r="D248" s="18">
        <f>IF(B248="","",IFERROR(INDEX('Master Data'!$B$6:$B$145,MATCH(B248,'Master Data'!$A$6:$A$145,0)),""))</f>
        <v/>
      </c>
      <c r="E248" s="18">
        <f>IF(C248="","",IFERROR(INDEX('Master Data'!$H$6:$H$13,MATCH(C248,'Master Data'!$F$6:$F$13,0)),""))</f>
        <v/>
      </c>
      <c r="F248" s="19">
        <f>'Weekly Input'!A248</f>
        <v/>
      </c>
      <c r="G248" s="19">
        <f>IF(B248="","",IFERROR(INDEX('Master Data'!$D$6:$D$145,MATCH(B248,'Master Data'!$A$6:$A$145,0)),""))</f>
        <v/>
      </c>
      <c r="H248" s="18">
        <f>IF(OR(F248="",G248=""),"",F248-G248)</f>
        <v/>
      </c>
      <c r="I248" s="18">
        <f>IF(B248="","",IF('Weekly Input'!J248="OK",TRUE,FALSE))</f>
        <v/>
      </c>
      <c r="J248" s="18">
        <f>IF(B248="","",'Weekly Input'!H248&gt;=MinInStockDays)</f>
        <v/>
      </c>
      <c r="K248" s="18">
        <f>IF(B248="","",H248&gt;=FullCycleMin)</f>
        <v/>
      </c>
      <c r="L248" s="18">
        <f>IF(B248="","",AND(I248,J248,K248,N248&gt;=MinHistory))</f>
        <v/>
      </c>
      <c r="M248" s="20">
        <f>IF(OR(B248="",'Weekly Input'!H248=0),"",'Weekly Input'!D248/'Weekly Input'!H248*7)</f>
        <v/>
      </c>
      <c r="N248" s="18">
        <f>IF(B248="","",COUNTIFS($B$5:$B$504,B248,$C$5:$C$504,C248,$I$5:$I$504,TRUE,$J$5:$J$504,TRUE,$K$5:$K$504,TRUE))</f>
        <v/>
      </c>
      <c r="O248" s="18">
        <f>IF(B248="","",AND(F248=AsOfWeek,AsOfWeek&lt;&gt;""))</f>
        <v/>
      </c>
      <c r="P248" s="20">
        <f>IF(OR(B248="",AsOfWeek=""),"",IFERROR(SUMIFS($M$5:$M$504,$B$5:$B$504,B248,$C$5:$C$504,C248,$L$5:$L$504,TRUE,$F$5:$F$504,"&gt;="&amp;AsOfWeek-7*(RecentWeeks-1),$F$5:$F$504,"&lt;="&amp;AsOfWeek),""))</f>
        <v/>
      </c>
      <c r="Q248" s="20">
        <f>IF(OR(B248="",AsOfWeek=""),"",IFERROR(SUMIFS($M$5:$M$504,$B$5:$B$504,B248,$C$5:$C$504,C248,$L$5:$L$504,TRUE,$F$5:$F$504,"&gt;="&amp;AsOfWeek-7*(RecentWeeks+PriorWeeks-1),$F$5:$F$504,"&lt;"&amp;AsOfWeek-7*(RecentWeeks-1)),""))</f>
        <v/>
      </c>
      <c r="R248" s="21">
        <f>IF(OR(P248="",Q248="",Q248=0),"",P248/Q248-1)</f>
        <v/>
      </c>
      <c r="S248" s="20">
        <f>IF(OR(C248="",AsOfWeek=""),"",IFERROR(AVERAGEIFS($M$5:$M$504,$C$5:$C$504,C248,$L$5:$L$504,TRUE,$F$5:$F$504,"&gt;="&amp;AsOfWeek-7*(RecentWeeks-1),$F$5:$F$504,"&lt;="&amp;AsOfWeek),""))</f>
        <v/>
      </c>
      <c r="T248" s="21">
        <f>IF(OR(P248="",S248=""),"",P248/S248-1)</f>
        <v/>
      </c>
      <c r="U248" s="22">
        <f>IF(OR(B248="",'Weekly Input'!G248="",P248="",P248=0),"",'Weekly Input'!G248/P248)</f>
        <v/>
      </c>
      <c r="V248" s="18">
        <f>IF(B248="","",IF(NOT(I248),"Not Ready",IF(NOT(K248),"Not Ready",IF(N248&lt;MinHistory,"Not Ready",IF(NOT(J248),"Not Ready",IF(OR(Q248="",Q248=0),"Noise",IF(Q248&lt;LowBaseThreshold,"Noise",IF(AND(R248&lt;=-OwnDecline,T248&lt;=-PeerGapThreshold),"Markdown Review",IF(AND(R248&gt;=ReorderUplift,U248&lt;&gt;"",U248&lt;=WeeksSupplyCap),"Reorder Candidate","Monitor"))))))))</f>
        <v/>
      </c>
      <c r="W248" s="18">
        <f>IF(B248="","",IF(NOT(I248),"INVALID_MASTER",IF(NOT(K248),"INCOMPLETE_SHELF_CYCLE",IF(N248&lt;MinHistory,"INSUFFICIENT_HISTORY",IF(NOT(J248),"INSUFFICIENT_IN_STOCK",IF(OR(Q248="",Q248=0),"NO_PRIOR_BASE",IF(Q248&lt;LowBaseThreshold,"LOW_BASE_NOISE",IF(V248="Markdown Review","MARKDOWN_PEER_GAP",IF(V248="Reorder Candidate","REORDER_UPLIFT_COVER","NO_MATERIAL_CHANGE"))))))))</f>
        <v/>
      </c>
      <c r="X248" s="18">
        <f>IF(V248="Markdown Review","Markdown support",IF(V248="Reorder Candidate","Second reorder",IF(V248="Monitor","Monitor",IF(V248="Noise","Hold / collect data",IF(V248="Not Ready","Not ready","")))))</f>
        <v/>
      </c>
      <c r="Y248" s="18">
        <f>IF(OR(R248="",T248=""),"",ABS(R248)+ABS(T248))</f>
        <v/>
      </c>
      <c r="Z248" s="21">
        <f>IF(OR(B248="",NOT(O248),R248=""),"",IF(ABS(R248)&gt;=MaterialThreshold,"Yes","No"))</f>
        <v/>
      </c>
      <c r="AA248" s="18">
        <f>IF(Z248&lt;&gt;"Yes","",IF(ABS(R248)&gt;=MaterialThreshold,IF(ABS(R248)&gt;=BroadShare,"Broad SKU movement","Store-concentrated movement"),""))</f>
        <v/>
      </c>
      <c r="AB248" s="18">
        <f>IF(O248,IF(COUNTIFS($O$5:O248,TRUE)&gt;0,COUNTIFS($O$5:O248,TRUE),0),0)</f>
        <v/>
      </c>
      <c r="AC248" s="18">
        <f>IF(V248="Markdown Review",1,IF(V248="Reorder Candidate",2,IF(V248="Monitor",3,IF(V248="Noise",4,IF(V248="Not Ready",5,99)))))</f>
        <v/>
      </c>
      <c r="AD248" s="18">
        <f>IF(O248,COUNTIFS($O$5:$O$504,TRUE,$AC$5:$AC$504,"&lt;"&amp;AC248)+COUNTIFS($O$5:O248,TRUE,$AC$5:AC248,AC248,$Y$5:Y248,"&gt;"&amp;Y248),0)</f>
        <v/>
      </c>
    </row>
    <row r="249">
      <c r="A249" s="17">
        <f>IF(COUNTA('Weekly Input'!A249:C249)=0,"",'Weekly Input'!B249&amp;"|"&amp;'Weekly Input'!C249&amp;"|"&amp;TEXT('Weekly Input'!A249,"yyyy-mm-dd"))</f>
        <v/>
      </c>
      <c r="B249" s="18">
        <f>'Weekly Input'!B249</f>
        <v/>
      </c>
      <c r="C249" s="18">
        <f>'Weekly Input'!C249</f>
        <v/>
      </c>
      <c r="D249" s="18">
        <f>IF(B249="","",IFERROR(INDEX('Master Data'!$B$6:$B$145,MATCH(B249,'Master Data'!$A$6:$A$145,0)),""))</f>
        <v/>
      </c>
      <c r="E249" s="18">
        <f>IF(C249="","",IFERROR(INDEX('Master Data'!$H$6:$H$13,MATCH(C249,'Master Data'!$F$6:$F$13,0)),""))</f>
        <v/>
      </c>
      <c r="F249" s="19">
        <f>'Weekly Input'!A249</f>
        <v/>
      </c>
      <c r="G249" s="19">
        <f>IF(B249="","",IFERROR(INDEX('Master Data'!$D$6:$D$145,MATCH(B249,'Master Data'!$A$6:$A$145,0)),""))</f>
        <v/>
      </c>
      <c r="H249" s="18">
        <f>IF(OR(F249="",G249=""),"",F249-G249)</f>
        <v/>
      </c>
      <c r="I249" s="18">
        <f>IF(B249="","",IF('Weekly Input'!J249="OK",TRUE,FALSE))</f>
        <v/>
      </c>
      <c r="J249" s="18">
        <f>IF(B249="","",'Weekly Input'!H249&gt;=MinInStockDays)</f>
        <v/>
      </c>
      <c r="K249" s="18">
        <f>IF(B249="","",H249&gt;=FullCycleMin)</f>
        <v/>
      </c>
      <c r="L249" s="18">
        <f>IF(B249="","",AND(I249,J249,K249,N249&gt;=MinHistory))</f>
        <v/>
      </c>
      <c r="M249" s="20">
        <f>IF(OR(B249="",'Weekly Input'!H249=0),"",'Weekly Input'!D249/'Weekly Input'!H249*7)</f>
        <v/>
      </c>
      <c r="N249" s="18">
        <f>IF(B249="","",COUNTIFS($B$5:$B$504,B249,$C$5:$C$504,C249,$I$5:$I$504,TRUE,$J$5:$J$504,TRUE,$K$5:$K$504,TRUE))</f>
        <v/>
      </c>
      <c r="O249" s="18">
        <f>IF(B249="","",AND(F249=AsOfWeek,AsOfWeek&lt;&gt;""))</f>
        <v/>
      </c>
      <c r="P249" s="20">
        <f>IF(OR(B249="",AsOfWeek=""),"",IFERROR(SUMIFS($M$5:$M$504,$B$5:$B$504,B249,$C$5:$C$504,C249,$L$5:$L$504,TRUE,$F$5:$F$504,"&gt;="&amp;AsOfWeek-7*(RecentWeeks-1),$F$5:$F$504,"&lt;="&amp;AsOfWeek),""))</f>
        <v/>
      </c>
      <c r="Q249" s="20">
        <f>IF(OR(B249="",AsOfWeek=""),"",IFERROR(SUMIFS($M$5:$M$504,$B$5:$B$504,B249,$C$5:$C$504,C249,$L$5:$L$504,TRUE,$F$5:$F$504,"&gt;="&amp;AsOfWeek-7*(RecentWeeks+PriorWeeks-1),$F$5:$F$504,"&lt;"&amp;AsOfWeek-7*(RecentWeeks-1)),""))</f>
        <v/>
      </c>
      <c r="R249" s="21">
        <f>IF(OR(P249="",Q249="",Q249=0),"",P249/Q249-1)</f>
        <v/>
      </c>
      <c r="S249" s="20">
        <f>IF(OR(C249="",AsOfWeek=""),"",IFERROR(AVERAGEIFS($M$5:$M$504,$C$5:$C$504,C249,$L$5:$L$504,TRUE,$F$5:$F$504,"&gt;="&amp;AsOfWeek-7*(RecentWeeks-1),$F$5:$F$504,"&lt;="&amp;AsOfWeek),""))</f>
        <v/>
      </c>
      <c r="T249" s="21">
        <f>IF(OR(P249="",S249=""),"",P249/S249-1)</f>
        <v/>
      </c>
      <c r="U249" s="22">
        <f>IF(OR(B249="",'Weekly Input'!G249="",P249="",P249=0),"",'Weekly Input'!G249/P249)</f>
        <v/>
      </c>
      <c r="V249" s="18">
        <f>IF(B249="","",IF(NOT(I249),"Not Ready",IF(NOT(K249),"Not Ready",IF(N249&lt;MinHistory,"Not Ready",IF(NOT(J249),"Not Ready",IF(OR(Q249="",Q249=0),"Noise",IF(Q249&lt;LowBaseThreshold,"Noise",IF(AND(R249&lt;=-OwnDecline,T249&lt;=-PeerGapThreshold),"Markdown Review",IF(AND(R249&gt;=ReorderUplift,U249&lt;&gt;"",U249&lt;=WeeksSupplyCap),"Reorder Candidate","Monitor"))))))))</f>
        <v/>
      </c>
      <c r="W249" s="18">
        <f>IF(B249="","",IF(NOT(I249),"INVALID_MASTER",IF(NOT(K249),"INCOMPLETE_SHELF_CYCLE",IF(N249&lt;MinHistory,"INSUFFICIENT_HISTORY",IF(NOT(J249),"INSUFFICIENT_IN_STOCK",IF(OR(Q249="",Q249=0),"NO_PRIOR_BASE",IF(Q249&lt;LowBaseThreshold,"LOW_BASE_NOISE",IF(V249="Markdown Review","MARKDOWN_PEER_GAP",IF(V249="Reorder Candidate","REORDER_UPLIFT_COVER","NO_MATERIAL_CHANGE"))))))))</f>
        <v/>
      </c>
      <c r="X249" s="18">
        <f>IF(V249="Markdown Review","Markdown support",IF(V249="Reorder Candidate","Second reorder",IF(V249="Monitor","Monitor",IF(V249="Noise","Hold / collect data",IF(V249="Not Ready","Not ready","")))))</f>
        <v/>
      </c>
      <c r="Y249" s="18">
        <f>IF(OR(R249="",T249=""),"",ABS(R249)+ABS(T249))</f>
        <v/>
      </c>
      <c r="Z249" s="21">
        <f>IF(OR(B249="",NOT(O249),R249=""),"",IF(ABS(R249)&gt;=MaterialThreshold,"Yes","No"))</f>
        <v/>
      </c>
      <c r="AA249" s="18">
        <f>IF(Z249&lt;&gt;"Yes","",IF(ABS(R249)&gt;=MaterialThreshold,IF(ABS(R249)&gt;=BroadShare,"Broad SKU movement","Store-concentrated movement"),""))</f>
        <v/>
      </c>
      <c r="AB249" s="18">
        <f>IF(O249,IF(COUNTIFS($O$5:O249,TRUE)&gt;0,COUNTIFS($O$5:O249,TRUE),0),0)</f>
        <v/>
      </c>
      <c r="AC249" s="18">
        <f>IF(V249="Markdown Review",1,IF(V249="Reorder Candidate",2,IF(V249="Monitor",3,IF(V249="Noise",4,IF(V249="Not Ready",5,99)))))</f>
        <v/>
      </c>
      <c r="AD249" s="18">
        <f>IF(O249,COUNTIFS($O$5:$O$504,TRUE,$AC$5:$AC$504,"&lt;"&amp;AC249)+COUNTIFS($O$5:O249,TRUE,$AC$5:AC249,AC249,$Y$5:Y249,"&gt;"&amp;Y249),0)</f>
        <v/>
      </c>
    </row>
    <row r="250">
      <c r="A250" s="17">
        <f>IF(COUNTA('Weekly Input'!A250:C250)=0,"",'Weekly Input'!B250&amp;"|"&amp;'Weekly Input'!C250&amp;"|"&amp;TEXT('Weekly Input'!A250,"yyyy-mm-dd"))</f>
        <v/>
      </c>
      <c r="B250" s="18">
        <f>'Weekly Input'!B250</f>
        <v/>
      </c>
      <c r="C250" s="18">
        <f>'Weekly Input'!C250</f>
        <v/>
      </c>
      <c r="D250" s="18">
        <f>IF(B250="","",IFERROR(INDEX('Master Data'!$B$6:$B$145,MATCH(B250,'Master Data'!$A$6:$A$145,0)),""))</f>
        <v/>
      </c>
      <c r="E250" s="18">
        <f>IF(C250="","",IFERROR(INDEX('Master Data'!$H$6:$H$13,MATCH(C250,'Master Data'!$F$6:$F$13,0)),""))</f>
        <v/>
      </c>
      <c r="F250" s="19">
        <f>'Weekly Input'!A250</f>
        <v/>
      </c>
      <c r="G250" s="19">
        <f>IF(B250="","",IFERROR(INDEX('Master Data'!$D$6:$D$145,MATCH(B250,'Master Data'!$A$6:$A$145,0)),""))</f>
        <v/>
      </c>
      <c r="H250" s="18">
        <f>IF(OR(F250="",G250=""),"",F250-G250)</f>
        <v/>
      </c>
      <c r="I250" s="18">
        <f>IF(B250="","",IF('Weekly Input'!J250="OK",TRUE,FALSE))</f>
        <v/>
      </c>
      <c r="J250" s="18">
        <f>IF(B250="","",'Weekly Input'!H250&gt;=MinInStockDays)</f>
        <v/>
      </c>
      <c r="K250" s="18">
        <f>IF(B250="","",H250&gt;=FullCycleMin)</f>
        <v/>
      </c>
      <c r="L250" s="18">
        <f>IF(B250="","",AND(I250,J250,K250,N250&gt;=MinHistory))</f>
        <v/>
      </c>
      <c r="M250" s="20">
        <f>IF(OR(B250="",'Weekly Input'!H250=0),"",'Weekly Input'!D250/'Weekly Input'!H250*7)</f>
        <v/>
      </c>
      <c r="N250" s="18">
        <f>IF(B250="","",COUNTIFS($B$5:$B$504,B250,$C$5:$C$504,C250,$I$5:$I$504,TRUE,$J$5:$J$504,TRUE,$K$5:$K$504,TRUE))</f>
        <v/>
      </c>
      <c r="O250" s="18">
        <f>IF(B250="","",AND(F250=AsOfWeek,AsOfWeek&lt;&gt;""))</f>
        <v/>
      </c>
      <c r="P250" s="20">
        <f>IF(OR(B250="",AsOfWeek=""),"",IFERROR(SUMIFS($M$5:$M$504,$B$5:$B$504,B250,$C$5:$C$504,C250,$L$5:$L$504,TRUE,$F$5:$F$504,"&gt;="&amp;AsOfWeek-7*(RecentWeeks-1),$F$5:$F$504,"&lt;="&amp;AsOfWeek),""))</f>
        <v/>
      </c>
      <c r="Q250" s="20">
        <f>IF(OR(B250="",AsOfWeek=""),"",IFERROR(SUMIFS($M$5:$M$504,$B$5:$B$504,B250,$C$5:$C$504,C250,$L$5:$L$504,TRUE,$F$5:$F$504,"&gt;="&amp;AsOfWeek-7*(RecentWeeks+PriorWeeks-1),$F$5:$F$504,"&lt;"&amp;AsOfWeek-7*(RecentWeeks-1)),""))</f>
        <v/>
      </c>
      <c r="R250" s="21">
        <f>IF(OR(P250="",Q250="",Q250=0),"",P250/Q250-1)</f>
        <v/>
      </c>
      <c r="S250" s="20">
        <f>IF(OR(C250="",AsOfWeek=""),"",IFERROR(AVERAGEIFS($M$5:$M$504,$C$5:$C$504,C250,$L$5:$L$504,TRUE,$F$5:$F$504,"&gt;="&amp;AsOfWeek-7*(RecentWeeks-1),$F$5:$F$504,"&lt;="&amp;AsOfWeek),""))</f>
        <v/>
      </c>
      <c r="T250" s="21">
        <f>IF(OR(P250="",S250=""),"",P250/S250-1)</f>
        <v/>
      </c>
      <c r="U250" s="22">
        <f>IF(OR(B250="",'Weekly Input'!G250="",P250="",P250=0),"",'Weekly Input'!G250/P250)</f>
        <v/>
      </c>
      <c r="V250" s="18">
        <f>IF(B250="","",IF(NOT(I250),"Not Ready",IF(NOT(K250),"Not Ready",IF(N250&lt;MinHistory,"Not Ready",IF(NOT(J250),"Not Ready",IF(OR(Q250="",Q250=0),"Noise",IF(Q250&lt;LowBaseThreshold,"Noise",IF(AND(R250&lt;=-OwnDecline,T250&lt;=-PeerGapThreshold),"Markdown Review",IF(AND(R250&gt;=ReorderUplift,U250&lt;&gt;"",U250&lt;=WeeksSupplyCap),"Reorder Candidate","Monitor"))))))))</f>
        <v/>
      </c>
      <c r="W250" s="18">
        <f>IF(B250="","",IF(NOT(I250),"INVALID_MASTER",IF(NOT(K250),"INCOMPLETE_SHELF_CYCLE",IF(N250&lt;MinHistory,"INSUFFICIENT_HISTORY",IF(NOT(J250),"INSUFFICIENT_IN_STOCK",IF(OR(Q250="",Q250=0),"NO_PRIOR_BASE",IF(Q250&lt;LowBaseThreshold,"LOW_BASE_NOISE",IF(V250="Markdown Review","MARKDOWN_PEER_GAP",IF(V250="Reorder Candidate","REORDER_UPLIFT_COVER","NO_MATERIAL_CHANGE"))))))))</f>
        <v/>
      </c>
      <c r="X250" s="18">
        <f>IF(V250="Markdown Review","Markdown support",IF(V250="Reorder Candidate","Second reorder",IF(V250="Monitor","Monitor",IF(V250="Noise","Hold / collect data",IF(V250="Not Ready","Not ready","")))))</f>
        <v/>
      </c>
      <c r="Y250" s="18">
        <f>IF(OR(R250="",T250=""),"",ABS(R250)+ABS(T250))</f>
        <v/>
      </c>
      <c r="Z250" s="21">
        <f>IF(OR(B250="",NOT(O250),R250=""),"",IF(ABS(R250)&gt;=MaterialThreshold,"Yes","No"))</f>
        <v/>
      </c>
      <c r="AA250" s="18">
        <f>IF(Z250&lt;&gt;"Yes","",IF(ABS(R250)&gt;=MaterialThreshold,IF(ABS(R250)&gt;=BroadShare,"Broad SKU movement","Store-concentrated movement"),""))</f>
        <v/>
      </c>
      <c r="AB250" s="18">
        <f>IF(O250,IF(COUNTIFS($O$5:O250,TRUE)&gt;0,COUNTIFS($O$5:O250,TRUE),0),0)</f>
        <v/>
      </c>
      <c r="AC250" s="18">
        <f>IF(V250="Markdown Review",1,IF(V250="Reorder Candidate",2,IF(V250="Monitor",3,IF(V250="Noise",4,IF(V250="Not Ready",5,99)))))</f>
        <v/>
      </c>
      <c r="AD250" s="18">
        <f>IF(O250,COUNTIFS($O$5:$O$504,TRUE,$AC$5:$AC$504,"&lt;"&amp;AC250)+COUNTIFS($O$5:O250,TRUE,$AC$5:AC250,AC250,$Y$5:Y250,"&gt;"&amp;Y250),0)</f>
        <v/>
      </c>
    </row>
    <row r="251">
      <c r="A251" s="17">
        <f>IF(COUNTA('Weekly Input'!A251:C251)=0,"",'Weekly Input'!B251&amp;"|"&amp;'Weekly Input'!C251&amp;"|"&amp;TEXT('Weekly Input'!A251,"yyyy-mm-dd"))</f>
        <v/>
      </c>
      <c r="B251" s="18">
        <f>'Weekly Input'!B251</f>
        <v/>
      </c>
      <c r="C251" s="18">
        <f>'Weekly Input'!C251</f>
        <v/>
      </c>
      <c r="D251" s="18">
        <f>IF(B251="","",IFERROR(INDEX('Master Data'!$B$6:$B$145,MATCH(B251,'Master Data'!$A$6:$A$145,0)),""))</f>
        <v/>
      </c>
      <c r="E251" s="18">
        <f>IF(C251="","",IFERROR(INDEX('Master Data'!$H$6:$H$13,MATCH(C251,'Master Data'!$F$6:$F$13,0)),""))</f>
        <v/>
      </c>
      <c r="F251" s="19">
        <f>'Weekly Input'!A251</f>
        <v/>
      </c>
      <c r="G251" s="19">
        <f>IF(B251="","",IFERROR(INDEX('Master Data'!$D$6:$D$145,MATCH(B251,'Master Data'!$A$6:$A$145,0)),""))</f>
        <v/>
      </c>
      <c r="H251" s="18">
        <f>IF(OR(F251="",G251=""),"",F251-G251)</f>
        <v/>
      </c>
      <c r="I251" s="18">
        <f>IF(B251="","",IF('Weekly Input'!J251="OK",TRUE,FALSE))</f>
        <v/>
      </c>
      <c r="J251" s="18">
        <f>IF(B251="","",'Weekly Input'!H251&gt;=MinInStockDays)</f>
        <v/>
      </c>
      <c r="K251" s="18">
        <f>IF(B251="","",H251&gt;=FullCycleMin)</f>
        <v/>
      </c>
      <c r="L251" s="18">
        <f>IF(B251="","",AND(I251,J251,K251,N251&gt;=MinHistory))</f>
        <v/>
      </c>
      <c r="M251" s="20">
        <f>IF(OR(B251="",'Weekly Input'!H251=0),"",'Weekly Input'!D251/'Weekly Input'!H251*7)</f>
        <v/>
      </c>
      <c r="N251" s="18">
        <f>IF(B251="","",COUNTIFS($B$5:$B$504,B251,$C$5:$C$504,C251,$I$5:$I$504,TRUE,$J$5:$J$504,TRUE,$K$5:$K$504,TRUE))</f>
        <v/>
      </c>
      <c r="O251" s="18">
        <f>IF(B251="","",AND(F251=AsOfWeek,AsOfWeek&lt;&gt;""))</f>
        <v/>
      </c>
      <c r="P251" s="20">
        <f>IF(OR(B251="",AsOfWeek=""),"",IFERROR(SUMIFS($M$5:$M$504,$B$5:$B$504,B251,$C$5:$C$504,C251,$L$5:$L$504,TRUE,$F$5:$F$504,"&gt;="&amp;AsOfWeek-7*(RecentWeeks-1),$F$5:$F$504,"&lt;="&amp;AsOfWeek),""))</f>
        <v/>
      </c>
      <c r="Q251" s="20">
        <f>IF(OR(B251="",AsOfWeek=""),"",IFERROR(SUMIFS($M$5:$M$504,$B$5:$B$504,B251,$C$5:$C$504,C251,$L$5:$L$504,TRUE,$F$5:$F$504,"&gt;="&amp;AsOfWeek-7*(RecentWeeks+PriorWeeks-1),$F$5:$F$504,"&lt;"&amp;AsOfWeek-7*(RecentWeeks-1)),""))</f>
        <v/>
      </c>
      <c r="R251" s="21">
        <f>IF(OR(P251="",Q251="",Q251=0),"",P251/Q251-1)</f>
        <v/>
      </c>
      <c r="S251" s="20">
        <f>IF(OR(C251="",AsOfWeek=""),"",IFERROR(AVERAGEIFS($M$5:$M$504,$C$5:$C$504,C251,$L$5:$L$504,TRUE,$F$5:$F$504,"&gt;="&amp;AsOfWeek-7*(RecentWeeks-1),$F$5:$F$504,"&lt;="&amp;AsOfWeek),""))</f>
        <v/>
      </c>
      <c r="T251" s="21">
        <f>IF(OR(P251="",S251=""),"",P251/S251-1)</f>
        <v/>
      </c>
      <c r="U251" s="22">
        <f>IF(OR(B251="",'Weekly Input'!G251="",P251="",P251=0),"",'Weekly Input'!G251/P251)</f>
        <v/>
      </c>
      <c r="V251" s="18">
        <f>IF(B251="","",IF(NOT(I251),"Not Ready",IF(NOT(K251),"Not Ready",IF(N251&lt;MinHistory,"Not Ready",IF(NOT(J251),"Not Ready",IF(OR(Q251="",Q251=0),"Noise",IF(Q251&lt;LowBaseThreshold,"Noise",IF(AND(R251&lt;=-OwnDecline,T251&lt;=-PeerGapThreshold),"Markdown Review",IF(AND(R251&gt;=ReorderUplift,U251&lt;&gt;"",U251&lt;=WeeksSupplyCap),"Reorder Candidate","Monitor"))))))))</f>
        <v/>
      </c>
      <c r="W251" s="18">
        <f>IF(B251="","",IF(NOT(I251),"INVALID_MASTER",IF(NOT(K251),"INCOMPLETE_SHELF_CYCLE",IF(N251&lt;MinHistory,"INSUFFICIENT_HISTORY",IF(NOT(J251),"INSUFFICIENT_IN_STOCK",IF(OR(Q251="",Q251=0),"NO_PRIOR_BASE",IF(Q251&lt;LowBaseThreshold,"LOW_BASE_NOISE",IF(V251="Markdown Review","MARKDOWN_PEER_GAP",IF(V251="Reorder Candidate","REORDER_UPLIFT_COVER","NO_MATERIAL_CHANGE"))))))))</f>
        <v/>
      </c>
      <c r="X251" s="18">
        <f>IF(V251="Markdown Review","Markdown support",IF(V251="Reorder Candidate","Second reorder",IF(V251="Monitor","Monitor",IF(V251="Noise","Hold / collect data",IF(V251="Not Ready","Not ready","")))))</f>
        <v/>
      </c>
      <c r="Y251" s="18">
        <f>IF(OR(R251="",T251=""),"",ABS(R251)+ABS(T251))</f>
        <v/>
      </c>
      <c r="Z251" s="21">
        <f>IF(OR(B251="",NOT(O251),R251=""),"",IF(ABS(R251)&gt;=MaterialThreshold,"Yes","No"))</f>
        <v/>
      </c>
      <c r="AA251" s="18">
        <f>IF(Z251&lt;&gt;"Yes","",IF(ABS(R251)&gt;=MaterialThreshold,IF(ABS(R251)&gt;=BroadShare,"Broad SKU movement","Store-concentrated movement"),""))</f>
        <v/>
      </c>
      <c r="AB251" s="18">
        <f>IF(O251,IF(COUNTIFS($O$5:O251,TRUE)&gt;0,COUNTIFS($O$5:O251,TRUE),0),0)</f>
        <v/>
      </c>
      <c r="AC251" s="18">
        <f>IF(V251="Markdown Review",1,IF(V251="Reorder Candidate",2,IF(V251="Monitor",3,IF(V251="Noise",4,IF(V251="Not Ready",5,99)))))</f>
        <v/>
      </c>
      <c r="AD251" s="18">
        <f>IF(O251,COUNTIFS($O$5:$O$504,TRUE,$AC$5:$AC$504,"&lt;"&amp;AC251)+COUNTIFS($O$5:O251,TRUE,$AC$5:AC251,AC251,$Y$5:Y251,"&gt;"&amp;Y251),0)</f>
        <v/>
      </c>
    </row>
    <row r="252">
      <c r="A252" s="17">
        <f>IF(COUNTA('Weekly Input'!A252:C252)=0,"",'Weekly Input'!B252&amp;"|"&amp;'Weekly Input'!C252&amp;"|"&amp;TEXT('Weekly Input'!A252,"yyyy-mm-dd"))</f>
        <v/>
      </c>
      <c r="B252" s="18">
        <f>'Weekly Input'!B252</f>
        <v/>
      </c>
      <c r="C252" s="18">
        <f>'Weekly Input'!C252</f>
        <v/>
      </c>
      <c r="D252" s="18">
        <f>IF(B252="","",IFERROR(INDEX('Master Data'!$B$6:$B$145,MATCH(B252,'Master Data'!$A$6:$A$145,0)),""))</f>
        <v/>
      </c>
      <c r="E252" s="18">
        <f>IF(C252="","",IFERROR(INDEX('Master Data'!$H$6:$H$13,MATCH(C252,'Master Data'!$F$6:$F$13,0)),""))</f>
        <v/>
      </c>
      <c r="F252" s="19">
        <f>'Weekly Input'!A252</f>
        <v/>
      </c>
      <c r="G252" s="19">
        <f>IF(B252="","",IFERROR(INDEX('Master Data'!$D$6:$D$145,MATCH(B252,'Master Data'!$A$6:$A$145,0)),""))</f>
        <v/>
      </c>
      <c r="H252" s="18">
        <f>IF(OR(F252="",G252=""),"",F252-G252)</f>
        <v/>
      </c>
      <c r="I252" s="18">
        <f>IF(B252="","",IF('Weekly Input'!J252="OK",TRUE,FALSE))</f>
        <v/>
      </c>
      <c r="J252" s="18">
        <f>IF(B252="","",'Weekly Input'!H252&gt;=MinInStockDays)</f>
        <v/>
      </c>
      <c r="K252" s="18">
        <f>IF(B252="","",H252&gt;=FullCycleMin)</f>
        <v/>
      </c>
      <c r="L252" s="18">
        <f>IF(B252="","",AND(I252,J252,K252,N252&gt;=MinHistory))</f>
        <v/>
      </c>
      <c r="M252" s="20">
        <f>IF(OR(B252="",'Weekly Input'!H252=0),"",'Weekly Input'!D252/'Weekly Input'!H252*7)</f>
        <v/>
      </c>
      <c r="N252" s="18">
        <f>IF(B252="","",COUNTIFS($B$5:$B$504,B252,$C$5:$C$504,C252,$I$5:$I$504,TRUE,$J$5:$J$504,TRUE,$K$5:$K$504,TRUE))</f>
        <v/>
      </c>
      <c r="O252" s="18">
        <f>IF(B252="","",AND(F252=AsOfWeek,AsOfWeek&lt;&gt;""))</f>
        <v/>
      </c>
      <c r="P252" s="20">
        <f>IF(OR(B252="",AsOfWeek=""),"",IFERROR(SUMIFS($M$5:$M$504,$B$5:$B$504,B252,$C$5:$C$504,C252,$L$5:$L$504,TRUE,$F$5:$F$504,"&gt;="&amp;AsOfWeek-7*(RecentWeeks-1),$F$5:$F$504,"&lt;="&amp;AsOfWeek),""))</f>
        <v/>
      </c>
      <c r="Q252" s="20">
        <f>IF(OR(B252="",AsOfWeek=""),"",IFERROR(SUMIFS($M$5:$M$504,$B$5:$B$504,B252,$C$5:$C$504,C252,$L$5:$L$504,TRUE,$F$5:$F$504,"&gt;="&amp;AsOfWeek-7*(RecentWeeks+PriorWeeks-1),$F$5:$F$504,"&lt;"&amp;AsOfWeek-7*(RecentWeeks-1)),""))</f>
        <v/>
      </c>
      <c r="R252" s="21">
        <f>IF(OR(P252="",Q252="",Q252=0),"",P252/Q252-1)</f>
        <v/>
      </c>
      <c r="S252" s="20">
        <f>IF(OR(C252="",AsOfWeek=""),"",IFERROR(AVERAGEIFS($M$5:$M$504,$C$5:$C$504,C252,$L$5:$L$504,TRUE,$F$5:$F$504,"&gt;="&amp;AsOfWeek-7*(RecentWeeks-1),$F$5:$F$504,"&lt;="&amp;AsOfWeek),""))</f>
        <v/>
      </c>
      <c r="T252" s="21">
        <f>IF(OR(P252="",S252=""),"",P252/S252-1)</f>
        <v/>
      </c>
      <c r="U252" s="22">
        <f>IF(OR(B252="",'Weekly Input'!G252="",P252="",P252=0),"",'Weekly Input'!G252/P252)</f>
        <v/>
      </c>
      <c r="V252" s="18">
        <f>IF(B252="","",IF(NOT(I252),"Not Ready",IF(NOT(K252),"Not Ready",IF(N252&lt;MinHistory,"Not Ready",IF(NOT(J252),"Not Ready",IF(OR(Q252="",Q252=0),"Noise",IF(Q252&lt;LowBaseThreshold,"Noise",IF(AND(R252&lt;=-OwnDecline,T252&lt;=-PeerGapThreshold),"Markdown Review",IF(AND(R252&gt;=ReorderUplift,U252&lt;&gt;"",U252&lt;=WeeksSupplyCap),"Reorder Candidate","Monitor"))))))))</f>
        <v/>
      </c>
      <c r="W252" s="18">
        <f>IF(B252="","",IF(NOT(I252),"INVALID_MASTER",IF(NOT(K252),"INCOMPLETE_SHELF_CYCLE",IF(N252&lt;MinHistory,"INSUFFICIENT_HISTORY",IF(NOT(J252),"INSUFFICIENT_IN_STOCK",IF(OR(Q252="",Q252=0),"NO_PRIOR_BASE",IF(Q252&lt;LowBaseThreshold,"LOW_BASE_NOISE",IF(V252="Markdown Review","MARKDOWN_PEER_GAP",IF(V252="Reorder Candidate","REORDER_UPLIFT_COVER","NO_MATERIAL_CHANGE"))))))))</f>
        <v/>
      </c>
      <c r="X252" s="18">
        <f>IF(V252="Markdown Review","Markdown support",IF(V252="Reorder Candidate","Second reorder",IF(V252="Monitor","Monitor",IF(V252="Noise","Hold / collect data",IF(V252="Not Ready","Not ready","")))))</f>
        <v/>
      </c>
      <c r="Y252" s="18">
        <f>IF(OR(R252="",T252=""),"",ABS(R252)+ABS(T252))</f>
        <v/>
      </c>
      <c r="Z252" s="21">
        <f>IF(OR(B252="",NOT(O252),R252=""),"",IF(ABS(R252)&gt;=MaterialThreshold,"Yes","No"))</f>
        <v/>
      </c>
      <c r="AA252" s="18">
        <f>IF(Z252&lt;&gt;"Yes","",IF(ABS(R252)&gt;=MaterialThreshold,IF(ABS(R252)&gt;=BroadShare,"Broad SKU movement","Store-concentrated movement"),""))</f>
        <v/>
      </c>
      <c r="AB252" s="18">
        <f>IF(O252,IF(COUNTIFS($O$5:O252,TRUE)&gt;0,COUNTIFS($O$5:O252,TRUE),0),0)</f>
        <v/>
      </c>
      <c r="AC252" s="18">
        <f>IF(V252="Markdown Review",1,IF(V252="Reorder Candidate",2,IF(V252="Monitor",3,IF(V252="Noise",4,IF(V252="Not Ready",5,99)))))</f>
        <v/>
      </c>
      <c r="AD252" s="18">
        <f>IF(O252,COUNTIFS($O$5:$O$504,TRUE,$AC$5:$AC$504,"&lt;"&amp;AC252)+COUNTIFS($O$5:O252,TRUE,$AC$5:AC252,AC252,$Y$5:Y252,"&gt;"&amp;Y252),0)</f>
        <v/>
      </c>
    </row>
    <row r="253">
      <c r="A253" s="17">
        <f>IF(COUNTA('Weekly Input'!A253:C253)=0,"",'Weekly Input'!B253&amp;"|"&amp;'Weekly Input'!C253&amp;"|"&amp;TEXT('Weekly Input'!A253,"yyyy-mm-dd"))</f>
        <v/>
      </c>
      <c r="B253" s="18">
        <f>'Weekly Input'!B253</f>
        <v/>
      </c>
      <c r="C253" s="18">
        <f>'Weekly Input'!C253</f>
        <v/>
      </c>
      <c r="D253" s="18">
        <f>IF(B253="","",IFERROR(INDEX('Master Data'!$B$6:$B$145,MATCH(B253,'Master Data'!$A$6:$A$145,0)),""))</f>
        <v/>
      </c>
      <c r="E253" s="18">
        <f>IF(C253="","",IFERROR(INDEX('Master Data'!$H$6:$H$13,MATCH(C253,'Master Data'!$F$6:$F$13,0)),""))</f>
        <v/>
      </c>
      <c r="F253" s="19">
        <f>'Weekly Input'!A253</f>
        <v/>
      </c>
      <c r="G253" s="19">
        <f>IF(B253="","",IFERROR(INDEX('Master Data'!$D$6:$D$145,MATCH(B253,'Master Data'!$A$6:$A$145,0)),""))</f>
        <v/>
      </c>
      <c r="H253" s="18">
        <f>IF(OR(F253="",G253=""),"",F253-G253)</f>
        <v/>
      </c>
      <c r="I253" s="18">
        <f>IF(B253="","",IF('Weekly Input'!J253="OK",TRUE,FALSE))</f>
        <v/>
      </c>
      <c r="J253" s="18">
        <f>IF(B253="","",'Weekly Input'!H253&gt;=MinInStockDays)</f>
        <v/>
      </c>
      <c r="K253" s="18">
        <f>IF(B253="","",H253&gt;=FullCycleMin)</f>
        <v/>
      </c>
      <c r="L253" s="18">
        <f>IF(B253="","",AND(I253,J253,K253,N253&gt;=MinHistory))</f>
        <v/>
      </c>
      <c r="M253" s="20">
        <f>IF(OR(B253="",'Weekly Input'!H253=0),"",'Weekly Input'!D253/'Weekly Input'!H253*7)</f>
        <v/>
      </c>
      <c r="N253" s="18">
        <f>IF(B253="","",COUNTIFS($B$5:$B$504,B253,$C$5:$C$504,C253,$I$5:$I$504,TRUE,$J$5:$J$504,TRUE,$K$5:$K$504,TRUE))</f>
        <v/>
      </c>
      <c r="O253" s="18">
        <f>IF(B253="","",AND(F253=AsOfWeek,AsOfWeek&lt;&gt;""))</f>
        <v/>
      </c>
      <c r="P253" s="20">
        <f>IF(OR(B253="",AsOfWeek=""),"",IFERROR(SUMIFS($M$5:$M$504,$B$5:$B$504,B253,$C$5:$C$504,C253,$L$5:$L$504,TRUE,$F$5:$F$504,"&gt;="&amp;AsOfWeek-7*(RecentWeeks-1),$F$5:$F$504,"&lt;="&amp;AsOfWeek),""))</f>
        <v/>
      </c>
      <c r="Q253" s="20">
        <f>IF(OR(B253="",AsOfWeek=""),"",IFERROR(SUMIFS($M$5:$M$504,$B$5:$B$504,B253,$C$5:$C$504,C253,$L$5:$L$504,TRUE,$F$5:$F$504,"&gt;="&amp;AsOfWeek-7*(RecentWeeks+PriorWeeks-1),$F$5:$F$504,"&lt;"&amp;AsOfWeek-7*(RecentWeeks-1)),""))</f>
        <v/>
      </c>
      <c r="R253" s="21">
        <f>IF(OR(P253="",Q253="",Q253=0),"",P253/Q253-1)</f>
        <v/>
      </c>
      <c r="S253" s="20">
        <f>IF(OR(C253="",AsOfWeek=""),"",IFERROR(AVERAGEIFS($M$5:$M$504,$C$5:$C$504,C253,$L$5:$L$504,TRUE,$F$5:$F$504,"&gt;="&amp;AsOfWeek-7*(RecentWeeks-1),$F$5:$F$504,"&lt;="&amp;AsOfWeek),""))</f>
        <v/>
      </c>
      <c r="T253" s="21">
        <f>IF(OR(P253="",S253=""),"",P253/S253-1)</f>
        <v/>
      </c>
      <c r="U253" s="22">
        <f>IF(OR(B253="",'Weekly Input'!G253="",P253="",P253=0),"",'Weekly Input'!G253/P253)</f>
        <v/>
      </c>
      <c r="V253" s="18">
        <f>IF(B253="","",IF(NOT(I253),"Not Ready",IF(NOT(K253),"Not Ready",IF(N253&lt;MinHistory,"Not Ready",IF(NOT(J253),"Not Ready",IF(OR(Q253="",Q253=0),"Noise",IF(Q253&lt;LowBaseThreshold,"Noise",IF(AND(R253&lt;=-OwnDecline,T253&lt;=-PeerGapThreshold),"Markdown Review",IF(AND(R253&gt;=ReorderUplift,U253&lt;&gt;"",U253&lt;=WeeksSupplyCap),"Reorder Candidate","Monitor"))))))))</f>
        <v/>
      </c>
      <c r="W253" s="18">
        <f>IF(B253="","",IF(NOT(I253),"INVALID_MASTER",IF(NOT(K253),"INCOMPLETE_SHELF_CYCLE",IF(N253&lt;MinHistory,"INSUFFICIENT_HISTORY",IF(NOT(J253),"INSUFFICIENT_IN_STOCK",IF(OR(Q253="",Q253=0),"NO_PRIOR_BASE",IF(Q253&lt;LowBaseThreshold,"LOW_BASE_NOISE",IF(V253="Markdown Review","MARKDOWN_PEER_GAP",IF(V253="Reorder Candidate","REORDER_UPLIFT_COVER","NO_MATERIAL_CHANGE"))))))))</f>
        <v/>
      </c>
      <c r="X253" s="18">
        <f>IF(V253="Markdown Review","Markdown support",IF(V253="Reorder Candidate","Second reorder",IF(V253="Monitor","Monitor",IF(V253="Noise","Hold / collect data",IF(V253="Not Ready","Not ready","")))))</f>
        <v/>
      </c>
      <c r="Y253" s="18">
        <f>IF(OR(R253="",T253=""),"",ABS(R253)+ABS(T253))</f>
        <v/>
      </c>
      <c r="Z253" s="21">
        <f>IF(OR(B253="",NOT(O253),R253=""),"",IF(ABS(R253)&gt;=MaterialThreshold,"Yes","No"))</f>
        <v/>
      </c>
      <c r="AA253" s="18">
        <f>IF(Z253&lt;&gt;"Yes","",IF(ABS(R253)&gt;=MaterialThreshold,IF(ABS(R253)&gt;=BroadShare,"Broad SKU movement","Store-concentrated movement"),""))</f>
        <v/>
      </c>
      <c r="AB253" s="18">
        <f>IF(O253,IF(COUNTIFS($O$5:O253,TRUE)&gt;0,COUNTIFS($O$5:O253,TRUE),0),0)</f>
        <v/>
      </c>
      <c r="AC253" s="18">
        <f>IF(V253="Markdown Review",1,IF(V253="Reorder Candidate",2,IF(V253="Monitor",3,IF(V253="Noise",4,IF(V253="Not Ready",5,99)))))</f>
        <v/>
      </c>
      <c r="AD253" s="18">
        <f>IF(O253,COUNTIFS($O$5:$O$504,TRUE,$AC$5:$AC$504,"&lt;"&amp;AC253)+COUNTIFS($O$5:O253,TRUE,$AC$5:AC253,AC253,$Y$5:Y253,"&gt;"&amp;Y253),0)</f>
        <v/>
      </c>
    </row>
    <row r="254">
      <c r="A254" s="17">
        <f>IF(COUNTA('Weekly Input'!A254:C254)=0,"",'Weekly Input'!B254&amp;"|"&amp;'Weekly Input'!C254&amp;"|"&amp;TEXT('Weekly Input'!A254,"yyyy-mm-dd"))</f>
        <v/>
      </c>
      <c r="B254" s="18">
        <f>'Weekly Input'!B254</f>
        <v/>
      </c>
      <c r="C254" s="18">
        <f>'Weekly Input'!C254</f>
        <v/>
      </c>
      <c r="D254" s="18">
        <f>IF(B254="","",IFERROR(INDEX('Master Data'!$B$6:$B$145,MATCH(B254,'Master Data'!$A$6:$A$145,0)),""))</f>
        <v/>
      </c>
      <c r="E254" s="18">
        <f>IF(C254="","",IFERROR(INDEX('Master Data'!$H$6:$H$13,MATCH(C254,'Master Data'!$F$6:$F$13,0)),""))</f>
        <v/>
      </c>
      <c r="F254" s="19">
        <f>'Weekly Input'!A254</f>
        <v/>
      </c>
      <c r="G254" s="19">
        <f>IF(B254="","",IFERROR(INDEX('Master Data'!$D$6:$D$145,MATCH(B254,'Master Data'!$A$6:$A$145,0)),""))</f>
        <v/>
      </c>
      <c r="H254" s="18">
        <f>IF(OR(F254="",G254=""),"",F254-G254)</f>
        <v/>
      </c>
      <c r="I254" s="18">
        <f>IF(B254="","",IF('Weekly Input'!J254="OK",TRUE,FALSE))</f>
        <v/>
      </c>
      <c r="J254" s="18">
        <f>IF(B254="","",'Weekly Input'!H254&gt;=MinInStockDays)</f>
        <v/>
      </c>
      <c r="K254" s="18">
        <f>IF(B254="","",H254&gt;=FullCycleMin)</f>
        <v/>
      </c>
      <c r="L254" s="18">
        <f>IF(B254="","",AND(I254,J254,K254,N254&gt;=MinHistory))</f>
        <v/>
      </c>
      <c r="M254" s="20">
        <f>IF(OR(B254="",'Weekly Input'!H254=0),"",'Weekly Input'!D254/'Weekly Input'!H254*7)</f>
        <v/>
      </c>
      <c r="N254" s="18">
        <f>IF(B254="","",COUNTIFS($B$5:$B$504,B254,$C$5:$C$504,C254,$I$5:$I$504,TRUE,$J$5:$J$504,TRUE,$K$5:$K$504,TRUE))</f>
        <v/>
      </c>
      <c r="O254" s="18">
        <f>IF(B254="","",AND(F254=AsOfWeek,AsOfWeek&lt;&gt;""))</f>
        <v/>
      </c>
      <c r="P254" s="20">
        <f>IF(OR(B254="",AsOfWeek=""),"",IFERROR(SUMIFS($M$5:$M$504,$B$5:$B$504,B254,$C$5:$C$504,C254,$L$5:$L$504,TRUE,$F$5:$F$504,"&gt;="&amp;AsOfWeek-7*(RecentWeeks-1),$F$5:$F$504,"&lt;="&amp;AsOfWeek),""))</f>
        <v/>
      </c>
      <c r="Q254" s="20">
        <f>IF(OR(B254="",AsOfWeek=""),"",IFERROR(SUMIFS($M$5:$M$504,$B$5:$B$504,B254,$C$5:$C$504,C254,$L$5:$L$504,TRUE,$F$5:$F$504,"&gt;="&amp;AsOfWeek-7*(RecentWeeks+PriorWeeks-1),$F$5:$F$504,"&lt;"&amp;AsOfWeek-7*(RecentWeeks-1)),""))</f>
        <v/>
      </c>
      <c r="R254" s="21">
        <f>IF(OR(P254="",Q254="",Q254=0),"",P254/Q254-1)</f>
        <v/>
      </c>
      <c r="S254" s="20">
        <f>IF(OR(C254="",AsOfWeek=""),"",IFERROR(AVERAGEIFS($M$5:$M$504,$C$5:$C$504,C254,$L$5:$L$504,TRUE,$F$5:$F$504,"&gt;="&amp;AsOfWeek-7*(RecentWeeks-1),$F$5:$F$504,"&lt;="&amp;AsOfWeek),""))</f>
        <v/>
      </c>
      <c r="T254" s="21">
        <f>IF(OR(P254="",S254=""),"",P254/S254-1)</f>
        <v/>
      </c>
      <c r="U254" s="22">
        <f>IF(OR(B254="",'Weekly Input'!G254="",P254="",P254=0),"",'Weekly Input'!G254/P254)</f>
        <v/>
      </c>
      <c r="V254" s="18">
        <f>IF(B254="","",IF(NOT(I254),"Not Ready",IF(NOT(K254),"Not Ready",IF(N254&lt;MinHistory,"Not Ready",IF(NOT(J254),"Not Ready",IF(OR(Q254="",Q254=0),"Noise",IF(Q254&lt;LowBaseThreshold,"Noise",IF(AND(R254&lt;=-OwnDecline,T254&lt;=-PeerGapThreshold),"Markdown Review",IF(AND(R254&gt;=ReorderUplift,U254&lt;&gt;"",U254&lt;=WeeksSupplyCap),"Reorder Candidate","Monitor"))))))))</f>
        <v/>
      </c>
      <c r="W254" s="18">
        <f>IF(B254="","",IF(NOT(I254),"INVALID_MASTER",IF(NOT(K254),"INCOMPLETE_SHELF_CYCLE",IF(N254&lt;MinHistory,"INSUFFICIENT_HISTORY",IF(NOT(J254),"INSUFFICIENT_IN_STOCK",IF(OR(Q254="",Q254=0),"NO_PRIOR_BASE",IF(Q254&lt;LowBaseThreshold,"LOW_BASE_NOISE",IF(V254="Markdown Review","MARKDOWN_PEER_GAP",IF(V254="Reorder Candidate","REORDER_UPLIFT_COVER","NO_MATERIAL_CHANGE"))))))))</f>
        <v/>
      </c>
      <c r="X254" s="18">
        <f>IF(V254="Markdown Review","Markdown support",IF(V254="Reorder Candidate","Second reorder",IF(V254="Monitor","Monitor",IF(V254="Noise","Hold / collect data",IF(V254="Not Ready","Not ready","")))))</f>
        <v/>
      </c>
      <c r="Y254" s="18">
        <f>IF(OR(R254="",T254=""),"",ABS(R254)+ABS(T254))</f>
        <v/>
      </c>
      <c r="Z254" s="21">
        <f>IF(OR(B254="",NOT(O254),R254=""),"",IF(ABS(R254)&gt;=MaterialThreshold,"Yes","No"))</f>
        <v/>
      </c>
      <c r="AA254" s="18">
        <f>IF(Z254&lt;&gt;"Yes","",IF(ABS(R254)&gt;=MaterialThreshold,IF(ABS(R254)&gt;=BroadShare,"Broad SKU movement","Store-concentrated movement"),""))</f>
        <v/>
      </c>
      <c r="AB254" s="18">
        <f>IF(O254,IF(COUNTIFS($O$5:O254,TRUE)&gt;0,COUNTIFS($O$5:O254,TRUE),0),0)</f>
        <v/>
      </c>
      <c r="AC254" s="18">
        <f>IF(V254="Markdown Review",1,IF(V254="Reorder Candidate",2,IF(V254="Monitor",3,IF(V254="Noise",4,IF(V254="Not Ready",5,99)))))</f>
        <v/>
      </c>
      <c r="AD254" s="18">
        <f>IF(O254,COUNTIFS($O$5:$O$504,TRUE,$AC$5:$AC$504,"&lt;"&amp;AC254)+COUNTIFS($O$5:O254,TRUE,$AC$5:AC254,AC254,$Y$5:Y254,"&gt;"&amp;Y254),0)</f>
        <v/>
      </c>
    </row>
    <row r="255">
      <c r="A255" s="17">
        <f>IF(COUNTA('Weekly Input'!A255:C255)=0,"",'Weekly Input'!B255&amp;"|"&amp;'Weekly Input'!C255&amp;"|"&amp;TEXT('Weekly Input'!A255,"yyyy-mm-dd"))</f>
        <v/>
      </c>
      <c r="B255" s="18">
        <f>'Weekly Input'!B255</f>
        <v/>
      </c>
      <c r="C255" s="18">
        <f>'Weekly Input'!C255</f>
        <v/>
      </c>
      <c r="D255" s="18">
        <f>IF(B255="","",IFERROR(INDEX('Master Data'!$B$6:$B$145,MATCH(B255,'Master Data'!$A$6:$A$145,0)),""))</f>
        <v/>
      </c>
      <c r="E255" s="18">
        <f>IF(C255="","",IFERROR(INDEX('Master Data'!$H$6:$H$13,MATCH(C255,'Master Data'!$F$6:$F$13,0)),""))</f>
        <v/>
      </c>
      <c r="F255" s="19">
        <f>'Weekly Input'!A255</f>
        <v/>
      </c>
      <c r="G255" s="19">
        <f>IF(B255="","",IFERROR(INDEX('Master Data'!$D$6:$D$145,MATCH(B255,'Master Data'!$A$6:$A$145,0)),""))</f>
        <v/>
      </c>
      <c r="H255" s="18">
        <f>IF(OR(F255="",G255=""),"",F255-G255)</f>
        <v/>
      </c>
      <c r="I255" s="18">
        <f>IF(B255="","",IF('Weekly Input'!J255="OK",TRUE,FALSE))</f>
        <v/>
      </c>
      <c r="J255" s="18">
        <f>IF(B255="","",'Weekly Input'!H255&gt;=MinInStockDays)</f>
        <v/>
      </c>
      <c r="K255" s="18">
        <f>IF(B255="","",H255&gt;=FullCycleMin)</f>
        <v/>
      </c>
      <c r="L255" s="18">
        <f>IF(B255="","",AND(I255,J255,K255,N255&gt;=MinHistory))</f>
        <v/>
      </c>
      <c r="M255" s="20">
        <f>IF(OR(B255="",'Weekly Input'!H255=0),"",'Weekly Input'!D255/'Weekly Input'!H255*7)</f>
        <v/>
      </c>
      <c r="N255" s="18">
        <f>IF(B255="","",COUNTIFS($B$5:$B$504,B255,$C$5:$C$504,C255,$I$5:$I$504,TRUE,$J$5:$J$504,TRUE,$K$5:$K$504,TRUE))</f>
        <v/>
      </c>
      <c r="O255" s="18">
        <f>IF(B255="","",AND(F255=AsOfWeek,AsOfWeek&lt;&gt;""))</f>
        <v/>
      </c>
      <c r="P255" s="20">
        <f>IF(OR(B255="",AsOfWeek=""),"",IFERROR(SUMIFS($M$5:$M$504,$B$5:$B$504,B255,$C$5:$C$504,C255,$L$5:$L$504,TRUE,$F$5:$F$504,"&gt;="&amp;AsOfWeek-7*(RecentWeeks-1),$F$5:$F$504,"&lt;="&amp;AsOfWeek),""))</f>
        <v/>
      </c>
      <c r="Q255" s="20">
        <f>IF(OR(B255="",AsOfWeek=""),"",IFERROR(SUMIFS($M$5:$M$504,$B$5:$B$504,B255,$C$5:$C$504,C255,$L$5:$L$504,TRUE,$F$5:$F$504,"&gt;="&amp;AsOfWeek-7*(RecentWeeks+PriorWeeks-1),$F$5:$F$504,"&lt;"&amp;AsOfWeek-7*(RecentWeeks-1)),""))</f>
        <v/>
      </c>
      <c r="R255" s="21">
        <f>IF(OR(P255="",Q255="",Q255=0),"",P255/Q255-1)</f>
        <v/>
      </c>
      <c r="S255" s="20">
        <f>IF(OR(C255="",AsOfWeek=""),"",IFERROR(AVERAGEIFS($M$5:$M$504,$C$5:$C$504,C255,$L$5:$L$504,TRUE,$F$5:$F$504,"&gt;="&amp;AsOfWeek-7*(RecentWeeks-1),$F$5:$F$504,"&lt;="&amp;AsOfWeek),""))</f>
        <v/>
      </c>
      <c r="T255" s="21">
        <f>IF(OR(P255="",S255=""),"",P255/S255-1)</f>
        <v/>
      </c>
      <c r="U255" s="22">
        <f>IF(OR(B255="",'Weekly Input'!G255="",P255="",P255=0),"",'Weekly Input'!G255/P255)</f>
        <v/>
      </c>
      <c r="V255" s="18">
        <f>IF(B255="","",IF(NOT(I255),"Not Ready",IF(NOT(K255),"Not Ready",IF(N255&lt;MinHistory,"Not Ready",IF(NOT(J255),"Not Ready",IF(OR(Q255="",Q255=0),"Noise",IF(Q255&lt;LowBaseThreshold,"Noise",IF(AND(R255&lt;=-OwnDecline,T255&lt;=-PeerGapThreshold),"Markdown Review",IF(AND(R255&gt;=ReorderUplift,U255&lt;&gt;"",U255&lt;=WeeksSupplyCap),"Reorder Candidate","Monitor"))))))))</f>
        <v/>
      </c>
      <c r="W255" s="18">
        <f>IF(B255="","",IF(NOT(I255),"INVALID_MASTER",IF(NOT(K255),"INCOMPLETE_SHELF_CYCLE",IF(N255&lt;MinHistory,"INSUFFICIENT_HISTORY",IF(NOT(J255),"INSUFFICIENT_IN_STOCK",IF(OR(Q255="",Q255=0),"NO_PRIOR_BASE",IF(Q255&lt;LowBaseThreshold,"LOW_BASE_NOISE",IF(V255="Markdown Review","MARKDOWN_PEER_GAP",IF(V255="Reorder Candidate","REORDER_UPLIFT_COVER","NO_MATERIAL_CHANGE"))))))))</f>
        <v/>
      </c>
      <c r="X255" s="18">
        <f>IF(V255="Markdown Review","Markdown support",IF(V255="Reorder Candidate","Second reorder",IF(V255="Monitor","Monitor",IF(V255="Noise","Hold / collect data",IF(V255="Not Ready","Not ready","")))))</f>
        <v/>
      </c>
      <c r="Y255" s="18">
        <f>IF(OR(R255="",T255=""),"",ABS(R255)+ABS(T255))</f>
        <v/>
      </c>
      <c r="Z255" s="21">
        <f>IF(OR(B255="",NOT(O255),R255=""),"",IF(ABS(R255)&gt;=MaterialThreshold,"Yes","No"))</f>
        <v/>
      </c>
      <c r="AA255" s="18">
        <f>IF(Z255&lt;&gt;"Yes","",IF(ABS(R255)&gt;=MaterialThreshold,IF(ABS(R255)&gt;=BroadShare,"Broad SKU movement","Store-concentrated movement"),""))</f>
        <v/>
      </c>
      <c r="AB255" s="18">
        <f>IF(O255,IF(COUNTIFS($O$5:O255,TRUE)&gt;0,COUNTIFS($O$5:O255,TRUE),0),0)</f>
        <v/>
      </c>
      <c r="AC255" s="18">
        <f>IF(V255="Markdown Review",1,IF(V255="Reorder Candidate",2,IF(V255="Monitor",3,IF(V255="Noise",4,IF(V255="Not Ready",5,99)))))</f>
        <v/>
      </c>
      <c r="AD255" s="18">
        <f>IF(O255,COUNTIFS($O$5:$O$504,TRUE,$AC$5:$AC$504,"&lt;"&amp;AC255)+COUNTIFS($O$5:O255,TRUE,$AC$5:AC255,AC255,$Y$5:Y255,"&gt;"&amp;Y255),0)</f>
        <v/>
      </c>
    </row>
    <row r="256">
      <c r="A256" s="17">
        <f>IF(COUNTA('Weekly Input'!A256:C256)=0,"",'Weekly Input'!B256&amp;"|"&amp;'Weekly Input'!C256&amp;"|"&amp;TEXT('Weekly Input'!A256,"yyyy-mm-dd"))</f>
        <v/>
      </c>
      <c r="B256" s="18">
        <f>'Weekly Input'!B256</f>
        <v/>
      </c>
      <c r="C256" s="18">
        <f>'Weekly Input'!C256</f>
        <v/>
      </c>
      <c r="D256" s="18">
        <f>IF(B256="","",IFERROR(INDEX('Master Data'!$B$6:$B$145,MATCH(B256,'Master Data'!$A$6:$A$145,0)),""))</f>
        <v/>
      </c>
      <c r="E256" s="18">
        <f>IF(C256="","",IFERROR(INDEX('Master Data'!$H$6:$H$13,MATCH(C256,'Master Data'!$F$6:$F$13,0)),""))</f>
        <v/>
      </c>
      <c r="F256" s="19">
        <f>'Weekly Input'!A256</f>
        <v/>
      </c>
      <c r="G256" s="19">
        <f>IF(B256="","",IFERROR(INDEX('Master Data'!$D$6:$D$145,MATCH(B256,'Master Data'!$A$6:$A$145,0)),""))</f>
        <v/>
      </c>
      <c r="H256" s="18">
        <f>IF(OR(F256="",G256=""),"",F256-G256)</f>
        <v/>
      </c>
      <c r="I256" s="18">
        <f>IF(B256="","",IF('Weekly Input'!J256="OK",TRUE,FALSE))</f>
        <v/>
      </c>
      <c r="J256" s="18">
        <f>IF(B256="","",'Weekly Input'!H256&gt;=MinInStockDays)</f>
        <v/>
      </c>
      <c r="K256" s="18">
        <f>IF(B256="","",H256&gt;=FullCycleMin)</f>
        <v/>
      </c>
      <c r="L256" s="18">
        <f>IF(B256="","",AND(I256,J256,K256,N256&gt;=MinHistory))</f>
        <v/>
      </c>
      <c r="M256" s="20">
        <f>IF(OR(B256="",'Weekly Input'!H256=0),"",'Weekly Input'!D256/'Weekly Input'!H256*7)</f>
        <v/>
      </c>
      <c r="N256" s="18">
        <f>IF(B256="","",COUNTIFS($B$5:$B$504,B256,$C$5:$C$504,C256,$I$5:$I$504,TRUE,$J$5:$J$504,TRUE,$K$5:$K$504,TRUE))</f>
        <v/>
      </c>
      <c r="O256" s="18">
        <f>IF(B256="","",AND(F256=AsOfWeek,AsOfWeek&lt;&gt;""))</f>
        <v/>
      </c>
      <c r="P256" s="20">
        <f>IF(OR(B256="",AsOfWeek=""),"",IFERROR(SUMIFS($M$5:$M$504,$B$5:$B$504,B256,$C$5:$C$504,C256,$L$5:$L$504,TRUE,$F$5:$F$504,"&gt;="&amp;AsOfWeek-7*(RecentWeeks-1),$F$5:$F$504,"&lt;="&amp;AsOfWeek),""))</f>
        <v/>
      </c>
      <c r="Q256" s="20">
        <f>IF(OR(B256="",AsOfWeek=""),"",IFERROR(SUMIFS($M$5:$M$504,$B$5:$B$504,B256,$C$5:$C$504,C256,$L$5:$L$504,TRUE,$F$5:$F$504,"&gt;="&amp;AsOfWeek-7*(RecentWeeks+PriorWeeks-1),$F$5:$F$504,"&lt;"&amp;AsOfWeek-7*(RecentWeeks-1)),""))</f>
        <v/>
      </c>
      <c r="R256" s="21">
        <f>IF(OR(P256="",Q256="",Q256=0),"",P256/Q256-1)</f>
        <v/>
      </c>
      <c r="S256" s="20">
        <f>IF(OR(C256="",AsOfWeek=""),"",IFERROR(AVERAGEIFS($M$5:$M$504,$C$5:$C$504,C256,$L$5:$L$504,TRUE,$F$5:$F$504,"&gt;="&amp;AsOfWeek-7*(RecentWeeks-1),$F$5:$F$504,"&lt;="&amp;AsOfWeek),""))</f>
        <v/>
      </c>
      <c r="T256" s="21">
        <f>IF(OR(P256="",S256=""),"",P256/S256-1)</f>
        <v/>
      </c>
      <c r="U256" s="22">
        <f>IF(OR(B256="",'Weekly Input'!G256="",P256="",P256=0),"",'Weekly Input'!G256/P256)</f>
        <v/>
      </c>
      <c r="V256" s="18">
        <f>IF(B256="","",IF(NOT(I256),"Not Ready",IF(NOT(K256),"Not Ready",IF(N256&lt;MinHistory,"Not Ready",IF(NOT(J256),"Not Ready",IF(OR(Q256="",Q256=0),"Noise",IF(Q256&lt;LowBaseThreshold,"Noise",IF(AND(R256&lt;=-OwnDecline,T256&lt;=-PeerGapThreshold),"Markdown Review",IF(AND(R256&gt;=ReorderUplift,U256&lt;&gt;"",U256&lt;=WeeksSupplyCap),"Reorder Candidate","Monitor"))))))))</f>
        <v/>
      </c>
      <c r="W256" s="18">
        <f>IF(B256="","",IF(NOT(I256),"INVALID_MASTER",IF(NOT(K256),"INCOMPLETE_SHELF_CYCLE",IF(N256&lt;MinHistory,"INSUFFICIENT_HISTORY",IF(NOT(J256),"INSUFFICIENT_IN_STOCK",IF(OR(Q256="",Q256=0),"NO_PRIOR_BASE",IF(Q256&lt;LowBaseThreshold,"LOW_BASE_NOISE",IF(V256="Markdown Review","MARKDOWN_PEER_GAP",IF(V256="Reorder Candidate","REORDER_UPLIFT_COVER","NO_MATERIAL_CHANGE"))))))))</f>
        <v/>
      </c>
      <c r="X256" s="18">
        <f>IF(V256="Markdown Review","Markdown support",IF(V256="Reorder Candidate","Second reorder",IF(V256="Monitor","Monitor",IF(V256="Noise","Hold / collect data",IF(V256="Not Ready","Not ready","")))))</f>
        <v/>
      </c>
      <c r="Y256" s="18">
        <f>IF(OR(R256="",T256=""),"",ABS(R256)+ABS(T256))</f>
        <v/>
      </c>
      <c r="Z256" s="21">
        <f>IF(OR(B256="",NOT(O256),R256=""),"",IF(ABS(R256)&gt;=MaterialThreshold,"Yes","No"))</f>
        <v/>
      </c>
      <c r="AA256" s="18">
        <f>IF(Z256&lt;&gt;"Yes","",IF(ABS(R256)&gt;=MaterialThreshold,IF(ABS(R256)&gt;=BroadShare,"Broad SKU movement","Store-concentrated movement"),""))</f>
        <v/>
      </c>
      <c r="AB256" s="18">
        <f>IF(O256,IF(COUNTIFS($O$5:O256,TRUE)&gt;0,COUNTIFS($O$5:O256,TRUE),0),0)</f>
        <v/>
      </c>
      <c r="AC256" s="18">
        <f>IF(V256="Markdown Review",1,IF(V256="Reorder Candidate",2,IF(V256="Monitor",3,IF(V256="Noise",4,IF(V256="Not Ready",5,99)))))</f>
        <v/>
      </c>
      <c r="AD256" s="18">
        <f>IF(O256,COUNTIFS($O$5:$O$504,TRUE,$AC$5:$AC$504,"&lt;"&amp;AC256)+COUNTIFS($O$5:O256,TRUE,$AC$5:AC256,AC256,$Y$5:Y256,"&gt;"&amp;Y256),0)</f>
        <v/>
      </c>
    </row>
    <row r="257">
      <c r="A257" s="17">
        <f>IF(COUNTA('Weekly Input'!A257:C257)=0,"",'Weekly Input'!B257&amp;"|"&amp;'Weekly Input'!C257&amp;"|"&amp;TEXT('Weekly Input'!A257,"yyyy-mm-dd"))</f>
        <v/>
      </c>
      <c r="B257" s="18">
        <f>'Weekly Input'!B257</f>
        <v/>
      </c>
      <c r="C257" s="18">
        <f>'Weekly Input'!C257</f>
        <v/>
      </c>
      <c r="D257" s="18">
        <f>IF(B257="","",IFERROR(INDEX('Master Data'!$B$6:$B$145,MATCH(B257,'Master Data'!$A$6:$A$145,0)),""))</f>
        <v/>
      </c>
      <c r="E257" s="18">
        <f>IF(C257="","",IFERROR(INDEX('Master Data'!$H$6:$H$13,MATCH(C257,'Master Data'!$F$6:$F$13,0)),""))</f>
        <v/>
      </c>
      <c r="F257" s="19">
        <f>'Weekly Input'!A257</f>
        <v/>
      </c>
      <c r="G257" s="19">
        <f>IF(B257="","",IFERROR(INDEX('Master Data'!$D$6:$D$145,MATCH(B257,'Master Data'!$A$6:$A$145,0)),""))</f>
        <v/>
      </c>
      <c r="H257" s="18">
        <f>IF(OR(F257="",G257=""),"",F257-G257)</f>
        <v/>
      </c>
      <c r="I257" s="18">
        <f>IF(B257="","",IF('Weekly Input'!J257="OK",TRUE,FALSE))</f>
        <v/>
      </c>
      <c r="J257" s="18">
        <f>IF(B257="","",'Weekly Input'!H257&gt;=MinInStockDays)</f>
        <v/>
      </c>
      <c r="K257" s="18">
        <f>IF(B257="","",H257&gt;=FullCycleMin)</f>
        <v/>
      </c>
      <c r="L257" s="18">
        <f>IF(B257="","",AND(I257,J257,K257,N257&gt;=MinHistory))</f>
        <v/>
      </c>
      <c r="M257" s="20">
        <f>IF(OR(B257="",'Weekly Input'!H257=0),"",'Weekly Input'!D257/'Weekly Input'!H257*7)</f>
        <v/>
      </c>
      <c r="N257" s="18">
        <f>IF(B257="","",COUNTIFS($B$5:$B$504,B257,$C$5:$C$504,C257,$I$5:$I$504,TRUE,$J$5:$J$504,TRUE,$K$5:$K$504,TRUE))</f>
        <v/>
      </c>
      <c r="O257" s="18">
        <f>IF(B257="","",AND(F257=AsOfWeek,AsOfWeek&lt;&gt;""))</f>
        <v/>
      </c>
      <c r="P257" s="20">
        <f>IF(OR(B257="",AsOfWeek=""),"",IFERROR(SUMIFS($M$5:$M$504,$B$5:$B$504,B257,$C$5:$C$504,C257,$L$5:$L$504,TRUE,$F$5:$F$504,"&gt;="&amp;AsOfWeek-7*(RecentWeeks-1),$F$5:$F$504,"&lt;="&amp;AsOfWeek),""))</f>
        <v/>
      </c>
      <c r="Q257" s="20">
        <f>IF(OR(B257="",AsOfWeek=""),"",IFERROR(SUMIFS($M$5:$M$504,$B$5:$B$504,B257,$C$5:$C$504,C257,$L$5:$L$504,TRUE,$F$5:$F$504,"&gt;="&amp;AsOfWeek-7*(RecentWeeks+PriorWeeks-1),$F$5:$F$504,"&lt;"&amp;AsOfWeek-7*(RecentWeeks-1)),""))</f>
        <v/>
      </c>
      <c r="R257" s="21">
        <f>IF(OR(P257="",Q257="",Q257=0),"",P257/Q257-1)</f>
        <v/>
      </c>
      <c r="S257" s="20">
        <f>IF(OR(C257="",AsOfWeek=""),"",IFERROR(AVERAGEIFS($M$5:$M$504,$C$5:$C$504,C257,$L$5:$L$504,TRUE,$F$5:$F$504,"&gt;="&amp;AsOfWeek-7*(RecentWeeks-1),$F$5:$F$504,"&lt;="&amp;AsOfWeek),""))</f>
        <v/>
      </c>
      <c r="T257" s="21">
        <f>IF(OR(P257="",S257=""),"",P257/S257-1)</f>
        <v/>
      </c>
      <c r="U257" s="22">
        <f>IF(OR(B257="",'Weekly Input'!G257="",P257="",P257=0),"",'Weekly Input'!G257/P257)</f>
        <v/>
      </c>
      <c r="V257" s="18">
        <f>IF(B257="","",IF(NOT(I257),"Not Ready",IF(NOT(K257),"Not Ready",IF(N257&lt;MinHistory,"Not Ready",IF(NOT(J257),"Not Ready",IF(OR(Q257="",Q257=0),"Noise",IF(Q257&lt;LowBaseThreshold,"Noise",IF(AND(R257&lt;=-OwnDecline,T257&lt;=-PeerGapThreshold),"Markdown Review",IF(AND(R257&gt;=ReorderUplift,U257&lt;&gt;"",U257&lt;=WeeksSupplyCap),"Reorder Candidate","Monitor"))))))))</f>
        <v/>
      </c>
      <c r="W257" s="18">
        <f>IF(B257="","",IF(NOT(I257),"INVALID_MASTER",IF(NOT(K257),"INCOMPLETE_SHELF_CYCLE",IF(N257&lt;MinHistory,"INSUFFICIENT_HISTORY",IF(NOT(J257),"INSUFFICIENT_IN_STOCK",IF(OR(Q257="",Q257=0),"NO_PRIOR_BASE",IF(Q257&lt;LowBaseThreshold,"LOW_BASE_NOISE",IF(V257="Markdown Review","MARKDOWN_PEER_GAP",IF(V257="Reorder Candidate","REORDER_UPLIFT_COVER","NO_MATERIAL_CHANGE"))))))))</f>
        <v/>
      </c>
      <c r="X257" s="18">
        <f>IF(V257="Markdown Review","Markdown support",IF(V257="Reorder Candidate","Second reorder",IF(V257="Monitor","Monitor",IF(V257="Noise","Hold / collect data",IF(V257="Not Ready","Not ready","")))))</f>
        <v/>
      </c>
      <c r="Y257" s="18">
        <f>IF(OR(R257="",T257=""),"",ABS(R257)+ABS(T257))</f>
        <v/>
      </c>
      <c r="Z257" s="21">
        <f>IF(OR(B257="",NOT(O257),R257=""),"",IF(ABS(R257)&gt;=MaterialThreshold,"Yes","No"))</f>
        <v/>
      </c>
      <c r="AA257" s="18">
        <f>IF(Z257&lt;&gt;"Yes","",IF(ABS(R257)&gt;=MaterialThreshold,IF(ABS(R257)&gt;=BroadShare,"Broad SKU movement","Store-concentrated movement"),""))</f>
        <v/>
      </c>
      <c r="AB257" s="18">
        <f>IF(O257,IF(COUNTIFS($O$5:O257,TRUE)&gt;0,COUNTIFS($O$5:O257,TRUE),0),0)</f>
        <v/>
      </c>
      <c r="AC257" s="18">
        <f>IF(V257="Markdown Review",1,IF(V257="Reorder Candidate",2,IF(V257="Monitor",3,IF(V257="Noise",4,IF(V257="Not Ready",5,99)))))</f>
        <v/>
      </c>
      <c r="AD257" s="18">
        <f>IF(O257,COUNTIFS($O$5:$O$504,TRUE,$AC$5:$AC$504,"&lt;"&amp;AC257)+COUNTIFS($O$5:O257,TRUE,$AC$5:AC257,AC257,$Y$5:Y257,"&gt;"&amp;Y257),0)</f>
        <v/>
      </c>
    </row>
    <row r="258">
      <c r="A258" s="17">
        <f>IF(COUNTA('Weekly Input'!A258:C258)=0,"",'Weekly Input'!B258&amp;"|"&amp;'Weekly Input'!C258&amp;"|"&amp;TEXT('Weekly Input'!A258,"yyyy-mm-dd"))</f>
        <v/>
      </c>
      <c r="B258" s="18">
        <f>'Weekly Input'!B258</f>
        <v/>
      </c>
      <c r="C258" s="18">
        <f>'Weekly Input'!C258</f>
        <v/>
      </c>
      <c r="D258" s="18">
        <f>IF(B258="","",IFERROR(INDEX('Master Data'!$B$6:$B$145,MATCH(B258,'Master Data'!$A$6:$A$145,0)),""))</f>
        <v/>
      </c>
      <c r="E258" s="18">
        <f>IF(C258="","",IFERROR(INDEX('Master Data'!$H$6:$H$13,MATCH(C258,'Master Data'!$F$6:$F$13,0)),""))</f>
        <v/>
      </c>
      <c r="F258" s="19">
        <f>'Weekly Input'!A258</f>
        <v/>
      </c>
      <c r="G258" s="19">
        <f>IF(B258="","",IFERROR(INDEX('Master Data'!$D$6:$D$145,MATCH(B258,'Master Data'!$A$6:$A$145,0)),""))</f>
        <v/>
      </c>
      <c r="H258" s="18">
        <f>IF(OR(F258="",G258=""),"",F258-G258)</f>
        <v/>
      </c>
      <c r="I258" s="18">
        <f>IF(B258="","",IF('Weekly Input'!J258="OK",TRUE,FALSE))</f>
        <v/>
      </c>
      <c r="J258" s="18">
        <f>IF(B258="","",'Weekly Input'!H258&gt;=MinInStockDays)</f>
        <v/>
      </c>
      <c r="K258" s="18">
        <f>IF(B258="","",H258&gt;=FullCycleMin)</f>
        <v/>
      </c>
      <c r="L258" s="18">
        <f>IF(B258="","",AND(I258,J258,K258,N258&gt;=MinHistory))</f>
        <v/>
      </c>
      <c r="M258" s="20">
        <f>IF(OR(B258="",'Weekly Input'!H258=0),"",'Weekly Input'!D258/'Weekly Input'!H258*7)</f>
        <v/>
      </c>
      <c r="N258" s="18">
        <f>IF(B258="","",COUNTIFS($B$5:$B$504,B258,$C$5:$C$504,C258,$I$5:$I$504,TRUE,$J$5:$J$504,TRUE,$K$5:$K$504,TRUE))</f>
        <v/>
      </c>
      <c r="O258" s="18">
        <f>IF(B258="","",AND(F258=AsOfWeek,AsOfWeek&lt;&gt;""))</f>
        <v/>
      </c>
      <c r="P258" s="20">
        <f>IF(OR(B258="",AsOfWeek=""),"",IFERROR(SUMIFS($M$5:$M$504,$B$5:$B$504,B258,$C$5:$C$504,C258,$L$5:$L$504,TRUE,$F$5:$F$504,"&gt;="&amp;AsOfWeek-7*(RecentWeeks-1),$F$5:$F$504,"&lt;="&amp;AsOfWeek),""))</f>
        <v/>
      </c>
      <c r="Q258" s="20">
        <f>IF(OR(B258="",AsOfWeek=""),"",IFERROR(SUMIFS($M$5:$M$504,$B$5:$B$504,B258,$C$5:$C$504,C258,$L$5:$L$504,TRUE,$F$5:$F$504,"&gt;="&amp;AsOfWeek-7*(RecentWeeks+PriorWeeks-1),$F$5:$F$504,"&lt;"&amp;AsOfWeek-7*(RecentWeeks-1)),""))</f>
        <v/>
      </c>
      <c r="R258" s="21">
        <f>IF(OR(P258="",Q258="",Q258=0),"",P258/Q258-1)</f>
        <v/>
      </c>
      <c r="S258" s="20">
        <f>IF(OR(C258="",AsOfWeek=""),"",IFERROR(AVERAGEIFS($M$5:$M$504,$C$5:$C$504,C258,$L$5:$L$504,TRUE,$F$5:$F$504,"&gt;="&amp;AsOfWeek-7*(RecentWeeks-1),$F$5:$F$504,"&lt;="&amp;AsOfWeek),""))</f>
        <v/>
      </c>
      <c r="T258" s="21">
        <f>IF(OR(P258="",S258=""),"",P258/S258-1)</f>
        <v/>
      </c>
      <c r="U258" s="22">
        <f>IF(OR(B258="",'Weekly Input'!G258="",P258="",P258=0),"",'Weekly Input'!G258/P258)</f>
        <v/>
      </c>
      <c r="V258" s="18">
        <f>IF(B258="","",IF(NOT(I258),"Not Ready",IF(NOT(K258),"Not Ready",IF(N258&lt;MinHistory,"Not Ready",IF(NOT(J258),"Not Ready",IF(OR(Q258="",Q258=0),"Noise",IF(Q258&lt;LowBaseThreshold,"Noise",IF(AND(R258&lt;=-OwnDecline,T258&lt;=-PeerGapThreshold),"Markdown Review",IF(AND(R258&gt;=ReorderUplift,U258&lt;&gt;"",U258&lt;=WeeksSupplyCap),"Reorder Candidate","Monitor"))))))))</f>
        <v/>
      </c>
      <c r="W258" s="18">
        <f>IF(B258="","",IF(NOT(I258),"INVALID_MASTER",IF(NOT(K258),"INCOMPLETE_SHELF_CYCLE",IF(N258&lt;MinHistory,"INSUFFICIENT_HISTORY",IF(NOT(J258),"INSUFFICIENT_IN_STOCK",IF(OR(Q258="",Q258=0),"NO_PRIOR_BASE",IF(Q258&lt;LowBaseThreshold,"LOW_BASE_NOISE",IF(V258="Markdown Review","MARKDOWN_PEER_GAP",IF(V258="Reorder Candidate","REORDER_UPLIFT_COVER","NO_MATERIAL_CHANGE"))))))))</f>
        <v/>
      </c>
      <c r="X258" s="18">
        <f>IF(V258="Markdown Review","Markdown support",IF(V258="Reorder Candidate","Second reorder",IF(V258="Monitor","Monitor",IF(V258="Noise","Hold / collect data",IF(V258="Not Ready","Not ready","")))))</f>
        <v/>
      </c>
      <c r="Y258" s="18">
        <f>IF(OR(R258="",T258=""),"",ABS(R258)+ABS(T258))</f>
        <v/>
      </c>
      <c r="Z258" s="21">
        <f>IF(OR(B258="",NOT(O258),R258=""),"",IF(ABS(R258)&gt;=MaterialThreshold,"Yes","No"))</f>
        <v/>
      </c>
      <c r="AA258" s="18">
        <f>IF(Z258&lt;&gt;"Yes","",IF(ABS(R258)&gt;=MaterialThreshold,IF(ABS(R258)&gt;=BroadShare,"Broad SKU movement","Store-concentrated movement"),""))</f>
        <v/>
      </c>
      <c r="AB258" s="18">
        <f>IF(O258,IF(COUNTIFS($O$5:O258,TRUE)&gt;0,COUNTIFS($O$5:O258,TRUE),0),0)</f>
        <v/>
      </c>
      <c r="AC258" s="18">
        <f>IF(V258="Markdown Review",1,IF(V258="Reorder Candidate",2,IF(V258="Monitor",3,IF(V258="Noise",4,IF(V258="Not Ready",5,99)))))</f>
        <v/>
      </c>
      <c r="AD258" s="18">
        <f>IF(O258,COUNTIFS($O$5:$O$504,TRUE,$AC$5:$AC$504,"&lt;"&amp;AC258)+COUNTIFS($O$5:O258,TRUE,$AC$5:AC258,AC258,$Y$5:Y258,"&gt;"&amp;Y258),0)</f>
        <v/>
      </c>
    </row>
    <row r="259">
      <c r="A259" s="17">
        <f>IF(COUNTA('Weekly Input'!A259:C259)=0,"",'Weekly Input'!B259&amp;"|"&amp;'Weekly Input'!C259&amp;"|"&amp;TEXT('Weekly Input'!A259,"yyyy-mm-dd"))</f>
        <v/>
      </c>
      <c r="B259" s="18">
        <f>'Weekly Input'!B259</f>
        <v/>
      </c>
      <c r="C259" s="18">
        <f>'Weekly Input'!C259</f>
        <v/>
      </c>
      <c r="D259" s="18">
        <f>IF(B259="","",IFERROR(INDEX('Master Data'!$B$6:$B$145,MATCH(B259,'Master Data'!$A$6:$A$145,0)),""))</f>
        <v/>
      </c>
      <c r="E259" s="18">
        <f>IF(C259="","",IFERROR(INDEX('Master Data'!$H$6:$H$13,MATCH(C259,'Master Data'!$F$6:$F$13,0)),""))</f>
        <v/>
      </c>
      <c r="F259" s="19">
        <f>'Weekly Input'!A259</f>
        <v/>
      </c>
      <c r="G259" s="19">
        <f>IF(B259="","",IFERROR(INDEX('Master Data'!$D$6:$D$145,MATCH(B259,'Master Data'!$A$6:$A$145,0)),""))</f>
        <v/>
      </c>
      <c r="H259" s="18">
        <f>IF(OR(F259="",G259=""),"",F259-G259)</f>
        <v/>
      </c>
      <c r="I259" s="18">
        <f>IF(B259="","",IF('Weekly Input'!J259="OK",TRUE,FALSE))</f>
        <v/>
      </c>
      <c r="J259" s="18">
        <f>IF(B259="","",'Weekly Input'!H259&gt;=MinInStockDays)</f>
        <v/>
      </c>
      <c r="K259" s="18">
        <f>IF(B259="","",H259&gt;=FullCycleMin)</f>
        <v/>
      </c>
      <c r="L259" s="18">
        <f>IF(B259="","",AND(I259,J259,K259,N259&gt;=MinHistory))</f>
        <v/>
      </c>
      <c r="M259" s="20">
        <f>IF(OR(B259="",'Weekly Input'!H259=0),"",'Weekly Input'!D259/'Weekly Input'!H259*7)</f>
        <v/>
      </c>
      <c r="N259" s="18">
        <f>IF(B259="","",COUNTIFS($B$5:$B$504,B259,$C$5:$C$504,C259,$I$5:$I$504,TRUE,$J$5:$J$504,TRUE,$K$5:$K$504,TRUE))</f>
        <v/>
      </c>
      <c r="O259" s="18">
        <f>IF(B259="","",AND(F259=AsOfWeek,AsOfWeek&lt;&gt;""))</f>
        <v/>
      </c>
      <c r="P259" s="20">
        <f>IF(OR(B259="",AsOfWeek=""),"",IFERROR(SUMIFS($M$5:$M$504,$B$5:$B$504,B259,$C$5:$C$504,C259,$L$5:$L$504,TRUE,$F$5:$F$504,"&gt;="&amp;AsOfWeek-7*(RecentWeeks-1),$F$5:$F$504,"&lt;="&amp;AsOfWeek),""))</f>
        <v/>
      </c>
      <c r="Q259" s="20">
        <f>IF(OR(B259="",AsOfWeek=""),"",IFERROR(SUMIFS($M$5:$M$504,$B$5:$B$504,B259,$C$5:$C$504,C259,$L$5:$L$504,TRUE,$F$5:$F$504,"&gt;="&amp;AsOfWeek-7*(RecentWeeks+PriorWeeks-1),$F$5:$F$504,"&lt;"&amp;AsOfWeek-7*(RecentWeeks-1)),""))</f>
        <v/>
      </c>
      <c r="R259" s="21">
        <f>IF(OR(P259="",Q259="",Q259=0),"",P259/Q259-1)</f>
        <v/>
      </c>
      <c r="S259" s="20">
        <f>IF(OR(C259="",AsOfWeek=""),"",IFERROR(AVERAGEIFS($M$5:$M$504,$C$5:$C$504,C259,$L$5:$L$504,TRUE,$F$5:$F$504,"&gt;="&amp;AsOfWeek-7*(RecentWeeks-1),$F$5:$F$504,"&lt;="&amp;AsOfWeek),""))</f>
        <v/>
      </c>
      <c r="T259" s="21">
        <f>IF(OR(P259="",S259=""),"",P259/S259-1)</f>
        <v/>
      </c>
      <c r="U259" s="22">
        <f>IF(OR(B259="",'Weekly Input'!G259="",P259="",P259=0),"",'Weekly Input'!G259/P259)</f>
        <v/>
      </c>
      <c r="V259" s="18">
        <f>IF(B259="","",IF(NOT(I259),"Not Ready",IF(NOT(K259),"Not Ready",IF(N259&lt;MinHistory,"Not Ready",IF(NOT(J259),"Not Ready",IF(OR(Q259="",Q259=0),"Noise",IF(Q259&lt;LowBaseThreshold,"Noise",IF(AND(R259&lt;=-OwnDecline,T259&lt;=-PeerGapThreshold),"Markdown Review",IF(AND(R259&gt;=ReorderUplift,U259&lt;&gt;"",U259&lt;=WeeksSupplyCap),"Reorder Candidate","Monitor"))))))))</f>
        <v/>
      </c>
      <c r="W259" s="18">
        <f>IF(B259="","",IF(NOT(I259),"INVALID_MASTER",IF(NOT(K259),"INCOMPLETE_SHELF_CYCLE",IF(N259&lt;MinHistory,"INSUFFICIENT_HISTORY",IF(NOT(J259),"INSUFFICIENT_IN_STOCK",IF(OR(Q259="",Q259=0),"NO_PRIOR_BASE",IF(Q259&lt;LowBaseThreshold,"LOW_BASE_NOISE",IF(V259="Markdown Review","MARKDOWN_PEER_GAP",IF(V259="Reorder Candidate","REORDER_UPLIFT_COVER","NO_MATERIAL_CHANGE"))))))))</f>
        <v/>
      </c>
      <c r="X259" s="18">
        <f>IF(V259="Markdown Review","Markdown support",IF(V259="Reorder Candidate","Second reorder",IF(V259="Monitor","Monitor",IF(V259="Noise","Hold / collect data",IF(V259="Not Ready","Not ready","")))))</f>
        <v/>
      </c>
      <c r="Y259" s="18">
        <f>IF(OR(R259="",T259=""),"",ABS(R259)+ABS(T259))</f>
        <v/>
      </c>
      <c r="Z259" s="21">
        <f>IF(OR(B259="",NOT(O259),R259=""),"",IF(ABS(R259)&gt;=MaterialThreshold,"Yes","No"))</f>
        <v/>
      </c>
      <c r="AA259" s="18">
        <f>IF(Z259&lt;&gt;"Yes","",IF(ABS(R259)&gt;=MaterialThreshold,IF(ABS(R259)&gt;=BroadShare,"Broad SKU movement","Store-concentrated movement"),""))</f>
        <v/>
      </c>
      <c r="AB259" s="18">
        <f>IF(O259,IF(COUNTIFS($O$5:O259,TRUE)&gt;0,COUNTIFS($O$5:O259,TRUE),0),0)</f>
        <v/>
      </c>
      <c r="AC259" s="18">
        <f>IF(V259="Markdown Review",1,IF(V259="Reorder Candidate",2,IF(V259="Monitor",3,IF(V259="Noise",4,IF(V259="Not Ready",5,99)))))</f>
        <v/>
      </c>
      <c r="AD259" s="18">
        <f>IF(O259,COUNTIFS($O$5:$O$504,TRUE,$AC$5:$AC$504,"&lt;"&amp;AC259)+COUNTIFS($O$5:O259,TRUE,$AC$5:AC259,AC259,$Y$5:Y259,"&gt;"&amp;Y259),0)</f>
        <v/>
      </c>
    </row>
    <row r="260">
      <c r="A260" s="17">
        <f>IF(COUNTA('Weekly Input'!A260:C260)=0,"",'Weekly Input'!B260&amp;"|"&amp;'Weekly Input'!C260&amp;"|"&amp;TEXT('Weekly Input'!A260,"yyyy-mm-dd"))</f>
        <v/>
      </c>
      <c r="B260" s="18">
        <f>'Weekly Input'!B260</f>
        <v/>
      </c>
      <c r="C260" s="18">
        <f>'Weekly Input'!C260</f>
        <v/>
      </c>
      <c r="D260" s="18">
        <f>IF(B260="","",IFERROR(INDEX('Master Data'!$B$6:$B$145,MATCH(B260,'Master Data'!$A$6:$A$145,0)),""))</f>
        <v/>
      </c>
      <c r="E260" s="18">
        <f>IF(C260="","",IFERROR(INDEX('Master Data'!$H$6:$H$13,MATCH(C260,'Master Data'!$F$6:$F$13,0)),""))</f>
        <v/>
      </c>
      <c r="F260" s="19">
        <f>'Weekly Input'!A260</f>
        <v/>
      </c>
      <c r="G260" s="19">
        <f>IF(B260="","",IFERROR(INDEX('Master Data'!$D$6:$D$145,MATCH(B260,'Master Data'!$A$6:$A$145,0)),""))</f>
        <v/>
      </c>
      <c r="H260" s="18">
        <f>IF(OR(F260="",G260=""),"",F260-G260)</f>
        <v/>
      </c>
      <c r="I260" s="18">
        <f>IF(B260="","",IF('Weekly Input'!J260="OK",TRUE,FALSE))</f>
        <v/>
      </c>
      <c r="J260" s="18">
        <f>IF(B260="","",'Weekly Input'!H260&gt;=MinInStockDays)</f>
        <v/>
      </c>
      <c r="K260" s="18">
        <f>IF(B260="","",H260&gt;=FullCycleMin)</f>
        <v/>
      </c>
      <c r="L260" s="18">
        <f>IF(B260="","",AND(I260,J260,K260,N260&gt;=MinHistory))</f>
        <v/>
      </c>
      <c r="M260" s="20">
        <f>IF(OR(B260="",'Weekly Input'!H260=0),"",'Weekly Input'!D260/'Weekly Input'!H260*7)</f>
        <v/>
      </c>
      <c r="N260" s="18">
        <f>IF(B260="","",COUNTIFS($B$5:$B$504,B260,$C$5:$C$504,C260,$I$5:$I$504,TRUE,$J$5:$J$504,TRUE,$K$5:$K$504,TRUE))</f>
        <v/>
      </c>
      <c r="O260" s="18">
        <f>IF(B260="","",AND(F260=AsOfWeek,AsOfWeek&lt;&gt;""))</f>
        <v/>
      </c>
      <c r="P260" s="20">
        <f>IF(OR(B260="",AsOfWeek=""),"",IFERROR(SUMIFS($M$5:$M$504,$B$5:$B$504,B260,$C$5:$C$504,C260,$L$5:$L$504,TRUE,$F$5:$F$504,"&gt;="&amp;AsOfWeek-7*(RecentWeeks-1),$F$5:$F$504,"&lt;="&amp;AsOfWeek),""))</f>
        <v/>
      </c>
      <c r="Q260" s="20">
        <f>IF(OR(B260="",AsOfWeek=""),"",IFERROR(SUMIFS($M$5:$M$504,$B$5:$B$504,B260,$C$5:$C$504,C260,$L$5:$L$504,TRUE,$F$5:$F$504,"&gt;="&amp;AsOfWeek-7*(RecentWeeks+PriorWeeks-1),$F$5:$F$504,"&lt;"&amp;AsOfWeek-7*(RecentWeeks-1)),""))</f>
        <v/>
      </c>
      <c r="R260" s="21">
        <f>IF(OR(P260="",Q260="",Q260=0),"",P260/Q260-1)</f>
        <v/>
      </c>
      <c r="S260" s="20">
        <f>IF(OR(C260="",AsOfWeek=""),"",IFERROR(AVERAGEIFS($M$5:$M$504,$C$5:$C$504,C260,$L$5:$L$504,TRUE,$F$5:$F$504,"&gt;="&amp;AsOfWeek-7*(RecentWeeks-1),$F$5:$F$504,"&lt;="&amp;AsOfWeek),""))</f>
        <v/>
      </c>
      <c r="T260" s="21">
        <f>IF(OR(P260="",S260=""),"",P260/S260-1)</f>
        <v/>
      </c>
      <c r="U260" s="22">
        <f>IF(OR(B260="",'Weekly Input'!G260="",P260="",P260=0),"",'Weekly Input'!G260/P260)</f>
        <v/>
      </c>
      <c r="V260" s="18">
        <f>IF(B260="","",IF(NOT(I260),"Not Ready",IF(NOT(K260),"Not Ready",IF(N260&lt;MinHistory,"Not Ready",IF(NOT(J260),"Not Ready",IF(OR(Q260="",Q260=0),"Noise",IF(Q260&lt;LowBaseThreshold,"Noise",IF(AND(R260&lt;=-OwnDecline,T260&lt;=-PeerGapThreshold),"Markdown Review",IF(AND(R260&gt;=ReorderUplift,U260&lt;&gt;"",U260&lt;=WeeksSupplyCap),"Reorder Candidate","Monitor"))))))))</f>
        <v/>
      </c>
      <c r="W260" s="18">
        <f>IF(B260="","",IF(NOT(I260),"INVALID_MASTER",IF(NOT(K260),"INCOMPLETE_SHELF_CYCLE",IF(N260&lt;MinHistory,"INSUFFICIENT_HISTORY",IF(NOT(J260),"INSUFFICIENT_IN_STOCK",IF(OR(Q260="",Q260=0),"NO_PRIOR_BASE",IF(Q260&lt;LowBaseThreshold,"LOW_BASE_NOISE",IF(V260="Markdown Review","MARKDOWN_PEER_GAP",IF(V260="Reorder Candidate","REORDER_UPLIFT_COVER","NO_MATERIAL_CHANGE"))))))))</f>
        <v/>
      </c>
      <c r="X260" s="18">
        <f>IF(V260="Markdown Review","Markdown support",IF(V260="Reorder Candidate","Second reorder",IF(V260="Monitor","Monitor",IF(V260="Noise","Hold / collect data",IF(V260="Not Ready","Not ready","")))))</f>
        <v/>
      </c>
      <c r="Y260" s="18">
        <f>IF(OR(R260="",T260=""),"",ABS(R260)+ABS(T260))</f>
        <v/>
      </c>
      <c r="Z260" s="21">
        <f>IF(OR(B260="",NOT(O260),R260=""),"",IF(ABS(R260)&gt;=MaterialThreshold,"Yes","No"))</f>
        <v/>
      </c>
      <c r="AA260" s="18">
        <f>IF(Z260&lt;&gt;"Yes","",IF(ABS(R260)&gt;=MaterialThreshold,IF(ABS(R260)&gt;=BroadShare,"Broad SKU movement","Store-concentrated movement"),""))</f>
        <v/>
      </c>
      <c r="AB260" s="18">
        <f>IF(O260,IF(COUNTIFS($O$5:O260,TRUE)&gt;0,COUNTIFS($O$5:O260,TRUE),0),0)</f>
        <v/>
      </c>
      <c r="AC260" s="18">
        <f>IF(V260="Markdown Review",1,IF(V260="Reorder Candidate",2,IF(V260="Monitor",3,IF(V260="Noise",4,IF(V260="Not Ready",5,99)))))</f>
        <v/>
      </c>
      <c r="AD260" s="18">
        <f>IF(O260,COUNTIFS($O$5:$O$504,TRUE,$AC$5:$AC$504,"&lt;"&amp;AC260)+COUNTIFS($O$5:O260,TRUE,$AC$5:AC260,AC260,$Y$5:Y260,"&gt;"&amp;Y260),0)</f>
        <v/>
      </c>
    </row>
    <row r="261">
      <c r="A261" s="17">
        <f>IF(COUNTA('Weekly Input'!A261:C261)=0,"",'Weekly Input'!B261&amp;"|"&amp;'Weekly Input'!C261&amp;"|"&amp;TEXT('Weekly Input'!A261,"yyyy-mm-dd"))</f>
        <v/>
      </c>
      <c r="B261" s="18">
        <f>'Weekly Input'!B261</f>
        <v/>
      </c>
      <c r="C261" s="18">
        <f>'Weekly Input'!C261</f>
        <v/>
      </c>
      <c r="D261" s="18">
        <f>IF(B261="","",IFERROR(INDEX('Master Data'!$B$6:$B$145,MATCH(B261,'Master Data'!$A$6:$A$145,0)),""))</f>
        <v/>
      </c>
      <c r="E261" s="18">
        <f>IF(C261="","",IFERROR(INDEX('Master Data'!$H$6:$H$13,MATCH(C261,'Master Data'!$F$6:$F$13,0)),""))</f>
        <v/>
      </c>
      <c r="F261" s="19">
        <f>'Weekly Input'!A261</f>
        <v/>
      </c>
      <c r="G261" s="19">
        <f>IF(B261="","",IFERROR(INDEX('Master Data'!$D$6:$D$145,MATCH(B261,'Master Data'!$A$6:$A$145,0)),""))</f>
        <v/>
      </c>
      <c r="H261" s="18">
        <f>IF(OR(F261="",G261=""),"",F261-G261)</f>
        <v/>
      </c>
      <c r="I261" s="18">
        <f>IF(B261="","",IF('Weekly Input'!J261="OK",TRUE,FALSE))</f>
        <v/>
      </c>
      <c r="J261" s="18">
        <f>IF(B261="","",'Weekly Input'!H261&gt;=MinInStockDays)</f>
        <v/>
      </c>
      <c r="K261" s="18">
        <f>IF(B261="","",H261&gt;=FullCycleMin)</f>
        <v/>
      </c>
      <c r="L261" s="18">
        <f>IF(B261="","",AND(I261,J261,K261,N261&gt;=MinHistory))</f>
        <v/>
      </c>
      <c r="M261" s="20">
        <f>IF(OR(B261="",'Weekly Input'!H261=0),"",'Weekly Input'!D261/'Weekly Input'!H261*7)</f>
        <v/>
      </c>
      <c r="N261" s="18">
        <f>IF(B261="","",COUNTIFS($B$5:$B$504,B261,$C$5:$C$504,C261,$I$5:$I$504,TRUE,$J$5:$J$504,TRUE,$K$5:$K$504,TRUE))</f>
        <v/>
      </c>
      <c r="O261" s="18">
        <f>IF(B261="","",AND(F261=AsOfWeek,AsOfWeek&lt;&gt;""))</f>
        <v/>
      </c>
      <c r="P261" s="20">
        <f>IF(OR(B261="",AsOfWeek=""),"",IFERROR(SUMIFS($M$5:$M$504,$B$5:$B$504,B261,$C$5:$C$504,C261,$L$5:$L$504,TRUE,$F$5:$F$504,"&gt;="&amp;AsOfWeek-7*(RecentWeeks-1),$F$5:$F$504,"&lt;="&amp;AsOfWeek),""))</f>
        <v/>
      </c>
      <c r="Q261" s="20">
        <f>IF(OR(B261="",AsOfWeek=""),"",IFERROR(SUMIFS($M$5:$M$504,$B$5:$B$504,B261,$C$5:$C$504,C261,$L$5:$L$504,TRUE,$F$5:$F$504,"&gt;="&amp;AsOfWeek-7*(RecentWeeks+PriorWeeks-1),$F$5:$F$504,"&lt;"&amp;AsOfWeek-7*(RecentWeeks-1)),""))</f>
        <v/>
      </c>
      <c r="R261" s="21">
        <f>IF(OR(P261="",Q261="",Q261=0),"",P261/Q261-1)</f>
        <v/>
      </c>
      <c r="S261" s="20">
        <f>IF(OR(C261="",AsOfWeek=""),"",IFERROR(AVERAGEIFS($M$5:$M$504,$C$5:$C$504,C261,$L$5:$L$504,TRUE,$F$5:$F$504,"&gt;="&amp;AsOfWeek-7*(RecentWeeks-1),$F$5:$F$504,"&lt;="&amp;AsOfWeek),""))</f>
        <v/>
      </c>
      <c r="T261" s="21">
        <f>IF(OR(P261="",S261=""),"",P261/S261-1)</f>
        <v/>
      </c>
      <c r="U261" s="22">
        <f>IF(OR(B261="",'Weekly Input'!G261="",P261="",P261=0),"",'Weekly Input'!G261/P261)</f>
        <v/>
      </c>
      <c r="V261" s="18">
        <f>IF(B261="","",IF(NOT(I261),"Not Ready",IF(NOT(K261),"Not Ready",IF(N261&lt;MinHistory,"Not Ready",IF(NOT(J261),"Not Ready",IF(OR(Q261="",Q261=0),"Noise",IF(Q261&lt;LowBaseThreshold,"Noise",IF(AND(R261&lt;=-OwnDecline,T261&lt;=-PeerGapThreshold),"Markdown Review",IF(AND(R261&gt;=ReorderUplift,U261&lt;&gt;"",U261&lt;=WeeksSupplyCap),"Reorder Candidate","Monitor"))))))))</f>
        <v/>
      </c>
      <c r="W261" s="18">
        <f>IF(B261="","",IF(NOT(I261),"INVALID_MASTER",IF(NOT(K261),"INCOMPLETE_SHELF_CYCLE",IF(N261&lt;MinHistory,"INSUFFICIENT_HISTORY",IF(NOT(J261),"INSUFFICIENT_IN_STOCK",IF(OR(Q261="",Q261=0),"NO_PRIOR_BASE",IF(Q261&lt;LowBaseThreshold,"LOW_BASE_NOISE",IF(V261="Markdown Review","MARKDOWN_PEER_GAP",IF(V261="Reorder Candidate","REORDER_UPLIFT_COVER","NO_MATERIAL_CHANGE"))))))))</f>
        <v/>
      </c>
      <c r="X261" s="18">
        <f>IF(V261="Markdown Review","Markdown support",IF(V261="Reorder Candidate","Second reorder",IF(V261="Monitor","Monitor",IF(V261="Noise","Hold / collect data",IF(V261="Not Ready","Not ready","")))))</f>
        <v/>
      </c>
      <c r="Y261" s="18">
        <f>IF(OR(R261="",T261=""),"",ABS(R261)+ABS(T261))</f>
        <v/>
      </c>
      <c r="Z261" s="21">
        <f>IF(OR(B261="",NOT(O261),R261=""),"",IF(ABS(R261)&gt;=MaterialThreshold,"Yes","No"))</f>
        <v/>
      </c>
      <c r="AA261" s="18">
        <f>IF(Z261&lt;&gt;"Yes","",IF(ABS(R261)&gt;=MaterialThreshold,IF(ABS(R261)&gt;=BroadShare,"Broad SKU movement","Store-concentrated movement"),""))</f>
        <v/>
      </c>
      <c r="AB261" s="18">
        <f>IF(O261,IF(COUNTIFS($O$5:O261,TRUE)&gt;0,COUNTIFS($O$5:O261,TRUE),0),0)</f>
        <v/>
      </c>
      <c r="AC261" s="18">
        <f>IF(V261="Markdown Review",1,IF(V261="Reorder Candidate",2,IF(V261="Monitor",3,IF(V261="Noise",4,IF(V261="Not Ready",5,99)))))</f>
        <v/>
      </c>
      <c r="AD261" s="18">
        <f>IF(O261,COUNTIFS($O$5:$O$504,TRUE,$AC$5:$AC$504,"&lt;"&amp;AC261)+COUNTIFS($O$5:O261,TRUE,$AC$5:AC261,AC261,$Y$5:Y261,"&gt;"&amp;Y261),0)</f>
        <v/>
      </c>
    </row>
    <row r="262">
      <c r="A262" s="17">
        <f>IF(COUNTA('Weekly Input'!A262:C262)=0,"",'Weekly Input'!B262&amp;"|"&amp;'Weekly Input'!C262&amp;"|"&amp;TEXT('Weekly Input'!A262,"yyyy-mm-dd"))</f>
        <v/>
      </c>
      <c r="B262" s="18">
        <f>'Weekly Input'!B262</f>
        <v/>
      </c>
      <c r="C262" s="18">
        <f>'Weekly Input'!C262</f>
        <v/>
      </c>
      <c r="D262" s="18">
        <f>IF(B262="","",IFERROR(INDEX('Master Data'!$B$6:$B$145,MATCH(B262,'Master Data'!$A$6:$A$145,0)),""))</f>
        <v/>
      </c>
      <c r="E262" s="18">
        <f>IF(C262="","",IFERROR(INDEX('Master Data'!$H$6:$H$13,MATCH(C262,'Master Data'!$F$6:$F$13,0)),""))</f>
        <v/>
      </c>
      <c r="F262" s="19">
        <f>'Weekly Input'!A262</f>
        <v/>
      </c>
      <c r="G262" s="19">
        <f>IF(B262="","",IFERROR(INDEX('Master Data'!$D$6:$D$145,MATCH(B262,'Master Data'!$A$6:$A$145,0)),""))</f>
        <v/>
      </c>
      <c r="H262" s="18">
        <f>IF(OR(F262="",G262=""),"",F262-G262)</f>
        <v/>
      </c>
      <c r="I262" s="18">
        <f>IF(B262="","",IF('Weekly Input'!J262="OK",TRUE,FALSE))</f>
        <v/>
      </c>
      <c r="J262" s="18">
        <f>IF(B262="","",'Weekly Input'!H262&gt;=MinInStockDays)</f>
        <v/>
      </c>
      <c r="K262" s="18">
        <f>IF(B262="","",H262&gt;=FullCycleMin)</f>
        <v/>
      </c>
      <c r="L262" s="18">
        <f>IF(B262="","",AND(I262,J262,K262,N262&gt;=MinHistory))</f>
        <v/>
      </c>
      <c r="M262" s="20">
        <f>IF(OR(B262="",'Weekly Input'!H262=0),"",'Weekly Input'!D262/'Weekly Input'!H262*7)</f>
        <v/>
      </c>
      <c r="N262" s="18">
        <f>IF(B262="","",COUNTIFS($B$5:$B$504,B262,$C$5:$C$504,C262,$I$5:$I$504,TRUE,$J$5:$J$504,TRUE,$K$5:$K$504,TRUE))</f>
        <v/>
      </c>
      <c r="O262" s="18">
        <f>IF(B262="","",AND(F262=AsOfWeek,AsOfWeek&lt;&gt;""))</f>
        <v/>
      </c>
      <c r="P262" s="20">
        <f>IF(OR(B262="",AsOfWeek=""),"",IFERROR(SUMIFS($M$5:$M$504,$B$5:$B$504,B262,$C$5:$C$504,C262,$L$5:$L$504,TRUE,$F$5:$F$504,"&gt;="&amp;AsOfWeek-7*(RecentWeeks-1),$F$5:$F$504,"&lt;="&amp;AsOfWeek),""))</f>
        <v/>
      </c>
      <c r="Q262" s="20">
        <f>IF(OR(B262="",AsOfWeek=""),"",IFERROR(SUMIFS($M$5:$M$504,$B$5:$B$504,B262,$C$5:$C$504,C262,$L$5:$L$504,TRUE,$F$5:$F$504,"&gt;="&amp;AsOfWeek-7*(RecentWeeks+PriorWeeks-1),$F$5:$F$504,"&lt;"&amp;AsOfWeek-7*(RecentWeeks-1)),""))</f>
        <v/>
      </c>
      <c r="R262" s="21">
        <f>IF(OR(P262="",Q262="",Q262=0),"",P262/Q262-1)</f>
        <v/>
      </c>
      <c r="S262" s="20">
        <f>IF(OR(C262="",AsOfWeek=""),"",IFERROR(AVERAGEIFS($M$5:$M$504,$C$5:$C$504,C262,$L$5:$L$504,TRUE,$F$5:$F$504,"&gt;="&amp;AsOfWeek-7*(RecentWeeks-1),$F$5:$F$504,"&lt;="&amp;AsOfWeek),""))</f>
        <v/>
      </c>
      <c r="T262" s="21">
        <f>IF(OR(P262="",S262=""),"",P262/S262-1)</f>
        <v/>
      </c>
      <c r="U262" s="22">
        <f>IF(OR(B262="",'Weekly Input'!G262="",P262="",P262=0),"",'Weekly Input'!G262/P262)</f>
        <v/>
      </c>
      <c r="V262" s="18">
        <f>IF(B262="","",IF(NOT(I262),"Not Ready",IF(NOT(K262),"Not Ready",IF(N262&lt;MinHistory,"Not Ready",IF(NOT(J262),"Not Ready",IF(OR(Q262="",Q262=0),"Noise",IF(Q262&lt;LowBaseThreshold,"Noise",IF(AND(R262&lt;=-OwnDecline,T262&lt;=-PeerGapThreshold),"Markdown Review",IF(AND(R262&gt;=ReorderUplift,U262&lt;&gt;"",U262&lt;=WeeksSupplyCap),"Reorder Candidate","Monitor"))))))))</f>
        <v/>
      </c>
      <c r="W262" s="18">
        <f>IF(B262="","",IF(NOT(I262),"INVALID_MASTER",IF(NOT(K262),"INCOMPLETE_SHELF_CYCLE",IF(N262&lt;MinHistory,"INSUFFICIENT_HISTORY",IF(NOT(J262),"INSUFFICIENT_IN_STOCK",IF(OR(Q262="",Q262=0),"NO_PRIOR_BASE",IF(Q262&lt;LowBaseThreshold,"LOW_BASE_NOISE",IF(V262="Markdown Review","MARKDOWN_PEER_GAP",IF(V262="Reorder Candidate","REORDER_UPLIFT_COVER","NO_MATERIAL_CHANGE"))))))))</f>
        <v/>
      </c>
      <c r="X262" s="18">
        <f>IF(V262="Markdown Review","Markdown support",IF(V262="Reorder Candidate","Second reorder",IF(V262="Monitor","Monitor",IF(V262="Noise","Hold / collect data",IF(V262="Not Ready","Not ready","")))))</f>
        <v/>
      </c>
      <c r="Y262" s="18">
        <f>IF(OR(R262="",T262=""),"",ABS(R262)+ABS(T262))</f>
        <v/>
      </c>
      <c r="Z262" s="21">
        <f>IF(OR(B262="",NOT(O262),R262=""),"",IF(ABS(R262)&gt;=MaterialThreshold,"Yes","No"))</f>
        <v/>
      </c>
      <c r="AA262" s="18">
        <f>IF(Z262&lt;&gt;"Yes","",IF(ABS(R262)&gt;=MaterialThreshold,IF(ABS(R262)&gt;=BroadShare,"Broad SKU movement","Store-concentrated movement"),""))</f>
        <v/>
      </c>
      <c r="AB262" s="18">
        <f>IF(O262,IF(COUNTIFS($O$5:O262,TRUE)&gt;0,COUNTIFS($O$5:O262,TRUE),0),0)</f>
        <v/>
      </c>
      <c r="AC262" s="18">
        <f>IF(V262="Markdown Review",1,IF(V262="Reorder Candidate",2,IF(V262="Monitor",3,IF(V262="Noise",4,IF(V262="Not Ready",5,99)))))</f>
        <v/>
      </c>
      <c r="AD262" s="18">
        <f>IF(O262,COUNTIFS($O$5:$O$504,TRUE,$AC$5:$AC$504,"&lt;"&amp;AC262)+COUNTIFS($O$5:O262,TRUE,$AC$5:AC262,AC262,$Y$5:Y262,"&gt;"&amp;Y262),0)</f>
        <v/>
      </c>
    </row>
    <row r="263">
      <c r="A263" s="17">
        <f>IF(COUNTA('Weekly Input'!A263:C263)=0,"",'Weekly Input'!B263&amp;"|"&amp;'Weekly Input'!C263&amp;"|"&amp;TEXT('Weekly Input'!A263,"yyyy-mm-dd"))</f>
        <v/>
      </c>
      <c r="B263" s="18">
        <f>'Weekly Input'!B263</f>
        <v/>
      </c>
      <c r="C263" s="18">
        <f>'Weekly Input'!C263</f>
        <v/>
      </c>
      <c r="D263" s="18">
        <f>IF(B263="","",IFERROR(INDEX('Master Data'!$B$6:$B$145,MATCH(B263,'Master Data'!$A$6:$A$145,0)),""))</f>
        <v/>
      </c>
      <c r="E263" s="18">
        <f>IF(C263="","",IFERROR(INDEX('Master Data'!$H$6:$H$13,MATCH(C263,'Master Data'!$F$6:$F$13,0)),""))</f>
        <v/>
      </c>
      <c r="F263" s="19">
        <f>'Weekly Input'!A263</f>
        <v/>
      </c>
      <c r="G263" s="19">
        <f>IF(B263="","",IFERROR(INDEX('Master Data'!$D$6:$D$145,MATCH(B263,'Master Data'!$A$6:$A$145,0)),""))</f>
        <v/>
      </c>
      <c r="H263" s="18">
        <f>IF(OR(F263="",G263=""),"",F263-G263)</f>
        <v/>
      </c>
      <c r="I263" s="18">
        <f>IF(B263="","",IF('Weekly Input'!J263="OK",TRUE,FALSE))</f>
        <v/>
      </c>
      <c r="J263" s="18">
        <f>IF(B263="","",'Weekly Input'!H263&gt;=MinInStockDays)</f>
        <v/>
      </c>
      <c r="K263" s="18">
        <f>IF(B263="","",H263&gt;=FullCycleMin)</f>
        <v/>
      </c>
      <c r="L263" s="18">
        <f>IF(B263="","",AND(I263,J263,K263,N263&gt;=MinHistory))</f>
        <v/>
      </c>
      <c r="M263" s="20">
        <f>IF(OR(B263="",'Weekly Input'!H263=0),"",'Weekly Input'!D263/'Weekly Input'!H263*7)</f>
        <v/>
      </c>
      <c r="N263" s="18">
        <f>IF(B263="","",COUNTIFS($B$5:$B$504,B263,$C$5:$C$504,C263,$I$5:$I$504,TRUE,$J$5:$J$504,TRUE,$K$5:$K$504,TRUE))</f>
        <v/>
      </c>
      <c r="O263" s="18">
        <f>IF(B263="","",AND(F263=AsOfWeek,AsOfWeek&lt;&gt;""))</f>
        <v/>
      </c>
      <c r="P263" s="20">
        <f>IF(OR(B263="",AsOfWeek=""),"",IFERROR(SUMIFS($M$5:$M$504,$B$5:$B$504,B263,$C$5:$C$504,C263,$L$5:$L$504,TRUE,$F$5:$F$504,"&gt;="&amp;AsOfWeek-7*(RecentWeeks-1),$F$5:$F$504,"&lt;="&amp;AsOfWeek),""))</f>
        <v/>
      </c>
      <c r="Q263" s="20">
        <f>IF(OR(B263="",AsOfWeek=""),"",IFERROR(SUMIFS($M$5:$M$504,$B$5:$B$504,B263,$C$5:$C$504,C263,$L$5:$L$504,TRUE,$F$5:$F$504,"&gt;="&amp;AsOfWeek-7*(RecentWeeks+PriorWeeks-1),$F$5:$F$504,"&lt;"&amp;AsOfWeek-7*(RecentWeeks-1)),""))</f>
        <v/>
      </c>
      <c r="R263" s="21">
        <f>IF(OR(P263="",Q263="",Q263=0),"",P263/Q263-1)</f>
        <v/>
      </c>
      <c r="S263" s="20">
        <f>IF(OR(C263="",AsOfWeek=""),"",IFERROR(AVERAGEIFS($M$5:$M$504,$C$5:$C$504,C263,$L$5:$L$504,TRUE,$F$5:$F$504,"&gt;="&amp;AsOfWeek-7*(RecentWeeks-1),$F$5:$F$504,"&lt;="&amp;AsOfWeek),""))</f>
        <v/>
      </c>
      <c r="T263" s="21">
        <f>IF(OR(P263="",S263=""),"",P263/S263-1)</f>
        <v/>
      </c>
      <c r="U263" s="22">
        <f>IF(OR(B263="",'Weekly Input'!G263="",P263="",P263=0),"",'Weekly Input'!G263/P263)</f>
        <v/>
      </c>
      <c r="V263" s="18">
        <f>IF(B263="","",IF(NOT(I263),"Not Ready",IF(NOT(K263),"Not Ready",IF(N263&lt;MinHistory,"Not Ready",IF(NOT(J263),"Not Ready",IF(OR(Q263="",Q263=0),"Noise",IF(Q263&lt;LowBaseThreshold,"Noise",IF(AND(R263&lt;=-OwnDecline,T263&lt;=-PeerGapThreshold),"Markdown Review",IF(AND(R263&gt;=ReorderUplift,U263&lt;&gt;"",U263&lt;=WeeksSupplyCap),"Reorder Candidate","Monitor"))))))))</f>
        <v/>
      </c>
      <c r="W263" s="18">
        <f>IF(B263="","",IF(NOT(I263),"INVALID_MASTER",IF(NOT(K263),"INCOMPLETE_SHELF_CYCLE",IF(N263&lt;MinHistory,"INSUFFICIENT_HISTORY",IF(NOT(J263),"INSUFFICIENT_IN_STOCK",IF(OR(Q263="",Q263=0),"NO_PRIOR_BASE",IF(Q263&lt;LowBaseThreshold,"LOW_BASE_NOISE",IF(V263="Markdown Review","MARKDOWN_PEER_GAP",IF(V263="Reorder Candidate","REORDER_UPLIFT_COVER","NO_MATERIAL_CHANGE"))))))))</f>
        <v/>
      </c>
      <c r="X263" s="18">
        <f>IF(V263="Markdown Review","Markdown support",IF(V263="Reorder Candidate","Second reorder",IF(V263="Monitor","Monitor",IF(V263="Noise","Hold / collect data",IF(V263="Not Ready","Not ready","")))))</f>
        <v/>
      </c>
      <c r="Y263" s="18">
        <f>IF(OR(R263="",T263=""),"",ABS(R263)+ABS(T263))</f>
        <v/>
      </c>
      <c r="Z263" s="21">
        <f>IF(OR(B263="",NOT(O263),R263=""),"",IF(ABS(R263)&gt;=MaterialThreshold,"Yes","No"))</f>
        <v/>
      </c>
      <c r="AA263" s="18">
        <f>IF(Z263&lt;&gt;"Yes","",IF(ABS(R263)&gt;=MaterialThreshold,IF(ABS(R263)&gt;=BroadShare,"Broad SKU movement","Store-concentrated movement"),""))</f>
        <v/>
      </c>
      <c r="AB263" s="18">
        <f>IF(O263,IF(COUNTIFS($O$5:O263,TRUE)&gt;0,COUNTIFS($O$5:O263,TRUE),0),0)</f>
        <v/>
      </c>
      <c r="AC263" s="18">
        <f>IF(V263="Markdown Review",1,IF(V263="Reorder Candidate",2,IF(V263="Monitor",3,IF(V263="Noise",4,IF(V263="Not Ready",5,99)))))</f>
        <v/>
      </c>
      <c r="AD263" s="18">
        <f>IF(O263,COUNTIFS($O$5:$O$504,TRUE,$AC$5:$AC$504,"&lt;"&amp;AC263)+COUNTIFS($O$5:O263,TRUE,$AC$5:AC263,AC263,$Y$5:Y263,"&gt;"&amp;Y263),0)</f>
        <v/>
      </c>
    </row>
    <row r="264">
      <c r="A264" s="17">
        <f>IF(COUNTA('Weekly Input'!A264:C264)=0,"",'Weekly Input'!B264&amp;"|"&amp;'Weekly Input'!C264&amp;"|"&amp;TEXT('Weekly Input'!A264,"yyyy-mm-dd"))</f>
        <v/>
      </c>
      <c r="B264" s="18">
        <f>'Weekly Input'!B264</f>
        <v/>
      </c>
      <c r="C264" s="18">
        <f>'Weekly Input'!C264</f>
        <v/>
      </c>
      <c r="D264" s="18">
        <f>IF(B264="","",IFERROR(INDEX('Master Data'!$B$6:$B$145,MATCH(B264,'Master Data'!$A$6:$A$145,0)),""))</f>
        <v/>
      </c>
      <c r="E264" s="18">
        <f>IF(C264="","",IFERROR(INDEX('Master Data'!$H$6:$H$13,MATCH(C264,'Master Data'!$F$6:$F$13,0)),""))</f>
        <v/>
      </c>
      <c r="F264" s="19">
        <f>'Weekly Input'!A264</f>
        <v/>
      </c>
      <c r="G264" s="19">
        <f>IF(B264="","",IFERROR(INDEX('Master Data'!$D$6:$D$145,MATCH(B264,'Master Data'!$A$6:$A$145,0)),""))</f>
        <v/>
      </c>
      <c r="H264" s="18">
        <f>IF(OR(F264="",G264=""),"",F264-G264)</f>
        <v/>
      </c>
      <c r="I264" s="18">
        <f>IF(B264="","",IF('Weekly Input'!J264="OK",TRUE,FALSE))</f>
        <v/>
      </c>
      <c r="J264" s="18">
        <f>IF(B264="","",'Weekly Input'!H264&gt;=MinInStockDays)</f>
        <v/>
      </c>
      <c r="K264" s="18">
        <f>IF(B264="","",H264&gt;=FullCycleMin)</f>
        <v/>
      </c>
      <c r="L264" s="18">
        <f>IF(B264="","",AND(I264,J264,K264,N264&gt;=MinHistory))</f>
        <v/>
      </c>
      <c r="M264" s="20">
        <f>IF(OR(B264="",'Weekly Input'!H264=0),"",'Weekly Input'!D264/'Weekly Input'!H264*7)</f>
        <v/>
      </c>
      <c r="N264" s="18">
        <f>IF(B264="","",COUNTIFS($B$5:$B$504,B264,$C$5:$C$504,C264,$I$5:$I$504,TRUE,$J$5:$J$504,TRUE,$K$5:$K$504,TRUE))</f>
        <v/>
      </c>
      <c r="O264" s="18">
        <f>IF(B264="","",AND(F264=AsOfWeek,AsOfWeek&lt;&gt;""))</f>
        <v/>
      </c>
      <c r="P264" s="20">
        <f>IF(OR(B264="",AsOfWeek=""),"",IFERROR(SUMIFS($M$5:$M$504,$B$5:$B$504,B264,$C$5:$C$504,C264,$L$5:$L$504,TRUE,$F$5:$F$504,"&gt;="&amp;AsOfWeek-7*(RecentWeeks-1),$F$5:$F$504,"&lt;="&amp;AsOfWeek),""))</f>
        <v/>
      </c>
      <c r="Q264" s="20">
        <f>IF(OR(B264="",AsOfWeek=""),"",IFERROR(SUMIFS($M$5:$M$504,$B$5:$B$504,B264,$C$5:$C$504,C264,$L$5:$L$504,TRUE,$F$5:$F$504,"&gt;="&amp;AsOfWeek-7*(RecentWeeks+PriorWeeks-1),$F$5:$F$504,"&lt;"&amp;AsOfWeek-7*(RecentWeeks-1)),""))</f>
        <v/>
      </c>
      <c r="R264" s="21">
        <f>IF(OR(P264="",Q264="",Q264=0),"",P264/Q264-1)</f>
        <v/>
      </c>
      <c r="S264" s="20">
        <f>IF(OR(C264="",AsOfWeek=""),"",IFERROR(AVERAGEIFS($M$5:$M$504,$C$5:$C$504,C264,$L$5:$L$504,TRUE,$F$5:$F$504,"&gt;="&amp;AsOfWeek-7*(RecentWeeks-1),$F$5:$F$504,"&lt;="&amp;AsOfWeek),""))</f>
        <v/>
      </c>
      <c r="T264" s="21">
        <f>IF(OR(P264="",S264=""),"",P264/S264-1)</f>
        <v/>
      </c>
      <c r="U264" s="22">
        <f>IF(OR(B264="",'Weekly Input'!G264="",P264="",P264=0),"",'Weekly Input'!G264/P264)</f>
        <v/>
      </c>
      <c r="V264" s="18">
        <f>IF(B264="","",IF(NOT(I264),"Not Ready",IF(NOT(K264),"Not Ready",IF(N264&lt;MinHistory,"Not Ready",IF(NOT(J264),"Not Ready",IF(OR(Q264="",Q264=0),"Noise",IF(Q264&lt;LowBaseThreshold,"Noise",IF(AND(R264&lt;=-OwnDecline,T264&lt;=-PeerGapThreshold),"Markdown Review",IF(AND(R264&gt;=ReorderUplift,U264&lt;&gt;"",U264&lt;=WeeksSupplyCap),"Reorder Candidate","Monitor"))))))))</f>
        <v/>
      </c>
      <c r="W264" s="18">
        <f>IF(B264="","",IF(NOT(I264),"INVALID_MASTER",IF(NOT(K264),"INCOMPLETE_SHELF_CYCLE",IF(N264&lt;MinHistory,"INSUFFICIENT_HISTORY",IF(NOT(J264),"INSUFFICIENT_IN_STOCK",IF(OR(Q264="",Q264=0),"NO_PRIOR_BASE",IF(Q264&lt;LowBaseThreshold,"LOW_BASE_NOISE",IF(V264="Markdown Review","MARKDOWN_PEER_GAP",IF(V264="Reorder Candidate","REORDER_UPLIFT_COVER","NO_MATERIAL_CHANGE"))))))))</f>
        <v/>
      </c>
      <c r="X264" s="18">
        <f>IF(V264="Markdown Review","Markdown support",IF(V264="Reorder Candidate","Second reorder",IF(V264="Monitor","Monitor",IF(V264="Noise","Hold / collect data",IF(V264="Not Ready","Not ready","")))))</f>
        <v/>
      </c>
      <c r="Y264" s="18">
        <f>IF(OR(R264="",T264=""),"",ABS(R264)+ABS(T264))</f>
        <v/>
      </c>
      <c r="Z264" s="21">
        <f>IF(OR(B264="",NOT(O264),R264=""),"",IF(ABS(R264)&gt;=MaterialThreshold,"Yes","No"))</f>
        <v/>
      </c>
      <c r="AA264" s="18">
        <f>IF(Z264&lt;&gt;"Yes","",IF(ABS(R264)&gt;=MaterialThreshold,IF(ABS(R264)&gt;=BroadShare,"Broad SKU movement","Store-concentrated movement"),""))</f>
        <v/>
      </c>
      <c r="AB264" s="18">
        <f>IF(O264,IF(COUNTIFS($O$5:O264,TRUE)&gt;0,COUNTIFS($O$5:O264,TRUE),0),0)</f>
        <v/>
      </c>
      <c r="AC264" s="18">
        <f>IF(V264="Markdown Review",1,IF(V264="Reorder Candidate",2,IF(V264="Monitor",3,IF(V264="Noise",4,IF(V264="Not Ready",5,99)))))</f>
        <v/>
      </c>
      <c r="AD264" s="18">
        <f>IF(O264,COUNTIFS($O$5:$O$504,TRUE,$AC$5:$AC$504,"&lt;"&amp;AC264)+COUNTIFS($O$5:O264,TRUE,$AC$5:AC264,AC264,$Y$5:Y264,"&gt;"&amp;Y264),0)</f>
        <v/>
      </c>
    </row>
    <row r="265">
      <c r="A265" s="17">
        <f>IF(COUNTA('Weekly Input'!A265:C265)=0,"",'Weekly Input'!B265&amp;"|"&amp;'Weekly Input'!C265&amp;"|"&amp;TEXT('Weekly Input'!A265,"yyyy-mm-dd"))</f>
        <v/>
      </c>
      <c r="B265" s="18">
        <f>'Weekly Input'!B265</f>
        <v/>
      </c>
      <c r="C265" s="18">
        <f>'Weekly Input'!C265</f>
        <v/>
      </c>
      <c r="D265" s="18">
        <f>IF(B265="","",IFERROR(INDEX('Master Data'!$B$6:$B$145,MATCH(B265,'Master Data'!$A$6:$A$145,0)),""))</f>
        <v/>
      </c>
      <c r="E265" s="18">
        <f>IF(C265="","",IFERROR(INDEX('Master Data'!$H$6:$H$13,MATCH(C265,'Master Data'!$F$6:$F$13,0)),""))</f>
        <v/>
      </c>
      <c r="F265" s="19">
        <f>'Weekly Input'!A265</f>
        <v/>
      </c>
      <c r="G265" s="19">
        <f>IF(B265="","",IFERROR(INDEX('Master Data'!$D$6:$D$145,MATCH(B265,'Master Data'!$A$6:$A$145,0)),""))</f>
        <v/>
      </c>
      <c r="H265" s="18">
        <f>IF(OR(F265="",G265=""),"",F265-G265)</f>
        <v/>
      </c>
      <c r="I265" s="18">
        <f>IF(B265="","",IF('Weekly Input'!J265="OK",TRUE,FALSE))</f>
        <v/>
      </c>
      <c r="J265" s="18">
        <f>IF(B265="","",'Weekly Input'!H265&gt;=MinInStockDays)</f>
        <v/>
      </c>
      <c r="K265" s="18">
        <f>IF(B265="","",H265&gt;=FullCycleMin)</f>
        <v/>
      </c>
      <c r="L265" s="18">
        <f>IF(B265="","",AND(I265,J265,K265,N265&gt;=MinHistory))</f>
        <v/>
      </c>
      <c r="M265" s="20">
        <f>IF(OR(B265="",'Weekly Input'!H265=0),"",'Weekly Input'!D265/'Weekly Input'!H265*7)</f>
        <v/>
      </c>
      <c r="N265" s="18">
        <f>IF(B265="","",COUNTIFS($B$5:$B$504,B265,$C$5:$C$504,C265,$I$5:$I$504,TRUE,$J$5:$J$504,TRUE,$K$5:$K$504,TRUE))</f>
        <v/>
      </c>
      <c r="O265" s="18">
        <f>IF(B265="","",AND(F265=AsOfWeek,AsOfWeek&lt;&gt;""))</f>
        <v/>
      </c>
      <c r="P265" s="20">
        <f>IF(OR(B265="",AsOfWeek=""),"",IFERROR(SUMIFS($M$5:$M$504,$B$5:$B$504,B265,$C$5:$C$504,C265,$L$5:$L$504,TRUE,$F$5:$F$504,"&gt;="&amp;AsOfWeek-7*(RecentWeeks-1),$F$5:$F$504,"&lt;="&amp;AsOfWeek),""))</f>
        <v/>
      </c>
      <c r="Q265" s="20">
        <f>IF(OR(B265="",AsOfWeek=""),"",IFERROR(SUMIFS($M$5:$M$504,$B$5:$B$504,B265,$C$5:$C$504,C265,$L$5:$L$504,TRUE,$F$5:$F$504,"&gt;="&amp;AsOfWeek-7*(RecentWeeks+PriorWeeks-1),$F$5:$F$504,"&lt;"&amp;AsOfWeek-7*(RecentWeeks-1)),""))</f>
        <v/>
      </c>
      <c r="R265" s="21">
        <f>IF(OR(P265="",Q265="",Q265=0),"",P265/Q265-1)</f>
        <v/>
      </c>
      <c r="S265" s="20">
        <f>IF(OR(C265="",AsOfWeek=""),"",IFERROR(AVERAGEIFS($M$5:$M$504,$C$5:$C$504,C265,$L$5:$L$504,TRUE,$F$5:$F$504,"&gt;="&amp;AsOfWeek-7*(RecentWeeks-1),$F$5:$F$504,"&lt;="&amp;AsOfWeek),""))</f>
        <v/>
      </c>
      <c r="T265" s="21">
        <f>IF(OR(P265="",S265=""),"",P265/S265-1)</f>
        <v/>
      </c>
      <c r="U265" s="22">
        <f>IF(OR(B265="",'Weekly Input'!G265="",P265="",P265=0),"",'Weekly Input'!G265/P265)</f>
        <v/>
      </c>
      <c r="V265" s="18">
        <f>IF(B265="","",IF(NOT(I265),"Not Ready",IF(NOT(K265),"Not Ready",IF(N265&lt;MinHistory,"Not Ready",IF(NOT(J265),"Not Ready",IF(OR(Q265="",Q265=0),"Noise",IF(Q265&lt;LowBaseThreshold,"Noise",IF(AND(R265&lt;=-OwnDecline,T265&lt;=-PeerGapThreshold),"Markdown Review",IF(AND(R265&gt;=ReorderUplift,U265&lt;&gt;"",U265&lt;=WeeksSupplyCap),"Reorder Candidate","Monitor"))))))))</f>
        <v/>
      </c>
      <c r="W265" s="18">
        <f>IF(B265="","",IF(NOT(I265),"INVALID_MASTER",IF(NOT(K265),"INCOMPLETE_SHELF_CYCLE",IF(N265&lt;MinHistory,"INSUFFICIENT_HISTORY",IF(NOT(J265),"INSUFFICIENT_IN_STOCK",IF(OR(Q265="",Q265=0),"NO_PRIOR_BASE",IF(Q265&lt;LowBaseThreshold,"LOW_BASE_NOISE",IF(V265="Markdown Review","MARKDOWN_PEER_GAP",IF(V265="Reorder Candidate","REORDER_UPLIFT_COVER","NO_MATERIAL_CHANGE"))))))))</f>
        <v/>
      </c>
      <c r="X265" s="18">
        <f>IF(V265="Markdown Review","Markdown support",IF(V265="Reorder Candidate","Second reorder",IF(V265="Monitor","Monitor",IF(V265="Noise","Hold / collect data",IF(V265="Not Ready","Not ready","")))))</f>
        <v/>
      </c>
      <c r="Y265" s="18">
        <f>IF(OR(R265="",T265=""),"",ABS(R265)+ABS(T265))</f>
        <v/>
      </c>
      <c r="Z265" s="21">
        <f>IF(OR(B265="",NOT(O265),R265=""),"",IF(ABS(R265)&gt;=MaterialThreshold,"Yes","No"))</f>
        <v/>
      </c>
      <c r="AA265" s="18">
        <f>IF(Z265&lt;&gt;"Yes","",IF(ABS(R265)&gt;=MaterialThreshold,IF(ABS(R265)&gt;=BroadShare,"Broad SKU movement","Store-concentrated movement"),""))</f>
        <v/>
      </c>
      <c r="AB265" s="18">
        <f>IF(O265,IF(COUNTIFS($O$5:O265,TRUE)&gt;0,COUNTIFS($O$5:O265,TRUE),0),0)</f>
        <v/>
      </c>
      <c r="AC265" s="18">
        <f>IF(V265="Markdown Review",1,IF(V265="Reorder Candidate",2,IF(V265="Monitor",3,IF(V265="Noise",4,IF(V265="Not Ready",5,99)))))</f>
        <v/>
      </c>
      <c r="AD265" s="18">
        <f>IF(O265,COUNTIFS($O$5:$O$504,TRUE,$AC$5:$AC$504,"&lt;"&amp;AC265)+COUNTIFS($O$5:O265,TRUE,$AC$5:AC265,AC265,$Y$5:Y265,"&gt;"&amp;Y265),0)</f>
        <v/>
      </c>
    </row>
    <row r="266">
      <c r="A266" s="17">
        <f>IF(COUNTA('Weekly Input'!A266:C266)=0,"",'Weekly Input'!B266&amp;"|"&amp;'Weekly Input'!C266&amp;"|"&amp;TEXT('Weekly Input'!A266,"yyyy-mm-dd"))</f>
        <v/>
      </c>
      <c r="B266" s="18">
        <f>'Weekly Input'!B266</f>
        <v/>
      </c>
      <c r="C266" s="18">
        <f>'Weekly Input'!C266</f>
        <v/>
      </c>
      <c r="D266" s="18">
        <f>IF(B266="","",IFERROR(INDEX('Master Data'!$B$6:$B$145,MATCH(B266,'Master Data'!$A$6:$A$145,0)),""))</f>
        <v/>
      </c>
      <c r="E266" s="18">
        <f>IF(C266="","",IFERROR(INDEX('Master Data'!$H$6:$H$13,MATCH(C266,'Master Data'!$F$6:$F$13,0)),""))</f>
        <v/>
      </c>
      <c r="F266" s="19">
        <f>'Weekly Input'!A266</f>
        <v/>
      </c>
      <c r="G266" s="19">
        <f>IF(B266="","",IFERROR(INDEX('Master Data'!$D$6:$D$145,MATCH(B266,'Master Data'!$A$6:$A$145,0)),""))</f>
        <v/>
      </c>
      <c r="H266" s="18">
        <f>IF(OR(F266="",G266=""),"",F266-G266)</f>
        <v/>
      </c>
      <c r="I266" s="18">
        <f>IF(B266="","",IF('Weekly Input'!J266="OK",TRUE,FALSE))</f>
        <v/>
      </c>
      <c r="J266" s="18">
        <f>IF(B266="","",'Weekly Input'!H266&gt;=MinInStockDays)</f>
        <v/>
      </c>
      <c r="K266" s="18">
        <f>IF(B266="","",H266&gt;=FullCycleMin)</f>
        <v/>
      </c>
      <c r="L266" s="18">
        <f>IF(B266="","",AND(I266,J266,K266,N266&gt;=MinHistory))</f>
        <v/>
      </c>
      <c r="M266" s="20">
        <f>IF(OR(B266="",'Weekly Input'!H266=0),"",'Weekly Input'!D266/'Weekly Input'!H266*7)</f>
        <v/>
      </c>
      <c r="N266" s="18">
        <f>IF(B266="","",COUNTIFS($B$5:$B$504,B266,$C$5:$C$504,C266,$I$5:$I$504,TRUE,$J$5:$J$504,TRUE,$K$5:$K$504,TRUE))</f>
        <v/>
      </c>
      <c r="O266" s="18">
        <f>IF(B266="","",AND(F266=AsOfWeek,AsOfWeek&lt;&gt;""))</f>
        <v/>
      </c>
      <c r="P266" s="20">
        <f>IF(OR(B266="",AsOfWeek=""),"",IFERROR(SUMIFS($M$5:$M$504,$B$5:$B$504,B266,$C$5:$C$504,C266,$L$5:$L$504,TRUE,$F$5:$F$504,"&gt;="&amp;AsOfWeek-7*(RecentWeeks-1),$F$5:$F$504,"&lt;="&amp;AsOfWeek),""))</f>
        <v/>
      </c>
      <c r="Q266" s="20">
        <f>IF(OR(B266="",AsOfWeek=""),"",IFERROR(SUMIFS($M$5:$M$504,$B$5:$B$504,B266,$C$5:$C$504,C266,$L$5:$L$504,TRUE,$F$5:$F$504,"&gt;="&amp;AsOfWeek-7*(RecentWeeks+PriorWeeks-1),$F$5:$F$504,"&lt;"&amp;AsOfWeek-7*(RecentWeeks-1)),""))</f>
        <v/>
      </c>
      <c r="R266" s="21">
        <f>IF(OR(P266="",Q266="",Q266=0),"",P266/Q266-1)</f>
        <v/>
      </c>
      <c r="S266" s="20">
        <f>IF(OR(C266="",AsOfWeek=""),"",IFERROR(AVERAGEIFS($M$5:$M$504,$C$5:$C$504,C266,$L$5:$L$504,TRUE,$F$5:$F$504,"&gt;="&amp;AsOfWeek-7*(RecentWeeks-1),$F$5:$F$504,"&lt;="&amp;AsOfWeek),""))</f>
        <v/>
      </c>
      <c r="T266" s="21">
        <f>IF(OR(P266="",S266=""),"",P266/S266-1)</f>
        <v/>
      </c>
      <c r="U266" s="22">
        <f>IF(OR(B266="",'Weekly Input'!G266="",P266="",P266=0),"",'Weekly Input'!G266/P266)</f>
        <v/>
      </c>
      <c r="V266" s="18">
        <f>IF(B266="","",IF(NOT(I266),"Not Ready",IF(NOT(K266),"Not Ready",IF(N266&lt;MinHistory,"Not Ready",IF(NOT(J266),"Not Ready",IF(OR(Q266="",Q266=0),"Noise",IF(Q266&lt;LowBaseThreshold,"Noise",IF(AND(R266&lt;=-OwnDecline,T266&lt;=-PeerGapThreshold),"Markdown Review",IF(AND(R266&gt;=ReorderUplift,U266&lt;&gt;"",U266&lt;=WeeksSupplyCap),"Reorder Candidate","Monitor"))))))))</f>
        <v/>
      </c>
      <c r="W266" s="18">
        <f>IF(B266="","",IF(NOT(I266),"INVALID_MASTER",IF(NOT(K266),"INCOMPLETE_SHELF_CYCLE",IF(N266&lt;MinHistory,"INSUFFICIENT_HISTORY",IF(NOT(J266),"INSUFFICIENT_IN_STOCK",IF(OR(Q266="",Q266=0),"NO_PRIOR_BASE",IF(Q266&lt;LowBaseThreshold,"LOW_BASE_NOISE",IF(V266="Markdown Review","MARKDOWN_PEER_GAP",IF(V266="Reorder Candidate","REORDER_UPLIFT_COVER","NO_MATERIAL_CHANGE"))))))))</f>
        <v/>
      </c>
      <c r="X266" s="18">
        <f>IF(V266="Markdown Review","Markdown support",IF(V266="Reorder Candidate","Second reorder",IF(V266="Monitor","Monitor",IF(V266="Noise","Hold / collect data",IF(V266="Not Ready","Not ready","")))))</f>
        <v/>
      </c>
      <c r="Y266" s="18">
        <f>IF(OR(R266="",T266=""),"",ABS(R266)+ABS(T266))</f>
        <v/>
      </c>
      <c r="Z266" s="21">
        <f>IF(OR(B266="",NOT(O266),R266=""),"",IF(ABS(R266)&gt;=MaterialThreshold,"Yes","No"))</f>
        <v/>
      </c>
      <c r="AA266" s="18">
        <f>IF(Z266&lt;&gt;"Yes","",IF(ABS(R266)&gt;=MaterialThreshold,IF(ABS(R266)&gt;=BroadShare,"Broad SKU movement","Store-concentrated movement"),""))</f>
        <v/>
      </c>
      <c r="AB266" s="18">
        <f>IF(O266,IF(COUNTIFS($O$5:O266,TRUE)&gt;0,COUNTIFS($O$5:O266,TRUE),0),0)</f>
        <v/>
      </c>
      <c r="AC266" s="18">
        <f>IF(V266="Markdown Review",1,IF(V266="Reorder Candidate",2,IF(V266="Monitor",3,IF(V266="Noise",4,IF(V266="Not Ready",5,99)))))</f>
        <v/>
      </c>
      <c r="AD266" s="18">
        <f>IF(O266,COUNTIFS($O$5:$O$504,TRUE,$AC$5:$AC$504,"&lt;"&amp;AC266)+COUNTIFS($O$5:O266,TRUE,$AC$5:AC266,AC266,$Y$5:Y266,"&gt;"&amp;Y266),0)</f>
        <v/>
      </c>
    </row>
    <row r="267">
      <c r="A267" s="17">
        <f>IF(COUNTA('Weekly Input'!A267:C267)=0,"",'Weekly Input'!B267&amp;"|"&amp;'Weekly Input'!C267&amp;"|"&amp;TEXT('Weekly Input'!A267,"yyyy-mm-dd"))</f>
        <v/>
      </c>
      <c r="B267" s="18">
        <f>'Weekly Input'!B267</f>
        <v/>
      </c>
      <c r="C267" s="18">
        <f>'Weekly Input'!C267</f>
        <v/>
      </c>
      <c r="D267" s="18">
        <f>IF(B267="","",IFERROR(INDEX('Master Data'!$B$6:$B$145,MATCH(B267,'Master Data'!$A$6:$A$145,0)),""))</f>
        <v/>
      </c>
      <c r="E267" s="18">
        <f>IF(C267="","",IFERROR(INDEX('Master Data'!$H$6:$H$13,MATCH(C267,'Master Data'!$F$6:$F$13,0)),""))</f>
        <v/>
      </c>
      <c r="F267" s="19">
        <f>'Weekly Input'!A267</f>
        <v/>
      </c>
      <c r="G267" s="19">
        <f>IF(B267="","",IFERROR(INDEX('Master Data'!$D$6:$D$145,MATCH(B267,'Master Data'!$A$6:$A$145,0)),""))</f>
        <v/>
      </c>
      <c r="H267" s="18">
        <f>IF(OR(F267="",G267=""),"",F267-G267)</f>
        <v/>
      </c>
      <c r="I267" s="18">
        <f>IF(B267="","",IF('Weekly Input'!J267="OK",TRUE,FALSE))</f>
        <v/>
      </c>
      <c r="J267" s="18">
        <f>IF(B267="","",'Weekly Input'!H267&gt;=MinInStockDays)</f>
        <v/>
      </c>
      <c r="K267" s="18">
        <f>IF(B267="","",H267&gt;=FullCycleMin)</f>
        <v/>
      </c>
      <c r="L267" s="18">
        <f>IF(B267="","",AND(I267,J267,K267,N267&gt;=MinHistory))</f>
        <v/>
      </c>
      <c r="M267" s="20">
        <f>IF(OR(B267="",'Weekly Input'!H267=0),"",'Weekly Input'!D267/'Weekly Input'!H267*7)</f>
        <v/>
      </c>
      <c r="N267" s="18">
        <f>IF(B267="","",COUNTIFS($B$5:$B$504,B267,$C$5:$C$504,C267,$I$5:$I$504,TRUE,$J$5:$J$504,TRUE,$K$5:$K$504,TRUE))</f>
        <v/>
      </c>
      <c r="O267" s="18">
        <f>IF(B267="","",AND(F267=AsOfWeek,AsOfWeek&lt;&gt;""))</f>
        <v/>
      </c>
      <c r="P267" s="20">
        <f>IF(OR(B267="",AsOfWeek=""),"",IFERROR(SUMIFS($M$5:$M$504,$B$5:$B$504,B267,$C$5:$C$504,C267,$L$5:$L$504,TRUE,$F$5:$F$504,"&gt;="&amp;AsOfWeek-7*(RecentWeeks-1),$F$5:$F$504,"&lt;="&amp;AsOfWeek),""))</f>
        <v/>
      </c>
      <c r="Q267" s="20">
        <f>IF(OR(B267="",AsOfWeek=""),"",IFERROR(SUMIFS($M$5:$M$504,$B$5:$B$504,B267,$C$5:$C$504,C267,$L$5:$L$504,TRUE,$F$5:$F$504,"&gt;="&amp;AsOfWeek-7*(RecentWeeks+PriorWeeks-1),$F$5:$F$504,"&lt;"&amp;AsOfWeek-7*(RecentWeeks-1)),""))</f>
        <v/>
      </c>
      <c r="R267" s="21">
        <f>IF(OR(P267="",Q267="",Q267=0),"",P267/Q267-1)</f>
        <v/>
      </c>
      <c r="S267" s="20">
        <f>IF(OR(C267="",AsOfWeek=""),"",IFERROR(AVERAGEIFS($M$5:$M$504,$C$5:$C$504,C267,$L$5:$L$504,TRUE,$F$5:$F$504,"&gt;="&amp;AsOfWeek-7*(RecentWeeks-1),$F$5:$F$504,"&lt;="&amp;AsOfWeek),""))</f>
        <v/>
      </c>
      <c r="T267" s="21">
        <f>IF(OR(P267="",S267=""),"",P267/S267-1)</f>
        <v/>
      </c>
      <c r="U267" s="22">
        <f>IF(OR(B267="",'Weekly Input'!G267="",P267="",P267=0),"",'Weekly Input'!G267/P267)</f>
        <v/>
      </c>
      <c r="V267" s="18">
        <f>IF(B267="","",IF(NOT(I267),"Not Ready",IF(NOT(K267),"Not Ready",IF(N267&lt;MinHistory,"Not Ready",IF(NOT(J267),"Not Ready",IF(OR(Q267="",Q267=0),"Noise",IF(Q267&lt;LowBaseThreshold,"Noise",IF(AND(R267&lt;=-OwnDecline,T267&lt;=-PeerGapThreshold),"Markdown Review",IF(AND(R267&gt;=ReorderUplift,U267&lt;&gt;"",U267&lt;=WeeksSupplyCap),"Reorder Candidate","Monitor"))))))))</f>
        <v/>
      </c>
      <c r="W267" s="18">
        <f>IF(B267="","",IF(NOT(I267),"INVALID_MASTER",IF(NOT(K267),"INCOMPLETE_SHELF_CYCLE",IF(N267&lt;MinHistory,"INSUFFICIENT_HISTORY",IF(NOT(J267),"INSUFFICIENT_IN_STOCK",IF(OR(Q267="",Q267=0),"NO_PRIOR_BASE",IF(Q267&lt;LowBaseThreshold,"LOW_BASE_NOISE",IF(V267="Markdown Review","MARKDOWN_PEER_GAP",IF(V267="Reorder Candidate","REORDER_UPLIFT_COVER","NO_MATERIAL_CHANGE"))))))))</f>
        <v/>
      </c>
      <c r="X267" s="18">
        <f>IF(V267="Markdown Review","Markdown support",IF(V267="Reorder Candidate","Second reorder",IF(V267="Monitor","Monitor",IF(V267="Noise","Hold / collect data",IF(V267="Not Ready","Not ready","")))))</f>
        <v/>
      </c>
      <c r="Y267" s="18">
        <f>IF(OR(R267="",T267=""),"",ABS(R267)+ABS(T267))</f>
        <v/>
      </c>
      <c r="Z267" s="21">
        <f>IF(OR(B267="",NOT(O267),R267=""),"",IF(ABS(R267)&gt;=MaterialThreshold,"Yes","No"))</f>
        <v/>
      </c>
      <c r="AA267" s="18">
        <f>IF(Z267&lt;&gt;"Yes","",IF(ABS(R267)&gt;=MaterialThreshold,IF(ABS(R267)&gt;=BroadShare,"Broad SKU movement","Store-concentrated movement"),""))</f>
        <v/>
      </c>
      <c r="AB267" s="18">
        <f>IF(O267,IF(COUNTIFS($O$5:O267,TRUE)&gt;0,COUNTIFS($O$5:O267,TRUE),0),0)</f>
        <v/>
      </c>
      <c r="AC267" s="18">
        <f>IF(V267="Markdown Review",1,IF(V267="Reorder Candidate",2,IF(V267="Monitor",3,IF(V267="Noise",4,IF(V267="Not Ready",5,99)))))</f>
        <v/>
      </c>
      <c r="AD267" s="18">
        <f>IF(O267,COUNTIFS($O$5:$O$504,TRUE,$AC$5:$AC$504,"&lt;"&amp;AC267)+COUNTIFS($O$5:O267,TRUE,$AC$5:AC267,AC267,$Y$5:Y267,"&gt;"&amp;Y267),0)</f>
        <v/>
      </c>
    </row>
    <row r="268">
      <c r="A268" s="17">
        <f>IF(COUNTA('Weekly Input'!A268:C268)=0,"",'Weekly Input'!B268&amp;"|"&amp;'Weekly Input'!C268&amp;"|"&amp;TEXT('Weekly Input'!A268,"yyyy-mm-dd"))</f>
        <v/>
      </c>
      <c r="B268" s="18">
        <f>'Weekly Input'!B268</f>
        <v/>
      </c>
      <c r="C268" s="18">
        <f>'Weekly Input'!C268</f>
        <v/>
      </c>
      <c r="D268" s="18">
        <f>IF(B268="","",IFERROR(INDEX('Master Data'!$B$6:$B$145,MATCH(B268,'Master Data'!$A$6:$A$145,0)),""))</f>
        <v/>
      </c>
      <c r="E268" s="18">
        <f>IF(C268="","",IFERROR(INDEX('Master Data'!$H$6:$H$13,MATCH(C268,'Master Data'!$F$6:$F$13,0)),""))</f>
        <v/>
      </c>
      <c r="F268" s="19">
        <f>'Weekly Input'!A268</f>
        <v/>
      </c>
      <c r="G268" s="19">
        <f>IF(B268="","",IFERROR(INDEX('Master Data'!$D$6:$D$145,MATCH(B268,'Master Data'!$A$6:$A$145,0)),""))</f>
        <v/>
      </c>
      <c r="H268" s="18">
        <f>IF(OR(F268="",G268=""),"",F268-G268)</f>
        <v/>
      </c>
      <c r="I268" s="18">
        <f>IF(B268="","",IF('Weekly Input'!J268="OK",TRUE,FALSE))</f>
        <v/>
      </c>
      <c r="J268" s="18">
        <f>IF(B268="","",'Weekly Input'!H268&gt;=MinInStockDays)</f>
        <v/>
      </c>
      <c r="K268" s="18">
        <f>IF(B268="","",H268&gt;=FullCycleMin)</f>
        <v/>
      </c>
      <c r="L268" s="18">
        <f>IF(B268="","",AND(I268,J268,K268,N268&gt;=MinHistory))</f>
        <v/>
      </c>
      <c r="M268" s="20">
        <f>IF(OR(B268="",'Weekly Input'!H268=0),"",'Weekly Input'!D268/'Weekly Input'!H268*7)</f>
        <v/>
      </c>
      <c r="N268" s="18">
        <f>IF(B268="","",COUNTIFS($B$5:$B$504,B268,$C$5:$C$504,C268,$I$5:$I$504,TRUE,$J$5:$J$504,TRUE,$K$5:$K$504,TRUE))</f>
        <v/>
      </c>
      <c r="O268" s="18">
        <f>IF(B268="","",AND(F268=AsOfWeek,AsOfWeek&lt;&gt;""))</f>
        <v/>
      </c>
      <c r="P268" s="20">
        <f>IF(OR(B268="",AsOfWeek=""),"",IFERROR(SUMIFS($M$5:$M$504,$B$5:$B$504,B268,$C$5:$C$504,C268,$L$5:$L$504,TRUE,$F$5:$F$504,"&gt;="&amp;AsOfWeek-7*(RecentWeeks-1),$F$5:$F$504,"&lt;="&amp;AsOfWeek),""))</f>
        <v/>
      </c>
      <c r="Q268" s="20">
        <f>IF(OR(B268="",AsOfWeek=""),"",IFERROR(SUMIFS($M$5:$M$504,$B$5:$B$504,B268,$C$5:$C$504,C268,$L$5:$L$504,TRUE,$F$5:$F$504,"&gt;="&amp;AsOfWeek-7*(RecentWeeks+PriorWeeks-1),$F$5:$F$504,"&lt;"&amp;AsOfWeek-7*(RecentWeeks-1)),""))</f>
        <v/>
      </c>
      <c r="R268" s="21">
        <f>IF(OR(P268="",Q268="",Q268=0),"",P268/Q268-1)</f>
        <v/>
      </c>
      <c r="S268" s="20">
        <f>IF(OR(C268="",AsOfWeek=""),"",IFERROR(AVERAGEIFS($M$5:$M$504,$C$5:$C$504,C268,$L$5:$L$504,TRUE,$F$5:$F$504,"&gt;="&amp;AsOfWeek-7*(RecentWeeks-1),$F$5:$F$504,"&lt;="&amp;AsOfWeek),""))</f>
        <v/>
      </c>
      <c r="T268" s="21">
        <f>IF(OR(P268="",S268=""),"",P268/S268-1)</f>
        <v/>
      </c>
      <c r="U268" s="22">
        <f>IF(OR(B268="",'Weekly Input'!G268="",P268="",P268=0),"",'Weekly Input'!G268/P268)</f>
        <v/>
      </c>
      <c r="V268" s="18">
        <f>IF(B268="","",IF(NOT(I268),"Not Ready",IF(NOT(K268),"Not Ready",IF(N268&lt;MinHistory,"Not Ready",IF(NOT(J268),"Not Ready",IF(OR(Q268="",Q268=0),"Noise",IF(Q268&lt;LowBaseThreshold,"Noise",IF(AND(R268&lt;=-OwnDecline,T268&lt;=-PeerGapThreshold),"Markdown Review",IF(AND(R268&gt;=ReorderUplift,U268&lt;&gt;"",U268&lt;=WeeksSupplyCap),"Reorder Candidate","Monitor"))))))))</f>
        <v/>
      </c>
      <c r="W268" s="18">
        <f>IF(B268="","",IF(NOT(I268),"INVALID_MASTER",IF(NOT(K268),"INCOMPLETE_SHELF_CYCLE",IF(N268&lt;MinHistory,"INSUFFICIENT_HISTORY",IF(NOT(J268),"INSUFFICIENT_IN_STOCK",IF(OR(Q268="",Q268=0),"NO_PRIOR_BASE",IF(Q268&lt;LowBaseThreshold,"LOW_BASE_NOISE",IF(V268="Markdown Review","MARKDOWN_PEER_GAP",IF(V268="Reorder Candidate","REORDER_UPLIFT_COVER","NO_MATERIAL_CHANGE"))))))))</f>
        <v/>
      </c>
      <c r="X268" s="18">
        <f>IF(V268="Markdown Review","Markdown support",IF(V268="Reorder Candidate","Second reorder",IF(V268="Monitor","Monitor",IF(V268="Noise","Hold / collect data",IF(V268="Not Ready","Not ready","")))))</f>
        <v/>
      </c>
      <c r="Y268" s="18">
        <f>IF(OR(R268="",T268=""),"",ABS(R268)+ABS(T268))</f>
        <v/>
      </c>
      <c r="Z268" s="21">
        <f>IF(OR(B268="",NOT(O268),R268=""),"",IF(ABS(R268)&gt;=MaterialThreshold,"Yes","No"))</f>
        <v/>
      </c>
      <c r="AA268" s="18">
        <f>IF(Z268&lt;&gt;"Yes","",IF(ABS(R268)&gt;=MaterialThreshold,IF(ABS(R268)&gt;=BroadShare,"Broad SKU movement","Store-concentrated movement"),""))</f>
        <v/>
      </c>
      <c r="AB268" s="18">
        <f>IF(O268,IF(COUNTIFS($O$5:O268,TRUE)&gt;0,COUNTIFS($O$5:O268,TRUE),0),0)</f>
        <v/>
      </c>
      <c r="AC268" s="18">
        <f>IF(V268="Markdown Review",1,IF(V268="Reorder Candidate",2,IF(V268="Monitor",3,IF(V268="Noise",4,IF(V268="Not Ready",5,99)))))</f>
        <v/>
      </c>
      <c r="AD268" s="18">
        <f>IF(O268,COUNTIFS($O$5:$O$504,TRUE,$AC$5:$AC$504,"&lt;"&amp;AC268)+COUNTIFS($O$5:O268,TRUE,$AC$5:AC268,AC268,$Y$5:Y268,"&gt;"&amp;Y268),0)</f>
        <v/>
      </c>
    </row>
    <row r="269">
      <c r="A269" s="17">
        <f>IF(COUNTA('Weekly Input'!A269:C269)=0,"",'Weekly Input'!B269&amp;"|"&amp;'Weekly Input'!C269&amp;"|"&amp;TEXT('Weekly Input'!A269,"yyyy-mm-dd"))</f>
        <v/>
      </c>
      <c r="B269" s="18">
        <f>'Weekly Input'!B269</f>
        <v/>
      </c>
      <c r="C269" s="18">
        <f>'Weekly Input'!C269</f>
        <v/>
      </c>
      <c r="D269" s="18">
        <f>IF(B269="","",IFERROR(INDEX('Master Data'!$B$6:$B$145,MATCH(B269,'Master Data'!$A$6:$A$145,0)),""))</f>
        <v/>
      </c>
      <c r="E269" s="18">
        <f>IF(C269="","",IFERROR(INDEX('Master Data'!$H$6:$H$13,MATCH(C269,'Master Data'!$F$6:$F$13,0)),""))</f>
        <v/>
      </c>
      <c r="F269" s="19">
        <f>'Weekly Input'!A269</f>
        <v/>
      </c>
      <c r="G269" s="19">
        <f>IF(B269="","",IFERROR(INDEX('Master Data'!$D$6:$D$145,MATCH(B269,'Master Data'!$A$6:$A$145,0)),""))</f>
        <v/>
      </c>
      <c r="H269" s="18">
        <f>IF(OR(F269="",G269=""),"",F269-G269)</f>
        <v/>
      </c>
      <c r="I269" s="18">
        <f>IF(B269="","",IF('Weekly Input'!J269="OK",TRUE,FALSE))</f>
        <v/>
      </c>
      <c r="J269" s="18">
        <f>IF(B269="","",'Weekly Input'!H269&gt;=MinInStockDays)</f>
        <v/>
      </c>
      <c r="K269" s="18">
        <f>IF(B269="","",H269&gt;=FullCycleMin)</f>
        <v/>
      </c>
      <c r="L269" s="18">
        <f>IF(B269="","",AND(I269,J269,K269,N269&gt;=MinHistory))</f>
        <v/>
      </c>
      <c r="M269" s="20">
        <f>IF(OR(B269="",'Weekly Input'!H269=0),"",'Weekly Input'!D269/'Weekly Input'!H269*7)</f>
        <v/>
      </c>
      <c r="N269" s="18">
        <f>IF(B269="","",COUNTIFS($B$5:$B$504,B269,$C$5:$C$504,C269,$I$5:$I$504,TRUE,$J$5:$J$504,TRUE,$K$5:$K$504,TRUE))</f>
        <v/>
      </c>
      <c r="O269" s="18">
        <f>IF(B269="","",AND(F269=AsOfWeek,AsOfWeek&lt;&gt;""))</f>
        <v/>
      </c>
      <c r="P269" s="20">
        <f>IF(OR(B269="",AsOfWeek=""),"",IFERROR(SUMIFS($M$5:$M$504,$B$5:$B$504,B269,$C$5:$C$504,C269,$L$5:$L$504,TRUE,$F$5:$F$504,"&gt;="&amp;AsOfWeek-7*(RecentWeeks-1),$F$5:$F$504,"&lt;="&amp;AsOfWeek),""))</f>
        <v/>
      </c>
      <c r="Q269" s="20">
        <f>IF(OR(B269="",AsOfWeek=""),"",IFERROR(SUMIFS($M$5:$M$504,$B$5:$B$504,B269,$C$5:$C$504,C269,$L$5:$L$504,TRUE,$F$5:$F$504,"&gt;="&amp;AsOfWeek-7*(RecentWeeks+PriorWeeks-1),$F$5:$F$504,"&lt;"&amp;AsOfWeek-7*(RecentWeeks-1)),""))</f>
        <v/>
      </c>
      <c r="R269" s="21">
        <f>IF(OR(P269="",Q269="",Q269=0),"",P269/Q269-1)</f>
        <v/>
      </c>
      <c r="S269" s="20">
        <f>IF(OR(C269="",AsOfWeek=""),"",IFERROR(AVERAGEIFS($M$5:$M$504,$C$5:$C$504,C269,$L$5:$L$504,TRUE,$F$5:$F$504,"&gt;="&amp;AsOfWeek-7*(RecentWeeks-1),$F$5:$F$504,"&lt;="&amp;AsOfWeek),""))</f>
        <v/>
      </c>
      <c r="T269" s="21">
        <f>IF(OR(P269="",S269=""),"",P269/S269-1)</f>
        <v/>
      </c>
      <c r="U269" s="22">
        <f>IF(OR(B269="",'Weekly Input'!G269="",P269="",P269=0),"",'Weekly Input'!G269/P269)</f>
        <v/>
      </c>
      <c r="V269" s="18">
        <f>IF(B269="","",IF(NOT(I269),"Not Ready",IF(NOT(K269),"Not Ready",IF(N269&lt;MinHistory,"Not Ready",IF(NOT(J269),"Not Ready",IF(OR(Q269="",Q269=0),"Noise",IF(Q269&lt;LowBaseThreshold,"Noise",IF(AND(R269&lt;=-OwnDecline,T269&lt;=-PeerGapThreshold),"Markdown Review",IF(AND(R269&gt;=ReorderUplift,U269&lt;&gt;"",U269&lt;=WeeksSupplyCap),"Reorder Candidate","Monitor"))))))))</f>
        <v/>
      </c>
      <c r="W269" s="18">
        <f>IF(B269="","",IF(NOT(I269),"INVALID_MASTER",IF(NOT(K269),"INCOMPLETE_SHELF_CYCLE",IF(N269&lt;MinHistory,"INSUFFICIENT_HISTORY",IF(NOT(J269),"INSUFFICIENT_IN_STOCK",IF(OR(Q269="",Q269=0),"NO_PRIOR_BASE",IF(Q269&lt;LowBaseThreshold,"LOW_BASE_NOISE",IF(V269="Markdown Review","MARKDOWN_PEER_GAP",IF(V269="Reorder Candidate","REORDER_UPLIFT_COVER","NO_MATERIAL_CHANGE"))))))))</f>
        <v/>
      </c>
      <c r="X269" s="18">
        <f>IF(V269="Markdown Review","Markdown support",IF(V269="Reorder Candidate","Second reorder",IF(V269="Monitor","Monitor",IF(V269="Noise","Hold / collect data",IF(V269="Not Ready","Not ready","")))))</f>
        <v/>
      </c>
      <c r="Y269" s="18">
        <f>IF(OR(R269="",T269=""),"",ABS(R269)+ABS(T269))</f>
        <v/>
      </c>
      <c r="Z269" s="21">
        <f>IF(OR(B269="",NOT(O269),R269=""),"",IF(ABS(R269)&gt;=MaterialThreshold,"Yes","No"))</f>
        <v/>
      </c>
      <c r="AA269" s="18">
        <f>IF(Z269&lt;&gt;"Yes","",IF(ABS(R269)&gt;=MaterialThreshold,IF(ABS(R269)&gt;=BroadShare,"Broad SKU movement","Store-concentrated movement"),""))</f>
        <v/>
      </c>
      <c r="AB269" s="18">
        <f>IF(O269,IF(COUNTIFS($O$5:O269,TRUE)&gt;0,COUNTIFS($O$5:O269,TRUE),0),0)</f>
        <v/>
      </c>
      <c r="AC269" s="18">
        <f>IF(V269="Markdown Review",1,IF(V269="Reorder Candidate",2,IF(V269="Monitor",3,IF(V269="Noise",4,IF(V269="Not Ready",5,99)))))</f>
        <v/>
      </c>
      <c r="AD269" s="18">
        <f>IF(O269,COUNTIFS($O$5:$O$504,TRUE,$AC$5:$AC$504,"&lt;"&amp;AC269)+COUNTIFS($O$5:O269,TRUE,$AC$5:AC269,AC269,$Y$5:Y269,"&gt;"&amp;Y269),0)</f>
        <v/>
      </c>
    </row>
    <row r="270">
      <c r="A270" s="17">
        <f>IF(COUNTA('Weekly Input'!A270:C270)=0,"",'Weekly Input'!B270&amp;"|"&amp;'Weekly Input'!C270&amp;"|"&amp;TEXT('Weekly Input'!A270,"yyyy-mm-dd"))</f>
        <v/>
      </c>
      <c r="B270" s="18">
        <f>'Weekly Input'!B270</f>
        <v/>
      </c>
      <c r="C270" s="18">
        <f>'Weekly Input'!C270</f>
        <v/>
      </c>
      <c r="D270" s="18">
        <f>IF(B270="","",IFERROR(INDEX('Master Data'!$B$6:$B$145,MATCH(B270,'Master Data'!$A$6:$A$145,0)),""))</f>
        <v/>
      </c>
      <c r="E270" s="18">
        <f>IF(C270="","",IFERROR(INDEX('Master Data'!$H$6:$H$13,MATCH(C270,'Master Data'!$F$6:$F$13,0)),""))</f>
        <v/>
      </c>
      <c r="F270" s="19">
        <f>'Weekly Input'!A270</f>
        <v/>
      </c>
      <c r="G270" s="19">
        <f>IF(B270="","",IFERROR(INDEX('Master Data'!$D$6:$D$145,MATCH(B270,'Master Data'!$A$6:$A$145,0)),""))</f>
        <v/>
      </c>
      <c r="H270" s="18">
        <f>IF(OR(F270="",G270=""),"",F270-G270)</f>
        <v/>
      </c>
      <c r="I270" s="18">
        <f>IF(B270="","",IF('Weekly Input'!J270="OK",TRUE,FALSE))</f>
        <v/>
      </c>
      <c r="J270" s="18">
        <f>IF(B270="","",'Weekly Input'!H270&gt;=MinInStockDays)</f>
        <v/>
      </c>
      <c r="K270" s="18">
        <f>IF(B270="","",H270&gt;=FullCycleMin)</f>
        <v/>
      </c>
      <c r="L270" s="18">
        <f>IF(B270="","",AND(I270,J270,K270,N270&gt;=MinHistory))</f>
        <v/>
      </c>
      <c r="M270" s="20">
        <f>IF(OR(B270="",'Weekly Input'!H270=0),"",'Weekly Input'!D270/'Weekly Input'!H270*7)</f>
        <v/>
      </c>
      <c r="N270" s="18">
        <f>IF(B270="","",COUNTIFS($B$5:$B$504,B270,$C$5:$C$504,C270,$I$5:$I$504,TRUE,$J$5:$J$504,TRUE,$K$5:$K$504,TRUE))</f>
        <v/>
      </c>
      <c r="O270" s="18">
        <f>IF(B270="","",AND(F270=AsOfWeek,AsOfWeek&lt;&gt;""))</f>
        <v/>
      </c>
      <c r="P270" s="20">
        <f>IF(OR(B270="",AsOfWeek=""),"",IFERROR(SUMIFS($M$5:$M$504,$B$5:$B$504,B270,$C$5:$C$504,C270,$L$5:$L$504,TRUE,$F$5:$F$504,"&gt;="&amp;AsOfWeek-7*(RecentWeeks-1),$F$5:$F$504,"&lt;="&amp;AsOfWeek),""))</f>
        <v/>
      </c>
      <c r="Q270" s="20">
        <f>IF(OR(B270="",AsOfWeek=""),"",IFERROR(SUMIFS($M$5:$M$504,$B$5:$B$504,B270,$C$5:$C$504,C270,$L$5:$L$504,TRUE,$F$5:$F$504,"&gt;="&amp;AsOfWeek-7*(RecentWeeks+PriorWeeks-1),$F$5:$F$504,"&lt;"&amp;AsOfWeek-7*(RecentWeeks-1)),""))</f>
        <v/>
      </c>
      <c r="R270" s="21">
        <f>IF(OR(P270="",Q270="",Q270=0),"",P270/Q270-1)</f>
        <v/>
      </c>
      <c r="S270" s="20">
        <f>IF(OR(C270="",AsOfWeek=""),"",IFERROR(AVERAGEIFS($M$5:$M$504,$C$5:$C$504,C270,$L$5:$L$504,TRUE,$F$5:$F$504,"&gt;="&amp;AsOfWeek-7*(RecentWeeks-1),$F$5:$F$504,"&lt;="&amp;AsOfWeek),""))</f>
        <v/>
      </c>
      <c r="T270" s="21">
        <f>IF(OR(P270="",S270=""),"",P270/S270-1)</f>
        <v/>
      </c>
      <c r="U270" s="22">
        <f>IF(OR(B270="",'Weekly Input'!G270="",P270="",P270=0),"",'Weekly Input'!G270/P270)</f>
        <v/>
      </c>
      <c r="V270" s="18">
        <f>IF(B270="","",IF(NOT(I270),"Not Ready",IF(NOT(K270),"Not Ready",IF(N270&lt;MinHistory,"Not Ready",IF(NOT(J270),"Not Ready",IF(OR(Q270="",Q270=0),"Noise",IF(Q270&lt;LowBaseThreshold,"Noise",IF(AND(R270&lt;=-OwnDecline,T270&lt;=-PeerGapThreshold),"Markdown Review",IF(AND(R270&gt;=ReorderUplift,U270&lt;&gt;"",U270&lt;=WeeksSupplyCap),"Reorder Candidate","Monitor"))))))))</f>
        <v/>
      </c>
      <c r="W270" s="18">
        <f>IF(B270="","",IF(NOT(I270),"INVALID_MASTER",IF(NOT(K270),"INCOMPLETE_SHELF_CYCLE",IF(N270&lt;MinHistory,"INSUFFICIENT_HISTORY",IF(NOT(J270),"INSUFFICIENT_IN_STOCK",IF(OR(Q270="",Q270=0),"NO_PRIOR_BASE",IF(Q270&lt;LowBaseThreshold,"LOW_BASE_NOISE",IF(V270="Markdown Review","MARKDOWN_PEER_GAP",IF(V270="Reorder Candidate","REORDER_UPLIFT_COVER","NO_MATERIAL_CHANGE"))))))))</f>
        <v/>
      </c>
      <c r="X270" s="18">
        <f>IF(V270="Markdown Review","Markdown support",IF(V270="Reorder Candidate","Second reorder",IF(V270="Monitor","Monitor",IF(V270="Noise","Hold / collect data",IF(V270="Not Ready","Not ready","")))))</f>
        <v/>
      </c>
      <c r="Y270" s="18">
        <f>IF(OR(R270="",T270=""),"",ABS(R270)+ABS(T270))</f>
        <v/>
      </c>
      <c r="Z270" s="21">
        <f>IF(OR(B270="",NOT(O270),R270=""),"",IF(ABS(R270)&gt;=MaterialThreshold,"Yes","No"))</f>
        <v/>
      </c>
      <c r="AA270" s="18">
        <f>IF(Z270&lt;&gt;"Yes","",IF(ABS(R270)&gt;=MaterialThreshold,IF(ABS(R270)&gt;=BroadShare,"Broad SKU movement","Store-concentrated movement"),""))</f>
        <v/>
      </c>
      <c r="AB270" s="18">
        <f>IF(O270,IF(COUNTIFS($O$5:O270,TRUE)&gt;0,COUNTIFS($O$5:O270,TRUE),0),0)</f>
        <v/>
      </c>
      <c r="AC270" s="18">
        <f>IF(V270="Markdown Review",1,IF(V270="Reorder Candidate",2,IF(V270="Monitor",3,IF(V270="Noise",4,IF(V270="Not Ready",5,99)))))</f>
        <v/>
      </c>
      <c r="AD270" s="18">
        <f>IF(O270,COUNTIFS($O$5:$O$504,TRUE,$AC$5:$AC$504,"&lt;"&amp;AC270)+COUNTIFS($O$5:O270,TRUE,$AC$5:AC270,AC270,$Y$5:Y270,"&gt;"&amp;Y270),0)</f>
        <v/>
      </c>
    </row>
    <row r="271">
      <c r="A271" s="17">
        <f>IF(COUNTA('Weekly Input'!A271:C271)=0,"",'Weekly Input'!B271&amp;"|"&amp;'Weekly Input'!C271&amp;"|"&amp;TEXT('Weekly Input'!A271,"yyyy-mm-dd"))</f>
        <v/>
      </c>
      <c r="B271" s="18">
        <f>'Weekly Input'!B271</f>
        <v/>
      </c>
      <c r="C271" s="18">
        <f>'Weekly Input'!C271</f>
        <v/>
      </c>
      <c r="D271" s="18">
        <f>IF(B271="","",IFERROR(INDEX('Master Data'!$B$6:$B$145,MATCH(B271,'Master Data'!$A$6:$A$145,0)),""))</f>
        <v/>
      </c>
      <c r="E271" s="18">
        <f>IF(C271="","",IFERROR(INDEX('Master Data'!$H$6:$H$13,MATCH(C271,'Master Data'!$F$6:$F$13,0)),""))</f>
        <v/>
      </c>
      <c r="F271" s="19">
        <f>'Weekly Input'!A271</f>
        <v/>
      </c>
      <c r="G271" s="19">
        <f>IF(B271="","",IFERROR(INDEX('Master Data'!$D$6:$D$145,MATCH(B271,'Master Data'!$A$6:$A$145,0)),""))</f>
        <v/>
      </c>
      <c r="H271" s="18">
        <f>IF(OR(F271="",G271=""),"",F271-G271)</f>
        <v/>
      </c>
      <c r="I271" s="18">
        <f>IF(B271="","",IF('Weekly Input'!J271="OK",TRUE,FALSE))</f>
        <v/>
      </c>
      <c r="J271" s="18">
        <f>IF(B271="","",'Weekly Input'!H271&gt;=MinInStockDays)</f>
        <v/>
      </c>
      <c r="K271" s="18">
        <f>IF(B271="","",H271&gt;=FullCycleMin)</f>
        <v/>
      </c>
      <c r="L271" s="18">
        <f>IF(B271="","",AND(I271,J271,K271,N271&gt;=MinHistory))</f>
        <v/>
      </c>
      <c r="M271" s="20">
        <f>IF(OR(B271="",'Weekly Input'!H271=0),"",'Weekly Input'!D271/'Weekly Input'!H271*7)</f>
        <v/>
      </c>
      <c r="N271" s="18">
        <f>IF(B271="","",COUNTIFS($B$5:$B$504,B271,$C$5:$C$504,C271,$I$5:$I$504,TRUE,$J$5:$J$504,TRUE,$K$5:$K$504,TRUE))</f>
        <v/>
      </c>
      <c r="O271" s="18">
        <f>IF(B271="","",AND(F271=AsOfWeek,AsOfWeek&lt;&gt;""))</f>
        <v/>
      </c>
      <c r="P271" s="20">
        <f>IF(OR(B271="",AsOfWeek=""),"",IFERROR(SUMIFS($M$5:$M$504,$B$5:$B$504,B271,$C$5:$C$504,C271,$L$5:$L$504,TRUE,$F$5:$F$504,"&gt;="&amp;AsOfWeek-7*(RecentWeeks-1),$F$5:$F$504,"&lt;="&amp;AsOfWeek),""))</f>
        <v/>
      </c>
      <c r="Q271" s="20">
        <f>IF(OR(B271="",AsOfWeek=""),"",IFERROR(SUMIFS($M$5:$M$504,$B$5:$B$504,B271,$C$5:$C$504,C271,$L$5:$L$504,TRUE,$F$5:$F$504,"&gt;="&amp;AsOfWeek-7*(RecentWeeks+PriorWeeks-1),$F$5:$F$504,"&lt;"&amp;AsOfWeek-7*(RecentWeeks-1)),""))</f>
        <v/>
      </c>
      <c r="R271" s="21">
        <f>IF(OR(P271="",Q271="",Q271=0),"",P271/Q271-1)</f>
        <v/>
      </c>
      <c r="S271" s="20">
        <f>IF(OR(C271="",AsOfWeek=""),"",IFERROR(AVERAGEIFS($M$5:$M$504,$C$5:$C$504,C271,$L$5:$L$504,TRUE,$F$5:$F$504,"&gt;="&amp;AsOfWeek-7*(RecentWeeks-1),$F$5:$F$504,"&lt;="&amp;AsOfWeek),""))</f>
        <v/>
      </c>
      <c r="T271" s="21">
        <f>IF(OR(P271="",S271=""),"",P271/S271-1)</f>
        <v/>
      </c>
      <c r="U271" s="22">
        <f>IF(OR(B271="",'Weekly Input'!G271="",P271="",P271=0),"",'Weekly Input'!G271/P271)</f>
        <v/>
      </c>
      <c r="V271" s="18">
        <f>IF(B271="","",IF(NOT(I271),"Not Ready",IF(NOT(K271),"Not Ready",IF(N271&lt;MinHistory,"Not Ready",IF(NOT(J271),"Not Ready",IF(OR(Q271="",Q271=0),"Noise",IF(Q271&lt;LowBaseThreshold,"Noise",IF(AND(R271&lt;=-OwnDecline,T271&lt;=-PeerGapThreshold),"Markdown Review",IF(AND(R271&gt;=ReorderUplift,U271&lt;&gt;"",U271&lt;=WeeksSupplyCap),"Reorder Candidate","Monitor"))))))))</f>
        <v/>
      </c>
      <c r="W271" s="18">
        <f>IF(B271="","",IF(NOT(I271),"INVALID_MASTER",IF(NOT(K271),"INCOMPLETE_SHELF_CYCLE",IF(N271&lt;MinHistory,"INSUFFICIENT_HISTORY",IF(NOT(J271),"INSUFFICIENT_IN_STOCK",IF(OR(Q271="",Q271=0),"NO_PRIOR_BASE",IF(Q271&lt;LowBaseThreshold,"LOW_BASE_NOISE",IF(V271="Markdown Review","MARKDOWN_PEER_GAP",IF(V271="Reorder Candidate","REORDER_UPLIFT_COVER","NO_MATERIAL_CHANGE"))))))))</f>
        <v/>
      </c>
      <c r="X271" s="18">
        <f>IF(V271="Markdown Review","Markdown support",IF(V271="Reorder Candidate","Second reorder",IF(V271="Monitor","Monitor",IF(V271="Noise","Hold / collect data",IF(V271="Not Ready","Not ready","")))))</f>
        <v/>
      </c>
      <c r="Y271" s="18">
        <f>IF(OR(R271="",T271=""),"",ABS(R271)+ABS(T271))</f>
        <v/>
      </c>
      <c r="Z271" s="21">
        <f>IF(OR(B271="",NOT(O271),R271=""),"",IF(ABS(R271)&gt;=MaterialThreshold,"Yes","No"))</f>
        <v/>
      </c>
      <c r="AA271" s="18">
        <f>IF(Z271&lt;&gt;"Yes","",IF(ABS(R271)&gt;=MaterialThreshold,IF(ABS(R271)&gt;=BroadShare,"Broad SKU movement","Store-concentrated movement"),""))</f>
        <v/>
      </c>
      <c r="AB271" s="18">
        <f>IF(O271,IF(COUNTIFS($O$5:O271,TRUE)&gt;0,COUNTIFS($O$5:O271,TRUE),0),0)</f>
        <v/>
      </c>
      <c r="AC271" s="18">
        <f>IF(V271="Markdown Review",1,IF(V271="Reorder Candidate",2,IF(V271="Monitor",3,IF(V271="Noise",4,IF(V271="Not Ready",5,99)))))</f>
        <v/>
      </c>
      <c r="AD271" s="18">
        <f>IF(O271,COUNTIFS($O$5:$O$504,TRUE,$AC$5:$AC$504,"&lt;"&amp;AC271)+COUNTIFS($O$5:O271,TRUE,$AC$5:AC271,AC271,$Y$5:Y271,"&gt;"&amp;Y271),0)</f>
        <v/>
      </c>
    </row>
    <row r="272">
      <c r="A272" s="17">
        <f>IF(COUNTA('Weekly Input'!A272:C272)=0,"",'Weekly Input'!B272&amp;"|"&amp;'Weekly Input'!C272&amp;"|"&amp;TEXT('Weekly Input'!A272,"yyyy-mm-dd"))</f>
        <v/>
      </c>
      <c r="B272" s="18">
        <f>'Weekly Input'!B272</f>
        <v/>
      </c>
      <c r="C272" s="18">
        <f>'Weekly Input'!C272</f>
        <v/>
      </c>
      <c r="D272" s="18">
        <f>IF(B272="","",IFERROR(INDEX('Master Data'!$B$6:$B$145,MATCH(B272,'Master Data'!$A$6:$A$145,0)),""))</f>
        <v/>
      </c>
      <c r="E272" s="18">
        <f>IF(C272="","",IFERROR(INDEX('Master Data'!$H$6:$H$13,MATCH(C272,'Master Data'!$F$6:$F$13,0)),""))</f>
        <v/>
      </c>
      <c r="F272" s="19">
        <f>'Weekly Input'!A272</f>
        <v/>
      </c>
      <c r="G272" s="19">
        <f>IF(B272="","",IFERROR(INDEX('Master Data'!$D$6:$D$145,MATCH(B272,'Master Data'!$A$6:$A$145,0)),""))</f>
        <v/>
      </c>
      <c r="H272" s="18">
        <f>IF(OR(F272="",G272=""),"",F272-G272)</f>
        <v/>
      </c>
      <c r="I272" s="18">
        <f>IF(B272="","",IF('Weekly Input'!J272="OK",TRUE,FALSE))</f>
        <v/>
      </c>
      <c r="J272" s="18">
        <f>IF(B272="","",'Weekly Input'!H272&gt;=MinInStockDays)</f>
        <v/>
      </c>
      <c r="K272" s="18">
        <f>IF(B272="","",H272&gt;=FullCycleMin)</f>
        <v/>
      </c>
      <c r="L272" s="18">
        <f>IF(B272="","",AND(I272,J272,K272,N272&gt;=MinHistory))</f>
        <v/>
      </c>
      <c r="M272" s="20">
        <f>IF(OR(B272="",'Weekly Input'!H272=0),"",'Weekly Input'!D272/'Weekly Input'!H272*7)</f>
        <v/>
      </c>
      <c r="N272" s="18">
        <f>IF(B272="","",COUNTIFS($B$5:$B$504,B272,$C$5:$C$504,C272,$I$5:$I$504,TRUE,$J$5:$J$504,TRUE,$K$5:$K$504,TRUE))</f>
        <v/>
      </c>
      <c r="O272" s="18">
        <f>IF(B272="","",AND(F272=AsOfWeek,AsOfWeek&lt;&gt;""))</f>
        <v/>
      </c>
      <c r="P272" s="20">
        <f>IF(OR(B272="",AsOfWeek=""),"",IFERROR(SUMIFS($M$5:$M$504,$B$5:$B$504,B272,$C$5:$C$504,C272,$L$5:$L$504,TRUE,$F$5:$F$504,"&gt;="&amp;AsOfWeek-7*(RecentWeeks-1),$F$5:$F$504,"&lt;="&amp;AsOfWeek),""))</f>
        <v/>
      </c>
      <c r="Q272" s="20">
        <f>IF(OR(B272="",AsOfWeek=""),"",IFERROR(SUMIFS($M$5:$M$504,$B$5:$B$504,B272,$C$5:$C$504,C272,$L$5:$L$504,TRUE,$F$5:$F$504,"&gt;="&amp;AsOfWeek-7*(RecentWeeks+PriorWeeks-1),$F$5:$F$504,"&lt;"&amp;AsOfWeek-7*(RecentWeeks-1)),""))</f>
        <v/>
      </c>
      <c r="R272" s="21">
        <f>IF(OR(P272="",Q272="",Q272=0),"",P272/Q272-1)</f>
        <v/>
      </c>
      <c r="S272" s="20">
        <f>IF(OR(C272="",AsOfWeek=""),"",IFERROR(AVERAGEIFS($M$5:$M$504,$C$5:$C$504,C272,$L$5:$L$504,TRUE,$F$5:$F$504,"&gt;="&amp;AsOfWeek-7*(RecentWeeks-1),$F$5:$F$504,"&lt;="&amp;AsOfWeek),""))</f>
        <v/>
      </c>
      <c r="T272" s="21">
        <f>IF(OR(P272="",S272=""),"",P272/S272-1)</f>
        <v/>
      </c>
      <c r="U272" s="22">
        <f>IF(OR(B272="",'Weekly Input'!G272="",P272="",P272=0),"",'Weekly Input'!G272/P272)</f>
        <v/>
      </c>
      <c r="V272" s="18">
        <f>IF(B272="","",IF(NOT(I272),"Not Ready",IF(NOT(K272),"Not Ready",IF(N272&lt;MinHistory,"Not Ready",IF(NOT(J272),"Not Ready",IF(OR(Q272="",Q272=0),"Noise",IF(Q272&lt;LowBaseThreshold,"Noise",IF(AND(R272&lt;=-OwnDecline,T272&lt;=-PeerGapThreshold),"Markdown Review",IF(AND(R272&gt;=ReorderUplift,U272&lt;&gt;"",U272&lt;=WeeksSupplyCap),"Reorder Candidate","Monitor"))))))))</f>
        <v/>
      </c>
      <c r="W272" s="18">
        <f>IF(B272="","",IF(NOT(I272),"INVALID_MASTER",IF(NOT(K272),"INCOMPLETE_SHELF_CYCLE",IF(N272&lt;MinHistory,"INSUFFICIENT_HISTORY",IF(NOT(J272),"INSUFFICIENT_IN_STOCK",IF(OR(Q272="",Q272=0),"NO_PRIOR_BASE",IF(Q272&lt;LowBaseThreshold,"LOW_BASE_NOISE",IF(V272="Markdown Review","MARKDOWN_PEER_GAP",IF(V272="Reorder Candidate","REORDER_UPLIFT_COVER","NO_MATERIAL_CHANGE"))))))))</f>
        <v/>
      </c>
      <c r="X272" s="18">
        <f>IF(V272="Markdown Review","Markdown support",IF(V272="Reorder Candidate","Second reorder",IF(V272="Monitor","Monitor",IF(V272="Noise","Hold / collect data",IF(V272="Not Ready","Not ready","")))))</f>
        <v/>
      </c>
      <c r="Y272" s="18">
        <f>IF(OR(R272="",T272=""),"",ABS(R272)+ABS(T272))</f>
        <v/>
      </c>
      <c r="Z272" s="21">
        <f>IF(OR(B272="",NOT(O272),R272=""),"",IF(ABS(R272)&gt;=MaterialThreshold,"Yes","No"))</f>
        <v/>
      </c>
      <c r="AA272" s="18">
        <f>IF(Z272&lt;&gt;"Yes","",IF(ABS(R272)&gt;=MaterialThreshold,IF(ABS(R272)&gt;=BroadShare,"Broad SKU movement","Store-concentrated movement"),""))</f>
        <v/>
      </c>
      <c r="AB272" s="18">
        <f>IF(O272,IF(COUNTIFS($O$5:O272,TRUE)&gt;0,COUNTIFS($O$5:O272,TRUE),0),0)</f>
        <v/>
      </c>
      <c r="AC272" s="18">
        <f>IF(V272="Markdown Review",1,IF(V272="Reorder Candidate",2,IF(V272="Monitor",3,IF(V272="Noise",4,IF(V272="Not Ready",5,99)))))</f>
        <v/>
      </c>
      <c r="AD272" s="18">
        <f>IF(O272,COUNTIFS($O$5:$O$504,TRUE,$AC$5:$AC$504,"&lt;"&amp;AC272)+COUNTIFS($O$5:O272,TRUE,$AC$5:AC272,AC272,$Y$5:Y272,"&gt;"&amp;Y272),0)</f>
        <v/>
      </c>
    </row>
    <row r="273">
      <c r="A273" s="17">
        <f>IF(COUNTA('Weekly Input'!A273:C273)=0,"",'Weekly Input'!B273&amp;"|"&amp;'Weekly Input'!C273&amp;"|"&amp;TEXT('Weekly Input'!A273,"yyyy-mm-dd"))</f>
        <v/>
      </c>
      <c r="B273" s="18">
        <f>'Weekly Input'!B273</f>
        <v/>
      </c>
      <c r="C273" s="18">
        <f>'Weekly Input'!C273</f>
        <v/>
      </c>
      <c r="D273" s="18">
        <f>IF(B273="","",IFERROR(INDEX('Master Data'!$B$6:$B$145,MATCH(B273,'Master Data'!$A$6:$A$145,0)),""))</f>
        <v/>
      </c>
      <c r="E273" s="18">
        <f>IF(C273="","",IFERROR(INDEX('Master Data'!$H$6:$H$13,MATCH(C273,'Master Data'!$F$6:$F$13,0)),""))</f>
        <v/>
      </c>
      <c r="F273" s="19">
        <f>'Weekly Input'!A273</f>
        <v/>
      </c>
      <c r="G273" s="19">
        <f>IF(B273="","",IFERROR(INDEX('Master Data'!$D$6:$D$145,MATCH(B273,'Master Data'!$A$6:$A$145,0)),""))</f>
        <v/>
      </c>
      <c r="H273" s="18">
        <f>IF(OR(F273="",G273=""),"",F273-G273)</f>
        <v/>
      </c>
      <c r="I273" s="18">
        <f>IF(B273="","",IF('Weekly Input'!J273="OK",TRUE,FALSE))</f>
        <v/>
      </c>
      <c r="J273" s="18">
        <f>IF(B273="","",'Weekly Input'!H273&gt;=MinInStockDays)</f>
        <v/>
      </c>
      <c r="K273" s="18">
        <f>IF(B273="","",H273&gt;=FullCycleMin)</f>
        <v/>
      </c>
      <c r="L273" s="18">
        <f>IF(B273="","",AND(I273,J273,K273,N273&gt;=MinHistory))</f>
        <v/>
      </c>
      <c r="M273" s="20">
        <f>IF(OR(B273="",'Weekly Input'!H273=0),"",'Weekly Input'!D273/'Weekly Input'!H273*7)</f>
        <v/>
      </c>
      <c r="N273" s="18">
        <f>IF(B273="","",COUNTIFS($B$5:$B$504,B273,$C$5:$C$504,C273,$I$5:$I$504,TRUE,$J$5:$J$504,TRUE,$K$5:$K$504,TRUE))</f>
        <v/>
      </c>
      <c r="O273" s="18">
        <f>IF(B273="","",AND(F273=AsOfWeek,AsOfWeek&lt;&gt;""))</f>
        <v/>
      </c>
      <c r="P273" s="20">
        <f>IF(OR(B273="",AsOfWeek=""),"",IFERROR(SUMIFS($M$5:$M$504,$B$5:$B$504,B273,$C$5:$C$504,C273,$L$5:$L$504,TRUE,$F$5:$F$504,"&gt;="&amp;AsOfWeek-7*(RecentWeeks-1),$F$5:$F$504,"&lt;="&amp;AsOfWeek),""))</f>
        <v/>
      </c>
      <c r="Q273" s="20">
        <f>IF(OR(B273="",AsOfWeek=""),"",IFERROR(SUMIFS($M$5:$M$504,$B$5:$B$504,B273,$C$5:$C$504,C273,$L$5:$L$504,TRUE,$F$5:$F$504,"&gt;="&amp;AsOfWeek-7*(RecentWeeks+PriorWeeks-1),$F$5:$F$504,"&lt;"&amp;AsOfWeek-7*(RecentWeeks-1)),""))</f>
        <v/>
      </c>
      <c r="R273" s="21">
        <f>IF(OR(P273="",Q273="",Q273=0),"",P273/Q273-1)</f>
        <v/>
      </c>
      <c r="S273" s="20">
        <f>IF(OR(C273="",AsOfWeek=""),"",IFERROR(AVERAGEIFS($M$5:$M$504,$C$5:$C$504,C273,$L$5:$L$504,TRUE,$F$5:$F$504,"&gt;="&amp;AsOfWeek-7*(RecentWeeks-1),$F$5:$F$504,"&lt;="&amp;AsOfWeek),""))</f>
        <v/>
      </c>
      <c r="T273" s="21">
        <f>IF(OR(P273="",S273=""),"",P273/S273-1)</f>
        <v/>
      </c>
      <c r="U273" s="22">
        <f>IF(OR(B273="",'Weekly Input'!G273="",P273="",P273=0),"",'Weekly Input'!G273/P273)</f>
        <v/>
      </c>
      <c r="V273" s="18">
        <f>IF(B273="","",IF(NOT(I273),"Not Ready",IF(NOT(K273),"Not Ready",IF(N273&lt;MinHistory,"Not Ready",IF(NOT(J273),"Not Ready",IF(OR(Q273="",Q273=0),"Noise",IF(Q273&lt;LowBaseThreshold,"Noise",IF(AND(R273&lt;=-OwnDecline,T273&lt;=-PeerGapThreshold),"Markdown Review",IF(AND(R273&gt;=ReorderUplift,U273&lt;&gt;"",U273&lt;=WeeksSupplyCap),"Reorder Candidate","Monitor"))))))))</f>
        <v/>
      </c>
      <c r="W273" s="18">
        <f>IF(B273="","",IF(NOT(I273),"INVALID_MASTER",IF(NOT(K273),"INCOMPLETE_SHELF_CYCLE",IF(N273&lt;MinHistory,"INSUFFICIENT_HISTORY",IF(NOT(J273),"INSUFFICIENT_IN_STOCK",IF(OR(Q273="",Q273=0),"NO_PRIOR_BASE",IF(Q273&lt;LowBaseThreshold,"LOW_BASE_NOISE",IF(V273="Markdown Review","MARKDOWN_PEER_GAP",IF(V273="Reorder Candidate","REORDER_UPLIFT_COVER","NO_MATERIAL_CHANGE"))))))))</f>
        <v/>
      </c>
      <c r="X273" s="18">
        <f>IF(V273="Markdown Review","Markdown support",IF(V273="Reorder Candidate","Second reorder",IF(V273="Monitor","Monitor",IF(V273="Noise","Hold / collect data",IF(V273="Not Ready","Not ready","")))))</f>
        <v/>
      </c>
      <c r="Y273" s="18">
        <f>IF(OR(R273="",T273=""),"",ABS(R273)+ABS(T273))</f>
        <v/>
      </c>
      <c r="Z273" s="21">
        <f>IF(OR(B273="",NOT(O273),R273=""),"",IF(ABS(R273)&gt;=MaterialThreshold,"Yes","No"))</f>
        <v/>
      </c>
      <c r="AA273" s="18">
        <f>IF(Z273&lt;&gt;"Yes","",IF(ABS(R273)&gt;=MaterialThreshold,IF(ABS(R273)&gt;=BroadShare,"Broad SKU movement","Store-concentrated movement"),""))</f>
        <v/>
      </c>
      <c r="AB273" s="18">
        <f>IF(O273,IF(COUNTIFS($O$5:O273,TRUE)&gt;0,COUNTIFS($O$5:O273,TRUE),0),0)</f>
        <v/>
      </c>
      <c r="AC273" s="18">
        <f>IF(V273="Markdown Review",1,IF(V273="Reorder Candidate",2,IF(V273="Monitor",3,IF(V273="Noise",4,IF(V273="Not Ready",5,99)))))</f>
        <v/>
      </c>
      <c r="AD273" s="18">
        <f>IF(O273,COUNTIFS($O$5:$O$504,TRUE,$AC$5:$AC$504,"&lt;"&amp;AC273)+COUNTIFS($O$5:O273,TRUE,$AC$5:AC273,AC273,$Y$5:Y273,"&gt;"&amp;Y273),0)</f>
        <v/>
      </c>
    </row>
    <row r="274">
      <c r="A274" s="17">
        <f>IF(COUNTA('Weekly Input'!A274:C274)=0,"",'Weekly Input'!B274&amp;"|"&amp;'Weekly Input'!C274&amp;"|"&amp;TEXT('Weekly Input'!A274,"yyyy-mm-dd"))</f>
        <v/>
      </c>
      <c r="B274" s="18">
        <f>'Weekly Input'!B274</f>
        <v/>
      </c>
      <c r="C274" s="18">
        <f>'Weekly Input'!C274</f>
        <v/>
      </c>
      <c r="D274" s="18">
        <f>IF(B274="","",IFERROR(INDEX('Master Data'!$B$6:$B$145,MATCH(B274,'Master Data'!$A$6:$A$145,0)),""))</f>
        <v/>
      </c>
      <c r="E274" s="18">
        <f>IF(C274="","",IFERROR(INDEX('Master Data'!$H$6:$H$13,MATCH(C274,'Master Data'!$F$6:$F$13,0)),""))</f>
        <v/>
      </c>
      <c r="F274" s="19">
        <f>'Weekly Input'!A274</f>
        <v/>
      </c>
      <c r="G274" s="19">
        <f>IF(B274="","",IFERROR(INDEX('Master Data'!$D$6:$D$145,MATCH(B274,'Master Data'!$A$6:$A$145,0)),""))</f>
        <v/>
      </c>
      <c r="H274" s="18">
        <f>IF(OR(F274="",G274=""),"",F274-G274)</f>
        <v/>
      </c>
      <c r="I274" s="18">
        <f>IF(B274="","",IF('Weekly Input'!J274="OK",TRUE,FALSE))</f>
        <v/>
      </c>
      <c r="J274" s="18">
        <f>IF(B274="","",'Weekly Input'!H274&gt;=MinInStockDays)</f>
        <v/>
      </c>
      <c r="K274" s="18">
        <f>IF(B274="","",H274&gt;=FullCycleMin)</f>
        <v/>
      </c>
      <c r="L274" s="18">
        <f>IF(B274="","",AND(I274,J274,K274,N274&gt;=MinHistory))</f>
        <v/>
      </c>
      <c r="M274" s="20">
        <f>IF(OR(B274="",'Weekly Input'!H274=0),"",'Weekly Input'!D274/'Weekly Input'!H274*7)</f>
        <v/>
      </c>
      <c r="N274" s="18">
        <f>IF(B274="","",COUNTIFS($B$5:$B$504,B274,$C$5:$C$504,C274,$I$5:$I$504,TRUE,$J$5:$J$504,TRUE,$K$5:$K$504,TRUE))</f>
        <v/>
      </c>
      <c r="O274" s="18">
        <f>IF(B274="","",AND(F274=AsOfWeek,AsOfWeek&lt;&gt;""))</f>
        <v/>
      </c>
      <c r="P274" s="20">
        <f>IF(OR(B274="",AsOfWeek=""),"",IFERROR(SUMIFS($M$5:$M$504,$B$5:$B$504,B274,$C$5:$C$504,C274,$L$5:$L$504,TRUE,$F$5:$F$504,"&gt;="&amp;AsOfWeek-7*(RecentWeeks-1),$F$5:$F$504,"&lt;="&amp;AsOfWeek),""))</f>
        <v/>
      </c>
      <c r="Q274" s="20">
        <f>IF(OR(B274="",AsOfWeek=""),"",IFERROR(SUMIFS($M$5:$M$504,$B$5:$B$504,B274,$C$5:$C$504,C274,$L$5:$L$504,TRUE,$F$5:$F$504,"&gt;="&amp;AsOfWeek-7*(RecentWeeks+PriorWeeks-1),$F$5:$F$504,"&lt;"&amp;AsOfWeek-7*(RecentWeeks-1)),""))</f>
        <v/>
      </c>
      <c r="R274" s="21">
        <f>IF(OR(P274="",Q274="",Q274=0),"",P274/Q274-1)</f>
        <v/>
      </c>
      <c r="S274" s="20">
        <f>IF(OR(C274="",AsOfWeek=""),"",IFERROR(AVERAGEIFS($M$5:$M$504,$C$5:$C$504,C274,$L$5:$L$504,TRUE,$F$5:$F$504,"&gt;="&amp;AsOfWeek-7*(RecentWeeks-1),$F$5:$F$504,"&lt;="&amp;AsOfWeek),""))</f>
        <v/>
      </c>
      <c r="T274" s="21">
        <f>IF(OR(P274="",S274=""),"",P274/S274-1)</f>
        <v/>
      </c>
      <c r="U274" s="22">
        <f>IF(OR(B274="",'Weekly Input'!G274="",P274="",P274=0),"",'Weekly Input'!G274/P274)</f>
        <v/>
      </c>
      <c r="V274" s="18">
        <f>IF(B274="","",IF(NOT(I274),"Not Ready",IF(NOT(K274),"Not Ready",IF(N274&lt;MinHistory,"Not Ready",IF(NOT(J274),"Not Ready",IF(OR(Q274="",Q274=0),"Noise",IF(Q274&lt;LowBaseThreshold,"Noise",IF(AND(R274&lt;=-OwnDecline,T274&lt;=-PeerGapThreshold),"Markdown Review",IF(AND(R274&gt;=ReorderUplift,U274&lt;&gt;"",U274&lt;=WeeksSupplyCap),"Reorder Candidate","Monitor"))))))))</f>
        <v/>
      </c>
      <c r="W274" s="18">
        <f>IF(B274="","",IF(NOT(I274),"INVALID_MASTER",IF(NOT(K274),"INCOMPLETE_SHELF_CYCLE",IF(N274&lt;MinHistory,"INSUFFICIENT_HISTORY",IF(NOT(J274),"INSUFFICIENT_IN_STOCK",IF(OR(Q274="",Q274=0),"NO_PRIOR_BASE",IF(Q274&lt;LowBaseThreshold,"LOW_BASE_NOISE",IF(V274="Markdown Review","MARKDOWN_PEER_GAP",IF(V274="Reorder Candidate","REORDER_UPLIFT_COVER","NO_MATERIAL_CHANGE"))))))))</f>
        <v/>
      </c>
      <c r="X274" s="18">
        <f>IF(V274="Markdown Review","Markdown support",IF(V274="Reorder Candidate","Second reorder",IF(V274="Monitor","Monitor",IF(V274="Noise","Hold / collect data",IF(V274="Not Ready","Not ready","")))))</f>
        <v/>
      </c>
      <c r="Y274" s="18">
        <f>IF(OR(R274="",T274=""),"",ABS(R274)+ABS(T274))</f>
        <v/>
      </c>
      <c r="Z274" s="21">
        <f>IF(OR(B274="",NOT(O274),R274=""),"",IF(ABS(R274)&gt;=MaterialThreshold,"Yes","No"))</f>
        <v/>
      </c>
      <c r="AA274" s="18">
        <f>IF(Z274&lt;&gt;"Yes","",IF(ABS(R274)&gt;=MaterialThreshold,IF(ABS(R274)&gt;=BroadShare,"Broad SKU movement","Store-concentrated movement"),""))</f>
        <v/>
      </c>
      <c r="AB274" s="18">
        <f>IF(O274,IF(COUNTIFS($O$5:O274,TRUE)&gt;0,COUNTIFS($O$5:O274,TRUE),0),0)</f>
        <v/>
      </c>
      <c r="AC274" s="18">
        <f>IF(V274="Markdown Review",1,IF(V274="Reorder Candidate",2,IF(V274="Monitor",3,IF(V274="Noise",4,IF(V274="Not Ready",5,99)))))</f>
        <v/>
      </c>
      <c r="AD274" s="18">
        <f>IF(O274,COUNTIFS($O$5:$O$504,TRUE,$AC$5:$AC$504,"&lt;"&amp;AC274)+COUNTIFS($O$5:O274,TRUE,$AC$5:AC274,AC274,$Y$5:Y274,"&gt;"&amp;Y274),0)</f>
        <v/>
      </c>
    </row>
    <row r="275">
      <c r="A275" s="17">
        <f>IF(COUNTA('Weekly Input'!A275:C275)=0,"",'Weekly Input'!B275&amp;"|"&amp;'Weekly Input'!C275&amp;"|"&amp;TEXT('Weekly Input'!A275,"yyyy-mm-dd"))</f>
        <v/>
      </c>
      <c r="B275" s="18">
        <f>'Weekly Input'!B275</f>
        <v/>
      </c>
      <c r="C275" s="18">
        <f>'Weekly Input'!C275</f>
        <v/>
      </c>
      <c r="D275" s="18">
        <f>IF(B275="","",IFERROR(INDEX('Master Data'!$B$6:$B$145,MATCH(B275,'Master Data'!$A$6:$A$145,0)),""))</f>
        <v/>
      </c>
      <c r="E275" s="18">
        <f>IF(C275="","",IFERROR(INDEX('Master Data'!$H$6:$H$13,MATCH(C275,'Master Data'!$F$6:$F$13,0)),""))</f>
        <v/>
      </c>
      <c r="F275" s="19">
        <f>'Weekly Input'!A275</f>
        <v/>
      </c>
      <c r="G275" s="19">
        <f>IF(B275="","",IFERROR(INDEX('Master Data'!$D$6:$D$145,MATCH(B275,'Master Data'!$A$6:$A$145,0)),""))</f>
        <v/>
      </c>
      <c r="H275" s="18">
        <f>IF(OR(F275="",G275=""),"",F275-G275)</f>
        <v/>
      </c>
      <c r="I275" s="18">
        <f>IF(B275="","",IF('Weekly Input'!J275="OK",TRUE,FALSE))</f>
        <v/>
      </c>
      <c r="J275" s="18">
        <f>IF(B275="","",'Weekly Input'!H275&gt;=MinInStockDays)</f>
        <v/>
      </c>
      <c r="K275" s="18">
        <f>IF(B275="","",H275&gt;=FullCycleMin)</f>
        <v/>
      </c>
      <c r="L275" s="18">
        <f>IF(B275="","",AND(I275,J275,K275,N275&gt;=MinHistory))</f>
        <v/>
      </c>
      <c r="M275" s="20">
        <f>IF(OR(B275="",'Weekly Input'!H275=0),"",'Weekly Input'!D275/'Weekly Input'!H275*7)</f>
        <v/>
      </c>
      <c r="N275" s="18">
        <f>IF(B275="","",COUNTIFS($B$5:$B$504,B275,$C$5:$C$504,C275,$I$5:$I$504,TRUE,$J$5:$J$504,TRUE,$K$5:$K$504,TRUE))</f>
        <v/>
      </c>
      <c r="O275" s="18">
        <f>IF(B275="","",AND(F275=AsOfWeek,AsOfWeek&lt;&gt;""))</f>
        <v/>
      </c>
      <c r="P275" s="20">
        <f>IF(OR(B275="",AsOfWeek=""),"",IFERROR(SUMIFS($M$5:$M$504,$B$5:$B$504,B275,$C$5:$C$504,C275,$L$5:$L$504,TRUE,$F$5:$F$504,"&gt;="&amp;AsOfWeek-7*(RecentWeeks-1),$F$5:$F$504,"&lt;="&amp;AsOfWeek),""))</f>
        <v/>
      </c>
      <c r="Q275" s="20">
        <f>IF(OR(B275="",AsOfWeek=""),"",IFERROR(SUMIFS($M$5:$M$504,$B$5:$B$504,B275,$C$5:$C$504,C275,$L$5:$L$504,TRUE,$F$5:$F$504,"&gt;="&amp;AsOfWeek-7*(RecentWeeks+PriorWeeks-1),$F$5:$F$504,"&lt;"&amp;AsOfWeek-7*(RecentWeeks-1)),""))</f>
        <v/>
      </c>
      <c r="R275" s="21">
        <f>IF(OR(P275="",Q275="",Q275=0),"",P275/Q275-1)</f>
        <v/>
      </c>
      <c r="S275" s="20">
        <f>IF(OR(C275="",AsOfWeek=""),"",IFERROR(AVERAGEIFS($M$5:$M$504,$C$5:$C$504,C275,$L$5:$L$504,TRUE,$F$5:$F$504,"&gt;="&amp;AsOfWeek-7*(RecentWeeks-1),$F$5:$F$504,"&lt;="&amp;AsOfWeek),""))</f>
        <v/>
      </c>
      <c r="T275" s="21">
        <f>IF(OR(P275="",S275=""),"",P275/S275-1)</f>
        <v/>
      </c>
      <c r="U275" s="22">
        <f>IF(OR(B275="",'Weekly Input'!G275="",P275="",P275=0),"",'Weekly Input'!G275/P275)</f>
        <v/>
      </c>
      <c r="V275" s="18">
        <f>IF(B275="","",IF(NOT(I275),"Not Ready",IF(NOT(K275),"Not Ready",IF(N275&lt;MinHistory,"Not Ready",IF(NOT(J275),"Not Ready",IF(OR(Q275="",Q275=0),"Noise",IF(Q275&lt;LowBaseThreshold,"Noise",IF(AND(R275&lt;=-OwnDecline,T275&lt;=-PeerGapThreshold),"Markdown Review",IF(AND(R275&gt;=ReorderUplift,U275&lt;&gt;"",U275&lt;=WeeksSupplyCap),"Reorder Candidate","Monitor"))))))))</f>
        <v/>
      </c>
      <c r="W275" s="18">
        <f>IF(B275="","",IF(NOT(I275),"INVALID_MASTER",IF(NOT(K275),"INCOMPLETE_SHELF_CYCLE",IF(N275&lt;MinHistory,"INSUFFICIENT_HISTORY",IF(NOT(J275),"INSUFFICIENT_IN_STOCK",IF(OR(Q275="",Q275=0),"NO_PRIOR_BASE",IF(Q275&lt;LowBaseThreshold,"LOW_BASE_NOISE",IF(V275="Markdown Review","MARKDOWN_PEER_GAP",IF(V275="Reorder Candidate","REORDER_UPLIFT_COVER","NO_MATERIAL_CHANGE"))))))))</f>
        <v/>
      </c>
      <c r="X275" s="18">
        <f>IF(V275="Markdown Review","Markdown support",IF(V275="Reorder Candidate","Second reorder",IF(V275="Monitor","Monitor",IF(V275="Noise","Hold / collect data",IF(V275="Not Ready","Not ready","")))))</f>
        <v/>
      </c>
      <c r="Y275" s="18">
        <f>IF(OR(R275="",T275=""),"",ABS(R275)+ABS(T275))</f>
        <v/>
      </c>
      <c r="Z275" s="21">
        <f>IF(OR(B275="",NOT(O275),R275=""),"",IF(ABS(R275)&gt;=MaterialThreshold,"Yes","No"))</f>
        <v/>
      </c>
      <c r="AA275" s="18">
        <f>IF(Z275&lt;&gt;"Yes","",IF(ABS(R275)&gt;=MaterialThreshold,IF(ABS(R275)&gt;=BroadShare,"Broad SKU movement","Store-concentrated movement"),""))</f>
        <v/>
      </c>
      <c r="AB275" s="18">
        <f>IF(O275,IF(COUNTIFS($O$5:O275,TRUE)&gt;0,COUNTIFS($O$5:O275,TRUE),0),0)</f>
        <v/>
      </c>
      <c r="AC275" s="18">
        <f>IF(V275="Markdown Review",1,IF(V275="Reorder Candidate",2,IF(V275="Monitor",3,IF(V275="Noise",4,IF(V275="Not Ready",5,99)))))</f>
        <v/>
      </c>
      <c r="AD275" s="18">
        <f>IF(O275,COUNTIFS($O$5:$O$504,TRUE,$AC$5:$AC$504,"&lt;"&amp;AC275)+COUNTIFS($O$5:O275,TRUE,$AC$5:AC275,AC275,$Y$5:Y275,"&gt;"&amp;Y275),0)</f>
        <v/>
      </c>
    </row>
    <row r="276">
      <c r="A276" s="17">
        <f>IF(COUNTA('Weekly Input'!A276:C276)=0,"",'Weekly Input'!B276&amp;"|"&amp;'Weekly Input'!C276&amp;"|"&amp;TEXT('Weekly Input'!A276,"yyyy-mm-dd"))</f>
        <v/>
      </c>
      <c r="B276" s="18">
        <f>'Weekly Input'!B276</f>
        <v/>
      </c>
      <c r="C276" s="18">
        <f>'Weekly Input'!C276</f>
        <v/>
      </c>
      <c r="D276" s="18">
        <f>IF(B276="","",IFERROR(INDEX('Master Data'!$B$6:$B$145,MATCH(B276,'Master Data'!$A$6:$A$145,0)),""))</f>
        <v/>
      </c>
      <c r="E276" s="18">
        <f>IF(C276="","",IFERROR(INDEX('Master Data'!$H$6:$H$13,MATCH(C276,'Master Data'!$F$6:$F$13,0)),""))</f>
        <v/>
      </c>
      <c r="F276" s="19">
        <f>'Weekly Input'!A276</f>
        <v/>
      </c>
      <c r="G276" s="19">
        <f>IF(B276="","",IFERROR(INDEX('Master Data'!$D$6:$D$145,MATCH(B276,'Master Data'!$A$6:$A$145,0)),""))</f>
        <v/>
      </c>
      <c r="H276" s="18">
        <f>IF(OR(F276="",G276=""),"",F276-G276)</f>
        <v/>
      </c>
      <c r="I276" s="18">
        <f>IF(B276="","",IF('Weekly Input'!J276="OK",TRUE,FALSE))</f>
        <v/>
      </c>
      <c r="J276" s="18">
        <f>IF(B276="","",'Weekly Input'!H276&gt;=MinInStockDays)</f>
        <v/>
      </c>
      <c r="K276" s="18">
        <f>IF(B276="","",H276&gt;=FullCycleMin)</f>
        <v/>
      </c>
      <c r="L276" s="18">
        <f>IF(B276="","",AND(I276,J276,K276,N276&gt;=MinHistory))</f>
        <v/>
      </c>
      <c r="M276" s="20">
        <f>IF(OR(B276="",'Weekly Input'!H276=0),"",'Weekly Input'!D276/'Weekly Input'!H276*7)</f>
        <v/>
      </c>
      <c r="N276" s="18">
        <f>IF(B276="","",COUNTIFS($B$5:$B$504,B276,$C$5:$C$504,C276,$I$5:$I$504,TRUE,$J$5:$J$504,TRUE,$K$5:$K$504,TRUE))</f>
        <v/>
      </c>
      <c r="O276" s="18">
        <f>IF(B276="","",AND(F276=AsOfWeek,AsOfWeek&lt;&gt;""))</f>
        <v/>
      </c>
      <c r="P276" s="20">
        <f>IF(OR(B276="",AsOfWeek=""),"",IFERROR(SUMIFS($M$5:$M$504,$B$5:$B$504,B276,$C$5:$C$504,C276,$L$5:$L$504,TRUE,$F$5:$F$504,"&gt;="&amp;AsOfWeek-7*(RecentWeeks-1),$F$5:$F$504,"&lt;="&amp;AsOfWeek),""))</f>
        <v/>
      </c>
      <c r="Q276" s="20">
        <f>IF(OR(B276="",AsOfWeek=""),"",IFERROR(SUMIFS($M$5:$M$504,$B$5:$B$504,B276,$C$5:$C$504,C276,$L$5:$L$504,TRUE,$F$5:$F$504,"&gt;="&amp;AsOfWeek-7*(RecentWeeks+PriorWeeks-1),$F$5:$F$504,"&lt;"&amp;AsOfWeek-7*(RecentWeeks-1)),""))</f>
        <v/>
      </c>
      <c r="R276" s="21">
        <f>IF(OR(P276="",Q276="",Q276=0),"",P276/Q276-1)</f>
        <v/>
      </c>
      <c r="S276" s="20">
        <f>IF(OR(C276="",AsOfWeek=""),"",IFERROR(AVERAGEIFS($M$5:$M$504,$C$5:$C$504,C276,$L$5:$L$504,TRUE,$F$5:$F$504,"&gt;="&amp;AsOfWeek-7*(RecentWeeks-1),$F$5:$F$504,"&lt;="&amp;AsOfWeek),""))</f>
        <v/>
      </c>
      <c r="T276" s="21">
        <f>IF(OR(P276="",S276=""),"",P276/S276-1)</f>
        <v/>
      </c>
      <c r="U276" s="22">
        <f>IF(OR(B276="",'Weekly Input'!G276="",P276="",P276=0),"",'Weekly Input'!G276/P276)</f>
        <v/>
      </c>
      <c r="V276" s="18">
        <f>IF(B276="","",IF(NOT(I276),"Not Ready",IF(NOT(K276),"Not Ready",IF(N276&lt;MinHistory,"Not Ready",IF(NOT(J276),"Not Ready",IF(OR(Q276="",Q276=0),"Noise",IF(Q276&lt;LowBaseThreshold,"Noise",IF(AND(R276&lt;=-OwnDecline,T276&lt;=-PeerGapThreshold),"Markdown Review",IF(AND(R276&gt;=ReorderUplift,U276&lt;&gt;"",U276&lt;=WeeksSupplyCap),"Reorder Candidate","Monitor"))))))))</f>
        <v/>
      </c>
      <c r="W276" s="18">
        <f>IF(B276="","",IF(NOT(I276),"INVALID_MASTER",IF(NOT(K276),"INCOMPLETE_SHELF_CYCLE",IF(N276&lt;MinHistory,"INSUFFICIENT_HISTORY",IF(NOT(J276),"INSUFFICIENT_IN_STOCK",IF(OR(Q276="",Q276=0),"NO_PRIOR_BASE",IF(Q276&lt;LowBaseThreshold,"LOW_BASE_NOISE",IF(V276="Markdown Review","MARKDOWN_PEER_GAP",IF(V276="Reorder Candidate","REORDER_UPLIFT_COVER","NO_MATERIAL_CHANGE"))))))))</f>
        <v/>
      </c>
      <c r="X276" s="18">
        <f>IF(V276="Markdown Review","Markdown support",IF(V276="Reorder Candidate","Second reorder",IF(V276="Monitor","Monitor",IF(V276="Noise","Hold / collect data",IF(V276="Not Ready","Not ready","")))))</f>
        <v/>
      </c>
      <c r="Y276" s="18">
        <f>IF(OR(R276="",T276=""),"",ABS(R276)+ABS(T276))</f>
        <v/>
      </c>
      <c r="Z276" s="21">
        <f>IF(OR(B276="",NOT(O276),R276=""),"",IF(ABS(R276)&gt;=MaterialThreshold,"Yes","No"))</f>
        <v/>
      </c>
      <c r="AA276" s="18">
        <f>IF(Z276&lt;&gt;"Yes","",IF(ABS(R276)&gt;=MaterialThreshold,IF(ABS(R276)&gt;=BroadShare,"Broad SKU movement","Store-concentrated movement"),""))</f>
        <v/>
      </c>
      <c r="AB276" s="18">
        <f>IF(O276,IF(COUNTIFS($O$5:O276,TRUE)&gt;0,COUNTIFS($O$5:O276,TRUE),0),0)</f>
        <v/>
      </c>
      <c r="AC276" s="18">
        <f>IF(V276="Markdown Review",1,IF(V276="Reorder Candidate",2,IF(V276="Monitor",3,IF(V276="Noise",4,IF(V276="Not Ready",5,99)))))</f>
        <v/>
      </c>
      <c r="AD276" s="18">
        <f>IF(O276,COUNTIFS($O$5:$O$504,TRUE,$AC$5:$AC$504,"&lt;"&amp;AC276)+COUNTIFS($O$5:O276,TRUE,$AC$5:AC276,AC276,$Y$5:Y276,"&gt;"&amp;Y276),0)</f>
        <v/>
      </c>
    </row>
    <row r="277">
      <c r="A277" s="17">
        <f>IF(COUNTA('Weekly Input'!A277:C277)=0,"",'Weekly Input'!B277&amp;"|"&amp;'Weekly Input'!C277&amp;"|"&amp;TEXT('Weekly Input'!A277,"yyyy-mm-dd"))</f>
        <v/>
      </c>
      <c r="B277" s="18">
        <f>'Weekly Input'!B277</f>
        <v/>
      </c>
      <c r="C277" s="18">
        <f>'Weekly Input'!C277</f>
        <v/>
      </c>
      <c r="D277" s="18">
        <f>IF(B277="","",IFERROR(INDEX('Master Data'!$B$6:$B$145,MATCH(B277,'Master Data'!$A$6:$A$145,0)),""))</f>
        <v/>
      </c>
      <c r="E277" s="18">
        <f>IF(C277="","",IFERROR(INDEX('Master Data'!$H$6:$H$13,MATCH(C277,'Master Data'!$F$6:$F$13,0)),""))</f>
        <v/>
      </c>
      <c r="F277" s="19">
        <f>'Weekly Input'!A277</f>
        <v/>
      </c>
      <c r="G277" s="19">
        <f>IF(B277="","",IFERROR(INDEX('Master Data'!$D$6:$D$145,MATCH(B277,'Master Data'!$A$6:$A$145,0)),""))</f>
        <v/>
      </c>
      <c r="H277" s="18">
        <f>IF(OR(F277="",G277=""),"",F277-G277)</f>
        <v/>
      </c>
      <c r="I277" s="18">
        <f>IF(B277="","",IF('Weekly Input'!J277="OK",TRUE,FALSE))</f>
        <v/>
      </c>
      <c r="J277" s="18">
        <f>IF(B277="","",'Weekly Input'!H277&gt;=MinInStockDays)</f>
        <v/>
      </c>
      <c r="K277" s="18">
        <f>IF(B277="","",H277&gt;=FullCycleMin)</f>
        <v/>
      </c>
      <c r="L277" s="18">
        <f>IF(B277="","",AND(I277,J277,K277,N277&gt;=MinHistory))</f>
        <v/>
      </c>
      <c r="M277" s="20">
        <f>IF(OR(B277="",'Weekly Input'!H277=0),"",'Weekly Input'!D277/'Weekly Input'!H277*7)</f>
        <v/>
      </c>
      <c r="N277" s="18">
        <f>IF(B277="","",COUNTIFS($B$5:$B$504,B277,$C$5:$C$504,C277,$I$5:$I$504,TRUE,$J$5:$J$504,TRUE,$K$5:$K$504,TRUE))</f>
        <v/>
      </c>
      <c r="O277" s="18">
        <f>IF(B277="","",AND(F277=AsOfWeek,AsOfWeek&lt;&gt;""))</f>
        <v/>
      </c>
      <c r="P277" s="20">
        <f>IF(OR(B277="",AsOfWeek=""),"",IFERROR(SUMIFS($M$5:$M$504,$B$5:$B$504,B277,$C$5:$C$504,C277,$L$5:$L$504,TRUE,$F$5:$F$504,"&gt;="&amp;AsOfWeek-7*(RecentWeeks-1),$F$5:$F$504,"&lt;="&amp;AsOfWeek),""))</f>
        <v/>
      </c>
      <c r="Q277" s="20">
        <f>IF(OR(B277="",AsOfWeek=""),"",IFERROR(SUMIFS($M$5:$M$504,$B$5:$B$504,B277,$C$5:$C$504,C277,$L$5:$L$504,TRUE,$F$5:$F$504,"&gt;="&amp;AsOfWeek-7*(RecentWeeks+PriorWeeks-1),$F$5:$F$504,"&lt;"&amp;AsOfWeek-7*(RecentWeeks-1)),""))</f>
        <v/>
      </c>
      <c r="R277" s="21">
        <f>IF(OR(P277="",Q277="",Q277=0),"",P277/Q277-1)</f>
        <v/>
      </c>
      <c r="S277" s="20">
        <f>IF(OR(C277="",AsOfWeek=""),"",IFERROR(AVERAGEIFS($M$5:$M$504,$C$5:$C$504,C277,$L$5:$L$504,TRUE,$F$5:$F$504,"&gt;="&amp;AsOfWeek-7*(RecentWeeks-1),$F$5:$F$504,"&lt;="&amp;AsOfWeek),""))</f>
        <v/>
      </c>
      <c r="T277" s="21">
        <f>IF(OR(P277="",S277=""),"",P277/S277-1)</f>
        <v/>
      </c>
      <c r="U277" s="22">
        <f>IF(OR(B277="",'Weekly Input'!G277="",P277="",P277=0),"",'Weekly Input'!G277/P277)</f>
        <v/>
      </c>
      <c r="V277" s="18">
        <f>IF(B277="","",IF(NOT(I277),"Not Ready",IF(NOT(K277),"Not Ready",IF(N277&lt;MinHistory,"Not Ready",IF(NOT(J277),"Not Ready",IF(OR(Q277="",Q277=0),"Noise",IF(Q277&lt;LowBaseThreshold,"Noise",IF(AND(R277&lt;=-OwnDecline,T277&lt;=-PeerGapThreshold),"Markdown Review",IF(AND(R277&gt;=ReorderUplift,U277&lt;&gt;"",U277&lt;=WeeksSupplyCap),"Reorder Candidate","Monitor"))))))))</f>
        <v/>
      </c>
      <c r="W277" s="18">
        <f>IF(B277="","",IF(NOT(I277),"INVALID_MASTER",IF(NOT(K277),"INCOMPLETE_SHELF_CYCLE",IF(N277&lt;MinHistory,"INSUFFICIENT_HISTORY",IF(NOT(J277),"INSUFFICIENT_IN_STOCK",IF(OR(Q277="",Q277=0),"NO_PRIOR_BASE",IF(Q277&lt;LowBaseThreshold,"LOW_BASE_NOISE",IF(V277="Markdown Review","MARKDOWN_PEER_GAP",IF(V277="Reorder Candidate","REORDER_UPLIFT_COVER","NO_MATERIAL_CHANGE"))))))))</f>
        <v/>
      </c>
      <c r="X277" s="18">
        <f>IF(V277="Markdown Review","Markdown support",IF(V277="Reorder Candidate","Second reorder",IF(V277="Monitor","Monitor",IF(V277="Noise","Hold / collect data",IF(V277="Not Ready","Not ready","")))))</f>
        <v/>
      </c>
      <c r="Y277" s="18">
        <f>IF(OR(R277="",T277=""),"",ABS(R277)+ABS(T277))</f>
        <v/>
      </c>
      <c r="Z277" s="21">
        <f>IF(OR(B277="",NOT(O277),R277=""),"",IF(ABS(R277)&gt;=MaterialThreshold,"Yes","No"))</f>
        <v/>
      </c>
      <c r="AA277" s="18">
        <f>IF(Z277&lt;&gt;"Yes","",IF(ABS(R277)&gt;=MaterialThreshold,IF(ABS(R277)&gt;=BroadShare,"Broad SKU movement","Store-concentrated movement"),""))</f>
        <v/>
      </c>
      <c r="AB277" s="18">
        <f>IF(O277,IF(COUNTIFS($O$5:O277,TRUE)&gt;0,COUNTIFS($O$5:O277,TRUE),0),0)</f>
        <v/>
      </c>
      <c r="AC277" s="18">
        <f>IF(V277="Markdown Review",1,IF(V277="Reorder Candidate",2,IF(V277="Monitor",3,IF(V277="Noise",4,IF(V277="Not Ready",5,99)))))</f>
        <v/>
      </c>
      <c r="AD277" s="18">
        <f>IF(O277,COUNTIFS($O$5:$O$504,TRUE,$AC$5:$AC$504,"&lt;"&amp;AC277)+COUNTIFS($O$5:O277,TRUE,$AC$5:AC277,AC277,$Y$5:Y277,"&gt;"&amp;Y277),0)</f>
        <v/>
      </c>
    </row>
    <row r="278">
      <c r="A278" s="17">
        <f>IF(COUNTA('Weekly Input'!A278:C278)=0,"",'Weekly Input'!B278&amp;"|"&amp;'Weekly Input'!C278&amp;"|"&amp;TEXT('Weekly Input'!A278,"yyyy-mm-dd"))</f>
        <v/>
      </c>
      <c r="B278" s="18">
        <f>'Weekly Input'!B278</f>
        <v/>
      </c>
      <c r="C278" s="18">
        <f>'Weekly Input'!C278</f>
        <v/>
      </c>
      <c r="D278" s="18">
        <f>IF(B278="","",IFERROR(INDEX('Master Data'!$B$6:$B$145,MATCH(B278,'Master Data'!$A$6:$A$145,0)),""))</f>
        <v/>
      </c>
      <c r="E278" s="18">
        <f>IF(C278="","",IFERROR(INDEX('Master Data'!$H$6:$H$13,MATCH(C278,'Master Data'!$F$6:$F$13,0)),""))</f>
        <v/>
      </c>
      <c r="F278" s="19">
        <f>'Weekly Input'!A278</f>
        <v/>
      </c>
      <c r="G278" s="19">
        <f>IF(B278="","",IFERROR(INDEX('Master Data'!$D$6:$D$145,MATCH(B278,'Master Data'!$A$6:$A$145,0)),""))</f>
        <v/>
      </c>
      <c r="H278" s="18">
        <f>IF(OR(F278="",G278=""),"",F278-G278)</f>
        <v/>
      </c>
      <c r="I278" s="18">
        <f>IF(B278="","",IF('Weekly Input'!J278="OK",TRUE,FALSE))</f>
        <v/>
      </c>
      <c r="J278" s="18">
        <f>IF(B278="","",'Weekly Input'!H278&gt;=MinInStockDays)</f>
        <v/>
      </c>
      <c r="K278" s="18">
        <f>IF(B278="","",H278&gt;=FullCycleMin)</f>
        <v/>
      </c>
      <c r="L278" s="18">
        <f>IF(B278="","",AND(I278,J278,K278,N278&gt;=MinHistory))</f>
        <v/>
      </c>
      <c r="M278" s="20">
        <f>IF(OR(B278="",'Weekly Input'!H278=0),"",'Weekly Input'!D278/'Weekly Input'!H278*7)</f>
        <v/>
      </c>
      <c r="N278" s="18">
        <f>IF(B278="","",COUNTIFS($B$5:$B$504,B278,$C$5:$C$504,C278,$I$5:$I$504,TRUE,$J$5:$J$504,TRUE,$K$5:$K$504,TRUE))</f>
        <v/>
      </c>
      <c r="O278" s="18">
        <f>IF(B278="","",AND(F278=AsOfWeek,AsOfWeek&lt;&gt;""))</f>
        <v/>
      </c>
      <c r="P278" s="20">
        <f>IF(OR(B278="",AsOfWeek=""),"",IFERROR(SUMIFS($M$5:$M$504,$B$5:$B$504,B278,$C$5:$C$504,C278,$L$5:$L$504,TRUE,$F$5:$F$504,"&gt;="&amp;AsOfWeek-7*(RecentWeeks-1),$F$5:$F$504,"&lt;="&amp;AsOfWeek),""))</f>
        <v/>
      </c>
      <c r="Q278" s="20">
        <f>IF(OR(B278="",AsOfWeek=""),"",IFERROR(SUMIFS($M$5:$M$504,$B$5:$B$504,B278,$C$5:$C$504,C278,$L$5:$L$504,TRUE,$F$5:$F$504,"&gt;="&amp;AsOfWeek-7*(RecentWeeks+PriorWeeks-1),$F$5:$F$504,"&lt;"&amp;AsOfWeek-7*(RecentWeeks-1)),""))</f>
        <v/>
      </c>
      <c r="R278" s="21">
        <f>IF(OR(P278="",Q278="",Q278=0),"",P278/Q278-1)</f>
        <v/>
      </c>
      <c r="S278" s="20">
        <f>IF(OR(C278="",AsOfWeek=""),"",IFERROR(AVERAGEIFS($M$5:$M$504,$C$5:$C$504,C278,$L$5:$L$504,TRUE,$F$5:$F$504,"&gt;="&amp;AsOfWeek-7*(RecentWeeks-1),$F$5:$F$504,"&lt;="&amp;AsOfWeek),""))</f>
        <v/>
      </c>
      <c r="T278" s="21">
        <f>IF(OR(P278="",S278=""),"",P278/S278-1)</f>
        <v/>
      </c>
      <c r="U278" s="22">
        <f>IF(OR(B278="",'Weekly Input'!G278="",P278="",P278=0),"",'Weekly Input'!G278/P278)</f>
        <v/>
      </c>
      <c r="V278" s="18">
        <f>IF(B278="","",IF(NOT(I278),"Not Ready",IF(NOT(K278),"Not Ready",IF(N278&lt;MinHistory,"Not Ready",IF(NOT(J278),"Not Ready",IF(OR(Q278="",Q278=0),"Noise",IF(Q278&lt;LowBaseThreshold,"Noise",IF(AND(R278&lt;=-OwnDecline,T278&lt;=-PeerGapThreshold),"Markdown Review",IF(AND(R278&gt;=ReorderUplift,U278&lt;&gt;"",U278&lt;=WeeksSupplyCap),"Reorder Candidate","Monitor"))))))))</f>
        <v/>
      </c>
      <c r="W278" s="18">
        <f>IF(B278="","",IF(NOT(I278),"INVALID_MASTER",IF(NOT(K278),"INCOMPLETE_SHELF_CYCLE",IF(N278&lt;MinHistory,"INSUFFICIENT_HISTORY",IF(NOT(J278),"INSUFFICIENT_IN_STOCK",IF(OR(Q278="",Q278=0),"NO_PRIOR_BASE",IF(Q278&lt;LowBaseThreshold,"LOW_BASE_NOISE",IF(V278="Markdown Review","MARKDOWN_PEER_GAP",IF(V278="Reorder Candidate","REORDER_UPLIFT_COVER","NO_MATERIAL_CHANGE"))))))))</f>
        <v/>
      </c>
      <c r="X278" s="18">
        <f>IF(V278="Markdown Review","Markdown support",IF(V278="Reorder Candidate","Second reorder",IF(V278="Monitor","Monitor",IF(V278="Noise","Hold / collect data",IF(V278="Not Ready","Not ready","")))))</f>
        <v/>
      </c>
      <c r="Y278" s="18">
        <f>IF(OR(R278="",T278=""),"",ABS(R278)+ABS(T278))</f>
        <v/>
      </c>
      <c r="Z278" s="21">
        <f>IF(OR(B278="",NOT(O278),R278=""),"",IF(ABS(R278)&gt;=MaterialThreshold,"Yes","No"))</f>
        <v/>
      </c>
      <c r="AA278" s="18">
        <f>IF(Z278&lt;&gt;"Yes","",IF(ABS(R278)&gt;=MaterialThreshold,IF(ABS(R278)&gt;=BroadShare,"Broad SKU movement","Store-concentrated movement"),""))</f>
        <v/>
      </c>
      <c r="AB278" s="18">
        <f>IF(O278,IF(COUNTIFS($O$5:O278,TRUE)&gt;0,COUNTIFS($O$5:O278,TRUE),0),0)</f>
        <v/>
      </c>
      <c r="AC278" s="18">
        <f>IF(V278="Markdown Review",1,IF(V278="Reorder Candidate",2,IF(V278="Monitor",3,IF(V278="Noise",4,IF(V278="Not Ready",5,99)))))</f>
        <v/>
      </c>
      <c r="AD278" s="18">
        <f>IF(O278,COUNTIFS($O$5:$O$504,TRUE,$AC$5:$AC$504,"&lt;"&amp;AC278)+COUNTIFS($O$5:O278,TRUE,$AC$5:AC278,AC278,$Y$5:Y278,"&gt;"&amp;Y278),0)</f>
        <v/>
      </c>
    </row>
    <row r="279">
      <c r="A279" s="17">
        <f>IF(COUNTA('Weekly Input'!A279:C279)=0,"",'Weekly Input'!B279&amp;"|"&amp;'Weekly Input'!C279&amp;"|"&amp;TEXT('Weekly Input'!A279,"yyyy-mm-dd"))</f>
        <v/>
      </c>
      <c r="B279" s="18">
        <f>'Weekly Input'!B279</f>
        <v/>
      </c>
      <c r="C279" s="18">
        <f>'Weekly Input'!C279</f>
        <v/>
      </c>
      <c r="D279" s="18">
        <f>IF(B279="","",IFERROR(INDEX('Master Data'!$B$6:$B$145,MATCH(B279,'Master Data'!$A$6:$A$145,0)),""))</f>
        <v/>
      </c>
      <c r="E279" s="18">
        <f>IF(C279="","",IFERROR(INDEX('Master Data'!$H$6:$H$13,MATCH(C279,'Master Data'!$F$6:$F$13,0)),""))</f>
        <v/>
      </c>
      <c r="F279" s="19">
        <f>'Weekly Input'!A279</f>
        <v/>
      </c>
      <c r="G279" s="19">
        <f>IF(B279="","",IFERROR(INDEX('Master Data'!$D$6:$D$145,MATCH(B279,'Master Data'!$A$6:$A$145,0)),""))</f>
        <v/>
      </c>
      <c r="H279" s="18">
        <f>IF(OR(F279="",G279=""),"",F279-G279)</f>
        <v/>
      </c>
      <c r="I279" s="18">
        <f>IF(B279="","",IF('Weekly Input'!J279="OK",TRUE,FALSE))</f>
        <v/>
      </c>
      <c r="J279" s="18">
        <f>IF(B279="","",'Weekly Input'!H279&gt;=MinInStockDays)</f>
        <v/>
      </c>
      <c r="K279" s="18">
        <f>IF(B279="","",H279&gt;=FullCycleMin)</f>
        <v/>
      </c>
      <c r="L279" s="18">
        <f>IF(B279="","",AND(I279,J279,K279,N279&gt;=MinHistory))</f>
        <v/>
      </c>
      <c r="M279" s="20">
        <f>IF(OR(B279="",'Weekly Input'!H279=0),"",'Weekly Input'!D279/'Weekly Input'!H279*7)</f>
        <v/>
      </c>
      <c r="N279" s="18">
        <f>IF(B279="","",COUNTIFS($B$5:$B$504,B279,$C$5:$C$504,C279,$I$5:$I$504,TRUE,$J$5:$J$504,TRUE,$K$5:$K$504,TRUE))</f>
        <v/>
      </c>
      <c r="O279" s="18">
        <f>IF(B279="","",AND(F279=AsOfWeek,AsOfWeek&lt;&gt;""))</f>
        <v/>
      </c>
      <c r="P279" s="20">
        <f>IF(OR(B279="",AsOfWeek=""),"",IFERROR(SUMIFS($M$5:$M$504,$B$5:$B$504,B279,$C$5:$C$504,C279,$L$5:$L$504,TRUE,$F$5:$F$504,"&gt;="&amp;AsOfWeek-7*(RecentWeeks-1),$F$5:$F$504,"&lt;="&amp;AsOfWeek),""))</f>
        <v/>
      </c>
      <c r="Q279" s="20">
        <f>IF(OR(B279="",AsOfWeek=""),"",IFERROR(SUMIFS($M$5:$M$504,$B$5:$B$504,B279,$C$5:$C$504,C279,$L$5:$L$504,TRUE,$F$5:$F$504,"&gt;="&amp;AsOfWeek-7*(RecentWeeks+PriorWeeks-1),$F$5:$F$504,"&lt;"&amp;AsOfWeek-7*(RecentWeeks-1)),""))</f>
        <v/>
      </c>
      <c r="R279" s="21">
        <f>IF(OR(P279="",Q279="",Q279=0),"",P279/Q279-1)</f>
        <v/>
      </c>
      <c r="S279" s="20">
        <f>IF(OR(C279="",AsOfWeek=""),"",IFERROR(AVERAGEIFS($M$5:$M$504,$C$5:$C$504,C279,$L$5:$L$504,TRUE,$F$5:$F$504,"&gt;="&amp;AsOfWeek-7*(RecentWeeks-1),$F$5:$F$504,"&lt;="&amp;AsOfWeek),""))</f>
        <v/>
      </c>
      <c r="T279" s="21">
        <f>IF(OR(P279="",S279=""),"",P279/S279-1)</f>
        <v/>
      </c>
      <c r="U279" s="22">
        <f>IF(OR(B279="",'Weekly Input'!G279="",P279="",P279=0),"",'Weekly Input'!G279/P279)</f>
        <v/>
      </c>
      <c r="V279" s="18">
        <f>IF(B279="","",IF(NOT(I279),"Not Ready",IF(NOT(K279),"Not Ready",IF(N279&lt;MinHistory,"Not Ready",IF(NOT(J279),"Not Ready",IF(OR(Q279="",Q279=0),"Noise",IF(Q279&lt;LowBaseThreshold,"Noise",IF(AND(R279&lt;=-OwnDecline,T279&lt;=-PeerGapThreshold),"Markdown Review",IF(AND(R279&gt;=ReorderUplift,U279&lt;&gt;"",U279&lt;=WeeksSupplyCap),"Reorder Candidate","Monitor"))))))))</f>
        <v/>
      </c>
      <c r="W279" s="18">
        <f>IF(B279="","",IF(NOT(I279),"INVALID_MASTER",IF(NOT(K279),"INCOMPLETE_SHELF_CYCLE",IF(N279&lt;MinHistory,"INSUFFICIENT_HISTORY",IF(NOT(J279),"INSUFFICIENT_IN_STOCK",IF(OR(Q279="",Q279=0),"NO_PRIOR_BASE",IF(Q279&lt;LowBaseThreshold,"LOW_BASE_NOISE",IF(V279="Markdown Review","MARKDOWN_PEER_GAP",IF(V279="Reorder Candidate","REORDER_UPLIFT_COVER","NO_MATERIAL_CHANGE"))))))))</f>
        <v/>
      </c>
      <c r="X279" s="18">
        <f>IF(V279="Markdown Review","Markdown support",IF(V279="Reorder Candidate","Second reorder",IF(V279="Monitor","Monitor",IF(V279="Noise","Hold / collect data",IF(V279="Not Ready","Not ready","")))))</f>
        <v/>
      </c>
      <c r="Y279" s="18">
        <f>IF(OR(R279="",T279=""),"",ABS(R279)+ABS(T279))</f>
        <v/>
      </c>
      <c r="Z279" s="21">
        <f>IF(OR(B279="",NOT(O279),R279=""),"",IF(ABS(R279)&gt;=MaterialThreshold,"Yes","No"))</f>
        <v/>
      </c>
      <c r="AA279" s="18">
        <f>IF(Z279&lt;&gt;"Yes","",IF(ABS(R279)&gt;=MaterialThreshold,IF(ABS(R279)&gt;=BroadShare,"Broad SKU movement","Store-concentrated movement"),""))</f>
        <v/>
      </c>
      <c r="AB279" s="18">
        <f>IF(O279,IF(COUNTIFS($O$5:O279,TRUE)&gt;0,COUNTIFS($O$5:O279,TRUE),0),0)</f>
        <v/>
      </c>
      <c r="AC279" s="18">
        <f>IF(V279="Markdown Review",1,IF(V279="Reorder Candidate",2,IF(V279="Monitor",3,IF(V279="Noise",4,IF(V279="Not Ready",5,99)))))</f>
        <v/>
      </c>
      <c r="AD279" s="18">
        <f>IF(O279,COUNTIFS($O$5:$O$504,TRUE,$AC$5:$AC$504,"&lt;"&amp;AC279)+COUNTIFS($O$5:O279,TRUE,$AC$5:AC279,AC279,$Y$5:Y279,"&gt;"&amp;Y279),0)</f>
        <v/>
      </c>
    </row>
    <row r="280">
      <c r="A280" s="17">
        <f>IF(COUNTA('Weekly Input'!A280:C280)=0,"",'Weekly Input'!B280&amp;"|"&amp;'Weekly Input'!C280&amp;"|"&amp;TEXT('Weekly Input'!A280,"yyyy-mm-dd"))</f>
        <v/>
      </c>
      <c r="B280" s="18">
        <f>'Weekly Input'!B280</f>
        <v/>
      </c>
      <c r="C280" s="18">
        <f>'Weekly Input'!C280</f>
        <v/>
      </c>
      <c r="D280" s="18">
        <f>IF(B280="","",IFERROR(INDEX('Master Data'!$B$6:$B$145,MATCH(B280,'Master Data'!$A$6:$A$145,0)),""))</f>
        <v/>
      </c>
      <c r="E280" s="18">
        <f>IF(C280="","",IFERROR(INDEX('Master Data'!$H$6:$H$13,MATCH(C280,'Master Data'!$F$6:$F$13,0)),""))</f>
        <v/>
      </c>
      <c r="F280" s="19">
        <f>'Weekly Input'!A280</f>
        <v/>
      </c>
      <c r="G280" s="19">
        <f>IF(B280="","",IFERROR(INDEX('Master Data'!$D$6:$D$145,MATCH(B280,'Master Data'!$A$6:$A$145,0)),""))</f>
        <v/>
      </c>
      <c r="H280" s="18">
        <f>IF(OR(F280="",G280=""),"",F280-G280)</f>
        <v/>
      </c>
      <c r="I280" s="18">
        <f>IF(B280="","",IF('Weekly Input'!J280="OK",TRUE,FALSE))</f>
        <v/>
      </c>
      <c r="J280" s="18">
        <f>IF(B280="","",'Weekly Input'!H280&gt;=MinInStockDays)</f>
        <v/>
      </c>
      <c r="K280" s="18">
        <f>IF(B280="","",H280&gt;=FullCycleMin)</f>
        <v/>
      </c>
      <c r="L280" s="18">
        <f>IF(B280="","",AND(I280,J280,K280,N280&gt;=MinHistory))</f>
        <v/>
      </c>
      <c r="M280" s="20">
        <f>IF(OR(B280="",'Weekly Input'!H280=0),"",'Weekly Input'!D280/'Weekly Input'!H280*7)</f>
        <v/>
      </c>
      <c r="N280" s="18">
        <f>IF(B280="","",COUNTIFS($B$5:$B$504,B280,$C$5:$C$504,C280,$I$5:$I$504,TRUE,$J$5:$J$504,TRUE,$K$5:$K$504,TRUE))</f>
        <v/>
      </c>
      <c r="O280" s="18">
        <f>IF(B280="","",AND(F280=AsOfWeek,AsOfWeek&lt;&gt;""))</f>
        <v/>
      </c>
      <c r="P280" s="20">
        <f>IF(OR(B280="",AsOfWeek=""),"",IFERROR(SUMIFS($M$5:$M$504,$B$5:$B$504,B280,$C$5:$C$504,C280,$L$5:$L$504,TRUE,$F$5:$F$504,"&gt;="&amp;AsOfWeek-7*(RecentWeeks-1),$F$5:$F$504,"&lt;="&amp;AsOfWeek),""))</f>
        <v/>
      </c>
      <c r="Q280" s="20">
        <f>IF(OR(B280="",AsOfWeek=""),"",IFERROR(SUMIFS($M$5:$M$504,$B$5:$B$504,B280,$C$5:$C$504,C280,$L$5:$L$504,TRUE,$F$5:$F$504,"&gt;="&amp;AsOfWeek-7*(RecentWeeks+PriorWeeks-1),$F$5:$F$504,"&lt;"&amp;AsOfWeek-7*(RecentWeeks-1)),""))</f>
        <v/>
      </c>
      <c r="R280" s="21">
        <f>IF(OR(P280="",Q280="",Q280=0),"",P280/Q280-1)</f>
        <v/>
      </c>
      <c r="S280" s="20">
        <f>IF(OR(C280="",AsOfWeek=""),"",IFERROR(AVERAGEIFS($M$5:$M$504,$C$5:$C$504,C280,$L$5:$L$504,TRUE,$F$5:$F$504,"&gt;="&amp;AsOfWeek-7*(RecentWeeks-1),$F$5:$F$504,"&lt;="&amp;AsOfWeek),""))</f>
        <v/>
      </c>
      <c r="T280" s="21">
        <f>IF(OR(P280="",S280=""),"",P280/S280-1)</f>
        <v/>
      </c>
      <c r="U280" s="22">
        <f>IF(OR(B280="",'Weekly Input'!G280="",P280="",P280=0),"",'Weekly Input'!G280/P280)</f>
        <v/>
      </c>
      <c r="V280" s="18">
        <f>IF(B280="","",IF(NOT(I280),"Not Ready",IF(NOT(K280),"Not Ready",IF(N280&lt;MinHistory,"Not Ready",IF(NOT(J280),"Not Ready",IF(OR(Q280="",Q280=0),"Noise",IF(Q280&lt;LowBaseThreshold,"Noise",IF(AND(R280&lt;=-OwnDecline,T280&lt;=-PeerGapThreshold),"Markdown Review",IF(AND(R280&gt;=ReorderUplift,U280&lt;&gt;"",U280&lt;=WeeksSupplyCap),"Reorder Candidate","Monitor"))))))))</f>
        <v/>
      </c>
      <c r="W280" s="18">
        <f>IF(B280="","",IF(NOT(I280),"INVALID_MASTER",IF(NOT(K280),"INCOMPLETE_SHELF_CYCLE",IF(N280&lt;MinHistory,"INSUFFICIENT_HISTORY",IF(NOT(J280),"INSUFFICIENT_IN_STOCK",IF(OR(Q280="",Q280=0),"NO_PRIOR_BASE",IF(Q280&lt;LowBaseThreshold,"LOW_BASE_NOISE",IF(V280="Markdown Review","MARKDOWN_PEER_GAP",IF(V280="Reorder Candidate","REORDER_UPLIFT_COVER","NO_MATERIAL_CHANGE"))))))))</f>
        <v/>
      </c>
      <c r="X280" s="18">
        <f>IF(V280="Markdown Review","Markdown support",IF(V280="Reorder Candidate","Second reorder",IF(V280="Monitor","Monitor",IF(V280="Noise","Hold / collect data",IF(V280="Not Ready","Not ready","")))))</f>
        <v/>
      </c>
      <c r="Y280" s="18">
        <f>IF(OR(R280="",T280=""),"",ABS(R280)+ABS(T280))</f>
        <v/>
      </c>
      <c r="Z280" s="21">
        <f>IF(OR(B280="",NOT(O280),R280=""),"",IF(ABS(R280)&gt;=MaterialThreshold,"Yes","No"))</f>
        <v/>
      </c>
      <c r="AA280" s="18">
        <f>IF(Z280&lt;&gt;"Yes","",IF(ABS(R280)&gt;=MaterialThreshold,IF(ABS(R280)&gt;=BroadShare,"Broad SKU movement","Store-concentrated movement"),""))</f>
        <v/>
      </c>
      <c r="AB280" s="18">
        <f>IF(O280,IF(COUNTIFS($O$5:O280,TRUE)&gt;0,COUNTIFS($O$5:O280,TRUE),0),0)</f>
        <v/>
      </c>
      <c r="AC280" s="18">
        <f>IF(V280="Markdown Review",1,IF(V280="Reorder Candidate",2,IF(V280="Monitor",3,IF(V280="Noise",4,IF(V280="Not Ready",5,99)))))</f>
        <v/>
      </c>
      <c r="AD280" s="18">
        <f>IF(O280,COUNTIFS($O$5:$O$504,TRUE,$AC$5:$AC$504,"&lt;"&amp;AC280)+COUNTIFS($O$5:O280,TRUE,$AC$5:AC280,AC280,$Y$5:Y280,"&gt;"&amp;Y280),0)</f>
        <v/>
      </c>
    </row>
    <row r="281">
      <c r="A281" s="17">
        <f>IF(COUNTA('Weekly Input'!A281:C281)=0,"",'Weekly Input'!B281&amp;"|"&amp;'Weekly Input'!C281&amp;"|"&amp;TEXT('Weekly Input'!A281,"yyyy-mm-dd"))</f>
        <v/>
      </c>
      <c r="B281" s="18">
        <f>'Weekly Input'!B281</f>
        <v/>
      </c>
      <c r="C281" s="18">
        <f>'Weekly Input'!C281</f>
        <v/>
      </c>
      <c r="D281" s="18">
        <f>IF(B281="","",IFERROR(INDEX('Master Data'!$B$6:$B$145,MATCH(B281,'Master Data'!$A$6:$A$145,0)),""))</f>
        <v/>
      </c>
      <c r="E281" s="18">
        <f>IF(C281="","",IFERROR(INDEX('Master Data'!$H$6:$H$13,MATCH(C281,'Master Data'!$F$6:$F$13,0)),""))</f>
        <v/>
      </c>
      <c r="F281" s="19">
        <f>'Weekly Input'!A281</f>
        <v/>
      </c>
      <c r="G281" s="19">
        <f>IF(B281="","",IFERROR(INDEX('Master Data'!$D$6:$D$145,MATCH(B281,'Master Data'!$A$6:$A$145,0)),""))</f>
        <v/>
      </c>
      <c r="H281" s="18">
        <f>IF(OR(F281="",G281=""),"",F281-G281)</f>
        <v/>
      </c>
      <c r="I281" s="18">
        <f>IF(B281="","",IF('Weekly Input'!J281="OK",TRUE,FALSE))</f>
        <v/>
      </c>
      <c r="J281" s="18">
        <f>IF(B281="","",'Weekly Input'!H281&gt;=MinInStockDays)</f>
        <v/>
      </c>
      <c r="K281" s="18">
        <f>IF(B281="","",H281&gt;=FullCycleMin)</f>
        <v/>
      </c>
      <c r="L281" s="18">
        <f>IF(B281="","",AND(I281,J281,K281,N281&gt;=MinHistory))</f>
        <v/>
      </c>
      <c r="M281" s="20">
        <f>IF(OR(B281="",'Weekly Input'!H281=0),"",'Weekly Input'!D281/'Weekly Input'!H281*7)</f>
        <v/>
      </c>
      <c r="N281" s="18">
        <f>IF(B281="","",COUNTIFS($B$5:$B$504,B281,$C$5:$C$504,C281,$I$5:$I$504,TRUE,$J$5:$J$504,TRUE,$K$5:$K$504,TRUE))</f>
        <v/>
      </c>
      <c r="O281" s="18">
        <f>IF(B281="","",AND(F281=AsOfWeek,AsOfWeek&lt;&gt;""))</f>
        <v/>
      </c>
      <c r="P281" s="20">
        <f>IF(OR(B281="",AsOfWeek=""),"",IFERROR(SUMIFS($M$5:$M$504,$B$5:$B$504,B281,$C$5:$C$504,C281,$L$5:$L$504,TRUE,$F$5:$F$504,"&gt;="&amp;AsOfWeek-7*(RecentWeeks-1),$F$5:$F$504,"&lt;="&amp;AsOfWeek),""))</f>
        <v/>
      </c>
      <c r="Q281" s="20">
        <f>IF(OR(B281="",AsOfWeek=""),"",IFERROR(SUMIFS($M$5:$M$504,$B$5:$B$504,B281,$C$5:$C$504,C281,$L$5:$L$504,TRUE,$F$5:$F$504,"&gt;="&amp;AsOfWeek-7*(RecentWeeks+PriorWeeks-1),$F$5:$F$504,"&lt;"&amp;AsOfWeek-7*(RecentWeeks-1)),""))</f>
        <v/>
      </c>
      <c r="R281" s="21">
        <f>IF(OR(P281="",Q281="",Q281=0),"",P281/Q281-1)</f>
        <v/>
      </c>
      <c r="S281" s="20">
        <f>IF(OR(C281="",AsOfWeek=""),"",IFERROR(AVERAGEIFS($M$5:$M$504,$C$5:$C$504,C281,$L$5:$L$504,TRUE,$F$5:$F$504,"&gt;="&amp;AsOfWeek-7*(RecentWeeks-1),$F$5:$F$504,"&lt;="&amp;AsOfWeek),""))</f>
        <v/>
      </c>
      <c r="T281" s="21">
        <f>IF(OR(P281="",S281=""),"",P281/S281-1)</f>
        <v/>
      </c>
      <c r="U281" s="22">
        <f>IF(OR(B281="",'Weekly Input'!G281="",P281="",P281=0),"",'Weekly Input'!G281/P281)</f>
        <v/>
      </c>
      <c r="V281" s="18">
        <f>IF(B281="","",IF(NOT(I281),"Not Ready",IF(NOT(K281),"Not Ready",IF(N281&lt;MinHistory,"Not Ready",IF(NOT(J281),"Not Ready",IF(OR(Q281="",Q281=0),"Noise",IF(Q281&lt;LowBaseThreshold,"Noise",IF(AND(R281&lt;=-OwnDecline,T281&lt;=-PeerGapThreshold),"Markdown Review",IF(AND(R281&gt;=ReorderUplift,U281&lt;&gt;"",U281&lt;=WeeksSupplyCap),"Reorder Candidate","Monitor"))))))))</f>
        <v/>
      </c>
      <c r="W281" s="18">
        <f>IF(B281="","",IF(NOT(I281),"INVALID_MASTER",IF(NOT(K281),"INCOMPLETE_SHELF_CYCLE",IF(N281&lt;MinHistory,"INSUFFICIENT_HISTORY",IF(NOT(J281),"INSUFFICIENT_IN_STOCK",IF(OR(Q281="",Q281=0),"NO_PRIOR_BASE",IF(Q281&lt;LowBaseThreshold,"LOW_BASE_NOISE",IF(V281="Markdown Review","MARKDOWN_PEER_GAP",IF(V281="Reorder Candidate","REORDER_UPLIFT_COVER","NO_MATERIAL_CHANGE"))))))))</f>
        <v/>
      </c>
      <c r="X281" s="18">
        <f>IF(V281="Markdown Review","Markdown support",IF(V281="Reorder Candidate","Second reorder",IF(V281="Monitor","Monitor",IF(V281="Noise","Hold / collect data",IF(V281="Not Ready","Not ready","")))))</f>
        <v/>
      </c>
      <c r="Y281" s="18">
        <f>IF(OR(R281="",T281=""),"",ABS(R281)+ABS(T281))</f>
        <v/>
      </c>
      <c r="Z281" s="21">
        <f>IF(OR(B281="",NOT(O281),R281=""),"",IF(ABS(R281)&gt;=MaterialThreshold,"Yes","No"))</f>
        <v/>
      </c>
      <c r="AA281" s="18">
        <f>IF(Z281&lt;&gt;"Yes","",IF(ABS(R281)&gt;=MaterialThreshold,IF(ABS(R281)&gt;=BroadShare,"Broad SKU movement","Store-concentrated movement"),""))</f>
        <v/>
      </c>
      <c r="AB281" s="18">
        <f>IF(O281,IF(COUNTIFS($O$5:O281,TRUE)&gt;0,COUNTIFS($O$5:O281,TRUE),0),0)</f>
        <v/>
      </c>
      <c r="AC281" s="18">
        <f>IF(V281="Markdown Review",1,IF(V281="Reorder Candidate",2,IF(V281="Monitor",3,IF(V281="Noise",4,IF(V281="Not Ready",5,99)))))</f>
        <v/>
      </c>
      <c r="AD281" s="18">
        <f>IF(O281,COUNTIFS($O$5:$O$504,TRUE,$AC$5:$AC$504,"&lt;"&amp;AC281)+COUNTIFS($O$5:O281,TRUE,$AC$5:AC281,AC281,$Y$5:Y281,"&gt;"&amp;Y281),0)</f>
        <v/>
      </c>
    </row>
    <row r="282">
      <c r="A282" s="17">
        <f>IF(COUNTA('Weekly Input'!A282:C282)=0,"",'Weekly Input'!B282&amp;"|"&amp;'Weekly Input'!C282&amp;"|"&amp;TEXT('Weekly Input'!A282,"yyyy-mm-dd"))</f>
        <v/>
      </c>
      <c r="B282" s="18">
        <f>'Weekly Input'!B282</f>
        <v/>
      </c>
      <c r="C282" s="18">
        <f>'Weekly Input'!C282</f>
        <v/>
      </c>
      <c r="D282" s="18">
        <f>IF(B282="","",IFERROR(INDEX('Master Data'!$B$6:$B$145,MATCH(B282,'Master Data'!$A$6:$A$145,0)),""))</f>
        <v/>
      </c>
      <c r="E282" s="18">
        <f>IF(C282="","",IFERROR(INDEX('Master Data'!$H$6:$H$13,MATCH(C282,'Master Data'!$F$6:$F$13,0)),""))</f>
        <v/>
      </c>
      <c r="F282" s="19">
        <f>'Weekly Input'!A282</f>
        <v/>
      </c>
      <c r="G282" s="19">
        <f>IF(B282="","",IFERROR(INDEX('Master Data'!$D$6:$D$145,MATCH(B282,'Master Data'!$A$6:$A$145,0)),""))</f>
        <v/>
      </c>
      <c r="H282" s="18">
        <f>IF(OR(F282="",G282=""),"",F282-G282)</f>
        <v/>
      </c>
      <c r="I282" s="18">
        <f>IF(B282="","",IF('Weekly Input'!J282="OK",TRUE,FALSE))</f>
        <v/>
      </c>
      <c r="J282" s="18">
        <f>IF(B282="","",'Weekly Input'!H282&gt;=MinInStockDays)</f>
        <v/>
      </c>
      <c r="K282" s="18">
        <f>IF(B282="","",H282&gt;=FullCycleMin)</f>
        <v/>
      </c>
      <c r="L282" s="18">
        <f>IF(B282="","",AND(I282,J282,K282,N282&gt;=MinHistory))</f>
        <v/>
      </c>
      <c r="M282" s="20">
        <f>IF(OR(B282="",'Weekly Input'!H282=0),"",'Weekly Input'!D282/'Weekly Input'!H282*7)</f>
        <v/>
      </c>
      <c r="N282" s="18">
        <f>IF(B282="","",COUNTIFS($B$5:$B$504,B282,$C$5:$C$504,C282,$I$5:$I$504,TRUE,$J$5:$J$504,TRUE,$K$5:$K$504,TRUE))</f>
        <v/>
      </c>
      <c r="O282" s="18">
        <f>IF(B282="","",AND(F282=AsOfWeek,AsOfWeek&lt;&gt;""))</f>
        <v/>
      </c>
      <c r="P282" s="20">
        <f>IF(OR(B282="",AsOfWeek=""),"",IFERROR(SUMIFS($M$5:$M$504,$B$5:$B$504,B282,$C$5:$C$504,C282,$L$5:$L$504,TRUE,$F$5:$F$504,"&gt;="&amp;AsOfWeek-7*(RecentWeeks-1),$F$5:$F$504,"&lt;="&amp;AsOfWeek),""))</f>
        <v/>
      </c>
      <c r="Q282" s="20">
        <f>IF(OR(B282="",AsOfWeek=""),"",IFERROR(SUMIFS($M$5:$M$504,$B$5:$B$504,B282,$C$5:$C$504,C282,$L$5:$L$504,TRUE,$F$5:$F$504,"&gt;="&amp;AsOfWeek-7*(RecentWeeks+PriorWeeks-1),$F$5:$F$504,"&lt;"&amp;AsOfWeek-7*(RecentWeeks-1)),""))</f>
        <v/>
      </c>
      <c r="R282" s="21">
        <f>IF(OR(P282="",Q282="",Q282=0),"",P282/Q282-1)</f>
        <v/>
      </c>
      <c r="S282" s="20">
        <f>IF(OR(C282="",AsOfWeek=""),"",IFERROR(AVERAGEIFS($M$5:$M$504,$C$5:$C$504,C282,$L$5:$L$504,TRUE,$F$5:$F$504,"&gt;="&amp;AsOfWeek-7*(RecentWeeks-1),$F$5:$F$504,"&lt;="&amp;AsOfWeek),""))</f>
        <v/>
      </c>
      <c r="T282" s="21">
        <f>IF(OR(P282="",S282=""),"",P282/S282-1)</f>
        <v/>
      </c>
      <c r="U282" s="22">
        <f>IF(OR(B282="",'Weekly Input'!G282="",P282="",P282=0),"",'Weekly Input'!G282/P282)</f>
        <v/>
      </c>
      <c r="V282" s="18">
        <f>IF(B282="","",IF(NOT(I282),"Not Ready",IF(NOT(K282),"Not Ready",IF(N282&lt;MinHistory,"Not Ready",IF(NOT(J282),"Not Ready",IF(OR(Q282="",Q282=0),"Noise",IF(Q282&lt;LowBaseThreshold,"Noise",IF(AND(R282&lt;=-OwnDecline,T282&lt;=-PeerGapThreshold),"Markdown Review",IF(AND(R282&gt;=ReorderUplift,U282&lt;&gt;"",U282&lt;=WeeksSupplyCap),"Reorder Candidate","Monitor"))))))))</f>
        <v/>
      </c>
      <c r="W282" s="18">
        <f>IF(B282="","",IF(NOT(I282),"INVALID_MASTER",IF(NOT(K282),"INCOMPLETE_SHELF_CYCLE",IF(N282&lt;MinHistory,"INSUFFICIENT_HISTORY",IF(NOT(J282),"INSUFFICIENT_IN_STOCK",IF(OR(Q282="",Q282=0),"NO_PRIOR_BASE",IF(Q282&lt;LowBaseThreshold,"LOW_BASE_NOISE",IF(V282="Markdown Review","MARKDOWN_PEER_GAP",IF(V282="Reorder Candidate","REORDER_UPLIFT_COVER","NO_MATERIAL_CHANGE"))))))))</f>
        <v/>
      </c>
      <c r="X282" s="18">
        <f>IF(V282="Markdown Review","Markdown support",IF(V282="Reorder Candidate","Second reorder",IF(V282="Monitor","Monitor",IF(V282="Noise","Hold / collect data",IF(V282="Not Ready","Not ready","")))))</f>
        <v/>
      </c>
      <c r="Y282" s="18">
        <f>IF(OR(R282="",T282=""),"",ABS(R282)+ABS(T282))</f>
        <v/>
      </c>
      <c r="Z282" s="21">
        <f>IF(OR(B282="",NOT(O282),R282=""),"",IF(ABS(R282)&gt;=MaterialThreshold,"Yes","No"))</f>
        <v/>
      </c>
      <c r="AA282" s="18">
        <f>IF(Z282&lt;&gt;"Yes","",IF(ABS(R282)&gt;=MaterialThreshold,IF(ABS(R282)&gt;=BroadShare,"Broad SKU movement","Store-concentrated movement"),""))</f>
        <v/>
      </c>
      <c r="AB282" s="18">
        <f>IF(O282,IF(COUNTIFS($O$5:O282,TRUE)&gt;0,COUNTIFS($O$5:O282,TRUE),0),0)</f>
        <v/>
      </c>
      <c r="AC282" s="18">
        <f>IF(V282="Markdown Review",1,IF(V282="Reorder Candidate",2,IF(V282="Monitor",3,IF(V282="Noise",4,IF(V282="Not Ready",5,99)))))</f>
        <v/>
      </c>
      <c r="AD282" s="18">
        <f>IF(O282,COUNTIFS($O$5:$O$504,TRUE,$AC$5:$AC$504,"&lt;"&amp;AC282)+COUNTIFS($O$5:O282,TRUE,$AC$5:AC282,AC282,$Y$5:Y282,"&gt;"&amp;Y282),0)</f>
        <v/>
      </c>
    </row>
    <row r="283">
      <c r="A283" s="17">
        <f>IF(COUNTA('Weekly Input'!A283:C283)=0,"",'Weekly Input'!B283&amp;"|"&amp;'Weekly Input'!C283&amp;"|"&amp;TEXT('Weekly Input'!A283,"yyyy-mm-dd"))</f>
        <v/>
      </c>
      <c r="B283" s="18">
        <f>'Weekly Input'!B283</f>
        <v/>
      </c>
      <c r="C283" s="18">
        <f>'Weekly Input'!C283</f>
        <v/>
      </c>
      <c r="D283" s="18">
        <f>IF(B283="","",IFERROR(INDEX('Master Data'!$B$6:$B$145,MATCH(B283,'Master Data'!$A$6:$A$145,0)),""))</f>
        <v/>
      </c>
      <c r="E283" s="18">
        <f>IF(C283="","",IFERROR(INDEX('Master Data'!$H$6:$H$13,MATCH(C283,'Master Data'!$F$6:$F$13,0)),""))</f>
        <v/>
      </c>
      <c r="F283" s="19">
        <f>'Weekly Input'!A283</f>
        <v/>
      </c>
      <c r="G283" s="19">
        <f>IF(B283="","",IFERROR(INDEX('Master Data'!$D$6:$D$145,MATCH(B283,'Master Data'!$A$6:$A$145,0)),""))</f>
        <v/>
      </c>
      <c r="H283" s="18">
        <f>IF(OR(F283="",G283=""),"",F283-G283)</f>
        <v/>
      </c>
      <c r="I283" s="18">
        <f>IF(B283="","",IF('Weekly Input'!J283="OK",TRUE,FALSE))</f>
        <v/>
      </c>
      <c r="J283" s="18">
        <f>IF(B283="","",'Weekly Input'!H283&gt;=MinInStockDays)</f>
        <v/>
      </c>
      <c r="K283" s="18">
        <f>IF(B283="","",H283&gt;=FullCycleMin)</f>
        <v/>
      </c>
      <c r="L283" s="18">
        <f>IF(B283="","",AND(I283,J283,K283,N283&gt;=MinHistory))</f>
        <v/>
      </c>
      <c r="M283" s="20">
        <f>IF(OR(B283="",'Weekly Input'!H283=0),"",'Weekly Input'!D283/'Weekly Input'!H283*7)</f>
        <v/>
      </c>
      <c r="N283" s="18">
        <f>IF(B283="","",COUNTIFS($B$5:$B$504,B283,$C$5:$C$504,C283,$I$5:$I$504,TRUE,$J$5:$J$504,TRUE,$K$5:$K$504,TRUE))</f>
        <v/>
      </c>
      <c r="O283" s="18">
        <f>IF(B283="","",AND(F283=AsOfWeek,AsOfWeek&lt;&gt;""))</f>
        <v/>
      </c>
      <c r="P283" s="20">
        <f>IF(OR(B283="",AsOfWeek=""),"",IFERROR(SUMIFS($M$5:$M$504,$B$5:$B$504,B283,$C$5:$C$504,C283,$L$5:$L$504,TRUE,$F$5:$F$504,"&gt;="&amp;AsOfWeek-7*(RecentWeeks-1),$F$5:$F$504,"&lt;="&amp;AsOfWeek),""))</f>
        <v/>
      </c>
      <c r="Q283" s="20">
        <f>IF(OR(B283="",AsOfWeek=""),"",IFERROR(SUMIFS($M$5:$M$504,$B$5:$B$504,B283,$C$5:$C$504,C283,$L$5:$L$504,TRUE,$F$5:$F$504,"&gt;="&amp;AsOfWeek-7*(RecentWeeks+PriorWeeks-1),$F$5:$F$504,"&lt;"&amp;AsOfWeek-7*(RecentWeeks-1)),""))</f>
        <v/>
      </c>
      <c r="R283" s="21">
        <f>IF(OR(P283="",Q283="",Q283=0),"",P283/Q283-1)</f>
        <v/>
      </c>
      <c r="S283" s="20">
        <f>IF(OR(C283="",AsOfWeek=""),"",IFERROR(AVERAGEIFS($M$5:$M$504,$C$5:$C$504,C283,$L$5:$L$504,TRUE,$F$5:$F$504,"&gt;="&amp;AsOfWeek-7*(RecentWeeks-1),$F$5:$F$504,"&lt;="&amp;AsOfWeek),""))</f>
        <v/>
      </c>
      <c r="T283" s="21">
        <f>IF(OR(P283="",S283=""),"",P283/S283-1)</f>
        <v/>
      </c>
      <c r="U283" s="22">
        <f>IF(OR(B283="",'Weekly Input'!G283="",P283="",P283=0),"",'Weekly Input'!G283/P283)</f>
        <v/>
      </c>
      <c r="V283" s="18">
        <f>IF(B283="","",IF(NOT(I283),"Not Ready",IF(NOT(K283),"Not Ready",IF(N283&lt;MinHistory,"Not Ready",IF(NOT(J283),"Not Ready",IF(OR(Q283="",Q283=0),"Noise",IF(Q283&lt;LowBaseThreshold,"Noise",IF(AND(R283&lt;=-OwnDecline,T283&lt;=-PeerGapThreshold),"Markdown Review",IF(AND(R283&gt;=ReorderUplift,U283&lt;&gt;"",U283&lt;=WeeksSupplyCap),"Reorder Candidate","Monitor"))))))))</f>
        <v/>
      </c>
      <c r="W283" s="18">
        <f>IF(B283="","",IF(NOT(I283),"INVALID_MASTER",IF(NOT(K283),"INCOMPLETE_SHELF_CYCLE",IF(N283&lt;MinHistory,"INSUFFICIENT_HISTORY",IF(NOT(J283),"INSUFFICIENT_IN_STOCK",IF(OR(Q283="",Q283=0),"NO_PRIOR_BASE",IF(Q283&lt;LowBaseThreshold,"LOW_BASE_NOISE",IF(V283="Markdown Review","MARKDOWN_PEER_GAP",IF(V283="Reorder Candidate","REORDER_UPLIFT_COVER","NO_MATERIAL_CHANGE"))))))))</f>
        <v/>
      </c>
      <c r="X283" s="18">
        <f>IF(V283="Markdown Review","Markdown support",IF(V283="Reorder Candidate","Second reorder",IF(V283="Monitor","Monitor",IF(V283="Noise","Hold / collect data",IF(V283="Not Ready","Not ready","")))))</f>
        <v/>
      </c>
      <c r="Y283" s="18">
        <f>IF(OR(R283="",T283=""),"",ABS(R283)+ABS(T283))</f>
        <v/>
      </c>
      <c r="Z283" s="21">
        <f>IF(OR(B283="",NOT(O283),R283=""),"",IF(ABS(R283)&gt;=MaterialThreshold,"Yes","No"))</f>
        <v/>
      </c>
      <c r="AA283" s="18">
        <f>IF(Z283&lt;&gt;"Yes","",IF(ABS(R283)&gt;=MaterialThreshold,IF(ABS(R283)&gt;=BroadShare,"Broad SKU movement","Store-concentrated movement"),""))</f>
        <v/>
      </c>
      <c r="AB283" s="18">
        <f>IF(O283,IF(COUNTIFS($O$5:O283,TRUE)&gt;0,COUNTIFS($O$5:O283,TRUE),0),0)</f>
        <v/>
      </c>
      <c r="AC283" s="18">
        <f>IF(V283="Markdown Review",1,IF(V283="Reorder Candidate",2,IF(V283="Monitor",3,IF(V283="Noise",4,IF(V283="Not Ready",5,99)))))</f>
        <v/>
      </c>
      <c r="AD283" s="18">
        <f>IF(O283,COUNTIFS($O$5:$O$504,TRUE,$AC$5:$AC$504,"&lt;"&amp;AC283)+COUNTIFS($O$5:O283,TRUE,$AC$5:AC283,AC283,$Y$5:Y283,"&gt;"&amp;Y283),0)</f>
        <v/>
      </c>
    </row>
    <row r="284">
      <c r="A284" s="17">
        <f>IF(COUNTA('Weekly Input'!A284:C284)=0,"",'Weekly Input'!B284&amp;"|"&amp;'Weekly Input'!C284&amp;"|"&amp;TEXT('Weekly Input'!A284,"yyyy-mm-dd"))</f>
        <v/>
      </c>
      <c r="B284" s="18">
        <f>'Weekly Input'!B284</f>
        <v/>
      </c>
      <c r="C284" s="18">
        <f>'Weekly Input'!C284</f>
        <v/>
      </c>
      <c r="D284" s="18">
        <f>IF(B284="","",IFERROR(INDEX('Master Data'!$B$6:$B$145,MATCH(B284,'Master Data'!$A$6:$A$145,0)),""))</f>
        <v/>
      </c>
      <c r="E284" s="18">
        <f>IF(C284="","",IFERROR(INDEX('Master Data'!$H$6:$H$13,MATCH(C284,'Master Data'!$F$6:$F$13,0)),""))</f>
        <v/>
      </c>
      <c r="F284" s="19">
        <f>'Weekly Input'!A284</f>
        <v/>
      </c>
      <c r="G284" s="19">
        <f>IF(B284="","",IFERROR(INDEX('Master Data'!$D$6:$D$145,MATCH(B284,'Master Data'!$A$6:$A$145,0)),""))</f>
        <v/>
      </c>
      <c r="H284" s="18">
        <f>IF(OR(F284="",G284=""),"",F284-G284)</f>
        <v/>
      </c>
      <c r="I284" s="18">
        <f>IF(B284="","",IF('Weekly Input'!J284="OK",TRUE,FALSE))</f>
        <v/>
      </c>
      <c r="J284" s="18">
        <f>IF(B284="","",'Weekly Input'!H284&gt;=MinInStockDays)</f>
        <v/>
      </c>
      <c r="K284" s="18">
        <f>IF(B284="","",H284&gt;=FullCycleMin)</f>
        <v/>
      </c>
      <c r="L284" s="18">
        <f>IF(B284="","",AND(I284,J284,K284,N284&gt;=MinHistory))</f>
        <v/>
      </c>
      <c r="M284" s="20">
        <f>IF(OR(B284="",'Weekly Input'!H284=0),"",'Weekly Input'!D284/'Weekly Input'!H284*7)</f>
        <v/>
      </c>
      <c r="N284" s="18">
        <f>IF(B284="","",COUNTIFS($B$5:$B$504,B284,$C$5:$C$504,C284,$I$5:$I$504,TRUE,$J$5:$J$504,TRUE,$K$5:$K$504,TRUE))</f>
        <v/>
      </c>
      <c r="O284" s="18">
        <f>IF(B284="","",AND(F284=AsOfWeek,AsOfWeek&lt;&gt;""))</f>
        <v/>
      </c>
      <c r="P284" s="20">
        <f>IF(OR(B284="",AsOfWeek=""),"",IFERROR(SUMIFS($M$5:$M$504,$B$5:$B$504,B284,$C$5:$C$504,C284,$L$5:$L$504,TRUE,$F$5:$F$504,"&gt;="&amp;AsOfWeek-7*(RecentWeeks-1),$F$5:$F$504,"&lt;="&amp;AsOfWeek),""))</f>
        <v/>
      </c>
      <c r="Q284" s="20">
        <f>IF(OR(B284="",AsOfWeek=""),"",IFERROR(SUMIFS($M$5:$M$504,$B$5:$B$504,B284,$C$5:$C$504,C284,$L$5:$L$504,TRUE,$F$5:$F$504,"&gt;="&amp;AsOfWeek-7*(RecentWeeks+PriorWeeks-1),$F$5:$F$504,"&lt;"&amp;AsOfWeek-7*(RecentWeeks-1)),""))</f>
        <v/>
      </c>
      <c r="R284" s="21">
        <f>IF(OR(P284="",Q284="",Q284=0),"",P284/Q284-1)</f>
        <v/>
      </c>
      <c r="S284" s="20">
        <f>IF(OR(C284="",AsOfWeek=""),"",IFERROR(AVERAGEIFS($M$5:$M$504,$C$5:$C$504,C284,$L$5:$L$504,TRUE,$F$5:$F$504,"&gt;="&amp;AsOfWeek-7*(RecentWeeks-1),$F$5:$F$504,"&lt;="&amp;AsOfWeek),""))</f>
        <v/>
      </c>
      <c r="T284" s="21">
        <f>IF(OR(P284="",S284=""),"",P284/S284-1)</f>
        <v/>
      </c>
      <c r="U284" s="22">
        <f>IF(OR(B284="",'Weekly Input'!G284="",P284="",P284=0),"",'Weekly Input'!G284/P284)</f>
        <v/>
      </c>
      <c r="V284" s="18">
        <f>IF(B284="","",IF(NOT(I284),"Not Ready",IF(NOT(K284),"Not Ready",IF(N284&lt;MinHistory,"Not Ready",IF(NOT(J284),"Not Ready",IF(OR(Q284="",Q284=0),"Noise",IF(Q284&lt;LowBaseThreshold,"Noise",IF(AND(R284&lt;=-OwnDecline,T284&lt;=-PeerGapThreshold),"Markdown Review",IF(AND(R284&gt;=ReorderUplift,U284&lt;&gt;"",U284&lt;=WeeksSupplyCap),"Reorder Candidate","Monitor"))))))))</f>
        <v/>
      </c>
      <c r="W284" s="18">
        <f>IF(B284="","",IF(NOT(I284),"INVALID_MASTER",IF(NOT(K284),"INCOMPLETE_SHELF_CYCLE",IF(N284&lt;MinHistory,"INSUFFICIENT_HISTORY",IF(NOT(J284),"INSUFFICIENT_IN_STOCK",IF(OR(Q284="",Q284=0),"NO_PRIOR_BASE",IF(Q284&lt;LowBaseThreshold,"LOW_BASE_NOISE",IF(V284="Markdown Review","MARKDOWN_PEER_GAP",IF(V284="Reorder Candidate","REORDER_UPLIFT_COVER","NO_MATERIAL_CHANGE"))))))))</f>
        <v/>
      </c>
      <c r="X284" s="18">
        <f>IF(V284="Markdown Review","Markdown support",IF(V284="Reorder Candidate","Second reorder",IF(V284="Monitor","Monitor",IF(V284="Noise","Hold / collect data",IF(V284="Not Ready","Not ready","")))))</f>
        <v/>
      </c>
      <c r="Y284" s="18">
        <f>IF(OR(R284="",T284=""),"",ABS(R284)+ABS(T284))</f>
        <v/>
      </c>
      <c r="Z284" s="21">
        <f>IF(OR(B284="",NOT(O284),R284=""),"",IF(ABS(R284)&gt;=MaterialThreshold,"Yes","No"))</f>
        <v/>
      </c>
      <c r="AA284" s="18">
        <f>IF(Z284&lt;&gt;"Yes","",IF(ABS(R284)&gt;=MaterialThreshold,IF(ABS(R284)&gt;=BroadShare,"Broad SKU movement","Store-concentrated movement"),""))</f>
        <v/>
      </c>
      <c r="AB284" s="18">
        <f>IF(O284,IF(COUNTIFS($O$5:O284,TRUE)&gt;0,COUNTIFS($O$5:O284,TRUE),0),0)</f>
        <v/>
      </c>
      <c r="AC284" s="18">
        <f>IF(V284="Markdown Review",1,IF(V284="Reorder Candidate",2,IF(V284="Monitor",3,IF(V284="Noise",4,IF(V284="Not Ready",5,99)))))</f>
        <v/>
      </c>
      <c r="AD284" s="18">
        <f>IF(O284,COUNTIFS($O$5:$O$504,TRUE,$AC$5:$AC$504,"&lt;"&amp;AC284)+COUNTIFS($O$5:O284,TRUE,$AC$5:AC284,AC284,$Y$5:Y284,"&gt;"&amp;Y284),0)</f>
        <v/>
      </c>
    </row>
    <row r="285">
      <c r="A285" s="17">
        <f>IF(COUNTA('Weekly Input'!A285:C285)=0,"",'Weekly Input'!B285&amp;"|"&amp;'Weekly Input'!C285&amp;"|"&amp;TEXT('Weekly Input'!A285,"yyyy-mm-dd"))</f>
        <v/>
      </c>
      <c r="B285" s="18">
        <f>'Weekly Input'!B285</f>
        <v/>
      </c>
      <c r="C285" s="18">
        <f>'Weekly Input'!C285</f>
        <v/>
      </c>
      <c r="D285" s="18">
        <f>IF(B285="","",IFERROR(INDEX('Master Data'!$B$6:$B$145,MATCH(B285,'Master Data'!$A$6:$A$145,0)),""))</f>
        <v/>
      </c>
      <c r="E285" s="18">
        <f>IF(C285="","",IFERROR(INDEX('Master Data'!$H$6:$H$13,MATCH(C285,'Master Data'!$F$6:$F$13,0)),""))</f>
        <v/>
      </c>
      <c r="F285" s="19">
        <f>'Weekly Input'!A285</f>
        <v/>
      </c>
      <c r="G285" s="19">
        <f>IF(B285="","",IFERROR(INDEX('Master Data'!$D$6:$D$145,MATCH(B285,'Master Data'!$A$6:$A$145,0)),""))</f>
        <v/>
      </c>
      <c r="H285" s="18">
        <f>IF(OR(F285="",G285=""),"",F285-G285)</f>
        <v/>
      </c>
      <c r="I285" s="18">
        <f>IF(B285="","",IF('Weekly Input'!J285="OK",TRUE,FALSE))</f>
        <v/>
      </c>
      <c r="J285" s="18">
        <f>IF(B285="","",'Weekly Input'!H285&gt;=MinInStockDays)</f>
        <v/>
      </c>
      <c r="K285" s="18">
        <f>IF(B285="","",H285&gt;=FullCycleMin)</f>
        <v/>
      </c>
      <c r="L285" s="18">
        <f>IF(B285="","",AND(I285,J285,K285,N285&gt;=MinHistory))</f>
        <v/>
      </c>
      <c r="M285" s="20">
        <f>IF(OR(B285="",'Weekly Input'!H285=0),"",'Weekly Input'!D285/'Weekly Input'!H285*7)</f>
        <v/>
      </c>
      <c r="N285" s="18">
        <f>IF(B285="","",COUNTIFS($B$5:$B$504,B285,$C$5:$C$504,C285,$I$5:$I$504,TRUE,$J$5:$J$504,TRUE,$K$5:$K$504,TRUE))</f>
        <v/>
      </c>
      <c r="O285" s="18">
        <f>IF(B285="","",AND(F285=AsOfWeek,AsOfWeek&lt;&gt;""))</f>
        <v/>
      </c>
      <c r="P285" s="20">
        <f>IF(OR(B285="",AsOfWeek=""),"",IFERROR(SUMIFS($M$5:$M$504,$B$5:$B$504,B285,$C$5:$C$504,C285,$L$5:$L$504,TRUE,$F$5:$F$504,"&gt;="&amp;AsOfWeek-7*(RecentWeeks-1),$F$5:$F$504,"&lt;="&amp;AsOfWeek),""))</f>
        <v/>
      </c>
      <c r="Q285" s="20">
        <f>IF(OR(B285="",AsOfWeek=""),"",IFERROR(SUMIFS($M$5:$M$504,$B$5:$B$504,B285,$C$5:$C$504,C285,$L$5:$L$504,TRUE,$F$5:$F$504,"&gt;="&amp;AsOfWeek-7*(RecentWeeks+PriorWeeks-1),$F$5:$F$504,"&lt;"&amp;AsOfWeek-7*(RecentWeeks-1)),""))</f>
        <v/>
      </c>
      <c r="R285" s="21">
        <f>IF(OR(P285="",Q285="",Q285=0),"",P285/Q285-1)</f>
        <v/>
      </c>
      <c r="S285" s="20">
        <f>IF(OR(C285="",AsOfWeek=""),"",IFERROR(AVERAGEIFS($M$5:$M$504,$C$5:$C$504,C285,$L$5:$L$504,TRUE,$F$5:$F$504,"&gt;="&amp;AsOfWeek-7*(RecentWeeks-1),$F$5:$F$504,"&lt;="&amp;AsOfWeek),""))</f>
        <v/>
      </c>
      <c r="T285" s="21">
        <f>IF(OR(P285="",S285=""),"",P285/S285-1)</f>
        <v/>
      </c>
      <c r="U285" s="22">
        <f>IF(OR(B285="",'Weekly Input'!G285="",P285="",P285=0),"",'Weekly Input'!G285/P285)</f>
        <v/>
      </c>
      <c r="V285" s="18">
        <f>IF(B285="","",IF(NOT(I285),"Not Ready",IF(NOT(K285),"Not Ready",IF(N285&lt;MinHistory,"Not Ready",IF(NOT(J285),"Not Ready",IF(OR(Q285="",Q285=0),"Noise",IF(Q285&lt;LowBaseThreshold,"Noise",IF(AND(R285&lt;=-OwnDecline,T285&lt;=-PeerGapThreshold),"Markdown Review",IF(AND(R285&gt;=ReorderUplift,U285&lt;&gt;"",U285&lt;=WeeksSupplyCap),"Reorder Candidate","Monitor"))))))))</f>
        <v/>
      </c>
      <c r="W285" s="18">
        <f>IF(B285="","",IF(NOT(I285),"INVALID_MASTER",IF(NOT(K285),"INCOMPLETE_SHELF_CYCLE",IF(N285&lt;MinHistory,"INSUFFICIENT_HISTORY",IF(NOT(J285),"INSUFFICIENT_IN_STOCK",IF(OR(Q285="",Q285=0),"NO_PRIOR_BASE",IF(Q285&lt;LowBaseThreshold,"LOW_BASE_NOISE",IF(V285="Markdown Review","MARKDOWN_PEER_GAP",IF(V285="Reorder Candidate","REORDER_UPLIFT_COVER","NO_MATERIAL_CHANGE"))))))))</f>
        <v/>
      </c>
      <c r="X285" s="18">
        <f>IF(V285="Markdown Review","Markdown support",IF(V285="Reorder Candidate","Second reorder",IF(V285="Monitor","Monitor",IF(V285="Noise","Hold / collect data",IF(V285="Not Ready","Not ready","")))))</f>
        <v/>
      </c>
      <c r="Y285" s="18">
        <f>IF(OR(R285="",T285=""),"",ABS(R285)+ABS(T285))</f>
        <v/>
      </c>
      <c r="Z285" s="21">
        <f>IF(OR(B285="",NOT(O285),R285=""),"",IF(ABS(R285)&gt;=MaterialThreshold,"Yes","No"))</f>
        <v/>
      </c>
      <c r="AA285" s="18">
        <f>IF(Z285&lt;&gt;"Yes","",IF(ABS(R285)&gt;=MaterialThreshold,IF(ABS(R285)&gt;=BroadShare,"Broad SKU movement","Store-concentrated movement"),""))</f>
        <v/>
      </c>
      <c r="AB285" s="18">
        <f>IF(O285,IF(COUNTIFS($O$5:O285,TRUE)&gt;0,COUNTIFS($O$5:O285,TRUE),0),0)</f>
        <v/>
      </c>
      <c r="AC285" s="18">
        <f>IF(V285="Markdown Review",1,IF(V285="Reorder Candidate",2,IF(V285="Monitor",3,IF(V285="Noise",4,IF(V285="Not Ready",5,99)))))</f>
        <v/>
      </c>
      <c r="AD285" s="18">
        <f>IF(O285,COUNTIFS($O$5:$O$504,TRUE,$AC$5:$AC$504,"&lt;"&amp;AC285)+COUNTIFS($O$5:O285,TRUE,$AC$5:AC285,AC285,$Y$5:Y285,"&gt;"&amp;Y285),0)</f>
        <v/>
      </c>
    </row>
    <row r="286">
      <c r="A286" s="17">
        <f>IF(COUNTA('Weekly Input'!A286:C286)=0,"",'Weekly Input'!B286&amp;"|"&amp;'Weekly Input'!C286&amp;"|"&amp;TEXT('Weekly Input'!A286,"yyyy-mm-dd"))</f>
        <v/>
      </c>
      <c r="B286" s="18">
        <f>'Weekly Input'!B286</f>
        <v/>
      </c>
      <c r="C286" s="18">
        <f>'Weekly Input'!C286</f>
        <v/>
      </c>
      <c r="D286" s="18">
        <f>IF(B286="","",IFERROR(INDEX('Master Data'!$B$6:$B$145,MATCH(B286,'Master Data'!$A$6:$A$145,0)),""))</f>
        <v/>
      </c>
      <c r="E286" s="18">
        <f>IF(C286="","",IFERROR(INDEX('Master Data'!$H$6:$H$13,MATCH(C286,'Master Data'!$F$6:$F$13,0)),""))</f>
        <v/>
      </c>
      <c r="F286" s="19">
        <f>'Weekly Input'!A286</f>
        <v/>
      </c>
      <c r="G286" s="19">
        <f>IF(B286="","",IFERROR(INDEX('Master Data'!$D$6:$D$145,MATCH(B286,'Master Data'!$A$6:$A$145,0)),""))</f>
        <v/>
      </c>
      <c r="H286" s="18">
        <f>IF(OR(F286="",G286=""),"",F286-G286)</f>
        <v/>
      </c>
      <c r="I286" s="18">
        <f>IF(B286="","",IF('Weekly Input'!J286="OK",TRUE,FALSE))</f>
        <v/>
      </c>
      <c r="J286" s="18">
        <f>IF(B286="","",'Weekly Input'!H286&gt;=MinInStockDays)</f>
        <v/>
      </c>
      <c r="K286" s="18">
        <f>IF(B286="","",H286&gt;=FullCycleMin)</f>
        <v/>
      </c>
      <c r="L286" s="18">
        <f>IF(B286="","",AND(I286,J286,K286,N286&gt;=MinHistory))</f>
        <v/>
      </c>
      <c r="M286" s="20">
        <f>IF(OR(B286="",'Weekly Input'!H286=0),"",'Weekly Input'!D286/'Weekly Input'!H286*7)</f>
        <v/>
      </c>
      <c r="N286" s="18">
        <f>IF(B286="","",COUNTIFS($B$5:$B$504,B286,$C$5:$C$504,C286,$I$5:$I$504,TRUE,$J$5:$J$504,TRUE,$K$5:$K$504,TRUE))</f>
        <v/>
      </c>
      <c r="O286" s="18">
        <f>IF(B286="","",AND(F286=AsOfWeek,AsOfWeek&lt;&gt;""))</f>
        <v/>
      </c>
      <c r="P286" s="20">
        <f>IF(OR(B286="",AsOfWeek=""),"",IFERROR(SUMIFS($M$5:$M$504,$B$5:$B$504,B286,$C$5:$C$504,C286,$L$5:$L$504,TRUE,$F$5:$F$504,"&gt;="&amp;AsOfWeek-7*(RecentWeeks-1),$F$5:$F$504,"&lt;="&amp;AsOfWeek),""))</f>
        <v/>
      </c>
      <c r="Q286" s="20">
        <f>IF(OR(B286="",AsOfWeek=""),"",IFERROR(SUMIFS($M$5:$M$504,$B$5:$B$504,B286,$C$5:$C$504,C286,$L$5:$L$504,TRUE,$F$5:$F$504,"&gt;="&amp;AsOfWeek-7*(RecentWeeks+PriorWeeks-1),$F$5:$F$504,"&lt;"&amp;AsOfWeek-7*(RecentWeeks-1)),""))</f>
        <v/>
      </c>
      <c r="R286" s="21">
        <f>IF(OR(P286="",Q286="",Q286=0),"",P286/Q286-1)</f>
        <v/>
      </c>
      <c r="S286" s="20">
        <f>IF(OR(C286="",AsOfWeek=""),"",IFERROR(AVERAGEIFS($M$5:$M$504,$C$5:$C$504,C286,$L$5:$L$504,TRUE,$F$5:$F$504,"&gt;="&amp;AsOfWeek-7*(RecentWeeks-1),$F$5:$F$504,"&lt;="&amp;AsOfWeek),""))</f>
        <v/>
      </c>
      <c r="T286" s="21">
        <f>IF(OR(P286="",S286=""),"",P286/S286-1)</f>
        <v/>
      </c>
      <c r="U286" s="22">
        <f>IF(OR(B286="",'Weekly Input'!G286="",P286="",P286=0),"",'Weekly Input'!G286/P286)</f>
        <v/>
      </c>
      <c r="V286" s="18">
        <f>IF(B286="","",IF(NOT(I286),"Not Ready",IF(NOT(K286),"Not Ready",IF(N286&lt;MinHistory,"Not Ready",IF(NOT(J286),"Not Ready",IF(OR(Q286="",Q286=0),"Noise",IF(Q286&lt;LowBaseThreshold,"Noise",IF(AND(R286&lt;=-OwnDecline,T286&lt;=-PeerGapThreshold),"Markdown Review",IF(AND(R286&gt;=ReorderUplift,U286&lt;&gt;"",U286&lt;=WeeksSupplyCap),"Reorder Candidate","Monitor"))))))))</f>
        <v/>
      </c>
      <c r="W286" s="18">
        <f>IF(B286="","",IF(NOT(I286),"INVALID_MASTER",IF(NOT(K286),"INCOMPLETE_SHELF_CYCLE",IF(N286&lt;MinHistory,"INSUFFICIENT_HISTORY",IF(NOT(J286),"INSUFFICIENT_IN_STOCK",IF(OR(Q286="",Q286=0),"NO_PRIOR_BASE",IF(Q286&lt;LowBaseThreshold,"LOW_BASE_NOISE",IF(V286="Markdown Review","MARKDOWN_PEER_GAP",IF(V286="Reorder Candidate","REORDER_UPLIFT_COVER","NO_MATERIAL_CHANGE"))))))))</f>
        <v/>
      </c>
      <c r="X286" s="18">
        <f>IF(V286="Markdown Review","Markdown support",IF(V286="Reorder Candidate","Second reorder",IF(V286="Monitor","Monitor",IF(V286="Noise","Hold / collect data",IF(V286="Not Ready","Not ready","")))))</f>
        <v/>
      </c>
      <c r="Y286" s="18">
        <f>IF(OR(R286="",T286=""),"",ABS(R286)+ABS(T286))</f>
        <v/>
      </c>
      <c r="Z286" s="21">
        <f>IF(OR(B286="",NOT(O286),R286=""),"",IF(ABS(R286)&gt;=MaterialThreshold,"Yes","No"))</f>
        <v/>
      </c>
      <c r="AA286" s="18">
        <f>IF(Z286&lt;&gt;"Yes","",IF(ABS(R286)&gt;=MaterialThreshold,IF(ABS(R286)&gt;=BroadShare,"Broad SKU movement","Store-concentrated movement"),""))</f>
        <v/>
      </c>
      <c r="AB286" s="18">
        <f>IF(O286,IF(COUNTIFS($O$5:O286,TRUE)&gt;0,COUNTIFS($O$5:O286,TRUE),0),0)</f>
        <v/>
      </c>
      <c r="AC286" s="18">
        <f>IF(V286="Markdown Review",1,IF(V286="Reorder Candidate",2,IF(V286="Monitor",3,IF(V286="Noise",4,IF(V286="Not Ready",5,99)))))</f>
        <v/>
      </c>
      <c r="AD286" s="18">
        <f>IF(O286,COUNTIFS($O$5:$O$504,TRUE,$AC$5:$AC$504,"&lt;"&amp;AC286)+COUNTIFS($O$5:O286,TRUE,$AC$5:AC286,AC286,$Y$5:Y286,"&gt;"&amp;Y286),0)</f>
        <v/>
      </c>
    </row>
    <row r="287">
      <c r="A287" s="17">
        <f>IF(COUNTA('Weekly Input'!A287:C287)=0,"",'Weekly Input'!B287&amp;"|"&amp;'Weekly Input'!C287&amp;"|"&amp;TEXT('Weekly Input'!A287,"yyyy-mm-dd"))</f>
        <v/>
      </c>
      <c r="B287" s="18">
        <f>'Weekly Input'!B287</f>
        <v/>
      </c>
      <c r="C287" s="18">
        <f>'Weekly Input'!C287</f>
        <v/>
      </c>
      <c r="D287" s="18">
        <f>IF(B287="","",IFERROR(INDEX('Master Data'!$B$6:$B$145,MATCH(B287,'Master Data'!$A$6:$A$145,0)),""))</f>
        <v/>
      </c>
      <c r="E287" s="18">
        <f>IF(C287="","",IFERROR(INDEX('Master Data'!$H$6:$H$13,MATCH(C287,'Master Data'!$F$6:$F$13,0)),""))</f>
        <v/>
      </c>
      <c r="F287" s="19">
        <f>'Weekly Input'!A287</f>
        <v/>
      </c>
      <c r="G287" s="19">
        <f>IF(B287="","",IFERROR(INDEX('Master Data'!$D$6:$D$145,MATCH(B287,'Master Data'!$A$6:$A$145,0)),""))</f>
        <v/>
      </c>
      <c r="H287" s="18">
        <f>IF(OR(F287="",G287=""),"",F287-G287)</f>
        <v/>
      </c>
      <c r="I287" s="18">
        <f>IF(B287="","",IF('Weekly Input'!J287="OK",TRUE,FALSE))</f>
        <v/>
      </c>
      <c r="J287" s="18">
        <f>IF(B287="","",'Weekly Input'!H287&gt;=MinInStockDays)</f>
        <v/>
      </c>
      <c r="K287" s="18">
        <f>IF(B287="","",H287&gt;=FullCycleMin)</f>
        <v/>
      </c>
      <c r="L287" s="18">
        <f>IF(B287="","",AND(I287,J287,K287,N287&gt;=MinHistory))</f>
        <v/>
      </c>
      <c r="M287" s="20">
        <f>IF(OR(B287="",'Weekly Input'!H287=0),"",'Weekly Input'!D287/'Weekly Input'!H287*7)</f>
        <v/>
      </c>
      <c r="N287" s="18">
        <f>IF(B287="","",COUNTIFS($B$5:$B$504,B287,$C$5:$C$504,C287,$I$5:$I$504,TRUE,$J$5:$J$504,TRUE,$K$5:$K$504,TRUE))</f>
        <v/>
      </c>
      <c r="O287" s="18">
        <f>IF(B287="","",AND(F287=AsOfWeek,AsOfWeek&lt;&gt;""))</f>
        <v/>
      </c>
      <c r="P287" s="20">
        <f>IF(OR(B287="",AsOfWeek=""),"",IFERROR(SUMIFS($M$5:$M$504,$B$5:$B$504,B287,$C$5:$C$504,C287,$L$5:$L$504,TRUE,$F$5:$F$504,"&gt;="&amp;AsOfWeek-7*(RecentWeeks-1),$F$5:$F$504,"&lt;="&amp;AsOfWeek),""))</f>
        <v/>
      </c>
      <c r="Q287" s="20">
        <f>IF(OR(B287="",AsOfWeek=""),"",IFERROR(SUMIFS($M$5:$M$504,$B$5:$B$504,B287,$C$5:$C$504,C287,$L$5:$L$504,TRUE,$F$5:$F$504,"&gt;="&amp;AsOfWeek-7*(RecentWeeks+PriorWeeks-1),$F$5:$F$504,"&lt;"&amp;AsOfWeek-7*(RecentWeeks-1)),""))</f>
        <v/>
      </c>
      <c r="R287" s="21">
        <f>IF(OR(P287="",Q287="",Q287=0),"",P287/Q287-1)</f>
        <v/>
      </c>
      <c r="S287" s="20">
        <f>IF(OR(C287="",AsOfWeek=""),"",IFERROR(AVERAGEIFS($M$5:$M$504,$C$5:$C$504,C287,$L$5:$L$504,TRUE,$F$5:$F$504,"&gt;="&amp;AsOfWeek-7*(RecentWeeks-1),$F$5:$F$504,"&lt;="&amp;AsOfWeek),""))</f>
        <v/>
      </c>
      <c r="T287" s="21">
        <f>IF(OR(P287="",S287=""),"",P287/S287-1)</f>
        <v/>
      </c>
      <c r="U287" s="22">
        <f>IF(OR(B287="",'Weekly Input'!G287="",P287="",P287=0),"",'Weekly Input'!G287/P287)</f>
        <v/>
      </c>
      <c r="V287" s="18">
        <f>IF(B287="","",IF(NOT(I287),"Not Ready",IF(NOT(K287),"Not Ready",IF(N287&lt;MinHistory,"Not Ready",IF(NOT(J287),"Not Ready",IF(OR(Q287="",Q287=0),"Noise",IF(Q287&lt;LowBaseThreshold,"Noise",IF(AND(R287&lt;=-OwnDecline,T287&lt;=-PeerGapThreshold),"Markdown Review",IF(AND(R287&gt;=ReorderUplift,U287&lt;&gt;"",U287&lt;=WeeksSupplyCap),"Reorder Candidate","Monitor"))))))))</f>
        <v/>
      </c>
      <c r="W287" s="18">
        <f>IF(B287="","",IF(NOT(I287),"INVALID_MASTER",IF(NOT(K287),"INCOMPLETE_SHELF_CYCLE",IF(N287&lt;MinHistory,"INSUFFICIENT_HISTORY",IF(NOT(J287),"INSUFFICIENT_IN_STOCK",IF(OR(Q287="",Q287=0),"NO_PRIOR_BASE",IF(Q287&lt;LowBaseThreshold,"LOW_BASE_NOISE",IF(V287="Markdown Review","MARKDOWN_PEER_GAP",IF(V287="Reorder Candidate","REORDER_UPLIFT_COVER","NO_MATERIAL_CHANGE"))))))))</f>
        <v/>
      </c>
      <c r="X287" s="18">
        <f>IF(V287="Markdown Review","Markdown support",IF(V287="Reorder Candidate","Second reorder",IF(V287="Monitor","Monitor",IF(V287="Noise","Hold / collect data",IF(V287="Not Ready","Not ready","")))))</f>
        <v/>
      </c>
      <c r="Y287" s="18">
        <f>IF(OR(R287="",T287=""),"",ABS(R287)+ABS(T287))</f>
        <v/>
      </c>
      <c r="Z287" s="21">
        <f>IF(OR(B287="",NOT(O287),R287=""),"",IF(ABS(R287)&gt;=MaterialThreshold,"Yes","No"))</f>
        <v/>
      </c>
      <c r="AA287" s="18">
        <f>IF(Z287&lt;&gt;"Yes","",IF(ABS(R287)&gt;=MaterialThreshold,IF(ABS(R287)&gt;=BroadShare,"Broad SKU movement","Store-concentrated movement"),""))</f>
        <v/>
      </c>
      <c r="AB287" s="18">
        <f>IF(O287,IF(COUNTIFS($O$5:O287,TRUE)&gt;0,COUNTIFS($O$5:O287,TRUE),0),0)</f>
        <v/>
      </c>
      <c r="AC287" s="18">
        <f>IF(V287="Markdown Review",1,IF(V287="Reorder Candidate",2,IF(V287="Monitor",3,IF(V287="Noise",4,IF(V287="Not Ready",5,99)))))</f>
        <v/>
      </c>
      <c r="AD287" s="18">
        <f>IF(O287,COUNTIFS($O$5:$O$504,TRUE,$AC$5:$AC$504,"&lt;"&amp;AC287)+COUNTIFS($O$5:O287,TRUE,$AC$5:AC287,AC287,$Y$5:Y287,"&gt;"&amp;Y287),0)</f>
        <v/>
      </c>
    </row>
    <row r="288">
      <c r="A288" s="17">
        <f>IF(COUNTA('Weekly Input'!A288:C288)=0,"",'Weekly Input'!B288&amp;"|"&amp;'Weekly Input'!C288&amp;"|"&amp;TEXT('Weekly Input'!A288,"yyyy-mm-dd"))</f>
        <v/>
      </c>
      <c r="B288" s="18">
        <f>'Weekly Input'!B288</f>
        <v/>
      </c>
      <c r="C288" s="18">
        <f>'Weekly Input'!C288</f>
        <v/>
      </c>
      <c r="D288" s="18">
        <f>IF(B288="","",IFERROR(INDEX('Master Data'!$B$6:$B$145,MATCH(B288,'Master Data'!$A$6:$A$145,0)),""))</f>
        <v/>
      </c>
      <c r="E288" s="18">
        <f>IF(C288="","",IFERROR(INDEX('Master Data'!$H$6:$H$13,MATCH(C288,'Master Data'!$F$6:$F$13,0)),""))</f>
        <v/>
      </c>
      <c r="F288" s="19">
        <f>'Weekly Input'!A288</f>
        <v/>
      </c>
      <c r="G288" s="19">
        <f>IF(B288="","",IFERROR(INDEX('Master Data'!$D$6:$D$145,MATCH(B288,'Master Data'!$A$6:$A$145,0)),""))</f>
        <v/>
      </c>
      <c r="H288" s="18">
        <f>IF(OR(F288="",G288=""),"",F288-G288)</f>
        <v/>
      </c>
      <c r="I288" s="18">
        <f>IF(B288="","",IF('Weekly Input'!J288="OK",TRUE,FALSE))</f>
        <v/>
      </c>
      <c r="J288" s="18">
        <f>IF(B288="","",'Weekly Input'!H288&gt;=MinInStockDays)</f>
        <v/>
      </c>
      <c r="K288" s="18">
        <f>IF(B288="","",H288&gt;=FullCycleMin)</f>
        <v/>
      </c>
      <c r="L288" s="18">
        <f>IF(B288="","",AND(I288,J288,K288,N288&gt;=MinHistory))</f>
        <v/>
      </c>
      <c r="M288" s="20">
        <f>IF(OR(B288="",'Weekly Input'!H288=0),"",'Weekly Input'!D288/'Weekly Input'!H288*7)</f>
        <v/>
      </c>
      <c r="N288" s="18">
        <f>IF(B288="","",COUNTIFS($B$5:$B$504,B288,$C$5:$C$504,C288,$I$5:$I$504,TRUE,$J$5:$J$504,TRUE,$K$5:$K$504,TRUE))</f>
        <v/>
      </c>
      <c r="O288" s="18">
        <f>IF(B288="","",AND(F288=AsOfWeek,AsOfWeek&lt;&gt;""))</f>
        <v/>
      </c>
      <c r="P288" s="20">
        <f>IF(OR(B288="",AsOfWeek=""),"",IFERROR(SUMIFS($M$5:$M$504,$B$5:$B$504,B288,$C$5:$C$504,C288,$L$5:$L$504,TRUE,$F$5:$F$504,"&gt;="&amp;AsOfWeek-7*(RecentWeeks-1),$F$5:$F$504,"&lt;="&amp;AsOfWeek),""))</f>
        <v/>
      </c>
      <c r="Q288" s="20">
        <f>IF(OR(B288="",AsOfWeek=""),"",IFERROR(SUMIFS($M$5:$M$504,$B$5:$B$504,B288,$C$5:$C$504,C288,$L$5:$L$504,TRUE,$F$5:$F$504,"&gt;="&amp;AsOfWeek-7*(RecentWeeks+PriorWeeks-1),$F$5:$F$504,"&lt;"&amp;AsOfWeek-7*(RecentWeeks-1)),""))</f>
        <v/>
      </c>
      <c r="R288" s="21">
        <f>IF(OR(P288="",Q288="",Q288=0),"",P288/Q288-1)</f>
        <v/>
      </c>
      <c r="S288" s="20">
        <f>IF(OR(C288="",AsOfWeek=""),"",IFERROR(AVERAGEIFS($M$5:$M$504,$C$5:$C$504,C288,$L$5:$L$504,TRUE,$F$5:$F$504,"&gt;="&amp;AsOfWeek-7*(RecentWeeks-1),$F$5:$F$504,"&lt;="&amp;AsOfWeek),""))</f>
        <v/>
      </c>
      <c r="T288" s="21">
        <f>IF(OR(P288="",S288=""),"",P288/S288-1)</f>
        <v/>
      </c>
      <c r="U288" s="22">
        <f>IF(OR(B288="",'Weekly Input'!G288="",P288="",P288=0),"",'Weekly Input'!G288/P288)</f>
        <v/>
      </c>
      <c r="V288" s="18">
        <f>IF(B288="","",IF(NOT(I288),"Not Ready",IF(NOT(K288),"Not Ready",IF(N288&lt;MinHistory,"Not Ready",IF(NOT(J288),"Not Ready",IF(OR(Q288="",Q288=0),"Noise",IF(Q288&lt;LowBaseThreshold,"Noise",IF(AND(R288&lt;=-OwnDecline,T288&lt;=-PeerGapThreshold),"Markdown Review",IF(AND(R288&gt;=ReorderUplift,U288&lt;&gt;"",U288&lt;=WeeksSupplyCap),"Reorder Candidate","Monitor"))))))))</f>
        <v/>
      </c>
      <c r="W288" s="18">
        <f>IF(B288="","",IF(NOT(I288),"INVALID_MASTER",IF(NOT(K288),"INCOMPLETE_SHELF_CYCLE",IF(N288&lt;MinHistory,"INSUFFICIENT_HISTORY",IF(NOT(J288),"INSUFFICIENT_IN_STOCK",IF(OR(Q288="",Q288=0),"NO_PRIOR_BASE",IF(Q288&lt;LowBaseThreshold,"LOW_BASE_NOISE",IF(V288="Markdown Review","MARKDOWN_PEER_GAP",IF(V288="Reorder Candidate","REORDER_UPLIFT_COVER","NO_MATERIAL_CHANGE"))))))))</f>
        <v/>
      </c>
      <c r="X288" s="18">
        <f>IF(V288="Markdown Review","Markdown support",IF(V288="Reorder Candidate","Second reorder",IF(V288="Monitor","Monitor",IF(V288="Noise","Hold / collect data",IF(V288="Not Ready","Not ready","")))))</f>
        <v/>
      </c>
      <c r="Y288" s="18">
        <f>IF(OR(R288="",T288=""),"",ABS(R288)+ABS(T288))</f>
        <v/>
      </c>
      <c r="Z288" s="21">
        <f>IF(OR(B288="",NOT(O288),R288=""),"",IF(ABS(R288)&gt;=MaterialThreshold,"Yes","No"))</f>
        <v/>
      </c>
      <c r="AA288" s="18">
        <f>IF(Z288&lt;&gt;"Yes","",IF(ABS(R288)&gt;=MaterialThreshold,IF(ABS(R288)&gt;=BroadShare,"Broad SKU movement","Store-concentrated movement"),""))</f>
        <v/>
      </c>
      <c r="AB288" s="18">
        <f>IF(O288,IF(COUNTIFS($O$5:O288,TRUE)&gt;0,COUNTIFS($O$5:O288,TRUE),0),0)</f>
        <v/>
      </c>
      <c r="AC288" s="18">
        <f>IF(V288="Markdown Review",1,IF(V288="Reorder Candidate",2,IF(V288="Monitor",3,IF(V288="Noise",4,IF(V288="Not Ready",5,99)))))</f>
        <v/>
      </c>
      <c r="AD288" s="18">
        <f>IF(O288,COUNTIFS($O$5:$O$504,TRUE,$AC$5:$AC$504,"&lt;"&amp;AC288)+COUNTIFS($O$5:O288,TRUE,$AC$5:AC288,AC288,$Y$5:Y288,"&gt;"&amp;Y288),0)</f>
        <v/>
      </c>
    </row>
    <row r="289">
      <c r="A289" s="17">
        <f>IF(COUNTA('Weekly Input'!A289:C289)=0,"",'Weekly Input'!B289&amp;"|"&amp;'Weekly Input'!C289&amp;"|"&amp;TEXT('Weekly Input'!A289,"yyyy-mm-dd"))</f>
        <v/>
      </c>
      <c r="B289" s="18">
        <f>'Weekly Input'!B289</f>
        <v/>
      </c>
      <c r="C289" s="18">
        <f>'Weekly Input'!C289</f>
        <v/>
      </c>
      <c r="D289" s="18">
        <f>IF(B289="","",IFERROR(INDEX('Master Data'!$B$6:$B$145,MATCH(B289,'Master Data'!$A$6:$A$145,0)),""))</f>
        <v/>
      </c>
      <c r="E289" s="18">
        <f>IF(C289="","",IFERROR(INDEX('Master Data'!$H$6:$H$13,MATCH(C289,'Master Data'!$F$6:$F$13,0)),""))</f>
        <v/>
      </c>
      <c r="F289" s="19">
        <f>'Weekly Input'!A289</f>
        <v/>
      </c>
      <c r="G289" s="19">
        <f>IF(B289="","",IFERROR(INDEX('Master Data'!$D$6:$D$145,MATCH(B289,'Master Data'!$A$6:$A$145,0)),""))</f>
        <v/>
      </c>
      <c r="H289" s="18">
        <f>IF(OR(F289="",G289=""),"",F289-G289)</f>
        <v/>
      </c>
      <c r="I289" s="18">
        <f>IF(B289="","",IF('Weekly Input'!J289="OK",TRUE,FALSE))</f>
        <v/>
      </c>
      <c r="J289" s="18">
        <f>IF(B289="","",'Weekly Input'!H289&gt;=MinInStockDays)</f>
        <v/>
      </c>
      <c r="K289" s="18">
        <f>IF(B289="","",H289&gt;=FullCycleMin)</f>
        <v/>
      </c>
      <c r="L289" s="18">
        <f>IF(B289="","",AND(I289,J289,K289,N289&gt;=MinHistory))</f>
        <v/>
      </c>
      <c r="M289" s="20">
        <f>IF(OR(B289="",'Weekly Input'!H289=0),"",'Weekly Input'!D289/'Weekly Input'!H289*7)</f>
        <v/>
      </c>
      <c r="N289" s="18">
        <f>IF(B289="","",COUNTIFS($B$5:$B$504,B289,$C$5:$C$504,C289,$I$5:$I$504,TRUE,$J$5:$J$504,TRUE,$K$5:$K$504,TRUE))</f>
        <v/>
      </c>
      <c r="O289" s="18">
        <f>IF(B289="","",AND(F289=AsOfWeek,AsOfWeek&lt;&gt;""))</f>
        <v/>
      </c>
      <c r="P289" s="20">
        <f>IF(OR(B289="",AsOfWeek=""),"",IFERROR(SUMIFS($M$5:$M$504,$B$5:$B$504,B289,$C$5:$C$504,C289,$L$5:$L$504,TRUE,$F$5:$F$504,"&gt;="&amp;AsOfWeek-7*(RecentWeeks-1),$F$5:$F$504,"&lt;="&amp;AsOfWeek),""))</f>
        <v/>
      </c>
      <c r="Q289" s="20">
        <f>IF(OR(B289="",AsOfWeek=""),"",IFERROR(SUMIFS($M$5:$M$504,$B$5:$B$504,B289,$C$5:$C$504,C289,$L$5:$L$504,TRUE,$F$5:$F$504,"&gt;="&amp;AsOfWeek-7*(RecentWeeks+PriorWeeks-1),$F$5:$F$504,"&lt;"&amp;AsOfWeek-7*(RecentWeeks-1)),""))</f>
        <v/>
      </c>
      <c r="R289" s="21">
        <f>IF(OR(P289="",Q289="",Q289=0),"",P289/Q289-1)</f>
        <v/>
      </c>
      <c r="S289" s="20">
        <f>IF(OR(C289="",AsOfWeek=""),"",IFERROR(AVERAGEIFS($M$5:$M$504,$C$5:$C$504,C289,$L$5:$L$504,TRUE,$F$5:$F$504,"&gt;="&amp;AsOfWeek-7*(RecentWeeks-1),$F$5:$F$504,"&lt;="&amp;AsOfWeek),""))</f>
        <v/>
      </c>
      <c r="T289" s="21">
        <f>IF(OR(P289="",S289=""),"",P289/S289-1)</f>
        <v/>
      </c>
      <c r="U289" s="22">
        <f>IF(OR(B289="",'Weekly Input'!G289="",P289="",P289=0),"",'Weekly Input'!G289/P289)</f>
        <v/>
      </c>
      <c r="V289" s="18">
        <f>IF(B289="","",IF(NOT(I289),"Not Ready",IF(NOT(K289),"Not Ready",IF(N289&lt;MinHistory,"Not Ready",IF(NOT(J289),"Not Ready",IF(OR(Q289="",Q289=0),"Noise",IF(Q289&lt;LowBaseThreshold,"Noise",IF(AND(R289&lt;=-OwnDecline,T289&lt;=-PeerGapThreshold),"Markdown Review",IF(AND(R289&gt;=ReorderUplift,U289&lt;&gt;"",U289&lt;=WeeksSupplyCap),"Reorder Candidate","Monitor"))))))))</f>
        <v/>
      </c>
      <c r="W289" s="18">
        <f>IF(B289="","",IF(NOT(I289),"INVALID_MASTER",IF(NOT(K289),"INCOMPLETE_SHELF_CYCLE",IF(N289&lt;MinHistory,"INSUFFICIENT_HISTORY",IF(NOT(J289),"INSUFFICIENT_IN_STOCK",IF(OR(Q289="",Q289=0),"NO_PRIOR_BASE",IF(Q289&lt;LowBaseThreshold,"LOW_BASE_NOISE",IF(V289="Markdown Review","MARKDOWN_PEER_GAP",IF(V289="Reorder Candidate","REORDER_UPLIFT_COVER","NO_MATERIAL_CHANGE"))))))))</f>
        <v/>
      </c>
      <c r="X289" s="18">
        <f>IF(V289="Markdown Review","Markdown support",IF(V289="Reorder Candidate","Second reorder",IF(V289="Monitor","Monitor",IF(V289="Noise","Hold / collect data",IF(V289="Not Ready","Not ready","")))))</f>
        <v/>
      </c>
      <c r="Y289" s="18">
        <f>IF(OR(R289="",T289=""),"",ABS(R289)+ABS(T289))</f>
        <v/>
      </c>
      <c r="Z289" s="21">
        <f>IF(OR(B289="",NOT(O289),R289=""),"",IF(ABS(R289)&gt;=MaterialThreshold,"Yes","No"))</f>
        <v/>
      </c>
      <c r="AA289" s="18">
        <f>IF(Z289&lt;&gt;"Yes","",IF(ABS(R289)&gt;=MaterialThreshold,IF(ABS(R289)&gt;=BroadShare,"Broad SKU movement","Store-concentrated movement"),""))</f>
        <v/>
      </c>
      <c r="AB289" s="18">
        <f>IF(O289,IF(COUNTIFS($O$5:O289,TRUE)&gt;0,COUNTIFS($O$5:O289,TRUE),0),0)</f>
        <v/>
      </c>
      <c r="AC289" s="18">
        <f>IF(V289="Markdown Review",1,IF(V289="Reorder Candidate",2,IF(V289="Monitor",3,IF(V289="Noise",4,IF(V289="Not Ready",5,99)))))</f>
        <v/>
      </c>
      <c r="AD289" s="18">
        <f>IF(O289,COUNTIFS($O$5:$O$504,TRUE,$AC$5:$AC$504,"&lt;"&amp;AC289)+COUNTIFS($O$5:O289,TRUE,$AC$5:AC289,AC289,$Y$5:Y289,"&gt;"&amp;Y289),0)</f>
        <v/>
      </c>
    </row>
    <row r="290">
      <c r="A290" s="17">
        <f>IF(COUNTA('Weekly Input'!A290:C290)=0,"",'Weekly Input'!B290&amp;"|"&amp;'Weekly Input'!C290&amp;"|"&amp;TEXT('Weekly Input'!A290,"yyyy-mm-dd"))</f>
        <v/>
      </c>
      <c r="B290" s="18">
        <f>'Weekly Input'!B290</f>
        <v/>
      </c>
      <c r="C290" s="18">
        <f>'Weekly Input'!C290</f>
        <v/>
      </c>
      <c r="D290" s="18">
        <f>IF(B290="","",IFERROR(INDEX('Master Data'!$B$6:$B$145,MATCH(B290,'Master Data'!$A$6:$A$145,0)),""))</f>
        <v/>
      </c>
      <c r="E290" s="18">
        <f>IF(C290="","",IFERROR(INDEX('Master Data'!$H$6:$H$13,MATCH(C290,'Master Data'!$F$6:$F$13,0)),""))</f>
        <v/>
      </c>
      <c r="F290" s="19">
        <f>'Weekly Input'!A290</f>
        <v/>
      </c>
      <c r="G290" s="19">
        <f>IF(B290="","",IFERROR(INDEX('Master Data'!$D$6:$D$145,MATCH(B290,'Master Data'!$A$6:$A$145,0)),""))</f>
        <v/>
      </c>
      <c r="H290" s="18">
        <f>IF(OR(F290="",G290=""),"",F290-G290)</f>
        <v/>
      </c>
      <c r="I290" s="18">
        <f>IF(B290="","",IF('Weekly Input'!J290="OK",TRUE,FALSE))</f>
        <v/>
      </c>
      <c r="J290" s="18">
        <f>IF(B290="","",'Weekly Input'!H290&gt;=MinInStockDays)</f>
        <v/>
      </c>
      <c r="K290" s="18">
        <f>IF(B290="","",H290&gt;=FullCycleMin)</f>
        <v/>
      </c>
      <c r="L290" s="18">
        <f>IF(B290="","",AND(I290,J290,K290,N290&gt;=MinHistory))</f>
        <v/>
      </c>
      <c r="M290" s="20">
        <f>IF(OR(B290="",'Weekly Input'!H290=0),"",'Weekly Input'!D290/'Weekly Input'!H290*7)</f>
        <v/>
      </c>
      <c r="N290" s="18">
        <f>IF(B290="","",COUNTIFS($B$5:$B$504,B290,$C$5:$C$504,C290,$I$5:$I$504,TRUE,$J$5:$J$504,TRUE,$K$5:$K$504,TRUE))</f>
        <v/>
      </c>
      <c r="O290" s="18">
        <f>IF(B290="","",AND(F290=AsOfWeek,AsOfWeek&lt;&gt;""))</f>
        <v/>
      </c>
      <c r="P290" s="20">
        <f>IF(OR(B290="",AsOfWeek=""),"",IFERROR(SUMIFS($M$5:$M$504,$B$5:$B$504,B290,$C$5:$C$504,C290,$L$5:$L$504,TRUE,$F$5:$F$504,"&gt;="&amp;AsOfWeek-7*(RecentWeeks-1),$F$5:$F$504,"&lt;="&amp;AsOfWeek),""))</f>
        <v/>
      </c>
      <c r="Q290" s="20">
        <f>IF(OR(B290="",AsOfWeek=""),"",IFERROR(SUMIFS($M$5:$M$504,$B$5:$B$504,B290,$C$5:$C$504,C290,$L$5:$L$504,TRUE,$F$5:$F$504,"&gt;="&amp;AsOfWeek-7*(RecentWeeks+PriorWeeks-1),$F$5:$F$504,"&lt;"&amp;AsOfWeek-7*(RecentWeeks-1)),""))</f>
        <v/>
      </c>
      <c r="R290" s="21">
        <f>IF(OR(P290="",Q290="",Q290=0),"",P290/Q290-1)</f>
        <v/>
      </c>
      <c r="S290" s="20">
        <f>IF(OR(C290="",AsOfWeek=""),"",IFERROR(AVERAGEIFS($M$5:$M$504,$C$5:$C$504,C290,$L$5:$L$504,TRUE,$F$5:$F$504,"&gt;="&amp;AsOfWeek-7*(RecentWeeks-1),$F$5:$F$504,"&lt;="&amp;AsOfWeek),""))</f>
        <v/>
      </c>
      <c r="T290" s="21">
        <f>IF(OR(P290="",S290=""),"",P290/S290-1)</f>
        <v/>
      </c>
      <c r="U290" s="22">
        <f>IF(OR(B290="",'Weekly Input'!G290="",P290="",P290=0),"",'Weekly Input'!G290/P290)</f>
        <v/>
      </c>
      <c r="V290" s="18">
        <f>IF(B290="","",IF(NOT(I290),"Not Ready",IF(NOT(K290),"Not Ready",IF(N290&lt;MinHistory,"Not Ready",IF(NOT(J290),"Not Ready",IF(OR(Q290="",Q290=0),"Noise",IF(Q290&lt;LowBaseThreshold,"Noise",IF(AND(R290&lt;=-OwnDecline,T290&lt;=-PeerGapThreshold),"Markdown Review",IF(AND(R290&gt;=ReorderUplift,U290&lt;&gt;"",U290&lt;=WeeksSupplyCap),"Reorder Candidate","Monitor"))))))))</f>
        <v/>
      </c>
      <c r="W290" s="18">
        <f>IF(B290="","",IF(NOT(I290),"INVALID_MASTER",IF(NOT(K290),"INCOMPLETE_SHELF_CYCLE",IF(N290&lt;MinHistory,"INSUFFICIENT_HISTORY",IF(NOT(J290),"INSUFFICIENT_IN_STOCK",IF(OR(Q290="",Q290=0),"NO_PRIOR_BASE",IF(Q290&lt;LowBaseThreshold,"LOW_BASE_NOISE",IF(V290="Markdown Review","MARKDOWN_PEER_GAP",IF(V290="Reorder Candidate","REORDER_UPLIFT_COVER","NO_MATERIAL_CHANGE"))))))))</f>
        <v/>
      </c>
      <c r="X290" s="18">
        <f>IF(V290="Markdown Review","Markdown support",IF(V290="Reorder Candidate","Second reorder",IF(V290="Monitor","Monitor",IF(V290="Noise","Hold / collect data",IF(V290="Not Ready","Not ready","")))))</f>
        <v/>
      </c>
      <c r="Y290" s="18">
        <f>IF(OR(R290="",T290=""),"",ABS(R290)+ABS(T290))</f>
        <v/>
      </c>
      <c r="Z290" s="21">
        <f>IF(OR(B290="",NOT(O290),R290=""),"",IF(ABS(R290)&gt;=MaterialThreshold,"Yes","No"))</f>
        <v/>
      </c>
      <c r="AA290" s="18">
        <f>IF(Z290&lt;&gt;"Yes","",IF(ABS(R290)&gt;=MaterialThreshold,IF(ABS(R290)&gt;=BroadShare,"Broad SKU movement","Store-concentrated movement"),""))</f>
        <v/>
      </c>
      <c r="AB290" s="18">
        <f>IF(O290,IF(COUNTIFS($O$5:O290,TRUE)&gt;0,COUNTIFS($O$5:O290,TRUE),0),0)</f>
        <v/>
      </c>
      <c r="AC290" s="18">
        <f>IF(V290="Markdown Review",1,IF(V290="Reorder Candidate",2,IF(V290="Monitor",3,IF(V290="Noise",4,IF(V290="Not Ready",5,99)))))</f>
        <v/>
      </c>
      <c r="AD290" s="18">
        <f>IF(O290,COUNTIFS($O$5:$O$504,TRUE,$AC$5:$AC$504,"&lt;"&amp;AC290)+COUNTIFS($O$5:O290,TRUE,$AC$5:AC290,AC290,$Y$5:Y290,"&gt;"&amp;Y290),0)</f>
        <v/>
      </c>
    </row>
    <row r="291">
      <c r="A291" s="17">
        <f>IF(COUNTA('Weekly Input'!A291:C291)=0,"",'Weekly Input'!B291&amp;"|"&amp;'Weekly Input'!C291&amp;"|"&amp;TEXT('Weekly Input'!A291,"yyyy-mm-dd"))</f>
        <v/>
      </c>
      <c r="B291" s="18">
        <f>'Weekly Input'!B291</f>
        <v/>
      </c>
      <c r="C291" s="18">
        <f>'Weekly Input'!C291</f>
        <v/>
      </c>
      <c r="D291" s="18">
        <f>IF(B291="","",IFERROR(INDEX('Master Data'!$B$6:$B$145,MATCH(B291,'Master Data'!$A$6:$A$145,0)),""))</f>
        <v/>
      </c>
      <c r="E291" s="18">
        <f>IF(C291="","",IFERROR(INDEX('Master Data'!$H$6:$H$13,MATCH(C291,'Master Data'!$F$6:$F$13,0)),""))</f>
        <v/>
      </c>
      <c r="F291" s="19">
        <f>'Weekly Input'!A291</f>
        <v/>
      </c>
      <c r="G291" s="19">
        <f>IF(B291="","",IFERROR(INDEX('Master Data'!$D$6:$D$145,MATCH(B291,'Master Data'!$A$6:$A$145,0)),""))</f>
        <v/>
      </c>
      <c r="H291" s="18">
        <f>IF(OR(F291="",G291=""),"",F291-G291)</f>
        <v/>
      </c>
      <c r="I291" s="18">
        <f>IF(B291="","",IF('Weekly Input'!J291="OK",TRUE,FALSE))</f>
        <v/>
      </c>
      <c r="J291" s="18">
        <f>IF(B291="","",'Weekly Input'!H291&gt;=MinInStockDays)</f>
        <v/>
      </c>
      <c r="K291" s="18">
        <f>IF(B291="","",H291&gt;=FullCycleMin)</f>
        <v/>
      </c>
      <c r="L291" s="18">
        <f>IF(B291="","",AND(I291,J291,K291,N291&gt;=MinHistory))</f>
        <v/>
      </c>
      <c r="M291" s="20">
        <f>IF(OR(B291="",'Weekly Input'!H291=0),"",'Weekly Input'!D291/'Weekly Input'!H291*7)</f>
        <v/>
      </c>
      <c r="N291" s="18">
        <f>IF(B291="","",COUNTIFS($B$5:$B$504,B291,$C$5:$C$504,C291,$I$5:$I$504,TRUE,$J$5:$J$504,TRUE,$K$5:$K$504,TRUE))</f>
        <v/>
      </c>
      <c r="O291" s="18">
        <f>IF(B291="","",AND(F291=AsOfWeek,AsOfWeek&lt;&gt;""))</f>
        <v/>
      </c>
      <c r="P291" s="20">
        <f>IF(OR(B291="",AsOfWeek=""),"",IFERROR(SUMIFS($M$5:$M$504,$B$5:$B$504,B291,$C$5:$C$504,C291,$L$5:$L$504,TRUE,$F$5:$F$504,"&gt;="&amp;AsOfWeek-7*(RecentWeeks-1),$F$5:$F$504,"&lt;="&amp;AsOfWeek),""))</f>
        <v/>
      </c>
      <c r="Q291" s="20">
        <f>IF(OR(B291="",AsOfWeek=""),"",IFERROR(SUMIFS($M$5:$M$504,$B$5:$B$504,B291,$C$5:$C$504,C291,$L$5:$L$504,TRUE,$F$5:$F$504,"&gt;="&amp;AsOfWeek-7*(RecentWeeks+PriorWeeks-1),$F$5:$F$504,"&lt;"&amp;AsOfWeek-7*(RecentWeeks-1)),""))</f>
        <v/>
      </c>
      <c r="R291" s="21">
        <f>IF(OR(P291="",Q291="",Q291=0),"",P291/Q291-1)</f>
        <v/>
      </c>
      <c r="S291" s="20">
        <f>IF(OR(C291="",AsOfWeek=""),"",IFERROR(AVERAGEIFS($M$5:$M$504,$C$5:$C$504,C291,$L$5:$L$504,TRUE,$F$5:$F$504,"&gt;="&amp;AsOfWeek-7*(RecentWeeks-1),$F$5:$F$504,"&lt;="&amp;AsOfWeek),""))</f>
        <v/>
      </c>
      <c r="T291" s="21">
        <f>IF(OR(P291="",S291=""),"",P291/S291-1)</f>
        <v/>
      </c>
      <c r="U291" s="22">
        <f>IF(OR(B291="",'Weekly Input'!G291="",P291="",P291=0),"",'Weekly Input'!G291/P291)</f>
        <v/>
      </c>
      <c r="V291" s="18">
        <f>IF(B291="","",IF(NOT(I291),"Not Ready",IF(NOT(K291),"Not Ready",IF(N291&lt;MinHistory,"Not Ready",IF(NOT(J291),"Not Ready",IF(OR(Q291="",Q291=0),"Noise",IF(Q291&lt;LowBaseThreshold,"Noise",IF(AND(R291&lt;=-OwnDecline,T291&lt;=-PeerGapThreshold),"Markdown Review",IF(AND(R291&gt;=ReorderUplift,U291&lt;&gt;"",U291&lt;=WeeksSupplyCap),"Reorder Candidate","Monitor"))))))))</f>
        <v/>
      </c>
      <c r="W291" s="18">
        <f>IF(B291="","",IF(NOT(I291),"INVALID_MASTER",IF(NOT(K291),"INCOMPLETE_SHELF_CYCLE",IF(N291&lt;MinHistory,"INSUFFICIENT_HISTORY",IF(NOT(J291),"INSUFFICIENT_IN_STOCK",IF(OR(Q291="",Q291=0),"NO_PRIOR_BASE",IF(Q291&lt;LowBaseThreshold,"LOW_BASE_NOISE",IF(V291="Markdown Review","MARKDOWN_PEER_GAP",IF(V291="Reorder Candidate","REORDER_UPLIFT_COVER","NO_MATERIAL_CHANGE"))))))))</f>
        <v/>
      </c>
      <c r="X291" s="18">
        <f>IF(V291="Markdown Review","Markdown support",IF(V291="Reorder Candidate","Second reorder",IF(V291="Monitor","Monitor",IF(V291="Noise","Hold / collect data",IF(V291="Not Ready","Not ready","")))))</f>
        <v/>
      </c>
      <c r="Y291" s="18">
        <f>IF(OR(R291="",T291=""),"",ABS(R291)+ABS(T291))</f>
        <v/>
      </c>
      <c r="Z291" s="21">
        <f>IF(OR(B291="",NOT(O291),R291=""),"",IF(ABS(R291)&gt;=MaterialThreshold,"Yes","No"))</f>
        <v/>
      </c>
      <c r="AA291" s="18">
        <f>IF(Z291&lt;&gt;"Yes","",IF(ABS(R291)&gt;=MaterialThreshold,IF(ABS(R291)&gt;=BroadShare,"Broad SKU movement","Store-concentrated movement"),""))</f>
        <v/>
      </c>
      <c r="AB291" s="18">
        <f>IF(O291,IF(COUNTIFS($O$5:O291,TRUE)&gt;0,COUNTIFS($O$5:O291,TRUE),0),0)</f>
        <v/>
      </c>
      <c r="AC291" s="18">
        <f>IF(V291="Markdown Review",1,IF(V291="Reorder Candidate",2,IF(V291="Monitor",3,IF(V291="Noise",4,IF(V291="Not Ready",5,99)))))</f>
        <v/>
      </c>
      <c r="AD291" s="18">
        <f>IF(O291,COUNTIFS($O$5:$O$504,TRUE,$AC$5:$AC$504,"&lt;"&amp;AC291)+COUNTIFS($O$5:O291,TRUE,$AC$5:AC291,AC291,$Y$5:Y291,"&gt;"&amp;Y291),0)</f>
        <v/>
      </c>
    </row>
    <row r="292">
      <c r="A292" s="17">
        <f>IF(COUNTA('Weekly Input'!A292:C292)=0,"",'Weekly Input'!B292&amp;"|"&amp;'Weekly Input'!C292&amp;"|"&amp;TEXT('Weekly Input'!A292,"yyyy-mm-dd"))</f>
        <v/>
      </c>
      <c r="B292" s="18">
        <f>'Weekly Input'!B292</f>
        <v/>
      </c>
      <c r="C292" s="18">
        <f>'Weekly Input'!C292</f>
        <v/>
      </c>
      <c r="D292" s="18">
        <f>IF(B292="","",IFERROR(INDEX('Master Data'!$B$6:$B$145,MATCH(B292,'Master Data'!$A$6:$A$145,0)),""))</f>
        <v/>
      </c>
      <c r="E292" s="18">
        <f>IF(C292="","",IFERROR(INDEX('Master Data'!$H$6:$H$13,MATCH(C292,'Master Data'!$F$6:$F$13,0)),""))</f>
        <v/>
      </c>
      <c r="F292" s="19">
        <f>'Weekly Input'!A292</f>
        <v/>
      </c>
      <c r="G292" s="19">
        <f>IF(B292="","",IFERROR(INDEX('Master Data'!$D$6:$D$145,MATCH(B292,'Master Data'!$A$6:$A$145,0)),""))</f>
        <v/>
      </c>
      <c r="H292" s="18">
        <f>IF(OR(F292="",G292=""),"",F292-G292)</f>
        <v/>
      </c>
      <c r="I292" s="18">
        <f>IF(B292="","",IF('Weekly Input'!J292="OK",TRUE,FALSE))</f>
        <v/>
      </c>
      <c r="J292" s="18">
        <f>IF(B292="","",'Weekly Input'!H292&gt;=MinInStockDays)</f>
        <v/>
      </c>
      <c r="K292" s="18">
        <f>IF(B292="","",H292&gt;=FullCycleMin)</f>
        <v/>
      </c>
      <c r="L292" s="18">
        <f>IF(B292="","",AND(I292,J292,K292,N292&gt;=MinHistory))</f>
        <v/>
      </c>
      <c r="M292" s="20">
        <f>IF(OR(B292="",'Weekly Input'!H292=0),"",'Weekly Input'!D292/'Weekly Input'!H292*7)</f>
        <v/>
      </c>
      <c r="N292" s="18">
        <f>IF(B292="","",COUNTIFS($B$5:$B$504,B292,$C$5:$C$504,C292,$I$5:$I$504,TRUE,$J$5:$J$504,TRUE,$K$5:$K$504,TRUE))</f>
        <v/>
      </c>
      <c r="O292" s="18">
        <f>IF(B292="","",AND(F292=AsOfWeek,AsOfWeek&lt;&gt;""))</f>
        <v/>
      </c>
      <c r="P292" s="20">
        <f>IF(OR(B292="",AsOfWeek=""),"",IFERROR(SUMIFS($M$5:$M$504,$B$5:$B$504,B292,$C$5:$C$504,C292,$L$5:$L$504,TRUE,$F$5:$F$504,"&gt;="&amp;AsOfWeek-7*(RecentWeeks-1),$F$5:$F$504,"&lt;="&amp;AsOfWeek),""))</f>
        <v/>
      </c>
      <c r="Q292" s="20">
        <f>IF(OR(B292="",AsOfWeek=""),"",IFERROR(SUMIFS($M$5:$M$504,$B$5:$B$504,B292,$C$5:$C$504,C292,$L$5:$L$504,TRUE,$F$5:$F$504,"&gt;="&amp;AsOfWeek-7*(RecentWeeks+PriorWeeks-1),$F$5:$F$504,"&lt;"&amp;AsOfWeek-7*(RecentWeeks-1)),""))</f>
        <v/>
      </c>
      <c r="R292" s="21">
        <f>IF(OR(P292="",Q292="",Q292=0),"",P292/Q292-1)</f>
        <v/>
      </c>
      <c r="S292" s="20">
        <f>IF(OR(C292="",AsOfWeek=""),"",IFERROR(AVERAGEIFS($M$5:$M$504,$C$5:$C$504,C292,$L$5:$L$504,TRUE,$F$5:$F$504,"&gt;="&amp;AsOfWeek-7*(RecentWeeks-1),$F$5:$F$504,"&lt;="&amp;AsOfWeek),""))</f>
        <v/>
      </c>
      <c r="T292" s="21">
        <f>IF(OR(P292="",S292=""),"",P292/S292-1)</f>
        <v/>
      </c>
      <c r="U292" s="22">
        <f>IF(OR(B292="",'Weekly Input'!G292="",P292="",P292=0),"",'Weekly Input'!G292/P292)</f>
        <v/>
      </c>
      <c r="V292" s="18">
        <f>IF(B292="","",IF(NOT(I292),"Not Ready",IF(NOT(K292),"Not Ready",IF(N292&lt;MinHistory,"Not Ready",IF(NOT(J292),"Not Ready",IF(OR(Q292="",Q292=0),"Noise",IF(Q292&lt;LowBaseThreshold,"Noise",IF(AND(R292&lt;=-OwnDecline,T292&lt;=-PeerGapThreshold),"Markdown Review",IF(AND(R292&gt;=ReorderUplift,U292&lt;&gt;"",U292&lt;=WeeksSupplyCap),"Reorder Candidate","Monitor"))))))))</f>
        <v/>
      </c>
      <c r="W292" s="18">
        <f>IF(B292="","",IF(NOT(I292),"INVALID_MASTER",IF(NOT(K292),"INCOMPLETE_SHELF_CYCLE",IF(N292&lt;MinHistory,"INSUFFICIENT_HISTORY",IF(NOT(J292),"INSUFFICIENT_IN_STOCK",IF(OR(Q292="",Q292=0),"NO_PRIOR_BASE",IF(Q292&lt;LowBaseThreshold,"LOW_BASE_NOISE",IF(V292="Markdown Review","MARKDOWN_PEER_GAP",IF(V292="Reorder Candidate","REORDER_UPLIFT_COVER","NO_MATERIAL_CHANGE"))))))))</f>
        <v/>
      </c>
      <c r="X292" s="18">
        <f>IF(V292="Markdown Review","Markdown support",IF(V292="Reorder Candidate","Second reorder",IF(V292="Monitor","Monitor",IF(V292="Noise","Hold / collect data",IF(V292="Not Ready","Not ready","")))))</f>
        <v/>
      </c>
      <c r="Y292" s="18">
        <f>IF(OR(R292="",T292=""),"",ABS(R292)+ABS(T292))</f>
        <v/>
      </c>
      <c r="Z292" s="21">
        <f>IF(OR(B292="",NOT(O292),R292=""),"",IF(ABS(R292)&gt;=MaterialThreshold,"Yes","No"))</f>
        <v/>
      </c>
      <c r="AA292" s="18">
        <f>IF(Z292&lt;&gt;"Yes","",IF(ABS(R292)&gt;=MaterialThreshold,IF(ABS(R292)&gt;=BroadShare,"Broad SKU movement","Store-concentrated movement"),""))</f>
        <v/>
      </c>
      <c r="AB292" s="18">
        <f>IF(O292,IF(COUNTIFS($O$5:O292,TRUE)&gt;0,COUNTIFS($O$5:O292,TRUE),0),0)</f>
        <v/>
      </c>
      <c r="AC292" s="18">
        <f>IF(V292="Markdown Review",1,IF(V292="Reorder Candidate",2,IF(V292="Monitor",3,IF(V292="Noise",4,IF(V292="Not Ready",5,99)))))</f>
        <v/>
      </c>
      <c r="AD292" s="18">
        <f>IF(O292,COUNTIFS($O$5:$O$504,TRUE,$AC$5:$AC$504,"&lt;"&amp;AC292)+COUNTIFS($O$5:O292,TRUE,$AC$5:AC292,AC292,$Y$5:Y292,"&gt;"&amp;Y292),0)</f>
        <v/>
      </c>
    </row>
    <row r="293">
      <c r="A293" s="17">
        <f>IF(COUNTA('Weekly Input'!A293:C293)=0,"",'Weekly Input'!B293&amp;"|"&amp;'Weekly Input'!C293&amp;"|"&amp;TEXT('Weekly Input'!A293,"yyyy-mm-dd"))</f>
        <v/>
      </c>
      <c r="B293" s="18">
        <f>'Weekly Input'!B293</f>
        <v/>
      </c>
      <c r="C293" s="18">
        <f>'Weekly Input'!C293</f>
        <v/>
      </c>
      <c r="D293" s="18">
        <f>IF(B293="","",IFERROR(INDEX('Master Data'!$B$6:$B$145,MATCH(B293,'Master Data'!$A$6:$A$145,0)),""))</f>
        <v/>
      </c>
      <c r="E293" s="18">
        <f>IF(C293="","",IFERROR(INDEX('Master Data'!$H$6:$H$13,MATCH(C293,'Master Data'!$F$6:$F$13,0)),""))</f>
        <v/>
      </c>
      <c r="F293" s="19">
        <f>'Weekly Input'!A293</f>
        <v/>
      </c>
      <c r="G293" s="19">
        <f>IF(B293="","",IFERROR(INDEX('Master Data'!$D$6:$D$145,MATCH(B293,'Master Data'!$A$6:$A$145,0)),""))</f>
        <v/>
      </c>
      <c r="H293" s="18">
        <f>IF(OR(F293="",G293=""),"",F293-G293)</f>
        <v/>
      </c>
      <c r="I293" s="18">
        <f>IF(B293="","",IF('Weekly Input'!J293="OK",TRUE,FALSE))</f>
        <v/>
      </c>
      <c r="J293" s="18">
        <f>IF(B293="","",'Weekly Input'!H293&gt;=MinInStockDays)</f>
        <v/>
      </c>
      <c r="K293" s="18">
        <f>IF(B293="","",H293&gt;=FullCycleMin)</f>
        <v/>
      </c>
      <c r="L293" s="18">
        <f>IF(B293="","",AND(I293,J293,K293,N293&gt;=MinHistory))</f>
        <v/>
      </c>
      <c r="M293" s="20">
        <f>IF(OR(B293="",'Weekly Input'!H293=0),"",'Weekly Input'!D293/'Weekly Input'!H293*7)</f>
        <v/>
      </c>
      <c r="N293" s="18">
        <f>IF(B293="","",COUNTIFS($B$5:$B$504,B293,$C$5:$C$504,C293,$I$5:$I$504,TRUE,$J$5:$J$504,TRUE,$K$5:$K$504,TRUE))</f>
        <v/>
      </c>
      <c r="O293" s="18">
        <f>IF(B293="","",AND(F293=AsOfWeek,AsOfWeek&lt;&gt;""))</f>
        <v/>
      </c>
      <c r="P293" s="20">
        <f>IF(OR(B293="",AsOfWeek=""),"",IFERROR(SUMIFS($M$5:$M$504,$B$5:$B$504,B293,$C$5:$C$504,C293,$L$5:$L$504,TRUE,$F$5:$F$504,"&gt;="&amp;AsOfWeek-7*(RecentWeeks-1),$F$5:$F$504,"&lt;="&amp;AsOfWeek),""))</f>
        <v/>
      </c>
      <c r="Q293" s="20">
        <f>IF(OR(B293="",AsOfWeek=""),"",IFERROR(SUMIFS($M$5:$M$504,$B$5:$B$504,B293,$C$5:$C$504,C293,$L$5:$L$504,TRUE,$F$5:$F$504,"&gt;="&amp;AsOfWeek-7*(RecentWeeks+PriorWeeks-1),$F$5:$F$504,"&lt;"&amp;AsOfWeek-7*(RecentWeeks-1)),""))</f>
        <v/>
      </c>
      <c r="R293" s="21">
        <f>IF(OR(P293="",Q293="",Q293=0),"",P293/Q293-1)</f>
        <v/>
      </c>
      <c r="S293" s="20">
        <f>IF(OR(C293="",AsOfWeek=""),"",IFERROR(AVERAGEIFS($M$5:$M$504,$C$5:$C$504,C293,$L$5:$L$504,TRUE,$F$5:$F$504,"&gt;="&amp;AsOfWeek-7*(RecentWeeks-1),$F$5:$F$504,"&lt;="&amp;AsOfWeek),""))</f>
        <v/>
      </c>
      <c r="T293" s="21">
        <f>IF(OR(P293="",S293=""),"",P293/S293-1)</f>
        <v/>
      </c>
      <c r="U293" s="22">
        <f>IF(OR(B293="",'Weekly Input'!G293="",P293="",P293=0),"",'Weekly Input'!G293/P293)</f>
        <v/>
      </c>
      <c r="V293" s="18">
        <f>IF(B293="","",IF(NOT(I293),"Not Ready",IF(NOT(K293),"Not Ready",IF(N293&lt;MinHistory,"Not Ready",IF(NOT(J293),"Not Ready",IF(OR(Q293="",Q293=0),"Noise",IF(Q293&lt;LowBaseThreshold,"Noise",IF(AND(R293&lt;=-OwnDecline,T293&lt;=-PeerGapThreshold),"Markdown Review",IF(AND(R293&gt;=ReorderUplift,U293&lt;&gt;"",U293&lt;=WeeksSupplyCap),"Reorder Candidate","Monitor"))))))))</f>
        <v/>
      </c>
      <c r="W293" s="18">
        <f>IF(B293="","",IF(NOT(I293),"INVALID_MASTER",IF(NOT(K293),"INCOMPLETE_SHELF_CYCLE",IF(N293&lt;MinHistory,"INSUFFICIENT_HISTORY",IF(NOT(J293),"INSUFFICIENT_IN_STOCK",IF(OR(Q293="",Q293=0),"NO_PRIOR_BASE",IF(Q293&lt;LowBaseThreshold,"LOW_BASE_NOISE",IF(V293="Markdown Review","MARKDOWN_PEER_GAP",IF(V293="Reorder Candidate","REORDER_UPLIFT_COVER","NO_MATERIAL_CHANGE"))))))))</f>
        <v/>
      </c>
      <c r="X293" s="18">
        <f>IF(V293="Markdown Review","Markdown support",IF(V293="Reorder Candidate","Second reorder",IF(V293="Monitor","Monitor",IF(V293="Noise","Hold / collect data",IF(V293="Not Ready","Not ready","")))))</f>
        <v/>
      </c>
      <c r="Y293" s="18">
        <f>IF(OR(R293="",T293=""),"",ABS(R293)+ABS(T293))</f>
        <v/>
      </c>
      <c r="Z293" s="21">
        <f>IF(OR(B293="",NOT(O293),R293=""),"",IF(ABS(R293)&gt;=MaterialThreshold,"Yes","No"))</f>
        <v/>
      </c>
      <c r="AA293" s="18">
        <f>IF(Z293&lt;&gt;"Yes","",IF(ABS(R293)&gt;=MaterialThreshold,IF(ABS(R293)&gt;=BroadShare,"Broad SKU movement","Store-concentrated movement"),""))</f>
        <v/>
      </c>
      <c r="AB293" s="18">
        <f>IF(O293,IF(COUNTIFS($O$5:O293,TRUE)&gt;0,COUNTIFS($O$5:O293,TRUE),0),0)</f>
        <v/>
      </c>
      <c r="AC293" s="18">
        <f>IF(V293="Markdown Review",1,IF(V293="Reorder Candidate",2,IF(V293="Monitor",3,IF(V293="Noise",4,IF(V293="Not Ready",5,99)))))</f>
        <v/>
      </c>
      <c r="AD293" s="18">
        <f>IF(O293,COUNTIFS($O$5:$O$504,TRUE,$AC$5:$AC$504,"&lt;"&amp;AC293)+COUNTIFS($O$5:O293,TRUE,$AC$5:AC293,AC293,$Y$5:Y293,"&gt;"&amp;Y293),0)</f>
        <v/>
      </c>
    </row>
    <row r="294">
      <c r="A294" s="17">
        <f>IF(COUNTA('Weekly Input'!A294:C294)=0,"",'Weekly Input'!B294&amp;"|"&amp;'Weekly Input'!C294&amp;"|"&amp;TEXT('Weekly Input'!A294,"yyyy-mm-dd"))</f>
        <v/>
      </c>
      <c r="B294" s="18">
        <f>'Weekly Input'!B294</f>
        <v/>
      </c>
      <c r="C294" s="18">
        <f>'Weekly Input'!C294</f>
        <v/>
      </c>
      <c r="D294" s="18">
        <f>IF(B294="","",IFERROR(INDEX('Master Data'!$B$6:$B$145,MATCH(B294,'Master Data'!$A$6:$A$145,0)),""))</f>
        <v/>
      </c>
      <c r="E294" s="18">
        <f>IF(C294="","",IFERROR(INDEX('Master Data'!$H$6:$H$13,MATCH(C294,'Master Data'!$F$6:$F$13,0)),""))</f>
        <v/>
      </c>
      <c r="F294" s="19">
        <f>'Weekly Input'!A294</f>
        <v/>
      </c>
      <c r="G294" s="19">
        <f>IF(B294="","",IFERROR(INDEX('Master Data'!$D$6:$D$145,MATCH(B294,'Master Data'!$A$6:$A$145,0)),""))</f>
        <v/>
      </c>
      <c r="H294" s="18">
        <f>IF(OR(F294="",G294=""),"",F294-G294)</f>
        <v/>
      </c>
      <c r="I294" s="18">
        <f>IF(B294="","",IF('Weekly Input'!J294="OK",TRUE,FALSE))</f>
        <v/>
      </c>
      <c r="J294" s="18">
        <f>IF(B294="","",'Weekly Input'!H294&gt;=MinInStockDays)</f>
        <v/>
      </c>
      <c r="K294" s="18">
        <f>IF(B294="","",H294&gt;=FullCycleMin)</f>
        <v/>
      </c>
      <c r="L294" s="18">
        <f>IF(B294="","",AND(I294,J294,K294,N294&gt;=MinHistory))</f>
        <v/>
      </c>
      <c r="M294" s="20">
        <f>IF(OR(B294="",'Weekly Input'!H294=0),"",'Weekly Input'!D294/'Weekly Input'!H294*7)</f>
        <v/>
      </c>
      <c r="N294" s="18">
        <f>IF(B294="","",COUNTIFS($B$5:$B$504,B294,$C$5:$C$504,C294,$I$5:$I$504,TRUE,$J$5:$J$504,TRUE,$K$5:$K$504,TRUE))</f>
        <v/>
      </c>
      <c r="O294" s="18">
        <f>IF(B294="","",AND(F294=AsOfWeek,AsOfWeek&lt;&gt;""))</f>
        <v/>
      </c>
      <c r="P294" s="20">
        <f>IF(OR(B294="",AsOfWeek=""),"",IFERROR(SUMIFS($M$5:$M$504,$B$5:$B$504,B294,$C$5:$C$504,C294,$L$5:$L$504,TRUE,$F$5:$F$504,"&gt;="&amp;AsOfWeek-7*(RecentWeeks-1),$F$5:$F$504,"&lt;="&amp;AsOfWeek),""))</f>
        <v/>
      </c>
      <c r="Q294" s="20">
        <f>IF(OR(B294="",AsOfWeek=""),"",IFERROR(SUMIFS($M$5:$M$504,$B$5:$B$504,B294,$C$5:$C$504,C294,$L$5:$L$504,TRUE,$F$5:$F$504,"&gt;="&amp;AsOfWeek-7*(RecentWeeks+PriorWeeks-1),$F$5:$F$504,"&lt;"&amp;AsOfWeek-7*(RecentWeeks-1)),""))</f>
        <v/>
      </c>
      <c r="R294" s="21">
        <f>IF(OR(P294="",Q294="",Q294=0),"",P294/Q294-1)</f>
        <v/>
      </c>
      <c r="S294" s="20">
        <f>IF(OR(C294="",AsOfWeek=""),"",IFERROR(AVERAGEIFS($M$5:$M$504,$C$5:$C$504,C294,$L$5:$L$504,TRUE,$F$5:$F$504,"&gt;="&amp;AsOfWeek-7*(RecentWeeks-1),$F$5:$F$504,"&lt;="&amp;AsOfWeek),""))</f>
        <v/>
      </c>
      <c r="T294" s="21">
        <f>IF(OR(P294="",S294=""),"",P294/S294-1)</f>
        <v/>
      </c>
      <c r="U294" s="22">
        <f>IF(OR(B294="",'Weekly Input'!G294="",P294="",P294=0),"",'Weekly Input'!G294/P294)</f>
        <v/>
      </c>
      <c r="V294" s="18">
        <f>IF(B294="","",IF(NOT(I294),"Not Ready",IF(NOT(K294),"Not Ready",IF(N294&lt;MinHistory,"Not Ready",IF(NOT(J294),"Not Ready",IF(OR(Q294="",Q294=0),"Noise",IF(Q294&lt;LowBaseThreshold,"Noise",IF(AND(R294&lt;=-OwnDecline,T294&lt;=-PeerGapThreshold),"Markdown Review",IF(AND(R294&gt;=ReorderUplift,U294&lt;&gt;"",U294&lt;=WeeksSupplyCap),"Reorder Candidate","Monitor"))))))))</f>
        <v/>
      </c>
      <c r="W294" s="18">
        <f>IF(B294="","",IF(NOT(I294),"INVALID_MASTER",IF(NOT(K294),"INCOMPLETE_SHELF_CYCLE",IF(N294&lt;MinHistory,"INSUFFICIENT_HISTORY",IF(NOT(J294),"INSUFFICIENT_IN_STOCK",IF(OR(Q294="",Q294=0),"NO_PRIOR_BASE",IF(Q294&lt;LowBaseThreshold,"LOW_BASE_NOISE",IF(V294="Markdown Review","MARKDOWN_PEER_GAP",IF(V294="Reorder Candidate","REORDER_UPLIFT_COVER","NO_MATERIAL_CHANGE"))))))))</f>
        <v/>
      </c>
      <c r="X294" s="18">
        <f>IF(V294="Markdown Review","Markdown support",IF(V294="Reorder Candidate","Second reorder",IF(V294="Monitor","Monitor",IF(V294="Noise","Hold / collect data",IF(V294="Not Ready","Not ready","")))))</f>
        <v/>
      </c>
      <c r="Y294" s="18">
        <f>IF(OR(R294="",T294=""),"",ABS(R294)+ABS(T294))</f>
        <v/>
      </c>
      <c r="Z294" s="21">
        <f>IF(OR(B294="",NOT(O294),R294=""),"",IF(ABS(R294)&gt;=MaterialThreshold,"Yes","No"))</f>
        <v/>
      </c>
      <c r="AA294" s="18">
        <f>IF(Z294&lt;&gt;"Yes","",IF(ABS(R294)&gt;=MaterialThreshold,IF(ABS(R294)&gt;=BroadShare,"Broad SKU movement","Store-concentrated movement"),""))</f>
        <v/>
      </c>
      <c r="AB294" s="18">
        <f>IF(O294,IF(COUNTIFS($O$5:O294,TRUE)&gt;0,COUNTIFS($O$5:O294,TRUE),0),0)</f>
        <v/>
      </c>
      <c r="AC294" s="18">
        <f>IF(V294="Markdown Review",1,IF(V294="Reorder Candidate",2,IF(V294="Monitor",3,IF(V294="Noise",4,IF(V294="Not Ready",5,99)))))</f>
        <v/>
      </c>
      <c r="AD294" s="18">
        <f>IF(O294,COUNTIFS($O$5:$O$504,TRUE,$AC$5:$AC$504,"&lt;"&amp;AC294)+COUNTIFS($O$5:O294,TRUE,$AC$5:AC294,AC294,$Y$5:Y294,"&gt;"&amp;Y294),0)</f>
        <v/>
      </c>
    </row>
    <row r="295">
      <c r="A295" s="17">
        <f>IF(COUNTA('Weekly Input'!A295:C295)=0,"",'Weekly Input'!B295&amp;"|"&amp;'Weekly Input'!C295&amp;"|"&amp;TEXT('Weekly Input'!A295,"yyyy-mm-dd"))</f>
        <v/>
      </c>
      <c r="B295" s="18">
        <f>'Weekly Input'!B295</f>
        <v/>
      </c>
      <c r="C295" s="18">
        <f>'Weekly Input'!C295</f>
        <v/>
      </c>
      <c r="D295" s="18">
        <f>IF(B295="","",IFERROR(INDEX('Master Data'!$B$6:$B$145,MATCH(B295,'Master Data'!$A$6:$A$145,0)),""))</f>
        <v/>
      </c>
      <c r="E295" s="18">
        <f>IF(C295="","",IFERROR(INDEX('Master Data'!$H$6:$H$13,MATCH(C295,'Master Data'!$F$6:$F$13,0)),""))</f>
        <v/>
      </c>
      <c r="F295" s="19">
        <f>'Weekly Input'!A295</f>
        <v/>
      </c>
      <c r="G295" s="19">
        <f>IF(B295="","",IFERROR(INDEX('Master Data'!$D$6:$D$145,MATCH(B295,'Master Data'!$A$6:$A$145,0)),""))</f>
        <v/>
      </c>
      <c r="H295" s="18">
        <f>IF(OR(F295="",G295=""),"",F295-G295)</f>
        <v/>
      </c>
      <c r="I295" s="18">
        <f>IF(B295="","",IF('Weekly Input'!J295="OK",TRUE,FALSE))</f>
        <v/>
      </c>
      <c r="J295" s="18">
        <f>IF(B295="","",'Weekly Input'!H295&gt;=MinInStockDays)</f>
        <v/>
      </c>
      <c r="K295" s="18">
        <f>IF(B295="","",H295&gt;=FullCycleMin)</f>
        <v/>
      </c>
      <c r="L295" s="18">
        <f>IF(B295="","",AND(I295,J295,K295,N295&gt;=MinHistory))</f>
        <v/>
      </c>
      <c r="M295" s="20">
        <f>IF(OR(B295="",'Weekly Input'!H295=0),"",'Weekly Input'!D295/'Weekly Input'!H295*7)</f>
        <v/>
      </c>
      <c r="N295" s="18">
        <f>IF(B295="","",COUNTIFS($B$5:$B$504,B295,$C$5:$C$504,C295,$I$5:$I$504,TRUE,$J$5:$J$504,TRUE,$K$5:$K$504,TRUE))</f>
        <v/>
      </c>
      <c r="O295" s="18">
        <f>IF(B295="","",AND(F295=AsOfWeek,AsOfWeek&lt;&gt;""))</f>
        <v/>
      </c>
      <c r="P295" s="20">
        <f>IF(OR(B295="",AsOfWeek=""),"",IFERROR(SUMIFS($M$5:$M$504,$B$5:$B$504,B295,$C$5:$C$504,C295,$L$5:$L$504,TRUE,$F$5:$F$504,"&gt;="&amp;AsOfWeek-7*(RecentWeeks-1),$F$5:$F$504,"&lt;="&amp;AsOfWeek),""))</f>
        <v/>
      </c>
      <c r="Q295" s="20">
        <f>IF(OR(B295="",AsOfWeek=""),"",IFERROR(SUMIFS($M$5:$M$504,$B$5:$B$504,B295,$C$5:$C$504,C295,$L$5:$L$504,TRUE,$F$5:$F$504,"&gt;="&amp;AsOfWeek-7*(RecentWeeks+PriorWeeks-1),$F$5:$F$504,"&lt;"&amp;AsOfWeek-7*(RecentWeeks-1)),""))</f>
        <v/>
      </c>
      <c r="R295" s="21">
        <f>IF(OR(P295="",Q295="",Q295=0),"",P295/Q295-1)</f>
        <v/>
      </c>
      <c r="S295" s="20">
        <f>IF(OR(C295="",AsOfWeek=""),"",IFERROR(AVERAGEIFS($M$5:$M$504,$C$5:$C$504,C295,$L$5:$L$504,TRUE,$F$5:$F$504,"&gt;="&amp;AsOfWeek-7*(RecentWeeks-1),$F$5:$F$504,"&lt;="&amp;AsOfWeek),""))</f>
        <v/>
      </c>
      <c r="T295" s="21">
        <f>IF(OR(P295="",S295=""),"",P295/S295-1)</f>
        <v/>
      </c>
      <c r="U295" s="22">
        <f>IF(OR(B295="",'Weekly Input'!G295="",P295="",P295=0),"",'Weekly Input'!G295/P295)</f>
        <v/>
      </c>
      <c r="V295" s="18">
        <f>IF(B295="","",IF(NOT(I295),"Not Ready",IF(NOT(K295),"Not Ready",IF(N295&lt;MinHistory,"Not Ready",IF(NOT(J295),"Not Ready",IF(OR(Q295="",Q295=0),"Noise",IF(Q295&lt;LowBaseThreshold,"Noise",IF(AND(R295&lt;=-OwnDecline,T295&lt;=-PeerGapThreshold),"Markdown Review",IF(AND(R295&gt;=ReorderUplift,U295&lt;&gt;"",U295&lt;=WeeksSupplyCap),"Reorder Candidate","Monitor"))))))))</f>
        <v/>
      </c>
      <c r="W295" s="18">
        <f>IF(B295="","",IF(NOT(I295),"INVALID_MASTER",IF(NOT(K295),"INCOMPLETE_SHELF_CYCLE",IF(N295&lt;MinHistory,"INSUFFICIENT_HISTORY",IF(NOT(J295),"INSUFFICIENT_IN_STOCK",IF(OR(Q295="",Q295=0),"NO_PRIOR_BASE",IF(Q295&lt;LowBaseThreshold,"LOW_BASE_NOISE",IF(V295="Markdown Review","MARKDOWN_PEER_GAP",IF(V295="Reorder Candidate","REORDER_UPLIFT_COVER","NO_MATERIAL_CHANGE"))))))))</f>
        <v/>
      </c>
      <c r="X295" s="18">
        <f>IF(V295="Markdown Review","Markdown support",IF(V295="Reorder Candidate","Second reorder",IF(V295="Monitor","Monitor",IF(V295="Noise","Hold / collect data",IF(V295="Not Ready","Not ready","")))))</f>
        <v/>
      </c>
      <c r="Y295" s="18">
        <f>IF(OR(R295="",T295=""),"",ABS(R295)+ABS(T295))</f>
        <v/>
      </c>
      <c r="Z295" s="21">
        <f>IF(OR(B295="",NOT(O295),R295=""),"",IF(ABS(R295)&gt;=MaterialThreshold,"Yes","No"))</f>
        <v/>
      </c>
      <c r="AA295" s="18">
        <f>IF(Z295&lt;&gt;"Yes","",IF(ABS(R295)&gt;=MaterialThreshold,IF(ABS(R295)&gt;=BroadShare,"Broad SKU movement","Store-concentrated movement"),""))</f>
        <v/>
      </c>
      <c r="AB295" s="18">
        <f>IF(O295,IF(COUNTIFS($O$5:O295,TRUE)&gt;0,COUNTIFS($O$5:O295,TRUE),0),0)</f>
        <v/>
      </c>
      <c r="AC295" s="18">
        <f>IF(V295="Markdown Review",1,IF(V295="Reorder Candidate",2,IF(V295="Monitor",3,IF(V295="Noise",4,IF(V295="Not Ready",5,99)))))</f>
        <v/>
      </c>
      <c r="AD295" s="18">
        <f>IF(O295,COUNTIFS($O$5:$O$504,TRUE,$AC$5:$AC$504,"&lt;"&amp;AC295)+COUNTIFS($O$5:O295,TRUE,$AC$5:AC295,AC295,$Y$5:Y295,"&gt;"&amp;Y295),0)</f>
        <v/>
      </c>
    </row>
    <row r="296">
      <c r="A296" s="17">
        <f>IF(COUNTA('Weekly Input'!A296:C296)=0,"",'Weekly Input'!B296&amp;"|"&amp;'Weekly Input'!C296&amp;"|"&amp;TEXT('Weekly Input'!A296,"yyyy-mm-dd"))</f>
        <v/>
      </c>
      <c r="B296" s="18">
        <f>'Weekly Input'!B296</f>
        <v/>
      </c>
      <c r="C296" s="18">
        <f>'Weekly Input'!C296</f>
        <v/>
      </c>
      <c r="D296" s="18">
        <f>IF(B296="","",IFERROR(INDEX('Master Data'!$B$6:$B$145,MATCH(B296,'Master Data'!$A$6:$A$145,0)),""))</f>
        <v/>
      </c>
      <c r="E296" s="18">
        <f>IF(C296="","",IFERROR(INDEX('Master Data'!$H$6:$H$13,MATCH(C296,'Master Data'!$F$6:$F$13,0)),""))</f>
        <v/>
      </c>
      <c r="F296" s="19">
        <f>'Weekly Input'!A296</f>
        <v/>
      </c>
      <c r="G296" s="19">
        <f>IF(B296="","",IFERROR(INDEX('Master Data'!$D$6:$D$145,MATCH(B296,'Master Data'!$A$6:$A$145,0)),""))</f>
        <v/>
      </c>
      <c r="H296" s="18">
        <f>IF(OR(F296="",G296=""),"",F296-G296)</f>
        <v/>
      </c>
      <c r="I296" s="18">
        <f>IF(B296="","",IF('Weekly Input'!J296="OK",TRUE,FALSE))</f>
        <v/>
      </c>
      <c r="J296" s="18">
        <f>IF(B296="","",'Weekly Input'!H296&gt;=MinInStockDays)</f>
        <v/>
      </c>
      <c r="K296" s="18">
        <f>IF(B296="","",H296&gt;=FullCycleMin)</f>
        <v/>
      </c>
      <c r="L296" s="18">
        <f>IF(B296="","",AND(I296,J296,K296,N296&gt;=MinHistory))</f>
        <v/>
      </c>
      <c r="M296" s="20">
        <f>IF(OR(B296="",'Weekly Input'!H296=0),"",'Weekly Input'!D296/'Weekly Input'!H296*7)</f>
        <v/>
      </c>
      <c r="N296" s="18">
        <f>IF(B296="","",COUNTIFS($B$5:$B$504,B296,$C$5:$C$504,C296,$I$5:$I$504,TRUE,$J$5:$J$504,TRUE,$K$5:$K$504,TRUE))</f>
        <v/>
      </c>
      <c r="O296" s="18">
        <f>IF(B296="","",AND(F296=AsOfWeek,AsOfWeek&lt;&gt;""))</f>
        <v/>
      </c>
      <c r="P296" s="20">
        <f>IF(OR(B296="",AsOfWeek=""),"",IFERROR(SUMIFS($M$5:$M$504,$B$5:$B$504,B296,$C$5:$C$504,C296,$L$5:$L$504,TRUE,$F$5:$F$504,"&gt;="&amp;AsOfWeek-7*(RecentWeeks-1),$F$5:$F$504,"&lt;="&amp;AsOfWeek),""))</f>
        <v/>
      </c>
      <c r="Q296" s="20">
        <f>IF(OR(B296="",AsOfWeek=""),"",IFERROR(SUMIFS($M$5:$M$504,$B$5:$B$504,B296,$C$5:$C$504,C296,$L$5:$L$504,TRUE,$F$5:$F$504,"&gt;="&amp;AsOfWeek-7*(RecentWeeks+PriorWeeks-1),$F$5:$F$504,"&lt;"&amp;AsOfWeek-7*(RecentWeeks-1)),""))</f>
        <v/>
      </c>
      <c r="R296" s="21">
        <f>IF(OR(P296="",Q296="",Q296=0),"",P296/Q296-1)</f>
        <v/>
      </c>
      <c r="S296" s="20">
        <f>IF(OR(C296="",AsOfWeek=""),"",IFERROR(AVERAGEIFS($M$5:$M$504,$C$5:$C$504,C296,$L$5:$L$504,TRUE,$F$5:$F$504,"&gt;="&amp;AsOfWeek-7*(RecentWeeks-1),$F$5:$F$504,"&lt;="&amp;AsOfWeek),""))</f>
        <v/>
      </c>
      <c r="T296" s="21">
        <f>IF(OR(P296="",S296=""),"",P296/S296-1)</f>
        <v/>
      </c>
      <c r="U296" s="22">
        <f>IF(OR(B296="",'Weekly Input'!G296="",P296="",P296=0),"",'Weekly Input'!G296/P296)</f>
        <v/>
      </c>
      <c r="V296" s="18">
        <f>IF(B296="","",IF(NOT(I296),"Not Ready",IF(NOT(K296),"Not Ready",IF(N296&lt;MinHistory,"Not Ready",IF(NOT(J296),"Not Ready",IF(OR(Q296="",Q296=0),"Noise",IF(Q296&lt;LowBaseThreshold,"Noise",IF(AND(R296&lt;=-OwnDecline,T296&lt;=-PeerGapThreshold),"Markdown Review",IF(AND(R296&gt;=ReorderUplift,U296&lt;&gt;"",U296&lt;=WeeksSupplyCap),"Reorder Candidate","Monitor"))))))))</f>
        <v/>
      </c>
      <c r="W296" s="18">
        <f>IF(B296="","",IF(NOT(I296),"INVALID_MASTER",IF(NOT(K296),"INCOMPLETE_SHELF_CYCLE",IF(N296&lt;MinHistory,"INSUFFICIENT_HISTORY",IF(NOT(J296),"INSUFFICIENT_IN_STOCK",IF(OR(Q296="",Q296=0),"NO_PRIOR_BASE",IF(Q296&lt;LowBaseThreshold,"LOW_BASE_NOISE",IF(V296="Markdown Review","MARKDOWN_PEER_GAP",IF(V296="Reorder Candidate","REORDER_UPLIFT_COVER","NO_MATERIAL_CHANGE"))))))))</f>
        <v/>
      </c>
      <c r="X296" s="18">
        <f>IF(V296="Markdown Review","Markdown support",IF(V296="Reorder Candidate","Second reorder",IF(V296="Monitor","Monitor",IF(V296="Noise","Hold / collect data",IF(V296="Not Ready","Not ready","")))))</f>
        <v/>
      </c>
      <c r="Y296" s="18">
        <f>IF(OR(R296="",T296=""),"",ABS(R296)+ABS(T296))</f>
        <v/>
      </c>
      <c r="Z296" s="21">
        <f>IF(OR(B296="",NOT(O296),R296=""),"",IF(ABS(R296)&gt;=MaterialThreshold,"Yes","No"))</f>
        <v/>
      </c>
      <c r="AA296" s="18">
        <f>IF(Z296&lt;&gt;"Yes","",IF(ABS(R296)&gt;=MaterialThreshold,IF(ABS(R296)&gt;=BroadShare,"Broad SKU movement","Store-concentrated movement"),""))</f>
        <v/>
      </c>
      <c r="AB296" s="18">
        <f>IF(O296,IF(COUNTIFS($O$5:O296,TRUE)&gt;0,COUNTIFS($O$5:O296,TRUE),0),0)</f>
        <v/>
      </c>
      <c r="AC296" s="18">
        <f>IF(V296="Markdown Review",1,IF(V296="Reorder Candidate",2,IF(V296="Monitor",3,IF(V296="Noise",4,IF(V296="Not Ready",5,99)))))</f>
        <v/>
      </c>
      <c r="AD296" s="18">
        <f>IF(O296,COUNTIFS($O$5:$O$504,TRUE,$AC$5:$AC$504,"&lt;"&amp;AC296)+COUNTIFS($O$5:O296,TRUE,$AC$5:AC296,AC296,$Y$5:Y296,"&gt;"&amp;Y296),0)</f>
        <v/>
      </c>
    </row>
    <row r="297">
      <c r="A297" s="17">
        <f>IF(COUNTA('Weekly Input'!A297:C297)=0,"",'Weekly Input'!B297&amp;"|"&amp;'Weekly Input'!C297&amp;"|"&amp;TEXT('Weekly Input'!A297,"yyyy-mm-dd"))</f>
        <v/>
      </c>
      <c r="B297" s="18">
        <f>'Weekly Input'!B297</f>
        <v/>
      </c>
      <c r="C297" s="18">
        <f>'Weekly Input'!C297</f>
        <v/>
      </c>
      <c r="D297" s="18">
        <f>IF(B297="","",IFERROR(INDEX('Master Data'!$B$6:$B$145,MATCH(B297,'Master Data'!$A$6:$A$145,0)),""))</f>
        <v/>
      </c>
      <c r="E297" s="18">
        <f>IF(C297="","",IFERROR(INDEX('Master Data'!$H$6:$H$13,MATCH(C297,'Master Data'!$F$6:$F$13,0)),""))</f>
        <v/>
      </c>
      <c r="F297" s="19">
        <f>'Weekly Input'!A297</f>
        <v/>
      </c>
      <c r="G297" s="19">
        <f>IF(B297="","",IFERROR(INDEX('Master Data'!$D$6:$D$145,MATCH(B297,'Master Data'!$A$6:$A$145,0)),""))</f>
        <v/>
      </c>
      <c r="H297" s="18">
        <f>IF(OR(F297="",G297=""),"",F297-G297)</f>
        <v/>
      </c>
      <c r="I297" s="18">
        <f>IF(B297="","",IF('Weekly Input'!J297="OK",TRUE,FALSE))</f>
        <v/>
      </c>
      <c r="J297" s="18">
        <f>IF(B297="","",'Weekly Input'!H297&gt;=MinInStockDays)</f>
        <v/>
      </c>
      <c r="K297" s="18">
        <f>IF(B297="","",H297&gt;=FullCycleMin)</f>
        <v/>
      </c>
      <c r="L297" s="18">
        <f>IF(B297="","",AND(I297,J297,K297,N297&gt;=MinHistory))</f>
        <v/>
      </c>
      <c r="M297" s="20">
        <f>IF(OR(B297="",'Weekly Input'!H297=0),"",'Weekly Input'!D297/'Weekly Input'!H297*7)</f>
        <v/>
      </c>
      <c r="N297" s="18">
        <f>IF(B297="","",COUNTIFS($B$5:$B$504,B297,$C$5:$C$504,C297,$I$5:$I$504,TRUE,$J$5:$J$504,TRUE,$K$5:$K$504,TRUE))</f>
        <v/>
      </c>
      <c r="O297" s="18">
        <f>IF(B297="","",AND(F297=AsOfWeek,AsOfWeek&lt;&gt;""))</f>
        <v/>
      </c>
      <c r="P297" s="20">
        <f>IF(OR(B297="",AsOfWeek=""),"",IFERROR(SUMIFS($M$5:$M$504,$B$5:$B$504,B297,$C$5:$C$504,C297,$L$5:$L$504,TRUE,$F$5:$F$504,"&gt;="&amp;AsOfWeek-7*(RecentWeeks-1),$F$5:$F$504,"&lt;="&amp;AsOfWeek),""))</f>
        <v/>
      </c>
      <c r="Q297" s="20">
        <f>IF(OR(B297="",AsOfWeek=""),"",IFERROR(SUMIFS($M$5:$M$504,$B$5:$B$504,B297,$C$5:$C$504,C297,$L$5:$L$504,TRUE,$F$5:$F$504,"&gt;="&amp;AsOfWeek-7*(RecentWeeks+PriorWeeks-1),$F$5:$F$504,"&lt;"&amp;AsOfWeek-7*(RecentWeeks-1)),""))</f>
        <v/>
      </c>
      <c r="R297" s="21">
        <f>IF(OR(P297="",Q297="",Q297=0),"",P297/Q297-1)</f>
        <v/>
      </c>
      <c r="S297" s="20">
        <f>IF(OR(C297="",AsOfWeek=""),"",IFERROR(AVERAGEIFS($M$5:$M$504,$C$5:$C$504,C297,$L$5:$L$504,TRUE,$F$5:$F$504,"&gt;="&amp;AsOfWeek-7*(RecentWeeks-1),$F$5:$F$504,"&lt;="&amp;AsOfWeek),""))</f>
        <v/>
      </c>
      <c r="T297" s="21">
        <f>IF(OR(P297="",S297=""),"",P297/S297-1)</f>
        <v/>
      </c>
      <c r="U297" s="22">
        <f>IF(OR(B297="",'Weekly Input'!G297="",P297="",P297=0),"",'Weekly Input'!G297/P297)</f>
        <v/>
      </c>
      <c r="V297" s="18">
        <f>IF(B297="","",IF(NOT(I297),"Not Ready",IF(NOT(K297),"Not Ready",IF(N297&lt;MinHistory,"Not Ready",IF(NOT(J297),"Not Ready",IF(OR(Q297="",Q297=0),"Noise",IF(Q297&lt;LowBaseThreshold,"Noise",IF(AND(R297&lt;=-OwnDecline,T297&lt;=-PeerGapThreshold),"Markdown Review",IF(AND(R297&gt;=ReorderUplift,U297&lt;&gt;"",U297&lt;=WeeksSupplyCap),"Reorder Candidate","Monitor"))))))))</f>
        <v/>
      </c>
      <c r="W297" s="18">
        <f>IF(B297="","",IF(NOT(I297),"INVALID_MASTER",IF(NOT(K297),"INCOMPLETE_SHELF_CYCLE",IF(N297&lt;MinHistory,"INSUFFICIENT_HISTORY",IF(NOT(J297),"INSUFFICIENT_IN_STOCK",IF(OR(Q297="",Q297=0),"NO_PRIOR_BASE",IF(Q297&lt;LowBaseThreshold,"LOW_BASE_NOISE",IF(V297="Markdown Review","MARKDOWN_PEER_GAP",IF(V297="Reorder Candidate","REORDER_UPLIFT_COVER","NO_MATERIAL_CHANGE"))))))))</f>
        <v/>
      </c>
      <c r="X297" s="18">
        <f>IF(V297="Markdown Review","Markdown support",IF(V297="Reorder Candidate","Second reorder",IF(V297="Monitor","Monitor",IF(V297="Noise","Hold / collect data",IF(V297="Not Ready","Not ready","")))))</f>
        <v/>
      </c>
      <c r="Y297" s="18">
        <f>IF(OR(R297="",T297=""),"",ABS(R297)+ABS(T297))</f>
        <v/>
      </c>
      <c r="Z297" s="21">
        <f>IF(OR(B297="",NOT(O297),R297=""),"",IF(ABS(R297)&gt;=MaterialThreshold,"Yes","No"))</f>
        <v/>
      </c>
      <c r="AA297" s="18">
        <f>IF(Z297&lt;&gt;"Yes","",IF(ABS(R297)&gt;=MaterialThreshold,IF(ABS(R297)&gt;=BroadShare,"Broad SKU movement","Store-concentrated movement"),""))</f>
        <v/>
      </c>
      <c r="AB297" s="18">
        <f>IF(O297,IF(COUNTIFS($O$5:O297,TRUE)&gt;0,COUNTIFS($O$5:O297,TRUE),0),0)</f>
        <v/>
      </c>
      <c r="AC297" s="18">
        <f>IF(V297="Markdown Review",1,IF(V297="Reorder Candidate",2,IF(V297="Monitor",3,IF(V297="Noise",4,IF(V297="Not Ready",5,99)))))</f>
        <v/>
      </c>
      <c r="AD297" s="18">
        <f>IF(O297,COUNTIFS($O$5:$O$504,TRUE,$AC$5:$AC$504,"&lt;"&amp;AC297)+COUNTIFS($O$5:O297,TRUE,$AC$5:AC297,AC297,$Y$5:Y297,"&gt;"&amp;Y297),0)</f>
        <v/>
      </c>
    </row>
    <row r="298">
      <c r="A298" s="17">
        <f>IF(COUNTA('Weekly Input'!A298:C298)=0,"",'Weekly Input'!B298&amp;"|"&amp;'Weekly Input'!C298&amp;"|"&amp;TEXT('Weekly Input'!A298,"yyyy-mm-dd"))</f>
        <v/>
      </c>
      <c r="B298" s="18">
        <f>'Weekly Input'!B298</f>
        <v/>
      </c>
      <c r="C298" s="18">
        <f>'Weekly Input'!C298</f>
        <v/>
      </c>
      <c r="D298" s="18">
        <f>IF(B298="","",IFERROR(INDEX('Master Data'!$B$6:$B$145,MATCH(B298,'Master Data'!$A$6:$A$145,0)),""))</f>
        <v/>
      </c>
      <c r="E298" s="18">
        <f>IF(C298="","",IFERROR(INDEX('Master Data'!$H$6:$H$13,MATCH(C298,'Master Data'!$F$6:$F$13,0)),""))</f>
        <v/>
      </c>
      <c r="F298" s="19">
        <f>'Weekly Input'!A298</f>
        <v/>
      </c>
      <c r="G298" s="19">
        <f>IF(B298="","",IFERROR(INDEX('Master Data'!$D$6:$D$145,MATCH(B298,'Master Data'!$A$6:$A$145,0)),""))</f>
        <v/>
      </c>
      <c r="H298" s="18">
        <f>IF(OR(F298="",G298=""),"",F298-G298)</f>
        <v/>
      </c>
      <c r="I298" s="18">
        <f>IF(B298="","",IF('Weekly Input'!J298="OK",TRUE,FALSE))</f>
        <v/>
      </c>
      <c r="J298" s="18">
        <f>IF(B298="","",'Weekly Input'!H298&gt;=MinInStockDays)</f>
        <v/>
      </c>
      <c r="K298" s="18">
        <f>IF(B298="","",H298&gt;=FullCycleMin)</f>
        <v/>
      </c>
      <c r="L298" s="18">
        <f>IF(B298="","",AND(I298,J298,K298,N298&gt;=MinHistory))</f>
        <v/>
      </c>
      <c r="M298" s="20">
        <f>IF(OR(B298="",'Weekly Input'!H298=0),"",'Weekly Input'!D298/'Weekly Input'!H298*7)</f>
        <v/>
      </c>
      <c r="N298" s="18">
        <f>IF(B298="","",COUNTIFS($B$5:$B$504,B298,$C$5:$C$504,C298,$I$5:$I$504,TRUE,$J$5:$J$504,TRUE,$K$5:$K$504,TRUE))</f>
        <v/>
      </c>
      <c r="O298" s="18">
        <f>IF(B298="","",AND(F298=AsOfWeek,AsOfWeek&lt;&gt;""))</f>
        <v/>
      </c>
      <c r="P298" s="20">
        <f>IF(OR(B298="",AsOfWeek=""),"",IFERROR(SUMIFS($M$5:$M$504,$B$5:$B$504,B298,$C$5:$C$504,C298,$L$5:$L$504,TRUE,$F$5:$F$504,"&gt;="&amp;AsOfWeek-7*(RecentWeeks-1),$F$5:$F$504,"&lt;="&amp;AsOfWeek),""))</f>
        <v/>
      </c>
      <c r="Q298" s="20">
        <f>IF(OR(B298="",AsOfWeek=""),"",IFERROR(SUMIFS($M$5:$M$504,$B$5:$B$504,B298,$C$5:$C$504,C298,$L$5:$L$504,TRUE,$F$5:$F$504,"&gt;="&amp;AsOfWeek-7*(RecentWeeks+PriorWeeks-1),$F$5:$F$504,"&lt;"&amp;AsOfWeek-7*(RecentWeeks-1)),""))</f>
        <v/>
      </c>
      <c r="R298" s="21">
        <f>IF(OR(P298="",Q298="",Q298=0),"",P298/Q298-1)</f>
        <v/>
      </c>
      <c r="S298" s="20">
        <f>IF(OR(C298="",AsOfWeek=""),"",IFERROR(AVERAGEIFS($M$5:$M$504,$C$5:$C$504,C298,$L$5:$L$504,TRUE,$F$5:$F$504,"&gt;="&amp;AsOfWeek-7*(RecentWeeks-1),$F$5:$F$504,"&lt;="&amp;AsOfWeek),""))</f>
        <v/>
      </c>
      <c r="T298" s="21">
        <f>IF(OR(P298="",S298=""),"",P298/S298-1)</f>
        <v/>
      </c>
      <c r="U298" s="22">
        <f>IF(OR(B298="",'Weekly Input'!G298="",P298="",P298=0),"",'Weekly Input'!G298/P298)</f>
        <v/>
      </c>
      <c r="V298" s="18">
        <f>IF(B298="","",IF(NOT(I298),"Not Ready",IF(NOT(K298),"Not Ready",IF(N298&lt;MinHistory,"Not Ready",IF(NOT(J298),"Not Ready",IF(OR(Q298="",Q298=0),"Noise",IF(Q298&lt;LowBaseThreshold,"Noise",IF(AND(R298&lt;=-OwnDecline,T298&lt;=-PeerGapThreshold),"Markdown Review",IF(AND(R298&gt;=ReorderUplift,U298&lt;&gt;"",U298&lt;=WeeksSupplyCap),"Reorder Candidate","Monitor"))))))))</f>
        <v/>
      </c>
      <c r="W298" s="18">
        <f>IF(B298="","",IF(NOT(I298),"INVALID_MASTER",IF(NOT(K298),"INCOMPLETE_SHELF_CYCLE",IF(N298&lt;MinHistory,"INSUFFICIENT_HISTORY",IF(NOT(J298),"INSUFFICIENT_IN_STOCK",IF(OR(Q298="",Q298=0),"NO_PRIOR_BASE",IF(Q298&lt;LowBaseThreshold,"LOW_BASE_NOISE",IF(V298="Markdown Review","MARKDOWN_PEER_GAP",IF(V298="Reorder Candidate","REORDER_UPLIFT_COVER","NO_MATERIAL_CHANGE"))))))))</f>
        <v/>
      </c>
      <c r="X298" s="18">
        <f>IF(V298="Markdown Review","Markdown support",IF(V298="Reorder Candidate","Second reorder",IF(V298="Monitor","Monitor",IF(V298="Noise","Hold / collect data",IF(V298="Not Ready","Not ready","")))))</f>
        <v/>
      </c>
      <c r="Y298" s="18">
        <f>IF(OR(R298="",T298=""),"",ABS(R298)+ABS(T298))</f>
        <v/>
      </c>
      <c r="Z298" s="21">
        <f>IF(OR(B298="",NOT(O298),R298=""),"",IF(ABS(R298)&gt;=MaterialThreshold,"Yes","No"))</f>
        <v/>
      </c>
      <c r="AA298" s="18">
        <f>IF(Z298&lt;&gt;"Yes","",IF(ABS(R298)&gt;=MaterialThreshold,IF(ABS(R298)&gt;=BroadShare,"Broad SKU movement","Store-concentrated movement"),""))</f>
        <v/>
      </c>
      <c r="AB298" s="18">
        <f>IF(O298,IF(COUNTIFS($O$5:O298,TRUE)&gt;0,COUNTIFS($O$5:O298,TRUE),0),0)</f>
        <v/>
      </c>
      <c r="AC298" s="18">
        <f>IF(V298="Markdown Review",1,IF(V298="Reorder Candidate",2,IF(V298="Monitor",3,IF(V298="Noise",4,IF(V298="Not Ready",5,99)))))</f>
        <v/>
      </c>
      <c r="AD298" s="18">
        <f>IF(O298,COUNTIFS($O$5:$O$504,TRUE,$AC$5:$AC$504,"&lt;"&amp;AC298)+COUNTIFS($O$5:O298,TRUE,$AC$5:AC298,AC298,$Y$5:Y298,"&gt;"&amp;Y298),0)</f>
        <v/>
      </c>
    </row>
    <row r="299">
      <c r="A299" s="17">
        <f>IF(COUNTA('Weekly Input'!A299:C299)=0,"",'Weekly Input'!B299&amp;"|"&amp;'Weekly Input'!C299&amp;"|"&amp;TEXT('Weekly Input'!A299,"yyyy-mm-dd"))</f>
        <v/>
      </c>
      <c r="B299" s="18">
        <f>'Weekly Input'!B299</f>
        <v/>
      </c>
      <c r="C299" s="18">
        <f>'Weekly Input'!C299</f>
        <v/>
      </c>
      <c r="D299" s="18">
        <f>IF(B299="","",IFERROR(INDEX('Master Data'!$B$6:$B$145,MATCH(B299,'Master Data'!$A$6:$A$145,0)),""))</f>
        <v/>
      </c>
      <c r="E299" s="18">
        <f>IF(C299="","",IFERROR(INDEX('Master Data'!$H$6:$H$13,MATCH(C299,'Master Data'!$F$6:$F$13,0)),""))</f>
        <v/>
      </c>
      <c r="F299" s="19">
        <f>'Weekly Input'!A299</f>
        <v/>
      </c>
      <c r="G299" s="19">
        <f>IF(B299="","",IFERROR(INDEX('Master Data'!$D$6:$D$145,MATCH(B299,'Master Data'!$A$6:$A$145,0)),""))</f>
        <v/>
      </c>
      <c r="H299" s="18">
        <f>IF(OR(F299="",G299=""),"",F299-G299)</f>
        <v/>
      </c>
      <c r="I299" s="18">
        <f>IF(B299="","",IF('Weekly Input'!J299="OK",TRUE,FALSE))</f>
        <v/>
      </c>
      <c r="J299" s="18">
        <f>IF(B299="","",'Weekly Input'!H299&gt;=MinInStockDays)</f>
        <v/>
      </c>
      <c r="K299" s="18">
        <f>IF(B299="","",H299&gt;=FullCycleMin)</f>
        <v/>
      </c>
      <c r="L299" s="18">
        <f>IF(B299="","",AND(I299,J299,K299,N299&gt;=MinHistory))</f>
        <v/>
      </c>
      <c r="M299" s="20">
        <f>IF(OR(B299="",'Weekly Input'!H299=0),"",'Weekly Input'!D299/'Weekly Input'!H299*7)</f>
        <v/>
      </c>
      <c r="N299" s="18">
        <f>IF(B299="","",COUNTIFS($B$5:$B$504,B299,$C$5:$C$504,C299,$I$5:$I$504,TRUE,$J$5:$J$504,TRUE,$K$5:$K$504,TRUE))</f>
        <v/>
      </c>
      <c r="O299" s="18">
        <f>IF(B299="","",AND(F299=AsOfWeek,AsOfWeek&lt;&gt;""))</f>
        <v/>
      </c>
      <c r="P299" s="20">
        <f>IF(OR(B299="",AsOfWeek=""),"",IFERROR(SUMIFS($M$5:$M$504,$B$5:$B$504,B299,$C$5:$C$504,C299,$L$5:$L$504,TRUE,$F$5:$F$504,"&gt;="&amp;AsOfWeek-7*(RecentWeeks-1),$F$5:$F$504,"&lt;="&amp;AsOfWeek),""))</f>
        <v/>
      </c>
      <c r="Q299" s="20">
        <f>IF(OR(B299="",AsOfWeek=""),"",IFERROR(SUMIFS($M$5:$M$504,$B$5:$B$504,B299,$C$5:$C$504,C299,$L$5:$L$504,TRUE,$F$5:$F$504,"&gt;="&amp;AsOfWeek-7*(RecentWeeks+PriorWeeks-1),$F$5:$F$504,"&lt;"&amp;AsOfWeek-7*(RecentWeeks-1)),""))</f>
        <v/>
      </c>
      <c r="R299" s="21">
        <f>IF(OR(P299="",Q299="",Q299=0),"",P299/Q299-1)</f>
        <v/>
      </c>
      <c r="S299" s="20">
        <f>IF(OR(C299="",AsOfWeek=""),"",IFERROR(AVERAGEIFS($M$5:$M$504,$C$5:$C$504,C299,$L$5:$L$504,TRUE,$F$5:$F$504,"&gt;="&amp;AsOfWeek-7*(RecentWeeks-1),$F$5:$F$504,"&lt;="&amp;AsOfWeek),""))</f>
        <v/>
      </c>
      <c r="T299" s="21">
        <f>IF(OR(P299="",S299=""),"",P299/S299-1)</f>
        <v/>
      </c>
      <c r="U299" s="22">
        <f>IF(OR(B299="",'Weekly Input'!G299="",P299="",P299=0),"",'Weekly Input'!G299/P299)</f>
        <v/>
      </c>
      <c r="V299" s="18">
        <f>IF(B299="","",IF(NOT(I299),"Not Ready",IF(NOT(K299),"Not Ready",IF(N299&lt;MinHistory,"Not Ready",IF(NOT(J299),"Not Ready",IF(OR(Q299="",Q299=0),"Noise",IF(Q299&lt;LowBaseThreshold,"Noise",IF(AND(R299&lt;=-OwnDecline,T299&lt;=-PeerGapThreshold),"Markdown Review",IF(AND(R299&gt;=ReorderUplift,U299&lt;&gt;"",U299&lt;=WeeksSupplyCap),"Reorder Candidate","Monitor"))))))))</f>
        <v/>
      </c>
      <c r="W299" s="18">
        <f>IF(B299="","",IF(NOT(I299),"INVALID_MASTER",IF(NOT(K299),"INCOMPLETE_SHELF_CYCLE",IF(N299&lt;MinHistory,"INSUFFICIENT_HISTORY",IF(NOT(J299),"INSUFFICIENT_IN_STOCK",IF(OR(Q299="",Q299=0),"NO_PRIOR_BASE",IF(Q299&lt;LowBaseThreshold,"LOW_BASE_NOISE",IF(V299="Markdown Review","MARKDOWN_PEER_GAP",IF(V299="Reorder Candidate","REORDER_UPLIFT_COVER","NO_MATERIAL_CHANGE"))))))))</f>
        <v/>
      </c>
      <c r="X299" s="18">
        <f>IF(V299="Markdown Review","Markdown support",IF(V299="Reorder Candidate","Second reorder",IF(V299="Monitor","Monitor",IF(V299="Noise","Hold / collect data",IF(V299="Not Ready","Not ready","")))))</f>
        <v/>
      </c>
      <c r="Y299" s="18">
        <f>IF(OR(R299="",T299=""),"",ABS(R299)+ABS(T299))</f>
        <v/>
      </c>
      <c r="Z299" s="21">
        <f>IF(OR(B299="",NOT(O299),R299=""),"",IF(ABS(R299)&gt;=MaterialThreshold,"Yes","No"))</f>
        <v/>
      </c>
      <c r="AA299" s="18">
        <f>IF(Z299&lt;&gt;"Yes","",IF(ABS(R299)&gt;=MaterialThreshold,IF(ABS(R299)&gt;=BroadShare,"Broad SKU movement","Store-concentrated movement"),""))</f>
        <v/>
      </c>
      <c r="AB299" s="18">
        <f>IF(O299,IF(COUNTIFS($O$5:O299,TRUE)&gt;0,COUNTIFS($O$5:O299,TRUE),0),0)</f>
        <v/>
      </c>
      <c r="AC299" s="18">
        <f>IF(V299="Markdown Review",1,IF(V299="Reorder Candidate",2,IF(V299="Monitor",3,IF(V299="Noise",4,IF(V299="Not Ready",5,99)))))</f>
        <v/>
      </c>
      <c r="AD299" s="18">
        <f>IF(O299,COUNTIFS($O$5:$O$504,TRUE,$AC$5:$AC$504,"&lt;"&amp;AC299)+COUNTIFS($O$5:O299,TRUE,$AC$5:AC299,AC299,$Y$5:Y299,"&gt;"&amp;Y299),0)</f>
        <v/>
      </c>
    </row>
    <row r="300">
      <c r="A300" s="17">
        <f>IF(COUNTA('Weekly Input'!A300:C300)=0,"",'Weekly Input'!B300&amp;"|"&amp;'Weekly Input'!C300&amp;"|"&amp;TEXT('Weekly Input'!A300,"yyyy-mm-dd"))</f>
        <v/>
      </c>
      <c r="B300" s="18">
        <f>'Weekly Input'!B300</f>
        <v/>
      </c>
      <c r="C300" s="18">
        <f>'Weekly Input'!C300</f>
        <v/>
      </c>
      <c r="D300" s="18">
        <f>IF(B300="","",IFERROR(INDEX('Master Data'!$B$6:$B$145,MATCH(B300,'Master Data'!$A$6:$A$145,0)),""))</f>
        <v/>
      </c>
      <c r="E300" s="18">
        <f>IF(C300="","",IFERROR(INDEX('Master Data'!$H$6:$H$13,MATCH(C300,'Master Data'!$F$6:$F$13,0)),""))</f>
        <v/>
      </c>
      <c r="F300" s="19">
        <f>'Weekly Input'!A300</f>
        <v/>
      </c>
      <c r="G300" s="19">
        <f>IF(B300="","",IFERROR(INDEX('Master Data'!$D$6:$D$145,MATCH(B300,'Master Data'!$A$6:$A$145,0)),""))</f>
        <v/>
      </c>
      <c r="H300" s="18">
        <f>IF(OR(F300="",G300=""),"",F300-G300)</f>
        <v/>
      </c>
      <c r="I300" s="18">
        <f>IF(B300="","",IF('Weekly Input'!J300="OK",TRUE,FALSE))</f>
        <v/>
      </c>
      <c r="J300" s="18">
        <f>IF(B300="","",'Weekly Input'!H300&gt;=MinInStockDays)</f>
        <v/>
      </c>
      <c r="K300" s="18">
        <f>IF(B300="","",H300&gt;=FullCycleMin)</f>
        <v/>
      </c>
      <c r="L300" s="18">
        <f>IF(B300="","",AND(I300,J300,K300,N300&gt;=MinHistory))</f>
        <v/>
      </c>
      <c r="M300" s="20">
        <f>IF(OR(B300="",'Weekly Input'!H300=0),"",'Weekly Input'!D300/'Weekly Input'!H300*7)</f>
        <v/>
      </c>
      <c r="N300" s="18">
        <f>IF(B300="","",COUNTIFS($B$5:$B$504,B300,$C$5:$C$504,C300,$I$5:$I$504,TRUE,$J$5:$J$504,TRUE,$K$5:$K$504,TRUE))</f>
        <v/>
      </c>
      <c r="O300" s="18">
        <f>IF(B300="","",AND(F300=AsOfWeek,AsOfWeek&lt;&gt;""))</f>
        <v/>
      </c>
      <c r="P300" s="20">
        <f>IF(OR(B300="",AsOfWeek=""),"",IFERROR(SUMIFS($M$5:$M$504,$B$5:$B$504,B300,$C$5:$C$504,C300,$L$5:$L$504,TRUE,$F$5:$F$504,"&gt;="&amp;AsOfWeek-7*(RecentWeeks-1),$F$5:$F$504,"&lt;="&amp;AsOfWeek),""))</f>
        <v/>
      </c>
      <c r="Q300" s="20">
        <f>IF(OR(B300="",AsOfWeek=""),"",IFERROR(SUMIFS($M$5:$M$504,$B$5:$B$504,B300,$C$5:$C$504,C300,$L$5:$L$504,TRUE,$F$5:$F$504,"&gt;="&amp;AsOfWeek-7*(RecentWeeks+PriorWeeks-1),$F$5:$F$504,"&lt;"&amp;AsOfWeek-7*(RecentWeeks-1)),""))</f>
        <v/>
      </c>
      <c r="R300" s="21">
        <f>IF(OR(P300="",Q300="",Q300=0),"",P300/Q300-1)</f>
        <v/>
      </c>
      <c r="S300" s="20">
        <f>IF(OR(C300="",AsOfWeek=""),"",IFERROR(AVERAGEIFS($M$5:$M$504,$C$5:$C$504,C300,$L$5:$L$504,TRUE,$F$5:$F$504,"&gt;="&amp;AsOfWeek-7*(RecentWeeks-1),$F$5:$F$504,"&lt;="&amp;AsOfWeek),""))</f>
        <v/>
      </c>
      <c r="T300" s="21">
        <f>IF(OR(P300="",S300=""),"",P300/S300-1)</f>
        <v/>
      </c>
      <c r="U300" s="22">
        <f>IF(OR(B300="",'Weekly Input'!G300="",P300="",P300=0),"",'Weekly Input'!G300/P300)</f>
        <v/>
      </c>
      <c r="V300" s="18">
        <f>IF(B300="","",IF(NOT(I300),"Not Ready",IF(NOT(K300),"Not Ready",IF(N300&lt;MinHistory,"Not Ready",IF(NOT(J300),"Not Ready",IF(OR(Q300="",Q300=0),"Noise",IF(Q300&lt;LowBaseThreshold,"Noise",IF(AND(R300&lt;=-OwnDecline,T300&lt;=-PeerGapThreshold),"Markdown Review",IF(AND(R300&gt;=ReorderUplift,U300&lt;&gt;"",U300&lt;=WeeksSupplyCap),"Reorder Candidate","Monitor"))))))))</f>
        <v/>
      </c>
      <c r="W300" s="18">
        <f>IF(B300="","",IF(NOT(I300),"INVALID_MASTER",IF(NOT(K300),"INCOMPLETE_SHELF_CYCLE",IF(N300&lt;MinHistory,"INSUFFICIENT_HISTORY",IF(NOT(J300),"INSUFFICIENT_IN_STOCK",IF(OR(Q300="",Q300=0),"NO_PRIOR_BASE",IF(Q300&lt;LowBaseThreshold,"LOW_BASE_NOISE",IF(V300="Markdown Review","MARKDOWN_PEER_GAP",IF(V300="Reorder Candidate","REORDER_UPLIFT_COVER","NO_MATERIAL_CHANGE"))))))))</f>
        <v/>
      </c>
      <c r="X300" s="18">
        <f>IF(V300="Markdown Review","Markdown support",IF(V300="Reorder Candidate","Second reorder",IF(V300="Monitor","Monitor",IF(V300="Noise","Hold / collect data",IF(V300="Not Ready","Not ready","")))))</f>
        <v/>
      </c>
      <c r="Y300" s="18">
        <f>IF(OR(R300="",T300=""),"",ABS(R300)+ABS(T300))</f>
        <v/>
      </c>
      <c r="Z300" s="21">
        <f>IF(OR(B300="",NOT(O300),R300=""),"",IF(ABS(R300)&gt;=MaterialThreshold,"Yes","No"))</f>
        <v/>
      </c>
      <c r="AA300" s="18">
        <f>IF(Z300&lt;&gt;"Yes","",IF(ABS(R300)&gt;=MaterialThreshold,IF(ABS(R300)&gt;=BroadShare,"Broad SKU movement","Store-concentrated movement"),""))</f>
        <v/>
      </c>
      <c r="AB300" s="18">
        <f>IF(O300,IF(COUNTIFS($O$5:O300,TRUE)&gt;0,COUNTIFS($O$5:O300,TRUE),0),0)</f>
        <v/>
      </c>
      <c r="AC300" s="18">
        <f>IF(V300="Markdown Review",1,IF(V300="Reorder Candidate",2,IF(V300="Monitor",3,IF(V300="Noise",4,IF(V300="Not Ready",5,99)))))</f>
        <v/>
      </c>
      <c r="AD300" s="18">
        <f>IF(O300,COUNTIFS($O$5:$O$504,TRUE,$AC$5:$AC$504,"&lt;"&amp;AC300)+COUNTIFS($O$5:O300,TRUE,$AC$5:AC300,AC300,$Y$5:Y300,"&gt;"&amp;Y300),0)</f>
        <v/>
      </c>
    </row>
    <row r="301">
      <c r="A301" s="17">
        <f>IF(COUNTA('Weekly Input'!A301:C301)=0,"",'Weekly Input'!B301&amp;"|"&amp;'Weekly Input'!C301&amp;"|"&amp;TEXT('Weekly Input'!A301,"yyyy-mm-dd"))</f>
        <v/>
      </c>
      <c r="B301" s="18">
        <f>'Weekly Input'!B301</f>
        <v/>
      </c>
      <c r="C301" s="18">
        <f>'Weekly Input'!C301</f>
        <v/>
      </c>
      <c r="D301" s="18">
        <f>IF(B301="","",IFERROR(INDEX('Master Data'!$B$6:$B$145,MATCH(B301,'Master Data'!$A$6:$A$145,0)),""))</f>
        <v/>
      </c>
      <c r="E301" s="18">
        <f>IF(C301="","",IFERROR(INDEX('Master Data'!$H$6:$H$13,MATCH(C301,'Master Data'!$F$6:$F$13,0)),""))</f>
        <v/>
      </c>
      <c r="F301" s="19">
        <f>'Weekly Input'!A301</f>
        <v/>
      </c>
      <c r="G301" s="19">
        <f>IF(B301="","",IFERROR(INDEX('Master Data'!$D$6:$D$145,MATCH(B301,'Master Data'!$A$6:$A$145,0)),""))</f>
        <v/>
      </c>
      <c r="H301" s="18">
        <f>IF(OR(F301="",G301=""),"",F301-G301)</f>
        <v/>
      </c>
      <c r="I301" s="18">
        <f>IF(B301="","",IF('Weekly Input'!J301="OK",TRUE,FALSE))</f>
        <v/>
      </c>
      <c r="J301" s="18">
        <f>IF(B301="","",'Weekly Input'!H301&gt;=MinInStockDays)</f>
        <v/>
      </c>
      <c r="K301" s="18">
        <f>IF(B301="","",H301&gt;=FullCycleMin)</f>
        <v/>
      </c>
      <c r="L301" s="18">
        <f>IF(B301="","",AND(I301,J301,K301,N301&gt;=MinHistory))</f>
        <v/>
      </c>
      <c r="M301" s="20">
        <f>IF(OR(B301="",'Weekly Input'!H301=0),"",'Weekly Input'!D301/'Weekly Input'!H301*7)</f>
        <v/>
      </c>
      <c r="N301" s="18">
        <f>IF(B301="","",COUNTIFS($B$5:$B$504,B301,$C$5:$C$504,C301,$I$5:$I$504,TRUE,$J$5:$J$504,TRUE,$K$5:$K$504,TRUE))</f>
        <v/>
      </c>
      <c r="O301" s="18">
        <f>IF(B301="","",AND(F301=AsOfWeek,AsOfWeek&lt;&gt;""))</f>
        <v/>
      </c>
      <c r="P301" s="20">
        <f>IF(OR(B301="",AsOfWeek=""),"",IFERROR(SUMIFS($M$5:$M$504,$B$5:$B$504,B301,$C$5:$C$504,C301,$L$5:$L$504,TRUE,$F$5:$F$504,"&gt;="&amp;AsOfWeek-7*(RecentWeeks-1),$F$5:$F$504,"&lt;="&amp;AsOfWeek),""))</f>
        <v/>
      </c>
      <c r="Q301" s="20">
        <f>IF(OR(B301="",AsOfWeek=""),"",IFERROR(SUMIFS($M$5:$M$504,$B$5:$B$504,B301,$C$5:$C$504,C301,$L$5:$L$504,TRUE,$F$5:$F$504,"&gt;="&amp;AsOfWeek-7*(RecentWeeks+PriorWeeks-1),$F$5:$F$504,"&lt;"&amp;AsOfWeek-7*(RecentWeeks-1)),""))</f>
        <v/>
      </c>
      <c r="R301" s="21">
        <f>IF(OR(P301="",Q301="",Q301=0),"",P301/Q301-1)</f>
        <v/>
      </c>
      <c r="S301" s="20">
        <f>IF(OR(C301="",AsOfWeek=""),"",IFERROR(AVERAGEIFS($M$5:$M$504,$C$5:$C$504,C301,$L$5:$L$504,TRUE,$F$5:$F$504,"&gt;="&amp;AsOfWeek-7*(RecentWeeks-1),$F$5:$F$504,"&lt;="&amp;AsOfWeek),""))</f>
        <v/>
      </c>
      <c r="T301" s="21">
        <f>IF(OR(P301="",S301=""),"",P301/S301-1)</f>
        <v/>
      </c>
      <c r="U301" s="22">
        <f>IF(OR(B301="",'Weekly Input'!G301="",P301="",P301=0),"",'Weekly Input'!G301/P301)</f>
        <v/>
      </c>
      <c r="V301" s="18">
        <f>IF(B301="","",IF(NOT(I301),"Not Ready",IF(NOT(K301),"Not Ready",IF(N301&lt;MinHistory,"Not Ready",IF(NOT(J301),"Not Ready",IF(OR(Q301="",Q301=0),"Noise",IF(Q301&lt;LowBaseThreshold,"Noise",IF(AND(R301&lt;=-OwnDecline,T301&lt;=-PeerGapThreshold),"Markdown Review",IF(AND(R301&gt;=ReorderUplift,U301&lt;&gt;"",U301&lt;=WeeksSupplyCap),"Reorder Candidate","Monitor"))))))))</f>
        <v/>
      </c>
      <c r="W301" s="18">
        <f>IF(B301="","",IF(NOT(I301),"INVALID_MASTER",IF(NOT(K301),"INCOMPLETE_SHELF_CYCLE",IF(N301&lt;MinHistory,"INSUFFICIENT_HISTORY",IF(NOT(J301),"INSUFFICIENT_IN_STOCK",IF(OR(Q301="",Q301=0),"NO_PRIOR_BASE",IF(Q301&lt;LowBaseThreshold,"LOW_BASE_NOISE",IF(V301="Markdown Review","MARKDOWN_PEER_GAP",IF(V301="Reorder Candidate","REORDER_UPLIFT_COVER","NO_MATERIAL_CHANGE"))))))))</f>
        <v/>
      </c>
      <c r="X301" s="18">
        <f>IF(V301="Markdown Review","Markdown support",IF(V301="Reorder Candidate","Second reorder",IF(V301="Monitor","Monitor",IF(V301="Noise","Hold / collect data",IF(V301="Not Ready","Not ready","")))))</f>
        <v/>
      </c>
      <c r="Y301" s="18">
        <f>IF(OR(R301="",T301=""),"",ABS(R301)+ABS(T301))</f>
        <v/>
      </c>
      <c r="Z301" s="21">
        <f>IF(OR(B301="",NOT(O301),R301=""),"",IF(ABS(R301)&gt;=MaterialThreshold,"Yes","No"))</f>
        <v/>
      </c>
      <c r="AA301" s="18">
        <f>IF(Z301&lt;&gt;"Yes","",IF(ABS(R301)&gt;=MaterialThreshold,IF(ABS(R301)&gt;=BroadShare,"Broad SKU movement","Store-concentrated movement"),""))</f>
        <v/>
      </c>
      <c r="AB301" s="18">
        <f>IF(O301,IF(COUNTIFS($O$5:O301,TRUE)&gt;0,COUNTIFS($O$5:O301,TRUE),0),0)</f>
        <v/>
      </c>
      <c r="AC301" s="18">
        <f>IF(V301="Markdown Review",1,IF(V301="Reorder Candidate",2,IF(V301="Monitor",3,IF(V301="Noise",4,IF(V301="Not Ready",5,99)))))</f>
        <v/>
      </c>
      <c r="AD301" s="18">
        <f>IF(O301,COUNTIFS($O$5:$O$504,TRUE,$AC$5:$AC$504,"&lt;"&amp;AC301)+COUNTIFS($O$5:O301,TRUE,$AC$5:AC301,AC301,$Y$5:Y301,"&gt;"&amp;Y301),0)</f>
        <v/>
      </c>
    </row>
    <row r="302">
      <c r="A302" s="17">
        <f>IF(COUNTA('Weekly Input'!A302:C302)=0,"",'Weekly Input'!B302&amp;"|"&amp;'Weekly Input'!C302&amp;"|"&amp;TEXT('Weekly Input'!A302,"yyyy-mm-dd"))</f>
        <v/>
      </c>
      <c r="B302" s="18">
        <f>'Weekly Input'!B302</f>
        <v/>
      </c>
      <c r="C302" s="18">
        <f>'Weekly Input'!C302</f>
        <v/>
      </c>
      <c r="D302" s="18">
        <f>IF(B302="","",IFERROR(INDEX('Master Data'!$B$6:$B$145,MATCH(B302,'Master Data'!$A$6:$A$145,0)),""))</f>
        <v/>
      </c>
      <c r="E302" s="18">
        <f>IF(C302="","",IFERROR(INDEX('Master Data'!$H$6:$H$13,MATCH(C302,'Master Data'!$F$6:$F$13,0)),""))</f>
        <v/>
      </c>
      <c r="F302" s="19">
        <f>'Weekly Input'!A302</f>
        <v/>
      </c>
      <c r="G302" s="19">
        <f>IF(B302="","",IFERROR(INDEX('Master Data'!$D$6:$D$145,MATCH(B302,'Master Data'!$A$6:$A$145,0)),""))</f>
        <v/>
      </c>
      <c r="H302" s="18">
        <f>IF(OR(F302="",G302=""),"",F302-G302)</f>
        <v/>
      </c>
      <c r="I302" s="18">
        <f>IF(B302="","",IF('Weekly Input'!J302="OK",TRUE,FALSE))</f>
        <v/>
      </c>
      <c r="J302" s="18">
        <f>IF(B302="","",'Weekly Input'!H302&gt;=MinInStockDays)</f>
        <v/>
      </c>
      <c r="K302" s="18">
        <f>IF(B302="","",H302&gt;=FullCycleMin)</f>
        <v/>
      </c>
      <c r="L302" s="18">
        <f>IF(B302="","",AND(I302,J302,K302,N302&gt;=MinHistory))</f>
        <v/>
      </c>
      <c r="M302" s="20">
        <f>IF(OR(B302="",'Weekly Input'!H302=0),"",'Weekly Input'!D302/'Weekly Input'!H302*7)</f>
        <v/>
      </c>
      <c r="N302" s="18">
        <f>IF(B302="","",COUNTIFS($B$5:$B$504,B302,$C$5:$C$504,C302,$I$5:$I$504,TRUE,$J$5:$J$504,TRUE,$K$5:$K$504,TRUE))</f>
        <v/>
      </c>
      <c r="O302" s="18">
        <f>IF(B302="","",AND(F302=AsOfWeek,AsOfWeek&lt;&gt;""))</f>
        <v/>
      </c>
      <c r="P302" s="20">
        <f>IF(OR(B302="",AsOfWeek=""),"",IFERROR(SUMIFS($M$5:$M$504,$B$5:$B$504,B302,$C$5:$C$504,C302,$L$5:$L$504,TRUE,$F$5:$F$504,"&gt;="&amp;AsOfWeek-7*(RecentWeeks-1),$F$5:$F$504,"&lt;="&amp;AsOfWeek),""))</f>
        <v/>
      </c>
      <c r="Q302" s="20">
        <f>IF(OR(B302="",AsOfWeek=""),"",IFERROR(SUMIFS($M$5:$M$504,$B$5:$B$504,B302,$C$5:$C$504,C302,$L$5:$L$504,TRUE,$F$5:$F$504,"&gt;="&amp;AsOfWeek-7*(RecentWeeks+PriorWeeks-1),$F$5:$F$504,"&lt;"&amp;AsOfWeek-7*(RecentWeeks-1)),""))</f>
        <v/>
      </c>
      <c r="R302" s="21">
        <f>IF(OR(P302="",Q302="",Q302=0),"",P302/Q302-1)</f>
        <v/>
      </c>
      <c r="S302" s="20">
        <f>IF(OR(C302="",AsOfWeek=""),"",IFERROR(AVERAGEIFS($M$5:$M$504,$C$5:$C$504,C302,$L$5:$L$504,TRUE,$F$5:$F$504,"&gt;="&amp;AsOfWeek-7*(RecentWeeks-1),$F$5:$F$504,"&lt;="&amp;AsOfWeek),""))</f>
        <v/>
      </c>
      <c r="T302" s="21">
        <f>IF(OR(P302="",S302=""),"",P302/S302-1)</f>
        <v/>
      </c>
      <c r="U302" s="22">
        <f>IF(OR(B302="",'Weekly Input'!G302="",P302="",P302=0),"",'Weekly Input'!G302/P302)</f>
        <v/>
      </c>
      <c r="V302" s="18">
        <f>IF(B302="","",IF(NOT(I302),"Not Ready",IF(NOT(K302),"Not Ready",IF(N302&lt;MinHistory,"Not Ready",IF(NOT(J302),"Not Ready",IF(OR(Q302="",Q302=0),"Noise",IF(Q302&lt;LowBaseThreshold,"Noise",IF(AND(R302&lt;=-OwnDecline,T302&lt;=-PeerGapThreshold),"Markdown Review",IF(AND(R302&gt;=ReorderUplift,U302&lt;&gt;"",U302&lt;=WeeksSupplyCap),"Reorder Candidate","Monitor"))))))))</f>
        <v/>
      </c>
      <c r="W302" s="18">
        <f>IF(B302="","",IF(NOT(I302),"INVALID_MASTER",IF(NOT(K302),"INCOMPLETE_SHELF_CYCLE",IF(N302&lt;MinHistory,"INSUFFICIENT_HISTORY",IF(NOT(J302),"INSUFFICIENT_IN_STOCK",IF(OR(Q302="",Q302=0),"NO_PRIOR_BASE",IF(Q302&lt;LowBaseThreshold,"LOW_BASE_NOISE",IF(V302="Markdown Review","MARKDOWN_PEER_GAP",IF(V302="Reorder Candidate","REORDER_UPLIFT_COVER","NO_MATERIAL_CHANGE"))))))))</f>
        <v/>
      </c>
      <c r="X302" s="18">
        <f>IF(V302="Markdown Review","Markdown support",IF(V302="Reorder Candidate","Second reorder",IF(V302="Monitor","Monitor",IF(V302="Noise","Hold / collect data",IF(V302="Not Ready","Not ready","")))))</f>
        <v/>
      </c>
      <c r="Y302" s="18">
        <f>IF(OR(R302="",T302=""),"",ABS(R302)+ABS(T302))</f>
        <v/>
      </c>
      <c r="Z302" s="21">
        <f>IF(OR(B302="",NOT(O302),R302=""),"",IF(ABS(R302)&gt;=MaterialThreshold,"Yes","No"))</f>
        <v/>
      </c>
      <c r="AA302" s="18">
        <f>IF(Z302&lt;&gt;"Yes","",IF(ABS(R302)&gt;=MaterialThreshold,IF(ABS(R302)&gt;=BroadShare,"Broad SKU movement","Store-concentrated movement"),""))</f>
        <v/>
      </c>
      <c r="AB302" s="18">
        <f>IF(O302,IF(COUNTIFS($O$5:O302,TRUE)&gt;0,COUNTIFS($O$5:O302,TRUE),0),0)</f>
        <v/>
      </c>
      <c r="AC302" s="18">
        <f>IF(V302="Markdown Review",1,IF(V302="Reorder Candidate",2,IF(V302="Monitor",3,IF(V302="Noise",4,IF(V302="Not Ready",5,99)))))</f>
        <v/>
      </c>
      <c r="AD302" s="18">
        <f>IF(O302,COUNTIFS($O$5:$O$504,TRUE,$AC$5:$AC$504,"&lt;"&amp;AC302)+COUNTIFS($O$5:O302,TRUE,$AC$5:AC302,AC302,$Y$5:Y302,"&gt;"&amp;Y302),0)</f>
        <v/>
      </c>
    </row>
    <row r="303">
      <c r="A303" s="17">
        <f>IF(COUNTA('Weekly Input'!A303:C303)=0,"",'Weekly Input'!B303&amp;"|"&amp;'Weekly Input'!C303&amp;"|"&amp;TEXT('Weekly Input'!A303,"yyyy-mm-dd"))</f>
        <v/>
      </c>
      <c r="B303" s="18">
        <f>'Weekly Input'!B303</f>
        <v/>
      </c>
      <c r="C303" s="18">
        <f>'Weekly Input'!C303</f>
        <v/>
      </c>
      <c r="D303" s="18">
        <f>IF(B303="","",IFERROR(INDEX('Master Data'!$B$6:$B$145,MATCH(B303,'Master Data'!$A$6:$A$145,0)),""))</f>
        <v/>
      </c>
      <c r="E303" s="18">
        <f>IF(C303="","",IFERROR(INDEX('Master Data'!$H$6:$H$13,MATCH(C303,'Master Data'!$F$6:$F$13,0)),""))</f>
        <v/>
      </c>
      <c r="F303" s="19">
        <f>'Weekly Input'!A303</f>
        <v/>
      </c>
      <c r="G303" s="19">
        <f>IF(B303="","",IFERROR(INDEX('Master Data'!$D$6:$D$145,MATCH(B303,'Master Data'!$A$6:$A$145,0)),""))</f>
        <v/>
      </c>
      <c r="H303" s="18">
        <f>IF(OR(F303="",G303=""),"",F303-G303)</f>
        <v/>
      </c>
      <c r="I303" s="18">
        <f>IF(B303="","",IF('Weekly Input'!J303="OK",TRUE,FALSE))</f>
        <v/>
      </c>
      <c r="J303" s="18">
        <f>IF(B303="","",'Weekly Input'!H303&gt;=MinInStockDays)</f>
        <v/>
      </c>
      <c r="K303" s="18">
        <f>IF(B303="","",H303&gt;=FullCycleMin)</f>
        <v/>
      </c>
      <c r="L303" s="18">
        <f>IF(B303="","",AND(I303,J303,K303,N303&gt;=MinHistory))</f>
        <v/>
      </c>
      <c r="M303" s="20">
        <f>IF(OR(B303="",'Weekly Input'!H303=0),"",'Weekly Input'!D303/'Weekly Input'!H303*7)</f>
        <v/>
      </c>
      <c r="N303" s="18">
        <f>IF(B303="","",COUNTIFS($B$5:$B$504,B303,$C$5:$C$504,C303,$I$5:$I$504,TRUE,$J$5:$J$504,TRUE,$K$5:$K$504,TRUE))</f>
        <v/>
      </c>
      <c r="O303" s="18">
        <f>IF(B303="","",AND(F303=AsOfWeek,AsOfWeek&lt;&gt;""))</f>
        <v/>
      </c>
      <c r="P303" s="20">
        <f>IF(OR(B303="",AsOfWeek=""),"",IFERROR(SUMIFS($M$5:$M$504,$B$5:$B$504,B303,$C$5:$C$504,C303,$L$5:$L$504,TRUE,$F$5:$F$504,"&gt;="&amp;AsOfWeek-7*(RecentWeeks-1),$F$5:$F$504,"&lt;="&amp;AsOfWeek),""))</f>
        <v/>
      </c>
      <c r="Q303" s="20">
        <f>IF(OR(B303="",AsOfWeek=""),"",IFERROR(SUMIFS($M$5:$M$504,$B$5:$B$504,B303,$C$5:$C$504,C303,$L$5:$L$504,TRUE,$F$5:$F$504,"&gt;="&amp;AsOfWeek-7*(RecentWeeks+PriorWeeks-1),$F$5:$F$504,"&lt;"&amp;AsOfWeek-7*(RecentWeeks-1)),""))</f>
        <v/>
      </c>
      <c r="R303" s="21">
        <f>IF(OR(P303="",Q303="",Q303=0),"",P303/Q303-1)</f>
        <v/>
      </c>
      <c r="S303" s="20">
        <f>IF(OR(C303="",AsOfWeek=""),"",IFERROR(AVERAGEIFS($M$5:$M$504,$C$5:$C$504,C303,$L$5:$L$504,TRUE,$F$5:$F$504,"&gt;="&amp;AsOfWeek-7*(RecentWeeks-1),$F$5:$F$504,"&lt;="&amp;AsOfWeek),""))</f>
        <v/>
      </c>
      <c r="T303" s="21">
        <f>IF(OR(P303="",S303=""),"",P303/S303-1)</f>
        <v/>
      </c>
      <c r="U303" s="22">
        <f>IF(OR(B303="",'Weekly Input'!G303="",P303="",P303=0),"",'Weekly Input'!G303/P303)</f>
        <v/>
      </c>
      <c r="V303" s="18">
        <f>IF(B303="","",IF(NOT(I303),"Not Ready",IF(NOT(K303),"Not Ready",IF(N303&lt;MinHistory,"Not Ready",IF(NOT(J303),"Not Ready",IF(OR(Q303="",Q303=0),"Noise",IF(Q303&lt;LowBaseThreshold,"Noise",IF(AND(R303&lt;=-OwnDecline,T303&lt;=-PeerGapThreshold),"Markdown Review",IF(AND(R303&gt;=ReorderUplift,U303&lt;&gt;"",U303&lt;=WeeksSupplyCap),"Reorder Candidate","Monitor"))))))))</f>
        <v/>
      </c>
      <c r="W303" s="18">
        <f>IF(B303="","",IF(NOT(I303),"INVALID_MASTER",IF(NOT(K303),"INCOMPLETE_SHELF_CYCLE",IF(N303&lt;MinHistory,"INSUFFICIENT_HISTORY",IF(NOT(J303),"INSUFFICIENT_IN_STOCK",IF(OR(Q303="",Q303=0),"NO_PRIOR_BASE",IF(Q303&lt;LowBaseThreshold,"LOW_BASE_NOISE",IF(V303="Markdown Review","MARKDOWN_PEER_GAP",IF(V303="Reorder Candidate","REORDER_UPLIFT_COVER","NO_MATERIAL_CHANGE"))))))))</f>
        <v/>
      </c>
      <c r="X303" s="18">
        <f>IF(V303="Markdown Review","Markdown support",IF(V303="Reorder Candidate","Second reorder",IF(V303="Monitor","Monitor",IF(V303="Noise","Hold / collect data",IF(V303="Not Ready","Not ready","")))))</f>
        <v/>
      </c>
      <c r="Y303" s="18">
        <f>IF(OR(R303="",T303=""),"",ABS(R303)+ABS(T303))</f>
        <v/>
      </c>
      <c r="Z303" s="21">
        <f>IF(OR(B303="",NOT(O303),R303=""),"",IF(ABS(R303)&gt;=MaterialThreshold,"Yes","No"))</f>
        <v/>
      </c>
      <c r="AA303" s="18">
        <f>IF(Z303&lt;&gt;"Yes","",IF(ABS(R303)&gt;=MaterialThreshold,IF(ABS(R303)&gt;=BroadShare,"Broad SKU movement","Store-concentrated movement"),""))</f>
        <v/>
      </c>
      <c r="AB303" s="18">
        <f>IF(O303,IF(COUNTIFS($O$5:O303,TRUE)&gt;0,COUNTIFS($O$5:O303,TRUE),0),0)</f>
        <v/>
      </c>
      <c r="AC303" s="18">
        <f>IF(V303="Markdown Review",1,IF(V303="Reorder Candidate",2,IF(V303="Monitor",3,IF(V303="Noise",4,IF(V303="Not Ready",5,99)))))</f>
        <v/>
      </c>
      <c r="AD303" s="18">
        <f>IF(O303,COUNTIFS($O$5:$O$504,TRUE,$AC$5:$AC$504,"&lt;"&amp;AC303)+COUNTIFS($O$5:O303,TRUE,$AC$5:AC303,AC303,$Y$5:Y303,"&gt;"&amp;Y303),0)</f>
        <v/>
      </c>
    </row>
    <row r="304">
      <c r="A304" s="17">
        <f>IF(COUNTA('Weekly Input'!A304:C304)=0,"",'Weekly Input'!B304&amp;"|"&amp;'Weekly Input'!C304&amp;"|"&amp;TEXT('Weekly Input'!A304,"yyyy-mm-dd"))</f>
        <v/>
      </c>
      <c r="B304" s="18">
        <f>'Weekly Input'!B304</f>
        <v/>
      </c>
      <c r="C304" s="18">
        <f>'Weekly Input'!C304</f>
        <v/>
      </c>
      <c r="D304" s="18">
        <f>IF(B304="","",IFERROR(INDEX('Master Data'!$B$6:$B$145,MATCH(B304,'Master Data'!$A$6:$A$145,0)),""))</f>
        <v/>
      </c>
      <c r="E304" s="18">
        <f>IF(C304="","",IFERROR(INDEX('Master Data'!$H$6:$H$13,MATCH(C304,'Master Data'!$F$6:$F$13,0)),""))</f>
        <v/>
      </c>
      <c r="F304" s="19">
        <f>'Weekly Input'!A304</f>
        <v/>
      </c>
      <c r="G304" s="19">
        <f>IF(B304="","",IFERROR(INDEX('Master Data'!$D$6:$D$145,MATCH(B304,'Master Data'!$A$6:$A$145,0)),""))</f>
        <v/>
      </c>
      <c r="H304" s="18">
        <f>IF(OR(F304="",G304=""),"",F304-G304)</f>
        <v/>
      </c>
      <c r="I304" s="18">
        <f>IF(B304="","",IF('Weekly Input'!J304="OK",TRUE,FALSE))</f>
        <v/>
      </c>
      <c r="J304" s="18">
        <f>IF(B304="","",'Weekly Input'!H304&gt;=MinInStockDays)</f>
        <v/>
      </c>
      <c r="K304" s="18">
        <f>IF(B304="","",H304&gt;=FullCycleMin)</f>
        <v/>
      </c>
      <c r="L304" s="18">
        <f>IF(B304="","",AND(I304,J304,K304,N304&gt;=MinHistory))</f>
        <v/>
      </c>
      <c r="M304" s="20">
        <f>IF(OR(B304="",'Weekly Input'!H304=0),"",'Weekly Input'!D304/'Weekly Input'!H304*7)</f>
        <v/>
      </c>
      <c r="N304" s="18">
        <f>IF(B304="","",COUNTIFS($B$5:$B$504,B304,$C$5:$C$504,C304,$I$5:$I$504,TRUE,$J$5:$J$504,TRUE,$K$5:$K$504,TRUE))</f>
        <v/>
      </c>
      <c r="O304" s="18">
        <f>IF(B304="","",AND(F304=AsOfWeek,AsOfWeek&lt;&gt;""))</f>
        <v/>
      </c>
      <c r="P304" s="20">
        <f>IF(OR(B304="",AsOfWeek=""),"",IFERROR(SUMIFS($M$5:$M$504,$B$5:$B$504,B304,$C$5:$C$504,C304,$L$5:$L$504,TRUE,$F$5:$F$504,"&gt;="&amp;AsOfWeek-7*(RecentWeeks-1),$F$5:$F$504,"&lt;="&amp;AsOfWeek),""))</f>
        <v/>
      </c>
      <c r="Q304" s="20">
        <f>IF(OR(B304="",AsOfWeek=""),"",IFERROR(SUMIFS($M$5:$M$504,$B$5:$B$504,B304,$C$5:$C$504,C304,$L$5:$L$504,TRUE,$F$5:$F$504,"&gt;="&amp;AsOfWeek-7*(RecentWeeks+PriorWeeks-1),$F$5:$F$504,"&lt;"&amp;AsOfWeek-7*(RecentWeeks-1)),""))</f>
        <v/>
      </c>
      <c r="R304" s="21">
        <f>IF(OR(P304="",Q304="",Q304=0),"",P304/Q304-1)</f>
        <v/>
      </c>
      <c r="S304" s="20">
        <f>IF(OR(C304="",AsOfWeek=""),"",IFERROR(AVERAGEIFS($M$5:$M$504,$C$5:$C$504,C304,$L$5:$L$504,TRUE,$F$5:$F$504,"&gt;="&amp;AsOfWeek-7*(RecentWeeks-1),$F$5:$F$504,"&lt;="&amp;AsOfWeek),""))</f>
        <v/>
      </c>
      <c r="T304" s="21">
        <f>IF(OR(P304="",S304=""),"",P304/S304-1)</f>
        <v/>
      </c>
      <c r="U304" s="22">
        <f>IF(OR(B304="",'Weekly Input'!G304="",P304="",P304=0),"",'Weekly Input'!G304/P304)</f>
        <v/>
      </c>
      <c r="V304" s="18">
        <f>IF(B304="","",IF(NOT(I304),"Not Ready",IF(NOT(K304),"Not Ready",IF(N304&lt;MinHistory,"Not Ready",IF(NOT(J304),"Not Ready",IF(OR(Q304="",Q304=0),"Noise",IF(Q304&lt;LowBaseThreshold,"Noise",IF(AND(R304&lt;=-OwnDecline,T304&lt;=-PeerGapThreshold),"Markdown Review",IF(AND(R304&gt;=ReorderUplift,U304&lt;&gt;"",U304&lt;=WeeksSupplyCap),"Reorder Candidate","Monitor"))))))))</f>
        <v/>
      </c>
      <c r="W304" s="18">
        <f>IF(B304="","",IF(NOT(I304),"INVALID_MASTER",IF(NOT(K304),"INCOMPLETE_SHELF_CYCLE",IF(N304&lt;MinHistory,"INSUFFICIENT_HISTORY",IF(NOT(J304),"INSUFFICIENT_IN_STOCK",IF(OR(Q304="",Q304=0),"NO_PRIOR_BASE",IF(Q304&lt;LowBaseThreshold,"LOW_BASE_NOISE",IF(V304="Markdown Review","MARKDOWN_PEER_GAP",IF(V304="Reorder Candidate","REORDER_UPLIFT_COVER","NO_MATERIAL_CHANGE"))))))))</f>
        <v/>
      </c>
      <c r="X304" s="18">
        <f>IF(V304="Markdown Review","Markdown support",IF(V304="Reorder Candidate","Second reorder",IF(V304="Monitor","Monitor",IF(V304="Noise","Hold / collect data",IF(V304="Not Ready","Not ready","")))))</f>
        <v/>
      </c>
      <c r="Y304" s="18">
        <f>IF(OR(R304="",T304=""),"",ABS(R304)+ABS(T304))</f>
        <v/>
      </c>
      <c r="Z304" s="21">
        <f>IF(OR(B304="",NOT(O304),R304=""),"",IF(ABS(R304)&gt;=MaterialThreshold,"Yes","No"))</f>
        <v/>
      </c>
      <c r="AA304" s="18">
        <f>IF(Z304&lt;&gt;"Yes","",IF(ABS(R304)&gt;=MaterialThreshold,IF(ABS(R304)&gt;=BroadShare,"Broad SKU movement","Store-concentrated movement"),""))</f>
        <v/>
      </c>
      <c r="AB304" s="18">
        <f>IF(O304,IF(COUNTIFS($O$5:O304,TRUE)&gt;0,COUNTIFS($O$5:O304,TRUE),0),0)</f>
        <v/>
      </c>
      <c r="AC304" s="18">
        <f>IF(V304="Markdown Review",1,IF(V304="Reorder Candidate",2,IF(V304="Monitor",3,IF(V304="Noise",4,IF(V304="Not Ready",5,99)))))</f>
        <v/>
      </c>
      <c r="AD304" s="18">
        <f>IF(O304,COUNTIFS($O$5:$O$504,TRUE,$AC$5:$AC$504,"&lt;"&amp;AC304)+COUNTIFS($O$5:O304,TRUE,$AC$5:AC304,AC304,$Y$5:Y304,"&gt;"&amp;Y304),0)</f>
        <v/>
      </c>
    </row>
    <row r="305">
      <c r="A305" s="17">
        <f>IF(COUNTA('Weekly Input'!A305:C305)=0,"",'Weekly Input'!B305&amp;"|"&amp;'Weekly Input'!C305&amp;"|"&amp;TEXT('Weekly Input'!A305,"yyyy-mm-dd"))</f>
        <v/>
      </c>
      <c r="B305" s="18">
        <f>'Weekly Input'!B305</f>
        <v/>
      </c>
      <c r="C305" s="18">
        <f>'Weekly Input'!C305</f>
        <v/>
      </c>
      <c r="D305" s="18">
        <f>IF(B305="","",IFERROR(INDEX('Master Data'!$B$6:$B$145,MATCH(B305,'Master Data'!$A$6:$A$145,0)),""))</f>
        <v/>
      </c>
      <c r="E305" s="18">
        <f>IF(C305="","",IFERROR(INDEX('Master Data'!$H$6:$H$13,MATCH(C305,'Master Data'!$F$6:$F$13,0)),""))</f>
        <v/>
      </c>
      <c r="F305" s="19">
        <f>'Weekly Input'!A305</f>
        <v/>
      </c>
      <c r="G305" s="19">
        <f>IF(B305="","",IFERROR(INDEX('Master Data'!$D$6:$D$145,MATCH(B305,'Master Data'!$A$6:$A$145,0)),""))</f>
        <v/>
      </c>
      <c r="H305" s="18">
        <f>IF(OR(F305="",G305=""),"",F305-G305)</f>
        <v/>
      </c>
      <c r="I305" s="18">
        <f>IF(B305="","",IF('Weekly Input'!J305="OK",TRUE,FALSE))</f>
        <v/>
      </c>
      <c r="J305" s="18">
        <f>IF(B305="","",'Weekly Input'!H305&gt;=MinInStockDays)</f>
        <v/>
      </c>
      <c r="K305" s="18">
        <f>IF(B305="","",H305&gt;=FullCycleMin)</f>
        <v/>
      </c>
      <c r="L305" s="18">
        <f>IF(B305="","",AND(I305,J305,K305,N305&gt;=MinHistory))</f>
        <v/>
      </c>
      <c r="M305" s="20">
        <f>IF(OR(B305="",'Weekly Input'!H305=0),"",'Weekly Input'!D305/'Weekly Input'!H305*7)</f>
        <v/>
      </c>
      <c r="N305" s="18">
        <f>IF(B305="","",COUNTIFS($B$5:$B$504,B305,$C$5:$C$504,C305,$I$5:$I$504,TRUE,$J$5:$J$504,TRUE,$K$5:$K$504,TRUE))</f>
        <v/>
      </c>
      <c r="O305" s="18">
        <f>IF(B305="","",AND(F305=AsOfWeek,AsOfWeek&lt;&gt;""))</f>
        <v/>
      </c>
      <c r="P305" s="20">
        <f>IF(OR(B305="",AsOfWeek=""),"",IFERROR(SUMIFS($M$5:$M$504,$B$5:$B$504,B305,$C$5:$C$504,C305,$L$5:$L$504,TRUE,$F$5:$F$504,"&gt;="&amp;AsOfWeek-7*(RecentWeeks-1),$F$5:$F$504,"&lt;="&amp;AsOfWeek),""))</f>
        <v/>
      </c>
      <c r="Q305" s="20">
        <f>IF(OR(B305="",AsOfWeek=""),"",IFERROR(SUMIFS($M$5:$M$504,$B$5:$B$504,B305,$C$5:$C$504,C305,$L$5:$L$504,TRUE,$F$5:$F$504,"&gt;="&amp;AsOfWeek-7*(RecentWeeks+PriorWeeks-1),$F$5:$F$504,"&lt;"&amp;AsOfWeek-7*(RecentWeeks-1)),""))</f>
        <v/>
      </c>
      <c r="R305" s="21">
        <f>IF(OR(P305="",Q305="",Q305=0),"",P305/Q305-1)</f>
        <v/>
      </c>
      <c r="S305" s="20">
        <f>IF(OR(C305="",AsOfWeek=""),"",IFERROR(AVERAGEIFS($M$5:$M$504,$C$5:$C$504,C305,$L$5:$L$504,TRUE,$F$5:$F$504,"&gt;="&amp;AsOfWeek-7*(RecentWeeks-1),$F$5:$F$504,"&lt;="&amp;AsOfWeek),""))</f>
        <v/>
      </c>
      <c r="T305" s="21">
        <f>IF(OR(P305="",S305=""),"",P305/S305-1)</f>
        <v/>
      </c>
      <c r="U305" s="22">
        <f>IF(OR(B305="",'Weekly Input'!G305="",P305="",P305=0),"",'Weekly Input'!G305/P305)</f>
        <v/>
      </c>
      <c r="V305" s="18">
        <f>IF(B305="","",IF(NOT(I305),"Not Ready",IF(NOT(K305),"Not Ready",IF(N305&lt;MinHistory,"Not Ready",IF(NOT(J305),"Not Ready",IF(OR(Q305="",Q305=0),"Noise",IF(Q305&lt;LowBaseThreshold,"Noise",IF(AND(R305&lt;=-OwnDecline,T305&lt;=-PeerGapThreshold),"Markdown Review",IF(AND(R305&gt;=ReorderUplift,U305&lt;&gt;"",U305&lt;=WeeksSupplyCap),"Reorder Candidate","Monitor"))))))))</f>
        <v/>
      </c>
      <c r="W305" s="18">
        <f>IF(B305="","",IF(NOT(I305),"INVALID_MASTER",IF(NOT(K305),"INCOMPLETE_SHELF_CYCLE",IF(N305&lt;MinHistory,"INSUFFICIENT_HISTORY",IF(NOT(J305),"INSUFFICIENT_IN_STOCK",IF(OR(Q305="",Q305=0),"NO_PRIOR_BASE",IF(Q305&lt;LowBaseThreshold,"LOW_BASE_NOISE",IF(V305="Markdown Review","MARKDOWN_PEER_GAP",IF(V305="Reorder Candidate","REORDER_UPLIFT_COVER","NO_MATERIAL_CHANGE"))))))))</f>
        <v/>
      </c>
      <c r="X305" s="18">
        <f>IF(V305="Markdown Review","Markdown support",IF(V305="Reorder Candidate","Second reorder",IF(V305="Monitor","Monitor",IF(V305="Noise","Hold / collect data",IF(V305="Not Ready","Not ready","")))))</f>
        <v/>
      </c>
      <c r="Y305" s="18">
        <f>IF(OR(R305="",T305=""),"",ABS(R305)+ABS(T305))</f>
        <v/>
      </c>
      <c r="Z305" s="21">
        <f>IF(OR(B305="",NOT(O305),R305=""),"",IF(ABS(R305)&gt;=MaterialThreshold,"Yes","No"))</f>
        <v/>
      </c>
      <c r="AA305" s="18">
        <f>IF(Z305&lt;&gt;"Yes","",IF(ABS(R305)&gt;=MaterialThreshold,IF(ABS(R305)&gt;=BroadShare,"Broad SKU movement","Store-concentrated movement"),""))</f>
        <v/>
      </c>
      <c r="AB305" s="18">
        <f>IF(O305,IF(COUNTIFS($O$5:O305,TRUE)&gt;0,COUNTIFS($O$5:O305,TRUE),0),0)</f>
        <v/>
      </c>
      <c r="AC305" s="18">
        <f>IF(V305="Markdown Review",1,IF(V305="Reorder Candidate",2,IF(V305="Monitor",3,IF(V305="Noise",4,IF(V305="Not Ready",5,99)))))</f>
        <v/>
      </c>
      <c r="AD305" s="18">
        <f>IF(O305,COUNTIFS($O$5:$O$504,TRUE,$AC$5:$AC$504,"&lt;"&amp;AC305)+COUNTIFS($O$5:O305,TRUE,$AC$5:AC305,AC305,$Y$5:Y305,"&gt;"&amp;Y305),0)</f>
        <v/>
      </c>
    </row>
    <row r="306">
      <c r="A306" s="17">
        <f>IF(COUNTA('Weekly Input'!A306:C306)=0,"",'Weekly Input'!B306&amp;"|"&amp;'Weekly Input'!C306&amp;"|"&amp;TEXT('Weekly Input'!A306,"yyyy-mm-dd"))</f>
        <v/>
      </c>
      <c r="B306" s="18">
        <f>'Weekly Input'!B306</f>
        <v/>
      </c>
      <c r="C306" s="18">
        <f>'Weekly Input'!C306</f>
        <v/>
      </c>
      <c r="D306" s="18">
        <f>IF(B306="","",IFERROR(INDEX('Master Data'!$B$6:$B$145,MATCH(B306,'Master Data'!$A$6:$A$145,0)),""))</f>
        <v/>
      </c>
      <c r="E306" s="18">
        <f>IF(C306="","",IFERROR(INDEX('Master Data'!$H$6:$H$13,MATCH(C306,'Master Data'!$F$6:$F$13,0)),""))</f>
        <v/>
      </c>
      <c r="F306" s="19">
        <f>'Weekly Input'!A306</f>
        <v/>
      </c>
      <c r="G306" s="19">
        <f>IF(B306="","",IFERROR(INDEX('Master Data'!$D$6:$D$145,MATCH(B306,'Master Data'!$A$6:$A$145,0)),""))</f>
        <v/>
      </c>
      <c r="H306" s="18">
        <f>IF(OR(F306="",G306=""),"",F306-G306)</f>
        <v/>
      </c>
      <c r="I306" s="18">
        <f>IF(B306="","",IF('Weekly Input'!J306="OK",TRUE,FALSE))</f>
        <v/>
      </c>
      <c r="J306" s="18">
        <f>IF(B306="","",'Weekly Input'!H306&gt;=MinInStockDays)</f>
        <v/>
      </c>
      <c r="K306" s="18">
        <f>IF(B306="","",H306&gt;=FullCycleMin)</f>
        <v/>
      </c>
      <c r="L306" s="18">
        <f>IF(B306="","",AND(I306,J306,K306,N306&gt;=MinHistory))</f>
        <v/>
      </c>
      <c r="M306" s="20">
        <f>IF(OR(B306="",'Weekly Input'!H306=0),"",'Weekly Input'!D306/'Weekly Input'!H306*7)</f>
        <v/>
      </c>
      <c r="N306" s="18">
        <f>IF(B306="","",COUNTIFS($B$5:$B$504,B306,$C$5:$C$504,C306,$I$5:$I$504,TRUE,$J$5:$J$504,TRUE,$K$5:$K$504,TRUE))</f>
        <v/>
      </c>
      <c r="O306" s="18">
        <f>IF(B306="","",AND(F306=AsOfWeek,AsOfWeek&lt;&gt;""))</f>
        <v/>
      </c>
      <c r="P306" s="20">
        <f>IF(OR(B306="",AsOfWeek=""),"",IFERROR(SUMIFS($M$5:$M$504,$B$5:$B$504,B306,$C$5:$C$504,C306,$L$5:$L$504,TRUE,$F$5:$F$504,"&gt;="&amp;AsOfWeek-7*(RecentWeeks-1),$F$5:$F$504,"&lt;="&amp;AsOfWeek),""))</f>
        <v/>
      </c>
      <c r="Q306" s="20">
        <f>IF(OR(B306="",AsOfWeek=""),"",IFERROR(SUMIFS($M$5:$M$504,$B$5:$B$504,B306,$C$5:$C$504,C306,$L$5:$L$504,TRUE,$F$5:$F$504,"&gt;="&amp;AsOfWeek-7*(RecentWeeks+PriorWeeks-1),$F$5:$F$504,"&lt;"&amp;AsOfWeek-7*(RecentWeeks-1)),""))</f>
        <v/>
      </c>
      <c r="R306" s="21">
        <f>IF(OR(P306="",Q306="",Q306=0),"",P306/Q306-1)</f>
        <v/>
      </c>
      <c r="S306" s="20">
        <f>IF(OR(C306="",AsOfWeek=""),"",IFERROR(AVERAGEIFS($M$5:$M$504,$C$5:$C$504,C306,$L$5:$L$504,TRUE,$F$5:$F$504,"&gt;="&amp;AsOfWeek-7*(RecentWeeks-1),$F$5:$F$504,"&lt;="&amp;AsOfWeek),""))</f>
        <v/>
      </c>
      <c r="T306" s="21">
        <f>IF(OR(P306="",S306=""),"",P306/S306-1)</f>
        <v/>
      </c>
      <c r="U306" s="22">
        <f>IF(OR(B306="",'Weekly Input'!G306="",P306="",P306=0),"",'Weekly Input'!G306/P306)</f>
        <v/>
      </c>
      <c r="V306" s="18">
        <f>IF(B306="","",IF(NOT(I306),"Not Ready",IF(NOT(K306),"Not Ready",IF(N306&lt;MinHistory,"Not Ready",IF(NOT(J306),"Not Ready",IF(OR(Q306="",Q306=0),"Noise",IF(Q306&lt;LowBaseThreshold,"Noise",IF(AND(R306&lt;=-OwnDecline,T306&lt;=-PeerGapThreshold),"Markdown Review",IF(AND(R306&gt;=ReorderUplift,U306&lt;&gt;"",U306&lt;=WeeksSupplyCap),"Reorder Candidate","Monitor"))))))))</f>
        <v/>
      </c>
      <c r="W306" s="18">
        <f>IF(B306="","",IF(NOT(I306),"INVALID_MASTER",IF(NOT(K306),"INCOMPLETE_SHELF_CYCLE",IF(N306&lt;MinHistory,"INSUFFICIENT_HISTORY",IF(NOT(J306),"INSUFFICIENT_IN_STOCK",IF(OR(Q306="",Q306=0),"NO_PRIOR_BASE",IF(Q306&lt;LowBaseThreshold,"LOW_BASE_NOISE",IF(V306="Markdown Review","MARKDOWN_PEER_GAP",IF(V306="Reorder Candidate","REORDER_UPLIFT_COVER","NO_MATERIAL_CHANGE"))))))))</f>
        <v/>
      </c>
      <c r="X306" s="18">
        <f>IF(V306="Markdown Review","Markdown support",IF(V306="Reorder Candidate","Second reorder",IF(V306="Monitor","Monitor",IF(V306="Noise","Hold / collect data",IF(V306="Not Ready","Not ready","")))))</f>
        <v/>
      </c>
      <c r="Y306" s="18">
        <f>IF(OR(R306="",T306=""),"",ABS(R306)+ABS(T306))</f>
        <v/>
      </c>
      <c r="Z306" s="21">
        <f>IF(OR(B306="",NOT(O306),R306=""),"",IF(ABS(R306)&gt;=MaterialThreshold,"Yes","No"))</f>
        <v/>
      </c>
      <c r="AA306" s="18">
        <f>IF(Z306&lt;&gt;"Yes","",IF(ABS(R306)&gt;=MaterialThreshold,IF(ABS(R306)&gt;=BroadShare,"Broad SKU movement","Store-concentrated movement"),""))</f>
        <v/>
      </c>
      <c r="AB306" s="18">
        <f>IF(O306,IF(COUNTIFS($O$5:O306,TRUE)&gt;0,COUNTIFS($O$5:O306,TRUE),0),0)</f>
        <v/>
      </c>
      <c r="AC306" s="18">
        <f>IF(V306="Markdown Review",1,IF(V306="Reorder Candidate",2,IF(V306="Monitor",3,IF(V306="Noise",4,IF(V306="Not Ready",5,99)))))</f>
        <v/>
      </c>
      <c r="AD306" s="18">
        <f>IF(O306,COUNTIFS($O$5:$O$504,TRUE,$AC$5:$AC$504,"&lt;"&amp;AC306)+COUNTIFS($O$5:O306,TRUE,$AC$5:AC306,AC306,$Y$5:Y306,"&gt;"&amp;Y306),0)</f>
        <v/>
      </c>
    </row>
    <row r="307">
      <c r="A307" s="17">
        <f>IF(COUNTA('Weekly Input'!A307:C307)=0,"",'Weekly Input'!B307&amp;"|"&amp;'Weekly Input'!C307&amp;"|"&amp;TEXT('Weekly Input'!A307,"yyyy-mm-dd"))</f>
        <v/>
      </c>
      <c r="B307" s="18">
        <f>'Weekly Input'!B307</f>
        <v/>
      </c>
      <c r="C307" s="18">
        <f>'Weekly Input'!C307</f>
        <v/>
      </c>
      <c r="D307" s="18">
        <f>IF(B307="","",IFERROR(INDEX('Master Data'!$B$6:$B$145,MATCH(B307,'Master Data'!$A$6:$A$145,0)),""))</f>
        <v/>
      </c>
      <c r="E307" s="18">
        <f>IF(C307="","",IFERROR(INDEX('Master Data'!$H$6:$H$13,MATCH(C307,'Master Data'!$F$6:$F$13,0)),""))</f>
        <v/>
      </c>
      <c r="F307" s="19">
        <f>'Weekly Input'!A307</f>
        <v/>
      </c>
      <c r="G307" s="19">
        <f>IF(B307="","",IFERROR(INDEX('Master Data'!$D$6:$D$145,MATCH(B307,'Master Data'!$A$6:$A$145,0)),""))</f>
        <v/>
      </c>
      <c r="H307" s="18">
        <f>IF(OR(F307="",G307=""),"",F307-G307)</f>
        <v/>
      </c>
      <c r="I307" s="18">
        <f>IF(B307="","",IF('Weekly Input'!J307="OK",TRUE,FALSE))</f>
        <v/>
      </c>
      <c r="J307" s="18">
        <f>IF(B307="","",'Weekly Input'!H307&gt;=MinInStockDays)</f>
        <v/>
      </c>
      <c r="K307" s="18">
        <f>IF(B307="","",H307&gt;=FullCycleMin)</f>
        <v/>
      </c>
      <c r="L307" s="18">
        <f>IF(B307="","",AND(I307,J307,K307,N307&gt;=MinHistory))</f>
        <v/>
      </c>
      <c r="M307" s="20">
        <f>IF(OR(B307="",'Weekly Input'!H307=0),"",'Weekly Input'!D307/'Weekly Input'!H307*7)</f>
        <v/>
      </c>
      <c r="N307" s="18">
        <f>IF(B307="","",COUNTIFS($B$5:$B$504,B307,$C$5:$C$504,C307,$I$5:$I$504,TRUE,$J$5:$J$504,TRUE,$K$5:$K$504,TRUE))</f>
        <v/>
      </c>
      <c r="O307" s="18">
        <f>IF(B307="","",AND(F307=AsOfWeek,AsOfWeek&lt;&gt;""))</f>
        <v/>
      </c>
      <c r="P307" s="20">
        <f>IF(OR(B307="",AsOfWeek=""),"",IFERROR(SUMIFS($M$5:$M$504,$B$5:$B$504,B307,$C$5:$C$504,C307,$L$5:$L$504,TRUE,$F$5:$F$504,"&gt;="&amp;AsOfWeek-7*(RecentWeeks-1),$F$5:$F$504,"&lt;="&amp;AsOfWeek),""))</f>
        <v/>
      </c>
      <c r="Q307" s="20">
        <f>IF(OR(B307="",AsOfWeek=""),"",IFERROR(SUMIFS($M$5:$M$504,$B$5:$B$504,B307,$C$5:$C$504,C307,$L$5:$L$504,TRUE,$F$5:$F$504,"&gt;="&amp;AsOfWeek-7*(RecentWeeks+PriorWeeks-1),$F$5:$F$504,"&lt;"&amp;AsOfWeek-7*(RecentWeeks-1)),""))</f>
        <v/>
      </c>
      <c r="R307" s="21">
        <f>IF(OR(P307="",Q307="",Q307=0),"",P307/Q307-1)</f>
        <v/>
      </c>
      <c r="S307" s="20">
        <f>IF(OR(C307="",AsOfWeek=""),"",IFERROR(AVERAGEIFS($M$5:$M$504,$C$5:$C$504,C307,$L$5:$L$504,TRUE,$F$5:$F$504,"&gt;="&amp;AsOfWeek-7*(RecentWeeks-1),$F$5:$F$504,"&lt;="&amp;AsOfWeek),""))</f>
        <v/>
      </c>
      <c r="T307" s="21">
        <f>IF(OR(P307="",S307=""),"",P307/S307-1)</f>
        <v/>
      </c>
      <c r="U307" s="22">
        <f>IF(OR(B307="",'Weekly Input'!G307="",P307="",P307=0),"",'Weekly Input'!G307/P307)</f>
        <v/>
      </c>
      <c r="V307" s="18">
        <f>IF(B307="","",IF(NOT(I307),"Not Ready",IF(NOT(K307),"Not Ready",IF(N307&lt;MinHistory,"Not Ready",IF(NOT(J307),"Not Ready",IF(OR(Q307="",Q307=0),"Noise",IF(Q307&lt;LowBaseThreshold,"Noise",IF(AND(R307&lt;=-OwnDecline,T307&lt;=-PeerGapThreshold),"Markdown Review",IF(AND(R307&gt;=ReorderUplift,U307&lt;&gt;"",U307&lt;=WeeksSupplyCap),"Reorder Candidate","Monitor"))))))))</f>
        <v/>
      </c>
      <c r="W307" s="18">
        <f>IF(B307="","",IF(NOT(I307),"INVALID_MASTER",IF(NOT(K307),"INCOMPLETE_SHELF_CYCLE",IF(N307&lt;MinHistory,"INSUFFICIENT_HISTORY",IF(NOT(J307),"INSUFFICIENT_IN_STOCK",IF(OR(Q307="",Q307=0),"NO_PRIOR_BASE",IF(Q307&lt;LowBaseThreshold,"LOW_BASE_NOISE",IF(V307="Markdown Review","MARKDOWN_PEER_GAP",IF(V307="Reorder Candidate","REORDER_UPLIFT_COVER","NO_MATERIAL_CHANGE"))))))))</f>
        <v/>
      </c>
      <c r="X307" s="18">
        <f>IF(V307="Markdown Review","Markdown support",IF(V307="Reorder Candidate","Second reorder",IF(V307="Monitor","Monitor",IF(V307="Noise","Hold / collect data",IF(V307="Not Ready","Not ready","")))))</f>
        <v/>
      </c>
      <c r="Y307" s="18">
        <f>IF(OR(R307="",T307=""),"",ABS(R307)+ABS(T307))</f>
        <v/>
      </c>
      <c r="Z307" s="21">
        <f>IF(OR(B307="",NOT(O307),R307=""),"",IF(ABS(R307)&gt;=MaterialThreshold,"Yes","No"))</f>
        <v/>
      </c>
      <c r="AA307" s="18">
        <f>IF(Z307&lt;&gt;"Yes","",IF(ABS(R307)&gt;=MaterialThreshold,IF(ABS(R307)&gt;=BroadShare,"Broad SKU movement","Store-concentrated movement"),""))</f>
        <v/>
      </c>
      <c r="AB307" s="18">
        <f>IF(O307,IF(COUNTIFS($O$5:O307,TRUE)&gt;0,COUNTIFS($O$5:O307,TRUE),0),0)</f>
        <v/>
      </c>
      <c r="AC307" s="18">
        <f>IF(V307="Markdown Review",1,IF(V307="Reorder Candidate",2,IF(V307="Monitor",3,IF(V307="Noise",4,IF(V307="Not Ready",5,99)))))</f>
        <v/>
      </c>
      <c r="AD307" s="18">
        <f>IF(O307,COUNTIFS($O$5:$O$504,TRUE,$AC$5:$AC$504,"&lt;"&amp;AC307)+COUNTIFS($O$5:O307,TRUE,$AC$5:AC307,AC307,$Y$5:Y307,"&gt;"&amp;Y307),0)</f>
        <v/>
      </c>
    </row>
    <row r="308">
      <c r="A308" s="17">
        <f>IF(COUNTA('Weekly Input'!A308:C308)=0,"",'Weekly Input'!B308&amp;"|"&amp;'Weekly Input'!C308&amp;"|"&amp;TEXT('Weekly Input'!A308,"yyyy-mm-dd"))</f>
        <v/>
      </c>
      <c r="B308" s="18">
        <f>'Weekly Input'!B308</f>
        <v/>
      </c>
      <c r="C308" s="18">
        <f>'Weekly Input'!C308</f>
        <v/>
      </c>
      <c r="D308" s="18">
        <f>IF(B308="","",IFERROR(INDEX('Master Data'!$B$6:$B$145,MATCH(B308,'Master Data'!$A$6:$A$145,0)),""))</f>
        <v/>
      </c>
      <c r="E308" s="18">
        <f>IF(C308="","",IFERROR(INDEX('Master Data'!$H$6:$H$13,MATCH(C308,'Master Data'!$F$6:$F$13,0)),""))</f>
        <v/>
      </c>
      <c r="F308" s="19">
        <f>'Weekly Input'!A308</f>
        <v/>
      </c>
      <c r="G308" s="19">
        <f>IF(B308="","",IFERROR(INDEX('Master Data'!$D$6:$D$145,MATCH(B308,'Master Data'!$A$6:$A$145,0)),""))</f>
        <v/>
      </c>
      <c r="H308" s="18">
        <f>IF(OR(F308="",G308=""),"",F308-G308)</f>
        <v/>
      </c>
      <c r="I308" s="18">
        <f>IF(B308="","",IF('Weekly Input'!J308="OK",TRUE,FALSE))</f>
        <v/>
      </c>
      <c r="J308" s="18">
        <f>IF(B308="","",'Weekly Input'!H308&gt;=MinInStockDays)</f>
        <v/>
      </c>
      <c r="K308" s="18">
        <f>IF(B308="","",H308&gt;=FullCycleMin)</f>
        <v/>
      </c>
      <c r="L308" s="18">
        <f>IF(B308="","",AND(I308,J308,K308,N308&gt;=MinHistory))</f>
        <v/>
      </c>
      <c r="M308" s="20">
        <f>IF(OR(B308="",'Weekly Input'!H308=0),"",'Weekly Input'!D308/'Weekly Input'!H308*7)</f>
        <v/>
      </c>
      <c r="N308" s="18">
        <f>IF(B308="","",COUNTIFS($B$5:$B$504,B308,$C$5:$C$504,C308,$I$5:$I$504,TRUE,$J$5:$J$504,TRUE,$K$5:$K$504,TRUE))</f>
        <v/>
      </c>
      <c r="O308" s="18">
        <f>IF(B308="","",AND(F308=AsOfWeek,AsOfWeek&lt;&gt;""))</f>
        <v/>
      </c>
      <c r="P308" s="20">
        <f>IF(OR(B308="",AsOfWeek=""),"",IFERROR(SUMIFS($M$5:$M$504,$B$5:$B$504,B308,$C$5:$C$504,C308,$L$5:$L$504,TRUE,$F$5:$F$504,"&gt;="&amp;AsOfWeek-7*(RecentWeeks-1),$F$5:$F$504,"&lt;="&amp;AsOfWeek),""))</f>
        <v/>
      </c>
      <c r="Q308" s="20">
        <f>IF(OR(B308="",AsOfWeek=""),"",IFERROR(SUMIFS($M$5:$M$504,$B$5:$B$504,B308,$C$5:$C$504,C308,$L$5:$L$504,TRUE,$F$5:$F$504,"&gt;="&amp;AsOfWeek-7*(RecentWeeks+PriorWeeks-1),$F$5:$F$504,"&lt;"&amp;AsOfWeek-7*(RecentWeeks-1)),""))</f>
        <v/>
      </c>
      <c r="R308" s="21">
        <f>IF(OR(P308="",Q308="",Q308=0),"",P308/Q308-1)</f>
        <v/>
      </c>
      <c r="S308" s="20">
        <f>IF(OR(C308="",AsOfWeek=""),"",IFERROR(AVERAGEIFS($M$5:$M$504,$C$5:$C$504,C308,$L$5:$L$504,TRUE,$F$5:$F$504,"&gt;="&amp;AsOfWeek-7*(RecentWeeks-1),$F$5:$F$504,"&lt;="&amp;AsOfWeek),""))</f>
        <v/>
      </c>
      <c r="T308" s="21">
        <f>IF(OR(P308="",S308=""),"",P308/S308-1)</f>
        <v/>
      </c>
      <c r="U308" s="22">
        <f>IF(OR(B308="",'Weekly Input'!G308="",P308="",P308=0),"",'Weekly Input'!G308/P308)</f>
        <v/>
      </c>
      <c r="V308" s="18">
        <f>IF(B308="","",IF(NOT(I308),"Not Ready",IF(NOT(K308),"Not Ready",IF(N308&lt;MinHistory,"Not Ready",IF(NOT(J308),"Not Ready",IF(OR(Q308="",Q308=0),"Noise",IF(Q308&lt;LowBaseThreshold,"Noise",IF(AND(R308&lt;=-OwnDecline,T308&lt;=-PeerGapThreshold),"Markdown Review",IF(AND(R308&gt;=ReorderUplift,U308&lt;&gt;"",U308&lt;=WeeksSupplyCap),"Reorder Candidate","Monitor"))))))))</f>
        <v/>
      </c>
      <c r="W308" s="18">
        <f>IF(B308="","",IF(NOT(I308),"INVALID_MASTER",IF(NOT(K308),"INCOMPLETE_SHELF_CYCLE",IF(N308&lt;MinHistory,"INSUFFICIENT_HISTORY",IF(NOT(J308),"INSUFFICIENT_IN_STOCK",IF(OR(Q308="",Q308=0),"NO_PRIOR_BASE",IF(Q308&lt;LowBaseThreshold,"LOW_BASE_NOISE",IF(V308="Markdown Review","MARKDOWN_PEER_GAP",IF(V308="Reorder Candidate","REORDER_UPLIFT_COVER","NO_MATERIAL_CHANGE"))))))))</f>
        <v/>
      </c>
      <c r="X308" s="18">
        <f>IF(V308="Markdown Review","Markdown support",IF(V308="Reorder Candidate","Second reorder",IF(V308="Monitor","Monitor",IF(V308="Noise","Hold / collect data",IF(V308="Not Ready","Not ready","")))))</f>
        <v/>
      </c>
      <c r="Y308" s="18">
        <f>IF(OR(R308="",T308=""),"",ABS(R308)+ABS(T308))</f>
        <v/>
      </c>
      <c r="Z308" s="21">
        <f>IF(OR(B308="",NOT(O308),R308=""),"",IF(ABS(R308)&gt;=MaterialThreshold,"Yes","No"))</f>
        <v/>
      </c>
      <c r="AA308" s="18">
        <f>IF(Z308&lt;&gt;"Yes","",IF(ABS(R308)&gt;=MaterialThreshold,IF(ABS(R308)&gt;=BroadShare,"Broad SKU movement","Store-concentrated movement"),""))</f>
        <v/>
      </c>
      <c r="AB308" s="18">
        <f>IF(O308,IF(COUNTIFS($O$5:O308,TRUE)&gt;0,COUNTIFS($O$5:O308,TRUE),0),0)</f>
        <v/>
      </c>
      <c r="AC308" s="18">
        <f>IF(V308="Markdown Review",1,IF(V308="Reorder Candidate",2,IF(V308="Monitor",3,IF(V308="Noise",4,IF(V308="Not Ready",5,99)))))</f>
        <v/>
      </c>
      <c r="AD308" s="18">
        <f>IF(O308,COUNTIFS($O$5:$O$504,TRUE,$AC$5:$AC$504,"&lt;"&amp;AC308)+COUNTIFS($O$5:O308,TRUE,$AC$5:AC308,AC308,$Y$5:Y308,"&gt;"&amp;Y308),0)</f>
        <v/>
      </c>
    </row>
    <row r="309">
      <c r="A309" s="17">
        <f>IF(COUNTA('Weekly Input'!A309:C309)=0,"",'Weekly Input'!B309&amp;"|"&amp;'Weekly Input'!C309&amp;"|"&amp;TEXT('Weekly Input'!A309,"yyyy-mm-dd"))</f>
        <v/>
      </c>
      <c r="B309" s="18">
        <f>'Weekly Input'!B309</f>
        <v/>
      </c>
      <c r="C309" s="18">
        <f>'Weekly Input'!C309</f>
        <v/>
      </c>
      <c r="D309" s="18">
        <f>IF(B309="","",IFERROR(INDEX('Master Data'!$B$6:$B$145,MATCH(B309,'Master Data'!$A$6:$A$145,0)),""))</f>
        <v/>
      </c>
      <c r="E309" s="18">
        <f>IF(C309="","",IFERROR(INDEX('Master Data'!$H$6:$H$13,MATCH(C309,'Master Data'!$F$6:$F$13,0)),""))</f>
        <v/>
      </c>
      <c r="F309" s="19">
        <f>'Weekly Input'!A309</f>
        <v/>
      </c>
      <c r="G309" s="19">
        <f>IF(B309="","",IFERROR(INDEX('Master Data'!$D$6:$D$145,MATCH(B309,'Master Data'!$A$6:$A$145,0)),""))</f>
        <v/>
      </c>
      <c r="H309" s="18">
        <f>IF(OR(F309="",G309=""),"",F309-G309)</f>
        <v/>
      </c>
      <c r="I309" s="18">
        <f>IF(B309="","",IF('Weekly Input'!J309="OK",TRUE,FALSE))</f>
        <v/>
      </c>
      <c r="J309" s="18">
        <f>IF(B309="","",'Weekly Input'!H309&gt;=MinInStockDays)</f>
        <v/>
      </c>
      <c r="K309" s="18">
        <f>IF(B309="","",H309&gt;=FullCycleMin)</f>
        <v/>
      </c>
      <c r="L309" s="18">
        <f>IF(B309="","",AND(I309,J309,K309,N309&gt;=MinHistory))</f>
        <v/>
      </c>
      <c r="M309" s="20">
        <f>IF(OR(B309="",'Weekly Input'!H309=0),"",'Weekly Input'!D309/'Weekly Input'!H309*7)</f>
        <v/>
      </c>
      <c r="N309" s="18">
        <f>IF(B309="","",COUNTIFS($B$5:$B$504,B309,$C$5:$C$504,C309,$I$5:$I$504,TRUE,$J$5:$J$504,TRUE,$K$5:$K$504,TRUE))</f>
        <v/>
      </c>
      <c r="O309" s="18">
        <f>IF(B309="","",AND(F309=AsOfWeek,AsOfWeek&lt;&gt;""))</f>
        <v/>
      </c>
      <c r="P309" s="20">
        <f>IF(OR(B309="",AsOfWeek=""),"",IFERROR(SUMIFS($M$5:$M$504,$B$5:$B$504,B309,$C$5:$C$504,C309,$L$5:$L$504,TRUE,$F$5:$F$504,"&gt;="&amp;AsOfWeek-7*(RecentWeeks-1),$F$5:$F$504,"&lt;="&amp;AsOfWeek),""))</f>
        <v/>
      </c>
      <c r="Q309" s="20">
        <f>IF(OR(B309="",AsOfWeek=""),"",IFERROR(SUMIFS($M$5:$M$504,$B$5:$B$504,B309,$C$5:$C$504,C309,$L$5:$L$504,TRUE,$F$5:$F$504,"&gt;="&amp;AsOfWeek-7*(RecentWeeks+PriorWeeks-1),$F$5:$F$504,"&lt;"&amp;AsOfWeek-7*(RecentWeeks-1)),""))</f>
        <v/>
      </c>
      <c r="R309" s="21">
        <f>IF(OR(P309="",Q309="",Q309=0),"",P309/Q309-1)</f>
        <v/>
      </c>
      <c r="S309" s="20">
        <f>IF(OR(C309="",AsOfWeek=""),"",IFERROR(AVERAGEIFS($M$5:$M$504,$C$5:$C$504,C309,$L$5:$L$504,TRUE,$F$5:$F$504,"&gt;="&amp;AsOfWeek-7*(RecentWeeks-1),$F$5:$F$504,"&lt;="&amp;AsOfWeek),""))</f>
        <v/>
      </c>
      <c r="T309" s="21">
        <f>IF(OR(P309="",S309=""),"",P309/S309-1)</f>
        <v/>
      </c>
      <c r="U309" s="22">
        <f>IF(OR(B309="",'Weekly Input'!G309="",P309="",P309=0),"",'Weekly Input'!G309/P309)</f>
        <v/>
      </c>
      <c r="V309" s="18">
        <f>IF(B309="","",IF(NOT(I309),"Not Ready",IF(NOT(K309),"Not Ready",IF(N309&lt;MinHistory,"Not Ready",IF(NOT(J309),"Not Ready",IF(OR(Q309="",Q309=0),"Noise",IF(Q309&lt;LowBaseThreshold,"Noise",IF(AND(R309&lt;=-OwnDecline,T309&lt;=-PeerGapThreshold),"Markdown Review",IF(AND(R309&gt;=ReorderUplift,U309&lt;&gt;"",U309&lt;=WeeksSupplyCap),"Reorder Candidate","Monitor"))))))))</f>
        <v/>
      </c>
      <c r="W309" s="18">
        <f>IF(B309="","",IF(NOT(I309),"INVALID_MASTER",IF(NOT(K309),"INCOMPLETE_SHELF_CYCLE",IF(N309&lt;MinHistory,"INSUFFICIENT_HISTORY",IF(NOT(J309),"INSUFFICIENT_IN_STOCK",IF(OR(Q309="",Q309=0),"NO_PRIOR_BASE",IF(Q309&lt;LowBaseThreshold,"LOW_BASE_NOISE",IF(V309="Markdown Review","MARKDOWN_PEER_GAP",IF(V309="Reorder Candidate","REORDER_UPLIFT_COVER","NO_MATERIAL_CHANGE"))))))))</f>
        <v/>
      </c>
      <c r="X309" s="18">
        <f>IF(V309="Markdown Review","Markdown support",IF(V309="Reorder Candidate","Second reorder",IF(V309="Monitor","Monitor",IF(V309="Noise","Hold / collect data",IF(V309="Not Ready","Not ready","")))))</f>
        <v/>
      </c>
      <c r="Y309" s="18">
        <f>IF(OR(R309="",T309=""),"",ABS(R309)+ABS(T309))</f>
        <v/>
      </c>
      <c r="Z309" s="21">
        <f>IF(OR(B309="",NOT(O309),R309=""),"",IF(ABS(R309)&gt;=MaterialThreshold,"Yes","No"))</f>
        <v/>
      </c>
      <c r="AA309" s="18">
        <f>IF(Z309&lt;&gt;"Yes","",IF(ABS(R309)&gt;=MaterialThreshold,IF(ABS(R309)&gt;=BroadShare,"Broad SKU movement","Store-concentrated movement"),""))</f>
        <v/>
      </c>
      <c r="AB309" s="18">
        <f>IF(O309,IF(COUNTIFS($O$5:O309,TRUE)&gt;0,COUNTIFS($O$5:O309,TRUE),0),0)</f>
        <v/>
      </c>
      <c r="AC309" s="18">
        <f>IF(V309="Markdown Review",1,IF(V309="Reorder Candidate",2,IF(V309="Monitor",3,IF(V309="Noise",4,IF(V309="Not Ready",5,99)))))</f>
        <v/>
      </c>
      <c r="AD309" s="18">
        <f>IF(O309,COUNTIFS($O$5:$O$504,TRUE,$AC$5:$AC$504,"&lt;"&amp;AC309)+COUNTIFS($O$5:O309,TRUE,$AC$5:AC309,AC309,$Y$5:Y309,"&gt;"&amp;Y309),0)</f>
        <v/>
      </c>
    </row>
    <row r="310">
      <c r="A310" s="17">
        <f>IF(COUNTA('Weekly Input'!A310:C310)=0,"",'Weekly Input'!B310&amp;"|"&amp;'Weekly Input'!C310&amp;"|"&amp;TEXT('Weekly Input'!A310,"yyyy-mm-dd"))</f>
        <v/>
      </c>
      <c r="B310" s="18">
        <f>'Weekly Input'!B310</f>
        <v/>
      </c>
      <c r="C310" s="18">
        <f>'Weekly Input'!C310</f>
        <v/>
      </c>
      <c r="D310" s="18">
        <f>IF(B310="","",IFERROR(INDEX('Master Data'!$B$6:$B$145,MATCH(B310,'Master Data'!$A$6:$A$145,0)),""))</f>
        <v/>
      </c>
      <c r="E310" s="18">
        <f>IF(C310="","",IFERROR(INDEX('Master Data'!$H$6:$H$13,MATCH(C310,'Master Data'!$F$6:$F$13,0)),""))</f>
        <v/>
      </c>
      <c r="F310" s="19">
        <f>'Weekly Input'!A310</f>
        <v/>
      </c>
      <c r="G310" s="19">
        <f>IF(B310="","",IFERROR(INDEX('Master Data'!$D$6:$D$145,MATCH(B310,'Master Data'!$A$6:$A$145,0)),""))</f>
        <v/>
      </c>
      <c r="H310" s="18">
        <f>IF(OR(F310="",G310=""),"",F310-G310)</f>
        <v/>
      </c>
      <c r="I310" s="18">
        <f>IF(B310="","",IF('Weekly Input'!J310="OK",TRUE,FALSE))</f>
        <v/>
      </c>
      <c r="J310" s="18">
        <f>IF(B310="","",'Weekly Input'!H310&gt;=MinInStockDays)</f>
        <v/>
      </c>
      <c r="K310" s="18">
        <f>IF(B310="","",H310&gt;=FullCycleMin)</f>
        <v/>
      </c>
      <c r="L310" s="18">
        <f>IF(B310="","",AND(I310,J310,K310,N310&gt;=MinHistory))</f>
        <v/>
      </c>
      <c r="M310" s="20">
        <f>IF(OR(B310="",'Weekly Input'!H310=0),"",'Weekly Input'!D310/'Weekly Input'!H310*7)</f>
        <v/>
      </c>
      <c r="N310" s="18">
        <f>IF(B310="","",COUNTIFS($B$5:$B$504,B310,$C$5:$C$504,C310,$I$5:$I$504,TRUE,$J$5:$J$504,TRUE,$K$5:$K$504,TRUE))</f>
        <v/>
      </c>
      <c r="O310" s="18">
        <f>IF(B310="","",AND(F310=AsOfWeek,AsOfWeek&lt;&gt;""))</f>
        <v/>
      </c>
      <c r="P310" s="20">
        <f>IF(OR(B310="",AsOfWeek=""),"",IFERROR(SUMIFS($M$5:$M$504,$B$5:$B$504,B310,$C$5:$C$504,C310,$L$5:$L$504,TRUE,$F$5:$F$504,"&gt;="&amp;AsOfWeek-7*(RecentWeeks-1),$F$5:$F$504,"&lt;="&amp;AsOfWeek),""))</f>
        <v/>
      </c>
      <c r="Q310" s="20">
        <f>IF(OR(B310="",AsOfWeek=""),"",IFERROR(SUMIFS($M$5:$M$504,$B$5:$B$504,B310,$C$5:$C$504,C310,$L$5:$L$504,TRUE,$F$5:$F$504,"&gt;="&amp;AsOfWeek-7*(RecentWeeks+PriorWeeks-1),$F$5:$F$504,"&lt;"&amp;AsOfWeek-7*(RecentWeeks-1)),""))</f>
        <v/>
      </c>
      <c r="R310" s="21">
        <f>IF(OR(P310="",Q310="",Q310=0),"",P310/Q310-1)</f>
        <v/>
      </c>
      <c r="S310" s="20">
        <f>IF(OR(C310="",AsOfWeek=""),"",IFERROR(AVERAGEIFS($M$5:$M$504,$C$5:$C$504,C310,$L$5:$L$504,TRUE,$F$5:$F$504,"&gt;="&amp;AsOfWeek-7*(RecentWeeks-1),$F$5:$F$504,"&lt;="&amp;AsOfWeek),""))</f>
        <v/>
      </c>
      <c r="T310" s="21">
        <f>IF(OR(P310="",S310=""),"",P310/S310-1)</f>
        <v/>
      </c>
      <c r="U310" s="22">
        <f>IF(OR(B310="",'Weekly Input'!G310="",P310="",P310=0),"",'Weekly Input'!G310/P310)</f>
        <v/>
      </c>
      <c r="V310" s="18">
        <f>IF(B310="","",IF(NOT(I310),"Not Ready",IF(NOT(K310),"Not Ready",IF(N310&lt;MinHistory,"Not Ready",IF(NOT(J310),"Not Ready",IF(OR(Q310="",Q310=0),"Noise",IF(Q310&lt;LowBaseThreshold,"Noise",IF(AND(R310&lt;=-OwnDecline,T310&lt;=-PeerGapThreshold),"Markdown Review",IF(AND(R310&gt;=ReorderUplift,U310&lt;&gt;"",U310&lt;=WeeksSupplyCap),"Reorder Candidate","Monitor"))))))))</f>
        <v/>
      </c>
      <c r="W310" s="18">
        <f>IF(B310="","",IF(NOT(I310),"INVALID_MASTER",IF(NOT(K310),"INCOMPLETE_SHELF_CYCLE",IF(N310&lt;MinHistory,"INSUFFICIENT_HISTORY",IF(NOT(J310),"INSUFFICIENT_IN_STOCK",IF(OR(Q310="",Q310=0),"NO_PRIOR_BASE",IF(Q310&lt;LowBaseThreshold,"LOW_BASE_NOISE",IF(V310="Markdown Review","MARKDOWN_PEER_GAP",IF(V310="Reorder Candidate","REORDER_UPLIFT_COVER","NO_MATERIAL_CHANGE"))))))))</f>
        <v/>
      </c>
      <c r="X310" s="18">
        <f>IF(V310="Markdown Review","Markdown support",IF(V310="Reorder Candidate","Second reorder",IF(V310="Monitor","Monitor",IF(V310="Noise","Hold / collect data",IF(V310="Not Ready","Not ready","")))))</f>
        <v/>
      </c>
      <c r="Y310" s="18">
        <f>IF(OR(R310="",T310=""),"",ABS(R310)+ABS(T310))</f>
        <v/>
      </c>
      <c r="Z310" s="21">
        <f>IF(OR(B310="",NOT(O310),R310=""),"",IF(ABS(R310)&gt;=MaterialThreshold,"Yes","No"))</f>
        <v/>
      </c>
      <c r="AA310" s="18">
        <f>IF(Z310&lt;&gt;"Yes","",IF(ABS(R310)&gt;=MaterialThreshold,IF(ABS(R310)&gt;=BroadShare,"Broad SKU movement","Store-concentrated movement"),""))</f>
        <v/>
      </c>
      <c r="AB310" s="18">
        <f>IF(O310,IF(COUNTIFS($O$5:O310,TRUE)&gt;0,COUNTIFS($O$5:O310,TRUE),0),0)</f>
        <v/>
      </c>
      <c r="AC310" s="18">
        <f>IF(V310="Markdown Review",1,IF(V310="Reorder Candidate",2,IF(V310="Monitor",3,IF(V310="Noise",4,IF(V310="Not Ready",5,99)))))</f>
        <v/>
      </c>
      <c r="AD310" s="18">
        <f>IF(O310,COUNTIFS($O$5:$O$504,TRUE,$AC$5:$AC$504,"&lt;"&amp;AC310)+COUNTIFS($O$5:O310,TRUE,$AC$5:AC310,AC310,$Y$5:Y310,"&gt;"&amp;Y310),0)</f>
        <v/>
      </c>
    </row>
    <row r="311">
      <c r="A311" s="17">
        <f>IF(COUNTA('Weekly Input'!A311:C311)=0,"",'Weekly Input'!B311&amp;"|"&amp;'Weekly Input'!C311&amp;"|"&amp;TEXT('Weekly Input'!A311,"yyyy-mm-dd"))</f>
        <v/>
      </c>
      <c r="B311" s="18">
        <f>'Weekly Input'!B311</f>
        <v/>
      </c>
      <c r="C311" s="18">
        <f>'Weekly Input'!C311</f>
        <v/>
      </c>
      <c r="D311" s="18">
        <f>IF(B311="","",IFERROR(INDEX('Master Data'!$B$6:$B$145,MATCH(B311,'Master Data'!$A$6:$A$145,0)),""))</f>
        <v/>
      </c>
      <c r="E311" s="18">
        <f>IF(C311="","",IFERROR(INDEX('Master Data'!$H$6:$H$13,MATCH(C311,'Master Data'!$F$6:$F$13,0)),""))</f>
        <v/>
      </c>
      <c r="F311" s="19">
        <f>'Weekly Input'!A311</f>
        <v/>
      </c>
      <c r="G311" s="19">
        <f>IF(B311="","",IFERROR(INDEX('Master Data'!$D$6:$D$145,MATCH(B311,'Master Data'!$A$6:$A$145,0)),""))</f>
        <v/>
      </c>
      <c r="H311" s="18">
        <f>IF(OR(F311="",G311=""),"",F311-G311)</f>
        <v/>
      </c>
      <c r="I311" s="18">
        <f>IF(B311="","",IF('Weekly Input'!J311="OK",TRUE,FALSE))</f>
        <v/>
      </c>
      <c r="J311" s="18">
        <f>IF(B311="","",'Weekly Input'!H311&gt;=MinInStockDays)</f>
        <v/>
      </c>
      <c r="K311" s="18">
        <f>IF(B311="","",H311&gt;=FullCycleMin)</f>
        <v/>
      </c>
      <c r="L311" s="18">
        <f>IF(B311="","",AND(I311,J311,K311,N311&gt;=MinHistory))</f>
        <v/>
      </c>
      <c r="M311" s="20">
        <f>IF(OR(B311="",'Weekly Input'!H311=0),"",'Weekly Input'!D311/'Weekly Input'!H311*7)</f>
        <v/>
      </c>
      <c r="N311" s="18">
        <f>IF(B311="","",COUNTIFS($B$5:$B$504,B311,$C$5:$C$504,C311,$I$5:$I$504,TRUE,$J$5:$J$504,TRUE,$K$5:$K$504,TRUE))</f>
        <v/>
      </c>
      <c r="O311" s="18">
        <f>IF(B311="","",AND(F311=AsOfWeek,AsOfWeek&lt;&gt;""))</f>
        <v/>
      </c>
      <c r="P311" s="20">
        <f>IF(OR(B311="",AsOfWeek=""),"",IFERROR(SUMIFS($M$5:$M$504,$B$5:$B$504,B311,$C$5:$C$504,C311,$L$5:$L$504,TRUE,$F$5:$F$504,"&gt;="&amp;AsOfWeek-7*(RecentWeeks-1),$F$5:$F$504,"&lt;="&amp;AsOfWeek),""))</f>
        <v/>
      </c>
      <c r="Q311" s="20">
        <f>IF(OR(B311="",AsOfWeek=""),"",IFERROR(SUMIFS($M$5:$M$504,$B$5:$B$504,B311,$C$5:$C$504,C311,$L$5:$L$504,TRUE,$F$5:$F$504,"&gt;="&amp;AsOfWeek-7*(RecentWeeks+PriorWeeks-1),$F$5:$F$504,"&lt;"&amp;AsOfWeek-7*(RecentWeeks-1)),""))</f>
        <v/>
      </c>
      <c r="R311" s="21">
        <f>IF(OR(P311="",Q311="",Q311=0),"",P311/Q311-1)</f>
        <v/>
      </c>
      <c r="S311" s="20">
        <f>IF(OR(C311="",AsOfWeek=""),"",IFERROR(AVERAGEIFS($M$5:$M$504,$C$5:$C$504,C311,$L$5:$L$504,TRUE,$F$5:$F$504,"&gt;="&amp;AsOfWeek-7*(RecentWeeks-1),$F$5:$F$504,"&lt;="&amp;AsOfWeek),""))</f>
        <v/>
      </c>
      <c r="T311" s="21">
        <f>IF(OR(P311="",S311=""),"",P311/S311-1)</f>
        <v/>
      </c>
      <c r="U311" s="22">
        <f>IF(OR(B311="",'Weekly Input'!G311="",P311="",P311=0),"",'Weekly Input'!G311/P311)</f>
        <v/>
      </c>
      <c r="V311" s="18">
        <f>IF(B311="","",IF(NOT(I311),"Not Ready",IF(NOT(K311),"Not Ready",IF(N311&lt;MinHistory,"Not Ready",IF(NOT(J311),"Not Ready",IF(OR(Q311="",Q311=0),"Noise",IF(Q311&lt;LowBaseThreshold,"Noise",IF(AND(R311&lt;=-OwnDecline,T311&lt;=-PeerGapThreshold),"Markdown Review",IF(AND(R311&gt;=ReorderUplift,U311&lt;&gt;"",U311&lt;=WeeksSupplyCap),"Reorder Candidate","Monitor"))))))))</f>
        <v/>
      </c>
      <c r="W311" s="18">
        <f>IF(B311="","",IF(NOT(I311),"INVALID_MASTER",IF(NOT(K311),"INCOMPLETE_SHELF_CYCLE",IF(N311&lt;MinHistory,"INSUFFICIENT_HISTORY",IF(NOT(J311),"INSUFFICIENT_IN_STOCK",IF(OR(Q311="",Q311=0),"NO_PRIOR_BASE",IF(Q311&lt;LowBaseThreshold,"LOW_BASE_NOISE",IF(V311="Markdown Review","MARKDOWN_PEER_GAP",IF(V311="Reorder Candidate","REORDER_UPLIFT_COVER","NO_MATERIAL_CHANGE"))))))))</f>
        <v/>
      </c>
      <c r="X311" s="18">
        <f>IF(V311="Markdown Review","Markdown support",IF(V311="Reorder Candidate","Second reorder",IF(V311="Monitor","Monitor",IF(V311="Noise","Hold / collect data",IF(V311="Not Ready","Not ready","")))))</f>
        <v/>
      </c>
      <c r="Y311" s="18">
        <f>IF(OR(R311="",T311=""),"",ABS(R311)+ABS(T311))</f>
        <v/>
      </c>
      <c r="Z311" s="21">
        <f>IF(OR(B311="",NOT(O311),R311=""),"",IF(ABS(R311)&gt;=MaterialThreshold,"Yes","No"))</f>
        <v/>
      </c>
      <c r="AA311" s="18">
        <f>IF(Z311&lt;&gt;"Yes","",IF(ABS(R311)&gt;=MaterialThreshold,IF(ABS(R311)&gt;=BroadShare,"Broad SKU movement","Store-concentrated movement"),""))</f>
        <v/>
      </c>
      <c r="AB311" s="18">
        <f>IF(O311,IF(COUNTIFS($O$5:O311,TRUE)&gt;0,COUNTIFS($O$5:O311,TRUE),0),0)</f>
        <v/>
      </c>
      <c r="AC311" s="18">
        <f>IF(V311="Markdown Review",1,IF(V311="Reorder Candidate",2,IF(V311="Monitor",3,IF(V311="Noise",4,IF(V311="Not Ready",5,99)))))</f>
        <v/>
      </c>
      <c r="AD311" s="18">
        <f>IF(O311,COUNTIFS($O$5:$O$504,TRUE,$AC$5:$AC$504,"&lt;"&amp;AC311)+COUNTIFS($O$5:O311,TRUE,$AC$5:AC311,AC311,$Y$5:Y311,"&gt;"&amp;Y311),0)</f>
        <v/>
      </c>
    </row>
    <row r="312">
      <c r="A312" s="17">
        <f>IF(COUNTA('Weekly Input'!A312:C312)=0,"",'Weekly Input'!B312&amp;"|"&amp;'Weekly Input'!C312&amp;"|"&amp;TEXT('Weekly Input'!A312,"yyyy-mm-dd"))</f>
        <v/>
      </c>
      <c r="B312" s="18">
        <f>'Weekly Input'!B312</f>
        <v/>
      </c>
      <c r="C312" s="18">
        <f>'Weekly Input'!C312</f>
        <v/>
      </c>
      <c r="D312" s="18">
        <f>IF(B312="","",IFERROR(INDEX('Master Data'!$B$6:$B$145,MATCH(B312,'Master Data'!$A$6:$A$145,0)),""))</f>
        <v/>
      </c>
      <c r="E312" s="18">
        <f>IF(C312="","",IFERROR(INDEX('Master Data'!$H$6:$H$13,MATCH(C312,'Master Data'!$F$6:$F$13,0)),""))</f>
        <v/>
      </c>
      <c r="F312" s="19">
        <f>'Weekly Input'!A312</f>
        <v/>
      </c>
      <c r="G312" s="19">
        <f>IF(B312="","",IFERROR(INDEX('Master Data'!$D$6:$D$145,MATCH(B312,'Master Data'!$A$6:$A$145,0)),""))</f>
        <v/>
      </c>
      <c r="H312" s="18">
        <f>IF(OR(F312="",G312=""),"",F312-G312)</f>
        <v/>
      </c>
      <c r="I312" s="18">
        <f>IF(B312="","",IF('Weekly Input'!J312="OK",TRUE,FALSE))</f>
        <v/>
      </c>
      <c r="J312" s="18">
        <f>IF(B312="","",'Weekly Input'!H312&gt;=MinInStockDays)</f>
        <v/>
      </c>
      <c r="K312" s="18">
        <f>IF(B312="","",H312&gt;=FullCycleMin)</f>
        <v/>
      </c>
      <c r="L312" s="18">
        <f>IF(B312="","",AND(I312,J312,K312,N312&gt;=MinHistory))</f>
        <v/>
      </c>
      <c r="M312" s="20">
        <f>IF(OR(B312="",'Weekly Input'!H312=0),"",'Weekly Input'!D312/'Weekly Input'!H312*7)</f>
        <v/>
      </c>
      <c r="N312" s="18">
        <f>IF(B312="","",COUNTIFS($B$5:$B$504,B312,$C$5:$C$504,C312,$I$5:$I$504,TRUE,$J$5:$J$504,TRUE,$K$5:$K$504,TRUE))</f>
        <v/>
      </c>
      <c r="O312" s="18">
        <f>IF(B312="","",AND(F312=AsOfWeek,AsOfWeek&lt;&gt;""))</f>
        <v/>
      </c>
      <c r="P312" s="20">
        <f>IF(OR(B312="",AsOfWeek=""),"",IFERROR(SUMIFS($M$5:$M$504,$B$5:$B$504,B312,$C$5:$C$504,C312,$L$5:$L$504,TRUE,$F$5:$F$504,"&gt;="&amp;AsOfWeek-7*(RecentWeeks-1),$F$5:$F$504,"&lt;="&amp;AsOfWeek),""))</f>
        <v/>
      </c>
      <c r="Q312" s="20">
        <f>IF(OR(B312="",AsOfWeek=""),"",IFERROR(SUMIFS($M$5:$M$504,$B$5:$B$504,B312,$C$5:$C$504,C312,$L$5:$L$504,TRUE,$F$5:$F$504,"&gt;="&amp;AsOfWeek-7*(RecentWeeks+PriorWeeks-1),$F$5:$F$504,"&lt;"&amp;AsOfWeek-7*(RecentWeeks-1)),""))</f>
        <v/>
      </c>
      <c r="R312" s="21">
        <f>IF(OR(P312="",Q312="",Q312=0),"",P312/Q312-1)</f>
        <v/>
      </c>
      <c r="S312" s="20">
        <f>IF(OR(C312="",AsOfWeek=""),"",IFERROR(AVERAGEIFS($M$5:$M$504,$C$5:$C$504,C312,$L$5:$L$504,TRUE,$F$5:$F$504,"&gt;="&amp;AsOfWeek-7*(RecentWeeks-1),$F$5:$F$504,"&lt;="&amp;AsOfWeek),""))</f>
        <v/>
      </c>
      <c r="T312" s="21">
        <f>IF(OR(P312="",S312=""),"",P312/S312-1)</f>
        <v/>
      </c>
      <c r="U312" s="22">
        <f>IF(OR(B312="",'Weekly Input'!G312="",P312="",P312=0),"",'Weekly Input'!G312/P312)</f>
        <v/>
      </c>
      <c r="V312" s="18">
        <f>IF(B312="","",IF(NOT(I312),"Not Ready",IF(NOT(K312),"Not Ready",IF(N312&lt;MinHistory,"Not Ready",IF(NOT(J312),"Not Ready",IF(OR(Q312="",Q312=0),"Noise",IF(Q312&lt;LowBaseThreshold,"Noise",IF(AND(R312&lt;=-OwnDecline,T312&lt;=-PeerGapThreshold),"Markdown Review",IF(AND(R312&gt;=ReorderUplift,U312&lt;&gt;"",U312&lt;=WeeksSupplyCap),"Reorder Candidate","Monitor"))))))))</f>
        <v/>
      </c>
      <c r="W312" s="18">
        <f>IF(B312="","",IF(NOT(I312),"INVALID_MASTER",IF(NOT(K312),"INCOMPLETE_SHELF_CYCLE",IF(N312&lt;MinHistory,"INSUFFICIENT_HISTORY",IF(NOT(J312),"INSUFFICIENT_IN_STOCK",IF(OR(Q312="",Q312=0),"NO_PRIOR_BASE",IF(Q312&lt;LowBaseThreshold,"LOW_BASE_NOISE",IF(V312="Markdown Review","MARKDOWN_PEER_GAP",IF(V312="Reorder Candidate","REORDER_UPLIFT_COVER","NO_MATERIAL_CHANGE"))))))))</f>
        <v/>
      </c>
      <c r="X312" s="18">
        <f>IF(V312="Markdown Review","Markdown support",IF(V312="Reorder Candidate","Second reorder",IF(V312="Monitor","Monitor",IF(V312="Noise","Hold / collect data",IF(V312="Not Ready","Not ready","")))))</f>
        <v/>
      </c>
      <c r="Y312" s="18">
        <f>IF(OR(R312="",T312=""),"",ABS(R312)+ABS(T312))</f>
        <v/>
      </c>
      <c r="Z312" s="21">
        <f>IF(OR(B312="",NOT(O312),R312=""),"",IF(ABS(R312)&gt;=MaterialThreshold,"Yes","No"))</f>
        <v/>
      </c>
      <c r="AA312" s="18">
        <f>IF(Z312&lt;&gt;"Yes","",IF(ABS(R312)&gt;=MaterialThreshold,IF(ABS(R312)&gt;=BroadShare,"Broad SKU movement","Store-concentrated movement"),""))</f>
        <v/>
      </c>
      <c r="AB312" s="18">
        <f>IF(O312,IF(COUNTIFS($O$5:O312,TRUE)&gt;0,COUNTIFS($O$5:O312,TRUE),0),0)</f>
        <v/>
      </c>
      <c r="AC312" s="18">
        <f>IF(V312="Markdown Review",1,IF(V312="Reorder Candidate",2,IF(V312="Monitor",3,IF(V312="Noise",4,IF(V312="Not Ready",5,99)))))</f>
        <v/>
      </c>
      <c r="AD312" s="18">
        <f>IF(O312,COUNTIFS($O$5:$O$504,TRUE,$AC$5:$AC$504,"&lt;"&amp;AC312)+COUNTIFS($O$5:O312,TRUE,$AC$5:AC312,AC312,$Y$5:Y312,"&gt;"&amp;Y312),0)</f>
        <v/>
      </c>
    </row>
    <row r="313">
      <c r="A313" s="17">
        <f>IF(COUNTA('Weekly Input'!A313:C313)=0,"",'Weekly Input'!B313&amp;"|"&amp;'Weekly Input'!C313&amp;"|"&amp;TEXT('Weekly Input'!A313,"yyyy-mm-dd"))</f>
        <v/>
      </c>
      <c r="B313" s="18">
        <f>'Weekly Input'!B313</f>
        <v/>
      </c>
      <c r="C313" s="18">
        <f>'Weekly Input'!C313</f>
        <v/>
      </c>
      <c r="D313" s="18">
        <f>IF(B313="","",IFERROR(INDEX('Master Data'!$B$6:$B$145,MATCH(B313,'Master Data'!$A$6:$A$145,0)),""))</f>
        <v/>
      </c>
      <c r="E313" s="18">
        <f>IF(C313="","",IFERROR(INDEX('Master Data'!$H$6:$H$13,MATCH(C313,'Master Data'!$F$6:$F$13,0)),""))</f>
        <v/>
      </c>
      <c r="F313" s="19">
        <f>'Weekly Input'!A313</f>
        <v/>
      </c>
      <c r="G313" s="19">
        <f>IF(B313="","",IFERROR(INDEX('Master Data'!$D$6:$D$145,MATCH(B313,'Master Data'!$A$6:$A$145,0)),""))</f>
        <v/>
      </c>
      <c r="H313" s="18">
        <f>IF(OR(F313="",G313=""),"",F313-G313)</f>
        <v/>
      </c>
      <c r="I313" s="18">
        <f>IF(B313="","",IF('Weekly Input'!J313="OK",TRUE,FALSE))</f>
        <v/>
      </c>
      <c r="J313" s="18">
        <f>IF(B313="","",'Weekly Input'!H313&gt;=MinInStockDays)</f>
        <v/>
      </c>
      <c r="K313" s="18">
        <f>IF(B313="","",H313&gt;=FullCycleMin)</f>
        <v/>
      </c>
      <c r="L313" s="18">
        <f>IF(B313="","",AND(I313,J313,K313,N313&gt;=MinHistory))</f>
        <v/>
      </c>
      <c r="M313" s="20">
        <f>IF(OR(B313="",'Weekly Input'!H313=0),"",'Weekly Input'!D313/'Weekly Input'!H313*7)</f>
        <v/>
      </c>
      <c r="N313" s="18">
        <f>IF(B313="","",COUNTIFS($B$5:$B$504,B313,$C$5:$C$504,C313,$I$5:$I$504,TRUE,$J$5:$J$504,TRUE,$K$5:$K$504,TRUE))</f>
        <v/>
      </c>
      <c r="O313" s="18">
        <f>IF(B313="","",AND(F313=AsOfWeek,AsOfWeek&lt;&gt;""))</f>
        <v/>
      </c>
      <c r="P313" s="20">
        <f>IF(OR(B313="",AsOfWeek=""),"",IFERROR(SUMIFS($M$5:$M$504,$B$5:$B$504,B313,$C$5:$C$504,C313,$L$5:$L$504,TRUE,$F$5:$F$504,"&gt;="&amp;AsOfWeek-7*(RecentWeeks-1),$F$5:$F$504,"&lt;="&amp;AsOfWeek),""))</f>
        <v/>
      </c>
      <c r="Q313" s="20">
        <f>IF(OR(B313="",AsOfWeek=""),"",IFERROR(SUMIFS($M$5:$M$504,$B$5:$B$504,B313,$C$5:$C$504,C313,$L$5:$L$504,TRUE,$F$5:$F$504,"&gt;="&amp;AsOfWeek-7*(RecentWeeks+PriorWeeks-1),$F$5:$F$504,"&lt;"&amp;AsOfWeek-7*(RecentWeeks-1)),""))</f>
        <v/>
      </c>
      <c r="R313" s="21">
        <f>IF(OR(P313="",Q313="",Q313=0),"",P313/Q313-1)</f>
        <v/>
      </c>
      <c r="S313" s="20">
        <f>IF(OR(C313="",AsOfWeek=""),"",IFERROR(AVERAGEIFS($M$5:$M$504,$C$5:$C$504,C313,$L$5:$L$504,TRUE,$F$5:$F$504,"&gt;="&amp;AsOfWeek-7*(RecentWeeks-1),$F$5:$F$504,"&lt;="&amp;AsOfWeek),""))</f>
        <v/>
      </c>
      <c r="T313" s="21">
        <f>IF(OR(P313="",S313=""),"",P313/S313-1)</f>
        <v/>
      </c>
      <c r="U313" s="22">
        <f>IF(OR(B313="",'Weekly Input'!G313="",P313="",P313=0),"",'Weekly Input'!G313/P313)</f>
        <v/>
      </c>
      <c r="V313" s="18">
        <f>IF(B313="","",IF(NOT(I313),"Not Ready",IF(NOT(K313),"Not Ready",IF(N313&lt;MinHistory,"Not Ready",IF(NOT(J313),"Not Ready",IF(OR(Q313="",Q313=0),"Noise",IF(Q313&lt;LowBaseThreshold,"Noise",IF(AND(R313&lt;=-OwnDecline,T313&lt;=-PeerGapThreshold),"Markdown Review",IF(AND(R313&gt;=ReorderUplift,U313&lt;&gt;"",U313&lt;=WeeksSupplyCap),"Reorder Candidate","Monitor"))))))))</f>
        <v/>
      </c>
      <c r="W313" s="18">
        <f>IF(B313="","",IF(NOT(I313),"INVALID_MASTER",IF(NOT(K313),"INCOMPLETE_SHELF_CYCLE",IF(N313&lt;MinHistory,"INSUFFICIENT_HISTORY",IF(NOT(J313),"INSUFFICIENT_IN_STOCK",IF(OR(Q313="",Q313=0),"NO_PRIOR_BASE",IF(Q313&lt;LowBaseThreshold,"LOW_BASE_NOISE",IF(V313="Markdown Review","MARKDOWN_PEER_GAP",IF(V313="Reorder Candidate","REORDER_UPLIFT_COVER","NO_MATERIAL_CHANGE"))))))))</f>
        <v/>
      </c>
      <c r="X313" s="18">
        <f>IF(V313="Markdown Review","Markdown support",IF(V313="Reorder Candidate","Second reorder",IF(V313="Monitor","Monitor",IF(V313="Noise","Hold / collect data",IF(V313="Not Ready","Not ready","")))))</f>
        <v/>
      </c>
      <c r="Y313" s="18">
        <f>IF(OR(R313="",T313=""),"",ABS(R313)+ABS(T313))</f>
        <v/>
      </c>
      <c r="Z313" s="21">
        <f>IF(OR(B313="",NOT(O313),R313=""),"",IF(ABS(R313)&gt;=MaterialThreshold,"Yes","No"))</f>
        <v/>
      </c>
      <c r="AA313" s="18">
        <f>IF(Z313&lt;&gt;"Yes","",IF(ABS(R313)&gt;=MaterialThreshold,IF(ABS(R313)&gt;=BroadShare,"Broad SKU movement","Store-concentrated movement"),""))</f>
        <v/>
      </c>
      <c r="AB313" s="18">
        <f>IF(O313,IF(COUNTIFS($O$5:O313,TRUE)&gt;0,COUNTIFS($O$5:O313,TRUE),0),0)</f>
        <v/>
      </c>
      <c r="AC313" s="18">
        <f>IF(V313="Markdown Review",1,IF(V313="Reorder Candidate",2,IF(V313="Monitor",3,IF(V313="Noise",4,IF(V313="Not Ready",5,99)))))</f>
        <v/>
      </c>
      <c r="AD313" s="18">
        <f>IF(O313,COUNTIFS($O$5:$O$504,TRUE,$AC$5:$AC$504,"&lt;"&amp;AC313)+COUNTIFS($O$5:O313,TRUE,$AC$5:AC313,AC313,$Y$5:Y313,"&gt;"&amp;Y313),0)</f>
        <v/>
      </c>
    </row>
    <row r="314">
      <c r="A314" s="17">
        <f>IF(COUNTA('Weekly Input'!A314:C314)=0,"",'Weekly Input'!B314&amp;"|"&amp;'Weekly Input'!C314&amp;"|"&amp;TEXT('Weekly Input'!A314,"yyyy-mm-dd"))</f>
        <v/>
      </c>
      <c r="B314" s="18">
        <f>'Weekly Input'!B314</f>
        <v/>
      </c>
      <c r="C314" s="18">
        <f>'Weekly Input'!C314</f>
        <v/>
      </c>
      <c r="D314" s="18">
        <f>IF(B314="","",IFERROR(INDEX('Master Data'!$B$6:$B$145,MATCH(B314,'Master Data'!$A$6:$A$145,0)),""))</f>
        <v/>
      </c>
      <c r="E314" s="18">
        <f>IF(C314="","",IFERROR(INDEX('Master Data'!$H$6:$H$13,MATCH(C314,'Master Data'!$F$6:$F$13,0)),""))</f>
        <v/>
      </c>
      <c r="F314" s="19">
        <f>'Weekly Input'!A314</f>
        <v/>
      </c>
      <c r="G314" s="19">
        <f>IF(B314="","",IFERROR(INDEX('Master Data'!$D$6:$D$145,MATCH(B314,'Master Data'!$A$6:$A$145,0)),""))</f>
        <v/>
      </c>
      <c r="H314" s="18">
        <f>IF(OR(F314="",G314=""),"",F314-G314)</f>
        <v/>
      </c>
      <c r="I314" s="18">
        <f>IF(B314="","",IF('Weekly Input'!J314="OK",TRUE,FALSE))</f>
        <v/>
      </c>
      <c r="J314" s="18">
        <f>IF(B314="","",'Weekly Input'!H314&gt;=MinInStockDays)</f>
        <v/>
      </c>
      <c r="K314" s="18">
        <f>IF(B314="","",H314&gt;=FullCycleMin)</f>
        <v/>
      </c>
      <c r="L314" s="18">
        <f>IF(B314="","",AND(I314,J314,K314,N314&gt;=MinHistory))</f>
        <v/>
      </c>
      <c r="M314" s="20">
        <f>IF(OR(B314="",'Weekly Input'!H314=0),"",'Weekly Input'!D314/'Weekly Input'!H314*7)</f>
        <v/>
      </c>
      <c r="N314" s="18">
        <f>IF(B314="","",COUNTIFS($B$5:$B$504,B314,$C$5:$C$504,C314,$I$5:$I$504,TRUE,$J$5:$J$504,TRUE,$K$5:$K$504,TRUE))</f>
        <v/>
      </c>
      <c r="O314" s="18">
        <f>IF(B314="","",AND(F314=AsOfWeek,AsOfWeek&lt;&gt;""))</f>
        <v/>
      </c>
      <c r="P314" s="20">
        <f>IF(OR(B314="",AsOfWeek=""),"",IFERROR(SUMIFS($M$5:$M$504,$B$5:$B$504,B314,$C$5:$C$504,C314,$L$5:$L$504,TRUE,$F$5:$F$504,"&gt;="&amp;AsOfWeek-7*(RecentWeeks-1),$F$5:$F$504,"&lt;="&amp;AsOfWeek),""))</f>
        <v/>
      </c>
      <c r="Q314" s="20">
        <f>IF(OR(B314="",AsOfWeek=""),"",IFERROR(SUMIFS($M$5:$M$504,$B$5:$B$504,B314,$C$5:$C$504,C314,$L$5:$L$504,TRUE,$F$5:$F$504,"&gt;="&amp;AsOfWeek-7*(RecentWeeks+PriorWeeks-1),$F$5:$F$504,"&lt;"&amp;AsOfWeek-7*(RecentWeeks-1)),""))</f>
        <v/>
      </c>
      <c r="R314" s="21">
        <f>IF(OR(P314="",Q314="",Q314=0),"",P314/Q314-1)</f>
        <v/>
      </c>
      <c r="S314" s="20">
        <f>IF(OR(C314="",AsOfWeek=""),"",IFERROR(AVERAGEIFS($M$5:$M$504,$C$5:$C$504,C314,$L$5:$L$504,TRUE,$F$5:$F$504,"&gt;="&amp;AsOfWeek-7*(RecentWeeks-1),$F$5:$F$504,"&lt;="&amp;AsOfWeek),""))</f>
        <v/>
      </c>
      <c r="T314" s="21">
        <f>IF(OR(P314="",S314=""),"",P314/S314-1)</f>
        <v/>
      </c>
      <c r="U314" s="22">
        <f>IF(OR(B314="",'Weekly Input'!G314="",P314="",P314=0),"",'Weekly Input'!G314/P314)</f>
        <v/>
      </c>
      <c r="V314" s="18">
        <f>IF(B314="","",IF(NOT(I314),"Not Ready",IF(NOT(K314),"Not Ready",IF(N314&lt;MinHistory,"Not Ready",IF(NOT(J314),"Not Ready",IF(OR(Q314="",Q314=0),"Noise",IF(Q314&lt;LowBaseThreshold,"Noise",IF(AND(R314&lt;=-OwnDecline,T314&lt;=-PeerGapThreshold),"Markdown Review",IF(AND(R314&gt;=ReorderUplift,U314&lt;&gt;"",U314&lt;=WeeksSupplyCap),"Reorder Candidate","Monitor"))))))))</f>
        <v/>
      </c>
      <c r="W314" s="18">
        <f>IF(B314="","",IF(NOT(I314),"INVALID_MASTER",IF(NOT(K314),"INCOMPLETE_SHELF_CYCLE",IF(N314&lt;MinHistory,"INSUFFICIENT_HISTORY",IF(NOT(J314),"INSUFFICIENT_IN_STOCK",IF(OR(Q314="",Q314=0),"NO_PRIOR_BASE",IF(Q314&lt;LowBaseThreshold,"LOW_BASE_NOISE",IF(V314="Markdown Review","MARKDOWN_PEER_GAP",IF(V314="Reorder Candidate","REORDER_UPLIFT_COVER","NO_MATERIAL_CHANGE"))))))))</f>
        <v/>
      </c>
      <c r="X314" s="18">
        <f>IF(V314="Markdown Review","Markdown support",IF(V314="Reorder Candidate","Second reorder",IF(V314="Monitor","Monitor",IF(V314="Noise","Hold / collect data",IF(V314="Not Ready","Not ready","")))))</f>
        <v/>
      </c>
      <c r="Y314" s="18">
        <f>IF(OR(R314="",T314=""),"",ABS(R314)+ABS(T314))</f>
        <v/>
      </c>
      <c r="Z314" s="21">
        <f>IF(OR(B314="",NOT(O314),R314=""),"",IF(ABS(R314)&gt;=MaterialThreshold,"Yes","No"))</f>
        <v/>
      </c>
      <c r="AA314" s="18">
        <f>IF(Z314&lt;&gt;"Yes","",IF(ABS(R314)&gt;=MaterialThreshold,IF(ABS(R314)&gt;=BroadShare,"Broad SKU movement","Store-concentrated movement"),""))</f>
        <v/>
      </c>
      <c r="AB314" s="18">
        <f>IF(O314,IF(COUNTIFS($O$5:O314,TRUE)&gt;0,COUNTIFS($O$5:O314,TRUE),0),0)</f>
        <v/>
      </c>
      <c r="AC314" s="18">
        <f>IF(V314="Markdown Review",1,IF(V314="Reorder Candidate",2,IF(V314="Monitor",3,IF(V314="Noise",4,IF(V314="Not Ready",5,99)))))</f>
        <v/>
      </c>
      <c r="AD314" s="18">
        <f>IF(O314,COUNTIFS($O$5:$O$504,TRUE,$AC$5:$AC$504,"&lt;"&amp;AC314)+COUNTIFS($O$5:O314,TRUE,$AC$5:AC314,AC314,$Y$5:Y314,"&gt;"&amp;Y314),0)</f>
        <v/>
      </c>
    </row>
    <row r="315">
      <c r="A315" s="17">
        <f>IF(COUNTA('Weekly Input'!A315:C315)=0,"",'Weekly Input'!B315&amp;"|"&amp;'Weekly Input'!C315&amp;"|"&amp;TEXT('Weekly Input'!A315,"yyyy-mm-dd"))</f>
        <v/>
      </c>
      <c r="B315" s="18">
        <f>'Weekly Input'!B315</f>
        <v/>
      </c>
      <c r="C315" s="18">
        <f>'Weekly Input'!C315</f>
        <v/>
      </c>
      <c r="D315" s="18">
        <f>IF(B315="","",IFERROR(INDEX('Master Data'!$B$6:$B$145,MATCH(B315,'Master Data'!$A$6:$A$145,0)),""))</f>
        <v/>
      </c>
      <c r="E315" s="18">
        <f>IF(C315="","",IFERROR(INDEX('Master Data'!$H$6:$H$13,MATCH(C315,'Master Data'!$F$6:$F$13,0)),""))</f>
        <v/>
      </c>
      <c r="F315" s="19">
        <f>'Weekly Input'!A315</f>
        <v/>
      </c>
      <c r="G315" s="19">
        <f>IF(B315="","",IFERROR(INDEX('Master Data'!$D$6:$D$145,MATCH(B315,'Master Data'!$A$6:$A$145,0)),""))</f>
        <v/>
      </c>
      <c r="H315" s="18">
        <f>IF(OR(F315="",G315=""),"",F315-G315)</f>
        <v/>
      </c>
      <c r="I315" s="18">
        <f>IF(B315="","",IF('Weekly Input'!J315="OK",TRUE,FALSE))</f>
        <v/>
      </c>
      <c r="J315" s="18">
        <f>IF(B315="","",'Weekly Input'!H315&gt;=MinInStockDays)</f>
        <v/>
      </c>
      <c r="K315" s="18">
        <f>IF(B315="","",H315&gt;=FullCycleMin)</f>
        <v/>
      </c>
      <c r="L315" s="18">
        <f>IF(B315="","",AND(I315,J315,K315,N315&gt;=MinHistory))</f>
        <v/>
      </c>
      <c r="M315" s="20">
        <f>IF(OR(B315="",'Weekly Input'!H315=0),"",'Weekly Input'!D315/'Weekly Input'!H315*7)</f>
        <v/>
      </c>
      <c r="N315" s="18">
        <f>IF(B315="","",COUNTIFS($B$5:$B$504,B315,$C$5:$C$504,C315,$I$5:$I$504,TRUE,$J$5:$J$504,TRUE,$K$5:$K$504,TRUE))</f>
        <v/>
      </c>
      <c r="O315" s="18">
        <f>IF(B315="","",AND(F315=AsOfWeek,AsOfWeek&lt;&gt;""))</f>
        <v/>
      </c>
      <c r="P315" s="20">
        <f>IF(OR(B315="",AsOfWeek=""),"",IFERROR(SUMIFS($M$5:$M$504,$B$5:$B$504,B315,$C$5:$C$504,C315,$L$5:$L$504,TRUE,$F$5:$F$504,"&gt;="&amp;AsOfWeek-7*(RecentWeeks-1),$F$5:$F$504,"&lt;="&amp;AsOfWeek),""))</f>
        <v/>
      </c>
      <c r="Q315" s="20">
        <f>IF(OR(B315="",AsOfWeek=""),"",IFERROR(SUMIFS($M$5:$M$504,$B$5:$B$504,B315,$C$5:$C$504,C315,$L$5:$L$504,TRUE,$F$5:$F$504,"&gt;="&amp;AsOfWeek-7*(RecentWeeks+PriorWeeks-1),$F$5:$F$504,"&lt;"&amp;AsOfWeek-7*(RecentWeeks-1)),""))</f>
        <v/>
      </c>
      <c r="R315" s="21">
        <f>IF(OR(P315="",Q315="",Q315=0),"",P315/Q315-1)</f>
        <v/>
      </c>
      <c r="S315" s="20">
        <f>IF(OR(C315="",AsOfWeek=""),"",IFERROR(AVERAGEIFS($M$5:$M$504,$C$5:$C$504,C315,$L$5:$L$504,TRUE,$F$5:$F$504,"&gt;="&amp;AsOfWeek-7*(RecentWeeks-1),$F$5:$F$504,"&lt;="&amp;AsOfWeek),""))</f>
        <v/>
      </c>
      <c r="T315" s="21">
        <f>IF(OR(P315="",S315=""),"",P315/S315-1)</f>
        <v/>
      </c>
      <c r="U315" s="22">
        <f>IF(OR(B315="",'Weekly Input'!G315="",P315="",P315=0),"",'Weekly Input'!G315/P315)</f>
        <v/>
      </c>
      <c r="V315" s="18">
        <f>IF(B315="","",IF(NOT(I315),"Not Ready",IF(NOT(K315),"Not Ready",IF(N315&lt;MinHistory,"Not Ready",IF(NOT(J315),"Not Ready",IF(OR(Q315="",Q315=0),"Noise",IF(Q315&lt;LowBaseThreshold,"Noise",IF(AND(R315&lt;=-OwnDecline,T315&lt;=-PeerGapThreshold),"Markdown Review",IF(AND(R315&gt;=ReorderUplift,U315&lt;&gt;"",U315&lt;=WeeksSupplyCap),"Reorder Candidate","Monitor"))))))))</f>
        <v/>
      </c>
      <c r="W315" s="18">
        <f>IF(B315="","",IF(NOT(I315),"INVALID_MASTER",IF(NOT(K315),"INCOMPLETE_SHELF_CYCLE",IF(N315&lt;MinHistory,"INSUFFICIENT_HISTORY",IF(NOT(J315),"INSUFFICIENT_IN_STOCK",IF(OR(Q315="",Q315=0),"NO_PRIOR_BASE",IF(Q315&lt;LowBaseThreshold,"LOW_BASE_NOISE",IF(V315="Markdown Review","MARKDOWN_PEER_GAP",IF(V315="Reorder Candidate","REORDER_UPLIFT_COVER","NO_MATERIAL_CHANGE"))))))))</f>
        <v/>
      </c>
      <c r="X315" s="18">
        <f>IF(V315="Markdown Review","Markdown support",IF(V315="Reorder Candidate","Second reorder",IF(V315="Monitor","Monitor",IF(V315="Noise","Hold / collect data",IF(V315="Not Ready","Not ready","")))))</f>
        <v/>
      </c>
      <c r="Y315" s="18">
        <f>IF(OR(R315="",T315=""),"",ABS(R315)+ABS(T315))</f>
        <v/>
      </c>
      <c r="Z315" s="21">
        <f>IF(OR(B315="",NOT(O315),R315=""),"",IF(ABS(R315)&gt;=MaterialThreshold,"Yes","No"))</f>
        <v/>
      </c>
      <c r="AA315" s="18">
        <f>IF(Z315&lt;&gt;"Yes","",IF(ABS(R315)&gt;=MaterialThreshold,IF(ABS(R315)&gt;=BroadShare,"Broad SKU movement","Store-concentrated movement"),""))</f>
        <v/>
      </c>
      <c r="AB315" s="18">
        <f>IF(O315,IF(COUNTIFS($O$5:O315,TRUE)&gt;0,COUNTIFS($O$5:O315,TRUE),0),0)</f>
        <v/>
      </c>
      <c r="AC315" s="18">
        <f>IF(V315="Markdown Review",1,IF(V315="Reorder Candidate",2,IF(V315="Monitor",3,IF(V315="Noise",4,IF(V315="Not Ready",5,99)))))</f>
        <v/>
      </c>
      <c r="AD315" s="18">
        <f>IF(O315,COUNTIFS($O$5:$O$504,TRUE,$AC$5:$AC$504,"&lt;"&amp;AC315)+COUNTIFS($O$5:O315,TRUE,$AC$5:AC315,AC315,$Y$5:Y315,"&gt;"&amp;Y315),0)</f>
        <v/>
      </c>
    </row>
    <row r="316">
      <c r="A316" s="17">
        <f>IF(COUNTA('Weekly Input'!A316:C316)=0,"",'Weekly Input'!B316&amp;"|"&amp;'Weekly Input'!C316&amp;"|"&amp;TEXT('Weekly Input'!A316,"yyyy-mm-dd"))</f>
        <v/>
      </c>
      <c r="B316" s="18">
        <f>'Weekly Input'!B316</f>
        <v/>
      </c>
      <c r="C316" s="18">
        <f>'Weekly Input'!C316</f>
        <v/>
      </c>
      <c r="D316" s="18">
        <f>IF(B316="","",IFERROR(INDEX('Master Data'!$B$6:$B$145,MATCH(B316,'Master Data'!$A$6:$A$145,0)),""))</f>
        <v/>
      </c>
      <c r="E316" s="18">
        <f>IF(C316="","",IFERROR(INDEX('Master Data'!$H$6:$H$13,MATCH(C316,'Master Data'!$F$6:$F$13,0)),""))</f>
        <v/>
      </c>
      <c r="F316" s="19">
        <f>'Weekly Input'!A316</f>
        <v/>
      </c>
      <c r="G316" s="19">
        <f>IF(B316="","",IFERROR(INDEX('Master Data'!$D$6:$D$145,MATCH(B316,'Master Data'!$A$6:$A$145,0)),""))</f>
        <v/>
      </c>
      <c r="H316" s="18">
        <f>IF(OR(F316="",G316=""),"",F316-G316)</f>
        <v/>
      </c>
      <c r="I316" s="18">
        <f>IF(B316="","",IF('Weekly Input'!J316="OK",TRUE,FALSE))</f>
        <v/>
      </c>
      <c r="J316" s="18">
        <f>IF(B316="","",'Weekly Input'!H316&gt;=MinInStockDays)</f>
        <v/>
      </c>
      <c r="K316" s="18">
        <f>IF(B316="","",H316&gt;=FullCycleMin)</f>
        <v/>
      </c>
      <c r="L316" s="18">
        <f>IF(B316="","",AND(I316,J316,K316,N316&gt;=MinHistory))</f>
        <v/>
      </c>
      <c r="M316" s="20">
        <f>IF(OR(B316="",'Weekly Input'!H316=0),"",'Weekly Input'!D316/'Weekly Input'!H316*7)</f>
        <v/>
      </c>
      <c r="N316" s="18">
        <f>IF(B316="","",COUNTIFS($B$5:$B$504,B316,$C$5:$C$504,C316,$I$5:$I$504,TRUE,$J$5:$J$504,TRUE,$K$5:$K$504,TRUE))</f>
        <v/>
      </c>
      <c r="O316" s="18">
        <f>IF(B316="","",AND(F316=AsOfWeek,AsOfWeek&lt;&gt;""))</f>
        <v/>
      </c>
      <c r="P316" s="20">
        <f>IF(OR(B316="",AsOfWeek=""),"",IFERROR(SUMIFS($M$5:$M$504,$B$5:$B$504,B316,$C$5:$C$504,C316,$L$5:$L$504,TRUE,$F$5:$F$504,"&gt;="&amp;AsOfWeek-7*(RecentWeeks-1),$F$5:$F$504,"&lt;="&amp;AsOfWeek),""))</f>
        <v/>
      </c>
      <c r="Q316" s="20">
        <f>IF(OR(B316="",AsOfWeek=""),"",IFERROR(SUMIFS($M$5:$M$504,$B$5:$B$504,B316,$C$5:$C$504,C316,$L$5:$L$504,TRUE,$F$5:$F$504,"&gt;="&amp;AsOfWeek-7*(RecentWeeks+PriorWeeks-1),$F$5:$F$504,"&lt;"&amp;AsOfWeek-7*(RecentWeeks-1)),""))</f>
        <v/>
      </c>
      <c r="R316" s="21">
        <f>IF(OR(P316="",Q316="",Q316=0),"",P316/Q316-1)</f>
        <v/>
      </c>
      <c r="S316" s="20">
        <f>IF(OR(C316="",AsOfWeek=""),"",IFERROR(AVERAGEIFS($M$5:$M$504,$C$5:$C$504,C316,$L$5:$L$504,TRUE,$F$5:$F$504,"&gt;="&amp;AsOfWeek-7*(RecentWeeks-1),$F$5:$F$504,"&lt;="&amp;AsOfWeek),""))</f>
        <v/>
      </c>
      <c r="T316" s="21">
        <f>IF(OR(P316="",S316=""),"",P316/S316-1)</f>
        <v/>
      </c>
      <c r="U316" s="22">
        <f>IF(OR(B316="",'Weekly Input'!G316="",P316="",P316=0),"",'Weekly Input'!G316/P316)</f>
        <v/>
      </c>
      <c r="V316" s="18">
        <f>IF(B316="","",IF(NOT(I316),"Not Ready",IF(NOT(K316),"Not Ready",IF(N316&lt;MinHistory,"Not Ready",IF(NOT(J316),"Not Ready",IF(OR(Q316="",Q316=0),"Noise",IF(Q316&lt;LowBaseThreshold,"Noise",IF(AND(R316&lt;=-OwnDecline,T316&lt;=-PeerGapThreshold),"Markdown Review",IF(AND(R316&gt;=ReorderUplift,U316&lt;&gt;"",U316&lt;=WeeksSupplyCap),"Reorder Candidate","Monitor"))))))))</f>
        <v/>
      </c>
      <c r="W316" s="18">
        <f>IF(B316="","",IF(NOT(I316),"INVALID_MASTER",IF(NOT(K316),"INCOMPLETE_SHELF_CYCLE",IF(N316&lt;MinHistory,"INSUFFICIENT_HISTORY",IF(NOT(J316),"INSUFFICIENT_IN_STOCK",IF(OR(Q316="",Q316=0),"NO_PRIOR_BASE",IF(Q316&lt;LowBaseThreshold,"LOW_BASE_NOISE",IF(V316="Markdown Review","MARKDOWN_PEER_GAP",IF(V316="Reorder Candidate","REORDER_UPLIFT_COVER","NO_MATERIAL_CHANGE"))))))))</f>
        <v/>
      </c>
      <c r="X316" s="18">
        <f>IF(V316="Markdown Review","Markdown support",IF(V316="Reorder Candidate","Second reorder",IF(V316="Monitor","Monitor",IF(V316="Noise","Hold / collect data",IF(V316="Not Ready","Not ready","")))))</f>
        <v/>
      </c>
      <c r="Y316" s="18">
        <f>IF(OR(R316="",T316=""),"",ABS(R316)+ABS(T316))</f>
        <v/>
      </c>
      <c r="Z316" s="21">
        <f>IF(OR(B316="",NOT(O316),R316=""),"",IF(ABS(R316)&gt;=MaterialThreshold,"Yes","No"))</f>
        <v/>
      </c>
      <c r="AA316" s="18">
        <f>IF(Z316&lt;&gt;"Yes","",IF(ABS(R316)&gt;=MaterialThreshold,IF(ABS(R316)&gt;=BroadShare,"Broad SKU movement","Store-concentrated movement"),""))</f>
        <v/>
      </c>
      <c r="AB316" s="18">
        <f>IF(O316,IF(COUNTIFS($O$5:O316,TRUE)&gt;0,COUNTIFS($O$5:O316,TRUE),0),0)</f>
        <v/>
      </c>
      <c r="AC316" s="18">
        <f>IF(V316="Markdown Review",1,IF(V316="Reorder Candidate",2,IF(V316="Monitor",3,IF(V316="Noise",4,IF(V316="Not Ready",5,99)))))</f>
        <v/>
      </c>
      <c r="AD316" s="18">
        <f>IF(O316,COUNTIFS($O$5:$O$504,TRUE,$AC$5:$AC$504,"&lt;"&amp;AC316)+COUNTIFS($O$5:O316,TRUE,$AC$5:AC316,AC316,$Y$5:Y316,"&gt;"&amp;Y316),0)</f>
        <v/>
      </c>
    </row>
    <row r="317">
      <c r="A317" s="17">
        <f>IF(COUNTA('Weekly Input'!A317:C317)=0,"",'Weekly Input'!B317&amp;"|"&amp;'Weekly Input'!C317&amp;"|"&amp;TEXT('Weekly Input'!A317,"yyyy-mm-dd"))</f>
        <v/>
      </c>
      <c r="B317" s="18">
        <f>'Weekly Input'!B317</f>
        <v/>
      </c>
      <c r="C317" s="18">
        <f>'Weekly Input'!C317</f>
        <v/>
      </c>
      <c r="D317" s="18">
        <f>IF(B317="","",IFERROR(INDEX('Master Data'!$B$6:$B$145,MATCH(B317,'Master Data'!$A$6:$A$145,0)),""))</f>
        <v/>
      </c>
      <c r="E317" s="18">
        <f>IF(C317="","",IFERROR(INDEX('Master Data'!$H$6:$H$13,MATCH(C317,'Master Data'!$F$6:$F$13,0)),""))</f>
        <v/>
      </c>
      <c r="F317" s="19">
        <f>'Weekly Input'!A317</f>
        <v/>
      </c>
      <c r="G317" s="19">
        <f>IF(B317="","",IFERROR(INDEX('Master Data'!$D$6:$D$145,MATCH(B317,'Master Data'!$A$6:$A$145,0)),""))</f>
        <v/>
      </c>
      <c r="H317" s="18">
        <f>IF(OR(F317="",G317=""),"",F317-G317)</f>
        <v/>
      </c>
      <c r="I317" s="18">
        <f>IF(B317="","",IF('Weekly Input'!J317="OK",TRUE,FALSE))</f>
        <v/>
      </c>
      <c r="J317" s="18">
        <f>IF(B317="","",'Weekly Input'!H317&gt;=MinInStockDays)</f>
        <v/>
      </c>
      <c r="K317" s="18">
        <f>IF(B317="","",H317&gt;=FullCycleMin)</f>
        <v/>
      </c>
      <c r="L317" s="18">
        <f>IF(B317="","",AND(I317,J317,K317,N317&gt;=MinHistory))</f>
        <v/>
      </c>
      <c r="M317" s="20">
        <f>IF(OR(B317="",'Weekly Input'!H317=0),"",'Weekly Input'!D317/'Weekly Input'!H317*7)</f>
        <v/>
      </c>
      <c r="N317" s="18">
        <f>IF(B317="","",COUNTIFS($B$5:$B$504,B317,$C$5:$C$504,C317,$I$5:$I$504,TRUE,$J$5:$J$504,TRUE,$K$5:$K$504,TRUE))</f>
        <v/>
      </c>
      <c r="O317" s="18">
        <f>IF(B317="","",AND(F317=AsOfWeek,AsOfWeek&lt;&gt;""))</f>
        <v/>
      </c>
      <c r="P317" s="20">
        <f>IF(OR(B317="",AsOfWeek=""),"",IFERROR(SUMIFS($M$5:$M$504,$B$5:$B$504,B317,$C$5:$C$504,C317,$L$5:$L$504,TRUE,$F$5:$F$504,"&gt;="&amp;AsOfWeek-7*(RecentWeeks-1),$F$5:$F$504,"&lt;="&amp;AsOfWeek),""))</f>
        <v/>
      </c>
      <c r="Q317" s="20">
        <f>IF(OR(B317="",AsOfWeek=""),"",IFERROR(SUMIFS($M$5:$M$504,$B$5:$B$504,B317,$C$5:$C$504,C317,$L$5:$L$504,TRUE,$F$5:$F$504,"&gt;="&amp;AsOfWeek-7*(RecentWeeks+PriorWeeks-1),$F$5:$F$504,"&lt;"&amp;AsOfWeek-7*(RecentWeeks-1)),""))</f>
        <v/>
      </c>
      <c r="R317" s="21">
        <f>IF(OR(P317="",Q317="",Q317=0),"",P317/Q317-1)</f>
        <v/>
      </c>
      <c r="S317" s="20">
        <f>IF(OR(C317="",AsOfWeek=""),"",IFERROR(AVERAGEIFS($M$5:$M$504,$C$5:$C$504,C317,$L$5:$L$504,TRUE,$F$5:$F$504,"&gt;="&amp;AsOfWeek-7*(RecentWeeks-1),$F$5:$F$504,"&lt;="&amp;AsOfWeek),""))</f>
        <v/>
      </c>
      <c r="T317" s="21">
        <f>IF(OR(P317="",S317=""),"",P317/S317-1)</f>
        <v/>
      </c>
      <c r="U317" s="22">
        <f>IF(OR(B317="",'Weekly Input'!G317="",P317="",P317=0),"",'Weekly Input'!G317/P317)</f>
        <v/>
      </c>
      <c r="V317" s="18">
        <f>IF(B317="","",IF(NOT(I317),"Not Ready",IF(NOT(K317),"Not Ready",IF(N317&lt;MinHistory,"Not Ready",IF(NOT(J317),"Not Ready",IF(OR(Q317="",Q317=0),"Noise",IF(Q317&lt;LowBaseThreshold,"Noise",IF(AND(R317&lt;=-OwnDecline,T317&lt;=-PeerGapThreshold),"Markdown Review",IF(AND(R317&gt;=ReorderUplift,U317&lt;&gt;"",U317&lt;=WeeksSupplyCap),"Reorder Candidate","Monitor"))))))))</f>
        <v/>
      </c>
      <c r="W317" s="18">
        <f>IF(B317="","",IF(NOT(I317),"INVALID_MASTER",IF(NOT(K317),"INCOMPLETE_SHELF_CYCLE",IF(N317&lt;MinHistory,"INSUFFICIENT_HISTORY",IF(NOT(J317),"INSUFFICIENT_IN_STOCK",IF(OR(Q317="",Q317=0),"NO_PRIOR_BASE",IF(Q317&lt;LowBaseThreshold,"LOW_BASE_NOISE",IF(V317="Markdown Review","MARKDOWN_PEER_GAP",IF(V317="Reorder Candidate","REORDER_UPLIFT_COVER","NO_MATERIAL_CHANGE"))))))))</f>
        <v/>
      </c>
      <c r="X317" s="18">
        <f>IF(V317="Markdown Review","Markdown support",IF(V317="Reorder Candidate","Second reorder",IF(V317="Monitor","Monitor",IF(V317="Noise","Hold / collect data",IF(V317="Not Ready","Not ready","")))))</f>
        <v/>
      </c>
      <c r="Y317" s="18">
        <f>IF(OR(R317="",T317=""),"",ABS(R317)+ABS(T317))</f>
        <v/>
      </c>
      <c r="Z317" s="21">
        <f>IF(OR(B317="",NOT(O317),R317=""),"",IF(ABS(R317)&gt;=MaterialThreshold,"Yes","No"))</f>
        <v/>
      </c>
      <c r="AA317" s="18">
        <f>IF(Z317&lt;&gt;"Yes","",IF(ABS(R317)&gt;=MaterialThreshold,IF(ABS(R317)&gt;=BroadShare,"Broad SKU movement","Store-concentrated movement"),""))</f>
        <v/>
      </c>
      <c r="AB317" s="18">
        <f>IF(O317,IF(COUNTIFS($O$5:O317,TRUE)&gt;0,COUNTIFS($O$5:O317,TRUE),0),0)</f>
        <v/>
      </c>
      <c r="AC317" s="18">
        <f>IF(V317="Markdown Review",1,IF(V317="Reorder Candidate",2,IF(V317="Monitor",3,IF(V317="Noise",4,IF(V317="Not Ready",5,99)))))</f>
        <v/>
      </c>
      <c r="AD317" s="18">
        <f>IF(O317,COUNTIFS($O$5:$O$504,TRUE,$AC$5:$AC$504,"&lt;"&amp;AC317)+COUNTIFS($O$5:O317,TRUE,$AC$5:AC317,AC317,$Y$5:Y317,"&gt;"&amp;Y317),0)</f>
        <v/>
      </c>
    </row>
    <row r="318">
      <c r="A318" s="17">
        <f>IF(COUNTA('Weekly Input'!A318:C318)=0,"",'Weekly Input'!B318&amp;"|"&amp;'Weekly Input'!C318&amp;"|"&amp;TEXT('Weekly Input'!A318,"yyyy-mm-dd"))</f>
        <v/>
      </c>
      <c r="B318" s="18">
        <f>'Weekly Input'!B318</f>
        <v/>
      </c>
      <c r="C318" s="18">
        <f>'Weekly Input'!C318</f>
        <v/>
      </c>
      <c r="D318" s="18">
        <f>IF(B318="","",IFERROR(INDEX('Master Data'!$B$6:$B$145,MATCH(B318,'Master Data'!$A$6:$A$145,0)),""))</f>
        <v/>
      </c>
      <c r="E318" s="18">
        <f>IF(C318="","",IFERROR(INDEX('Master Data'!$H$6:$H$13,MATCH(C318,'Master Data'!$F$6:$F$13,0)),""))</f>
        <v/>
      </c>
      <c r="F318" s="19">
        <f>'Weekly Input'!A318</f>
        <v/>
      </c>
      <c r="G318" s="19">
        <f>IF(B318="","",IFERROR(INDEX('Master Data'!$D$6:$D$145,MATCH(B318,'Master Data'!$A$6:$A$145,0)),""))</f>
        <v/>
      </c>
      <c r="H318" s="18">
        <f>IF(OR(F318="",G318=""),"",F318-G318)</f>
        <v/>
      </c>
      <c r="I318" s="18">
        <f>IF(B318="","",IF('Weekly Input'!J318="OK",TRUE,FALSE))</f>
        <v/>
      </c>
      <c r="J318" s="18">
        <f>IF(B318="","",'Weekly Input'!H318&gt;=MinInStockDays)</f>
        <v/>
      </c>
      <c r="K318" s="18">
        <f>IF(B318="","",H318&gt;=FullCycleMin)</f>
        <v/>
      </c>
      <c r="L318" s="18">
        <f>IF(B318="","",AND(I318,J318,K318,N318&gt;=MinHistory))</f>
        <v/>
      </c>
      <c r="M318" s="20">
        <f>IF(OR(B318="",'Weekly Input'!H318=0),"",'Weekly Input'!D318/'Weekly Input'!H318*7)</f>
        <v/>
      </c>
      <c r="N318" s="18">
        <f>IF(B318="","",COUNTIFS($B$5:$B$504,B318,$C$5:$C$504,C318,$I$5:$I$504,TRUE,$J$5:$J$504,TRUE,$K$5:$K$504,TRUE))</f>
        <v/>
      </c>
      <c r="O318" s="18">
        <f>IF(B318="","",AND(F318=AsOfWeek,AsOfWeek&lt;&gt;""))</f>
        <v/>
      </c>
      <c r="P318" s="20">
        <f>IF(OR(B318="",AsOfWeek=""),"",IFERROR(SUMIFS($M$5:$M$504,$B$5:$B$504,B318,$C$5:$C$504,C318,$L$5:$L$504,TRUE,$F$5:$F$504,"&gt;="&amp;AsOfWeek-7*(RecentWeeks-1),$F$5:$F$504,"&lt;="&amp;AsOfWeek),""))</f>
        <v/>
      </c>
      <c r="Q318" s="20">
        <f>IF(OR(B318="",AsOfWeek=""),"",IFERROR(SUMIFS($M$5:$M$504,$B$5:$B$504,B318,$C$5:$C$504,C318,$L$5:$L$504,TRUE,$F$5:$F$504,"&gt;="&amp;AsOfWeek-7*(RecentWeeks+PriorWeeks-1),$F$5:$F$504,"&lt;"&amp;AsOfWeek-7*(RecentWeeks-1)),""))</f>
        <v/>
      </c>
      <c r="R318" s="21">
        <f>IF(OR(P318="",Q318="",Q318=0),"",P318/Q318-1)</f>
        <v/>
      </c>
      <c r="S318" s="20">
        <f>IF(OR(C318="",AsOfWeek=""),"",IFERROR(AVERAGEIFS($M$5:$M$504,$C$5:$C$504,C318,$L$5:$L$504,TRUE,$F$5:$F$504,"&gt;="&amp;AsOfWeek-7*(RecentWeeks-1),$F$5:$F$504,"&lt;="&amp;AsOfWeek),""))</f>
        <v/>
      </c>
      <c r="T318" s="21">
        <f>IF(OR(P318="",S318=""),"",P318/S318-1)</f>
        <v/>
      </c>
      <c r="U318" s="22">
        <f>IF(OR(B318="",'Weekly Input'!G318="",P318="",P318=0),"",'Weekly Input'!G318/P318)</f>
        <v/>
      </c>
      <c r="V318" s="18">
        <f>IF(B318="","",IF(NOT(I318),"Not Ready",IF(NOT(K318),"Not Ready",IF(N318&lt;MinHistory,"Not Ready",IF(NOT(J318),"Not Ready",IF(OR(Q318="",Q318=0),"Noise",IF(Q318&lt;LowBaseThreshold,"Noise",IF(AND(R318&lt;=-OwnDecline,T318&lt;=-PeerGapThreshold),"Markdown Review",IF(AND(R318&gt;=ReorderUplift,U318&lt;&gt;"",U318&lt;=WeeksSupplyCap),"Reorder Candidate","Monitor"))))))))</f>
        <v/>
      </c>
      <c r="W318" s="18">
        <f>IF(B318="","",IF(NOT(I318),"INVALID_MASTER",IF(NOT(K318),"INCOMPLETE_SHELF_CYCLE",IF(N318&lt;MinHistory,"INSUFFICIENT_HISTORY",IF(NOT(J318),"INSUFFICIENT_IN_STOCK",IF(OR(Q318="",Q318=0),"NO_PRIOR_BASE",IF(Q318&lt;LowBaseThreshold,"LOW_BASE_NOISE",IF(V318="Markdown Review","MARKDOWN_PEER_GAP",IF(V318="Reorder Candidate","REORDER_UPLIFT_COVER","NO_MATERIAL_CHANGE"))))))))</f>
        <v/>
      </c>
      <c r="X318" s="18">
        <f>IF(V318="Markdown Review","Markdown support",IF(V318="Reorder Candidate","Second reorder",IF(V318="Monitor","Monitor",IF(V318="Noise","Hold / collect data",IF(V318="Not Ready","Not ready","")))))</f>
        <v/>
      </c>
      <c r="Y318" s="18">
        <f>IF(OR(R318="",T318=""),"",ABS(R318)+ABS(T318))</f>
        <v/>
      </c>
      <c r="Z318" s="21">
        <f>IF(OR(B318="",NOT(O318),R318=""),"",IF(ABS(R318)&gt;=MaterialThreshold,"Yes","No"))</f>
        <v/>
      </c>
      <c r="AA318" s="18">
        <f>IF(Z318&lt;&gt;"Yes","",IF(ABS(R318)&gt;=MaterialThreshold,IF(ABS(R318)&gt;=BroadShare,"Broad SKU movement","Store-concentrated movement"),""))</f>
        <v/>
      </c>
      <c r="AB318" s="18">
        <f>IF(O318,IF(COUNTIFS($O$5:O318,TRUE)&gt;0,COUNTIFS($O$5:O318,TRUE),0),0)</f>
        <v/>
      </c>
      <c r="AC318" s="18">
        <f>IF(V318="Markdown Review",1,IF(V318="Reorder Candidate",2,IF(V318="Monitor",3,IF(V318="Noise",4,IF(V318="Not Ready",5,99)))))</f>
        <v/>
      </c>
      <c r="AD318" s="18">
        <f>IF(O318,COUNTIFS($O$5:$O$504,TRUE,$AC$5:$AC$504,"&lt;"&amp;AC318)+COUNTIFS($O$5:O318,TRUE,$AC$5:AC318,AC318,$Y$5:Y318,"&gt;"&amp;Y318),0)</f>
        <v/>
      </c>
    </row>
    <row r="319">
      <c r="A319" s="17">
        <f>IF(COUNTA('Weekly Input'!A319:C319)=0,"",'Weekly Input'!B319&amp;"|"&amp;'Weekly Input'!C319&amp;"|"&amp;TEXT('Weekly Input'!A319,"yyyy-mm-dd"))</f>
        <v/>
      </c>
      <c r="B319" s="18">
        <f>'Weekly Input'!B319</f>
        <v/>
      </c>
      <c r="C319" s="18">
        <f>'Weekly Input'!C319</f>
        <v/>
      </c>
      <c r="D319" s="18">
        <f>IF(B319="","",IFERROR(INDEX('Master Data'!$B$6:$B$145,MATCH(B319,'Master Data'!$A$6:$A$145,0)),""))</f>
        <v/>
      </c>
      <c r="E319" s="18">
        <f>IF(C319="","",IFERROR(INDEX('Master Data'!$H$6:$H$13,MATCH(C319,'Master Data'!$F$6:$F$13,0)),""))</f>
        <v/>
      </c>
      <c r="F319" s="19">
        <f>'Weekly Input'!A319</f>
        <v/>
      </c>
      <c r="G319" s="19">
        <f>IF(B319="","",IFERROR(INDEX('Master Data'!$D$6:$D$145,MATCH(B319,'Master Data'!$A$6:$A$145,0)),""))</f>
        <v/>
      </c>
      <c r="H319" s="18">
        <f>IF(OR(F319="",G319=""),"",F319-G319)</f>
        <v/>
      </c>
      <c r="I319" s="18">
        <f>IF(B319="","",IF('Weekly Input'!J319="OK",TRUE,FALSE))</f>
        <v/>
      </c>
      <c r="J319" s="18">
        <f>IF(B319="","",'Weekly Input'!H319&gt;=MinInStockDays)</f>
        <v/>
      </c>
      <c r="K319" s="18">
        <f>IF(B319="","",H319&gt;=FullCycleMin)</f>
        <v/>
      </c>
      <c r="L319" s="18">
        <f>IF(B319="","",AND(I319,J319,K319,N319&gt;=MinHistory))</f>
        <v/>
      </c>
      <c r="M319" s="20">
        <f>IF(OR(B319="",'Weekly Input'!H319=0),"",'Weekly Input'!D319/'Weekly Input'!H319*7)</f>
        <v/>
      </c>
      <c r="N319" s="18">
        <f>IF(B319="","",COUNTIFS($B$5:$B$504,B319,$C$5:$C$504,C319,$I$5:$I$504,TRUE,$J$5:$J$504,TRUE,$K$5:$K$504,TRUE))</f>
        <v/>
      </c>
      <c r="O319" s="18">
        <f>IF(B319="","",AND(F319=AsOfWeek,AsOfWeek&lt;&gt;""))</f>
        <v/>
      </c>
      <c r="P319" s="20">
        <f>IF(OR(B319="",AsOfWeek=""),"",IFERROR(SUMIFS($M$5:$M$504,$B$5:$B$504,B319,$C$5:$C$504,C319,$L$5:$L$504,TRUE,$F$5:$F$504,"&gt;="&amp;AsOfWeek-7*(RecentWeeks-1),$F$5:$F$504,"&lt;="&amp;AsOfWeek),""))</f>
        <v/>
      </c>
      <c r="Q319" s="20">
        <f>IF(OR(B319="",AsOfWeek=""),"",IFERROR(SUMIFS($M$5:$M$504,$B$5:$B$504,B319,$C$5:$C$504,C319,$L$5:$L$504,TRUE,$F$5:$F$504,"&gt;="&amp;AsOfWeek-7*(RecentWeeks+PriorWeeks-1),$F$5:$F$504,"&lt;"&amp;AsOfWeek-7*(RecentWeeks-1)),""))</f>
        <v/>
      </c>
      <c r="R319" s="21">
        <f>IF(OR(P319="",Q319="",Q319=0),"",P319/Q319-1)</f>
        <v/>
      </c>
      <c r="S319" s="20">
        <f>IF(OR(C319="",AsOfWeek=""),"",IFERROR(AVERAGEIFS($M$5:$M$504,$C$5:$C$504,C319,$L$5:$L$504,TRUE,$F$5:$F$504,"&gt;="&amp;AsOfWeek-7*(RecentWeeks-1),$F$5:$F$504,"&lt;="&amp;AsOfWeek),""))</f>
        <v/>
      </c>
      <c r="T319" s="21">
        <f>IF(OR(P319="",S319=""),"",P319/S319-1)</f>
        <v/>
      </c>
      <c r="U319" s="22">
        <f>IF(OR(B319="",'Weekly Input'!G319="",P319="",P319=0),"",'Weekly Input'!G319/P319)</f>
        <v/>
      </c>
      <c r="V319" s="18">
        <f>IF(B319="","",IF(NOT(I319),"Not Ready",IF(NOT(K319),"Not Ready",IF(N319&lt;MinHistory,"Not Ready",IF(NOT(J319),"Not Ready",IF(OR(Q319="",Q319=0),"Noise",IF(Q319&lt;LowBaseThreshold,"Noise",IF(AND(R319&lt;=-OwnDecline,T319&lt;=-PeerGapThreshold),"Markdown Review",IF(AND(R319&gt;=ReorderUplift,U319&lt;&gt;"",U319&lt;=WeeksSupplyCap),"Reorder Candidate","Monitor"))))))))</f>
        <v/>
      </c>
      <c r="W319" s="18">
        <f>IF(B319="","",IF(NOT(I319),"INVALID_MASTER",IF(NOT(K319),"INCOMPLETE_SHELF_CYCLE",IF(N319&lt;MinHistory,"INSUFFICIENT_HISTORY",IF(NOT(J319),"INSUFFICIENT_IN_STOCK",IF(OR(Q319="",Q319=0),"NO_PRIOR_BASE",IF(Q319&lt;LowBaseThreshold,"LOW_BASE_NOISE",IF(V319="Markdown Review","MARKDOWN_PEER_GAP",IF(V319="Reorder Candidate","REORDER_UPLIFT_COVER","NO_MATERIAL_CHANGE"))))))))</f>
        <v/>
      </c>
      <c r="X319" s="18">
        <f>IF(V319="Markdown Review","Markdown support",IF(V319="Reorder Candidate","Second reorder",IF(V319="Monitor","Monitor",IF(V319="Noise","Hold / collect data",IF(V319="Not Ready","Not ready","")))))</f>
        <v/>
      </c>
      <c r="Y319" s="18">
        <f>IF(OR(R319="",T319=""),"",ABS(R319)+ABS(T319))</f>
        <v/>
      </c>
      <c r="Z319" s="21">
        <f>IF(OR(B319="",NOT(O319),R319=""),"",IF(ABS(R319)&gt;=MaterialThreshold,"Yes","No"))</f>
        <v/>
      </c>
      <c r="AA319" s="18">
        <f>IF(Z319&lt;&gt;"Yes","",IF(ABS(R319)&gt;=MaterialThreshold,IF(ABS(R319)&gt;=BroadShare,"Broad SKU movement","Store-concentrated movement"),""))</f>
        <v/>
      </c>
      <c r="AB319" s="18">
        <f>IF(O319,IF(COUNTIFS($O$5:O319,TRUE)&gt;0,COUNTIFS($O$5:O319,TRUE),0),0)</f>
        <v/>
      </c>
      <c r="AC319" s="18">
        <f>IF(V319="Markdown Review",1,IF(V319="Reorder Candidate",2,IF(V319="Monitor",3,IF(V319="Noise",4,IF(V319="Not Ready",5,99)))))</f>
        <v/>
      </c>
      <c r="AD319" s="18">
        <f>IF(O319,COUNTIFS($O$5:$O$504,TRUE,$AC$5:$AC$504,"&lt;"&amp;AC319)+COUNTIFS($O$5:O319,TRUE,$AC$5:AC319,AC319,$Y$5:Y319,"&gt;"&amp;Y319),0)</f>
        <v/>
      </c>
    </row>
    <row r="320">
      <c r="A320" s="17">
        <f>IF(COUNTA('Weekly Input'!A320:C320)=0,"",'Weekly Input'!B320&amp;"|"&amp;'Weekly Input'!C320&amp;"|"&amp;TEXT('Weekly Input'!A320,"yyyy-mm-dd"))</f>
        <v/>
      </c>
      <c r="B320" s="18">
        <f>'Weekly Input'!B320</f>
        <v/>
      </c>
      <c r="C320" s="18">
        <f>'Weekly Input'!C320</f>
        <v/>
      </c>
      <c r="D320" s="18">
        <f>IF(B320="","",IFERROR(INDEX('Master Data'!$B$6:$B$145,MATCH(B320,'Master Data'!$A$6:$A$145,0)),""))</f>
        <v/>
      </c>
      <c r="E320" s="18">
        <f>IF(C320="","",IFERROR(INDEX('Master Data'!$H$6:$H$13,MATCH(C320,'Master Data'!$F$6:$F$13,0)),""))</f>
        <v/>
      </c>
      <c r="F320" s="19">
        <f>'Weekly Input'!A320</f>
        <v/>
      </c>
      <c r="G320" s="19">
        <f>IF(B320="","",IFERROR(INDEX('Master Data'!$D$6:$D$145,MATCH(B320,'Master Data'!$A$6:$A$145,0)),""))</f>
        <v/>
      </c>
      <c r="H320" s="18">
        <f>IF(OR(F320="",G320=""),"",F320-G320)</f>
        <v/>
      </c>
      <c r="I320" s="18">
        <f>IF(B320="","",IF('Weekly Input'!J320="OK",TRUE,FALSE))</f>
        <v/>
      </c>
      <c r="J320" s="18">
        <f>IF(B320="","",'Weekly Input'!H320&gt;=MinInStockDays)</f>
        <v/>
      </c>
      <c r="K320" s="18">
        <f>IF(B320="","",H320&gt;=FullCycleMin)</f>
        <v/>
      </c>
      <c r="L320" s="18">
        <f>IF(B320="","",AND(I320,J320,K320,N320&gt;=MinHistory))</f>
        <v/>
      </c>
      <c r="M320" s="20">
        <f>IF(OR(B320="",'Weekly Input'!H320=0),"",'Weekly Input'!D320/'Weekly Input'!H320*7)</f>
        <v/>
      </c>
      <c r="N320" s="18">
        <f>IF(B320="","",COUNTIFS($B$5:$B$504,B320,$C$5:$C$504,C320,$I$5:$I$504,TRUE,$J$5:$J$504,TRUE,$K$5:$K$504,TRUE))</f>
        <v/>
      </c>
      <c r="O320" s="18">
        <f>IF(B320="","",AND(F320=AsOfWeek,AsOfWeek&lt;&gt;""))</f>
        <v/>
      </c>
      <c r="P320" s="20">
        <f>IF(OR(B320="",AsOfWeek=""),"",IFERROR(SUMIFS($M$5:$M$504,$B$5:$B$504,B320,$C$5:$C$504,C320,$L$5:$L$504,TRUE,$F$5:$F$504,"&gt;="&amp;AsOfWeek-7*(RecentWeeks-1),$F$5:$F$504,"&lt;="&amp;AsOfWeek),""))</f>
        <v/>
      </c>
      <c r="Q320" s="20">
        <f>IF(OR(B320="",AsOfWeek=""),"",IFERROR(SUMIFS($M$5:$M$504,$B$5:$B$504,B320,$C$5:$C$504,C320,$L$5:$L$504,TRUE,$F$5:$F$504,"&gt;="&amp;AsOfWeek-7*(RecentWeeks+PriorWeeks-1),$F$5:$F$504,"&lt;"&amp;AsOfWeek-7*(RecentWeeks-1)),""))</f>
        <v/>
      </c>
      <c r="R320" s="21">
        <f>IF(OR(P320="",Q320="",Q320=0),"",P320/Q320-1)</f>
        <v/>
      </c>
      <c r="S320" s="20">
        <f>IF(OR(C320="",AsOfWeek=""),"",IFERROR(AVERAGEIFS($M$5:$M$504,$C$5:$C$504,C320,$L$5:$L$504,TRUE,$F$5:$F$504,"&gt;="&amp;AsOfWeek-7*(RecentWeeks-1),$F$5:$F$504,"&lt;="&amp;AsOfWeek),""))</f>
        <v/>
      </c>
      <c r="T320" s="21">
        <f>IF(OR(P320="",S320=""),"",P320/S320-1)</f>
        <v/>
      </c>
      <c r="U320" s="22">
        <f>IF(OR(B320="",'Weekly Input'!G320="",P320="",P320=0),"",'Weekly Input'!G320/P320)</f>
        <v/>
      </c>
      <c r="V320" s="18">
        <f>IF(B320="","",IF(NOT(I320),"Not Ready",IF(NOT(K320),"Not Ready",IF(N320&lt;MinHistory,"Not Ready",IF(NOT(J320),"Not Ready",IF(OR(Q320="",Q320=0),"Noise",IF(Q320&lt;LowBaseThreshold,"Noise",IF(AND(R320&lt;=-OwnDecline,T320&lt;=-PeerGapThreshold),"Markdown Review",IF(AND(R320&gt;=ReorderUplift,U320&lt;&gt;"",U320&lt;=WeeksSupplyCap),"Reorder Candidate","Monitor"))))))))</f>
        <v/>
      </c>
      <c r="W320" s="18">
        <f>IF(B320="","",IF(NOT(I320),"INVALID_MASTER",IF(NOT(K320),"INCOMPLETE_SHELF_CYCLE",IF(N320&lt;MinHistory,"INSUFFICIENT_HISTORY",IF(NOT(J320),"INSUFFICIENT_IN_STOCK",IF(OR(Q320="",Q320=0),"NO_PRIOR_BASE",IF(Q320&lt;LowBaseThreshold,"LOW_BASE_NOISE",IF(V320="Markdown Review","MARKDOWN_PEER_GAP",IF(V320="Reorder Candidate","REORDER_UPLIFT_COVER","NO_MATERIAL_CHANGE"))))))))</f>
        <v/>
      </c>
      <c r="X320" s="18">
        <f>IF(V320="Markdown Review","Markdown support",IF(V320="Reorder Candidate","Second reorder",IF(V320="Monitor","Monitor",IF(V320="Noise","Hold / collect data",IF(V320="Not Ready","Not ready","")))))</f>
        <v/>
      </c>
      <c r="Y320" s="18">
        <f>IF(OR(R320="",T320=""),"",ABS(R320)+ABS(T320))</f>
        <v/>
      </c>
      <c r="Z320" s="21">
        <f>IF(OR(B320="",NOT(O320),R320=""),"",IF(ABS(R320)&gt;=MaterialThreshold,"Yes","No"))</f>
        <v/>
      </c>
      <c r="AA320" s="18">
        <f>IF(Z320&lt;&gt;"Yes","",IF(ABS(R320)&gt;=MaterialThreshold,IF(ABS(R320)&gt;=BroadShare,"Broad SKU movement","Store-concentrated movement"),""))</f>
        <v/>
      </c>
      <c r="AB320" s="18">
        <f>IF(O320,IF(COUNTIFS($O$5:O320,TRUE)&gt;0,COUNTIFS($O$5:O320,TRUE),0),0)</f>
        <v/>
      </c>
      <c r="AC320" s="18">
        <f>IF(V320="Markdown Review",1,IF(V320="Reorder Candidate",2,IF(V320="Monitor",3,IF(V320="Noise",4,IF(V320="Not Ready",5,99)))))</f>
        <v/>
      </c>
      <c r="AD320" s="18">
        <f>IF(O320,COUNTIFS($O$5:$O$504,TRUE,$AC$5:$AC$504,"&lt;"&amp;AC320)+COUNTIFS($O$5:O320,TRUE,$AC$5:AC320,AC320,$Y$5:Y320,"&gt;"&amp;Y320),0)</f>
        <v/>
      </c>
    </row>
    <row r="321">
      <c r="A321" s="17">
        <f>IF(COUNTA('Weekly Input'!A321:C321)=0,"",'Weekly Input'!B321&amp;"|"&amp;'Weekly Input'!C321&amp;"|"&amp;TEXT('Weekly Input'!A321,"yyyy-mm-dd"))</f>
        <v/>
      </c>
      <c r="B321" s="18">
        <f>'Weekly Input'!B321</f>
        <v/>
      </c>
      <c r="C321" s="18">
        <f>'Weekly Input'!C321</f>
        <v/>
      </c>
      <c r="D321" s="18">
        <f>IF(B321="","",IFERROR(INDEX('Master Data'!$B$6:$B$145,MATCH(B321,'Master Data'!$A$6:$A$145,0)),""))</f>
        <v/>
      </c>
      <c r="E321" s="18">
        <f>IF(C321="","",IFERROR(INDEX('Master Data'!$H$6:$H$13,MATCH(C321,'Master Data'!$F$6:$F$13,0)),""))</f>
        <v/>
      </c>
      <c r="F321" s="19">
        <f>'Weekly Input'!A321</f>
        <v/>
      </c>
      <c r="G321" s="19">
        <f>IF(B321="","",IFERROR(INDEX('Master Data'!$D$6:$D$145,MATCH(B321,'Master Data'!$A$6:$A$145,0)),""))</f>
        <v/>
      </c>
      <c r="H321" s="18">
        <f>IF(OR(F321="",G321=""),"",F321-G321)</f>
        <v/>
      </c>
      <c r="I321" s="18">
        <f>IF(B321="","",IF('Weekly Input'!J321="OK",TRUE,FALSE))</f>
        <v/>
      </c>
      <c r="J321" s="18">
        <f>IF(B321="","",'Weekly Input'!H321&gt;=MinInStockDays)</f>
        <v/>
      </c>
      <c r="K321" s="18">
        <f>IF(B321="","",H321&gt;=FullCycleMin)</f>
        <v/>
      </c>
      <c r="L321" s="18">
        <f>IF(B321="","",AND(I321,J321,K321,N321&gt;=MinHistory))</f>
        <v/>
      </c>
      <c r="M321" s="20">
        <f>IF(OR(B321="",'Weekly Input'!H321=0),"",'Weekly Input'!D321/'Weekly Input'!H321*7)</f>
        <v/>
      </c>
      <c r="N321" s="18">
        <f>IF(B321="","",COUNTIFS($B$5:$B$504,B321,$C$5:$C$504,C321,$I$5:$I$504,TRUE,$J$5:$J$504,TRUE,$K$5:$K$504,TRUE))</f>
        <v/>
      </c>
      <c r="O321" s="18">
        <f>IF(B321="","",AND(F321=AsOfWeek,AsOfWeek&lt;&gt;""))</f>
        <v/>
      </c>
      <c r="P321" s="20">
        <f>IF(OR(B321="",AsOfWeek=""),"",IFERROR(SUMIFS($M$5:$M$504,$B$5:$B$504,B321,$C$5:$C$504,C321,$L$5:$L$504,TRUE,$F$5:$F$504,"&gt;="&amp;AsOfWeek-7*(RecentWeeks-1),$F$5:$F$504,"&lt;="&amp;AsOfWeek),""))</f>
        <v/>
      </c>
      <c r="Q321" s="20">
        <f>IF(OR(B321="",AsOfWeek=""),"",IFERROR(SUMIFS($M$5:$M$504,$B$5:$B$504,B321,$C$5:$C$504,C321,$L$5:$L$504,TRUE,$F$5:$F$504,"&gt;="&amp;AsOfWeek-7*(RecentWeeks+PriorWeeks-1),$F$5:$F$504,"&lt;"&amp;AsOfWeek-7*(RecentWeeks-1)),""))</f>
        <v/>
      </c>
      <c r="R321" s="21">
        <f>IF(OR(P321="",Q321="",Q321=0),"",P321/Q321-1)</f>
        <v/>
      </c>
      <c r="S321" s="20">
        <f>IF(OR(C321="",AsOfWeek=""),"",IFERROR(AVERAGEIFS($M$5:$M$504,$C$5:$C$504,C321,$L$5:$L$504,TRUE,$F$5:$F$504,"&gt;="&amp;AsOfWeek-7*(RecentWeeks-1),$F$5:$F$504,"&lt;="&amp;AsOfWeek),""))</f>
        <v/>
      </c>
      <c r="T321" s="21">
        <f>IF(OR(P321="",S321=""),"",P321/S321-1)</f>
        <v/>
      </c>
      <c r="U321" s="22">
        <f>IF(OR(B321="",'Weekly Input'!G321="",P321="",P321=0),"",'Weekly Input'!G321/P321)</f>
        <v/>
      </c>
      <c r="V321" s="18">
        <f>IF(B321="","",IF(NOT(I321),"Not Ready",IF(NOT(K321),"Not Ready",IF(N321&lt;MinHistory,"Not Ready",IF(NOT(J321),"Not Ready",IF(OR(Q321="",Q321=0),"Noise",IF(Q321&lt;LowBaseThreshold,"Noise",IF(AND(R321&lt;=-OwnDecline,T321&lt;=-PeerGapThreshold),"Markdown Review",IF(AND(R321&gt;=ReorderUplift,U321&lt;&gt;"",U321&lt;=WeeksSupplyCap),"Reorder Candidate","Monitor"))))))))</f>
        <v/>
      </c>
      <c r="W321" s="18">
        <f>IF(B321="","",IF(NOT(I321),"INVALID_MASTER",IF(NOT(K321),"INCOMPLETE_SHELF_CYCLE",IF(N321&lt;MinHistory,"INSUFFICIENT_HISTORY",IF(NOT(J321),"INSUFFICIENT_IN_STOCK",IF(OR(Q321="",Q321=0),"NO_PRIOR_BASE",IF(Q321&lt;LowBaseThreshold,"LOW_BASE_NOISE",IF(V321="Markdown Review","MARKDOWN_PEER_GAP",IF(V321="Reorder Candidate","REORDER_UPLIFT_COVER","NO_MATERIAL_CHANGE"))))))))</f>
        <v/>
      </c>
      <c r="X321" s="18">
        <f>IF(V321="Markdown Review","Markdown support",IF(V321="Reorder Candidate","Second reorder",IF(V321="Monitor","Monitor",IF(V321="Noise","Hold / collect data",IF(V321="Not Ready","Not ready","")))))</f>
        <v/>
      </c>
      <c r="Y321" s="18">
        <f>IF(OR(R321="",T321=""),"",ABS(R321)+ABS(T321))</f>
        <v/>
      </c>
      <c r="Z321" s="21">
        <f>IF(OR(B321="",NOT(O321),R321=""),"",IF(ABS(R321)&gt;=MaterialThreshold,"Yes","No"))</f>
        <v/>
      </c>
      <c r="AA321" s="18">
        <f>IF(Z321&lt;&gt;"Yes","",IF(ABS(R321)&gt;=MaterialThreshold,IF(ABS(R321)&gt;=BroadShare,"Broad SKU movement","Store-concentrated movement"),""))</f>
        <v/>
      </c>
      <c r="AB321" s="18">
        <f>IF(O321,IF(COUNTIFS($O$5:O321,TRUE)&gt;0,COUNTIFS($O$5:O321,TRUE),0),0)</f>
        <v/>
      </c>
      <c r="AC321" s="18">
        <f>IF(V321="Markdown Review",1,IF(V321="Reorder Candidate",2,IF(V321="Monitor",3,IF(V321="Noise",4,IF(V321="Not Ready",5,99)))))</f>
        <v/>
      </c>
      <c r="AD321" s="18">
        <f>IF(O321,COUNTIFS($O$5:$O$504,TRUE,$AC$5:$AC$504,"&lt;"&amp;AC321)+COUNTIFS($O$5:O321,TRUE,$AC$5:AC321,AC321,$Y$5:Y321,"&gt;"&amp;Y321),0)</f>
        <v/>
      </c>
    </row>
    <row r="322">
      <c r="A322" s="17">
        <f>IF(COUNTA('Weekly Input'!A322:C322)=0,"",'Weekly Input'!B322&amp;"|"&amp;'Weekly Input'!C322&amp;"|"&amp;TEXT('Weekly Input'!A322,"yyyy-mm-dd"))</f>
        <v/>
      </c>
      <c r="B322" s="18">
        <f>'Weekly Input'!B322</f>
        <v/>
      </c>
      <c r="C322" s="18">
        <f>'Weekly Input'!C322</f>
        <v/>
      </c>
      <c r="D322" s="18">
        <f>IF(B322="","",IFERROR(INDEX('Master Data'!$B$6:$B$145,MATCH(B322,'Master Data'!$A$6:$A$145,0)),""))</f>
        <v/>
      </c>
      <c r="E322" s="18">
        <f>IF(C322="","",IFERROR(INDEX('Master Data'!$H$6:$H$13,MATCH(C322,'Master Data'!$F$6:$F$13,0)),""))</f>
        <v/>
      </c>
      <c r="F322" s="19">
        <f>'Weekly Input'!A322</f>
        <v/>
      </c>
      <c r="G322" s="19">
        <f>IF(B322="","",IFERROR(INDEX('Master Data'!$D$6:$D$145,MATCH(B322,'Master Data'!$A$6:$A$145,0)),""))</f>
        <v/>
      </c>
      <c r="H322" s="18">
        <f>IF(OR(F322="",G322=""),"",F322-G322)</f>
        <v/>
      </c>
      <c r="I322" s="18">
        <f>IF(B322="","",IF('Weekly Input'!J322="OK",TRUE,FALSE))</f>
        <v/>
      </c>
      <c r="J322" s="18">
        <f>IF(B322="","",'Weekly Input'!H322&gt;=MinInStockDays)</f>
        <v/>
      </c>
      <c r="K322" s="18">
        <f>IF(B322="","",H322&gt;=FullCycleMin)</f>
        <v/>
      </c>
      <c r="L322" s="18">
        <f>IF(B322="","",AND(I322,J322,K322,N322&gt;=MinHistory))</f>
        <v/>
      </c>
      <c r="M322" s="20">
        <f>IF(OR(B322="",'Weekly Input'!H322=0),"",'Weekly Input'!D322/'Weekly Input'!H322*7)</f>
        <v/>
      </c>
      <c r="N322" s="18">
        <f>IF(B322="","",COUNTIFS($B$5:$B$504,B322,$C$5:$C$504,C322,$I$5:$I$504,TRUE,$J$5:$J$504,TRUE,$K$5:$K$504,TRUE))</f>
        <v/>
      </c>
      <c r="O322" s="18">
        <f>IF(B322="","",AND(F322=AsOfWeek,AsOfWeek&lt;&gt;""))</f>
        <v/>
      </c>
      <c r="P322" s="20">
        <f>IF(OR(B322="",AsOfWeek=""),"",IFERROR(SUMIFS($M$5:$M$504,$B$5:$B$504,B322,$C$5:$C$504,C322,$L$5:$L$504,TRUE,$F$5:$F$504,"&gt;="&amp;AsOfWeek-7*(RecentWeeks-1),$F$5:$F$504,"&lt;="&amp;AsOfWeek),""))</f>
        <v/>
      </c>
      <c r="Q322" s="20">
        <f>IF(OR(B322="",AsOfWeek=""),"",IFERROR(SUMIFS($M$5:$M$504,$B$5:$B$504,B322,$C$5:$C$504,C322,$L$5:$L$504,TRUE,$F$5:$F$504,"&gt;="&amp;AsOfWeek-7*(RecentWeeks+PriorWeeks-1),$F$5:$F$504,"&lt;"&amp;AsOfWeek-7*(RecentWeeks-1)),""))</f>
        <v/>
      </c>
      <c r="R322" s="21">
        <f>IF(OR(P322="",Q322="",Q322=0),"",P322/Q322-1)</f>
        <v/>
      </c>
      <c r="S322" s="20">
        <f>IF(OR(C322="",AsOfWeek=""),"",IFERROR(AVERAGEIFS($M$5:$M$504,$C$5:$C$504,C322,$L$5:$L$504,TRUE,$F$5:$F$504,"&gt;="&amp;AsOfWeek-7*(RecentWeeks-1),$F$5:$F$504,"&lt;="&amp;AsOfWeek),""))</f>
        <v/>
      </c>
      <c r="T322" s="21">
        <f>IF(OR(P322="",S322=""),"",P322/S322-1)</f>
        <v/>
      </c>
      <c r="U322" s="22">
        <f>IF(OR(B322="",'Weekly Input'!G322="",P322="",P322=0),"",'Weekly Input'!G322/P322)</f>
        <v/>
      </c>
      <c r="V322" s="18">
        <f>IF(B322="","",IF(NOT(I322),"Not Ready",IF(NOT(K322),"Not Ready",IF(N322&lt;MinHistory,"Not Ready",IF(NOT(J322),"Not Ready",IF(OR(Q322="",Q322=0),"Noise",IF(Q322&lt;LowBaseThreshold,"Noise",IF(AND(R322&lt;=-OwnDecline,T322&lt;=-PeerGapThreshold),"Markdown Review",IF(AND(R322&gt;=ReorderUplift,U322&lt;&gt;"",U322&lt;=WeeksSupplyCap),"Reorder Candidate","Monitor"))))))))</f>
        <v/>
      </c>
      <c r="W322" s="18">
        <f>IF(B322="","",IF(NOT(I322),"INVALID_MASTER",IF(NOT(K322),"INCOMPLETE_SHELF_CYCLE",IF(N322&lt;MinHistory,"INSUFFICIENT_HISTORY",IF(NOT(J322),"INSUFFICIENT_IN_STOCK",IF(OR(Q322="",Q322=0),"NO_PRIOR_BASE",IF(Q322&lt;LowBaseThreshold,"LOW_BASE_NOISE",IF(V322="Markdown Review","MARKDOWN_PEER_GAP",IF(V322="Reorder Candidate","REORDER_UPLIFT_COVER","NO_MATERIAL_CHANGE"))))))))</f>
        <v/>
      </c>
      <c r="X322" s="18">
        <f>IF(V322="Markdown Review","Markdown support",IF(V322="Reorder Candidate","Second reorder",IF(V322="Monitor","Monitor",IF(V322="Noise","Hold / collect data",IF(V322="Not Ready","Not ready","")))))</f>
        <v/>
      </c>
      <c r="Y322" s="18">
        <f>IF(OR(R322="",T322=""),"",ABS(R322)+ABS(T322))</f>
        <v/>
      </c>
      <c r="Z322" s="21">
        <f>IF(OR(B322="",NOT(O322),R322=""),"",IF(ABS(R322)&gt;=MaterialThreshold,"Yes","No"))</f>
        <v/>
      </c>
      <c r="AA322" s="18">
        <f>IF(Z322&lt;&gt;"Yes","",IF(ABS(R322)&gt;=MaterialThreshold,IF(ABS(R322)&gt;=BroadShare,"Broad SKU movement","Store-concentrated movement"),""))</f>
        <v/>
      </c>
      <c r="AB322" s="18">
        <f>IF(O322,IF(COUNTIFS($O$5:O322,TRUE)&gt;0,COUNTIFS($O$5:O322,TRUE),0),0)</f>
        <v/>
      </c>
      <c r="AC322" s="18">
        <f>IF(V322="Markdown Review",1,IF(V322="Reorder Candidate",2,IF(V322="Monitor",3,IF(V322="Noise",4,IF(V322="Not Ready",5,99)))))</f>
        <v/>
      </c>
      <c r="AD322" s="18">
        <f>IF(O322,COUNTIFS($O$5:$O$504,TRUE,$AC$5:$AC$504,"&lt;"&amp;AC322)+COUNTIFS($O$5:O322,TRUE,$AC$5:AC322,AC322,$Y$5:Y322,"&gt;"&amp;Y322),0)</f>
        <v/>
      </c>
    </row>
    <row r="323">
      <c r="A323" s="17">
        <f>IF(COUNTA('Weekly Input'!A323:C323)=0,"",'Weekly Input'!B323&amp;"|"&amp;'Weekly Input'!C323&amp;"|"&amp;TEXT('Weekly Input'!A323,"yyyy-mm-dd"))</f>
        <v/>
      </c>
      <c r="B323" s="18">
        <f>'Weekly Input'!B323</f>
        <v/>
      </c>
      <c r="C323" s="18">
        <f>'Weekly Input'!C323</f>
        <v/>
      </c>
      <c r="D323" s="18">
        <f>IF(B323="","",IFERROR(INDEX('Master Data'!$B$6:$B$145,MATCH(B323,'Master Data'!$A$6:$A$145,0)),""))</f>
        <v/>
      </c>
      <c r="E323" s="18">
        <f>IF(C323="","",IFERROR(INDEX('Master Data'!$H$6:$H$13,MATCH(C323,'Master Data'!$F$6:$F$13,0)),""))</f>
        <v/>
      </c>
      <c r="F323" s="19">
        <f>'Weekly Input'!A323</f>
        <v/>
      </c>
      <c r="G323" s="19">
        <f>IF(B323="","",IFERROR(INDEX('Master Data'!$D$6:$D$145,MATCH(B323,'Master Data'!$A$6:$A$145,0)),""))</f>
        <v/>
      </c>
      <c r="H323" s="18">
        <f>IF(OR(F323="",G323=""),"",F323-G323)</f>
        <v/>
      </c>
      <c r="I323" s="18">
        <f>IF(B323="","",IF('Weekly Input'!J323="OK",TRUE,FALSE))</f>
        <v/>
      </c>
      <c r="J323" s="18">
        <f>IF(B323="","",'Weekly Input'!H323&gt;=MinInStockDays)</f>
        <v/>
      </c>
      <c r="K323" s="18">
        <f>IF(B323="","",H323&gt;=FullCycleMin)</f>
        <v/>
      </c>
      <c r="L323" s="18">
        <f>IF(B323="","",AND(I323,J323,K323,N323&gt;=MinHistory))</f>
        <v/>
      </c>
      <c r="M323" s="20">
        <f>IF(OR(B323="",'Weekly Input'!H323=0),"",'Weekly Input'!D323/'Weekly Input'!H323*7)</f>
        <v/>
      </c>
      <c r="N323" s="18">
        <f>IF(B323="","",COUNTIFS($B$5:$B$504,B323,$C$5:$C$504,C323,$I$5:$I$504,TRUE,$J$5:$J$504,TRUE,$K$5:$K$504,TRUE))</f>
        <v/>
      </c>
      <c r="O323" s="18">
        <f>IF(B323="","",AND(F323=AsOfWeek,AsOfWeek&lt;&gt;""))</f>
        <v/>
      </c>
      <c r="P323" s="20">
        <f>IF(OR(B323="",AsOfWeek=""),"",IFERROR(SUMIFS($M$5:$M$504,$B$5:$B$504,B323,$C$5:$C$504,C323,$L$5:$L$504,TRUE,$F$5:$F$504,"&gt;="&amp;AsOfWeek-7*(RecentWeeks-1),$F$5:$F$504,"&lt;="&amp;AsOfWeek),""))</f>
        <v/>
      </c>
      <c r="Q323" s="20">
        <f>IF(OR(B323="",AsOfWeek=""),"",IFERROR(SUMIFS($M$5:$M$504,$B$5:$B$504,B323,$C$5:$C$504,C323,$L$5:$L$504,TRUE,$F$5:$F$504,"&gt;="&amp;AsOfWeek-7*(RecentWeeks+PriorWeeks-1),$F$5:$F$504,"&lt;"&amp;AsOfWeek-7*(RecentWeeks-1)),""))</f>
        <v/>
      </c>
      <c r="R323" s="21">
        <f>IF(OR(P323="",Q323="",Q323=0),"",P323/Q323-1)</f>
        <v/>
      </c>
      <c r="S323" s="20">
        <f>IF(OR(C323="",AsOfWeek=""),"",IFERROR(AVERAGEIFS($M$5:$M$504,$C$5:$C$504,C323,$L$5:$L$504,TRUE,$F$5:$F$504,"&gt;="&amp;AsOfWeek-7*(RecentWeeks-1),$F$5:$F$504,"&lt;="&amp;AsOfWeek),""))</f>
        <v/>
      </c>
      <c r="T323" s="21">
        <f>IF(OR(P323="",S323=""),"",P323/S323-1)</f>
        <v/>
      </c>
      <c r="U323" s="22">
        <f>IF(OR(B323="",'Weekly Input'!G323="",P323="",P323=0),"",'Weekly Input'!G323/P323)</f>
        <v/>
      </c>
      <c r="V323" s="18">
        <f>IF(B323="","",IF(NOT(I323),"Not Ready",IF(NOT(K323),"Not Ready",IF(N323&lt;MinHistory,"Not Ready",IF(NOT(J323),"Not Ready",IF(OR(Q323="",Q323=0),"Noise",IF(Q323&lt;LowBaseThreshold,"Noise",IF(AND(R323&lt;=-OwnDecline,T323&lt;=-PeerGapThreshold),"Markdown Review",IF(AND(R323&gt;=ReorderUplift,U323&lt;&gt;"",U323&lt;=WeeksSupplyCap),"Reorder Candidate","Monitor"))))))))</f>
        <v/>
      </c>
      <c r="W323" s="18">
        <f>IF(B323="","",IF(NOT(I323),"INVALID_MASTER",IF(NOT(K323),"INCOMPLETE_SHELF_CYCLE",IF(N323&lt;MinHistory,"INSUFFICIENT_HISTORY",IF(NOT(J323),"INSUFFICIENT_IN_STOCK",IF(OR(Q323="",Q323=0),"NO_PRIOR_BASE",IF(Q323&lt;LowBaseThreshold,"LOW_BASE_NOISE",IF(V323="Markdown Review","MARKDOWN_PEER_GAP",IF(V323="Reorder Candidate","REORDER_UPLIFT_COVER","NO_MATERIAL_CHANGE"))))))))</f>
        <v/>
      </c>
      <c r="X323" s="18">
        <f>IF(V323="Markdown Review","Markdown support",IF(V323="Reorder Candidate","Second reorder",IF(V323="Monitor","Monitor",IF(V323="Noise","Hold / collect data",IF(V323="Not Ready","Not ready","")))))</f>
        <v/>
      </c>
      <c r="Y323" s="18">
        <f>IF(OR(R323="",T323=""),"",ABS(R323)+ABS(T323))</f>
        <v/>
      </c>
      <c r="Z323" s="21">
        <f>IF(OR(B323="",NOT(O323),R323=""),"",IF(ABS(R323)&gt;=MaterialThreshold,"Yes","No"))</f>
        <v/>
      </c>
      <c r="AA323" s="18">
        <f>IF(Z323&lt;&gt;"Yes","",IF(ABS(R323)&gt;=MaterialThreshold,IF(ABS(R323)&gt;=BroadShare,"Broad SKU movement","Store-concentrated movement"),""))</f>
        <v/>
      </c>
      <c r="AB323" s="18">
        <f>IF(O323,IF(COUNTIFS($O$5:O323,TRUE)&gt;0,COUNTIFS($O$5:O323,TRUE),0),0)</f>
        <v/>
      </c>
      <c r="AC323" s="18">
        <f>IF(V323="Markdown Review",1,IF(V323="Reorder Candidate",2,IF(V323="Monitor",3,IF(V323="Noise",4,IF(V323="Not Ready",5,99)))))</f>
        <v/>
      </c>
      <c r="AD323" s="18">
        <f>IF(O323,COUNTIFS($O$5:$O$504,TRUE,$AC$5:$AC$504,"&lt;"&amp;AC323)+COUNTIFS($O$5:O323,TRUE,$AC$5:AC323,AC323,$Y$5:Y323,"&gt;"&amp;Y323),0)</f>
        <v/>
      </c>
    </row>
    <row r="324">
      <c r="A324" s="17">
        <f>IF(COUNTA('Weekly Input'!A324:C324)=0,"",'Weekly Input'!B324&amp;"|"&amp;'Weekly Input'!C324&amp;"|"&amp;TEXT('Weekly Input'!A324,"yyyy-mm-dd"))</f>
        <v/>
      </c>
      <c r="B324" s="18">
        <f>'Weekly Input'!B324</f>
        <v/>
      </c>
      <c r="C324" s="18">
        <f>'Weekly Input'!C324</f>
        <v/>
      </c>
      <c r="D324" s="18">
        <f>IF(B324="","",IFERROR(INDEX('Master Data'!$B$6:$B$145,MATCH(B324,'Master Data'!$A$6:$A$145,0)),""))</f>
        <v/>
      </c>
      <c r="E324" s="18">
        <f>IF(C324="","",IFERROR(INDEX('Master Data'!$H$6:$H$13,MATCH(C324,'Master Data'!$F$6:$F$13,0)),""))</f>
        <v/>
      </c>
      <c r="F324" s="19">
        <f>'Weekly Input'!A324</f>
        <v/>
      </c>
      <c r="G324" s="19">
        <f>IF(B324="","",IFERROR(INDEX('Master Data'!$D$6:$D$145,MATCH(B324,'Master Data'!$A$6:$A$145,0)),""))</f>
        <v/>
      </c>
      <c r="H324" s="18">
        <f>IF(OR(F324="",G324=""),"",F324-G324)</f>
        <v/>
      </c>
      <c r="I324" s="18">
        <f>IF(B324="","",IF('Weekly Input'!J324="OK",TRUE,FALSE))</f>
        <v/>
      </c>
      <c r="J324" s="18">
        <f>IF(B324="","",'Weekly Input'!H324&gt;=MinInStockDays)</f>
        <v/>
      </c>
      <c r="K324" s="18">
        <f>IF(B324="","",H324&gt;=FullCycleMin)</f>
        <v/>
      </c>
      <c r="L324" s="18">
        <f>IF(B324="","",AND(I324,J324,K324,N324&gt;=MinHistory))</f>
        <v/>
      </c>
      <c r="M324" s="20">
        <f>IF(OR(B324="",'Weekly Input'!H324=0),"",'Weekly Input'!D324/'Weekly Input'!H324*7)</f>
        <v/>
      </c>
      <c r="N324" s="18">
        <f>IF(B324="","",COUNTIFS($B$5:$B$504,B324,$C$5:$C$504,C324,$I$5:$I$504,TRUE,$J$5:$J$504,TRUE,$K$5:$K$504,TRUE))</f>
        <v/>
      </c>
      <c r="O324" s="18">
        <f>IF(B324="","",AND(F324=AsOfWeek,AsOfWeek&lt;&gt;""))</f>
        <v/>
      </c>
      <c r="P324" s="20">
        <f>IF(OR(B324="",AsOfWeek=""),"",IFERROR(SUMIFS($M$5:$M$504,$B$5:$B$504,B324,$C$5:$C$504,C324,$L$5:$L$504,TRUE,$F$5:$F$504,"&gt;="&amp;AsOfWeek-7*(RecentWeeks-1),$F$5:$F$504,"&lt;="&amp;AsOfWeek),""))</f>
        <v/>
      </c>
      <c r="Q324" s="20">
        <f>IF(OR(B324="",AsOfWeek=""),"",IFERROR(SUMIFS($M$5:$M$504,$B$5:$B$504,B324,$C$5:$C$504,C324,$L$5:$L$504,TRUE,$F$5:$F$504,"&gt;="&amp;AsOfWeek-7*(RecentWeeks+PriorWeeks-1),$F$5:$F$504,"&lt;"&amp;AsOfWeek-7*(RecentWeeks-1)),""))</f>
        <v/>
      </c>
      <c r="R324" s="21">
        <f>IF(OR(P324="",Q324="",Q324=0),"",P324/Q324-1)</f>
        <v/>
      </c>
      <c r="S324" s="20">
        <f>IF(OR(C324="",AsOfWeek=""),"",IFERROR(AVERAGEIFS($M$5:$M$504,$C$5:$C$504,C324,$L$5:$L$504,TRUE,$F$5:$F$504,"&gt;="&amp;AsOfWeek-7*(RecentWeeks-1),$F$5:$F$504,"&lt;="&amp;AsOfWeek),""))</f>
        <v/>
      </c>
      <c r="T324" s="21">
        <f>IF(OR(P324="",S324=""),"",P324/S324-1)</f>
        <v/>
      </c>
      <c r="U324" s="22">
        <f>IF(OR(B324="",'Weekly Input'!G324="",P324="",P324=0),"",'Weekly Input'!G324/P324)</f>
        <v/>
      </c>
      <c r="V324" s="18">
        <f>IF(B324="","",IF(NOT(I324),"Not Ready",IF(NOT(K324),"Not Ready",IF(N324&lt;MinHistory,"Not Ready",IF(NOT(J324),"Not Ready",IF(OR(Q324="",Q324=0),"Noise",IF(Q324&lt;LowBaseThreshold,"Noise",IF(AND(R324&lt;=-OwnDecline,T324&lt;=-PeerGapThreshold),"Markdown Review",IF(AND(R324&gt;=ReorderUplift,U324&lt;&gt;"",U324&lt;=WeeksSupplyCap),"Reorder Candidate","Monitor"))))))))</f>
        <v/>
      </c>
      <c r="W324" s="18">
        <f>IF(B324="","",IF(NOT(I324),"INVALID_MASTER",IF(NOT(K324),"INCOMPLETE_SHELF_CYCLE",IF(N324&lt;MinHistory,"INSUFFICIENT_HISTORY",IF(NOT(J324),"INSUFFICIENT_IN_STOCK",IF(OR(Q324="",Q324=0),"NO_PRIOR_BASE",IF(Q324&lt;LowBaseThreshold,"LOW_BASE_NOISE",IF(V324="Markdown Review","MARKDOWN_PEER_GAP",IF(V324="Reorder Candidate","REORDER_UPLIFT_COVER","NO_MATERIAL_CHANGE"))))))))</f>
        <v/>
      </c>
      <c r="X324" s="18">
        <f>IF(V324="Markdown Review","Markdown support",IF(V324="Reorder Candidate","Second reorder",IF(V324="Monitor","Monitor",IF(V324="Noise","Hold / collect data",IF(V324="Not Ready","Not ready","")))))</f>
        <v/>
      </c>
      <c r="Y324" s="18">
        <f>IF(OR(R324="",T324=""),"",ABS(R324)+ABS(T324))</f>
        <v/>
      </c>
      <c r="Z324" s="21">
        <f>IF(OR(B324="",NOT(O324),R324=""),"",IF(ABS(R324)&gt;=MaterialThreshold,"Yes","No"))</f>
        <v/>
      </c>
      <c r="AA324" s="18">
        <f>IF(Z324&lt;&gt;"Yes","",IF(ABS(R324)&gt;=MaterialThreshold,IF(ABS(R324)&gt;=BroadShare,"Broad SKU movement","Store-concentrated movement"),""))</f>
        <v/>
      </c>
      <c r="AB324" s="18">
        <f>IF(O324,IF(COUNTIFS($O$5:O324,TRUE)&gt;0,COUNTIFS($O$5:O324,TRUE),0),0)</f>
        <v/>
      </c>
      <c r="AC324" s="18">
        <f>IF(V324="Markdown Review",1,IF(V324="Reorder Candidate",2,IF(V324="Monitor",3,IF(V324="Noise",4,IF(V324="Not Ready",5,99)))))</f>
        <v/>
      </c>
      <c r="AD324" s="18">
        <f>IF(O324,COUNTIFS($O$5:$O$504,TRUE,$AC$5:$AC$504,"&lt;"&amp;AC324)+COUNTIFS($O$5:O324,TRUE,$AC$5:AC324,AC324,$Y$5:Y324,"&gt;"&amp;Y324),0)</f>
        <v/>
      </c>
    </row>
    <row r="325">
      <c r="A325" s="17">
        <f>IF(COUNTA('Weekly Input'!A325:C325)=0,"",'Weekly Input'!B325&amp;"|"&amp;'Weekly Input'!C325&amp;"|"&amp;TEXT('Weekly Input'!A325,"yyyy-mm-dd"))</f>
        <v/>
      </c>
      <c r="B325" s="18">
        <f>'Weekly Input'!B325</f>
        <v/>
      </c>
      <c r="C325" s="18">
        <f>'Weekly Input'!C325</f>
        <v/>
      </c>
      <c r="D325" s="18">
        <f>IF(B325="","",IFERROR(INDEX('Master Data'!$B$6:$B$145,MATCH(B325,'Master Data'!$A$6:$A$145,0)),""))</f>
        <v/>
      </c>
      <c r="E325" s="18">
        <f>IF(C325="","",IFERROR(INDEX('Master Data'!$H$6:$H$13,MATCH(C325,'Master Data'!$F$6:$F$13,0)),""))</f>
        <v/>
      </c>
      <c r="F325" s="19">
        <f>'Weekly Input'!A325</f>
        <v/>
      </c>
      <c r="G325" s="19">
        <f>IF(B325="","",IFERROR(INDEX('Master Data'!$D$6:$D$145,MATCH(B325,'Master Data'!$A$6:$A$145,0)),""))</f>
        <v/>
      </c>
      <c r="H325" s="18">
        <f>IF(OR(F325="",G325=""),"",F325-G325)</f>
        <v/>
      </c>
      <c r="I325" s="18">
        <f>IF(B325="","",IF('Weekly Input'!J325="OK",TRUE,FALSE))</f>
        <v/>
      </c>
      <c r="J325" s="18">
        <f>IF(B325="","",'Weekly Input'!H325&gt;=MinInStockDays)</f>
        <v/>
      </c>
      <c r="K325" s="18">
        <f>IF(B325="","",H325&gt;=FullCycleMin)</f>
        <v/>
      </c>
      <c r="L325" s="18">
        <f>IF(B325="","",AND(I325,J325,K325,N325&gt;=MinHistory))</f>
        <v/>
      </c>
      <c r="M325" s="20">
        <f>IF(OR(B325="",'Weekly Input'!H325=0),"",'Weekly Input'!D325/'Weekly Input'!H325*7)</f>
        <v/>
      </c>
      <c r="N325" s="18">
        <f>IF(B325="","",COUNTIFS($B$5:$B$504,B325,$C$5:$C$504,C325,$I$5:$I$504,TRUE,$J$5:$J$504,TRUE,$K$5:$K$504,TRUE))</f>
        <v/>
      </c>
      <c r="O325" s="18">
        <f>IF(B325="","",AND(F325=AsOfWeek,AsOfWeek&lt;&gt;""))</f>
        <v/>
      </c>
      <c r="P325" s="20">
        <f>IF(OR(B325="",AsOfWeek=""),"",IFERROR(SUMIFS($M$5:$M$504,$B$5:$B$504,B325,$C$5:$C$504,C325,$L$5:$L$504,TRUE,$F$5:$F$504,"&gt;="&amp;AsOfWeek-7*(RecentWeeks-1),$F$5:$F$504,"&lt;="&amp;AsOfWeek),""))</f>
        <v/>
      </c>
      <c r="Q325" s="20">
        <f>IF(OR(B325="",AsOfWeek=""),"",IFERROR(SUMIFS($M$5:$M$504,$B$5:$B$504,B325,$C$5:$C$504,C325,$L$5:$L$504,TRUE,$F$5:$F$504,"&gt;="&amp;AsOfWeek-7*(RecentWeeks+PriorWeeks-1),$F$5:$F$504,"&lt;"&amp;AsOfWeek-7*(RecentWeeks-1)),""))</f>
        <v/>
      </c>
      <c r="R325" s="21">
        <f>IF(OR(P325="",Q325="",Q325=0),"",P325/Q325-1)</f>
        <v/>
      </c>
      <c r="S325" s="20">
        <f>IF(OR(C325="",AsOfWeek=""),"",IFERROR(AVERAGEIFS($M$5:$M$504,$C$5:$C$504,C325,$L$5:$L$504,TRUE,$F$5:$F$504,"&gt;="&amp;AsOfWeek-7*(RecentWeeks-1),$F$5:$F$504,"&lt;="&amp;AsOfWeek),""))</f>
        <v/>
      </c>
      <c r="T325" s="21">
        <f>IF(OR(P325="",S325=""),"",P325/S325-1)</f>
        <v/>
      </c>
      <c r="U325" s="22">
        <f>IF(OR(B325="",'Weekly Input'!G325="",P325="",P325=0),"",'Weekly Input'!G325/P325)</f>
        <v/>
      </c>
      <c r="V325" s="18">
        <f>IF(B325="","",IF(NOT(I325),"Not Ready",IF(NOT(K325),"Not Ready",IF(N325&lt;MinHistory,"Not Ready",IF(NOT(J325),"Not Ready",IF(OR(Q325="",Q325=0),"Noise",IF(Q325&lt;LowBaseThreshold,"Noise",IF(AND(R325&lt;=-OwnDecline,T325&lt;=-PeerGapThreshold),"Markdown Review",IF(AND(R325&gt;=ReorderUplift,U325&lt;&gt;"",U325&lt;=WeeksSupplyCap),"Reorder Candidate","Monitor"))))))))</f>
        <v/>
      </c>
      <c r="W325" s="18">
        <f>IF(B325="","",IF(NOT(I325),"INVALID_MASTER",IF(NOT(K325),"INCOMPLETE_SHELF_CYCLE",IF(N325&lt;MinHistory,"INSUFFICIENT_HISTORY",IF(NOT(J325),"INSUFFICIENT_IN_STOCK",IF(OR(Q325="",Q325=0),"NO_PRIOR_BASE",IF(Q325&lt;LowBaseThreshold,"LOW_BASE_NOISE",IF(V325="Markdown Review","MARKDOWN_PEER_GAP",IF(V325="Reorder Candidate","REORDER_UPLIFT_COVER","NO_MATERIAL_CHANGE"))))))))</f>
        <v/>
      </c>
      <c r="X325" s="18">
        <f>IF(V325="Markdown Review","Markdown support",IF(V325="Reorder Candidate","Second reorder",IF(V325="Monitor","Monitor",IF(V325="Noise","Hold / collect data",IF(V325="Not Ready","Not ready","")))))</f>
        <v/>
      </c>
      <c r="Y325" s="18">
        <f>IF(OR(R325="",T325=""),"",ABS(R325)+ABS(T325))</f>
        <v/>
      </c>
      <c r="Z325" s="21">
        <f>IF(OR(B325="",NOT(O325),R325=""),"",IF(ABS(R325)&gt;=MaterialThreshold,"Yes","No"))</f>
        <v/>
      </c>
      <c r="AA325" s="18">
        <f>IF(Z325&lt;&gt;"Yes","",IF(ABS(R325)&gt;=MaterialThreshold,IF(ABS(R325)&gt;=BroadShare,"Broad SKU movement","Store-concentrated movement"),""))</f>
        <v/>
      </c>
      <c r="AB325" s="18">
        <f>IF(O325,IF(COUNTIFS($O$5:O325,TRUE)&gt;0,COUNTIFS($O$5:O325,TRUE),0),0)</f>
        <v/>
      </c>
      <c r="AC325" s="18">
        <f>IF(V325="Markdown Review",1,IF(V325="Reorder Candidate",2,IF(V325="Monitor",3,IF(V325="Noise",4,IF(V325="Not Ready",5,99)))))</f>
        <v/>
      </c>
      <c r="AD325" s="18">
        <f>IF(O325,COUNTIFS($O$5:$O$504,TRUE,$AC$5:$AC$504,"&lt;"&amp;AC325)+COUNTIFS($O$5:O325,TRUE,$AC$5:AC325,AC325,$Y$5:Y325,"&gt;"&amp;Y325),0)</f>
        <v/>
      </c>
    </row>
    <row r="326">
      <c r="A326" s="17">
        <f>IF(COUNTA('Weekly Input'!A326:C326)=0,"",'Weekly Input'!B326&amp;"|"&amp;'Weekly Input'!C326&amp;"|"&amp;TEXT('Weekly Input'!A326,"yyyy-mm-dd"))</f>
        <v/>
      </c>
      <c r="B326" s="18">
        <f>'Weekly Input'!B326</f>
        <v/>
      </c>
      <c r="C326" s="18">
        <f>'Weekly Input'!C326</f>
        <v/>
      </c>
      <c r="D326" s="18">
        <f>IF(B326="","",IFERROR(INDEX('Master Data'!$B$6:$B$145,MATCH(B326,'Master Data'!$A$6:$A$145,0)),""))</f>
        <v/>
      </c>
      <c r="E326" s="18">
        <f>IF(C326="","",IFERROR(INDEX('Master Data'!$H$6:$H$13,MATCH(C326,'Master Data'!$F$6:$F$13,0)),""))</f>
        <v/>
      </c>
      <c r="F326" s="19">
        <f>'Weekly Input'!A326</f>
        <v/>
      </c>
      <c r="G326" s="19">
        <f>IF(B326="","",IFERROR(INDEX('Master Data'!$D$6:$D$145,MATCH(B326,'Master Data'!$A$6:$A$145,0)),""))</f>
        <v/>
      </c>
      <c r="H326" s="18">
        <f>IF(OR(F326="",G326=""),"",F326-G326)</f>
        <v/>
      </c>
      <c r="I326" s="18">
        <f>IF(B326="","",IF('Weekly Input'!J326="OK",TRUE,FALSE))</f>
        <v/>
      </c>
      <c r="J326" s="18">
        <f>IF(B326="","",'Weekly Input'!H326&gt;=MinInStockDays)</f>
        <v/>
      </c>
      <c r="K326" s="18">
        <f>IF(B326="","",H326&gt;=FullCycleMin)</f>
        <v/>
      </c>
      <c r="L326" s="18">
        <f>IF(B326="","",AND(I326,J326,K326,N326&gt;=MinHistory))</f>
        <v/>
      </c>
      <c r="M326" s="20">
        <f>IF(OR(B326="",'Weekly Input'!H326=0),"",'Weekly Input'!D326/'Weekly Input'!H326*7)</f>
        <v/>
      </c>
      <c r="N326" s="18">
        <f>IF(B326="","",COUNTIFS($B$5:$B$504,B326,$C$5:$C$504,C326,$I$5:$I$504,TRUE,$J$5:$J$504,TRUE,$K$5:$K$504,TRUE))</f>
        <v/>
      </c>
      <c r="O326" s="18">
        <f>IF(B326="","",AND(F326=AsOfWeek,AsOfWeek&lt;&gt;""))</f>
        <v/>
      </c>
      <c r="P326" s="20">
        <f>IF(OR(B326="",AsOfWeek=""),"",IFERROR(SUMIFS($M$5:$M$504,$B$5:$B$504,B326,$C$5:$C$504,C326,$L$5:$L$504,TRUE,$F$5:$F$504,"&gt;="&amp;AsOfWeek-7*(RecentWeeks-1),$F$5:$F$504,"&lt;="&amp;AsOfWeek),""))</f>
        <v/>
      </c>
      <c r="Q326" s="20">
        <f>IF(OR(B326="",AsOfWeek=""),"",IFERROR(SUMIFS($M$5:$M$504,$B$5:$B$504,B326,$C$5:$C$504,C326,$L$5:$L$504,TRUE,$F$5:$F$504,"&gt;="&amp;AsOfWeek-7*(RecentWeeks+PriorWeeks-1),$F$5:$F$504,"&lt;"&amp;AsOfWeek-7*(RecentWeeks-1)),""))</f>
        <v/>
      </c>
      <c r="R326" s="21">
        <f>IF(OR(P326="",Q326="",Q326=0),"",P326/Q326-1)</f>
        <v/>
      </c>
      <c r="S326" s="20">
        <f>IF(OR(C326="",AsOfWeek=""),"",IFERROR(AVERAGEIFS($M$5:$M$504,$C$5:$C$504,C326,$L$5:$L$504,TRUE,$F$5:$F$504,"&gt;="&amp;AsOfWeek-7*(RecentWeeks-1),$F$5:$F$504,"&lt;="&amp;AsOfWeek),""))</f>
        <v/>
      </c>
      <c r="T326" s="21">
        <f>IF(OR(P326="",S326=""),"",P326/S326-1)</f>
        <v/>
      </c>
      <c r="U326" s="22">
        <f>IF(OR(B326="",'Weekly Input'!G326="",P326="",P326=0),"",'Weekly Input'!G326/P326)</f>
        <v/>
      </c>
      <c r="V326" s="18">
        <f>IF(B326="","",IF(NOT(I326),"Not Ready",IF(NOT(K326),"Not Ready",IF(N326&lt;MinHistory,"Not Ready",IF(NOT(J326),"Not Ready",IF(OR(Q326="",Q326=0),"Noise",IF(Q326&lt;LowBaseThreshold,"Noise",IF(AND(R326&lt;=-OwnDecline,T326&lt;=-PeerGapThreshold),"Markdown Review",IF(AND(R326&gt;=ReorderUplift,U326&lt;&gt;"",U326&lt;=WeeksSupplyCap),"Reorder Candidate","Monitor"))))))))</f>
        <v/>
      </c>
      <c r="W326" s="18">
        <f>IF(B326="","",IF(NOT(I326),"INVALID_MASTER",IF(NOT(K326),"INCOMPLETE_SHELF_CYCLE",IF(N326&lt;MinHistory,"INSUFFICIENT_HISTORY",IF(NOT(J326),"INSUFFICIENT_IN_STOCK",IF(OR(Q326="",Q326=0),"NO_PRIOR_BASE",IF(Q326&lt;LowBaseThreshold,"LOW_BASE_NOISE",IF(V326="Markdown Review","MARKDOWN_PEER_GAP",IF(V326="Reorder Candidate","REORDER_UPLIFT_COVER","NO_MATERIAL_CHANGE"))))))))</f>
        <v/>
      </c>
      <c r="X326" s="18">
        <f>IF(V326="Markdown Review","Markdown support",IF(V326="Reorder Candidate","Second reorder",IF(V326="Monitor","Monitor",IF(V326="Noise","Hold / collect data",IF(V326="Not Ready","Not ready","")))))</f>
        <v/>
      </c>
      <c r="Y326" s="18">
        <f>IF(OR(R326="",T326=""),"",ABS(R326)+ABS(T326))</f>
        <v/>
      </c>
      <c r="Z326" s="21">
        <f>IF(OR(B326="",NOT(O326),R326=""),"",IF(ABS(R326)&gt;=MaterialThreshold,"Yes","No"))</f>
        <v/>
      </c>
      <c r="AA326" s="18">
        <f>IF(Z326&lt;&gt;"Yes","",IF(ABS(R326)&gt;=MaterialThreshold,IF(ABS(R326)&gt;=BroadShare,"Broad SKU movement","Store-concentrated movement"),""))</f>
        <v/>
      </c>
      <c r="AB326" s="18">
        <f>IF(O326,IF(COUNTIFS($O$5:O326,TRUE)&gt;0,COUNTIFS($O$5:O326,TRUE),0),0)</f>
        <v/>
      </c>
      <c r="AC326" s="18">
        <f>IF(V326="Markdown Review",1,IF(V326="Reorder Candidate",2,IF(V326="Monitor",3,IF(V326="Noise",4,IF(V326="Not Ready",5,99)))))</f>
        <v/>
      </c>
      <c r="AD326" s="18">
        <f>IF(O326,COUNTIFS($O$5:$O$504,TRUE,$AC$5:$AC$504,"&lt;"&amp;AC326)+COUNTIFS($O$5:O326,TRUE,$AC$5:AC326,AC326,$Y$5:Y326,"&gt;"&amp;Y326),0)</f>
        <v/>
      </c>
    </row>
    <row r="327">
      <c r="A327" s="17">
        <f>IF(COUNTA('Weekly Input'!A327:C327)=0,"",'Weekly Input'!B327&amp;"|"&amp;'Weekly Input'!C327&amp;"|"&amp;TEXT('Weekly Input'!A327,"yyyy-mm-dd"))</f>
        <v/>
      </c>
      <c r="B327" s="18">
        <f>'Weekly Input'!B327</f>
        <v/>
      </c>
      <c r="C327" s="18">
        <f>'Weekly Input'!C327</f>
        <v/>
      </c>
      <c r="D327" s="18">
        <f>IF(B327="","",IFERROR(INDEX('Master Data'!$B$6:$B$145,MATCH(B327,'Master Data'!$A$6:$A$145,0)),""))</f>
        <v/>
      </c>
      <c r="E327" s="18">
        <f>IF(C327="","",IFERROR(INDEX('Master Data'!$H$6:$H$13,MATCH(C327,'Master Data'!$F$6:$F$13,0)),""))</f>
        <v/>
      </c>
      <c r="F327" s="19">
        <f>'Weekly Input'!A327</f>
        <v/>
      </c>
      <c r="G327" s="19">
        <f>IF(B327="","",IFERROR(INDEX('Master Data'!$D$6:$D$145,MATCH(B327,'Master Data'!$A$6:$A$145,0)),""))</f>
        <v/>
      </c>
      <c r="H327" s="18">
        <f>IF(OR(F327="",G327=""),"",F327-G327)</f>
        <v/>
      </c>
      <c r="I327" s="18">
        <f>IF(B327="","",IF('Weekly Input'!J327="OK",TRUE,FALSE))</f>
        <v/>
      </c>
      <c r="J327" s="18">
        <f>IF(B327="","",'Weekly Input'!H327&gt;=MinInStockDays)</f>
        <v/>
      </c>
      <c r="K327" s="18">
        <f>IF(B327="","",H327&gt;=FullCycleMin)</f>
        <v/>
      </c>
      <c r="L327" s="18">
        <f>IF(B327="","",AND(I327,J327,K327,N327&gt;=MinHistory))</f>
        <v/>
      </c>
      <c r="M327" s="20">
        <f>IF(OR(B327="",'Weekly Input'!H327=0),"",'Weekly Input'!D327/'Weekly Input'!H327*7)</f>
        <v/>
      </c>
      <c r="N327" s="18">
        <f>IF(B327="","",COUNTIFS($B$5:$B$504,B327,$C$5:$C$504,C327,$I$5:$I$504,TRUE,$J$5:$J$504,TRUE,$K$5:$K$504,TRUE))</f>
        <v/>
      </c>
      <c r="O327" s="18">
        <f>IF(B327="","",AND(F327=AsOfWeek,AsOfWeek&lt;&gt;""))</f>
        <v/>
      </c>
      <c r="P327" s="20">
        <f>IF(OR(B327="",AsOfWeek=""),"",IFERROR(SUMIFS($M$5:$M$504,$B$5:$B$504,B327,$C$5:$C$504,C327,$L$5:$L$504,TRUE,$F$5:$F$504,"&gt;="&amp;AsOfWeek-7*(RecentWeeks-1),$F$5:$F$504,"&lt;="&amp;AsOfWeek),""))</f>
        <v/>
      </c>
      <c r="Q327" s="20">
        <f>IF(OR(B327="",AsOfWeek=""),"",IFERROR(SUMIFS($M$5:$M$504,$B$5:$B$504,B327,$C$5:$C$504,C327,$L$5:$L$504,TRUE,$F$5:$F$504,"&gt;="&amp;AsOfWeek-7*(RecentWeeks+PriorWeeks-1),$F$5:$F$504,"&lt;"&amp;AsOfWeek-7*(RecentWeeks-1)),""))</f>
        <v/>
      </c>
      <c r="R327" s="21">
        <f>IF(OR(P327="",Q327="",Q327=0),"",P327/Q327-1)</f>
        <v/>
      </c>
      <c r="S327" s="20">
        <f>IF(OR(C327="",AsOfWeek=""),"",IFERROR(AVERAGEIFS($M$5:$M$504,$C$5:$C$504,C327,$L$5:$L$504,TRUE,$F$5:$F$504,"&gt;="&amp;AsOfWeek-7*(RecentWeeks-1),$F$5:$F$504,"&lt;="&amp;AsOfWeek),""))</f>
        <v/>
      </c>
      <c r="T327" s="21">
        <f>IF(OR(P327="",S327=""),"",P327/S327-1)</f>
        <v/>
      </c>
      <c r="U327" s="22">
        <f>IF(OR(B327="",'Weekly Input'!G327="",P327="",P327=0),"",'Weekly Input'!G327/P327)</f>
        <v/>
      </c>
      <c r="V327" s="18">
        <f>IF(B327="","",IF(NOT(I327),"Not Ready",IF(NOT(K327),"Not Ready",IF(N327&lt;MinHistory,"Not Ready",IF(NOT(J327),"Not Ready",IF(OR(Q327="",Q327=0),"Noise",IF(Q327&lt;LowBaseThreshold,"Noise",IF(AND(R327&lt;=-OwnDecline,T327&lt;=-PeerGapThreshold),"Markdown Review",IF(AND(R327&gt;=ReorderUplift,U327&lt;&gt;"",U327&lt;=WeeksSupplyCap),"Reorder Candidate","Monitor"))))))))</f>
        <v/>
      </c>
      <c r="W327" s="18">
        <f>IF(B327="","",IF(NOT(I327),"INVALID_MASTER",IF(NOT(K327),"INCOMPLETE_SHELF_CYCLE",IF(N327&lt;MinHistory,"INSUFFICIENT_HISTORY",IF(NOT(J327),"INSUFFICIENT_IN_STOCK",IF(OR(Q327="",Q327=0),"NO_PRIOR_BASE",IF(Q327&lt;LowBaseThreshold,"LOW_BASE_NOISE",IF(V327="Markdown Review","MARKDOWN_PEER_GAP",IF(V327="Reorder Candidate","REORDER_UPLIFT_COVER","NO_MATERIAL_CHANGE"))))))))</f>
        <v/>
      </c>
      <c r="X327" s="18">
        <f>IF(V327="Markdown Review","Markdown support",IF(V327="Reorder Candidate","Second reorder",IF(V327="Monitor","Monitor",IF(V327="Noise","Hold / collect data",IF(V327="Not Ready","Not ready","")))))</f>
        <v/>
      </c>
      <c r="Y327" s="18">
        <f>IF(OR(R327="",T327=""),"",ABS(R327)+ABS(T327))</f>
        <v/>
      </c>
      <c r="Z327" s="21">
        <f>IF(OR(B327="",NOT(O327),R327=""),"",IF(ABS(R327)&gt;=MaterialThreshold,"Yes","No"))</f>
        <v/>
      </c>
      <c r="AA327" s="18">
        <f>IF(Z327&lt;&gt;"Yes","",IF(ABS(R327)&gt;=MaterialThreshold,IF(ABS(R327)&gt;=BroadShare,"Broad SKU movement","Store-concentrated movement"),""))</f>
        <v/>
      </c>
      <c r="AB327" s="18">
        <f>IF(O327,IF(COUNTIFS($O$5:O327,TRUE)&gt;0,COUNTIFS($O$5:O327,TRUE),0),0)</f>
        <v/>
      </c>
      <c r="AC327" s="18">
        <f>IF(V327="Markdown Review",1,IF(V327="Reorder Candidate",2,IF(V327="Monitor",3,IF(V327="Noise",4,IF(V327="Not Ready",5,99)))))</f>
        <v/>
      </c>
      <c r="AD327" s="18">
        <f>IF(O327,COUNTIFS($O$5:$O$504,TRUE,$AC$5:$AC$504,"&lt;"&amp;AC327)+COUNTIFS($O$5:O327,TRUE,$AC$5:AC327,AC327,$Y$5:Y327,"&gt;"&amp;Y327),0)</f>
        <v/>
      </c>
    </row>
    <row r="328">
      <c r="A328" s="17">
        <f>IF(COUNTA('Weekly Input'!A328:C328)=0,"",'Weekly Input'!B328&amp;"|"&amp;'Weekly Input'!C328&amp;"|"&amp;TEXT('Weekly Input'!A328,"yyyy-mm-dd"))</f>
        <v/>
      </c>
      <c r="B328" s="18">
        <f>'Weekly Input'!B328</f>
        <v/>
      </c>
      <c r="C328" s="18">
        <f>'Weekly Input'!C328</f>
        <v/>
      </c>
      <c r="D328" s="18">
        <f>IF(B328="","",IFERROR(INDEX('Master Data'!$B$6:$B$145,MATCH(B328,'Master Data'!$A$6:$A$145,0)),""))</f>
        <v/>
      </c>
      <c r="E328" s="18">
        <f>IF(C328="","",IFERROR(INDEX('Master Data'!$H$6:$H$13,MATCH(C328,'Master Data'!$F$6:$F$13,0)),""))</f>
        <v/>
      </c>
      <c r="F328" s="19">
        <f>'Weekly Input'!A328</f>
        <v/>
      </c>
      <c r="G328" s="19">
        <f>IF(B328="","",IFERROR(INDEX('Master Data'!$D$6:$D$145,MATCH(B328,'Master Data'!$A$6:$A$145,0)),""))</f>
        <v/>
      </c>
      <c r="H328" s="18">
        <f>IF(OR(F328="",G328=""),"",F328-G328)</f>
        <v/>
      </c>
      <c r="I328" s="18">
        <f>IF(B328="","",IF('Weekly Input'!J328="OK",TRUE,FALSE))</f>
        <v/>
      </c>
      <c r="J328" s="18">
        <f>IF(B328="","",'Weekly Input'!H328&gt;=MinInStockDays)</f>
        <v/>
      </c>
      <c r="K328" s="18">
        <f>IF(B328="","",H328&gt;=FullCycleMin)</f>
        <v/>
      </c>
      <c r="L328" s="18">
        <f>IF(B328="","",AND(I328,J328,K328,N328&gt;=MinHistory))</f>
        <v/>
      </c>
      <c r="M328" s="20">
        <f>IF(OR(B328="",'Weekly Input'!H328=0),"",'Weekly Input'!D328/'Weekly Input'!H328*7)</f>
        <v/>
      </c>
      <c r="N328" s="18">
        <f>IF(B328="","",COUNTIFS($B$5:$B$504,B328,$C$5:$C$504,C328,$I$5:$I$504,TRUE,$J$5:$J$504,TRUE,$K$5:$K$504,TRUE))</f>
        <v/>
      </c>
      <c r="O328" s="18">
        <f>IF(B328="","",AND(F328=AsOfWeek,AsOfWeek&lt;&gt;""))</f>
        <v/>
      </c>
      <c r="P328" s="20">
        <f>IF(OR(B328="",AsOfWeek=""),"",IFERROR(SUMIFS($M$5:$M$504,$B$5:$B$504,B328,$C$5:$C$504,C328,$L$5:$L$504,TRUE,$F$5:$F$504,"&gt;="&amp;AsOfWeek-7*(RecentWeeks-1),$F$5:$F$504,"&lt;="&amp;AsOfWeek),""))</f>
        <v/>
      </c>
      <c r="Q328" s="20">
        <f>IF(OR(B328="",AsOfWeek=""),"",IFERROR(SUMIFS($M$5:$M$504,$B$5:$B$504,B328,$C$5:$C$504,C328,$L$5:$L$504,TRUE,$F$5:$F$504,"&gt;="&amp;AsOfWeek-7*(RecentWeeks+PriorWeeks-1),$F$5:$F$504,"&lt;"&amp;AsOfWeek-7*(RecentWeeks-1)),""))</f>
        <v/>
      </c>
      <c r="R328" s="21">
        <f>IF(OR(P328="",Q328="",Q328=0),"",P328/Q328-1)</f>
        <v/>
      </c>
      <c r="S328" s="20">
        <f>IF(OR(C328="",AsOfWeek=""),"",IFERROR(AVERAGEIFS($M$5:$M$504,$C$5:$C$504,C328,$L$5:$L$504,TRUE,$F$5:$F$504,"&gt;="&amp;AsOfWeek-7*(RecentWeeks-1),$F$5:$F$504,"&lt;="&amp;AsOfWeek),""))</f>
        <v/>
      </c>
      <c r="T328" s="21">
        <f>IF(OR(P328="",S328=""),"",P328/S328-1)</f>
        <v/>
      </c>
      <c r="U328" s="22">
        <f>IF(OR(B328="",'Weekly Input'!G328="",P328="",P328=0),"",'Weekly Input'!G328/P328)</f>
        <v/>
      </c>
      <c r="V328" s="18">
        <f>IF(B328="","",IF(NOT(I328),"Not Ready",IF(NOT(K328),"Not Ready",IF(N328&lt;MinHistory,"Not Ready",IF(NOT(J328),"Not Ready",IF(OR(Q328="",Q328=0),"Noise",IF(Q328&lt;LowBaseThreshold,"Noise",IF(AND(R328&lt;=-OwnDecline,T328&lt;=-PeerGapThreshold),"Markdown Review",IF(AND(R328&gt;=ReorderUplift,U328&lt;&gt;"",U328&lt;=WeeksSupplyCap),"Reorder Candidate","Monitor"))))))))</f>
        <v/>
      </c>
      <c r="W328" s="18">
        <f>IF(B328="","",IF(NOT(I328),"INVALID_MASTER",IF(NOT(K328),"INCOMPLETE_SHELF_CYCLE",IF(N328&lt;MinHistory,"INSUFFICIENT_HISTORY",IF(NOT(J328),"INSUFFICIENT_IN_STOCK",IF(OR(Q328="",Q328=0),"NO_PRIOR_BASE",IF(Q328&lt;LowBaseThreshold,"LOW_BASE_NOISE",IF(V328="Markdown Review","MARKDOWN_PEER_GAP",IF(V328="Reorder Candidate","REORDER_UPLIFT_COVER","NO_MATERIAL_CHANGE"))))))))</f>
        <v/>
      </c>
      <c r="X328" s="18">
        <f>IF(V328="Markdown Review","Markdown support",IF(V328="Reorder Candidate","Second reorder",IF(V328="Monitor","Monitor",IF(V328="Noise","Hold / collect data",IF(V328="Not Ready","Not ready","")))))</f>
        <v/>
      </c>
      <c r="Y328" s="18">
        <f>IF(OR(R328="",T328=""),"",ABS(R328)+ABS(T328))</f>
        <v/>
      </c>
      <c r="Z328" s="21">
        <f>IF(OR(B328="",NOT(O328),R328=""),"",IF(ABS(R328)&gt;=MaterialThreshold,"Yes","No"))</f>
        <v/>
      </c>
      <c r="AA328" s="18">
        <f>IF(Z328&lt;&gt;"Yes","",IF(ABS(R328)&gt;=MaterialThreshold,IF(ABS(R328)&gt;=BroadShare,"Broad SKU movement","Store-concentrated movement"),""))</f>
        <v/>
      </c>
      <c r="AB328" s="18">
        <f>IF(O328,IF(COUNTIFS($O$5:O328,TRUE)&gt;0,COUNTIFS($O$5:O328,TRUE),0),0)</f>
        <v/>
      </c>
      <c r="AC328" s="18">
        <f>IF(V328="Markdown Review",1,IF(V328="Reorder Candidate",2,IF(V328="Monitor",3,IF(V328="Noise",4,IF(V328="Not Ready",5,99)))))</f>
        <v/>
      </c>
      <c r="AD328" s="18">
        <f>IF(O328,COUNTIFS($O$5:$O$504,TRUE,$AC$5:$AC$504,"&lt;"&amp;AC328)+COUNTIFS($O$5:O328,TRUE,$AC$5:AC328,AC328,$Y$5:Y328,"&gt;"&amp;Y328),0)</f>
        <v/>
      </c>
    </row>
    <row r="329">
      <c r="A329" s="17">
        <f>IF(COUNTA('Weekly Input'!A329:C329)=0,"",'Weekly Input'!B329&amp;"|"&amp;'Weekly Input'!C329&amp;"|"&amp;TEXT('Weekly Input'!A329,"yyyy-mm-dd"))</f>
        <v/>
      </c>
      <c r="B329" s="18">
        <f>'Weekly Input'!B329</f>
        <v/>
      </c>
      <c r="C329" s="18">
        <f>'Weekly Input'!C329</f>
        <v/>
      </c>
      <c r="D329" s="18">
        <f>IF(B329="","",IFERROR(INDEX('Master Data'!$B$6:$B$145,MATCH(B329,'Master Data'!$A$6:$A$145,0)),""))</f>
        <v/>
      </c>
      <c r="E329" s="18">
        <f>IF(C329="","",IFERROR(INDEX('Master Data'!$H$6:$H$13,MATCH(C329,'Master Data'!$F$6:$F$13,0)),""))</f>
        <v/>
      </c>
      <c r="F329" s="19">
        <f>'Weekly Input'!A329</f>
        <v/>
      </c>
      <c r="G329" s="19">
        <f>IF(B329="","",IFERROR(INDEX('Master Data'!$D$6:$D$145,MATCH(B329,'Master Data'!$A$6:$A$145,0)),""))</f>
        <v/>
      </c>
      <c r="H329" s="18">
        <f>IF(OR(F329="",G329=""),"",F329-G329)</f>
        <v/>
      </c>
      <c r="I329" s="18">
        <f>IF(B329="","",IF('Weekly Input'!J329="OK",TRUE,FALSE))</f>
        <v/>
      </c>
      <c r="J329" s="18">
        <f>IF(B329="","",'Weekly Input'!H329&gt;=MinInStockDays)</f>
        <v/>
      </c>
      <c r="K329" s="18">
        <f>IF(B329="","",H329&gt;=FullCycleMin)</f>
        <v/>
      </c>
      <c r="L329" s="18">
        <f>IF(B329="","",AND(I329,J329,K329,N329&gt;=MinHistory))</f>
        <v/>
      </c>
      <c r="M329" s="20">
        <f>IF(OR(B329="",'Weekly Input'!H329=0),"",'Weekly Input'!D329/'Weekly Input'!H329*7)</f>
        <v/>
      </c>
      <c r="N329" s="18">
        <f>IF(B329="","",COUNTIFS($B$5:$B$504,B329,$C$5:$C$504,C329,$I$5:$I$504,TRUE,$J$5:$J$504,TRUE,$K$5:$K$504,TRUE))</f>
        <v/>
      </c>
      <c r="O329" s="18">
        <f>IF(B329="","",AND(F329=AsOfWeek,AsOfWeek&lt;&gt;""))</f>
        <v/>
      </c>
      <c r="P329" s="20">
        <f>IF(OR(B329="",AsOfWeek=""),"",IFERROR(SUMIFS($M$5:$M$504,$B$5:$B$504,B329,$C$5:$C$504,C329,$L$5:$L$504,TRUE,$F$5:$F$504,"&gt;="&amp;AsOfWeek-7*(RecentWeeks-1),$F$5:$F$504,"&lt;="&amp;AsOfWeek),""))</f>
        <v/>
      </c>
      <c r="Q329" s="20">
        <f>IF(OR(B329="",AsOfWeek=""),"",IFERROR(SUMIFS($M$5:$M$504,$B$5:$B$504,B329,$C$5:$C$504,C329,$L$5:$L$504,TRUE,$F$5:$F$504,"&gt;="&amp;AsOfWeek-7*(RecentWeeks+PriorWeeks-1),$F$5:$F$504,"&lt;"&amp;AsOfWeek-7*(RecentWeeks-1)),""))</f>
        <v/>
      </c>
      <c r="R329" s="21">
        <f>IF(OR(P329="",Q329="",Q329=0),"",P329/Q329-1)</f>
        <v/>
      </c>
      <c r="S329" s="20">
        <f>IF(OR(C329="",AsOfWeek=""),"",IFERROR(AVERAGEIFS($M$5:$M$504,$C$5:$C$504,C329,$L$5:$L$504,TRUE,$F$5:$F$504,"&gt;="&amp;AsOfWeek-7*(RecentWeeks-1),$F$5:$F$504,"&lt;="&amp;AsOfWeek),""))</f>
        <v/>
      </c>
      <c r="T329" s="21">
        <f>IF(OR(P329="",S329=""),"",P329/S329-1)</f>
        <v/>
      </c>
      <c r="U329" s="22">
        <f>IF(OR(B329="",'Weekly Input'!G329="",P329="",P329=0),"",'Weekly Input'!G329/P329)</f>
        <v/>
      </c>
      <c r="V329" s="18">
        <f>IF(B329="","",IF(NOT(I329),"Not Ready",IF(NOT(K329),"Not Ready",IF(N329&lt;MinHistory,"Not Ready",IF(NOT(J329),"Not Ready",IF(OR(Q329="",Q329=0),"Noise",IF(Q329&lt;LowBaseThreshold,"Noise",IF(AND(R329&lt;=-OwnDecline,T329&lt;=-PeerGapThreshold),"Markdown Review",IF(AND(R329&gt;=ReorderUplift,U329&lt;&gt;"",U329&lt;=WeeksSupplyCap),"Reorder Candidate","Monitor"))))))))</f>
        <v/>
      </c>
      <c r="W329" s="18">
        <f>IF(B329="","",IF(NOT(I329),"INVALID_MASTER",IF(NOT(K329),"INCOMPLETE_SHELF_CYCLE",IF(N329&lt;MinHistory,"INSUFFICIENT_HISTORY",IF(NOT(J329),"INSUFFICIENT_IN_STOCK",IF(OR(Q329="",Q329=0),"NO_PRIOR_BASE",IF(Q329&lt;LowBaseThreshold,"LOW_BASE_NOISE",IF(V329="Markdown Review","MARKDOWN_PEER_GAP",IF(V329="Reorder Candidate","REORDER_UPLIFT_COVER","NO_MATERIAL_CHANGE"))))))))</f>
        <v/>
      </c>
      <c r="X329" s="18">
        <f>IF(V329="Markdown Review","Markdown support",IF(V329="Reorder Candidate","Second reorder",IF(V329="Monitor","Monitor",IF(V329="Noise","Hold / collect data",IF(V329="Not Ready","Not ready","")))))</f>
        <v/>
      </c>
      <c r="Y329" s="18">
        <f>IF(OR(R329="",T329=""),"",ABS(R329)+ABS(T329))</f>
        <v/>
      </c>
      <c r="Z329" s="21">
        <f>IF(OR(B329="",NOT(O329),R329=""),"",IF(ABS(R329)&gt;=MaterialThreshold,"Yes","No"))</f>
        <v/>
      </c>
      <c r="AA329" s="18">
        <f>IF(Z329&lt;&gt;"Yes","",IF(ABS(R329)&gt;=MaterialThreshold,IF(ABS(R329)&gt;=BroadShare,"Broad SKU movement","Store-concentrated movement"),""))</f>
        <v/>
      </c>
      <c r="AB329" s="18">
        <f>IF(O329,IF(COUNTIFS($O$5:O329,TRUE)&gt;0,COUNTIFS($O$5:O329,TRUE),0),0)</f>
        <v/>
      </c>
      <c r="AC329" s="18">
        <f>IF(V329="Markdown Review",1,IF(V329="Reorder Candidate",2,IF(V329="Monitor",3,IF(V329="Noise",4,IF(V329="Not Ready",5,99)))))</f>
        <v/>
      </c>
      <c r="AD329" s="18">
        <f>IF(O329,COUNTIFS($O$5:$O$504,TRUE,$AC$5:$AC$504,"&lt;"&amp;AC329)+COUNTIFS($O$5:O329,TRUE,$AC$5:AC329,AC329,$Y$5:Y329,"&gt;"&amp;Y329),0)</f>
        <v/>
      </c>
    </row>
    <row r="330">
      <c r="A330" s="17">
        <f>IF(COUNTA('Weekly Input'!A330:C330)=0,"",'Weekly Input'!B330&amp;"|"&amp;'Weekly Input'!C330&amp;"|"&amp;TEXT('Weekly Input'!A330,"yyyy-mm-dd"))</f>
        <v/>
      </c>
      <c r="B330" s="18">
        <f>'Weekly Input'!B330</f>
        <v/>
      </c>
      <c r="C330" s="18">
        <f>'Weekly Input'!C330</f>
        <v/>
      </c>
      <c r="D330" s="18">
        <f>IF(B330="","",IFERROR(INDEX('Master Data'!$B$6:$B$145,MATCH(B330,'Master Data'!$A$6:$A$145,0)),""))</f>
        <v/>
      </c>
      <c r="E330" s="18">
        <f>IF(C330="","",IFERROR(INDEX('Master Data'!$H$6:$H$13,MATCH(C330,'Master Data'!$F$6:$F$13,0)),""))</f>
        <v/>
      </c>
      <c r="F330" s="19">
        <f>'Weekly Input'!A330</f>
        <v/>
      </c>
      <c r="G330" s="19">
        <f>IF(B330="","",IFERROR(INDEX('Master Data'!$D$6:$D$145,MATCH(B330,'Master Data'!$A$6:$A$145,0)),""))</f>
        <v/>
      </c>
      <c r="H330" s="18">
        <f>IF(OR(F330="",G330=""),"",F330-G330)</f>
        <v/>
      </c>
      <c r="I330" s="18">
        <f>IF(B330="","",IF('Weekly Input'!J330="OK",TRUE,FALSE))</f>
        <v/>
      </c>
      <c r="J330" s="18">
        <f>IF(B330="","",'Weekly Input'!H330&gt;=MinInStockDays)</f>
        <v/>
      </c>
      <c r="K330" s="18">
        <f>IF(B330="","",H330&gt;=FullCycleMin)</f>
        <v/>
      </c>
      <c r="L330" s="18">
        <f>IF(B330="","",AND(I330,J330,K330,N330&gt;=MinHistory))</f>
        <v/>
      </c>
      <c r="M330" s="20">
        <f>IF(OR(B330="",'Weekly Input'!H330=0),"",'Weekly Input'!D330/'Weekly Input'!H330*7)</f>
        <v/>
      </c>
      <c r="N330" s="18">
        <f>IF(B330="","",COUNTIFS($B$5:$B$504,B330,$C$5:$C$504,C330,$I$5:$I$504,TRUE,$J$5:$J$504,TRUE,$K$5:$K$504,TRUE))</f>
        <v/>
      </c>
      <c r="O330" s="18">
        <f>IF(B330="","",AND(F330=AsOfWeek,AsOfWeek&lt;&gt;""))</f>
        <v/>
      </c>
      <c r="P330" s="20">
        <f>IF(OR(B330="",AsOfWeek=""),"",IFERROR(SUMIFS($M$5:$M$504,$B$5:$B$504,B330,$C$5:$C$504,C330,$L$5:$L$504,TRUE,$F$5:$F$504,"&gt;="&amp;AsOfWeek-7*(RecentWeeks-1),$F$5:$F$504,"&lt;="&amp;AsOfWeek),""))</f>
        <v/>
      </c>
      <c r="Q330" s="20">
        <f>IF(OR(B330="",AsOfWeek=""),"",IFERROR(SUMIFS($M$5:$M$504,$B$5:$B$504,B330,$C$5:$C$504,C330,$L$5:$L$504,TRUE,$F$5:$F$504,"&gt;="&amp;AsOfWeek-7*(RecentWeeks+PriorWeeks-1),$F$5:$F$504,"&lt;"&amp;AsOfWeek-7*(RecentWeeks-1)),""))</f>
        <v/>
      </c>
      <c r="R330" s="21">
        <f>IF(OR(P330="",Q330="",Q330=0),"",P330/Q330-1)</f>
        <v/>
      </c>
      <c r="S330" s="20">
        <f>IF(OR(C330="",AsOfWeek=""),"",IFERROR(AVERAGEIFS($M$5:$M$504,$C$5:$C$504,C330,$L$5:$L$504,TRUE,$F$5:$F$504,"&gt;="&amp;AsOfWeek-7*(RecentWeeks-1),$F$5:$F$504,"&lt;="&amp;AsOfWeek),""))</f>
        <v/>
      </c>
      <c r="T330" s="21">
        <f>IF(OR(P330="",S330=""),"",P330/S330-1)</f>
        <v/>
      </c>
      <c r="U330" s="22">
        <f>IF(OR(B330="",'Weekly Input'!G330="",P330="",P330=0),"",'Weekly Input'!G330/P330)</f>
        <v/>
      </c>
      <c r="V330" s="18">
        <f>IF(B330="","",IF(NOT(I330),"Not Ready",IF(NOT(K330),"Not Ready",IF(N330&lt;MinHistory,"Not Ready",IF(NOT(J330),"Not Ready",IF(OR(Q330="",Q330=0),"Noise",IF(Q330&lt;LowBaseThreshold,"Noise",IF(AND(R330&lt;=-OwnDecline,T330&lt;=-PeerGapThreshold),"Markdown Review",IF(AND(R330&gt;=ReorderUplift,U330&lt;&gt;"",U330&lt;=WeeksSupplyCap),"Reorder Candidate","Monitor"))))))))</f>
        <v/>
      </c>
      <c r="W330" s="18">
        <f>IF(B330="","",IF(NOT(I330),"INVALID_MASTER",IF(NOT(K330),"INCOMPLETE_SHELF_CYCLE",IF(N330&lt;MinHistory,"INSUFFICIENT_HISTORY",IF(NOT(J330),"INSUFFICIENT_IN_STOCK",IF(OR(Q330="",Q330=0),"NO_PRIOR_BASE",IF(Q330&lt;LowBaseThreshold,"LOW_BASE_NOISE",IF(V330="Markdown Review","MARKDOWN_PEER_GAP",IF(V330="Reorder Candidate","REORDER_UPLIFT_COVER","NO_MATERIAL_CHANGE"))))))))</f>
        <v/>
      </c>
      <c r="X330" s="18">
        <f>IF(V330="Markdown Review","Markdown support",IF(V330="Reorder Candidate","Second reorder",IF(V330="Monitor","Monitor",IF(V330="Noise","Hold / collect data",IF(V330="Not Ready","Not ready","")))))</f>
        <v/>
      </c>
      <c r="Y330" s="18">
        <f>IF(OR(R330="",T330=""),"",ABS(R330)+ABS(T330))</f>
        <v/>
      </c>
      <c r="Z330" s="21">
        <f>IF(OR(B330="",NOT(O330),R330=""),"",IF(ABS(R330)&gt;=MaterialThreshold,"Yes","No"))</f>
        <v/>
      </c>
      <c r="AA330" s="18">
        <f>IF(Z330&lt;&gt;"Yes","",IF(ABS(R330)&gt;=MaterialThreshold,IF(ABS(R330)&gt;=BroadShare,"Broad SKU movement","Store-concentrated movement"),""))</f>
        <v/>
      </c>
      <c r="AB330" s="18">
        <f>IF(O330,IF(COUNTIFS($O$5:O330,TRUE)&gt;0,COUNTIFS($O$5:O330,TRUE),0),0)</f>
        <v/>
      </c>
      <c r="AC330" s="18">
        <f>IF(V330="Markdown Review",1,IF(V330="Reorder Candidate",2,IF(V330="Monitor",3,IF(V330="Noise",4,IF(V330="Not Ready",5,99)))))</f>
        <v/>
      </c>
      <c r="AD330" s="18">
        <f>IF(O330,COUNTIFS($O$5:$O$504,TRUE,$AC$5:$AC$504,"&lt;"&amp;AC330)+COUNTIFS($O$5:O330,TRUE,$AC$5:AC330,AC330,$Y$5:Y330,"&gt;"&amp;Y330),0)</f>
        <v/>
      </c>
    </row>
    <row r="331">
      <c r="A331" s="17">
        <f>IF(COUNTA('Weekly Input'!A331:C331)=0,"",'Weekly Input'!B331&amp;"|"&amp;'Weekly Input'!C331&amp;"|"&amp;TEXT('Weekly Input'!A331,"yyyy-mm-dd"))</f>
        <v/>
      </c>
      <c r="B331" s="18">
        <f>'Weekly Input'!B331</f>
        <v/>
      </c>
      <c r="C331" s="18">
        <f>'Weekly Input'!C331</f>
        <v/>
      </c>
      <c r="D331" s="18">
        <f>IF(B331="","",IFERROR(INDEX('Master Data'!$B$6:$B$145,MATCH(B331,'Master Data'!$A$6:$A$145,0)),""))</f>
        <v/>
      </c>
      <c r="E331" s="18">
        <f>IF(C331="","",IFERROR(INDEX('Master Data'!$H$6:$H$13,MATCH(C331,'Master Data'!$F$6:$F$13,0)),""))</f>
        <v/>
      </c>
      <c r="F331" s="19">
        <f>'Weekly Input'!A331</f>
        <v/>
      </c>
      <c r="G331" s="19">
        <f>IF(B331="","",IFERROR(INDEX('Master Data'!$D$6:$D$145,MATCH(B331,'Master Data'!$A$6:$A$145,0)),""))</f>
        <v/>
      </c>
      <c r="H331" s="18">
        <f>IF(OR(F331="",G331=""),"",F331-G331)</f>
        <v/>
      </c>
      <c r="I331" s="18">
        <f>IF(B331="","",IF('Weekly Input'!J331="OK",TRUE,FALSE))</f>
        <v/>
      </c>
      <c r="J331" s="18">
        <f>IF(B331="","",'Weekly Input'!H331&gt;=MinInStockDays)</f>
        <v/>
      </c>
      <c r="K331" s="18">
        <f>IF(B331="","",H331&gt;=FullCycleMin)</f>
        <v/>
      </c>
      <c r="L331" s="18">
        <f>IF(B331="","",AND(I331,J331,K331,N331&gt;=MinHistory))</f>
        <v/>
      </c>
      <c r="M331" s="20">
        <f>IF(OR(B331="",'Weekly Input'!H331=0),"",'Weekly Input'!D331/'Weekly Input'!H331*7)</f>
        <v/>
      </c>
      <c r="N331" s="18">
        <f>IF(B331="","",COUNTIFS($B$5:$B$504,B331,$C$5:$C$504,C331,$I$5:$I$504,TRUE,$J$5:$J$504,TRUE,$K$5:$K$504,TRUE))</f>
        <v/>
      </c>
      <c r="O331" s="18">
        <f>IF(B331="","",AND(F331=AsOfWeek,AsOfWeek&lt;&gt;""))</f>
        <v/>
      </c>
      <c r="P331" s="20">
        <f>IF(OR(B331="",AsOfWeek=""),"",IFERROR(SUMIFS($M$5:$M$504,$B$5:$B$504,B331,$C$5:$C$504,C331,$L$5:$L$504,TRUE,$F$5:$F$504,"&gt;="&amp;AsOfWeek-7*(RecentWeeks-1),$F$5:$F$504,"&lt;="&amp;AsOfWeek),""))</f>
        <v/>
      </c>
      <c r="Q331" s="20">
        <f>IF(OR(B331="",AsOfWeek=""),"",IFERROR(SUMIFS($M$5:$M$504,$B$5:$B$504,B331,$C$5:$C$504,C331,$L$5:$L$504,TRUE,$F$5:$F$504,"&gt;="&amp;AsOfWeek-7*(RecentWeeks+PriorWeeks-1),$F$5:$F$504,"&lt;"&amp;AsOfWeek-7*(RecentWeeks-1)),""))</f>
        <v/>
      </c>
      <c r="R331" s="21">
        <f>IF(OR(P331="",Q331="",Q331=0),"",P331/Q331-1)</f>
        <v/>
      </c>
      <c r="S331" s="20">
        <f>IF(OR(C331="",AsOfWeek=""),"",IFERROR(AVERAGEIFS($M$5:$M$504,$C$5:$C$504,C331,$L$5:$L$504,TRUE,$F$5:$F$504,"&gt;="&amp;AsOfWeek-7*(RecentWeeks-1),$F$5:$F$504,"&lt;="&amp;AsOfWeek),""))</f>
        <v/>
      </c>
      <c r="T331" s="21">
        <f>IF(OR(P331="",S331=""),"",P331/S331-1)</f>
        <v/>
      </c>
      <c r="U331" s="22">
        <f>IF(OR(B331="",'Weekly Input'!G331="",P331="",P331=0),"",'Weekly Input'!G331/P331)</f>
        <v/>
      </c>
      <c r="V331" s="18">
        <f>IF(B331="","",IF(NOT(I331),"Not Ready",IF(NOT(K331),"Not Ready",IF(N331&lt;MinHistory,"Not Ready",IF(NOT(J331),"Not Ready",IF(OR(Q331="",Q331=0),"Noise",IF(Q331&lt;LowBaseThreshold,"Noise",IF(AND(R331&lt;=-OwnDecline,T331&lt;=-PeerGapThreshold),"Markdown Review",IF(AND(R331&gt;=ReorderUplift,U331&lt;&gt;"",U331&lt;=WeeksSupplyCap),"Reorder Candidate","Monitor"))))))))</f>
        <v/>
      </c>
      <c r="W331" s="18">
        <f>IF(B331="","",IF(NOT(I331),"INVALID_MASTER",IF(NOT(K331),"INCOMPLETE_SHELF_CYCLE",IF(N331&lt;MinHistory,"INSUFFICIENT_HISTORY",IF(NOT(J331),"INSUFFICIENT_IN_STOCK",IF(OR(Q331="",Q331=0),"NO_PRIOR_BASE",IF(Q331&lt;LowBaseThreshold,"LOW_BASE_NOISE",IF(V331="Markdown Review","MARKDOWN_PEER_GAP",IF(V331="Reorder Candidate","REORDER_UPLIFT_COVER","NO_MATERIAL_CHANGE"))))))))</f>
        <v/>
      </c>
      <c r="X331" s="18">
        <f>IF(V331="Markdown Review","Markdown support",IF(V331="Reorder Candidate","Second reorder",IF(V331="Monitor","Monitor",IF(V331="Noise","Hold / collect data",IF(V331="Not Ready","Not ready","")))))</f>
        <v/>
      </c>
      <c r="Y331" s="18">
        <f>IF(OR(R331="",T331=""),"",ABS(R331)+ABS(T331))</f>
        <v/>
      </c>
      <c r="Z331" s="21">
        <f>IF(OR(B331="",NOT(O331),R331=""),"",IF(ABS(R331)&gt;=MaterialThreshold,"Yes","No"))</f>
        <v/>
      </c>
      <c r="AA331" s="18">
        <f>IF(Z331&lt;&gt;"Yes","",IF(ABS(R331)&gt;=MaterialThreshold,IF(ABS(R331)&gt;=BroadShare,"Broad SKU movement","Store-concentrated movement"),""))</f>
        <v/>
      </c>
      <c r="AB331" s="18">
        <f>IF(O331,IF(COUNTIFS($O$5:O331,TRUE)&gt;0,COUNTIFS($O$5:O331,TRUE),0),0)</f>
        <v/>
      </c>
      <c r="AC331" s="18">
        <f>IF(V331="Markdown Review",1,IF(V331="Reorder Candidate",2,IF(V331="Monitor",3,IF(V331="Noise",4,IF(V331="Not Ready",5,99)))))</f>
        <v/>
      </c>
      <c r="AD331" s="18">
        <f>IF(O331,COUNTIFS($O$5:$O$504,TRUE,$AC$5:$AC$504,"&lt;"&amp;AC331)+COUNTIFS($O$5:O331,TRUE,$AC$5:AC331,AC331,$Y$5:Y331,"&gt;"&amp;Y331),0)</f>
        <v/>
      </c>
    </row>
    <row r="332">
      <c r="A332" s="17">
        <f>IF(COUNTA('Weekly Input'!A332:C332)=0,"",'Weekly Input'!B332&amp;"|"&amp;'Weekly Input'!C332&amp;"|"&amp;TEXT('Weekly Input'!A332,"yyyy-mm-dd"))</f>
        <v/>
      </c>
      <c r="B332" s="18">
        <f>'Weekly Input'!B332</f>
        <v/>
      </c>
      <c r="C332" s="18">
        <f>'Weekly Input'!C332</f>
        <v/>
      </c>
      <c r="D332" s="18">
        <f>IF(B332="","",IFERROR(INDEX('Master Data'!$B$6:$B$145,MATCH(B332,'Master Data'!$A$6:$A$145,0)),""))</f>
        <v/>
      </c>
      <c r="E332" s="18">
        <f>IF(C332="","",IFERROR(INDEX('Master Data'!$H$6:$H$13,MATCH(C332,'Master Data'!$F$6:$F$13,0)),""))</f>
        <v/>
      </c>
      <c r="F332" s="19">
        <f>'Weekly Input'!A332</f>
        <v/>
      </c>
      <c r="G332" s="19">
        <f>IF(B332="","",IFERROR(INDEX('Master Data'!$D$6:$D$145,MATCH(B332,'Master Data'!$A$6:$A$145,0)),""))</f>
        <v/>
      </c>
      <c r="H332" s="18">
        <f>IF(OR(F332="",G332=""),"",F332-G332)</f>
        <v/>
      </c>
      <c r="I332" s="18">
        <f>IF(B332="","",IF('Weekly Input'!J332="OK",TRUE,FALSE))</f>
        <v/>
      </c>
      <c r="J332" s="18">
        <f>IF(B332="","",'Weekly Input'!H332&gt;=MinInStockDays)</f>
        <v/>
      </c>
      <c r="K332" s="18">
        <f>IF(B332="","",H332&gt;=FullCycleMin)</f>
        <v/>
      </c>
      <c r="L332" s="18">
        <f>IF(B332="","",AND(I332,J332,K332,N332&gt;=MinHistory))</f>
        <v/>
      </c>
      <c r="M332" s="20">
        <f>IF(OR(B332="",'Weekly Input'!H332=0),"",'Weekly Input'!D332/'Weekly Input'!H332*7)</f>
        <v/>
      </c>
      <c r="N332" s="18">
        <f>IF(B332="","",COUNTIFS($B$5:$B$504,B332,$C$5:$C$504,C332,$I$5:$I$504,TRUE,$J$5:$J$504,TRUE,$K$5:$K$504,TRUE))</f>
        <v/>
      </c>
      <c r="O332" s="18">
        <f>IF(B332="","",AND(F332=AsOfWeek,AsOfWeek&lt;&gt;""))</f>
        <v/>
      </c>
      <c r="P332" s="20">
        <f>IF(OR(B332="",AsOfWeek=""),"",IFERROR(SUMIFS($M$5:$M$504,$B$5:$B$504,B332,$C$5:$C$504,C332,$L$5:$L$504,TRUE,$F$5:$F$504,"&gt;="&amp;AsOfWeek-7*(RecentWeeks-1),$F$5:$F$504,"&lt;="&amp;AsOfWeek),""))</f>
        <v/>
      </c>
      <c r="Q332" s="20">
        <f>IF(OR(B332="",AsOfWeek=""),"",IFERROR(SUMIFS($M$5:$M$504,$B$5:$B$504,B332,$C$5:$C$504,C332,$L$5:$L$504,TRUE,$F$5:$F$504,"&gt;="&amp;AsOfWeek-7*(RecentWeeks+PriorWeeks-1),$F$5:$F$504,"&lt;"&amp;AsOfWeek-7*(RecentWeeks-1)),""))</f>
        <v/>
      </c>
      <c r="R332" s="21">
        <f>IF(OR(P332="",Q332="",Q332=0),"",P332/Q332-1)</f>
        <v/>
      </c>
      <c r="S332" s="20">
        <f>IF(OR(C332="",AsOfWeek=""),"",IFERROR(AVERAGEIFS($M$5:$M$504,$C$5:$C$504,C332,$L$5:$L$504,TRUE,$F$5:$F$504,"&gt;="&amp;AsOfWeek-7*(RecentWeeks-1),$F$5:$F$504,"&lt;="&amp;AsOfWeek),""))</f>
        <v/>
      </c>
      <c r="T332" s="21">
        <f>IF(OR(P332="",S332=""),"",P332/S332-1)</f>
        <v/>
      </c>
      <c r="U332" s="22">
        <f>IF(OR(B332="",'Weekly Input'!G332="",P332="",P332=0),"",'Weekly Input'!G332/P332)</f>
        <v/>
      </c>
      <c r="V332" s="18">
        <f>IF(B332="","",IF(NOT(I332),"Not Ready",IF(NOT(K332),"Not Ready",IF(N332&lt;MinHistory,"Not Ready",IF(NOT(J332),"Not Ready",IF(OR(Q332="",Q332=0),"Noise",IF(Q332&lt;LowBaseThreshold,"Noise",IF(AND(R332&lt;=-OwnDecline,T332&lt;=-PeerGapThreshold),"Markdown Review",IF(AND(R332&gt;=ReorderUplift,U332&lt;&gt;"",U332&lt;=WeeksSupplyCap),"Reorder Candidate","Monitor"))))))))</f>
        <v/>
      </c>
      <c r="W332" s="18">
        <f>IF(B332="","",IF(NOT(I332),"INVALID_MASTER",IF(NOT(K332),"INCOMPLETE_SHELF_CYCLE",IF(N332&lt;MinHistory,"INSUFFICIENT_HISTORY",IF(NOT(J332),"INSUFFICIENT_IN_STOCK",IF(OR(Q332="",Q332=0),"NO_PRIOR_BASE",IF(Q332&lt;LowBaseThreshold,"LOW_BASE_NOISE",IF(V332="Markdown Review","MARKDOWN_PEER_GAP",IF(V332="Reorder Candidate","REORDER_UPLIFT_COVER","NO_MATERIAL_CHANGE"))))))))</f>
        <v/>
      </c>
      <c r="X332" s="18">
        <f>IF(V332="Markdown Review","Markdown support",IF(V332="Reorder Candidate","Second reorder",IF(V332="Monitor","Monitor",IF(V332="Noise","Hold / collect data",IF(V332="Not Ready","Not ready","")))))</f>
        <v/>
      </c>
      <c r="Y332" s="18">
        <f>IF(OR(R332="",T332=""),"",ABS(R332)+ABS(T332))</f>
        <v/>
      </c>
      <c r="Z332" s="21">
        <f>IF(OR(B332="",NOT(O332),R332=""),"",IF(ABS(R332)&gt;=MaterialThreshold,"Yes","No"))</f>
        <v/>
      </c>
      <c r="AA332" s="18">
        <f>IF(Z332&lt;&gt;"Yes","",IF(ABS(R332)&gt;=MaterialThreshold,IF(ABS(R332)&gt;=BroadShare,"Broad SKU movement","Store-concentrated movement"),""))</f>
        <v/>
      </c>
      <c r="AB332" s="18">
        <f>IF(O332,IF(COUNTIFS($O$5:O332,TRUE)&gt;0,COUNTIFS($O$5:O332,TRUE),0),0)</f>
        <v/>
      </c>
      <c r="AC332" s="18">
        <f>IF(V332="Markdown Review",1,IF(V332="Reorder Candidate",2,IF(V332="Monitor",3,IF(V332="Noise",4,IF(V332="Not Ready",5,99)))))</f>
        <v/>
      </c>
      <c r="AD332" s="18">
        <f>IF(O332,COUNTIFS($O$5:$O$504,TRUE,$AC$5:$AC$504,"&lt;"&amp;AC332)+COUNTIFS($O$5:O332,TRUE,$AC$5:AC332,AC332,$Y$5:Y332,"&gt;"&amp;Y332),0)</f>
        <v/>
      </c>
    </row>
    <row r="333">
      <c r="A333" s="17">
        <f>IF(COUNTA('Weekly Input'!A333:C333)=0,"",'Weekly Input'!B333&amp;"|"&amp;'Weekly Input'!C333&amp;"|"&amp;TEXT('Weekly Input'!A333,"yyyy-mm-dd"))</f>
        <v/>
      </c>
      <c r="B333" s="18">
        <f>'Weekly Input'!B333</f>
        <v/>
      </c>
      <c r="C333" s="18">
        <f>'Weekly Input'!C333</f>
        <v/>
      </c>
      <c r="D333" s="18">
        <f>IF(B333="","",IFERROR(INDEX('Master Data'!$B$6:$B$145,MATCH(B333,'Master Data'!$A$6:$A$145,0)),""))</f>
        <v/>
      </c>
      <c r="E333" s="18">
        <f>IF(C333="","",IFERROR(INDEX('Master Data'!$H$6:$H$13,MATCH(C333,'Master Data'!$F$6:$F$13,0)),""))</f>
        <v/>
      </c>
      <c r="F333" s="19">
        <f>'Weekly Input'!A333</f>
        <v/>
      </c>
      <c r="G333" s="19">
        <f>IF(B333="","",IFERROR(INDEX('Master Data'!$D$6:$D$145,MATCH(B333,'Master Data'!$A$6:$A$145,0)),""))</f>
        <v/>
      </c>
      <c r="H333" s="18">
        <f>IF(OR(F333="",G333=""),"",F333-G333)</f>
        <v/>
      </c>
      <c r="I333" s="18">
        <f>IF(B333="","",IF('Weekly Input'!J333="OK",TRUE,FALSE))</f>
        <v/>
      </c>
      <c r="J333" s="18">
        <f>IF(B333="","",'Weekly Input'!H333&gt;=MinInStockDays)</f>
        <v/>
      </c>
      <c r="K333" s="18">
        <f>IF(B333="","",H333&gt;=FullCycleMin)</f>
        <v/>
      </c>
      <c r="L333" s="18">
        <f>IF(B333="","",AND(I333,J333,K333,N333&gt;=MinHistory))</f>
        <v/>
      </c>
      <c r="M333" s="20">
        <f>IF(OR(B333="",'Weekly Input'!H333=0),"",'Weekly Input'!D333/'Weekly Input'!H333*7)</f>
        <v/>
      </c>
      <c r="N333" s="18">
        <f>IF(B333="","",COUNTIFS($B$5:$B$504,B333,$C$5:$C$504,C333,$I$5:$I$504,TRUE,$J$5:$J$504,TRUE,$K$5:$K$504,TRUE))</f>
        <v/>
      </c>
      <c r="O333" s="18">
        <f>IF(B333="","",AND(F333=AsOfWeek,AsOfWeek&lt;&gt;""))</f>
        <v/>
      </c>
      <c r="P333" s="20">
        <f>IF(OR(B333="",AsOfWeek=""),"",IFERROR(SUMIFS($M$5:$M$504,$B$5:$B$504,B333,$C$5:$C$504,C333,$L$5:$L$504,TRUE,$F$5:$F$504,"&gt;="&amp;AsOfWeek-7*(RecentWeeks-1),$F$5:$F$504,"&lt;="&amp;AsOfWeek),""))</f>
        <v/>
      </c>
      <c r="Q333" s="20">
        <f>IF(OR(B333="",AsOfWeek=""),"",IFERROR(SUMIFS($M$5:$M$504,$B$5:$B$504,B333,$C$5:$C$504,C333,$L$5:$L$504,TRUE,$F$5:$F$504,"&gt;="&amp;AsOfWeek-7*(RecentWeeks+PriorWeeks-1),$F$5:$F$504,"&lt;"&amp;AsOfWeek-7*(RecentWeeks-1)),""))</f>
        <v/>
      </c>
      <c r="R333" s="21">
        <f>IF(OR(P333="",Q333="",Q333=0),"",P333/Q333-1)</f>
        <v/>
      </c>
      <c r="S333" s="20">
        <f>IF(OR(C333="",AsOfWeek=""),"",IFERROR(AVERAGEIFS($M$5:$M$504,$C$5:$C$504,C333,$L$5:$L$504,TRUE,$F$5:$F$504,"&gt;="&amp;AsOfWeek-7*(RecentWeeks-1),$F$5:$F$504,"&lt;="&amp;AsOfWeek),""))</f>
        <v/>
      </c>
      <c r="T333" s="21">
        <f>IF(OR(P333="",S333=""),"",P333/S333-1)</f>
        <v/>
      </c>
      <c r="U333" s="22">
        <f>IF(OR(B333="",'Weekly Input'!G333="",P333="",P333=0),"",'Weekly Input'!G333/P333)</f>
        <v/>
      </c>
      <c r="V333" s="18">
        <f>IF(B333="","",IF(NOT(I333),"Not Ready",IF(NOT(K333),"Not Ready",IF(N333&lt;MinHistory,"Not Ready",IF(NOT(J333),"Not Ready",IF(OR(Q333="",Q333=0),"Noise",IF(Q333&lt;LowBaseThreshold,"Noise",IF(AND(R333&lt;=-OwnDecline,T333&lt;=-PeerGapThreshold),"Markdown Review",IF(AND(R333&gt;=ReorderUplift,U333&lt;&gt;"",U333&lt;=WeeksSupplyCap),"Reorder Candidate","Monitor"))))))))</f>
        <v/>
      </c>
      <c r="W333" s="18">
        <f>IF(B333="","",IF(NOT(I333),"INVALID_MASTER",IF(NOT(K333),"INCOMPLETE_SHELF_CYCLE",IF(N333&lt;MinHistory,"INSUFFICIENT_HISTORY",IF(NOT(J333),"INSUFFICIENT_IN_STOCK",IF(OR(Q333="",Q333=0),"NO_PRIOR_BASE",IF(Q333&lt;LowBaseThreshold,"LOW_BASE_NOISE",IF(V333="Markdown Review","MARKDOWN_PEER_GAP",IF(V333="Reorder Candidate","REORDER_UPLIFT_COVER","NO_MATERIAL_CHANGE"))))))))</f>
        <v/>
      </c>
      <c r="X333" s="18">
        <f>IF(V333="Markdown Review","Markdown support",IF(V333="Reorder Candidate","Second reorder",IF(V333="Monitor","Monitor",IF(V333="Noise","Hold / collect data",IF(V333="Not Ready","Not ready","")))))</f>
        <v/>
      </c>
      <c r="Y333" s="18">
        <f>IF(OR(R333="",T333=""),"",ABS(R333)+ABS(T333))</f>
        <v/>
      </c>
      <c r="Z333" s="21">
        <f>IF(OR(B333="",NOT(O333),R333=""),"",IF(ABS(R333)&gt;=MaterialThreshold,"Yes","No"))</f>
        <v/>
      </c>
      <c r="AA333" s="18">
        <f>IF(Z333&lt;&gt;"Yes","",IF(ABS(R333)&gt;=MaterialThreshold,IF(ABS(R333)&gt;=BroadShare,"Broad SKU movement","Store-concentrated movement"),""))</f>
        <v/>
      </c>
      <c r="AB333" s="18">
        <f>IF(O333,IF(COUNTIFS($O$5:O333,TRUE)&gt;0,COUNTIFS($O$5:O333,TRUE),0),0)</f>
        <v/>
      </c>
      <c r="AC333" s="18">
        <f>IF(V333="Markdown Review",1,IF(V333="Reorder Candidate",2,IF(V333="Monitor",3,IF(V333="Noise",4,IF(V333="Not Ready",5,99)))))</f>
        <v/>
      </c>
      <c r="AD333" s="18">
        <f>IF(O333,COUNTIFS($O$5:$O$504,TRUE,$AC$5:$AC$504,"&lt;"&amp;AC333)+COUNTIFS($O$5:O333,TRUE,$AC$5:AC333,AC333,$Y$5:Y333,"&gt;"&amp;Y333),0)</f>
        <v/>
      </c>
    </row>
    <row r="334">
      <c r="A334" s="17">
        <f>IF(COUNTA('Weekly Input'!A334:C334)=0,"",'Weekly Input'!B334&amp;"|"&amp;'Weekly Input'!C334&amp;"|"&amp;TEXT('Weekly Input'!A334,"yyyy-mm-dd"))</f>
        <v/>
      </c>
      <c r="B334" s="18">
        <f>'Weekly Input'!B334</f>
        <v/>
      </c>
      <c r="C334" s="18">
        <f>'Weekly Input'!C334</f>
        <v/>
      </c>
      <c r="D334" s="18">
        <f>IF(B334="","",IFERROR(INDEX('Master Data'!$B$6:$B$145,MATCH(B334,'Master Data'!$A$6:$A$145,0)),""))</f>
        <v/>
      </c>
      <c r="E334" s="18">
        <f>IF(C334="","",IFERROR(INDEX('Master Data'!$H$6:$H$13,MATCH(C334,'Master Data'!$F$6:$F$13,0)),""))</f>
        <v/>
      </c>
      <c r="F334" s="19">
        <f>'Weekly Input'!A334</f>
        <v/>
      </c>
      <c r="G334" s="19">
        <f>IF(B334="","",IFERROR(INDEX('Master Data'!$D$6:$D$145,MATCH(B334,'Master Data'!$A$6:$A$145,0)),""))</f>
        <v/>
      </c>
      <c r="H334" s="18">
        <f>IF(OR(F334="",G334=""),"",F334-G334)</f>
        <v/>
      </c>
      <c r="I334" s="18">
        <f>IF(B334="","",IF('Weekly Input'!J334="OK",TRUE,FALSE))</f>
        <v/>
      </c>
      <c r="J334" s="18">
        <f>IF(B334="","",'Weekly Input'!H334&gt;=MinInStockDays)</f>
        <v/>
      </c>
      <c r="K334" s="18">
        <f>IF(B334="","",H334&gt;=FullCycleMin)</f>
        <v/>
      </c>
      <c r="L334" s="18">
        <f>IF(B334="","",AND(I334,J334,K334,N334&gt;=MinHistory))</f>
        <v/>
      </c>
      <c r="M334" s="20">
        <f>IF(OR(B334="",'Weekly Input'!H334=0),"",'Weekly Input'!D334/'Weekly Input'!H334*7)</f>
        <v/>
      </c>
      <c r="N334" s="18">
        <f>IF(B334="","",COUNTIFS($B$5:$B$504,B334,$C$5:$C$504,C334,$I$5:$I$504,TRUE,$J$5:$J$504,TRUE,$K$5:$K$504,TRUE))</f>
        <v/>
      </c>
      <c r="O334" s="18">
        <f>IF(B334="","",AND(F334=AsOfWeek,AsOfWeek&lt;&gt;""))</f>
        <v/>
      </c>
      <c r="P334" s="20">
        <f>IF(OR(B334="",AsOfWeek=""),"",IFERROR(SUMIFS($M$5:$M$504,$B$5:$B$504,B334,$C$5:$C$504,C334,$L$5:$L$504,TRUE,$F$5:$F$504,"&gt;="&amp;AsOfWeek-7*(RecentWeeks-1),$F$5:$F$504,"&lt;="&amp;AsOfWeek),""))</f>
        <v/>
      </c>
      <c r="Q334" s="20">
        <f>IF(OR(B334="",AsOfWeek=""),"",IFERROR(SUMIFS($M$5:$M$504,$B$5:$B$504,B334,$C$5:$C$504,C334,$L$5:$L$504,TRUE,$F$5:$F$504,"&gt;="&amp;AsOfWeek-7*(RecentWeeks+PriorWeeks-1),$F$5:$F$504,"&lt;"&amp;AsOfWeek-7*(RecentWeeks-1)),""))</f>
        <v/>
      </c>
      <c r="R334" s="21">
        <f>IF(OR(P334="",Q334="",Q334=0),"",P334/Q334-1)</f>
        <v/>
      </c>
      <c r="S334" s="20">
        <f>IF(OR(C334="",AsOfWeek=""),"",IFERROR(AVERAGEIFS($M$5:$M$504,$C$5:$C$504,C334,$L$5:$L$504,TRUE,$F$5:$F$504,"&gt;="&amp;AsOfWeek-7*(RecentWeeks-1),$F$5:$F$504,"&lt;="&amp;AsOfWeek),""))</f>
        <v/>
      </c>
      <c r="T334" s="21">
        <f>IF(OR(P334="",S334=""),"",P334/S334-1)</f>
        <v/>
      </c>
      <c r="U334" s="22">
        <f>IF(OR(B334="",'Weekly Input'!G334="",P334="",P334=0),"",'Weekly Input'!G334/P334)</f>
        <v/>
      </c>
      <c r="V334" s="18">
        <f>IF(B334="","",IF(NOT(I334),"Not Ready",IF(NOT(K334),"Not Ready",IF(N334&lt;MinHistory,"Not Ready",IF(NOT(J334),"Not Ready",IF(OR(Q334="",Q334=0),"Noise",IF(Q334&lt;LowBaseThreshold,"Noise",IF(AND(R334&lt;=-OwnDecline,T334&lt;=-PeerGapThreshold),"Markdown Review",IF(AND(R334&gt;=ReorderUplift,U334&lt;&gt;"",U334&lt;=WeeksSupplyCap),"Reorder Candidate","Monitor"))))))))</f>
        <v/>
      </c>
      <c r="W334" s="18">
        <f>IF(B334="","",IF(NOT(I334),"INVALID_MASTER",IF(NOT(K334),"INCOMPLETE_SHELF_CYCLE",IF(N334&lt;MinHistory,"INSUFFICIENT_HISTORY",IF(NOT(J334),"INSUFFICIENT_IN_STOCK",IF(OR(Q334="",Q334=0),"NO_PRIOR_BASE",IF(Q334&lt;LowBaseThreshold,"LOW_BASE_NOISE",IF(V334="Markdown Review","MARKDOWN_PEER_GAP",IF(V334="Reorder Candidate","REORDER_UPLIFT_COVER","NO_MATERIAL_CHANGE"))))))))</f>
        <v/>
      </c>
      <c r="X334" s="18">
        <f>IF(V334="Markdown Review","Markdown support",IF(V334="Reorder Candidate","Second reorder",IF(V334="Monitor","Monitor",IF(V334="Noise","Hold / collect data",IF(V334="Not Ready","Not ready","")))))</f>
        <v/>
      </c>
      <c r="Y334" s="18">
        <f>IF(OR(R334="",T334=""),"",ABS(R334)+ABS(T334))</f>
        <v/>
      </c>
      <c r="Z334" s="21">
        <f>IF(OR(B334="",NOT(O334),R334=""),"",IF(ABS(R334)&gt;=MaterialThreshold,"Yes","No"))</f>
        <v/>
      </c>
      <c r="AA334" s="18">
        <f>IF(Z334&lt;&gt;"Yes","",IF(ABS(R334)&gt;=MaterialThreshold,IF(ABS(R334)&gt;=BroadShare,"Broad SKU movement","Store-concentrated movement"),""))</f>
        <v/>
      </c>
      <c r="AB334" s="18">
        <f>IF(O334,IF(COUNTIFS($O$5:O334,TRUE)&gt;0,COUNTIFS($O$5:O334,TRUE),0),0)</f>
        <v/>
      </c>
      <c r="AC334" s="18">
        <f>IF(V334="Markdown Review",1,IF(V334="Reorder Candidate",2,IF(V334="Monitor",3,IF(V334="Noise",4,IF(V334="Not Ready",5,99)))))</f>
        <v/>
      </c>
      <c r="AD334" s="18">
        <f>IF(O334,COUNTIFS($O$5:$O$504,TRUE,$AC$5:$AC$504,"&lt;"&amp;AC334)+COUNTIFS($O$5:O334,TRUE,$AC$5:AC334,AC334,$Y$5:Y334,"&gt;"&amp;Y334),0)</f>
        <v/>
      </c>
    </row>
    <row r="335">
      <c r="A335" s="17">
        <f>IF(COUNTA('Weekly Input'!A335:C335)=0,"",'Weekly Input'!B335&amp;"|"&amp;'Weekly Input'!C335&amp;"|"&amp;TEXT('Weekly Input'!A335,"yyyy-mm-dd"))</f>
        <v/>
      </c>
      <c r="B335" s="18">
        <f>'Weekly Input'!B335</f>
        <v/>
      </c>
      <c r="C335" s="18">
        <f>'Weekly Input'!C335</f>
        <v/>
      </c>
      <c r="D335" s="18">
        <f>IF(B335="","",IFERROR(INDEX('Master Data'!$B$6:$B$145,MATCH(B335,'Master Data'!$A$6:$A$145,0)),""))</f>
        <v/>
      </c>
      <c r="E335" s="18">
        <f>IF(C335="","",IFERROR(INDEX('Master Data'!$H$6:$H$13,MATCH(C335,'Master Data'!$F$6:$F$13,0)),""))</f>
        <v/>
      </c>
      <c r="F335" s="19">
        <f>'Weekly Input'!A335</f>
        <v/>
      </c>
      <c r="G335" s="19">
        <f>IF(B335="","",IFERROR(INDEX('Master Data'!$D$6:$D$145,MATCH(B335,'Master Data'!$A$6:$A$145,0)),""))</f>
        <v/>
      </c>
      <c r="H335" s="18">
        <f>IF(OR(F335="",G335=""),"",F335-G335)</f>
        <v/>
      </c>
      <c r="I335" s="18">
        <f>IF(B335="","",IF('Weekly Input'!J335="OK",TRUE,FALSE))</f>
        <v/>
      </c>
      <c r="J335" s="18">
        <f>IF(B335="","",'Weekly Input'!H335&gt;=MinInStockDays)</f>
        <v/>
      </c>
      <c r="K335" s="18">
        <f>IF(B335="","",H335&gt;=FullCycleMin)</f>
        <v/>
      </c>
      <c r="L335" s="18">
        <f>IF(B335="","",AND(I335,J335,K335,N335&gt;=MinHistory))</f>
        <v/>
      </c>
      <c r="M335" s="20">
        <f>IF(OR(B335="",'Weekly Input'!H335=0),"",'Weekly Input'!D335/'Weekly Input'!H335*7)</f>
        <v/>
      </c>
      <c r="N335" s="18">
        <f>IF(B335="","",COUNTIFS($B$5:$B$504,B335,$C$5:$C$504,C335,$I$5:$I$504,TRUE,$J$5:$J$504,TRUE,$K$5:$K$504,TRUE))</f>
        <v/>
      </c>
      <c r="O335" s="18">
        <f>IF(B335="","",AND(F335=AsOfWeek,AsOfWeek&lt;&gt;""))</f>
        <v/>
      </c>
      <c r="P335" s="20">
        <f>IF(OR(B335="",AsOfWeek=""),"",IFERROR(SUMIFS($M$5:$M$504,$B$5:$B$504,B335,$C$5:$C$504,C335,$L$5:$L$504,TRUE,$F$5:$F$504,"&gt;="&amp;AsOfWeek-7*(RecentWeeks-1),$F$5:$F$504,"&lt;="&amp;AsOfWeek),""))</f>
        <v/>
      </c>
      <c r="Q335" s="20">
        <f>IF(OR(B335="",AsOfWeek=""),"",IFERROR(SUMIFS($M$5:$M$504,$B$5:$B$504,B335,$C$5:$C$504,C335,$L$5:$L$504,TRUE,$F$5:$F$504,"&gt;="&amp;AsOfWeek-7*(RecentWeeks+PriorWeeks-1),$F$5:$F$504,"&lt;"&amp;AsOfWeek-7*(RecentWeeks-1)),""))</f>
        <v/>
      </c>
      <c r="R335" s="21">
        <f>IF(OR(P335="",Q335="",Q335=0),"",P335/Q335-1)</f>
        <v/>
      </c>
      <c r="S335" s="20">
        <f>IF(OR(C335="",AsOfWeek=""),"",IFERROR(AVERAGEIFS($M$5:$M$504,$C$5:$C$504,C335,$L$5:$L$504,TRUE,$F$5:$F$504,"&gt;="&amp;AsOfWeek-7*(RecentWeeks-1),$F$5:$F$504,"&lt;="&amp;AsOfWeek),""))</f>
        <v/>
      </c>
      <c r="T335" s="21">
        <f>IF(OR(P335="",S335=""),"",P335/S335-1)</f>
        <v/>
      </c>
      <c r="U335" s="22">
        <f>IF(OR(B335="",'Weekly Input'!G335="",P335="",P335=0),"",'Weekly Input'!G335/P335)</f>
        <v/>
      </c>
      <c r="V335" s="18">
        <f>IF(B335="","",IF(NOT(I335),"Not Ready",IF(NOT(K335),"Not Ready",IF(N335&lt;MinHistory,"Not Ready",IF(NOT(J335),"Not Ready",IF(OR(Q335="",Q335=0),"Noise",IF(Q335&lt;LowBaseThreshold,"Noise",IF(AND(R335&lt;=-OwnDecline,T335&lt;=-PeerGapThreshold),"Markdown Review",IF(AND(R335&gt;=ReorderUplift,U335&lt;&gt;"",U335&lt;=WeeksSupplyCap),"Reorder Candidate","Monitor"))))))))</f>
        <v/>
      </c>
      <c r="W335" s="18">
        <f>IF(B335="","",IF(NOT(I335),"INVALID_MASTER",IF(NOT(K335),"INCOMPLETE_SHELF_CYCLE",IF(N335&lt;MinHistory,"INSUFFICIENT_HISTORY",IF(NOT(J335),"INSUFFICIENT_IN_STOCK",IF(OR(Q335="",Q335=0),"NO_PRIOR_BASE",IF(Q335&lt;LowBaseThreshold,"LOW_BASE_NOISE",IF(V335="Markdown Review","MARKDOWN_PEER_GAP",IF(V335="Reorder Candidate","REORDER_UPLIFT_COVER","NO_MATERIAL_CHANGE"))))))))</f>
        <v/>
      </c>
      <c r="X335" s="18">
        <f>IF(V335="Markdown Review","Markdown support",IF(V335="Reorder Candidate","Second reorder",IF(V335="Monitor","Monitor",IF(V335="Noise","Hold / collect data",IF(V335="Not Ready","Not ready","")))))</f>
        <v/>
      </c>
      <c r="Y335" s="18">
        <f>IF(OR(R335="",T335=""),"",ABS(R335)+ABS(T335))</f>
        <v/>
      </c>
      <c r="Z335" s="21">
        <f>IF(OR(B335="",NOT(O335),R335=""),"",IF(ABS(R335)&gt;=MaterialThreshold,"Yes","No"))</f>
        <v/>
      </c>
      <c r="AA335" s="18">
        <f>IF(Z335&lt;&gt;"Yes","",IF(ABS(R335)&gt;=MaterialThreshold,IF(ABS(R335)&gt;=BroadShare,"Broad SKU movement","Store-concentrated movement"),""))</f>
        <v/>
      </c>
      <c r="AB335" s="18">
        <f>IF(O335,IF(COUNTIFS($O$5:O335,TRUE)&gt;0,COUNTIFS($O$5:O335,TRUE),0),0)</f>
        <v/>
      </c>
      <c r="AC335" s="18">
        <f>IF(V335="Markdown Review",1,IF(V335="Reorder Candidate",2,IF(V335="Monitor",3,IF(V335="Noise",4,IF(V335="Not Ready",5,99)))))</f>
        <v/>
      </c>
      <c r="AD335" s="18">
        <f>IF(O335,COUNTIFS($O$5:$O$504,TRUE,$AC$5:$AC$504,"&lt;"&amp;AC335)+COUNTIFS($O$5:O335,TRUE,$AC$5:AC335,AC335,$Y$5:Y335,"&gt;"&amp;Y335),0)</f>
        <v/>
      </c>
    </row>
    <row r="336">
      <c r="A336" s="17">
        <f>IF(COUNTA('Weekly Input'!A336:C336)=0,"",'Weekly Input'!B336&amp;"|"&amp;'Weekly Input'!C336&amp;"|"&amp;TEXT('Weekly Input'!A336,"yyyy-mm-dd"))</f>
        <v/>
      </c>
      <c r="B336" s="18">
        <f>'Weekly Input'!B336</f>
        <v/>
      </c>
      <c r="C336" s="18">
        <f>'Weekly Input'!C336</f>
        <v/>
      </c>
      <c r="D336" s="18">
        <f>IF(B336="","",IFERROR(INDEX('Master Data'!$B$6:$B$145,MATCH(B336,'Master Data'!$A$6:$A$145,0)),""))</f>
        <v/>
      </c>
      <c r="E336" s="18">
        <f>IF(C336="","",IFERROR(INDEX('Master Data'!$H$6:$H$13,MATCH(C336,'Master Data'!$F$6:$F$13,0)),""))</f>
        <v/>
      </c>
      <c r="F336" s="19">
        <f>'Weekly Input'!A336</f>
        <v/>
      </c>
      <c r="G336" s="19">
        <f>IF(B336="","",IFERROR(INDEX('Master Data'!$D$6:$D$145,MATCH(B336,'Master Data'!$A$6:$A$145,0)),""))</f>
        <v/>
      </c>
      <c r="H336" s="18">
        <f>IF(OR(F336="",G336=""),"",F336-G336)</f>
        <v/>
      </c>
      <c r="I336" s="18">
        <f>IF(B336="","",IF('Weekly Input'!J336="OK",TRUE,FALSE))</f>
        <v/>
      </c>
      <c r="J336" s="18">
        <f>IF(B336="","",'Weekly Input'!H336&gt;=MinInStockDays)</f>
        <v/>
      </c>
      <c r="K336" s="18">
        <f>IF(B336="","",H336&gt;=FullCycleMin)</f>
        <v/>
      </c>
      <c r="L336" s="18">
        <f>IF(B336="","",AND(I336,J336,K336,N336&gt;=MinHistory))</f>
        <v/>
      </c>
      <c r="M336" s="20">
        <f>IF(OR(B336="",'Weekly Input'!H336=0),"",'Weekly Input'!D336/'Weekly Input'!H336*7)</f>
        <v/>
      </c>
      <c r="N336" s="18">
        <f>IF(B336="","",COUNTIFS($B$5:$B$504,B336,$C$5:$C$504,C336,$I$5:$I$504,TRUE,$J$5:$J$504,TRUE,$K$5:$K$504,TRUE))</f>
        <v/>
      </c>
      <c r="O336" s="18">
        <f>IF(B336="","",AND(F336=AsOfWeek,AsOfWeek&lt;&gt;""))</f>
        <v/>
      </c>
      <c r="P336" s="20">
        <f>IF(OR(B336="",AsOfWeek=""),"",IFERROR(SUMIFS($M$5:$M$504,$B$5:$B$504,B336,$C$5:$C$504,C336,$L$5:$L$504,TRUE,$F$5:$F$504,"&gt;="&amp;AsOfWeek-7*(RecentWeeks-1),$F$5:$F$504,"&lt;="&amp;AsOfWeek),""))</f>
        <v/>
      </c>
      <c r="Q336" s="20">
        <f>IF(OR(B336="",AsOfWeek=""),"",IFERROR(SUMIFS($M$5:$M$504,$B$5:$B$504,B336,$C$5:$C$504,C336,$L$5:$L$504,TRUE,$F$5:$F$504,"&gt;="&amp;AsOfWeek-7*(RecentWeeks+PriorWeeks-1),$F$5:$F$504,"&lt;"&amp;AsOfWeek-7*(RecentWeeks-1)),""))</f>
        <v/>
      </c>
      <c r="R336" s="21">
        <f>IF(OR(P336="",Q336="",Q336=0),"",P336/Q336-1)</f>
        <v/>
      </c>
      <c r="S336" s="20">
        <f>IF(OR(C336="",AsOfWeek=""),"",IFERROR(AVERAGEIFS($M$5:$M$504,$C$5:$C$504,C336,$L$5:$L$504,TRUE,$F$5:$F$504,"&gt;="&amp;AsOfWeek-7*(RecentWeeks-1),$F$5:$F$504,"&lt;="&amp;AsOfWeek),""))</f>
        <v/>
      </c>
      <c r="T336" s="21">
        <f>IF(OR(P336="",S336=""),"",P336/S336-1)</f>
        <v/>
      </c>
      <c r="U336" s="22">
        <f>IF(OR(B336="",'Weekly Input'!G336="",P336="",P336=0),"",'Weekly Input'!G336/P336)</f>
        <v/>
      </c>
      <c r="V336" s="18">
        <f>IF(B336="","",IF(NOT(I336),"Not Ready",IF(NOT(K336),"Not Ready",IF(N336&lt;MinHistory,"Not Ready",IF(NOT(J336),"Not Ready",IF(OR(Q336="",Q336=0),"Noise",IF(Q336&lt;LowBaseThreshold,"Noise",IF(AND(R336&lt;=-OwnDecline,T336&lt;=-PeerGapThreshold),"Markdown Review",IF(AND(R336&gt;=ReorderUplift,U336&lt;&gt;"",U336&lt;=WeeksSupplyCap),"Reorder Candidate","Monitor"))))))))</f>
        <v/>
      </c>
      <c r="W336" s="18">
        <f>IF(B336="","",IF(NOT(I336),"INVALID_MASTER",IF(NOT(K336),"INCOMPLETE_SHELF_CYCLE",IF(N336&lt;MinHistory,"INSUFFICIENT_HISTORY",IF(NOT(J336),"INSUFFICIENT_IN_STOCK",IF(OR(Q336="",Q336=0),"NO_PRIOR_BASE",IF(Q336&lt;LowBaseThreshold,"LOW_BASE_NOISE",IF(V336="Markdown Review","MARKDOWN_PEER_GAP",IF(V336="Reorder Candidate","REORDER_UPLIFT_COVER","NO_MATERIAL_CHANGE"))))))))</f>
        <v/>
      </c>
      <c r="X336" s="18">
        <f>IF(V336="Markdown Review","Markdown support",IF(V336="Reorder Candidate","Second reorder",IF(V336="Monitor","Monitor",IF(V336="Noise","Hold / collect data",IF(V336="Not Ready","Not ready","")))))</f>
        <v/>
      </c>
      <c r="Y336" s="18">
        <f>IF(OR(R336="",T336=""),"",ABS(R336)+ABS(T336))</f>
        <v/>
      </c>
      <c r="Z336" s="21">
        <f>IF(OR(B336="",NOT(O336),R336=""),"",IF(ABS(R336)&gt;=MaterialThreshold,"Yes","No"))</f>
        <v/>
      </c>
      <c r="AA336" s="18">
        <f>IF(Z336&lt;&gt;"Yes","",IF(ABS(R336)&gt;=MaterialThreshold,IF(ABS(R336)&gt;=BroadShare,"Broad SKU movement","Store-concentrated movement"),""))</f>
        <v/>
      </c>
      <c r="AB336" s="18">
        <f>IF(O336,IF(COUNTIFS($O$5:O336,TRUE)&gt;0,COUNTIFS($O$5:O336,TRUE),0),0)</f>
        <v/>
      </c>
      <c r="AC336" s="18">
        <f>IF(V336="Markdown Review",1,IF(V336="Reorder Candidate",2,IF(V336="Monitor",3,IF(V336="Noise",4,IF(V336="Not Ready",5,99)))))</f>
        <v/>
      </c>
      <c r="AD336" s="18">
        <f>IF(O336,COUNTIFS($O$5:$O$504,TRUE,$AC$5:$AC$504,"&lt;"&amp;AC336)+COUNTIFS($O$5:O336,TRUE,$AC$5:AC336,AC336,$Y$5:Y336,"&gt;"&amp;Y336),0)</f>
        <v/>
      </c>
    </row>
    <row r="337">
      <c r="A337" s="17">
        <f>IF(COUNTA('Weekly Input'!A337:C337)=0,"",'Weekly Input'!B337&amp;"|"&amp;'Weekly Input'!C337&amp;"|"&amp;TEXT('Weekly Input'!A337,"yyyy-mm-dd"))</f>
        <v/>
      </c>
      <c r="B337" s="18">
        <f>'Weekly Input'!B337</f>
        <v/>
      </c>
      <c r="C337" s="18">
        <f>'Weekly Input'!C337</f>
        <v/>
      </c>
      <c r="D337" s="18">
        <f>IF(B337="","",IFERROR(INDEX('Master Data'!$B$6:$B$145,MATCH(B337,'Master Data'!$A$6:$A$145,0)),""))</f>
        <v/>
      </c>
      <c r="E337" s="18">
        <f>IF(C337="","",IFERROR(INDEX('Master Data'!$H$6:$H$13,MATCH(C337,'Master Data'!$F$6:$F$13,0)),""))</f>
        <v/>
      </c>
      <c r="F337" s="19">
        <f>'Weekly Input'!A337</f>
        <v/>
      </c>
      <c r="G337" s="19">
        <f>IF(B337="","",IFERROR(INDEX('Master Data'!$D$6:$D$145,MATCH(B337,'Master Data'!$A$6:$A$145,0)),""))</f>
        <v/>
      </c>
      <c r="H337" s="18">
        <f>IF(OR(F337="",G337=""),"",F337-G337)</f>
        <v/>
      </c>
      <c r="I337" s="18">
        <f>IF(B337="","",IF('Weekly Input'!J337="OK",TRUE,FALSE))</f>
        <v/>
      </c>
      <c r="J337" s="18">
        <f>IF(B337="","",'Weekly Input'!H337&gt;=MinInStockDays)</f>
        <v/>
      </c>
      <c r="K337" s="18">
        <f>IF(B337="","",H337&gt;=FullCycleMin)</f>
        <v/>
      </c>
      <c r="L337" s="18">
        <f>IF(B337="","",AND(I337,J337,K337,N337&gt;=MinHistory))</f>
        <v/>
      </c>
      <c r="M337" s="20">
        <f>IF(OR(B337="",'Weekly Input'!H337=0),"",'Weekly Input'!D337/'Weekly Input'!H337*7)</f>
        <v/>
      </c>
      <c r="N337" s="18">
        <f>IF(B337="","",COUNTIFS($B$5:$B$504,B337,$C$5:$C$504,C337,$I$5:$I$504,TRUE,$J$5:$J$504,TRUE,$K$5:$K$504,TRUE))</f>
        <v/>
      </c>
      <c r="O337" s="18">
        <f>IF(B337="","",AND(F337=AsOfWeek,AsOfWeek&lt;&gt;""))</f>
        <v/>
      </c>
      <c r="P337" s="20">
        <f>IF(OR(B337="",AsOfWeek=""),"",IFERROR(SUMIFS($M$5:$M$504,$B$5:$B$504,B337,$C$5:$C$504,C337,$L$5:$L$504,TRUE,$F$5:$F$504,"&gt;="&amp;AsOfWeek-7*(RecentWeeks-1),$F$5:$F$504,"&lt;="&amp;AsOfWeek),""))</f>
        <v/>
      </c>
      <c r="Q337" s="20">
        <f>IF(OR(B337="",AsOfWeek=""),"",IFERROR(SUMIFS($M$5:$M$504,$B$5:$B$504,B337,$C$5:$C$504,C337,$L$5:$L$504,TRUE,$F$5:$F$504,"&gt;="&amp;AsOfWeek-7*(RecentWeeks+PriorWeeks-1),$F$5:$F$504,"&lt;"&amp;AsOfWeek-7*(RecentWeeks-1)),""))</f>
        <v/>
      </c>
      <c r="R337" s="21">
        <f>IF(OR(P337="",Q337="",Q337=0),"",P337/Q337-1)</f>
        <v/>
      </c>
      <c r="S337" s="20">
        <f>IF(OR(C337="",AsOfWeek=""),"",IFERROR(AVERAGEIFS($M$5:$M$504,$C$5:$C$504,C337,$L$5:$L$504,TRUE,$F$5:$F$504,"&gt;="&amp;AsOfWeek-7*(RecentWeeks-1),$F$5:$F$504,"&lt;="&amp;AsOfWeek),""))</f>
        <v/>
      </c>
      <c r="T337" s="21">
        <f>IF(OR(P337="",S337=""),"",P337/S337-1)</f>
        <v/>
      </c>
      <c r="U337" s="22">
        <f>IF(OR(B337="",'Weekly Input'!G337="",P337="",P337=0),"",'Weekly Input'!G337/P337)</f>
        <v/>
      </c>
      <c r="V337" s="18">
        <f>IF(B337="","",IF(NOT(I337),"Not Ready",IF(NOT(K337),"Not Ready",IF(N337&lt;MinHistory,"Not Ready",IF(NOT(J337),"Not Ready",IF(OR(Q337="",Q337=0),"Noise",IF(Q337&lt;LowBaseThreshold,"Noise",IF(AND(R337&lt;=-OwnDecline,T337&lt;=-PeerGapThreshold),"Markdown Review",IF(AND(R337&gt;=ReorderUplift,U337&lt;&gt;"",U337&lt;=WeeksSupplyCap),"Reorder Candidate","Monitor"))))))))</f>
        <v/>
      </c>
      <c r="W337" s="18">
        <f>IF(B337="","",IF(NOT(I337),"INVALID_MASTER",IF(NOT(K337),"INCOMPLETE_SHELF_CYCLE",IF(N337&lt;MinHistory,"INSUFFICIENT_HISTORY",IF(NOT(J337),"INSUFFICIENT_IN_STOCK",IF(OR(Q337="",Q337=0),"NO_PRIOR_BASE",IF(Q337&lt;LowBaseThreshold,"LOW_BASE_NOISE",IF(V337="Markdown Review","MARKDOWN_PEER_GAP",IF(V337="Reorder Candidate","REORDER_UPLIFT_COVER","NO_MATERIAL_CHANGE"))))))))</f>
        <v/>
      </c>
      <c r="X337" s="18">
        <f>IF(V337="Markdown Review","Markdown support",IF(V337="Reorder Candidate","Second reorder",IF(V337="Monitor","Monitor",IF(V337="Noise","Hold / collect data",IF(V337="Not Ready","Not ready","")))))</f>
        <v/>
      </c>
      <c r="Y337" s="18">
        <f>IF(OR(R337="",T337=""),"",ABS(R337)+ABS(T337))</f>
        <v/>
      </c>
      <c r="Z337" s="21">
        <f>IF(OR(B337="",NOT(O337),R337=""),"",IF(ABS(R337)&gt;=MaterialThreshold,"Yes","No"))</f>
        <v/>
      </c>
      <c r="AA337" s="18">
        <f>IF(Z337&lt;&gt;"Yes","",IF(ABS(R337)&gt;=MaterialThreshold,IF(ABS(R337)&gt;=BroadShare,"Broad SKU movement","Store-concentrated movement"),""))</f>
        <v/>
      </c>
      <c r="AB337" s="18">
        <f>IF(O337,IF(COUNTIFS($O$5:O337,TRUE)&gt;0,COUNTIFS($O$5:O337,TRUE),0),0)</f>
        <v/>
      </c>
      <c r="AC337" s="18">
        <f>IF(V337="Markdown Review",1,IF(V337="Reorder Candidate",2,IF(V337="Monitor",3,IF(V337="Noise",4,IF(V337="Not Ready",5,99)))))</f>
        <v/>
      </c>
      <c r="AD337" s="18">
        <f>IF(O337,COUNTIFS($O$5:$O$504,TRUE,$AC$5:$AC$504,"&lt;"&amp;AC337)+COUNTIFS($O$5:O337,TRUE,$AC$5:AC337,AC337,$Y$5:Y337,"&gt;"&amp;Y337),0)</f>
        <v/>
      </c>
    </row>
    <row r="338">
      <c r="A338" s="17">
        <f>IF(COUNTA('Weekly Input'!A338:C338)=0,"",'Weekly Input'!B338&amp;"|"&amp;'Weekly Input'!C338&amp;"|"&amp;TEXT('Weekly Input'!A338,"yyyy-mm-dd"))</f>
        <v/>
      </c>
      <c r="B338" s="18">
        <f>'Weekly Input'!B338</f>
        <v/>
      </c>
      <c r="C338" s="18">
        <f>'Weekly Input'!C338</f>
        <v/>
      </c>
      <c r="D338" s="18">
        <f>IF(B338="","",IFERROR(INDEX('Master Data'!$B$6:$B$145,MATCH(B338,'Master Data'!$A$6:$A$145,0)),""))</f>
        <v/>
      </c>
      <c r="E338" s="18">
        <f>IF(C338="","",IFERROR(INDEX('Master Data'!$H$6:$H$13,MATCH(C338,'Master Data'!$F$6:$F$13,0)),""))</f>
        <v/>
      </c>
      <c r="F338" s="19">
        <f>'Weekly Input'!A338</f>
        <v/>
      </c>
      <c r="G338" s="19">
        <f>IF(B338="","",IFERROR(INDEX('Master Data'!$D$6:$D$145,MATCH(B338,'Master Data'!$A$6:$A$145,0)),""))</f>
        <v/>
      </c>
      <c r="H338" s="18">
        <f>IF(OR(F338="",G338=""),"",F338-G338)</f>
        <v/>
      </c>
      <c r="I338" s="18">
        <f>IF(B338="","",IF('Weekly Input'!J338="OK",TRUE,FALSE))</f>
        <v/>
      </c>
      <c r="J338" s="18">
        <f>IF(B338="","",'Weekly Input'!H338&gt;=MinInStockDays)</f>
        <v/>
      </c>
      <c r="K338" s="18">
        <f>IF(B338="","",H338&gt;=FullCycleMin)</f>
        <v/>
      </c>
      <c r="L338" s="18">
        <f>IF(B338="","",AND(I338,J338,K338,N338&gt;=MinHistory))</f>
        <v/>
      </c>
      <c r="M338" s="20">
        <f>IF(OR(B338="",'Weekly Input'!H338=0),"",'Weekly Input'!D338/'Weekly Input'!H338*7)</f>
        <v/>
      </c>
      <c r="N338" s="18">
        <f>IF(B338="","",COUNTIFS($B$5:$B$504,B338,$C$5:$C$504,C338,$I$5:$I$504,TRUE,$J$5:$J$504,TRUE,$K$5:$K$504,TRUE))</f>
        <v/>
      </c>
      <c r="O338" s="18">
        <f>IF(B338="","",AND(F338=AsOfWeek,AsOfWeek&lt;&gt;""))</f>
        <v/>
      </c>
      <c r="P338" s="20">
        <f>IF(OR(B338="",AsOfWeek=""),"",IFERROR(SUMIFS($M$5:$M$504,$B$5:$B$504,B338,$C$5:$C$504,C338,$L$5:$L$504,TRUE,$F$5:$F$504,"&gt;="&amp;AsOfWeek-7*(RecentWeeks-1),$F$5:$F$504,"&lt;="&amp;AsOfWeek),""))</f>
        <v/>
      </c>
      <c r="Q338" s="20">
        <f>IF(OR(B338="",AsOfWeek=""),"",IFERROR(SUMIFS($M$5:$M$504,$B$5:$B$504,B338,$C$5:$C$504,C338,$L$5:$L$504,TRUE,$F$5:$F$504,"&gt;="&amp;AsOfWeek-7*(RecentWeeks+PriorWeeks-1),$F$5:$F$504,"&lt;"&amp;AsOfWeek-7*(RecentWeeks-1)),""))</f>
        <v/>
      </c>
      <c r="R338" s="21">
        <f>IF(OR(P338="",Q338="",Q338=0),"",P338/Q338-1)</f>
        <v/>
      </c>
      <c r="S338" s="20">
        <f>IF(OR(C338="",AsOfWeek=""),"",IFERROR(AVERAGEIFS($M$5:$M$504,$C$5:$C$504,C338,$L$5:$L$504,TRUE,$F$5:$F$504,"&gt;="&amp;AsOfWeek-7*(RecentWeeks-1),$F$5:$F$504,"&lt;="&amp;AsOfWeek),""))</f>
        <v/>
      </c>
      <c r="T338" s="21">
        <f>IF(OR(P338="",S338=""),"",P338/S338-1)</f>
        <v/>
      </c>
      <c r="U338" s="22">
        <f>IF(OR(B338="",'Weekly Input'!G338="",P338="",P338=0),"",'Weekly Input'!G338/P338)</f>
        <v/>
      </c>
      <c r="V338" s="18">
        <f>IF(B338="","",IF(NOT(I338),"Not Ready",IF(NOT(K338),"Not Ready",IF(N338&lt;MinHistory,"Not Ready",IF(NOT(J338),"Not Ready",IF(OR(Q338="",Q338=0),"Noise",IF(Q338&lt;LowBaseThreshold,"Noise",IF(AND(R338&lt;=-OwnDecline,T338&lt;=-PeerGapThreshold),"Markdown Review",IF(AND(R338&gt;=ReorderUplift,U338&lt;&gt;"",U338&lt;=WeeksSupplyCap),"Reorder Candidate","Monitor"))))))))</f>
        <v/>
      </c>
      <c r="W338" s="18">
        <f>IF(B338="","",IF(NOT(I338),"INVALID_MASTER",IF(NOT(K338),"INCOMPLETE_SHELF_CYCLE",IF(N338&lt;MinHistory,"INSUFFICIENT_HISTORY",IF(NOT(J338),"INSUFFICIENT_IN_STOCK",IF(OR(Q338="",Q338=0),"NO_PRIOR_BASE",IF(Q338&lt;LowBaseThreshold,"LOW_BASE_NOISE",IF(V338="Markdown Review","MARKDOWN_PEER_GAP",IF(V338="Reorder Candidate","REORDER_UPLIFT_COVER","NO_MATERIAL_CHANGE"))))))))</f>
        <v/>
      </c>
      <c r="X338" s="18">
        <f>IF(V338="Markdown Review","Markdown support",IF(V338="Reorder Candidate","Second reorder",IF(V338="Monitor","Monitor",IF(V338="Noise","Hold / collect data",IF(V338="Not Ready","Not ready","")))))</f>
        <v/>
      </c>
      <c r="Y338" s="18">
        <f>IF(OR(R338="",T338=""),"",ABS(R338)+ABS(T338))</f>
        <v/>
      </c>
      <c r="Z338" s="21">
        <f>IF(OR(B338="",NOT(O338),R338=""),"",IF(ABS(R338)&gt;=MaterialThreshold,"Yes","No"))</f>
        <v/>
      </c>
      <c r="AA338" s="18">
        <f>IF(Z338&lt;&gt;"Yes","",IF(ABS(R338)&gt;=MaterialThreshold,IF(ABS(R338)&gt;=BroadShare,"Broad SKU movement","Store-concentrated movement"),""))</f>
        <v/>
      </c>
      <c r="AB338" s="18">
        <f>IF(O338,IF(COUNTIFS($O$5:O338,TRUE)&gt;0,COUNTIFS($O$5:O338,TRUE),0),0)</f>
        <v/>
      </c>
      <c r="AC338" s="18">
        <f>IF(V338="Markdown Review",1,IF(V338="Reorder Candidate",2,IF(V338="Monitor",3,IF(V338="Noise",4,IF(V338="Not Ready",5,99)))))</f>
        <v/>
      </c>
      <c r="AD338" s="18">
        <f>IF(O338,COUNTIFS($O$5:$O$504,TRUE,$AC$5:$AC$504,"&lt;"&amp;AC338)+COUNTIFS($O$5:O338,TRUE,$AC$5:AC338,AC338,$Y$5:Y338,"&gt;"&amp;Y338),0)</f>
        <v/>
      </c>
    </row>
    <row r="339">
      <c r="A339" s="17">
        <f>IF(COUNTA('Weekly Input'!A339:C339)=0,"",'Weekly Input'!B339&amp;"|"&amp;'Weekly Input'!C339&amp;"|"&amp;TEXT('Weekly Input'!A339,"yyyy-mm-dd"))</f>
        <v/>
      </c>
      <c r="B339" s="18">
        <f>'Weekly Input'!B339</f>
        <v/>
      </c>
      <c r="C339" s="18">
        <f>'Weekly Input'!C339</f>
        <v/>
      </c>
      <c r="D339" s="18">
        <f>IF(B339="","",IFERROR(INDEX('Master Data'!$B$6:$B$145,MATCH(B339,'Master Data'!$A$6:$A$145,0)),""))</f>
        <v/>
      </c>
      <c r="E339" s="18">
        <f>IF(C339="","",IFERROR(INDEX('Master Data'!$H$6:$H$13,MATCH(C339,'Master Data'!$F$6:$F$13,0)),""))</f>
        <v/>
      </c>
      <c r="F339" s="19">
        <f>'Weekly Input'!A339</f>
        <v/>
      </c>
      <c r="G339" s="19">
        <f>IF(B339="","",IFERROR(INDEX('Master Data'!$D$6:$D$145,MATCH(B339,'Master Data'!$A$6:$A$145,0)),""))</f>
        <v/>
      </c>
      <c r="H339" s="18">
        <f>IF(OR(F339="",G339=""),"",F339-G339)</f>
        <v/>
      </c>
      <c r="I339" s="18">
        <f>IF(B339="","",IF('Weekly Input'!J339="OK",TRUE,FALSE))</f>
        <v/>
      </c>
      <c r="J339" s="18">
        <f>IF(B339="","",'Weekly Input'!H339&gt;=MinInStockDays)</f>
        <v/>
      </c>
      <c r="K339" s="18">
        <f>IF(B339="","",H339&gt;=FullCycleMin)</f>
        <v/>
      </c>
      <c r="L339" s="18">
        <f>IF(B339="","",AND(I339,J339,K339,N339&gt;=MinHistory))</f>
        <v/>
      </c>
      <c r="M339" s="20">
        <f>IF(OR(B339="",'Weekly Input'!H339=0),"",'Weekly Input'!D339/'Weekly Input'!H339*7)</f>
        <v/>
      </c>
      <c r="N339" s="18">
        <f>IF(B339="","",COUNTIFS($B$5:$B$504,B339,$C$5:$C$504,C339,$I$5:$I$504,TRUE,$J$5:$J$504,TRUE,$K$5:$K$504,TRUE))</f>
        <v/>
      </c>
      <c r="O339" s="18">
        <f>IF(B339="","",AND(F339=AsOfWeek,AsOfWeek&lt;&gt;""))</f>
        <v/>
      </c>
      <c r="P339" s="20">
        <f>IF(OR(B339="",AsOfWeek=""),"",IFERROR(SUMIFS($M$5:$M$504,$B$5:$B$504,B339,$C$5:$C$504,C339,$L$5:$L$504,TRUE,$F$5:$F$504,"&gt;="&amp;AsOfWeek-7*(RecentWeeks-1),$F$5:$F$504,"&lt;="&amp;AsOfWeek),""))</f>
        <v/>
      </c>
      <c r="Q339" s="20">
        <f>IF(OR(B339="",AsOfWeek=""),"",IFERROR(SUMIFS($M$5:$M$504,$B$5:$B$504,B339,$C$5:$C$504,C339,$L$5:$L$504,TRUE,$F$5:$F$504,"&gt;="&amp;AsOfWeek-7*(RecentWeeks+PriorWeeks-1),$F$5:$F$504,"&lt;"&amp;AsOfWeek-7*(RecentWeeks-1)),""))</f>
        <v/>
      </c>
      <c r="R339" s="21">
        <f>IF(OR(P339="",Q339="",Q339=0),"",P339/Q339-1)</f>
        <v/>
      </c>
      <c r="S339" s="20">
        <f>IF(OR(C339="",AsOfWeek=""),"",IFERROR(AVERAGEIFS($M$5:$M$504,$C$5:$C$504,C339,$L$5:$L$504,TRUE,$F$5:$F$504,"&gt;="&amp;AsOfWeek-7*(RecentWeeks-1),$F$5:$F$504,"&lt;="&amp;AsOfWeek),""))</f>
        <v/>
      </c>
      <c r="T339" s="21">
        <f>IF(OR(P339="",S339=""),"",P339/S339-1)</f>
        <v/>
      </c>
      <c r="U339" s="22">
        <f>IF(OR(B339="",'Weekly Input'!G339="",P339="",P339=0),"",'Weekly Input'!G339/P339)</f>
        <v/>
      </c>
      <c r="V339" s="18">
        <f>IF(B339="","",IF(NOT(I339),"Not Ready",IF(NOT(K339),"Not Ready",IF(N339&lt;MinHistory,"Not Ready",IF(NOT(J339),"Not Ready",IF(OR(Q339="",Q339=0),"Noise",IF(Q339&lt;LowBaseThreshold,"Noise",IF(AND(R339&lt;=-OwnDecline,T339&lt;=-PeerGapThreshold),"Markdown Review",IF(AND(R339&gt;=ReorderUplift,U339&lt;&gt;"",U339&lt;=WeeksSupplyCap),"Reorder Candidate","Monitor"))))))))</f>
        <v/>
      </c>
      <c r="W339" s="18">
        <f>IF(B339="","",IF(NOT(I339),"INVALID_MASTER",IF(NOT(K339),"INCOMPLETE_SHELF_CYCLE",IF(N339&lt;MinHistory,"INSUFFICIENT_HISTORY",IF(NOT(J339),"INSUFFICIENT_IN_STOCK",IF(OR(Q339="",Q339=0),"NO_PRIOR_BASE",IF(Q339&lt;LowBaseThreshold,"LOW_BASE_NOISE",IF(V339="Markdown Review","MARKDOWN_PEER_GAP",IF(V339="Reorder Candidate","REORDER_UPLIFT_COVER","NO_MATERIAL_CHANGE"))))))))</f>
        <v/>
      </c>
      <c r="X339" s="18">
        <f>IF(V339="Markdown Review","Markdown support",IF(V339="Reorder Candidate","Second reorder",IF(V339="Monitor","Monitor",IF(V339="Noise","Hold / collect data",IF(V339="Not Ready","Not ready","")))))</f>
        <v/>
      </c>
      <c r="Y339" s="18">
        <f>IF(OR(R339="",T339=""),"",ABS(R339)+ABS(T339))</f>
        <v/>
      </c>
      <c r="Z339" s="21">
        <f>IF(OR(B339="",NOT(O339),R339=""),"",IF(ABS(R339)&gt;=MaterialThreshold,"Yes","No"))</f>
        <v/>
      </c>
      <c r="AA339" s="18">
        <f>IF(Z339&lt;&gt;"Yes","",IF(ABS(R339)&gt;=MaterialThreshold,IF(ABS(R339)&gt;=BroadShare,"Broad SKU movement","Store-concentrated movement"),""))</f>
        <v/>
      </c>
      <c r="AB339" s="18">
        <f>IF(O339,IF(COUNTIFS($O$5:O339,TRUE)&gt;0,COUNTIFS($O$5:O339,TRUE),0),0)</f>
        <v/>
      </c>
      <c r="AC339" s="18">
        <f>IF(V339="Markdown Review",1,IF(V339="Reorder Candidate",2,IF(V339="Monitor",3,IF(V339="Noise",4,IF(V339="Not Ready",5,99)))))</f>
        <v/>
      </c>
      <c r="AD339" s="18">
        <f>IF(O339,COUNTIFS($O$5:$O$504,TRUE,$AC$5:$AC$504,"&lt;"&amp;AC339)+COUNTIFS($O$5:O339,TRUE,$AC$5:AC339,AC339,$Y$5:Y339,"&gt;"&amp;Y339),0)</f>
        <v/>
      </c>
    </row>
    <row r="340">
      <c r="A340" s="17">
        <f>IF(COUNTA('Weekly Input'!A340:C340)=0,"",'Weekly Input'!B340&amp;"|"&amp;'Weekly Input'!C340&amp;"|"&amp;TEXT('Weekly Input'!A340,"yyyy-mm-dd"))</f>
        <v/>
      </c>
      <c r="B340" s="18">
        <f>'Weekly Input'!B340</f>
        <v/>
      </c>
      <c r="C340" s="18">
        <f>'Weekly Input'!C340</f>
        <v/>
      </c>
      <c r="D340" s="18">
        <f>IF(B340="","",IFERROR(INDEX('Master Data'!$B$6:$B$145,MATCH(B340,'Master Data'!$A$6:$A$145,0)),""))</f>
        <v/>
      </c>
      <c r="E340" s="18">
        <f>IF(C340="","",IFERROR(INDEX('Master Data'!$H$6:$H$13,MATCH(C340,'Master Data'!$F$6:$F$13,0)),""))</f>
        <v/>
      </c>
      <c r="F340" s="19">
        <f>'Weekly Input'!A340</f>
        <v/>
      </c>
      <c r="G340" s="19">
        <f>IF(B340="","",IFERROR(INDEX('Master Data'!$D$6:$D$145,MATCH(B340,'Master Data'!$A$6:$A$145,0)),""))</f>
        <v/>
      </c>
      <c r="H340" s="18">
        <f>IF(OR(F340="",G340=""),"",F340-G340)</f>
        <v/>
      </c>
      <c r="I340" s="18">
        <f>IF(B340="","",IF('Weekly Input'!J340="OK",TRUE,FALSE))</f>
        <v/>
      </c>
      <c r="J340" s="18">
        <f>IF(B340="","",'Weekly Input'!H340&gt;=MinInStockDays)</f>
        <v/>
      </c>
      <c r="K340" s="18">
        <f>IF(B340="","",H340&gt;=FullCycleMin)</f>
        <v/>
      </c>
      <c r="L340" s="18">
        <f>IF(B340="","",AND(I340,J340,K340,N340&gt;=MinHistory))</f>
        <v/>
      </c>
      <c r="M340" s="20">
        <f>IF(OR(B340="",'Weekly Input'!H340=0),"",'Weekly Input'!D340/'Weekly Input'!H340*7)</f>
        <v/>
      </c>
      <c r="N340" s="18">
        <f>IF(B340="","",COUNTIFS($B$5:$B$504,B340,$C$5:$C$504,C340,$I$5:$I$504,TRUE,$J$5:$J$504,TRUE,$K$5:$K$504,TRUE))</f>
        <v/>
      </c>
      <c r="O340" s="18">
        <f>IF(B340="","",AND(F340=AsOfWeek,AsOfWeek&lt;&gt;""))</f>
        <v/>
      </c>
      <c r="P340" s="20">
        <f>IF(OR(B340="",AsOfWeek=""),"",IFERROR(SUMIFS($M$5:$M$504,$B$5:$B$504,B340,$C$5:$C$504,C340,$L$5:$L$504,TRUE,$F$5:$F$504,"&gt;="&amp;AsOfWeek-7*(RecentWeeks-1),$F$5:$F$504,"&lt;="&amp;AsOfWeek),""))</f>
        <v/>
      </c>
      <c r="Q340" s="20">
        <f>IF(OR(B340="",AsOfWeek=""),"",IFERROR(SUMIFS($M$5:$M$504,$B$5:$B$504,B340,$C$5:$C$504,C340,$L$5:$L$504,TRUE,$F$5:$F$504,"&gt;="&amp;AsOfWeek-7*(RecentWeeks+PriorWeeks-1),$F$5:$F$504,"&lt;"&amp;AsOfWeek-7*(RecentWeeks-1)),""))</f>
        <v/>
      </c>
      <c r="R340" s="21">
        <f>IF(OR(P340="",Q340="",Q340=0),"",P340/Q340-1)</f>
        <v/>
      </c>
      <c r="S340" s="20">
        <f>IF(OR(C340="",AsOfWeek=""),"",IFERROR(AVERAGEIFS($M$5:$M$504,$C$5:$C$504,C340,$L$5:$L$504,TRUE,$F$5:$F$504,"&gt;="&amp;AsOfWeek-7*(RecentWeeks-1),$F$5:$F$504,"&lt;="&amp;AsOfWeek),""))</f>
        <v/>
      </c>
      <c r="T340" s="21">
        <f>IF(OR(P340="",S340=""),"",P340/S340-1)</f>
        <v/>
      </c>
      <c r="U340" s="22">
        <f>IF(OR(B340="",'Weekly Input'!G340="",P340="",P340=0),"",'Weekly Input'!G340/P340)</f>
        <v/>
      </c>
      <c r="V340" s="18">
        <f>IF(B340="","",IF(NOT(I340),"Not Ready",IF(NOT(K340),"Not Ready",IF(N340&lt;MinHistory,"Not Ready",IF(NOT(J340),"Not Ready",IF(OR(Q340="",Q340=0),"Noise",IF(Q340&lt;LowBaseThreshold,"Noise",IF(AND(R340&lt;=-OwnDecline,T340&lt;=-PeerGapThreshold),"Markdown Review",IF(AND(R340&gt;=ReorderUplift,U340&lt;&gt;"",U340&lt;=WeeksSupplyCap),"Reorder Candidate","Monitor"))))))))</f>
        <v/>
      </c>
      <c r="W340" s="18">
        <f>IF(B340="","",IF(NOT(I340),"INVALID_MASTER",IF(NOT(K340),"INCOMPLETE_SHELF_CYCLE",IF(N340&lt;MinHistory,"INSUFFICIENT_HISTORY",IF(NOT(J340),"INSUFFICIENT_IN_STOCK",IF(OR(Q340="",Q340=0),"NO_PRIOR_BASE",IF(Q340&lt;LowBaseThreshold,"LOW_BASE_NOISE",IF(V340="Markdown Review","MARKDOWN_PEER_GAP",IF(V340="Reorder Candidate","REORDER_UPLIFT_COVER","NO_MATERIAL_CHANGE"))))))))</f>
        <v/>
      </c>
      <c r="X340" s="18">
        <f>IF(V340="Markdown Review","Markdown support",IF(V340="Reorder Candidate","Second reorder",IF(V340="Monitor","Monitor",IF(V340="Noise","Hold / collect data",IF(V340="Not Ready","Not ready","")))))</f>
        <v/>
      </c>
      <c r="Y340" s="18">
        <f>IF(OR(R340="",T340=""),"",ABS(R340)+ABS(T340))</f>
        <v/>
      </c>
      <c r="Z340" s="21">
        <f>IF(OR(B340="",NOT(O340),R340=""),"",IF(ABS(R340)&gt;=MaterialThreshold,"Yes","No"))</f>
        <v/>
      </c>
      <c r="AA340" s="18">
        <f>IF(Z340&lt;&gt;"Yes","",IF(ABS(R340)&gt;=MaterialThreshold,IF(ABS(R340)&gt;=BroadShare,"Broad SKU movement","Store-concentrated movement"),""))</f>
        <v/>
      </c>
      <c r="AB340" s="18">
        <f>IF(O340,IF(COUNTIFS($O$5:O340,TRUE)&gt;0,COUNTIFS($O$5:O340,TRUE),0),0)</f>
        <v/>
      </c>
      <c r="AC340" s="18">
        <f>IF(V340="Markdown Review",1,IF(V340="Reorder Candidate",2,IF(V340="Monitor",3,IF(V340="Noise",4,IF(V340="Not Ready",5,99)))))</f>
        <v/>
      </c>
      <c r="AD340" s="18">
        <f>IF(O340,COUNTIFS($O$5:$O$504,TRUE,$AC$5:$AC$504,"&lt;"&amp;AC340)+COUNTIFS($O$5:O340,TRUE,$AC$5:AC340,AC340,$Y$5:Y340,"&gt;"&amp;Y340),0)</f>
        <v/>
      </c>
    </row>
    <row r="341">
      <c r="A341" s="17">
        <f>IF(COUNTA('Weekly Input'!A341:C341)=0,"",'Weekly Input'!B341&amp;"|"&amp;'Weekly Input'!C341&amp;"|"&amp;TEXT('Weekly Input'!A341,"yyyy-mm-dd"))</f>
        <v/>
      </c>
      <c r="B341" s="18">
        <f>'Weekly Input'!B341</f>
        <v/>
      </c>
      <c r="C341" s="18">
        <f>'Weekly Input'!C341</f>
        <v/>
      </c>
      <c r="D341" s="18">
        <f>IF(B341="","",IFERROR(INDEX('Master Data'!$B$6:$B$145,MATCH(B341,'Master Data'!$A$6:$A$145,0)),""))</f>
        <v/>
      </c>
      <c r="E341" s="18">
        <f>IF(C341="","",IFERROR(INDEX('Master Data'!$H$6:$H$13,MATCH(C341,'Master Data'!$F$6:$F$13,0)),""))</f>
        <v/>
      </c>
      <c r="F341" s="19">
        <f>'Weekly Input'!A341</f>
        <v/>
      </c>
      <c r="G341" s="19">
        <f>IF(B341="","",IFERROR(INDEX('Master Data'!$D$6:$D$145,MATCH(B341,'Master Data'!$A$6:$A$145,0)),""))</f>
        <v/>
      </c>
      <c r="H341" s="18">
        <f>IF(OR(F341="",G341=""),"",F341-G341)</f>
        <v/>
      </c>
      <c r="I341" s="18">
        <f>IF(B341="","",IF('Weekly Input'!J341="OK",TRUE,FALSE))</f>
        <v/>
      </c>
      <c r="J341" s="18">
        <f>IF(B341="","",'Weekly Input'!H341&gt;=MinInStockDays)</f>
        <v/>
      </c>
      <c r="K341" s="18">
        <f>IF(B341="","",H341&gt;=FullCycleMin)</f>
        <v/>
      </c>
      <c r="L341" s="18">
        <f>IF(B341="","",AND(I341,J341,K341,N341&gt;=MinHistory))</f>
        <v/>
      </c>
      <c r="M341" s="20">
        <f>IF(OR(B341="",'Weekly Input'!H341=0),"",'Weekly Input'!D341/'Weekly Input'!H341*7)</f>
        <v/>
      </c>
      <c r="N341" s="18">
        <f>IF(B341="","",COUNTIFS($B$5:$B$504,B341,$C$5:$C$504,C341,$I$5:$I$504,TRUE,$J$5:$J$504,TRUE,$K$5:$K$504,TRUE))</f>
        <v/>
      </c>
      <c r="O341" s="18">
        <f>IF(B341="","",AND(F341=AsOfWeek,AsOfWeek&lt;&gt;""))</f>
        <v/>
      </c>
      <c r="P341" s="20">
        <f>IF(OR(B341="",AsOfWeek=""),"",IFERROR(SUMIFS($M$5:$M$504,$B$5:$B$504,B341,$C$5:$C$504,C341,$L$5:$L$504,TRUE,$F$5:$F$504,"&gt;="&amp;AsOfWeek-7*(RecentWeeks-1),$F$5:$F$504,"&lt;="&amp;AsOfWeek),""))</f>
        <v/>
      </c>
      <c r="Q341" s="20">
        <f>IF(OR(B341="",AsOfWeek=""),"",IFERROR(SUMIFS($M$5:$M$504,$B$5:$B$504,B341,$C$5:$C$504,C341,$L$5:$L$504,TRUE,$F$5:$F$504,"&gt;="&amp;AsOfWeek-7*(RecentWeeks+PriorWeeks-1),$F$5:$F$504,"&lt;"&amp;AsOfWeek-7*(RecentWeeks-1)),""))</f>
        <v/>
      </c>
      <c r="R341" s="21">
        <f>IF(OR(P341="",Q341="",Q341=0),"",P341/Q341-1)</f>
        <v/>
      </c>
      <c r="S341" s="20">
        <f>IF(OR(C341="",AsOfWeek=""),"",IFERROR(AVERAGEIFS($M$5:$M$504,$C$5:$C$504,C341,$L$5:$L$504,TRUE,$F$5:$F$504,"&gt;="&amp;AsOfWeek-7*(RecentWeeks-1),$F$5:$F$504,"&lt;="&amp;AsOfWeek),""))</f>
        <v/>
      </c>
      <c r="T341" s="21">
        <f>IF(OR(P341="",S341=""),"",P341/S341-1)</f>
        <v/>
      </c>
      <c r="U341" s="22">
        <f>IF(OR(B341="",'Weekly Input'!G341="",P341="",P341=0),"",'Weekly Input'!G341/P341)</f>
        <v/>
      </c>
      <c r="V341" s="18">
        <f>IF(B341="","",IF(NOT(I341),"Not Ready",IF(NOT(K341),"Not Ready",IF(N341&lt;MinHistory,"Not Ready",IF(NOT(J341),"Not Ready",IF(OR(Q341="",Q341=0),"Noise",IF(Q341&lt;LowBaseThreshold,"Noise",IF(AND(R341&lt;=-OwnDecline,T341&lt;=-PeerGapThreshold),"Markdown Review",IF(AND(R341&gt;=ReorderUplift,U341&lt;&gt;"",U341&lt;=WeeksSupplyCap),"Reorder Candidate","Monitor"))))))))</f>
        <v/>
      </c>
      <c r="W341" s="18">
        <f>IF(B341="","",IF(NOT(I341),"INVALID_MASTER",IF(NOT(K341),"INCOMPLETE_SHELF_CYCLE",IF(N341&lt;MinHistory,"INSUFFICIENT_HISTORY",IF(NOT(J341),"INSUFFICIENT_IN_STOCK",IF(OR(Q341="",Q341=0),"NO_PRIOR_BASE",IF(Q341&lt;LowBaseThreshold,"LOW_BASE_NOISE",IF(V341="Markdown Review","MARKDOWN_PEER_GAP",IF(V341="Reorder Candidate","REORDER_UPLIFT_COVER","NO_MATERIAL_CHANGE"))))))))</f>
        <v/>
      </c>
      <c r="X341" s="18">
        <f>IF(V341="Markdown Review","Markdown support",IF(V341="Reorder Candidate","Second reorder",IF(V341="Monitor","Monitor",IF(V341="Noise","Hold / collect data",IF(V341="Not Ready","Not ready","")))))</f>
        <v/>
      </c>
      <c r="Y341" s="18">
        <f>IF(OR(R341="",T341=""),"",ABS(R341)+ABS(T341))</f>
        <v/>
      </c>
      <c r="Z341" s="21">
        <f>IF(OR(B341="",NOT(O341),R341=""),"",IF(ABS(R341)&gt;=MaterialThreshold,"Yes","No"))</f>
        <v/>
      </c>
      <c r="AA341" s="18">
        <f>IF(Z341&lt;&gt;"Yes","",IF(ABS(R341)&gt;=MaterialThreshold,IF(ABS(R341)&gt;=BroadShare,"Broad SKU movement","Store-concentrated movement"),""))</f>
        <v/>
      </c>
      <c r="AB341" s="18">
        <f>IF(O341,IF(COUNTIFS($O$5:O341,TRUE)&gt;0,COUNTIFS($O$5:O341,TRUE),0),0)</f>
        <v/>
      </c>
      <c r="AC341" s="18">
        <f>IF(V341="Markdown Review",1,IF(V341="Reorder Candidate",2,IF(V341="Monitor",3,IF(V341="Noise",4,IF(V341="Not Ready",5,99)))))</f>
        <v/>
      </c>
      <c r="AD341" s="18">
        <f>IF(O341,COUNTIFS($O$5:$O$504,TRUE,$AC$5:$AC$504,"&lt;"&amp;AC341)+COUNTIFS($O$5:O341,TRUE,$AC$5:AC341,AC341,$Y$5:Y341,"&gt;"&amp;Y341),0)</f>
        <v/>
      </c>
    </row>
    <row r="342">
      <c r="A342" s="17">
        <f>IF(COUNTA('Weekly Input'!A342:C342)=0,"",'Weekly Input'!B342&amp;"|"&amp;'Weekly Input'!C342&amp;"|"&amp;TEXT('Weekly Input'!A342,"yyyy-mm-dd"))</f>
        <v/>
      </c>
      <c r="B342" s="18">
        <f>'Weekly Input'!B342</f>
        <v/>
      </c>
      <c r="C342" s="18">
        <f>'Weekly Input'!C342</f>
        <v/>
      </c>
      <c r="D342" s="18">
        <f>IF(B342="","",IFERROR(INDEX('Master Data'!$B$6:$B$145,MATCH(B342,'Master Data'!$A$6:$A$145,0)),""))</f>
        <v/>
      </c>
      <c r="E342" s="18">
        <f>IF(C342="","",IFERROR(INDEX('Master Data'!$H$6:$H$13,MATCH(C342,'Master Data'!$F$6:$F$13,0)),""))</f>
        <v/>
      </c>
      <c r="F342" s="19">
        <f>'Weekly Input'!A342</f>
        <v/>
      </c>
      <c r="G342" s="19">
        <f>IF(B342="","",IFERROR(INDEX('Master Data'!$D$6:$D$145,MATCH(B342,'Master Data'!$A$6:$A$145,0)),""))</f>
        <v/>
      </c>
      <c r="H342" s="18">
        <f>IF(OR(F342="",G342=""),"",F342-G342)</f>
        <v/>
      </c>
      <c r="I342" s="18">
        <f>IF(B342="","",IF('Weekly Input'!J342="OK",TRUE,FALSE))</f>
        <v/>
      </c>
      <c r="J342" s="18">
        <f>IF(B342="","",'Weekly Input'!H342&gt;=MinInStockDays)</f>
        <v/>
      </c>
      <c r="K342" s="18">
        <f>IF(B342="","",H342&gt;=FullCycleMin)</f>
        <v/>
      </c>
      <c r="L342" s="18">
        <f>IF(B342="","",AND(I342,J342,K342,N342&gt;=MinHistory))</f>
        <v/>
      </c>
      <c r="M342" s="20">
        <f>IF(OR(B342="",'Weekly Input'!H342=0),"",'Weekly Input'!D342/'Weekly Input'!H342*7)</f>
        <v/>
      </c>
      <c r="N342" s="18">
        <f>IF(B342="","",COUNTIFS($B$5:$B$504,B342,$C$5:$C$504,C342,$I$5:$I$504,TRUE,$J$5:$J$504,TRUE,$K$5:$K$504,TRUE))</f>
        <v/>
      </c>
      <c r="O342" s="18">
        <f>IF(B342="","",AND(F342=AsOfWeek,AsOfWeek&lt;&gt;""))</f>
        <v/>
      </c>
      <c r="P342" s="20">
        <f>IF(OR(B342="",AsOfWeek=""),"",IFERROR(SUMIFS($M$5:$M$504,$B$5:$B$504,B342,$C$5:$C$504,C342,$L$5:$L$504,TRUE,$F$5:$F$504,"&gt;="&amp;AsOfWeek-7*(RecentWeeks-1),$F$5:$F$504,"&lt;="&amp;AsOfWeek),""))</f>
        <v/>
      </c>
      <c r="Q342" s="20">
        <f>IF(OR(B342="",AsOfWeek=""),"",IFERROR(SUMIFS($M$5:$M$504,$B$5:$B$504,B342,$C$5:$C$504,C342,$L$5:$L$504,TRUE,$F$5:$F$504,"&gt;="&amp;AsOfWeek-7*(RecentWeeks+PriorWeeks-1),$F$5:$F$504,"&lt;"&amp;AsOfWeek-7*(RecentWeeks-1)),""))</f>
        <v/>
      </c>
      <c r="R342" s="21">
        <f>IF(OR(P342="",Q342="",Q342=0),"",P342/Q342-1)</f>
        <v/>
      </c>
      <c r="S342" s="20">
        <f>IF(OR(C342="",AsOfWeek=""),"",IFERROR(AVERAGEIFS($M$5:$M$504,$C$5:$C$504,C342,$L$5:$L$504,TRUE,$F$5:$F$504,"&gt;="&amp;AsOfWeek-7*(RecentWeeks-1),$F$5:$F$504,"&lt;="&amp;AsOfWeek),""))</f>
        <v/>
      </c>
      <c r="T342" s="21">
        <f>IF(OR(P342="",S342=""),"",P342/S342-1)</f>
        <v/>
      </c>
      <c r="U342" s="22">
        <f>IF(OR(B342="",'Weekly Input'!G342="",P342="",P342=0),"",'Weekly Input'!G342/P342)</f>
        <v/>
      </c>
      <c r="V342" s="18">
        <f>IF(B342="","",IF(NOT(I342),"Not Ready",IF(NOT(K342),"Not Ready",IF(N342&lt;MinHistory,"Not Ready",IF(NOT(J342),"Not Ready",IF(OR(Q342="",Q342=0),"Noise",IF(Q342&lt;LowBaseThreshold,"Noise",IF(AND(R342&lt;=-OwnDecline,T342&lt;=-PeerGapThreshold),"Markdown Review",IF(AND(R342&gt;=ReorderUplift,U342&lt;&gt;"",U342&lt;=WeeksSupplyCap),"Reorder Candidate","Monitor"))))))))</f>
        <v/>
      </c>
      <c r="W342" s="18">
        <f>IF(B342="","",IF(NOT(I342),"INVALID_MASTER",IF(NOT(K342),"INCOMPLETE_SHELF_CYCLE",IF(N342&lt;MinHistory,"INSUFFICIENT_HISTORY",IF(NOT(J342),"INSUFFICIENT_IN_STOCK",IF(OR(Q342="",Q342=0),"NO_PRIOR_BASE",IF(Q342&lt;LowBaseThreshold,"LOW_BASE_NOISE",IF(V342="Markdown Review","MARKDOWN_PEER_GAP",IF(V342="Reorder Candidate","REORDER_UPLIFT_COVER","NO_MATERIAL_CHANGE"))))))))</f>
        <v/>
      </c>
      <c r="X342" s="18">
        <f>IF(V342="Markdown Review","Markdown support",IF(V342="Reorder Candidate","Second reorder",IF(V342="Monitor","Monitor",IF(V342="Noise","Hold / collect data",IF(V342="Not Ready","Not ready","")))))</f>
        <v/>
      </c>
      <c r="Y342" s="18">
        <f>IF(OR(R342="",T342=""),"",ABS(R342)+ABS(T342))</f>
        <v/>
      </c>
      <c r="Z342" s="21">
        <f>IF(OR(B342="",NOT(O342),R342=""),"",IF(ABS(R342)&gt;=MaterialThreshold,"Yes","No"))</f>
        <v/>
      </c>
      <c r="AA342" s="18">
        <f>IF(Z342&lt;&gt;"Yes","",IF(ABS(R342)&gt;=MaterialThreshold,IF(ABS(R342)&gt;=BroadShare,"Broad SKU movement","Store-concentrated movement"),""))</f>
        <v/>
      </c>
      <c r="AB342" s="18">
        <f>IF(O342,IF(COUNTIFS($O$5:O342,TRUE)&gt;0,COUNTIFS($O$5:O342,TRUE),0),0)</f>
        <v/>
      </c>
      <c r="AC342" s="18">
        <f>IF(V342="Markdown Review",1,IF(V342="Reorder Candidate",2,IF(V342="Monitor",3,IF(V342="Noise",4,IF(V342="Not Ready",5,99)))))</f>
        <v/>
      </c>
      <c r="AD342" s="18">
        <f>IF(O342,COUNTIFS($O$5:$O$504,TRUE,$AC$5:$AC$504,"&lt;"&amp;AC342)+COUNTIFS($O$5:O342,TRUE,$AC$5:AC342,AC342,$Y$5:Y342,"&gt;"&amp;Y342),0)</f>
        <v/>
      </c>
    </row>
    <row r="343">
      <c r="A343" s="17">
        <f>IF(COUNTA('Weekly Input'!A343:C343)=0,"",'Weekly Input'!B343&amp;"|"&amp;'Weekly Input'!C343&amp;"|"&amp;TEXT('Weekly Input'!A343,"yyyy-mm-dd"))</f>
        <v/>
      </c>
      <c r="B343" s="18">
        <f>'Weekly Input'!B343</f>
        <v/>
      </c>
      <c r="C343" s="18">
        <f>'Weekly Input'!C343</f>
        <v/>
      </c>
      <c r="D343" s="18">
        <f>IF(B343="","",IFERROR(INDEX('Master Data'!$B$6:$B$145,MATCH(B343,'Master Data'!$A$6:$A$145,0)),""))</f>
        <v/>
      </c>
      <c r="E343" s="18">
        <f>IF(C343="","",IFERROR(INDEX('Master Data'!$H$6:$H$13,MATCH(C343,'Master Data'!$F$6:$F$13,0)),""))</f>
        <v/>
      </c>
      <c r="F343" s="19">
        <f>'Weekly Input'!A343</f>
        <v/>
      </c>
      <c r="G343" s="19">
        <f>IF(B343="","",IFERROR(INDEX('Master Data'!$D$6:$D$145,MATCH(B343,'Master Data'!$A$6:$A$145,0)),""))</f>
        <v/>
      </c>
      <c r="H343" s="18">
        <f>IF(OR(F343="",G343=""),"",F343-G343)</f>
        <v/>
      </c>
      <c r="I343" s="18">
        <f>IF(B343="","",IF('Weekly Input'!J343="OK",TRUE,FALSE))</f>
        <v/>
      </c>
      <c r="J343" s="18">
        <f>IF(B343="","",'Weekly Input'!H343&gt;=MinInStockDays)</f>
        <v/>
      </c>
      <c r="K343" s="18">
        <f>IF(B343="","",H343&gt;=FullCycleMin)</f>
        <v/>
      </c>
      <c r="L343" s="18">
        <f>IF(B343="","",AND(I343,J343,K343,N343&gt;=MinHistory))</f>
        <v/>
      </c>
      <c r="M343" s="20">
        <f>IF(OR(B343="",'Weekly Input'!H343=0),"",'Weekly Input'!D343/'Weekly Input'!H343*7)</f>
        <v/>
      </c>
      <c r="N343" s="18">
        <f>IF(B343="","",COUNTIFS($B$5:$B$504,B343,$C$5:$C$504,C343,$I$5:$I$504,TRUE,$J$5:$J$504,TRUE,$K$5:$K$504,TRUE))</f>
        <v/>
      </c>
      <c r="O343" s="18">
        <f>IF(B343="","",AND(F343=AsOfWeek,AsOfWeek&lt;&gt;""))</f>
        <v/>
      </c>
      <c r="P343" s="20">
        <f>IF(OR(B343="",AsOfWeek=""),"",IFERROR(SUMIFS($M$5:$M$504,$B$5:$B$504,B343,$C$5:$C$504,C343,$L$5:$L$504,TRUE,$F$5:$F$504,"&gt;="&amp;AsOfWeek-7*(RecentWeeks-1),$F$5:$F$504,"&lt;="&amp;AsOfWeek),""))</f>
        <v/>
      </c>
      <c r="Q343" s="20">
        <f>IF(OR(B343="",AsOfWeek=""),"",IFERROR(SUMIFS($M$5:$M$504,$B$5:$B$504,B343,$C$5:$C$504,C343,$L$5:$L$504,TRUE,$F$5:$F$504,"&gt;="&amp;AsOfWeek-7*(RecentWeeks+PriorWeeks-1),$F$5:$F$504,"&lt;"&amp;AsOfWeek-7*(RecentWeeks-1)),""))</f>
        <v/>
      </c>
      <c r="R343" s="21">
        <f>IF(OR(P343="",Q343="",Q343=0),"",P343/Q343-1)</f>
        <v/>
      </c>
      <c r="S343" s="20">
        <f>IF(OR(C343="",AsOfWeek=""),"",IFERROR(AVERAGEIFS($M$5:$M$504,$C$5:$C$504,C343,$L$5:$L$504,TRUE,$F$5:$F$504,"&gt;="&amp;AsOfWeek-7*(RecentWeeks-1),$F$5:$F$504,"&lt;="&amp;AsOfWeek),""))</f>
        <v/>
      </c>
      <c r="T343" s="21">
        <f>IF(OR(P343="",S343=""),"",P343/S343-1)</f>
        <v/>
      </c>
      <c r="U343" s="22">
        <f>IF(OR(B343="",'Weekly Input'!G343="",P343="",P343=0),"",'Weekly Input'!G343/P343)</f>
        <v/>
      </c>
      <c r="V343" s="18">
        <f>IF(B343="","",IF(NOT(I343),"Not Ready",IF(NOT(K343),"Not Ready",IF(N343&lt;MinHistory,"Not Ready",IF(NOT(J343),"Not Ready",IF(OR(Q343="",Q343=0),"Noise",IF(Q343&lt;LowBaseThreshold,"Noise",IF(AND(R343&lt;=-OwnDecline,T343&lt;=-PeerGapThreshold),"Markdown Review",IF(AND(R343&gt;=ReorderUplift,U343&lt;&gt;"",U343&lt;=WeeksSupplyCap),"Reorder Candidate","Monitor"))))))))</f>
        <v/>
      </c>
      <c r="W343" s="18">
        <f>IF(B343="","",IF(NOT(I343),"INVALID_MASTER",IF(NOT(K343),"INCOMPLETE_SHELF_CYCLE",IF(N343&lt;MinHistory,"INSUFFICIENT_HISTORY",IF(NOT(J343),"INSUFFICIENT_IN_STOCK",IF(OR(Q343="",Q343=0),"NO_PRIOR_BASE",IF(Q343&lt;LowBaseThreshold,"LOW_BASE_NOISE",IF(V343="Markdown Review","MARKDOWN_PEER_GAP",IF(V343="Reorder Candidate","REORDER_UPLIFT_COVER","NO_MATERIAL_CHANGE"))))))))</f>
        <v/>
      </c>
      <c r="X343" s="18">
        <f>IF(V343="Markdown Review","Markdown support",IF(V343="Reorder Candidate","Second reorder",IF(V343="Monitor","Monitor",IF(V343="Noise","Hold / collect data",IF(V343="Not Ready","Not ready","")))))</f>
        <v/>
      </c>
      <c r="Y343" s="18">
        <f>IF(OR(R343="",T343=""),"",ABS(R343)+ABS(T343))</f>
        <v/>
      </c>
      <c r="Z343" s="21">
        <f>IF(OR(B343="",NOT(O343),R343=""),"",IF(ABS(R343)&gt;=MaterialThreshold,"Yes","No"))</f>
        <v/>
      </c>
      <c r="AA343" s="18">
        <f>IF(Z343&lt;&gt;"Yes","",IF(ABS(R343)&gt;=MaterialThreshold,IF(ABS(R343)&gt;=BroadShare,"Broad SKU movement","Store-concentrated movement"),""))</f>
        <v/>
      </c>
      <c r="AB343" s="18">
        <f>IF(O343,IF(COUNTIFS($O$5:O343,TRUE)&gt;0,COUNTIFS($O$5:O343,TRUE),0),0)</f>
        <v/>
      </c>
      <c r="AC343" s="18">
        <f>IF(V343="Markdown Review",1,IF(V343="Reorder Candidate",2,IF(V343="Monitor",3,IF(V343="Noise",4,IF(V343="Not Ready",5,99)))))</f>
        <v/>
      </c>
      <c r="AD343" s="18">
        <f>IF(O343,COUNTIFS($O$5:$O$504,TRUE,$AC$5:$AC$504,"&lt;"&amp;AC343)+COUNTIFS($O$5:O343,TRUE,$AC$5:AC343,AC343,$Y$5:Y343,"&gt;"&amp;Y343),0)</f>
        <v/>
      </c>
    </row>
    <row r="344">
      <c r="A344" s="17">
        <f>IF(COUNTA('Weekly Input'!A344:C344)=0,"",'Weekly Input'!B344&amp;"|"&amp;'Weekly Input'!C344&amp;"|"&amp;TEXT('Weekly Input'!A344,"yyyy-mm-dd"))</f>
        <v/>
      </c>
      <c r="B344" s="18">
        <f>'Weekly Input'!B344</f>
        <v/>
      </c>
      <c r="C344" s="18">
        <f>'Weekly Input'!C344</f>
        <v/>
      </c>
      <c r="D344" s="18">
        <f>IF(B344="","",IFERROR(INDEX('Master Data'!$B$6:$B$145,MATCH(B344,'Master Data'!$A$6:$A$145,0)),""))</f>
        <v/>
      </c>
      <c r="E344" s="18">
        <f>IF(C344="","",IFERROR(INDEX('Master Data'!$H$6:$H$13,MATCH(C344,'Master Data'!$F$6:$F$13,0)),""))</f>
        <v/>
      </c>
      <c r="F344" s="19">
        <f>'Weekly Input'!A344</f>
        <v/>
      </c>
      <c r="G344" s="19">
        <f>IF(B344="","",IFERROR(INDEX('Master Data'!$D$6:$D$145,MATCH(B344,'Master Data'!$A$6:$A$145,0)),""))</f>
        <v/>
      </c>
      <c r="H344" s="18">
        <f>IF(OR(F344="",G344=""),"",F344-G344)</f>
        <v/>
      </c>
      <c r="I344" s="18">
        <f>IF(B344="","",IF('Weekly Input'!J344="OK",TRUE,FALSE))</f>
        <v/>
      </c>
      <c r="J344" s="18">
        <f>IF(B344="","",'Weekly Input'!H344&gt;=MinInStockDays)</f>
        <v/>
      </c>
      <c r="K344" s="18">
        <f>IF(B344="","",H344&gt;=FullCycleMin)</f>
        <v/>
      </c>
      <c r="L344" s="18">
        <f>IF(B344="","",AND(I344,J344,K344,N344&gt;=MinHistory))</f>
        <v/>
      </c>
      <c r="M344" s="20">
        <f>IF(OR(B344="",'Weekly Input'!H344=0),"",'Weekly Input'!D344/'Weekly Input'!H344*7)</f>
        <v/>
      </c>
      <c r="N344" s="18">
        <f>IF(B344="","",COUNTIFS($B$5:$B$504,B344,$C$5:$C$504,C344,$I$5:$I$504,TRUE,$J$5:$J$504,TRUE,$K$5:$K$504,TRUE))</f>
        <v/>
      </c>
      <c r="O344" s="18">
        <f>IF(B344="","",AND(F344=AsOfWeek,AsOfWeek&lt;&gt;""))</f>
        <v/>
      </c>
      <c r="P344" s="20">
        <f>IF(OR(B344="",AsOfWeek=""),"",IFERROR(SUMIFS($M$5:$M$504,$B$5:$B$504,B344,$C$5:$C$504,C344,$L$5:$L$504,TRUE,$F$5:$F$504,"&gt;="&amp;AsOfWeek-7*(RecentWeeks-1),$F$5:$F$504,"&lt;="&amp;AsOfWeek),""))</f>
        <v/>
      </c>
      <c r="Q344" s="20">
        <f>IF(OR(B344="",AsOfWeek=""),"",IFERROR(SUMIFS($M$5:$M$504,$B$5:$B$504,B344,$C$5:$C$504,C344,$L$5:$L$504,TRUE,$F$5:$F$504,"&gt;="&amp;AsOfWeek-7*(RecentWeeks+PriorWeeks-1),$F$5:$F$504,"&lt;"&amp;AsOfWeek-7*(RecentWeeks-1)),""))</f>
        <v/>
      </c>
      <c r="R344" s="21">
        <f>IF(OR(P344="",Q344="",Q344=0),"",P344/Q344-1)</f>
        <v/>
      </c>
      <c r="S344" s="20">
        <f>IF(OR(C344="",AsOfWeek=""),"",IFERROR(AVERAGEIFS($M$5:$M$504,$C$5:$C$504,C344,$L$5:$L$504,TRUE,$F$5:$F$504,"&gt;="&amp;AsOfWeek-7*(RecentWeeks-1),$F$5:$F$504,"&lt;="&amp;AsOfWeek),""))</f>
        <v/>
      </c>
      <c r="T344" s="21">
        <f>IF(OR(P344="",S344=""),"",P344/S344-1)</f>
        <v/>
      </c>
      <c r="U344" s="22">
        <f>IF(OR(B344="",'Weekly Input'!G344="",P344="",P344=0),"",'Weekly Input'!G344/P344)</f>
        <v/>
      </c>
      <c r="V344" s="18">
        <f>IF(B344="","",IF(NOT(I344),"Not Ready",IF(NOT(K344),"Not Ready",IF(N344&lt;MinHistory,"Not Ready",IF(NOT(J344),"Not Ready",IF(OR(Q344="",Q344=0),"Noise",IF(Q344&lt;LowBaseThreshold,"Noise",IF(AND(R344&lt;=-OwnDecline,T344&lt;=-PeerGapThreshold),"Markdown Review",IF(AND(R344&gt;=ReorderUplift,U344&lt;&gt;"",U344&lt;=WeeksSupplyCap),"Reorder Candidate","Monitor"))))))))</f>
        <v/>
      </c>
      <c r="W344" s="18">
        <f>IF(B344="","",IF(NOT(I344),"INVALID_MASTER",IF(NOT(K344),"INCOMPLETE_SHELF_CYCLE",IF(N344&lt;MinHistory,"INSUFFICIENT_HISTORY",IF(NOT(J344),"INSUFFICIENT_IN_STOCK",IF(OR(Q344="",Q344=0),"NO_PRIOR_BASE",IF(Q344&lt;LowBaseThreshold,"LOW_BASE_NOISE",IF(V344="Markdown Review","MARKDOWN_PEER_GAP",IF(V344="Reorder Candidate","REORDER_UPLIFT_COVER","NO_MATERIAL_CHANGE"))))))))</f>
        <v/>
      </c>
      <c r="X344" s="18">
        <f>IF(V344="Markdown Review","Markdown support",IF(V344="Reorder Candidate","Second reorder",IF(V344="Monitor","Monitor",IF(V344="Noise","Hold / collect data",IF(V344="Not Ready","Not ready","")))))</f>
        <v/>
      </c>
      <c r="Y344" s="18">
        <f>IF(OR(R344="",T344=""),"",ABS(R344)+ABS(T344))</f>
        <v/>
      </c>
      <c r="Z344" s="21">
        <f>IF(OR(B344="",NOT(O344),R344=""),"",IF(ABS(R344)&gt;=MaterialThreshold,"Yes","No"))</f>
        <v/>
      </c>
      <c r="AA344" s="18">
        <f>IF(Z344&lt;&gt;"Yes","",IF(ABS(R344)&gt;=MaterialThreshold,IF(ABS(R344)&gt;=BroadShare,"Broad SKU movement","Store-concentrated movement"),""))</f>
        <v/>
      </c>
      <c r="AB344" s="18">
        <f>IF(O344,IF(COUNTIFS($O$5:O344,TRUE)&gt;0,COUNTIFS($O$5:O344,TRUE),0),0)</f>
        <v/>
      </c>
      <c r="AC344" s="18">
        <f>IF(V344="Markdown Review",1,IF(V344="Reorder Candidate",2,IF(V344="Monitor",3,IF(V344="Noise",4,IF(V344="Not Ready",5,99)))))</f>
        <v/>
      </c>
      <c r="AD344" s="18">
        <f>IF(O344,COUNTIFS($O$5:$O$504,TRUE,$AC$5:$AC$504,"&lt;"&amp;AC344)+COUNTIFS($O$5:O344,TRUE,$AC$5:AC344,AC344,$Y$5:Y344,"&gt;"&amp;Y344),0)</f>
        <v/>
      </c>
    </row>
    <row r="345">
      <c r="A345" s="17">
        <f>IF(COUNTA('Weekly Input'!A345:C345)=0,"",'Weekly Input'!B345&amp;"|"&amp;'Weekly Input'!C345&amp;"|"&amp;TEXT('Weekly Input'!A345,"yyyy-mm-dd"))</f>
        <v/>
      </c>
      <c r="B345" s="18">
        <f>'Weekly Input'!B345</f>
        <v/>
      </c>
      <c r="C345" s="18">
        <f>'Weekly Input'!C345</f>
        <v/>
      </c>
      <c r="D345" s="18">
        <f>IF(B345="","",IFERROR(INDEX('Master Data'!$B$6:$B$145,MATCH(B345,'Master Data'!$A$6:$A$145,0)),""))</f>
        <v/>
      </c>
      <c r="E345" s="18">
        <f>IF(C345="","",IFERROR(INDEX('Master Data'!$H$6:$H$13,MATCH(C345,'Master Data'!$F$6:$F$13,0)),""))</f>
        <v/>
      </c>
      <c r="F345" s="19">
        <f>'Weekly Input'!A345</f>
        <v/>
      </c>
      <c r="G345" s="19">
        <f>IF(B345="","",IFERROR(INDEX('Master Data'!$D$6:$D$145,MATCH(B345,'Master Data'!$A$6:$A$145,0)),""))</f>
        <v/>
      </c>
      <c r="H345" s="18">
        <f>IF(OR(F345="",G345=""),"",F345-G345)</f>
        <v/>
      </c>
      <c r="I345" s="18">
        <f>IF(B345="","",IF('Weekly Input'!J345="OK",TRUE,FALSE))</f>
        <v/>
      </c>
      <c r="J345" s="18">
        <f>IF(B345="","",'Weekly Input'!H345&gt;=MinInStockDays)</f>
        <v/>
      </c>
      <c r="K345" s="18">
        <f>IF(B345="","",H345&gt;=FullCycleMin)</f>
        <v/>
      </c>
      <c r="L345" s="18">
        <f>IF(B345="","",AND(I345,J345,K345,N345&gt;=MinHistory))</f>
        <v/>
      </c>
      <c r="M345" s="20">
        <f>IF(OR(B345="",'Weekly Input'!H345=0),"",'Weekly Input'!D345/'Weekly Input'!H345*7)</f>
        <v/>
      </c>
      <c r="N345" s="18">
        <f>IF(B345="","",COUNTIFS($B$5:$B$504,B345,$C$5:$C$504,C345,$I$5:$I$504,TRUE,$J$5:$J$504,TRUE,$K$5:$K$504,TRUE))</f>
        <v/>
      </c>
      <c r="O345" s="18">
        <f>IF(B345="","",AND(F345=AsOfWeek,AsOfWeek&lt;&gt;""))</f>
        <v/>
      </c>
      <c r="P345" s="20">
        <f>IF(OR(B345="",AsOfWeek=""),"",IFERROR(SUMIFS($M$5:$M$504,$B$5:$B$504,B345,$C$5:$C$504,C345,$L$5:$L$504,TRUE,$F$5:$F$504,"&gt;="&amp;AsOfWeek-7*(RecentWeeks-1),$F$5:$F$504,"&lt;="&amp;AsOfWeek),""))</f>
        <v/>
      </c>
      <c r="Q345" s="20">
        <f>IF(OR(B345="",AsOfWeek=""),"",IFERROR(SUMIFS($M$5:$M$504,$B$5:$B$504,B345,$C$5:$C$504,C345,$L$5:$L$504,TRUE,$F$5:$F$504,"&gt;="&amp;AsOfWeek-7*(RecentWeeks+PriorWeeks-1),$F$5:$F$504,"&lt;"&amp;AsOfWeek-7*(RecentWeeks-1)),""))</f>
        <v/>
      </c>
      <c r="R345" s="21">
        <f>IF(OR(P345="",Q345="",Q345=0),"",P345/Q345-1)</f>
        <v/>
      </c>
      <c r="S345" s="20">
        <f>IF(OR(C345="",AsOfWeek=""),"",IFERROR(AVERAGEIFS($M$5:$M$504,$C$5:$C$504,C345,$L$5:$L$504,TRUE,$F$5:$F$504,"&gt;="&amp;AsOfWeek-7*(RecentWeeks-1),$F$5:$F$504,"&lt;="&amp;AsOfWeek),""))</f>
        <v/>
      </c>
      <c r="T345" s="21">
        <f>IF(OR(P345="",S345=""),"",P345/S345-1)</f>
        <v/>
      </c>
      <c r="U345" s="22">
        <f>IF(OR(B345="",'Weekly Input'!G345="",P345="",P345=0),"",'Weekly Input'!G345/P345)</f>
        <v/>
      </c>
      <c r="V345" s="18">
        <f>IF(B345="","",IF(NOT(I345),"Not Ready",IF(NOT(K345),"Not Ready",IF(N345&lt;MinHistory,"Not Ready",IF(NOT(J345),"Not Ready",IF(OR(Q345="",Q345=0),"Noise",IF(Q345&lt;LowBaseThreshold,"Noise",IF(AND(R345&lt;=-OwnDecline,T345&lt;=-PeerGapThreshold),"Markdown Review",IF(AND(R345&gt;=ReorderUplift,U345&lt;&gt;"",U345&lt;=WeeksSupplyCap),"Reorder Candidate","Monitor"))))))))</f>
        <v/>
      </c>
      <c r="W345" s="18">
        <f>IF(B345="","",IF(NOT(I345),"INVALID_MASTER",IF(NOT(K345),"INCOMPLETE_SHELF_CYCLE",IF(N345&lt;MinHistory,"INSUFFICIENT_HISTORY",IF(NOT(J345),"INSUFFICIENT_IN_STOCK",IF(OR(Q345="",Q345=0),"NO_PRIOR_BASE",IF(Q345&lt;LowBaseThreshold,"LOW_BASE_NOISE",IF(V345="Markdown Review","MARKDOWN_PEER_GAP",IF(V345="Reorder Candidate","REORDER_UPLIFT_COVER","NO_MATERIAL_CHANGE"))))))))</f>
        <v/>
      </c>
      <c r="X345" s="18">
        <f>IF(V345="Markdown Review","Markdown support",IF(V345="Reorder Candidate","Second reorder",IF(V345="Monitor","Monitor",IF(V345="Noise","Hold / collect data",IF(V345="Not Ready","Not ready","")))))</f>
        <v/>
      </c>
      <c r="Y345" s="18">
        <f>IF(OR(R345="",T345=""),"",ABS(R345)+ABS(T345))</f>
        <v/>
      </c>
      <c r="Z345" s="21">
        <f>IF(OR(B345="",NOT(O345),R345=""),"",IF(ABS(R345)&gt;=MaterialThreshold,"Yes","No"))</f>
        <v/>
      </c>
      <c r="AA345" s="18">
        <f>IF(Z345&lt;&gt;"Yes","",IF(ABS(R345)&gt;=MaterialThreshold,IF(ABS(R345)&gt;=BroadShare,"Broad SKU movement","Store-concentrated movement"),""))</f>
        <v/>
      </c>
      <c r="AB345" s="18">
        <f>IF(O345,IF(COUNTIFS($O$5:O345,TRUE)&gt;0,COUNTIFS($O$5:O345,TRUE),0),0)</f>
        <v/>
      </c>
      <c r="AC345" s="18">
        <f>IF(V345="Markdown Review",1,IF(V345="Reorder Candidate",2,IF(V345="Monitor",3,IF(V345="Noise",4,IF(V345="Not Ready",5,99)))))</f>
        <v/>
      </c>
      <c r="AD345" s="18">
        <f>IF(O345,COUNTIFS($O$5:$O$504,TRUE,$AC$5:$AC$504,"&lt;"&amp;AC345)+COUNTIFS($O$5:O345,TRUE,$AC$5:AC345,AC345,$Y$5:Y345,"&gt;"&amp;Y345),0)</f>
        <v/>
      </c>
    </row>
    <row r="346">
      <c r="A346" s="17">
        <f>IF(COUNTA('Weekly Input'!A346:C346)=0,"",'Weekly Input'!B346&amp;"|"&amp;'Weekly Input'!C346&amp;"|"&amp;TEXT('Weekly Input'!A346,"yyyy-mm-dd"))</f>
        <v/>
      </c>
      <c r="B346" s="18">
        <f>'Weekly Input'!B346</f>
        <v/>
      </c>
      <c r="C346" s="18">
        <f>'Weekly Input'!C346</f>
        <v/>
      </c>
      <c r="D346" s="18">
        <f>IF(B346="","",IFERROR(INDEX('Master Data'!$B$6:$B$145,MATCH(B346,'Master Data'!$A$6:$A$145,0)),""))</f>
        <v/>
      </c>
      <c r="E346" s="18">
        <f>IF(C346="","",IFERROR(INDEX('Master Data'!$H$6:$H$13,MATCH(C346,'Master Data'!$F$6:$F$13,0)),""))</f>
        <v/>
      </c>
      <c r="F346" s="19">
        <f>'Weekly Input'!A346</f>
        <v/>
      </c>
      <c r="G346" s="19">
        <f>IF(B346="","",IFERROR(INDEX('Master Data'!$D$6:$D$145,MATCH(B346,'Master Data'!$A$6:$A$145,0)),""))</f>
        <v/>
      </c>
      <c r="H346" s="18">
        <f>IF(OR(F346="",G346=""),"",F346-G346)</f>
        <v/>
      </c>
      <c r="I346" s="18">
        <f>IF(B346="","",IF('Weekly Input'!J346="OK",TRUE,FALSE))</f>
        <v/>
      </c>
      <c r="J346" s="18">
        <f>IF(B346="","",'Weekly Input'!H346&gt;=MinInStockDays)</f>
        <v/>
      </c>
      <c r="K346" s="18">
        <f>IF(B346="","",H346&gt;=FullCycleMin)</f>
        <v/>
      </c>
      <c r="L346" s="18">
        <f>IF(B346="","",AND(I346,J346,K346,N346&gt;=MinHistory))</f>
        <v/>
      </c>
      <c r="M346" s="20">
        <f>IF(OR(B346="",'Weekly Input'!H346=0),"",'Weekly Input'!D346/'Weekly Input'!H346*7)</f>
        <v/>
      </c>
      <c r="N346" s="18">
        <f>IF(B346="","",COUNTIFS($B$5:$B$504,B346,$C$5:$C$504,C346,$I$5:$I$504,TRUE,$J$5:$J$504,TRUE,$K$5:$K$504,TRUE))</f>
        <v/>
      </c>
      <c r="O346" s="18">
        <f>IF(B346="","",AND(F346=AsOfWeek,AsOfWeek&lt;&gt;""))</f>
        <v/>
      </c>
      <c r="P346" s="20">
        <f>IF(OR(B346="",AsOfWeek=""),"",IFERROR(SUMIFS($M$5:$M$504,$B$5:$B$504,B346,$C$5:$C$504,C346,$L$5:$L$504,TRUE,$F$5:$F$504,"&gt;="&amp;AsOfWeek-7*(RecentWeeks-1),$F$5:$F$504,"&lt;="&amp;AsOfWeek),""))</f>
        <v/>
      </c>
      <c r="Q346" s="20">
        <f>IF(OR(B346="",AsOfWeek=""),"",IFERROR(SUMIFS($M$5:$M$504,$B$5:$B$504,B346,$C$5:$C$504,C346,$L$5:$L$504,TRUE,$F$5:$F$504,"&gt;="&amp;AsOfWeek-7*(RecentWeeks+PriorWeeks-1),$F$5:$F$504,"&lt;"&amp;AsOfWeek-7*(RecentWeeks-1)),""))</f>
        <v/>
      </c>
      <c r="R346" s="21">
        <f>IF(OR(P346="",Q346="",Q346=0),"",P346/Q346-1)</f>
        <v/>
      </c>
      <c r="S346" s="20">
        <f>IF(OR(C346="",AsOfWeek=""),"",IFERROR(AVERAGEIFS($M$5:$M$504,$C$5:$C$504,C346,$L$5:$L$504,TRUE,$F$5:$F$504,"&gt;="&amp;AsOfWeek-7*(RecentWeeks-1),$F$5:$F$504,"&lt;="&amp;AsOfWeek),""))</f>
        <v/>
      </c>
      <c r="T346" s="21">
        <f>IF(OR(P346="",S346=""),"",P346/S346-1)</f>
        <v/>
      </c>
      <c r="U346" s="22">
        <f>IF(OR(B346="",'Weekly Input'!G346="",P346="",P346=0),"",'Weekly Input'!G346/P346)</f>
        <v/>
      </c>
      <c r="V346" s="18">
        <f>IF(B346="","",IF(NOT(I346),"Not Ready",IF(NOT(K346),"Not Ready",IF(N346&lt;MinHistory,"Not Ready",IF(NOT(J346),"Not Ready",IF(OR(Q346="",Q346=0),"Noise",IF(Q346&lt;LowBaseThreshold,"Noise",IF(AND(R346&lt;=-OwnDecline,T346&lt;=-PeerGapThreshold),"Markdown Review",IF(AND(R346&gt;=ReorderUplift,U346&lt;&gt;"",U346&lt;=WeeksSupplyCap),"Reorder Candidate","Monitor"))))))))</f>
        <v/>
      </c>
      <c r="W346" s="18">
        <f>IF(B346="","",IF(NOT(I346),"INVALID_MASTER",IF(NOT(K346),"INCOMPLETE_SHELF_CYCLE",IF(N346&lt;MinHistory,"INSUFFICIENT_HISTORY",IF(NOT(J346),"INSUFFICIENT_IN_STOCK",IF(OR(Q346="",Q346=0),"NO_PRIOR_BASE",IF(Q346&lt;LowBaseThreshold,"LOW_BASE_NOISE",IF(V346="Markdown Review","MARKDOWN_PEER_GAP",IF(V346="Reorder Candidate","REORDER_UPLIFT_COVER","NO_MATERIAL_CHANGE"))))))))</f>
        <v/>
      </c>
      <c r="X346" s="18">
        <f>IF(V346="Markdown Review","Markdown support",IF(V346="Reorder Candidate","Second reorder",IF(V346="Monitor","Monitor",IF(V346="Noise","Hold / collect data",IF(V346="Not Ready","Not ready","")))))</f>
        <v/>
      </c>
      <c r="Y346" s="18">
        <f>IF(OR(R346="",T346=""),"",ABS(R346)+ABS(T346))</f>
        <v/>
      </c>
      <c r="Z346" s="21">
        <f>IF(OR(B346="",NOT(O346),R346=""),"",IF(ABS(R346)&gt;=MaterialThreshold,"Yes","No"))</f>
        <v/>
      </c>
      <c r="AA346" s="18">
        <f>IF(Z346&lt;&gt;"Yes","",IF(ABS(R346)&gt;=MaterialThreshold,IF(ABS(R346)&gt;=BroadShare,"Broad SKU movement","Store-concentrated movement"),""))</f>
        <v/>
      </c>
      <c r="AB346" s="18">
        <f>IF(O346,IF(COUNTIFS($O$5:O346,TRUE)&gt;0,COUNTIFS($O$5:O346,TRUE),0),0)</f>
        <v/>
      </c>
      <c r="AC346" s="18">
        <f>IF(V346="Markdown Review",1,IF(V346="Reorder Candidate",2,IF(V346="Monitor",3,IF(V346="Noise",4,IF(V346="Not Ready",5,99)))))</f>
        <v/>
      </c>
      <c r="AD346" s="18">
        <f>IF(O346,COUNTIFS($O$5:$O$504,TRUE,$AC$5:$AC$504,"&lt;"&amp;AC346)+COUNTIFS($O$5:O346,TRUE,$AC$5:AC346,AC346,$Y$5:Y346,"&gt;"&amp;Y346),0)</f>
        <v/>
      </c>
    </row>
    <row r="347">
      <c r="A347" s="17">
        <f>IF(COUNTA('Weekly Input'!A347:C347)=0,"",'Weekly Input'!B347&amp;"|"&amp;'Weekly Input'!C347&amp;"|"&amp;TEXT('Weekly Input'!A347,"yyyy-mm-dd"))</f>
        <v/>
      </c>
      <c r="B347" s="18">
        <f>'Weekly Input'!B347</f>
        <v/>
      </c>
      <c r="C347" s="18">
        <f>'Weekly Input'!C347</f>
        <v/>
      </c>
      <c r="D347" s="18">
        <f>IF(B347="","",IFERROR(INDEX('Master Data'!$B$6:$B$145,MATCH(B347,'Master Data'!$A$6:$A$145,0)),""))</f>
        <v/>
      </c>
      <c r="E347" s="18">
        <f>IF(C347="","",IFERROR(INDEX('Master Data'!$H$6:$H$13,MATCH(C347,'Master Data'!$F$6:$F$13,0)),""))</f>
        <v/>
      </c>
      <c r="F347" s="19">
        <f>'Weekly Input'!A347</f>
        <v/>
      </c>
      <c r="G347" s="19">
        <f>IF(B347="","",IFERROR(INDEX('Master Data'!$D$6:$D$145,MATCH(B347,'Master Data'!$A$6:$A$145,0)),""))</f>
        <v/>
      </c>
      <c r="H347" s="18">
        <f>IF(OR(F347="",G347=""),"",F347-G347)</f>
        <v/>
      </c>
      <c r="I347" s="18">
        <f>IF(B347="","",IF('Weekly Input'!J347="OK",TRUE,FALSE))</f>
        <v/>
      </c>
      <c r="J347" s="18">
        <f>IF(B347="","",'Weekly Input'!H347&gt;=MinInStockDays)</f>
        <v/>
      </c>
      <c r="K347" s="18">
        <f>IF(B347="","",H347&gt;=FullCycleMin)</f>
        <v/>
      </c>
      <c r="L347" s="18">
        <f>IF(B347="","",AND(I347,J347,K347,N347&gt;=MinHistory))</f>
        <v/>
      </c>
      <c r="M347" s="20">
        <f>IF(OR(B347="",'Weekly Input'!H347=0),"",'Weekly Input'!D347/'Weekly Input'!H347*7)</f>
        <v/>
      </c>
      <c r="N347" s="18">
        <f>IF(B347="","",COUNTIFS($B$5:$B$504,B347,$C$5:$C$504,C347,$I$5:$I$504,TRUE,$J$5:$J$504,TRUE,$K$5:$K$504,TRUE))</f>
        <v/>
      </c>
      <c r="O347" s="18">
        <f>IF(B347="","",AND(F347=AsOfWeek,AsOfWeek&lt;&gt;""))</f>
        <v/>
      </c>
      <c r="P347" s="20">
        <f>IF(OR(B347="",AsOfWeek=""),"",IFERROR(SUMIFS($M$5:$M$504,$B$5:$B$504,B347,$C$5:$C$504,C347,$L$5:$L$504,TRUE,$F$5:$F$504,"&gt;="&amp;AsOfWeek-7*(RecentWeeks-1),$F$5:$F$504,"&lt;="&amp;AsOfWeek),""))</f>
        <v/>
      </c>
      <c r="Q347" s="20">
        <f>IF(OR(B347="",AsOfWeek=""),"",IFERROR(SUMIFS($M$5:$M$504,$B$5:$B$504,B347,$C$5:$C$504,C347,$L$5:$L$504,TRUE,$F$5:$F$504,"&gt;="&amp;AsOfWeek-7*(RecentWeeks+PriorWeeks-1),$F$5:$F$504,"&lt;"&amp;AsOfWeek-7*(RecentWeeks-1)),""))</f>
        <v/>
      </c>
      <c r="R347" s="21">
        <f>IF(OR(P347="",Q347="",Q347=0),"",P347/Q347-1)</f>
        <v/>
      </c>
      <c r="S347" s="20">
        <f>IF(OR(C347="",AsOfWeek=""),"",IFERROR(AVERAGEIFS($M$5:$M$504,$C$5:$C$504,C347,$L$5:$L$504,TRUE,$F$5:$F$504,"&gt;="&amp;AsOfWeek-7*(RecentWeeks-1),$F$5:$F$504,"&lt;="&amp;AsOfWeek),""))</f>
        <v/>
      </c>
      <c r="T347" s="21">
        <f>IF(OR(P347="",S347=""),"",P347/S347-1)</f>
        <v/>
      </c>
      <c r="U347" s="22">
        <f>IF(OR(B347="",'Weekly Input'!G347="",P347="",P347=0),"",'Weekly Input'!G347/P347)</f>
        <v/>
      </c>
      <c r="V347" s="18">
        <f>IF(B347="","",IF(NOT(I347),"Not Ready",IF(NOT(K347),"Not Ready",IF(N347&lt;MinHistory,"Not Ready",IF(NOT(J347),"Not Ready",IF(OR(Q347="",Q347=0),"Noise",IF(Q347&lt;LowBaseThreshold,"Noise",IF(AND(R347&lt;=-OwnDecline,T347&lt;=-PeerGapThreshold),"Markdown Review",IF(AND(R347&gt;=ReorderUplift,U347&lt;&gt;"",U347&lt;=WeeksSupplyCap),"Reorder Candidate","Monitor"))))))))</f>
        <v/>
      </c>
      <c r="W347" s="18">
        <f>IF(B347="","",IF(NOT(I347),"INVALID_MASTER",IF(NOT(K347),"INCOMPLETE_SHELF_CYCLE",IF(N347&lt;MinHistory,"INSUFFICIENT_HISTORY",IF(NOT(J347),"INSUFFICIENT_IN_STOCK",IF(OR(Q347="",Q347=0),"NO_PRIOR_BASE",IF(Q347&lt;LowBaseThreshold,"LOW_BASE_NOISE",IF(V347="Markdown Review","MARKDOWN_PEER_GAP",IF(V347="Reorder Candidate","REORDER_UPLIFT_COVER","NO_MATERIAL_CHANGE"))))))))</f>
        <v/>
      </c>
      <c r="X347" s="18">
        <f>IF(V347="Markdown Review","Markdown support",IF(V347="Reorder Candidate","Second reorder",IF(V347="Monitor","Monitor",IF(V347="Noise","Hold / collect data",IF(V347="Not Ready","Not ready","")))))</f>
        <v/>
      </c>
      <c r="Y347" s="18">
        <f>IF(OR(R347="",T347=""),"",ABS(R347)+ABS(T347))</f>
        <v/>
      </c>
      <c r="Z347" s="21">
        <f>IF(OR(B347="",NOT(O347),R347=""),"",IF(ABS(R347)&gt;=MaterialThreshold,"Yes","No"))</f>
        <v/>
      </c>
      <c r="AA347" s="18">
        <f>IF(Z347&lt;&gt;"Yes","",IF(ABS(R347)&gt;=MaterialThreshold,IF(ABS(R347)&gt;=BroadShare,"Broad SKU movement","Store-concentrated movement"),""))</f>
        <v/>
      </c>
      <c r="AB347" s="18">
        <f>IF(O347,IF(COUNTIFS($O$5:O347,TRUE)&gt;0,COUNTIFS($O$5:O347,TRUE),0),0)</f>
        <v/>
      </c>
      <c r="AC347" s="18">
        <f>IF(V347="Markdown Review",1,IF(V347="Reorder Candidate",2,IF(V347="Monitor",3,IF(V347="Noise",4,IF(V347="Not Ready",5,99)))))</f>
        <v/>
      </c>
      <c r="AD347" s="18">
        <f>IF(O347,COUNTIFS($O$5:$O$504,TRUE,$AC$5:$AC$504,"&lt;"&amp;AC347)+COUNTIFS($O$5:O347,TRUE,$AC$5:AC347,AC347,$Y$5:Y347,"&gt;"&amp;Y347),0)</f>
        <v/>
      </c>
    </row>
    <row r="348">
      <c r="A348" s="17">
        <f>IF(COUNTA('Weekly Input'!A348:C348)=0,"",'Weekly Input'!B348&amp;"|"&amp;'Weekly Input'!C348&amp;"|"&amp;TEXT('Weekly Input'!A348,"yyyy-mm-dd"))</f>
        <v/>
      </c>
      <c r="B348" s="18">
        <f>'Weekly Input'!B348</f>
        <v/>
      </c>
      <c r="C348" s="18">
        <f>'Weekly Input'!C348</f>
        <v/>
      </c>
      <c r="D348" s="18">
        <f>IF(B348="","",IFERROR(INDEX('Master Data'!$B$6:$B$145,MATCH(B348,'Master Data'!$A$6:$A$145,0)),""))</f>
        <v/>
      </c>
      <c r="E348" s="18">
        <f>IF(C348="","",IFERROR(INDEX('Master Data'!$H$6:$H$13,MATCH(C348,'Master Data'!$F$6:$F$13,0)),""))</f>
        <v/>
      </c>
      <c r="F348" s="19">
        <f>'Weekly Input'!A348</f>
        <v/>
      </c>
      <c r="G348" s="19">
        <f>IF(B348="","",IFERROR(INDEX('Master Data'!$D$6:$D$145,MATCH(B348,'Master Data'!$A$6:$A$145,0)),""))</f>
        <v/>
      </c>
      <c r="H348" s="18">
        <f>IF(OR(F348="",G348=""),"",F348-G348)</f>
        <v/>
      </c>
      <c r="I348" s="18">
        <f>IF(B348="","",IF('Weekly Input'!J348="OK",TRUE,FALSE))</f>
        <v/>
      </c>
      <c r="J348" s="18">
        <f>IF(B348="","",'Weekly Input'!H348&gt;=MinInStockDays)</f>
        <v/>
      </c>
      <c r="K348" s="18">
        <f>IF(B348="","",H348&gt;=FullCycleMin)</f>
        <v/>
      </c>
      <c r="L348" s="18">
        <f>IF(B348="","",AND(I348,J348,K348,N348&gt;=MinHistory))</f>
        <v/>
      </c>
      <c r="M348" s="20">
        <f>IF(OR(B348="",'Weekly Input'!H348=0),"",'Weekly Input'!D348/'Weekly Input'!H348*7)</f>
        <v/>
      </c>
      <c r="N348" s="18">
        <f>IF(B348="","",COUNTIFS($B$5:$B$504,B348,$C$5:$C$504,C348,$I$5:$I$504,TRUE,$J$5:$J$504,TRUE,$K$5:$K$504,TRUE))</f>
        <v/>
      </c>
      <c r="O348" s="18">
        <f>IF(B348="","",AND(F348=AsOfWeek,AsOfWeek&lt;&gt;""))</f>
        <v/>
      </c>
      <c r="P348" s="20">
        <f>IF(OR(B348="",AsOfWeek=""),"",IFERROR(SUMIFS($M$5:$M$504,$B$5:$B$504,B348,$C$5:$C$504,C348,$L$5:$L$504,TRUE,$F$5:$F$504,"&gt;="&amp;AsOfWeek-7*(RecentWeeks-1),$F$5:$F$504,"&lt;="&amp;AsOfWeek),""))</f>
        <v/>
      </c>
      <c r="Q348" s="20">
        <f>IF(OR(B348="",AsOfWeek=""),"",IFERROR(SUMIFS($M$5:$M$504,$B$5:$B$504,B348,$C$5:$C$504,C348,$L$5:$L$504,TRUE,$F$5:$F$504,"&gt;="&amp;AsOfWeek-7*(RecentWeeks+PriorWeeks-1),$F$5:$F$504,"&lt;"&amp;AsOfWeek-7*(RecentWeeks-1)),""))</f>
        <v/>
      </c>
      <c r="R348" s="21">
        <f>IF(OR(P348="",Q348="",Q348=0),"",P348/Q348-1)</f>
        <v/>
      </c>
      <c r="S348" s="20">
        <f>IF(OR(C348="",AsOfWeek=""),"",IFERROR(AVERAGEIFS($M$5:$M$504,$C$5:$C$504,C348,$L$5:$L$504,TRUE,$F$5:$F$504,"&gt;="&amp;AsOfWeek-7*(RecentWeeks-1),$F$5:$F$504,"&lt;="&amp;AsOfWeek),""))</f>
        <v/>
      </c>
      <c r="T348" s="21">
        <f>IF(OR(P348="",S348=""),"",P348/S348-1)</f>
        <v/>
      </c>
      <c r="U348" s="22">
        <f>IF(OR(B348="",'Weekly Input'!G348="",P348="",P348=0),"",'Weekly Input'!G348/P348)</f>
        <v/>
      </c>
      <c r="V348" s="18">
        <f>IF(B348="","",IF(NOT(I348),"Not Ready",IF(NOT(K348),"Not Ready",IF(N348&lt;MinHistory,"Not Ready",IF(NOT(J348),"Not Ready",IF(OR(Q348="",Q348=0),"Noise",IF(Q348&lt;LowBaseThreshold,"Noise",IF(AND(R348&lt;=-OwnDecline,T348&lt;=-PeerGapThreshold),"Markdown Review",IF(AND(R348&gt;=ReorderUplift,U348&lt;&gt;"",U348&lt;=WeeksSupplyCap),"Reorder Candidate","Monitor"))))))))</f>
        <v/>
      </c>
      <c r="W348" s="18">
        <f>IF(B348="","",IF(NOT(I348),"INVALID_MASTER",IF(NOT(K348),"INCOMPLETE_SHELF_CYCLE",IF(N348&lt;MinHistory,"INSUFFICIENT_HISTORY",IF(NOT(J348),"INSUFFICIENT_IN_STOCK",IF(OR(Q348="",Q348=0),"NO_PRIOR_BASE",IF(Q348&lt;LowBaseThreshold,"LOW_BASE_NOISE",IF(V348="Markdown Review","MARKDOWN_PEER_GAP",IF(V348="Reorder Candidate","REORDER_UPLIFT_COVER","NO_MATERIAL_CHANGE"))))))))</f>
        <v/>
      </c>
      <c r="X348" s="18">
        <f>IF(V348="Markdown Review","Markdown support",IF(V348="Reorder Candidate","Second reorder",IF(V348="Monitor","Monitor",IF(V348="Noise","Hold / collect data",IF(V348="Not Ready","Not ready","")))))</f>
        <v/>
      </c>
      <c r="Y348" s="18">
        <f>IF(OR(R348="",T348=""),"",ABS(R348)+ABS(T348))</f>
        <v/>
      </c>
      <c r="Z348" s="21">
        <f>IF(OR(B348="",NOT(O348),R348=""),"",IF(ABS(R348)&gt;=MaterialThreshold,"Yes","No"))</f>
        <v/>
      </c>
      <c r="AA348" s="18">
        <f>IF(Z348&lt;&gt;"Yes","",IF(ABS(R348)&gt;=MaterialThreshold,IF(ABS(R348)&gt;=BroadShare,"Broad SKU movement","Store-concentrated movement"),""))</f>
        <v/>
      </c>
      <c r="AB348" s="18">
        <f>IF(O348,IF(COUNTIFS($O$5:O348,TRUE)&gt;0,COUNTIFS($O$5:O348,TRUE),0),0)</f>
        <v/>
      </c>
      <c r="AC348" s="18">
        <f>IF(V348="Markdown Review",1,IF(V348="Reorder Candidate",2,IF(V348="Monitor",3,IF(V348="Noise",4,IF(V348="Not Ready",5,99)))))</f>
        <v/>
      </c>
      <c r="AD348" s="18">
        <f>IF(O348,COUNTIFS($O$5:$O$504,TRUE,$AC$5:$AC$504,"&lt;"&amp;AC348)+COUNTIFS($O$5:O348,TRUE,$AC$5:AC348,AC348,$Y$5:Y348,"&gt;"&amp;Y348),0)</f>
        <v/>
      </c>
    </row>
    <row r="349">
      <c r="A349" s="17">
        <f>IF(COUNTA('Weekly Input'!A349:C349)=0,"",'Weekly Input'!B349&amp;"|"&amp;'Weekly Input'!C349&amp;"|"&amp;TEXT('Weekly Input'!A349,"yyyy-mm-dd"))</f>
        <v/>
      </c>
      <c r="B349" s="18">
        <f>'Weekly Input'!B349</f>
        <v/>
      </c>
      <c r="C349" s="18">
        <f>'Weekly Input'!C349</f>
        <v/>
      </c>
      <c r="D349" s="18">
        <f>IF(B349="","",IFERROR(INDEX('Master Data'!$B$6:$B$145,MATCH(B349,'Master Data'!$A$6:$A$145,0)),""))</f>
        <v/>
      </c>
      <c r="E349" s="18">
        <f>IF(C349="","",IFERROR(INDEX('Master Data'!$H$6:$H$13,MATCH(C349,'Master Data'!$F$6:$F$13,0)),""))</f>
        <v/>
      </c>
      <c r="F349" s="19">
        <f>'Weekly Input'!A349</f>
        <v/>
      </c>
      <c r="G349" s="19">
        <f>IF(B349="","",IFERROR(INDEX('Master Data'!$D$6:$D$145,MATCH(B349,'Master Data'!$A$6:$A$145,0)),""))</f>
        <v/>
      </c>
      <c r="H349" s="18">
        <f>IF(OR(F349="",G349=""),"",F349-G349)</f>
        <v/>
      </c>
      <c r="I349" s="18">
        <f>IF(B349="","",IF('Weekly Input'!J349="OK",TRUE,FALSE))</f>
        <v/>
      </c>
      <c r="J349" s="18">
        <f>IF(B349="","",'Weekly Input'!H349&gt;=MinInStockDays)</f>
        <v/>
      </c>
      <c r="K349" s="18">
        <f>IF(B349="","",H349&gt;=FullCycleMin)</f>
        <v/>
      </c>
      <c r="L349" s="18">
        <f>IF(B349="","",AND(I349,J349,K349,N349&gt;=MinHistory))</f>
        <v/>
      </c>
      <c r="M349" s="20">
        <f>IF(OR(B349="",'Weekly Input'!H349=0),"",'Weekly Input'!D349/'Weekly Input'!H349*7)</f>
        <v/>
      </c>
      <c r="N349" s="18">
        <f>IF(B349="","",COUNTIFS($B$5:$B$504,B349,$C$5:$C$504,C349,$I$5:$I$504,TRUE,$J$5:$J$504,TRUE,$K$5:$K$504,TRUE))</f>
        <v/>
      </c>
      <c r="O349" s="18">
        <f>IF(B349="","",AND(F349=AsOfWeek,AsOfWeek&lt;&gt;""))</f>
        <v/>
      </c>
      <c r="P349" s="20">
        <f>IF(OR(B349="",AsOfWeek=""),"",IFERROR(SUMIFS($M$5:$M$504,$B$5:$B$504,B349,$C$5:$C$504,C349,$L$5:$L$504,TRUE,$F$5:$F$504,"&gt;="&amp;AsOfWeek-7*(RecentWeeks-1),$F$5:$F$504,"&lt;="&amp;AsOfWeek),""))</f>
        <v/>
      </c>
      <c r="Q349" s="20">
        <f>IF(OR(B349="",AsOfWeek=""),"",IFERROR(SUMIFS($M$5:$M$504,$B$5:$B$504,B349,$C$5:$C$504,C349,$L$5:$L$504,TRUE,$F$5:$F$504,"&gt;="&amp;AsOfWeek-7*(RecentWeeks+PriorWeeks-1),$F$5:$F$504,"&lt;"&amp;AsOfWeek-7*(RecentWeeks-1)),""))</f>
        <v/>
      </c>
      <c r="R349" s="21">
        <f>IF(OR(P349="",Q349="",Q349=0),"",P349/Q349-1)</f>
        <v/>
      </c>
      <c r="S349" s="20">
        <f>IF(OR(C349="",AsOfWeek=""),"",IFERROR(AVERAGEIFS($M$5:$M$504,$C$5:$C$504,C349,$L$5:$L$504,TRUE,$F$5:$F$504,"&gt;="&amp;AsOfWeek-7*(RecentWeeks-1),$F$5:$F$504,"&lt;="&amp;AsOfWeek),""))</f>
        <v/>
      </c>
      <c r="T349" s="21">
        <f>IF(OR(P349="",S349=""),"",P349/S349-1)</f>
        <v/>
      </c>
      <c r="U349" s="22">
        <f>IF(OR(B349="",'Weekly Input'!G349="",P349="",P349=0),"",'Weekly Input'!G349/P349)</f>
        <v/>
      </c>
      <c r="V349" s="18">
        <f>IF(B349="","",IF(NOT(I349),"Not Ready",IF(NOT(K349),"Not Ready",IF(N349&lt;MinHistory,"Not Ready",IF(NOT(J349),"Not Ready",IF(OR(Q349="",Q349=0),"Noise",IF(Q349&lt;LowBaseThreshold,"Noise",IF(AND(R349&lt;=-OwnDecline,T349&lt;=-PeerGapThreshold),"Markdown Review",IF(AND(R349&gt;=ReorderUplift,U349&lt;&gt;"",U349&lt;=WeeksSupplyCap),"Reorder Candidate","Monitor"))))))))</f>
        <v/>
      </c>
      <c r="W349" s="18">
        <f>IF(B349="","",IF(NOT(I349),"INVALID_MASTER",IF(NOT(K349),"INCOMPLETE_SHELF_CYCLE",IF(N349&lt;MinHistory,"INSUFFICIENT_HISTORY",IF(NOT(J349),"INSUFFICIENT_IN_STOCK",IF(OR(Q349="",Q349=0),"NO_PRIOR_BASE",IF(Q349&lt;LowBaseThreshold,"LOW_BASE_NOISE",IF(V349="Markdown Review","MARKDOWN_PEER_GAP",IF(V349="Reorder Candidate","REORDER_UPLIFT_COVER","NO_MATERIAL_CHANGE"))))))))</f>
        <v/>
      </c>
      <c r="X349" s="18">
        <f>IF(V349="Markdown Review","Markdown support",IF(V349="Reorder Candidate","Second reorder",IF(V349="Monitor","Monitor",IF(V349="Noise","Hold / collect data",IF(V349="Not Ready","Not ready","")))))</f>
        <v/>
      </c>
      <c r="Y349" s="18">
        <f>IF(OR(R349="",T349=""),"",ABS(R349)+ABS(T349))</f>
        <v/>
      </c>
      <c r="Z349" s="21">
        <f>IF(OR(B349="",NOT(O349),R349=""),"",IF(ABS(R349)&gt;=MaterialThreshold,"Yes","No"))</f>
        <v/>
      </c>
      <c r="AA349" s="18">
        <f>IF(Z349&lt;&gt;"Yes","",IF(ABS(R349)&gt;=MaterialThreshold,IF(ABS(R349)&gt;=BroadShare,"Broad SKU movement","Store-concentrated movement"),""))</f>
        <v/>
      </c>
      <c r="AB349" s="18">
        <f>IF(O349,IF(COUNTIFS($O$5:O349,TRUE)&gt;0,COUNTIFS($O$5:O349,TRUE),0),0)</f>
        <v/>
      </c>
      <c r="AC349" s="18">
        <f>IF(V349="Markdown Review",1,IF(V349="Reorder Candidate",2,IF(V349="Monitor",3,IF(V349="Noise",4,IF(V349="Not Ready",5,99)))))</f>
        <v/>
      </c>
      <c r="AD349" s="18">
        <f>IF(O349,COUNTIFS($O$5:$O$504,TRUE,$AC$5:$AC$504,"&lt;"&amp;AC349)+COUNTIFS($O$5:O349,TRUE,$AC$5:AC349,AC349,$Y$5:Y349,"&gt;"&amp;Y349),0)</f>
        <v/>
      </c>
    </row>
    <row r="350">
      <c r="A350" s="17">
        <f>IF(COUNTA('Weekly Input'!A350:C350)=0,"",'Weekly Input'!B350&amp;"|"&amp;'Weekly Input'!C350&amp;"|"&amp;TEXT('Weekly Input'!A350,"yyyy-mm-dd"))</f>
        <v/>
      </c>
      <c r="B350" s="18">
        <f>'Weekly Input'!B350</f>
        <v/>
      </c>
      <c r="C350" s="18">
        <f>'Weekly Input'!C350</f>
        <v/>
      </c>
      <c r="D350" s="18">
        <f>IF(B350="","",IFERROR(INDEX('Master Data'!$B$6:$B$145,MATCH(B350,'Master Data'!$A$6:$A$145,0)),""))</f>
        <v/>
      </c>
      <c r="E350" s="18">
        <f>IF(C350="","",IFERROR(INDEX('Master Data'!$H$6:$H$13,MATCH(C350,'Master Data'!$F$6:$F$13,0)),""))</f>
        <v/>
      </c>
      <c r="F350" s="19">
        <f>'Weekly Input'!A350</f>
        <v/>
      </c>
      <c r="G350" s="19">
        <f>IF(B350="","",IFERROR(INDEX('Master Data'!$D$6:$D$145,MATCH(B350,'Master Data'!$A$6:$A$145,0)),""))</f>
        <v/>
      </c>
      <c r="H350" s="18">
        <f>IF(OR(F350="",G350=""),"",F350-G350)</f>
        <v/>
      </c>
      <c r="I350" s="18">
        <f>IF(B350="","",IF('Weekly Input'!J350="OK",TRUE,FALSE))</f>
        <v/>
      </c>
      <c r="J350" s="18">
        <f>IF(B350="","",'Weekly Input'!H350&gt;=MinInStockDays)</f>
        <v/>
      </c>
      <c r="K350" s="18">
        <f>IF(B350="","",H350&gt;=FullCycleMin)</f>
        <v/>
      </c>
      <c r="L350" s="18">
        <f>IF(B350="","",AND(I350,J350,K350,N350&gt;=MinHistory))</f>
        <v/>
      </c>
      <c r="M350" s="20">
        <f>IF(OR(B350="",'Weekly Input'!H350=0),"",'Weekly Input'!D350/'Weekly Input'!H350*7)</f>
        <v/>
      </c>
      <c r="N350" s="18">
        <f>IF(B350="","",COUNTIFS($B$5:$B$504,B350,$C$5:$C$504,C350,$I$5:$I$504,TRUE,$J$5:$J$504,TRUE,$K$5:$K$504,TRUE))</f>
        <v/>
      </c>
      <c r="O350" s="18">
        <f>IF(B350="","",AND(F350=AsOfWeek,AsOfWeek&lt;&gt;""))</f>
        <v/>
      </c>
      <c r="P350" s="20">
        <f>IF(OR(B350="",AsOfWeek=""),"",IFERROR(SUMIFS($M$5:$M$504,$B$5:$B$504,B350,$C$5:$C$504,C350,$L$5:$L$504,TRUE,$F$5:$F$504,"&gt;="&amp;AsOfWeek-7*(RecentWeeks-1),$F$5:$F$504,"&lt;="&amp;AsOfWeek),""))</f>
        <v/>
      </c>
      <c r="Q350" s="20">
        <f>IF(OR(B350="",AsOfWeek=""),"",IFERROR(SUMIFS($M$5:$M$504,$B$5:$B$504,B350,$C$5:$C$504,C350,$L$5:$L$504,TRUE,$F$5:$F$504,"&gt;="&amp;AsOfWeek-7*(RecentWeeks+PriorWeeks-1),$F$5:$F$504,"&lt;"&amp;AsOfWeek-7*(RecentWeeks-1)),""))</f>
        <v/>
      </c>
      <c r="R350" s="21">
        <f>IF(OR(P350="",Q350="",Q350=0),"",P350/Q350-1)</f>
        <v/>
      </c>
      <c r="S350" s="20">
        <f>IF(OR(C350="",AsOfWeek=""),"",IFERROR(AVERAGEIFS($M$5:$M$504,$C$5:$C$504,C350,$L$5:$L$504,TRUE,$F$5:$F$504,"&gt;="&amp;AsOfWeek-7*(RecentWeeks-1),$F$5:$F$504,"&lt;="&amp;AsOfWeek),""))</f>
        <v/>
      </c>
      <c r="T350" s="21">
        <f>IF(OR(P350="",S350=""),"",P350/S350-1)</f>
        <v/>
      </c>
      <c r="U350" s="22">
        <f>IF(OR(B350="",'Weekly Input'!G350="",P350="",P350=0),"",'Weekly Input'!G350/P350)</f>
        <v/>
      </c>
      <c r="V350" s="18">
        <f>IF(B350="","",IF(NOT(I350),"Not Ready",IF(NOT(K350),"Not Ready",IF(N350&lt;MinHistory,"Not Ready",IF(NOT(J350),"Not Ready",IF(OR(Q350="",Q350=0),"Noise",IF(Q350&lt;LowBaseThreshold,"Noise",IF(AND(R350&lt;=-OwnDecline,T350&lt;=-PeerGapThreshold),"Markdown Review",IF(AND(R350&gt;=ReorderUplift,U350&lt;&gt;"",U350&lt;=WeeksSupplyCap),"Reorder Candidate","Monitor"))))))))</f>
        <v/>
      </c>
      <c r="W350" s="18">
        <f>IF(B350="","",IF(NOT(I350),"INVALID_MASTER",IF(NOT(K350),"INCOMPLETE_SHELF_CYCLE",IF(N350&lt;MinHistory,"INSUFFICIENT_HISTORY",IF(NOT(J350),"INSUFFICIENT_IN_STOCK",IF(OR(Q350="",Q350=0),"NO_PRIOR_BASE",IF(Q350&lt;LowBaseThreshold,"LOW_BASE_NOISE",IF(V350="Markdown Review","MARKDOWN_PEER_GAP",IF(V350="Reorder Candidate","REORDER_UPLIFT_COVER","NO_MATERIAL_CHANGE"))))))))</f>
        <v/>
      </c>
      <c r="X350" s="18">
        <f>IF(V350="Markdown Review","Markdown support",IF(V350="Reorder Candidate","Second reorder",IF(V350="Monitor","Monitor",IF(V350="Noise","Hold / collect data",IF(V350="Not Ready","Not ready","")))))</f>
        <v/>
      </c>
      <c r="Y350" s="18">
        <f>IF(OR(R350="",T350=""),"",ABS(R350)+ABS(T350))</f>
        <v/>
      </c>
      <c r="Z350" s="21">
        <f>IF(OR(B350="",NOT(O350),R350=""),"",IF(ABS(R350)&gt;=MaterialThreshold,"Yes","No"))</f>
        <v/>
      </c>
      <c r="AA350" s="18">
        <f>IF(Z350&lt;&gt;"Yes","",IF(ABS(R350)&gt;=MaterialThreshold,IF(ABS(R350)&gt;=BroadShare,"Broad SKU movement","Store-concentrated movement"),""))</f>
        <v/>
      </c>
      <c r="AB350" s="18">
        <f>IF(O350,IF(COUNTIFS($O$5:O350,TRUE)&gt;0,COUNTIFS($O$5:O350,TRUE),0),0)</f>
        <v/>
      </c>
      <c r="AC350" s="18">
        <f>IF(V350="Markdown Review",1,IF(V350="Reorder Candidate",2,IF(V350="Monitor",3,IF(V350="Noise",4,IF(V350="Not Ready",5,99)))))</f>
        <v/>
      </c>
      <c r="AD350" s="18">
        <f>IF(O350,COUNTIFS($O$5:$O$504,TRUE,$AC$5:$AC$504,"&lt;"&amp;AC350)+COUNTIFS($O$5:O350,TRUE,$AC$5:AC350,AC350,$Y$5:Y350,"&gt;"&amp;Y350),0)</f>
        <v/>
      </c>
    </row>
    <row r="351">
      <c r="A351" s="17">
        <f>IF(COUNTA('Weekly Input'!A351:C351)=0,"",'Weekly Input'!B351&amp;"|"&amp;'Weekly Input'!C351&amp;"|"&amp;TEXT('Weekly Input'!A351,"yyyy-mm-dd"))</f>
        <v/>
      </c>
      <c r="B351" s="18">
        <f>'Weekly Input'!B351</f>
        <v/>
      </c>
      <c r="C351" s="18">
        <f>'Weekly Input'!C351</f>
        <v/>
      </c>
      <c r="D351" s="18">
        <f>IF(B351="","",IFERROR(INDEX('Master Data'!$B$6:$B$145,MATCH(B351,'Master Data'!$A$6:$A$145,0)),""))</f>
        <v/>
      </c>
      <c r="E351" s="18">
        <f>IF(C351="","",IFERROR(INDEX('Master Data'!$H$6:$H$13,MATCH(C351,'Master Data'!$F$6:$F$13,0)),""))</f>
        <v/>
      </c>
      <c r="F351" s="19">
        <f>'Weekly Input'!A351</f>
        <v/>
      </c>
      <c r="G351" s="19">
        <f>IF(B351="","",IFERROR(INDEX('Master Data'!$D$6:$D$145,MATCH(B351,'Master Data'!$A$6:$A$145,0)),""))</f>
        <v/>
      </c>
      <c r="H351" s="18">
        <f>IF(OR(F351="",G351=""),"",F351-G351)</f>
        <v/>
      </c>
      <c r="I351" s="18">
        <f>IF(B351="","",IF('Weekly Input'!J351="OK",TRUE,FALSE))</f>
        <v/>
      </c>
      <c r="J351" s="18">
        <f>IF(B351="","",'Weekly Input'!H351&gt;=MinInStockDays)</f>
        <v/>
      </c>
      <c r="K351" s="18">
        <f>IF(B351="","",H351&gt;=FullCycleMin)</f>
        <v/>
      </c>
      <c r="L351" s="18">
        <f>IF(B351="","",AND(I351,J351,K351,N351&gt;=MinHistory))</f>
        <v/>
      </c>
      <c r="M351" s="20">
        <f>IF(OR(B351="",'Weekly Input'!H351=0),"",'Weekly Input'!D351/'Weekly Input'!H351*7)</f>
        <v/>
      </c>
      <c r="N351" s="18">
        <f>IF(B351="","",COUNTIFS($B$5:$B$504,B351,$C$5:$C$504,C351,$I$5:$I$504,TRUE,$J$5:$J$504,TRUE,$K$5:$K$504,TRUE))</f>
        <v/>
      </c>
      <c r="O351" s="18">
        <f>IF(B351="","",AND(F351=AsOfWeek,AsOfWeek&lt;&gt;""))</f>
        <v/>
      </c>
      <c r="P351" s="20">
        <f>IF(OR(B351="",AsOfWeek=""),"",IFERROR(SUMIFS($M$5:$M$504,$B$5:$B$504,B351,$C$5:$C$504,C351,$L$5:$L$504,TRUE,$F$5:$F$504,"&gt;="&amp;AsOfWeek-7*(RecentWeeks-1),$F$5:$F$504,"&lt;="&amp;AsOfWeek),""))</f>
        <v/>
      </c>
      <c r="Q351" s="20">
        <f>IF(OR(B351="",AsOfWeek=""),"",IFERROR(SUMIFS($M$5:$M$504,$B$5:$B$504,B351,$C$5:$C$504,C351,$L$5:$L$504,TRUE,$F$5:$F$504,"&gt;="&amp;AsOfWeek-7*(RecentWeeks+PriorWeeks-1),$F$5:$F$504,"&lt;"&amp;AsOfWeek-7*(RecentWeeks-1)),""))</f>
        <v/>
      </c>
      <c r="R351" s="21">
        <f>IF(OR(P351="",Q351="",Q351=0),"",P351/Q351-1)</f>
        <v/>
      </c>
      <c r="S351" s="20">
        <f>IF(OR(C351="",AsOfWeek=""),"",IFERROR(AVERAGEIFS($M$5:$M$504,$C$5:$C$504,C351,$L$5:$L$504,TRUE,$F$5:$F$504,"&gt;="&amp;AsOfWeek-7*(RecentWeeks-1),$F$5:$F$504,"&lt;="&amp;AsOfWeek),""))</f>
        <v/>
      </c>
      <c r="T351" s="21">
        <f>IF(OR(P351="",S351=""),"",P351/S351-1)</f>
        <v/>
      </c>
      <c r="U351" s="22">
        <f>IF(OR(B351="",'Weekly Input'!G351="",P351="",P351=0),"",'Weekly Input'!G351/P351)</f>
        <v/>
      </c>
      <c r="V351" s="18">
        <f>IF(B351="","",IF(NOT(I351),"Not Ready",IF(NOT(K351),"Not Ready",IF(N351&lt;MinHistory,"Not Ready",IF(NOT(J351),"Not Ready",IF(OR(Q351="",Q351=0),"Noise",IF(Q351&lt;LowBaseThreshold,"Noise",IF(AND(R351&lt;=-OwnDecline,T351&lt;=-PeerGapThreshold),"Markdown Review",IF(AND(R351&gt;=ReorderUplift,U351&lt;&gt;"",U351&lt;=WeeksSupplyCap),"Reorder Candidate","Monitor"))))))))</f>
        <v/>
      </c>
      <c r="W351" s="18">
        <f>IF(B351="","",IF(NOT(I351),"INVALID_MASTER",IF(NOT(K351),"INCOMPLETE_SHELF_CYCLE",IF(N351&lt;MinHistory,"INSUFFICIENT_HISTORY",IF(NOT(J351),"INSUFFICIENT_IN_STOCK",IF(OR(Q351="",Q351=0),"NO_PRIOR_BASE",IF(Q351&lt;LowBaseThreshold,"LOW_BASE_NOISE",IF(V351="Markdown Review","MARKDOWN_PEER_GAP",IF(V351="Reorder Candidate","REORDER_UPLIFT_COVER","NO_MATERIAL_CHANGE"))))))))</f>
        <v/>
      </c>
      <c r="X351" s="18">
        <f>IF(V351="Markdown Review","Markdown support",IF(V351="Reorder Candidate","Second reorder",IF(V351="Monitor","Monitor",IF(V351="Noise","Hold / collect data",IF(V351="Not Ready","Not ready","")))))</f>
        <v/>
      </c>
      <c r="Y351" s="18">
        <f>IF(OR(R351="",T351=""),"",ABS(R351)+ABS(T351))</f>
        <v/>
      </c>
      <c r="Z351" s="21">
        <f>IF(OR(B351="",NOT(O351),R351=""),"",IF(ABS(R351)&gt;=MaterialThreshold,"Yes","No"))</f>
        <v/>
      </c>
      <c r="AA351" s="18">
        <f>IF(Z351&lt;&gt;"Yes","",IF(ABS(R351)&gt;=MaterialThreshold,IF(ABS(R351)&gt;=BroadShare,"Broad SKU movement","Store-concentrated movement"),""))</f>
        <v/>
      </c>
      <c r="AB351" s="18">
        <f>IF(O351,IF(COUNTIFS($O$5:O351,TRUE)&gt;0,COUNTIFS($O$5:O351,TRUE),0),0)</f>
        <v/>
      </c>
      <c r="AC351" s="18">
        <f>IF(V351="Markdown Review",1,IF(V351="Reorder Candidate",2,IF(V351="Monitor",3,IF(V351="Noise",4,IF(V351="Not Ready",5,99)))))</f>
        <v/>
      </c>
      <c r="AD351" s="18">
        <f>IF(O351,COUNTIFS($O$5:$O$504,TRUE,$AC$5:$AC$504,"&lt;"&amp;AC351)+COUNTIFS($O$5:O351,TRUE,$AC$5:AC351,AC351,$Y$5:Y351,"&gt;"&amp;Y351),0)</f>
        <v/>
      </c>
    </row>
    <row r="352">
      <c r="A352" s="17">
        <f>IF(COUNTA('Weekly Input'!A352:C352)=0,"",'Weekly Input'!B352&amp;"|"&amp;'Weekly Input'!C352&amp;"|"&amp;TEXT('Weekly Input'!A352,"yyyy-mm-dd"))</f>
        <v/>
      </c>
      <c r="B352" s="18">
        <f>'Weekly Input'!B352</f>
        <v/>
      </c>
      <c r="C352" s="18">
        <f>'Weekly Input'!C352</f>
        <v/>
      </c>
      <c r="D352" s="18">
        <f>IF(B352="","",IFERROR(INDEX('Master Data'!$B$6:$B$145,MATCH(B352,'Master Data'!$A$6:$A$145,0)),""))</f>
        <v/>
      </c>
      <c r="E352" s="18">
        <f>IF(C352="","",IFERROR(INDEX('Master Data'!$H$6:$H$13,MATCH(C352,'Master Data'!$F$6:$F$13,0)),""))</f>
        <v/>
      </c>
      <c r="F352" s="19">
        <f>'Weekly Input'!A352</f>
        <v/>
      </c>
      <c r="G352" s="19">
        <f>IF(B352="","",IFERROR(INDEX('Master Data'!$D$6:$D$145,MATCH(B352,'Master Data'!$A$6:$A$145,0)),""))</f>
        <v/>
      </c>
      <c r="H352" s="18">
        <f>IF(OR(F352="",G352=""),"",F352-G352)</f>
        <v/>
      </c>
      <c r="I352" s="18">
        <f>IF(B352="","",IF('Weekly Input'!J352="OK",TRUE,FALSE))</f>
        <v/>
      </c>
      <c r="J352" s="18">
        <f>IF(B352="","",'Weekly Input'!H352&gt;=MinInStockDays)</f>
        <v/>
      </c>
      <c r="K352" s="18">
        <f>IF(B352="","",H352&gt;=FullCycleMin)</f>
        <v/>
      </c>
      <c r="L352" s="18">
        <f>IF(B352="","",AND(I352,J352,K352,N352&gt;=MinHistory))</f>
        <v/>
      </c>
      <c r="M352" s="20">
        <f>IF(OR(B352="",'Weekly Input'!H352=0),"",'Weekly Input'!D352/'Weekly Input'!H352*7)</f>
        <v/>
      </c>
      <c r="N352" s="18">
        <f>IF(B352="","",COUNTIFS($B$5:$B$504,B352,$C$5:$C$504,C352,$I$5:$I$504,TRUE,$J$5:$J$504,TRUE,$K$5:$K$504,TRUE))</f>
        <v/>
      </c>
      <c r="O352" s="18">
        <f>IF(B352="","",AND(F352=AsOfWeek,AsOfWeek&lt;&gt;""))</f>
        <v/>
      </c>
      <c r="P352" s="20">
        <f>IF(OR(B352="",AsOfWeek=""),"",IFERROR(SUMIFS($M$5:$M$504,$B$5:$B$504,B352,$C$5:$C$504,C352,$L$5:$L$504,TRUE,$F$5:$F$504,"&gt;="&amp;AsOfWeek-7*(RecentWeeks-1),$F$5:$F$504,"&lt;="&amp;AsOfWeek),""))</f>
        <v/>
      </c>
      <c r="Q352" s="20">
        <f>IF(OR(B352="",AsOfWeek=""),"",IFERROR(SUMIFS($M$5:$M$504,$B$5:$B$504,B352,$C$5:$C$504,C352,$L$5:$L$504,TRUE,$F$5:$F$504,"&gt;="&amp;AsOfWeek-7*(RecentWeeks+PriorWeeks-1),$F$5:$F$504,"&lt;"&amp;AsOfWeek-7*(RecentWeeks-1)),""))</f>
        <v/>
      </c>
      <c r="R352" s="21">
        <f>IF(OR(P352="",Q352="",Q352=0),"",P352/Q352-1)</f>
        <v/>
      </c>
      <c r="S352" s="20">
        <f>IF(OR(C352="",AsOfWeek=""),"",IFERROR(AVERAGEIFS($M$5:$M$504,$C$5:$C$504,C352,$L$5:$L$504,TRUE,$F$5:$F$504,"&gt;="&amp;AsOfWeek-7*(RecentWeeks-1),$F$5:$F$504,"&lt;="&amp;AsOfWeek),""))</f>
        <v/>
      </c>
      <c r="T352" s="21">
        <f>IF(OR(P352="",S352=""),"",P352/S352-1)</f>
        <v/>
      </c>
      <c r="U352" s="22">
        <f>IF(OR(B352="",'Weekly Input'!G352="",P352="",P352=0),"",'Weekly Input'!G352/P352)</f>
        <v/>
      </c>
      <c r="V352" s="18">
        <f>IF(B352="","",IF(NOT(I352),"Not Ready",IF(NOT(K352),"Not Ready",IF(N352&lt;MinHistory,"Not Ready",IF(NOT(J352),"Not Ready",IF(OR(Q352="",Q352=0),"Noise",IF(Q352&lt;LowBaseThreshold,"Noise",IF(AND(R352&lt;=-OwnDecline,T352&lt;=-PeerGapThreshold),"Markdown Review",IF(AND(R352&gt;=ReorderUplift,U352&lt;&gt;"",U352&lt;=WeeksSupplyCap),"Reorder Candidate","Monitor"))))))))</f>
        <v/>
      </c>
      <c r="W352" s="18">
        <f>IF(B352="","",IF(NOT(I352),"INVALID_MASTER",IF(NOT(K352),"INCOMPLETE_SHELF_CYCLE",IF(N352&lt;MinHistory,"INSUFFICIENT_HISTORY",IF(NOT(J352),"INSUFFICIENT_IN_STOCK",IF(OR(Q352="",Q352=0),"NO_PRIOR_BASE",IF(Q352&lt;LowBaseThreshold,"LOW_BASE_NOISE",IF(V352="Markdown Review","MARKDOWN_PEER_GAP",IF(V352="Reorder Candidate","REORDER_UPLIFT_COVER","NO_MATERIAL_CHANGE"))))))))</f>
        <v/>
      </c>
      <c r="X352" s="18">
        <f>IF(V352="Markdown Review","Markdown support",IF(V352="Reorder Candidate","Second reorder",IF(V352="Monitor","Monitor",IF(V352="Noise","Hold / collect data",IF(V352="Not Ready","Not ready","")))))</f>
        <v/>
      </c>
      <c r="Y352" s="18">
        <f>IF(OR(R352="",T352=""),"",ABS(R352)+ABS(T352))</f>
        <v/>
      </c>
      <c r="Z352" s="21">
        <f>IF(OR(B352="",NOT(O352),R352=""),"",IF(ABS(R352)&gt;=MaterialThreshold,"Yes","No"))</f>
        <v/>
      </c>
      <c r="AA352" s="18">
        <f>IF(Z352&lt;&gt;"Yes","",IF(ABS(R352)&gt;=MaterialThreshold,IF(ABS(R352)&gt;=BroadShare,"Broad SKU movement","Store-concentrated movement"),""))</f>
        <v/>
      </c>
      <c r="AB352" s="18">
        <f>IF(O352,IF(COUNTIFS($O$5:O352,TRUE)&gt;0,COUNTIFS($O$5:O352,TRUE),0),0)</f>
        <v/>
      </c>
      <c r="AC352" s="18">
        <f>IF(V352="Markdown Review",1,IF(V352="Reorder Candidate",2,IF(V352="Monitor",3,IF(V352="Noise",4,IF(V352="Not Ready",5,99)))))</f>
        <v/>
      </c>
      <c r="AD352" s="18">
        <f>IF(O352,COUNTIFS($O$5:$O$504,TRUE,$AC$5:$AC$504,"&lt;"&amp;AC352)+COUNTIFS($O$5:O352,TRUE,$AC$5:AC352,AC352,$Y$5:Y352,"&gt;"&amp;Y352),0)</f>
        <v/>
      </c>
    </row>
    <row r="353">
      <c r="A353" s="17">
        <f>IF(COUNTA('Weekly Input'!A353:C353)=0,"",'Weekly Input'!B353&amp;"|"&amp;'Weekly Input'!C353&amp;"|"&amp;TEXT('Weekly Input'!A353,"yyyy-mm-dd"))</f>
        <v/>
      </c>
      <c r="B353" s="18">
        <f>'Weekly Input'!B353</f>
        <v/>
      </c>
      <c r="C353" s="18">
        <f>'Weekly Input'!C353</f>
        <v/>
      </c>
      <c r="D353" s="18">
        <f>IF(B353="","",IFERROR(INDEX('Master Data'!$B$6:$B$145,MATCH(B353,'Master Data'!$A$6:$A$145,0)),""))</f>
        <v/>
      </c>
      <c r="E353" s="18">
        <f>IF(C353="","",IFERROR(INDEX('Master Data'!$H$6:$H$13,MATCH(C353,'Master Data'!$F$6:$F$13,0)),""))</f>
        <v/>
      </c>
      <c r="F353" s="19">
        <f>'Weekly Input'!A353</f>
        <v/>
      </c>
      <c r="G353" s="19">
        <f>IF(B353="","",IFERROR(INDEX('Master Data'!$D$6:$D$145,MATCH(B353,'Master Data'!$A$6:$A$145,0)),""))</f>
        <v/>
      </c>
      <c r="H353" s="18">
        <f>IF(OR(F353="",G353=""),"",F353-G353)</f>
        <v/>
      </c>
      <c r="I353" s="18">
        <f>IF(B353="","",IF('Weekly Input'!J353="OK",TRUE,FALSE))</f>
        <v/>
      </c>
      <c r="J353" s="18">
        <f>IF(B353="","",'Weekly Input'!H353&gt;=MinInStockDays)</f>
        <v/>
      </c>
      <c r="K353" s="18">
        <f>IF(B353="","",H353&gt;=FullCycleMin)</f>
        <v/>
      </c>
      <c r="L353" s="18">
        <f>IF(B353="","",AND(I353,J353,K353,N353&gt;=MinHistory))</f>
        <v/>
      </c>
      <c r="M353" s="20">
        <f>IF(OR(B353="",'Weekly Input'!H353=0),"",'Weekly Input'!D353/'Weekly Input'!H353*7)</f>
        <v/>
      </c>
      <c r="N353" s="18">
        <f>IF(B353="","",COUNTIFS($B$5:$B$504,B353,$C$5:$C$504,C353,$I$5:$I$504,TRUE,$J$5:$J$504,TRUE,$K$5:$K$504,TRUE))</f>
        <v/>
      </c>
      <c r="O353" s="18">
        <f>IF(B353="","",AND(F353=AsOfWeek,AsOfWeek&lt;&gt;""))</f>
        <v/>
      </c>
      <c r="P353" s="20">
        <f>IF(OR(B353="",AsOfWeek=""),"",IFERROR(SUMIFS($M$5:$M$504,$B$5:$B$504,B353,$C$5:$C$504,C353,$L$5:$L$504,TRUE,$F$5:$F$504,"&gt;="&amp;AsOfWeek-7*(RecentWeeks-1),$F$5:$F$504,"&lt;="&amp;AsOfWeek),""))</f>
        <v/>
      </c>
      <c r="Q353" s="20">
        <f>IF(OR(B353="",AsOfWeek=""),"",IFERROR(SUMIFS($M$5:$M$504,$B$5:$B$504,B353,$C$5:$C$504,C353,$L$5:$L$504,TRUE,$F$5:$F$504,"&gt;="&amp;AsOfWeek-7*(RecentWeeks+PriorWeeks-1),$F$5:$F$504,"&lt;"&amp;AsOfWeek-7*(RecentWeeks-1)),""))</f>
        <v/>
      </c>
      <c r="R353" s="21">
        <f>IF(OR(P353="",Q353="",Q353=0),"",P353/Q353-1)</f>
        <v/>
      </c>
      <c r="S353" s="20">
        <f>IF(OR(C353="",AsOfWeek=""),"",IFERROR(AVERAGEIFS($M$5:$M$504,$C$5:$C$504,C353,$L$5:$L$504,TRUE,$F$5:$F$504,"&gt;="&amp;AsOfWeek-7*(RecentWeeks-1),$F$5:$F$504,"&lt;="&amp;AsOfWeek),""))</f>
        <v/>
      </c>
      <c r="T353" s="21">
        <f>IF(OR(P353="",S353=""),"",P353/S353-1)</f>
        <v/>
      </c>
      <c r="U353" s="22">
        <f>IF(OR(B353="",'Weekly Input'!G353="",P353="",P353=0),"",'Weekly Input'!G353/P353)</f>
        <v/>
      </c>
      <c r="V353" s="18">
        <f>IF(B353="","",IF(NOT(I353),"Not Ready",IF(NOT(K353),"Not Ready",IF(N353&lt;MinHistory,"Not Ready",IF(NOT(J353),"Not Ready",IF(OR(Q353="",Q353=0),"Noise",IF(Q353&lt;LowBaseThreshold,"Noise",IF(AND(R353&lt;=-OwnDecline,T353&lt;=-PeerGapThreshold),"Markdown Review",IF(AND(R353&gt;=ReorderUplift,U353&lt;&gt;"",U353&lt;=WeeksSupplyCap),"Reorder Candidate","Monitor"))))))))</f>
        <v/>
      </c>
      <c r="W353" s="18">
        <f>IF(B353="","",IF(NOT(I353),"INVALID_MASTER",IF(NOT(K353),"INCOMPLETE_SHELF_CYCLE",IF(N353&lt;MinHistory,"INSUFFICIENT_HISTORY",IF(NOT(J353),"INSUFFICIENT_IN_STOCK",IF(OR(Q353="",Q353=0),"NO_PRIOR_BASE",IF(Q353&lt;LowBaseThreshold,"LOW_BASE_NOISE",IF(V353="Markdown Review","MARKDOWN_PEER_GAP",IF(V353="Reorder Candidate","REORDER_UPLIFT_COVER","NO_MATERIAL_CHANGE"))))))))</f>
        <v/>
      </c>
      <c r="X353" s="18">
        <f>IF(V353="Markdown Review","Markdown support",IF(V353="Reorder Candidate","Second reorder",IF(V353="Monitor","Monitor",IF(V353="Noise","Hold / collect data",IF(V353="Not Ready","Not ready","")))))</f>
        <v/>
      </c>
      <c r="Y353" s="18">
        <f>IF(OR(R353="",T353=""),"",ABS(R353)+ABS(T353))</f>
        <v/>
      </c>
      <c r="Z353" s="21">
        <f>IF(OR(B353="",NOT(O353),R353=""),"",IF(ABS(R353)&gt;=MaterialThreshold,"Yes","No"))</f>
        <v/>
      </c>
      <c r="AA353" s="18">
        <f>IF(Z353&lt;&gt;"Yes","",IF(ABS(R353)&gt;=MaterialThreshold,IF(ABS(R353)&gt;=BroadShare,"Broad SKU movement","Store-concentrated movement"),""))</f>
        <v/>
      </c>
      <c r="AB353" s="18">
        <f>IF(O353,IF(COUNTIFS($O$5:O353,TRUE)&gt;0,COUNTIFS($O$5:O353,TRUE),0),0)</f>
        <v/>
      </c>
      <c r="AC353" s="18">
        <f>IF(V353="Markdown Review",1,IF(V353="Reorder Candidate",2,IF(V353="Monitor",3,IF(V353="Noise",4,IF(V353="Not Ready",5,99)))))</f>
        <v/>
      </c>
      <c r="AD353" s="18">
        <f>IF(O353,COUNTIFS($O$5:$O$504,TRUE,$AC$5:$AC$504,"&lt;"&amp;AC353)+COUNTIFS($O$5:O353,TRUE,$AC$5:AC353,AC353,$Y$5:Y353,"&gt;"&amp;Y353),0)</f>
        <v/>
      </c>
    </row>
    <row r="354">
      <c r="A354" s="17">
        <f>IF(COUNTA('Weekly Input'!A354:C354)=0,"",'Weekly Input'!B354&amp;"|"&amp;'Weekly Input'!C354&amp;"|"&amp;TEXT('Weekly Input'!A354,"yyyy-mm-dd"))</f>
        <v/>
      </c>
      <c r="B354" s="18">
        <f>'Weekly Input'!B354</f>
        <v/>
      </c>
      <c r="C354" s="18">
        <f>'Weekly Input'!C354</f>
        <v/>
      </c>
      <c r="D354" s="18">
        <f>IF(B354="","",IFERROR(INDEX('Master Data'!$B$6:$B$145,MATCH(B354,'Master Data'!$A$6:$A$145,0)),""))</f>
        <v/>
      </c>
      <c r="E354" s="18">
        <f>IF(C354="","",IFERROR(INDEX('Master Data'!$H$6:$H$13,MATCH(C354,'Master Data'!$F$6:$F$13,0)),""))</f>
        <v/>
      </c>
      <c r="F354" s="19">
        <f>'Weekly Input'!A354</f>
        <v/>
      </c>
      <c r="G354" s="19">
        <f>IF(B354="","",IFERROR(INDEX('Master Data'!$D$6:$D$145,MATCH(B354,'Master Data'!$A$6:$A$145,0)),""))</f>
        <v/>
      </c>
      <c r="H354" s="18">
        <f>IF(OR(F354="",G354=""),"",F354-G354)</f>
        <v/>
      </c>
      <c r="I354" s="18">
        <f>IF(B354="","",IF('Weekly Input'!J354="OK",TRUE,FALSE))</f>
        <v/>
      </c>
      <c r="J354" s="18">
        <f>IF(B354="","",'Weekly Input'!H354&gt;=MinInStockDays)</f>
        <v/>
      </c>
      <c r="K354" s="18">
        <f>IF(B354="","",H354&gt;=FullCycleMin)</f>
        <v/>
      </c>
      <c r="L354" s="18">
        <f>IF(B354="","",AND(I354,J354,K354,N354&gt;=MinHistory))</f>
        <v/>
      </c>
      <c r="M354" s="20">
        <f>IF(OR(B354="",'Weekly Input'!H354=0),"",'Weekly Input'!D354/'Weekly Input'!H354*7)</f>
        <v/>
      </c>
      <c r="N354" s="18">
        <f>IF(B354="","",COUNTIFS($B$5:$B$504,B354,$C$5:$C$504,C354,$I$5:$I$504,TRUE,$J$5:$J$504,TRUE,$K$5:$K$504,TRUE))</f>
        <v/>
      </c>
      <c r="O354" s="18">
        <f>IF(B354="","",AND(F354=AsOfWeek,AsOfWeek&lt;&gt;""))</f>
        <v/>
      </c>
      <c r="P354" s="20">
        <f>IF(OR(B354="",AsOfWeek=""),"",IFERROR(SUMIFS($M$5:$M$504,$B$5:$B$504,B354,$C$5:$C$504,C354,$L$5:$L$504,TRUE,$F$5:$F$504,"&gt;="&amp;AsOfWeek-7*(RecentWeeks-1),$F$5:$F$504,"&lt;="&amp;AsOfWeek),""))</f>
        <v/>
      </c>
      <c r="Q354" s="20">
        <f>IF(OR(B354="",AsOfWeek=""),"",IFERROR(SUMIFS($M$5:$M$504,$B$5:$B$504,B354,$C$5:$C$504,C354,$L$5:$L$504,TRUE,$F$5:$F$504,"&gt;="&amp;AsOfWeek-7*(RecentWeeks+PriorWeeks-1),$F$5:$F$504,"&lt;"&amp;AsOfWeek-7*(RecentWeeks-1)),""))</f>
        <v/>
      </c>
      <c r="R354" s="21">
        <f>IF(OR(P354="",Q354="",Q354=0),"",P354/Q354-1)</f>
        <v/>
      </c>
      <c r="S354" s="20">
        <f>IF(OR(C354="",AsOfWeek=""),"",IFERROR(AVERAGEIFS($M$5:$M$504,$C$5:$C$504,C354,$L$5:$L$504,TRUE,$F$5:$F$504,"&gt;="&amp;AsOfWeek-7*(RecentWeeks-1),$F$5:$F$504,"&lt;="&amp;AsOfWeek),""))</f>
        <v/>
      </c>
      <c r="T354" s="21">
        <f>IF(OR(P354="",S354=""),"",P354/S354-1)</f>
        <v/>
      </c>
      <c r="U354" s="22">
        <f>IF(OR(B354="",'Weekly Input'!G354="",P354="",P354=0),"",'Weekly Input'!G354/P354)</f>
        <v/>
      </c>
      <c r="V354" s="18">
        <f>IF(B354="","",IF(NOT(I354),"Not Ready",IF(NOT(K354),"Not Ready",IF(N354&lt;MinHistory,"Not Ready",IF(NOT(J354),"Not Ready",IF(OR(Q354="",Q354=0),"Noise",IF(Q354&lt;LowBaseThreshold,"Noise",IF(AND(R354&lt;=-OwnDecline,T354&lt;=-PeerGapThreshold),"Markdown Review",IF(AND(R354&gt;=ReorderUplift,U354&lt;&gt;"",U354&lt;=WeeksSupplyCap),"Reorder Candidate","Monitor"))))))))</f>
        <v/>
      </c>
      <c r="W354" s="18">
        <f>IF(B354="","",IF(NOT(I354),"INVALID_MASTER",IF(NOT(K354),"INCOMPLETE_SHELF_CYCLE",IF(N354&lt;MinHistory,"INSUFFICIENT_HISTORY",IF(NOT(J354),"INSUFFICIENT_IN_STOCK",IF(OR(Q354="",Q354=0),"NO_PRIOR_BASE",IF(Q354&lt;LowBaseThreshold,"LOW_BASE_NOISE",IF(V354="Markdown Review","MARKDOWN_PEER_GAP",IF(V354="Reorder Candidate","REORDER_UPLIFT_COVER","NO_MATERIAL_CHANGE"))))))))</f>
        <v/>
      </c>
      <c r="X354" s="18">
        <f>IF(V354="Markdown Review","Markdown support",IF(V354="Reorder Candidate","Second reorder",IF(V354="Monitor","Monitor",IF(V354="Noise","Hold / collect data",IF(V354="Not Ready","Not ready","")))))</f>
        <v/>
      </c>
      <c r="Y354" s="18">
        <f>IF(OR(R354="",T354=""),"",ABS(R354)+ABS(T354))</f>
        <v/>
      </c>
      <c r="Z354" s="21">
        <f>IF(OR(B354="",NOT(O354),R354=""),"",IF(ABS(R354)&gt;=MaterialThreshold,"Yes","No"))</f>
        <v/>
      </c>
      <c r="AA354" s="18">
        <f>IF(Z354&lt;&gt;"Yes","",IF(ABS(R354)&gt;=MaterialThreshold,IF(ABS(R354)&gt;=BroadShare,"Broad SKU movement","Store-concentrated movement"),""))</f>
        <v/>
      </c>
      <c r="AB354" s="18">
        <f>IF(O354,IF(COUNTIFS($O$5:O354,TRUE)&gt;0,COUNTIFS($O$5:O354,TRUE),0),0)</f>
        <v/>
      </c>
      <c r="AC354" s="18">
        <f>IF(V354="Markdown Review",1,IF(V354="Reorder Candidate",2,IF(V354="Monitor",3,IF(V354="Noise",4,IF(V354="Not Ready",5,99)))))</f>
        <v/>
      </c>
      <c r="AD354" s="18">
        <f>IF(O354,COUNTIFS($O$5:$O$504,TRUE,$AC$5:$AC$504,"&lt;"&amp;AC354)+COUNTIFS($O$5:O354,TRUE,$AC$5:AC354,AC354,$Y$5:Y354,"&gt;"&amp;Y354),0)</f>
        <v/>
      </c>
    </row>
    <row r="355">
      <c r="A355" s="17">
        <f>IF(COUNTA('Weekly Input'!A355:C355)=0,"",'Weekly Input'!B355&amp;"|"&amp;'Weekly Input'!C355&amp;"|"&amp;TEXT('Weekly Input'!A355,"yyyy-mm-dd"))</f>
        <v/>
      </c>
      <c r="B355" s="18">
        <f>'Weekly Input'!B355</f>
        <v/>
      </c>
      <c r="C355" s="18">
        <f>'Weekly Input'!C355</f>
        <v/>
      </c>
      <c r="D355" s="18">
        <f>IF(B355="","",IFERROR(INDEX('Master Data'!$B$6:$B$145,MATCH(B355,'Master Data'!$A$6:$A$145,0)),""))</f>
        <v/>
      </c>
      <c r="E355" s="18">
        <f>IF(C355="","",IFERROR(INDEX('Master Data'!$H$6:$H$13,MATCH(C355,'Master Data'!$F$6:$F$13,0)),""))</f>
        <v/>
      </c>
      <c r="F355" s="19">
        <f>'Weekly Input'!A355</f>
        <v/>
      </c>
      <c r="G355" s="19">
        <f>IF(B355="","",IFERROR(INDEX('Master Data'!$D$6:$D$145,MATCH(B355,'Master Data'!$A$6:$A$145,0)),""))</f>
        <v/>
      </c>
      <c r="H355" s="18">
        <f>IF(OR(F355="",G355=""),"",F355-G355)</f>
        <v/>
      </c>
      <c r="I355" s="18">
        <f>IF(B355="","",IF('Weekly Input'!J355="OK",TRUE,FALSE))</f>
        <v/>
      </c>
      <c r="J355" s="18">
        <f>IF(B355="","",'Weekly Input'!H355&gt;=MinInStockDays)</f>
        <v/>
      </c>
      <c r="K355" s="18">
        <f>IF(B355="","",H355&gt;=FullCycleMin)</f>
        <v/>
      </c>
      <c r="L355" s="18">
        <f>IF(B355="","",AND(I355,J355,K355,N355&gt;=MinHistory))</f>
        <v/>
      </c>
      <c r="M355" s="20">
        <f>IF(OR(B355="",'Weekly Input'!H355=0),"",'Weekly Input'!D355/'Weekly Input'!H355*7)</f>
        <v/>
      </c>
      <c r="N355" s="18">
        <f>IF(B355="","",COUNTIFS($B$5:$B$504,B355,$C$5:$C$504,C355,$I$5:$I$504,TRUE,$J$5:$J$504,TRUE,$K$5:$K$504,TRUE))</f>
        <v/>
      </c>
      <c r="O355" s="18">
        <f>IF(B355="","",AND(F355=AsOfWeek,AsOfWeek&lt;&gt;""))</f>
        <v/>
      </c>
      <c r="P355" s="20">
        <f>IF(OR(B355="",AsOfWeek=""),"",IFERROR(SUMIFS($M$5:$M$504,$B$5:$B$504,B355,$C$5:$C$504,C355,$L$5:$L$504,TRUE,$F$5:$F$504,"&gt;="&amp;AsOfWeek-7*(RecentWeeks-1),$F$5:$F$504,"&lt;="&amp;AsOfWeek),""))</f>
        <v/>
      </c>
      <c r="Q355" s="20">
        <f>IF(OR(B355="",AsOfWeek=""),"",IFERROR(SUMIFS($M$5:$M$504,$B$5:$B$504,B355,$C$5:$C$504,C355,$L$5:$L$504,TRUE,$F$5:$F$504,"&gt;="&amp;AsOfWeek-7*(RecentWeeks+PriorWeeks-1),$F$5:$F$504,"&lt;"&amp;AsOfWeek-7*(RecentWeeks-1)),""))</f>
        <v/>
      </c>
      <c r="R355" s="21">
        <f>IF(OR(P355="",Q355="",Q355=0),"",P355/Q355-1)</f>
        <v/>
      </c>
      <c r="S355" s="20">
        <f>IF(OR(C355="",AsOfWeek=""),"",IFERROR(AVERAGEIFS($M$5:$M$504,$C$5:$C$504,C355,$L$5:$L$504,TRUE,$F$5:$F$504,"&gt;="&amp;AsOfWeek-7*(RecentWeeks-1),$F$5:$F$504,"&lt;="&amp;AsOfWeek),""))</f>
        <v/>
      </c>
      <c r="T355" s="21">
        <f>IF(OR(P355="",S355=""),"",P355/S355-1)</f>
        <v/>
      </c>
      <c r="U355" s="22">
        <f>IF(OR(B355="",'Weekly Input'!G355="",P355="",P355=0),"",'Weekly Input'!G355/P355)</f>
        <v/>
      </c>
      <c r="V355" s="18">
        <f>IF(B355="","",IF(NOT(I355),"Not Ready",IF(NOT(K355),"Not Ready",IF(N355&lt;MinHistory,"Not Ready",IF(NOT(J355),"Not Ready",IF(OR(Q355="",Q355=0),"Noise",IF(Q355&lt;LowBaseThreshold,"Noise",IF(AND(R355&lt;=-OwnDecline,T355&lt;=-PeerGapThreshold),"Markdown Review",IF(AND(R355&gt;=ReorderUplift,U355&lt;&gt;"",U355&lt;=WeeksSupplyCap),"Reorder Candidate","Monitor"))))))))</f>
        <v/>
      </c>
      <c r="W355" s="18">
        <f>IF(B355="","",IF(NOT(I355),"INVALID_MASTER",IF(NOT(K355),"INCOMPLETE_SHELF_CYCLE",IF(N355&lt;MinHistory,"INSUFFICIENT_HISTORY",IF(NOT(J355),"INSUFFICIENT_IN_STOCK",IF(OR(Q355="",Q355=0),"NO_PRIOR_BASE",IF(Q355&lt;LowBaseThreshold,"LOW_BASE_NOISE",IF(V355="Markdown Review","MARKDOWN_PEER_GAP",IF(V355="Reorder Candidate","REORDER_UPLIFT_COVER","NO_MATERIAL_CHANGE"))))))))</f>
        <v/>
      </c>
      <c r="X355" s="18">
        <f>IF(V355="Markdown Review","Markdown support",IF(V355="Reorder Candidate","Second reorder",IF(V355="Monitor","Monitor",IF(V355="Noise","Hold / collect data",IF(V355="Not Ready","Not ready","")))))</f>
        <v/>
      </c>
      <c r="Y355" s="18">
        <f>IF(OR(R355="",T355=""),"",ABS(R355)+ABS(T355))</f>
        <v/>
      </c>
      <c r="Z355" s="21">
        <f>IF(OR(B355="",NOT(O355),R355=""),"",IF(ABS(R355)&gt;=MaterialThreshold,"Yes","No"))</f>
        <v/>
      </c>
      <c r="AA355" s="18">
        <f>IF(Z355&lt;&gt;"Yes","",IF(ABS(R355)&gt;=MaterialThreshold,IF(ABS(R355)&gt;=BroadShare,"Broad SKU movement","Store-concentrated movement"),""))</f>
        <v/>
      </c>
      <c r="AB355" s="18">
        <f>IF(O355,IF(COUNTIFS($O$5:O355,TRUE)&gt;0,COUNTIFS($O$5:O355,TRUE),0),0)</f>
        <v/>
      </c>
      <c r="AC355" s="18">
        <f>IF(V355="Markdown Review",1,IF(V355="Reorder Candidate",2,IF(V355="Monitor",3,IF(V355="Noise",4,IF(V355="Not Ready",5,99)))))</f>
        <v/>
      </c>
      <c r="AD355" s="18">
        <f>IF(O355,COUNTIFS($O$5:$O$504,TRUE,$AC$5:$AC$504,"&lt;"&amp;AC355)+COUNTIFS($O$5:O355,TRUE,$AC$5:AC355,AC355,$Y$5:Y355,"&gt;"&amp;Y355),0)</f>
        <v/>
      </c>
    </row>
    <row r="356">
      <c r="A356" s="17">
        <f>IF(COUNTA('Weekly Input'!A356:C356)=0,"",'Weekly Input'!B356&amp;"|"&amp;'Weekly Input'!C356&amp;"|"&amp;TEXT('Weekly Input'!A356,"yyyy-mm-dd"))</f>
        <v/>
      </c>
      <c r="B356" s="18">
        <f>'Weekly Input'!B356</f>
        <v/>
      </c>
      <c r="C356" s="18">
        <f>'Weekly Input'!C356</f>
        <v/>
      </c>
      <c r="D356" s="18">
        <f>IF(B356="","",IFERROR(INDEX('Master Data'!$B$6:$B$145,MATCH(B356,'Master Data'!$A$6:$A$145,0)),""))</f>
        <v/>
      </c>
      <c r="E356" s="18">
        <f>IF(C356="","",IFERROR(INDEX('Master Data'!$H$6:$H$13,MATCH(C356,'Master Data'!$F$6:$F$13,0)),""))</f>
        <v/>
      </c>
      <c r="F356" s="19">
        <f>'Weekly Input'!A356</f>
        <v/>
      </c>
      <c r="G356" s="19">
        <f>IF(B356="","",IFERROR(INDEX('Master Data'!$D$6:$D$145,MATCH(B356,'Master Data'!$A$6:$A$145,0)),""))</f>
        <v/>
      </c>
      <c r="H356" s="18">
        <f>IF(OR(F356="",G356=""),"",F356-G356)</f>
        <v/>
      </c>
      <c r="I356" s="18">
        <f>IF(B356="","",IF('Weekly Input'!J356="OK",TRUE,FALSE))</f>
        <v/>
      </c>
      <c r="J356" s="18">
        <f>IF(B356="","",'Weekly Input'!H356&gt;=MinInStockDays)</f>
        <v/>
      </c>
      <c r="K356" s="18">
        <f>IF(B356="","",H356&gt;=FullCycleMin)</f>
        <v/>
      </c>
      <c r="L356" s="18">
        <f>IF(B356="","",AND(I356,J356,K356,N356&gt;=MinHistory))</f>
        <v/>
      </c>
      <c r="M356" s="20">
        <f>IF(OR(B356="",'Weekly Input'!H356=0),"",'Weekly Input'!D356/'Weekly Input'!H356*7)</f>
        <v/>
      </c>
      <c r="N356" s="18">
        <f>IF(B356="","",COUNTIFS($B$5:$B$504,B356,$C$5:$C$504,C356,$I$5:$I$504,TRUE,$J$5:$J$504,TRUE,$K$5:$K$504,TRUE))</f>
        <v/>
      </c>
      <c r="O356" s="18">
        <f>IF(B356="","",AND(F356=AsOfWeek,AsOfWeek&lt;&gt;""))</f>
        <v/>
      </c>
      <c r="P356" s="20">
        <f>IF(OR(B356="",AsOfWeek=""),"",IFERROR(SUMIFS($M$5:$M$504,$B$5:$B$504,B356,$C$5:$C$504,C356,$L$5:$L$504,TRUE,$F$5:$F$504,"&gt;="&amp;AsOfWeek-7*(RecentWeeks-1),$F$5:$F$504,"&lt;="&amp;AsOfWeek),""))</f>
        <v/>
      </c>
      <c r="Q356" s="20">
        <f>IF(OR(B356="",AsOfWeek=""),"",IFERROR(SUMIFS($M$5:$M$504,$B$5:$B$504,B356,$C$5:$C$504,C356,$L$5:$L$504,TRUE,$F$5:$F$504,"&gt;="&amp;AsOfWeek-7*(RecentWeeks+PriorWeeks-1),$F$5:$F$504,"&lt;"&amp;AsOfWeek-7*(RecentWeeks-1)),""))</f>
        <v/>
      </c>
      <c r="R356" s="21">
        <f>IF(OR(P356="",Q356="",Q356=0),"",P356/Q356-1)</f>
        <v/>
      </c>
      <c r="S356" s="20">
        <f>IF(OR(C356="",AsOfWeek=""),"",IFERROR(AVERAGEIFS($M$5:$M$504,$C$5:$C$504,C356,$L$5:$L$504,TRUE,$F$5:$F$504,"&gt;="&amp;AsOfWeek-7*(RecentWeeks-1),$F$5:$F$504,"&lt;="&amp;AsOfWeek),""))</f>
        <v/>
      </c>
      <c r="T356" s="21">
        <f>IF(OR(P356="",S356=""),"",P356/S356-1)</f>
        <v/>
      </c>
      <c r="U356" s="22">
        <f>IF(OR(B356="",'Weekly Input'!G356="",P356="",P356=0),"",'Weekly Input'!G356/P356)</f>
        <v/>
      </c>
      <c r="V356" s="18">
        <f>IF(B356="","",IF(NOT(I356),"Not Ready",IF(NOT(K356),"Not Ready",IF(N356&lt;MinHistory,"Not Ready",IF(NOT(J356),"Not Ready",IF(OR(Q356="",Q356=0),"Noise",IF(Q356&lt;LowBaseThreshold,"Noise",IF(AND(R356&lt;=-OwnDecline,T356&lt;=-PeerGapThreshold),"Markdown Review",IF(AND(R356&gt;=ReorderUplift,U356&lt;&gt;"",U356&lt;=WeeksSupplyCap),"Reorder Candidate","Monitor"))))))))</f>
        <v/>
      </c>
      <c r="W356" s="18">
        <f>IF(B356="","",IF(NOT(I356),"INVALID_MASTER",IF(NOT(K356),"INCOMPLETE_SHELF_CYCLE",IF(N356&lt;MinHistory,"INSUFFICIENT_HISTORY",IF(NOT(J356),"INSUFFICIENT_IN_STOCK",IF(OR(Q356="",Q356=0),"NO_PRIOR_BASE",IF(Q356&lt;LowBaseThreshold,"LOW_BASE_NOISE",IF(V356="Markdown Review","MARKDOWN_PEER_GAP",IF(V356="Reorder Candidate","REORDER_UPLIFT_COVER","NO_MATERIAL_CHANGE"))))))))</f>
        <v/>
      </c>
      <c r="X356" s="18">
        <f>IF(V356="Markdown Review","Markdown support",IF(V356="Reorder Candidate","Second reorder",IF(V356="Monitor","Monitor",IF(V356="Noise","Hold / collect data",IF(V356="Not Ready","Not ready","")))))</f>
        <v/>
      </c>
      <c r="Y356" s="18">
        <f>IF(OR(R356="",T356=""),"",ABS(R356)+ABS(T356))</f>
        <v/>
      </c>
      <c r="Z356" s="21">
        <f>IF(OR(B356="",NOT(O356),R356=""),"",IF(ABS(R356)&gt;=MaterialThreshold,"Yes","No"))</f>
        <v/>
      </c>
      <c r="AA356" s="18">
        <f>IF(Z356&lt;&gt;"Yes","",IF(ABS(R356)&gt;=MaterialThreshold,IF(ABS(R356)&gt;=BroadShare,"Broad SKU movement","Store-concentrated movement"),""))</f>
        <v/>
      </c>
      <c r="AB356" s="18">
        <f>IF(O356,IF(COUNTIFS($O$5:O356,TRUE)&gt;0,COUNTIFS($O$5:O356,TRUE),0),0)</f>
        <v/>
      </c>
      <c r="AC356" s="18">
        <f>IF(V356="Markdown Review",1,IF(V356="Reorder Candidate",2,IF(V356="Monitor",3,IF(V356="Noise",4,IF(V356="Not Ready",5,99)))))</f>
        <v/>
      </c>
      <c r="AD356" s="18">
        <f>IF(O356,COUNTIFS($O$5:$O$504,TRUE,$AC$5:$AC$504,"&lt;"&amp;AC356)+COUNTIFS($O$5:O356,TRUE,$AC$5:AC356,AC356,$Y$5:Y356,"&gt;"&amp;Y356),0)</f>
        <v/>
      </c>
    </row>
    <row r="357">
      <c r="A357" s="17">
        <f>IF(COUNTA('Weekly Input'!A357:C357)=0,"",'Weekly Input'!B357&amp;"|"&amp;'Weekly Input'!C357&amp;"|"&amp;TEXT('Weekly Input'!A357,"yyyy-mm-dd"))</f>
        <v/>
      </c>
      <c r="B357" s="18">
        <f>'Weekly Input'!B357</f>
        <v/>
      </c>
      <c r="C357" s="18">
        <f>'Weekly Input'!C357</f>
        <v/>
      </c>
      <c r="D357" s="18">
        <f>IF(B357="","",IFERROR(INDEX('Master Data'!$B$6:$B$145,MATCH(B357,'Master Data'!$A$6:$A$145,0)),""))</f>
        <v/>
      </c>
      <c r="E357" s="18">
        <f>IF(C357="","",IFERROR(INDEX('Master Data'!$H$6:$H$13,MATCH(C357,'Master Data'!$F$6:$F$13,0)),""))</f>
        <v/>
      </c>
      <c r="F357" s="19">
        <f>'Weekly Input'!A357</f>
        <v/>
      </c>
      <c r="G357" s="19">
        <f>IF(B357="","",IFERROR(INDEX('Master Data'!$D$6:$D$145,MATCH(B357,'Master Data'!$A$6:$A$145,0)),""))</f>
        <v/>
      </c>
      <c r="H357" s="18">
        <f>IF(OR(F357="",G357=""),"",F357-G357)</f>
        <v/>
      </c>
      <c r="I357" s="18">
        <f>IF(B357="","",IF('Weekly Input'!J357="OK",TRUE,FALSE))</f>
        <v/>
      </c>
      <c r="J357" s="18">
        <f>IF(B357="","",'Weekly Input'!H357&gt;=MinInStockDays)</f>
        <v/>
      </c>
      <c r="K357" s="18">
        <f>IF(B357="","",H357&gt;=FullCycleMin)</f>
        <v/>
      </c>
      <c r="L357" s="18">
        <f>IF(B357="","",AND(I357,J357,K357,N357&gt;=MinHistory))</f>
        <v/>
      </c>
      <c r="M357" s="20">
        <f>IF(OR(B357="",'Weekly Input'!H357=0),"",'Weekly Input'!D357/'Weekly Input'!H357*7)</f>
        <v/>
      </c>
      <c r="N357" s="18">
        <f>IF(B357="","",COUNTIFS($B$5:$B$504,B357,$C$5:$C$504,C357,$I$5:$I$504,TRUE,$J$5:$J$504,TRUE,$K$5:$K$504,TRUE))</f>
        <v/>
      </c>
      <c r="O357" s="18">
        <f>IF(B357="","",AND(F357=AsOfWeek,AsOfWeek&lt;&gt;""))</f>
        <v/>
      </c>
      <c r="P357" s="20">
        <f>IF(OR(B357="",AsOfWeek=""),"",IFERROR(SUMIFS($M$5:$M$504,$B$5:$B$504,B357,$C$5:$C$504,C357,$L$5:$L$504,TRUE,$F$5:$F$504,"&gt;="&amp;AsOfWeek-7*(RecentWeeks-1),$F$5:$F$504,"&lt;="&amp;AsOfWeek),""))</f>
        <v/>
      </c>
      <c r="Q357" s="20">
        <f>IF(OR(B357="",AsOfWeek=""),"",IFERROR(SUMIFS($M$5:$M$504,$B$5:$B$504,B357,$C$5:$C$504,C357,$L$5:$L$504,TRUE,$F$5:$F$504,"&gt;="&amp;AsOfWeek-7*(RecentWeeks+PriorWeeks-1),$F$5:$F$504,"&lt;"&amp;AsOfWeek-7*(RecentWeeks-1)),""))</f>
        <v/>
      </c>
      <c r="R357" s="21">
        <f>IF(OR(P357="",Q357="",Q357=0),"",P357/Q357-1)</f>
        <v/>
      </c>
      <c r="S357" s="20">
        <f>IF(OR(C357="",AsOfWeek=""),"",IFERROR(AVERAGEIFS($M$5:$M$504,$C$5:$C$504,C357,$L$5:$L$504,TRUE,$F$5:$F$504,"&gt;="&amp;AsOfWeek-7*(RecentWeeks-1),$F$5:$F$504,"&lt;="&amp;AsOfWeek),""))</f>
        <v/>
      </c>
      <c r="T357" s="21">
        <f>IF(OR(P357="",S357=""),"",P357/S357-1)</f>
        <v/>
      </c>
      <c r="U357" s="22">
        <f>IF(OR(B357="",'Weekly Input'!G357="",P357="",P357=0),"",'Weekly Input'!G357/P357)</f>
        <v/>
      </c>
      <c r="V357" s="18">
        <f>IF(B357="","",IF(NOT(I357),"Not Ready",IF(NOT(K357),"Not Ready",IF(N357&lt;MinHistory,"Not Ready",IF(NOT(J357),"Not Ready",IF(OR(Q357="",Q357=0),"Noise",IF(Q357&lt;LowBaseThreshold,"Noise",IF(AND(R357&lt;=-OwnDecline,T357&lt;=-PeerGapThreshold),"Markdown Review",IF(AND(R357&gt;=ReorderUplift,U357&lt;&gt;"",U357&lt;=WeeksSupplyCap),"Reorder Candidate","Monitor"))))))))</f>
        <v/>
      </c>
      <c r="W357" s="18">
        <f>IF(B357="","",IF(NOT(I357),"INVALID_MASTER",IF(NOT(K357),"INCOMPLETE_SHELF_CYCLE",IF(N357&lt;MinHistory,"INSUFFICIENT_HISTORY",IF(NOT(J357),"INSUFFICIENT_IN_STOCK",IF(OR(Q357="",Q357=0),"NO_PRIOR_BASE",IF(Q357&lt;LowBaseThreshold,"LOW_BASE_NOISE",IF(V357="Markdown Review","MARKDOWN_PEER_GAP",IF(V357="Reorder Candidate","REORDER_UPLIFT_COVER","NO_MATERIAL_CHANGE"))))))))</f>
        <v/>
      </c>
      <c r="X357" s="18">
        <f>IF(V357="Markdown Review","Markdown support",IF(V357="Reorder Candidate","Second reorder",IF(V357="Monitor","Monitor",IF(V357="Noise","Hold / collect data",IF(V357="Not Ready","Not ready","")))))</f>
        <v/>
      </c>
      <c r="Y357" s="18">
        <f>IF(OR(R357="",T357=""),"",ABS(R357)+ABS(T357))</f>
        <v/>
      </c>
      <c r="Z357" s="21">
        <f>IF(OR(B357="",NOT(O357),R357=""),"",IF(ABS(R357)&gt;=MaterialThreshold,"Yes","No"))</f>
        <v/>
      </c>
      <c r="AA357" s="18">
        <f>IF(Z357&lt;&gt;"Yes","",IF(ABS(R357)&gt;=MaterialThreshold,IF(ABS(R357)&gt;=BroadShare,"Broad SKU movement","Store-concentrated movement"),""))</f>
        <v/>
      </c>
      <c r="AB357" s="18">
        <f>IF(O357,IF(COUNTIFS($O$5:O357,TRUE)&gt;0,COUNTIFS($O$5:O357,TRUE),0),0)</f>
        <v/>
      </c>
      <c r="AC357" s="18">
        <f>IF(V357="Markdown Review",1,IF(V357="Reorder Candidate",2,IF(V357="Monitor",3,IF(V357="Noise",4,IF(V357="Not Ready",5,99)))))</f>
        <v/>
      </c>
      <c r="AD357" s="18">
        <f>IF(O357,COUNTIFS($O$5:$O$504,TRUE,$AC$5:$AC$504,"&lt;"&amp;AC357)+COUNTIFS($O$5:O357,TRUE,$AC$5:AC357,AC357,$Y$5:Y357,"&gt;"&amp;Y357),0)</f>
        <v/>
      </c>
    </row>
    <row r="358">
      <c r="A358" s="17">
        <f>IF(COUNTA('Weekly Input'!A358:C358)=0,"",'Weekly Input'!B358&amp;"|"&amp;'Weekly Input'!C358&amp;"|"&amp;TEXT('Weekly Input'!A358,"yyyy-mm-dd"))</f>
        <v/>
      </c>
      <c r="B358" s="18">
        <f>'Weekly Input'!B358</f>
        <v/>
      </c>
      <c r="C358" s="18">
        <f>'Weekly Input'!C358</f>
        <v/>
      </c>
      <c r="D358" s="18">
        <f>IF(B358="","",IFERROR(INDEX('Master Data'!$B$6:$B$145,MATCH(B358,'Master Data'!$A$6:$A$145,0)),""))</f>
        <v/>
      </c>
      <c r="E358" s="18">
        <f>IF(C358="","",IFERROR(INDEX('Master Data'!$H$6:$H$13,MATCH(C358,'Master Data'!$F$6:$F$13,0)),""))</f>
        <v/>
      </c>
      <c r="F358" s="19">
        <f>'Weekly Input'!A358</f>
        <v/>
      </c>
      <c r="G358" s="19">
        <f>IF(B358="","",IFERROR(INDEX('Master Data'!$D$6:$D$145,MATCH(B358,'Master Data'!$A$6:$A$145,0)),""))</f>
        <v/>
      </c>
      <c r="H358" s="18">
        <f>IF(OR(F358="",G358=""),"",F358-G358)</f>
        <v/>
      </c>
      <c r="I358" s="18">
        <f>IF(B358="","",IF('Weekly Input'!J358="OK",TRUE,FALSE))</f>
        <v/>
      </c>
      <c r="J358" s="18">
        <f>IF(B358="","",'Weekly Input'!H358&gt;=MinInStockDays)</f>
        <v/>
      </c>
      <c r="K358" s="18">
        <f>IF(B358="","",H358&gt;=FullCycleMin)</f>
        <v/>
      </c>
      <c r="L358" s="18">
        <f>IF(B358="","",AND(I358,J358,K358,N358&gt;=MinHistory))</f>
        <v/>
      </c>
      <c r="M358" s="20">
        <f>IF(OR(B358="",'Weekly Input'!H358=0),"",'Weekly Input'!D358/'Weekly Input'!H358*7)</f>
        <v/>
      </c>
      <c r="N358" s="18">
        <f>IF(B358="","",COUNTIFS($B$5:$B$504,B358,$C$5:$C$504,C358,$I$5:$I$504,TRUE,$J$5:$J$504,TRUE,$K$5:$K$504,TRUE))</f>
        <v/>
      </c>
      <c r="O358" s="18">
        <f>IF(B358="","",AND(F358=AsOfWeek,AsOfWeek&lt;&gt;""))</f>
        <v/>
      </c>
      <c r="P358" s="20">
        <f>IF(OR(B358="",AsOfWeek=""),"",IFERROR(SUMIFS($M$5:$M$504,$B$5:$B$504,B358,$C$5:$C$504,C358,$L$5:$L$504,TRUE,$F$5:$F$504,"&gt;="&amp;AsOfWeek-7*(RecentWeeks-1),$F$5:$F$504,"&lt;="&amp;AsOfWeek),""))</f>
        <v/>
      </c>
      <c r="Q358" s="20">
        <f>IF(OR(B358="",AsOfWeek=""),"",IFERROR(SUMIFS($M$5:$M$504,$B$5:$B$504,B358,$C$5:$C$504,C358,$L$5:$L$504,TRUE,$F$5:$F$504,"&gt;="&amp;AsOfWeek-7*(RecentWeeks+PriorWeeks-1),$F$5:$F$504,"&lt;"&amp;AsOfWeek-7*(RecentWeeks-1)),""))</f>
        <v/>
      </c>
      <c r="R358" s="21">
        <f>IF(OR(P358="",Q358="",Q358=0),"",P358/Q358-1)</f>
        <v/>
      </c>
      <c r="S358" s="20">
        <f>IF(OR(C358="",AsOfWeek=""),"",IFERROR(AVERAGEIFS($M$5:$M$504,$C$5:$C$504,C358,$L$5:$L$504,TRUE,$F$5:$F$504,"&gt;="&amp;AsOfWeek-7*(RecentWeeks-1),$F$5:$F$504,"&lt;="&amp;AsOfWeek),""))</f>
        <v/>
      </c>
      <c r="T358" s="21">
        <f>IF(OR(P358="",S358=""),"",P358/S358-1)</f>
        <v/>
      </c>
      <c r="U358" s="22">
        <f>IF(OR(B358="",'Weekly Input'!G358="",P358="",P358=0),"",'Weekly Input'!G358/P358)</f>
        <v/>
      </c>
      <c r="V358" s="18">
        <f>IF(B358="","",IF(NOT(I358),"Not Ready",IF(NOT(K358),"Not Ready",IF(N358&lt;MinHistory,"Not Ready",IF(NOT(J358),"Not Ready",IF(OR(Q358="",Q358=0),"Noise",IF(Q358&lt;LowBaseThreshold,"Noise",IF(AND(R358&lt;=-OwnDecline,T358&lt;=-PeerGapThreshold),"Markdown Review",IF(AND(R358&gt;=ReorderUplift,U358&lt;&gt;"",U358&lt;=WeeksSupplyCap),"Reorder Candidate","Monitor"))))))))</f>
        <v/>
      </c>
      <c r="W358" s="18">
        <f>IF(B358="","",IF(NOT(I358),"INVALID_MASTER",IF(NOT(K358),"INCOMPLETE_SHELF_CYCLE",IF(N358&lt;MinHistory,"INSUFFICIENT_HISTORY",IF(NOT(J358),"INSUFFICIENT_IN_STOCK",IF(OR(Q358="",Q358=0),"NO_PRIOR_BASE",IF(Q358&lt;LowBaseThreshold,"LOW_BASE_NOISE",IF(V358="Markdown Review","MARKDOWN_PEER_GAP",IF(V358="Reorder Candidate","REORDER_UPLIFT_COVER","NO_MATERIAL_CHANGE"))))))))</f>
        <v/>
      </c>
      <c r="X358" s="18">
        <f>IF(V358="Markdown Review","Markdown support",IF(V358="Reorder Candidate","Second reorder",IF(V358="Monitor","Monitor",IF(V358="Noise","Hold / collect data",IF(V358="Not Ready","Not ready","")))))</f>
        <v/>
      </c>
      <c r="Y358" s="18">
        <f>IF(OR(R358="",T358=""),"",ABS(R358)+ABS(T358))</f>
        <v/>
      </c>
      <c r="Z358" s="21">
        <f>IF(OR(B358="",NOT(O358),R358=""),"",IF(ABS(R358)&gt;=MaterialThreshold,"Yes","No"))</f>
        <v/>
      </c>
      <c r="AA358" s="18">
        <f>IF(Z358&lt;&gt;"Yes","",IF(ABS(R358)&gt;=MaterialThreshold,IF(ABS(R358)&gt;=BroadShare,"Broad SKU movement","Store-concentrated movement"),""))</f>
        <v/>
      </c>
      <c r="AB358" s="18">
        <f>IF(O358,IF(COUNTIFS($O$5:O358,TRUE)&gt;0,COUNTIFS($O$5:O358,TRUE),0),0)</f>
        <v/>
      </c>
      <c r="AC358" s="18">
        <f>IF(V358="Markdown Review",1,IF(V358="Reorder Candidate",2,IF(V358="Monitor",3,IF(V358="Noise",4,IF(V358="Not Ready",5,99)))))</f>
        <v/>
      </c>
      <c r="AD358" s="18">
        <f>IF(O358,COUNTIFS($O$5:$O$504,TRUE,$AC$5:$AC$504,"&lt;"&amp;AC358)+COUNTIFS($O$5:O358,TRUE,$AC$5:AC358,AC358,$Y$5:Y358,"&gt;"&amp;Y358),0)</f>
        <v/>
      </c>
    </row>
    <row r="359">
      <c r="A359" s="17">
        <f>IF(COUNTA('Weekly Input'!A359:C359)=0,"",'Weekly Input'!B359&amp;"|"&amp;'Weekly Input'!C359&amp;"|"&amp;TEXT('Weekly Input'!A359,"yyyy-mm-dd"))</f>
        <v/>
      </c>
      <c r="B359" s="18">
        <f>'Weekly Input'!B359</f>
        <v/>
      </c>
      <c r="C359" s="18">
        <f>'Weekly Input'!C359</f>
        <v/>
      </c>
      <c r="D359" s="18">
        <f>IF(B359="","",IFERROR(INDEX('Master Data'!$B$6:$B$145,MATCH(B359,'Master Data'!$A$6:$A$145,0)),""))</f>
        <v/>
      </c>
      <c r="E359" s="18">
        <f>IF(C359="","",IFERROR(INDEX('Master Data'!$H$6:$H$13,MATCH(C359,'Master Data'!$F$6:$F$13,0)),""))</f>
        <v/>
      </c>
      <c r="F359" s="19">
        <f>'Weekly Input'!A359</f>
        <v/>
      </c>
      <c r="G359" s="19">
        <f>IF(B359="","",IFERROR(INDEX('Master Data'!$D$6:$D$145,MATCH(B359,'Master Data'!$A$6:$A$145,0)),""))</f>
        <v/>
      </c>
      <c r="H359" s="18">
        <f>IF(OR(F359="",G359=""),"",F359-G359)</f>
        <v/>
      </c>
      <c r="I359" s="18">
        <f>IF(B359="","",IF('Weekly Input'!J359="OK",TRUE,FALSE))</f>
        <v/>
      </c>
      <c r="J359" s="18">
        <f>IF(B359="","",'Weekly Input'!H359&gt;=MinInStockDays)</f>
        <v/>
      </c>
      <c r="K359" s="18">
        <f>IF(B359="","",H359&gt;=FullCycleMin)</f>
        <v/>
      </c>
      <c r="L359" s="18">
        <f>IF(B359="","",AND(I359,J359,K359,N359&gt;=MinHistory))</f>
        <v/>
      </c>
      <c r="M359" s="20">
        <f>IF(OR(B359="",'Weekly Input'!H359=0),"",'Weekly Input'!D359/'Weekly Input'!H359*7)</f>
        <v/>
      </c>
      <c r="N359" s="18">
        <f>IF(B359="","",COUNTIFS($B$5:$B$504,B359,$C$5:$C$504,C359,$I$5:$I$504,TRUE,$J$5:$J$504,TRUE,$K$5:$K$504,TRUE))</f>
        <v/>
      </c>
      <c r="O359" s="18">
        <f>IF(B359="","",AND(F359=AsOfWeek,AsOfWeek&lt;&gt;""))</f>
        <v/>
      </c>
      <c r="P359" s="20">
        <f>IF(OR(B359="",AsOfWeek=""),"",IFERROR(SUMIFS($M$5:$M$504,$B$5:$B$504,B359,$C$5:$C$504,C359,$L$5:$L$504,TRUE,$F$5:$F$504,"&gt;="&amp;AsOfWeek-7*(RecentWeeks-1),$F$5:$F$504,"&lt;="&amp;AsOfWeek),""))</f>
        <v/>
      </c>
      <c r="Q359" s="20">
        <f>IF(OR(B359="",AsOfWeek=""),"",IFERROR(SUMIFS($M$5:$M$504,$B$5:$B$504,B359,$C$5:$C$504,C359,$L$5:$L$504,TRUE,$F$5:$F$504,"&gt;="&amp;AsOfWeek-7*(RecentWeeks+PriorWeeks-1),$F$5:$F$504,"&lt;"&amp;AsOfWeek-7*(RecentWeeks-1)),""))</f>
        <v/>
      </c>
      <c r="R359" s="21">
        <f>IF(OR(P359="",Q359="",Q359=0),"",P359/Q359-1)</f>
        <v/>
      </c>
      <c r="S359" s="20">
        <f>IF(OR(C359="",AsOfWeek=""),"",IFERROR(AVERAGEIFS($M$5:$M$504,$C$5:$C$504,C359,$L$5:$L$504,TRUE,$F$5:$F$504,"&gt;="&amp;AsOfWeek-7*(RecentWeeks-1),$F$5:$F$504,"&lt;="&amp;AsOfWeek),""))</f>
        <v/>
      </c>
      <c r="T359" s="21">
        <f>IF(OR(P359="",S359=""),"",P359/S359-1)</f>
        <v/>
      </c>
      <c r="U359" s="22">
        <f>IF(OR(B359="",'Weekly Input'!G359="",P359="",P359=0),"",'Weekly Input'!G359/P359)</f>
        <v/>
      </c>
      <c r="V359" s="18">
        <f>IF(B359="","",IF(NOT(I359),"Not Ready",IF(NOT(K359),"Not Ready",IF(N359&lt;MinHistory,"Not Ready",IF(NOT(J359),"Not Ready",IF(OR(Q359="",Q359=0),"Noise",IF(Q359&lt;LowBaseThreshold,"Noise",IF(AND(R359&lt;=-OwnDecline,T359&lt;=-PeerGapThreshold),"Markdown Review",IF(AND(R359&gt;=ReorderUplift,U359&lt;&gt;"",U359&lt;=WeeksSupplyCap),"Reorder Candidate","Monitor"))))))))</f>
        <v/>
      </c>
      <c r="W359" s="18">
        <f>IF(B359="","",IF(NOT(I359),"INVALID_MASTER",IF(NOT(K359),"INCOMPLETE_SHELF_CYCLE",IF(N359&lt;MinHistory,"INSUFFICIENT_HISTORY",IF(NOT(J359),"INSUFFICIENT_IN_STOCK",IF(OR(Q359="",Q359=0),"NO_PRIOR_BASE",IF(Q359&lt;LowBaseThreshold,"LOW_BASE_NOISE",IF(V359="Markdown Review","MARKDOWN_PEER_GAP",IF(V359="Reorder Candidate","REORDER_UPLIFT_COVER","NO_MATERIAL_CHANGE"))))))))</f>
        <v/>
      </c>
      <c r="X359" s="18">
        <f>IF(V359="Markdown Review","Markdown support",IF(V359="Reorder Candidate","Second reorder",IF(V359="Monitor","Monitor",IF(V359="Noise","Hold / collect data",IF(V359="Not Ready","Not ready","")))))</f>
        <v/>
      </c>
      <c r="Y359" s="18">
        <f>IF(OR(R359="",T359=""),"",ABS(R359)+ABS(T359))</f>
        <v/>
      </c>
      <c r="Z359" s="21">
        <f>IF(OR(B359="",NOT(O359),R359=""),"",IF(ABS(R359)&gt;=MaterialThreshold,"Yes","No"))</f>
        <v/>
      </c>
      <c r="AA359" s="18">
        <f>IF(Z359&lt;&gt;"Yes","",IF(ABS(R359)&gt;=MaterialThreshold,IF(ABS(R359)&gt;=BroadShare,"Broad SKU movement","Store-concentrated movement"),""))</f>
        <v/>
      </c>
      <c r="AB359" s="18">
        <f>IF(O359,IF(COUNTIFS($O$5:O359,TRUE)&gt;0,COUNTIFS($O$5:O359,TRUE),0),0)</f>
        <v/>
      </c>
      <c r="AC359" s="18">
        <f>IF(V359="Markdown Review",1,IF(V359="Reorder Candidate",2,IF(V359="Monitor",3,IF(V359="Noise",4,IF(V359="Not Ready",5,99)))))</f>
        <v/>
      </c>
      <c r="AD359" s="18">
        <f>IF(O359,COUNTIFS($O$5:$O$504,TRUE,$AC$5:$AC$504,"&lt;"&amp;AC359)+COUNTIFS($O$5:O359,TRUE,$AC$5:AC359,AC359,$Y$5:Y359,"&gt;"&amp;Y359),0)</f>
        <v/>
      </c>
    </row>
    <row r="360">
      <c r="A360" s="17">
        <f>IF(COUNTA('Weekly Input'!A360:C360)=0,"",'Weekly Input'!B360&amp;"|"&amp;'Weekly Input'!C360&amp;"|"&amp;TEXT('Weekly Input'!A360,"yyyy-mm-dd"))</f>
        <v/>
      </c>
      <c r="B360" s="18">
        <f>'Weekly Input'!B360</f>
        <v/>
      </c>
      <c r="C360" s="18">
        <f>'Weekly Input'!C360</f>
        <v/>
      </c>
      <c r="D360" s="18">
        <f>IF(B360="","",IFERROR(INDEX('Master Data'!$B$6:$B$145,MATCH(B360,'Master Data'!$A$6:$A$145,0)),""))</f>
        <v/>
      </c>
      <c r="E360" s="18">
        <f>IF(C360="","",IFERROR(INDEX('Master Data'!$H$6:$H$13,MATCH(C360,'Master Data'!$F$6:$F$13,0)),""))</f>
        <v/>
      </c>
      <c r="F360" s="19">
        <f>'Weekly Input'!A360</f>
        <v/>
      </c>
      <c r="G360" s="19">
        <f>IF(B360="","",IFERROR(INDEX('Master Data'!$D$6:$D$145,MATCH(B360,'Master Data'!$A$6:$A$145,0)),""))</f>
        <v/>
      </c>
      <c r="H360" s="18">
        <f>IF(OR(F360="",G360=""),"",F360-G360)</f>
        <v/>
      </c>
      <c r="I360" s="18">
        <f>IF(B360="","",IF('Weekly Input'!J360="OK",TRUE,FALSE))</f>
        <v/>
      </c>
      <c r="J360" s="18">
        <f>IF(B360="","",'Weekly Input'!H360&gt;=MinInStockDays)</f>
        <v/>
      </c>
      <c r="K360" s="18">
        <f>IF(B360="","",H360&gt;=FullCycleMin)</f>
        <v/>
      </c>
      <c r="L360" s="18">
        <f>IF(B360="","",AND(I360,J360,K360,N360&gt;=MinHistory))</f>
        <v/>
      </c>
      <c r="M360" s="20">
        <f>IF(OR(B360="",'Weekly Input'!H360=0),"",'Weekly Input'!D360/'Weekly Input'!H360*7)</f>
        <v/>
      </c>
      <c r="N360" s="18">
        <f>IF(B360="","",COUNTIFS($B$5:$B$504,B360,$C$5:$C$504,C360,$I$5:$I$504,TRUE,$J$5:$J$504,TRUE,$K$5:$K$504,TRUE))</f>
        <v/>
      </c>
      <c r="O360" s="18">
        <f>IF(B360="","",AND(F360=AsOfWeek,AsOfWeek&lt;&gt;""))</f>
        <v/>
      </c>
      <c r="P360" s="20">
        <f>IF(OR(B360="",AsOfWeek=""),"",IFERROR(SUMIFS($M$5:$M$504,$B$5:$B$504,B360,$C$5:$C$504,C360,$L$5:$L$504,TRUE,$F$5:$F$504,"&gt;="&amp;AsOfWeek-7*(RecentWeeks-1),$F$5:$F$504,"&lt;="&amp;AsOfWeek),""))</f>
        <v/>
      </c>
      <c r="Q360" s="20">
        <f>IF(OR(B360="",AsOfWeek=""),"",IFERROR(SUMIFS($M$5:$M$504,$B$5:$B$504,B360,$C$5:$C$504,C360,$L$5:$L$504,TRUE,$F$5:$F$504,"&gt;="&amp;AsOfWeek-7*(RecentWeeks+PriorWeeks-1),$F$5:$F$504,"&lt;"&amp;AsOfWeek-7*(RecentWeeks-1)),""))</f>
        <v/>
      </c>
      <c r="R360" s="21">
        <f>IF(OR(P360="",Q360="",Q360=0),"",P360/Q360-1)</f>
        <v/>
      </c>
      <c r="S360" s="20">
        <f>IF(OR(C360="",AsOfWeek=""),"",IFERROR(AVERAGEIFS($M$5:$M$504,$C$5:$C$504,C360,$L$5:$L$504,TRUE,$F$5:$F$504,"&gt;="&amp;AsOfWeek-7*(RecentWeeks-1),$F$5:$F$504,"&lt;="&amp;AsOfWeek),""))</f>
        <v/>
      </c>
      <c r="T360" s="21">
        <f>IF(OR(P360="",S360=""),"",P360/S360-1)</f>
        <v/>
      </c>
      <c r="U360" s="22">
        <f>IF(OR(B360="",'Weekly Input'!G360="",P360="",P360=0),"",'Weekly Input'!G360/P360)</f>
        <v/>
      </c>
      <c r="V360" s="18">
        <f>IF(B360="","",IF(NOT(I360),"Not Ready",IF(NOT(K360),"Not Ready",IF(N360&lt;MinHistory,"Not Ready",IF(NOT(J360),"Not Ready",IF(OR(Q360="",Q360=0),"Noise",IF(Q360&lt;LowBaseThreshold,"Noise",IF(AND(R360&lt;=-OwnDecline,T360&lt;=-PeerGapThreshold),"Markdown Review",IF(AND(R360&gt;=ReorderUplift,U360&lt;&gt;"",U360&lt;=WeeksSupplyCap),"Reorder Candidate","Monitor"))))))))</f>
        <v/>
      </c>
      <c r="W360" s="18">
        <f>IF(B360="","",IF(NOT(I360),"INVALID_MASTER",IF(NOT(K360),"INCOMPLETE_SHELF_CYCLE",IF(N360&lt;MinHistory,"INSUFFICIENT_HISTORY",IF(NOT(J360),"INSUFFICIENT_IN_STOCK",IF(OR(Q360="",Q360=0),"NO_PRIOR_BASE",IF(Q360&lt;LowBaseThreshold,"LOW_BASE_NOISE",IF(V360="Markdown Review","MARKDOWN_PEER_GAP",IF(V360="Reorder Candidate","REORDER_UPLIFT_COVER","NO_MATERIAL_CHANGE"))))))))</f>
        <v/>
      </c>
      <c r="X360" s="18">
        <f>IF(V360="Markdown Review","Markdown support",IF(V360="Reorder Candidate","Second reorder",IF(V360="Monitor","Monitor",IF(V360="Noise","Hold / collect data",IF(V360="Not Ready","Not ready","")))))</f>
        <v/>
      </c>
      <c r="Y360" s="18">
        <f>IF(OR(R360="",T360=""),"",ABS(R360)+ABS(T360))</f>
        <v/>
      </c>
      <c r="Z360" s="21">
        <f>IF(OR(B360="",NOT(O360),R360=""),"",IF(ABS(R360)&gt;=MaterialThreshold,"Yes","No"))</f>
        <v/>
      </c>
      <c r="AA360" s="18">
        <f>IF(Z360&lt;&gt;"Yes","",IF(ABS(R360)&gt;=MaterialThreshold,IF(ABS(R360)&gt;=BroadShare,"Broad SKU movement","Store-concentrated movement"),""))</f>
        <v/>
      </c>
      <c r="AB360" s="18">
        <f>IF(O360,IF(COUNTIFS($O$5:O360,TRUE)&gt;0,COUNTIFS($O$5:O360,TRUE),0),0)</f>
        <v/>
      </c>
      <c r="AC360" s="18">
        <f>IF(V360="Markdown Review",1,IF(V360="Reorder Candidate",2,IF(V360="Monitor",3,IF(V360="Noise",4,IF(V360="Not Ready",5,99)))))</f>
        <v/>
      </c>
      <c r="AD360" s="18">
        <f>IF(O360,COUNTIFS($O$5:$O$504,TRUE,$AC$5:$AC$504,"&lt;"&amp;AC360)+COUNTIFS($O$5:O360,TRUE,$AC$5:AC360,AC360,$Y$5:Y360,"&gt;"&amp;Y360),0)</f>
        <v/>
      </c>
    </row>
    <row r="361">
      <c r="A361" s="17">
        <f>IF(COUNTA('Weekly Input'!A361:C361)=0,"",'Weekly Input'!B361&amp;"|"&amp;'Weekly Input'!C361&amp;"|"&amp;TEXT('Weekly Input'!A361,"yyyy-mm-dd"))</f>
        <v/>
      </c>
      <c r="B361" s="18">
        <f>'Weekly Input'!B361</f>
        <v/>
      </c>
      <c r="C361" s="18">
        <f>'Weekly Input'!C361</f>
        <v/>
      </c>
      <c r="D361" s="18">
        <f>IF(B361="","",IFERROR(INDEX('Master Data'!$B$6:$B$145,MATCH(B361,'Master Data'!$A$6:$A$145,0)),""))</f>
        <v/>
      </c>
      <c r="E361" s="18">
        <f>IF(C361="","",IFERROR(INDEX('Master Data'!$H$6:$H$13,MATCH(C361,'Master Data'!$F$6:$F$13,0)),""))</f>
        <v/>
      </c>
      <c r="F361" s="19">
        <f>'Weekly Input'!A361</f>
        <v/>
      </c>
      <c r="G361" s="19">
        <f>IF(B361="","",IFERROR(INDEX('Master Data'!$D$6:$D$145,MATCH(B361,'Master Data'!$A$6:$A$145,0)),""))</f>
        <v/>
      </c>
      <c r="H361" s="18">
        <f>IF(OR(F361="",G361=""),"",F361-G361)</f>
        <v/>
      </c>
      <c r="I361" s="18">
        <f>IF(B361="","",IF('Weekly Input'!J361="OK",TRUE,FALSE))</f>
        <v/>
      </c>
      <c r="J361" s="18">
        <f>IF(B361="","",'Weekly Input'!H361&gt;=MinInStockDays)</f>
        <v/>
      </c>
      <c r="K361" s="18">
        <f>IF(B361="","",H361&gt;=FullCycleMin)</f>
        <v/>
      </c>
      <c r="L361" s="18">
        <f>IF(B361="","",AND(I361,J361,K361,N361&gt;=MinHistory))</f>
        <v/>
      </c>
      <c r="M361" s="20">
        <f>IF(OR(B361="",'Weekly Input'!H361=0),"",'Weekly Input'!D361/'Weekly Input'!H361*7)</f>
        <v/>
      </c>
      <c r="N361" s="18">
        <f>IF(B361="","",COUNTIFS($B$5:$B$504,B361,$C$5:$C$504,C361,$I$5:$I$504,TRUE,$J$5:$J$504,TRUE,$K$5:$K$504,TRUE))</f>
        <v/>
      </c>
      <c r="O361" s="18">
        <f>IF(B361="","",AND(F361=AsOfWeek,AsOfWeek&lt;&gt;""))</f>
        <v/>
      </c>
      <c r="P361" s="20">
        <f>IF(OR(B361="",AsOfWeek=""),"",IFERROR(SUMIFS($M$5:$M$504,$B$5:$B$504,B361,$C$5:$C$504,C361,$L$5:$L$504,TRUE,$F$5:$F$504,"&gt;="&amp;AsOfWeek-7*(RecentWeeks-1),$F$5:$F$504,"&lt;="&amp;AsOfWeek),""))</f>
        <v/>
      </c>
      <c r="Q361" s="20">
        <f>IF(OR(B361="",AsOfWeek=""),"",IFERROR(SUMIFS($M$5:$M$504,$B$5:$B$504,B361,$C$5:$C$504,C361,$L$5:$L$504,TRUE,$F$5:$F$504,"&gt;="&amp;AsOfWeek-7*(RecentWeeks+PriorWeeks-1),$F$5:$F$504,"&lt;"&amp;AsOfWeek-7*(RecentWeeks-1)),""))</f>
        <v/>
      </c>
      <c r="R361" s="21">
        <f>IF(OR(P361="",Q361="",Q361=0),"",P361/Q361-1)</f>
        <v/>
      </c>
      <c r="S361" s="20">
        <f>IF(OR(C361="",AsOfWeek=""),"",IFERROR(AVERAGEIFS($M$5:$M$504,$C$5:$C$504,C361,$L$5:$L$504,TRUE,$F$5:$F$504,"&gt;="&amp;AsOfWeek-7*(RecentWeeks-1),$F$5:$F$504,"&lt;="&amp;AsOfWeek),""))</f>
        <v/>
      </c>
      <c r="T361" s="21">
        <f>IF(OR(P361="",S361=""),"",P361/S361-1)</f>
        <v/>
      </c>
      <c r="U361" s="22">
        <f>IF(OR(B361="",'Weekly Input'!G361="",P361="",P361=0),"",'Weekly Input'!G361/P361)</f>
        <v/>
      </c>
      <c r="V361" s="18">
        <f>IF(B361="","",IF(NOT(I361),"Not Ready",IF(NOT(K361),"Not Ready",IF(N361&lt;MinHistory,"Not Ready",IF(NOT(J361),"Not Ready",IF(OR(Q361="",Q361=0),"Noise",IF(Q361&lt;LowBaseThreshold,"Noise",IF(AND(R361&lt;=-OwnDecline,T361&lt;=-PeerGapThreshold),"Markdown Review",IF(AND(R361&gt;=ReorderUplift,U361&lt;&gt;"",U361&lt;=WeeksSupplyCap),"Reorder Candidate","Monitor"))))))))</f>
        <v/>
      </c>
      <c r="W361" s="18">
        <f>IF(B361="","",IF(NOT(I361),"INVALID_MASTER",IF(NOT(K361),"INCOMPLETE_SHELF_CYCLE",IF(N361&lt;MinHistory,"INSUFFICIENT_HISTORY",IF(NOT(J361),"INSUFFICIENT_IN_STOCK",IF(OR(Q361="",Q361=0),"NO_PRIOR_BASE",IF(Q361&lt;LowBaseThreshold,"LOW_BASE_NOISE",IF(V361="Markdown Review","MARKDOWN_PEER_GAP",IF(V361="Reorder Candidate","REORDER_UPLIFT_COVER","NO_MATERIAL_CHANGE"))))))))</f>
        <v/>
      </c>
      <c r="X361" s="18">
        <f>IF(V361="Markdown Review","Markdown support",IF(V361="Reorder Candidate","Second reorder",IF(V361="Monitor","Monitor",IF(V361="Noise","Hold / collect data",IF(V361="Not Ready","Not ready","")))))</f>
        <v/>
      </c>
      <c r="Y361" s="18">
        <f>IF(OR(R361="",T361=""),"",ABS(R361)+ABS(T361))</f>
        <v/>
      </c>
      <c r="Z361" s="21">
        <f>IF(OR(B361="",NOT(O361),R361=""),"",IF(ABS(R361)&gt;=MaterialThreshold,"Yes","No"))</f>
        <v/>
      </c>
      <c r="AA361" s="18">
        <f>IF(Z361&lt;&gt;"Yes","",IF(ABS(R361)&gt;=MaterialThreshold,IF(ABS(R361)&gt;=BroadShare,"Broad SKU movement","Store-concentrated movement"),""))</f>
        <v/>
      </c>
      <c r="AB361" s="18">
        <f>IF(O361,IF(COUNTIFS($O$5:O361,TRUE)&gt;0,COUNTIFS($O$5:O361,TRUE),0),0)</f>
        <v/>
      </c>
      <c r="AC361" s="18">
        <f>IF(V361="Markdown Review",1,IF(V361="Reorder Candidate",2,IF(V361="Monitor",3,IF(V361="Noise",4,IF(V361="Not Ready",5,99)))))</f>
        <v/>
      </c>
      <c r="AD361" s="18">
        <f>IF(O361,COUNTIFS($O$5:$O$504,TRUE,$AC$5:$AC$504,"&lt;"&amp;AC361)+COUNTIFS($O$5:O361,TRUE,$AC$5:AC361,AC361,$Y$5:Y361,"&gt;"&amp;Y361),0)</f>
        <v/>
      </c>
    </row>
    <row r="362">
      <c r="A362" s="17">
        <f>IF(COUNTA('Weekly Input'!A362:C362)=0,"",'Weekly Input'!B362&amp;"|"&amp;'Weekly Input'!C362&amp;"|"&amp;TEXT('Weekly Input'!A362,"yyyy-mm-dd"))</f>
        <v/>
      </c>
      <c r="B362" s="18">
        <f>'Weekly Input'!B362</f>
        <v/>
      </c>
      <c r="C362" s="18">
        <f>'Weekly Input'!C362</f>
        <v/>
      </c>
      <c r="D362" s="18">
        <f>IF(B362="","",IFERROR(INDEX('Master Data'!$B$6:$B$145,MATCH(B362,'Master Data'!$A$6:$A$145,0)),""))</f>
        <v/>
      </c>
      <c r="E362" s="18">
        <f>IF(C362="","",IFERROR(INDEX('Master Data'!$H$6:$H$13,MATCH(C362,'Master Data'!$F$6:$F$13,0)),""))</f>
        <v/>
      </c>
      <c r="F362" s="19">
        <f>'Weekly Input'!A362</f>
        <v/>
      </c>
      <c r="G362" s="19">
        <f>IF(B362="","",IFERROR(INDEX('Master Data'!$D$6:$D$145,MATCH(B362,'Master Data'!$A$6:$A$145,0)),""))</f>
        <v/>
      </c>
      <c r="H362" s="18">
        <f>IF(OR(F362="",G362=""),"",F362-G362)</f>
        <v/>
      </c>
      <c r="I362" s="18">
        <f>IF(B362="","",IF('Weekly Input'!J362="OK",TRUE,FALSE))</f>
        <v/>
      </c>
      <c r="J362" s="18">
        <f>IF(B362="","",'Weekly Input'!H362&gt;=MinInStockDays)</f>
        <v/>
      </c>
      <c r="K362" s="18">
        <f>IF(B362="","",H362&gt;=FullCycleMin)</f>
        <v/>
      </c>
      <c r="L362" s="18">
        <f>IF(B362="","",AND(I362,J362,K362,N362&gt;=MinHistory))</f>
        <v/>
      </c>
      <c r="M362" s="20">
        <f>IF(OR(B362="",'Weekly Input'!H362=0),"",'Weekly Input'!D362/'Weekly Input'!H362*7)</f>
        <v/>
      </c>
      <c r="N362" s="18">
        <f>IF(B362="","",COUNTIFS($B$5:$B$504,B362,$C$5:$C$504,C362,$I$5:$I$504,TRUE,$J$5:$J$504,TRUE,$K$5:$K$504,TRUE))</f>
        <v/>
      </c>
      <c r="O362" s="18">
        <f>IF(B362="","",AND(F362=AsOfWeek,AsOfWeek&lt;&gt;""))</f>
        <v/>
      </c>
      <c r="P362" s="20">
        <f>IF(OR(B362="",AsOfWeek=""),"",IFERROR(SUMIFS($M$5:$M$504,$B$5:$B$504,B362,$C$5:$C$504,C362,$L$5:$L$504,TRUE,$F$5:$F$504,"&gt;="&amp;AsOfWeek-7*(RecentWeeks-1),$F$5:$F$504,"&lt;="&amp;AsOfWeek),""))</f>
        <v/>
      </c>
      <c r="Q362" s="20">
        <f>IF(OR(B362="",AsOfWeek=""),"",IFERROR(SUMIFS($M$5:$M$504,$B$5:$B$504,B362,$C$5:$C$504,C362,$L$5:$L$504,TRUE,$F$5:$F$504,"&gt;="&amp;AsOfWeek-7*(RecentWeeks+PriorWeeks-1),$F$5:$F$504,"&lt;"&amp;AsOfWeek-7*(RecentWeeks-1)),""))</f>
        <v/>
      </c>
      <c r="R362" s="21">
        <f>IF(OR(P362="",Q362="",Q362=0),"",P362/Q362-1)</f>
        <v/>
      </c>
      <c r="S362" s="20">
        <f>IF(OR(C362="",AsOfWeek=""),"",IFERROR(AVERAGEIFS($M$5:$M$504,$C$5:$C$504,C362,$L$5:$L$504,TRUE,$F$5:$F$504,"&gt;="&amp;AsOfWeek-7*(RecentWeeks-1),$F$5:$F$504,"&lt;="&amp;AsOfWeek),""))</f>
        <v/>
      </c>
      <c r="T362" s="21">
        <f>IF(OR(P362="",S362=""),"",P362/S362-1)</f>
        <v/>
      </c>
      <c r="U362" s="22">
        <f>IF(OR(B362="",'Weekly Input'!G362="",P362="",P362=0),"",'Weekly Input'!G362/P362)</f>
        <v/>
      </c>
      <c r="V362" s="18">
        <f>IF(B362="","",IF(NOT(I362),"Not Ready",IF(NOT(K362),"Not Ready",IF(N362&lt;MinHistory,"Not Ready",IF(NOT(J362),"Not Ready",IF(OR(Q362="",Q362=0),"Noise",IF(Q362&lt;LowBaseThreshold,"Noise",IF(AND(R362&lt;=-OwnDecline,T362&lt;=-PeerGapThreshold),"Markdown Review",IF(AND(R362&gt;=ReorderUplift,U362&lt;&gt;"",U362&lt;=WeeksSupplyCap),"Reorder Candidate","Monitor"))))))))</f>
        <v/>
      </c>
      <c r="W362" s="18">
        <f>IF(B362="","",IF(NOT(I362),"INVALID_MASTER",IF(NOT(K362),"INCOMPLETE_SHELF_CYCLE",IF(N362&lt;MinHistory,"INSUFFICIENT_HISTORY",IF(NOT(J362),"INSUFFICIENT_IN_STOCK",IF(OR(Q362="",Q362=0),"NO_PRIOR_BASE",IF(Q362&lt;LowBaseThreshold,"LOW_BASE_NOISE",IF(V362="Markdown Review","MARKDOWN_PEER_GAP",IF(V362="Reorder Candidate","REORDER_UPLIFT_COVER","NO_MATERIAL_CHANGE"))))))))</f>
        <v/>
      </c>
      <c r="X362" s="18">
        <f>IF(V362="Markdown Review","Markdown support",IF(V362="Reorder Candidate","Second reorder",IF(V362="Monitor","Monitor",IF(V362="Noise","Hold / collect data",IF(V362="Not Ready","Not ready","")))))</f>
        <v/>
      </c>
      <c r="Y362" s="18">
        <f>IF(OR(R362="",T362=""),"",ABS(R362)+ABS(T362))</f>
        <v/>
      </c>
      <c r="Z362" s="21">
        <f>IF(OR(B362="",NOT(O362),R362=""),"",IF(ABS(R362)&gt;=MaterialThreshold,"Yes","No"))</f>
        <v/>
      </c>
      <c r="AA362" s="18">
        <f>IF(Z362&lt;&gt;"Yes","",IF(ABS(R362)&gt;=MaterialThreshold,IF(ABS(R362)&gt;=BroadShare,"Broad SKU movement","Store-concentrated movement"),""))</f>
        <v/>
      </c>
      <c r="AB362" s="18">
        <f>IF(O362,IF(COUNTIFS($O$5:O362,TRUE)&gt;0,COUNTIFS($O$5:O362,TRUE),0),0)</f>
        <v/>
      </c>
      <c r="AC362" s="18">
        <f>IF(V362="Markdown Review",1,IF(V362="Reorder Candidate",2,IF(V362="Monitor",3,IF(V362="Noise",4,IF(V362="Not Ready",5,99)))))</f>
        <v/>
      </c>
      <c r="AD362" s="18">
        <f>IF(O362,COUNTIFS($O$5:$O$504,TRUE,$AC$5:$AC$504,"&lt;"&amp;AC362)+COUNTIFS($O$5:O362,TRUE,$AC$5:AC362,AC362,$Y$5:Y362,"&gt;"&amp;Y362),0)</f>
        <v/>
      </c>
    </row>
    <row r="363">
      <c r="A363" s="17">
        <f>IF(COUNTA('Weekly Input'!A363:C363)=0,"",'Weekly Input'!B363&amp;"|"&amp;'Weekly Input'!C363&amp;"|"&amp;TEXT('Weekly Input'!A363,"yyyy-mm-dd"))</f>
        <v/>
      </c>
      <c r="B363" s="18">
        <f>'Weekly Input'!B363</f>
        <v/>
      </c>
      <c r="C363" s="18">
        <f>'Weekly Input'!C363</f>
        <v/>
      </c>
      <c r="D363" s="18">
        <f>IF(B363="","",IFERROR(INDEX('Master Data'!$B$6:$B$145,MATCH(B363,'Master Data'!$A$6:$A$145,0)),""))</f>
        <v/>
      </c>
      <c r="E363" s="18">
        <f>IF(C363="","",IFERROR(INDEX('Master Data'!$H$6:$H$13,MATCH(C363,'Master Data'!$F$6:$F$13,0)),""))</f>
        <v/>
      </c>
      <c r="F363" s="19">
        <f>'Weekly Input'!A363</f>
        <v/>
      </c>
      <c r="G363" s="19">
        <f>IF(B363="","",IFERROR(INDEX('Master Data'!$D$6:$D$145,MATCH(B363,'Master Data'!$A$6:$A$145,0)),""))</f>
        <v/>
      </c>
      <c r="H363" s="18">
        <f>IF(OR(F363="",G363=""),"",F363-G363)</f>
        <v/>
      </c>
      <c r="I363" s="18">
        <f>IF(B363="","",IF('Weekly Input'!J363="OK",TRUE,FALSE))</f>
        <v/>
      </c>
      <c r="J363" s="18">
        <f>IF(B363="","",'Weekly Input'!H363&gt;=MinInStockDays)</f>
        <v/>
      </c>
      <c r="K363" s="18">
        <f>IF(B363="","",H363&gt;=FullCycleMin)</f>
        <v/>
      </c>
      <c r="L363" s="18">
        <f>IF(B363="","",AND(I363,J363,K363,N363&gt;=MinHistory))</f>
        <v/>
      </c>
      <c r="M363" s="20">
        <f>IF(OR(B363="",'Weekly Input'!H363=0),"",'Weekly Input'!D363/'Weekly Input'!H363*7)</f>
        <v/>
      </c>
      <c r="N363" s="18">
        <f>IF(B363="","",COUNTIFS($B$5:$B$504,B363,$C$5:$C$504,C363,$I$5:$I$504,TRUE,$J$5:$J$504,TRUE,$K$5:$K$504,TRUE))</f>
        <v/>
      </c>
      <c r="O363" s="18">
        <f>IF(B363="","",AND(F363=AsOfWeek,AsOfWeek&lt;&gt;""))</f>
        <v/>
      </c>
      <c r="P363" s="20">
        <f>IF(OR(B363="",AsOfWeek=""),"",IFERROR(SUMIFS($M$5:$M$504,$B$5:$B$504,B363,$C$5:$C$504,C363,$L$5:$L$504,TRUE,$F$5:$F$504,"&gt;="&amp;AsOfWeek-7*(RecentWeeks-1),$F$5:$F$504,"&lt;="&amp;AsOfWeek),""))</f>
        <v/>
      </c>
      <c r="Q363" s="20">
        <f>IF(OR(B363="",AsOfWeek=""),"",IFERROR(SUMIFS($M$5:$M$504,$B$5:$B$504,B363,$C$5:$C$504,C363,$L$5:$L$504,TRUE,$F$5:$F$504,"&gt;="&amp;AsOfWeek-7*(RecentWeeks+PriorWeeks-1),$F$5:$F$504,"&lt;"&amp;AsOfWeek-7*(RecentWeeks-1)),""))</f>
        <v/>
      </c>
      <c r="R363" s="21">
        <f>IF(OR(P363="",Q363="",Q363=0),"",P363/Q363-1)</f>
        <v/>
      </c>
      <c r="S363" s="20">
        <f>IF(OR(C363="",AsOfWeek=""),"",IFERROR(AVERAGEIFS($M$5:$M$504,$C$5:$C$504,C363,$L$5:$L$504,TRUE,$F$5:$F$504,"&gt;="&amp;AsOfWeek-7*(RecentWeeks-1),$F$5:$F$504,"&lt;="&amp;AsOfWeek),""))</f>
        <v/>
      </c>
      <c r="T363" s="21">
        <f>IF(OR(P363="",S363=""),"",P363/S363-1)</f>
        <v/>
      </c>
      <c r="U363" s="22">
        <f>IF(OR(B363="",'Weekly Input'!G363="",P363="",P363=0),"",'Weekly Input'!G363/P363)</f>
        <v/>
      </c>
      <c r="V363" s="18">
        <f>IF(B363="","",IF(NOT(I363),"Not Ready",IF(NOT(K363),"Not Ready",IF(N363&lt;MinHistory,"Not Ready",IF(NOT(J363),"Not Ready",IF(OR(Q363="",Q363=0),"Noise",IF(Q363&lt;LowBaseThreshold,"Noise",IF(AND(R363&lt;=-OwnDecline,T363&lt;=-PeerGapThreshold),"Markdown Review",IF(AND(R363&gt;=ReorderUplift,U363&lt;&gt;"",U363&lt;=WeeksSupplyCap),"Reorder Candidate","Monitor"))))))))</f>
        <v/>
      </c>
      <c r="W363" s="18">
        <f>IF(B363="","",IF(NOT(I363),"INVALID_MASTER",IF(NOT(K363),"INCOMPLETE_SHELF_CYCLE",IF(N363&lt;MinHistory,"INSUFFICIENT_HISTORY",IF(NOT(J363),"INSUFFICIENT_IN_STOCK",IF(OR(Q363="",Q363=0),"NO_PRIOR_BASE",IF(Q363&lt;LowBaseThreshold,"LOW_BASE_NOISE",IF(V363="Markdown Review","MARKDOWN_PEER_GAP",IF(V363="Reorder Candidate","REORDER_UPLIFT_COVER","NO_MATERIAL_CHANGE"))))))))</f>
        <v/>
      </c>
      <c r="X363" s="18">
        <f>IF(V363="Markdown Review","Markdown support",IF(V363="Reorder Candidate","Second reorder",IF(V363="Monitor","Monitor",IF(V363="Noise","Hold / collect data",IF(V363="Not Ready","Not ready","")))))</f>
        <v/>
      </c>
      <c r="Y363" s="18">
        <f>IF(OR(R363="",T363=""),"",ABS(R363)+ABS(T363))</f>
        <v/>
      </c>
      <c r="Z363" s="21">
        <f>IF(OR(B363="",NOT(O363),R363=""),"",IF(ABS(R363)&gt;=MaterialThreshold,"Yes","No"))</f>
        <v/>
      </c>
      <c r="AA363" s="18">
        <f>IF(Z363&lt;&gt;"Yes","",IF(ABS(R363)&gt;=MaterialThreshold,IF(ABS(R363)&gt;=BroadShare,"Broad SKU movement","Store-concentrated movement"),""))</f>
        <v/>
      </c>
      <c r="AB363" s="18">
        <f>IF(O363,IF(COUNTIFS($O$5:O363,TRUE)&gt;0,COUNTIFS($O$5:O363,TRUE),0),0)</f>
        <v/>
      </c>
      <c r="AC363" s="18">
        <f>IF(V363="Markdown Review",1,IF(V363="Reorder Candidate",2,IF(V363="Monitor",3,IF(V363="Noise",4,IF(V363="Not Ready",5,99)))))</f>
        <v/>
      </c>
      <c r="AD363" s="18">
        <f>IF(O363,COUNTIFS($O$5:$O$504,TRUE,$AC$5:$AC$504,"&lt;"&amp;AC363)+COUNTIFS($O$5:O363,TRUE,$AC$5:AC363,AC363,$Y$5:Y363,"&gt;"&amp;Y363),0)</f>
        <v/>
      </c>
    </row>
    <row r="364">
      <c r="A364" s="17">
        <f>IF(COUNTA('Weekly Input'!A364:C364)=0,"",'Weekly Input'!B364&amp;"|"&amp;'Weekly Input'!C364&amp;"|"&amp;TEXT('Weekly Input'!A364,"yyyy-mm-dd"))</f>
        <v/>
      </c>
      <c r="B364" s="18">
        <f>'Weekly Input'!B364</f>
        <v/>
      </c>
      <c r="C364" s="18">
        <f>'Weekly Input'!C364</f>
        <v/>
      </c>
      <c r="D364" s="18">
        <f>IF(B364="","",IFERROR(INDEX('Master Data'!$B$6:$B$145,MATCH(B364,'Master Data'!$A$6:$A$145,0)),""))</f>
        <v/>
      </c>
      <c r="E364" s="18">
        <f>IF(C364="","",IFERROR(INDEX('Master Data'!$H$6:$H$13,MATCH(C364,'Master Data'!$F$6:$F$13,0)),""))</f>
        <v/>
      </c>
      <c r="F364" s="19">
        <f>'Weekly Input'!A364</f>
        <v/>
      </c>
      <c r="G364" s="19">
        <f>IF(B364="","",IFERROR(INDEX('Master Data'!$D$6:$D$145,MATCH(B364,'Master Data'!$A$6:$A$145,0)),""))</f>
        <v/>
      </c>
      <c r="H364" s="18">
        <f>IF(OR(F364="",G364=""),"",F364-G364)</f>
        <v/>
      </c>
      <c r="I364" s="18">
        <f>IF(B364="","",IF('Weekly Input'!J364="OK",TRUE,FALSE))</f>
        <v/>
      </c>
      <c r="J364" s="18">
        <f>IF(B364="","",'Weekly Input'!H364&gt;=MinInStockDays)</f>
        <v/>
      </c>
      <c r="K364" s="18">
        <f>IF(B364="","",H364&gt;=FullCycleMin)</f>
        <v/>
      </c>
      <c r="L364" s="18">
        <f>IF(B364="","",AND(I364,J364,K364,N364&gt;=MinHistory))</f>
        <v/>
      </c>
      <c r="M364" s="20">
        <f>IF(OR(B364="",'Weekly Input'!H364=0),"",'Weekly Input'!D364/'Weekly Input'!H364*7)</f>
        <v/>
      </c>
      <c r="N364" s="18">
        <f>IF(B364="","",COUNTIFS($B$5:$B$504,B364,$C$5:$C$504,C364,$I$5:$I$504,TRUE,$J$5:$J$504,TRUE,$K$5:$K$504,TRUE))</f>
        <v/>
      </c>
      <c r="O364" s="18">
        <f>IF(B364="","",AND(F364=AsOfWeek,AsOfWeek&lt;&gt;""))</f>
        <v/>
      </c>
      <c r="P364" s="20">
        <f>IF(OR(B364="",AsOfWeek=""),"",IFERROR(SUMIFS($M$5:$M$504,$B$5:$B$504,B364,$C$5:$C$504,C364,$L$5:$L$504,TRUE,$F$5:$F$504,"&gt;="&amp;AsOfWeek-7*(RecentWeeks-1),$F$5:$F$504,"&lt;="&amp;AsOfWeek),""))</f>
        <v/>
      </c>
      <c r="Q364" s="20">
        <f>IF(OR(B364="",AsOfWeek=""),"",IFERROR(SUMIFS($M$5:$M$504,$B$5:$B$504,B364,$C$5:$C$504,C364,$L$5:$L$504,TRUE,$F$5:$F$504,"&gt;="&amp;AsOfWeek-7*(RecentWeeks+PriorWeeks-1),$F$5:$F$504,"&lt;"&amp;AsOfWeek-7*(RecentWeeks-1)),""))</f>
        <v/>
      </c>
      <c r="R364" s="21">
        <f>IF(OR(P364="",Q364="",Q364=0),"",P364/Q364-1)</f>
        <v/>
      </c>
      <c r="S364" s="20">
        <f>IF(OR(C364="",AsOfWeek=""),"",IFERROR(AVERAGEIFS($M$5:$M$504,$C$5:$C$504,C364,$L$5:$L$504,TRUE,$F$5:$F$504,"&gt;="&amp;AsOfWeek-7*(RecentWeeks-1),$F$5:$F$504,"&lt;="&amp;AsOfWeek),""))</f>
        <v/>
      </c>
      <c r="T364" s="21">
        <f>IF(OR(P364="",S364=""),"",P364/S364-1)</f>
        <v/>
      </c>
      <c r="U364" s="22">
        <f>IF(OR(B364="",'Weekly Input'!G364="",P364="",P364=0),"",'Weekly Input'!G364/P364)</f>
        <v/>
      </c>
      <c r="V364" s="18">
        <f>IF(B364="","",IF(NOT(I364),"Not Ready",IF(NOT(K364),"Not Ready",IF(N364&lt;MinHistory,"Not Ready",IF(NOT(J364),"Not Ready",IF(OR(Q364="",Q364=0),"Noise",IF(Q364&lt;LowBaseThreshold,"Noise",IF(AND(R364&lt;=-OwnDecline,T364&lt;=-PeerGapThreshold),"Markdown Review",IF(AND(R364&gt;=ReorderUplift,U364&lt;&gt;"",U364&lt;=WeeksSupplyCap),"Reorder Candidate","Monitor"))))))))</f>
        <v/>
      </c>
      <c r="W364" s="18">
        <f>IF(B364="","",IF(NOT(I364),"INVALID_MASTER",IF(NOT(K364),"INCOMPLETE_SHELF_CYCLE",IF(N364&lt;MinHistory,"INSUFFICIENT_HISTORY",IF(NOT(J364),"INSUFFICIENT_IN_STOCK",IF(OR(Q364="",Q364=0),"NO_PRIOR_BASE",IF(Q364&lt;LowBaseThreshold,"LOW_BASE_NOISE",IF(V364="Markdown Review","MARKDOWN_PEER_GAP",IF(V364="Reorder Candidate","REORDER_UPLIFT_COVER","NO_MATERIAL_CHANGE"))))))))</f>
        <v/>
      </c>
      <c r="X364" s="18">
        <f>IF(V364="Markdown Review","Markdown support",IF(V364="Reorder Candidate","Second reorder",IF(V364="Monitor","Monitor",IF(V364="Noise","Hold / collect data",IF(V364="Not Ready","Not ready","")))))</f>
        <v/>
      </c>
      <c r="Y364" s="18">
        <f>IF(OR(R364="",T364=""),"",ABS(R364)+ABS(T364))</f>
        <v/>
      </c>
      <c r="Z364" s="21">
        <f>IF(OR(B364="",NOT(O364),R364=""),"",IF(ABS(R364)&gt;=MaterialThreshold,"Yes","No"))</f>
        <v/>
      </c>
      <c r="AA364" s="18">
        <f>IF(Z364&lt;&gt;"Yes","",IF(ABS(R364)&gt;=MaterialThreshold,IF(ABS(R364)&gt;=BroadShare,"Broad SKU movement","Store-concentrated movement"),""))</f>
        <v/>
      </c>
      <c r="AB364" s="18">
        <f>IF(O364,IF(COUNTIFS($O$5:O364,TRUE)&gt;0,COUNTIFS($O$5:O364,TRUE),0),0)</f>
        <v/>
      </c>
      <c r="AC364" s="18">
        <f>IF(V364="Markdown Review",1,IF(V364="Reorder Candidate",2,IF(V364="Monitor",3,IF(V364="Noise",4,IF(V364="Not Ready",5,99)))))</f>
        <v/>
      </c>
      <c r="AD364" s="18">
        <f>IF(O364,COUNTIFS($O$5:$O$504,TRUE,$AC$5:$AC$504,"&lt;"&amp;AC364)+COUNTIFS($O$5:O364,TRUE,$AC$5:AC364,AC364,$Y$5:Y364,"&gt;"&amp;Y364),0)</f>
        <v/>
      </c>
    </row>
    <row r="365">
      <c r="A365" s="17">
        <f>IF(COUNTA('Weekly Input'!A365:C365)=0,"",'Weekly Input'!B365&amp;"|"&amp;'Weekly Input'!C365&amp;"|"&amp;TEXT('Weekly Input'!A365,"yyyy-mm-dd"))</f>
        <v/>
      </c>
      <c r="B365" s="18">
        <f>'Weekly Input'!B365</f>
        <v/>
      </c>
      <c r="C365" s="18">
        <f>'Weekly Input'!C365</f>
        <v/>
      </c>
      <c r="D365" s="18">
        <f>IF(B365="","",IFERROR(INDEX('Master Data'!$B$6:$B$145,MATCH(B365,'Master Data'!$A$6:$A$145,0)),""))</f>
        <v/>
      </c>
      <c r="E365" s="18">
        <f>IF(C365="","",IFERROR(INDEX('Master Data'!$H$6:$H$13,MATCH(C365,'Master Data'!$F$6:$F$13,0)),""))</f>
        <v/>
      </c>
      <c r="F365" s="19">
        <f>'Weekly Input'!A365</f>
        <v/>
      </c>
      <c r="G365" s="19">
        <f>IF(B365="","",IFERROR(INDEX('Master Data'!$D$6:$D$145,MATCH(B365,'Master Data'!$A$6:$A$145,0)),""))</f>
        <v/>
      </c>
      <c r="H365" s="18">
        <f>IF(OR(F365="",G365=""),"",F365-G365)</f>
        <v/>
      </c>
      <c r="I365" s="18">
        <f>IF(B365="","",IF('Weekly Input'!J365="OK",TRUE,FALSE))</f>
        <v/>
      </c>
      <c r="J365" s="18">
        <f>IF(B365="","",'Weekly Input'!H365&gt;=MinInStockDays)</f>
        <v/>
      </c>
      <c r="K365" s="18">
        <f>IF(B365="","",H365&gt;=FullCycleMin)</f>
        <v/>
      </c>
      <c r="L365" s="18">
        <f>IF(B365="","",AND(I365,J365,K365,N365&gt;=MinHistory))</f>
        <v/>
      </c>
      <c r="M365" s="20">
        <f>IF(OR(B365="",'Weekly Input'!H365=0),"",'Weekly Input'!D365/'Weekly Input'!H365*7)</f>
        <v/>
      </c>
      <c r="N365" s="18">
        <f>IF(B365="","",COUNTIFS($B$5:$B$504,B365,$C$5:$C$504,C365,$I$5:$I$504,TRUE,$J$5:$J$504,TRUE,$K$5:$K$504,TRUE))</f>
        <v/>
      </c>
      <c r="O365" s="18">
        <f>IF(B365="","",AND(F365=AsOfWeek,AsOfWeek&lt;&gt;""))</f>
        <v/>
      </c>
      <c r="P365" s="20">
        <f>IF(OR(B365="",AsOfWeek=""),"",IFERROR(SUMIFS($M$5:$M$504,$B$5:$B$504,B365,$C$5:$C$504,C365,$L$5:$L$504,TRUE,$F$5:$F$504,"&gt;="&amp;AsOfWeek-7*(RecentWeeks-1),$F$5:$F$504,"&lt;="&amp;AsOfWeek),""))</f>
        <v/>
      </c>
      <c r="Q365" s="20">
        <f>IF(OR(B365="",AsOfWeek=""),"",IFERROR(SUMIFS($M$5:$M$504,$B$5:$B$504,B365,$C$5:$C$504,C365,$L$5:$L$504,TRUE,$F$5:$F$504,"&gt;="&amp;AsOfWeek-7*(RecentWeeks+PriorWeeks-1),$F$5:$F$504,"&lt;"&amp;AsOfWeek-7*(RecentWeeks-1)),""))</f>
        <v/>
      </c>
      <c r="R365" s="21">
        <f>IF(OR(P365="",Q365="",Q365=0),"",P365/Q365-1)</f>
        <v/>
      </c>
      <c r="S365" s="20">
        <f>IF(OR(C365="",AsOfWeek=""),"",IFERROR(AVERAGEIFS($M$5:$M$504,$C$5:$C$504,C365,$L$5:$L$504,TRUE,$F$5:$F$504,"&gt;="&amp;AsOfWeek-7*(RecentWeeks-1),$F$5:$F$504,"&lt;="&amp;AsOfWeek),""))</f>
        <v/>
      </c>
      <c r="T365" s="21">
        <f>IF(OR(P365="",S365=""),"",P365/S365-1)</f>
        <v/>
      </c>
      <c r="U365" s="22">
        <f>IF(OR(B365="",'Weekly Input'!G365="",P365="",P365=0),"",'Weekly Input'!G365/P365)</f>
        <v/>
      </c>
      <c r="V365" s="18">
        <f>IF(B365="","",IF(NOT(I365),"Not Ready",IF(NOT(K365),"Not Ready",IF(N365&lt;MinHistory,"Not Ready",IF(NOT(J365),"Not Ready",IF(OR(Q365="",Q365=0),"Noise",IF(Q365&lt;LowBaseThreshold,"Noise",IF(AND(R365&lt;=-OwnDecline,T365&lt;=-PeerGapThreshold),"Markdown Review",IF(AND(R365&gt;=ReorderUplift,U365&lt;&gt;"",U365&lt;=WeeksSupplyCap),"Reorder Candidate","Monitor"))))))))</f>
        <v/>
      </c>
      <c r="W365" s="18">
        <f>IF(B365="","",IF(NOT(I365),"INVALID_MASTER",IF(NOT(K365),"INCOMPLETE_SHELF_CYCLE",IF(N365&lt;MinHistory,"INSUFFICIENT_HISTORY",IF(NOT(J365),"INSUFFICIENT_IN_STOCK",IF(OR(Q365="",Q365=0),"NO_PRIOR_BASE",IF(Q365&lt;LowBaseThreshold,"LOW_BASE_NOISE",IF(V365="Markdown Review","MARKDOWN_PEER_GAP",IF(V365="Reorder Candidate","REORDER_UPLIFT_COVER","NO_MATERIAL_CHANGE"))))))))</f>
        <v/>
      </c>
      <c r="X365" s="18">
        <f>IF(V365="Markdown Review","Markdown support",IF(V365="Reorder Candidate","Second reorder",IF(V365="Monitor","Monitor",IF(V365="Noise","Hold / collect data",IF(V365="Not Ready","Not ready","")))))</f>
        <v/>
      </c>
      <c r="Y365" s="18">
        <f>IF(OR(R365="",T365=""),"",ABS(R365)+ABS(T365))</f>
        <v/>
      </c>
      <c r="Z365" s="21">
        <f>IF(OR(B365="",NOT(O365),R365=""),"",IF(ABS(R365)&gt;=MaterialThreshold,"Yes","No"))</f>
        <v/>
      </c>
      <c r="AA365" s="18">
        <f>IF(Z365&lt;&gt;"Yes","",IF(ABS(R365)&gt;=MaterialThreshold,IF(ABS(R365)&gt;=BroadShare,"Broad SKU movement","Store-concentrated movement"),""))</f>
        <v/>
      </c>
      <c r="AB365" s="18">
        <f>IF(O365,IF(COUNTIFS($O$5:O365,TRUE)&gt;0,COUNTIFS($O$5:O365,TRUE),0),0)</f>
        <v/>
      </c>
      <c r="AC365" s="18">
        <f>IF(V365="Markdown Review",1,IF(V365="Reorder Candidate",2,IF(V365="Monitor",3,IF(V365="Noise",4,IF(V365="Not Ready",5,99)))))</f>
        <v/>
      </c>
      <c r="AD365" s="18">
        <f>IF(O365,COUNTIFS($O$5:$O$504,TRUE,$AC$5:$AC$504,"&lt;"&amp;AC365)+COUNTIFS($O$5:O365,TRUE,$AC$5:AC365,AC365,$Y$5:Y365,"&gt;"&amp;Y365),0)</f>
        <v/>
      </c>
    </row>
    <row r="366">
      <c r="A366" s="17">
        <f>IF(COUNTA('Weekly Input'!A366:C366)=0,"",'Weekly Input'!B366&amp;"|"&amp;'Weekly Input'!C366&amp;"|"&amp;TEXT('Weekly Input'!A366,"yyyy-mm-dd"))</f>
        <v/>
      </c>
      <c r="B366" s="18">
        <f>'Weekly Input'!B366</f>
        <v/>
      </c>
      <c r="C366" s="18">
        <f>'Weekly Input'!C366</f>
        <v/>
      </c>
      <c r="D366" s="18">
        <f>IF(B366="","",IFERROR(INDEX('Master Data'!$B$6:$B$145,MATCH(B366,'Master Data'!$A$6:$A$145,0)),""))</f>
        <v/>
      </c>
      <c r="E366" s="18">
        <f>IF(C366="","",IFERROR(INDEX('Master Data'!$H$6:$H$13,MATCH(C366,'Master Data'!$F$6:$F$13,0)),""))</f>
        <v/>
      </c>
      <c r="F366" s="19">
        <f>'Weekly Input'!A366</f>
        <v/>
      </c>
      <c r="G366" s="19">
        <f>IF(B366="","",IFERROR(INDEX('Master Data'!$D$6:$D$145,MATCH(B366,'Master Data'!$A$6:$A$145,0)),""))</f>
        <v/>
      </c>
      <c r="H366" s="18">
        <f>IF(OR(F366="",G366=""),"",F366-G366)</f>
        <v/>
      </c>
      <c r="I366" s="18">
        <f>IF(B366="","",IF('Weekly Input'!J366="OK",TRUE,FALSE))</f>
        <v/>
      </c>
      <c r="J366" s="18">
        <f>IF(B366="","",'Weekly Input'!H366&gt;=MinInStockDays)</f>
        <v/>
      </c>
      <c r="K366" s="18">
        <f>IF(B366="","",H366&gt;=FullCycleMin)</f>
        <v/>
      </c>
      <c r="L366" s="18">
        <f>IF(B366="","",AND(I366,J366,K366,N366&gt;=MinHistory))</f>
        <v/>
      </c>
      <c r="M366" s="20">
        <f>IF(OR(B366="",'Weekly Input'!H366=0),"",'Weekly Input'!D366/'Weekly Input'!H366*7)</f>
        <v/>
      </c>
      <c r="N366" s="18">
        <f>IF(B366="","",COUNTIFS($B$5:$B$504,B366,$C$5:$C$504,C366,$I$5:$I$504,TRUE,$J$5:$J$504,TRUE,$K$5:$K$504,TRUE))</f>
        <v/>
      </c>
      <c r="O366" s="18">
        <f>IF(B366="","",AND(F366=AsOfWeek,AsOfWeek&lt;&gt;""))</f>
        <v/>
      </c>
      <c r="P366" s="20">
        <f>IF(OR(B366="",AsOfWeek=""),"",IFERROR(SUMIFS($M$5:$M$504,$B$5:$B$504,B366,$C$5:$C$504,C366,$L$5:$L$504,TRUE,$F$5:$F$504,"&gt;="&amp;AsOfWeek-7*(RecentWeeks-1),$F$5:$F$504,"&lt;="&amp;AsOfWeek),""))</f>
        <v/>
      </c>
      <c r="Q366" s="20">
        <f>IF(OR(B366="",AsOfWeek=""),"",IFERROR(SUMIFS($M$5:$M$504,$B$5:$B$504,B366,$C$5:$C$504,C366,$L$5:$L$504,TRUE,$F$5:$F$504,"&gt;="&amp;AsOfWeek-7*(RecentWeeks+PriorWeeks-1),$F$5:$F$504,"&lt;"&amp;AsOfWeek-7*(RecentWeeks-1)),""))</f>
        <v/>
      </c>
      <c r="R366" s="21">
        <f>IF(OR(P366="",Q366="",Q366=0),"",P366/Q366-1)</f>
        <v/>
      </c>
      <c r="S366" s="20">
        <f>IF(OR(C366="",AsOfWeek=""),"",IFERROR(AVERAGEIFS($M$5:$M$504,$C$5:$C$504,C366,$L$5:$L$504,TRUE,$F$5:$F$504,"&gt;="&amp;AsOfWeek-7*(RecentWeeks-1),$F$5:$F$504,"&lt;="&amp;AsOfWeek),""))</f>
        <v/>
      </c>
      <c r="T366" s="21">
        <f>IF(OR(P366="",S366=""),"",P366/S366-1)</f>
        <v/>
      </c>
      <c r="U366" s="22">
        <f>IF(OR(B366="",'Weekly Input'!G366="",P366="",P366=0),"",'Weekly Input'!G366/P366)</f>
        <v/>
      </c>
      <c r="V366" s="18">
        <f>IF(B366="","",IF(NOT(I366),"Not Ready",IF(NOT(K366),"Not Ready",IF(N366&lt;MinHistory,"Not Ready",IF(NOT(J366),"Not Ready",IF(OR(Q366="",Q366=0),"Noise",IF(Q366&lt;LowBaseThreshold,"Noise",IF(AND(R366&lt;=-OwnDecline,T366&lt;=-PeerGapThreshold),"Markdown Review",IF(AND(R366&gt;=ReorderUplift,U366&lt;&gt;"",U366&lt;=WeeksSupplyCap),"Reorder Candidate","Monitor"))))))))</f>
        <v/>
      </c>
      <c r="W366" s="18">
        <f>IF(B366="","",IF(NOT(I366),"INVALID_MASTER",IF(NOT(K366),"INCOMPLETE_SHELF_CYCLE",IF(N366&lt;MinHistory,"INSUFFICIENT_HISTORY",IF(NOT(J366),"INSUFFICIENT_IN_STOCK",IF(OR(Q366="",Q366=0),"NO_PRIOR_BASE",IF(Q366&lt;LowBaseThreshold,"LOW_BASE_NOISE",IF(V366="Markdown Review","MARKDOWN_PEER_GAP",IF(V366="Reorder Candidate","REORDER_UPLIFT_COVER","NO_MATERIAL_CHANGE"))))))))</f>
        <v/>
      </c>
      <c r="X366" s="18">
        <f>IF(V366="Markdown Review","Markdown support",IF(V366="Reorder Candidate","Second reorder",IF(V366="Monitor","Monitor",IF(V366="Noise","Hold / collect data",IF(V366="Not Ready","Not ready","")))))</f>
        <v/>
      </c>
      <c r="Y366" s="18">
        <f>IF(OR(R366="",T366=""),"",ABS(R366)+ABS(T366))</f>
        <v/>
      </c>
      <c r="Z366" s="21">
        <f>IF(OR(B366="",NOT(O366),R366=""),"",IF(ABS(R366)&gt;=MaterialThreshold,"Yes","No"))</f>
        <v/>
      </c>
      <c r="AA366" s="18">
        <f>IF(Z366&lt;&gt;"Yes","",IF(ABS(R366)&gt;=MaterialThreshold,IF(ABS(R366)&gt;=BroadShare,"Broad SKU movement","Store-concentrated movement"),""))</f>
        <v/>
      </c>
      <c r="AB366" s="18">
        <f>IF(O366,IF(COUNTIFS($O$5:O366,TRUE)&gt;0,COUNTIFS($O$5:O366,TRUE),0),0)</f>
        <v/>
      </c>
      <c r="AC366" s="18">
        <f>IF(V366="Markdown Review",1,IF(V366="Reorder Candidate",2,IF(V366="Monitor",3,IF(V366="Noise",4,IF(V366="Not Ready",5,99)))))</f>
        <v/>
      </c>
      <c r="AD366" s="18">
        <f>IF(O366,COUNTIFS($O$5:$O$504,TRUE,$AC$5:$AC$504,"&lt;"&amp;AC366)+COUNTIFS($O$5:O366,TRUE,$AC$5:AC366,AC366,$Y$5:Y366,"&gt;"&amp;Y366),0)</f>
        <v/>
      </c>
    </row>
    <row r="367">
      <c r="A367" s="17">
        <f>IF(COUNTA('Weekly Input'!A367:C367)=0,"",'Weekly Input'!B367&amp;"|"&amp;'Weekly Input'!C367&amp;"|"&amp;TEXT('Weekly Input'!A367,"yyyy-mm-dd"))</f>
        <v/>
      </c>
      <c r="B367" s="18">
        <f>'Weekly Input'!B367</f>
        <v/>
      </c>
      <c r="C367" s="18">
        <f>'Weekly Input'!C367</f>
        <v/>
      </c>
      <c r="D367" s="18">
        <f>IF(B367="","",IFERROR(INDEX('Master Data'!$B$6:$B$145,MATCH(B367,'Master Data'!$A$6:$A$145,0)),""))</f>
        <v/>
      </c>
      <c r="E367" s="18">
        <f>IF(C367="","",IFERROR(INDEX('Master Data'!$H$6:$H$13,MATCH(C367,'Master Data'!$F$6:$F$13,0)),""))</f>
        <v/>
      </c>
      <c r="F367" s="19">
        <f>'Weekly Input'!A367</f>
        <v/>
      </c>
      <c r="G367" s="19">
        <f>IF(B367="","",IFERROR(INDEX('Master Data'!$D$6:$D$145,MATCH(B367,'Master Data'!$A$6:$A$145,0)),""))</f>
        <v/>
      </c>
      <c r="H367" s="18">
        <f>IF(OR(F367="",G367=""),"",F367-G367)</f>
        <v/>
      </c>
      <c r="I367" s="18">
        <f>IF(B367="","",IF('Weekly Input'!J367="OK",TRUE,FALSE))</f>
        <v/>
      </c>
      <c r="J367" s="18">
        <f>IF(B367="","",'Weekly Input'!H367&gt;=MinInStockDays)</f>
        <v/>
      </c>
      <c r="K367" s="18">
        <f>IF(B367="","",H367&gt;=FullCycleMin)</f>
        <v/>
      </c>
      <c r="L367" s="18">
        <f>IF(B367="","",AND(I367,J367,K367,N367&gt;=MinHistory))</f>
        <v/>
      </c>
      <c r="M367" s="20">
        <f>IF(OR(B367="",'Weekly Input'!H367=0),"",'Weekly Input'!D367/'Weekly Input'!H367*7)</f>
        <v/>
      </c>
      <c r="N367" s="18">
        <f>IF(B367="","",COUNTIFS($B$5:$B$504,B367,$C$5:$C$504,C367,$I$5:$I$504,TRUE,$J$5:$J$504,TRUE,$K$5:$K$504,TRUE))</f>
        <v/>
      </c>
      <c r="O367" s="18">
        <f>IF(B367="","",AND(F367=AsOfWeek,AsOfWeek&lt;&gt;""))</f>
        <v/>
      </c>
      <c r="P367" s="20">
        <f>IF(OR(B367="",AsOfWeek=""),"",IFERROR(SUMIFS($M$5:$M$504,$B$5:$B$504,B367,$C$5:$C$504,C367,$L$5:$L$504,TRUE,$F$5:$F$504,"&gt;="&amp;AsOfWeek-7*(RecentWeeks-1),$F$5:$F$504,"&lt;="&amp;AsOfWeek),""))</f>
        <v/>
      </c>
      <c r="Q367" s="20">
        <f>IF(OR(B367="",AsOfWeek=""),"",IFERROR(SUMIFS($M$5:$M$504,$B$5:$B$504,B367,$C$5:$C$504,C367,$L$5:$L$504,TRUE,$F$5:$F$504,"&gt;="&amp;AsOfWeek-7*(RecentWeeks+PriorWeeks-1),$F$5:$F$504,"&lt;"&amp;AsOfWeek-7*(RecentWeeks-1)),""))</f>
        <v/>
      </c>
      <c r="R367" s="21">
        <f>IF(OR(P367="",Q367="",Q367=0),"",P367/Q367-1)</f>
        <v/>
      </c>
      <c r="S367" s="20">
        <f>IF(OR(C367="",AsOfWeek=""),"",IFERROR(AVERAGEIFS($M$5:$M$504,$C$5:$C$504,C367,$L$5:$L$504,TRUE,$F$5:$F$504,"&gt;="&amp;AsOfWeek-7*(RecentWeeks-1),$F$5:$F$504,"&lt;="&amp;AsOfWeek),""))</f>
        <v/>
      </c>
      <c r="T367" s="21">
        <f>IF(OR(P367="",S367=""),"",P367/S367-1)</f>
        <v/>
      </c>
      <c r="U367" s="22">
        <f>IF(OR(B367="",'Weekly Input'!G367="",P367="",P367=0),"",'Weekly Input'!G367/P367)</f>
        <v/>
      </c>
      <c r="V367" s="18">
        <f>IF(B367="","",IF(NOT(I367),"Not Ready",IF(NOT(K367),"Not Ready",IF(N367&lt;MinHistory,"Not Ready",IF(NOT(J367),"Not Ready",IF(OR(Q367="",Q367=0),"Noise",IF(Q367&lt;LowBaseThreshold,"Noise",IF(AND(R367&lt;=-OwnDecline,T367&lt;=-PeerGapThreshold),"Markdown Review",IF(AND(R367&gt;=ReorderUplift,U367&lt;&gt;"",U367&lt;=WeeksSupplyCap),"Reorder Candidate","Monitor"))))))))</f>
        <v/>
      </c>
      <c r="W367" s="18">
        <f>IF(B367="","",IF(NOT(I367),"INVALID_MASTER",IF(NOT(K367),"INCOMPLETE_SHELF_CYCLE",IF(N367&lt;MinHistory,"INSUFFICIENT_HISTORY",IF(NOT(J367),"INSUFFICIENT_IN_STOCK",IF(OR(Q367="",Q367=0),"NO_PRIOR_BASE",IF(Q367&lt;LowBaseThreshold,"LOW_BASE_NOISE",IF(V367="Markdown Review","MARKDOWN_PEER_GAP",IF(V367="Reorder Candidate","REORDER_UPLIFT_COVER","NO_MATERIAL_CHANGE"))))))))</f>
        <v/>
      </c>
      <c r="X367" s="18">
        <f>IF(V367="Markdown Review","Markdown support",IF(V367="Reorder Candidate","Second reorder",IF(V367="Monitor","Monitor",IF(V367="Noise","Hold / collect data",IF(V367="Not Ready","Not ready","")))))</f>
        <v/>
      </c>
      <c r="Y367" s="18">
        <f>IF(OR(R367="",T367=""),"",ABS(R367)+ABS(T367))</f>
        <v/>
      </c>
      <c r="Z367" s="21">
        <f>IF(OR(B367="",NOT(O367),R367=""),"",IF(ABS(R367)&gt;=MaterialThreshold,"Yes","No"))</f>
        <v/>
      </c>
      <c r="AA367" s="18">
        <f>IF(Z367&lt;&gt;"Yes","",IF(ABS(R367)&gt;=MaterialThreshold,IF(ABS(R367)&gt;=BroadShare,"Broad SKU movement","Store-concentrated movement"),""))</f>
        <v/>
      </c>
      <c r="AB367" s="18">
        <f>IF(O367,IF(COUNTIFS($O$5:O367,TRUE)&gt;0,COUNTIFS($O$5:O367,TRUE),0),0)</f>
        <v/>
      </c>
      <c r="AC367" s="18">
        <f>IF(V367="Markdown Review",1,IF(V367="Reorder Candidate",2,IF(V367="Monitor",3,IF(V367="Noise",4,IF(V367="Not Ready",5,99)))))</f>
        <v/>
      </c>
      <c r="AD367" s="18">
        <f>IF(O367,COUNTIFS($O$5:$O$504,TRUE,$AC$5:$AC$504,"&lt;"&amp;AC367)+COUNTIFS($O$5:O367,TRUE,$AC$5:AC367,AC367,$Y$5:Y367,"&gt;"&amp;Y367),0)</f>
        <v/>
      </c>
    </row>
    <row r="368">
      <c r="A368" s="17">
        <f>IF(COUNTA('Weekly Input'!A368:C368)=0,"",'Weekly Input'!B368&amp;"|"&amp;'Weekly Input'!C368&amp;"|"&amp;TEXT('Weekly Input'!A368,"yyyy-mm-dd"))</f>
        <v/>
      </c>
      <c r="B368" s="18">
        <f>'Weekly Input'!B368</f>
        <v/>
      </c>
      <c r="C368" s="18">
        <f>'Weekly Input'!C368</f>
        <v/>
      </c>
      <c r="D368" s="18">
        <f>IF(B368="","",IFERROR(INDEX('Master Data'!$B$6:$B$145,MATCH(B368,'Master Data'!$A$6:$A$145,0)),""))</f>
        <v/>
      </c>
      <c r="E368" s="18">
        <f>IF(C368="","",IFERROR(INDEX('Master Data'!$H$6:$H$13,MATCH(C368,'Master Data'!$F$6:$F$13,0)),""))</f>
        <v/>
      </c>
      <c r="F368" s="19">
        <f>'Weekly Input'!A368</f>
        <v/>
      </c>
      <c r="G368" s="19">
        <f>IF(B368="","",IFERROR(INDEX('Master Data'!$D$6:$D$145,MATCH(B368,'Master Data'!$A$6:$A$145,0)),""))</f>
        <v/>
      </c>
      <c r="H368" s="18">
        <f>IF(OR(F368="",G368=""),"",F368-G368)</f>
        <v/>
      </c>
      <c r="I368" s="18">
        <f>IF(B368="","",IF('Weekly Input'!J368="OK",TRUE,FALSE))</f>
        <v/>
      </c>
      <c r="J368" s="18">
        <f>IF(B368="","",'Weekly Input'!H368&gt;=MinInStockDays)</f>
        <v/>
      </c>
      <c r="K368" s="18">
        <f>IF(B368="","",H368&gt;=FullCycleMin)</f>
        <v/>
      </c>
      <c r="L368" s="18">
        <f>IF(B368="","",AND(I368,J368,K368,N368&gt;=MinHistory))</f>
        <v/>
      </c>
      <c r="M368" s="20">
        <f>IF(OR(B368="",'Weekly Input'!H368=0),"",'Weekly Input'!D368/'Weekly Input'!H368*7)</f>
        <v/>
      </c>
      <c r="N368" s="18">
        <f>IF(B368="","",COUNTIFS($B$5:$B$504,B368,$C$5:$C$504,C368,$I$5:$I$504,TRUE,$J$5:$J$504,TRUE,$K$5:$K$504,TRUE))</f>
        <v/>
      </c>
      <c r="O368" s="18">
        <f>IF(B368="","",AND(F368=AsOfWeek,AsOfWeek&lt;&gt;""))</f>
        <v/>
      </c>
      <c r="P368" s="20">
        <f>IF(OR(B368="",AsOfWeek=""),"",IFERROR(SUMIFS($M$5:$M$504,$B$5:$B$504,B368,$C$5:$C$504,C368,$L$5:$L$504,TRUE,$F$5:$F$504,"&gt;="&amp;AsOfWeek-7*(RecentWeeks-1),$F$5:$F$504,"&lt;="&amp;AsOfWeek),""))</f>
        <v/>
      </c>
      <c r="Q368" s="20">
        <f>IF(OR(B368="",AsOfWeek=""),"",IFERROR(SUMIFS($M$5:$M$504,$B$5:$B$504,B368,$C$5:$C$504,C368,$L$5:$L$504,TRUE,$F$5:$F$504,"&gt;="&amp;AsOfWeek-7*(RecentWeeks+PriorWeeks-1),$F$5:$F$504,"&lt;"&amp;AsOfWeek-7*(RecentWeeks-1)),""))</f>
        <v/>
      </c>
      <c r="R368" s="21">
        <f>IF(OR(P368="",Q368="",Q368=0),"",P368/Q368-1)</f>
        <v/>
      </c>
      <c r="S368" s="20">
        <f>IF(OR(C368="",AsOfWeek=""),"",IFERROR(AVERAGEIFS($M$5:$M$504,$C$5:$C$504,C368,$L$5:$L$504,TRUE,$F$5:$F$504,"&gt;="&amp;AsOfWeek-7*(RecentWeeks-1),$F$5:$F$504,"&lt;="&amp;AsOfWeek),""))</f>
        <v/>
      </c>
      <c r="T368" s="21">
        <f>IF(OR(P368="",S368=""),"",P368/S368-1)</f>
        <v/>
      </c>
      <c r="U368" s="22">
        <f>IF(OR(B368="",'Weekly Input'!G368="",P368="",P368=0),"",'Weekly Input'!G368/P368)</f>
        <v/>
      </c>
      <c r="V368" s="18">
        <f>IF(B368="","",IF(NOT(I368),"Not Ready",IF(NOT(K368),"Not Ready",IF(N368&lt;MinHistory,"Not Ready",IF(NOT(J368),"Not Ready",IF(OR(Q368="",Q368=0),"Noise",IF(Q368&lt;LowBaseThreshold,"Noise",IF(AND(R368&lt;=-OwnDecline,T368&lt;=-PeerGapThreshold),"Markdown Review",IF(AND(R368&gt;=ReorderUplift,U368&lt;&gt;"",U368&lt;=WeeksSupplyCap),"Reorder Candidate","Monitor"))))))))</f>
        <v/>
      </c>
      <c r="W368" s="18">
        <f>IF(B368="","",IF(NOT(I368),"INVALID_MASTER",IF(NOT(K368),"INCOMPLETE_SHELF_CYCLE",IF(N368&lt;MinHistory,"INSUFFICIENT_HISTORY",IF(NOT(J368),"INSUFFICIENT_IN_STOCK",IF(OR(Q368="",Q368=0),"NO_PRIOR_BASE",IF(Q368&lt;LowBaseThreshold,"LOW_BASE_NOISE",IF(V368="Markdown Review","MARKDOWN_PEER_GAP",IF(V368="Reorder Candidate","REORDER_UPLIFT_COVER","NO_MATERIAL_CHANGE"))))))))</f>
        <v/>
      </c>
      <c r="X368" s="18">
        <f>IF(V368="Markdown Review","Markdown support",IF(V368="Reorder Candidate","Second reorder",IF(V368="Monitor","Monitor",IF(V368="Noise","Hold / collect data",IF(V368="Not Ready","Not ready","")))))</f>
        <v/>
      </c>
      <c r="Y368" s="18">
        <f>IF(OR(R368="",T368=""),"",ABS(R368)+ABS(T368))</f>
        <v/>
      </c>
      <c r="Z368" s="21">
        <f>IF(OR(B368="",NOT(O368),R368=""),"",IF(ABS(R368)&gt;=MaterialThreshold,"Yes","No"))</f>
        <v/>
      </c>
      <c r="AA368" s="18">
        <f>IF(Z368&lt;&gt;"Yes","",IF(ABS(R368)&gt;=MaterialThreshold,IF(ABS(R368)&gt;=BroadShare,"Broad SKU movement","Store-concentrated movement"),""))</f>
        <v/>
      </c>
      <c r="AB368" s="18">
        <f>IF(O368,IF(COUNTIFS($O$5:O368,TRUE)&gt;0,COUNTIFS($O$5:O368,TRUE),0),0)</f>
        <v/>
      </c>
      <c r="AC368" s="18">
        <f>IF(V368="Markdown Review",1,IF(V368="Reorder Candidate",2,IF(V368="Monitor",3,IF(V368="Noise",4,IF(V368="Not Ready",5,99)))))</f>
        <v/>
      </c>
      <c r="AD368" s="18">
        <f>IF(O368,COUNTIFS($O$5:$O$504,TRUE,$AC$5:$AC$504,"&lt;"&amp;AC368)+COUNTIFS($O$5:O368,TRUE,$AC$5:AC368,AC368,$Y$5:Y368,"&gt;"&amp;Y368),0)</f>
        <v/>
      </c>
    </row>
    <row r="369">
      <c r="A369" s="17">
        <f>IF(COUNTA('Weekly Input'!A369:C369)=0,"",'Weekly Input'!B369&amp;"|"&amp;'Weekly Input'!C369&amp;"|"&amp;TEXT('Weekly Input'!A369,"yyyy-mm-dd"))</f>
        <v/>
      </c>
      <c r="B369" s="18">
        <f>'Weekly Input'!B369</f>
        <v/>
      </c>
      <c r="C369" s="18">
        <f>'Weekly Input'!C369</f>
        <v/>
      </c>
      <c r="D369" s="18">
        <f>IF(B369="","",IFERROR(INDEX('Master Data'!$B$6:$B$145,MATCH(B369,'Master Data'!$A$6:$A$145,0)),""))</f>
        <v/>
      </c>
      <c r="E369" s="18">
        <f>IF(C369="","",IFERROR(INDEX('Master Data'!$H$6:$H$13,MATCH(C369,'Master Data'!$F$6:$F$13,0)),""))</f>
        <v/>
      </c>
      <c r="F369" s="19">
        <f>'Weekly Input'!A369</f>
        <v/>
      </c>
      <c r="G369" s="19">
        <f>IF(B369="","",IFERROR(INDEX('Master Data'!$D$6:$D$145,MATCH(B369,'Master Data'!$A$6:$A$145,0)),""))</f>
        <v/>
      </c>
      <c r="H369" s="18">
        <f>IF(OR(F369="",G369=""),"",F369-G369)</f>
        <v/>
      </c>
      <c r="I369" s="18">
        <f>IF(B369="","",IF('Weekly Input'!J369="OK",TRUE,FALSE))</f>
        <v/>
      </c>
      <c r="J369" s="18">
        <f>IF(B369="","",'Weekly Input'!H369&gt;=MinInStockDays)</f>
        <v/>
      </c>
      <c r="K369" s="18">
        <f>IF(B369="","",H369&gt;=FullCycleMin)</f>
        <v/>
      </c>
      <c r="L369" s="18">
        <f>IF(B369="","",AND(I369,J369,K369,N369&gt;=MinHistory))</f>
        <v/>
      </c>
      <c r="M369" s="20">
        <f>IF(OR(B369="",'Weekly Input'!H369=0),"",'Weekly Input'!D369/'Weekly Input'!H369*7)</f>
        <v/>
      </c>
      <c r="N369" s="18">
        <f>IF(B369="","",COUNTIFS($B$5:$B$504,B369,$C$5:$C$504,C369,$I$5:$I$504,TRUE,$J$5:$J$504,TRUE,$K$5:$K$504,TRUE))</f>
        <v/>
      </c>
      <c r="O369" s="18">
        <f>IF(B369="","",AND(F369=AsOfWeek,AsOfWeek&lt;&gt;""))</f>
        <v/>
      </c>
      <c r="P369" s="20">
        <f>IF(OR(B369="",AsOfWeek=""),"",IFERROR(SUMIFS($M$5:$M$504,$B$5:$B$504,B369,$C$5:$C$504,C369,$L$5:$L$504,TRUE,$F$5:$F$504,"&gt;="&amp;AsOfWeek-7*(RecentWeeks-1),$F$5:$F$504,"&lt;="&amp;AsOfWeek),""))</f>
        <v/>
      </c>
      <c r="Q369" s="20">
        <f>IF(OR(B369="",AsOfWeek=""),"",IFERROR(SUMIFS($M$5:$M$504,$B$5:$B$504,B369,$C$5:$C$504,C369,$L$5:$L$504,TRUE,$F$5:$F$504,"&gt;="&amp;AsOfWeek-7*(RecentWeeks+PriorWeeks-1),$F$5:$F$504,"&lt;"&amp;AsOfWeek-7*(RecentWeeks-1)),""))</f>
        <v/>
      </c>
      <c r="R369" s="21">
        <f>IF(OR(P369="",Q369="",Q369=0),"",P369/Q369-1)</f>
        <v/>
      </c>
      <c r="S369" s="20">
        <f>IF(OR(C369="",AsOfWeek=""),"",IFERROR(AVERAGEIFS($M$5:$M$504,$C$5:$C$504,C369,$L$5:$L$504,TRUE,$F$5:$F$504,"&gt;="&amp;AsOfWeek-7*(RecentWeeks-1),$F$5:$F$504,"&lt;="&amp;AsOfWeek),""))</f>
        <v/>
      </c>
      <c r="T369" s="21">
        <f>IF(OR(P369="",S369=""),"",P369/S369-1)</f>
        <v/>
      </c>
      <c r="U369" s="22">
        <f>IF(OR(B369="",'Weekly Input'!G369="",P369="",P369=0),"",'Weekly Input'!G369/P369)</f>
        <v/>
      </c>
      <c r="V369" s="18">
        <f>IF(B369="","",IF(NOT(I369),"Not Ready",IF(NOT(K369),"Not Ready",IF(N369&lt;MinHistory,"Not Ready",IF(NOT(J369),"Not Ready",IF(OR(Q369="",Q369=0),"Noise",IF(Q369&lt;LowBaseThreshold,"Noise",IF(AND(R369&lt;=-OwnDecline,T369&lt;=-PeerGapThreshold),"Markdown Review",IF(AND(R369&gt;=ReorderUplift,U369&lt;&gt;"",U369&lt;=WeeksSupplyCap),"Reorder Candidate","Monitor"))))))))</f>
        <v/>
      </c>
      <c r="W369" s="18">
        <f>IF(B369="","",IF(NOT(I369),"INVALID_MASTER",IF(NOT(K369),"INCOMPLETE_SHELF_CYCLE",IF(N369&lt;MinHistory,"INSUFFICIENT_HISTORY",IF(NOT(J369),"INSUFFICIENT_IN_STOCK",IF(OR(Q369="",Q369=0),"NO_PRIOR_BASE",IF(Q369&lt;LowBaseThreshold,"LOW_BASE_NOISE",IF(V369="Markdown Review","MARKDOWN_PEER_GAP",IF(V369="Reorder Candidate","REORDER_UPLIFT_COVER","NO_MATERIAL_CHANGE"))))))))</f>
        <v/>
      </c>
      <c r="X369" s="18">
        <f>IF(V369="Markdown Review","Markdown support",IF(V369="Reorder Candidate","Second reorder",IF(V369="Monitor","Monitor",IF(V369="Noise","Hold / collect data",IF(V369="Not Ready","Not ready","")))))</f>
        <v/>
      </c>
      <c r="Y369" s="18">
        <f>IF(OR(R369="",T369=""),"",ABS(R369)+ABS(T369))</f>
        <v/>
      </c>
      <c r="Z369" s="21">
        <f>IF(OR(B369="",NOT(O369),R369=""),"",IF(ABS(R369)&gt;=MaterialThreshold,"Yes","No"))</f>
        <v/>
      </c>
      <c r="AA369" s="18">
        <f>IF(Z369&lt;&gt;"Yes","",IF(ABS(R369)&gt;=MaterialThreshold,IF(ABS(R369)&gt;=BroadShare,"Broad SKU movement","Store-concentrated movement"),""))</f>
        <v/>
      </c>
      <c r="AB369" s="18">
        <f>IF(O369,IF(COUNTIFS($O$5:O369,TRUE)&gt;0,COUNTIFS($O$5:O369,TRUE),0),0)</f>
        <v/>
      </c>
      <c r="AC369" s="18">
        <f>IF(V369="Markdown Review",1,IF(V369="Reorder Candidate",2,IF(V369="Monitor",3,IF(V369="Noise",4,IF(V369="Not Ready",5,99)))))</f>
        <v/>
      </c>
      <c r="AD369" s="18">
        <f>IF(O369,COUNTIFS($O$5:$O$504,TRUE,$AC$5:$AC$504,"&lt;"&amp;AC369)+COUNTIFS($O$5:O369,TRUE,$AC$5:AC369,AC369,$Y$5:Y369,"&gt;"&amp;Y369),0)</f>
        <v/>
      </c>
    </row>
    <row r="370">
      <c r="A370" s="17">
        <f>IF(COUNTA('Weekly Input'!A370:C370)=0,"",'Weekly Input'!B370&amp;"|"&amp;'Weekly Input'!C370&amp;"|"&amp;TEXT('Weekly Input'!A370,"yyyy-mm-dd"))</f>
        <v/>
      </c>
      <c r="B370" s="18">
        <f>'Weekly Input'!B370</f>
        <v/>
      </c>
      <c r="C370" s="18">
        <f>'Weekly Input'!C370</f>
        <v/>
      </c>
      <c r="D370" s="18">
        <f>IF(B370="","",IFERROR(INDEX('Master Data'!$B$6:$B$145,MATCH(B370,'Master Data'!$A$6:$A$145,0)),""))</f>
        <v/>
      </c>
      <c r="E370" s="18">
        <f>IF(C370="","",IFERROR(INDEX('Master Data'!$H$6:$H$13,MATCH(C370,'Master Data'!$F$6:$F$13,0)),""))</f>
        <v/>
      </c>
      <c r="F370" s="19">
        <f>'Weekly Input'!A370</f>
        <v/>
      </c>
      <c r="G370" s="19">
        <f>IF(B370="","",IFERROR(INDEX('Master Data'!$D$6:$D$145,MATCH(B370,'Master Data'!$A$6:$A$145,0)),""))</f>
        <v/>
      </c>
      <c r="H370" s="18">
        <f>IF(OR(F370="",G370=""),"",F370-G370)</f>
        <v/>
      </c>
      <c r="I370" s="18">
        <f>IF(B370="","",IF('Weekly Input'!J370="OK",TRUE,FALSE))</f>
        <v/>
      </c>
      <c r="J370" s="18">
        <f>IF(B370="","",'Weekly Input'!H370&gt;=MinInStockDays)</f>
        <v/>
      </c>
      <c r="K370" s="18">
        <f>IF(B370="","",H370&gt;=FullCycleMin)</f>
        <v/>
      </c>
      <c r="L370" s="18">
        <f>IF(B370="","",AND(I370,J370,K370,N370&gt;=MinHistory))</f>
        <v/>
      </c>
      <c r="M370" s="20">
        <f>IF(OR(B370="",'Weekly Input'!H370=0),"",'Weekly Input'!D370/'Weekly Input'!H370*7)</f>
        <v/>
      </c>
      <c r="N370" s="18">
        <f>IF(B370="","",COUNTIFS($B$5:$B$504,B370,$C$5:$C$504,C370,$I$5:$I$504,TRUE,$J$5:$J$504,TRUE,$K$5:$K$504,TRUE))</f>
        <v/>
      </c>
      <c r="O370" s="18">
        <f>IF(B370="","",AND(F370=AsOfWeek,AsOfWeek&lt;&gt;""))</f>
        <v/>
      </c>
      <c r="P370" s="20">
        <f>IF(OR(B370="",AsOfWeek=""),"",IFERROR(SUMIFS($M$5:$M$504,$B$5:$B$504,B370,$C$5:$C$504,C370,$L$5:$L$504,TRUE,$F$5:$F$504,"&gt;="&amp;AsOfWeek-7*(RecentWeeks-1),$F$5:$F$504,"&lt;="&amp;AsOfWeek),""))</f>
        <v/>
      </c>
      <c r="Q370" s="20">
        <f>IF(OR(B370="",AsOfWeek=""),"",IFERROR(SUMIFS($M$5:$M$504,$B$5:$B$504,B370,$C$5:$C$504,C370,$L$5:$L$504,TRUE,$F$5:$F$504,"&gt;="&amp;AsOfWeek-7*(RecentWeeks+PriorWeeks-1),$F$5:$F$504,"&lt;"&amp;AsOfWeek-7*(RecentWeeks-1)),""))</f>
        <v/>
      </c>
      <c r="R370" s="21">
        <f>IF(OR(P370="",Q370="",Q370=0),"",P370/Q370-1)</f>
        <v/>
      </c>
      <c r="S370" s="20">
        <f>IF(OR(C370="",AsOfWeek=""),"",IFERROR(AVERAGEIFS($M$5:$M$504,$C$5:$C$504,C370,$L$5:$L$504,TRUE,$F$5:$F$504,"&gt;="&amp;AsOfWeek-7*(RecentWeeks-1),$F$5:$F$504,"&lt;="&amp;AsOfWeek),""))</f>
        <v/>
      </c>
      <c r="T370" s="21">
        <f>IF(OR(P370="",S370=""),"",P370/S370-1)</f>
        <v/>
      </c>
      <c r="U370" s="22">
        <f>IF(OR(B370="",'Weekly Input'!G370="",P370="",P370=0),"",'Weekly Input'!G370/P370)</f>
        <v/>
      </c>
      <c r="V370" s="18">
        <f>IF(B370="","",IF(NOT(I370),"Not Ready",IF(NOT(K370),"Not Ready",IF(N370&lt;MinHistory,"Not Ready",IF(NOT(J370),"Not Ready",IF(OR(Q370="",Q370=0),"Noise",IF(Q370&lt;LowBaseThreshold,"Noise",IF(AND(R370&lt;=-OwnDecline,T370&lt;=-PeerGapThreshold),"Markdown Review",IF(AND(R370&gt;=ReorderUplift,U370&lt;&gt;"",U370&lt;=WeeksSupplyCap),"Reorder Candidate","Monitor"))))))))</f>
        <v/>
      </c>
      <c r="W370" s="18">
        <f>IF(B370="","",IF(NOT(I370),"INVALID_MASTER",IF(NOT(K370),"INCOMPLETE_SHELF_CYCLE",IF(N370&lt;MinHistory,"INSUFFICIENT_HISTORY",IF(NOT(J370),"INSUFFICIENT_IN_STOCK",IF(OR(Q370="",Q370=0),"NO_PRIOR_BASE",IF(Q370&lt;LowBaseThreshold,"LOW_BASE_NOISE",IF(V370="Markdown Review","MARKDOWN_PEER_GAP",IF(V370="Reorder Candidate","REORDER_UPLIFT_COVER","NO_MATERIAL_CHANGE"))))))))</f>
        <v/>
      </c>
      <c r="X370" s="18">
        <f>IF(V370="Markdown Review","Markdown support",IF(V370="Reorder Candidate","Second reorder",IF(V370="Monitor","Monitor",IF(V370="Noise","Hold / collect data",IF(V370="Not Ready","Not ready","")))))</f>
        <v/>
      </c>
      <c r="Y370" s="18">
        <f>IF(OR(R370="",T370=""),"",ABS(R370)+ABS(T370))</f>
        <v/>
      </c>
      <c r="Z370" s="21">
        <f>IF(OR(B370="",NOT(O370),R370=""),"",IF(ABS(R370)&gt;=MaterialThreshold,"Yes","No"))</f>
        <v/>
      </c>
      <c r="AA370" s="18">
        <f>IF(Z370&lt;&gt;"Yes","",IF(ABS(R370)&gt;=MaterialThreshold,IF(ABS(R370)&gt;=BroadShare,"Broad SKU movement","Store-concentrated movement"),""))</f>
        <v/>
      </c>
      <c r="AB370" s="18">
        <f>IF(O370,IF(COUNTIFS($O$5:O370,TRUE)&gt;0,COUNTIFS($O$5:O370,TRUE),0),0)</f>
        <v/>
      </c>
      <c r="AC370" s="18">
        <f>IF(V370="Markdown Review",1,IF(V370="Reorder Candidate",2,IF(V370="Monitor",3,IF(V370="Noise",4,IF(V370="Not Ready",5,99)))))</f>
        <v/>
      </c>
      <c r="AD370" s="18">
        <f>IF(O370,COUNTIFS($O$5:$O$504,TRUE,$AC$5:$AC$504,"&lt;"&amp;AC370)+COUNTIFS($O$5:O370,TRUE,$AC$5:AC370,AC370,$Y$5:Y370,"&gt;"&amp;Y370),0)</f>
        <v/>
      </c>
    </row>
    <row r="371">
      <c r="A371" s="17">
        <f>IF(COUNTA('Weekly Input'!A371:C371)=0,"",'Weekly Input'!B371&amp;"|"&amp;'Weekly Input'!C371&amp;"|"&amp;TEXT('Weekly Input'!A371,"yyyy-mm-dd"))</f>
        <v/>
      </c>
      <c r="B371" s="18">
        <f>'Weekly Input'!B371</f>
        <v/>
      </c>
      <c r="C371" s="18">
        <f>'Weekly Input'!C371</f>
        <v/>
      </c>
      <c r="D371" s="18">
        <f>IF(B371="","",IFERROR(INDEX('Master Data'!$B$6:$B$145,MATCH(B371,'Master Data'!$A$6:$A$145,0)),""))</f>
        <v/>
      </c>
      <c r="E371" s="18">
        <f>IF(C371="","",IFERROR(INDEX('Master Data'!$H$6:$H$13,MATCH(C371,'Master Data'!$F$6:$F$13,0)),""))</f>
        <v/>
      </c>
      <c r="F371" s="19">
        <f>'Weekly Input'!A371</f>
        <v/>
      </c>
      <c r="G371" s="19">
        <f>IF(B371="","",IFERROR(INDEX('Master Data'!$D$6:$D$145,MATCH(B371,'Master Data'!$A$6:$A$145,0)),""))</f>
        <v/>
      </c>
      <c r="H371" s="18">
        <f>IF(OR(F371="",G371=""),"",F371-G371)</f>
        <v/>
      </c>
      <c r="I371" s="18">
        <f>IF(B371="","",IF('Weekly Input'!J371="OK",TRUE,FALSE))</f>
        <v/>
      </c>
      <c r="J371" s="18">
        <f>IF(B371="","",'Weekly Input'!H371&gt;=MinInStockDays)</f>
        <v/>
      </c>
      <c r="K371" s="18">
        <f>IF(B371="","",H371&gt;=FullCycleMin)</f>
        <v/>
      </c>
      <c r="L371" s="18">
        <f>IF(B371="","",AND(I371,J371,K371,N371&gt;=MinHistory))</f>
        <v/>
      </c>
      <c r="M371" s="20">
        <f>IF(OR(B371="",'Weekly Input'!H371=0),"",'Weekly Input'!D371/'Weekly Input'!H371*7)</f>
        <v/>
      </c>
      <c r="N371" s="18">
        <f>IF(B371="","",COUNTIFS($B$5:$B$504,B371,$C$5:$C$504,C371,$I$5:$I$504,TRUE,$J$5:$J$504,TRUE,$K$5:$K$504,TRUE))</f>
        <v/>
      </c>
      <c r="O371" s="18">
        <f>IF(B371="","",AND(F371=AsOfWeek,AsOfWeek&lt;&gt;""))</f>
        <v/>
      </c>
      <c r="P371" s="20">
        <f>IF(OR(B371="",AsOfWeek=""),"",IFERROR(SUMIFS($M$5:$M$504,$B$5:$B$504,B371,$C$5:$C$504,C371,$L$5:$L$504,TRUE,$F$5:$F$504,"&gt;="&amp;AsOfWeek-7*(RecentWeeks-1),$F$5:$F$504,"&lt;="&amp;AsOfWeek),""))</f>
        <v/>
      </c>
      <c r="Q371" s="20">
        <f>IF(OR(B371="",AsOfWeek=""),"",IFERROR(SUMIFS($M$5:$M$504,$B$5:$B$504,B371,$C$5:$C$504,C371,$L$5:$L$504,TRUE,$F$5:$F$504,"&gt;="&amp;AsOfWeek-7*(RecentWeeks+PriorWeeks-1),$F$5:$F$504,"&lt;"&amp;AsOfWeek-7*(RecentWeeks-1)),""))</f>
        <v/>
      </c>
      <c r="R371" s="21">
        <f>IF(OR(P371="",Q371="",Q371=0),"",P371/Q371-1)</f>
        <v/>
      </c>
      <c r="S371" s="20">
        <f>IF(OR(C371="",AsOfWeek=""),"",IFERROR(AVERAGEIFS($M$5:$M$504,$C$5:$C$504,C371,$L$5:$L$504,TRUE,$F$5:$F$504,"&gt;="&amp;AsOfWeek-7*(RecentWeeks-1),$F$5:$F$504,"&lt;="&amp;AsOfWeek),""))</f>
        <v/>
      </c>
      <c r="T371" s="21">
        <f>IF(OR(P371="",S371=""),"",P371/S371-1)</f>
        <v/>
      </c>
      <c r="U371" s="22">
        <f>IF(OR(B371="",'Weekly Input'!G371="",P371="",P371=0),"",'Weekly Input'!G371/P371)</f>
        <v/>
      </c>
      <c r="V371" s="18">
        <f>IF(B371="","",IF(NOT(I371),"Not Ready",IF(NOT(K371),"Not Ready",IF(N371&lt;MinHistory,"Not Ready",IF(NOT(J371),"Not Ready",IF(OR(Q371="",Q371=0),"Noise",IF(Q371&lt;LowBaseThreshold,"Noise",IF(AND(R371&lt;=-OwnDecline,T371&lt;=-PeerGapThreshold),"Markdown Review",IF(AND(R371&gt;=ReorderUplift,U371&lt;&gt;"",U371&lt;=WeeksSupplyCap),"Reorder Candidate","Monitor"))))))))</f>
        <v/>
      </c>
      <c r="W371" s="18">
        <f>IF(B371="","",IF(NOT(I371),"INVALID_MASTER",IF(NOT(K371),"INCOMPLETE_SHELF_CYCLE",IF(N371&lt;MinHistory,"INSUFFICIENT_HISTORY",IF(NOT(J371),"INSUFFICIENT_IN_STOCK",IF(OR(Q371="",Q371=0),"NO_PRIOR_BASE",IF(Q371&lt;LowBaseThreshold,"LOW_BASE_NOISE",IF(V371="Markdown Review","MARKDOWN_PEER_GAP",IF(V371="Reorder Candidate","REORDER_UPLIFT_COVER","NO_MATERIAL_CHANGE"))))))))</f>
        <v/>
      </c>
      <c r="X371" s="18">
        <f>IF(V371="Markdown Review","Markdown support",IF(V371="Reorder Candidate","Second reorder",IF(V371="Monitor","Monitor",IF(V371="Noise","Hold / collect data",IF(V371="Not Ready","Not ready","")))))</f>
        <v/>
      </c>
      <c r="Y371" s="18">
        <f>IF(OR(R371="",T371=""),"",ABS(R371)+ABS(T371))</f>
        <v/>
      </c>
      <c r="Z371" s="21">
        <f>IF(OR(B371="",NOT(O371),R371=""),"",IF(ABS(R371)&gt;=MaterialThreshold,"Yes","No"))</f>
        <v/>
      </c>
      <c r="AA371" s="18">
        <f>IF(Z371&lt;&gt;"Yes","",IF(ABS(R371)&gt;=MaterialThreshold,IF(ABS(R371)&gt;=BroadShare,"Broad SKU movement","Store-concentrated movement"),""))</f>
        <v/>
      </c>
      <c r="AB371" s="18">
        <f>IF(O371,IF(COUNTIFS($O$5:O371,TRUE)&gt;0,COUNTIFS($O$5:O371,TRUE),0),0)</f>
        <v/>
      </c>
      <c r="AC371" s="18">
        <f>IF(V371="Markdown Review",1,IF(V371="Reorder Candidate",2,IF(V371="Monitor",3,IF(V371="Noise",4,IF(V371="Not Ready",5,99)))))</f>
        <v/>
      </c>
      <c r="AD371" s="18">
        <f>IF(O371,COUNTIFS($O$5:$O$504,TRUE,$AC$5:$AC$504,"&lt;"&amp;AC371)+COUNTIFS($O$5:O371,TRUE,$AC$5:AC371,AC371,$Y$5:Y371,"&gt;"&amp;Y371),0)</f>
        <v/>
      </c>
    </row>
    <row r="372">
      <c r="A372" s="17">
        <f>IF(COUNTA('Weekly Input'!A372:C372)=0,"",'Weekly Input'!B372&amp;"|"&amp;'Weekly Input'!C372&amp;"|"&amp;TEXT('Weekly Input'!A372,"yyyy-mm-dd"))</f>
        <v/>
      </c>
      <c r="B372" s="18">
        <f>'Weekly Input'!B372</f>
        <v/>
      </c>
      <c r="C372" s="18">
        <f>'Weekly Input'!C372</f>
        <v/>
      </c>
      <c r="D372" s="18">
        <f>IF(B372="","",IFERROR(INDEX('Master Data'!$B$6:$B$145,MATCH(B372,'Master Data'!$A$6:$A$145,0)),""))</f>
        <v/>
      </c>
      <c r="E372" s="18">
        <f>IF(C372="","",IFERROR(INDEX('Master Data'!$H$6:$H$13,MATCH(C372,'Master Data'!$F$6:$F$13,0)),""))</f>
        <v/>
      </c>
      <c r="F372" s="19">
        <f>'Weekly Input'!A372</f>
        <v/>
      </c>
      <c r="G372" s="19">
        <f>IF(B372="","",IFERROR(INDEX('Master Data'!$D$6:$D$145,MATCH(B372,'Master Data'!$A$6:$A$145,0)),""))</f>
        <v/>
      </c>
      <c r="H372" s="18">
        <f>IF(OR(F372="",G372=""),"",F372-G372)</f>
        <v/>
      </c>
      <c r="I372" s="18">
        <f>IF(B372="","",IF('Weekly Input'!J372="OK",TRUE,FALSE))</f>
        <v/>
      </c>
      <c r="J372" s="18">
        <f>IF(B372="","",'Weekly Input'!H372&gt;=MinInStockDays)</f>
        <v/>
      </c>
      <c r="K372" s="18">
        <f>IF(B372="","",H372&gt;=FullCycleMin)</f>
        <v/>
      </c>
      <c r="L372" s="18">
        <f>IF(B372="","",AND(I372,J372,K372,N372&gt;=MinHistory))</f>
        <v/>
      </c>
      <c r="M372" s="20">
        <f>IF(OR(B372="",'Weekly Input'!H372=0),"",'Weekly Input'!D372/'Weekly Input'!H372*7)</f>
        <v/>
      </c>
      <c r="N372" s="18">
        <f>IF(B372="","",COUNTIFS($B$5:$B$504,B372,$C$5:$C$504,C372,$I$5:$I$504,TRUE,$J$5:$J$504,TRUE,$K$5:$K$504,TRUE))</f>
        <v/>
      </c>
      <c r="O372" s="18">
        <f>IF(B372="","",AND(F372=AsOfWeek,AsOfWeek&lt;&gt;""))</f>
        <v/>
      </c>
      <c r="P372" s="20">
        <f>IF(OR(B372="",AsOfWeek=""),"",IFERROR(SUMIFS($M$5:$M$504,$B$5:$B$504,B372,$C$5:$C$504,C372,$L$5:$L$504,TRUE,$F$5:$F$504,"&gt;="&amp;AsOfWeek-7*(RecentWeeks-1),$F$5:$F$504,"&lt;="&amp;AsOfWeek),""))</f>
        <v/>
      </c>
      <c r="Q372" s="20">
        <f>IF(OR(B372="",AsOfWeek=""),"",IFERROR(SUMIFS($M$5:$M$504,$B$5:$B$504,B372,$C$5:$C$504,C372,$L$5:$L$504,TRUE,$F$5:$F$504,"&gt;="&amp;AsOfWeek-7*(RecentWeeks+PriorWeeks-1),$F$5:$F$504,"&lt;"&amp;AsOfWeek-7*(RecentWeeks-1)),""))</f>
        <v/>
      </c>
      <c r="R372" s="21">
        <f>IF(OR(P372="",Q372="",Q372=0),"",P372/Q372-1)</f>
        <v/>
      </c>
      <c r="S372" s="20">
        <f>IF(OR(C372="",AsOfWeek=""),"",IFERROR(AVERAGEIFS($M$5:$M$504,$C$5:$C$504,C372,$L$5:$L$504,TRUE,$F$5:$F$504,"&gt;="&amp;AsOfWeek-7*(RecentWeeks-1),$F$5:$F$504,"&lt;="&amp;AsOfWeek),""))</f>
        <v/>
      </c>
      <c r="T372" s="21">
        <f>IF(OR(P372="",S372=""),"",P372/S372-1)</f>
        <v/>
      </c>
      <c r="U372" s="22">
        <f>IF(OR(B372="",'Weekly Input'!G372="",P372="",P372=0),"",'Weekly Input'!G372/P372)</f>
        <v/>
      </c>
      <c r="V372" s="18">
        <f>IF(B372="","",IF(NOT(I372),"Not Ready",IF(NOT(K372),"Not Ready",IF(N372&lt;MinHistory,"Not Ready",IF(NOT(J372),"Not Ready",IF(OR(Q372="",Q372=0),"Noise",IF(Q372&lt;LowBaseThreshold,"Noise",IF(AND(R372&lt;=-OwnDecline,T372&lt;=-PeerGapThreshold),"Markdown Review",IF(AND(R372&gt;=ReorderUplift,U372&lt;&gt;"",U372&lt;=WeeksSupplyCap),"Reorder Candidate","Monitor"))))))))</f>
        <v/>
      </c>
      <c r="W372" s="18">
        <f>IF(B372="","",IF(NOT(I372),"INVALID_MASTER",IF(NOT(K372),"INCOMPLETE_SHELF_CYCLE",IF(N372&lt;MinHistory,"INSUFFICIENT_HISTORY",IF(NOT(J372),"INSUFFICIENT_IN_STOCK",IF(OR(Q372="",Q372=0),"NO_PRIOR_BASE",IF(Q372&lt;LowBaseThreshold,"LOW_BASE_NOISE",IF(V372="Markdown Review","MARKDOWN_PEER_GAP",IF(V372="Reorder Candidate","REORDER_UPLIFT_COVER","NO_MATERIAL_CHANGE"))))))))</f>
        <v/>
      </c>
      <c r="X372" s="18">
        <f>IF(V372="Markdown Review","Markdown support",IF(V372="Reorder Candidate","Second reorder",IF(V372="Monitor","Monitor",IF(V372="Noise","Hold / collect data",IF(V372="Not Ready","Not ready","")))))</f>
        <v/>
      </c>
      <c r="Y372" s="18">
        <f>IF(OR(R372="",T372=""),"",ABS(R372)+ABS(T372))</f>
        <v/>
      </c>
      <c r="Z372" s="21">
        <f>IF(OR(B372="",NOT(O372),R372=""),"",IF(ABS(R372)&gt;=MaterialThreshold,"Yes","No"))</f>
        <v/>
      </c>
      <c r="AA372" s="18">
        <f>IF(Z372&lt;&gt;"Yes","",IF(ABS(R372)&gt;=MaterialThreshold,IF(ABS(R372)&gt;=BroadShare,"Broad SKU movement","Store-concentrated movement"),""))</f>
        <v/>
      </c>
      <c r="AB372" s="18">
        <f>IF(O372,IF(COUNTIFS($O$5:O372,TRUE)&gt;0,COUNTIFS($O$5:O372,TRUE),0),0)</f>
        <v/>
      </c>
      <c r="AC372" s="18">
        <f>IF(V372="Markdown Review",1,IF(V372="Reorder Candidate",2,IF(V372="Monitor",3,IF(V372="Noise",4,IF(V372="Not Ready",5,99)))))</f>
        <v/>
      </c>
      <c r="AD372" s="18">
        <f>IF(O372,COUNTIFS($O$5:$O$504,TRUE,$AC$5:$AC$504,"&lt;"&amp;AC372)+COUNTIFS($O$5:O372,TRUE,$AC$5:AC372,AC372,$Y$5:Y372,"&gt;"&amp;Y372),0)</f>
        <v/>
      </c>
    </row>
    <row r="373">
      <c r="A373" s="17">
        <f>IF(COUNTA('Weekly Input'!A373:C373)=0,"",'Weekly Input'!B373&amp;"|"&amp;'Weekly Input'!C373&amp;"|"&amp;TEXT('Weekly Input'!A373,"yyyy-mm-dd"))</f>
        <v/>
      </c>
      <c r="B373" s="18">
        <f>'Weekly Input'!B373</f>
        <v/>
      </c>
      <c r="C373" s="18">
        <f>'Weekly Input'!C373</f>
        <v/>
      </c>
      <c r="D373" s="18">
        <f>IF(B373="","",IFERROR(INDEX('Master Data'!$B$6:$B$145,MATCH(B373,'Master Data'!$A$6:$A$145,0)),""))</f>
        <v/>
      </c>
      <c r="E373" s="18">
        <f>IF(C373="","",IFERROR(INDEX('Master Data'!$H$6:$H$13,MATCH(C373,'Master Data'!$F$6:$F$13,0)),""))</f>
        <v/>
      </c>
      <c r="F373" s="19">
        <f>'Weekly Input'!A373</f>
        <v/>
      </c>
      <c r="G373" s="19">
        <f>IF(B373="","",IFERROR(INDEX('Master Data'!$D$6:$D$145,MATCH(B373,'Master Data'!$A$6:$A$145,0)),""))</f>
        <v/>
      </c>
      <c r="H373" s="18">
        <f>IF(OR(F373="",G373=""),"",F373-G373)</f>
        <v/>
      </c>
      <c r="I373" s="18">
        <f>IF(B373="","",IF('Weekly Input'!J373="OK",TRUE,FALSE))</f>
        <v/>
      </c>
      <c r="J373" s="18">
        <f>IF(B373="","",'Weekly Input'!H373&gt;=MinInStockDays)</f>
        <v/>
      </c>
      <c r="K373" s="18">
        <f>IF(B373="","",H373&gt;=FullCycleMin)</f>
        <v/>
      </c>
      <c r="L373" s="18">
        <f>IF(B373="","",AND(I373,J373,K373,N373&gt;=MinHistory))</f>
        <v/>
      </c>
      <c r="M373" s="20">
        <f>IF(OR(B373="",'Weekly Input'!H373=0),"",'Weekly Input'!D373/'Weekly Input'!H373*7)</f>
        <v/>
      </c>
      <c r="N373" s="18">
        <f>IF(B373="","",COUNTIFS($B$5:$B$504,B373,$C$5:$C$504,C373,$I$5:$I$504,TRUE,$J$5:$J$504,TRUE,$K$5:$K$504,TRUE))</f>
        <v/>
      </c>
      <c r="O373" s="18">
        <f>IF(B373="","",AND(F373=AsOfWeek,AsOfWeek&lt;&gt;""))</f>
        <v/>
      </c>
      <c r="P373" s="20">
        <f>IF(OR(B373="",AsOfWeek=""),"",IFERROR(SUMIFS($M$5:$M$504,$B$5:$B$504,B373,$C$5:$C$504,C373,$L$5:$L$504,TRUE,$F$5:$F$504,"&gt;="&amp;AsOfWeek-7*(RecentWeeks-1),$F$5:$F$504,"&lt;="&amp;AsOfWeek),""))</f>
        <v/>
      </c>
      <c r="Q373" s="20">
        <f>IF(OR(B373="",AsOfWeek=""),"",IFERROR(SUMIFS($M$5:$M$504,$B$5:$B$504,B373,$C$5:$C$504,C373,$L$5:$L$504,TRUE,$F$5:$F$504,"&gt;="&amp;AsOfWeek-7*(RecentWeeks+PriorWeeks-1),$F$5:$F$504,"&lt;"&amp;AsOfWeek-7*(RecentWeeks-1)),""))</f>
        <v/>
      </c>
      <c r="R373" s="21">
        <f>IF(OR(P373="",Q373="",Q373=0),"",P373/Q373-1)</f>
        <v/>
      </c>
      <c r="S373" s="20">
        <f>IF(OR(C373="",AsOfWeek=""),"",IFERROR(AVERAGEIFS($M$5:$M$504,$C$5:$C$504,C373,$L$5:$L$504,TRUE,$F$5:$F$504,"&gt;="&amp;AsOfWeek-7*(RecentWeeks-1),$F$5:$F$504,"&lt;="&amp;AsOfWeek),""))</f>
        <v/>
      </c>
      <c r="T373" s="21">
        <f>IF(OR(P373="",S373=""),"",P373/S373-1)</f>
        <v/>
      </c>
      <c r="U373" s="22">
        <f>IF(OR(B373="",'Weekly Input'!G373="",P373="",P373=0),"",'Weekly Input'!G373/P373)</f>
        <v/>
      </c>
      <c r="V373" s="18">
        <f>IF(B373="","",IF(NOT(I373),"Not Ready",IF(NOT(K373),"Not Ready",IF(N373&lt;MinHistory,"Not Ready",IF(NOT(J373),"Not Ready",IF(OR(Q373="",Q373=0),"Noise",IF(Q373&lt;LowBaseThreshold,"Noise",IF(AND(R373&lt;=-OwnDecline,T373&lt;=-PeerGapThreshold),"Markdown Review",IF(AND(R373&gt;=ReorderUplift,U373&lt;&gt;"",U373&lt;=WeeksSupplyCap),"Reorder Candidate","Monitor"))))))))</f>
        <v/>
      </c>
      <c r="W373" s="18">
        <f>IF(B373="","",IF(NOT(I373),"INVALID_MASTER",IF(NOT(K373),"INCOMPLETE_SHELF_CYCLE",IF(N373&lt;MinHistory,"INSUFFICIENT_HISTORY",IF(NOT(J373),"INSUFFICIENT_IN_STOCK",IF(OR(Q373="",Q373=0),"NO_PRIOR_BASE",IF(Q373&lt;LowBaseThreshold,"LOW_BASE_NOISE",IF(V373="Markdown Review","MARKDOWN_PEER_GAP",IF(V373="Reorder Candidate","REORDER_UPLIFT_COVER","NO_MATERIAL_CHANGE"))))))))</f>
        <v/>
      </c>
      <c r="X373" s="18">
        <f>IF(V373="Markdown Review","Markdown support",IF(V373="Reorder Candidate","Second reorder",IF(V373="Monitor","Monitor",IF(V373="Noise","Hold / collect data",IF(V373="Not Ready","Not ready","")))))</f>
        <v/>
      </c>
      <c r="Y373" s="18">
        <f>IF(OR(R373="",T373=""),"",ABS(R373)+ABS(T373))</f>
        <v/>
      </c>
      <c r="Z373" s="21">
        <f>IF(OR(B373="",NOT(O373),R373=""),"",IF(ABS(R373)&gt;=MaterialThreshold,"Yes","No"))</f>
        <v/>
      </c>
      <c r="AA373" s="18">
        <f>IF(Z373&lt;&gt;"Yes","",IF(ABS(R373)&gt;=MaterialThreshold,IF(ABS(R373)&gt;=BroadShare,"Broad SKU movement","Store-concentrated movement"),""))</f>
        <v/>
      </c>
      <c r="AB373" s="18">
        <f>IF(O373,IF(COUNTIFS($O$5:O373,TRUE)&gt;0,COUNTIFS($O$5:O373,TRUE),0),0)</f>
        <v/>
      </c>
      <c r="AC373" s="18">
        <f>IF(V373="Markdown Review",1,IF(V373="Reorder Candidate",2,IF(V373="Monitor",3,IF(V373="Noise",4,IF(V373="Not Ready",5,99)))))</f>
        <v/>
      </c>
      <c r="AD373" s="18">
        <f>IF(O373,COUNTIFS($O$5:$O$504,TRUE,$AC$5:$AC$504,"&lt;"&amp;AC373)+COUNTIFS($O$5:O373,TRUE,$AC$5:AC373,AC373,$Y$5:Y373,"&gt;"&amp;Y373),0)</f>
        <v/>
      </c>
    </row>
    <row r="374">
      <c r="A374" s="17">
        <f>IF(COUNTA('Weekly Input'!A374:C374)=0,"",'Weekly Input'!B374&amp;"|"&amp;'Weekly Input'!C374&amp;"|"&amp;TEXT('Weekly Input'!A374,"yyyy-mm-dd"))</f>
        <v/>
      </c>
      <c r="B374" s="18">
        <f>'Weekly Input'!B374</f>
        <v/>
      </c>
      <c r="C374" s="18">
        <f>'Weekly Input'!C374</f>
        <v/>
      </c>
      <c r="D374" s="18">
        <f>IF(B374="","",IFERROR(INDEX('Master Data'!$B$6:$B$145,MATCH(B374,'Master Data'!$A$6:$A$145,0)),""))</f>
        <v/>
      </c>
      <c r="E374" s="18">
        <f>IF(C374="","",IFERROR(INDEX('Master Data'!$H$6:$H$13,MATCH(C374,'Master Data'!$F$6:$F$13,0)),""))</f>
        <v/>
      </c>
      <c r="F374" s="19">
        <f>'Weekly Input'!A374</f>
        <v/>
      </c>
      <c r="G374" s="19">
        <f>IF(B374="","",IFERROR(INDEX('Master Data'!$D$6:$D$145,MATCH(B374,'Master Data'!$A$6:$A$145,0)),""))</f>
        <v/>
      </c>
      <c r="H374" s="18">
        <f>IF(OR(F374="",G374=""),"",F374-G374)</f>
        <v/>
      </c>
      <c r="I374" s="18">
        <f>IF(B374="","",IF('Weekly Input'!J374="OK",TRUE,FALSE))</f>
        <v/>
      </c>
      <c r="J374" s="18">
        <f>IF(B374="","",'Weekly Input'!H374&gt;=MinInStockDays)</f>
        <v/>
      </c>
      <c r="K374" s="18">
        <f>IF(B374="","",H374&gt;=FullCycleMin)</f>
        <v/>
      </c>
      <c r="L374" s="18">
        <f>IF(B374="","",AND(I374,J374,K374,N374&gt;=MinHistory))</f>
        <v/>
      </c>
      <c r="M374" s="20">
        <f>IF(OR(B374="",'Weekly Input'!H374=0),"",'Weekly Input'!D374/'Weekly Input'!H374*7)</f>
        <v/>
      </c>
      <c r="N374" s="18">
        <f>IF(B374="","",COUNTIFS($B$5:$B$504,B374,$C$5:$C$504,C374,$I$5:$I$504,TRUE,$J$5:$J$504,TRUE,$K$5:$K$504,TRUE))</f>
        <v/>
      </c>
      <c r="O374" s="18">
        <f>IF(B374="","",AND(F374=AsOfWeek,AsOfWeek&lt;&gt;""))</f>
        <v/>
      </c>
      <c r="P374" s="20">
        <f>IF(OR(B374="",AsOfWeek=""),"",IFERROR(SUMIFS($M$5:$M$504,$B$5:$B$504,B374,$C$5:$C$504,C374,$L$5:$L$504,TRUE,$F$5:$F$504,"&gt;="&amp;AsOfWeek-7*(RecentWeeks-1),$F$5:$F$504,"&lt;="&amp;AsOfWeek),""))</f>
        <v/>
      </c>
      <c r="Q374" s="20">
        <f>IF(OR(B374="",AsOfWeek=""),"",IFERROR(SUMIFS($M$5:$M$504,$B$5:$B$504,B374,$C$5:$C$504,C374,$L$5:$L$504,TRUE,$F$5:$F$504,"&gt;="&amp;AsOfWeek-7*(RecentWeeks+PriorWeeks-1),$F$5:$F$504,"&lt;"&amp;AsOfWeek-7*(RecentWeeks-1)),""))</f>
        <v/>
      </c>
      <c r="R374" s="21">
        <f>IF(OR(P374="",Q374="",Q374=0),"",P374/Q374-1)</f>
        <v/>
      </c>
      <c r="S374" s="20">
        <f>IF(OR(C374="",AsOfWeek=""),"",IFERROR(AVERAGEIFS($M$5:$M$504,$C$5:$C$504,C374,$L$5:$L$504,TRUE,$F$5:$F$504,"&gt;="&amp;AsOfWeek-7*(RecentWeeks-1),$F$5:$F$504,"&lt;="&amp;AsOfWeek),""))</f>
        <v/>
      </c>
      <c r="T374" s="21">
        <f>IF(OR(P374="",S374=""),"",P374/S374-1)</f>
        <v/>
      </c>
      <c r="U374" s="22">
        <f>IF(OR(B374="",'Weekly Input'!G374="",P374="",P374=0),"",'Weekly Input'!G374/P374)</f>
        <v/>
      </c>
      <c r="V374" s="18">
        <f>IF(B374="","",IF(NOT(I374),"Not Ready",IF(NOT(K374),"Not Ready",IF(N374&lt;MinHistory,"Not Ready",IF(NOT(J374),"Not Ready",IF(OR(Q374="",Q374=0),"Noise",IF(Q374&lt;LowBaseThreshold,"Noise",IF(AND(R374&lt;=-OwnDecline,T374&lt;=-PeerGapThreshold),"Markdown Review",IF(AND(R374&gt;=ReorderUplift,U374&lt;&gt;"",U374&lt;=WeeksSupplyCap),"Reorder Candidate","Monitor"))))))))</f>
        <v/>
      </c>
      <c r="W374" s="18">
        <f>IF(B374="","",IF(NOT(I374),"INVALID_MASTER",IF(NOT(K374),"INCOMPLETE_SHELF_CYCLE",IF(N374&lt;MinHistory,"INSUFFICIENT_HISTORY",IF(NOT(J374),"INSUFFICIENT_IN_STOCK",IF(OR(Q374="",Q374=0),"NO_PRIOR_BASE",IF(Q374&lt;LowBaseThreshold,"LOW_BASE_NOISE",IF(V374="Markdown Review","MARKDOWN_PEER_GAP",IF(V374="Reorder Candidate","REORDER_UPLIFT_COVER","NO_MATERIAL_CHANGE"))))))))</f>
        <v/>
      </c>
      <c r="X374" s="18">
        <f>IF(V374="Markdown Review","Markdown support",IF(V374="Reorder Candidate","Second reorder",IF(V374="Monitor","Monitor",IF(V374="Noise","Hold / collect data",IF(V374="Not Ready","Not ready","")))))</f>
        <v/>
      </c>
      <c r="Y374" s="18">
        <f>IF(OR(R374="",T374=""),"",ABS(R374)+ABS(T374))</f>
        <v/>
      </c>
      <c r="Z374" s="21">
        <f>IF(OR(B374="",NOT(O374),R374=""),"",IF(ABS(R374)&gt;=MaterialThreshold,"Yes","No"))</f>
        <v/>
      </c>
      <c r="AA374" s="18">
        <f>IF(Z374&lt;&gt;"Yes","",IF(ABS(R374)&gt;=MaterialThreshold,IF(ABS(R374)&gt;=BroadShare,"Broad SKU movement","Store-concentrated movement"),""))</f>
        <v/>
      </c>
      <c r="AB374" s="18">
        <f>IF(O374,IF(COUNTIFS($O$5:O374,TRUE)&gt;0,COUNTIFS($O$5:O374,TRUE),0),0)</f>
        <v/>
      </c>
      <c r="AC374" s="18">
        <f>IF(V374="Markdown Review",1,IF(V374="Reorder Candidate",2,IF(V374="Monitor",3,IF(V374="Noise",4,IF(V374="Not Ready",5,99)))))</f>
        <v/>
      </c>
      <c r="AD374" s="18">
        <f>IF(O374,COUNTIFS($O$5:$O$504,TRUE,$AC$5:$AC$504,"&lt;"&amp;AC374)+COUNTIFS($O$5:O374,TRUE,$AC$5:AC374,AC374,$Y$5:Y374,"&gt;"&amp;Y374),0)</f>
        <v/>
      </c>
    </row>
    <row r="375">
      <c r="A375" s="17">
        <f>IF(COUNTA('Weekly Input'!A375:C375)=0,"",'Weekly Input'!B375&amp;"|"&amp;'Weekly Input'!C375&amp;"|"&amp;TEXT('Weekly Input'!A375,"yyyy-mm-dd"))</f>
        <v/>
      </c>
      <c r="B375" s="18">
        <f>'Weekly Input'!B375</f>
        <v/>
      </c>
      <c r="C375" s="18">
        <f>'Weekly Input'!C375</f>
        <v/>
      </c>
      <c r="D375" s="18">
        <f>IF(B375="","",IFERROR(INDEX('Master Data'!$B$6:$B$145,MATCH(B375,'Master Data'!$A$6:$A$145,0)),""))</f>
        <v/>
      </c>
      <c r="E375" s="18">
        <f>IF(C375="","",IFERROR(INDEX('Master Data'!$H$6:$H$13,MATCH(C375,'Master Data'!$F$6:$F$13,0)),""))</f>
        <v/>
      </c>
      <c r="F375" s="19">
        <f>'Weekly Input'!A375</f>
        <v/>
      </c>
      <c r="G375" s="19">
        <f>IF(B375="","",IFERROR(INDEX('Master Data'!$D$6:$D$145,MATCH(B375,'Master Data'!$A$6:$A$145,0)),""))</f>
        <v/>
      </c>
      <c r="H375" s="18">
        <f>IF(OR(F375="",G375=""),"",F375-G375)</f>
        <v/>
      </c>
      <c r="I375" s="18">
        <f>IF(B375="","",IF('Weekly Input'!J375="OK",TRUE,FALSE))</f>
        <v/>
      </c>
      <c r="J375" s="18">
        <f>IF(B375="","",'Weekly Input'!H375&gt;=MinInStockDays)</f>
        <v/>
      </c>
      <c r="K375" s="18">
        <f>IF(B375="","",H375&gt;=FullCycleMin)</f>
        <v/>
      </c>
      <c r="L375" s="18">
        <f>IF(B375="","",AND(I375,J375,K375,N375&gt;=MinHistory))</f>
        <v/>
      </c>
      <c r="M375" s="20">
        <f>IF(OR(B375="",'Weekly Input'!H375=0),"",'Weekly Input'!D375/'Weekly Input'!H375*7)</f>
        <v/>
      </c>
      <c r="N375" s="18">
        <f>IF(B375="","",COUNTIFS($B$5:$B$504,B375,$C$5:$C$504,C375,$I$5:$I$504,TRUE,$J$5:$J$504,TRUE,$K$5:$K$504,TRUE))</f>
        <v/>
      </c>
      <c r="O375" s="18">
        <f>IF(B375="","",AND(F375=AsOfWeek,AsOfWeek&lt;&gt;""))</f>
        <v/>
      </c>
      <c r="P375" s="20">
        <f>IF(OR(B375="",AsOfWeek=""),"",IFERROR(SUMIFS($M$5:$M$504,$B$5:$B$504,B375,$C$5:$C$504,C375,$L$5:$L$504,TRUE,$F$5:$F$504,"&gt;="&amp;AsOfWeek-7*(RecentWeeks-1),$F$5:$F$504,"&lt;="&amp;AsOfWeek),""))</f>
        <v/>
      </c>
      <c r="Q375" s="20">
        <f>IF(OR(B375="",AsOfWeek=""),"",IFERROR(SUMIFS($M$5:$M$504,$B$5:$B$504,B375,$C$5:$C$504,C375,$L$5:$L$504,TRUE,$F$5:$F$504,"&gt;="&amp;AsOfWeek-7*(RecentWeeks+PriorWeeks-1),$F$5:$F$504,"&lt;"&amp;AsOfWeek-7*(RecentWeeks-1)),""))</f>
        <v/>
      </c>
      <c r="R375" s="21">
        <f>IF(OR(P375="",Q375="",Q375=0),"",P375/Q375-1)</f>
        <v/>
      </c>
      <c r="S375" s="20">
        <f>IF(OR(C375="",AsOfWeek=""),"",IFERROR(AVERAGEIFS($M$5:$M$504,$C$5:$C$504,C375,$L$5:$L$504,TRUE,$F$5:$F$504,"&gt;="&amp;AsOfWeek-7*(RecentWeeks-1),$F$5:$F$504,"&lt;="&amp;AsOfWeek),""))</f>
        <v/>
      </c>
      <c r="T375" s="21">
        <f>IF(OR(P375="",S375=""),"",P375/S375-1)</f>
        <v/>
      </c>
      <c r="U375" s="22">
        <f>IF(OR(B375="",'Weekly Input'!G375="",P375="",P375=0),"",'Weekly Input'!G375/P375)</f>
        <v/>
      </c>
      <c r="V375" s="18">
        <f>IF(B375="","",IF(NOT(I375),"Not Ready",IF(NOT(K375),"Not Ready",IF(N375&lt;MinHistory,"Not Ready",IF(NOT(J375),"Not Ready",IF(OR(Q375="",Q375=0),"Noise",IF(Q375&lt;LowBaseThreshold,"Noise",IF(AND(R375&lt;=-OwnDecline,T375&lt;=-PeerGapThreshold),"Markdown Review",IF(AND(R375&gt;=ReorderUplift,U375&lt;&gt;"",U375&lt;=WeeksSupplyCap),"Reorder Candidate","Monitor"))))))))</f>
        <v/>
      </c>
      <c r="W375" s="18">
        <f>IF(B375="","",IF(NOT(I375),"INVALID_MASTER",IF(NOT(K375),"INCOMPLETE_SHELF_CYCLE",IF(N375&lt;MinHistory,"INSUFFICIENT_HISTORY",IF(NOT(J375),"INSUFFICIENT_IN_STOCK",IF(OR(Q375="",Q375=0),"NO_PRIOR_BASE",IF(Q375&lt;LowBaseThreshold,"LOW_BASE_NOISE",IF(V375="Markdown Review","MARKDOWN_PEER_GAP",IF(V375="Reorder Candidate","REORDER_UPLIFT_COVER","NO_MATERIAL_CHANGE"))))))))</f>
        <v/>
      </c>
      <c r="X375" s="18">
        <f>IF(V375="Markdown Review","Markdown support",IF(V375="Reorder Candidate","Second reorder",IF(V375="Monitor","Monitor",IF(V375="Noise","Hold / collect data",IF(V375="Not Ready","Not ready","")))))</f>
        <v/>
      </c>
      <c r="Y375" s="18">
        <f>IF(OR(R375="",T375=""),"",ABS(R375)+ABS(T375))</f>
        <v/>
      </c>
      <c r="Z375" s="21">
        <f>IF(OR(B375="",NOT(O375),R375=""),"",IF(ABS(R375)&gt;=MaterialThreshold,"Yes","No"))</f>
        <v/>
      </c>
      <c r="AA375" s="18">
        <f>IF(Z375&lt;&gt;"Yes","",IF(ABS(R375)&gt;=MaterialThreshold,IF(ABS(R375)&gt;=BroadShare,"Broad SKU movement","Store-concentrated movement"),""))</f>
        <v/>
      </c>
      <c r="AB375" s="18">
        <f>IF(O375,IF(COUNTIFS($O$5:O375,TRUE)&gt;0,COUNTIFS($O$5:O375,TRUE),0),0)</f>
        <v/>
      </c>
      <c r="AC375" s="18">
        <f>IF(V375="Markdown Review",1,IF(V375="Reorder Candidate",2,IF(V375="Monitor",3,IF(V375="Noise",4,IF(V375="Not Ready",5,99)))))</f>
        <v/>
      </c>
      <c r="AD375" s="18">
        <f>IF(O375,COUNTIFS($O$5:$O$504,TRUE,$AC$5:$AC$504,"&lt;"&amp;AC375)+COUNTIFS($O$5:O375,TRUE,$AC$5:AC375,AC375,$Y$5:Y375,"&gt;"&amp;Y375),0)</f>
        <v/>
      </c>
    </row>
    <row r="376">
      <c r="A376" s="17">
        <f>IF(COUNTA('Weekly Input'!A376:C376)=0,"",'Weekly Input'!B376&amp;"|"&amp;'Weekly Input'!C376&amp;"|"&amp;TEXT('Weekly Input'!A376,"yyyy-mm-dd"))</f>
        <v/>
      </c>
      <c r="B376" s="18">
        <f>'Weekly Input'!B376</f>
        <v/>
      </c>
      <c r="C376" s="18">
        <f>'Weekly Input'!C376</f>
        <v/>
      </c>
      <c r="D376" s="18">
        <f>IF(B376="","",IFERROR(INDEX('Master Data'!$B$6:$B$145,MATCH(B376,'Master Data'!$A$6:$A$145,0)),""))</f>
        <v/>
      </c>
      <c r="E376" s="18">
        <f>IF(C376="","",IFERROR(INDEX('Master Data'!$H$6:$H$13,MATCH(C376,'Master Data'!$F$6:$F$13,0)),""))</f>
        <v/>
      </c>
      <c r="F376" s="19">
        <f>'Weekly Input'!A376</f>
        <v/>
      </c>
      <c r="G376" s="19">
        <f>IF(B376="","",IFERROR(INDEX('Master Data'!$D$6:$D$145,MATCH(B376,'Master Data'!$A$6:$A$145,0)),""))</f>
        <v/>
      </c>
      <c r="H376" s="18">
        <f>IF(OR(F376="",G376=""),"",F376-G376)</f>
        <v/>
      </c>
      <c r="I376" s="18">
        <f>IF(B376="","",IF('Weekly Input'!J376="OK",TRUE,FALSE))</f>
        <v/>
      </c>
      <c r="J376" s="18">
        <f>IF(B376="","",'Weekly Input'!H376&gt;=MinInStockDays)</f>
        <v/>
      </c>
      <c r="K376" s="18">
        <f>IF(B376="","",H376&gt;=FullCycleMin)</f>
        <v/>
      </c>
      <c r="L376" s="18">
        <f>IF(B376="","",AND(I376,J376,K376,N376&gt;=MinHistory))</f>
        <v/>
      </c>
      <c r="M376" s="20">
        <f>IF(OR(B376="",'Weekly Input'!H376=0),"",'Weekly Input'!D376/'Weekly Input'!H376*7)</f>
        <v/>
      </c>
      <c r="N376" s="18">
        <f>IF(B376="","",COUNTIFS($B$5:$B$504,B376,$C$5:$C$504,C376,$I$5:$I$504,TRUE,$J$5:$J$504,TRUE,$K$5:$K$504,TRUE))</f>
        <v/>
      </c>
      <c r="O376" s="18">
        <f>IF(B376="","",AND(F376=AsOfWeek,AsOfWeek&lt;&gt;""))</f>
        <v/>
      </c>
      <c r="P376" s="20">
        <f>IF(OR(B376="",AsOfWeek=""),"",IFERROR(SUMIFS($M$5:$M$504,$B$5:$B$504,B376,$C$5:$C$504,C376,$L$5:$L$504,TRUE,$F$5:$F$504,"&gt;="&amp;AsOfWeek-7*(RecentWeeks-1),$F$5:$F$504,"&lt;="&amp;AsOfWeek),""))</f>
        <v/>
      </c>
      <c r="Q376" s="20">
        <f>IF(OR(B376="",AsOfWeek=""),"",IFERROR(SUMIFS($M$5:$M$504,$B$5:$B$504,B376,$C$5:$C$504,C376,$L$5:$L$504,TRUE,$F$5:$F$504,"&gt;="&amp;AsOfWeek-7*(RecentWeeks+PriorWeeks-1),$F$5:$F$504,"&lt;"&amp;AsOfWeek-7*(RecentWeeks-1)),""))</f>
        <v/>
      </c>
      <c r="R376" s="21">
        <f>IF(OR(P376="",Q376="",Q376=0),"",P376/Q376-1)</f>
        <v/>
      </c>
      <c r="S376" s="20">
        <f>IF(OR(C376="",AsOfWeek=""),"",IFERROR(AVERAGEIFS($M$5:$M$504,$C$5:$C$504,C376,$L$5:$L$504,TRUE,$F$5:$F$504,"&gt;="&amp;AsOfWeek-7*(RecentWeeks-1),$F$5:$F$504,"&lt;="&amp;AsOfWeek),""))</f>
        <v/>
      </c>
      <c r="T376" s="21">
        <f>IF(OR(P376="",S376=""),"",P376/S376-1)</f>
        <v/>
      </c>
      <c r="U376" s="22">
        <f>IF(OR(B376="",'Weekly Input'!G376="",P376="",P376=0),"",'Weekly Input'!G376/P376)</f>
        <v/>
      </c>
      <c r="V376" s="18">
        <f>IF(B376="","",IF(NOT(I376),"Not Ready",IF(NOT(K376),"Not Ready",IF(N376&lt;MinHistory,"Not Ready",IF(NOT(J376),"Not Ready",IF(OR(Q376="",Q376=0),"Noise",IF(Q376&lt;LowBaseThreshold,"Noise",IF(AND(R376&lt;=-OwnDecline,T376&lt;=-PeerGapThreshold),"Markdown Review",IF(AND(R376&gt;=ReorderUplift,U376&lt;&gt;"",U376&lt;=WeeksSupplyCap),"Reorder Candidate","Monitor"))))))))</f>
        <v/>
      </c>
      <c r="W376" s="18">
        <f>IF(B376="","",IF(NOT(I376),"INVALID_MASTER",IF(NOT(K376),"INCOMPLETE_SHELF_CYCLE",IF(N376&lt;MinHistory,"INSUFFICIENT_HISTORY",IF(NOT(J376),"INSUFFICIENT_IN_STOCK",IF(OR(Q376="",Q376=0),"NO_PRIOR_BASE",IF(Q376&lt;LowBaseThreshold,"LOW_BASE_NOISE",IF(V376="Markdown Review","MARKDOWN_PEER_GAP",IF(V376="Reorder Candidate","REORDER_UPLIFT_COVER","NO_MATERIAL_CHANGE"))))))))</f>
        <v/>
      </c>
      <c r="X376" s="18">
        <f>IF(V376="Markdown Review","Markdown support",IF(V376="Reorder Candidate","Second reorder",IF(V376="Monitor","Monitor",IF(V376="Noise","Hold / collect data",IF(V376="Not Ready","Not ready","")))))</f>
        <v/>
      </c>
      <c r="Y376" s="18">
        <f>IF(OR(R376="",T376=""),"",ABS(R376)+ABS(T376))</f>
        <v/>
      </c>
      <c r="Z376" s="21">
        <f>IF(OR(B376="",NOT(O376),R376=""),"",IF(ABS(R376)&gt;=MaterialThreshold,"Yes","No"))</f>
        <v/>
      </c>
      <c r="AA376" s="18">
        <f>IF(Z376&lt;&gt;"Yes","",IF(ABS(R376)&gt;=MaterialThreshold,IF(ABS(R376)&gt;=BroadShare,"Broad SKU movement","Store-concentrated movement"),""))</f>
        <v/>
      </c>
      <c r="AB376" s="18">
        <f>IF(O376,IF(COUNTIFS($O$5:O376,TRUE)&gt;0,COUNTIFS($O$5:O376,TRUE),0),0)</f>
        <v/>
      </c>
      <c r="AC376" s="18">
        <f>IF(V376="Markdown Review",1,IF(V376="Reorder Candidate",2,IF(V376="Monitor",3,IF(V376="Noise",4,IF(V376="Not Ready",5,99)))))</f>
        <v/>
      </c>
      <c r="AD376" s="18">
        <f>IF(O376,COUNTIFS($O$5:$O$504,TRUE,$AC$5:$AC$504,"&lt;"&amp;AC376)+COUNTIFS($O$5:O376,TRUE,$AC$5:AC376,AC376,$Y$5:Y376,"&gt;"&amp;Y376),0)</f>
        <v/>
      </c>
    </row>
    <row r="377">
      <c r="A377" s="17">
        <f>IF(COUNTA('Weekly Input'!A377:C377)=0,"",'Weekly Input'!B377&amp;"|"&amp;'Weekly Input'!C377&amp;"|"&amp;TEXT('Weekly Input'!A377,"yyyy-mm-dd"))</f>
        <v/>
      </c>
      <c r="B377" s="18">
        <f>'Weekly Input'!B377</f>
        <v/>
      </c>
      <c r="C377" s="18">
        <f>'Weekly Input'!C377</f>
        <v/>
      </c>
      <c r="D377" s="18">
        <f>IF(B377="","",IFERROR(INDEX('Master Data'!$B$6:$B$145,MATCH(B377,'Master Data'!$A$6:$A$145,0)),""))</f>
        <v/>
      </c>
      <c r="E377" s="18">
        <f>IF(C377="","",IFERROR(INDEX('Master Data'!$H$6:$H$13,MATCH(C377,'Master Data'!$F$6:$F$13,0)),""))</f>
        <v/>
      </c>
      <c r="F377" s="19">
        <f>'Weekly Input'!A377</f>
        <v/>
      </c>
      <c r="G377" s="19">
        <f>IF(B377="","",IFERROR(INDEX('Master Data'!$D$6:$D$145,MATCH(B377,'Master Data'!$A$6:$A$145,0)),""))</f>
        <v/>
      </c>
      <c r="H377" s="18">
        <f>IF(OR(F377="",G377=""),"",F377-G377)</f>
        <v/>
      </c>
      <c r="I377" s="18">
        <f>IF(B377="","",IF('Weekly Input'!J377="OK",TRUE,FALSE))</f>
        <v/>
      </c>
      <c r="J377" s="18">
        <f>IF(B377="","",'Weekly Input'!H377&gt;=MinInStockDays)</f>
        <v/>
      </c>
      <c r="K377" s="18">
        <f>IF(B377="","",H377&gt;=FullCycleMin)</f>
        <v/>
      </c>
      <c r="L377" s="18">
        <f>IF(B377="","",AND(I377,J377,K377,N377&gt;=MinHistory))</f>
        <v/>
      </c>
      <c r="M377" s="20">
        <f>IF(OR(B377="",'Weekly Input'!H377=0),"",'Weekly Input'!D377/'Weekly Input'!H377*7)</f>
        <v/>
      </c>
      <c r="N377" s="18">
        <f>IF(B377="","",COUNTIFS($B$5:$B$504,B377,$C$5:$C$504,C377,$I$5:$I$504,TRUE,$J$5:$J$504,TRUE,$K$5:$K$504,TRUE))</f>
        <v/>
      </c>
      <c r="O377" s="18">
        <f>IF(B377="","",AND(F377=AsOfWeek,AsOfWeek&lt;&gt;""))</f>
        <v/>
      </c>
      <c r="P377" s="20">
        <f>IF(OR(B377="",AsOfWeek=""),"",IFERROR(SUMIFS($M$5:$M$504,$B$5:$B$504,B377,$C$5:$C$504,C377,$L$5:$L$504,TRUE,$F$5:$F$504,"&gt;="&amp;AsOfWeek-7*(RecentWeeks-1),$F$5:$F$504,"&lt;="&amp;AsOfWeek),""))</f>
        <v/>
      </c>
      <c r="Q377" s="20">
        <f>IF(OR(B377="",AsOfWeek=""),"",IFERROR(SUMIFS($M$5:$M$504,$B$5:$B$504,B377,$C$5:$C$504,C377,$L$5:$L$504,TRUE,$F$5:$F$504,"&gt;="&amp;AsOfWeek-7*(RecentWeeks+PriorWeeks-1),$F$5:$F$504,"&lt;"&amp;AsOfWeek-7*(RecentWeeks-1)),""))</f>
        <v/>
      </c>
      <c r="R377" s="21">
        <f>IF(OR(P377="",Q377="",Q377=0),"",P377/Q377-1)</f>
        <v/>
      </c>
      <c r="S377" s="20">
        <f>IF(OR(C377="",AsOfWeek=""),"",IFERROR(AVERAGEIFS($M$5:$M$504,$C$5:$C$504,C377,$L$5:$L$504,TRUE,$F$5:$F$504,"&gt;="&amp;AsOfWeek-7*(RecentWeeks-1),$F$5:$F$504,"&lt;="&amp;AsOfWeek),""))</f>
        <v/>
      </c>
      <c r="T377" s="21">
        <f>IF(OR(P377="",S377=""),"",P377/S377-1)</f>
        <v/>
      </c>
      <c r="U377" s="22">
        <f>IF(OR(B377="",'Weekly Input'!G377="",P377="",P377=0),"",'Weekly Input'!G377/P377)</f>
        <v/>
      </c>
      <c r="V377" s="18">
        <f>IF(B377="","",IF(NOT(I377),"Not Ready",IF(NOT(K377),"Not Ready",IF(N377&lt;MinHistory,"Not Ready",IF(NOT(J377),"Not Ready",IF(OR(Q377="",Q377=0),"Noise",IF(Q377&lt;LowBaseThreshold,"Noise",IF(AND(R377&lt;=-OwnDecline,T377&lt;=-PeerGapThreshold),"Markdown Review",IF(AND(R377&gt;=ReorderUplift,U377&lt;&gt;"",U377&lt;=WeeksSupplyCap),"Reorder Candidate","Monitor"))))))))</f>
        <v/>
      </c>
      <c r="W377" s="18">
        <f>IF(B377="","",IF(NOT(I377),"INVALID_MASTER",IF(NOT(K377),"INCOMPLETE_SHELF_CYCLE",IF(N377&lt;MinHistory,"INSUFFICIENT_HISTORY",IF(NOT(J377),"INSUFFICIENT_IN_STOCK",IF(OR(Q377="",Q377=0),"NO_PRIOR_BASE",IF(Q377&lt;LowBaseThreshold,"LOW_BASE_NOISE",IF(V377="Markdown Review","MARKDOWN_PEER_GAP",IF(V377="Reorder Candidate","REORDER_UPLIFT_COVER","NO_MATERIAL_CHANGE"))))))))</f>
        <v/>
      </c>
      <c r="X377" s="18">
        <f>IF(V377="Markdown Review","Markdown support",IF(V377="Reorder Candidate","Second reorder",IF(V377="Monitor","Monitor",IF(V377="Noise","Hold / collect data",IF(V377="Not Ready","Not ready","")))))</f>
        <v/>
      </c>
      <c r="Y377" s="18">
        <f>IF(OR(R377="",T377=""),"",ABS(R377)+ABS(T377))</f>
        <v/>
      </c>
      <c r="Z377" s="21">
        <f>IF(OR(B377="",NOT(O377),R377=""),"",IF(ABS(R377)&gt;=MaterialThreshold,"Yes","No"))</f>
        <v/>
      </c>
      <c r="AA377" s="18">
        <f>IF(Z377&lt;&gt;"Yes","",IF(ABS(R377)&gt;=MaterialThreshold,IF(ABS(R377)&gt;=BroadShare,"Broad SKU movement","Store-concentrated movement"),""))</f>
        <v/>
      </c>
      <c r="AB377" s="18">
        <f>IF(O377,IF(COUNTIFS($O$5:O377,TRUE)&gt;0,COUNTIFS($O$5:O377,TRUE),0),0)</f>
        <v/>
      </c>
      <c r="AC377" s="18">
        <f>IF(V377="Markdown Review",1,IF(V377="Reorder Candidate",2,IF(V377="Monitor",3,IF(V377="Noise",4,IF(V377="Not Ready",5,99)))))</f>
        <v/>
      </c>
      <c r="AD377" s="18">
        <f>IF(O377,COUNTIFS($O$5:$O$504,TRUE,$AC$5:$AC$504,"&lt;"&amp;AC377)+COUNTIFS($O$5:O377,TRUE,$AC$5:AC377,AC377,$Y$5:Y377,"&gt;"&amp;Y377),0)</f>
        <v/>
      </c>
    </row>
    <row r="378">
      <c r="A378" s="17">
        <f>IF(COUNTA('Weekly Input'!A378:C378)=0,"",'Weekly Input'!B378&amp;"|"&amp;'Weekly Input'!C378&amp;"|"&amp;TEXT('Weekly Input'!A378,"yyyy-mm-dd"))</f>
        <v/>
      </c>
      <c r="B378" s="18">
        <f>'Weekly Input'!B378</f>
        <v/>
      </c>
      <c r="C378" s="18">
        <f>'Weekly Input'!C378</f>
        <v/>
      </c>
      <c r="D378" s="18">
        <f>IF(B378="","",IFERROR(INDEX('Master Data'!$B$6:$B$145,MATCH(B378,'Master Data'!$A$6:$A$145,0)),""))</f>
        <v/>
      </c>
      <c r="E378" s="18">
        <f>IF(C378="","",IFERROR(INDEX('Master Data'!$H$6:$H$13,MATCH(C378,'Master Data'!$F$6:$F$13,0)),""))</f>
        <v/>
      </c>
      <c r="F378" s="19">
        <f>'Weekly Input'!A378</f>
        <v/>
      </c>
      <c r="G378" s="19">
        <f>IF(B378="","",IFERROR(INDEX('Master Data'!$D$6:$D$145,MATCH(B378,'Master Data'!$A$6:$A$145,0)),""))</f>
        <v/>
      </c>
      <c r="H378" s="18">
        <f>IF(OR(F378="",G378=""),"",F378-G378)</f>
        <v/>
      </c>
      <c r="I378" s="18">
        <f>IF(B378="","",IF('Weekly Input'!J378="OK",TRUE,FALSE))</f>
        <v/>
      </c>
      <c r="J378" s="18">
        <f>IF(B378="","",'Weekly Input'!H378&gt;=MinInStockDays)</f>
        <v/>
      </c>
      <c r="K378" s="18">
        <f>IF(B378="","",H378&gt;=FullCycleMin)</f>
        <v/>
      </c>
      <c r="L378" s="18">
        <f>IF(B378="","",AND(I378,J378,K378,N378&gt;=MinHistory))</f>
        <v/>
      </c>
      <c r="M378" s="20">
        <f>IF(OR(B378="",'Weekly Input'!H378=0),"",'Weekly Input'!D378/'Weekly Input'!H378*7)</f>
        <v/>
      </c>
      <c r="N378" s="18">
        <f>IF(B378="","",COUNTIFS($B$5:$B$504,B378,$C$5:$C$504,C378,$I$5:$I$504,TRUE,$J$5:$J$504,TRUE,$K$5:$K$504,TRUE))</f>
        <v/>
      </c>
      <c r="O378" s="18">
        <f>IF(B378="","",AND(F378=AsOfWeek,AsOfWeek&lt;&gt;""))</f>
        <v/>
      </c>
      <c r="P378" s="20">
        <f>IF(OR(B378="",AsOfWeek=""),"",IFERROR(SUMIFS($M$5:$M$504,$B$5:$B$504,B378,$C$5:$C$504,C378,$L$5:$L$504,TRUE,$F$5:$F$504,"&gt;="&amp;AsOfWeek-7*(RecentWeeks-1),$F$5:$F$504,"&lt;="&amp;AsOfWeek),""))</f>
        <v/>
      </c>
      <c r="Q378" s="20">
        <f>IF(OR(B378="",AsOfWeek=""),"",IFERROR(SUMIFS($M$5:$M$504,$B$5:$B$504,B378,$C$5:$C$504,C378,$L$5:$L$504,TRUE,$F$5:$F$504,"&gt;="&amp;AsOfWeek-7*(RecentWeeks+PriorWeeks-1),$F$5:$F$504,"&lt;"&amp;AsOfWeek-7*(RecentWeeks-1)),""))</f>
        <v/>
      </c>
      <c r="R378" s="21">
        <f>IF(OR(P378="",Q378="",Q378=0),"",P378/Q378-1)</f>
        <v/>
      </c>
      <c r="S378" s="20">
        <f>IF(OR(C378="",AsOfWeek=""),"",IFERROR(AVERAGEIFS($M$5:$M$504,$C$5:$C$504,C378,$L$5:$L$504,TRUE,$F$5:$F$504,"&gt;="&amp;AsOfWeek-7*(RecentWeeks-1),$F$5:$F$504,"&lt;="&amp;AsOfWeek),""))</f>
        <v/>
      </c>
      <c r="T378" s="21">
        <f>IF(OR(P378="",S378=""),"",P378/S378-1)</f>
        <v/>
      </c>
      <c r="U378" s="22">
        <f>IF(OR(B378="",'Weekly Input'!G378="",P378="",P378=0),"",'Weekly Input'!G378/P378)</f>
        <v/>
      </c>
      <c r="V378" s="18">
        <f>IF(B378="","",IF(NOT(I378),"Not Ready",IF(NOT(K378),"Not Ready",IF(N378&lt;MinHistory,"Not Ready",IF(NOT(J378),"Not Ready",IF(OR(Q378="",Q378=0),"Noise",IF(Q378&lt;LowBaseThreshold,"Noise",IF(AND(R378&lt;=-OwnDecline,T378&lt;=-PeerGapThreshold),"Markdown Review",IF(AND(R378&gt;=ReorderUplift,U378&lt;&gt;"",U378&lt;=WeeksSupplyCap),"Reorder Candidate","Monitor"))))))))</f>
        <v/>
      </c>
      <c r="W378" s="18">
        <f>IF(B378="","",IF(NOT(I378),"INVALID_MASTER",IF(NOT(K378),"INCOMPLETE_SHELF_CYCLE",IF(N378&lt;MinHistory,"INSUFFICIENT_HISTORY",IF(NOT(J378),"INSUFFICIENT_IN_STOCK",IF(OR(Q378="",Q378=0),"NO_PRIOR_BASE",IF(Q378&lt;LowBaseThreshold,"LOW_BASE_NOISE",IF(V378="Markdown Review","MARKDOWN_PEER_GAP",IF(V378="Reorder Candidate","REORDER_UPLIFT_COVER","NO_MATERIAL_CHANGE"))))))))</f>
        <v/>
      </c>
      <c r="X378" s="18">
        <f>IF(V378="Markdown Review","Markdown support",IF(V378="Reorder Candidate","Second reorder",IF(V378="Monitor","Monitor",IF(V378="Noise","Hold / collect data",IF(V378="Not Ready","Not ready","")))))</f>
        <v/>
      </c>
      <c r="Y378" s="18">
        <f>IF(OR(R378="",T378=""),"",ABS(R378)+ABS(T378))</f>
        <v/>
      </c>
      <c r="Z378" s="21">
        <f>IF(OR(B378="",NOT(O378),R378=""),"",IF(ABS(R378)&gt;=MaterialThreshold,"Yes","No"))</f>
        <v/>
      </c>
      <c r="AA378" s="18">
        <f>IF(Z378&lt;&gt;"Yes","",IF(ABS(R378)&gt;=MaterialThreshold,IF(ABS(R378)&gt;=BroadShare,"Broad SKU movement","Store-concentrated movement"),""))</f>
        <v/>
      </c>
      <c r="AB378" s="18">
        <f>IF(O378,IF(COUNTIFS($O$5:O378,TRUE)&gt;0,COUNTIFS($O$5:O378,TRUE),0),0)</f>
        <v/>
      </c>
      <c r="AC378" s="18">
        <f>IF(V378="Markdown Review",1,IF(V378="Reorder Candidate",2,IF(V378="Monitor",3,IF(V378="Noise",4,IF(V378="Not Ready",5,99)))))</f>
        <v/>
      </c>
      <c r="AD378" s="18">
        <f>IF(O378,COUNTIFS($O$5:$O$504,TRUE,$AC$5:$AC$504,"&lt;"&amp;AC378)+COUNTIFS($O$5:O378,TRUE,$AC$5:AC378,AC378,$Y$5:Y378,"&gt;"&amp;Y378),0)</f>
        <v/>
      </c>
    </row>
    <row r="379">
      <c r="A379" s="17">
        <f>IF(COUNTA('Weekly Input'!A379:C379)=0,"",'Weekly Input'!B379&amp;"|"&amp;'Weekly Input'!C379&amp;"|"&amp;TEXT('Weekly Input'!A379,"yyyy-mm-dd"))</f>
        <v/>
      </c>
      <c r="B379" s="18">
        <f>'Weekly Input'!B379</f>
        <v/>
      </c>
      <c r="C379" s="18">
        <f>'Weekly Input'!C379</f>
        <v/>
      </c>
      <c r="D379" s="18">
        <f>IF(B379="","",IFERROR(INDEX('Master Data'!$B$6:$B$145,MATCH(B379,'Master Data'!$A$6:$A$145,0)),""))</f>
        <v/>
      </c>
      <c r="E379" s="18">
        <f>IF(C379="","",IFERROR(INDEX('Master Data'!$H$6:$H$13,MATCH(C379,'Master Data'!$F$6:$F$13,0)),""))</f>
        <v/>
      </c>
      <c r="F379" s="19">
        <f>'Weekly Input'!A379</f>
        <v/>
      </c>
      <c r="G379" s="19">
        <f>IF(B379="","",IFERROR(INDEX('Master Data'!$D$6:$D$145,MATCH(B379,'Master Data'!$A$6:$A$145,0)),""))</f>
        <v/>
      </c>
      <c r="H379" s="18">
        <f>IF(OR(F379="",G379=""),"",F379-G379)</f>
        <v/>
      </c>
      <c r="I379" s="18">
        <f>IF(B379="","",IF('Weekly Input'!J379="OK",TRUE,FALSE))</f>
        <v/>
      </c>
      <c r="J379" s="18">
        <f>IF(B379="","",'Weekly Input'!H379&gt;=MinInStockDays)</f>
        <v/>
      </c>
      <c r="K379" s="18">
        <f>IF(B379="","",H379&gt;=FullCycleMin)</f>
        <v/>
      </c>
      <c r="L379" s="18">
        <f>IF(B379="","",AND(I379,J379,K379,N379&gt;=MinHistory))</f>
        <v/>
      </c>
      <c r="M379" s="20">
        <f>IF(OR(B379="",'Weekly Input'!H379=0),"",'Weekly Input'!D379/'Weekly Input'!H379*7)</f>
        <v/>
      </c>
      <c r="N379" s="18">
        <f>IF(B379="","",COUNTIFS($B$5:$B$504,B379,$C$5:$C$504,C379,$I$5:$I$504,TRUE,$J$5:$J$504,TRUE,$K$5:$K$504,TRUE))</f>
        <v/>
      </c>
      <c r="O379" s="18">
        <f>IF(B379="","",AND(F379=AsOfWeek,AsOfWeek&lt;&gt;""))</f>
        <v/>
      </c>
      <c r="P379" s="20">
        <f>IF(OR(B379="",AsOfWeek=""),"",IFERROR(SUMIFS($M$5:$M$504,$B$5:$B$504,B379,$C$5:$C$504,C379,$L$5:$L$504,TRUE,$F$5:$F$504,"&gt;="&amp;AsOfWeek-7*(RecentWeeks-1),$F$5:$F$504,"&lt;="&amp;AsOfWeek),""))</f>
        <v/>
      </c>
      <c r="Q379" s="20">
        <f>IF(OR(B379="",AsOfWeek=""),"",IFERROR(SUMIFS($M$5:$M$504,$B$5:$B$504,B379,$C$5:$C$504,C379,$L$5:$L$504,TRUE,$F$5:$F$504,"&gt;="&amp;AsOfWeek-7*(RecentWeeks+PriorWeeks-1),$F$5:$F$504,"&lt;"&amp;AsOfWeek-7*(RecentWeeks-1)),""))</f>
        <v/>
      </c>
      <c r="R379" s="21">
        <f>IF(OR(P379="",Q379="",Q379=0),"",P379/Q379-1)</f>
        <v/>
      </c>
      <c r="S379" s="20">
        <f>IF(OR(C379="",AsOfWeek=""),"",IFERROR(AVERAGEIFS($M$5:$M$504,$C$5:$C$504,C379,$L$5:$L$504,TRUE,$F$5:$F$504,"&gt;="&amp;AsOfWeek-7*(RecentWeeks-1),$F$5:$F$504,"&lt;="&amp;AsOfWeek),""))</f>
        <v/>
      </c>
      <c r="T379" s="21">
        <f>IF(OR(P379="",S379=""),"",P379/S379-1)</f>
        <v/>
      </c>
      <c r="U379" s="22">
        <f>IF(OR(B379="",'Weekly Input'!G379="",P379="",P379=0),"",'Weekly Input'!G379/P379)</f>
        <v/>
      </c>
      <c r="V379" s="18">
        <f>IF(B379="","",IF(NOT(I379),"Not Ready",IF(NOT(K379),"Not Ready",IF(N379&lt;MinHistory,"Not Ready",IF(NOT(J379),"Not Ready",IF(OR(Q379="",Q379=0),"Noise",IF(Q379&lt;LowBaseThreshold,"Noise",IF(AND(R379&lt;=-OwnDecline,T379&lt;=-PeerGapThreshold),"Markdown Review",IF(AND(R379&gt;=ReorderUplift,U379&lt;&gt;"",U379&lt;=WeeksSupplyCap),"Reorder Candidate","Monitor"))))))))</f>
        <v/>
      </c>
      <c r="W379" s="18">
        <f>IF(B379="","",IF(NOT(I379),"INVALID_MASTER",IF(NOT(K379),"INCOMPLETE_SHELF_CYCLE",IF(N379&lt;MinHistory,"INSUFFICIENT_HISTORY",IF(NOT(J379),"INSUFFICIENT_IN_STOCK",IF(OR(Q379="",Q379=0),"NO_PRIOR_BASE",IF(Q379&lt;LowBaseThreshold,"LOW_BASE_NOISE",IF(V379="Markdown Review","MARKDOWN_PEER_GAP",IF(V379="Reorder Candidate","REORDER_UPLIFT_COVER","NO_MATERIAL_CHANGE"))))))))</f>
        <v/>
      </c>
      <c r="X379" s="18">
        <f>IF(V379="Markdown Review","Markdown support",IF(V379="Reorder Candidate","Second reorder",IF(V379="Monitor","Monitor",IF(V379="Noise","Hold / collect data",IF(V379="Not Ready","Not ready","")))))</f>
        <v/>
      </c>
      <c r="Y379" s="18">
        <f>IF(OR(R379="",T379=""),"",ABS(R379)+ABS(T379))</f>
        <v/>
      </c>
      <c r="Z379" s="21">
        <f>IF(OR(B379="",NOT(O379),R379=""),"",IF(ABS(R379)&gt;=MaterialThreshold,"Yes","No"))</f>
        <v/>
      </c>
      <c r="AA379" s="18">
        <f>IF(Z379&lt;&gt;"Yes","",IF(ABS(R379)&gt;=MaterialThreshold,IF(ABS(R379)&gt;=BroadShare,"Broad SKU movement","Store-concentrated movement"),""))</f>
        <v/>
      </c>
      <c r="AB379" s="18">
        <f>IF(O379,IF(COUNTIFS($O$5:O379,TRUE)&gt;0,COUNTIFS($O$5:O379,TRUE),0),0)</f>
        <v/>
      </c>
      <c r="AC379" s="18">
        <f>IF(V379="Markdown Review",1,IF(V379="Reorder Candidate",2,IF(V379="Monitor",3,IF(V379="Noise",4,IF(V379="Not Ready",5,99)))))</f>
        <v/>
      </c>
      <c r="AD379" s="18">
        <f>IF(O379,COUNTIFS($O$5:$O$504,TRUE,$AC$5:$AC$504,"&lt;"&amp;AC379)+COUNTIFS($O$5:O379,TRUE,$AC$5:AC379,AC379,$Y$5:Y379,"&gt;"&amp;Y379),0)</f>
        <v/>
      </c>
    </row>
    <row r="380">
      <c r="A380" s="17">
        <f>IF(COUNTA('Weekly Input'!A380:C380)=0,"",'Weekly Input'!B380&amp;"|"&amp;'Weekly Input'!C380&amp;"|"&amp;TEXT('Weekly Input'!A380,"yyyy-mm-dd"))</f>
        <v/>
      </c>
      <c r="B380" s="18">
        <f>'Weekly Input'!B380</f>
        <v/>
      </c>
      <c r="C380" s="18">
        <f>'Weekly Input'!C380</f>
        <v/>
      </c>
      <c r="D380" s="18">
        <f>IF(B380="","",IFERROR(INDEX('Master Data'!$B$6:$B$145,MATCH(B380,'Master Data'!$A$6:$A$145,0)),""))</f>
        <v/>
      </c>
      <c r="E380" s="18">
        <f>IF(C380="","",IFERROR(INDEX('Master Data'!$H$6:$H$13,MATCH(C380,'Master Data'!$F$6:$F$13,0)),""))</f>
        <v/>
      </c>
      <c r="F380" s="19">
        <f>'Weekly Input'!A380</f>
        <v/>
      </c>
      <c r="G380" s="19">
        <f>IF(B380="","",IFERROR(INDEX('Master Data'!$D$6:$D$145,MATCH(B380,'Master Data'!$A$6:$A$145,0)),""))</f>
        <v/>
      </c>
      <c r="H380" s="18">
        <f>IF(OR(F380="",G380=""),"",F380-G380)</f>
        <v/>
      </c>
      <c r="I380" s="18">
        <f>IF(B380="","",IF('Weekly Input'!J380="OK",TRUE,FALSE))</f>
        <v/>
      </c>
      <c r="J380" s="18">
        <f>IF(B380="","",'Weekly Input'!H380&gt;=MinInStockDays)</f>
        <v/>
      </c>
      <c r="K380" s="18">
        <f>IF(B380="","",H380&gt;=FullCycleMin)</f>
        <v/>
      </c>
      <c r="L380" s="18">
        <f>IF(B380="","",AND(I380,J380,K380,N380&gt;=MinHistory))</f>
        <v/>
      </c>
      <c r="M380" s="20">
        <f>IF(OR(B380="",'Weekly Input'!H380=0),"",'Weekly Input'!D380/'Weekly Input'!H380*7)</f>
        <v/>
      </c>
      <c r="N380" s="18">
        <f>IF(B380="","",COUNTIFS($B$5:$B$504,B380,$C$5:$C$504,C380,$I$5:$I$504,TRUE,$J$5:$J$504,TRUE,$K$5:$K$504,TRUE))</f>
        <v/>
      </c>
      <c r="O380" s="18">
        <f>IF(B380="","",AND(F380=AsOfWeek,AsOfWeek&lt;&gt;""))</f>
        <v/>
      </c>
      <c r="P380" s="20">
        <f>IF(OR(B380="",AsOfWeek=""),"",IFERROR(SUMIFS($M$5:$M$504,$B$5:$B$504,B380,$C$5:$C$504,C380,$L$5:$L$504,TRUE,$F$5:$F$504,"&gt;="&amp;AsOfWeek-7*(RecentWeeks-1),$F$5:$F$504,"&lt;="&amp;AsOfWeek),""))</f>
        <v/>
      </c>
      <c r="Q380" s="20">
        <f>IF(OR(B380="",AsOfWeek=""),"",IFERROR(SUMIFS($M$5:$M$504,$B$5:$B$504,B380,$C$5:$C$504,C380,$L$5:$L$504,TRUE,$F$5:$F$504,"&gt;="&amp;AsOfWeek-7*(RecentWeeks+PriorWeeks-1),$F$5:$F$504,"&lt;"&amp;AsOfWeek-7*(RecentWeeks-1)),""))</f>
        <v/>
      </c>
      <c r="R380" s="21">
        <f>IF(OR(P380="",Q380="",Q380=0),"",P380/Q380-1)</f>
        <v/>
      </c>
      <c r="S380" s="20">
        <f>IF(OR(C380="",AsOfWeek=""),"",IFERROR(AVERAGEIFS($M$5:$M$504,$C$5:$C$504,C380,$L$5:$L$504,TRUE,$F$5:$F$504,"&gt;="&amp;AsOfWeek-7*(RecentWeeks-1),$F$5:$F$504,"&lt;="&amp;AsOfWeek),""))</f>
        <v/>
      </c>
      <c r="T380" s="21">
        <f>IF(OR(P380="",S380=""),"",P380/S380-1)</f>
        <v/>
      </c>
      <c r="U380" s="22">
        <f>IF(OR(B380="",'Weekly Input'!G380="",P380="",P380=0),"",'Weekly Input'!G380/P380)</f>
        <v/>
      </c>
      <c r="V380" s="18">
        <f>IF(B380="","",IF(NOT(I380),"Not Ready",IF(NOT(K380),"Not Ready",IF(N380&lt;MinHistory,"Not Ready",IF(NOT(J380),"Not Ready",IF(OR(Q380="",Q380=0),"Noise",IF(Q380&lt;LowBaseThreshold,"Noise",IF(AND(R380&lt;=-OwnDecline,T380&lt;=-PeerGapThreshold),"Markdown Review",IF(AND(R380&gt;=ReorderUplift,U380&lt;&gt;"",U380&lt;=WeeksSupplyCap),"Reorder Candidate","Monitor"))))))))</f>
        <v/>
      </c>
      <c r="W380" s="18">
        <f>IF(B380="","",IF(NOT(I380),"INVALID_MASTER",IF(NOT(K380),"INCOMPLETE_SHELF_CYCLE",IF(N380&lt;MinHistory,"INSUFFICIENT_HISTORY",IF(NOT(J380),"INSUFFICIENT_IN_STOCK",IF(OR(Q380="",Q380=0),"NO_PRIOR_BASE",IF(Q380&lt;LowBaseThreshold,"LOW_BASE_NOISE",IF(V380="Markdown Review","MARKDOWN_PEER_GAP",IF(V380="Reorder Candidate","REORDER_UPLIFT_COVER","NO_MATERIAL_CHANGE"))))))))</f>
        <v/>
      </c>
      <c r="X380" s="18">
        <f>IF(V380="Markdown Review","Markdown support",IF(V380="Reorder Candidate","Second reorder",IF(V380="Monitor","Monitor",IF(V380="Noise","Hold / collect data",IF(V380="Not Ready","Not ready","")))))</f>
        <v/>
      </c>
      <c r="Y380" s="18">
        <f>IF(OR(R380="",T380=""),"",ABS(R380)+ABS(T380))</f>
        <v/>
      </c>
      <c r="Z380" s="21">
        <f>IF(OR(B380="",NOT(O380),R380=""),"",IF(ABS(R380)&gt;=MaterialThreshold,"Yes","No"))</f>
        <v/>
      </c>
      <c r="AA380" s="18">
        <f>IF(Z380&lt;&gt;"Yes","",IF(ABS(R380)&gt;=MaterialThreshold,IF(ABS(R380)&gt;=BroadShare,"Broad SKU movement","Store-concentrated movement"),""))</f>
        <v/>
      </c>
      <c r="AB380" s="18">
        <f>IF(O380,IF(COUNTIFS($O$5:O380,TRUE)&gt;0,COUNTIFS($O$5:O380,TRUE),0),0)</f>
        <v/>
      </c>
      <c r="AC380" s="18">
        <f>IF(V380="Markdown Review",1,IF(V380="Reorder Candidate",2,IF(V380="Monitor",3,IF(V380="Noise",4,IF(V380="Not Ready",5,99)))))</f>
        <v/>
      </c>
      <c r="AD380" s="18">
        <f>IF(O380,COUNTIFS($O$5:$O$504,TRUE,$AC$5:$AC$504,"&lt;"&amp;AC380)+COUNTIFS($O$5:O380,TRUE,$AC$5:AC380,AC380,$Y$5:Y380,"&gt;"&amp;Y380),0)</f>
        <v/>
      </c>
    </row>
    <row r="381">
      <c r="A381" s="17">
        <f>IF(COUNTA('Weekly Input'!A381:C381)=0,"",'Weekly Input'!B381&amp;"|"&amp;'Weekly Input'!C381&amp;"|"&amp;TEXT('Weekly Input'!A381,"yyyy-mm-dd"))</f>
        <v/>
      </c>
      <c r="B381" s="18">
        <f>'Weekly Input'!B381</f>
        <v/>
      </c>
      <c r="C381" s="18">
        <f>'Weekly Input'!C381</f>
        <v/>
      </c>
      <c r="D381" s="18">
        <f>IF(B381="","",IFERROR(INDEX('Master Data'!$B$6:$B$145,MATCH(B381,'Master Data'!$A$6:$A$145,0)),""))</f>
        <v/>
      </c>
      <c r="E381" s="18">
        <f>IF(C381="","",IFERROR(INDEX('Master Data'!$H$6:$H$13,MATCH(C381,'Master Data'!$F$6:$F$13,0)),""))</f>
        <v/>
      </c>
      <c r="F381" s="19">
        <f>'Weekly Input'!A381</f>
        <v/>
      </c>
      <c r="G381" s="19">
        <f>IF(B381="","",IFERROR(INDEX('Master Data'!$D$6:$D$145,MATCH(B381,'Master Data'!$A$6:$A$145,0)),""))</f>
        <v/>
      </c>
      <c r="H381" s="18">
        <f>IF(OR(F381="",G381=""),"",F381-G381)</f>
        <v/>
      </c>
      <c r="I381" s="18">
        <f>IF(B381="","",IF('Weekly Input'!J381="OK",TRUE,FALSE))</f>
        <v/>
      </c>
      <c r="J381" s="18">
        <f>IF(B381="","",'Weekly Input'!H381&gt;=MinInStockDays)</f>
        <v/>
      </c>
      <c r="K381" s="18">
        <f>IF(B381="","",H381&gt;=FullCycleMin)</f>
        <v/>
      </c>
      <c r="L381" s="18">
        <f>IF(B381="","",AND(I381,J381,K381,N381&gt;=MinHistory))</f>
        <v/>
      </c>
      <c r="M381" s="20">
        <f>IF(OR(B381="",'Weekly Input'!H381=0),"",'Weekly Input'!D381/'Weekly Input'!H381*7)</f>
        <v/>
      </c>
      <c r="N381" s="18">
        <f>IF(B381="","",COUNTIFS($B$5:$B$504,B381,$C$5:$C$504,C381,$I$5:$I$504,TRUE,$J$5:$J$504,TRUE,$K$5:$K$504,TRUE))</f>
        <v/>
      </c>
      <c r="O381" s="18">
        <f>IF(B381="","",AND(F381=AsOfWeek,AsOfWeek&lt;&gt;""))</f>
        <v/>
      </c>
      <c r="P381" s="20">
        <f>IF(OR(B381="",AsOfWeek=""),"",IFERROR(SUMIFS($M$5:$M$504,$B$5:$B$504,B381,$C$5:$C$504,C381,$L$5:$L$504,TRUE,$F$5:$F$504,"&gt;="&amp;AsOfWeek-7*(RecentWeeks-1),$F$5:$F$504,"&lt;="&amp;AsOfWeek),""))</f>
        <v/>
      </c>
      <c r="Q381" s="20">
        <f>IF(OR(B381="",AsOfWeek=""),"",IFERROR(SUMIFS($M$5:$M$504,$B$5:$B$504,B381,$C$5:$C$504,C381,$L$5:$L$504,TRUE,$F$5:$F$504,"&gt;="&amp;AsOfWeek-7*(RecentWeeks+PriorWeeks-1),$F$5:$F$504,"&lt;"&amp;AsOfWeek-7*(RecentWeeks-1)),""))</f>
        <v/>
      </c>
      <c r="R381" s="21">
        <f>IF(OR(P381="",Q381="",Q381=0),"",P381/Q381-1)</f>
        <v/>
      </c>
      <c r="S381" s="20">
        <f>IF(OR(C381="",AsOfWeek=""),"",IFERROR(AVERAGEIFS($M$5:$M$504,$C$5:$C$504,C381,$L$5:$L$504,TRUE,$F$5:$F$504,"&gt;="&amp;AsOfWeek-7*(RecentWeeks-1),$F$5:$F$504,"&lt;="&amp;AsOfWeek),""))</f>
        <v/>
      </c>
      <c r="T381" s="21">
        <f>IF(OR(P381="",S381=""),"",P381/S381-1)</f>
        <v/>
      </c>
      <c r="U381" s="22">
        <f>IF(OR(B381="",'Weekly Input'!G381="",P381="",P381=0),"",'Weekly Input'!G381/P381)</f>
        <v/>
      </c>
      <c r="V381" s="18">
        <f>IF(B381="","",IF(NOT(I381),"Not Ready",IF(NOT(K381),"Not Ready",IF(N381&lt;MinHistory,"Not Ready",IF(NOT(J381),"Not Ready",IF(OR(Q381="",Q381=0),"Noise",IF(Q381&lt;LowBaseThreshold,"Noise",IF(AND(R381&lt;=-OwnDecline,T381&lt;=-PeerGapThreshold),"Markdown Review",IF(AND(R381&gt;=ReorderUplift,U381&lt;&gt;"",U381&lt;=WeeksSupplyCap),"Reorder Candidate","Monitor"))))))))</f>
        <v/>
      </c>
      <c r="W381" s="18">
        <f>IF(B381="","",IF(NOT(I381),"INVALID_MASTER",IF(NOT(K381),"INCOMPLETE_SHELF_CYCLE",IF(N381&lt;MinHistory,"INSUFFICIENT_HISTORY",IF(NOT(J381),"INSUFFICIENT_IN_STOCK",IF(OR(Q381="",Q381=0),"NO_PRIOR_BASE",IF(Q381&lt;LowBaseThreshold,"LOW_BASE_NOISE",IF(V381="Markdown Review","MARKDOWN_PEER_GAP",IF(V381="Reorder Candidate","REORDER_UPLIFT_COVER","NO_MATERIAL_CHANGE"))))))))</f>
        <v/>
      </c>
      <c r="X381" s="18">
        <f>IF(V381="Markdown Review","Markdown support",IF(V381="Reorder Candidate","Second reorder",IF(V381="Monitor","Monitor",IF(V381="Noise","Hold / collect data",IF(V381="Not Ready","Not ready","")))))</f>
        <v/>
      </c>
      <c r="Y381" s="18">
        <f>IF(OR(R381="",T381=""),"",ABS(R381)+ABS(T381))</f>
        <v/>
      </c>
      <c r="Z381" s="21">
        <f>IF(OR(B381="",NOT(O381),R381=""),"",IF(ABS(R381)&gt;=MaterialThreshold,"Yes","No"))</f>
        <v/>
      </c>
      <c r="AA381" s="18">
        <f>IF(Z381&lt;&gt;"Yes","",IF(ABS(R381)&gt;=MaterialThreshold,IF(ABS(R381)&gt;=BroadShare,"Broad SKU movement","Store-concentrated movement"),""))</f>
        <v/>
      </c>
      <c r="AB381" s="18">
        <f>IF(O381,IF(COUNTIFS($O$5:O381,TRUE)&gt;0,COUNTIFS($O$5:O381,TRUE),0),0)</f>
        <v/>
      </c>
      <c r="AC381" s="18">
        <f>IF(V381="Markdown Review",1,IF(V381="Reorder Candidate",2,IF(V381="Monitor",3,IF(V381="Noise",4,IF(V381="Not Ready",5,99)))))</f>
        <v/>
      </c>
      <c r="AD381" s="18">
        <f>IF(O381,COUNTIFS($O$5:$O$504,TRUE,$AC$5:$AC$504,"&lt;"&amp;AC381)+COUNTIFS($O$5:O381,TRUE,$AC$5:AC381,AC381,$Y$5:Y381,"&gt;"&amp;Y381),0)</f>
        <v/>
      </c>
    </row>
    <row r="382">
      <c r="A382" s="17">
        <f>IF(COUNTA('Weekly Input'!A382:C382)=0,"",'Weekly Input'!B382&amp;"|"&amp;'Weekly Input'!C382&amp;"|"&amp;TEXT('Weekly Input'!A382,"yyyy-mm-dd"))</f>
        <v/>
      </c>
      <c r="B382" s="18">
        <f>'Weekly Input'!B382</f>
        <v/>
      </c>
      <c r="C382" s="18">
        <f>'Weekly Input'!C382</f>
        <v/>
      </c>
      <c r="D382" s="18">
        <f>IF(B382="","",IFERROR(INDEX('Master Data'!$B$6:$B$145,MATCH(B382,'Master Data'!$A$6:$A$145,0)),""))</f>
        <v/>
      </c>
      <c r="E382" s="18">
        <f>IF(C382="","",IFERROR(INDEX('Master Data'!$H$6:$H$13,MATCH(C382,'Master Data'!$F$6:$F$13,0)),""))</f>
        <v/>
      </c>
      <c r="F382" s="19">
        <f>'Weekly Input'!A382</f>
        <v/>
      </c>
      <c r="G382" s="19">
        <f>IF(B382="","",IFERROR(INDEX('Master Data'!$D$6:$D$145,MATCH(B382,'Master Data'!$A$6:$A$145,0)),""))</f>
        <v/>
      </c>
      <c r="H382" s="18">
        <f>IF(OR(F382="",G382=""),"",F382-G382)</f>
        <v/>
      </c>
      <c r="I382" s="18">
        <f>IF(B382="","",IF('Weekly Input'!J382="OK",TRUE,FALSE))</f>
        <v/>
      </c>
      <c r="J382" s="18">
        <f>IF(B382="","",'Weekly Input'!H382&gt;=MinInStockDays)</f>
        <v/>
      </c>
      <c r="K382" s="18">
        <f>IF(B382="","",H382&gt;=FullCycleMin)</f>
        <v/>
      </c>
      <c r="L382" s="18">
        <f>IF(B382="","",AND(I382,J382,K382,N382&gt;=MinHistory))</f>
        <v/>
      </c>
      <c r="M382" s="20">
        <f>IF(OR(B382="",'Weekly Input'!H382=0),"",'Weekly Input'!D382/'Weekly Input'!H382*7)</f>
        <v/>
      </c>
      <c r="N382" s="18">
        <f>IF(B382="","",COUNTIFS($B$5:$B$504,B382,$C$5:$C$504,C382,$I$5:$I$504,TRUE,$J$5:$J$504,TRUE,$K$5:$K$504,TRUE))</f>
        <v/>
      </c>
      <c r="O382" s="18">
        <f>IF(B382="","",AND(F382=AsOfWeek,AsOfWeek&lt;&gt;""))</f>
        <v/>
      </c>
      <c r="P382" s="20">
        <f>IF(OR(B382="",AsOfWeek=""),"",IFERROR(SUMIFS($M$5:$M$504,$B$5:$B$504,B382,$C$5:$C$504,C382,$L$5:$L$504,TRUE,$F$5:$F$504,"&gt;="&amp;AsOfWeek-7*(RecentWeeks-1),$F$5:$F$504,"&lt;="&amp;AsOfWeek),""))</f>
        <v/>
      </c>
      <c r="Q382" s="20">
        <f>IF(OR(B382="",AsOfWeek=""),"",IFERROR(SUMIFS($M$5:$M$504,$B$5:$B$504,B382,$C$5:$C$504,C382,$L$5:$L$504,TRUE,$F$5:$F$504,"&gt;="&amp;AsOfWeek-7*(RecentWeeks+PriorWeeks-1),$F$5:$F$504,"&lt;"&amp;AsOfWeek-7*(RecentWeeks-1)),""))</f>
        <v/>
      </c>
      <c r="R382" s="21">
        <f>IF(OR(P382="",Q382="",Q382=0),"",P382/Q382-1)</f>
        <v/>
      </c>
      <c r="S382" s="20">
        <f>IF(OR(C382="",AsOfWeek=""),"",IFERROR(AVERAGEIFS($M$5:$M$504,$C$5:$C$504,C382,$L$5:$L$504,TRUE,$F$5:$F$504,"&gt;="&amp;AsOfWeek-7*(RecentWeeks-1),$F$5:$F$504,"&lt;="&amp;AsOfWeek),""))</f>
        <v/>
      </c>
      <c r="T382" s="21">
        <f>IF(OR(P382="",S382=""),"",P382/S382-1)</f>
        <v/>
      </c>
      <c r="U382" s="22">
        <f>IF(OR(B382="",'Weekly Input'!G382="",P382="",P382=0),"",'Weekly Input'!G382/P382)</f>
        <v/>
      </c>
      <c r="V382" s="18">
        <f>IF(B382="","",IF(NOT(I382),"Not Ready",IF(NOT(K382),"Not Ready",IF(N382&lt;MinHistory,"Not Ready",IF(NOT(J382),"Not Ready",IF(OR(Q382="",Q382=0),"Noise",IF(Q382&lt;LowBaseThreshold,"Noise",IF(AND(R382&lt;=-OwnDecline,T382&lt;=-PeerGapThreshold),"Markdown Review",IF(AND(R382&gt;=ReorderUplift,U382&lt;&gt;"",U382&lt;=WeeksSupplyCap),"Reorder Candidate","Monitor"))))))))</f>
        <v/>
      </c>
      <c r="W382" s="18">
        <f>IF(B382="","",IF(NOT(I382),"INVALID_MASTER",IF(NOT(K382),"INCOMPLETE_SHELF_CYCLE",IF(N382&lt;MinHistory,"INSUFFICIENT_HISTORY",IF(NOT(J382),"INSUFFICIENT_IN_STOCK",IF(OR(Q382="",Q382=0),"NO_PRIOR_BASE",IF(Q382&lt;LowBaseThreshold,"LOW_BASE_NOISE",IF(V382="Markdown Review","MARKDOWN_PEER_GAP",IF(V382="Reorder Candidate","REORDER_UPLIFT_COVER","NO_MATERIAL_CHANGE"))))))))</f>
        <v/>
      </c>
      <c r="X382" s="18">
        <f>IF(V382="Markdown Review","Markdown support",IF(V382="Reorder Candidate","Second reorder",IF(V382="Monitor","Monitor",IF(V382="Noise","Hold / collect data",IF(V382="Not Ready","Not ready","")))))</f>
        <v/>
      </c>
      <c r="Y382" s="18">
        <f>IF(OR(R382="",T382=""),"",ABS(R382)+ABS(T382))</f>
        <v/>
      </c>
      <c r="Z382" s="21">
        <f>IF(OR(B382="",NOT(O382),R382=""),"",IF(ABS(R382)&gt;=MaterialThreshold,"Yes","No"))</f>
        <v/>
      </c>
      <c r="AA382" s="18">
        <f>IF(Z382&lt;&gt;"Yes","",IF(ABS(R382)&gt;=MaterialThreshold,IF(ABS(R382)&gt;=BroadShare,"Broad SKU movement","Store-concentrated movement"),""))</f>
        <v/>
      </c>
      <c r="AB382" s="18">
        <f>IF(O382,IF(COUNTIFS($O$5:O382,TRUE)&gt;0,COUNTIFS($O$5:O382,TRUE),0),0)</f>
        <v/>
      </c>
      <c r="AC382" s="18">
        <f>IF(V382="Markdown Review",1,IF(V382="Reorder Candidate",2,IF(V382="Monitor",3,IF(V382="Noise",4,IF(V382="Not Ready",5,99)))))</f>
        <v/>
      </c>
      <c r="AD382" s="18">
        <f>IF(O382,COUNTIFS($O$5:$O$504,TRUE,$AC$5:$AC$504,"&lt;"&amp;AC382)+COUNTIFS($O$5:O382,TRUE,$AC$5:AC382,AC382,$Y$5:Y382,"&gt;"&amp;Y382),0)</f>
        <v/>
      </c>
    </row>
    <row r="383">
      <c r="A383" s="17">
        <f>IF(COUNTA('Weekly Input'!A383:C383)=0,"",'Weekly Input'!B383&amp;"|"&amp;'Weekly Input'!C383&amp;"|"&amp;TEXT('Weekly Input'!A383,"yyyy-mm-dd"))</f>
        <v/>
      </c>
      <c r="B383" s="18">
        <f>'Weekly Input'!B383</f>
        <v/>
      </c>
      <c r="C383" s="18">
        <f>'Weekly Input'!C383</f>
        <v/>
      </c>
      <c r="D383" s="18">
        <f>IF(B383="","",IFERROR(INDEX('Master Data'!$B$6:$B$145,MATCH(B383,'Master Data'!$A$6:$A$145,0)),""))</f>
        <v/>
      </c>
      <c r="E383" s="18">
        <f>IF(C383="","",IFERROR(INDEX('Master Data'!$H$6:$H$13,MATCH(C383,'Master Data'!$F$6:$F$13,0)),""))</f>
        <v/>
      </c>
      <c r="F383" s="19">
        <f>'Weekly Input'!A383</f>
        <v/>
      </c>
      <c r="G383" s="19">
        <f>IF(B383="","",IFERROR(INDEX('Master Data'!$D$6:$D$145,MATCH(B383,'Master Data'!$A$6:$A$145,0)),""))</f>
        <v/>
      </c>
      <c r="H383" s="18">
        <f>IF(OR(F383="",G383=""),"",F383-G383)</f>
        <v/>
      </c>
      <c r="I383" s="18">
        <f>IF(B383="","",IF('Weekly Input'!J383="OK",TRUE,FALSE))</f>
        <v/>
      </c>
      <c r="J383" s="18">
        <f>IF(B383="","",'Weekly Input'!H383&gt;=MinInStockDays)</f>
        <v/>
      </c>
      <c r="K383" s="18">
        <f>IF(B383="","",H383&gt;=FullCycleMin)</f>
        <v/>
      </c>
      <c r="L383" s="18">
        <f>IF(B383="","",AND(I383,J383,K383,N383&gt;=MinHistory))</f>
        <v/>
      </c>
      <c r="M383" s="20">
        <f>IF(OR(B383="",'Weekly Input'!H383=0),"",'Weekly Input'!D383/'Weekly Input'!H383*7)</f>
        <v/>
      </c>
      <c r="N383" s="18">
        <f>IF(B383="","",COUNTIFS($B$5:$B$504,B383,$C$5:$C$504,C383,$I$5:$I$504,TRUE,$J$5:$J$504,TRUE,$K$5:$K$504,TRUE))</f>
        <v/>
      </c>
      <c r="O383" s="18">
        <f>IF(B383="","",AND(F383=AsOfWeek,AsOfWeek&lt;&gt;""))</f>
        <v/>
      </c>
      <c r="P383" s="20">
        <f>IF(OR(B383="",AsOfWeek=""),"",IFERROR(SUMIFS($M$5:$M$504,$B$5:$B$504,B383,$C$5:$C$504,C383,$L$5:$L$504,TRUE,$F$5:$F$504,"&gt;="&amp;AsOfWeek-7*(RecentWeeks-1),$F$5:$F$504,"&lt;="&amp;AsOfWeek),""))</f>
        <v/>
      </c>
      <c r="Q383" s="20">
        <f>IF(OR(B383="",AsOfWeek=""),"",IFERROR(SUMIFS($M$5:$M$504,$B$5:$B$504,B383,$C$5:$C$504,C383,$L$5:$L$504,TRUE,$F$5:$F$504,"&gt;="&amp;AsOfWeek-7*(RecentWeeks+PriorWeeks-1),$F$5:$F$504,"&lt;"&amp;AsOfWeek-7*(RecentWeeks-1)),""))</f>
        <v/>
      </c>
      <c r="R383" s="21">
        <f>IF(OR(P383="",Q383="",Q383=0),"",P383/Q383-1)</f>
        <v/>
      </c>
      <c r="S383" s="20">
        <f>IF(OR(C383="",AsOfWeek=""),"",IFERROR(AVERAGEIFS($M$5:$M$504,$C$5:$C$504,C383,$L$5:$L$504,TRUE,$F$5:$F$504,"&gt;="&amp;AsOfWeek-7*(RecentWeeks-1),$F$5:$F$504,"&lt;="&amp;AsOfWeek),""))</f>
        <v/>
      </c>
      <c r="T383" s="21">
        <f>IF(OR(P383="",S383=""),"",P383/S383-1)</f>
        <v/>
      </c>
      <c r="U383" s="22">
        <f>IF(OR(B383="",'Weekly Input'!G383="",P383="",P383=0),"",'Weekly Input'!G383/P383)</f>
        <v/>
      </c>
      <c r="V383" s="18">
        <f>IF(B383="","",IF(NOT(I383),"Not Ready",IF(NOT(K383),"Not Ready",IF(N383&lt;MinHistory,"Not Ready",IF(NOT(J383),"Not Ready",IF(OR(Q383="",Q383=0),"Noise",IF(Q383&lt;LowBaseThreshold,"Noise",IF(AND(R383&lt;=-OwnDecline,T383&lt;=-PeerGapThreshold),"Markdown Review",IF(AND(R383&gt;=ReorderUplift,U383&lt;&gt;"",U383&lt;=WeeksSupplyCap),"Reorder Candidate","Monitor"))))))))</f>
        <v/>
      </c>
      <c r="W383" s="18">
        <f>IF(B383="","",IF(NOT(I383),"INVALID_MASTER",IF(NOT(K383),"INCOMPLETE_SHELF_CYCLE",IF(N383&lt;MinHistory,"INSUFFICIENT_HISTORY",IF(NOT(J383),"INSUFFICIENT_IN_STOCK",IF(OR(Q383="",Q383=0),"NO_PRIOR_BASE",IF(Q383&lt;LowBaseThreshold,"LOW_BASE_NOISE",IF(V383="Markdown Review","MARKDOWN_PEER_GAP",IF(V383="Reorder Candidate","REORDER_UPLIFT_COVER","NO_MATERIAL_CHANGE"))))))))</f>
        <v/>
      </c>
      <c r="X383" s="18">
        <f>IF(V383="Markdown Review","Markdown support",IF(V383="Reorder Candidate","Second reorder",IF(V383="Monitor","Monitor",IF(V383="Noise","Hold / collect data",IF(V383="Not Ready","Not ready","")))))</f>
        <v/>
      </c>
      <c r="Y383" s="18">
        <f>IF(OR(R383="",T383=""),"",ABS(R383)+ABS(T383))</f>
        <v/>
      </c>
      <c r="Z383" s="21">
        <f>IF(OR(B383="",NOT(O383),R383=""),"",IF(ABS(R383)&gt;=MaterialThreshold,"Yes","No"))</f>
        <v/>
      </c>
      <c r="AA383" s="18">
        <f>IF(Z383&lt;&gt;"Yes","",IF(ABS(R383)&gt;=MaterialThreshold,IF(ABS(R383)&gt;=BroadShare,"Broad SKU movement","Store-concentrated movement"),""))</f>
        <v/>
      </c>
      <c r="AB383" s="18">
        <f>IF(O383,IF(COUNTIFS($O$5:O383,TRUE)&gt;0,COUNTIFS($O$5:O383,TRUE),0),0)</f>
        <v/>
      </c>
      <c r="AC383" s="18">
        <f>IF(V383="Markdown Review",1,IF(V383="Reorder Candidate",2,IF(V383="Monitor",3,IF(V383="Noise",4,IF(V383="Not Ready",5,99)))))</f>
        <v/>
      </c>
      <c r="AD383" s="18">
        <f>IF(O383,COUNTIFS($O$5:$O$504,TRUE,$AC$5:$AC$504,"&lt;"&amp;AC383)+COUNTIFS($O$5:O383,TRUE,$AC$5:AC383,AC383,$Y$5:Y383,"&gt;"&amp;Y383),0)</f>
        <v/>
      </c>
    </row>
    <row r="384">
      <c r="A384" s="17">
        <f>IF(COUNTA('Weekly Input'!A384:C384)=0,"",'Weekly Input'!B384&amp;"|"&amp;'Weekly Input'!C384&amp;"|"&amp;TEXT('Weekly Input'!A384,"yyyy-mm-dd"))</f>
        <v/>
      </c>
      <c r="B384" s="18">
        <f>'Weekly Input'!B384</f>
        <v/>
      </c>
      <c r="C384" s="18">
        <f>'Weekly Input'!C384</f>
        <v/>
      </c>
      <c r="D384" s="18">
        <f>IF(B384="","",IFERROR(INDEX('Master Data'!$B$6:$B$145,MATCH(B384,'Master Data'!$A$6:$A$145,0)),""))</f>
        <v/>
      </c>
      <c r="E384" s="18">
        <f>IF(C384="","",IFERROR(INDEX('Master Data'!$H$6:$H$13,MATCH(C384,'Master Data'!$F$6:$F$13,0)),""))</f>
        <v/>
      </c>
      <c r="F384" s="19">
        <f>'Weekly Input'!A384</f>
        <v/>
      </c>
      <c r="G384" s="19">
        <f>IF(B384="","",IFERROR(INDEX('Master Data'!$D$6:$D$145,MATCH(B384,'Master Data'!$A$6:$A$145,0)),""))</f>
        <v/>
      </c>
      <c r="H384" s="18">
        <f>IF(OR(F384="",G384=""),"",F384-G384)</f>
        <v/>
      </c>
      <c r="I384" s="18">
        <f>IF(B384="","",IF('Weekly Input'!J384="OK",TRUE,FALSE))</f>
        <v/>
      </c>
      <c r="J384" s="18">
        <f>IF(B384="","",'Weekly Input'!H384&gt;=MinInStockDays)</f>
        <v/>
      </c>
      <c r="K384" s="18">
        <f>IF(B384="","",H384&gt;=FullCycleMin)</f>
        <v/>
      </c>
      <c r="L384" s="18">
        <f>IF(B384="","",AND(I384,J384,K384,N384&gt;=MinHistory))</f>
        <v/>
      </c>
      <c r="M384" s="20">
        <f>IF(OR(B384="",'Weekly Input'!H384=0),"",'Weekly Input'!D384/'Weekly Input'!H384*7)</f>
        <v/>
      </c>
      <c r="N384" s="18">
        <f>IF(B384="","",COUNTIFS($B$5:$B$504,B384,$C$5:$C$504,C384,$I$5:$I$504,TRUE,$J$5:$J$504,TRUE,$K$5:$K$504,TRUE))</f>
        <v/>
      </c>
      <c r="O384" s="18">
        <f>IF(B384="","",AND(F384=AsOfWeek,AsOfWeek&lt;&gt;""))</f>
        <v/>
      </c>
      <c r="P384" s="20">
        <f>IF(OR(B384="",AsOfWeek=""),"",IFERROR(SUMIFS($M$5:$M$504,$B$5:$B$504,B384,$C$5:$C$504,C384,$L$5:$L$504,TRUE,$F$5:$F$504,"&gt;="&amp;AsOfWeek-7*(RecentWeeks-1),$F$5:$F$504,"&lt;="&amp;AsOfWeek),""))</f>
        <v/>
      </c>
      <c r="Q384" s="20">
        <f>IF(OR(B384="",AsOfWeek=""),"",IFERROR(SUMIFS($M$5:$M$504,$B$5:$B$504,B384,$C$5:$C$504,C384,$L$5:$L$504,TRUE,$F$5:$F$504,"&gt;="&amp;AsOfWeek-7*(RecentWeeks+PriorWeeks-1),$F$5:$F$504,"&lt;"&amp;AsOfWeek-7*(RecentWeeks-1)),""))</f>
        <v/>
      </c>
      <c r="R384" s="21">
        <f>IF(OR(P384="",Q384="",Q384=0),"",P384/Q384-1)</f>
        <v/>
      </c>
      <c r="S384" s="20">
        <f>IF(OR(C384="",AsOfWeek=""),"",IFERROR(AVERAGEIFS($M$5:$M$504,$C$5:$C$504,C384,$L$5:$L$504,TRUE,$F$5:$F$504,"&gt;="&amp;AsOfWeek-7*(RecentWeeks-1),$F$5:$F$504,"&lt;="&amp;AsOfWeek),""))</f>
        <v/>
      </c>
      <c r="T384" s="21">
        <f>IF(OR(P384="",S384=""),"",P384/S384-1)</f>
        <v/>
      </c>
      <c r="U384" s="22">
        <f>IF(OR(B384="",'Weekly Input'!G384="",P384="",P384=0),"",'Weekly Input'!G384/P384)</f>
        <v/>
      </c>
      <c r="V384" s="18">
        <f>IF(B384="","",IF(NOT(I384),"Not Ready",IF(NOT(K384),"Not Ready",IF(N384&lt;MinHistory,"Not Ready",IF(NOT(J384),"Not Ready",IF(OR(Q384="",Q384=0),"Noise",IF(Q384&lt;LowBaseThreshold,"Noise",IF(AND(R384&lt;=-OwnDecline,T384&lt;=-PeerGapThreshold),"Markdown Review",IF(AND(R384&gt;=ReorderUplift,U384&lt;&gt;"",U384&lt;=WeeksSupplyCap),"Reorder Candidate","Monitor"))))))))</f>
        <v/>
      </c>
      <c r="W384" s="18">
        <f>IF(B384="","",IF(NOT(I384),"INVALID_MASTER",IF(NOT(K384),"INCOMPLETE_SHELF_CYCLE",IF(N384&lt;MinHistory,"INSUFFICIENT_HISTORY",IF(NOT(J384),"INSUFFICIENT_IN_STOCK",IF(OR(Q384="",Q384=0),"NO_PRIOR_BASE",IF(Q384&lt;LowBaseThreshold,"LOW_BASE_NOISE",IF(V384="Markdown Review","MARKDOWN_PEER_GAP",IF(V384="Reorder Candidate","REORDER_UPLIFT_COVER","NO_MATERIAL_CHANGE"))))))))</f>
        <v/>
      </c>
      <c r="X384" s="18">
        <f>IF(V384="Markdown Review","Markdown support",IF(V384="Reorder Candidate","Second reorder",IF(V384="Monitor","Monitor",IF(V384="Noise","Hold / collect data",IF(V384="Not Ready","Not ready","")))))</f>
        <v/>
      </c>
      <c r="Y384" s="18">
        <f>IF(OR(R384="",T384=""),"",ABS(R384)+ABS(T384))</f>
        <v/>
      </c>
      <c r="Z384" s="21">
        <f>IF(OR(B384="",NOT(O384),R384=""),"",IF(ABS(R384)&gt;=MaterialThreshold,"Yes","No"))</f>
        <v/>
      </c>
      <c r="AA384" s="18">
        <f>IF(Z384&lt;&gt;"Yes","",IF(ABS(R384)&gt;=MaterialThreshold,IF(ABS(R384)&gt;=BroadShare,"Broad SKU movement","Store-concentrated movement"),""))</f>
        <v/>
      </c>
      <c r="AB384" s="18">
        <f>IF(O384,IF(COUNTIFS($O$5:O384,TRUE)&gt;0,COUNTIFS($O$5:O384,TRUE),0),0)</f>
        <v/>
      </c>
      <c r="AC384" s="18">
        <f>IF(V384="Markdown Review",1,IF(V384="Reorder Candidate",2,IF(V384="Monitor",3,IF(V384="Noise",4,IF(V384="Not Ready",5,99)))))</f>
        <v/>
      </c>
      <c r="AD384" s="18">
        <f>IF(O384,COUNTIFS($O$5:$O$504,TRUE,$AC$5:$AC$504,"&lt;"&amp;AC384)+COUNTIFS($O$5:O384,TRUE,$AC$5:AC384,AC384,$Y$5:Y384,"&gt;"&amp;Y384),0)</f>
        <v/>
      </c>
    </row>
    <row r="385">
      <c r="A385" s="17">
        <f>IF(COUNTA('Weekly Input'!A385:C385)=0,"",'Weekly Input'!B385&amp;"|"&amp;'Weekly Input'!C385&amp;"|"&amp;TEXT('Weekly Input'!A385,"yyyy-mm-dd"))</f>
        <v/>
      </c>
      <c r="B385" s="18">
        <f>'Weekly Input'!B385</f>
        <v/>
      </c>
      <c r="C385" s="18">
        <f>'Weekly Input'!C385</f>
        <v/>
      </c>
      <c r="D385" s="18">
        <f>IF(B385="","",IFERROR(INDEX('Master Data'!$B$6:$B$145,MATCH(B385,'Master Data'!$A$6:$A$145,0)),""))</f>
        <v/>
      </c>
      <c r="E385" s="18">
        <f>IF(C385="","",IFERROR(INDEX('Master Data'!$H$6:$H$13,MATCH(C385,'Master Data'!$F$6:$F$13,0)),""))</f>
        <v/>
      </c>
      <c r="F385" s="19">
        <f>'Weekly Input'!A385</f>
        <v/>
      </c>
      <c r="G385" s="19">
        <f>IF(B385="","",IFERROR(INDEX('Master Data'!$D$6:$D$145,MATCH(B385,'Master Data'!$A$6:$A$145,0)),""))</f>
        <v/>
      </c>
      <c r="H385" s="18">
        <f>IF(OR(F385="",G385=""),"",F385-G385)</f>
        <v/>
      </c>
      <c r="I385" s="18">
        <f>IF(B385="","",IF('Weekly Input'!J385="OK",TRUE,FALSE))</f>
        <v/>
      </c>
      <c r="J385" s="18">
        <f>IF(B385="","",'Weekly Input'!H385&gt;=MinInStockDays)</f>
        <v/>
      </c>
      <c r="K385" s="18">
        <f>IF(B385="","",H385&gt;=FullCycleMin)</f>
        <v/>
      </c>
      <c r="L385" s="18">
        <f>IF(B385="","",AND(I385,J385,K385,N385&gt;=MinHistory))</f>
        <v/>
      </c>
      <c r="M385" s="20">
        <f>IF(OR(B385="",'Weekly Input'!H385=0),"",'Weekly Input'!D385/'Weekly Input'!H385*7)</f>
        <v/>
      </c>
      <c r="N385" s="18">
        <f>IF(B385="","",COUNTIFS($B$5:$B$504,B385,$C$5:$C$504,C385,$I$5:$I$504,TRUE,$J$5:$J$504,TRUE,$K$5:$K$504,TRUE))</f>
        <v/>
      </c>
      <c r="O385" s="18">
        <f>IF(B385="","",AND(F385=AsOfWeek,AsOfWeek&lt;&gt;""))</f>
        <v/>
      </c>
      <c r="P385" s="20">
        <f>IF(OR(B385="",AsOfWeek=""),"",IFERROR(SUMIFS($M$5:$M$504,$B$5:$B$504,B385,$C$5:$C$504,C385,$L$5:$L$504,TRUE,$F$5:$F$504,"&gt;="&amp;AsOfWeek-7*(RecentWeeks-1),$F$5:$F$504,"&lt;="&amp;AsOfWeek),""))</f>
        <v/>
      </c>
      <c r="Q385" s="20">
        <f>IF(OR(B385="",AsOfWeek=""),"",IFERROR(SUMIFS($M$5:$M$504,$B$5:$B$504,B385,$C$5:$C$504,C385,$L$5:$L$504,TRUE,$F$5:$F$504,"&gt;="&amp;AsOfWeek-7*(RecentWeeks+PriorWeeks-1),$F$5:$F$504,"&lt;"&amp;AsOfWeek-7*(RecentWeeks-1)),""))</f>
        <v/>
      </c>
      <c r="R385" s="21">
        <f>IF(OR(P385="",Q385="",Q385=0),"",P385/Q385-1)</f>
        <v/>
      </c>
      <c r="S385" s="20">
        <f>IF(OR(C385="",AsOfWeek=""),"",IFERROR(AVERAGEIFS($M$5:$M$504,$C$5:$C$504,C385,$L$5:$L$504,TRUE,$F$5:$F$504,"&gt;="&amp;AsOfWeek-7*(RecentWeeks-1),$F$5:$F$504,"&lt;="&amp;AsOfWeek),""))</f>
        <v/>
      </c>
      <c r="T385" s="21">
        <f>IF(OR(P385="",S385=""),"",P385/S385-1)</f>
        <v/>
      </c>
      <c r="U385" s="22">
        <f>IF(OR(B385="",'Weekly Input'!G385="",P385="",P385=0),"",'Weekly Input'!G385/P385)</f>
        <v/>
      </c>
      <c r="V385" s="18">
        <f>IF(B385="","",IF(NOT(I385),"Not Ready",IF(NOT(K385),"Not Ready",IF(N385&lt;MinHistory,"Not Ready",IF(NOT(J385),"Not Ready",IF(OR(Q385="",Q385=0),"Noise",IF(Q385&lt;LowBaseThreshold,"Noise",IF(AND(R385&lt;=-OwnDecline,T385&lt;=-PeerGapThreshold),"Markdown Review",IF(AND(R385&gt;=ReorderUplift,U385&lt;&gt;"",U385&lt;=WeeksSupplyCap),"Reorder Candidate","Monitor"))))))))</f>
        <v/>
      </c>
      <c r="W385" s="18">
        <f>IF(B385="","",IF(NOT(I385),"INVALID_MASTER",IF(NOT(K385),"INCOMPLETE_SHELF_CYCLE",IF(N385&lt;MinHistory,"INSUFFICIENT_HISTORY",IF(NOT(J385),"INSUFFICIENT_IN_STOCK",IF(OR(Q385="",Q385=0),"NO_PRIOR_BASE",IF(Q385&lt;LowBaseThreshold,"LOW_BASE_NOISE",IF(V385="Markdown Review","MARKDOWN_PEER_GAP",IF(V385="Reorder Candidate","REORDER_UPLIFT_COVER","NO_MATERIAL_CHANGE"))))))))</f>
        <v/>
      </c>
      <c r="X385" s="18">
        <f>IF(V385="Markdown Review","Markdown support",IF(V385="Reorder Candidate","Second reorder",IF(V385="Monitor","Monitor",IF(V385="Noise","Hold / collect data",IF(V385="Not Ready","Not ready","")))))</f>
        <v/>
      </c>
      <c r="Y385" s="18">
        <f>IF(OR(R385="",T385=""),"",ABS(R385)+ABS(T385))</f>
        <v/>
      </c>
      <c r="Z385" s="21">
        <f>IF(OR(B385="",NOT(O385),R385=""),"",IF(ABS(R385)&gt;=MaterialThreshold,"Yes","No"))</f>
        <v/>
      </c>
      <c r="AA385" s="18">
        <f>IF(Z385&lt;&gt;"Yes","",IF(ABS(R385)&gt;=MaterialThreshold,IF(ABS(R385)&gt;=BroadShare,"Broad SKU movement","Store-concentrated movement"),""))</f>
        <v/>
      </c>
      <c r="AB385" s="18">
        <f>IF(O385,IF(COUNTIFS($O$5:O385,TRUE)&gt;0,COUNTIFS($O$5:O385,TRUE),0),0)</f>
        <v/>
      </c>
      <c r="AC385" s="18">
        <f>IF(V385="Markdown Review",1,IF(V385="Reorder Candidate",2,IF(V385="Monitor",3,IF(V385="Noise",4,IF(V385="Not Ready",5,99)))))</f>
        <v/>
      </c>
      <c r="AD385" s="18">
        <f>IF(O385,COUNTIFS($O$5:$O$504,TRUE,$AC$5:$AC$504,"&lt;"&amp;AC385)+COUNTIFS($O$5:O385,TRUE,$AC$5:AC385,AC385,$Y$5:Y385,"&gt;"&amp;Y385),0)</f>
        <v/>
      </c>
    </row>
    <row r="386">
      <c r="A386" s="17">
        <f>IF(COUNTA('Weekly Input'!A386:C386)=0,"",'Weekly Input'!B386&amp;"|"&amp;'Weekly Input'!C386&amp;"|"&amp;TEXT('Weekly Input'!A386,"yyyy-mm-dd"))</f>
        <v/>
      </c>
      <c r="B386" s="18">
        <f>'Weekly Input'!B386</f>
        <v/>
      </c>
      <c r="C386" s="18">
        <f>'Weekly Input'!C386</f>
        <v/>
      </c>
      <c r="D386" s="18">
        <f>IF(B386="","",IFERROR(INDEX('Master Data'!$B$6:$B$145,MATCH(B386,'Master Data'!$A$6:$A$145,0)),""))</f>
        <v/>
      </c>
      <c r="E386" s="18">
        <f>IF(C386="","",IFERROR(INDEX('Master Data'!$H$6:$H$13,MATCH(C386,'Master Data'!$F$6:$F$13,0)),""))</f>
        <v/>
      </c>
      <c r="F386" s="19">
        <f>'Weekly Input'!A386</f>
        <v/>
      </c>
      <c r="G386" s="19">
        <f>IF(B386="","",IFERROR(INDEX('Master Data'!$D$6:$D$145,MATCH(B386,'Master Data'!$A$6:$A$145,0)),""))</f>
        <v/>
      </c>
      <c r="H386" s="18">
        <f>IF(OR(F386="",G386=""),"",F386-G386)</f>
        <v/>
      </c>
      <c r="I386" s="18">
        <f>IF(B386="","",IF('Weekly Input'!J386="OK",TRUE,FALSE))</f>
        <v/>
      </c>
      <c r="J386" s="18">
        <f>IF(B386="","",'Weekly Input'!H386&gt;=MinInStockDays)</f>
        <v/>
      </c>
      <c r="K386" s="18">
        <f>IF(B386="","",H386&gt;=FullCycleMin)</f>
        <v/>
      </c>
      <c r="L386" s="18">
        <f>IF(B386="","",AND(I386,J386,K386,N386&gt;=MinHistory))</f>
        <v/>
      </c>
      <c r="M386" s="20">
        <f>IF(OR(B386="",'Weekly Input'!H386=0),"",'Weekly Input'!D386/'Weekly Input'!H386*7)</f>
        <v/>
      </c>
      <c r="N386" s="18">
        <f>IF(B386="","",COUNTIFS($B$5:$B$504,B386,$C$5:$C$504,C386,$I$5:$I$504,TRUE,$J$5:$J$504,TRUE,$K$5:$K$504,TRUE))</f>
        <v/>
      </c>
      <c r="O386" s="18">
        <f>IF(B386="","",AND(F386=AsOfWeek,AsOfWeek&lt;&gt;""))</f>
        <v/>
      </c>
      <c r="P386" s="20">
        <f>IF(OR(B386="",AsOfWeek=""),"",IFERROR(SUMIFS($M$5:$M$504,$B$5:$B$504,B386,$C$5:$C$504,C386,$L$5:$L$504,TRUE,$F$5:$F$504,"&gt;="&amp;AsOfWeek-7*(RecentWeeks-1),$F$5:$F$504,"&lt;="&amp;AsOfWeek),""))</f>
        <v/>
      </c>
      <c r="Q386" s="20">
        <f>IF(OR(B386="",AsOfWeek=""),"",IFERROR(SUMIFS($M$5:$M$504,$B$5:$B$504,B386,$C$5:$C$504,C386,$L$5:$L$504,TRUE,$F$5:$F$504,"&gt;="&amp;AsOfWeek-7*(RecentWeeks+PriorWeeks-1),$F$5:$F$504,"&lt;"&amp;AsOfWeek-7*(RecentWeeks-1)),""))</f>
        <v/>
      </c>
      <c r="R386" s="21">
        <f>IF(OR(P386="",Q386="",Q386=0),"",P386/Q386-1)</f>
        <v/>
      </c>
      <c r="S386" s="20">
        <f>IF(OR(C386="",AsOfWeek=""),"",IFERROR(AVERAGEIFS($M$5:$M$504,$C$5:$C$504,C386,$L$5:$L$504,TRUE,$F$5:$F$504,"&gt;="&amp;AsOfWeek-7*(RecentWeeks-1),$F$5:$F$504,"&lt;="&amp;AsOfWeek),""))</f>
        <v/>
      </c>
      <c r="T386" s="21">
        <f>IF(OR(P386="",S386=""),"",P386/S386-1)</f>
        <v/>
      </c>
      <c r="U386" s="22">
        <f>IF(OR(B386="",'Weekly Input'!G386="",P386="",P386=0),"",'Weekly Input'!G386/P386)</f>
        <v/>
      </c>
      <c r="V386" s="18">
        <f>IF(B386="","",IF(NOT(I386),"Not Ready",IF(NOT(K386),"Not Ready",IF(N386&lt;MinHistory,"Not Ready",IF(NOT(J386),"Not Ready",IF(OR(Q386="",Q386=0),"Noise",IF(Q386&lt;LowBaseThreshold,"Noise",IF(AND(R386&lt;=-OwnDecline,T386&lt;=-PeerGapThreshold),"Markdown Review",IF(AND(R386&gt;=ReorderUplift,U386&lt;&gt;"",U386&lt;=WeeksSupplyCap),"Reorder Candidate","Monitor"))))))))</f>
        <v/>
      </c>
      <c r="W386" s="18">
        <f>IF(B386="","",IF(NOT(I386),"INVALID_MASTER",IF(NOT(K386),"INCOMPLETE_SHELF_CYCLE",IF(N386&lt;MinHistory,"INSUFFICIENT_HISTORY",IF(NOT(J386),"INSUFFICIENT_IN_STOCK",IF(OR(Q386="",Q386=0),"NO_PRIOR_BASE",IF(Q386&lt;LowBaseThreshold,"LOW_BASE_NOISE",IF(V386="Markdown Review","MARKDOWN_PEER_GAP",IF(V386="Reorder Candidate","REORDER_UPLIFT_COVER","NO_MATERIAL_CHANGE"))))))))</f>
        <v/>
      </c>
      <c r="X386" s="18">
        <f>IF(V386="Markdown Review","Markdown support",IF(V386="Reorder Candidate","Second reorder",IF(V386="Monitor","Monitor",IF(V386="Noise","Hold / collect data",IF(V386="Not Ready","Not ready","")))))</f>
        <v/>
      </c>
      <c r="Y386" s="18">
        <f>IF(OR(R386="",T386=""),"",ABS(R386)+ABS(T386))</f>
        <v/>
      </c>
      <c r="Z386" s="21">
        <f>IF(OR(B386="",NOT(O386),R386=""),"",IF(ABS(R386)&gt;=MaterialThreshold,"Yes","No"))</f>
        <v/>
      </c>
      <c r="AA386" s="18">
        <f>IF(Z386&lt;&gt;"Yes","",IF(ABS(R386)&gt;=MaterialThreshold,IF(ABS(R386)&gt;=BroadShare,"Broad SKU movement","Store-concentrated movement"),""))</f>
        <v/>
      </c>
      <c r="AB386" s="18">
        <f>IF(O386,IF(COUNTIFS($O$5:O386,TRUE)&gt;0,COUNTIFS($O$5:O386,TRUE),0),0)</f>
        <v/>
      </c>
      <c r="AC386" s="18">
        <f>IF(V386="Markdown Review",1,IF(V386="Reorder Candidate",2,IF(V386="Monitor",3,IF(V386="Noise",4,IF(V386="Not Ready",5,99)))))</f>
        <v/>
      </c>
      <c r="AD386" s="18">
        <f>IF(O386,COUNTIFS($O$5:$O$504,TRUE,$AC$5:$AC$504,"&lt;"&amp;AC386)+COUNTIFS($O$5:O386,TRUE,$AC$5:AC386,AC386,$Y$5:Y386,"&gt;"&amp;Y386),0)</f>
        <v/>
      </c>
    </row>
    <row r="387">
      <c r="A387" s="17">
        <f>IF(COUNTA('Weekly Input'!A387:C387)=0,"",'Weekly Input'!B387&amp;"|"&amp;'Weekly Input'!C387&amp;"|"&amp;TEXT('Weekly Input'!A387,"yyyy-mm-dd"))</f>
        <v/>
      </c>
      <c r="B387" s="18">
        <f>'Weekly Input'!B387</f>
        <v/>
      </c>
      <c r="C387" s="18">
        <f>'Weekly Input'!C387</f>
        <v/>
      </c>
      <c r="D387" s="18">
        <f>IF(B387="","",IFERROR(INDEX('Master Data'!$B$6:$B$145,MATCH(B387,'Master Data'!$A$6:$A$145,0)),""))</f>
        <v/>
      </c>
      <c r="E387" s="18">
        <f>IF(C387="","",IFERROR(INDEX('Master Data'!$H$6:$H$13,MATCH(C387,'Master Data'!$F$6:$F$13,0)),""))</f>
        <v/>
      </c>
      <c r="F387" s="19">
        <f>'Weekly Input'!A387</f>
        <v/>
      </c>
      <c r="G387" s="19">
        <f>IF(B387="","",IFERROR(INDEX('Master Data'!$D$6:$D$145,MATCH(B387,'Master Data'!$A$6:$A$145,0)),""))</f>
        <v/>
      </c>
      <c r="H387" s="18">
        <f>IF(OR(F387="",G387=""),"",F387-G387)</f>
        <v/>
      </c>
      <c r="I387" s="18">
        <f>IF(B387="","",IF('Weekly Input'!J387="OK",TRUE,FALSE))</f>
        <v/>
      </c>
      <c r="J387" s="18">
        <f>IF(B387="","",'Weekly Input'!H387&gt;=MinInStockDays)</f>
        <v/>
      </c>
      <c r="K387" s="18">
        <f>IF(B387="","",H387&gt;=FullCycleMin)</f>
        <v/>
      </c>
      <c r="L387" s="18">
        <f>IF(B387="","",AND(I387,J387,K387,N387&gt;=MinHistory))</f>
        <v/>
      </c>
      <c r="M387" s="20">
        <f>IF(OR(B387="",'Weekly Input'!H387=0),"",'Weekly Input'!D387/'Weekly Input'!H387*7)</f>
        <v/>
      </c>
      <c r="N387" s="18">
        <f>IF(B387="","",COUNTIFS($B$5:$B$504,B387,$C$5:$C$504,C387,$I$5:$I$504,TRUE,$J$5:$J$504,TRUE,$K$5:$K$504,TRUE))</f>
        <v/>
      </c>
      <c r="O387" s="18">
        <f>IF(B387="","",AND(F387=AsOfWeek,AsOfWeek&lt;&gt;""))</f>
        <v/>
      </c>
      <c r="P387" s="20">
        <f>IF(OR(B387="",AsOfWeek=""),"",IFERROR(SUMIFS($M$5:$M$504,$B$5:$B$504,B387,$C$5:$C$504,C387,$L$5:$L$504,TRUE,$F$5:$F$504,"&gt;="&amp;AsOfWeek-7*(RecentWeeks-1),$F$5:$F$504,"&lt;="&amp;AsOfWeek),""))</f>
        <v/>
      </c>
      <c r="Q387" s="20">
        <f>IF(OR(B387="",AsOfWeek=""),"",IFERROR(SUMIFS($M$5:$M$504,$B$5:$B$504,B387,$C$5:$C$504,C387,$L$5:$L$504,TRUE,$F$5:$F$504,"&gt;="&amp;AsOfWeek-7*(RecentWeeks+PriorWeeks-1),$F$5:$F$504,"&lt;"&amp;AsOfWeek-7*(RecentWeeks-1)),""))</f>
        <v/>
      </c>
      <c r="R387" s="21">
        <f>IF(OR(P387="",Q387="",Q387=0),"",P387/Q387-1)</f>
        <v/>
      </c>
      <c r="S387" s="20">
        <f>IF(OR(C387="",AsOfWeek=""),"",IFERROR(AVERAGEIFS($M$5:$M$504,$C$5:$C$504,C387,$L$5:$L$504,TRUE,$F$5:$F$504,"&gt;="&amp;AsOfWeek-7*(RecentWeeks-1),$F$5:$F$504,"&lt;="&amp;AsOfWeek),""))</f>
        <v/>
      </c>
      <c r="T387" s="21">
        <f>IF(OR(P387="",S387=""),"",P387/S387-1)</f>
        <v/>
      </c>
      <c r="U387" s="22">
        <f>IF(OR(B387="",'Weekly Input'!G387="",P387="",P387=0),"",'Weekly Input'!G387/P387)</f>
        <v/>
      </c>
      <c r="V387" s="18">
        <f>IF(B387="","",IF(NOT(I387),"Not Ready",IF(NOT(K387),"Not Ready",IF(N387&lt;MinHistory,"Not Ready",IF(NOT(J387),"Not Ready",IF(OR(Q387="",Q387=0),"Noise",IF(Q387&lt;LowBaseThreshold,"Noise",IF(AND(R387&lt;=-OwnDecline,T387&lt;=-PeerGapThreshold),"Markdown Review",IF(AND(R387&gt;=ReorderUplift,U387&lt;&gt;"",U387&lt;=WeeksSupplyCap),"Reorder Candidate","Monitor"))))))))</f>
        <v/>
      </c>
      <c r="W387" s="18">
        <f>IF(B387="","",IF(NOT(I387),"INVALID_MASTER",IF(NOT(K387),"INCOMPLETE_SHELF_CYCLE",IF(N387&lt;MinHistory,"INSUFFICIENT_HISTORY",IF(NOT(J387),"INSUFFICIENT_IN_STOCK",IF(OR(Q387="",Q387=0),"NO_PRIOR_BASE",IF(Q387&lt;LowBaseThreshold,"LOW_BASE_NOISE",IF(V387="Markdown Review","MARKDOWN_PEER_GAP",IF(V387="Reorder Candidate","REORDER_UPLIFT_COVER","NO_MATERIAL_CHANGE"))))))))</f>
        <v/>
      </c>
      <c r="X387" s="18">
        <f>IF(V387="Markdown Review","Markdown support",IF(V387="Reorder Candidate","Second reorder",IF(V387="Monitor","Monitor",IF(V387="Noise","Hold / collect data",IF(V387="Not Ready","Not ready","")))))</f>
        <v/>
      </c>
      <c r="Y387" s="18">
        <f>IF(OR(R387="",T387=""),"",ABS(R387)+ABS(T387))</f>
        <v/>
      </c>
      <c r="Z387" s="21">
        <f>IF(OR(B387="",NOT(O387),R387=""),"",IF(ABS(R387)&gt;=MaterialThreshold,"Yes","No"))</f>
        <v/>
      </c>
      <c r="AA387" s="18">
        <f>IF(Z387&lt;&gt;"Yes","",IF(ABS(R387)&gt;=MaterialThreshold,IF(ABS(R387)&gt;=BroadShare,"Broad SKU movement","Store-concentrated movement"),""))</f>
        <v/>
      </c>
      <c r="AB387" s="18">
        <f>IF(O387,IF(COUNTIFS($O$5:O387,TRUE)&gt;0,COUNTIFS($O$5:O387,TRUE),0),0)</f>
        <v/>
      </c>
      <c r="AC387" s="18">
        <f>IF(V387="Markdown Review",1,IF(V387="Reorder Candidate",2,IF(V387="Monitor",3,IF(V387="Noise",4,IF(V387="Not Ready",5,99)))))</f>
        <v/>
      </c>
      <c r="AD387" s="18">
        <f>IF(O387,COUNTIFS($O$5:$O$504,TRUE,$AC$5:$AC$504,"&lt;"&amp;AC387)+COUNTIFS($O$5:O387,TRUE,$AC$5:AC387,AC387,$Y$5:Y387,"&gt;"&amp;Y387),0)</f>
        <v/>
      </c>
    </row>
    <row r="388">
      <c r="A388" s="17">
        <f>IF(COUNTA('Weekly Input'!A388:C388)=0,"",'Weekly Input'!B388&amp;"|"&amp;'Weekly Input'!C388&amp;"|"&amp;TEXT('Weekly Input'!A388,"yyyy-mm-dd"))</f>
        <v/>
      </c>
      <c r="B388" s="18">
        <f>'Weekly Input'!B388</f>
        <v/>
      </c>
      <c r="C388" s="18">
        <f>'Weekly Input'!C388</f>
        <v/>
      </c>
      <c r="D388" s="18">
        <f>IF(B388="","",IFERROR(INDEX('Master Data'!$B$6:$B$145,MATCH(B388,'Master Data'!$A$6:$A$145,0)),""))</f>
        <v/>
      </c>
      <c r="E388" s="18">
        <f>IF(C388="","",IFERROR(INDEX('Master Data'!$H$6:$H$13,MATCH(C388,'Master Data'!$F$6:$F$13,0)),""))</f>
        <v/>
      </c>
      <c r="F388" s="19">
        <f>'Weekly Input'!A388</f>
        <v/>
      </c>
      <c r="G388" s="19">
        <f>IF(B388="","",IFERROR(INDEX('Master Data'!$D$6:$D$145,MATCH(B388,'Master Data'!$A$6:$A$145,0)),""))</f>
        <v/>
      </c>
      <c r="H388" s="18">
        <f>IF(OR(F388="",G388=""),"",F388-G388)</f>
        <v/>
      </c>
      <c r="I388" s="18">
        <f>IF(B388="","",IF('Weekly Input'!J388="OK",TRUE,FALSE))</f>
        <v/>
      </c>
      <c r="J388" s="18">
        <f>IF(B388="","",'Weekly Input'!H388&gt;=MinInStockDays)</f>
        <v/>
      </c>
      <c r="K388" s="18">
        <f>IF(B388="","",H388&gt;=FullCycleMin)</f>
        <v/>
      </c>
      <c r="L388" s="18">
        <f>IF(B388="","",AND(I388,J388,K388,N388&gt;=MinHistory))</f>
        <v/>
      </c>
      <c r="M388" s="20">
        <f>IF(OR(B388="",'Weekly Input'!H388=0),"",'Weekly Input'!D388/'Weekly Input'!H388*7)</f>
        <v/>
      </c>
      <c r="N388" s="18">
        <f>IF(B388="","",COUNTIFS($B$5:$B$504,B388,$C$5:$C$504,C388,$I$5:$I$504,TRUE,$J$5:$J$504,TRUE,$K$5:$K$504,TRUE))</f>
        <v/>
      </c>
      <c r="O388" s="18">
        <f>IF(B388="","",AND(F388=AsOfWeek,AsOfWeek&lt;&gt;""))</f>
        <v/>
      </c>
      <c r="P388" s="20">
        <f>IF(OR(B388="",AsOfWeek=""),"",IFERROR(SUMIFS($M$5:$M$504,$B$5:$B$504,B388,$C$5:$C$504,C388,$L$5:$L$504,TRUE,$F$5:$F$504,"&gt;="&amp;AsOfWeek-7*(RecentWeeks-1),$F$5:$F$504,"&lt;="&amp;AsOfWeek),""))</f>
        <v/>
      </c>
      <c r="Q388" s="20">
        <f>IF(OR(B388="",AsOfWeek=""),"",IFERROR(SUMIFS($M$5:$M$504,$B$5:$B$504,B388,$C$5:$C$504,C388,$L$5:$L$504,TRUE,$F$5:$F$504,"&gt;="&amp;AsOfWeek-7*(RecentWeeks+PriorWeeks-1),$F$5:$F$504,"&lt;"&amp;AsOfWeek-7*(RecentWeeks-1)),""))</f>
        <v/>
      </c>
      <c r="R388" s="21">
        <f>IF(OR(P388="",Q388="",Q388=0),"",P388/Q388-1)</f>
        <v/>
      </c>
      <c r="S388" s="20">
        <f>IF(OR(C388="",AsOfWeek=""),"",IFERROR(AVERAGEIFS($M$5:$M$504,$C$5:$C$504,C388,$L$5:$L$504,TRUE,$F$5:$F$504,"&gt;="&amp;AsOfWeek-7*(RecentWeeks-1),$F$5:$F$504,"&lt;="&amp;AsOfWeek),""))</f>
        <v/>
      </c>
      <c r="T388" s="21">
        <f>IF(OR(P388="",S388=""),"",P388/S388-1)</f>
        <v/>
      </c>
      <c r="U388" s="22">
        <f>IF(OR(B388="",'Weekly Input'!G388="",P388="",P388=0),"",'Weekly Input'!G388/P388)</f>
        <v/>
      </c>
      <c r="V388" s="18">
        <f>IF(B388="","",IF(NOT(I388),"Not Ready",IF(NOT(K388),"Not Ready",IF(N388&lt;MinHistory,"Not Ready",IF(NOT(J388),"Not Ready",IF(OR(Q388="",Q388=0),"Noise",IF(Q388&lt;LowBaseThreshold,"Noise",IF(AND(R388&lt;=-OwnDecline,T388&lt;=-PeerGapThreshold),"Markdown Review",IF(AND(R388&gt;=ReorderUplift,U388&lt;&gt;"",U388&lt;=WeeksSupplyCap),"Reorder Candidate","Monitor"))))))))</f>
        <v/>
      </c>
      <c r="W388" s="18">
        <f>IF(B388="","",IF(NOT(I388),"INVALID_MASTER",IF(NOT(K388),"INCOMPLETE_SHELF_CYCLE",IF(N388&lt;MinHistory,"INSUFFICIENT_HISTORY",IF(NOT(J388),"INSUFFICIENT_IN_STOCK",IF(OR(Q388="",Q388=0),"NO_PRIOR_BASE",IF(Q388&lt;LowBaseThreshold,"LOW_BASE_NOISE",IF(V388="Markdown Review","MARKDOWN_PEER_GAP",IF(V388="Reorder Candidate","REORDER_UPLIFT_COVER","NO_MATERIAL_CHANGE"))))))))</f>
        <v/>
      </c>
      <c r="X388" s="18">
        <f>IF(V388="Markdown Review","Markdown support",IF(V388="Reorder Candidate","Second reorder",IF(V388="Monitor","Monitor",IF(V388="Noise","Hold / collect data",IF(V388="Not Ready","Not ready","")))))</f>
        <v/>
      </c>
      <c r="Y388" s="18">
        <f>IF(OR(R388="",T388=""),"",ABS(R388)+ABS(T388))</f>
        <v/>
      </c>
      <c r="Z388" s="21">
        <f>IF(OR(B388="",NOT(O388),R388=""),"",IF(ABS(R388)&gt;=MaterialThreshold,"Yes","No"))</f>
        <v/>
      </c>
      <c r="AA388" s="18">
        <f>IF(Z388&lt;&gt;"Yes","",IF(ABS(R388)&gt;=MaterialThreshold,IF(ABS(R388)&gt;=BroadShare,"Broad SKU movement","Store-concentrated movement"),""))</f>
        <v/>
      </c>
      <c r="AB388" s="18">
        <f>IF(O388,IF(COUNTIFS($O$5:O388,TRUE)&gt;0,COUNTIFS($O$5:O388,TRUE),0),0)</f>
        <v/>
      </c>
      <c r="AC388" s="18">
        <f>IF(V388="Markdown Review",1,IF(V388="Reorder Candidate",2,IF(V388="Monitor",3,IF(V388="Noise",4,IF(V388="Not Ready",5,99)))))</f>
        <v/>
      </c>
      <c r="AD388" s="18">
        <f>IF(O388,COUNTIFS($O$5:$O$504,TRUE,$AC$5:$AC$504,"&lt;"&amp;AC388)+COUNTIFS($O$5:O388,TRUE,$AC$5:AC388,AC388,$Y$5:Y388,"&gt;"&amp;Y388),0)</f>
        <v/>
      </c>
    </row>
    <row r="389">
      <c r="A389" s="17">
        <f>IF(COUNTA('Weekly Input'!A389:C389)=0,"",'Weekly Input'!B389&amp;"|"&amp;'Weekly Input'!C389&amp;"|"&amp;TEXT('Weekly Input'!A389,"yyyy-mm-dd"))</f>
        <v/>
      </c>
      <c r="B389" s="18">
        <f>'Weekly Input'!B389</f>
        <v/>
      </c>
      <c r="C389" s="18">
        <f>'Weekly Input'!C389</f>
        <v/>
      </c>
      <c r="D389" s="18">
        <f>IF(B389="","",IFERROR(INDEX('Master Data'!$B$6:$B$145,MATCH(B389,'Master Data'!$A$6:$A$145,0)),""))</f>
        <v/>
      </c>
      <c r="E389" s="18">
        <f>IF(C389="","",IFERROR(INDEX('Master Data'!$H$6:$H$13,MATCH(C389,'Master Data'!$F$6:$F$13,0)),""))</f>
        <v/>
      </c>
      <c r="F389" s="19">
        <f>'Weekly Input'!A389</f>
        <v/>
      </c>
      <c r="G389" s="19">
        <f>IF(B389="","",IFERROR(INDEX('Master Data'!$D$6:$D$145,MATCH(B389,'Master Data'!$A$6:$A$145,0)),""))</f>
        <v/>
      </c>
      <c r="H389" s="18">
        <f>IF(OR(F389="",G389=""),"",F389-G389)</f>
        <v/>
      </c>
      <c r="I389" s="18">
        <f>IF(B389="","",IF('Weekly Input'!J389="OK",TRUE,FALSE))</f>
        <v/>
      </c>
      <c r="J389" s="18">
        <f>IF(B389="","",'Weekly Input'!H389&gt;=MinInStockDays)</f>
        <v/>
      </c>
      <c r="K389" s="18">
        <f>IF(B389="","",H389&gt;=FullCycleMin)</f>
        <v/>
      </c>
      <c r="L389" s="18">
        <f>IF(B389="","",AND(I389,J389,K389,N389&gt;=MinHistory))</f>
        <v/>
      </c>
      <c r="M389" s="20">
        <f>IF(OR(B389="",'Weekly Input'!H389=0),"",'Weekly Input'!D389/'Weekly Input'!H389*7)</f>
        <v/>
      </c>
      <c r="N389" s="18">
        <f>IF(B389="","",COUNTIFS($B$5:$B$504,B389,$C$5:$C$504,C389,$I$5:$I$504,TRUE,$J$5:$J$504,TRUE,$K$5:$K$504,TRUE))</f>
        <v/>
      </c>
      <c r="O389" s="18">
        <f>IF(B389="","",AND(F389=AsOfWeek,AsOfWeek&lt;&gt;""))</f>
        <v/>
      </c>
      <c r="P389" s="20">
        <f>IF(OR(B389="",AsOfWeek=""),"",IFERROR(SUMIFS($M$5:$M$504,$B$5:$B$504,B389,$C$5:$C$504,C389,$L$5:$L$504,TRUE,$F$5:$F$504,"&gt;="&amp;AsOfWeek-7*(RecentWeeks-1),$F$5:$F$504,"&lt;="&amp;AsOfWeek),""))</f>
        <v/>
      </c>
      <c r="Q389" s="20">
        <f>IF(OR(B389="",AsOfWeek=""),"",IFERROR(SUMIFS($M$5:$M$504,$B$5:$B$504,B389,$C$5:$C$504,C389,$L$5:$L$504,TRUE,$F$5:$F$504,"&gt;="&amp;AsOfWeek-7*(RecentWeeks+PriorWeeks-1),$F$5:$F$504,"&lt;"&amp;AsOfWeek-7*(RecentWeeks-1)),""))</f>
        <v/>
      </c>
      <c r="R389" s="21">
        <f>IF(OR(P389="",Q389="",Q389=0),"",P389/Q389-1)</f>
        <v/>
      </c>
      <c r="S389" s="20">
        <f>IF(OR(C389="",AsOfWeek=""),"",IFERROR(AVERAGEIFS($M$5:$M$504,$C$5:$C$504,C389,$L$5:$L$504,TRUE,$F$5:$F$504,"&gt;="&amp;AsOfWeek-7*(RecentWeeks-1),$F$5:$F$504,"&lt;="&amp;AsOfWeek),""))</f>
        <v/>
      </c>
      <c r="T389" s="21">
        <f>IF(OR(P389="",S389=""),"",P389/S389-1)</f>
        <v/>
      </c>
      <c r="U389" s="22">
        <f>IF(OR(B389="",'Weekly Input'!G389="",P389="",P389=0),"",'Weekly Input'!G389/P389)</f>
        <v/>
      </c>
      <c r="V389" s="18">
        <f>IF(B389="","",IF(NOT(I389),"Not Ready",IF(NOT(K389),"Not Ready",IF(N389&lt;MinHistory,"Not Ready",IF(NOT(J389),"Not Ready",IF(OR(Q389="",Q389=0),"Noise",IF(Q389&lt;LowBaseThreshold,"Noise",IF(AND(R389&lt;=-OwnDecline,T389&lt;=-PeerGapThreshold),"Markdown Review",IF(AND(R389&gt;=ReorderUplift,U389&lt;&gt;"",U389&lt;=WeeksSupplyCap),"Reorder Candidate","Monitor"))))))))</f>
        <v/>
      </c>
      <c r="W389" s="18">
        <f>IF(B389="","",IF(NOT(I389),"INVALID_MASTER",IF(NOT(K389),"INCOMPLETE_SHELF_CYCLE",IF(N389&lt;MinHistory,"INSUFFICIENT_HISTORY",IF(NOT(J389),"INSUFFICIENT_IN_STOCK",IF(OR(Q389="",Q389=0),"NO_PRIOR_BASE",IF(Q389&lt;LowBaseThreshold,"LOW_BASE_NOISE",IF(V389="Markdown Review","MARKDOWN_PEER_GAP",IF(V389="Reorder Candidate","REORDER_UPLIFT_COVER","NO_MATERIAL_CHANGE"))))))))</f>
        <v/>
      </c>
      <c r="X389" s="18">
        <f>IF(V389="Markdown Review","Markdown support",IF(V389="Reorder Candidate","Second reorder",IF(V389="Monitor","Monitor",IF(V389="Noise","Hold / collect data",IF(V389="Not Ready","Not ready","")))))</f>
        <v/>
      </c>
      <c r="Y389" s="18">
        <f>IF(OR(R389="",T389=""),"",ABS(R389)+ABS(T389))</f>
        <v/>
      </c>
      <c r="Z389" s="21">
        <f>IF(OR(B389="",NOT(O389),R389=""),"",IF(ABS(R389)&gt;=MaterialThreshold,"Yes","No"))</f>
        <v/>
      </c>
      <c r="AA389" s="18">
        <f>IF(Z389&lt;&gt;"Yes","",IF(ABS(R389)&gt;=MaterialThreshold,IF(ABS(R389)&gt;=BroadShare,"Broad SKU movement","Store-concentrated movement"),""))</f>
        <v/>
      </c>
      <c r="AB389" s="18">
        <f>IF(O389,IF(COUNTIFS($O$5:O389,TRUE)&gt;0,COUNTIFS($O$5:O389,TRUE),0),0)</f>
        <v/>
      </c>
      <c r="AC389" s="18">
        <f>IF(V389="Markdown Review",1,IF(V389="Reorder Candidate",2,IF(V389="Monitor",3,IF(V389="Noise",4,IF(V389="Not Ready",5,99)))))</f>
        <v/>
      </c>
      <c r="AD389" s="18">
        <f>IF(O389,COUNTIFS($O$5:$O$504,TRUE,$AC$5:$AC$504,"&lt;"&amp;AC389)+COUNTIFS($O$5:O389,TRUE,$AC$5:AC389,AC389,$Y$5:Y389,"&gt;"&amp;Y389),0)</f>
        <v/>
      </c>
    </row>
    <row r="390">
      <c r="A390" s="17">
        <f>IF(COUNTA('Weekly Input'!A390:C390)=0,"",'Weekly Input'!B390&amp;"|"&amp;'Weekly Input'!C390&amp;"|"&amp;TEXT('Weekly Input'!A390,"yyyy-mm-dd"))</f>
        <v/>
      </c>
      <c r="B390" s="18">
        <f>'Weekly Input'!B390</f>
        <v/>
      </c>
      <c r="C390" s="18">
        <f>'Weekly Input'!C390</f>
        <v/>
      </c>
      <c r="D390" s="18">
        <f>IF(B390="","",IFERROR(INDEX('Master Data'!$B$6:$B$145,MATCH(B390,'Master Data'!$A$6:$A$145,0)),""))</f>
        <v/>
      </c>
      <c r="E390" s="18">
        <f>IF(C390="","",IFERROR(INDEX('Master Data'!$H$6:$H$13,MATCH(C390,'Master Data'!$F$6:$F$13,0)),""))</f>
        <v/>
      </c>
      <c r="F390" s="19">
        <f>'Weekly Input'!A390</f>
        <v/>
      </c>
      <c r="G390" s="19">
        <f>IF(B390="","",IFERROR(INDEX('Master Data'!$D$6:$D$145,MATCH(B390,'Master Data'!$A$6:$A$145,0)),""))</f>
        <v/>
      </c>
      <c r="H390" s="18">
        <f>IF(OR(F390="",G390=""),"",F390-G390)</f>
        <v/>
      </c>
      <c r="I390" s="18">
        <f>IF(B390="","",IF('Weekly Input'!J390="OK",TRUE,FALSE))</f>
        <v/>
      </c>
      <c r="J390" s="18">
        <f>IF(B390="","",'Weekly Input'!H390&gt;=MinInStockDays)</f>
        <v/>
      </c>
      <c r="K390" s="18">
        <f>IF(B390="","",H390&gt;=FullCycleMin)</f>
        <v/>
      </c>
      <c r="L390" s="18">
        <f>IF(B390="","",AND(I390,J390,K390,N390&gt;=MinHistory))</f>
        <v/>
      </c>
      <c r="M390" s="20">
        <f>IF(OR(B390="",'Weekly Input'!H390=0),"",'Weekly Input'!D390/'Weekly Input'!H390*7)</f>
        <v/>
      </c>
      <c r="N390" s="18">
        <f>IF(B390="","",COUNTIFS($B$5:$B$504,B390,$C$5:$C$504,C390,$I$5:$I$504,TRUE,$J$5:$J$504,TRUE,$K$5:$K$504,TRUE))</f>
        <v/>
      </c>
      <c r="O390" s="18">
        <f>IF(B390="","",AND(F390=AsOfWeek,AsOfWeek&lt;&gt;""))</f>
        <v/>
      </c>
      <c r="P390" s="20">
        <f>IF(OR(B390="",AsOfWeek=""),"",IFERROR(SUMIFS($M$5:$M$504,$B$5:$B$504,B390,$C$5:$C$504,C390,$L$5:$L$504,TRUE,$F$5:$F$504,"&gt;="&amp;AsOfWeek-7*(RecentWeeks-1),$F$5:$F$504,"&lt;="&amp;AsOfWeek),""))</f>
        <v/>
      </c>
      <c r="Q390" s="20">
        <f>IF(OR(B390="",AsOfWeek=""),"",IFERROR(SUMIFS($M$5:$M$504,$B$5:$B$504,B390,$C$5:$C$504,C390,$L$5:$L$504,TRUE,$F$5:$F$504,"&gt;="&amp;AsOfWeek-7*(RecentWeeks+PriorWeeks-1),$F$5:$F$504,"&lt;"&amp;AsOfWeek-7*(RecentWeeks-1)),""))</f>
        <v/>
      </c>
      <c r="R390" s="21">
        <f>IF(OR(P390="",Q390="",Q390=0),"",P390/Q390-1)</f>
        <v/>
      </c>
      <c r="S390" s="20">
        <f>IF(OR(C390="",AsOfWeek=""),"",IFERROR(AVERAGEIFS($M$5:$M$504,$C$5:$C$504,C390,$L$5:$L$504,TRUE,$F$5:$F$504,"&gt;="&amp;AsOfWeek-7*(RecentWeeks-1),$F$5:$F$504,"&lt;="&amp;AsOfWeek),""))</f>
        <v/>
      </c>
      <c r="T390" s="21">
        <f>IF(OR(P390="",S390=""),"",P390/S390-1)</f>
        <v/>
      </c>
      <c r="U390" s="22">
        <f>IF(OR(B390="",'Weekly Input'!G390="",P390="",P390=0),"",'Weekly Input'!G390/P390)</f>
        <v/>
      </c>
      <c r="V390" s="18">
        <f>IF(B390="","",IF(NOT(I390),"Not Ready",IF(NOT(K390),"Not Ready",IF(N390&lt;MinHistory,"Not Ready",IF(NOT(J390),"Not Ready",IF(OR(Q390="",Q390=0),"Noise",IF(Q390&lt;LowBaseThreshold,"Noise",IF(AND(R390&lt;=-OwnDecline,T390&lt;=-PeerGapThreshold),"Markdown Review",IF(AND(R390&gt;=ReorderUplift,U390&lt;&gt;"",U390&lt;=WeeksSupplyCap),"Reorder Candidate","Monitor"))))))))</f>
        <v/>
      </c>
      <c r="W390" s="18">
        <f>IF(B390="","",IF(NOT(I390),"INVALID_MASTER",IF(NOT(K390),"INCOMPLETE_SHELF_CYCLE",IF(N390&lt;MinHistory,"INSUFFICIENT_HISTORY",IF(NOT(J390),"INSUFFICIENT_IN_STOCK",IF(OR(Q390="",Q390=0),"NO_PRIOR_BASE",IF(Q390&lt;LowBaseThreshold,"LOW_BASE_NOISE",IF(V390="Markdown Review","MARKDOWN_PEER_GAP",IF(V390="Reorder Candidate","REORDER_UPLIFT_COVER","NO_MATERIAL_CHANGE"))))))))</f>
        <v/>
      </c>
      <c r="X390" s="18">
        <f>IF(V390="Markdown Review","Markdown support",IF(V390="Reorder Candidate","Second reorder",IF(V390="Monitor","Monitor",IF(V390="Noise","Hold / collect data",IF(V390="Not Ready","Not ready","")))))</f>
        <v/>
      </c>
      <c r="Y390" s="18">
        <f>IF(OR(R390="",T390=""),"",ABS(R390)+ABS(T390))</f>
        <v/>
      </c>
      <c r="Z390" s="21">
        <f>IF(OR(B390="",NOT(O390),R390=""),"",IF(ABS(R390)&gt;=MaterialThreshold,"Yes","No"))</f>
        <v/>
      </c>
      <c r="AA390" s="18">
        <f>IF(Z390&lt;&gt;"Yes","",IF(ABS(R390)&gt;=MaterialThreshold,IF(ABS(R390)&gt;=BroadShare,"Broad SKU movement","Store-concentrated movement"),""))</f>
        <v/>
      </c>
      <c r="AB390" s="18">
        <f>IF(O390,IF(COUNTIFS($O$5:O390,TRUE)&gt;0,COUNTIFS($O$5:O390,TRUE),0),0)</f>
        <v/>
      </c>
      <c r="AC390" s="18">
        <f>IF(V390="Markdown Review",1,IF(V390="Reorder Candidate",2,IF(V390="Monitor",3,IF(V390="Noise",4,IF(V390="Not Ready",5,99)))))</f>
        <v/>
      </c>
      <c r="AD390" s="18">
        <f>IF(O390,COUNTIFS($O$5:$O$504,TRUE,$AC$5:$AC$504,"&lt;"&amp;AC390)+COUNTIFS($O$5:O390,TRUE,$AC$5:AC390,AC390,$Y$5:Y390,"&gt;"&amp;Y390),0)</f>
        <v/>
      </c>
    </row>
    <row r="391">
      <c r="A391" s="17">
        <f>IF(COUNTA('Weekly Input'!A391:C391)=0,"",'Weekly Input'!B391&amp;"|"&amp;'Weekly Input'!C391&amp;"|"&amp;TEXT('Weekly Input'!A391,"yyyy-mm-dd"))</f>
        <v/>
      </c>
      <c r="B391" s="18">
        <f>'Weekly Input'!B391</f>
        <v/>
      </c>
      <c r="C391" s="18">
        <f>'Weekly Input'!C391</f>
        <v/>
      </c>
      <c r="D391" s="18">
        <f>IF(B391="","",IFERROR(INDEX('Master Data'!$B$6:$B$145,MATCH(B391,'Master Data'!$A$6:$A$145,0)),""))</f>
        <v/>
      </c>
      <c r="E391" s="18">
        <f>IF(C391="","",IFERROR(INDEX('Master Data'!$H$6:$H$13,MATCH(C391,'Master Data'!$F$6:$F$13,0)),""))</f>
        <v/>
      </c>
      <c r="F391" s="19">
        <f>'Weekly Input'!A391</f>
        <v/>
      </c>
      <c r="G391" s="19">
        <f>IF(B391="","",IFERROR(INDEX('Master Data'!$D$6:$D$145,MATCH(B391,'Master Data'!$A$6:$A$145,0)),""))</f>
        <v/>
      </c>
      <c r="H391" s="18">
        <f>IF(OR(F391="",G391=""),"",F391-G391)</f>
        <v/>
      </c>
      <c r="I391" s="18">
        <f>IF(B391="","",IF('Weekly Input'!J391="OK",TRUE,FALSE))</f>
        <v/>
      </c>
      <c r="J391" s="18">
        <f>IF(B391="","",'Weekly Input'!H391&gt;=MinInStockDays)</f>
        <v/>
      </c>
      <c r="K391" s="18">
        <f>IF(B391="","",H391&gt;=FullCycleMin)</f>
        <v/>
      </c>
      <c r="L391" s="18">
        <f>IF(B391="","",AND(I391,J391,K391,N391&gt;=MinHistory))</f>
        <v/>
      </c>
      <c r="M391" s="20">
        <f>IF(OR(B391="",'Weekly Input'!H391=0),"",'Weekly Input'!D391/'Weekly Input'!H391*7)</f>
        <v/>
      </c>
      <c r="N391" s="18">
        <f>IF(B391="","",COUNTIFS($B$5:$B$504,B391,$C$5:$C$504,C391,$I$5:$I$504,TRUE,$J$5:$J$504,TRUE,$K$5:$K$504,TRUE))</f>
        <v/>
      </c>
      <c r="O391" s="18">
        <f>IF(B391="","",AND(F391=AsOfWeek,AsOfWeek&lt;&gt;""))</f>
        <v/>
      </c>
      <c r="P391" s="20">
        <f>IF(OR(B391="",AsOfWeek=""),"",IFERROR(SUMIFS($M$5:$M$504,$B$5:$B$504,B391,$C$5:$C$504,C391,$L$5:$L$504,TRUE,$F$5:$F$504,"&gt;="&amp;AsOfWeek-7*(RecentWeeks-1),$F$5:$F$504,"&lt;="&amp;AsOfWeek),""))</f>
        <v/>
      </c>
      <c r="Q391" s="20">
        <f>IF(OR(B391="",AsOfWeek=""),"",IFERROR(SUMIFS($M$5:$M$504,$B$5:$B$504,B391,$C$5:$C$504,C391,$L$5:$L$504,TRUE,$F$5:$F$504,"&gt;="&amp;AsOfWeek-7*(RecentWeeks+PriorWeeks-1),$F$5:$F$504,"&lt;"&amp;AsOfWeek-7*(RecentWeeks-1)),""))</f>
        <v/>
      </c>
      <c r="R391" s="21">
        <f>IF(OR(P391="",Q391="",Q391=0),"",P391/Q391-1)</f>
        <v/>
      </c>
      <c r="S391" s="20">
        <f>IF(OR(C391="",AsOfWeek=""),"",IFERROR(AVERAGEIFS($M$5:$M$504,$C$5:$C$504,C391,$L$5:$L$504,TRUE,$F$5:$F$504,"&gt;="&amp;AsOfWeek-7*(RecentWeeks-1),$F$5:$F$504,"&lt;="&amp;AsOfWeek),""))</f>
        <v/>
      </c>
      <c r="T391" s="21">
        <f>IF(OR(P391="",S391=""),"",P391/S391-1)</f>
        <v/>
      </c>
      <c r="U391" s="22">
        <f>IF(OR(B391="",'Weekly Input'!G391="",P391="",P391=0),"",'Weekly Input'!G391/P391)</f>
        <v/>
      </c>
      <c r="V391" s="18">
        <f>IF(B391="","",IF(NOT(I391),"Not Ready",IF(NOT(K391),"Not Ready",IF(N391&lt;MinHistory,"Not Ready",IF(NOT(J391),"Not Ready",IF(OR(Q391="",Q391=0),"Noise",IF(Q391&lt;LowBaseThreshold,"Noise",IF(AND(R391&lt;=-OwnDecline,T391&lt;=-PeerGapThreshold),"Markdown Review",IF(AND(R391&gt;=ReorderUplift,U391&lt;&gt;"",U391&lt;=WeeksSupplyCap),"Reorder Candidate","Monitor"))))))))</f>
        <v/>
      </c>
      <c r="W391" s="18">
        <f>IF(B391="","",IF(NOT(I391),"INVALID_MASTER",IF(NOT(K391),"INCOMPLETE_SHELF_CYCLE",IF(N391&lt;MinHistory,"INSUFFICIENT_HISTORY",IF(NOT(J391),"INSUFFICIENT_IN_STOCK",IF(OR(Q391="",Q391=0),"NO_PRIOR_BASE",IF(Q391&lt;LowBaseThreshold,"LOW_BASE_NOISE",IF(V391="Markdown Review","MARKDOWN_PEER_GAP",IF(V391="Reorder Candidate","REORDER_UPLIFT_COVER","NO_MATERIAL_CHANGE"))))))))</f>
        <v/>
      </c>
      <c r="X391" s="18">
        <f>IF(V391="Markdown Review","Markdown support",IF(V391="Reorder Candidate","Second reorder",IF(V391="Monitor","Monitor",IF(V391="Noise","Hold / collect data",IF(V391="Not Ready","Not ready","")))))</f>
        <v/>
      </c>
      <c r="Y391" s="18">
        <f>IF(OR(R391="",T391=""),"",ABS(R391)+ABS(T391))</f>
        <v/>
      </c>
      <c r="Z391" s="21">
        <f>IF(OR(B391="",NOT(O391),R391=""),"",IF(ABS(R391)&gt;=MaterialThreshold,"Yes","No"))</f>
        <v/>
      </c>
      <c r="AA391" s="18">
        <f>IF(Z391&lt;&gt;"Yes","",IF(ABS(R391)&gt;=MaterialThreshold,IF(ABS(R391)&gt;=BroadShare,"Broad SKU movement","Store-concentrated movement"),""))</f>
        <v/>
      </c>
      <c r="AB391" s="18">
        <f>IF(O391,IF(COUNTIFS($O$5:O391,TRUE)&gt;0,COUNTIFS($O$5:O391,TRUE),0),0)</f>
        <v/>
      </c>
      <c r="AC391" s="18">
        <f>IF(V391="Markdown Review",1,IF(V391="Reorder Candidate",2,IF(V391="Monitor",3,IF(V391="Noise",4,IF(V391="Not Ready",5,99)))))</f>
        <v/>
      </c>
      <c r="AD391" s="18">
        <f>IF(O391,COUNTIFS($O$5:$O$504,TRUE,$AC$5:$AC$504,"&lt;"&amp;AC391)+COUNTIFS($O$5:O391,TRUE,$AC$5:AC391,AC391,$Y$5:Y391,"&gt;"&amp;Y391),0)</f>
        <v/>
      </c>
    </row>
    <row r="392">
      <c r="A392" s="17">
        <f>IF(COUNTA('Weekly Input'!A392:C392)=0,"",'Weekly Input'!B392&amp;"|"&amp;'Weekly Input'!C392&amp;"|"&amp;TEXT('Weekly Input'!A392,"yyyy-mm-dd"))</f>
        <v/>
      </c>
      <c r="B392" s="18">
        <f>'Weekly Input'!B392</f>
        <v/>
      </c>
      <c r="C392" s="18">
        <f>'Weekly Input'!C392</f>
        <v/>
      </c>
      <c r="D392" s="18">
        <f>IF(B392="","",IFERROR(INDEX('Master Data'!$B$6:$B$145,MATCH(B392,'Master Data'!$A$6:$A$145,0)),""))</f>
        <v/>
      </c>
      <c r="E392" s="18">
        <f>IF(C392="","",IFERROR(INDEX('Master Data'!$H$6:$H$13,MATCH(C392,'Master Data'!$F$6:$F$13,0)),""))</f>
        <v/>
      </c>
      <c r="F392" s="19">
        <f>'Weekly Input'!A392</f>
        <v/>
      </c>
      <c r="G392" s="19">
        <f>IF(B392="","",IFERROR(INDEX('Master Data'!$D$6:$D$145,MATCH(B392,'Master Data'!$A$6:$A$145,0)),""))</f>
        <v/>
      </c>
      <c r="H392" s="18">
        <f>IF(OR(F392="",G392=""),"",F392-G392)</f>
        <v/>
      </c>
      <c r="I392" s="18">
        <f>IF(B392="","",IF('Weekly Input'!J392="OK",TRUE,FALSE))</f>
        <v/>
      </c>
      <c r="J392" s="18">
        <f>IF(B392="","",'Weekly Input'!H392&gt;=MinInStockDays)</f>
        <v/>
      </c>
      <c r="K392" s="18">
        <f>IF(B392="","",H392&gt;=FullCycleMin)</f>
        <v/>
      </c>
      <c r="L392" s="18">
        <f>IF(B392="","",AND(I392,J392,K392,N392&gt;=MinHistory))</f>
        <v/>
      </c>
      <c r="M392" s="20">
        <f>IF(OR(B392="",'Weekly Input'!H392=0),"",'Weekly Input'!D392/'Weekly Input'!H392*7)</f>
        <v/>
      </c>
      <c r="N392" s="18">
        <f>IF(B392="","",COUNTIFS($B$5:$B$504,B392,$C$5:$C$504,C392,$I$5:$I$504,TRUE,$J$5:$J$504,TRUE,$K$5:$K$504,TRUE))</f>
        <v/>
      </c>
      <c r="O392" s="18">
        <f>IF(B392="","",AND(F392=AsOfWeek,AsOfWeek&lt;&gt;""))</f>
        <v/>
      </c>
      <c r="P392" s="20">
        <f>IF(OR(B392="",AsOfWeek=""),"",IFERROR(SUMIFS($M$5:$M$504,$B$5:$B$504,B392,$C$5:$C$504,C392,$L$5:$L$504,TRUE,$F$5:$F$504,"&gt;="&amp;AsOfWeek-7*(RecentWeeks-1),$F$5:$F$504,"&lt;="&amp;AsOfWeek),""))</f>
        <v/>
      </c>
      <c r="Q392" s="20">
        <f>IF(OR(B392="",AsOfWeek=""),"",IFERROR(SUMIFS($M$5:$M$504,$B$5:$B$504,B392,$C$5:$C$504,C392,$L$5:$L$504,TRUE,$F$5:$F$504,"&gt;="&amp;AsOfWeek-7*(RecentWeeks+PriorWeeks-1),$F$5:$F$504,"&lt;"&amp;AsOfWeek-7*(RecentWeeks-1)),""))</f>
        <v/>
      </c>
      <c r="R392" s="21">
        <f>IF(OR(P392="",Q392="",Q392=0),"",P392/Q392-1)</f>
        <v/>
      </c>
      <c r="S392" s="20">
        <f>IF(OR(C392="",AsOfWeek=""),"",IFERROR(AVERAGEIFS($M$5:$M$504,$C$5:$C$504,C392,$L$5:$L$504,TRUE,$F$5:$F$504,"&gt;="&amp;AsOfWeek-7*(RecentWeeks-1),$F$5:$F$504,"&lt;="&amp;AsOfWeek),""))</f>
        <v/>
      </c>
      <c r="T392" s="21">
        <f>IF(OR(P392="",S392=""),"",P392/S392-1)</f>
        <v/>
      </c>
      <c r="U392" s="22">
        <f>IF(OR(B392="",'Weekly Input'!G392="",P392="",P392=0),"",'Weekly Input'!G392/P392)</f>
        <v/>
      </c>
      <c r="V392" s="18">
        <f>IF(B392="","",IF(NOT(I392),"Not Ready",IF(NOT(K392),"Not Ready",IF(N392&lt;MinHistory,"Not Ready",IF(NOT(J392),"Not Ready",IF(OR(Q392="",Q392=0),"Noise",IF(Q392&lt;LowBaseThreshold,"Noise",IF(AND(R392&lt;=-OwnDecline,T392&lt;=-PeerGapThreshold),"Markdown Review",IF(AND(R392&gt;=ReorderUplift,U392&lt;&gt;"",U392&lt;=WeeksSupplyCap),"Reorder Candidate","Monitor"))))))))</f>
        <v/>
      </c>
      <c r="W392" s="18">
        <f>IF(B392="","",IF(NOT(I392),"INVALID_MASTER",IF(NOT(K392),"INCOMPLETE_SHELF_CYCLE",IF(N392&lt;MinHistory,"INSUFFICIENT_HISTORY",IF(NOT(J392),"INSUFFICIENT_IN_STOCK",IF(OR(Q392="",Q392=0),"NO_PRIOR_BASE",IF(Q392&lt;LowBaseThreshold,"LOW_BASE_NOISE",IF(V392="Markdown Review","MARKDOWN_PEER_GAP",IF(V392="Reorder Candidate","REORDER_UPLIFT_COVER","NO_MATERIAL_CHANGE"))))))))</f>
        <v/>
      </c>
      <c r="X392" s="18">
        <f>IF(V392="Markdown Review","Markdown support",IF(V392="Reorder Candidate","Second reorder",IF(V392="Monitor","Monitor",IF(V392="Noise","Hold / collect data",IF(V392="Not Ready","Not ready","")))))</f>
        <v/>
      </c>
      <c r="Y392" s="18">
        <f>IF(OR(R392="",T392=""),"",ABS(R392)+ABS(T392))</f>
        <v/>
      </c>
      <c r="Z392" s="21">
        <f>IF(OR(B392="",NOT(O392),R392=""),"",IF(ABS(R392)&gt;=MaterialThreshold,"Yes","No"))</f>
        <v/>
      </c>
      <c r="AA392" s="18">
        <f>IF(Z392&lt;&gt;"Yes","",IF(ABS(R392)&gt;=MaterialThreshold,IF(ABS(R392)&gt;=BroadShare,"Broad SKU movement","Store-concentrated movement"),""))</f>
        <v/>
      </c>
      <c r="AB392" s="18">
        <f>IF(O392,IF(COUNTIFS($O$5:O392,TRUE)&gt;0,COUNTIFS($O$5:O392,TRUE),0),0)</f>
        <v/>
      </c>
      <c r="AC392" s="18">
        <f>IF(V392="Markdown Review",1,IF(V392="Reorder Candidate",2,IF(V392="Monitor",3,IF(V392="Noise",4,IF(V392="Not Ready",5,99)))))</f>
        <v/>
      </c>
      <c r="AD392" s="18">
        <f>IF(O392,COUNTIFS($O$5:$O$504,TRUE,$AC$5:$AC$504,"&lt;"&amp;AC392)+COUNTIFS($O$5:O392,TRUE,$AC$5:AC392,AC392,$Y$5:Y392,"&gt;"&amp;Y392),0)</f>
        <v/>
      </c>
    </row>
    <row r="393">
      <c r="A393" s="17">
        <f>IF(COUNTA('Weekly Input'!A393:C393)=0,"",'Weekly Input'!B393&amp;"|"&amp;'Weekly Input'!C393&amp;"|"&amp;TEXT('Weekly Input'!A393,"yyyy-mm-dd"))</f>
        <v/>
      </c>
      <c r="B393" s="18">
        <f>'Weekly Input'!B393</f>
        <v/>
      </c>
      <c r="C393" s="18">
        <f>'Weekly Input'!C393</f>
        <v/>
      </c>
      <c r="D393" s="18">
        <f>IF(B393="","",IFERROR(INDEX('Master Data'!$B$6:$B$145,MATCH(B393,'Master Data'!$A$6:$A$145,0)),""))</f>
        <v/>
      </c>
      <c r="E393" s="18">
        <f>IF(C393="","",IFERROR(INDEX('Master Data'!$H$6:$H$13,MATCH(C393,'Master Data'!$F$6:$F$13,0)),""))</f>
        <v/>
      </c>
      <c r="F393" s="19">
        <f>'Weekly Input'!A393</f>
        <v/>
      </c>
      <c r="G393" s="19">
        <f>IF(B393="","",IFERROR(INDEX('Master Data'!$D$6:$D$145,MATCH(B393,'Master Data'!$A$6:$A$145,0)),""))</f>
        <v/>
      </c>
      <c r="H393" s="18">
        <f>IF(OR(F393="",G393=""),"",F393-G393)</f>
        <v/>
      </c>
      <c r="I393" s="18">
        <f>IF(B393="","",IF('Weekly Input'!J393="OK",TRUE,FALSE))</f>
        <v/>
      </c>
      <c r="J393" s="18">
        <f>IF(B393="","",'Weekly Input'!H393&gt;=MinInStockDays)</f>
        <v/>
      </c>
      <c r="K393" s="18">
        <f>IF(B393="","",H393&gt;=FullCycleMin)</f>
        <v/>
      </c>
      <c r="L393" s="18">
        <f>IF(B393="","",AND(I393,J393,K393,N393&gt;=MinHistory))</f>
        <v/>
      </c>
      <c r="M393" s="20">
        <f>IF(OR(B393="",'Weekly Input'!H393=0),"",'Weekly Input'!D393/'Weekly Input'!H393*7)</f>
        <v/>
      </c>
      <c r="N393" s="18">
        <f>IF(B393="","",COUNTIFS($B$5:$B$504,B393,$C$5:$C$504,C393,$I$5:$I$504,TRUE,$J$5:$J$504,TRUE,$K$5:$K$504,TRUE))</f>
        <v/>
      </c>
      <c r="O393" s="18">
        <f>IF(B393="","",AND(F393=AsOfWeek,AsOfWeek&lt;&gt;""))</f>
        <v/>
      </c>
      <c r="P393" s="20">
        <f>IF(OR(B393="",AsOfWeek=""),"",IFERROR(SUMIFS($M$5:$M$504,$B$5:$B$504,B393,$C$5:$C$504,C393,$L$5:$L$504,TRUE,$F$5:$F$504,"&gt;="&amp;AsOfWeek-7*(RecentWeeks-1),$F$5:$F$504,"&lt;="&amp;AsOfWeek),""))</f>
        <v/>
      </c>
      <c r="Q393" s="20">
        <f>IF(OR(B393="",AsOfWeek=""),"",IFERROR(SUMIFS($M$5:$M$504,$B$5:$B$504,B393,$C$5:$C$504,C393,$L$5:$L$504,TRUE,$F$5:$F$504,"&gt;="&amp;AsOfWeek-7*(RecentWeeks+PriorWeeks-1),$F$5:$F$504,"&lt;"&amp;AsOfWeek-7*(RecentWeeks-1)),""))</f>
        <v/>
      </c>
      <c r="R393" s="21">
        <f>IF(OR(P393="",Q393="",Q393=0),"",P393/Q393-1)</f>
        <v/>
      </c>
      <c r="S393" s="20">
        <f>IF(OR(C393="",AsOfWeek=""),"",IFERROR(AVERAGEIFS($M$5:$M$504,$C$5:$C$504,C393,$L$5:$L$504,TRUE,$F$5:$F$504,"&gt;="&amp;AsOfWeek-7*(RecentWeeks-1),$F$5:$F$504,"&lt;="&amp;AsOfWeek),""))</f>
        <v/>
      </c>
      <c r="T393" s="21">
        <f>IF(OR(P393="",S393=""),"",P393/S393-1)</f>
        <v/>
      </c>
      <c r="U393" s="22">
        <f>IF(OR(B393="",'Weekly Input'!G393="",P393="",P393=0),"",'Weekly Input'!G393/P393)</f>
        <v/>
      </c>
      <c r="V393" s="18">
        <f>IF(B393="","",IF(NOT(I393),"Not Ready",IF(NOT(K393),"Not Ready",IF(N393&lt;MinHistory,"Not Ready",IF(NOT(J393),"Not Ready",IF(OR(Q393="",Q393=0),"Noise",IF(Q393&lt;LowBaseThreshold,"Noise",IF(AND(R393&lt;=-OwnDecline,T393&lt;=-PeerGapThreshold),"Markdown Review",IF(AND(R393&gt;=ReorderUplift,U393&lt;&gt;"",U393&lt;=WeeksSupplyCap),"Reorder Candidate","Monitor"))))))))</f>
        <v/>
      </c>
      <c r="W393" s="18">
        <f>IF(B393="","",IF(NOT(I393),"INVALID_MASTER",IF(NOT(K393),"INCOMPLETE_SHELF_CYCLE",IF(N393&lt;MinHistory,"INSUFFICIENT_HISTORY",IF(NOT(J393),"INSUFFICIENT_IN_STOCK",IF(OR(Q393="",Q393=0),"NO_PRIOR_BASE",IF(Q393&lt;LowBaseThreshold,"LOW_BASE_NOISE",IF(V393="Markdown Review","MARKDOWN_PEER_GAP",IF(V393="Reorder Candidate","REORDER_UPLIFT_COVER","NO_MATERIAL_CHANGE"))))))))</f>
        <v/>
      </c>
      <c r="X393" s="18">
        <f>IF(V393="Markdown Review","Markdown support",IF(V393="Reorder Candidate","Second reorder",IF(V393="Monitor","Monitor",IF(V393="Noise","Hold / collect data",IF(V393="Not Ready","Not ready","")))))</f>
        <v/>
      </c>
      <c r="Y393" s="18">
        <f>IF(OR(R393="",T393=""),"",ABS(R393)+ABS(T393))</f>
        <v/>
      </c>
      <c r="Z393" s="21">
        <f>IF(OR(B393="",NOT(O393),R393=""),"",IF(ABS(R393)&gt;=MaterialThreshold,"Yes","No"))</f>
        <v/>
      </c>
      <c r="AA393" s="18">
        <f>IF(Z393&lt;&gt;"Yes","",IF(ABS(R393)&gt;=MaterialThreshold,IF(ABS(R393)&gt;=BroadShare,"Broad SKU movement","Store-concentrated movement"),""))</f>
        <v/>
      </c>
      <c r="AB393" s="18">
        <f>IF(O393,IF(COUNTIFS($O$5:O393,TRUE)&gt;0,COUNTIFS($O$5:O393,TRUE),0),0)</f>
        <v/>
      </c>
      <c r="AC393" s="18">
        <f>IF(V393="Markdown Review",1,IF(V393="Reorder Candidate",2,IF(V393="Monitor",3,IF(V393="Noise",4,IF(V393="Not Ready",5,99)))))</f>
        <v/>
      </c>
      <c r="AD393" s="18">
        <f>IF(O393,COUNTIFS($O$5:$O$504,TRUE,$AC$5:$AC$504,"&lt;"&amp;AC393)+COUNTIFS($O$5:O393,TRUE,$AC$5:AC393,AC393,$Y$5:Y393,"&gt;"&amp;Y393),0)</f>
        <v/>
      </c>
    </row>
    <row r="394">
      <c r="A394" s="17">
        <f>IF(COUNTA('Weekly Input'!A394:C394)=0,"",'Weekly Input'!B394&amp;"|"&amp;'Weekly Input'!C394&amp;"|"&amp;TEXT('Weekly Input'!A394,"yyyy-mm-dd"))</f>
        <v/>
      </c>
      <c r="B394" s="18">
        <f>'Weekly Input'!B394</f>
        <v/>
      </c>
      <c r="C394" s="18">
        <f>'Weekly Input'!C394</f>
        <v/>
      </c>
      <c r="D394" s="18">
        <f>IF(B394="","",IFERROR(INDEX('Master Data'!$B$6:$B$145,MATCH(B394,'Master Data'!$A$6:$A$145,0)),""))</f>
        <v/>
      </c>
      <c r="E394" s="18">
        <f>IF(C394="","",IFERROR(INDEX('Master Data'!$H$6:$H$13,MATCH(C394,'Master Data'!$F$6:$F$13,0)),""))</f>
        <v/>
      </c>
      <c r="F394" s="19">
        <f>'Weekly Input'!A394</f>
        <v/>
      </c>
      <c r="G394" s="19">
        <f>IF(B394="","",IFERROR(INDEX('Master Data'!$D$6:$D$145,MATCH(B394,'Master Data'!$A$6:$A$145,0)),""))</f>
        <v/>
      </c>
      <c r="H394" s="18">
        <f>IF(OR(F394="",G394=""),"",F394-G394)</f>
        <v/>
      </c>
      <c r="I394" s="18">
        <f>IF(B394="","",IF('Weekly Input'!J394="OK",TRUE,FALSE))</f>
        <v/>
      </c>
      <c r="J394" s="18">
        <f>IF(B394="","",'Weekly Input'!H394&gt;=MinInStockDays)</f>
        <v/>
      </c>
      <c r="K394" s="18">
        <f>IF(B394="","",H394&gt;=FullCycleMin)</f>
        <v/>
      </c>
      <c r="L394" s="18">
        <f>IF(B394="","",AND(I394,J394,K394,N394&gt;=MinHistory))</f>
        <v/>
      </c>
      <c r="M394" s="20">
        <f>IF(OR(B394="",'Weekly Input'!H394=0),"",'Weekly Input'!D394/'Weekly Input'!H394*7)</f>
        <v/>
      </c>
      <c r="N394" s="18">
        <f>IF(B394="","",COUNTIFS($B$5:$B$504,B394,$C$5:$C$504,C394,$I$5:$I$504,TRUE,$J$5:$J$504,TRUE,$K$5:$K$504,TRUE))</f>
        <v/>
      </c>
      <c r="O394" s="18">
        <f>IF(B394="","",AND(F394=AsOfWeek,AsOfWeek&lt;&gt;""))</f>
        <v/>
      </c>
      <c r="P394" s="20">
        <f>IF(OR(B394="",AsOfWeek=""),"",IFERROR(SUMIFS($M$5:$M$504,$B$5:$B$504,B394,$C$5:$C$504,C394,$L$5:$L$504,TRUE,$F$5:$F$504,"&gt;="&amp;AsOfWeek-7*(RecentWeeks-1),$F$5:$F$504,"&lt;="&amp;AsOfWeek),""))</f>
        <v/>
      </c>
      <c r="Q394" s="20">
        <f>IF(OR(B394="",AsOfWeek=""),"",IFERROR(SUMIFS($M$5:$M$504,$B$5:$B$504,B394,$C$5:$C$504,C394,$L$5:$L$504,TRUE,$F$5:$F$504,"&gt;="&amp;AsOfWeek-7*(RecentWeeks+PriorWeeks-1),$F$5:$F$504,"&lt;"&amp;AsOfWeek-7*(RecentWeeks-1)),""))</f>
        <v/>
      </c>
      <c r="R394" s="21">
        <f>IF(OR(P394="",Q394="",Q394=0),"",P394/Q394-1)</f>
        <v/>
      </c>
      <c r="S394" s="20">
        <f>IF(OR(C394="",AsOfWeek=""),"",IFERROR(AVERAGEIFS($M$5:$M$504,$C$5:$C$504,C394,$L$5:$L$504,TRUE,$F$5:$F$504,"&gt;="&amp;AsOfWeek-7*(RecentWeeks-1),$F$5:$F$504,"&lt;="&amp;AsOfWeek),""))</f>
        <v/>
      </c>
      <c r="T394" s="21">
        <f>IF(OR(P394="",S394=""),"",P394/S394-1)</f>
        <v/>
      </c>
      <c r="U394" s="22">
        <f>IF(OR(B394="",'Weekly Input'!G394="",P394="",P394=0),"",'Weekly Input'!G394/P394)</f>
        <v/>
      </c>
      <c r="V394" s="18">
        <f>IF(B394="","",IF(NOT(I394),"Not Ready",IF(NOT(K394),"Not Ready",IF(N394&lt;MinHistory,"Not Ready",IF(NOT(J394),"Not Ready",IF(OR(Q394="",Q394=0),"Noise",IF(Q394&lt;LowBaseThreshold,"Noise",IF(AND(R394&lt;=-OwnDecline,T394&lt;=-PeerGapThreshold),"Markdown Review",IF(AND(R394&gt;=ReorderUplift,U394&lt;&gt;"",U394&lt;=WeeksSupplyCap),"Reorder Candidate","Monitor"))))))))</f>
        <v/>
      </c>
      <c r="W394" s="18">
        <f>IF(B394="","",IF(NOT(I394),"INVALID_MASTER",IF(NOT(K394),"INCOMPLETE_SHELF_CYCLE",IF(N394&lt;MinHistory,"INSUFFICIENT_HISTORY",IF(NOT(J394),"INSUFFICIENT_IN_STOCK",IF(OR(Q394="",Q394=0),"NO_PRIOR_BASE",IF(Q394&lt;LowBaseThreshold,"LOW_BASE_NOISE",IF(V394="Markdown Review","MARKDOWN_PEER_GAP",IF(V394="Reorder Candidate","REORDER_UPLIFT_COVER","NO_MATERIAL_CHANGE"))))))))</f>
        <v/>
      </c>
      <c r="X394" s="18">
        <f>IF(V394="Markdown Review","Markdown support",IF(V394="Reorder Candidate","Second reorder",IF(V394="Monitor","Monitor",IF(V394="Noise","Hold / collect data",IF(V394="Not Ready","Not ready","")))))</f>
        <v/>
      </c>
      <c r="Y394" s="18">
        <f>IF(OR(R394="",T394=""),"",ABS(R394)+ABS(T394))</f>
        <v/>
      </c>
      <c r="Z394" s="21">
        <f>IF(OR(B394="",NOT(O394),R394=""),"",IF(ABS(R394)&gt;=MaterialThreshold,"Yes","No"))</f>
        <v/>
      </c>
      <c r="AA394" s="18">
        <f>IF(Z394&lt;&gt;"Yes","",IF(ABS(R394)&gt;=MaterialThreshold,IF(ABS(R394)&gt;=BroadShare,"Broad SKU movement","Store-concentrated movement"),""))</f>
        <v/>
      </c>
      <c r="AB394" s="18">
        <f>IF(O394,IF(COUNTIFS($O$5:O394,TRUE)&gt;0,COUNTIFS($O$5:O394,TRUE),0),0)</f>
        <v/>
      </c>
      <c r="AC394" s="18">
        <f>IF(V394="Markdown Review",1,IF(V394="Reorder Candidate",2,IF(V394="Monitor",3,IF(V394="Noise",4,IF(V394="Not Ready",5,99)))))</f>
        <v/>
      </c>
      <c r="AD394" s="18">
        <f>IF(O394,COUNTIFS($O$5:$O$504,TRUE,$AC$5:$AC$504,"&lt;"&amp;AC394)+COUNTIFS($O$5:O394,TRUE,$AC$5:AC394,AC394,$Y$5:Y394,"&gt;"&amp;Y394),0)</f>
        <v/>
      </c>
    </row>
    <row r="395">
      <c r="A395" s="17">
        <f>IF(COUNTA('Weekly Input'!A395:C395)=0,"",'Weekly Input'!B395&amp;"|"&amp;'Weekly Input'!C395&amp;"|"&amp;TEXT('Weekly Input'!A395,"yyyy-mm-dd"))</f>
        <v/>
      </c>
      <c r="B395" s="18">
        <f>'Weekly Input'!B395</f>
        <v/>
      </c>
      <c r="C395" s="18">
        <f>'Weekly Input'!C395</f>
        <v/>
      </c>
      <c r="D395" s="18">
        <f>IF(B395="","",IFERROR(INDEX('Master Data'!$B$6:$B$145,MATCH(B395,'Master Data'!$A$6:$A$145,0)),""))</f>
        <v/>
      </c>
      <c r="E395" s="18">
        <f>IF(C395="","",IFERROR(INDEX('Master Data'!$H$6:$H$13,MATCH(C395,'Master Data'!$F$6:$F$13,0)),""))</f>
        <v/>
      </c>
      <c r="F395" s="19">
        <f>'Weekly Input'!A395</f>
        <v/>
      </c>
      <c r="G395" s="19">
        <f>IF(B395="","",IFERROR(INDEX('Master Data'!$D$6:$D$145,MATCH(B395,'Master Data'!$A$6:$A$145,0)),""))</f>
        <v/>
      </c>
      <c r="H395" s="18">
        <f>IF(OR(F395="",G395=""),"",F395-G395)</f>
        <v/>
      </c>
      <c r="I395" s="18">
        <f>IF(B395="","",IF('Weekly Input'!J395="OK",TRUE,FALSE))</f>
        <v/>
      </c>
      <c r="J395" s="18">
        <f>IF(B395="","",'Weekly Input'!H395&gt;=MinInStockDays)</f>
        <v/>
      </c>
      <c r="K395" s="18">
        <f>IF(B395="","",H395&gt;=FullCycleMin)</f>
        <v/>
      </c>
      <c r="L395" s="18">
        <f>IF(B395="","",AND(I395,J395,K395,N395&gt;=MinHistory))</f>
        <v/>
      </c>
      <c r="M395" s="20">
        <f>IF(OR(B395="",'Weekly Input'!H395=0),"",'Weekly Input'!D395/'Weekly Input'!H395*7)</f>
        <v/>
      </c>
      <c r="N395" s="18">
        <f>IF(B395="","",COUNTIFS($B$5:$B$504,B395,$C$5:$C$504,C395,$I$5:$I$504,TRUE,$J$5:$J$504,TRUE,$K$5:$K$504,TRUE))</f>
        <v/>
      </c>
      <c r="O395" s="18">
        <f>IF(B395="","",AND(F395=AsOfWeek,AsOfWeek&lt;&gt;""))</f>
        <v/>
      </c>
      <c r="P395" s="20">
        <f>IF(OR(B395="",AsOfWeek=""),"",IFERROR(SUMIFS($M$5:$M$504,$B$5:$B$504,B395,$C$5:$C$504,C395,$L$5:$L$504,TRUE,$F$5:$F$504,"&gt;="&amp;AsOfWeek-7*(RecentWeeks-1),$F$5:$F$504,"&lt;="&amp;AsOfWeek),""))</f>
        <v/>
      </c>
      <c r="Q395" s="20">
        <f>IF(OR(B395="",AsOfWeek=""),"",IFERROR(SUMIFS($M$5:$M$504,$B$5:$B$504,B395,$C$5:$C$504,C395,$L$5:$L$504,TRUE,$F$5:$F$504,"&gt;="&amp;AsOfWeek-7*(RecentWeeks+PriorWeeks-1),$F$5:$F$504,"&lt;"&amp;AsOfWeek-7*(RecentWeeks-1)),""))</f>
        <v/>
      </c>
      <c r="R395" s="21">
        <f>IF(OR(P395="",Q395="",Q395=0),"",P395/Q395-1)</f>
        <v/>
      </c>
      <c r="S395" s="20">
        <f>IF(OR(C395="",AsOfWeek=""),"",IFERROR(AVERAGEIFS($M$5:$M$504,$C$5:$C$504,C395,$L$5:$L$504,TRUE,$F$5:$F$504,"&gt;="&amp;AsOfWeek-7*(RecentWeeks-1),$F$5:$F$504,"&lt;="&amp;AsOfWeek),""))</f>
        <v/>
      </c>
      <c r="T395" s="21">
        <f>IF(OR(P395="",S395=""),"",P395/S395-1)</f>
        <v/>
      </c>
      <c r="U395" s="22">
        <f>IF(OR(B395="",'Weekly Input'!G395="",P395="",P395=0),"",'Weekly Input'!G395/P395)</f>
        <v/>
      </c>
      <c r="V395" s="18">
        <f>IF(B395="","",IF(NOT(I395),"Not Ready",IF(NOT(K395),"Not Ready",IF(N395&lt;MinHistory,"Not Ready",IF(NOT(J395),"Not Ready",IF(OR(Q395="",Q395=0),"Noise",IF(Q395&lt;LowBaseThreshold,"Noise",IF(AND(R395&lt;=-OwnDecline,T395&lt;=-PeerGapThreshold),"Markdown Review",IF(AND(R395&gt;=ReorderUplift,U395&lt;&gt;"",U395&lt;=WeeksSupplyCap),"Reorder Candidate","Monitor"))))))))</f>
        <v/>
      </c>
      <c r="W395" s="18">
        <f>IF(B395="","",IF(NOT(I395),"INVALID_MASTER",IF(NOT(K395),"INCOMPLETE_SHELF_CYCLE",IF(N395&lt;MinHistory,"INSUFFICIENT_HISTORY",IF(NOT(J395),"INSUFFICIENT_IN_STOCK",IF(OR(Q395="",Q395=0),"NO_PRIOR_BASE",IF(Q395&lt;LowBaseThreshold,"LOW_BASE_NOISE",IF(V395="Markdown Review","MARKDOWN_PEER_GAP",IF(V395="Reorder Candidate","REORDER_UPLIFT_COVER","NO_MATERIAL_CHANGE"))))))))</f>
        <v/>
      </c>
      <c r="X395" s="18">
        <f>IF(V395="Markdown Review","Markdown support",IF(V395="Reorder Candidate","Second reorder",IF(V395="Monitor","Monitor",IF(V395="Noise","Hold / collect data",IF(V395="Not Ready","Not ready","")))))</f>
        <v/>
      </c>
      <c r="Y395" s="18">
        <f>IF(OR(R395="",T395=""),"",ABS(R395)+ABS(T395))</f>
        <v/>
      </c>
      <c r="Z395" s="21">
        <f>IF(OR(B395="",NOT(O395),R395=""),"",IF(ABS(R395)&gt;=MaterialThreshold,"Yes","No"))</f>
        <v/>
      </c>
      <c r="AA395" s="18">
        <f>IF(Z395&lt;&gt;"Yes","",IF(ABS(R395)&gt;=MaterialThreshold,IF(ABS(R395)&gt;=BroadShare,"Broad SKU movement","Store-concentrated movement"),""))</f>
        <v/>
      </c>
      <c r="AB395" s="18">
        <f>IF(O395,IF(COUNTIFS($O$5:O395,TRUE)&gt;0,COUNTIFS($O$5:O395,TRUE),0),0)</f>
        <v/>
      </c>
      <c r="AC395" s="18">
        <f>IF(V395="Markdown Review",1,IF(V395="Reorder Candidate",2,IF(V395="Monitor",3,IF(V395="Noise",4,IF(V395="Not Ready",5,99)))))</f>
        <v/>
      </c>
      <c r="AD395" s="18">
        <f>IF(O395,COUNTIFS($O$5:$O$504,TRUE,$AC$5:$AC$504,"&lt;"&amp;AC395)+COUNTIFS($O$5:O395,TRUE,$AC$5:AC395,AC395,$Y$5:Y395,"&gt;"&amp;Y395),0)</f>
        <v/>
      </c>
    </row>
    <row r="396">
      <c r="A396" s="17">
        <f>IF(COUNTA('Weekly Input'!A396:C396)=0,"",'Weekly Input'!B396&amp;"|"&amp;'Weekly Input'!C396&amp;"|"&amp;TEXT('Weekly Input'!A396,"yyyy-mm-dd"))</f>
        <v/>
      </c>
      <c r="B396" s="18">
        <f>'Weekly Input'!B396</f>
        <v/>
      </c>
      <c r="C396" s="18">
        <f>'Weekly Input'!C396</f>
        <v/>
      </c>
      <c r="D396" s="18">
        <f>IF(B396="","",IFERROR(INDEX('Master Data'!$B$6:$B$145,MATCH(B396,'Master Data'!$A$6:$A$145,0)),""))</f>
        <v/>
      </c>
      <c r="E396" s="18">
        <f>IF(C396="","",IFERROR(INDEX('Master Data'!$H$6:$H$13,MATCH(C396,'Master Data'!$F$6:$F$13,0)),""))</f>
        <v/>
      </c>
      <c r="F396" s="19">
        <f>'Weekly Input'!A396</f>
        <v/>
      </c>
      <c r="G396" s="19">
        <f>IF(B396="","",IFERROR(INDEX('Master Data'!$D$6:$D$145,MATCH(B396,'Master Data'!$A$6:$A$145,0)),""))</f>
        <v/>
      </c>
      <c r="H396" s="18">
        <f>IF(OR(F396="",G396=""),"",F396-G396)</f>
        <v/>
      </c>
      <c r="I396" s="18">
        <f>IF(B396="","",IF('Weekly Input'!J396="OK",TRUE,FALSE))</f>
        <v/>
      </c>
      <c r="J396" s="18">
        <f>IF(B396="","",'Weekly Input'!H396&gt;=MinInStockDays)</f>
        <v/>
      </c>
      <c r="K396" s="18">
        <f>IF(B396="","",H396&gt;=FullCycleMin)</f>
        <v/>
      </c>
      <c r="L396" s="18">
        <f>IF(B396="","",AND(I396,J396,K396,N396&gt;=MinHistory))</f>
        <v/>
      </c>
      <c r="M396" s="20">
        <f>IF(OR(B396="",'Weekly Input'!H396=0),"",'Weekly Input'!D396/'Weekly Input'!H396*7)</f>
        <v/>
      </c>
      <c r="N396" s="18">
        <f>IF(B396="","",COUNTIFS($B$5:$B$504,B396,$C$5:$C$504,C396,$I$5:$I$504,TRUE,$J$5:$J$504,TRUE,$K$5:$K$504,TRUE))</f>
        <v/>
      </c>
      <c r="O396" s="18">
        <f>IF(B396="","",AND(F396=AsOfWeek,AsOfWeek&lt;&gt;""))</f>
        <v/>
      </c>
      <c r="P396" s="20">
        <f>IF(OR(B396="",AsOfWeek=""),"",IFERROR(SUMIFS($M$5:$M$504,$B$5:$B$504,B396,$C$5:$C$504,C396,$L$5:$L$504,TRUE,$F$5:$F$504,"&gt;="&amp;AsOfWeek-7*(RecentWeeks-1),$F$5:$F$504,"&lt;="&amp;AsOfWeek),""))</f>
        <v/>
      </c>
      <c r="Q396" s="20">
        <f>IF(OR(B396="",AsOfWeek=""),"",IFERROR(SUMIFS($M$5:$M$504,$B$5:$B$504,B396,$C$5:$C$504,C396,$L$5:$L$504,TRUE,$F$5:$F$504,"&gt;="&amp;AsOfWeek-7*(RecentWeeks+PriorWeeks-1),$F$5:$F$504,"&lt;"&amp;AsOfWeek-7*(RecentWeeks-1)),""))</f>
        <v/>
      </c>
      <c r="R396" s="21">
        <f>IF(OR(P396="",Q396="",Q396=0),"",P396/Q396-1)</f>
        <v/>
      </c>
      <c r="S396" s="20">
        <f>IF(OR(C396="",AsOfWeek=""),"",IFERROR(AVERAGEIFS($M$5:$M$504,$C$5:$C$504,C396,$L$5:$L$504,TRUE,$F$5:$F$504,"&gt;="&amp;AsOfWeek-7*(RecentWeeks-1),$F$5:$F$504,"&lt;="&amp;AsOfWeek),""))</f>
        <v/>
      </c>
      <c r="T396" s="21">
        <f>IF(OR(P396="",S396=""),"",P396/S396-1)</f>
        <v/>
      </c>
      <c r="U396" s="22">
        <f>IF(OR(B396="",'Weekly Input'!G396="",P396="",P396=0),"",'Weekly Input'!G396/P396)</f>
        <v/>
      </c>
      <c r="V396" s="18">
        <f>IF(B396="","",IF(NOT(I396),"Not Ready",IF(NOT(K396),"Not Ready",IF(N396&lt;MinHistory,"Not Ready",IF(NOT(J396),"Not Ready",IF(OR(Q396="",Q396=0),"Noise",IF(Q396&lt;LowBaseThreshold,"Noise",IF(AND(R396&lt;=-OwnDecline,T396&lt;=-PeerGapThreshold),"Markdown Review",IF(AND(R396&gt;=ReorderUplift,U396&lt;&gt;"",U396&lt;=WeeksSupplyCap),"Reorder Candidate","Monitor"))))))))</f>
        <v/>
      </c>
      <c r="W396" s="18">
        <f>IF(B396="","",IF(NOT(I396),"INVALID_MASTER",IF(NOT(K396),"INCOMPLETE_SHELF_CYCLE",IF(N396&lt;MinHistory,"INSUFFICIENT_HISTORY",IF(NOT(J396),"INSUFFICIENT_IN_STOCK",IF(OR(Q396="",Q396=0),"NO_PRIOR_BASE",IF(Q396&lt;LowBaseThreshold,"LOW_BASE_NOISE",IF(V396="Markdown Review","MARKDOWN_PEER_GAP",IF(V396="Reorder Candidate","REORDER_UPLIFT_COVER","NO_MATERIAL_CHANGE"))))))))</f>
        <v/>
      </c>
      <c r="X396" s="18">
        <f>IF(V396="Markdown Review","Markdown support",IF(V396="Reorder Candidate","Second reorder",IF(V396="Monitor","Monitor",IF(V396="Noise","Hold / collect data",IF(V396="Not Ready","Not ready","")))))</f>
        <v/>
      </c>
      <c r="Y396" s="18">
        <f>IF(OR(R396="",T396=""),"",ABS(R396)+ABS(T396))</f>
        <v/>
      </c>
      <c r="Z396" s="21">
        <f>IF(OR(B396="",NOT(O396),R396=""),"",IF(ABS(R396)&gt;=MaterialThreshold,"Yes","No"))</f>
        <v/>
      </c>
      <c r="AA396" s="18">
        <f>IF(Z396&lt;&gt;"Yes","",IF(ABS(R396)&gt;=MaterialThreshold,IF(ABS(R396)&gt;=BroadShare,"Broad SKU movement","Store-concentrated movement"),""))</f>
        <v/>
      </c>
      <c r="AB396" s="18">
        <f>IF(O396,IF(COUNTIFS($O$5:O396,TRUE)&gt;0,COUNTIFS($O$5:O396,TRUE),0),0)</f>
        <v/>
      </c>
      <c r="AC396" s="18">
        <f>IF(V396="Markdown Review",1,IF(V396="Reorder Candidate",2,IF(V396="Monitor",3,IF(V396="Noise",4,IF(V396="Not Ready",5,99)))))</f>
        <v/>
      </c>
      <c r="AD396" s="18">
        <f>IF(O396,COUNTIFS($O$5:$O$504,TRUE,$AC$5:$AC$504,"&lt;"&amp;AC396)+COUNTIFS($O$5:O396,TRUE,$AC$5:AC396,AC396,$Y$5:Y396,"&gt;"&amp;Y396),0)</f>
        <v/>
      </c>
    </row>
    <row r="397">
      <c r="A397" s="17">
        <f>IF(COUNTA('Weekly Input'!A397:C397)=0,"",'Weekly Input'!B397&amp;"|"&amp;'Weekly Input'!C397&amp;"|"&amp;TEXT('Weekly Input'!A397,"yyyy-mm-dd"))</f>
        <v/>
      </c>
      <c r="B397" s="18">
        <f>'Weekly Input'!B397</f>
        <v/>
      </c>
      <c r="C397" s="18">
        <f>'Weekly Input'!C397</f>
        <v/>
      </c>
      <c r="D397" s="18">
        <f>IF(B397="","",IFERROR(INDEX('Master Data'!$B$6:$B$145,MATCH(B397,'Master Data'!$A$6:$A$145,0)),""))</f>
        <v/>
      </c>
      <c r="E397" s="18">
        <f>IF(C397="","",IFERROR(INDEX('Master Data'!$H$6:$H$13,MATCH(C397,'Master Data'!$F$6:$F$13,0)),""))</f>
        <v/>
      </c>
      <c r="F397" s="19">
        <f>'Weekly Input'!A397</f>
        <v/>
      </c>
      <c r="G397" s="19">
        <f>IF(B397="","",IFERROR(INDEX('Master Data'!$D$6:$D$145,MATCH(B397,'Master Data'!$A$6:$A$145,0)),""))</f>
        <v/>
      </c>
      <c r="H397" s="18">
        <f>IF(OR(F397="",G397=""),"",F397-G397)</f>
        <v/>
      </c>
      <c r="I397" s="18">
        <f>IF(B397="","",IF('Weekly Input'!J397="OK",TRUE,FALSE))</f>
        <v/>
      </c>
      <c r="J397" s="18">
        <f>IF(B397="","",'Weekly Input'!H397&gt;=MinInStockDays)</f>
        <v/>
      </c>
      <c r="K397" s="18">
        <f>IF(B397="","",H397&gt;=FullCycleMin)</f>
        <v/>
      </c>
      <c r="L397" s="18">
        <f>IF(B397="","",AND(I397,J397,K397,N397&gt;=MinHistory))</f>
        <v/>
      </c>
      <c r="M397" s="20">
        <f>IF(OR(B397="",'Weekly Input'!H397=0),"",'Weekly Input'!D397/'Weekly Input'!H397*7)</f>
        <v/>
      </c>
      <c r="N397" s="18">
        <f>IF(B397="","",COUNTIFS($B$5:$B$504,B397,$C$5:$C$504,C397,$I$5:$I$504,TRUE,$J$5:$J$504,TRUE,$K$5:$K$504,TRUE))</f>
        <v/>
      </c>
      <c r="O397" s="18">
        <f>IF(B397="","",AND(F397=AsOfWeek,AsOfWeek&lt;&gt;""))</f>
        <v/>
      </c>
      <c r="P397" s="20">
        <f>IF(OR(B397="",AsOfWeek=""),"",IFERROR(SUMIFS($M$5:$M$504,$B$5:$B$504,B397,$C$5:$C$504,C397,$L$5:$L$504,TRUE,$F$5:$F$504,"&gt;="&amp;AsOfWeek-7*(RecentWeeks-1),$F$5:$F$504,"&lt;="&amp;AsOfWeek),""))</f>
        <v/>
      </c>
      <c r="Q397" s="20">
        <f>IF(OR(B397="",AsOfWeek=""),"",IFERROR(SUMIFS($M$5:$M$504,$B$5:$B$504,B397,$C$5:$C$504,C397,$L$5:$L$504,TRUE,$F$5:$F$504,"&gt;="&amp;AsOfWeek-7*(RecentWeeks+PriorWeeks-1),$F$5:$F$504,"&lt;"&amp;AsOfWeek-7*(RecentWeeks-1)),""))</f>
        <v/>
      </c>
      <c r="R397" s="21">
        <f>IF(OR(P397="",Q397="",Q397=0),"",P397/Q397-1)</f>
        <v/>
      </c>
      <c r="S397" s="20">
        <f>IF(OR(C397="",AsOfWeek=""),"",IFERROR(AVERAGEIFS($M$5:$M$504,$C$5:$C$504,C397,$L$5:$L$504,TRUE,$F$5:$F$504,"&gt;="&amp;AsOfWeek-7*(RecentWeeks-1),$F$5:$F$504,"&lt;="&amp;AsOfWeek),""))</f>
        <v/>
      </c>
      <c r="T397" s="21">
        <f>IF(OR(P397="",S397=""),"",P397/S397-1)</f>
        <v/>
      </c>
      <c r="U397" s="22">
        <f>IF(OR(B397="",'Weekly Input'!G397="",P397="",P397=0),"",'Weekly Input'!G397/P397)</f>
        <v/>
      </c>
      <c r="V397" s="18">
        <f>IF(B397="","",IF(NOT(I397),"Not Ready",IF(NOT(K397),"Not Ready",IF(N397&lt;MinHistory,"Not Ready",IF(NOT(J397),"Not Ready",IF(OR(Q397="",Q397=0),"Noise",IF(Q397&lt;LowBaseThreshold,"Noise",IF(AND(R397&lt;=-OwnDecline,T397&lt;=-PeerGapThreshold),"Markdown Review",IF(AND(R397&gt;=ReorderUplift,U397&lt;&gt;"",U397&lt;=WeeksSupplyCap),"Reorder Candidate","Monitor"))))))))</f>
        <v/>
      </c>
      <c r="W397" s="18">
        <f>IF(B397="","",IF(NOT(I397),"INVALID_MASTER",IF(NOT(K397),"INCOMPLETE_SHELF_CYCLE",IF(N397&lt;MinHistory,"INSUFFICIENT_HISTORY",IF(NOT(J397),"INSUFFICIENT_IN_STOCK",IF(OR(Q397="",Q397=0),"NO_PRIOR_BASE",IF(Q397&lt;LowBaseThreshold,"LOW_BASE_NOISE",IF(V397="Markdown Review","MARKDOWN_PEER_GAP",IF(V397="Reorder Candidate","REORDER_UPLIFT_COVER","NO_MATERIAL_CHANGE"))))))))</f>
        <v/>
      </c>
      <c r="X397" s="18">
        <f>IF(V397="Markdown Review","Markdown support",IF(V397="Reorder Candidate","Second reorder",IF(V397="Monitor","Monitor",IF(V397="Noise","Hold / collect data",IF(V397="Not Ready","Not ready","")))))</f>
        <v/>
      </c>
      <c r="Y397" s="18">
        <f>IF(OR(R397="",T397=""),"",ABS(R397)+ABS(T397))</f>
        <v/>
      </c>
      <c r="Z397" s="21">
        <f>IF(OR(B397="",NOT(O397),R397=""),"",IF(ABS(R397)&gt;=MaterialThreshold,"Yes","No"))</f>
        <v/>
      </c>
      <c r="AA397" s="18">
        <f>IF(Z397&lt;&gt;"Yes","",IF(ABS(R397)&gt;=MaterialThreshold,IF(ABS(R397)&gt;=BroadShare,"Broad SKU movement","Store-concentrated movement"),""))</f>
        <v/>
      </c>
      <c r="AB397" s="18">
        <f>IF(O397,IF(COUNTIFS($O$5:O397,TRUE)&gt;0,COUNTIFS($O$5:O397,TRUE),0),0)</f>
        <v/>
      </c>
      <c r="AC397" s="18">
        <f>IF(V397="Markdown Review",1,IF(V397="Reorder Candidate",2,IF(V397="Monitor",3,IF(V397="Noise",4,IF(V397="Not Ready",5,99)))))</f>
        <v/>
      </c>
      <c r="AD397" s="18">
        <f>IF(O397,COUNTIFS($O$5:$O$504,TRUE,$AC$5:$AC$504,"&lt;"&amp;AC397)+COUNTIFS($O$5:O397,TRUE,$AC$5:AC397,AC397,$Y$5:Y397,"&gt;"&amp;Y397),0)</f>
        <v/>
      </c>
    </row>
    <row r="398">
      <c r="A398" s="17">
        <f>IF(COUNTA('Weekly Input'!A398:C398)=0,"",'Weekly Input'!B398&amp;"|"&amp;'Weekly Input'!C398&amp;"|"&amp;TEXT('Weekly Input'!A398,"yyyy-mm-dd"))</f>
        <v/>
      </c>
      <c r="B398" s="18">
        <f>'Weekly Input'!B398</f>
        <v/>
      </c>
      <c r="C398" s="18">
        <f>'Weekly Input'!C398</f>
        <v/>
      </c>
      <c r="D398" s="18">
        <f>IF(B398="","",IFERROR(INDEX('Master Data'!$B$6:$B$145,MATCH(B398,'Master Data'!$A$6:$A$145,0)),""))</f>
        <v/>
      </c>
      <c r="E398" s="18">
        <f>IF(C398="","",IFERROR(INDEX('Master Data'!$H$6:$H$13,MATCH(C398,'Master Data'!$F$6:$F$13,0)),""))</f>
        <v/>
      </c>
      <c r="F398" s="19">
        <f>'Weekly Input'!A398</f>
        <v/>
      </c>
      <c r="G398" s="19">
        <f>IF(B398="","",IFERROR(INDEX('Master Data'!$D$6:$D$145,MATCH(B398,'Master Data'!$A$6:$A$145,0)),""))</f>
        <v/>
      </c>
      <c r="H398" s="18">
        <f>IF(OR(F398="",G398=""),"",F398-G398)</f>
        <v/>
      </c>
      <c r="I398" s="18">
        <f>IF(B398="","",IF('Weekly Input'!J398="OK",TRUE,FALSE))</f>
        <v/>
      </c>
      <c r="J398" s="18">
        <f>IF(B398="","",'Weekly Input'!H398&gt;=MinInStockDays)</f>
        <v/>
      </c>
      <c r="K398" s="18">
        <f>IF(B398="","",H398&gt;=FullCycleMin)</f>
        <v/>
      </c>
      <c r="L398" s="18">
        <f>IF(B398="","",AND(I398,J398,K398,N398&gt;=MinHistory))</f>
        <v/>
      </c>
      <c r="M398" s="20">
        <f>IF(OR(B398="",'Weekly Input'!H398=0),"",'Weekly Input'!D398/'Weekly Input'!H398*7)</f>
        <v/>
      </c>
      <c r="N398" s="18">
        <f>IF(B398="","",COUNTIFS($B$5:$B$504,B398,$C$5:$C$504,C398,$I$5:$I$504,TRUE,$J$5:$J$504,TRUE,$K$5:$K$504,TRUE))</f>
        <v/>
      </c>
      <c r="O398" s="18">
        <f>IF(B398="","",AND(F398=AsOfWeek,AsOfWeek&lt;&gt;""))</f>
        <v/>
      </c>
      <c r="P398" s="20">
        <f>IF(OR(B398="",AsOfWeek=""),"",IFERROR(SUMIFS($M$5:$M$504,$B$5:$B$504,B398,$C$5:$C$504,C398,$L$5:$L$504,TRUE,$F$5:$F$504,"&gt;="&amp;AsOfWeek-7*(RecentWeeks-1),$F$5:$F$504,"&lt;="&amp;AsOfWeek),""))</f>
        <v/>
      </c>
      <c r="Q398" s="20">
        <f>IF(OR(B398="",AsOfWeek=""),"",IFERROR(SUMIFS($M$5:$M$504,$B$5:$B$504,B398,$C$5:$C$504,C398,$L$5:$L$504,TRUE,$F$5:$F$504,"&gt;="&amp;AsOfWeek-7*(RecentWeeks+PriorWeeks-1),$F$5:$F$504,"&lt;"&amp;AsOfWeek-7*(RecentWeeks-1)),""))</f>
        <v/>
      </c>
      <c r="R398" s="21">
        <f>IF(OR(P398="",Q398="",Q398=0),"",P398/Q398-1)</f>
        <v/>
      </c>
      <c r="S398" s="20">
        <f>IF(OR(C398="",AsOfWeek=""),"",IFERROR(AVERAGEIFS($M$5:$M$504,$C$5:$C$504,C398,$L$5:$L$504,TRUE,$F$5:$F$504,"&gt;="&amp;AsOfWeek-7*(RecentWeeks-1),$F$5:$F$504,"&lt;="&amp;AsOfWeek),""))</f>
        <v/>
      </c>
      <c r="T398" s="21">
        <f>IF(OR(P398="",S398=""),"",P398/S398-1)</f>
        <v/>
      </c>
      <c r="U398" s="22">
        <f>IF(OR(B398="",'Weekly Input'!G398="",P398="",P398=0),"",'Weekly Input'!G398/P398)</f>
        <v/>
      </c>
      <c r="V398" s="18">
        <f>IF(B398="","",IF(NOT(I398),"Not Ready",IF(NOT(K398),"Not Ready",IF(N398&lt;MinHistory,"Not Ready",IF(NOT(J398),"Not Ready",IF(OR(Q398="",Q398=0),"Noise",IF(Q398&lt;LowBaseThreshold,"Noise",IF(AND(R398&lt;=-OwnDecline,T398&lt;=-PeerGapThreshold),"Markdown Review",IF(AND(R398&gt;=ReorderUplift,U398&lt;&gt;"",U398&lt;=WeeksSupplyCap),"Reorder Candidate","Monitor"))))))))</f>
        <v/>
      </c>
      <c r="W398" s="18">
        <f>IF(B398="","",IF(NOT(I398),"INVALID_MASTER",IF(NOT(K398),"INCOMPLETE_SHELF_CYCLE",IF(N398&lt;MinHistory,"INSUFFICIENT_HISTORY",IF(NOT(J398),"INSUFFICIENT_IN_STOCK",IF(OR(Q398="",Q398=0),"NO_PRIOR_BASE",IF(Q398&lt;LowBaseThreshold,"LOW_BASE_NOISE",IF(V398="Markdown Review","MARKDOWN_PEER_GAP",IF(V398="Reorder Candidate","REORDER_UPLIFT_COVER","NO_MATERIAL_CHANGE"))))))))</f>
        <v/>
      </c>
      <c r="X398" s="18">
        <f>IF(V398="Markdown Review","Markdown support",IF(V398="Reorder Candidate","Second reorder",IF(V398="Monitor","Monitor",IF(V398="Noise","Hold / collect data",IF(V398="Not Ready","Not ready","")))))</f>
        <v/>
      </c>
      <c r="Y398" s="18">
        <f>IF(OR(R398="",T398=""),"",ABS(R398)+ABS(T398))</f>
        <v/>
      </c>
      <c r="Z398" s="21">
        <f>IF(OR(B398="",NOT(O398),R398=""),"",IF(ABS(R398)&gt;=MaterialThreshold,"Yes","No"))</f>
        <v/>
      </c>
      <c r="AA398" s="18">
        <f>IF(Z398&lt;&gt;"Yes","",IF(ABS(R398)&gt;=MaterialThreshold,IF(ABS(R398)&gt;=BroadShare,"Broad SKU movement","Store-concentrated movement"),""))</f>
        <v/>
      </c>
      <c r="AB398" s="18">
        <f>IF(O398,IF(COUNTIFS($O$5:O398,TRUE)&gt;0,COUNTIFS($O$5:O398,TRUE),0),0)</f>
        <v/>
      </c>
      <c r="AC398" s="18">
        <f>IF(V398="Markdown Review",1,IF(V398="Reorder Candidate",2,IF(V398="Monitor",3,IF(V398="Noise",4,IF(V398="Not Ready",5,99)))))</f>
        <v/>
      </c>
      <c r="AD398" s="18">
        <f>IF(O398,COUNTIFS($O$5:$O$504,TRUE,$AC$5:$AC$504,"&lt;"&amp;AC398)+COUNTIFS($O$5:O398,TRUE,$AC$5:AC398,AC398,$Y$5:Y398,"&gt;"&amp;Y398),0)</f>
        <v/>
      </c>
    </row>
    <row r="399">
      <c r="A399" s="17">
        <f>IF(COUNTA('Weekly Input'!A399:C399)=0,"",'Weekly Input'!B399&amp;"|"&amp;'Weekly Input'!C399&amp;"|"&amp;TEXT('Weekly Input'!A399,"yyyy-mm-dd"))</f>
        <v/>
      </c>
      <c r="B399" s="18">
        <f>'Weekly Input'!B399</f>
        <v/>
      </c>
      <c r="C399" s="18">
        <f>'Weekly Input'!C399</f>
        <v/>
      </c>
      <c r="D399" s="18">
        <f>IF(B399="","",IFERROR(INDEX('Master Data'!$B$6:$B$145,MATCH(B399,'Master Data'!$A$6:$A$145,0)),""))</f>
        <v/>
      </c>
      <c r="E399" s="18">
        <f>IF(C399="","",IFERROR(INDEX('Master Data'!$H$6:$H$13,MATCH(C399,'Master Data'!$F$6:$F$13,0)),""))</f>
        <v/>
      </c>
      <c r="F399" s="19">
        <f>'Weekly Input'!A399</f>
        <v/>
      </c>
      <c r="G399" s="19">
        <f>IF(B399="","",IFERROR(INDEX('Master Data'!$D$6:$D$145,MATCH(B399,'Master Data'!$A$6:$A$145,0)),""))</f>
        <v/>
      </c>
      <c r="H399" s="18">
        <f>IF(OR(F399="",G399=""),"",F399-G399)</f>
        <v/>
      </c>
      <c r="I399" s="18">
        <f>IF(B399="","",IF('Weekly Input'!J399="OK",TRUE,FALSE))</f>
        <v/>
      </c>
      <c r="J399" s="18">
        <f>IF(B399="","",'Weekly Input'!H399&gt;=MinInStockDays)</f>
        <v/>
      </c>
      <c r="K399" s="18">
        <f>IF(B399="","",H399&gt;=FullCycleMin)</f>
        <v/>
      </c>
      <c r="L399" s="18">
        <f>IF(B399="","",AND(I399,J399,K399,N399&gt;=MinHistory))</f>
        <v/>
      </c>
      <c r="M399" s="20">
        <f>IF(OR(B399="",'Weekly Input'!H399=0),"",'Weekly Input'!D399/'Weekly Input'!H399*7)</f>
        <v/>
      </c>
      <c r="N399" s="18">
        <f>IF(B399="","",COUNTIFS($B$5:$B$504,B399,$C$5:$C$504,C399,$I$5:$I$504,TRUE,$J$5:$J$504,TRUE,$K$5:$K$504,TRUE))</f>
        <v/>
      </c>
      <c r="O399" s="18">
        <f>IF(B399="","",AND(F399=AsOfWeek,AsOfWeek&lt;&gt;""))</f>
        <v/>
      </c>
      <c r="P399" s="20">
        <f>IF(OR(B399="",AsOfWeek=""),"",IFERROR(SUMIFS($M$5:$M$504,$B$5:$B$504,B399,$C$5:$C$504,C399,$L$5:$L$504,TRUE,$F$5:$F$504,"&gt;="&amp;AsOfWeek-7*(RecentWeeks-1),$F$5:$F$504,"&lt;="&amp;AsOfWeek),""))</f>
        <v/>
      </c>
      <c r="Q399" s="20">
        <f>IF(OR(B399="",AsOfWeek=""),"",IFERROR(SUMIFS($M$5:$M$504,$B$5:$B$504,B399,$C$5:$C$504,C399,$L$5:$L$504,TRUE,$F$5:$F$504,"&gt;="&amp;AsOfWeek-7*(RecentWeeks+PriorWeeks-1),$F$5:$F$504,"&lt;"&amp;AsOfWeek-7*(RecentWeeks-1)),""))</f>
        <v/>
      </c>
      <c r="R399" s="21">
        <f>IF(OR(P399="",Q399="",Q399=0),"",P399/Q399-1)</f>
        <v/>
      </c>
      <c r="S399" s="20">
        <f>IF(OR(C399="",AsOfWeek=""),"",IFERROR(AVERAGEIFS($M$5:$M$504,$C$5:$C$504,C399,$L$5:$L$504,TRUE,$F$5:$F$504,"&gt;="&amp;AsOfWeek-7*(RecentWeeks-1),$F$5:$F$504,"&lt;="&amp;AsOfWeek),""))</f>
        <v/>
      </c>
      <c r="T399" s="21">
        <f>IF(OR(P399="",S399=""),"",P399/S399-1)</f>
        <v/>
      </c>
      <c r="U399" s="22">
        <f>IF(OR(B399="",'Weekly Input'!G399="",P399="",P399=0),"",'Weekly Input'!G399/P399)</f>
        <v/>
      </c>
      <c r="V399" s="18">
        <f>IF(B399="","",IF(NOT(I399),"Not Ready",IF(NOT(K399),"Not Ready",IF(N399&lt;MinHistory,"Not Ready",IF(NOT(J399),"Not Ready",IF(OR(Q399="",Q399=0),"Noise",IF(Q399&lt;LowBaseThreshold,"Noise",IF(AND(R399&lt;=-OwnDecline,T399&lt;=-PeerGapThreshold),"Markdown Review",IF(AND(R399&gt;=ReorderUplift,U399&lt;&gt;"",U399&lt;=WeeksSupplyCap),"Reorder Candidate","Monitor"))))))))</f>
        <v/>
      </c>
      <c r="W399" s="18">
        <f>IF(B399="","",IF(NOT(I399),"INVALID_MASTER",IF(NOT(K399),"INCOMPLETE_SHELF_CYCLE",IF(N399&lt;MinHistory,"INSUFFICIENT_HISTORY",IF(NOT(J399),"INSUFFICIENT_IN_STOCK",IF(OR(Q399="",Q399=0),"NO_PRIOR_BASE",IF(Q399&lt;LowBaseThreshold,"LOW_BASE_NOISE",IF(V399="Markdown Review","MARKDOWN_PEER_GAP",IF(V399="Reorder Candidate","REORDER_UPLIFT_COVER","NO_MATERIAL_CHANGE"))))))))</f>
        <v/>
      </c>
      <c r="X399" s="18">
        <f>IF(V399="Markdown Review","Markdown support",IF(V399="Reorder Candidate","Second reorder",IF(V399="Monitor","Monitor",IF(V399="Noise","Hold / collect data",IF(V399="Not Ready","Not ready","")))))</f>
        <v/>
      </c>
      <c r="Y399" s="18">
        <f>IF(OR(R399="",T399=""),"",ABS(R399)+ABS(T399))</f>
        <v/>
      </c>
      <c r="Z399" s="21">
        <f>IF(OR(B399="",NOT(O399),R399=""),"",IF(ABS(R399)&gt;=MaterialThreshold,"Yes","No"))</f>
        <v/>
      </c>
      <c r="AA399" s="18">
        <f>IF(Z399&lt;&gt;"Yes","",IF(ABS(R399)&gt;=MaterialThreshold,IF(ABS(R399)&gt;=BroadShare,"Broad SKU movement","Store-concentrated movement"),""))</f>
        <v/>
      </c>
      <c r="AB399" s="18">
        <f>IF(O399,IF(COUNTIFS($O$5:O399,TRUE)&gt;0,COUNTIFS($O$5:O399,TRUE),0),0)</f>
        <v/>
      </c>
      <c r="AC399" s="18">
        <f>IF(V399="Markdown Review",1,IF(V399="Reorder Candidate",2,IF(V399="Monitor",3,IF(V399="Noise",4,IF(V399="Not Ready",5,99)))))</f>
        <v/>
      </c>
      <c r="AD399" s="18">
        <f>IF(O399,COUNTIFS($O$5:$O$504,TRUE,$AC$5:$AC$504,"&lt;"&amp;AC399)+COUNTIFS($O$5:O399,TRUE,$AC$5:AC399,AC399,$Y$5:Y399,"&gt;"&amp;Y399),0)</f>
        <v/>
      </c>
    </row>
    <row r="400">
      <c r="A400" s="17">
        <f>IF(COUNTA('Weekly Input'!A400:C400)=0,"",'Weekly Input'!B400&amp;"|"&amp;'Weekly Input'!C400&amp;"|"&amp;TEXT('Weekly Input'!A400,"yyyy-mm-dd"))</f>
        <v/>
      </c>
      <c r="B400" s="18">
        <f>'Weekly Input'!B400</f>
        <v/>
      </c>
      <c r="C400" s="18">
        <f>'Weekly Input'!C400</f>
        <v/>
      </c>
      <c r="D400" s="18">
        <f>IF(B400="","",IFERROR(INDEX('Master Data'!$B$6:$B$145,MATCH(B400,'Master Data'!$A$6:$A$145,0)),""))</f>
        <v/>
      </c>
      <c r="E400" s="18">
        <f>IF(C400="","",IFERROR(INDEX('Master Data'!$H$6:$H$13,MATCH(C400,'Master Data'!$F$6:$F$13,0)),""))</f>
        <v/>
      </c>
      <c r="F400" s="19">
        <f>'Weekly Input'!A400</f>
        <v/>
      </c>
      <c r="G400" s="19">
        <f>IF(B400="","",IFERROR(INDEX('Master Data'!$D$6:$D$145,MATCH(B400,'Master Data'!$A$6:$A$145,0)),""))</f>
        <v/>
      </c>
      <c r="H400" s="18">
        <f>IF(OR(F400="",G400=""),"",F400-G400)</f>
        <v/>
      </c>
      <c r="I400" s="18">
        <f>IF(B400="","",IF('Weekly Input'!J400="OK",TRUE,FALSE))</f>
        <v/>
      </c>
      <c r="J400" s="18">
        <f>IF(B400="","",'Weekly Input'!H400&gt;=MinInStockDays)</f>
        <v/>
      </c>
      <c r="K400" s="18">
        <f>IF(B400="","",H400&gt;=FullCycleMin)</f>
        <v/>
      </c>
      <c r="L400" s="18">
        <f>IF(B400="","",AND(I400,J400,K400,N400&gt;=MinHistory))</f>
        <v/>
      </c>
      <c r="M400" s="20">
        <f>IF(OR(B400="",'Weekly Input'!H400=0),"",'Weekly Input'!D400/'Weekly Input'!H400*7)</f>
        <v/>
      </c>
      <c r="N400" s="18">
        <f>IF(B400="","",COUNTIFS($B$5:$B$504,B400,$C$5:$C$504,C400,$I$5:$I$504,TRUE,$J$5:$J$504,TRUE,$K$5:$K$504,TRUE))</f>
        <v/>
      </c>
      <c r="O400" s="18">
        <f>IF(B400="","",AND(F400=AsOfWeek,AsOfWeek&lt;&gt;""))</f>
        <v/>
      </c>
      <c r="P400" s="20">
        <f>IF(OR(B400="",AsOfWeek=""),"",IFERROR(SUMIFS($M$5:$M$504,$B$5:$B$504,B400,$C$5:$C$504,C400,$L$5:$L$504,TRUE,$F$5:$F$504,"&gt;="&amp;AsOfWeek-7*(RecentWeeks-1),$F$5:$F$504,"&lt;="&amp;AsOfWeek),""))</f>
        <v/>
      </c>
      <c r="Q400" s="20">
        <f>IF(OR(B400="",AsOfWeek=""),"",IFERROR(SUMIFS($M$5:$M$504,$B$5:$B$504,B400,$C$5:$C$504,C400,$L$5:$L$504,TRUE,$F$5:$F$504,"&gt;="&amp;AsOfWeek-7*(RecentWeeks+PriorWeeks-1),$F$5:$F$504,"&lt;"&amp;AsOfWeek-7*(RecentWeeks-1)),""))</f>
        <v/>
      </c>
      <c r="R400" s="21">
        <f>IF(OR(P400="",Q400="",Q400=0),"",P400/Q400-1)</f>
        <v/>
      </c>
      <c r="S400" s="20">
        <f>IF(OR(C400="",AsOfWeek=""),"",IFERROR(AVERAGEIFS($M$5:$M$504,$C$5:$C$504,C400,$L$5:$L$504,TRUE,$F$5:$F$504,"&gt;="&amp;AsOfWeek-7*(RecentWeeks-1),$F$5:$F$504,"&lt;="&amp;AsOfWeek),""))</f>
        <v/>
      </c>
      <c r="T400" s="21">
        <f>IF(OR(P400="",S400=""),"",P400/S400-1)</f>
        <v/>
      </c>
      <c r="U400" s="22">
        <f>IF(OR(B400="",'Weekly Input'!G400="",P400="",P400=0),"",'Weekly Input'!G400/P400)</f>
        <v/>
      </c>
      <c r="V400" s="18">
        <f>IF(B400="","",IF(NOT(I400),"Not Ready",IF(NOT(K400),"Not Ready",IF(N400&lt;MinHistory,"Not Ready",IF(NOT(J400),"Not Ready",IF(OR(Q400="",Q400=0),"Noise",IF(Q400&lt;LowBaseThreshold,"Noise",IF(AND(R400&lt;=-OwnDecline,T400&lt;=-PeerGapThreshold),"Markdown Review",IF(AND(R400&gt;=ReorderUplift,U400&lt;&gt;"",U400&lt;=WeeksSupplyCap),"Reorder Candidate","Monitor"))))))))</f>
        <v/>
      </c>
      <c r="W400" s="18">
        <f>IF(B400="","",IF(NOT(I400),"INVALID_MASTER",IF(NOT(K400),"INCOMPLETE_SHELF_CYCLE",IF(N400&lt;MinHistory,"INSUFFICIENT_HISTORY",IF(NOT(J400),"INSUFFICIENT_IN_STOCK",IF(OR(Q400="",Q400=0),"NO_PRIOR_BASE",IF(Q400&lt;LowBaseThreshold,"LOW_BASE_NOISE",IF(V400="Markdown Review","MARKDOWN_PEER_GAP",IF(V400="Reorder Candidate","REORDER_UPLIFT_COVER","NO_MATERIAL_CHANGE"))))))))</f>
        <v/>
      </c>
      <c r="X400" s="18">
        <f>IF(V400="Markdown Review","Markdown support",IF(V400="Reorder Candidate","Second reorder",IF(V400="Monitor","Monitor",IF(V400="Noise","Hold / collect data",IF(V400="Not Ready","Not ready","")))))</f>
        <v/>
      </c>
      <c r="Y400" s="18">
        <f>IF(OR(R400="",T400=""),"",ABS(R400)+ABS(T400))</f>
        <v/>
      </c>
      <c r="Z400" s="21">
        <f>IF(OR(B400="",NOT(O400),R400=""),"",IF(ABS(R400)&gt;=MaterialThreshold,"Yes","No"))</f>
        <v/>
      </c>
      <c r="AA400" s="18">
        <f>IF(Z400&lt;&gt;"Yes","",IF(ABS(R400)&gt;=MaterialThreshold,IF(ABS(R400)&gt;=BroadShare,"Broad SKU movement","Store-concentrated movement"),""))</f>
        <v/>
      </c>
      <c r="AB400" s="18">
        <f>IF(O400,IF(COUNTIFS($O$5:O400,TRUE)&gt;0,COUNTIFS($O$5:O400,TRUE),0),0)</f>
        <v/>
      </c>
      <c r="AC400" s="18">
        <f>IF(V400="Markdown Review",1,IF(V400="Reorder Candidate",2,IF(V400="Monitor",3,IF(V400="Noise",4,IF(V400="Not Ready",5,99)))))</f>
        <v/>
      </c>
      <c r="AD400" s="18">
        <f>IF(O400,COUNTIFS($O$5:$O$504,TRUE,$AC$5:$AC$504,"&lt;"&amp;AC400)+COUNTIFS($O$5:O400,TRUE,$AC$5:AC400,AC400,$Y$5:Y400,"&gt;"&amp;Y400),0)</f>
        <v/>
      </c>
    </row>
    <row r="401">
      <c r="A401" s="17">
        <f>IF(COUNTA('Weekly Input'!A401:C401)=0,"",'Weekly Input'!B401&amp;"|"&amp;'Weekly Input'!C401&amp;"|"&amp;TEXT('Weekly Input'!A401,"yyyy-mm-dd"))</f>
        <v/>
      </c>
      <c r="B401" s="18">
        <f>'Weekly Input'!B401</f>
        <v/>
      </c>
      <c r="C401" s="18">
        <f>'Weekly Input'!C401</f>
        <v/>
      </c>
      <c r="D401" s="18">
        <f>IF(B401="","",IFERROR(INDEX('Master Data'!$B$6:$B$145,MATCH(B401,'Master Data'!$A$6:$A$145,0)),""))</f>
        <v/>
      </c>
      <c r="E401" s="18">
        <f>IF(C401="","",IFERROR(INDEX('Master Data'!$H$6:$H$13,MATCH(C401,'Master Data'!$F$6:$F$13,0)),""))</f>
        <v/>
      </c>
      <c r="F401" s="19">
        <f>'Weekly Input'!A401</f>
        <v/>
      </c>
      <c r="G401" s="19">
        <f>IF(B401="","",IFERROR(INDEX('Master Data'!$D$6:$D$145,MATCH(B401,'Master Data'!$A$6:$A$145,0)),""))</f>
        <v/>
      </c>
      <c r="H401" s="18">
        <f>IF(OR(F401="",G401=""),"",F401-G401)</f>
        <v/>
      </c>
      <c r="I401" s="18">
        <f>IF(B401="","",IF('Weekly Input'!J401="OK",TRUE,FALSE))</f>
        <v/>
      </c>
      <c r="J401" s="18">
        <f>IF(B401="","",'Weekly Input'!H401&gt;=MinInStockDays)</f>
        <v/>
      </c>
      <c r="K401" s="18">
        <f>IF(B401="","",H401&gt;=FullCycleMin)</f>
        <v/>
      </c>
      <c r="L401" s="18">
        <f>IF(B401="","",AND(I401,J401,K401,N401&gt;=MinHistory))</f>
        <v/>
      </c>
      <c r="M401" s="20">
        <f>IF(OR(B401="",'Weekly Input'!H401=0),"",'Weekly Input'!D401/'Weekly Input'!H401*7)</f>
        <v/>
      </c>
      <c r="N401" s="18">
        <f>IF(B401="","",COUNTIFS($B$5:$B$504,B401,$C$5:$C$504,C401,$I$5:$I$504,TRUE,$J$5:$J$504,TRUE,$K$5:$K$504,TRUE))</f>
        <v/>
      </c>
      <c r="O401" s="18">
        <f>IF(B401="","",AND(F401=AsOfWeek,AsOfWeek&lt;&gt;""))</f>
        <v/>
      </c>
      <c r="P401" s="20">
        <f>IF(OR(B401="",AsOfWeek=""),"",IFERROR(SUMIFS($M$5:$M$504,$B$5:$B$504,B401,$C$5:$C$504,C401,$L$5:$L$504,TRUE,$F$5:$F$504,"&gt;="&amp;AsOfWeek-7*(RecentWeeks-1),$F$5:$F$504,"&lt;="&amp;AsOfWeek),""))</f>
        <v/>
      </c>
      <c r="Q401" s="20">
        <f>IF(OR(B401="",AsOfWeek=""),"",IFERROR(SUMIFS($M$5:$M$504,$B$5:$B$504,B401,$C$5:$C$504,C401,$L$5:$L$504,TRUE,$F$5:$F$504,"&gt;="&amp;AsOfWeek-7*(RecentWeeks+PriorWeeks-1),$F$5:$F$504,"&lt;"&amp;AsOfWeek-7*(RecentWeeks-1)),""))</f>
        <v/>
      </c>
      <c r="R401" s="21">
        <f>IF(OR(P401="",Q401="",Q401=0),"",P401/Q401-1)</f>
        <v/>
      </c>
      <c r="S401" s="20">
        <f>IF(OR(C401="",AsOfWeek=""),"",IFERROR(AVERAGEIFS($M$5:$M$504,$C$5:$C$504,C401,$L$5:$L$504,TRUE,$F$5:$F$504,"&gt;="&amp;AsOfWeek-7*(RecentWeeks-1),$F$5:$F$504,"&lt;="&amp;AsOfWeek),""))</f>
        <v/>
      </c>
      <c r="T401" s="21">
        <f>IF(OR(P401="",S401=""),"",P401/S401-1)</f>
        <v/>
      </c>
      <c r="U401" s="22">
        <f>IF(OR(B401="",'Weekly Input'!G401="",P401="",P401=0),"",'Weekly Input'!G401/P401)</f>
        <v/>
      </c>
      <c r="V401" s="18">
        <f>IF(B401="","",IF(NOT(I401),"Not Ready",IF(NOT(K401),"Not Ready",IF(N401&lt;MinHistory,"Not Ready",IF(NOT(J401),"Not Ready",IF(OR(Q401="",Q401=0),"Noise",IF(Q401&lt;LowBaseThreshold,"Noise",IF(AND(R401&lt;=-OwnDecline,T401&lt;=-PeerGapThreshold),"Markdown Review",IF(AND(R401&gt;=ReorderUplift,U401&lt;&gt;"",U401&lt;=WeeksSupplyCap),"Reorder Candidate","Monitor"))))))))</f>
        <v/>
      </c>
      <c r="W401" s="18">
        <f>IF(B401="","",IF(NOT(I401),"INVALID_MASTER",IF(NOT(K401),"INCOMPLETE_SHELF_CYCLE",IF(N401&lt;MinHistory,"INSUFFICIENT_HISTORY",IF(NOT(J401),"INSUFFICIENT_IN_STOCK",IF(OR(Q401="",Q401=0),"NO_PRIOR_BASE",IF(Q401&lt;LowBaseThreshold,"LOW_BASE_NOISE",IF(V401="Markdown Review","MARKDOWN_PEER_GAP",IF(V401="Reorder Candidate","REORDER_UPLIFT_COVER","NO_MATERIAL_CHANGE"))))))))</f>
        <v/>
      </c>
      <c r="X401" s="18">
        <f>IF(V401="Markdown Review","Markdown support",IF(V401="Reorder Candidate","Second reorder",IF(V401="Monitor","Monitor",IF(V401="Noise","Hold / collect data",IF(V401="Not Ready","Not ready","")))))</f>
        <v/>
      </c>
      <c r="Y401" s="18">
        <f>IF(OR(R401="",T401=""),"",ABS(R401)+ABS(T401))</f>
        <v/>
      </c>
      <c r="Z401" s="21">
        <f>IF(OR(B401="",NOT(O401),R401=""),"",IF(ABS(R401)&gt;=MaterialThreshold,"Yes","No"))</f>
        <v/>
      </c>
      <c r="AA401" s="18">
        <f>IF(Z401&lt;&gt;"Yes","",IF(ABS(R401)&gt;=MaterialThreshold,IF(ABS(R401)&gt;=BroadShare,"Broad SKU movement","Store-concentrated movement"),""))</f>
        <v/>
      </c>
      <c r="AB401" s="18">
        <f>IF(O401,IF(COUNTIFS($O$5:O401,TRUE)&gt;0,COUNTIFS($O$5:O401,TRUE),0),0)</f>
        <v/>
      </c>
      <c r="AC401" s="18">
        <f>IF(V401="Markdown Review",1,IF(V401="Reorder Candidate",2,IF(V401="Monitor",3,IF(V401="Noise",4,IF(V401="Not Ready",5,99)))))</f>
        <v/>
      </c>
      <c r="AD401" s="18">
        <f>IF(O401,COUNTIFS($O$5:$O$504,TRUE,$AC$5:$AC$504,"&lt;"&amp;AC401)+COUNTIFS($O$5:O401,TRUE,$AC$5:AC401,AC401,$Y$5:Y401,"&gt;"&amp;Y401),0)</f>
        <v/>
      </c>
    </row>
    <row r="402">
      <c r="A402" s="17">
        <f>IF(COUNTA('Weekly Input'!A402:C402)=0,"",'Weekly Input'!B402&amp;"|"&amp;'Weekly Input'!C402&amp;"|"&amp;TEXT('Weekly Input'!A402,"yyyy-mm-dd"))</f>
        <v/>
      </c>
      <c r="B402" s="18">
        <f>'Weekly Input'!B402</f>
        <v/>
      </c>
      <c r="C402" s="18">
        <f>'Weekly Input'!C402</f>
        <v/>
      </c>
      <c r="D402" s="18">
        <f>IF(B402="","",IFERROR(INDEX('Master Data'!$B$6:$B$145,MATCH(B402,'Master Data'!$A$6:$A$145,0)),""))</f>
        <v/>
      </c>
      <c r="E402" s="18">
        <f>IF(C402="","",IFERROR(INDEX('Master Data'!$H$6:$H$13,MATCH(C402,'Master Data'!$F$6:$F$13,0)),""))</f>
        <v/>
      </c>
      <c r="F402" s="19">
        <f>'Weekly Input'!A402</f>
        <v/>
      </c>
      <c r="G402" s="19">
        <f>IF(B402="","",IFERROR(INDEX('Master Data'!$D$6:$D$145,MATCH(B402,'Master Data'!$A$6:$A$145,0)),""))</f>
        <v/>
      </c>
      <c r="H402" s="18">
        <f>IF(OR(F402="",G402=""),"",F402-G402)</f>
        <v/>
      </c>
      <c r="I402" s="18">
        <f>IF(B402="","",IF('Weekly Input'!J402="OK",TRUE,FALSE))</f>
        <v/>
      </c>
      <c r="J402" s="18">
        <f>IF(B402="","",'Weekly Input'!H402&gt;=MinInStockDays)</f>
        <v/>
      </c>
      <c r="K402" s="18">
        <f>IF(B402="","",H402&gt;=FullCycleMin)</f>
        <v/>
      </c>
      <c r="L402" s="18">
        <f>IF(B402="","",AND(I402,J402,K402,N402&gt;=MinHistory))</f>
        <v/>
      </c>
      <c r="M402" s="20">
        <f>IF(OR(B402="",'Weekly Input'!H402=0),"",'Weekly Input'!D402/'Weekly Input'!H402*7)</f>
        <v/>
      </c>
      <c r="N402" s="18">
        <f>IF(B402="","",COUNTIFS($B$5:$B$504,B402,$C$5:$C$504,C402,$I$5:$I$504,TRUE,$J$5:$J$504,TRUE,$K$5:$K$504,TRUE))</f>
        <v/>
      </c>
      <c r="O402" s="18">
        <f>IF(B402="","",AND(F402=AsOfWeek,AsOfWeek&lt;&gt;""))</f>
        <v/>
      </c>
      <c r="P402" s="20">
        <f>IF(OR(B402="",AsOfWeek=""),"",IFERROR(SUMIFS($M$5:$M$504,$B$5:$B$504,B402,$C$5:$C$504,C402,$L$5:$L$504,TRUE,$F$5:$F$504,"&gt;="&amp;AsOfWeek-7*(RecentWeeks-1),$F$5:$F$504,"&lt;="&amp;AsOfWeek),""))</f>
        <v/>
      </c>
      <c r="Q402" s="20">
        <f>IF(OR(B402="",AsOfWeek=""),"",IFERROR(SUMIFS($M$5:$M$504,$B$5:$B$504,B402,$C$5:$C$504,C402,$L$5:$L$504,TRUE,$F$5:$F$504,"&gt;="&amp;AsOfWeek-7*(RecentWeeks+PriorWeeks-1),$F$5:$F$504,"&lt;"&amp;AsOfWeek-7*(RecentWeeks-1)),""))</f>
        <v/>
      </c>
      <c r="R402" s="21">
        <f>IF(OR(P402="",Q402="",Q402=0),"",P402/Q402-1)</f>
        <v/>
      </c>
      <c r="S402" s="20">
        <f>IF(OR(C402="",AsOfWeek=""),"",IFERROR(AVERAGEIFS($M$5:$M$504,$C$5:$C$504,C402,$L$5:$L$504,TRUE,$F$5:$F$504,"&gt;="&amp;AsOfWeek-7*(RecentWeeks-1),$F$5:$F$504,"&lt;="&amp;AsOfWeek),""))</f>
        <v/>
      </c>
      <c r="T402" s="21">
        <f>IF(OR(P402="",S402=""),"",P402/S402-1)</f>
        <v/>
      </c>
      <c r="U402" s="22">
        <f>IF(OR(B402="",'Weekly Input'!G402="",P402="",P402=0),"",'Weekly Input'!G402/P402)</f>
        <v/>
      </c>
      <c r="V402" s="18">
        <f>IF(B402="","",IF(NOT(I402),"Not Ready",IF(NOT(K402),"Not Ready",IF(N402&lt;MinHistory,"Not Ready",IF(NOT(J402),"Not Ready",IF(OR(Q402="",Q402=0),"Noise",IF(Q402&lt;LowBaseThreshold,"Noise",IF(AND(R402&lt;=-OwnDecline,T402&lt;=-PeerGapThreshold),"Markdown Review",IF(AND(R402&gt;=ReorderUplift,U402&lt;&gt;"",U402&lt;=WeeksSupplyCap),"Reorder Candidate","Monitor"))))))))</f>
        <v/>
      </c>
      <c r="W402" s="18">
        <f>IF(B402="","",IF(NOT(I402),"INVALID_MASTER",IF(NOT(K402),"INCOMPLETE_SHELF_CYCLE",IF(N402&lt;MinHistory,"INSUFFICIENT_HISTORY",IF(NOT(J402),"INSUFFICIENT_IN_STOCK",IF(OR(Q402="",Q402=0),"NO_PRIOR_BASE",IF(Q402&lt;LowBaseThreshold,"LOW_BASE_NOISE",IF(V402="Markdown Review","MARKDOWN_PEER_GAP",IF(V402="Reorder Candidate","REORDER_UPLIFT_COVER","NO_MATERIAL_CHANGE"))))))))</f>
        <v/>
      </c>
      <c r="X402" s="18">
        <f>IF(V402="Markdown Review","Markdown support",IF(V402="Reorder Candidate","Second reorder",IF(V402="Monitor","Monitor",IF(V402="Noise","Hold / collect data",IF(V402="Not Ready","Not ready","")))))</f>
        <v/>
      </c>
      <c r="Y402" s="18">
        <f>IF(OR(R402="",T402=""),"",ABS(R402)+ABS(T402))</f>
        <v/>
      </c>
      <c r="Z402" s="21">
        <f>IF(OR(B402="",NOT(O402),R402=""),"",IF(ABS(R402)&gt;=MaterialThreshold,"Yes","No"))</f>
        <v/>
      </c>
      <c r="AA402" s="18">
        <f>IF(Z402&lt;&gt;"Yes","",IF(ABS(R402)&gt;=MaterialThreshold,IF(ABS(R402)&gt;=BroadShare,"Broad SKU movement","Store-concentrated movement"),""))</f>
        <v/>
      </c>
      <c r="AB402" s="18">
        <f>IF(O402,IF(COUNTIFS($O$5:O402,TRUE)&gt;0,COUNTIFS($O$5:O402,TRUE),0),0)</f>
        <v/>
      </c>
      <c r="AC402" s="18">
        <f>IF(V402="Markdown Review",1,IF(V402="Reorder Candidate",2,IF(V402="Monitor",3,IF(V402="Noise",4,IF(V402="Not Ready",5,99)))))</f>
        <v/>
      </c>
      <c r="AD402" s="18">
        <f>IF(O402,COUNTIFS($O$5:$O$504,TRUE,$AC$5:$AC$504,"&lt;"&amp;AC402)+COUNTIFS($O$5:O402,TRUE,$AC$5:AC402,AC402,$Y$5:Y402,"&gt;"&amp;Y402),0)</f>
        <v/>
      </c>
    </row>
    <row r="403">
      <c r="A403" s="17">
        <f>IF(COUNTA('Weekly Input'!A403:C403)=0,"",'Weekly Input'!B403&amp;"|"&amp;'Weekly Input'!C403&amp;"|"&amp;TEXT('Weekly Input'!A403,"yyyy-mm-dd"))</f>
        <v/>
      </c>
      <c r="B403" s="18">
        <f>'Weekly Input'!B403</f>
        <v/>
      </c>
      <c r="C403" s="18">
        <f>'Weekly Input'!C403</f>
        <v/>
      </c>
      <c r="D403" s="18">
        <f>IF(B403="","",IFERROR(INDEX('Master Data'!$B$6:$B$145,MATCH(B403,'Master Data'!$A$6:$A$145,0)),""))</f>
        <v/>
      </c>
      <c r="E403" s="18">
        <f>IF(C403="","",IFERROR(INDEX('Master Data'!$H$6:$H$13,MATCH(C403,'Master Data'!$F$6:$F$13,0)),""))</f>
        <v/>
      </c>
      <c r="F403" s="19">
        <f>'Weekly Input'!A403</f>
        <v/>
      </c>
      <c r="G403" s="19">
        <f>IF(B403="","",IFERROR(INDEX('Master Data'!$D$6:$D$145,MATCH(B403,'Master Data'!$A$6:$A$145,0)),""))</f>
        <v/>
      </c>
      <c r="H403" s="18">
        <f>IF(OR(F403="",G403=""),"",F403-G403)</f>
        <v/>
      </c>
      <c r="I403" s="18">
        <f>IF(B403="","",IF('Weekly Input'!J403="OK",TRUE,FALSE))</f>
        <v/>
      </c>
      <c r="J403" s="18">
        <f>IF(B403="","",'Weekly Input'!H403&gt;=MinInStockDays)</f>
        <v/>
      </c>
      <c r="K403" s="18">
        <f>IF(B403="","",H403&gt;=FullCycleMin)</f>
        <v/>
      </c>
      <c r="L403" s="18">
        <f>IF(B403="","",AND(I403,J403,K403,N403&gt;=MinHistory))</f>
        <v/>
      </c>
      <c r="M403" s="20">
        <f>IF(OR(B403="",'Weekly Input'!H403=0),"",'Weekly Input'!D403/'Weekly Input'!H403*7)</f>
        <v/>
      </c>
      <c r="N403" s="18">
        <f>IF(B403="","",COUNTIFS($B$5:$B$504,B403,$C$5:$C$504,C403,$I$5:$I$504,TRUE,$J$5:$J$504,TRUE,$K$5:$K$504,TRUE))</f>
        <v/>
      </c>
      <c r="O403" s="18">
        <f>IF(B403="","",AND(F403=AsOfWeek,AsOfWeek&lt;&gt;""))</f>
        <v/>
      </c>
      <c r="P403" s="20">
        <f>IF(OR(B403="",AsOfWeek=""),"",IFERROR(SUMIFS($M$5:$M$504,$B$5:$B$504,B403,$C$5:$C$504,C403,$L$5:$L$504,TRUE,$F$5:$F$504,"&gt;="&amp;AsOfWeek-7*(RecentWeeks-1),$F$5:$F$504,"&lt;="&amp;AsOfWeek),""))</f>
        <v/>
      </c>
      <c r="Q403" s="20">
        <f>IF(OR(B403="",AsOfWeek=""),"",IFERROR(SUMIFS($M$5:$M$504,$B$5:$B$504,B403,$C$5:$C$504,C403,$L$5:$L$504,TRUE,$F$5:$F$504,"&gt;="&amp;AsOfWeek-7*(RecentWeeks+PriorWeeks-1),$F$5:$F$504,"&lt;"&amp;AsOfWeek-7*(RecentWeeks-1)),""))</f>
        <v/>
      </c>
      <c r="R403" s="21">
        <f>IF(OR(P403="",Q403="",Q403=0),"",P403/Q403-1)</f>
        <v/>
      </c>
      <c r="S403" s="20">
        <f>IF(OR(C403="",AsOfWeek=""),"",IFERROR(AVERAGEIFS($M$5:$M$504,$C$5:$C$504,C403,$L$5:$L$504,TRUE,$F$5:$F$504,"&gt;="&amp;AsOfWeek-7*(RecentWeeks-1),$F$5:$F$504,"&lt;="&amp;AsOfWeek),""))</f>
        <v/>
      </c>
      <c r="T403" s="21">
        <f>IF(OR(P403="",S403=""),"",P403/S403-1)</f>
        <v/>
      </c>
      <c r="U403" s="22">
        <f>IF(OR(B403="",'Weekly Input'!G403="",P403="",P403=0),"",'Weekly Input'!G403/P403)</f>
        <v/>
      </c>
      <c r="V403" s="18">
        <f>IF(B403="","",IF(NOT(I403),"Not Ready",IF(NOT(K403),"Not Ready",IF(N403&lt;MinHistory,"Not Ready",IF(NOT(J403),"Not Ready",IF(OR(Q403="",Q403=0),"Noise",IF(Q403&lt;LowBaseThreshold,"Noise",IF(AND(R403&lt;=-OwnDecline,T403&lt;=-PeerGapThreshold),"Markdown Review",IF(AND(R403&gt;=ReorderUplift,U403&lt;&gt;"",U403&lt;=WeeksSupplyCap),"Reorder Candidate","Monitor"))))))))</f>
        <v/>
      </c>
      <c r="W403" s="18">
        <f>IF(B403="","",IF(NOT(I403),"INVALID_MASTER",IF(NOT(K403),"INCOMPLETE_SHELF_CYCLE",IF(N403&lt;MinHistory,"INSUFFICIENT_HISTORY",IF(NOT(J403),"INSUFFICIENT_IN_STOCK",IF(OR(Q403="",Q403=0),"NO_PRIOR_BASE",IF(Q403&lt;LowBaseThreshold,"LOW_BASE_NOISE",IF(V403="Markdown Review","MARKDOWN_PEER_GAP",IF(V403="Reorder Candidate","REORDER_UPLIFT_COVER","NO_MATERIAL_CHANGE"))))))))</f>
        <v/>
      </c>
      <c r="X403" s="18">
        <f>IF(V403="Markdown Review","Markdown support",IF(V403="Reorder Candidate","Second reorder",IF(V403="Monitor","Monitor",IF(V403="Noise","Hold / collect data",IF(V403="Not Ready","Not ready","")))))</f>
        <v/>
      </c>
      <c r="Y403" s="18">
        <f>IF(OR(R403="",T403=""),"",ABS(R403)+ABS(T403))</f>
        <v/>
      </c>
      <c r="Z403" s="21">
        <f>IF(OR(B403="",NOT(O403),R403=""),"",IF(ABS(R403)&gt;=MaterialThreshold,"Yes","No"))</f>
        <v/>
      </c>
      <c r="AA403" s="18">
        <f>IF(Z403&lt;&gt;"Yes","",IF(ABS(R403)&gt;=MaterialThreshold,IF(ABS(R403)&gt;=BroadShare,"Broad SKU movement","Store-concentrated movement"),""))</f>
        <v/>
      </c>
      <c r="AB403" s="18">
        <f>IF(O403,IF(COUNTIFS($O$5:O403,TRUE)&gt;0,COUNTIFS($O$5:O403,TRUE),0),0)</f>
        <v/>
      </c>
      <c r="AC403" s="18">
        <f>IF(V403="Markdown Review",1,IF(V403="Reorder Candidate",2,IF(V403="Monitor",3,IF(V403="Noise",4,IF(V403="Not Ready",5,99)))))</f>
        <v/>
      </c>
      <c r="AD403" s="18">
        <f>IF(O403,COUNTIFS($O$5:$O$504,TRUE,$AC$5:$AC$504,"&lt;"&amp;AC403)+COUNTIFS($O$5:O403,TRUE,$AC$5:AC403,AC403,$Y$5:Y403,"&gt;"&amp;Y403),0)</f>
        <v/>
      </c>
    </row>
    <row r="404">
      <c r="A404" s="17">
        <f>IF(COUNTA('Weekly Input'!A404:C404)=0,"",'Weekly Input'!B404&amp;"|"&amp;'Weekly Input'!C404&amp;"|"&amp;TEXT('Weekly Input'!A404,"yyyy-mm-dd"))</f>
        <v/>
      </c>
      <c r="B404" s="18">
        <f>'Weekly Input'!B404</f>
        <v/>
      </c>
      <c r="C404" s="18">
        <f>'Weekly Input'!C404</f>
        <v/>
      </c>
      <c r="D404" s="18">
        <f>IF(B404="","",IFERROR(INDEX('Master Data'!$B$6:$B$145,MATCH(B404,'Master Data'!$A$6:$A$145,0)),""))</f>
        <v/>
      </c>
      <c r="E404" s="18">
        <f>IF(C404="","",IFERROR(INDEX('Master Data'!$H$6:$H$13,MATCH(C404,'Master Data'!$F$6:$F$13,0)),""))</f>
        <v/>
      </c>
      <c r="F404" s="19">
        <f>'Weekly Input'!A404</f>
        <v/>
      </c>
      <c r="G404" s="19">
        <f>IF(B404="","",IFERROR(INDEX('Master Data'!$D$6:$D$145,MATCH(B404,'Master Data'!$A$6:$A$145,0)),""))</f>
        <v/>
      </c>
      <c r="H404" s="18">
        <f>IF(OR(F404="",G404=""),"",F404-G404)</f>
        <v/>
      </c>
      <c r="I404" s="18">
        <f>IF(B404="","",IF('Weekly Input'!J404="OK",TRUE,FALSE))</f>
        <v/>
      </c>
      <c r="J404" s="18">
        <f>IF(B404="","",'Weekly Input'!H404&gt;=MinInStockDays)</f>
        <v/>
      </c>
      <c r="K404" s="18">
        <f>IF(B404="","",H404&gt;=FullCycleMin)</f>
        <v/>
      </c>
      <c r="L404" s="18">
        <f>IF(B404="","",AND(I404,J404,K404,N404&gt;=MinHistory))</f>
        <v/>
      </c>
      <c r="M404" s="20">
        <f>IF(OR(B404="",'Weekly Input'!H404=0),"",'Weekly Input'!D404/'Weekly Input'!H404*7)</f>
        <v/>
      </c>
      <c r="N404" s="18">
        <f>IF(B404="","",COUNTIFS($B$5:$B$504,B404,$C$5:$C$504,C404,$I$5:$I$504,TRUE,$J$5:$J$504,TRUE,$K$5:$K$504,TRUE))</f>
        <v/>
      </c>
      <c r="O404" s="18">
        <f>IF(B404="","",AND(F404=AsOfWeek,AsOfWeek&lt;&gt;""))</f>
        <v/>
      </c>
      <c r="P404" s="20">
        <f>IF(OR(B404="",AsOfWeek=""),"",IFERROR(SUMIFS($M$5:$M$504,$B$5:$B$504,B404,$C$5:$C$504,C404,$L$5:$L$504,TRUE,$F$5:$F$504,"&gt;="&amp;AsOfWeek-7*(RecentWeeks-1),$F$5:$F$504,"&lt;="&amp;AsOfWeek),""))</f>
        <v/>
      </c>
      <c r="Q404" s="20">
        <f>IF(OR(B404="",AsOfWeek=""),"",IFERROR(SUMIFS($M$5:$M$504,$B$5:$B$504,B404,$C$5:$C$504,C404,$L$5:$L$504,TRUE,$F$5:$F$504,"&gt;="&amp;AsOfWeek-7*(RecentWeeks+PriorWeeks-1),$F$5:$F$504,"&lt;"&amp;AsOfWeek-7*(RecentWeeks-1)),""))</f>
        <v/>
      </c>
      <c r="R404" s="21">
        <f>IF(OR(P404="",Q404="",Q404=0),"",P404/Q404-1)</f>
        <v/>
      </c>
      <c r="S404" s="20">
        <f>IF(OR(C404="",AsOfWeek=""),"",IFERROR(AVERAGEIFS($M$5:$M$504,$C$5:$C$504,C404,$L$5:$L$504,TRUE,$F$5:$F$504,"&gt;="&amp;AsOfWeek-7*(RecentWeeks-1),$F$5:$F$504,"&lt;="&amp;AsOfWeek),""))</f>
        <v/>
      </c>
      <c r="T404" s="21">
        <f>IF(OR(P404="",S404=""),"",P404/S404-1)</f>
        <v/>
      </c>
      <c r="U404" s="22">
        <f>IF(OR(B404="",'Weekly Input'!G404="",P404="",P404=0),"",'Weekly Input'!G404/P404)</f>
        <v/>
      </c>
      <c r="V404" s="18">
        <f>IF(B404="","",IF(NOT(I404),"Not Ready",IF(NOT(K404),"Not Ready",IF(N404&lt;MinHistory,"Not Ready",IF(NOT(J404),"Not Ready",IF(OR(Q404="",Q404=0),"Noise",IF(Q404&lt;LowBaseThreshold,"Noise",IF(AND(R404&lt;=-OwnDecline,T404&lt;=-PeerGapThreshold),"Markdown Review",IF(AND(R404&gt;=ReorderUplift,U404&lt;&gt;"",U404&lt;=WeeksSupplyCap),"Reorder Candidate","Monitor"))))))))</f>
        <v/>
      </c>
      <c r="W404" s="18">
        <f>IF(B404="","",IF(NOT(I404),"INVALID_MASTER",IF(NOT(K404),"INCOMPLETE_SHELF_CYCLE",IF(N404&lt;MinHistory,"INSUFFICIENT_HISTORY",IF(NOT(J404),"INSUFFICIENT_IN_STOCK",IF(OR(Q404="",Q404=0),"NO_PRIOR_BASE",IF(Q404&lt;LowBaseThreshold,"LOW_BASE_NOISE",IF(V404="Markdown Review","MARKDOWN_PEER_GAP",IF(V404="Reorder Candidate","REORDER_UPLIFT_COVER","NO_MATERIAL_CHANGE"))))))))</f>
        <v/>
      </c>
      <c r="X404" s="18">
        <f>IF(V404="Markdown Review","Markdown support",IF(V404="Reorder Candidate","Second reorder",IF(V404="Monitor","Monitor",IF(V404="Noise","Hold / collect data",IF(V404="Not Ready","Not ready","")))))</f>
        <v/>
      </c>
      <c r="Y404" s="18">
        <f>IF(OR(R404="",T404=""),"",ABS(R404)+ABS(T404))</f>
        <v/>
      </c>
      <c r="Z404" s="21">
        <f>IF(OR(B404="",NOT(O404),R404=""),"",IF(ABS(R404)&gt;=MaterialThreshold,"Yes","No"))</f>
        <v/>
      </c>
      <c r="AA404" s="18">
        <f>IF(Z404&lt;&gt;"Yes","",IF(ABS(R404)&gt;=MaterialThreshold,IF(ABS(R404)&gt;=BroadShare,"Broad SKU movement","Store-concentrated movement"),""))</f>
        <v/>
      </c>
      <c r="AB404" s="18">
        <f>IF(O404,IF(COUNTIFS($O$5:O404,TRUE)&gt;0,COUNTIFS($O$5:O404,TRUE),0),0)</f>
        <v/>
      </c>
      <c r="AC404" s="18">
        <f>IF(V404="Markdown Review",1,IF(V404="Reorder Candidate",2,IF(V404="Monitor",3,IF(V404="Noise",4,IF(V404="Not Ready",5,99)))))</f>
        <v/>
      </c>
      <c r="AD404" s="18">
        <f>IF(O404,COUNTIFS($O$5:$O$504,TRUE,$AC$5:$AC$504,"&lt;"&amp;AC404)+COUNTIFS($O$5:O404,TRUE,$AC$5:AC404,AC404,$Y$5:Y404,"&gt;"&amp;Y404),0)</f>
        <v/>
      </c>
    </row>
    <row r="405">
      <c r="A405" s="17">
        <f>IF(COUNTA('Weekly Input'!A405:C405)=0,"",'Weekly Input'!B405&amp;"|"&amp;'Weekly Input'!C405&amp;"|"&amp;TEXT('Weekly Input'!A405,"yyyy-mm-dd"))</f>
        <v/>
      </c>
      <c r="B405" s="18">
        <f>'Weekly Input'!B405</f>
        <v/>
      </c>
      <c r="C405" s="18">
        <f>'Weekly Input'!C405</f>
        <v/>
      </c>
      <c r="D405" s="18">
        <f>IF(B405="","",IFERROR(INDEX('Master Data'!$B$6:$B$145,MATCH(B405,'Master Data'!$A$6:$A$145,0)),""))</f>
        <v/>
      </c>
      <c r="E405" s="18">
        <f>IF(C405="","",IFERROR(INDEX('Master Data'!$H$6:$H$13,MATCH(C405,'Master Data'!$F$6:$F$13,0)),""))</f>
        <v/>
      </c>
      <c r="F405" s="19">
        <f>'Weekly Input'!A405</f>
        <v/>
      </c>
      <c r="G405" s="19">
        <f>IF(B405="","",IFERROR(INDEX('Master Data'!$D$6:$D$145,MATCH(B405,'Master Data'!$A$6:$A$145,0)),""))</f>
        <v/>
      </c>
      <c r="H405" s="18">
        <f>IF(OR(F405="",G405=""),"",F405-G405)</f>
        <v/>
      </c>
      <c r="I405" s="18">
        <f>IF(B405="","",IF('Weekly Input'!J405="OK",TRUE,FALSE))</f>
        <v/>
      </c>
      <c r="J405" s="18">
        <f>IF(B405="","",'Weekly Input'!H405&gt;=MinInStockDays)</f>
        <v/>
      </c>
      <c r="K405" s="18">
        <f>IF(B405="","",H405&gt;=FullCycleMin)</f>
        <v/>
      </c>
      <c r="L405" s="18">
        <f>IF(B405="","",AND(I405,J405,K405,N405&gt;=MinHistory))</f>
        <v/>
      </c>
      <c r="M405" s="20">
        <f>IF(OR(B405="",'Weekly Input'!H405=0),"",'Weekly Input'!D405/'Weekly Input'!H405*7)</f>
        <v/>
      </c>
      <c r="N405" s="18">
        <f>IF(B405="","",COUNTIFS($B$5:$B$504,B405,$C$5:$C$504,C405,$I$5:$I$504,TRUE,$J$5:$J$504,TRUE,$K$5:$K$504,TRUE))</f>
        <v/>
      </c>
      <c r="O405" s="18">
        <f>IF(B405="","",AND(F405=AsOfWeek,AsOfWeek&lt;&gt;""))</f>
        <v/>
      </c>
      <c r="P405" s="20">
        <f>IF(OR(B405="",AsOfWeek=""),"",IFERROR(SUMIFS($M$5:$M$504,$B$5:$B$504,B405,$C$5:$C$504,C405,$L$5:$L$504,TRUE,$F$5:$F$504,"&gt;="&amp;AsOfWeek-7*(RecentWeeks-1),$F$5:$F$504,"&lt;="&amp;AsOfWeek),""))</f>
        <v/>
      </c>
      <c r="Q405" s="20">
        <f>IF(OR(B405="",AsOfWeek=""),"",IFERROR(SUMIFS($M$5:$M$504,$B$5:$B$504,B405,$C$5:$C$504,C405,$L$5:$L$504,TRUE,$F$5:$F$504,"&gt;="&amp;AsOfWeek-7*(RecentWeeks+PriorWeeks-1),$F$5:$F$504,"&lt;"&amp;AsOfWeek-7*(RecentWeeks-1)),""))</f>
        <v/>
      </c>
      <c r="R405" s="21">
        <f>IF(OR(P405="",Q405="",Q405=0),"",P405/Q405-1)</f>
        <v/>
      </c>
      <c r="S405" s="20">
        <f>IF(OR(C405="",AsOfWeek=""),"",IFERROR(AVERAGEIFS($M$5:$M$504,$C$5:$C$504,C405,$L$5:$L$504,TRUE,$F$5:$F$504,"&gt;="&amp;AsOfWeek-7*(RecentWeeks-1),$F$5:$F$504,"&lt;="&amp;AsOfWeek),""))</f>
        <v/>
      </c>
      <c r="T405" s="21">
        <f>IF(OR(P405="",S405=""),"",P405/S405-1)</f>
        <v/>
      </c>
      <c r="U405" s="22">
        <f>IF(OR(B405="",'Weekly Input'!G405="",P405="",P405=0),"",'Weekly Input'!G405/P405)</f>
        <v/>
      </c>
      <c r="V405" s="18">
        <f>IF(B405="","",IF(NOT(I405),"Not Ready",IF(NOT(K405),"Not Ready",IF(N405&lt;MinHistory,"Not Ready",IF(NOT(J405),"Not Ready",IF(OR(Q405="",Q405=0),"Noise",IF(Q405&lt;LowBaseThreshold,"Noise",IF(AND(R405&lt;=-OwnDecline,T405&lt;=-PeerGapThreshold),"Markdown Review",IF(AND(R405&gt;=ReorderUplift,U405&lt;&gt;"",U405&lt;=WeeksSupplyCap),"Reorder Candidate","Monitor"))))))))</f>
        <v/>
      </c>
      <c r="W405" s="18">
        <f>IF(B405="","",IF(NOT(I405),"INVALID_MASTER",IF(NOT(K405),"INCOMPLETE_SHELF_CYCLE",IF(N405&lt;MinHistory,"INSUFFICIENT_HISTORY",IF(NOT(J405),"INSUFFICIENT_IN_STOCK",IF(OR(Q405="",Q405=0),"NO_PRIOR_BASE",IF(Q405&lt;LowBaseThreshold,"LOW_BASE_NOISE",IF(V405="Markdown Review","MARKDOWN_PEER_GAP",IF(V405="Reorder Candidate","REORDER_UPLIFT_COVER","NO_MATERIAL_CHANGE"))))))))</f>
        <v/>
      </c>
      <c r="X405" s="18">
        <f>IF(V405="Markdown Review","Markdown support",IF(V405="Reorder Candidate","Second reorder",IF(V405="Monitor","Monitor",IF(V405="Noise","Hold / collect data",IF(V405="Not Ready","Not ready","")))))</f>
        <v/>
      </c>
      <c r="Y405" s="18">
        <f>IF(OR(R405="",T405=""),"",ABS(R405)+ABS(T405))</f>
        <v/>
      </c>
      <c r="Z405" s="21">
        <f>IF(OR(B405="",NOT(O405),R405=""),"",IF(ABS(R405)&gt;=MaterialThreshold,"Yes","No"))</f>
        <v/>
      </c>
      <c r="AA405" s="18">
        <f>IF(Z405&lt;&gt;"Yes","",IF(ABS(R405)&gt;=MaterialThreshold,IF(ABS(R405)&gt;=BroadShare,"Broad SKU movement","Store-concentrated movement"),""))</f>
        <v/>
      </c>
      <c r="AB405" s="18">
        <f>IF(O405,IF(COUNTIFS($O$5:O405,TRUE)&gt;0,COUNTIFS($O$5:O405,TRUE),0),0)</f>
        <v/>
      </c>
      <c r="AC405" s="18">
        <f>IF(V405="Markdown Review",1,IF(V405="Reorder Candidate",2,IF(V405="Monitor",3,IF(V405="Noise",4,IF(V405="Not Ready",5,99)))))</f>
        <v/>
      </c>
      <c r="AD405" s="18">
        <f>IF(O405,COUNTIFS($O$5:$O$504,TRUE,$AC$5:$AC$504,"&lt;"&amp;AC405)+COUNTIFS($O$5:O405,TRUE,$AC$5:AC405,AC405,$Y$5:Y405,"&gt;"&amp;Y405),0)</f>
        <v/>
      </c>
    </row>
    <row r="406">
      <c r="A406" s="17">
        <f>IF(COUNTA('Weekly Input'!A406:C406)=0,"",'Weekly Input'!B406&amp;"|"&amp;'Weekly Input'!C406&amp;"|"&amp;TEXT('Weekly Input'!A406,"yyyy-mm-dd"))</f>
        <v/>
      </c>
      <c r="B406" s="18">
        <f>'Weekly Input'!B406</f>
        <v/>
      </c>
      <c r="C406" s="18">
        <f>'Weekly Input'!C406</f>
        <v/>
      </c>
      <c r="D406" s="18">
        <f>IF(B406="","",IFERROR(INDEX('Master Data'!$B$6:$B$145,MATCH(B406,'Master Data'!$A$6:$A$145,0)),""))</f>
        <v/>
      </c>
      <c r="E406" s="18">
        <f>IF(C406="","",IFERROR(INDEX('Master Data'!$H$6:$H$13,MATCH(C406,'Master Data'!$F$6:$F$13,0)),""))</f>
        <v/>
      </c>
      <c r="F406" s="19">
        <f>'Weekly Input'!A406</f>
        <v/>
      </c>
      <c r="G406" s="19">
        <f>IF(B406="","",IFERROR(INDEX('Master Data'!$D$6:$D$145,MATCH(B406,'Master Data'!$A$6:$A$145,0)),""))</f>
        <v/>
      </c>
      <c r="H406" s="18">
        <f>IF(OR(F406="",G406=""),"",F406-G406)</f>
        <v/>
      </c>
      <c r="I406" s="18">
        <f>IF(B406="","",IF('Weekly Input'!J406="OK",TRUE,FALSE))</f>
        <v/>
      </c>
      <c r="J406" s="18">
        <f>IF(B406="","",'Weekly Input'!H406&gt;=MinInStockDays)</f>
        <v/>
      </c>
      <c r="K406" s="18">
        <f>IF(B406="","",H406&gt;=FullCycleMin)</f>
        <v/>
      </c>
      <c r="L406" s="18">
        <f>IF(B406="","",AND(I406,J406,K406,N406&gt;=MinHistory))</f>
        <v/>
      </c>
      <c r="M406" s="20">
        <f>IF(OR(B406="",'Weekly Input'!H406=0),"",'Weekly Input'!D406/'Weekly Input'!H406*7)</f>
        <v/>
      </c>
      <c r="N406" s="18">
        <f>IF(B406="","",COUNTIFS($B$5:$B$504,B406,$C$5:$C$504,C406,$I$5:$I$504,TRUE,$J$5:$J$504,TRUE,$K$5:$K$504,TRUE))</f>
        <v/>
      </c>
      <c r="O406" s="18">
        <f>IF(B406="","",AND(F406=AsOfWeek,AsOfWeek&lt;&gt;""))</f>
        <v/>
      </c>
      <c r="P406" s="20">
        <f>IF(OR(B406="",AsOfWeek=""),"",IFERROR(SUMIFS($M$5:$M$504,$B$5:$B$504,B406,$C$5:$C$504,C406,$L$5:$L$504,TRUE,$F$5:$F$504,"&gt;="&amp;AsOfWeek-7*(RecentWeeks-1),$F$5:$F$504,"&lt;="&amp;AsOfWeek),""))</f>
        <v/>
      </c>
      <c r="Q406" s="20">
        <f>IF(OR(B406="",AsOfWeek=""),"",IFERROR(SUMIFS($M$5:$M$504,$B$5:$B$504,B406,$C$5:$C$504,C406,$L$5:$L$504,TRUE,$F$5:$F$504,"&gt;="&amp;AsOfWeek-7*(RecentWeeks+PriorWeeks-1),$F$5:$F$504,"&lt;"&amp;AsOfWeek-7*(RecentWeeks-1)),""))</f>
        <v/>
      </c>
      <c r="R406" s="21">
        <f>IF(OR(P406="",Q406="",Q406=0),"",P406/Q406-1)</f>
        <v/>
      </c>
      <c r="S406" s="20">
        <f>IF(OR(C406="",AsOfWeek=""),"",IFERROR(AVERAGEIFS($M$5:$M$504,$C$5:$C$504,C406,$L$5:$L$504,TRUE,$F$5:$F$504,"&gt;="&amp;AsOfWeek-7*(RecentWeeks-1),$F$5:$F$504,"&lt;="&amp;AsOfWeek),""))</f>
        <v/>
      </c>
      <c r="T406" s="21">
        <f>IF(OR(P406="",S406=""),"",P406/S406-1)</f>
        <v/>
      </c>
      <c r="U406" s="22">
        <f>IF(OR(B406="",'Weekly Input'!G406="",P406="",P406=0),"",'Weekly Input'!G406/P406)</f>
        <v/>
      </c>
      <c r="V406" s="18">
        <f>IF(B406="","",IF(NOT(I406),"Not Ready",IF(NOT(K406),"Not Ready",IF(N406&lt;MinHistory,"Not Ready",IF(NOT(J406),"Not Ready",IF(OR(Q406="",Q406=0),"Noise",IF(Q406&lt;LowBaseThreshold,"Noise",IF(AND(R406&lt;=-OwnDecline,T406&lt;=-PeerGapThreshold),"Markdown Review",IF(AND(R406&gt;=ReorderUplift,U406&lt;&gt;"",U406&lt;=WeeksSupplyCap),"Reorder Candidate","Monitor"))))))))</f>
        <v/>
      </c>
      <c r="W406" s="18">
        <f>IF(B406="","",IF(NOT(I406),"INVALID_MASTER",IF(NOT(K406),"INCOMPLETE_SHELF_CYCLE",IF(N406&lt;MinHistory,"INSUFFICIENT_HISTORY",IF(NOT(J406),"INSUFFICIENT_IN_STOCK",IF(OR(Q406="",Q406=0),"NO_PRIOR_BASE",IF(Q406&lt;LowBaseThreshold,"LOW_BASE_NOISE",IF(V406="Markdown Review","MARKDOWN_PEER_GAP",IF(V406="Reorder Candidate","REORDER_UPLIFT_COVER","NO_MATERIAL_CHANGE"))))))))</f>
        <v/>
      </c>
      <c r="X406" s="18">
        <f>IF(V406="Markdown Review","Markdown support",IF(V406="Reorder Candidate","Second reorder",IF(V406="Monitor","Monitor",IF(V406="Noise","Hold / collect data",IF(V406="Not Ready","Not ready","")))))</f>
        <v/>
      </c>
      <c r="Y406" s="18">
        <f>IF(OR(R406="",T406=""),"",ABS(R406)+ABS(T406))</f>
        <v/>
      </c>
      <c r="Z406" s="21">
        <f>IF(OR(B406="",NOT(O406),R406=""),"",IF(ABS(R406)&gt;=MaterialThreshold,"Yes","No"))</f>
        <v/>
      </c>
      <c r="AA406" s="18">
        <f>IF(Z406&lt;&gt;"Yes","",IF(ABS(R406)&gt;=MaterialThreshold,IF(ABS(R406)&gt;=BroadShare,"Broad SKU movement","Store-concentrated movement"),""))</f>
        <v/>
      </c>
      <c r="AB406" s="18">
        <f>IF(O406,IF(COUNTIFS($O$5:O406,TRUE)&gt;0,COUNTIFS($O$5:O406,TRUE),0),0)</f>
        <v/>
      </c>
      <c r="AC406" s="18">
        <f>IF(V406="Markdown Review",1,IF(V406="Reorder Candidate",2,IF(V406="Monitor",3,IF(V406="Noise",4,IF(V406="Not Ready",5,99)))))</f>
        <v/>
      </c>
      <c r="AD406" s="18">
        <f>IF(O406,COUNTIFS($O$5:$O$504,TRUE,$AC$5:$AC$504,"&lt;"&amp;AC406)+COUNTIFS($O$5:O406,TRUE,$AC$5:AC406,AC406,$Y$5:Y406,"&gt;"&amp;Y406),0)</f>
        <v/>
      </c>
    </row>
    <row r="407">
      <c r="A407" s="17">
        <f>IF(COUNTA('Weekly Input'!A407:C407)=0,"",'Weekly Input'!B407&amp;"|"&amp;'Weekly Input'!C407&amp;"|"&amp;TEXT('Weekly Input'!A407,"yyyy-mm-dd"))</f>
        <v/>
      </c>
      <c r="B407" s="18">
        <f>'Weekly Input'!B407</f>
        <v/>
      </c>
      <c r="C407" s="18">
        <f>'Weekly Input'!C407</f>
        <v/>
      </c>
      <c r="D407" s="18">
        <f>IF(B407="","",IFERROR(INDEX('Master Data'!$B$6:$B$145,MATCH(B407,'Master Data'!$A$6:$A$145,0)),""))</f>
        <v/>
      </c>
      <c r="E407" s="18">
        <f>IF(C407="","",IFERROR(INDEX('Master Data'!$H$6:$H$13,MATCH(C407,'Master Data'!$F$6:$F$13,0)),""))</f>
        <v/>
      </c>
      <c r="F407" s="19">
        <f>'Weekly Input'!A407</f>
        <v/>
      </c>
      <c r="G407" s="19">
        <f>IF(B407="","",IFERROR(INDEX('Master Data'!$D$6:$D$145,MATCH(B407,'Master Data'!$A$6:$A$145,0)),""))</f>
        <v/>
      </c>
      <c r="H407" s="18">
        <f>IF(OR(F407="",G407=""),"",F407-G407)</f>
        <v/>
      </c>
      <c r="I407" s="18">
        <f>IF(B407="","",IF('Weekly Input'!J407="OK",TRUE,FALSE))</f>
        <v/>
      </c>
      <c r="J407" s="18">
        <f>IF(B407="","",'Weekly Input'!H407&gt;=MinInStockDays)</f>
        <v/>
      </c>
      <c r="K407" s="18">
        <f>IF(B407="","",H407&gt;=FullCycleMin)</f>
        <v/>
      </c>
      <c r="L407" s="18">
        <f>IF(B407="","",AND(I407,J407,K407,N407&gt;=MinHistory))</f>
        <v/>
      </c>
      <c r="M407" s="20">
        <f>IF(OR(B407="",'Weekly Input'!H407=0),"",'Weekly Input'!D407/'Weekly Input'!H407*7)</f>
        <v/>
      </c>
      <c r="N407" s="18">
        <f>IF(B407="","",COUNTIFS($B$5:$B$504,B407,$C$5:$C$504,C407,$I$5:$I$504,TRUE,$J$5:$J$504,TRUE,$K$5:$K$504,TRUE))</f>
        <v/>
      </c>
      <c r="O407" s="18">
        <f>IF(B407="","",AND(F407=AsOfWeek,AsOfWeek&lt;&gt;""))</f>
        <v/>
      </c>
      <c r="P407" s="20">
        <f>IF(OR(B407="",AsOfWeek=""),"",IFERROR(SUMIFS($M$5:$M$504,$B$5:$B$504,B407,$C$5:$C$504,C407,$L$5:$L$504,TRUE,$F$5:$F$504,"&gt;="&amp;AsOfWeek-7*(RecentWeeks-1),$F$5:$F$504,"&lt;="&amp;AsOfWeek),""))</f>
        <v/>
      </c>
      <c r="Q407" s="20">
        <f>IF(OR(B407="",AsOfWeek=""),"",IFERROR(SUMIFS($M$5:$M$504,$B$5:$B$504,B407,$C$5:$C$504,C407,$L$5:$L$504,TRUE,$F$5:$F$504,"&gt;="&amp;AsOfWeek-7*(RecentWeeks+PriorWeeks-1),$F$5:$F$504,"&lt;"&amp;AsOfWeek-7*(RecentWeeks-1)),""))</f>
        <v/>
      </c>
      <c r="R407" s="21">
        <f>IF(OR(P407="",Q407="",Q407=0),"",P407/Q407-1)</f>
        <v/>
      </c>
      <c r="S407" s="20">
        <f>IF(OR(C407="",AsOfWeek=""),"",IFERROR(AVERAGEIFS($M$5:$M$504,$C$5:$C$504,C407,$L$5:$L$504,TRUE,$F$5:$F$504,"&gt;="&amp;AsOfWeek-7*(RecentWeeks-1),$F$5:$F$504,"&lt;="&amp;AsOfWeek),""))</f>
        <v/>
      </c>
      <c r="T407" s="21">
        <f>IF(OR(P407="",S407=""),"",P407/S407-1)</f>
        <v/>
      </c>
      <c r="U407" s="22">
        <f>IF(OR(B407="",'Weekly Input'!G407="",P407="",P407=0),"",'Weekly Input'!G407/P407)</f>
        <v/>
      </c>
      <c r="V407" s="18">
        <f>IF(B407="","",IF(NOT(I407),"Not Ready",IF(NOT(K407),"Not Ready",IF(N407&lt;MinHistory,"Not Ready",IF(NOT(J407),"Not Ready",IF(OR(Q407="",Q407=0),"Noise",IF(Q407&lt;LowBaseThreshold,"Noise",IF(AND(R407&lt;=-OwnDecline,T407&lt;=-PeerGapThreshold),"Markdown Review",IF(AND(R407&gt;=ReorderUplift,U407&lt;&gt;"",U407&lt;=WeeksSupplyCap),"Reorder Candidate","Monitor"))))))))</f>
        <v/>
      </c>
      <c r="W407" s="18">
        <f>IF(B407="","",IF(NOT(I407),"INVALID_MASTER",IF(NOT(K407),"INCOMPLETE_SHELF_CYCLE",IF(N407&lt;MinHistory,"INSUFFICIENT_HISTORY",IF(NOT(J407),"INSUFFICIENT_IN_STOCK",IF(OR(Q407="",Q407=0),"NO_PRIOR_BASE",IF(Q407&lt;LowBaseThreshold,"LOW_BASE_NOISE",IF(V407="Markdown Review","MARKDOWN_PEER_GAP",IF(V407="Reorder Candidate","REORDER_UPLIFT_COVER","NO_MATERIAL_CHANGE"))))))))</f>
        <v/>
      </c>
      <c r="X407" s="18">
        <f>IF(V407="Markdown Review","Markdown support",IF(V407="Reorder Candidate","Second reorder",IF(V407="Monitor","Monitor",IF(V407="Noise","Hold / collect data",IF(V407="Not Ready","Not ready","")))))</f>
        <v/>
      </c>
      <c r="Y407" s="18">
        <f>IF(OR(R407="",T407=""),"",ABS(R407)+ABS(T407))</f>
        <v/>
      </c>
      <c r="Z407" s="21">
        <f>IF(OR(B407="",NOT(O407),R407=""),"",IF(ABS(R407)&gt;=MaterialThreshold,"Yes","No"))</f>
        <v/>
      </c>
      <c r="AA407" s="18">
        <f>IF(Z407&lt;&gt;"Yes","",IF(ABS(R407)&gt;=MaterialThreshold,IF(ABS(R407)&gt;=BroadShare,"Broad SKU movement","Store-concentrated movement"),""))</f>
        <v/>
      </c>
      <c r="AB407" s="18">
        <f>IF(O407,IF(COUNTIFS($O$5:O407,TRUE)&gt;0,COUNTIFS($O$5:O407,TRUE),0),0)</f>
        <v/>
      </c>
      <c r="AC407" s="18">
        <f>IF(V407="Markdown Review",1,IF(V407="Reorder Candidate",2,IF(V407="Monitor",3,IF(V407="Noise",4,IF(V407="Not Ready",5,99)))))</f>
        <v/>
      </c>
      <c r="AD407" s="18">
        <f>IF(O407,COUNTIFS($O$5:$O$504,TRUE,$AC$5:$AC$504,"&lt;"&amp;AC407)+COUNTIFS($O$5:O407,TRUE,$AC$5:AC407,AC407,$Y$5:Y407,"&gt;"&amp;Y407),0)</f>
        <v/>
      </c>
    </row>
    <row r="408">
      <c r="A408" s="17">
        <f>IF(COUNTA('Weekly Input'!A408:C408)=0,"",'Weekly Input'!B408&amp;"|"&amp;'Weekly Input'!C408&amp;"|"&amp;TEXT('Weekly Input'!A408,"yyyy-mm-dd"))</f>
        <v/>
      </c>
      <c r="B408" s="18">
        <f>'Weekly Input'!B408</f>
        <v/>
      </c>
      <c r="C408" s="18">
        <f>'Weekly Input'!C408</f>
        <v/>
      </c>
      <c r="D408" s="18">
        <f>IF(B408="","",IFERROR(INDEX('Master Data'!$B$6:$B$145,MATCH(B408,'Master Data'!$A$6:$A$145,0)),""))</f>
        <v/>
      </c>
      <c r="E408" s="18">
        <f>IF(C408="","",IFERROR(INDEX('Master Data'!$H$6:$H$13,MATCH(C408,'Master Data'!$F$6:$F$13,0)),""))</f>
        <v/>
      </c>
      <c r="F408" s="19">
        <f>'Weekly Input'!A408</f>
        <v/>
      </c>
      <c r="G408" s="19">
        <f>IF(B408="","",IFERROR(INDEX('Master Data'!$D$6:$D$145,MATCH(B408,'Master Data'!$A$6:$A$145,0)),""))</f>
        <v/>
      </c>
      <c r="H408" s="18">
        <f>IF(OR(F408="",G408=""),"",F408-G408)</f>
        <v/>
      </c>
      <c r="I408" s="18">
        <f>IF(B408="","",IF('Weekly Input'!J408="OK",TRUE,FALSE))</f>
        <v/>
      </c>
      <c r="J408" s="18">
        <f>IF(B408="","",'Weekly Input'!H408&gt;=MinInStockDays)</f>
        <v/>
      </c>
      <c r="K408" s="18">
        <f>IF(B408="","",H408&gt;=FullCycleMin)</f>
        <v/>
      </c>
      <c r="L408" s="18">
        <f>IF(B408="","",AND(I408,J408,K408,N408&gt;=MinHistory))</f>
        <v/>
      </c>
      <c r="M408" s="20">
        <f>IF(OR(B408="",'Weekly Input'!H408=0),"",'Weekly Input'!D408/'Weekly Input'!H408*7)</f>
        <v/>
      </c>
      <c r="N408" s="18">
        <f>IF(B408="","",COUNTIFS($B$5:$B$504,B408,$C$5:$C$504,C408,$I$5:$I$504,TRUE,$J$5:$J$504,TRUE,$K$5:$K$504,TRUE))</f>
        <v/>
      </c>
      <c r="O408" s="18">
        <f>IF(B408="","",AND(F408=AsOfWeek,AsOfWeek&lt;&gt;""))</f>
        <v/>
      </c>
      <c r="P408" s="20">
        <f>IF(OR(B408="",AsOfWeek=""),"",IFERROR(SUMIFS($M$5:$M$504,$B$5:$B$504,B408,$C$5:$C$504,C408,$L$5:$L$504,TRUE,$F$5:$F$504,"&gt;="&amp;AsOfWeek-7*(RecentWeeks-1),$F$5:$F$504,"&lt;="&amp;AsOfWeek),""))</f>
        <v/>
      </c>
      <c r="Q408" s="20">
        <f>IF(OR(B408="",AsOfWeek=""),"",IFERROR(SUMIFS($M$5:$M$504,$B$5:$B$504,B408,$C$5:$C$504,C408,$L$5:$L$504,TRUE,$F$5:$F$504,"&gt;="&amp;AsOfWeek-7*(RecentWeeks+PriorWeeks-1),$F$5:$F$504,"&lt;"&amp;AsOfWeek-7*(RecentWeeks-1)),""))</f>
        <v/>
      </c>
      <c r="R408" s="21">
        <f>IF(OR(P408="",Q408="",Q408=0),"",P408/Q408-1)</f>
        <v/>
      </c>
      <c r="S408" s="20">
        <f>IF(OR(C408="",AsOfWeek=""),"",IFERROR(AVERAGEIFS($M$5:$M$504,$C$5:$C$504,C408,$L$5:$L$504,TRUE,$F$5:$F$504,"&gt;="&amp;AsOfWeek-7*(RecentWeeks-1),$F$5:$F$504,"&lt;="&amp;AsOfWeek),""))</f>
        <v/>
      </c>
      <c r="T408" s="21">
        <f>IF(OR(P408="",S408=""),"",P408/S408-1)</f>
        <v/>
      </c>
      <c r="U408" s="22">
        <f>IF(OR(B408="",'Weekly Input'!G408="",P408="",P408=0),"",'Weekly Input'!G408/P408)</f>
        <v/>
      </c>
      <c r="V408" s="18">
        <f>IF(B408="","",IF(NOT(I408),"Not Ready",IF(NOT(K408),"Not Ready",IF(N408&lt;MinHistory,"Not Ready",IF(NOT(J408),"Not Ready",IF(OR(Q408="",Q408=0),"Noise",IF(Q408&lt;LowBaseThreshold,"Noise",IF(AND(R408&lt;=-OwnDecline,T408&lt;=-PeerGapThreshold),"Markdown Review",IF(AND(R408&gt;=ReorderUplift,U408&lt;&gt;"",U408&lt;=WeeksSupplyCap),"Reorder Candidate","Monitor"))))))))</f>
        <v/>
      </c>
      <c r="W408" s="18">
        <f>IF(B408="","",IF(NOT(I408),"INVALID_MASTER",IF(NOT(K408),"INCOMPLETE_SHELF_CYCLE",IF(N408&lt;MinHistory,"INSUFFICIENT_HISTORY",IF(NOT(J408),"INSUFFICIENT_IN_STOCK",IF(OR(Q408="",Q408=0),"NO_PRIOR_BASE",IF(Q408&lt;LowBaseThreshold,"LOW_BASE_NOISE",IF(V408="Markdown Review","MARKDOWN_PEER_GAP",IF(V408="Reorder Candidate","REORDER_UPLIFT_COVER","NO_MATERIAL_CHANGE"))))))))</f>
        <v/>
      </c>
      <c r="X408" s="18">
        <f>IF(V408="Markdown Review","Markdown support",IF(V408="Reorder Candidate","Second reorder",IF(V408="Monitor","Monitor",IF(V408="Noise","Hold / collect data",IF(V408="Not Ready","Not ready","")))))</f>
        <v/>
      </c>
      <c r="Y408" s="18">
        <f>IF(OR(R408="",T408=""),"",ABS(R408)+ABS(T408))</f>
        <v/>
      </c>
      <c r="Z408" s="21">
        <f>IF(OR(B408="",NOT(O408),R408=""),"",IF(ABS(R408)&gt;=MaterialThreshold,"Yes","No"))</f>
        <v/>
      </c>
      <c r="AA408" s="18">
        <f>IF(Z408&lt;&gt;"Yes","",IF(ABS(R408)&gt;=MaterialThreshold,IF(ABS(R408)&gt;=BroadShare,"Broad SKU movement","Store-concentrated movement"),""))</f>
        <v/>
      </c>
      <c r="AB408" s="18">
        <f>IF(O408,IF(COUNTIFS($O$5:O408,TRUE)&gt;0,COUNTIFS($O$5:O408,TRUE),0),0)</f>
        <v/>
      </c>
      <c r="AC408" s="18">
        <f>IF(V408="Markdown Review",1,IF(V408="Reorder Candidate",2,IF(V408="Monitor",3,IF(V408="Noise",4,IF(V408="Not Ready",5,99)))))</f>
        <v/>
      </c>
      <c r="AD408" s="18">
        <f>IF(O408,COUNTIFS($O$5:$O$504,TRUE,$AC$5:$AC$504,"&lt;"&amp;AC408)+COUNTIFS($O$5:O408,TRUE,$AC$5:AC408,AC408,$Y$5:Y408,"&gt;"&amp;Y408),0)</f>
        <v/>
      </c>
    </row>
    <row r="409">
      <c r="A409" s="17">
        <f>IF(COUNTA('Weekly Input'!A409:C409)=0,"",'Weekly Input'!B409&amp;"|"&amp;'Weekly Input'!C409&amp;"|"&amp;TEXT('Weekly Input'!A409,"yyyy-mm-dd"))</f>
        <v/>
      </c>
      <c r="B409" s="18">
        <f>'Weekly Input'!B409</f>
        <v/>
      </c>
      <c r="C409" s="18">
        <f>'Weekly Input'!C409</f>
        <v/>
      </c>
      <c r="D409" s="18">
        <f>IF(B409="","",IFERROR(INDEX('Master Data'!$B$6:$B$145,MATCH(B409,'Master Data'!$A$6:$A$145,0)),""))</f>
        <v/>
      </c>
      <c r="E409" s="18">
        <f>IF(C409="","",IFERROR(INDEX('Master Data'!$H$6:$H$13,MATCH(C409,'Master Data'!$F$6:$F$13,0)),""))</f>
        <v/>
      </c>
      <c r="F409" s="19">
        <f>'Weekly Input'!A409</f>
        <v/>
      </c>
      <c r="G409" s="19">
        <f>IF(B409="","",IFERROR(INDEX('Master Data'!$D$6:$D$145,MATCH(B409,'Master Data'!$A$6:$A$145,0)),""))</f>
        <v/>
      </c>
      <c r="H409" s="18">
        <f>IF(OR(F409="",G409=""),"",F409-G409)</f>
        <v/>
      </c>
      <c r="I409" s="18">
        <f>IF(B409="","",IF('Weekly Input'!J409="OK",TRUE,FALSE))</f>
        <v/>
      </c>
      <c r="J409" s="18">
        <f>IF(B409="","",'Weekly Input'!H409&gt;=MinInStockDays)</f>
        <v/>
      </c>
      <c r="K409" s="18">
        <f>IF(B409="","",H409&gt;=FullCycleMin)</f>
        <v/>
      </c>
      <c r="L409" s="18">
        <f>IF(B409="","",AND(I409,J409,K409,N409&gt;=MinHistory))</f>
        <v/>
      </c>
      <c r="M409" s="20">
        <f>IF(OR(B409="",'Weekly Input'!H409=0),"",'Weekly Input'!D409/'Weekly Input'!H409*7)</f>
        <v/>
      </c>
      <c r="N409" s="18">
        <f>IF(B409="","",COUNTIFS($B$5:$B$504,B409,$C$5:$C$504,C409,$I$5:$I$504,TRUE,$J$5:$J$504,TRUE,$K$5:$K$504,TRUE))</f>
        <v/>
      </c>
      <c r="O409" s="18">
        <f>IF(B409="","",AND(F409=AsOfWeek,AsOfWeek&lt;&gt;""))</f>
        <v/>
      </c>
      <c r="P409" s="20">
        <f>IF(OR(B409="",AsOfWeek=""),"",IFERROR(SUMIFS($M$5:$M$504,$B$5:$B$504,B409,$C$5:$C$504,C409,$L$5:$L$504,TRUE,$F$5:$F$504,"&gt;="&amp;AsOfWeek-7*(RecentWeeks-1),$F$5:$F$504,"&lt;="&amp;AsOfWeek),""))</f>
        <v/>
      </c>
      <c r="Q409" s="20">
        <f>IF(OR(B409="",AsOfWeek=""),"",IFERROR(SUMIFS($M$5:$M$504,$B$5:$B$504,B409,$C$5:$C$504,C409,$L$5:$L$504,TRUE,$F$5:$F$504,"&gt;="&amp;AsOfWeek-7*(RecentWeeks+PriorWeeks-1),$F$5:$F$504,"&lt;"&amp;AsOfWeek-7*(RecentWeeks-1)),""))</f>
        <v/>
      </c>
      <c r="R409" s="21">
        <f>IF(OR(P409="",Q409="",Q409=0),"",P409/Q409-1)</f>
        <v/>
      </c>
      <c r="S409" s="20">
        <f>IF(OR(C409="",AsOfWeek=""),"",IFERROR(AVERAGEIFS($M$5:$M$504,$C$5:$C$504,C409,$L$5:$L$504,TRUE,$F$5:$F$504,"&gt;="&amp;AsOfWeek-7*(RecentWeeks-1),$F$5:$F$504,"&lt;="&amp;AsOfWeek),""))</f>
        <v/>
      </c>
      <c r="T409" s="21">
        <f>IF(OR(P409="",S409=""),"",P409/S409-1)</f>
        <v/>
      </c>
      <c r="U409" s="22">
        <f>IF(OR(B409="",'Weekly Input'!G409="",P409="",P409=0),"",'Weekly Input'!G409/P409)</f>
        <v/>
      </c>
      <c r="V409" s="18">
        <f>IF(B409="","",IF(NOT(I409),"Not Ready",IF(NOT(K409),"Not Ready",IF(N409&lt;MinHistory,"Not Ready",IF(NOT(J409),"Not Ready",IF(OR(Q409="",Q409=0),"Noise",IF(Q409&lt;LowBaseThreshold,"Noise",IF(AND(R409&lt;=-OwnDecline,T409&lt;=-PeerGapThreshold),"Markdown Review",IF(AND(R409&gt;=ReorderUplift,U409&lt;&gt;"",U409&lt;=WeeksSupplyCap),"Reorder Candidate","Monitor"))))))))</f>
        <v/>
      </c>
      <c r="W409" s="18">
        <f>IF(B409="","",IF(NOT(I409),"INVALID_MASTER",IF(NOT(K409),"INCOMPLETE_SHELF_CYCLE",IF(N409&lt;MinHistory,"INSUFFICIENT_HISTORY",IF(NOT(J409),"INSUFFICIENT_IN_STOCK",IF(OR(Q409="",Q409=0),"NO_PRIOR_BASE",IF(Q409&lt;LowBaseThreshold,"LOW_BASE_NOISE",IF(V409="Markdown Review","MARKDOWN_PEER_GAP",IF(V409="Reorder Candidate","REORDER_UPLIFT_COVER","NO_MATERIAL_CHANGE"))))))))</f>
        <v/>
      </c>
      <c r="X409" s="18">
        <f>IF(V409="Markdown Review","Markdown support",IF(V409="Reorder Candidate","Second reorder",IF(V409="Monitor","Monitor",IF(V409="Noise","Hold / collect data",IF(V409="Not Ready","Not ready","")))))</f>
        <v/>
      </c>
      <c r="Y409" s="18">
        <f>IF(OR(R409="",T409=""),"",ABS(R409)+ABS(T409))</f>
        <v/>
      </c>
      <c r="Z409" s="21">
        <f>IF(OR(B409="",NOT(O409),R409=""),"",IF(ABS(R409)&gt;=MaterialThreshold,"Yes","No"))</f>
        <v/>
      </c>
      <c r="AA409" s="18">
        <f>IF(Z409&lt;&gt;"Yes","",IF(ABS(R409)&gt;=MaterialThreshold,IF(ABS(R409)&gt;=BroadShare,"Broad SKU movement","Store-concentrated movement"),""))</f>
        <v/>
      </c>
      <c r="AB409" s="18">
        <f>IF(O409,IF(COUNTIFS($O$5:O409,TRUE)&gt;0,COUNTIFS($O$5:O409,TRUE),0),0)</f>
        <v/>
      </c>
      <c r="AC409" s="18">
        <f>IF(V409="Markdown Review",1,IF(V409="Reorder Candidate",2,IF(V409="Monitor",3,IF(V409="Noise",4,IF(V409="Not Ready",5,99)))))</f>
        <v/>
      </c>
      <c r="AD409" s="18">
        <f>IF(O409,COUNTIFS($O$5:$O$504,TRUE,$AC$5:$AC$504,"&lt;"&amp;AC409)+COUNTIFS($O$5:O409,TRUE,$AC$5:AC409,AC409,$Y$5:Y409,"&gt;"&amp;Y409),0)</f>
        <v/>
      </c>
    </row>
    <row r="410">
      <c r="A410" s="17">
        <f>IF(COUNTA('Weekly Input'!A410:C410)=0,"",'Weekly Input'!B410&amp;"|"&amp;'Weekly Input'!C410&amp;"|"&amp;TEXT('Weekly Input'!A410,"yyyy-mm-dd"))</f>
        <v/>
      </c>
      <c r="B410" s="18">
        <f>'Weekly Input'!B410</f>
        <v/>
      </c>
      <c r="C410" s="18">
        <f>'Weekly Input'!C410</f>
        <v/>
      </c>
      <c r="D410" s="18">
        <f>IF(B410="","",IFERROR(INDEX('Master Data'!$B$6:$B$145,MATCH(B410,'Master Data'!$A$6:$A$145,0)),""))</f>
        <v/>
      </c>
      <c r="E410" s="18">
        <f>IF(C410="","",IFERROR(INDEX('Master Data'!$H$6:$H$13,MATCH(C410,'Master Data'!$F$6:$F$13,0)),""))</f>
        <v/>
      </c>
      <c r="F410" s="19">
        <f>'Weekly Input'!A410</f>
        <v/>
      </c>
      <c r="G410" s="19">
        <f>IF(B410="","",IFERROR(INDEX('Master Data'!$D$6:$D$145,MATCH(B410,'Master Data'!$A$6:$A$145,0)),""))</f>
        <v/>
      </c>
      <c r="H410" s="18">
        <f>IF(OR(F410="",G410=""),"",F410-G410)</f>
        <v/>
      </c>
      <c r="I410" s="18">
        <f>IF(B410="","",IF('Weekly Input'!J410="OK",TRUE,FALSE))</f>
        <v/>
      </c>
      <c r="J410" s="18">
        <f>IF(B410="","",'Weekly Input'!H410&gt;=MinInStockDays)</f>
        <v/>
      </c>
      <c r="K410" s="18">
        <f>IF(B410="","",H410&gt;=FullCycleMin)</f>
        <v/>
      </c>
      <c r="L410" s="18">
        <f>IF(B410="","",AND(I410,J410,K410,N410&gt;=MinHistory))</f>
        <v/>
      </c>
      <c r="M410" s="20">
        <f>IF(OR(B410="",'Weekly Input'!H410=0),"",'Weekly Input'!D410/'Weekly Input'!H410*7)</f>
        <v/>
      </c>
      <c r="N410" s="18">
        <f>IF(B410="","",COUNTIFS($B$5:$B$504,B410,$C$5:$C$504,C410,$I$5:$I$504,TRUE,$J$5:$J$504,TRUE,$K$5:$K$504,TRUE))</f>
        <v/>
      </c>
      <c r="O410" s="18">
        <f>IF(B410="","",AND(F410=AsOfWeek,AsOfWeek&lt;&gt;""))</f>
        <v/>
      </c>
      <c r="P410" s="20">
        <f>IF(OR(B410="",AsOfWeek=""),"",IFERROR(SUMIFS($M$5:$M$504,$B$5:$B$504,B410,$C$5:$C$504,C410,$L$5:$L$504,TRUE,$F$5:$F$504,"&gt;="&amp;AsOfWeek-7*(RecentWeeks-1),$F$5:$F$504,"&lt;="&amp;AsOfWeek),""))</f>
        <v/>
      </c>
      <c r="Q410" s="20">
        <f>IF(OR(B410="",AsOfWeek=""),"",IFERROR(SUMIFS($M$5:$M$504,$B$5:$B$504,B410,$C$5:$C$504,C410,$L$5:$L$504,TRUE,$F$5:$F$504,"&gt;="&amp;AsOfWeek-7*(RecentWeeks+PriorWeeks-1),$F$5:$F$504,"&lt;"&amp;AsOfWeek-7*(RecentWeeks-1)),""))</f>
        <v/>
      </c>
      <c r="R410" s="21">
        <f>IF(OR(P410="",Q410="",Q410=0),"",P410/Q410-1)</f>
        <v/>
      </c>
      <c r="S410" s="20">
        <f>IF(OR(C410="",AsOfWeek=""),"",IFERROR(AVERAGEIFS($M$5:$M$504,$C$5:$C$504,C410,$L$5:$L$504,TRUE,$F$5:$F$504,"&gt;="&amp;AsOfWeek-7*(RecentWeeks-1),$F$5:$F$504,"&lt;="&amp;AsOfWeek),""))</f>
        <v/>
      </c>
      <c r="T410" s="21">
        <f>IF(OR(P410="",S410=""),"",P410/S410-1)</f>
        <v/>
      </c>
      <c r="U410" s="22">
        <f>IF(OR(B410="",'Weekly Input'!G410="",P410="",P410=0),"",'Weekly Input'!G410/P410)</f>
        <v/>
      </c>
      <c r="V410" s="18">
        <f>IF(B410="","",IF(NOT(I410),"Not Ready",IF(NOT(K410),"Not Ready",IF(N410&lt;MinHistory,"Not Ready",IF(NOT(J410),"Not Ready",IF(OR(Q410="",Q410=0),"Noise",IF(Q410&lt;LowBaseThreshold,"Noise",IF(AND(R410&lt;=-OwnDecline,T410&lt;=-PeerGapThreshold),"Markdown Review",IF(AND(R410&gt;=ReorderUplift,U410&lt;&gt;"",U410&lt;=WeeksSupplyCap),"Reorder Candidate","Monitor"))))))))</f>
        <v/>
      </c>
      <c r="W410" s="18">
        <f>IF(B410="","",IF(NOT(I410),"INVALID_MASTER",IF(NOT(K410),"INCOMPLETE_SHELF_CYCLE",IF(N410&lt;MinHistory,"INSUFFICIENT_HISTORY",IF(NOT(J410),"INSUFFICIENT_IN_STOCK",IF(OR(Q410="",Q410=0),"NO_PRIOR_BASE",IF(Q410&lt;LowBaseThreshold,"LOW_BASE_NOISE",IF(V410="Markdown Review","MARKDOWN_PEER_GAP",IF(V410="Reorder Candidate","REORDER_UPLIFT_COVER","NO_MATERIAL_CHANGE"))))))))</f>
        <v/>
      </c>
      <c r="X410" s="18">
        <f>IF(V410="Markdown Review","Markdown support",IF(V410="Reorder Candidate","Second reorder",IF(V410="Monitor","Monitor",IF(V410="Noise","Hold / collect data",IF(V410="Not Ready","Not ready","")))))</f>
        <v/>
      </c>
      <c r="Y410" s="18">
        <f>IF(OR(R410="",T410=""),"",ABS(R410)+ABS(T410))</f>
        <v/>
      </c>
      <c r="Z410" s="21">
        <f>IF(OR(B410="",NOT(O410),R410=""),"",IF(ABS(R410)&gt;=MaterialThreshold,"Yes","No"))</f>
        <v/>
      </c>
      <c r="AA410" s="18">
        <f>IF(Z410&lt;&gt;"Yes","",IF(ABS(R410)&gt;=MaterialThreshold,IF(ABS(R410)&gt;=BroadShare,"Broad SKU movement","Store-concentrated movement"),""))</f>
        <v/>
      </c>
      <c r="AB410" s="18">
        <f>IF(O410,IF(COUNTIFS($O$5:O410,TRUE)&gt;0,COUNTIFS($O$5:O410,TRUE),0),0)</f>
        <v/>
      </c>
      <c r="AC410" s="18">
        <f>IF(V410="Markdown Review",1,IF(V410="Reorder Candidate",2,IF(V410="Monitor",3,IF(V410="Noise",4,IF(V410="Not Ready",5,99)))))</f>
        <v/>
      </c>
      <c r="AD410" s="18">
        <f>IF(O410,COUNTIFS($O$5:$O$504,TRUE,$AC$5:$AC$504,"&lt;"&amp;AC410)+COUNTIFS($O$5:O410,TRUE,$AC$5:AC410,AC410,$Y$5:Y410,"&gt;"&amp;Y410),0)</f>
        <v/>
      </c>
    </row>
    <row r="411">
      <c r="A411" s="17">
        <f>IF(COUNTA('Weekly Input'!A411:C411)=0,"",'Weekly Input'!B411&amp;"|"&amp;'Weekly Input'!C411&amp;"|"&amp;TEXT('Weekly Input'!A411,"yyyy-mm-dd"))</f>
        <v/>
      </c>
      <c r="B411" s="18">
        <f>'Weekly Input'!B411</f>
        <v/>
      </c>
      <c r="C411" s="18">
        <f>'Weekly Input'!C411</f>
        <v/>
      </c>
      <c r="D411" s="18">
        <f>IF(B411="","",IFERROR(INDEX('Master Data'!$B$6:$B$145,MATCH(B411,'Master Data'!$A$6:$A$145,0)),""))</f>
        <v/>
      </c>
      <c r="E411" s="18">
        <f>IF(C411="","",IFERROR(INDEX('Master Data'!$H$6:$H$13,MATCH(C411,'Master Data'!$F$6:$F$13,0)),""))</f>
        <v/>
      </c>
      <c r="F411" s="19">
        <f>'Weekly Input'!A411</f>
        <v/>
      </c>
      <c r="G411" s="19">
        <f>IF(B411="","",IFERROR(INDEX('Master Data'!$D$6:$D$145,MATCH(B411,'Master Data'!$A$6:$A$145,0)),""))</f>
        <v/>
      </c>
      <c r="H411" s="18">
        <f>IF(OR(F411="",G411=""),"",F411-G411)</f>
        <v/>
      </c>
      <c r="I411" s="18">
        <f>IF(B411="","",IF('Weekly Input'!J411="OK",TRUE,FALSE))</f>
        <v/>
      </c>
      <c r="J411" s="18">
        <f>IF(B411="","",'Weekly Input'!H411&gt;=MinInStockDays)</f>
        <v/>
      </c>
      <c r="K411" s="18">
        <f>IF(B411="","",H411&gt;=FullCycleMin)</f>
        <v/>
      </c>
      <c r="L411" s="18">
        <f>IF(B411="","",AND(I411,J411,K411,N411&gt;=MinHistory))</f>
        <v/>
      </c>
      <c r="M411" s="20">
        <f>IF(OR(B411="",'Weekly Input'!H411=0),"",'Weekly Input'!D411/'Weekly Input'!H411*7)</f>
        <v/>
      </c>
      <c r="N411" s="18">
        <f>IF(B411="","",COUNTIFS($B$5:$B$504,B411,$C$5:$C$504,C411,$I$5:$I$504,TRUE,$J$5:$J$504,TRUE,$K$5:$K$504,TRUE))</f>
        <v/>
      </c>
      <c r="O411" s="18">
        <f>IF(B411="","",AND(F411=AsOfWeek,AsOfWeek&lt;&gt;""))</f>
        <v/>
      </c>
      <c r="P411" s="20">
        <f>IF(OR(B411="",AsOfWeek=""),"",IFERROR(SUMIFS($M$5:$M$504,$B$5:$B$504,B411,$C$5:$C$504,C411,$L$5:$L$504,TRUE,$F$5:$F$504,"&gt;="&amp;AsOfWeek-7*(RecentWeeks-1),$F$5:$F$504,"&lt;="&amp;AsOfWeek),""))</f>
        <v/>
      </c>
      <c r="Q411" s="20">
        <f>IF(OR(B411="",AsOfWeek=""),"",IFERROR(SUMIFS($M$5:$M$504,$B$5:$B$504,B411,$C$5:$C$504,C411,$L$5:$L$504,TRUE,$F$5:$F$504,"&gt;="&amp;AsOfWeek-7*(RecentWeeks+PriorWeeks-1),$F$5:$F$504,"&lt;"&amp;AsOfWeek-7*(RecentWeeks-1)),""))</f>
        <v/>
      </c>
      <c r="R411" s="21">
        <f>IF(OR(P411="",Q411="",Q411=0),"",P411/Q411-1)</f>
        <v/>
      </c>
      <c r="S411" s="20">
        <f>IF(OR(C411="",AsOfWeek=""),"",IFERROR(AVERAGEIFS($M$5:$M$504,$C$5:$C$504,C411,$L$5:$L$504,TRUE,$F$5:$F$504,"&gt;="&amp;AsOfWeek-7*(RecentWeeks-1),$F$5:$F$504,"&lt;="&amp;AsOfWeek),""))</f>
        <v/>
      </c>
      <c r="T411" s="21">
        <f>IF(OR(P411="",S411=""),"",P411/S411-1)</f>
        <v/>
      </c>
      <c r="U411" s="22">
        <f>IF(OR(B411="",'Weekly Input'!G411="",P411="",P411=0),"",'Weekly Input'!G411/P411)</f>
        <v/>
      </c>
      <c r="V411" s="18">
        <f>IF(B411="","",IF(NOT(I411),"Not Ready",IF(NOT(K411),"Not Ready",IF(N411&lt;MinHistory,"Not Ready",IF(NOT(J411),"Not Ready",IF(OR(Q411="",Q411=0),"Noise",IF(Q411&lt;LowBaseThreshold,"Noise",IF(AND(R411&lt;=-OwnDecline,T411&lt;=-PeerGapThreshold),"Markdown Review",IF(AND(R411&gt;=ReorderUplift,U411&lt;&gt;"",U411&lt;=WeeksSupplyCap),"Reorder Candidate","Monitor"))))))))</f>
        <v/>
      </c>
      <c r="W411" s="18">
        <f>IF(B411="","",IF(NOT(I411),"INVALID_MASTER",IF(NOT(K411),"INCOMPLETE_SHELF_CYCLE",IF(N411&lt;MinHistory,"INSUFFICIENT_HISTORY",IF(NOT(J411),"INSUFFICIENT_IN_STOCK",IF(OR(Q411="",Q411=0),"NO_PRIOR_BASE",IF(Q411&lt;LowBaseThreshold,"LOW_BASE_NOISE",IF(V411="Markdown Review","MARKDOWN_PEER_GAP",IF(V411="Reorder Candidate","REORDER_UPLIFT_COVER","NO_MATERIAL_CHANGE"))))))))</f>
        <v/>
      </c>
      <c r="X411" s="18">
        <f>IF(V411="Markdown Review","Markdown support",IF(V411="Reorder Candidate","Second reorder",IF(V411="Monitor","Monitor",IF(V411="Noise","Hold / collect data",IF(V411="Not Ready","Not ready","")))))</f>
        <v/>
      </c>
      <c r="Y411" s="18">
        <f>IF(OR(R411="",T411=""),"",ABS(R411)+ABS(T411))</f>
        <v/>
      </c>
      <c r="Z411" s="21">
        <f>IF(OR(B411="",NOT(O411),R411=""),"",IF(ABS(R411)&gt;=MaterialThreshold,"Yes","No"))</f>
        <v/>
      </c>
      <c r="AA411" s="18">
        <f>IF(Z411&lt;&gt;"Yes","",IF(ABS(R411)&gt;=MaterialThreshold,IF(ABS(R411)&gt;=BroadShare,"Broad SKU movement","Store-concentrated movement"),""))</f>
        <v/>
      </c>
      <c r="AB411" s="18">
        <f>IF(O411,IF(COUNTIFS($O$5:O411,TRUE)&gt;0,COUNTIFS($O$5:O411,TRUE),0),0)</f>
        <v/>
      </c>
      <c r="AC411" s="18">
        <f>IF(V411="Markdown Review",1,IF(V411="Reorder Candidate",2,IF(V411="Monitor",3,IF(V411="Noise",4,IF(V411="Not Ready",5,99)))))</f>
        <v/>
      </c>
      <c r="AD411" s="18">
        <f>IF(O411,COUNTIFS($O$5:$O$504,TRUE,$AC$5:$AC$504,"&lt;"&amp;AC411)+COUNTIFS($O$5:O411,TRUE,$AC$5:AC411,AC411,$Y$5:Y411,"&gt;"&amp;Y411),0)</f>
        <v/>
      </c>
    </row>
    <row r="412">
      <c r="A412" s="17">
        <f>IF(COUNTA('Weekly Input'!A412:C412)=0,"",'Weekly Input'!B412&amp;"|"&amp;'Weekly Input'!C412&amp;"|"&amp;TEXT('Weekly Input'!A412,"yyyy-mm-dd"))</f>
        <v/>
      </c>
      <c r="B412" s="18">
        <f>'Weekly Input'!B412</f>
        <v/>
      </c>
      <c r="C412" s="18">
        <f>'Weekly Input'!C412</f>
        <v/>
      </c>
      <c r="D412" s="18">
        <f>IF(B412="","",IFERROR(INDEX('Master Data'!$B$6:$B$145,MATCH(B412,'Master Data'!$A$6:$A$145,0)),""))</f>
        <v/>
      </c>
      <c r="E412" s="18">
        <f>IF(C412="","",IFERROR(INDEX('Master Data'!$H$6:$H$13,MATCH(C412,'Master Data'!$F$6:$F$13,0)),""))</f>
        <v/>
      </c>
      <c r="F412" s="19">
        <f>'Weekly Input'!A412</f>
        <v/>
      </c>
      <c r="G412" s="19">
        <f>IF(B412="","",IFERROR(INDEX('Master Data'!$D$6:$D$145,MATCH(B412,'Master Data'!$A$6:$A$145,0)),""))</f>
        <v/>
      </c>
      <c r="H412" s="18">
        <f>IF(OR(F412="",G412=""),"",F412-G412)</f>
        <v/>
      </c>
      <c r="I412" s="18">
        <f>IF(B412="","",IF('Weekly Input'!J412="OK",TRUE,FALSE))</f>
        <v/>
      </c>
      <c r="J412" s="18">
        <f>IF(B412="","",'Weekly Input'!H412&gt;=MinInStockDays)</f>
        <v/>
      </c>
      <c r="K412" s="18">
        <f>IF(B412="","",H412&gt;=FullCycleMin)</f>
        <v/>
      </c>
      <c r="L412" s="18">
        <f>IF(B412="","",AND(I412,J412,K412,N412&gt;=MinHistory))</f>
        <v/>
      </c>
      <c r="M412" s="20">
        <f>IF(OR(B412="",'Weekly Input'!H412=0),"",'Weekly Input'!D412/'Weekly Input'!H412*7)</f>
        <v/>
      </c>
      <c r="N412" s="18">
        <f>IF(B412="","",COUNTIFS($B$5:$B$504,B412,$C$5:$C$504,C412,$I$5:$I$504,TRUE,$J$5:$J$504,TRUE,$K$5:$K$504,TRUE))</f>
        <v/>
      </c>
      <c r="O412" s="18">
        <f>IF(B412="","",AND(F412=AsOfWeek,AsOfWeek&lt;&gt;""))</f>
        <v/>
      </c>
      <c r="P412" s="20">
        <f>IF(OR(B412="",AsOfWeek=""),"",IFERROR(SUMIFS($M$5:$M$504,$B$5:$B$504,B412,$C$5:$C$504,C412,$L$5:$L$504,TRUE,$F$5:$F$504,"&gt;="&amp;AsOfWeek-7*(RecentWeeks-1),$F$5:$F$504,"&lt;="&amp;AsOfWeek),""))</f>
        <v/>
      </c>
      <c r="Q412" s="20">
        <f>IF(OR(B412="",AsOfWeek=""),"",IFERROR(SUMIFS($M$5:$M$504,$B$5:$B$504,B412,$C$5:$C$504,C412,$L$5:$L$504,TRUE,$F$5:$F$504,"&gt;="&amp;AsOfWeek-7*(RecentWeeks+PriorWeeks-1),$F$5:$F$504,"&lt;"&amp;AsOfWeek-7*(RecentWeeks-1)),""))</f>
        <v/>
      </c>
      <c r="R412" s="21">
        <f>IF(OR(P412="",Q412="",Q412=0),"",P412/Q412-1)</f>
        <v/>
      </c>
      <c r="S412" s="20">
        <f>IF(OR(C412="",AsOfWeek=""),"",IFERROR(AVERAGEIFS($M$5:$M$504,$C$5:$C$504,C412,$L$5:$L$504,TRUE,$F$5:$F$504,"&gt;="&amp;AsOfWeek-7*(RecentWeeks-1),$F$5:$F$504,"&lt;="&amp;AsOfWeek),""))</f>
        <v/>
      </c>
      <c r="T412" s="21">
        <f>IF(OR(P412="",S412=""),"",P412/S412-1)</f>
        <v/>
      </c>
      <c r="U412" s="22">
        <f>IF(OR(B412="",'Weekly Input'!G412="",P412="",P412=0),"",'Weekly Input'!G412/P412)</f>
        <v/>
      </c>
      <c r="V412" s="18">
        <f>IF(B412="","",IF(NOT(I412),"Not Ready",IF(NOT(K412),"Not Ready",IF(N412&lt;MinHistory,"Not Ready",IF(NOT(J412),"Not Ready",IF(OR(Q412="",Q412=0),"Noise",IF(Q412&lt;LowBaseThreshold,"Noise",IF(AND(R412&lt;=-OwnDecline,T412&lt;=-PeerGapThreshold),"Markdown Review",IF(AND(R412&gt;=ReorderUplift,U412&lt;&gt;"",U412&lt;=WeeksSupplyCap),"Reorder Candidate","Monitor"))))))))</f>
        <v/>
      </c>
      <c r="W412" s="18">
        <f>IF(B412="","",IF(NOT(I412),"INVALID_MASTER",IF(NOT(K412),"INCOMPLETE_SHELF_CYCLE",IF(N412&lt;MinHistory,"INSUFFICIENT_HISTORY",IF(NOT(J412),"INSUFFICIENT_IN_STOCK",IF(OR(Q412="",Q412=0),"NO_PRIOR_BASE",IF(Q412&lt;LowBaseThreshold,"LOW_BASE_NOISE",IF(V412="Markdown Review","MARKDOWN_PEER_GAP",IF(V412="Reorder Candidate","REORDER_UPLIFT_COVER","NO_MATERIAL_CHANGE"))))))))</f>
        <v/>
      </c>
      <c r="X412" s="18">
        <f>IF(V412="Markdown Review","Markdown support",IF(V412="Reorder Candidate","Second reorder",IF(V412="Monitor","Monitor",IF(V412="Noise","Hold / collect data",IF(V412="Not Ready","Not ready","")))))</f>
        <v/>
      </c>
      <c r="Y412" s="18">
        <f>IF(OR(R412="",T412=""),"",ABS(R412)+ABS(T412))</f>
        <v/>
      </c>
      <c r="Z412" s="21">
        <f>IF(OR(B412="",NOT(O412),R412=""),"",IF(ABS(R412)&gt;=MaterialThreshold,"Yes","No"))</f>
        <v/>
      </c>
      <c r="AA412" s="18">
        <f>IF(Z412&lt;&gt;"Yes","",IF(ABS(R412)&gt;=MaterialThreshold,IF(ABS(R412)&gt;=BroadShare,"Broad SKU movement","Store-concentrated movement"),""))</f>
        <v/>
      </c>
      <c r="AB412" s="18">
        <f>IF(O412,IF(COUNTIFS($O$5:O412,TRUE)&gt;0,COUNTIFS($O$5:O412,TRUE),0),0)</f>
        <v/>
      </c>
      <c r="AC412" s="18">
        <f>IF(V412="Markdown Review",1,IF(V412="Reorder Candidate",2,IF(V412="Monitor",3,IF(V412="Noise",4,IF(V412="Not Ready",5,99)))))</f>
        <v/>
      </c>
      <c r="AD412" s="18">
        <f>IF(O412,COUNTIFS($O$5:$O$504,TRUE,$AC$5:$AC$504,"&lt;"&amp;AC412)+COUNTIFS($O$5:O412,TRUE,$AC$5:AC412,AC412,$Y$5:Y412,"&gt;"&amp;Y412),0)</f>
        <v/>
      </c>
    </row>
    <row r="413">
      <c r="A413" s="17">
        <f>IF(COUNTA('Weekly Input'!A413:C413)=0,"",'Weekly Input'!B413&amp;"|"&amp;'Weekly Input'!C413&amp;"|"&amp;TEXT('Weekly Input'!A413,"yyyy-mm-dd"))</f>
        <v/>
      </c>
      <c r="B413" s="18">
        <f>'Weekly Input'!B413</f>
        <v/>
      </c>
      <c r="C413" s="18">
        <f>'Weekly Input'!C413</f>
        <v/>
      </c>
      <c r="D413" s="18">
        <f>IF(B413="","",IFERROR(INDEX('Master Data'!$B$6:$B$145,MATCH(B413,'Master Data'!$A$6:$A$145,0)),""))</f>
        <v/>
      </c>
      <c r="E413" s="18">
        <f>IF(C413="","",IFERROR(INDEX('Master Data'!$H$6:$H$13,MATCH(C413,'Master Data'!$F$6:$F$13,0)),""))</f>
        <v/>
      </c>
      <c r="F413" s="19">
        <f>'Weekly Input'!A413</f>
        <v/>
      </c>
      <c r="G413" s="19">
        <f>IF(B413="","",IFERROR(INDEX('Master Data'!$D$6:$D$145,MATCH(B413,'Master Data'!$A$6:$A$145,0)),""))</f>
        <v/>
      </c>
      <c r="H413" s="18">
        <f>IF(OR(F413="",G413=""),"",F413-G413)</f>
        <v/>
      </c>
      <c r="I413" s="18">
        <f>IF(B413="","",IF('Weekly Input'!J413="OK",TRUE,FALSE))</f>
        <v/>
      </c>
      <c r="J413" s="18">
        <f>IF(B413="","",'Weekly Input'!H413&gt;=MinInStockDays)</f>
        <v/>
      </c>
      <c r="K413" s="18">
        <f>IF(B413="","",H413&gt;=FullCycleMin)</f>
        <v/>
      </c>
      <c r="L413" s="18">
        <f>IF(B413="","",AND(I413,J413,K413,N413&gt;=MinHistory))</f>
        <v/>
      </c>
      <c r="M413" s="20">
        <f>IF(OR(B413="",'Weekly Input'!H413=0),"",'Weekly Input'!D413/'Weekly Input'!H413*7)</f>
        <v/>
      </c>
      <c r="N413" s="18">
        <f>IF(B413="","",COUNTIFS($B$5:$B$504,B413,$C$5:$C$504,C413,$I$5:$I$504,TRUE,$J$5:$J$504,TRUE,$K$5:$K$504,TRUE))</f>
        <v/>
      </c>
      <c r="O413" s="18">
        <f>IF(B413="","",AND(F413=AsOfWeek,AsOfWeek&lt;&gt;""))</f>
        <v/>
      </c>
      <c r="P413" s="20">
        <f>IF(OR(B413="",AsOfWeek=""),"",IFERROR(SUMIFS($M$5:$M$504,$B$5:$B$504,B413,$C$5:$C$504,C413,$L$5:$L$504,TRUE,$F$5:$F$504,"&gt;="&amp;AsOfWeek-7*(RecentWeeks-1),$F$5:$F$504,"&lt;="&amp;AsOfWeek),""))</f>
        <v/>
      </c>
      <c r="Q413" s="20">
        <f>IF(OR(B413="",AsOfWeek=""),"",IFERROR(SUMIFS($M$5:$M$504,$B$5:$B$504,B413,$C$5:$C$504,C413,$L$5:$L$504,TRUE,$F$5:$F$504,"&gt;="&amp;AsOfWeek-7*(RecentWeeks+PriorWeeks-1),$F$5:$F$504,"&lt;"&amp;AsOfWeek-7*(RecentWeeks-1)),""))</f>
        <v/>
      </c>
      <c r="R413" s="21">
        <f>IF(OR(P413="",Q413="",Q413=0),"",P413/Q413-1)</f>
        <v/>
      </c>
      <c r="S413" s="20">
        <f>IF(OR(C413="",AsOfWeek=""),"",IFERROR(AVERAGEIFS($M$5:$M$504,$C$5:$C$504,C413,$L$5:$L$504,TRUE,$F$5:$F$504,"&gt;="&amp;AsOfWeek-7*(RecentWeeks-1),$F$5:$F$504,"&lt;="&amp;AsOfWeek),""))</f>
        <v/>
      </c>
      <c r="T413" s="21">
        <f>IF(OR(P413="",S413=""),"",P413/S413-1)</f>
        <v/>
      </c>
      <c r="U413" s="22">
        <f>IF(OR(B413="",'Weekly Input'!G413="",P413="",P413=0),"",'Weekly Input'!G413/P413)</f>
        <v/>
      </c>
      <c r="V413" s="18">
        <f>IF(B413="","",IF(NOT(I413),"Not Ready",IF(NOT(K413),"Not Ready",IF(N413&lt;MinHistory,"Not Ready",IF(NOT(J413),"Not Ready",IF(OR(Q413="",Q413=0),"Noise",IF(Q413&lt;LowBaseThreshold,"Noise",IF(AND(R413&lt;=-OwnDecline,T413&lt;=-PeerGapThreshold),"Markdown Review",IF(AND(R413&gt;=ReorderUplift,U413&lt;&gt;"",U413&lt;=WeeksSupplyCap),"Reorder Candidate","Monitor"))))))))</f>
        <v/>
      </c>
      <c r="W413" s="18">
        <f>IF(B413="","",IF(NOT(I413),"INVALID_MASTER",IF(NOT(K413),"INCOMPLETE_SHELF_CYCLE",IF(N413&lt;MinHistory,"INSUFFICIENT_HISTORY",IF(NOT(J413),"INSUFFICIENT_IN_STOCK",IF(OR(Q413="",Q413=0),"NO_PRIOR_BASE",IF(Q413&lt;LowBaseThreshold,"LOW_BASE_NOISE",IF(V413="Markdown Review","MARKDOWN_PEER_GAP",IF(V413="Reorder Candidate","REORDER_UPLIFT_COVER","NO_MATERIAL_CHANGE"))))))))</f>
        <v/>
      </c>
      <c r="X413" s="18">
        <f>IF(V413="Markdown Review","Markdown support",IF(V413="Reorder Candidate","Second reorder",IF(V413="Monitor","Monitor",IF(V413="Noise","Hold / collect data",IF(V413="Not Ready","Not ready","")))))</f>
        <v/>
      </c>
      <c r="Y413" s="18">
        <f>IF(OR(R413="",T413=""),"",ABS(R413)+ABS(T413))</f>
        <v/>
      </c>
      <c r="Z413" s="21">
        <f>IF(OR(B413="",NOT(O413),R413=""),"",IF(ABS(R413)&gt;=MaterialThreshold,"Yes","No"))</f>
        <v/>
      </c>
      <c r="AA413" s="18">
        <f>IF(Z413&lt;&gt;"Yes","",IF(ABS(R413)&gt;=MaterialThreshold,IF(ABS(R413)&gt;=BroadShare,"Broad SKU movement","Store-concentrated movement"),""))</f>
        <v/>
      </c>
      <c r="AB413" s="18">
        <f>IF(O413,IF(COUNTIFS($O$5:O413,TRUE)&gt;0,COUNTIFS($O$5:O413,TRUE),0),0)</f>
        <v/>
      </c>
      <c r="AC413" s="18">
        <f>IF(V413="Markdown Review",1,IF(V413="Reorder Candidate",2,IF(V413="Monitor",3,IF(V413="Noise",4,IF(V413="Not Ready",5,99)))))</f>
        <v/>
      </c>
      <c r="AD413" s="18">
        <f>IF(O413,COUNTIFS($O$5:$O$504,TRUE,$AC$5:$AC$504,"&lt;"&amp;AC413)+COUNTIFS($O$5:O413,TRUE,$AC$5:AC413,AC413,$Y$5:Y413,"&gt;"&amp;Y413),0)</f>
        <v/>
      </c>
    </row>
    <row r="414">
      <c r="A414" s="17">
        <f>IF(COUNTA('Weekly Input'!A414:C414)=0,"",'Weekly Input'!B414&amp;"|"&amp;'Weekly Input'!C414&amp;"|"&amp;TEXT('Weekly Input'!A414,"yyyy-mm-dd"))</f>
        <v/>
      </c>
      <c r="B414" s="18">
        <f>'Weekly Input'!B414</f>
        <v/>
      </c>
      <c r="C414" s="18">
        <f>'Weekly Input'!C414</f>
        <v/>
      </c>
      <c r="D414" s="18">
        <f>IF(B414="","",IFERROR(INDEX('Master Data'!$B$6:$B$145,MATCH(B414,'Master Data'!$A$6:$A$145,0)),""))</f>
        <v/>
      </c>
      <c r="E414" s="18">
        <f>IF(C414="","",IFERROR(INDEX('Master Data'!$H$6:$H$13,MATCH(C414,'Master Data'!$F$6:$F$13,0)),""))</f>
        <v/>
      </c>
      <c r="F414" s="19">
        <f>'Weekly Input'!A414</f>
        <v/>
      </c>
      <c r="G414" s="19">
        <f>IF(B414="","",IFERROR(INDEX('Master Data'!$D$6:$D$145,MATCH(B414,'Master Data'!$A$6:$A$145,0)),""))</f>
        <v/>
      </c>
      <c r="H414" s="18">
        <f>IF(OR(F414="",G414=""),"",F414-G414)</f>
        <v/>
      </c>
      <c r="I414" s="18">
        <f>IF(B414="","",IF('Weekly Input'!J414="OK",TRUE,FALSE))</f>
        <v/>
      </c>
      <c r="J414" s="18">
        <f>IF(B414="","",'Weekly Input'!H414&gt;=MinInStockDays)</f>
        <v/>
      </c>
      <c r="K414" s="18">
        <f>IF(B414="","",H414&gt;=FullCycleMin)</f>
        <v/>
      </c>
      <c r="L414" s="18">
        <f>IF(B414="","",AND(I414,J414,K414,N414&gt;=MinHistory))</f>
        <v/>
      </c>
      <c r="M414" s="20">
        <f>IF(OR(B414="",'Weekly Input'!H414=0),"",'Weekly Input'!D414/'Weekly Input'!H414*7)</f>
        <v/>
      </c>
      <c r="N414" s="18">
        <f>IF(B414="","",COUNTIFS($B$5:$B$504,B414,$C$5:$C$504,C414,$I$5:$I$504,TRUE,$J$5:$J$504,TRUE,$K$5:$K$504,TRUE))</f>
        <v/>
      </c>
      <c r="O414" s="18">
        <f>IF(B414="","",AND(F414=AsOfWeek,AsOfWeek&lt;&gt;""))</f>
        <v/>
      </c>
      <c r="P414" s="20">
        <f>IF(OR(B414="",AsOfWeek=""),"",IFERROR(SUMIFS($M$5:$M$504,$B$5:$B$504,B414,$C$5:$C$504,C414,$L$5:$L$504,TRUE,$F$5:$F$504,"&gt;="&amp;AsOfWeek-7*(RecentWeeks-1),$F$5:$F$504,"&lt;="&amp;AsOfWeek),""))</f>
        <v/>
      </c>
      <c r="Q414" s="20">
        <f>IF(OR(B414="",AsOfWeek=""),"",IFERROR(SUMIFS($M$5:$M$504,$B$5:$B$504,B414,$C$5:$C$504,C414,$L$5:$L$504,TRUE,$F$5:$F$504,"&gt;="&amp;AsOfWeek-7*(RecentWeeks+PriorWeeks-1),$F$5:$F$504,"&lt;"&amp;AsOfWeek-7*(RecentWeeks-1)),""))</f>
        <v/>
      </c>
      <c r="R414" s="21">
        <f>IF(OR(P414="",Q414="",Q414=0),"",P414/Q414-1)</f>
        <v/>
      </c>
      <c r="S414" s="20">
        <f>IF(OR(C414="",AsOfWeek=""),"",IFERROR(AVERAGEIFS($M$5:$M$504,$C$5:$C$504,C414,$L$5:$L$504,TRUE,$F$5:$F$504,"&gt;="&amp;AsOfWeek-7*(RecentWeeks-1),$F$5:$F$504,"&lt;="&amp;AsOfWeek),""))</f>
        <v/>
      </c>
      <c r="T414" s="21">
        <f>IF(OR(P414="",S414=""),"",P414/S414-1)</f>
        <v/>
      </c>
      <c r="U414" s="22">
        <f>IF(OR(B414="",'Weekly Input'!G414="",P414="",P414=0),"",'Weekly Input'!G414/P414)</f>
        <v/>
      </c>
      <c r="V414" s="18">
        <f>IF(B414="","",IF(NOT(I414),"Not Ready",IF(NOT(K414),"Not Ready",IF(N414&lt;MinHistory,"Not Ready",IF(NOT(J414),"Not Ready",IF(OR(Q414="",Q414=0),"Noise",IF(Q414&lt;LowBaseThreshold,"Noise",IF(AND(R414&lt;=-OwnDecline,T414&lt;=-PeerGapThreshold),"Markdown Review",IF(AND(R414&gt;=ReorderUplift,U414&lt;&gt;"",U414&lt;=WeeksSupplyCap),"Reorder Candidate","Monitor"))))))))</f>
        <v/>
      </c>
      <c r="W414" s="18">
        <f>IF(B414="","",IF(NOT(I414),"INVALID_MASTER",IF(NOT(K414),"INCOMPLETE_SHELF_CYCLE",IF(N414&lt;MinHistory,"INSUFFICIENT_HISTORY",IF(NOT(J414),"INSUFFICIENT_IN_STOCK",IF(OR(Q414="",Q414=0),"NO_PRIOR_BASE",IF(Q414&lt;LowBaseThreshold,"LOW_BASE_NOISE",IF(V414="Markdown Review","MARKDOWN_PEER_GAP",IF(V414="Reorder Candidate","REORDER_UPLIFT_COVER","NO_MATERIAL_CHANGE"))))))))</f>
        <v/>
      </c>
      <c r="X414" s="18">
        <f>IF(V414="Markdown Review","Markdown support",IF(V414="Reorder Candidate","Second reorder",IF(V414="Monitor","Monitor",IF(V414="Noise","Hold / collect data",IF(V414="Not Ready","Not ready","")))))</f>
        <v/>
      </c>
      <c r="Y414" s="18">
        <f>IF(OR(R414="",T414=""),"",ABS(R414)+ABS(T414))</f>
        <v/>
      </c>
      <c r="Z414" s="21">
        <f>IF(OR(B414="",NOT(O414),R414=""),"",IF(ABS(R414)&gt;=MaterialThreshold,"Yes","No"))</f>
        <v/>
      </c>
      <c r="AA414" s="18">
        <f>IF(Z414&lt;&gt;"Yes","",IF(ABS(R414)&gt;=MaterialThreshold,IF(ABS(R414)&gt;=BroadShare,"Broad SKU movement","Store-concentrated movement"),""))</f>
        <v/>
      </c>
      <c r="AB414" s="18">
        <f>IF(O414,IF(COUNTIFS($O$5:O414,TRUE)&gt;0,COUNTIFS($O$5:O414,TRUE),0),0)</f>
        <v/>
      </c>
      <c r="AC414" s="18">
        <f>IF(V414="Markdown Review",1,IF(V414="Reorder Candidate",2,IF(V414="Monitor",3,IF(V414="Noise",4,IF(V414="Not Ready",5,99)))))</f>
        <v/>
      </c>
      <c r="AD414" s="18">
        <f>IF(O414,COUNTIFS($O$5:$O$504,TRUE,$AC$5:$AC$504,"&lt;"&amp;AC414)+COUNTIFS($O$5:O414,TRUE,$AC$5:AC414,AC414,$Y$5:Y414,"&gt;"&amp;Y414),0)</f>
        <v/>
      </c>
    </row>
    <row r="415">
      <c r="A415" s="17">
        <f>IF(COUNTA('Weekly Input'!A415:C415)=0,"",'Weekly Input'!B415&amp;"|"&amp;'Weekly Input'!C415&amp;"|"&amp;TEXT('Weekly Input'!A415,"yyyy-mm-dd"))</f>
        <v/>
      </c>
      <c r="B415" s="18">
        <f>'Weekly Input'!B415</f>
        <v/>
      </c>
      <c r="C415" s="18">
        <f>'Weekly Input'!C415</f>
        <v/>
      </c>
      <c r="D415" s="18">
        <f>IF(B415="","",IFERROR(INDEX('Master Data'!$B$6:$B$145,MATCH(B415,'Master Data'!$A$6:$A$145,0)),""))</f>
        <v/>
      </c>
      <c r="E415" s="18">
        <f>IF(C415="","",IFERROR(INDEX('Master Data'!$H$6:$H$13,MATCH(C415,'Master Data'!$F$6:$F$13,0)),""))</f>
        <v/>
      </c>
      <c r="F415" s="19">
        <f>'Weekly Input'!A415</f>
        <v/>
      </c>
      <c r="G415" s="19">
        <f>IF(B415="","",IFERROR(INDEX('Master Data'!$D$6:$D$145,MATCH(B415,'Master Data'!$A$6:$A$145,0)),""))</f>
        <v/>
      </c>
      <c r="H415" s="18">
        <f>IF(OR(F415="",G415=""),"",F415-G415)</f>
        <v/>
      </c>
      <c r="I415" s="18">
        <f>IF(B415="","",IF('Weekly Input'!J415="OK",TRUE,FALSE))</f>
        <v/>
      </c>
      <c r="J415" s="18">
        <f>IF(B415="","",'Weekly Input'!H415&gt;=MinInStockDays)</f>
        <v/>
      </c>
      <c r="K415" s="18">
        <f>IF(B415="","",H415&gt;=FullCycleMin)</f>
        <v/>
      </c>
      <c r="L415" s="18">
        <f>IF(B415="","",AND(I415,J415,K415,N415&gt;=MinHistory))</f>
        <v/>
      </c>
      <c r="M415" s="20">
        <f>IF(OR(B415="",'Weekly Input'!H415=0),"",'Weekly Input'!D415/'Weekly Input'!H415*7)</f>
        <v/>
      </c>
      <c r="N415" s="18">
        <f>IF(B415="","",COUNTIFS($B$5:$B$504,B415,$C$5:$C$504,C415,$I$5:$I$504,TRUE,$J$5:$J$504,TRUE,$K$5:$K$504,TRUE))</f>
        <v/>
      </c>
      <c r="O415" s="18">
        <f>IF(B415="","",AND(F415=AsOfWeek,AsOfWeek&lt;&gt;""))</f>
        <v/>
      </c>
      <c r="P415" s="20">
        <f>IF(OR(B415="",AsOfWeek=""),"",IFERROR(SUMIFS($M$5:$M$504,$B$5:$B$504,B415,$C$5:$C$504,C415,$L$5:$L$504,TRUE,$F$5:$F$504,"&gt;="&amp;AsOfWeek-7*(RecentWeeks-1),$F$5:$F$504,"&lt;="&amp;AsOfWeek),""))</f>
        <v/>
      </c>
      <c r="Q415" s="20">
        <f>IF(OR(B415="",AsOfWeek=""),"",IFERROR(SUMIFS($M$5:$M$504,$B$5:$B$504,B415,$C$5:$C$504,C415,$L$5:$L$504,TRUE,$F$5:$F$504,"&gt;="&amp;AsOfWeek-7*(RecentWeeks+PriorWeeks-1),$F$5:$F$504,"&lt;"&amp;AsOfWeek-7*(RecentWeeks-1)),""))</f>
        <v/>
      </c>
      <c r="R415" s="21">
        <f>IF(OR(P415="",Q415="",Q415=0),"",P415/Q415-1)</f>
        <v/>
      </c>
      <c r="S415" s="20">
        <f>IF(OR(C415="",AsOfWeek=""),"",IFERROR(AVERAGEIFS($M$5:$M$504,$C$5:$C$504,C415,$L$5:$L$504,TRUE,$F$5:$F$504,"&gt;="&amp;AsOfWeek-7*(RecentWeeks-1),$F$5:$F$504,"&lt;="&amp;AsOfWeek),""))</f>
        <v/>
      </c>
      <c r="T415" s="21">
        <f>IF(OR(P415="",S415=""),"",P415/S415-1)</f>
        <v/>
      </c>
      <c r="U415" s="22">
        <f>IF(OR(B415="",'Weekly Input'!G415="",P415="",P415=0),"",'Weekly Input'!G415/P415)</f>
        <v/>
      </c>
      <c r="V415" s="18">
        <f>IF(B415="","",IF(NOT(I415),"Not Ready",IF(NOT(K415),"Not Ready",IF(N415&lt;MinHistory,"Not Ready",IF(NOT(J415),"Not Ready",IF(OR(Q415="",Q415=0),"Noise",IF(Q415&lt;LowBaseThreshold,"Noise",IF(AND(R415&lt;=-OwnDecline,T415&lt;=-PeerGapThreshold),"Markdown Review",IF(AND(R415&gt;=ReorderUplift,U415&lt;&gt;"",U415&lt;=WeeksSupplyCap),"Reorder Candidate","Monitor"))))))))</f>
        <v/>
      </c>
      <c r="W415" s="18">
        <f>IF(B415="","",IF(NOT(I415),"INVALID_MASTER",IF(NOT(K415),"INCOMPLETE_SHELF_CYCLE",IF(N415&lt;MinHistory,"INSUFFICIENT_HISTORY",IF(NOT(J415),"INSUFFICIENT_IN_STOCK",IF(OR(Q415="",Q415=0),"NO_PRIOR_BASE",IF(Q415&lt;LowBaseThreshold,"LOW_BASE_NOISE",IF(V415="Markdown Review","MARKDOWN_PEER_GAP",IF(V415="Reorder Candidate","REORDER_UPLIFT_COVER","NO_MATERIAL_CHANGE"))))))))</f>
        <v/>
      </c>
      <c r="X415" s="18">
        <f>IF(V415="Markdown Review","Markdown support",IF(V415="Reorder Candidate","Second reorder",IF(V415="Monitor","Monitor",IF(V415="Noise","Hold / collect data",IF(V415="Not Ready","Not ready","")))))</f>
        <v/>
      </c>
      <c r="Y415" s="18">
        <f>IF(OR(R415="",T415=""),"",ABS(R415)+ABS(T415))</f>
        <v/>
      </c>
      <c r="Z415" s="21">
        <f>IF(OR(B415="",NOT(O415),R415=""),"",IF(ABS(R415)&gt;=MaterialThreshold,"Yes","No"))</f>
        <v/>
      </c>
      <c r="AA415" s="18">
        <f>IF(Z415&lt;&gt;"Yes","",IF(ABS(R415)&gt;=MaterialThreshold,IF(ABS(R415)&gt;=BroadShare,"Broad SKU movement","Store-concentrated movement"),""))</f>
        <v/>
      </c>
      <c r="AB415" s="18">
        <f>IF(O415,IF(COUNTIFS($O$5:O415,TRUE)&gt;0,COUNTIFS($O$5:O415,TRUE),0),0)</f>
        <v/>
      </c>
      <c r="AC415" s="18">
        <f>IF(V415="Markdown Review",1,IF(V415="Reorder Candidate",2,IF(V415="Monitor",3,IF(V415="Noise",4,IF(V415="Not Ready",5,99)))))</f>
        <v/>
      </c>
      <c r="AD415" s="18">
        <f>IF(O415,COUNTIFS($O$5:$O$504,TRUE,$AC$5:$AC$504,"&lt;"&amp;AC415)+COUNTIFS($O$5:O415,TRUE,$AC$5:AC415,AC415,$Y$5:Y415,"&gt;"&amp;Y415),0)</f>
        <v/>
      </c>
    </row>
    <row r="416">
      <c r="A416" s="17">
        <f>IF(COUNTA('Weekly Input'!A416:C416)=0,"",'Weekly Input'!B416&amp;"|"&amp;'Weekly Input'!C416&amp;"|"&amp;TEXT('Weekly Input'!A416,"yyyy-mm-dd"))</f>
        <v/>
      </c>
      <c r="B416" s="18">
        <f>'Weekly Input'!B416</f>
        <v/>
      </c>
      <c r="C416" s="18">
        <f>'Weekly Input'!C416</f>
        <v/>
      </c>
      <c r="D416" s="18">
        <f>IF(B416="","",IFERROR(INDEX('Master Data'!$B$6:$B$145,MATCH(B416,'Master Data'!$A$6:$A$145,0)),""))</f>
        <v/>
      </c>
      <c r="E416" s="18">
        <f>IF(C416="","",IFERROR(INDEX('Master Data'!$H$6:$H$13,MATCH(C416,'Master Data'!$F$6:$F$13,0)),""))</f>
        <v/>
      </c>
      <c r="F416" s="19">
        <f>'Weekly Input'!A416</f>
        <v/>
      </c>
      <c r="G416" s="19">
        <f>IF(B416="","",IFERROR(INDEX('Master Data'!$D$6:$D$145,MATCH(B416,'Master Data'!$A$6:$A$145,0)),""))</f>
        <v/>
      </c>
      <c r="H416" s="18">
        <f>IF(OR(F416="",G416=""),"",F416-G416)</f>
        <v/>
      </c>
      <c r="I416" s="18">
        <f>IF(B416="","",IF('Weekly Input'!J416="OK",TRUE,FALSE))</f>
        <v/>
      </c>
      <c r="J416" s="18">
        <f>IF(B416="","",'Weekly Input'!H416&gt;=MinInStockDays)</f>
        <v/>
      </c>
      <c r="K416" s="18">
        <f>IF(B416="","",H416&gt;=FullCycleMin)</f>
        <v/>
      </c>
      <c r="L416" s="18">
        <f>IF(B416="","",AND(I416,J416,K416,N416&gt;=MinHistory))</f>
        <v/>
      </c>
      <c r="M416" s="20">
        <f>IF(OR(B416="",'Weekly Input'!H416=0),"",'Weekly Input'!D416/'Weekly Input'!H416*7)</f>
        <v/>
      </c>
      <c r="N416" s="18">
        <f>IF(B416="","",COUNTIFS($B$5:$B$504,B416,$C$5:$C$504,C416,$I$5:$I$504,TRUE,$J$5:$J$504,TRUE,$K$5:$K$504,TRUE))</f>
        <v/>
      </c>
      <c r="O416" s="18">
        <f>IF(B416="","",AND(F416=AsOfWeek,AsOfWeek&lt;&gt;""))</f>
        <v/>
      </c>
      <c r="P416" s="20">
        <f>IF(OR(B416="",AsOfWeek=""),"",IFERROR(SUMIFS($M$5:$M$504,$B$5:$B$504,B416,$C$5:$C$504,C416,$L$5:$L$504,TRUE,$F$5:$F$504,"&gt;="&amp;AsOfWeek-7*(RecentWeeks-1),$F$5:$F$504,"&lt;="&amp;AsOfWeek),""))</f>
        <v/>
      </c>
      <c r="Q416" s="20">
        <f>IF(OR(B416="",AsOfWeek=""),"",IFERROR(SUMIFS($M$5:$M$504,$B$5:$B$504,B416,$C$5:$C$504,C416,$L$5:$L$504,TRUE,$F$5:$F$504,"&gt;="&amp;AsOfWeek-7*(RecentWeeks+PriorWeeks-1),$F$5:$F$504,"&lt;"&amp;AsOfWeek-7*(RecentWeeks-1)),""))</f>
        <v/>
      </c>
      <c r="R416" s="21">
        <f>IF(OR(P416="",Q416="",Q416=0),"",P416/Q416-1)</f>
        <v/>
      </c>
      <c r="S416" s="20">
        <f>IF(OR(C416="",AsOfWeek=""),"",IFERROR(AVERAGEIFS($M$5:$M$504,$C$5:$C$504,C416,$L$5:$L$504,TRUE,$F$5:$F$504,"&gt;="&amp;AsOfWeek-7*(RecentWeeks-1),$F$5:$F$504,"&lt;="&amp;AsOfWeek),""))</f>
        <v/>
      </c>
      <c r="T416" s="21">
        <f>IF(OR(P416="",S416=""),"",P416/S416-1)</f>
        <v/>
      </c>
      <c r="U416" s="22">
        <f>IF(OR(B416="",'Weekly Input'!G416="",P416="",P416=0),"",'Weekly Input'!G416/P416)</f>
        <v/>
      </c>
      <c r="V416" s="18">
        <f>IF(B416="","",IF(NOT(I416),"Not Ready",IF(NOT(K416),"Not Ready",IF(N416&lt;MinHistory,"Not Ready",IF(NOT(J416),"Not Ready",IF(OR(Q416="",Q416=0),"Noise",IF(Q416&lt;LowBaseThreshold,"Noise",IF(AND(R416&lt;=-OwnDecline,T416&lt;=-PeerGapThreshold),"Markdown Review",IF(AND(R416&gt;=ReorderUplift,U416&lt;&gt;"",U416&lt;=WeeksSupplyCap),"Reorder Candidate","Monitor"))))))))</f>
        <v/>
      </c>
      <c r="W416" s="18">
        <f>IF(B416="","",IF(NOT(I416),"INVALID_MASTER",IF(NOT(K416),"INCOMPLETE_SHELF_CYCLE",IF(N416&lt;MinHistory,"INSUFFICIENT_HISTORY",IF(NOT(J416),"INSUFFICIENT_IN_STOCK",IF(OR(Q416="",Q416=0),"NO_PRIOR_BASE",IF(Q416&lt;LowBaseThreshold,"LOW_BASE_NOISE",IF(V416="Markdown Review","MARKDOWN_PEER_GAP",IF(V416="Reorder Candidate","REORDER_UPLIFT_COVER","NO_MATERIAL_CHANGE"))))))))</f>
        <v/>
      </c>
      <c r="X416" s="18">
        <f>IF(V416="Markdown Review","Markdown support",IF(V416="Reorder Candidate","Second reorder",IF(V416="Monitor","Monitor",IF(V416="Noise","Hold / collect data",IF(V416="Not Ready","Not ready","")))))</f>
        <v/>
      </c>
      <c r="Y416" s="18">
        <f>IF(OR(R416="",T416=""),"",ABS(R416)+ABS(T416))</f>
        <v/>
      </c>
      <c r="Z416" s="21">
        <f>IF(OR(B416="",NOT(O416),R416=""),"",IF(ABS(R416)&gt;=MaterialThreshold,"Yes","No"))</f>
        <v/>
      </c>
      <c r="AA416" s="18">
        <f>IF(Z416&lt;&gt;"Yes","",IF(ABS(R416)&gt;=MaterialThreshold,IF(ABS(R416)&gt;=BroadShare,"Broad SKU movement","Store-concentrated movement"),""))</f>
        <v/>
      </c>
      <c r="AB416" s="18">
        <f>IF(O416,IF(COUNTIFS($O$5:O416,TRUE)&gt;0,COUNTIFS($O$5:O416,TRUE),0),0)</f>
        <v/>
      </c>
      <c r="AC416" s="18">
        <f>IF(V416="Markdown Review",1,IF(V416="Reorder Candidate",2,IF(V416="Monitor",3,IF(V416="Noise",4,IF(V416="Not Ready",5,99)))))</f>
        <v/>
      </c>
      <c r="AD416" s="18">
        <f>IF(O416,COUNTIFS($O$5:$O$504,TRUE,$AC$5:$AC$504,"&lt;"&amp;AC416)+COUNTIFS($O$5:O416,TRUE,$AC$5:AC416,AC416,$Y$5:Y416,"&gt;"&amp;Y416),0)</f>
        <v/>
      </c>
    </row>
    <row r="417">
      <c r="A417" s="17">
        <f>IF(COUNTA('Weekly Input'!A417:C417)=0,"",'Weekly Input'!B417&amp;"|"&amp;'Weekly Input'!C417&amp;"|"&amp;TEXT('Weekly Input'!A417,"yyyy-mm-dd"))</f>
        <v/>
      </c>
      <c r="B417" s="18">
        <f>'Weekly Input'!B417</f>
        <v/>
      </c>
      <c r="C417" s="18">
        <f>'Weekly Input'!C417</f>
        <v/>
      </c>
      <c r="D417" s="18">
        <f>IF(B417="","",IFERROR(INDEX('Master Data'!$B$6:$B$145,MATCH(B417,'Master Data'!$A$6:$A$145,0)),""))</f>
        <v/>
      </c>
      <c r="E417" s="18">
        <f>IF(C417="","",IFERROR(INDEX('Master Data'!$H$6:$H$13,MATCH(C417,'Master Data'!$F$6:$F$13,0)),""))</f>
        <v/>
      </c>
      <c r="F417" s="19">
        <f>'Weekly Input'!A417</f>
        <v/>
      </c>
      <c r="G417" s="19">
        <f>IF(B417="","",IFERROR(INDEX('Master Data'!$D$6:$D$145,MATCH(B417,'Master Data'!$A$6:$A$145,0)),""))</f>
        <v/>
      </c>
      <c r="H417" s="18">
        <f>IF(OR(F417="",G417=""),"",F417-G417)</f>
        <v/>
      </c>
      <c r="I417" s="18">
        <f>IF(B417="","",IF('Weekly Input'!J417="OK",TRUE,FALSE))</f>
        <v/>
      </c>
      <c r="J417" s="18">
        <f>IF(B417="","",'Weekly Input'!H417&gt;=MinInStockDays)</f>
        <v/>
      </c>
      <c r="K417" s="18">
        <f>IF(B417="","",H417&gt;=FullCycleMin)</f>
        <v/>
      </c>
      <c r="L417" s="18">
        <f>IF(B417="","",AND(I417,J417,K417,N417&gt;=MinHistory))</f>
        <v/>
      </c>
      <c r="M417" s="20">
        <f>IF(OR(B417="",'Weekly Input'!H417=0),"",'Weekly Input'!D417/'Weekly Input'!H417*7)</f>
        <v/>
      </c>
      <c r="N417" s="18">
        <f>IF(B417="","",COUNTIFS($B$5:$B$504,B417,$C$5:$C$504,C417,$I$5:$I$504,TRUE,$J$5:$J$504,TRUE,$K$5:$K$504,TRUE))</f>
        <v/>
      </c>
      <c r="O417" s="18">
        <f>IF(B417="","",AND(F417=AsOfWeek,AsOfWeek&lt;&gt;""))</f>
        <v/>
      </c>
      <c r="P417" s="20">
        <f>IF(OR(B417="",AsOfWeek=""),"",IFERROR(SUMIFS($M$5:$M$504,$B$5:$B$504,B417,$C$5:$C$504,C417,$L$5:$L$504,TRUE,$F$5:$F$504,"&gt;="&amp;AsOfWeek-7*(RecentWeeks-1),$F$5:$F$504,"&lt;="&amp;AsOfWeek),""))</f>
        <v/>
      </c>
      <c r="Q417" s="20">
        <f>IF(OR(B417="",AsOfWeek=""),"",IFERROR(SUMIFS($M$5:$M$504,$B$5:$B$504,B417,$C$5:$C$504,C417,$L$5:$L$504,TRUE,$F$5:$F$504,"&gt;="&amp;AsOfWeek-7*(RecentWeeks+PriorWeeks-1),$F$5:$F$504,"&lt;"&amp;AsOfWeek-7*(RecentWeeks-1)),""))</f>
        <v/>
      </c>
      <c r="R417" s="21">
        <f>IF(OR(P417="",Q417="",Q417=0),"",P417/Q417-1)</f>
        <v/>
      </c>
      <c r="S417" s="20">
        <f>IF(OR(C417="",AsOfWeek=""),"",IFERROR(AVERAGEIFS($M$5:$M$504,$C$5:$C$504,C417,$L$5:$L$504,TRUE,$F$5:$F$504,"&gt;="&amp;AsOfWeek-7*(RecentWeeks-1),$F$5:$F$504,"&lt;="&amp;AsOfWeek),""))</f>
        <v/>
      </c>
      <c r="T417" s="21">
        <f>IF(OR(P417="",S417=""),"",P417/S417-1)</f>
        <v/>
      </c>
      <c r="U417" s="22">
        <f>IF(OR(B417="",'Weekly Input'!G417="",P417="",P417=0),"",'Weekly Input'!G417/P417)</f>
        <v/>
      </c>
      <c r="V417" s="18">
        <f>IF(B417="","",IF(NOT(I417),"Not Ready",IF(NOT(K417),"Not Ready",IF(N417&lt;MinHistory,"Not Ready",IF(NOT(J417),"Not Ready",IF(OR(Q417="",Q417=0),"Noise",IF(Q417&lt;LowBaseThreshold,"Noise",IF(AND(R417&lt;=-OwnDecline,T417&lt;=-PeerGapThreshold),"Markdown Review",IF(AND(R417&gt;=ReorderUplift,U417&lt;&gt;"",U417&lt;=WeeksSupplyCap),"Reorder Candidate","Monitor"))))))))</f>
        <v/>
      </c>
      <c r="W417" s="18">
        <f>IF(B417="","",IF(NOT(I417),"INVALID_MASTER",IF(NOT(K417),"INCOMPLETE_SHELF_CYCLE",IF(N417&lt;MinHistory,"INSUFFICIENT_HISTORY",IF(NOT(J417),"INSUFFICIENT_IN_STOCK",IF(OR(Q417="",Q417=0),"NO_PRIOR_BASE",IF(Q417&lt;LowBaseThreshold,"LOW_BASE_NOISE",IF(V417="Markdown Review","MARKDOWN_PEER_GAP",IF(V417="Reorder Candidate","REORDER_UPLIFT_COVER","NO_MATERIAL_CHANGE"))))))))</f>
        <v/>
      </c>
      <c r="X417" s="18">
        <f>IF(V417="Markdown Review","Markdown support",IF(V417="Reorder Candidate","Second reorder",IF(V417="Monitor","Monitor",IF(V417="Noise","Hold / collect data",IF(V417="Not Ready","Not ready","")))))</f>
        <v/>
      </c>
      <c r="Y417" s="18">
        <f>IF(OR(R417="",T417=""),"",ABS(R417)+ABS(T417))</f>
        <v/>
      </c>
      <c r="Z417" s="21">
        <f>IF(OR(B417="",NOT(O417),R417=""),"",IF(ABS(R417)&gt;=MaterialThreshold,"Yes","No"))</f>
        <v/>
      </c>
      <c r="AA417" s="18">
        <f>IF(Z417&lt;&gt;"Yes","",IF(ABS(R417)&gt;=MaterialThreshold,IF(ABS(R417)&gt;=BroadShare,"Broad SKU movement","Store-concentrated movement"),""))</f>
        <v/>
      </c>
      <c r="AB417" s="18">
        <f>IF(O417,IF(COUNTIFS($O$5:O417,TRUE)&gt;0,COUNTIFS($O$5:O417,TRUE),0),0)</f>
        <v/>
      </c>
      <c r="AC417" s="18">
        <f>IF(V417="Markdown Review",1,IF(V417="Reorder Candidate",2,IF(V417="Monitor",3,IF(V417="Noise",4,IF(V417="Not Ready",5,99)))))</f>
        <v/>
      </c>
      <c r="AD417" s="18">
        <f>IF(O417,COUNTIFS($O$5:$O$504,TRUE,$AC$5:$AC$504,"&lt;"&amp;AC417)+COUNTIFS($O$5:O417,TRUE,$AC$5:AC417,AC417,$Y$5:Y417,"&gt;"&amp;Y417),0)</f>
        <v/>
      </c>
    </row>
    <row r="418">
      <c r="A418" s="17">
        <f>IF(COUNTA('Weekly Input'!A418:C418)=0,"",'Weekly Input'!B418&amp;"|"&amp;'Weekly Input'!C418&amp;"|"&amp;TEXT('Weekly Input'!A418,"yyyy-mm-dd"))</f>
        <v/>
      </c>
      <c r="B418" s="18">
        <f>'Weekly Input'!B418</f>
        <v/>
      </c>
      <c r="C418" s="18">
        <f>'Weekly Input'!C418</f>
        <v/>
      </c>
      <c r="D418" s="18">
        <f>IF(B418="","",IFERROR(INDEX('Master Data'!$B$6:$B$145,MATCH(B418,'Master Data'!$A$6:$A$145,0)),""))</f>
        <v/>
      </c>
      <c r="E418" s="18">
        <f>IF(C418="","",IFERROR(INDEX('Master Data'!$H$6:$H$13,MATCH(C418,'Master Data'!$F$6:$F$13,0)),""))</f>
        <v/>
      </c>
      <c r="F418" s="19">
        <f>'Weekly Input'!A418</f>
        <v/>
      </c>
      <c r="G418" s="19">
        <f>IF(B418="","",IFERROR(INDEX('Master Data'!$D$6:$D$145,MATCH(B418,'Master Data'!$A$6:$A$145,0)),""))</f>
        <v/>
      </c>
      <c r="H418" s="18">
        <f>IF(OR(F418="",G418=""),"",F418-G418)</f>
        <v/>
      </c>
      <c r="I418" s="18">
        <f>IF(B418="","",IF('Weekly Input'!J418="OK",TRUE,FALSE))</f>
        <v/>
      </c>
      <c r="J418" s="18">
        <f>IF(B418="","",'Weekly Input'!H418&gt;=MinInStockDays)</f>
        <v/>
      </c>
      <c r="K418" s="18">
        <f>IF(B418="","",H418&gt;=FullCycleMin)</f>
        <v/>
      </c>
      <c r="L418" s="18">
        <f>IF(B418="","",AND(I418,J418,K418,N418&gt;=MinHistory))</f>
        <v/>
      </c>
      <c r="M418" s="20">
        <f>IF(OR(B418="",'Weekly Input'!H418=0),"",'Weekly Input'!D418/'Weekly Input'!H418*7)</f>
        <v/>
      </c>
      <c r="N418" s="18">
        <f>IF(B418="","",COUNTIFS($B$5:$B$504,B418,$C$5:$C$504,C418,$I$5:$I$504,TRUE,$J$5:$J$504,TRUE,$K$5:$K$504,TRUE))</f>
        <v/>
      </c>
      <c r="O418" s="18">
        <f>IF(B418="","",AND(F418=AsOfWeek,AsOfWeek&lt;&gt;""))</f>
        <v/>
      </c>
      <c r="P418" s="20">
        <f>IF(OR(B418="",AsOfWeek=""),"",IFERROR(SUMIFS($M$5:$M$504,$B$5:$B$504,B418,$C$5:$C$504,C418,$L$5:$L$504,TRUE,$F$5:$F$504,"&gt;="&amp;AsOfWeek-7*(RecentWeeks-1),$F$5:$F$504,"&lt;="&amp;AsOfWeek),""))</f>
        <v/>
      </c>
      <c r="Q418" s="20">
        <f>IF(OR(B418="",AsOfWeek=""),"",IFERROR(SUMIFS($M$5:$M$504,$B$5:$B$504,B418,$C$5:$C$504,C418,$L$5:$L$504,TRUE,$F$5:$F$504,"&gt;="&amp;AsOfWeek-7*(RecentWeeks+PriorWeeks-1),$F$5:$F$504,"&lt;"&amp;AsOfWeek-7*(RecentWeeks-1)),""))</f>
        <v/>
      </c>
      <c r="R418" s="21">
        <f>IF(OR(P418="",Q418="",Q418=0),"",P418/Q418-1)</f>
        <v/>
      </c>
      <c r="S418" s="20">
        <f>IF(OR(C418="",AsOfWeek=""),"",IFERROR(AVERAGEIFS($M$5:$M$504,$C$5:$C$504,C418,$L$5:$L$504,TRUE,$F$5:$F$504,"&gt;="&amp;AsOfWeek-7*(RecentWeeks-1),$F$5:$F$504,"&lt;="&amp;AsOfWeek),""))</f>
        <v/>
      </c>
      <c r="T418" s="21">
        <f>IF(OR(P418="",S418=""),"",P418/S418-1)</f>
        <v/>
      </c>
      <c r="U418" s="22">
        <f>IF(OR(B418="",'Weekly Input'!G418="",P418="",P418=0),"",'Weekly Input'!G418/P418)</f>
        <v/>
      </c>
      <c r="V418" s="18">
        <f>IF(B418="","",IF(NOT(I418),"Not Ready",IF(NOT(K418),"Not Ready",IF(N418&lt;MinHistory,"Not Ready",IF(NOT(J418),"Not Ready",IF(OR(Q418="",Q418=0),"Noise",IF(Q418&lt;LowBaseThreshold,"Noise",IF(AND(R418&lt;=-OwnDecline,T418&lt;=-PeerGapThreshold),"Markdown Review",IF(AND(R418&gt;=ReorderUplift,U418&lt;&gt;"",U418&lt;=WeeksSupplyCap),"Reorder Candidate","Monitor"))))))))</f>
        <v/>
      </c>
      <c r="W418" s="18">
        <f>IF(B418="","",IF(NOT(I418),"INVALID_MASTER",IF(NOT(K418),"INCOMPLETE_SHELF_CYCLE",IF(N418&lt;MinHistory,"INSUFFICIENT_HISTORY",IF(NOT(J418),"INSUFFICIENT_IN_STOCK",IF(OR(Q418="",Q418=0),"NO_PRIOR_BASE",IF(Q418&lt;LowBaseThreshold,"LOW_BASE_NOISE",IF(V418="Markdown Review","MARKDOWN_PEER_GAP",IF(V418="Reorder Candidate","REORDER_UPLIFT_COVER","NO_MATERIAL_CHANGE"))))))))</f>
        <v/>
      </c>
      <c r="X418" s="18">
        <f>IF(V418="Markdown Review","Markdown support",IF(V418="Reorder Candidate","Second reorder",IF(V418="Monitor","Monitor",IF(V418="Noise","Hold / collect data",IF(V418="Not Ready","Not ready","")))))</f>
        <v/>
      </c>
      <c r="Y418" s="18">
        <f>IF(OR(R418="",T418=""),"",ABS(R418)+ABS(T418))</f>
        <v/>
      </c>
      <c r="Z418" s="21">
        <f>IF(OR(B418="",NOT(O418),R418=""),"",IF(ABS(R418)&gt;=MaterialThreshold,"Yes","No"))</f>
        <v/>
      </c>
      <c r="AA418" s="18">
        <f>IF(Z418&lt;&gt;"Yes","",IF(ABS(R418)&gt;=MaterialThreshold,IF(ABS(R418)&gt;=BroadShare,"Broad SKU movement","Store-concentrated movement"),""))</f>
        <v/>
      </c>
      <c r="AB418" s="18">
        <f>IF(O418,IF(COUNTIFS($O$5:O418,TRUE)&gt;0,COUNTIFS($O$5:O418,TRUE),0),0)</f>
        <v/>
      </c>
      <c r="AC418" s="18">
        <f>IF(V418="Markdown Review",1,IF(V418="Reorder Candidate",2,IF(V418="Monitor",3,IF(V418="Noise",4,IF(V418="Not Ready",5,99)))))</f>
        <v/>
      </c>
      <c r="AD418" s="18">
        <f>IF(O418,COUNTIFS($O$5:$O$504,TRUE,$AC$5:$AC$504,"&lt;"&amp;AC418)+COUNTIFS($O$5:O418,TRUE,$AC$5:AC418,AC418,$Y$5:Y418,"&gt;"&amp;Y418),0)</f>
        <v/>
      </c>
    </row>
    <row r="419">
      <c r="A419" s="17">
        <f>IF(COUNTA('Weekly Input'!A419:C419)=0,"",'Weekly Input'!B419&amp;"|"&amp;'Weekly Input'!C419&amp;"|"&amp;TEXT('Weekly Input'!A419,"yyyy-mm-dd"))</f>
        <v/>
      </c>
      <c r="B419" s="18">
        <f>'Weekly Input'!B419</f>
        <v/>
      </c>
      <c r="C419" s="18">
        <f>'Weekly Input'!C419</f>
        <v/>
      </c>
      <c r="D419" s="18">
        <f>IF(B419="","",IFERROR(INDEX('Master Data'!$B$6:$B$145,MATCH(B419,'Master Data'!$A$6:$A$145,0)),""))</f>
        <v/>
      </c>
      <c r="E419" s="18">
        <f>IF(C419="","",IFERROR(INDEX('Master Data'!$H$6:$H$13,MATCH(C419,'Master Data'!$F$6:$F$13,0)),""))</f>
        <v/>
      </c>
      <c r="F419" s="19">
        <f>'Weekly Input'!A419</f>
        <v/>
      </c>
      <c r="G419" s="19">
        <f>IF(B419="","",IFERROR(INDEX('Master Data'!$D$6:$D$145,MATCH(B419,'Master Data'!$A$6:$A$145,0)),""))</f>
        <v/>
      </c>
      <c r="H419" s="18">
        <f>IF(OR(F419="",G419=""),"",F419-G419)</f>
        <v/>
      </c>
      <c r="I419" s="18">
        <f>IF(B419="","",IF('Weekly Input'!J419="OK",TRUE,FALSE))</f>
        <v/>
      </c>
      <c r="J419" s="18">
        <f>IF(B419="","",'Weekly Input'!H419&gt;=MinInStockDays)</f>
        <v/>
      </c>
      <c r="K419" s="18">
        <f>IF(B419="","",H419&gt;=FullCycleMin)</f>
        <v/>
      </c>
      <c r="L419" s="18">
        <f>IF(B419="","",AND(I419,J419,K419,N419&gt;=MinHistory))</f>
        <v/>
      </c>
      <c r="M419" s="20">
        <f>IF(OR(B419="",'Weekly Input'!H419=0),"",'Weekly Input'!D419/'Weekly Input'!H419*7)</f>
        <v/>
      </c>
      <c r="N419" s="18">
        <f>IF(B419="","",COUNTIFS($B$5:$B$504,B419,$C$5:$C$504,C419,$I$5:$I$504,TRUE,$J$5:$J$504,TRUE,$K$5:$K$504,TRUE))</f>
        <v/>
      </c>
      <c r="O419" s="18">
        <f>IF(B419="","",AND(F419=AsOfWeek,AsOfWeek&lt;&gt;""))</f>
        <v/>
      </c>
      <c r="P419" s="20">
        <f>IF(OR(B419="",AsOfWeek=""),"",IFERROR(SUMIFS($M$5:$M$504,$B$5:$B$504,B419,$C$5:$C$504,C419,$L$5:$L$504,TRUE,$F$5:$F$504,"&gt;="&amp;AsOfWeek-7*(RecentWeeks-1),$F$5:$F$504,"&lt;="&amp;AsOfWeek),""))</f>
        <v/>
      </c>
      <c r="Q419" s="20">
        <f>IF(OR(B419="",AsOfWeek=""),"",IFERROR(SUMIFS($M$5:$M$504,$B$5:$B$504,B419,$C$5:$C$504,C419,$L$5:$L$504,TRUE,$F$5:$F$504,"&gt;="&amp;AsOfWeek-7*(RecentWeeks+PriorWeeks-1),$F$5:$F$504,"&lt;"&amp;AsOfWeek-7*(RecentWeeks-1)),""))</f>
        <v/>
      </c>
      <c r="R419" s="21">
        <f>IF(OR(P419="",Q419="",Q419=0),"",P419/Q419-1)</f>
        <v/>
      </c>
      <c r="S419" s="20">
        <f>IF(OR(C419="",AsOfWeek=""),"",IFERROR(AVERAGEIFS($M$5:$M$504,$C$5:$C$504,C419,$L$5:$L$504,TRUE,$F$5:$F$504,"&gt;="&amp;AsOfWeek-7*(RecentWeeks-1),$F$5:$F$504,"&lt;="&amp;AsOfWeek),""))</f>
        <v/>
      </c>
      <c r="T419" s="21">
        <f>IF(OR(P419="",S419=""),"",P419/S419-1)</f>
        <v/>
      </c>
      <c r="U419" s="22">
        <f>IF(OR(B419="",'Weekly Input'!G419="",P419="",P419=0),"",'Weekly Input'!G419/P419)</f>
        <v/>
      </c>
      <c r="V419" s="18">
        <f>IF(B419="","",IF(NOT(I419),"Not Ready",IF(NOT(K419),"Not Ready",IF(N419&lt;MinHistory,"Not Ready",IF(NOT(J419),"Not Ready",IF(OR(Q419="",Q419=0),"Noise",IF(Q419&lt;LowBaseThreshold,"Noise",IF(AND(R419&lt;=-OwnDecline,T419&lt;=-PeerGapThreshold),"Markdown Review",IF(AND(R419&gt;=ReorderUplift,U419&lt;&gt;"",U419&lt;=WeeksSupplyCap),"Reorder Candidate","Monitor"))))))))</f>
        <v/>
      </c>
      <c r="W419" s="18">
        <f>IF(B419="","",IF(NOT(I419),"INVALID_MASTER",IF(NOT(K419),"INCOMPLETE_SHELF_CYCLE",IF(N419&lt;MinHistory,"INSUFFICIENT_HISTORY",IF(NOT(J419),"INSUFFICIENT_IN_STOCK",IF(OR(Q419="",Q419=0),"NO_PRIOR_BASE",IF(Q419&lt;LowBaseThreshold,"LOW_BASE_NOISE",IF(V419="Markdown Review","MARKDOWN_PEER_GAP",IF(V419="Reorder Candidate","REORDER_UPLIFT_COVER","NO_MATERIAL_CHANGE"))))))))</f>
        <v/>
      </c>
      <c r="X419" s="18">
        <f>IF(V419="Markdown Review","Markdown support",IF(V419="Reorder Candidate","Second reorder",IF(V419="Monitor","Monitor",IF(V419="Noise","Hold / collect data",IF(V419="Not Ready","Not ready","")))))</f>
        <v/>
      </c>
      <c r="Y419" s="18">
        <f>IF(OR(R419="",T419=""),"",ABS(R419)+ABS(T419))</f>
        <v/>
      </c>
      <c r="Z419" s="21">
        <f>IF(OR(B419="",NOT(O419),R419=""),"",IF(ABS(R419)&gt;=MaterialThreshold,"Yes","No"))</f>
        <v/>
      </c>
      <c r="AA419" s="18">
        <f>IF(Z419&lt;&gt;"Yes","",IF(ABS(R419)&gt;=MaterialThreshold,IF(ABS(R419)&gt;=BroadShare,"Broad SKU movement","Store-concentrated movement"),""))</f>
        <v/>
      </c>
      <c r="AB419" s="18">
        <f>IF(O419,IF(COUNTIFS($O$5:O419,TRUE)&gt;0,COUNTIFS($O$5:O419,TRUE),0),0)</f>
        <v/>
      </c>
      <c r="AC419" s="18">
        <f>IF(V419="Markdown Review",1,IF(V419="Reorder Candidate",2,IF(V419="Monitor",3,IF(V419="Noise",4,IF(V419="Not Ready",5,99)))))</f>
        <v/>
      </c>
      <c r="AD419" s="18">
        <f>IF(O419,COUNTIFS($O$5:$O$504,TRUE,$AC$5:$AC$504,"&lt;"&amp;AC419)+COUNTIFS($O$5:O419,TRUE,$AC$5:AC419,AC419,$Y$5:Y419,"&gt;"&amp;Y419),0)</f>
        <v/>
      </c>
    </row>
    <row r="420">
      <c r="A420" s="17">
        <f>IF(COUNTA('Weekly Input'!A420:C420)=0,"",'Weekly Input'!B420&amp;"|"&amp;'Weekly Input'!C420&amp;"|"&amp;TEXT('Weekly Input'!A420,"yyyy-mm-dd"))</f>
        <v/>
      </c>
      <c r="B420" s="18">
        <f>'Weekly Input'!B420</f>
        <v/>
      </c>
      <c r="C420" s="18">
        <f>'Weekly Input'!C420</f>
        <v/>
      </c>
      <c r="D420" s="18">
        <f>IF(B420="","",IFERROR(INDEX('Master Data'!$B$6:$B$145,MATCH(B420,'Master Data'!$A$6:$A$145,0)),""))</f>
        <v/>
      </c>
      <c r="E420" s="18">
        <f>IF(C420="","",IFERROR(INDEX('Master Data'!$H$6:$H$13,MATCH(C420,'Master Data'!$F$6:$F$13,0)),""))</f>
        <v/>
      </c>
      <c r="F420" s="19">
        <f>'Weekly Input'!A420</f>
        <v/>
      </c>
      <c r="G420" s="19">
        <f>IF(B420="","",IFERROR(INDEX('Master Data'!$D$6:$D$145,MATCH(B420,'Master Data'!$A$6:$A$145,0)),""))</f>
        <v/>
      </c>
      <c r="H420" s="18">
        <f>IF(OR(F420="",G420=""),"",F420-G420)</f>
        <v/>
      </c>
      <c r="I420" s="18">
        <f>IF(B420="","",IF('Weekly Input'!J420="OK",TRUE,FALSE))</f>
        <v/>
      </c>
      <c r="J420" s="18">
        <f>IF(B420="","",'Weekly Input'!H420&gt;=MinInStockDays)</f>
        <v/>
      </c>
      <c r="K420" s="18">
        <f>IF(B420="","",H420&gt;=FullCycleMin)</f>
        <v/>
      </c>
      <c r="L420" s="18">
        <f>IF(B420="","",AND(I420,J420,K420,N420&gt;=MinHistory))</f>
        <v/>
      </c>
      <c r="M420" s="20">
        <f>IF(OR(B420="",'Weekly Input'!H420=0),"",'Weekly Input'!D420/'Weekly Input'!H420*7)</f>
        <v/>
      </c>
      <c r="N420" s="18">
        <f>IF(B420="","",COUNTIFS($B$5:$B$504,B420,$C$5:$C$504,C420,$I$5:$I$504,TRUE,$J$5:$J$504,TRUE,$K$5:$K$504,TRUE))</f>
        <v/>
      </c>
      <c r="O420" s="18">
        <f>IF(B420="","",AND(F420=AsOfWeek,AsOfWeek&lt;&gt;""))</f>
        <v/>
      </c>
      <c r="P420" s="20">
        <f>IF(OR(B420="",AsOfWeek=""),"",IFERROR(SUMIFS($M$5:$M$504,$B$5:$B$504,B420,$C$5:$C$504,C420,$L$5:$L$504,TRUE,$F$5:$F$504,"&gt;="&amp;AsOfWeek-7*(RecentWeeks-1),$F$5:$F$504,"&lt;="&amp;AsOfWeek),""))</f>
        <v/>
      </c>
      <c r="Q420" s="20">
        <f>IF(OR(B420="",AsOfWeek=""),"",IFERROR(SUMIFS($M$5:$M$504,$B$5:$B$504,B420,$C$5:$C$504,C420,$L$5:$L$504,TRUE,$F$5:$F$504,"&gt;="&amp;AsOfWeek-7*(RecentWeeks+PriorWeeks-1),$F$5:$F$504,"&lt;"&amp;AsOfWeek-7*(RecentWeeks-1)),""))</f>
        <v/>
      </c>
      <c r="R420" s="21">
        <f>IF(OR(P420="",Q420="",Q420=0),"",P420/Q420-1)</f>
        <v/>
      </c>
      <c r="S420" s="20">
        <f>IF(OR(C420="",AsOfWeek=""),"",IFERROR(AVERAGEIFS($M$5:$M$504,$C$5:$C$504,C420,$L$5:$L$504,TRUE,$F$5:$F$504,"&gt;="&amp;AsOfWeek-7*(RecentWeeks-1),$F$5:$F$504,"&lt;="&amp;AsOfWeek),""))</f>
        <v/>
      </c>
      <c r="T420" s="21">
        <f>IF(OR(P420="",S420=""),"",P420/S420-1)</f>
        <v/>
      </c>
      <c r="U420" s="22">
        <f>IF(OR(B420="",'Weekly Input'!G420="",P420="",P420=0),"",'Weekly Input'!G420/P420)</f>
        <v/>
      </c>
      <c r="V420" s="18">
        <f>IF(B420="","",IF(NOT(I420),"Not Ready",IF(NOT(K420),"Not Ready",IF(N420&lt;MinHistory,"Not Ready",IF(NOT(J420),"Not Ready",IF(OR(Q420="",Q420=0),"Noise",IF(Q420&lt;LowBaseThreshold,"Noise",IF(AND(R420&lt;=-OwnDecline,T420&lt;=-PeerGapThreshold),"Markdown Review",IF(AND(R420&gt;=ReorderUplift,U420&lt;&gt;"",U420&lt;=WeeksSupplyCap),"Reorder Candidate","Monitor"))))))))</f>
        <v/>
      </c>
      <c r="W420" s="18">
        <f>IF(B420="","",IF(NOT(I420),"INVALID_MASTER",IF(NOT(K420),"INCOMPLETE_SHELF_CYCLE",IF(N420&lt;MinHistory,"INSUFFICIENT_HISTORY",IF(NOT(J420),"INSUFFICIENT_IN_STOCK",IF(OR(Q420="",Q420=0),"NO_PRIOR_BASE",IF(Q420&lt;LowBaseThreshold,"LOW_BASE_NOISE",IF(V420="Markdown Review","MARKDOWN_PEER_GAP",IF(V420="Reorder Candidate","REORDER_UPLIFT_COVER","NO_MATERIAL_CHANGE"))))))))</f>
        <v/>
      </c>
      <c r="X420" s="18">
        <f>IF(V420="Markdown Review","Markdown support",IF(V420="Reorder Candidate","Second reorder",IF(V420="Monitor","Monitor",IF(V420="Noise","Hold / collect data",IF(V420="Not Ready","Not ready","")))))</f>
        <v/>
      </c>
      <c r="Y420" s="18">
        <f>IF(OR(R420="",T420=""),"",ABS(R420)+ABS(T420))</f>
        <v/>
      </c>
      <c r="Z420" s="21">
        <f>IF(OR(B420="",NOT(O420),R420=""),"",IF(ABS(R420)&gt;=MaterialThreshold,"Yes","No"))</f>
        <v/>
      </c>
      <c r="AA420" s="18">
        <f>IF(Z420&lt;&gt;"Yes","",IF(ABS(R420)&gt;=MaterialThreshold,IF(ABS(R420)&gt;=BroadShare,"Broad SKU movement","Store-concentrated movement"),""))</f>
        <v/>
      </c>
      <c r="AB420" s="18">
        <f>IF(O420,IF(COUNTIFS($O$5:O420,TRUE)&gt;0,COUNTIFS($O$5:O420,TRUE),0),0)</f>
        <v/>
      </c>
      <c r="AC420" s="18">
        <f>IF(V420="Markdown Review",1,IF(V420="Reorder Candidate",2,IF(V420="Monitor",3,IF(V420="Noise",4,IF(V420="Not Ready",5,99)))))</f>
        <v/>
      </c>
      <c r="AD420" s="18">
        <f>IF(O420,COUNTIFS($O$5:$O$504,TRUE,$AC$5:$AC$504,"&lt;"&amp;AC420)+COUNTIFS($O$5:O420,TRUE,$AC$5:AC420,AC420,$Y$5:Y420,"&gt;"&amp;Y420),0)</f>
        <v/>
      </c>
    </row>
    <row r="421">
      <c r="A421" s="17">
        <f>IF(COUNTA('Weekly Input'!A421:C421)=0,"",'Weekly Input'!B421&amp;"|"&amp;'Weekly Input'!C421&amp;"|"&amp;TEXT('Weekly Input'!A421,"yyyy-mm-dd"))</f>
        <v/>
      </c>
      <c r="B421" s="18">
        <f>'Weekly Input'!B421</f>
        <v/>
      </c>
      <c r="C421" s="18">
        <f>'Weekly Input'!C421</f>
        <v/>
      </c>
      <c r="D421" s="18">
        <f>IF(B421="","",IFERROR(INDEX('Master Data'!$B$6:$B$145,MATCH(B421,'Master Data'!$A$6:$A$145,0)),""))</f>
        <v/>
      </c>
      <c r="E421" s="18">
        <f>IF(C421="","",IFERROR(INDEX('Master Data'!$H$6:$H$13,MATCH(C421,'Master Data'!$F$6:$F$13,0)),""))</f>
        <v/>
      </c>
      <c r="F421" s="19">
        <f>'Weekly Input'!A421</f>
        <v/>
      </c>
      <c r="G421" s="19">
        <f>IF(B421="","",IFERROR(INDEX('Master Data'!$D$6:$D$145,MATCH(B421,'Master Data'!$A$6:$A$145,0)),""))</f>
        <v/>
      </c>
      <c r="H421" s="18">
        <f>IF(OR(F421="",G421=""),"",F421-G421)</f>
        <v/>
      </c>
      <c r="I421" s="18">
        <f>IF(B421="","",IF('Weekly Input'!J421="OK",TRUE,FALSE))</f>
        <v/>
      </c>
      <c r="J421" s="18">
        <f>IF(B421="","",'Weekly Input'!H421&gt;=MinInStockDays)</f>
        <v/>
      </c>
      <c r="K421" s="18">
        <f>IF(B421="","",H421&gt;=FullCycleMin)</f>
        <v/>
      </c>
      <c r="L421" s="18">
        <f>IF(B421="","",AND(I421,J421,K421,N421&gt;=MinHistory))</f>
        <v/>
      </c>
      <c r="M421" s="20">
        <f>IF(OR(B421="",'Weekly Input'!H421=0),"",'Weekly Input'!D421/'Weekly Input'!H421*7)</f>
        <v/>
      </c>
      <c r="N421" s="18">
        <f>IF(B421="","",COUNTIFS($B$5:$B$504,B421,$C$5:$C$504,C421,$I$5:$I$504,TRUE,$J$5:$J$504,TRUE,$K$5:$K$504,TRUE))</f>
        <v/>
      </c>
      <c r="O421" s="18">
        <f>IF(B421="","",AND(F421=AsOfWeek,AsOfWeek&lt;&gt;""))</f>
        <v/>
      </c>
      <c r="P421" s="20">
        <f>IF(OR(B421="",AsOfWeek=""),"",IFERROR(SUMIFS($M$5:$M$504,$B$5:$B$504,B421,$C$5:$C$504,C421,$L$5:$L$504,TRUE,$F$5:$F$504,"&gt;="&amp;AsOfWeek-7*(RecentWeeks-1),$F$5:$F$504,"&lt;="&amp;AsOfWeek),""))</f>
        <v/>
      </c>
      <c r="Q421" s="20">
        <f>IF(OR(B421="",AsOfWeek=""),"",IFERROR(SUMIFS($M$5:$M$504,$B$5:$B$504,B421,$C$5:$C$504,C421,$L$5:$L$504,TRUE,$F$5:$F$504,"&gt;="&amp;AsOfWeek-7*(RecentWeeks+PriorWeeks-1),$F$5:$F$504,"&lt;"&amp;AsOfWeek-7*(RecentWeeks-1)),""))</f>
        <v/>
      </c>
      <c r="R421" s="21">
        <f>IF(OR(P421="",Q421="",Q421=0),"",P421/Q421-1)</f>
        <v/>
      </c>
      <c r="S421" s="20">
        <f>IF(OR(C421="",AsOfWeek=""),"",IFERROR(AVERAGEIFS($M$5:$M$504,$C$5:$C$504,C421,$L$5:$L$504,TRUE,$F$5:$F$504,"&gt;="&amp;AsOfWeek-7*(RecentWeeks-1),$F$5:$F$504,"&lt;="&amp;AsOfWeek),""))</f>
        <v/>
      </c>
      <c r="T421" s="21">
        <f>IF(OR(P421="",S421=""),"",P421/S421-1)</f>
        <v/>
      </c>
      <c r="U421" s="22">
        <f>IF(OR(B421="",'Weekly Input'!G421="",P421="",P421=0),"",'Weekly Input'!G421/P421)</f>
        <v/>
      </c>
      <c r="V421" s="18">
        <f>IF(B421="","",IF(NOT(I421),"Not Ready",IF(NOT(K421),"Not Ready",IF(N421&lt;MinHistory,"Not Ready",IF(NOT(J421),"Not Ready",IF(OR(Q421="",Q421=0),"Noise",IF(Q421&lt;LowBaseThreshold,"Noise",IF(AND(R421&lt;=-OwnDecline,T421&lt;=-PeerGapThreshold),"Markdown Review",IF(AND(R421&gt;=ReorderUplift,U421&lt;&gt;"",U421&lt;=WeeksSupplyCap),"Reorder Candidate","Monitor"))))))))</f>
        <v/>
      </c>
      <c r="W421" s="18">
        <f>IF(B421="","",IF(NOT(I421),"INVALID_MASTER",IF(NOT(K421),"INCOMPLETE_SHELF_CYCLE",IF(N421&lt;MinHistory,"INSUFFICIENT_HISTORY",IF(NOT(J421),"INSUFFICIENT_IN_STOCK",IF(OR(Q421="",Q421=0),"NO_PRIOR_BASE",IF(Q421&lt;LowBaseThreshold,"LOW_BASE_NOISE",IF(V421="Markdown Review","MARKDOWN_PEER_GAP",IF(V421="Reorder Candidate","REORDER_UPLIFT_COVER","NO_MATERIAL_CHANGE"))))))))</f>
        <v/>
      </c>
      <c r="X421" s="18">
        <f>IF(V421="Markdown Review","Markdown support",IF(V421="Reorder Candidate","Second reorder",IF(V421="Monitor","Monitor",IF(V421="Noise","Hold / collect data",IF(V421="Not Ready","Not ready","")))))</f>
        <v/>
      </c>
      <c r="Y421" s="18">
        <f>IF(OR(R421="",T421=""),"",ABS(R421)+ABS(T421))</f>
        <v/>
      </c>
      <c r="Z421" s="21">
        <f>IF(OR(B421="",NOT(O421),R421=""),"",IF(ABS(R421)&gt;=MaterialThreshold,"Yes","No"))</f>
        <v/>
      </c>
      <c r="AA421" s="18">
        <f>IF(Z421&lt;&gt;"Yes","",IF(ABS(R421)&gt;=MaterialThreshold,IF(ABS(R421)&gt;=BroadShare,"Broad SKU movement","Store-concentrated movement"),""))</f>
        <v/>
      </c>
      <c r="AB421" s="18">
        <f>IF(O421,IF(COUNTIFS($O$5:O421,TRUE)&gt;0,COUNTIFS($O$5:O421,TRUE),0),0)</f>
        <v/>
      </c>
      <c r="AC421" s="18">
        <f>IF(V421="Markdown Review",1,IF(V421="Reorder Candidate",2,IF(V421="Monitor",3,IF(V421="Noise",4,IF(V421="Not Ready",5,99)))))</f>
        <v/>
      </c>
      <c r="AD421" s="18">
        <f>IF(O421,COUNTIFS($O$5:$O$504,TRUE,$AC$5:$AC$504,"&lt;"&amp;AC421)+COUNTIFS($O$5:O421,TRUE,$AC$5:AC421,AC421,$Y$5:Y421,"&gt;"&amp;Y421),0)</f>
        <v/>
      </c>
    </row>
    <row r="422">
      <c r="A422" s="17">
        <f>IF(COUNTA('Weekly Input'!A422:C422)=0,"",'Weekly Input'!B422&amp;"|"&amp;'Weekly Input'!C422&amp;"|"&amp;TEXT('Weekly Input'!A422,"yyyy-mm-dd"))</f>
        <v/>
      </c>
      <c r="B422" s="18">
        <f>'Weekly Input'!B422</f>
        <v/>
      </c>
      <c r="C422" s="18">
        <f>'Weekly Input'!C422</f>
        <v/>
      </c>
      <c r="D422" s="18">
        <f>IF(B422="","",IFERROR(INDEX('Master Data'!$B$6:$B$145,MATCH(B422,'Master Data'!$A$6:$A$145,0)),""))</f>
        <v/>
      </c>
      <c r="E422" s="18">
        <f>IF(C422="","",IFERROR(INDEX('Master Data'!$H$6:$H$13,MATCH(C422,'Master Data'!$F$6:$F$13,0)),""))</f>
        <v/>
      </c>
      <c r="F422" s="19">
        <f>'Weekly Input'!A422</f>
        <v/>
      </c>
      <c r="G422" s="19">
        <f>IF(B422="","",IFERROR(INDEX('Master Data'!$D$6:$D$145,MATCH(B422,'Master Data'!$A$6:$A$145,0)),""))</f>
        <v/>
      </c>
      <c r="H422" s="18">
        <f>IF(OR(F422="",G422=""),"",F422-G422)</f>
        <v/>
      </c>
      <c r="I422" s="18">
        <f>IF(B422="","",IF('Weekly Input'!J422="OK",TRUE,FALSE))</f>
        <v/>
      </c>
      <c r="J422" s="18">
        <f>IF(B422="","",'Weekly Input'!H422&gt;=MinInStockDays)</f>
        <v/>
      </c>
      <c r="K422" s="18">
        <f>IF(B422="","",H422&gt;=FullCycleMin)</f>
        <v/>
      </c>
      <c r="L422" s="18">
        <f>IF(B422="","",AND(I422,J422,K422,N422&gt;=MinHistory))</f>
        <v/>
      </c>
      <c r="M422" s="20">
        <f>IF(OR(B422="",'Weekly Input'!H422=0),"",'Weekly Input'!D422/'Weekly Input'!H422*7)</f>
        <v/>
      </c>
      <c r="N422" s="18">
        <f>IF(B422="","",COUNTIFS($B$5:$B$504,B422,$C$5:$C$504,C422,$I$5:$I$504,TRUE,$J$5:$J$504,TRUE,$K$5:$K$504,TRUE))</f>
        <v/>
      </c>
      <c r="O422" s="18">
        <f>IF(B422="","",AND(F422=AsOfWeek,AsOfWeek&lt;&gt;""))</f>
        <v/>
      </c>
      <c r="P422" s="20">
        <f>IF(OR(B422="",AsOfWeek=""),"",IFERROR(SUMIFS($M$5:$M$504,$B$5:$B$504,B422,$C$5:$C$504,C422,$L$5:$L$504,TRUE,$F$5:$F$504,"&gt;="&amp;AsOfWeek-7*(RecentWeeks-1),$F$5:$F$504,"&lt;="&amp;AsOfWeek),""))</f>
        <v/>
      </c>
      <c r="Q422" s="20">
        <f>IF(OR(B422="",AsOfWeek=""),"",IFERROR(SUMIFS($M$5:$M$504,$B$5:$B$504,B422,$C$5:$C$504,C422,$L$5:$L$504,TRUE,$F$5:$F$504,"&gt;="&amp;AsOfWeek-7*(RecentWeeks+PriorWeeks-1),$F$5:$F$504,"&lt;"&amp;AsOfWeek-7*(RecentWeeks-1)),""))</f>
        <v/>
      </c>
      <c r="R422" s="21">
        <f>IF(OR(P422="",Q422="",Q422=0),"",P422/Q422-1)</f>
        <v/>
      </c>
      <c r="S422" s="20">
        <f>IF(OR(C422="",AsOfWeek=""),"",IFERROR(AVERAGEIFS($M$5:$M$504,$C$5:$C$504,C422,$L$5:$L$504,TRUE,$F$5:$F$504,"&gt;="&amp;AsOfWeek-7*(RecentWeeks-1),$F$5:$F$504,"&lt;="&amp;AsOfWeek),""))</f>
        <v/>
      </c>
      <c r="T422" s="21">
        <f>IF(OR(P422="",S422=""),"",P422/S422-1)</f>
        <v/>
      </c>
      <c r="U422" s="22">
        <f>IF(OR(B422="",'Weekly Input'!G422="",P422="",P422=0),"",'Weekly Input'!G422/P422)</f>
        <v/>
      </c>
      <c r="V422" s="18">
        <f>IF(B422="","",IF(NOT(I422),"Not Ready",IF(NOT(K422),"Not Ready",IF(N422&lt;MinHistory,"Not Ready",IF(NOT(J422),"Not Ready",IF(OR(Q422="",Q422=0),"Noise",IF(Q422&lt;LowBaseThreshold,"Noise",IF(AND(R422&lt;=-OwnDecline,T422&lt;=-PeerGapThreshold),"Markdown Review",IF(AND(R422&gt;=ReorderUplift,U422&lt;&gt;"",U422&lt;=WeeksSupplyCap),"Reorder Candidate","Monitor"))))))))</f>
        <v/>
      </c>
      <c r="W422" s="18">
        <f>IF(B422="","",IF(NOT(I422),"INVALID_MASTER",IF(NOT(K422),"INCOMPLETE_SHELF_CYCLE",IF(N422&lt;MinHistory,"INSUFFICIENT_HISTORY",IF(NOT(J422),"INSUFFICIENT_IN_STOCK",IF(OR(Q422="",Q422=0),"NO_PRIOR_BASE",IF(Q422&lt;LowBaseThreshold,"LOW_BASE_NOISE",IF(V422="Markdown Review","MARKDOWN_PEER_GAP",IF(V422="Reorder Candidate","REORDER_UPLIFT_COVER","NO_MATERIAL_CHANGE"))))))))</f>
        <v/>
      </c>
      <c r="X422" s="18">
        <f>IF(V422="Markdown Review","Markdown support",IF(V422="Reorder Candidate","Second reorder",IF(V422="Monitor","Monitor",IF(V422="Noise","Hold / collect data",IF(V422="Not Ready","Not ready","")))))</f>
        <v/>
      </c>
      <c r="Y422" s="18">
        <f>IF(OR(R422="",T422=""),"",ABS(R422)+ABS(T422))</f>
        <v/>
      </c>
      <c r="Z422" s="21">
        <f>IF(OR(B422="",NOT(O422),R422=""),"",IF(ABS(R422)&gt;=MaterialThreshold,"Yes","No"))</f>
        <v/>
      </c>
      <c r="AA422" s="18">
        <f>IF(Z422&lt;&gt;"Yes","",IF(ABS(R422)&gt;=MaterialThreshold,IF(ABS(R422)&gt;=BroadShare,"Broad SKU movement","Store-concentrated movement"),""))</f>
        <v/>
      </c>
      <c r="AB422" s="18">
        <f>IF(O422,IF(COUNTIFS($O$5:O422,TRUE)&gt;0,COUNTIFS($O$5:O422,TRUE),0),0)</f>
        <v/>
      </c>
      <c r="AC422" s="18">
        <f>IF(V422="Markdown Review",1,IF(V422="Reorder Candidate",2,IF(V422="Monitor",3,IF(V422="Noise",4,IF(V422="Not Ready",5,99)))))</f>
        <v/>
      </c>
      <c r="AD422" s="18">
        <f>IF(O422,COUNTIFS($O$5:$O$504,TRUE,$AC$5:$AC$504,"&lt;"&amp;AC422)+COUNTIFS($O$5:O422,TRUE,$AC$5:AC422,AC422,$Y$5:Y422,"&gt;"&amp;Y422),0)</f>
        <v/>
      </c>
    </row>
    <row r="423">
      <c r="A423" s="17">
        <f>IF(COUNTA('Weekly Input'!A423:C423)=0,"",'Weekly Input'!B423&amp;"|"&amp;'Weekly Input'!C423&amp;"|"&amp;TEXT('Weekly Input'!A423,"yyyy-mm-dd"))</f>
        <v/>
      </c>
      <c r="B423" s="18">
        <f>'Weekly Input'!B423</f>
        <v/>
      </c>
      <c r="C423" s="18">
        <f>'Weekly Input'!C423</f>
        <v/>
      </c>
      <c r="D423" s="18">
        <f>IF(B423="","",IFERROR(INDEX('Master Data'!$B$6:$B$145,MATCH(B423,'Master Data'!$A$6:$A$145,0)),""))</f>
        <v/>
      </c>
      <c r="E423" s="18">
        <f>IF(C423="","",IFERROR(INDEX('Master Data'!$H$6:$H$13,MATCH(C423,'Master Data'!$F$6:$F$13,0)),""))</f>
        <v/>
      </c>
      <c r="F423" s="19">
        <f>'Weekly Input'!A423</f>
        <v/>
      </c>
      <c r="G423" s="19">
        <f>IF(B423="","",IFERROR(INDEX('Master Data'!$D$6:$D$145,MATCH(B423,'Master Data'!$A$6:$A$145,0)),""))</f>
        <v/>
      </c>
      <c r="H423" s="18">
        <f>IF(OR(F423="",G423=""),"",F423-G423)</f>
        <v/>
      </c>
      <c r="I423" s="18">
        <f>IF(B423="","",IF('Weekly Input'!J423="OK",TRUE,FALSE))</f>
        <v/>
      </c>
      <c r="J423" s="18">
        <f>IF(B423="","",'Weekly Input'!H423&gt;=MinInStockDays)</f>
        <v/>
      </c>
      <c r="K423" s="18">
        <f>IF(B423="","",H423&gt;=FullCycleMin)</f>
        <v/>
      </c>
      <c r="L423" s="18">
        <f>IF(B423="","",AND(I423,J423,K423,N423&gt;=MinHistory))</f>
        <v/>
      </c>
      <c r="M423" s="20">
        <f>IF(OR(B423="",'Weekly Input'!H423=0),"",'Weekly Input'!D423/'Weekly Input'!H423*7)</f>
        <v/>
      </c>
      <c r="N423" s="18">
        <f>IF(B423="","",COUNTIFS($B$5:$B$504,B423,$C$5:$C$504,C423,$I$5:$I$504,TRUE,$J$5:$J$504,TRUE,$K$5:$K$504,TRUE))</f>
        <v/>
      </c>
      <c r="O423" s="18">
        <f>IF(B423="","",AND(F423=AsOfWeek,AsOfWeek&lt;&gt;""))</f>
        <v/>
      </c>
      <c r="P423" s="20">
        <f>IF(OR(B423="",AsOfWeek=""),"",IFERROR(SUMIFS($M$5:$M$504,$B$5:$B$504,B423,$C$5:$C$504,C423,$L$5:$L$504,TRUE,$F$5:$F$504,"&gt;="&amp;AsOfWeek-7*(RecentWeeks-1),$F$5:$F$504,"&lt;="&amp;AsOfWeek),""))</f>
        <v/>
      </c>
      <c r="Q423" s="20">
        <f>IF(OR(B423="",AsOfWeek=""),"",IFERROR(SUMIFS($M$5:$M$504,$B$5:$B$504,B423,$C$5:$C$504,C423,$L$5:$L$504,TRUE,$F$5:$F$504,"&gt;="&amp;AsOfWeek-7*(RecentWeeks+PriorWeeks-1),$F$5:$F$504,"&lt;"&amp;AsOfWeek-7*(RecentWeeks-1)),""))</f>
        <v/>
      </c>
      <c r="R423" s="21">
        <f>IF(OR(P423="",Q423="",Q423=0),"",P423/Q423-1)</f>
        <v/>
      </c>
      <c r="S423" s="20">
        <f>IF(OR(C423="",AsOfWeek=""),"",IFERROR(AVERAGEIFS($M$5:$M$504,$C$5:$C$504,C423,$L$5:$L$504,TRUE,$F$5:$F$504,"&gt;="&amp;AsOfWeek-7*(RecentWeeks-1),$F$5:$F$504,"&lt;="&amp;AsOfWeek),""))</f>
        <v/>
      </c>
      <c r="T423" s="21">
        <f>IF(OR(P423="",S423=""),"",P423/S423-1)</f>
        <v/>
      </c>
      <c r="U423" s="22">
        <f>IF(OR(B423="",'Weekly Input'!G423="",P423="",P423=0),"",'Weekly Input'!G423/P423)</f>
        <v/>
      </c>
      <c r="V423" s="18">
        <f>IF(B423="","",IF(NOT(I423),"Not Ready",IF(NOT(K423),"Not Ready",IF(N423&lt;MinHistory,"Not Ready",IF(NOT(J423),"Not Ready",IF(OR(Q423="",Q423=0),"Noise",IF(Q423&lt;LowBaseThreshold,"Noise",IF(AND(R423&lt;=-OwnDecline,T423&lt;=-PeerGapThreshold),"Markdown Review",IF(AND(R423&gt;=ReorderUplift,U423&lt;&gt;"",U423&lt;=WeeksSupplyCap),"Reorder Candidate","Monitor"))))))))</f>
        <v/>
      </c>
      <c r="W423" s="18">
        <f>IF(B423="","",IF(NOT(I423),"INVALID_MASTER",IF(NOT(K423),"INCOMPLETE_SHELF_CYCLE",IF(N423&lt;MinHistory,"INSUFFICIENT_HISTORY",IF(NOT(J423),"INSUFFICIENT_IN_STOCK",IF(OR(Q423="",Q423=0),"NO_PRIOR_BASE",IF(Q423&lt;LowBaseThreshold,"LOW_BASE_NOISE",IF(V423="Markdown Review","MARKDOWN_PEER_GAP",IF(V423="Reorder Candidate","REORDER_UPLIFT_COVER","NO_MATERIAL_CHANGE"))))))))</f>
        <v/>
      </c>
      <c r="X423" s="18">
        <f>IF(V423="Markdown Review","Markdown support",IF(V423="Reorder Candidate","Second reorder",IF(V423="Monitor","Monitor",IF(V423="Noise","Hold / collect data",IF(V423="Not Ready","Not ready","")))))</f>
        <v/>
      </c>
      <c r="Y423" s="18">
        <f>IF(OR(R423="",T423=""),"",ABS(R423)+ABS(T423))</f>
        <v/>
      </c>
      <c r="Z423" s="21">
        <f>IF(OR(B423="",NOT(O423),R423=""),"",IF(ABS(R423)&gt;=MaterialThreshold,"Yes","No"))</f>
        <v/>
      </c>
      <c r="AA423" s="18">
        <f>IF(Z423&lt;&gt;"Yes","",IF(ABS(R423)&gt;=MaterialThreshold,IF(ABS(R423)&gt;=BroadShare,"Broad SKU movement","Store-concentrated movement"),""))</f>
        <v/>
      </c>
      <c r="AB423" s="18">
        <f>IF(O423,IF(COUNTIFS($O$5:O423,TRUE)&gt;0,COUNTIFS($O$5:O423,TRUE),0),0)</f>
        <v/>
      </c>
      <c r="AC423" s="18">
        <f>IF(V423="Markdown Review",1,IF(V423="Reorder Candidate",2,IF(V423="Monitor",3,IF(V423="Noise",4,IF(V423="Not Ready",5,99)))))</f>
        <v/>
      </c>
      <c r="AD423" s="18">
        <f>IF(O423,COUNTIFS($O$5:$O$504,TRUE,$AC$5:$AC$504,"&lt;"&amp;AC423)+COUNTIFS($O$5:O423,TRUE,$AC$5:AC423,AC423,$Y$5:Y423,"&gt;"&amp;Y423),0)</f>
        <v/>
      </c>
    </row>
    <row r="424">
      <c r="A424" s="17">
        <f>IF(COUNTA('Weekly Input'!A424:C424)=0,"",'Weekly Input'!B424&amp;"|"&amp;'Weekly Input'!C424&amp;"|"&amp;TEXT('Weekly Input'!A424,"yyyy-mm-dd"))</f>
        <v/>
      </c>
      <c r="B424" s="18">
        <f>'Weekly Input'!B424</f>
        <v/>
      </c>
      <c r="C424" s="18">
        <f>'Weekly Input'!C424</f>
        <v/>
      </c>
      <c r="D424" s="18">
        <f>IF(B424="","",IFERROR(INDEX('Master Data'!$B$6:$B$145,MATCH(B424,'Master Data'!$A$6:$A$145,0)),""))</f>
        <v/>
      </c>
      <c r="E424" s="18">
        <f>IF(C424="","",IFERROR(INDEX('Master Data'!$H$6:$H$13,MATCH(C424,'Master Data'!$F$6:$F$13,0)),""))</f>
        <v/>
      </c>
      <c r="F424" s="19">
        <f>'Weekly Input'!A424</f>
        <v/>
      </c>
      <c r="G424" s="19">
        <f>IF(B424="","",IFERROR(INDEX('Master Data'!$D$6:$D$145,MATCH(B424,'Master Data'!$A$6:$A$145,0)),""))</f>
        <v/>
      </c>
      <c r="H424" s="18">
        <f>IF(OR(F424="",G424=""),"",F424-G424)</f>
        <v/>
      </c>
      <c r="I424" s="18">
        <f>IF(B424="","",IF('Weekly Input'!J424="OK",TRUE,FALSE))</f>
        <v/>
      </c>
      <c r="J424" s="18">
        <f>IF(B424="","",'Weekly Input'!H424&gt;=MinInStockDays)</f>
        <v/>
      </c>
      <c r="K424" s="18">
        <f>IF(B424="","",H424&gt;=FullCycleMin)</f>
        <v/>
      </c>
      <c r="L424" s="18">
        <f>IF(B424="","",AND(I424,J424,K424,N424&gt;=MinHistory))</f>
        <v/>
      </c>
      <c r="M424" s="20">
        <f>IF(OR(B424="",'Weekly Input'!H424=0),"",'Weekly Input'!D424/'Weekly Input'!H424*7)</f>
        <v/>
      </c>
      <c r="N424" s="18">
        <f>IF(B424="","",COUNTIFS($B$5:$B$504,B424,$C$5:$C$504,C424,$I$5:$I$504,TRUE,$J$5:$J$504,TRUE,$K$5:$K$504,TRUE))</f>
        <v/>
      </c>
      <c r="O424" s="18">
        <f>IF(B424="","",AND(F424=AsOfWeek,AsOfWeek&lt;&gt;""))</f>
        <v/>
      </c>
      <c r="P424" s="20">
        <f>IF(OR(B424="",AsOfWeek=""),"",IFERROR(SUMIFS($M$5:$M$504,$B$5:$B$504,B424,$C$5:$C$504,C424,$L$5:$L$504,TRUE,$F$5:$F$504,"&gt;="&amp;AsOfWeek-7*(RecentWeeks-1),$F$5:$F$504,"&lt;="&amp;AsOfWeek),""))</f>
        <v/>
      </c>
      <c r="Q424" s="20">
        <f>IF(OR(B424="",AsOfWeek=""),"",IFERROR(SUMIFS($M$5:$M$504,$B$5:$B$504,B424,$C$5:$C$504,C424,$L$5:$L$504,TRUE,$F$5:$F$504,"&gt;="&amp;AsOfWeek-7*(RecentWeeks+PriorWeeks-1),$F$5:$F$504,"&lt;"&amp;AsOfWeek-7*(RecentWeeks-1)),""))</f>
        <v/>
      </c>
      <c r="R424" s="21">
        <f>IF(OR(P424="",Q424="",Q424=0),"",P424/Q424-1)</f>
        <v/>
      </c>
      <c r="S424" s="20">
        <f>IF(OR(C424="",AsOfWeek=""),"",IFERROR(AVERAGEIFS($M$5:$M$504,$C$5:$C$504,C424,$L$5:$L$504,TRUE,$F$5:$F$504,"&gt;="&amp;AsOfWeek-7*(RecentWeeks-1),$F$5:$F$504,"&lt;="&amp;AsOfWeek),""))</f>
        <v/>
      </c>
      <c r="T424" s="21">
        <f>IF(OR(P424="",S424=""),"",P424/S424-1)</f>
        <v/>
      </c>
      <c r="U424" s="22">
        <f>IF(OR(B424="",'Weekly Input'!G424="",P424="",P424=0),"",'Weekly Input'!G424/P424)</f>
        <v/>
      </c>
      <c r="V424" s="18">
        <f>IF(B424="","",IF(NOT(I424),"Not Ready",IF(NOT(K424),"Not Ready",IF(N424&lt;MinHistory,"Not Ready",IF(NOT(J424),"Not Ready",IF(OR(Q424="",Q424=0),"Noise",IF(Q424&lt;LowBaseThreshold,"Noise",IF(AND(R424&lt;=-OwnDecline,T424&lt;=-PeerGapThreshold),"Markdown Review",IF(AND(R424&gt;=ReorderUplift,U424&lt;&gt;"",U424&lt;=WeeksSupplyCap),"Reorder Candidate","Monitor"))))))))</f>
        <v/>
      </c>
      <c r="W424" s="18">
        <f>IF(B424="","",IF(NOT(I424),"INVALID_MASTER",IF(NOT(K424),"INCOMPLETE_SHELF_CYCLE",IF(N424&lt;MinHistory,"INSUFFICIENT_HISTORY",IF(NOT(J424),"INSUFFICIENT_IN_STOCK",IF(OR(Q424="",Q424=0),"NO_PRIOR_BASE",IF(Q424&lt;LowBaseThreshold,"LOW_BASE_NOISE",IF(V424="Markdown Review","MARKDOWN_PEER_GAP",IF(V424="Reorder Candidate","REORDER_UPLIFT_COVER","NO_MATERIAL_CHANGE"))))))))</f>
        <v/>
      </c>
      <c r="X424" s="18">
        <f>IF(V424="Markdown Review","Markdown support",IF(V424="Reorder Candidate","Second reorder",IF(V424="Monitor","Monitor",IF(V424="Noise","Hold / collect data",IF(V424="Not Ready","Not ready","")))))</f>
        <v/>
      </c>
      <c r="Y424" s="18">
        <f>IF(OR(R424="",T424=""),"",ABS(R424)+ABS(T424))</f>
        <v/>
      </c>
      <c r="Z424" s="21">
        <f>IF(OR(B424="",NOT(O424),R424=""),"",IF(ABS(R424)&gt;=MaterialThreshold,"Yes","No"))</f>
        <v/>
      </c>
      <c r="AA424" s="18">
        <f>IF(Z424&lt;&gt;"Yes","",IF(ABS(R424)&gt;=MaterialThreshold,IF(ABS(R424)&gt;=BroadShare,"Broad SKU movement","Store-concentrated movement"),""))</f>
        <v/>
      </c>
      <c r="AB424" s="18">
        <f>IF(O424,IF(COUNTIFS($O$5:O424,TRUE)&gt;0,COUNTIFS($O$5:O424,TRUE),0),0)</f>
        <v/>
      </c>
      <c r="AC424" s="18">
        <f>IF(V424="Markdown Review",1,IF(V424="Reorder Candidate",2,IF(V424="Monitor",3,IF(V424="Noise",4,IF(V424="Not Ready",5,99)))))</f>
        <v/>
      </c>
      <c r="AD424" s="18">
        <f>IF(O424,COUNTIFS($O$5:$O$504,TRUE,$AC$5:$AC$504,"&lt;"&amp;AC424)+COUNTIFS($O$5:O424,TRUE,$AC$5:AC424,AC424,$Y$5:Y424,"&gt;"&amp;Y424),0)</f>
        <v/>
      </c>
    </row>
    <row r="425">
      <c r="A425" s="17">
        <f>IF(COUNTA('Weekly Input'!A425:C425)=0,"",'Weekly Input'!B425&amp;"|"&amp;'Weekly Input'!C425&amp;"|"&amp;TEXT('Weekly Input'!A425,"yyyy-mm-dd"))</f>
        <v/>
      </c>
      <c r="B425" s="18">
        <f>'Weekly Input'!B425</f>
        <v/>
      </c>
      <c r="C425" s="18">
        <f>'Weekly Input'!C425</f>
        <v/>
      </c>
      <c r="D425" s="18">
        <f>IF(B425="","",IFERROR(INDEX('Master Data'!$B$6:$B$145,MATCH(B425,'Master Data'!$A$6:$A$145,0)),""))</f>
        <v/>
      </c>
      <c r="E425" s="18">
        <f>IF(C425="","",IFERROR(INDEX('Master Data'!$H$6:$H$13,MATCH(C425,'Master Data'!$F$6:$F$13,0)),""))</f>
        <v/>
      </c>
      <c r="F425" s="19">
        <f>'Weekly Input'!A425</f>
        <v/>
      </c>
      <c r="G425" s="19">
        <f>IF(B425="","",IFERROR(INDEX('Master Data'!$D$6:$D$145,MATCH(B425,'Master Data'!$A$6:$A$145,0)),""))</f>
        <v/>
      </c>
      <c r="H425" s="18">
        <f>IF(OR(F425="",G425=""),"",F425-G425)</f>
        <v/>
      </c>
      <c r="I425" s="18">
        <f>IF(B425="","",IF('Weekly Input'!J425="OK",TRUE,FALSE))</f>
        <v/>
      </c>
      <c r="J425" s="18">
        <f>IF(B425="","",'Weekly Input'!H425&gt;=MinInStockDays)</f>
        <v/>
      </c>
      <c r="K425" s="18">
        <f>IF(B425="","",H425&gt;=FullCycleMin)</f>
        <v/>
      </c>
      <c r="L425" s="18">
        <f>IF(B425="","",AND(I425,J425,K425,N425&gt;=MinHistory))</f>
        <v/>
      </c>
      <c r="M425" s="20">
        <f>IF(OR(B425="",'Weekly Input'!H425=0),"",'Weekly Input'!D425/'Weekly Input'!H425*7)</f>
        <v/>
      </c>
      <c r="N425" s="18">
        <f>IF(B425="","",COUNTIFS($B$5:$B$504,B425,$C$5:$C$504,C425,$I$5:$I$504,TRUE,$J$5:$J$504,TRUE,$K$5:$K$504,TRUE))</f>
        <v/>
      </c>
      <c r="O425" s="18">
        <f>IF(B425="","",AND(F425=AsOfWeek,AsOfWeek&lt;&gt;""))</f>
        <v/>
      </c>
      <c r="P425" s="20">
        <f>IF(OR(B425="",AsOfWeek=""),"",IFERROR(SUMIFS($M$5:$M$504,$B$5:$B$504,B425,$C$5:$C$504,C425,$L$5:$L$504,TRUE,$F$5:$F$504,"&gt;="&amp;AsOfWeek-7*(RecentWeeks-1),$F$5:$F$504,"&lt;="&amp;AsOfWeek),""))</f>
        <v/>
      </c>
      <c r="Q425" s="20">
        <f>IF(OR(B425="",AsOfWeek=""),"",IFERROR(SUMIFS($M$5:$M$504,$B$5:$B$504,B425,$C$5:$C$504,C425,$L$5:$L$504,TRUE,$F$5:$F$504,"&gt;="&amp;AsOfWeek-7*(RecentWeeks+PriorWeeks-1),$F$5:$F$504,"&lt;"&amp;AsOfWeek-7*(RecentWeeks-1)),""))</f>
        <v/>
      </c>
      <c r="R425" s="21">
        <f>IF(OR(P425="",Q425="",Q425=0),"",P425/Q425-1)</f>
        <v/>
      </c>
      <c r="S425" s="20">
        <f>IF(OR(C425="",AsOfWeek=""),"",IFERROR(AVERAGEIFS($M$5:$M$504,$C$5:$C$504,C425,$L$5:$L$504,TRUE,$F$5:$F$504,"&gt;="&amp;AsOfWeek-7*(RecentWeeks-1),$F$5:$F$504,"&lt;="&amp;AsOfWeek),""))</f>
        <v/>
      </c>
      <c r="T425" s="21">
        <f>IF(OR(P425="",S425=""),"",P425/S425-1)</f>
        <v/>
      </c>
      <c r="U425" s="22">
        <f>IF(OR(B425="",'Weekly Input'!G425="",P425="",P425=0),"",'Weekly Input'!G425/P425)</f>
        <v/>
      </c>
      <c r="V425" s="18">
        <f>IF(B425="","",IF(NOT(I425),"Not Ready",IF(NOT(K425),"Not Ready",IF(N425&lt;MinHistory,"Not Ready",IF(NOT(J425),"Not Ready",IF(OR(Q425="",Q425=0),"Noise",IF(Q425&lt;LowBaseThreshold,"Noise",IF(AND(R425&lt;=-OwnDecline,T425&lt;=-PeerGapThreshold),"Markdown Review",IF(AND(R425&gt;=ReorderUplift,U425&lt;&gt;"",U425&lt;=WeeksSupplyCap),"Reorder Candidate","Monitor"))))))))</f>
        <v/>
      </c>
      <c r="W425" s="18">
        <f>IF(B425="","",IF(NOT(I425),"INVALID_MASTER",IF(NOT(K425),"INCOMPLETE_SHELF_CYCLE",IF(N425&lt;MinHistory,"INSUFFICIENT_HISTORY",IF(NOT(J425),"INSUFFICIENT_IN_STOCK",IF(OR(Q425="",Q425=0),"NO_PRIOR_BASE",IF(Q425&lt;LowBaseThreshold,"LOW_BASE_NOISE",IF(V425="Markdown Review","MARKDOWN_PEER_GAP",IF(V425="Reorder Candidate","REORDER_UPLIFT_COVER","NO_MATERIAL_CHANGE"))))))))</f>
        <v/>
      </c>
      <c r="X425" s="18">
        <f>IF(V425="Markdown Review","Markdown support",IF(V425="Reorder Candidate","Second reorder",IF(V425="Monitor","Monitor",IF(V425="Noise","Hold / collect data",IF(V425="Not Ready","Not ready","")))))</f>
        <v/>
      </c>
      <c r="Y425" s="18">
        <f>IF(OR(R425="",T425=""),"",ABS(R425)+ABS(T425))</f>
        <v/>
      </c>
      <c r="Z425" s="21">
        <f>IF(OR(B425="",NOT(O425),R425=""),"",IF(ABS(R425)&gt;=MaterialThreshold,"Yes","No"))</f>
        <v/>
      </c>
      <c r="AA425" s="18">
        <f>IF(Z425&lt;&gt;"Yes","",IF(ABS(R425)&gt;=MaterialThreshold,IF(ABS(R425)&gt;=BroadShare,"Broad SKU movement","Store-concentrated movement"),""))</f>
        <v/>
      </c>
      <c r="AB425" s="18">
        <f>IF(O425,IF(COUNTIFS($O$5:O425,TRUE)&gt;0,COUNTIFS($O$5:O425,TRUE),0),0)</f>
        <v/>
      </c>
      <c r="AC425" s="18">
        <f>IF(V425="Markdown Review",1,IF(V425="Reorder Candidate",2,IF(V425="Monitor",3,IF(V425="Noise",4,IF(V425="Not Ready",5,99)))))</f>
        <v/>
      </c>
      <c r="AD425" s="18">
        <f>IF(O425,COUNTIFS($O$5:$O$504,TRUE,$AC$5:$AC$504,"&lt;"&amp;AC425)+COUNTIFS($O$5:O425,TRUE,$AC$5:AC425,AC425,$Y$5:Y425,"&gt;"&amp;Y425),0)</f>
        <v/>
      </c>
    </row>
    <row r="426">
      <c r="A426" s="17">
        <f>IF(COUNTA('Weekly Input'!A426:C426)=0,"",'Weekly Input'!B426&amp;"|"&amp;'Weekly Input'!C426&amp;"|"&amp;TEXT('Weekly Input'!A426,"yyyy-mm-dd"))</f>
        <v/>
      </c>
      <c r="B426" s="18">
        <f>'Weekly Input'!B426</f>
        <v/>
      </c>
      <c r="C426" s="18">
        <f>'Weekly Input'!C426</f>
        <v/>
      </c>
      <c r="D426" s="18">
        <f>IF(B426="","",IFERROR(INDEX('Master Data'!$B$6:$B$145,MATCH(B426,'Master Data'!$A$6:$A$145,0)),""))</f>
        <v/>
      </c>
      <c r="E426" s="18">
        <f>IF(C426="","",IFERROR(INDEX('Master Data'!$H$6:$H$13,MATCH(C426,'Master Data'!$F$6:$F$13,0)),""))</f>
        <v/>
      </c>
      <c r="F426" s="19">
        <f>'Weekly Input'!A426</f>
        <v/>
      </c>
      <c r="G426" s="19">
        <f>IF(B426="","",IFERROR(INDEX('Master Data'!$D$6:$D$145,MATCH(B426,'Master Data'!$A$6:$A$145,0)),""))</f>
        <v/>
      </c>
      <c r="H426" s="18">
        <f>IF(OR(F426="",G426=""),"",F426-G426)</f>
        <v/>
      </c>
      <c r="I426" s="18">
        <f>IF(B426="","",IF('Weekly Input'!J426="OK",TRUE,FALSE))</f>
        <v/>
      </c>
      <c r="J426" s="18">
        <f>IF(B426="","",'Weekly Input'!H426&gt;=MinInStockDays)</f>
        <v/>
      </c>
      <c r="K426" s="18">
        <f>IF(B426="","",H426&gt;=FullCycleMin)</f>
        <v/>
      </c>
      <c r="L426" s="18">
        <f>IF(B426="","",AND(I426,J426,K426,N426&gt;=MinHistory))</f>
        <v/>
      </c>
      <c r="M426" s="20">
        <f>IF(OR(B426="",'Weekly Input'!H426=0),"",'Weekly Input'!D426/'Weekly Input'!H426*7)</f>
        <v/>
      </c>
      <c r="N426" s="18">
        <f>IF(B426="","",COUNTIFS($B$5:$B$504,B426,$C$5:$C$504,C426,$I$5:$I$504,TRUE,$J$5:$J$504,TRUE,$K$5:$K$504,TRUE))</f>
        <v/>
      </c>
      <c r="O426" s="18">
        <f>IF(B426="","",AND(F426=AsOfWeek,AsOfWeek&lt;&gt;""))</f>
        <v/>
      </c>
      <c r="P426" s="20">
        <f>IF(OR(B426="",AsOfWeek=""),"",IFERROR(SUMIFS($M$5:$M$504,$B$5:$B$504,B426,$C$5:$C$504,C426,$L$5:$L$504,TRUE,$F$5:$F$504,"&gt;="&amp;AsOfWeek-7*(RecentWeeks-1),$F$5:$F$504,"&lt;="&amp;AsOfWeek),""))</f>
        <v/>
      </c>
      <c r="Q426" s="20">
        <f>IF(OR(B426="",AsOfWeek=""),"",IFERROR(SUMIFS($M$5:$M$504,$B$5:$B$504,B426,$C$5:$C$504,C426,$L$5:$L$504,TRUE,$F$5:$F$504,"&gt;="&amp;AsOfWeek-7*(RecentWeeks+PriorWeeks-1),$F$5:$F$504,"&lt;"&amp;AsOfWeek-7*(RecentWeeks-1)),""))</f>
        <v/>
      </c>
      <c r="R426" s="21">
        <f>IF(OR(P426="",Q426="",Q426=0),"",P426/Q426-1)</f>
        <v/>
      </c>
      <c r="S426" s="20">
        <f>IF(OR(C426="",AsOfWeek=""),"",IFERROR(AVERAGEIFS($M$5:$M$504,$C$5:$C$504,C426,$L$5:$L$504,TRUE,$F$5:$F$504,"&gt;="&amp;AsOfWeek-7*(RecentWeeks-1),$F$5:$F$504,"&lt;="&amp;AsOfWeek),""))</f>
        <v/>
      </c>
      <c r="T426" s="21">
        <f>IF(OR(P426="",S426=""),"",P426/S426-1)</f>
        <v/>
      </c>
      <c r="U426" s="22">
        <f>IF(OR(B426="",'Weekly Input'!G426="",P426="",P426=0),"",'Weekly Input'!G426/P426)</f>
        <v/>
      </c>
      <c r="V426" s="18">
        <f>IF(B426="","",IF(NOT(I426),"Not Ready",IF(NOT(K426),"Not Ready",IF(N426&lt;MinHistory,"Not Ready",IF(NOT(J426),"Not Ready",IF(OR(Q426="",Q426=0),"Noise",IF(Q426&lt;LowBaseThreshold,"Noise",IF(AND(R426&lt;=-OwnDecline,T426&lt;=-PeerGapThreshold),"Markdown Review",IF(AND(R426&gt;=ReorderUplift,U426&lt;&gt;"",U426&lt;=WeeksSupplyCap),"Reorder Candidate","Monitor"))))))))</f>
        <v/>
      </c>
      <c r="W426" s="18">
        <f>IF(B426="","",IF(NOT(I426),"INVALID_MASTER",IF(NOT(K426),"INCOMPLETE_SHELF_CYCLE",IF(N426&lt;MinHistory,"INSUFFICIENT_HISTORY",IF(NOT(J426),"INSUFFICIENT_IN_STOCK",IF(OR(Q426="",Q426=0),"NO_PRIOR_BASE",IF(Q426&lt;LowBaseThreshold,"LOW_BASE_NOISE",IF(V426="Markdown Review","MARKDOWN_PEER_GAP",IF(V426="Reorder Candidate","REORDER_UPLIFT_COVER","NO_MATERIAL_CHANGE"))))))))</f>
        <v/>
      </c>
      <c r="X426" s="18">
        <f>IF(V426="Markdown Review","Markdown support",IF(V426="Reorder Candidate","Second reorder",IF(V426="Monitor","Monitor",IF(V426="Noise","Hold / collect data",IF(V426="Not Ready","Not ready","")))))</f>
        <v/>
      </c>
      <c r="Y426" s="18">
        <f>IF(OR(R426="",T426=""),"",ABS(R426)+ABS(T426))</f>
        <v/>
      </c>
      <c r="Z426" s="21">
        <f>IF(OR(B426="",NOT(O426),R426=""),"",IF(ABS(R426)&gt;=MaterialThreshold,"Yes","No"))</f>
        <v/>
      </c>
      <c r="AA426" s="18">
        <f>IF(Z426&lt;&gt;"Yes","",IF(ABS(R426)&gt;=MaterialThreshold,IF(ABS(R426)&gt;=BroadShare,"Broad SKU movement","Store-concentrated movement"),""))</f>
        <v/>
      </c>
      <c r="AB426" s="18">
        <f>IF(O426,IF(COUNTIFS($O$5:O426,TRUE)&gt;0,COUNTIFS($O$5:O426,TRUE),0),0)</f>
        <v/>
      </c>
      <c r="AC426" s="18">
        <f>IF(V426="Markdown Review",1,IF(V426="Reorder Candidate",2,IF(V426="Monitor",3,IF(V426="Noise",4,IF(V426="Not Ready",5,99)))))</f>
        <v/>
      </c>
      <c r="AD426" s="18">
        <f>IF(O426,COUNTIFS($O$5:$O$504,TRUE,$AC$5:$AC$504,"&lt;"&amp;AC426)+COUNTIFS($O$5:O426,TRUE,$AC$5:AC426,AC426,$Y$5:Y426,"&gt;"&amp;Y426),0)</f>
        <v/>
      </c>
    </row>
    <row r="427">
      <c r="A427" s="17">
        <f>IF(COUNTA('Weekly Input'!A427:C427)=0,"",'Weekly Input'!B427&amp;"|"&amp;'Weekly Input'!C427&amp;"|"&amp;TEXT('Weekly Input'!A427,"yyyy-mm-dd"))</f>
        <v/>
      </c>
      <c r="B427" s="18">
        <f>'Weekly Input'!B427</f>
        <v/>
      </c>
      <c r="C427" s="18">
        <f>'Weekly Input'!C427</f>
        <v/>
      </c>
      <c r="D427" s="18">
        <f>IF(B427="","",IFERROR(INDEX('Master Data'!$B$6:$B$145,MATCH(B427,'Master Data'!$A$6:$A$145,0)),""))</f>
        <v/>
      </c>
      <c r="E427" s="18">
        <f>IF(C427="","",IFERROR(INDEX('Master Data'!$H$6:$H$13,MATCH(C427,'Master Data'!$F$6:$F$13,0)),""))</f>
        <v/>
      </c>
      <c r="F427" s="19">
        <f>'Weekly Input'!A427</f>
        <v/>
      </c>
      <c r="G427" s="19">
        <f>IF(B427="","",IFERROR(INDEX('Master Data'!$D$6:$D$145,MATCH(B427,'Master Data'!$A$6:$A$145,0)),""))</f>
        <v/>
      </c>
      <c r="H427" s="18">
        <f>IF(OR(F427="",G427=""),"",F427-G427)</f>
        <v/>
      </c>
      <c r="I427" s="18">
        <f>IF(B427="","",IF('Weekly Input'!J427="OK",TRUE,FALSE))</f>
        <v/>
      </c>
      <c r="J427" s="18">
        <f>IF(B427="","",'Weekly Input'!H427&gt;=MinInStockDays)</f>
        <v/>
      </c>
      <c r="K427" s="18">
        <f>IF(B427="","",H427&gt;=FullCycleMin)</f>
        <v/>
      </c>
      <c r="L427" s="18">
        <f>IF(B427="","",AND(I427,J427,K427,N427&gt;=MinHistory))</f>
        <v/>
      </c>
      <c r="M427" s="20">
        <f>IF(OR(B427="",'Weekly Input'!H427=0),"",'Weekly Input'!D427/'Weekly Input'!H427*7)</f>
        <v/>
      </c>
      <c r="N427" s="18">
        <f>IF(B427="","",COUNTIFS($B$5:$B$504,B427,$C$5:$C$504,C427,$I$5:$I$504,TRUE,$J$5:$J$504,TRUE,$K$5:$K$504,TRUE))</f>
        <v/>
      </c>
      <c r="O427" s="18">
        <f>IF(B427="","",AND(F427=AsOfWeek,AsOfWeek&lt;&gt;""))</f>
        <v/>
      </c>
      <c r="P427" s="20">
        <f>IF(OR(B427="",AsOfWeek=""),"",IFERROR(SUMIFS($M$5:$M$504,$B$5:$B$504,B427,$C$5:$C$504,C427,$L$5:$L$504,TRUE,$F$5:$F$504,"&gt;="&amp;AsOfWeek-7*(RecentWeeks-1),$F$5:$F$504,"&lt;="&amp;AsOfWeek),""))</f>
        <v/>
      </c>
      <c r="Q427" s="20">
        <f>IF(OR(B427="",AsOfWeek=""),"",IFERROR(SUMIFS($M$5:$M$504,$B$5:$B$504,B427,$C$5:$C$504,C427,$L$5:$L$504,TRUE,$F$5:$F$504,"&gt;="&amp;AsOfWeek-7*(RecentWeeks+PriorWeeks-1),$F$5:$F$504,"&lt;"&amp;AsOfWeek-7*(RecentWeeks-1)),""))</f>
        <v/>
      </c>
      <c r="R427" s="21">
        <f>IF(OR(P427="",Q427="",Q427=0),"",P427/Q427-1)</f>
        <v/>
      </c>
      <c r="S427" s="20">
        <f>IF(OR(C427="",AsOfWeek=""),"",IFERROR(AVERAGEIFS($M$5:$M$504,$C$5:$C$504,C427,$L$5:$L$504,TRUE,$F$5:$F$504,"&gt;="&amp;AsOfWeek-7*(RecentWeeks-1),$F$5:$F$504,"&lt;="&amp;AsOfWeek),""))</f>
        <v/>
      </c>
      <c r="T427" s="21">
        <f>IF(OR(P427="",S427=""),"",P427/S427-1)</f>
        <v/>
      </c>
      <c r="U427" s="22">
        <f>IF(OR(B427="",'Weekly Input'!G427="",P427="",P427=0),"",'Weekly Input'!G427/P427)</f>
        <v/>
      </c>
      <c r="V427" s="18">
        <f>IF(B427="","",IF(NOT(I427),"Not Ready",IF(NOT(K427),"Not Ready",IF(N427&lt;MinHistory,"Not Ready",IF(NOT(J427),"Not Ready",IF(OR(Q427="",Q427=0),"Noise",IF(Q427&lt;LowBaseThreshold,"Noise",IF(AND(R427&lt;=-OwnDecline,T427&lt;=-PeerGapThreshold),"Markdown Review",IF(AND(R427&gt;=ReorderUplift,U427&lt;&gt;"",U427&lt;=WeeksSupplyCap),"Reorder Candidate","Monitor"))))))))</f>
        <v/>
      </c>
      <c r="W427" s="18">
        <f>IF(B427="","",IF(NOT(I427),"INVALID_MASTER",IF(NOT(K427),"INCOMPLETE_SHELF_CYCLE",IF(N427&lt;MinHistory,"INSUFFICIENT_HISTORY",IF(NOT(J427),"INSUFFICIENT_IN_STOCK",IF(OR(Q427="",Q427=0),"NO_PRIOR_BASE",IF(Q427&lt;LowBaseThreshold,"LOW_BASE_NOISE",IF(V427="Markdown Review","MARKDOWN_PEER_GAP",IF(V427="Reorder Candidate","REORDER_UPLIFT_COVER","NO_MATERIAL_CHANGE"))))))))</f>
        <v/>
      </c>
      <c r="X427" s="18">
        <f>IF(V427="Markdown Review","Markdown support",IF(V427="Reorder Candidate","Second reorder",IF(V427="Monitor","Monitor",IF(V427="Noise","Hold / collect data",IF(V427="Not Ready","Not ready","")))))</f>
        <v/>
      </c>
      <c r="Y427" s="18">
        <f>IF(OR(R427="",T427=""),"",ABS(R427)+ABS(T427))</f>
        <v/>
      </c>
      <c r="Z427" s="21">
        <f>IF(OR(B427="",NOT(O427),R427=""),"",IF(ABS(R427)&gt;=MaterialThreshold,"Yes","No"))</f>
        <v/>
      </c>
      <c r="AA427" s="18">
        <f>IF(Z427&lt;&gt;"Yes","",IF(ABS(R427)&gt;=MaterialThreshold,IF(ABS(R427)&gt;=BroadShare,"Broad SKU movement","Store-concentrated movement"),""))</f>
        <v/>
      </c>
      <c r="AB427" s="18">
        <f>IF(O427,IF(COUNTIFS($O$5:O427,TRUE)&gt;0,COUNTIFS($O$5:O427,TRUE),0),0)</f>
        <v/>
      </c>
      <c r="AC427" s="18">
        <f>IF(V427="Markdown Review",1,IF(V427="Reorder Candidate",2,IF(V427="Monitor",3,IF(V427="Noise",4,IF(V427="Not Ready",5,99)))))</f>
        <v/>
      </c>
      <c r="AD427" s="18">
        <f>IF(O427,COUNTIFS($O$5:$O$504,TRUE,$AC$5:$AC$504,"&lt;"&amp;AC427)+COUNTIFS($O$5:O427,TRUE,$AC$5:AC427,AC427,$Y$5:Y427,"&gt;"&amp;Y427),0)</f>
        <v/>
      </c>
    </row>
    <row r="428">
      <c r="A428" s="17">
        <f>IF(COUNTA('Weekly Input'!A428:C428)=0,"",'Weekly Input'!B428&amp;"|"&amp;'Weekly Input'!C428&amp;"|"&amp;TEXT('Weekly Input'!A428,"yyyy-mm-dd"))</f>
        <v/>
      </c>
      <c r="B428" s="18">
        <f>'Weekly Input'!B428</f>
        <v/>
      </c>
      <c r="C428" s="18">
        <f>'Weekly Input'!C428</f>
        <v/>
      </c>
      <c r="D428" s="18">
        <f>IF(B428="","",IFERROR(INDEX('Master Data'!$B$6:$B$145,MATCH(B428,'Master Data'!$A$6:$A$145,0)),""))</f>
        <v/>
      </c>
      <c r="E428" s="18">
        <f>IF(C428="","",IFERROR(INDEX('Master Data'!$H$6:$H$13,MATCH(C428,'Master Data'!$F$6:$F$13,0)),""))</f>
        <v/>
      </c>
      <c r="F428" s="19">
        <f>'Weekly Input'!A428</f>
        <v/>
      </c>
      <c r="G428" s="19">
        <f>IF(B428="","",IFERROR(INDEX('Master Data'!$D$6:$D$145,MATCH(B428,'Master Data'!$A$6:$A$145,0)),""))</f>
        <v/>
      </c>
      <c r="H428" s="18">
        <f>IF(OR(F428="",G428=""),"",F428-G428)</f>
        <v/>
      </c>
      <c r="I428" s="18">
        <f>IF(B428="","",IF('Weekly Input'!J428="OK",TRUE,FALSE))</f>
        <v/>
      </c>
      <c r="J428" s="18">
        <f>IF(B428="","",'Weekly Input'!H428&gt;=MinInStockDays)</f>
        <v/>
      </c>
      <c r="K428" s="18">
        <f>IF(B428="","",H428&gt;=FullCycleMin)</f>
        <v/>
      </c>
      <c r="L428" s="18">
        <f>IF(B428="","",AND(I428,J428,K428,N428&gt;=MinHistory))</f>
        <v/>
      </c>
      <c r="M428" s="20">
        <f>IF(OR(B428="",'Weekly Input'!H428=0),"",'Weekly Input'!D428/'Weekly Input'!H428*7)</f>
        <v/>
      </c>
      <c r="N428" s="18">
        <f>IF(B428="","",COUNTIFS($B$5:$B$504,B428,$C$5:$C$504,C428,$I$5:$I$504,TRUE,$J$5:$J$504,TRUE,$K$5:$K$504,TRUE))</f>
        <v/>
      </c>
      <c r="O428" s="18">
        <f>IF(B428="","",AND(F428=AsOfWeek,AsOfWeek&lt;&gt;""))</f>
        <v/>
      </c>
      <c r="P428" s="20">
        <f>IF(OR(B428="",AsOfWeek=""),"",IFERROR(SUMIFS($M$5:$M$504,$B$5:$B$504,B428,$C$5:$C$504,C428,$L$5:$L$504,TRUE,$F$5:$F$504,"&gt;="&amp;AsOfWeek-7*(RecentWeeks-1),$F$5:$F$504,"&lt;="&amp;AsOfWeek),""))</f>
        <v/>
      </c>
      <c r="Q428" s="20">
        <f>IF(OR(B428="",AsOfWeek=""),"",IFERROR(SUMIFS($M$5:$M$504,$B$5:$B$504,B428,$C$5:$C$504,C428,$L$5:$L$504,TRUE,$F$5:$F$504,"&gt;="&amp;AsOfWeek-7*(RecentWeeks+PriorWeeks-1),$F$5:$F$504,"&lt;"&amp;AsOfWeek-7*(RecentWeeks-1)),""))</f>
        <v/>
      </c>
      <c r="R428" s="21">
        <f>IF(OR(P428="",Q428="",Q428=0),"",P428/Q428-1)</f>
        <v/>
      </c>
      <c r="S428" s="20">
        <f>IF(OR(C428="",AsOfWeek=""),"",IFERROR(AVERAGEIFS($M$5:$M$504,$C$5:$C$504,C428,$L$5:$L$504,TRUE,$F$5:$F$504,"&gt;="&amp;AsOfWeek-7*(RecentWeeks-1),$F$5:$F$504,"&lt;="&amp;AsOfWeek),""))</f>
        <v/>
      </c>
      <c r="T428" s="21">
        <f>IF(OR(P428="",S428=""),"",P428/S428-1)</f>
        <v/>
      </c>
      <c r="U428" s="22">
        <f>IF(OR(B428="",'Weekly Input'!G428="",P428="",P428=0),"",'Weekly Input'!G428/P428)</f>
        <v/>
      </c>
      <c r="V428" s="18">
        <f>IF(B428="","",IF(NOT(I428),"Not Ready",IF(NOT(K428),"Not Ready",IF(N428&lt;MinHistory,"Not Ready",IF(NOT(J428),"Not Ready",IF(OR(Q428="",Q428=0),"Noise",IF(Q428&lt;LowBaseThreshold,"Noise",IF(AND(R428&lt;=-OwnDecline,T428&lt;=-PeerGapThreshold),"Markdown Review",IF(AND(R428&gt;=ReorderUplift,U428&lt;&gt;"",U428&lt;=WeeksSupplyCap),"Reorder Candidate","Monitor"))))))))</f>
        <v/>
      </c>
      <c r="W428" s="18">
        <f>IF(B428="","",IF(NOT(I428),"INVALID_MASTER",IF(NOT(K428),"INCOMPLETE_SHELF_CYCLE",IF(N428&lt;MinHistory,"INSUFFICIENT_HISTORY",IF(NOT(J428),"INSUFFICIENT_IN_STOCK",IF(OR(Q428="",Q428=0),"NO_PRIOR_BASE",IF(Q428&lt;LowBaseThreshold,"LOW_BASE_NOISE",IF(V428="Markdown Review","MARKDOWN_PEER_GAP",IF(V428="Reorder Candidate","REORDER_UPLIFT_COVER","NO_MATERIAL_CHANGE"))))))))</f>
        <v/>
      </c>
      <c r="X428" s="18">
        <f>IF(V428="Markdown Review","Markdown support",IF(V428="Reorder Candidate","Second reorder",IF(V428="Monitor","Monitor",IF(V428="Noise","Hold / collect data",IF(V428="Not Ready","Not ready","")))))</f>
        <v/>
      </c>
      <c r="Y428" s="18">
        <f>IF(OR(R428="",T428=""),"",ABS(R428)+ABS(T428))</f>
        <v/>
      </c>
      <c r="Z428" s="21">
        <f>IF(OR(B428="",NOT(O428),R428=""),"",IF(ABS(R428)&gt;=MaterialThreshold,"Yes","No"))</f>
        <v/>
      </c>
      <c r="AA428" s="18">
        <f>IF(Z428&lt;&gt;"Yes","",IF(ABS(R428)&gt;=MaterialThreshold,IF(ABS(R428)&gt;=BroadShare,"Broad SKU movement","Store-concentrated movement"),""))</f>
        <v/>
      </c>
      <c r="AB428" s="18">
        <f>IF(O428,IF(COUNTIFS($O$5:O428,TRUE)&gt;0,COUNTIFS($O$5:O428,TRUE),0),0)</f>
        <v/>
      </c>
      <c r="AC428" s="18">
        <f>IF(V428="Markdown Review",1,IF(V428="Reorder Candidate",2,IF(V428="Monitor",3,IF(V428="Noise",4,IF(V428="Not Ready",5,99)))))</f>
        <v/>
      </c>
      <c r="AD428" s="18">
        <f>IF(O428,COUNTIFS($O$5:$O$504,TRUE,$AC$5:$AC$504,"&lt;"&amp;AC428)+COUNTIFS($O$5:O428,TRUE,$AC$5:AC428,AC428,$Y$5:Y428,"&gt;"&amp;Y428),0)</f>
        <v/>
      </c>
    </row>
    <row r="429">
      <c r="A429" s="17">
        <f>IF(COUNTA('Weekly Input'!A429:C429)=0,"",'Weekly Input'!B429&amp;"|"&amp;'Weekly Input'!C429&amp;"|"&amp;TEXT('Weekly Input'!A429,"yyyy-mm-dd"))</f>
        <v/>
      </c>
      <c r="B429" s="18">
        <f>'Weekly Input'!B429</f>
        <v/>
      </c>
      <c r="C429" s="18">
        <f>'Weekly Input'!C429</f>
        <v/>
      </c>
      <c r="D429" s="18">
        <f>IF(B429="","",IFERROR(INDEX('Master Data'!$B$6:$B$145,MATCH(B429,'Master Data'!$A$6:$A$145,0)),""))</f>
        <v/>
      </c>
      <c r="E429" s="18">
        <f>IF(C429="","",IFERROR(INDEX('Master Data'!$H$6:$H$13,MATCH(C429,'Master Data'!$F$6:$F$13,0)),""))</f>
        <v/>
      </c>
      <c r="F429" s="19">
        <f>'Weekly Input'!A429</f>
        <v/>
      </c>
      <c r="G429" s="19">
        <f>IF(B429="","",IFERROR(INDEX('Master Data'!$D$6:$D$145,MATCH(B429,'Master Data'!$A$6:$A$145,0)),""))</f>
        <v/>
      </c>
      <c r="H429" s="18">
        <f>IF(OR(F429="",G429=""),"",F429-G429)</f>
        <v/>
      </c>
      <c r="I429" s="18">
        <f>IF(B429="","",IF('Weekly Input'!J429="OK",TRUE,FALSE))</f>
        <v/>
      </c>
      <c r="J429" s="18">
        <f>IF(B429="","",'Weekly Input'!H429&gt;=MinInStockDays)</f>
        <v/>
      </c>
      <c r="K429" s="18">
        <f>IF(B429="","",H429&gt;=FullCycleMin)</f>
        <v/>
      </c>
      <c r="L429" s="18">
        <f>IF(B429="","",AND(I429,J429,K429,N429&gt;=MinHistory))</f>
        <v/>
      </c>
      <c r="M429" s="20">
        <f>IF(OR(B429="",'Weekly Input'!H429=0),"",'Weekly Input'!D429/'Weekly Input'!H429*7)</f>
        <v/>
      </c>
      <c r="N429" s="18">
        <f>IF(B429="","",COUNTIFS($B$5:$B$504,B429,$C$5:$C$504,C429,$I$5:$I$504,TRUE,$J$5:$J$504,TRUE,$K$5:$K$504,TRUE))</f>
        <v/>
      </c>
      <c r="O429" s="18">
        <f>IF(B429="","",AND(F429=AsOfWeek,AsOfWeek&lt;&gt;""))</f>
        <v/>
      </c>
      <c r="P429" s="20">
        <f>IF(OR(B429="",AsOfWeek=""),"",IFERROR(SUMIFS($M$5:$M$504,$B$5:$B$504,B429,$C$5:$C$504,C429,$L$5:$L$504,TRUE,$F$5:$F$504,"&gt;="&amp;AsOfWeek-7*(RecentWeeks-1),$F$5:$F$504,"&lt;="&amp;AsOfWeek),""))</f>
        <v/>
      </c>
      <c r="Q429" s="20">
        <f>IF(OR(B429="",AsOfWeek=""),"",IFERROR(SUMIFS($M$5:$M$504,$B$5:$B$504,B429,$C$5:$C$504,C429,$L$5:$L$504,TRUE,$F$5:$F$504,"&gt;="&amp;AsOfWeek-7*(RecentWeeks+PriorWeeks-1),$F$5:$F$504,"&lt;"&amp;AsOfWeek-7*(RecentWeeks-1)),""))</f>
        <v/>
      </c>
      <c r="R429" s="21">
        <f>IF(OR(P429="",Q429="",Q429=0),"",P429/Q429-1)</f>
        <v/>
      </c>
      <c r="S429" s="20">
        <f>IF(OR(C429="",AsOfWeek=""),"",IFERROR(AVERAGEIFS($M$5:$M$504,$C$5:$C$504,C429,$L$5:$L$504,TRUE,$F$5:$F$504,"&gt;="&amp;AsOfWeek-7*(RecentWeeks-1),$F$5:$F$504,"&lt;="&amp;AsOfWeek),""))</f>
        <v/>
      </c>
      <c r="T429" s="21">
        <f>IF(OR(P429="",S429=""),"",P429/S429-1)</f>
        <v/>
      </c>
      <c r="U429" s="22">
        <f>IF(OR(B429="",'Weekly Input'!G429="",P429="",P429=0),"",'Weekly Input'!G429/P429)</f>
        <v/>
      </c>
      <c r="V429" s="18">
        <f>IF(B429="","",IF(NOT(I429),"Not Ready",IF(NOT(K429),"Not Ready",IF(N429&lt;MinHistory,"Not Ready",IF(NOT(J429),"Not Ready",IF(OR(Q429="",Q429=0),"Noise",IF(Q429&lt;LowBaseThreshold,"Noise",IF(AND(R429&lt;=-OwnDecline,T429&lt;=-PeerGapThreshold),"Markdown Review",IF(AND(R429&gt;=ReorderUplift,U429&lt;&gt;"",U429&lt;=WeeksSupplyCap),"Reorder Candidate","Monitor"))))))))</f>
        <v/>
      </c>
      <c r="W429" s="18">
        <f>IF(B429="","",IF(NOT(I429),"INVALID_MASTER",IF(NOT(K429),"INCOMPLETE_SHELF_CYCLE",IF(N429&lt;MinHistory,"INSUFFICIENT_HISTORY",IF(NOT(J429),"INSUFFICIENT_IN_STOCK",IF(OR(Q429="",Q429=0),"NO_PRIOR_BASE",IF(Q429&lt;LowBaseThreshold,"LOW_BASE_NOISE",IF(V429="Markdown Review","MARKDOWN_PEER_GAP",IF(V429="Reorder Candidate","REORDER_UPLIFT_COVER","NO_MATERIAL_CHANGE"))))))))</f>
        <v/>
      </c>
      <c r="X429" s="18">
        <f>IF(V429="Markdown Review","Markdown support",IF(V429="Reorder Candidate","Second reorder",IF(V429="Monitor","Monitor",IF(V429="Noise","Hold / collect data",IF(V429="Not Ready","Not ready","")))))</f>
        <v/>
      </c>
      <c r="Y429" s="18">
        <f>IF(OR(R429="",T429=""),"",ABS(R429)+ABS(T429))</f>
        <v/>
      </c>
      <c r="Z429" s="21">
        <f>IF(OR(B429="",NOT(O429),R429=""),"",IF(ABS(R429)&gt;=MaterialThreshold,"Yes","No"))</f>
        <v/>
      </c>
      <c r="AA429" s="18">
        <f>IF(Z429&lt;&gt;"Yes","",IF(ABS(R429)&gt;=MaterialThreshold,IF(ABS(R429)&gt;=BroadShare,"Broad SKU movement","Store-concentrated movement"),""))</f>
        <v/>
      </c>
      <c r="AB429" s="18">
        <f>IF(O429,IF(COUNTIFS($O$5:O429,TRUE)&gt;0,COUNTIFS($O$5:O429,TRUE),0),0)</f>
        <v/>
      </c>
      <c r="AC429" s="18">
        <f>IF(V429="Markdown Review",1,IF(V429="Reorder Candidate",2,IF(V429="Monitor",3,IF(V429="Noise",4,IF(V429="Not Ready",5,99)))))</f>
        <v/>
      </c>
      <c r="AD429" s="18">
        <f>IF(O429,COUNTIFS($O$5:$O$504,TRUE,$AC$5:$AC$504,"&lt;"&amp;AC429)+COUNTIFS($O$5:O429,TRUE,$AC$5:AC429,AC429,$Y$5:Y429,"&gt;"&amp;Y429),0)</f>
        <v/>
      </c>
    </row>
    <row r="430">
      <c r="A430" s="17">
        <f>IF(COUNTA('Weekly Input'!A430:C430)=0,"",'Weekly Input'!B430&amp;"|"&amp;'Weekly Input'!C430&amp;"|"&amp;TEXT('Weekly Input'!A430,"yyyy-mm-dd"))</f>
        <v/>
      </c>
      <c r="B430" s="18">
        <f>'Weekly Input'!B430</f>
        <v/>
      </c>
      <c r="C430" s="18">
        <f>'Weekly Input'!C430</f>
        <v/>
      </c>
      <c r="D430" s="18">
        <f>IF(B430="","",IFERROR(INDEX('Master Data'!$B$6:$B$145,MATCH(B430,'Master Data'!$A$6:$A$145,0)),""))</f>
        <v/>
      </c>
      <c r="E430" s="18">
        <f>IF(C430="","",IFERROR(INDEX('Master Data'!$H$6:$H$13,MATCH(C430,'Master Data'!$F$6:$F$13,0)),""))</f>
        <v/>
      </c>
      <c r="F430" s="19">
        <f>'Weekly Input'!A430</f>
        <v/>
      </c>
      <c r="G430" s="19">
        <f>IF(B430="","",IFERROR(INDEX('Master Data'!$D$6:$D$145,MATCH(B430,'Master Data'!$A$6:$A$145,0)),""))</f>
        <v/>
      </c>
      <c r="H430" s="18">
        <f>IF(OR(F430="",G430=""),"",F430-G430)</f>
        <v/>
      </c>
      <c r="I430" s="18">
        <f>IF(B430="","",IF('Weekly Input'!J430="OK",TRUE,FALSE))</f>
        <v/>
      </c>
      <c r="J430" s="18">
        <f>IF(B430="","",'Weekly Input'!H430&gt;=MinInStockDays)</f>
        <v/>
      </c>
      <c r="K430" s="18">
        <f>IF(B430="","",H430&gt;=FullCycleMin)</f>
        <v/>
      </c>
      <c r="L430" s="18">
        <f>IF(B430="","",AND(I430,J430,K430,N430&gt;=MinHistory))</f>
        <v/>
      </c>
      <c r="M430" s="20">
        <f>IF(OR(B430="",'Weekly Input'!H430=0),"",'Weekly Input'!D430/'Weekly Input'!H430*7)</f>
        <v/>
      </c>
      <c r="N430" s="18">
        <f>IF(B430="","",COUNTIFS($B$5:$B$504,B430,$C$5:$C$504,C430,$I$5:$I$504,TRUE,$J$5:$J$504,TRUE,$K$5:$K$504,TRUE))</f>
        <v/>
      </c>
      <c r="O430" s="18">
        <f>IF(B430="","",AND(F430=AsOfWeek,AsOfWeek&lt;&gt;""))</f>
        <v/>
      </c>
      <c r="P430" s="20">
        <f>IF(OR(B430="",AsOfWeek=""),"",IFERROR(SUMIFS($M$5:$M$504,$B$5:$B$504,B430,$C$5:$C$504,C430,$L$5:$L$504,TRUE,$F$5:$F$504,"&gt;="&amp;AsOfWeek-7*(RecentWeeks-1),$F$5:$F$504,"&lt;="&amp;AsOfWeek),""))</f>
        <v/>
      </c>
      <c r="Q430" s="20">
        <f>IF(OR(B430="",AsOfWeek=""),"",IFERROR(SUMIFS($M$5:$M$504,$B$5:$B$504,B430,$C$5:$C$504,C430,$L$5:$L$504,TRUE,$F$5:$F$504,"&gt;="&amp;AsOfWeek-7*(RecentWeeks+PriorWeeks-1),$F$5:$F$504,"&lt;"&amp;AsOfWeek-7*(RecentWeeks-1)),""))</f>
        <v/>
      </c>
      <c r="R430" s="21">
        <f>IF(OR(P430="",Q430="",Q430=0),"",P430/Q430-1)</f>
        <v/>
      </c>
      <c r="S430" s="20">
        <f>IF(OR(C430="",AsOfWeek=""),"",IFERROR(AVERAGEIFS($M$5:$M$504,$C$5:$C$504,C430,$L$5:$L$504,TRUE,$F$5:$F$504,"&gt;="&amp;AsOfWeek-7*(RecentWeeks-1),$F$5:$F$504,"&lt;="&amp;AsOfWeek),""))</f>
        <v/>
      </c>
      <c r="T430" s="21">
        <f>IF(OR(P430="",S430=""),"",P430/S430-1)</f>
        <v/>
      </c>
      <c r="U430" s="22">
        <f>IF(OR(B430="",'Weekly Input'!G430="",P430="",P430=0),"",'Weekly Input'!G430/P430)</f>
        <v/>
      </c>
      <c r="V430" s="18">
        <f>IF(B430="","",IF(NOT(I430),"Not Ready",IF(NOT(K430),"Not Ready",IF(N430&lt;MinHistory,"Not Ready",IF(NOT(J430),"Not Ready",IF(OR(Q430="",Q430=0),"Noise",IF(Q430&lt;LowBaseThreshold,"Noise",IF(AND(R430&lt;=-OwnDecline,T430&lt;=-PeerGapThreshold),"Markdown Review",IF(AND(R430&gt;=ReorderUplift,U430&lt;&gt;"",U430&lt;=WeeksSupplyCap),"Reorder Candidate","Monitor"))))))))</f>
        <v/>
      </c>
      <c r="W430" s="18">
        <f>IF(B430="","",IF(NOT(I430),"INVALID_MASTER",IF(NOT(K430),"INCOMPLETE_SHELF_CYCLE",IF(N430&lt;MinHistory,"INSUFFICIENT_HISTORY",IF(NOT(J430),"INSUFFICIENT_IN_STOCK",IF(OR(Q430="",Q430=0),"NO_PRIOR_BASE",IF(Q430&lt;LowBaseThreshold,"LOW_BASE_NOISE",IF(V430="Markdown Review","MARKDOWN_PEER_GAP",IF(V430="Reorder Candidate","REORDER_UPLIFT_COVER","NO_MATERIAL_CHANGE"))))))))</f>
        <v/>
      </c>
      <c r="X430" s="18">
        <f>IF(V430="Markdown Review","Markdown support",IF(V430="Reorder Candidate","Second reorder",IF(V430="Monitor","Monitor",IF(V430="Noise","Hold / collect data",IF(V430="Not Ready","Not ready","")))))</f>
        <v/>
      </c>
      <c r="Y430" s="18">
        <f>IF(OR(R430="",T430=""),"",ABS(R430)+ABS(T430))</f>
        <v/>
      </c>
      <c r="Z430" s="21">
        <f>IF(OR(B430="",NOT(O430),R430=""),"",IF(ABS(R430)&gt;=MaterialThreshold,"Yes","No"))</f>
        <v/>
      </c>
      <c r="AA430" s="18">
        <f>IF(Z430&lt;&gt;"Yes","",IF(ABS(R430)&gt;=MaterialThreshold,IF(ABS(R430)&gt;=BroadShare,"Broad SKU movement","Store-concentrated movement"),""))</f>
        <v/>
      </c>
      <c r="AB430" s="18">
        <f>IF(O430,IF(COUNTIFS($O$5:O430,TRUE)&gt;0,COUNTIFS($O$5:O430,TRUE),0),0)</f>
        <v/>
      </c>
      <c r="AC430" s="18">
        <f>IF(V430="Markdown Review",1,IF(V430="Reorder Candidate",2,IF(V430="Monitor",3,IF(V430="Noise",4,IF(V430="Not Ready",5,99)))))</f>
        <v/>
      </c>
      <c r="AD430" s="18">
        <f>IF(O430,COUNTIFS($O$5:$O$504,TRUE,$AC$5:$AC$504,"&lt;"&amp;AC430)+COUNTIFS($O$5:O430,TRUE,$AC$5:AC430,AC430,$Y$5:Y430,"&gt;"&amp;Y430),0)</f>
        <v/>
      </c>
    </row>
    <row r="431">
      <c r="A431" s="17">
        <f>IF(COUNTA('Weekly Input'!A431:C431)=0,"",'Weekly Input'!B431&amp;"|"&amp;'Weekly Input'!C431&amp;"|"&amp;TEXT('Weekly Input'!A431,"yyyy-mm-dd"))</f>
        <v/>
      </c>
      <c r="B431" s="18">
        <f>'Weekly Input'!B431</f>
        <v/>
      </c>
      <c r="C431" s="18">
        <f>'Weekly Input'!C431</f>
        <v/>
      </c>
      <c r="D431" s="18">
        <f>IF(B431="","",IFERROR(INDEX('Master Data'!$B$6:$B$145,MATCH(B431,'Master Data'!$A$6:$A$145,0)),""))</f>
        <v/>
      </c>
      <c r="E431" s="18">
        <f>IF(C431="","",IFERROR(INDEX('Master Data'!$H$6:$H$13,MATCH(C431,'Master Data'!$F$6:$F$13,0)),""))</f>
        <v/>
      </c>
      <c r="F431" s="19">
        <f>'Weekly Input'!A431</f>
        <v/>
      </c>
      <c r="G431" s="19">
        <f>IF(B431="","",IFERROR(INDEX('Master Data'!$D$6:$D$145,MATCH(B431,'Master Data'!$A$6:$A$145,0)),""))</f>
        <v/>
      </c>
      <c r="H431" s="18">
        <f>IF(OR(F431="",G431=""),"",F431-G431)</f>
        <v/>
      </c>
      <c r="I431" s="18">
        <f>IF(B431="","",IF('Weekly Input'!J431="OK",TRUE,FALSE))</f>
        <v/>
      </c>
      <c r="J431" s="18">
        <f>IF(B431="","",'Weekly Input'!H431&gt;=MinInStockDays)</f>
        <v/>
      </c>
      <c r="K431" s="18">
        <f>IF(B431="","",H431&gt;=FullCycleMin)</f>
        <v/>
      </c>
      <c r="L431" s="18">
        <f>IF(B431="","",AND(I431,J431,K431,N431&gt;=MinHistory))</f>
        <v/>
      </c>
      <c r="M431" s="20">
        <f>IF(OR(B431="",'Weekly Input'!H431=0),"",'Weekly Input'!D431/'Weekly Input'!H431*7)</f>
        <v/>
      </c>
      <c r="N431" s="18">
        <f>IF(B431="","",COUNTIFS($B$5:$B$504,B431,$C$5:$C$504,C431,$I$5:$I$504,TRUE,$J$5:$J$504,TRUE,$K$5:$K$504,TRUE))</f>
        <v/>
      </c>
      <c r="O431" s="18">
        <f>IF(B431="","",AND(F431=AsOfWeek,AsOfWeek&lt;&gt;""))</f>
        <v/>
      </c>
      <c r="P431" s="20">
        <f>IF(OR(B431="",AsOfWeek=""),"",IFERROR(SUMIFS($M$5:$M$504,$B$5:$B$504,B431,$C$5:$C$504,C431,$L$5:$L$504,TRUE,$F$5:$F$504,"&gt;="&amp;AsOfWeek-7*(RecentWeeks-1),$F$5:$F$504,"&lt;="&amp;AsOfWeek),""))</f>
        <v/>
      </c>
      <c r="Q431" s="20">
        <f>IF(OR(B431="",AsOfWeek=""),"",IFERROR(SUMIFS($M$5:$M$504,$B$5:$B$504,B431,$C$5:$C$504,C431,$L$5:$L$504,TRUE,$F$5:$F$504,"&gt;="&amp;AsOfWeek-7*(RecentWeeks+PriorWeeks-1),$F$5:$F$504,"&lt;"&amp;AsOfWeek-7*(RecentWeeks-1)),""))</f>
        <v/>
      </c>
      <c r="R431" s="21">
        <f>IF(OR(P431="",Q431="",Q431=0),"",P431/Q431-1)</f>
        <v/>
      </c>
      <c r="S431" s="20">
        <f>IF(OR(C431="",AsOfWeek=""),"",IFERROR(AVERAGEIFS($M$5:$M$504,$C$5:$C$504,C431,$L$5:$L$504,TRUE,$F$5:$F$504,"&gt;="&amp;AsOfWeek-7*(RecentWeeks-1),$F$5:$F$504,"&lt;="&amp;AsOfWeek),""))</f>
        <v/>
      </c>
      <c r="T431" s="21">
        <f>IF(OR(P431="",S431=""),"",P431/S431-1)</f>
        <v/>
      </c>
      <c r="U431" s="22">
        <f>IF(OR(B431="",'Weekly Input'!G431="",P431="",P431=0),"",'Weekly Input'!G431/P431)</f>
        <v/>
      </c>
      <c r="V431" s="18">
        <f>IF(B431="","",IF(NOT(I431),"Not Ready",IF(NOT(K431),"Not Ready",IF(N431&lt;MinHistory,"Not Ready",IF(NOT(J431),"Not Ready",IF(OR(Q431="",Q431=0),"Noise",IF(Q431&lt;LowBaseThreshold,"Noise",IF(AND(R431&lt;=-OwnDecline,T431&lt;=-PeerGapThreshold),"Markdown Review",IF(AND(R431&gt;=ReorderUplift,U431&lt;&gt;"",U431&lt;=WeeksSupplyCap),"Reorder Candidate","Monitor"))))))))</f>
        <v/>
      </c>
      <c r="W431" s="18">
        <f>IF(B431="","",IF(NOT(I431),"INVALID_MASTER",IF(NOT(K431),"INCOMPLETE_SHELF_CYCLE",IF(N431&lt;MinHistory,"INSUFFICIENT_HISTORY",IF(NOT(J431),"INSUFFICIENT_IN_STOCK",IF(OR(Q431="",Q431=0),"NO_PRIOR_BASE",IF(Q431&lt;LowBaseThreshold,"LOW_BASE_NOISE",IF(V431="Markdown Review","MARKDOWN_PEER_GAP",IF(V431="Reorder Candidate","REORDER_UPLIFT_COVER","NO_MATERIAL_CHANGE"))))))))</f>
        <v/>
      </c>
      <c r="X431" s="18">
        <f>IF(V431="Markdown Review","Markdown support",IF(V431="Reorder Candidate","Second reorder",IF(V431="Monitor","Monitor",IF(V431="Noise","Hold / collect data",IF(V431="Not Ready","Not ready","")))))</f>
        <v/>
      </c>
      <c r="Y431" s="18">
        <f>IF(OR(R431="",T431=""),"",ABS(R431)+ABS(T431))</f>
        <v/>
      </c>
      <c r="Z431" s="21">
        <f>IF(OR(B431="",NOT(O431),R431=""),"",IF(ABS(R431)&gt;=MaterialThreshold,"Yes","No"))</f>
        <v/>
      </c>
      <c r="AA431" s="18">
        <f>IF(Z431&lt;&gt;"Yes","",IF(ABS(R431)&gt;=MaterialThreshold,IF(ABS(R431)&gt;=BroadShare,"Broad SKU movement","Store-concentrated movement"),""))</f>
        <v/>
      </c>
      <c r="AB431" s="18">
        <f>IF(O431,IF(COUNTIFS($O$5:O431,TRUE)&gt;0,COUNTIFS($O$5:O431,TRUE),0),0)</f>
        <v/>
      </c>
      <c r="AC431" s="18">
        <f>IF(V431="Markdown Review",1,IF(V431="Reorder Candidate",2,IF(V431="Monitor",3,IF(V431="Noise",4,IF(V431="Not Ready",5,99)))))</f>
        <v/>
      </c>
      <c r="AD431" s="18">
        <f>IF(O431,COUNTIFS($O$5:$O$504,TRUE,$AC$5:$AC$504,"&lt;"&amp;AC431)+COUNTIFS($O$5:O431,TRUE,$AC$5:AC431,AC431,$Y$5:Y431,"&gt;"&amp;Y431),0)</f>
        <v/>
      </c>
    </row>
    <row r="432">
      <c r="A432" s="17">
        <f>IF(COUNTA('Weekly Input'!A432:C432)=0,"",'Weekly Input'!B432&amp;"|"&amp;'Weekly Input'!C432&amp;"|"&amp;TEXT('Weekly Input'!A432,"yyyy-mm-dd"))</f>
        <v/>
      </c>
      <c r="B432" s="18">
        <f>'Weekly Input'!B432</f>
        <v/>
      </c>
      <c r="C432" s="18">
        <f>'Weekly Input'!C432</f>
        <v/>
      </c>
      <c r="D432" s="18">
        <f>IF(B432="","",IFERROR(INDEX('Master Data'!$B$6:$B$145,MATCH(B432,'Master Data'!$A$6:$A$145,0)),""))</f>
        <v/>
      </c>
      <c r="E432" s="18">
        <f>IF(C432="","",IFERROR(INDEX('Master Data'!$H$6:$H$13,MATCH(C432,'Master Data'!$F$6:$F$13,0)),""))</f>
        <v/>
      </c>
      <c r="F432" s="19">
        <f>'Weekly Input'!A432</f>
        <v/>
      </c>
      <c r="G432" s="19">
        <f>IF(B432="","",IFERROR(INDEX('Master Data'!$D$6:$D$145,MATCH(B432,'Master Data'!$A$6:$A$145,0)),""))</f>
        <v/>
      </c>
      <c r="H432" s="18">
        <f>IF(OR(F432="",G432=""),"",F432-G432)</f>
        <v/>
      </c>
      <c r="I432" s="18">
        <f>IF(B432="","",IF('Weekly Input'!J432="OK",TRUE,FALSE))</f>
        <v/>
      </c>
      <c r="J432" s="18">
        <f>IF(B432="","",'Weekly Input'!H432&gt;=MinInStockDays)</f>
        <v/>
      </c>
      <c r="K432" s="18">
        <f>IF(B432="","",H432&gt;=FullCycleMin)</f>
        <v/>
      </c>
      <c r="L432" s="18">
        <f>IF(B432="","",AND(I432,J432,K432,N432&gt;=MinHistory))</f>
        <v/>
      </c>
      <c r="M432" s="20">
        <f>IF(OR(B432="",'Weekly Input'!H432=0),"",'Weekly Input'!D432/'Weekly Input'!H432*7)</f>
        <v/>
      </c>
      <c r="N432" s="18">
        <f>IF(B432="","",COUNTIFS($B$5:$B$504,B432,$C$5:$C$504,C432,$I$5:$I$504,TRUE,$J$5:$J$504,TRUE,$K$5:$K$504,TRUE))</f>
        <v/>
      </c>
      <c r="O432" s="18">
        <f>IF(B432="","",AND(F432=AsOfWeek,AsOfWeek&lt;&gt;""))</f>
        <v/>
      </c>
      <c r="P432" s="20">
        <f>IF(OR(B432="",AsOfWeek=""),"",IFERROR(SUMIFS($M$5:$M$504,$B$5:$B$504,B432,$C$5:$C$504,C432,$L$5:$L$504,TRUE,$F$5:$F$504,"&gt;="&amp;AsOfWeek-7*(RecentWeeks-1),$F$5:$F$504,"&lt;="&amp;AsOfWeek),""))</f>
        <v/>
      </c>
      <c r="Q432" s="20">
        <f>IF(OR(B432="",AsOfWeek=""),"",IFERROR(SUMIFS($M$5:$M$504,$B$5:$B$504,B432,$C$5:$C$504,C432,$L$5:$L$504,TRUE,$F$5:$F$504,"&gt;="&amp;AsOfWeek-7*(RecentWeeks+PriorWeeks-1),$F$5:$F$504,"&lt;"&amp;AsOfWeek-7*(RecentWeeks-1)),""))</f>
        <v/>
      </c>
      <c r="R432" s="21">
        <f>IF(OR(P432="",Q432="",Q432=0),"",P432/Q432-1)</f>
        <v/>
      </c>
      <c r="S432" s="20">
        <f>IF(OR(C432="",AsOfWeek=""),"",IFERROR(AVERAGEIFS($M$5:$M$504,$C$5:$C$504,C432,$L$5:$L$504,TRUE,$F$5:$F$504,"&gt;="&amp;AsOfWeek-7*(RecentWeeks-1),$F$5:$F$504,"&lt;="&amp;AsOfWeek),""))</f>
        <v/>
      </c>
      <c r="T432" s="21">
        <f>IF(OR(P432="",S432=""),"",P432/S432-1)</f>
        <v/>
      </c>
      <c r="U432" s="22">
        <f>IF(OR(B432="",'Weekly Input'!G432="",P432="",P432=0),"",'Weekly Input'!G432/P432)</f>
        <v/>
      </c>
      <c r="V432" s="18">
        <f>IF(B432="","",IF(NOT(I432),"Not Ready",IF(NOT(K432),"Not Ready",IF(N432&lt;MinHistory,"Not Ready",IF(NOT(J432),"Not Ready",IF(OR(Q432="",Q432=0),"Noise",IF(Q432&lt;LowBaseThreshold,"Noise",IF(AND(R432&lt;=-OwnDecline,T432&lt;=-PeerGapThreshold),"Markdown Review",IF(AND(R432&gt;=ReorderUplift,U432&lt;&gt;"",U432&lt;=WeeksSupplyCap),"Reorder Candidate","Monitor"))))))))</f>
        <v/>
      </c>
      <c r="W432" s="18">
        <f>IF(B432="","",IF(NOT(I432),"INVALID_MASTER",IF(NOT(K432),"INCOMPLETE_SHELF_CYCLE",IF(N432&lt;MinHistory,"INSUFFICIENT_HISTORY",IF(NOT(J432),"INSUFFICIENT_IN_STOCK",IF(OR(Q432="",Q432=0),"NO_PRIOR_BASE",IF(Q432&lt;LowBaseThreshold,"LOW_BASE_NOISE",IF(V432="Markdown Review","MARKDOWN_PEER_GAP",IF(V432="Reorder Candidate","REORDER_UPLIFT_COVER","NO_MATERIAL_CHANGE"))))))))</f>
        <v/>
      </c>
      <c r="X432" s="18">
        <f>IF(V432="Markdown Review","Markdown support",IF(V432="Reorder Candidate","Second reorder",IF(V432="Monitor","Monitor",IF(V432="Noise","Hold / collect data",IF(V432="Not Ready","Not ready","")))))</f>
        <v/>
      </c>
      <c r="Y432" s="18">
        <f>IF(OR(R432="",T432=""),"",ABS(R432)+ABS(T432))</f>
        <v/>
      </c>
      <c r="Z432" s="21">
        <f>IF(OR(B432="",NOT(O432),R432=""),"",IF(ABS(R432)&gt;=MaterialThreshold,"Yes","No"))</f>
        <v/>
      </c>
      <c r="AA432" s="18">
        <f>IF(Z432&lt;&gt;"Yes","",IF(ABS(R432)&gt;=MaterialThreshold,IF(ABS(R432)&gt;=BroadShare,"Broad SKU movement","Store-concentrated movement"),""))</f>
        <v/>
      </c>
      <c r="AB432" s="18">
        <f>IF(O432,IF(COUNTIFS($O$5:O432,TRUE)&gt;0,COUNTIFS($O$5:O432,TRUE),0),0)</f>
        <v/>
      </c>
      <c r="AC432" s="18">
        <f>IF(V432="Markdown Review",1,IF(V432="Reorder Candidate",2,IF(V432="Monitor",3,IF(V432="Noise",4,IF(V432="Not Ready",5,99)))))</f>
        <v/>
      </c>
      <c r="AD432" s="18">
        <f>IF(O432,COUNTIFS($O$5:$O$504,TRUE,$AC$5:$AC$504,"&lt;"&amp;AC432)+COUNTIFS($O$5:O432,TRUE,$AC$5:AC432,AC432,$Y$5:Y432,"&gt;"&amp;Y432),0)</f>
        <v/>
      </c>
    </row>
    <row r="433">
      <c r="A433" s="17">
        <f>IF(COUNTA('Weekly Input'!A433:C433)=0,"",'Weekly Input'!B433&amp;"|"&amp;'Weekly Input'!C433&amp;"|"&amp;TEXT('Weekly Input'!A433,"yyyy-mm-dd"))</f>
        <v/>
      </c>
      <c r="B433" s="18">
        <f>'Weekly Input'!B433</f>
        <v/>
      </c>
      <c r="C433" s="18">
        <f>'Weekly Input'!C433</f>
        <v/>
      </c>
      <c r="D433" s="18">
        <f>IF(B433="","",IFERROR(INDEX('Master Data'!$B$6:$B$145,MATCH(B433,'Master Data'!$A$6:$A$145,0)),""))</f>
        <v/>
      </c>
      <c r="E433" s="18">
        <f>IF(C433="","",IFERROR(INDEX('Master Data'!$H$6:$H$13,MATCH(C433,'Master Data'!$F$6:$F$13,0)),""))</f>
        <v/>
      </c>
      <c r="F433" s="19">
        <f>'Weekly Input'!A433</f>
        <v/>
      </c>
      <c r="G433" s="19">
        <f>IF(B433="","",IFERROR(INDEX('Master Data'!$D$6:$D$145,MATCH(B433,'Master Data'!$A$6:$A$145,0)),""))</f>
        <v/>
      </c>
      <c r="H433" s="18">
        <f>IF(OR(F433="",G433=""),"",F433-G433)</f>
        <v/>
      </c>
      <c r="I433" s="18">
        <f>IF(B433="","",IF('Weekly Input'!J433="OK",TRUE,FALSE))</f>
        <v/>
      </c>
      <c r="J433" s="18">
        <f>IF(B433="","",'Weekly Input'!H433&gt;=MinInStockDays)</f>
        <v/>
      </c>
      <c r="K433" s="18">
        <f>IF(B433="","",H433&gt;=FullCycleMin)</f>
        <v/>
      </c>
      <c r="L433" s="18">
        <f>IF(B433="","",AND(I433,J433,K433,N433&gt;=MinHistory))</f>
        <v/>
      </c>
      <c r="M433" s="20">
        <f>IF(OR(B433="",'Weekly Input'!H433=0),"",'Weekly Input'!D433/'Weekly Input'!H433*7)</f>
        <v/>
      </c>
      <c r="N433" s="18">
        <f>IF(B433="","",COUNTIFS($B$5:$B$504,B433,$C$5:$C$504,C433,$I$5:$I$504,TRUE,$J$5:$J$504,TRUE,$K$5:$K$504,TRUE))</f>
        <v/>
      </c>
      <c r="O433" s="18">
        <f>IF(B433="","",AND(F433=AsOfWeek,AsOfWeek&lt;&gt;""))</f>
        <v/>
      </c>
      <c r="P433" s="20">
        <f>IF(OR(B433="",AsOfWeek=""),"",IFERROR(SUMIFS($M$5:$M$504,$B$5:$B$504,B433,$C$5:$C$504,C433,$L$5:$L$504,TRUE,$F$5:$F$504,"&gt;="&amp;AsOfWeek-7*(RecentWeeks-1),$F$5:$F$504,"&lt;="&amp;AsOfWeek),""))</f>
        <v/>
      </c>
      <c r="Q433" s="20">
        <f>IF(OR(B433="",AsOfWeek=""),"",IFERROR(SUMIFS($M$5:$M$504,$B$5:$B$504,B433,$C$5:$C$504,C433,$L$5:$L$504,TRUE,$F$5:$F$504,"&gt;="&amp;AsOfWeek-7*(RecentWeeks+PriorWeeks-1),$F$5:$F$504,"&lt;"&amp;AsOfWeek-7*(RecentWeeks-1)),""))</f>
        <v/>
      </c>
      <c r="R433" s="21">
        <f>IF(OR(P433="",Q433="",Q433=0),"",P433/Q433-1)</f>
        <v/>
      </c>
      <c r="S433" s="20">
        <f>IF(OR(C433="",AsOfWeek=""),"",IFERROR(AVERAGEIFS($M$5:$M$504,$C$5:$C$504,C433,$L$5:$L$504,TRUE,$F$5:$F$504,"&gt;="&amp;AsOfWeek-7*(RecentWeeks-1),$F$5:$F$504,"&lt;="&amp;AsOfWeek),""))</f>
        <v/>
      </c>
      <c r="T433" s="21">
        <f>IF(OR(P433="",S433=""),"",P433/S433-1)</f>
        <v/>
      </c>
      <c r="U433" s="22">
        <f>IF(OR(B433="",'Weekly Input'!G433="",P433="",P433=0),"",'Weekly Input'!G433/P433)</f>
        <v/>
      </c>
      <c r="V433" s="18">
        <f>IF(B433="","",IF(NOT(I433),"Not Ready",IF(NOT(K433),"Not Ready",IF(N433&lt;MinHistory,"Not Ready",IF(NOT(J433),"Not Ready",IF(OR(Q433="",Q433=0),"Noise",IF(Q433&lt;LowBaseThreshold,"Noise",IF(AND(R433&lt;=-OwnDecline,T433&lt;=-PeerGapThreshold),"Markdown Review",IF(AND(R433&gt;=ReorderUplift,U433&lt;&gt;"",U433&lt;=WeeksSupplyCap),"Reorder Candidate","Monitor"))))))))</f>
        <v/>
      </c>
      <c r="W433" s="18">
        <f>IF(B433="","",IF(NOT(I433),"INVALID_MASTER",IF(NOT(K433),"INCOMPLETE_SHELF_CYCLE",IF(N433&lt;MinHistory,"INSUFFICIENT_HISTORY",IF(NOT(J433),"INSUFFICIENT_IN_STOCK",IF(OR(Q433="",Q433=0),"NO_PRIOR_BASE",IF(Q433&lt;LowBaseThreshold,"LOW_BASE_NOISE",IF(V433="Markdown Review","MARKDOWN_PEER_GAP",IF(V433="Reorder Candidate","REORDER_UPLIFT_COVER","NO_MATERIAL_CHANGE"))))))))</f>
        <v/>
      </c>
      <c r="X433" s="18">
        <f>IF(V433="Markdown Review","Markdown support",IF(V433="Reorder Candidate","Second reorder",IF(V433="Monitor","Monitor",IF(V433="Noise","Hold / collect data",IF(V433="Not Ready","Not ready","")))))</f>
        <v/>
      </c>
      <c r="Y433" s="18">
        <f>IF(OR(R433="",T433=""),"",ABS(R433)+ABS(T433))</f>
        <v/>
      </c>
      <c r="Z433" s="21">
        <f>IF(OR(B433="",NOT(O433),R433=""),"",IF(ABS(R433)&gt;=MaterialThreshold,"Yes","No"))</f>
        <v/>
      </c>
      <c r="AA433" s="18">
        <f>IF(Z433&lt;&gt;"Yes","",IF(ABS(R433)&gt;=MaterialThreshold,IF(ABS(R433)&gt;=BroadShare,"Broad SKU movement","Store-concentrated movement"),""))</f>
        <v/>
      </c>
      <c r="AB433" s="18">
        <f>IF(O433,IF(COUNTIFS($O$5:O433,TRUE)&gt;0,COUNTIFS($O$5:O433,TRUE),0),0)</f>
        <v/>
      </c>
      <c r="AC433" s="18">
        <f>IF(V433="Markdown Review",1,IF(V433="Reorder Candidate",2,IF(V433="Monitor",3,IF(V433="Noise",4,IF(V433="Not Ready",5,99)))))</f>
        <v/>
      </c>
      <c r="AD433" s="18">
        <f>IF(O433,COUNTIFS($O$5:$O$504,TRUE,$AC$5:$AC$504,"&lt;"&amp;AC433)+COUNTIFS($O$5:O433,TRUE,$AC$5:AC433,AC433,$Y$5:Y433,"&gt;"&amp;Y433),0)</f>
        <v/>
      </c>
    </row>
    <row r="434">
      <c r="A434" s="17">
        <f>IF(COUNTA('Weekly Input'!A434:C434)=0,"",'Weekly Input'!B434&amp;"|"&amp;'Weekly Input'!C434&amp;"|"&amp;TEXT('Weekly Input'!A434,"yyyy-mm-dd"))</f>
        <v/>
      </c>
      <c r="B434" s="18">
        <f>'Weekly Input'!B434</f>
        <v/>
      </c>
      <c r="C434" s="18">
        <f>'Weekly Input'!C434</f>
        <v/>
      </c>
      <c r="D434" s="18">
        <f>IF(B434="","",IFERROR(INDEX('Master Data'!$B$6:$B$145,MATCH(B434,'Master Data'!$A$6:$A$145,0)),""))</f>
        <v/>
      </c>
      <c r="E434" s="18">
        <f>IF(C434="","",IFERROR(INDEX('Master Data'!$H$6:$H$13,MATCH(C434,'Master Data'!$F$6:$F$13,0)),""))</f>
        <v/>
      </c>
      <c r="F434" s="19">
        <f>'Weekly Input'!A434</f>
        <v/>
      </c>
      <c r="G434" s="19">
        <f>IF(B434="","",IFERROR(INDEX('Master Data'!$D$6:$D$145,MATCH(B434,'Master Data'!$A$6:$A$145,0)),""))</f>
        <v/>
      </c>
      <c r="H434" s="18">
        <f>IF(OR(F434="",G434=""),"",F434-G434)</f>
        <v/>
      </c>
      <c r="I434" s="18">
        <f>IF(B434="","",IF('Weekly Input'!J434="OK",TRUE,FALSE))</f>
        <v/>
      </c>
      <c r="J434" s="18">
        <f>IF(B434="","",'Weekly Input'!H434&gt;=MinInStockDays)</f>
        <v/>
      </c>
      <c r="K434" s="18">
        <f>IF(B434="","",H434&gt;=FullCycleMin)</f>
        <v/>
      </c>
      <c r="L434" s="18">
        <f>IF(B434="","",AND(I434,J434,K434,N434&gt;=MinHistory))</f>
        <v/>
      </c>
      <c r="M434" s="20">
        <f>IF(OR(B434="",'Weekly Input'!H434=0),"",'Weekly Input'!D434/'Weekly Input'!H434*7)</f>
        <v/>
      </c>
      <c r="N434" s="18">
        <f>IF(B434="","",COUNTIFS($B$5:$B$504,B434,$C$5:$C$504,C434,$I$5:$I$504,TRUE,$J$5:$J$504,TRUE,$K$5:$K$504,TRUE))</f>
        <v/>
      </c>
      <c r="O434" s="18">
        <f>IF(B434="","",AND(F434=AsOfWeek,AsOfWeek&lt;&gt;""))</f>
        <v/>
      </c>
      <c r="P434" s="20">
        <f>IF(OR(B434="",AsOfWeek=""),"",IFERROR(SUMIFS($M$5:$M$504,$B$5:$B$504,B434,$C$5:$C$504,C434,$L$5:$L$504,TRUE,$F$5:$F$504,"&gt;="&amp;AsOfWeek-7*(RecentWeeks-1),$F$5:$F$504,"&lt;="&amp;AsOfWeek),""))</f>
        <v/>
      </c>
      <c r="Q434" s="20">
        <f>IF(OR(B434="",AsOfWeek=""),"",IFERROR(SUMIFS($M$5:$M$504,$B$5:$B$504,B434,$C$5:$C$504,C434,$L$5:$L$504,TRUE,$F$5:$F$504,"&gt;="&amp;AsOfWeek-7*(RecentWeeks+PriorWeeks-1),$F$5:$F$504,"&lt;"&amp;AsOfWeek-7*(RecentWeeks-1)),""))</f>
        <v/>
      </c>
      <c r="R434" s="21">
        <f>IF(OR(P434="",Q434="",Q434=0),"",P434/Q434-1)</f>
        <v/>
      </c>
      <c r="S434" s="20">
        <f>IF(OR(C434="",AsOfWeek=""),"",IFERROR(AVERAGEIFS($M$5:$M$504,$C$5:$C$504,C434,$L$5:$L$504,TRUE,$F$5:$F$504,"&gt;="&amp;AsOfWeek-7*(RecentWeeks-1),$F$5:$F$504,"&lt;="&amp;AsOfWeek),""))</f>
        <v/>
      </c>
      <c r="T434" s="21">
        <f>IF(OR(P434="",S434=""),"",P434/S434-1)</f>
        <v/>
      </c>
      <c r="U434" s="22">
        <f>IF(OR(B434="",'Weekly Input'!G434="",P434="",P434=0),"",'Weekly Input'!G434/P434)</f>
        <v/>
      </c>
      <c r="V434" s="18">
        <f>IF(B434="","",IF(NOT(I434),"Not Ready",IF(NOT(K434),"Not Ready",IF(N434&lt;MinHistory,"Not Ready",IF(NOT(J434),"Not Ready",IF(OR(Q434="",Q434=0),"Noise",IF(Q434&lt;LowBaseThreshold,"Noise",IF(AND(R434&lt;=-OwnDecline,T434&lt;=-PeerGapThreshold),"Markdown Review",IF(AND(R434&gt;=ReorderUplift,U434&lt;&gt;"",U434&lt;=WeeksSupplyCap),"Reorder Candidate","Monitor"))))))))</f>
        <v/>
      </c>
      <c r="W434" s="18">
        <f>IF(B434="","",IF(NOT(I434),"INVALID_MASTER",IF(NOT(K434),"INCOMPLETE_SHELF_CYCLE",IF(N434&lt;MinHistory,"INSUFFICIENT_HISTORY",IF(NOT(J434),"INSUFFICIENT_IN_STOCK",IF(OR(Q434="",Q434=0),"NO_PRIOR_BASE",IF(Q434&lt;LowBaseThreshold,"LOW_BASE_NOISE",IF(V434="Markdown Review","MARKDOWN_PEER_GAP",IF(V434="Reorder Candidate","REORDER_UPLIFT_COVER","NO_MATERIAL_CHANGE"))))))))</f>
        <v/>
      </c>
      <c r="X434" s="18">
        <f>IF(V434="Markdown Review","Markdown support",IF(V434="Reorder Candidate","Second reorder",IF(V434="Monitor","Monitor",IF(V434="Noise","Hold / collect data",IF(V434="Not Ready","Not ready","")))))</f>
        <v/>
      </c>
      <c r="Y434" s="18">
        <f>IF(OR(R434="",T434=""),"",ABS(R434)+ABS(T434))</f>
        <v/>
      </c>
      <c r="Z434" s="21">
        <f>IF(OR(B434="",NOT(O434),R434=""),"",IF(ABS(R434)&gt;=MaterialThreshold,"Yes","No"))</f>
        <v/>
      </c>
      <c r="AA434" s="18">
        <f>IF(Z434&lt;&gt;"Yes","",IF(ABS(R434)&gt;=MaterialThreshold,IF(ABS(R434)&gt;=BroadShare,"Broad SKU movement","Store-concentrated movement"),""))</f>
        <v/>
      </c>
      <c r="AB434" s="18">
        <f>IF(O434,IF(COUNTIFS($O$5:O434,TRUE)&gt;0,COUNTIFS($O$5:O434,TRUE),0),0)</f>
        <v/>
      </c>
      <c r="AC434" s="18">
        <f>IF(V434="Markdown Review",1,IF(V434="Reorder Candidate",2,IF(V434="Monitor",3,IF(V434="Noise",4,IF(V434="Not Ready",5,99)))))</f>
        <v/>
      </c>
      <c r="AD434" s="18">
        <f>IF(O434,COUNTIFS($O$5:$O$504,TRUE,$AC$5:$AC$504,"&lt;"&amp;AC434)+COUNTIFS($O$5:O434,TRUE,$AC$5:AC434,AC434,$Y$5:Y434,"&gt;"&amp;Y434),0)</f>
        <v/>
      </c>
    </row>
    <row r="435">
      <c r="A435" s="17">
        <f>IF(COUNTA('Weekly Input'!A435:C435)=0,"",'Weekly Input'!B435&amp;"|"&amp;'Weekly Input'!C435&amp;"|"&amp;TEXT('Weekly Input'!A435,"yyyy-mm-dd"))</f>
        <v/>
      </c>
      <c r="B435" s="18">
        <f>'Weekly Input'!B435</f>
        <v/>
      </c>
      <c r="C435" s="18">
        <f>'Weekly Input'!C435</f>
        <v/>
      </c>
      <c r="D435" s="18">
        <f>IF(B435="","",IFERROR(INDEX('Master Data'!$B$6:$B$145,MATCH(B435,'Master Data'!$A$6:$A$145,0)),""))</f>
        <v/>
      </c>
      <c r="E435" s="18">
        <f>IF(C435="","",IFERROR(INDEX('Master Data'!$H$6:$H$13,MATCH(C435,'Master Data'!$F$6:$F$13,0)),""))</f>
        <v/>
      </c>
      <c r="F435" s="19">
        <f>'Weekly Input'!A435</f>
        <v/>
      </c>
      <c r="G435" s="19">
        <f>IF(B435="","",IFERROR(INDEX('Master Data'!$D$6:$D$145,MATCH(B435,'Master Data'!$A$6:$A$145,0)),""))</f>
        <v/>
      </c>
      <c r="H435" s="18">
        <f>IF(OR(F435="",G435=""),"",F435-G435)</f>
        <v/>
      </c>
      <c r="I435" s="18">
        <f>IF(B435="","",IF('Weekly Input'!J435="OK",TRUE,FALSE))</f>
        <v/>
      </c>
      <c r="J435" s="18">
        <f>IF(B435="","",'Weekly Input'!H435&gt;=MinInStockDays)</f>
        <v/>
      </c>
      <c r="K435" s="18">
        <f>IF(B435="","",H435&gt;=FullCycleMin)</f>
        <v/>
      </c>
      <c r="L435" s="18">
        <f>IF(B435="","",AND(I435,J435,K435,N435&gt;=MinHistory))</f>
        <v/>
      </c>
      <c r="M435" s="20">
        <f>IF(OR(B435="",'Weekly Input'!H435=0),"",'Weekly Input'!D435/'Weekly Input'!H435*7)</f>
        <v/>
      </c>
      <c r="N435" s="18">
        <f>IF(B435="","",COUNTIFS($B$5:$B$504,B435,$C$5:$C$504,C435,$I$5:$I$504,TRUE,$J$5:$J$504,TRUE,$K$5:$K$504,TRUE))</f>
        <v/>
      </c>
      <c r="O435" s="18">
        <f>IF(B435="","",AND(F435=AsOfWeek,AsOfWeek&lt;&gt;""))</f>
        <v/>
      </c>
      <c r="P435" s="20">
        <f>IF(OR(B435="",AsOfWeek=""),"",IFERROR(SUMIFS($M$5:$M$504,$B$5:$B$504,B435,$C$5:$C$504,C435,$L$5:$L$504,TRUE,$F$5:$F$504,"&gt;="&amp;AsOfWeek-7*(RecentWeeks-1),$F$5:$F$504,"&lt;="&amp;AsOfWeek),""))</f>
        <v/>
      </c>
      <c r="Q435" s="20">
        <f>IF(OR(B435="",AsOfWeek=""),"",IFERROR(SUMIFS($M$5:$M$504,$B$5:$B$504,B435,$C$5:$C$504,C435,$L$5:$L$504,TRUE,$F$5:$F$504,"&gt;="&amp;AsOfWeek-7*(RecentWeeks+PriorWeeks-1),$F$5:$F$504,"&lt;"&amp;AsOfWeek-7*(RecentWeeks-1)),""))</f>
        <v/>
      </c>
      <c r="R435" s="21">
        <f>IF(OR(P435="",Q435="",Q435=0),"",P435/Q435-1)</f>
        <v/>
      </c>
      <c r="S435" s="20">
        <f>IF(OR(C435="",AsOfWeek=""),"",IFERROR(AVERAGEIFS($M$5:$M$504,$C$5:$C$504,C435,$L$5:$L$504,TRUE,$F$5:$F$504,"&gt;="&amp;AsOfWeek-7*(RecentWeeks-1),$F$5:$F$504,"&lt;="&amp;AsOfWeek),""))</f>
        <v/>
      </c>
      <c r="T435" s="21">
        <f>IF(OR(P435="",S435=""),"",P435/S435-1)</f>
        <v/>
      </c>
      <c r="U435" s="22">
        <f>IF(OR(B435="",'Weekly Input'!G435="",P435="",P435=0),"",'Weekly Input'!G435/P435)</f>
        <v/>
      </c>
      <c r="V435" s="18">
        <f>IF(B435="","",IF(NOT(I435),"Not Ready",IF(NOT(K435),"Not Ready",IF(N435&lt;MinHistory,"Not Ready",IF(NOT(J435),"Not Ready",IF(OR(Q435="",Q435=0),"Noise",IF(Q435&lt;LowBaseThreshold,"Noise",IF(AND(R435&lt;=-OwnDecline,T435&lt;=-PeerGapThreshold),"Markdown Review",IF(AND(R435&gt;=ReorderUplift,U435&lt;&gt;"",U435&lt;=WeeksSupplyCap),"Reorder Candidate","Monitor"))))))))</f>
        <v/>
      </c>
      <c r="W435" s="18">
        <f>IF(B435="","",IF(NOT(I435),"INVALID_MASTER",IF(NOT(K435),"INCOMPLETE_SHELF_CYCLE",IF(N435&lt;MinHistory,"INSUFFICIENT_HISTORY",IF(NOT(J435),"INSUFFICIENT_IN_STOCK",IF(OR(Q435="",Q435=0),"NO_PRIOR_BASE",IF(Q435&lt;LowBaseThreshold,"LOW_BASE_NOISE",IF(V435="Markdown Review","MARKDOWN_PEER_GAP",IF(V435="Reorder Candidate","REORDER_UPLIFT_COVER","NO_MATERIAL_CHANGE"))))))))</f>
        <v/>
      </c>
      <c r="X435" s="18">
        <f>IF(V435="Markdown Review","Markdown support",IF(V435="Reorder Candidate","Second reorder",IF(V435="Monitor","Monitor",IF(V435="Noise","Hold / collect data",IF(V435="Not Ready","Not ready","")))))</f>
        <v/>
      </c>
      <c r="Y435" s="18">
        <f>IF(OR(R435="",T435=""),"",ABS(R435)+ABS(T435))</f>
        <v/>
      </c>
      <c r="Z435" s="21">
        <f>IF(OR(B435="",NOT(O435),R435=""),"",IF(ABS(R435)&gt;=MaterialThreshold,"Yes","No"))</f>
        <v/>
      </c>
      <c r="AA435" s="18">
        <f>IF(Z435&lt;&gt;"Yes","",IF(ABS(R435)&gt;=MaterialThreshold,IF(ABS(R435)&gt;=BroadShare,"Broad SKU movement","Store-concentrated movement"),""))</f>
        <v/>
      </c>
      <c r="AB435" s="18">
        <f>IF(O435,IF(COUNTIFS($O$5:O435,TRUE)&gt;0,COUNTIFS($O$5:O435,TRUE),0),0)</f>
        <v/>
      </c>
      <c r="AC435" s="18">
        <f>IF(V435="Markdown Review",1,IF(V435="Reorder Candidate",2,IF(V435="Monitor",3,IF(V435="Noise",4,IF(V435="Not Ready",5,99)))))</f>
        <v/>
      </c>
      <c r="AD435" s="18">
        <f>IF(O435,COUNTIFS($O$5:$O$504,TRUE,$AC$5:$AC$504,"&lt;"&amp;AC435)+COUNTIFS($O$5:O435,TRUE,$AC$5:AC435,AC435,$Y$5:Y435,"&gt;"&amp;Y435),0)</f>
        <v/>
      </c>
    </row>
    <row r="436">
      <c r="A436" s="17">
        <f>IF(COUNTA('Weekly Input'!A436:C436)=0,"",'Weekly Input'!B436&amp;"|"&amp;'Weekly Input'!C436&amp;"|"&amp;TEXT('Weekly Input'!A436,"yyyy-mm-dd"))</f>
        <v/>
      </c>
      <c r="B436" s="18">
        <f>'Weekly Input'!B436</f>
        <v/>
      </c>
      <c r="C436" s="18">
        <f>'Weekly Input'!C436</f>
        <v/>
      </c>
      <c r="D436" s="18">
        <f>IF(B436="","",IFERROR(INDEX('Master Data'!$B$6:$B$145,MATCH(B436,'Master Data'!$A$6:$A$145,0)),""))</f>
        <v/>
      </c>
      <c r="E436" s="18">
        <f>IF(C436="","",IFERROR(INDEX('Master Data'!$H$6:$H$13,MATCH(C436,'Master Data'!$F$6:$F$13,0)),""))</f>
        <v/>
      </c>
      <c r="F436" s="19">
        <f>'Weekly Input'!A436</f>
        <v/>
      </c>
      <c r="G436" s="19">
        <f>IF(B436="","",IFERROR(INDEX('Master Data'!$D$6:$D$145,MATCH(B436,'Master Data'!$A$6:$A$145,0)),""))</f>
        <v/>
      </c>
      <c r="H436" s="18">
        <f>IF(OR(F436="",G436=""),"",F436-G436)</f>
        <v/>
      </c>
      <c r="I436" s="18">
        <f>IF(B436="","",IF('Weekly Input'!J436="OK",TRUE,FALSE))</f>
        <v/>
      </c>
      <c r="J436" s="18">
        <f>IF(B436="","",'Weekly Input'!H436&gt;=MinInStockDays)</f>
        <v/>
      </c>
      <c r="K436" s="18">
        <f>IF(B436="","",H436&gt;=FullCycleMin)</f>
        <v/>
      </c>
      <c r="L436" s="18">
        <f>IF(B436="","",AND(I436,J436,K436,N436&gt;=MinHistory))</f>
        <v/>
      </c>
      <c r="M436" s="20">
        <f>IF(OR(B436="",'Weekly Input'!H436=0),"",'Weekly Input'!D436/'Weekly Input'!H436*7)</f>
        <v/>
      </c>
      <c r="N436" s="18">
        <f>IF(B436="","",COUNTIFS($B$5:$B$504,B436,$C$5:$C$504,C436,$I$5:$I$504,TRUE,$J$5:$J$504,TRUE,$K$5:$K$504,TRUE))</f>
        <v/>
      </c>
      <c r="O436" s="18">
        <f>IF(B436="","",AND(F436=AsOfWeek,AsOfWeek&lt;&gt;""))</f>
        <v/>
      </c>
      <c r="P436" s="20">
        <f>IF(OR(B436="",AsOfWeek=""),"",IFERROR(SUMIFS($M$5:$M$504,$B$5:$B$504,B436,$C$5:$C$504,C436,$L$5:$L$504,TRUE,$F$5:$F$504,"&gt;="&amp;AsOfWeek-7*(RecentWeeks-1),$F$5:$F$504,"&lt;="&amp;AsOfWeek),""))</f>
        <v/>
      </c>
      <c r="Q436" s="20">
        <f>IF(OR(B436="",AsOfWeek=""),"",IFERROR(SUMIFS($M$5:$M$504,$B$5:$B$504,B436,$C$5:$C$504,C436,$L$5:$L$504,TRUE,$F$5:$F$504,"&gt;="&amp;AsOfWeek-7*(RecentWeeks+PriorWeeks-1),$F$5:$F$504,"&lt;"&amp;AsOfWeek-7*(RecentWeeks-1)),""))</f>
        <v/>
      </c>
      <c r="R436" s="21">
        <f>IF(OR(P436="",Q436="",Q436=0),"",P436/Q436-1)</f>
        <v/>
      </c>
      <c r="S436" s="20">
        <f>IF(OR(C436="",AsOfWeek=""),"",IFERROR(AVERAGEIFS($M$5:$M$504,$C$5:$C$504,C436,$L$5:$L$504,TRUE,$F$5:$F$504,"&gt;="&amp;AsOfWeek-7*(RecentWeeks-1),$F$5:$F$504,"&lt;="&amp;AsOfWeek),""))</f>
        <v/>
      </c>
      <c r="T436" s="21">
        <f>IF(OR(P436="",S436=""),"",P436/S436-1)</f>
        <v/>
      </c>
      <c r="U436" s="22">
        <f>IF(OR(B436="",'Weekly Input'!G436="",P436="",P436=0),"",'Weekly Input'!G436/P436)</f>
        <v/>
      </c>
      <c r="V436" s="18">
        <f>IF(B436="","",IF(NOT(I436),"Not Ready",IF(NOT(K436),"Not Ready",IF(N436&lt;MinHistory,"Not Ready",IF(NOT(J436),"Not Ready",IF(OR(Q436="",Q436=0),"Noise",IF(Q436&lt;LowBaseThreshold,"Noise",IF(AND(R436&lt;=-OwnDecline,T436&lt;=-PeerGapThreshold),"Markdown Review",IF(AND(R436&gt;=ReorderUplift,U436&lt;&gt;"",U436&lt;=WeeksSupplyCap),"Reorder Candidate","Monitor"))))))))</f>
        <v/>
      </c>
      <c r="W436" s="18">
        <f>IF(B436="","",IF(NOT(I436),"INVALID_MASTER",IF(NOT(K436),"INCOMPLETE_SHELF_CYCLE",IF(N436&lt;MinHistory,"INSUFFICIENT_HISTORY",IF(NOT(J436),"INSUFFICIENT_IN_STOCK",IF(OR(Q436="",Q436=0),"NO_PRIOR_BASE",IF(Q436&lt;LowBaseThreshold,"LOW_BASE_NOISE",IF(V436="Markdown Review","MARKDOWN_PEER_GAP",IF(V436="Reorder Candidate","REORDER_UPLIFT_COVER","NO_MATERIAL_CHANGE"))))))))</f>
        <v/>
      </c>
      <c r="X436" s="18">
        <f>IF(V436="Markdown Review","Markdown support",IF(V436="Reorder Candidate","Second reorder",IF(V436="Monitor","Monitor",IF(V436="Noise","Hold / collect data",IF(V436="Not Ready","Not ready","")))))</f>
        <v/>
      </c>
      <c r="Y436" s="18">
        <f>IF(OR(R436="",T436=""),"",ABS(R436)+ABS(T436))</f>
        <v/>
      </c>
      <c r="Z436" s="21">
        <f>IF(OR(B436="",NOT(O436),R436=""),"",IF(ABS(R436)&gt;=MaterialThreshold,"Yes","No"))</f>
        <v/>
      </c>
      <c r="AA436" s="18">
        <f>IF(Z436&lt;&gt;"Yes","",IF(ABS(R436)&gt;=MaterialThreshold,IF(ABS(R436)&gt;=BroadShare,"Broad SKU movement","Store-concentrated movement"),""))</f>
        <v/>
      </c>
      <c r="AB436" s="18">
        <f>IF(O436,IF(COUNTIFS($O$5:O436,TRUE)&gt;0,COUNTIFS($O$5:O436,TRUE),0),0)</f>
        <v/>
      </c>
      <c r="AC436" s="18">
        <f>IF(V436="Markdown Review",1,IF(V436="Reorder Candidate",2,IF(V436="Monitor",3,IF(V436="Noise",4,IF(V436="Not Ready",5,99)))))</f>
        <v/>
      </c>
      <c r="AD436" s="18">
        <f>IF(O436,COUNTIFS($O$5:$O$504,TRUE,$AC$5:$AC$504,"&lt;"&amp;AC436)+COUNTIFS($O$5:O436,TRUE,$AC$5:AC436,AC436,$Y$5:Y436,"&gt;"&amp;Y436),0)</f>
        <v/>
      </c>
    </row>
    <row r="437">
      <c r="A437" s="17">
        <f>IF(COUNTA('Weekly Input'!A437:C437)=0,"",'Weekly Input'!B437&amp;"|"&amp;'Weekly Input'!C437&amp;"|"&amp;TEXT('Weekly Input'!A437,"yyyy-mm-dd"))</f>
        <v/>
      </c>
      <c r="B437" s="18">
        <f>'Weekly Input'!B437</f>
        <v/>
      </c>
      <c r="C437" s="18">
        <f>'Weekly Input'!C437</f>
        <v/>
      </c>
      <c r="D437" s="18">
        <f>IF(B437="","",IFERROR(INDEX('Master Data'!$B$6:$B$145,MATCH(B437,'Master Data'!$A$6:$A$145,0)),""))</f>
        <v/>
      </c>
      <c r="E437" s="18">
        <f>IF(C437="","",IFERROR(INDEX('Master Data'!$H$6:$H$13,MATCH(C437,'Master Data'!$F$6:$F$13,0)),""))</f>
        <v/>
      </c>
      <c r="F437" s="19">
        <f>'Weekly Input'!A437</f>
        <v/>
      </c>
      <c r="G437" s="19">
        <f>IF(B437="","",IFERROR(INDEX('Master Data'!$D$6:$D$145,MATCH(B437,'Master Data'!$A$6:$A$145,0)),""))</f>
        <v/>
      </c>
      <c r="H437" s="18">
        <f>IF(OR(F437="",G437=""),"",F437-G437)</f>
        <v/>
      </c>
      <c r="I437" s="18">
        <f>IF(B437="","",IF('Weekly Input'!J437="OK",TRUE,FALSE))</f>
        <v/>
      </c>
      <c r="J437" s="18">
        <f>IF(B437="","",'Weekly Input'!H437&gt;=MinInStockDays)</f>
        <v/>
      </c>
      <c r="K437" s="18">
        <f>IF(B437="","",H437&gt;=FullCycleMin)</f>
        <v/>
      </c>
      <c r="L437" s="18">
        <f>IF(B437="","",AND(I437,J437,K437,N437&gt;=MinHistory))</f>
        <v/>
      </c>
      <c r="M437" s="20">
        <f>IF(OR(B437="",'Weekly Input'!H437=0),"",'Weekly Input'!D437/'Weekly Input'!H437*7)</f>
        <v/>
      </c>
      <c r="N437" s="18">
        <f>IF(B437="","",COUNTIFS($B$5:$B$504,B437,$C$5:$C$504,C437,$I$5:$I$504,TRUE,$J$5:$J$504,TRUE,$K$5:$K$504,TRUE))</f>
        <v/>
      </c>
      <c r="O437" s="18">
        <f>IF(B437="","",AND(F437=AsOfWeek,AsOfWeek&lt;&gt;""))</f>
        <v/>
      </c>
      <c r="P437" s="20">
        <f>IF(OR(B437="",AsOfWeek=""),"",IFERROR(SUMIFS($M$5:$M$504,$B$5:$B$504,B437,$C$5:$C$504,C437,$L$5:$L$504,TRUE,$F$5:$F$504,"&gt;="&amp;AsOfWeek-7*(RecentWeeks-1),$F$5:$F$504,"&lt;="&amp;AsOfWeek),""))</f>
        <v/>
      </c>
      <c r="Q437" s="20">
        <f>IF(OR(B437="",AsOfWeek=""),"",IFERROR(SUMIFS($M$5:$M$504,$B$5:$B$504,B437,$C$5:$C$504,C437,$L$5:$L$504,TRUE,$F$5:$F$504,"&gt;="&amp;AsOfWeek-7*(RecentWeeks+PriorWeeks-1),$F$5:$F$504,"&lt;"&amp;AsOfWeek-7*(RecentWeeks-1)),""))</f>
        <v/>
      </c>
      <c r="R437" s="21">
        <f>IF(OR(P437="",Q437="",Q437=0),"",P437/Q437-1)</f>
        <v/>
      </c>
      <c r="S437" s="20">
        <f>IF(OR(C437="",AsOfWeek=""),"",IFERROR(AVERAGEIFS($M$5:$M$504,$C$5:$C$504,C437,$L$5:$L$504,TRUE,$F$5:$F$504,"&gt;="&amp;AsOfWeek-7*(RecentWeeks-1),$F$5:$F$504,"&lt;="&amp;AsOfWeek),""))</f>
        <v/>
      </c>
      <c r="T437" s="21">
        <f>IF(OR(P437="",S437=""),"",P437/S437-1)</f>
        <v/>
      </c>
      <c r="U437" s="22">
        <f>IF(OR(B437="",'Weekly Input'!G437="",P437="",P437=0),"",'Weekly Input'!G437/P437)</f>
        <v/>
      </c>
      <c r="V437" s="18">
        <f>IF(B437="","",IF(NOT(I437),"Not Ready",IF(NOT(K437),"Not Ready",IF(N437&lt;MinHistory,"Not Ready",IF(NOT(J437),"Not Ready",IF(OR(Q437="",Q437=0),"Noise",IF(Q437&lt;LowBaseThreshold,"Noise",IF(AND(R437&lt;=-OwnDecline,T437&lt;=-PeerGapThreshold),"Markdown Review",IF(AND(R437&gt;=ReorderUplift,U437&lt;&gt;"",U437&lt;=WeeksSupplyCap),"Reorder Candidate","Monitor"))))))))</f>
        <v/>
      </c>
      <c r="W437" s="18">
        <f>IF(B437="","",IF(NOT(I437),"INVALID_MASTER",IF(NOT(K437),"INCOMPLETE_SHELF_CYCLE",IF(N437&lt;MinHistory,"INSUFFICIENT_HISTORY",IF(NOT(J437),"INSUFFICIENT_IN_STOCK",IF(OR(Q437="",Q437=0),"NO_PRIOR_BASE",IF(Q437&lt;LowBaseThreshold,"LOW_BASE_NOISE",IF(V437="Markdown Review","MARKDOWN_PEER_GAP",IF(V437="Reorder Candidate","REORDER_UPLIFT_COVER","NO_MATERIAL_CHANGE"))))))))</f>
        <v/>
      </c>
      <c r="X437" s="18">
        <f>IF(V437="Markdown Review","Markdown support",IF(V437="Reorder Candidate","Second reorder",IF(V437="Monitor","Monitor",IF(V437="Noise","Hold / collect data",IF(V437="Not Ready","Not ready","")))))</f>
        <v/>
      </c>
      <c r="Y437" s="18">
        <f>IF(OR(R437="",T437=""),"",ABS(R437)+ABS(T437))</f>
        <v/>
      </c>
      <c r="Z437" s="21">
        <f>IF(OR(B437="",NOT(O437),R437=""),"",IF(ABS(R437)&gt;=MaterialThreshold,"Yes","No"))</f>
        <v/>
      </c>
      <c r="AA437" s="18">
        <f>IF(Z437&lt;&gt;"Yes","",IF(ABS(R437)&gt;=MaterialThreshold,IF(ABS(R437)&gt;=BroadShare,"Broad SKU movement","Store-concentrated movement"),""))</f>
        <v/>
      </c>
      <c r="AB437" s="18">
        <f>IF(O437,IF(COUNTIFS($O$5:O437,TRUE)&gt;0,COUNTIFS($O$5:O437,TRUE),0),0)</f>
        <v/>
      </c>
      <c r="AC437" s="18">
        <f>IF(V437="Markdown Review",1,IF(V437="Reorder Candidate",2,IF(V437="Monitor",3,IF(V437="Noise",4,IF(V437="Not Ready",5,99)))))</f>
        <v/>
      </c>
      <c r="AD437" s="18">
        <f>IF(O437,COUNTIFS($O$5:$O$504,TRUE,$AC$5:$AC$504,"&lt;"&amp;AC437)+COUNTIFS($O$5:O437,TRUE,$AC$5:AC437,AC437,$Y$5:Y437,"&gt;"&amp;Y437),0)</f>
        <v/>
      </c>
    </row>
    <row r="438">
      <c r="A438" s="17">
        <f>IF(COUNTA('Weekly Input'!A438:C438)=0,"",'Weekly Input'!B438&amp;"|"&amp;'Weekly Input'!C438&amp;"|"&amp;TEXT('Weekly Input'!A438,"yyyy-mm-dd"))</f>
        <v/>
      </c>
      <c r="B438" s="18">
        <f>'Weekly Input'!B438</f>
        <v/>
      </c>
      <c r="C438" s="18">
        <f>'Weekly Input'!C438</f>
        <v/>
      </c>
      <c r="D438" s="18">
        <f>IF(B438="","",IFERROR(INDEX('Master Data'!$B$6:$B$145,MATCH(B438,'Master Data'!$A$6:$A$145,0)),""))</f>
        <v/>
      </c>
      <c r="E438" s="18">
        <f>IF(C438="","",IFERROR(INDEX('Master Data'!$H$6:$H$13,MATCH(C438,'Master Data'!$F$6:$F$13,0)),""))</f>
        <v/>
      </c>
      <c r="F438" s="19">
        <f>'Weekly Input'!A438</f>
        <v/>
      </c>
      <c r="G438" s="19">
        <f>IF(B438="","",IFERROR(INDEX('Master Data'!$D$6:$D$145,MATCH(B438,'Master Data'!$A$6:$A$145,0)),""))</f>
        <v/>
      </c>
      <c r="H438" s="18">
        <f>IF(OR(F438="",G438=""),"",F438-G438)</f>
        <v/>
      </c>
      <c r="I438" s="18">
        <f>IF(B438="","",IF('Weekly Input'!J438="OK",TRUE,FALSE))</f>
        <v/>
      </c>
      <c r="J438" s="18">
        <f>IF(B438="","",'Weekly Input'!H438&gt;=MinInStockDays)</f>
        <v/>
      </c>
      <c r="K438" s="18">
        <f>IF(B438="","",H438&gt;=FullCycleMin)</f>
        <v/>
      </c>
      <c r="L438" s="18">
        <f>IF(B438="","",AND(I438,J438,K438,N438&gt;=MinHistory))</f>
        <v/>
      </c>
      <c r="M438" s="20">
        <f>IF(OR(B438="",'Weekly Input'!H438=0),"",'Weekly Input'!D438/'Weekly Input'!H438*7)</f>
        <v/>
      </c>
      <c r="N438" s="18">
        <f>IF(B438="","",COUNTIFS($B$5:$B$504,B438,$C$5:$C$504,C438,$I$5:$I$504,TRUE,$J$5:$J$504,TRUE,$K$5:$K$504,TRUE))</f>
        <v/>
      </c>
      <c r="O438" s="18">
        <f>IF(B438="","",AND(F438=AsOfWeek,AsOfWeek&lt;&gt;""))</f>
        <v/>
      </c>
      <c r="P438" s="20">
        <f>IF(OR(B438="",AsOfWeek=""),"",IFERROR(SUMIFS($M$5:$M$504,$B$5:$B$504,B438,$C$5:$C$504,C438,$L$5:$L$504,TRUE,$F$5:$F$504,"&gt;="&amp;AsOfWeek-7*(RecentWeeks-1),$F$5:$F$504,"&lt;="&amp;AsOfWeek),""))</f>
        <v/>
      </c>
      <c r="Q438" s="20">
        <f>IF(OR(B438="",AsOfWeek=""),"",IFERROR(SUMIFS($M$5:$M$504,$B$5:$B$504,B438,$C$5:$C$504,C438,$L$5:$L$504,TRUE,$F$5:$F$504,"&gt;="&amp;AsOfWeek-7*(RecentWeeks+PriorWeeks-1),$F$5:$F$504,"&lt;"&amp;AsOfWeek-7*(RecentWeeks-1)),""))</f>
        <v/>
      </c>
      <c r="R438" s="21">
        <f>IF(OR(P438="",Q438="",Q438=0),"",P438/Q438-1)</f>
        <v/>
      </c>
      <c r="S438" s="20">
        <f>IF(OR(C438="",AsOfWeek=""),"",IFERROR(AVERAGEIFS($M$5:$M$504,$C$5:$C$504,C438,$L$5:$L$504,TRUE,$F$5:$F$504,"&gt;="&amp;AsOfWeek-7*(RecentWeeks-1),$F$5:$F$504,"&lt;="&amp;AsOfWeek),""))</f>
        <v/>
      </c>
      <c r="T438" s="21">
        <f>IF(OR(P438="",S438=""),"",P438/S438-1)</f>
        <v/>
      </c>
      <c r="U438" s="22">
        <f>IF(OR(B438="",'Weekly Input'!G438="",P438="",P438=0),"",'Weekly Input'!G438/P438)</f>
        <v/>
      </c>
      <c r="V438" s="18">
        <f>IF(B438="","",IF(NOT(I438),"Not Ready",IF(NOT(K438),"Not Ready",IF(N438&lt;MinHistory,"Not Ready",IF(NOT(J438),"Not Ready",IF(OR(Q438="",Q438=0),"Noise",IF(Q438&lt;LowBaseThreshold,"Noise",IF(AND(R438&lt;=-OwnDecline,T438&lt;=-PeerGapThreshold),"Markdown Review",IF(AND(R438&gt;=ReorderUplift,U438&lt;&gt;"",U438&lt;=WeeksSupplyCap),"Reorder Candidate","Monitor"))))))))</f>
        <v/>
      </c>
      <c r="W438" s="18">
        <f>IF(B438="","",IF(NOT(I438),"INVALID_MASTER",IF(NOT(K438),"INCOMPLETE_SHELF_CYCLE",IF(N438&lt;MinHistory,"INSUFFICIENT_HISTORY",IF(NOT(J438),"INSUFFICIENT_IN_STOCK",IF(OR(Q438="",Q438=0),"NO_PRIOR_BASE",IF(Q438&lt;LowBaseThreshold,"LOW_BASE_NOISE",IF(V438="Markdown Review","MARKDOWN_PEER_GAP",IF(V438="Reorder Candidate","REORDER_UPLIFT_COVER","NO_MATERIAL_CHANGE"))))))))</f>
        <v/>
      </c>
      <c r="X438" s="18">
        <f>IF(V438="Markdown Review","Markdown support",IF(V438="Reorder Candidate","Second reorder",IF(V438="Monitor","Monitor",IF(V438="Noise","Hold / collect data",IF(V438="Not Ready","Not ready","")))))</f>
        <v/>
      </c>
      <c r="Y438" s="18">
        <f>IF(OR(R438="",T438=""),"",ABS(R438)+ABS(T438))</f>
        <v/>
      </c>
      <c r="Z438" s="21">
        <f>IF(OR(B438="",NOT(O438),R438=""),"",IF(ABS(R438)&gt;=MaterialThreshold,"Yes","No"))</f>
        <v/>
      </c>
      <c r="AA438" s="18">
        <f>IF(Z438&lt;&gt;"Yes","",IF(ABS(R438)&gt;=MaterialThreshold,IF(ABS(R438)&gt;=BroadShare,"Broad SKU movement","Store-concentrated movement"),""))</f>
        <v/>
      </c>
      <c r="AB438" s="18">
        <f>IF(O438,IF(COUNTIFS($O$5:O438,TRUE)&gt;0,COUNTIFS($O$5:O438,TRUE),0),0)</f>
        <v/>
      </c>
      <c r="AC438" s="18">
        <f>IF(V438="Markdown Review",1,IF(V438="Reorder Candidate",2,IF(V438="Monitor",3,IF(V438="Noise",4,IF(V438="Not Ready",5,99)))))</f>
        <v/>
      </c>
      <c r="AD438" s="18">
        <f>IF(O438,COUNTIFS($O$5:$O$504,TRUE,$AC$5:$AC$504,"&lt;"&amp;AC438)+COUNTIFS($O$5:O438,TRUE,$AC$5:AC438,AC438,$Y$5:Y438,"&gt;"&amp;Y438),0)</f>
        <v/>
      </c>
    </row>
    <row r="439">
      <c r="A439" s="17">
        <f>IF(COUNTA('Weekly Input'!A439:C439)=0,"",'Weekly Input'!B439&amp;"|"&amp;'Weekly Input'!C439&amp;"|"&amp;TEXT('Weekly Input'!A439,"yyyy-mm-dd"))</f>
        <v/>
      </c>
      <c r="B439" s="18">
        <f>'Weekly Input'!B439</f>
        <v/>
      </c>
      <c r="C439" s="18">
        <f>'Weekly Input'!C439</f>
        <v/>
      </c>
      <c r="D439" s="18">
        <f>IF(B439="","",IFERROR(INDEX('Master Data'!$B$6:$B$145,MATCH(B439,'Master Data'!$A$6:$A$145,0)),""))</f>
        <v/>
      </c>
      <c r="E439" s="18">
        <f>IF(C439="","",IFERROR(INDEX('Master Data'!$H$6:$H$13,MATCH(C439,'Master Data'!$F$6:$F$13,0)),""))</f>
        <v/>
      </c>
      <c r="F439" s="19">
        <f>'Weekly Input'!A439</f>
        <v/>
      </c>
      <c r="G439" s="19">
        <f>IF(B439="","",IFERROR(INDEX('Master Data'!$D$6:$D$145,MATCH(B439,'Master Data'!$A$6:$A$145,0)),""))</f>
        <v/>
      </c>
      <c r="H439" s="18">
        <f>IF(OR(F439="",G439=""),"",F439-G439)</f>
        <v/>
      </c>
      <c r="I439" s="18">
        <f>IF(B439="","",IF('Weekly Input'!J439="OK",TRUE,FALSE))</f>
        <v/>
      </c>
      <c r="J439" s="18">
        <f>IF(B439="","",'Weekly Input'!H439&gt;=MinInStockDays)</f>
        <v/>
      </c>
      <c r="K439" s="18">
        <f>IF(B439="","",H439&gt;=FullCycleMin)</f>
        <v/>
      </c>
      <c r="L439" s="18">
        <f>IF(B439="","",AND(I439,J439,K439,N439&gt;=MinHistory))</f>
        <v/>
      </c>
      <c r="M439" s="20">
        <f>IF(OR(B439="",'Weekly Input'!H439=0),"",'Weekly Input'!D439/'Weekly Input'!H439*7)</f>
        <v/>
      </c>
      <c r="N439" s="18">
        <f>IF(B439="","",COUNTIFS($B$5:$B$504,B439,$C$5:$C$504,C439,$I$5:$I$504,TRUE,$J$5:$J$504,TRUE,$K$5:$K$504,TRUE))</f>
        <v/>
      </c>
      <c r="O439" s="18">
        <f>IF(B439="","",AND(F439=AsOfWeek,AsOfWeek&lt;&gt;""))</f>
        <v/>
      </c>
      <c r="P439" s="20">
        <f>IF(OR(B439="",AsOfWeek=""),"",IFERROR(SUMIFS($M$5:$M$504,$B$5:$B$504,B439,$C$5:$C$504,C439,$L$5:$L$504,TRUE,$F$5:$F$504,"&gt;="&amp;AsOfWeek-7*(RecentWeeks-1),$F$5:$F$504,"&lt;="&amp;AsOfWeek),""))</f>
        <v/>
      </c>
      <c r="Q439" s="20">
        <f>IF(OR(B439="",AsOfWeek=""),"",IFERROR(SUMIFS($M$5:$M$504,$B$5:$B$504,B439,$C$5:$C$504,C439,$L$5:$L$504,TRUE,$F$5:$F$504,"&gt;="&amp;AsOfWeek-7*(RecentWeeks+PriorWeeks-1),$F$5:$F$504,"&lt;"&amp;AsOfWeek-7*(RecentWeeks-1)),""))</f>
        <v/>
      </c>
      <c r="R439" s="21">
        <f>IF(OR(P439="",Q439="",Q439=0),"",P439/Q439-1)</f>
        <v/>
      </c>
      <c r="S439" s="20">
        <f>IF(OR(C439="",AsOfWeek=""),"",IFERROR(AVERAGEIFS($M$5:$M$504,$C$5:$C$504,C439,$L$5:$L$504,TRUE,$F$5:$F$504,"&gt;="&amp;AsOfWeek-7*(RecentWeeks-1),$F$5:$F$504,"&lt;="&amp;AsOfWeek),""))</f>
        <v/>
      </c>
      <c r="T439" s="21">
        <f>IF(OR(P439="",S439=""),"",P439/S439-1)</f>
        <v/>
      </c>
      <c r="U439" s="22">
        <f>IF(OR(B439="",'Weekly Input'!G439="",P439="",P439=0),"",'Weekly Input'!G439/P439)</f>
        <v/>
      </c>
      <c r="V439" s="18">
        <f>IF(B439="","",IF(NOT(I439),"Not Ready",IF(NOT(K439),"Not Ready",IF(N439&lt;MinHistory,"Not Ready",IF(NOT(J439),"Not Ready",IF(OR(Q439="",Q439=0),"Noise",IF(Q439&lt;LowBaseThreshold,"Noise",IF(AND(R439&lt;=-OwnDecline,T439&lt;=-PeerGapThreshold),"Markdown Review",IF(AND(R439&gt;=ReorderUplift,U439&lt;&gt;"",U439&lt;=WeeksSupplyCap),"Reorder Candidate","Monitor"))))))))</f>
        <v/>
      </c>
      <c r="W439" s="18">
        <f>IF(B439="","",IF(NOT(I439),"INVALID_MASTER",IF(NOT(K439),"INCOMPLETE_SHELF_CYCLE",IF(N439&lt;MinHistory,"INSUFFICIENT_HISTORY",IF(NOT(J439),"INSUFFICIENT_IN_STOCK",IF(OR(Q439="",Q439=0),"NO_PRIOR_BASE",IF(Q439&lt;LowBaseThreshold,"LOW_BASE_NOISE",IF(V439="Markdown Review","MARKDOWN_PEER_GAP",IF(V439="Reorder Candidate","REORDER_UPLIFT_COVER","NO_MATERIAL_CHANGE"))))))))</f>
        <v/>
      </c>
      <c r="X439" s="18">
        <f>IF(V439="Markdown Review","Markdown support",IF(V439="Reorder Candidate","Second reorder",IF(V439="Monitor","Monitor",IF(V439="Noise","Hold / collect data",IF(V439="Not Ready","Not ready","")))))</f>
        <v/>
      </c>
      <c r="Y439" s="18">
        <f>IF(OR(R439="",T439=""),"",ABS(R439)+ABS(T439))</f>
        <v/>
      </c>
      <c r="Z439" s="21">
        <f>IF(OR(B439="",NOT(O439),R439=""),"",IF(ABS(R439)&gt;=MaterialThreshold,"Yes","No"))</f>
        <v/>
      </c>
      <c r="AA439" s="18">
        <f>IF(Z439&lt;&gt;"Yes","",IF(ABS(R439)&gt;=MaterialThreshold,IF(ABS(R439)&gt;=BroadShare,"Broad SKU movement","Store-concentrated movement"),""))</f>
        <v/>
      </c>
      <c r="AB439" s="18">
        <f>IF(O439,IF(COUNTIFS($O$5:O439,TRUE)&gt;0,COUNTIFS($O$5:O439,TRUE),0),0)</f>
        <v/>
      </c>
      <c r="AC439" s="18">
        <f>IF(V439="Markdown Review",1,IF(V439="Reorder Candidate",2,IF(V439="Monitor",3,IF(V439="Noise",4,IF(V439="Not Ready",5,99)))))</f>
        <v/>
      </c>
      <c r="AD439" s="18">
        <f>IF(O439,COUNTIFS($O$5:$O$504,TRUE,$AC$5:$AC$504,"&lt;"&amp;AC439)+COUNTIFS($O$5:O439,TRUE,$AC$5:AC439,AC439,$Y$5:Y439,"&gt;"&amp;Y439),0)</f>
        <v/>
      </c>
    </row>
    <row r="440">
      <c r="A440" s="17">
        <f>IF(COUNTA('Weekly Input'!A440:C440)=0,"",'Weekly Input'!B440&amp;"|"&amp;'Weekly Input'!C440&amp;"|"&amp;TEXT('Weekly Input'!A440,"yyyy-mm-dd"))</f>
        <v/>
      </c>
      <c r="B440" s="18">
        <f>'Weekly Input'!B440</f>
        <v/>
      </c>
      <c r="C440" s="18">
        <f>'Weekly Input'!C440</f>
        <v/>
      </c>
      <c r="D440" s="18">
        <f>IF(B440="","",IFERROR(INDEX('Master Data'!$B$6:$B$145,MATCH(B440,'Master Data'!$A$6:$A$145,0)),""))</f>
        <v/>
      </c>
      <c r="E440" s="18">
        <f>IF(C440="","",IFERROR(INDEX('Master Data'!$H$6:$H$13,MATCH(C440,'Master Data'!$F$6:$F$13,0)),""))</f>
        <v/>
      </c>
      <c r="F440" s="19">
        <f>'Weekly Input'!A440</f>
        <v/>
      </c>
      <c r="G440" s="19">
        <f>IF(B440="","",IFERROR(INDEX('Master Data'!$D$6:$D$145,MATCH(B440,'Master Data'!$A$6:$A$145,0)),""))</f>
        <v/>
      </c>
      <c r="H440" s="18">
        <f>IF(OR(F440="",G440=""),"",F440-G440)</f>
        <v/>
      </c>
      <c r="I440" s="18">
        <f>IF(B440="","",IF('Weekly Input'!J440="OK",TRUE,FALSE))</f>
        <v/>
      </c>
      <c r="J440" s="18">
        <f>IF(B440="","",'Weekly Input'!H440&gt;=MinInStockDays)</f>
        <v/>
      </c>
      <c r="K440" s="18">
        <f>IF(B440="","",H440&gt;=FullCycleMin)</f>
        <v/>
      </c>
      <c r="L440" s="18">
        <f>IF(B440="","",AND(I440,J440,K440,N440&gt;=MinHistory))</f>
        <v/>
      </c>
      <c r="M440" s="20">
        <f>IF(OR(B440="",'Weekly Input'!H440=0),"",'Weekly Input'!D440/'Weekly Input'!H440*7)</f>
        <v/>
      </c>
      <c r="N440" s="18">
        <f>IF(B440="","",COUNTIFS($B$5:$B$504,B440,$C$5:$C$504,C440,$I$5:$I$504,TRUE,$J$5:$J$504,TRUE,$K$5:$K$504,TRUE))</f>
        <v/>
      </c>
      <c r="O440" s="18">
        <f>IF(B440="","",AND(F440=AsOfWeek,AsOfWeek&lt;&gt;""))</f>
        <v/>
      </c>
      <c r="P440" s="20">
        <f>IF(OR(B440="",AsOfWeek=""),"",IFERROR(SUMIFS($M$5:$M$504,$B$5:$B$504,B440,$C$5:$C$504,C440,$L$5:$L$504,TRUE,$F$5:$F$504,"&gt;="&amp;AsOfWeek-7*(RecentWeeks-1),$F$5:$F$504,"&lt;="&amp;AsOfWeek),""))</f>
        <v/>
      </c>
      <c r="Q440" s="20">
        <f>IF(OR(B440="",AsOfWeek=""),"",IFERROR(SUMIFS($M$5:$M$504,$B$5:$B$504,B440,$C$5:$C$504,C440,$L$5:$L$504,TRUE,$F$5:$F$504,"&gt;="&amp;AsOfWeek-7*(RecentWeeks+PriorWeeks-1),$F$5:$F$504,"&lt;"&amp;AsOfWeek-7*(RecentWeeks-1)),""))</f>
        <v/>
      </c>
      <c r="R440" s="21">
        <f>IF(OR(P440="",Q440="",Q440=0),"",P440/Q440-1)</f>
        <v/>
      </c>
      <c r="S440" s="20">
        <f>IF(OR(C440="",AsOfWeek=""),"",IFERROR(AVERAGEIFS($M$5:$M$504,$C$5:$C$504,C440,$L$5:$L$504,TRUE,$F$5:$F$504,"&gt;="&amp;AsOfWeek-7*(RecentWeeks-1),$F$5:$F$504,"&lt;="&amp;AsOfWeek),""))</f>
        <v/>
      </c>
      <c r="T440" s="21">
        <f>IF(OR(P440="",S440=""),"",P440/S440-1)</f>
        <v/>
      </c>
      <c r="U440" s="22">
        <f>IF(OR(B440="",'Weekly Input'!G440="",P440="",P440=0),"",'Weekly Input'!G440/P440)</f>
        <v/>
      </c>
      <c r="V440" s="18">
        <f>IF(B440="","",IF(NOT(I440),"Not Ready",IF(NOT(K440),"Not Ready",IF(N440&lt;MinHistory,"Not Ready",IF(NOT(J440),"Not Ready",IF(OR(Q440="",Q440=0),"Noise",IF(Q440&lt;LowBaseThreshold,"Noise",IF(AND(R440&lt;=-OwnDecline,T440&lt;=-PeerGapThreshold),"Markdown Review",IF(AND(R440&gt;=ReorderUplift,U440&lt;&gt;"",U440&lt;=WeeksSupplyCap),"Reorder Candidate","Monitor"))))))))</f>
        <v/>
      </c>
      <c r="W440" s="18">
        <f>IF(B440="","",IF(NOT(I440),"INVALID_MASTER",IF(NOT(K440),"INCOMPLETE_SHELF_CYCLE",IF(N440&lt;MinHistory,"INSUFFICIENT_HISTORY",IF(NOT(J440),"INSUFFICIENT_IN_STOCK",IF(OR(Q440="",Q440=0),"NO_PRIOR_BASE",IF(Q440&lt;LowBaseThreshold,"LOW_BASE_NOISE",IF(V440="Markdown Review","MARKDOWN_PEER_GAP",IF(V440="Reorder Candidate","REORDER_UPLIFT_COVER","NO_MATERIAL_CHANGE"))))))))</f>
        <v/>
      </c>
      <c r="X440" s="18">
        <f>IF(V440="Markdown Review","Markdown support",IF(V440="Reorder Candidate","Second reorder",IF(V440="Monitor","Monitor",IF(V440="Noise","Hold / collect data",IF(V440="Not Ready","Not ready","")))))</f>
        <v/>
      </c>
      <c r="Y440" s="18">
        <f>IF(OR(R440="",T440=""),"",ABS(R440)+ABS(T440))</f>
        <v/>
      </c>
      <c r="Z440" s="21">
        <f>IF(OR(B440="",NOT(O440),R440=""),"",IF(ABS(R440)&gt;=MaterialThreshold,"Yes","No"))</f>
        <v/>
      </c>
      <c r="AA440" s="18">
        <f>IF(Z440&lt;&gt;"Yes","",IF(ABS(R440)&gt;=MaterialThreshold,IF(ABS(R440)&gt;=BroadShare,"Broad SKU movement","Store-concentrated movement"),""))</f>
        <v/>
      </c>
      <c r="AB440" s="18">
        <f>IF(O440,IF(COUNTIFS($O$5:O440,TRUE)&gt;0,COUNTIFS($O$5:O440,TRUE),0),0)</f>
        <v/>
      </c>
      <c r="AC440" s="18">
        <f>IF(V440="Markdown Review",1,IF(V440="Reorder Candidate",2,IF(V440="Monitor",3,IF(V440="Noise",4,IF(V440="Not Ready",5,99)))))</f>
        <v/>
      </c>
      <c r="AD440" s="18">
        <f>IF(O440,COUNTIFS($O$5:$O$504,TRUE,$AC$5:$AC$504,"&lt;"&amp;AC440)+COUNTIFS($O$5:O440,TRUE,$AC$5:AC440,AC440,$Y$5:Y440,"&gt;"&amp;Y440),0)</f>
        <v/>
      </c>
    </row>
    <row r="441">
      <c r="A441" s="17">
        <f>IF(COUNTA('Weekly Input'!A441:C441)=0,"",'Weekly Input'!B441&amp;"|"&amp;'Weekly Input'!C441&amp;"|"&amp;TEXT('Weekly Input'!A441,"yyyy-mm-dd"))</f>
        <v/>
      </c>
      <c r="B441" s="18">
        <f>'Weekly Input'!B441</f>
        <v/>
      </c>
      <c r="C441" s="18">
        <f>'Weekly Input'!C441</f>
        <v/>
      </c>
      <c r="D441" s="18">
        <f>IF(B441="","",IFERROR(INDEX('Master Data'!$B$6:$B$145,MATCH(B441,'Master Data'!$A$6:$A$145,0)),""))</f>
        <v/>
      </c>
      <c r="E441" s="18">
        <f>IF(C441="","",IFERROR(INDEX('Master Data'!$H$6:$H$13,MATCH(C441,'Master Data'!$F$6:$F$13,0)),""))</f>
        <v/>
      </c>
      <c r="F441" s="19">
        <f>'Weekly Input'!A441</f>
        <v/>
      </c>
      <c r="G441" s="19">
        <f>IF(B441="","",IFERROR(INDEX('Master Data'!$D$6:$D$145,MATCH(B441,'Master Data'!$A$6:$A$145,0)),""))</f>
        <v/>
      </c>
      <c r="H441" s="18">
        <f>IF(OR(F441="",G441=""),"",F441-G441)</f>
        <v/>
      </c>
      <c r="I441" s="18">
        <f>IF(B441="","",IF('Weekly Input'!J441="OK",TRUE,FALSE))</f>
        <v/>
      </c>
      <c r="J441" s="18">
        <f>IF(B441="","",'Weekly Input'!H441&gt;=MinInStockDays)</f>
        <v/>
      </c>
      <c r="K441" s="18">
        <f>IF(B441="","",H441&gt;=FullCycleMin)</f>
        <v/>
      </c>
      <c r="L441" s="18">
        <f>IF(B441="","",AND(I441,J441,K441,N441&gt;=MinHistory))</f>
        <v/>
      </c>
      <c r="M441" s="20">
        <f>IF(OR(B441="",'Weekly Input'!H441=0),"",'Weekly Input'!D441/'Weekly Input'!H441*7)</f>
        <v/>
      </c>
      <c r="N441" s="18">
        <f>IF(B441="","",COUNTIFS($B$5:$B$504,B441,$C$5:$C$504,C441,$I$5:$I$504,TRUE,$J$5:$J$504,TRUE,$K$5:$K$504,TRUE))</f>
        <v/>
      </c>
      <c r="O441" s="18">
        <f>IF(B441="","",AND(F441=AsOfWeek,AsOfWeek&lt;&gt;""))</f>
        <v/>
      </c>
      <c r="P441" s="20">
        <f>IF(OR(B441="",AsOfWeek=""),"",IFERROR(SUMIFS($M$5:$M$504,$B$5:$B$504,B441,$C$5:$C$504,C441,$L$5:$L$504,TRUE,$F$5:$F$504,"&gt;="&amp;AsOfWeek-7*(RecentWeeks-1),$F$5:$F$504,"&lt;="&amp;AsOfWeek),""))</f>
        <v/>
      </c>
      <c r="Q441" s="20">
        <f>IF(OR(B441="",AsOfWeek=""),"",IFERROR(SUMIFS($M$5:$M$504,$B$5:$B$504,B441,$C$5:$C$504,C441,$L$5:$L$504,TRUE,$F$5:$F$504,"&gt;="&amp;AsOfWeek-7*(RecentWeeks+PriorWeeks-1),$F$5:$F$504,"&lt;"&amp;AsOfWeek-7*(RecentWeeks-1)),""))</f>
        <v/>
      </c>
      <c r="R441" s="21">
        <f>IF(OR(P441="",Q441="",Q441=0),"",P441/Q441-1)</f>
        <v/>
      </c>
      <c r="S441" s="20">
        <f>IF(OR(C441="",AsOfWeek=""),"",IFERROR(AVERAGEIFS($M$5:$M$504,$C$5:$C$504,C441,$L$5:$L$504,TRUE,$F$5:$F$504,"&gt;="&amp;AsOfWeek-7*(RecentWeeks-1),$F$5:$F$504,"&lt;="&amp;AsOfWeek),""))</f>
        <v/>
      </c>
      <c r="T441" s="21">
        <f>IF(OR(P441="",S441=""),"",P441/S441-1)</f>
        <v/>
      </c>
      <c r="U441" s="22">
        <f>IF(OR(B441="",'Weekly Input'!G441="",P441="",P441=0),"",'Weekly Input'!G441/P441)</f>
        <v/>
      </c>
      <c r="V441" s="18">
        <f>IF(B441="","",IF(NOT(I441),"Not Ready",IF(NOT(K441),"Not Ready",IF(N441&lt;MinHistory,"Not Ready",IF(NOT(J441),"Not Ready",IF(OR(Q441="",Q441=0),"Noise",IF(Q441&lt;LowBaseThreshold,"Noise",IF(AND(R441&lt;=-OwnDecline,T441&lt;=-PeerGapThreshold),"Markdown Review",IF(AND(R441&gt;=ReorderUplift,U441&lt;&gt;"",U441&lt;=WeeksSupplyCap),"Reorder Candidate","Monitor"))))))))</f>
        <v/>
      </c>
      <c r="W441" s="18">
        <f>IF(B441="","",IF(NOT(I441),"INVALID_MASTER",IF(NOT(K441),"INCOMPLETE_SHELF_CYCLE",IF(N441&lt;MinHistory,"INSUFFICIENT_HISTORY",IF(NOT(J441),"INSUFFICIENT_IN_STOCK",IF(OR(Q441="",Q441=0),"NO_PRIOR_BASE",IF(Q441&lt;LowBaseThreshold,"LOW_BASE_NOISE",IF(V441="Markdown Review","MARKDOWN_PEER_GAP",IF(V441="Reorder Candidate","REORDER_UPLIFT_COVER","NO_MATERIAL_CHANGE"))))))))</f>
        <v/>
      </c>
      <c r="X441" s="18">
        <f>IF(V441="Markdown Review","Markdown support",IF(V441="Reorder Candidate","Second reorder",IF(V441="Monitor","Monitor",IF(V441="Noise","Hold / collect data",IF(V441="Not Ready","Not ready","")))))</f>
        <v/>
      </c>
      <c r="Y441" s="18">
        <f>IF(OR(R441="",T441=""),"",ABS(R441)+ABS(T441))</f>
        <v/>
      </c>
      <c r="Z441" s="21">
        <f>IF(OR(B441="",NOT(O441),R441=""),"",IF(ABS(R441)&gt;=MaterialThreshold,"Yes","No"))</f>
        <v/>
      </c>
      <c r="AA441" s="18">
        <f>IF(Z441&lt;&gt;"Yes","",IF(ABS(R441)&gt;=MaterialThreshold,IF(ABS(R441)&gt;=BroadShare,"Broad SKU movement","Store-concentrated movement"),""))</f>
        <v/>
      </c>
      <c r="AB441" s="18">
        <f>IF(O441,IF(COUNTIFS($O$5:O441,TRUE)&gt;0,COUNTIFS($O$5:O441,TRUE),0),0)</f>
        <v/>
      </c>
      <c r="AC441" s="18">
        <f>IF(V441="Markdown Review",1,IF(V441="Reorder Candidate",2,IF(V441="Monitor",3,IF(V441="Noise",4,IF(V441="Not Ready",5,99)))))</f>
        <v/>
      </c>
      <c r="AD441" s="18">
        <f>IF(O441,COUNTIFS($O$5:$O$504,TRUE,$AC$5:$AC$504,"&lt;"&amp;AC441)+COUNTIFS($O$5:O441,TRUE,$AC$5:AC441,AC441,$Y$5:Y441,"&gt;"&amp;Y441),0)</f>
        <v/>
      </c>
    </row>
    <row r="442">
      <c r="A442" s="17">
        <f>IF(COUNTA('Weekly Input'!A442:C442)=0,"",'Weekly Input'!B442&amp;"|"&amp;'Weekly Input'!C442&amp;"|"&amp;TEXT('Weekly Input'!A442,"yyyy-mm-dd"))</f>
        <v/>
      </c>
      <c r="B442" s="18">
        <f>'Weekly Input'!B442</f>
        <v/>
      </c>
      <c r="C442" s="18">
        <f>'Weekly Input'!C442</f>
        <v/>
      </c>
      <c r="D442" s="18">
        <f>IF(B442="","",IFERROR(INDEX('Master Data'!$B$6:$B$145,MATCH(B442,'Master Data'!$A$6:$A$145,0)),""))</f>
        <v/>
      </c>
      <c r="E442" s="18">
        <f>IF(C442="","",IFERROR(INDEX('Master Data'!$H$6:$H$13,MATCH(C442,'Master Data'!$F$6:$F$13,0)),""))</f>
        <v/>
      </c>
      <c r="F442" s="19">
        <f>'Weekly Input'!A442</f>
        <v/>
      </c>
      <c r="G442" s="19">
        <f>IF(B442="","",IFERROR(INDEX('Master Data'!$D$6:$D$145,MATCH(B442,'Master Data'!$A$6:$A$145,0)),""))</f>
        <v/>
      </c>
      <c r="H442" s="18">
        <f>IF(OR(F442="",G442=""),"",F442-G442)</f>
        <v/>
      </c>
      <c r="I442" s="18">
        <f>IF(B442="","",IF('Weekly Input'!J442="OK",TRUE,FALSE))</f>
        <v/>
      </c>
      <c r="J442" s="18">
        <f>IF(B442="","",'Weekly Input'!H442&gt;=MinInStockDays)</f>
        <v/>
      </c>
      <c r="K442" s="18">
        <f>IF(B442="","",H442&gt;=FullCycleMin)</f>
        <v/>
      </c>
      <c r="L442" s="18">
        <f>IF(B442="","",AND(I442,J442,K442,N442&gt;=MinHistory))</f>
        <v/>
      </c>
      <c r="M442" s="20">
        <f>IF(OR(B442="",'Weekly Input'!H442=0),"",'Weekly Input'!D442/'Weekly Input'!H442*7)</f>
        <v/>
      </c>
      <c r="N442" s="18">
        <f>IF(B442="","",COUNTIFS($B$5:$B$504,B442,$C$5:$C$504,C442,$I$5:$I$504,TRUE,$J$5:$J$504,TRUE,$K$5:$K$504,TRUE))</f>
        <v/>
      </c>
      <c r="O442" s="18">
        <f>IF(B442="","",AND(F442=AsOfWeek,AsOfWeek&lt;&gt;""))</f>
        <v/>
      </c>
      <c r="P442" s="20">
        <f>IF(OR(B442="",AsOfWeek=""),"",IFERROR(SUMIFS($M$5:$M$504,$B$5:$B$504,B442,$C$5:$C$504,C442,$L$5:$L$504,TRUE,$F$5:$F$504,"&gt;="&amp;AsOfWeek-7*(RecentWeeks-1),$F$5:$F$504,"&lt;="&amp;AsOfWeek),""))</f>
        <v/>
      </c>
      <c r="Q442" s="20">
        <f>IF(OR(B442="",AsOfWeek=""),"",IFERROR(SUMIFS($M$5:$M$504,$B$5:$B$504,B442,$C$5:$C$504,C442,$L$5:$L$504,TRUE,$F$5:$F$504,"&gt;="&amp;AsOfWeek-7*(RecentWeeks+PriorWeeks-1),$F$5:$F$504,"&lt;"&amp;AsOfWeek-7*(RecentWeeks-1)),""))</f>
        <v/>
      </c>
      <c r="R442" s="21">
        <f>IF(OR(P442="",Q442="",Q442=0),"",P442/Q442-1)</f>
        <v/>
      </c>
      <c r="S442" s="20">
        <f>IF(OR(C442="",AsOfWeek=""),"",IFERROR(AVERAGEIFS($M$5:$M$504,$C$5:$C$504,C442,$L$5:$L$504,TRUE,$F$5:$F$504,"&gt;="&amp;AsOfWeek-7*(RecentWeeks-1),$F$5:$F$504,"&lt;="&amp;AsOfWeek),""))</f>
        <v/>
      </c>
      <c r="T442" s="21">
        <f>IF(OR(P442="",S442=""),"",P442/S442-1)</f>
        <v/>
      </c>
      <c r="U442" s="22">
        <f>IF(OR(B442="",'Weekly Input'!G442="",P442="",P442=0),"",'Weekly Input'!G442/P442)</f>
        <v/>
      </c>
      <c r="V442" s="18">
        <f>IF(B442="","",IF(NOT(I442),"Not Ready",IF(NOT(K442),"Not Ready",IF(N442&lt;MinHistory,"Not Ready",IF(NOT(J442),"Not Ready",IF(OR(Q442="",Q442=0),"Noise",IF(Q442&lt;LowBaseThreshold,"Noise",IF(AND(R442&lt;=-OwnDecline,T442&lt;=-PeerGapThreshold),"Markdown Review",IF(AND(R442&gt;=ReorderUplift,U442&lt;&gt;"",U442&lt;=WeeksSupplyCap),"Reorder Candidate","Monitor"))))))))</f>
        <v/>
      </c>
      <c r="W442" s="18">
        <f>IF(B442="","",IF(NOT(I442),"INVALID_MASTER",IF(NOT(K442),"INCOMPLETE_SHELF_CYCLE",IF(N442&lt;MinHistory,"INSUFFICIENT_HISTORY",IF(NOT(J442),"INSUFFICIENT_IN_STOCK",IF(OR(Q442="",Q442=0),"NO_PRIOR_BASE",IF(Q442&lt;LowBaseThreshold,"LOW_BASE_NOISE",IF(V442="Markdown Review","MARKDOWN_PEER_GAP",IF(V442="Reorder Candidate","REORDER_UPLIFT_COVER","NO_MATERIAL_CHANGE"))))))))</f>
        <v/>
      </c>
      <c r="X442" s="18">
        <f>IF(V442="Markdown Review","Markdown support",IF(V442="Reorder Candidate","Second reorder",IF(V442="Monitor","Monitor",IF(V442="Noise","Hold / collect data",IF(V442="Not Ready","Not ready","")))))</f>
        <v/>
      </c>
      <c r="Y442" s="18">
        <f>IF(OR(R442="",T442=""),"",ABS(R442)+ABS(T442))</f>
        <v/>
      </c>
      <c r="Z442" s="21">
        <f>IF(OR(B442="",NOT(O442),R442=""),"",IF(ABS(R442)&gt;=MaterialThreshold,"Yes","No"))</f>
        <v/>
      </c>
      <c r="AA442" s="18">
        <f>IF(Z442&lt;&gt;"Yes","",IF(ABS(R442)&gt;=MaterialThreshold,IF(ABS(R442)&gt;=BroadShare,"Broad SKU movement","Store-concentrated movement"),""))</f>
        <v/>
      </c>
      <c r="AB442" s="18">
        <f>IF(O442,IF(COUNTIFS($O$5:O442,TRUE)&gt;0,COUNTIFS($O$5:O442,TRUE),0),0)</f>
        <v/>
      </c>
      <c r="AC442" s="18">
        <f>IF(V442="Markdown Review",1,IF(V442="Reorder Candidate",2,IF(V442="Monitor",3,IF(V442="Noise",4,IF(V442="Not Ready",5,99)))))</f>
        <v/>
      </c>
      <c r="AD442" s="18">
        <f>IF(O442,COUNTIFS($O$5:$O$504,TRUE,$AC$5:$AC$504,"&lt;"&amp;AC442)+COUNTIFS($O$5:O442,TRUE,$AC$5:AC442,AC442,$Y$5:Y442,"&gt;"&amp;Y442),0)</f>
        <v/>
      </c>
    </row>
    <row r="443">
      <c r="A443" s="17">
        <f>IF(COUNTA('Weekly Input'!A443:C443)=0,"",'Weekly Input'!B443&amp;"|"&amp;'Weekly Input'!C443&amp;"|"&amp;TEXT('Weekly Input'!A443,"yyyy-mm-dd"))</f>
        <v/>
      </c>
      <c r="B443" s="18">
        <f>'Weekly Input'!B443</f>
        <v/>
      </c>
      <c r="C443" s="18">
        <f>'Weekly Input'!C443</f>
        <v/>
      </c>
      <c r="D443" s="18">
        <f>IF(B443="","",IFERROR(INDEX('Master Data'!$B$6:$B$145,MATCH(B443,'Master Data'!$A$6:$A$145,0)),""))</f>
        <v/>
      </c>
      <c r="E443" s="18">
        <f>IF(C443="","",IFERROR(INDEX('Master Data'!$H$6:$H$13,MATCH(C443,'Master Data'!$F$6:$F$13,0)),""))</f>
        <v/>
      </c>
      <c r="F443" s="19">
        <f>'Weekly Input'!A443</f>
        <v/>
      </c>
      <c r="G443" s="19">
        <f>IF(B443="","",IFERROR(INDEX('Master Data'!$D$6:$D$145,MATCH(B443,'Master Data'!$A$6:$A$145,0)),""))</f>
        <v/>
      </c>
      <c r="H443" s="18">
        <f>IF(OR(F443="",G443=""),"",F443-G443)</f>
        <v/>
      </c>
      <c r="I443" s="18">
        <f>IF(B443="","",IF('Weekly Input'!J443="OK",TRUE,FALSE))</f>
        <v/>
      </c>
      <c r="J443" s="18">
        <f>IF(B443="","",'Weekly Input'!H443&gt;=MinInStockDays)</f>
        <v/>
      </c>
      <c r="K443" s="18">
        <f>IF(B443="","",H443&gt;=FullCycleMin)</f>
        <v/>
      </c>
      <c r="L443" s="18">
        <f>IF(B443="","",AND(I443,J443,K443,N443&gt;=MinHistory))</f>
        <v/>
      </c>
      <c r="M443" s="20">
        <f>IF(OR(B443="",'Weekly Input'!H443=0),"",'Weekly Input'!D443/'Weekly Input'!H443*7)</f>
        <v/>
      </c>
      <c r="N443" s="18">
        <f>IF(B443="","",COUNTIFS($B$5:$B$504,B443,$C$5:$C$504,C443,$I$5:$I$504,TRUE,$J$5:$J$504,TRUE,$K$5:$K$504,TRUE))</f>
        <v/>
      </c>
      <c r="O443" s="18">
        <f>IF(B443="","",AND(F443=AsOfWeek,AsOfWeek&lt;&gt;""))</f>
        <v/>
      </c>
      <c r="P443" s="20">
        <f>IF(OR(B443="",AsOfWeek=""),"",IFERROR(SUMIFS($M$5:$M$504,$B$5:$B$504,B443,$C$5:$C$504,C443,$L$5:$L$504,TRUE,$F$5:$F$504,"&gt;="&amp;AsOfWeek-7*(RecentWeeks-1),$F$5:$F$504,"&lt;="&amp;AsOfWeek),""))</f>
        <v/>
      </c>
      <c r="Q443" s="20">
        <f>IF(OR(B443="",AsOfWeek=""),"",IFERROR(SUMIFS($M$5:$M$504,$B$5:$B$504,B443,$C$5:$C$504,C443,$L$5:$L$504,TRUE,$F$5:$F$504,"&gt;="&amp;AsOfWeek-7*(RecentWeeks+PriorWeeks-1),$F$5:$F$504,"&lt;"&amp;AsOfWeek-7*(RecentWeeks-1)),""))</f>
        <v/>
      </c>
      <c r="R443" s="21">
        <f>IF(OR(P443="",Q443="",Q443=0),"",P443/Q443-1)</f>
        <v/>
      </c>
      <c r="S443" s="20">
        <f>IF(OR(C443="",AsOfWeek=""),"",IFERROR(AVERAGEIFS($M$5:$M$504,$C$5:$C$504,C443,$L$5:$L$504,TRUE,$F$5:$F$504,"&gt;="&amp;AsOfWeek-7*(RecentWeeks-1),$F$5:$F$504,"&lt;="&amp;AsOfWeek),""))</f>
        <v/>
      </c>
      <c r="T443" s="21">
        <f>IF(OR(P443="",S443=""),"",P443/S443-1)</f>
        <v/>
      </c>
      <c r="U443" s="22">
        <f>IF(OR(B443="",'Weekly Input'!G443="",P443="",P443=0),"",'Weekly Input'!G443/P443)</f>
        <v/>
      </c>
      <c r="V443" s="18">
        <f>IF(B443="","",IF(NOT(I443),"Not Ready",IF(NOT(K443),"Not Ready",IF(N443&lt;MinHistory,"Not Ready",IF(NOT(J443),"Not Ready",IF(OR(Q443="",Q443=0),"Noise",IF(Q443&lt;LowBaseThreshold,"Noise",IF(AND(R443&lt;=-OwnDecline,T443&lt;=-PeerGapThreshold),"Markdown Review",IF(AND(R443&gt;=ReorderUplift,U443&lt;&gt;"",U443&lt;=WeeksSupplyCap),"Reorder Candidate","Monitor"))))))))</f>
        <v/>
      </c>
      <c r="W443" s="18">
        <f>IF(B443="","",IF(NOT(I443),"INVALID_MASTER",IF(NOT(K443),"INCOMPLETE_SHELF_CYCLE",IF(N443&lt;MinHistory,"INSUFFICIENT_HISTORY",IF(NOT(J443),"INSUFFICIENT_IN_STOCK",IF(OR(Q443="",Q443=0),"NO_PRIOR_BASE",IF(Q443&lt;LowBaseThreshold,"LOW_BASE_NOISE",IF(V443="Markdown Review","MARKDOWN_PEER_GAP",IF(V443="Reorder Candidate","REORDER_UPLIFT_COVER","NO_MATERIAL_CHANGE"))))))))</f>
        <v/>
      </c>
      <c r="X443" s="18">
        <f>IF(V443="Markdown Review","Markdown support",IF(V443="Reorder Candidate","Second reorder",IF(V443="Monitor","Monitor",IF(V443="Noise","Hold / collect data",IF(V443="Not Ready","Not ready","")))))</f>
        <v/>
      </c>
      <c r="Y443" s="18">
        <f>IF(OR(R443="",T443=""),"",ABS(R443)+ABS(T443))</f>
        <v/>
      </c>
      <c r="Z443" s="21">
        <f>IF(OR(B443="",NOT(O443),R443=""),"",IF(ABS(R443)&gt;=MaterialThreshold,"Yes","No"))</f>
        <v/>
      </c>
      <c r="AA443" s="18">
        <f>IF(Z443&lt;&gt;"Yes","",IF(ABS(R443)&gt;=MaterialThreshold,IF(ABS(R443)&gt;=BroadShare,"Broad SKU movement","Store-concentrated movement"),""))</f>
        <v/>
      </c>
      <c r="AB443" s="18">
        <f>IF(O443,IF(COUNTIFS($O$5:O443,TRUE)&gt;0,COUNTIFS($O$5:O443,TRUE),0),0)</f>
        <v/>
      </c>
      <c r="AC443" s="18">
        <f>IF(V443="Markdown Review",1,IF(V443="Reorder Candidate",2,IF(V443="Monitor",3,IF(V443="Noise",4,IF(V443="Not Ready",5,99)))))</f>
        <v/>
      </c>
      <c r="AD443" s="18">
        <f>IF(O443,COUNTIFS($O$5:$O$504,TRUE,$AC$5:$AC$504,"&lt;"&amp;AC443)+COUNTIFS($O$5:O443,TRUE,$AC$5:AC443,AC443,$Y$5:Y443,"&gt;"&amp;Y443),0)</f>
        <v/>
      </c>
    </row>
    <row r="444">
      <c r="A444" s="17">
        <f>IF(COUNTA('Weekly Input'!A444:C444)=0,"",'Weekly Input'!B444&amp;"|"&amp;'Weekly Input'!C444&amp;"|"&amp;TEXT('Weekly Input'!A444,"yyyy-mm-dd"))</f>
        <v/>
      </c>
      <c r="B444" s="18">
        <f>'Weekly Input'!B444</f>
        <v/>
      </c>
      <c r="C444" s="18">
        <f>'Weekly Input'!C444</f>
        <v/>
      </c>
      <c r="D444" s="18">
        <f>IF(B444="","",IFERROR(INDEX('Master Data'!$B$6:$B$145,MATCH(B444,'Master Data'!$A$6:$A$145,0)),""))</f>
        <v/>
      </c>
      <c r="E444" s="18">
        <f>IF(C444="","",IFERROR(INDEX('Master Data'!$H$6:$H$13,MATCH(C444,'Master Data'!$F$6:$F$13,0)),""))</f>
        <v/>
      </c>
      <c r="F444" s="19">
        <f>'Weekly Input'!A444</f>
        <v/>
      </c>
      <c r="G444" s="19">
        <f>IF(B444="","",IFERROR(INDEX('Master Data'!$D$6:$D$145,MATCH(B444,'Master Data'!$A$6:$A$145,0)),""))</f>
        <v/>
      </c>
      <c r="H444" s="18">
        <f>IF(OR(F444="",G444=""),"",F444-G444)</f>
        <v/>
      </c>
      <c r="I444" s="18">
        <f>IF(B444="","",IF('Weekly Input'!J444="OK",TRUE,FALSE))</f>
        <v/>
      </c>
      <c r="J444" s="18">
        <f>IF(B444="","",'Weekly Input'!H444&gt;=MinInStockDays)</f>
        <v/>
      </c>
      <c r="K444" s="18">
        <f>IF(B444="","",H444&gt;=FullCycleMin)</f>
        <v/>
      </c>
      <c r="L444" s="18">
        <f>IF(B444="","",AND(I444,J444,K444,N444&gt;=MinHistory))</f>
        <v/>
      </c>
      <c r="M444" s="20">
        <f>IF(OR(B444="",'Weekly Input'!H444=0),"",'Weekly Input'!D444/'Weekly Input'!H444*7)</f>
        <v/>
      </c>
      <c r="N444" s="18">
        <f>IF(B444="","",COUNTIFS($B$5:$B$504,B444,$C$5:$C$504,C444,$I$5:$I$504,TRUE,$J$5:$J$504,TRUE,$K$5:$K$504,TRUE))</f>
        <v/>
      </c>
      <c r="O444" s="18">
        <f>IF(B444="","",AND(F444=AsOfWeek,AsOfWeek&lt;&gt;""))</f>
        <v/>
      </c>
      <c r="P444" s="20">
        <f>IF(OR(B444="",AsOfWeek=""),"",IFERROR(SUMIFS($M$5:$M$504,$B$5:$B$504,B444,$C$5:$C$504,C444,$L$5:$L$504,TRUE,$F$5:$F$504,"&gt;="&amp;AsOfWeek-7*(RecentWeeks-1),$F$5:$F$504,"&lt;="&amp;AsOfWeek),""))</f>
        <v/>
      </c>
      <c r="Q444" s="20">
        <f>IF(OR(B444="",AsOfWeek=""),"",IFERROR(SUMIFS($M$5:$M$504,$B$5:$B$504,B444,$C$5:$C$504,C444,$L$5:$L$504,TRUE,$F$5:$F$504,"&gt;="&amp;AsOfWeek-7*(RecentWeeks+PriorWeeks-1),$F$5:$F$504,"&lt;"&amp;AsOfWeek-7*(RecentWeeks-1)),""))</f>
        <v/>
      </c>
      <c r="R444" s="21">
        <f>IF(OR(P444="",Q444="",Q444=0),"",P444/Q444-1)</f>
        <v/>
      </c>
      <c r="S444" s="20">
        <f>IF(OR(C444="",AsOfWeek=""),"",IFERROR(AVERAGEIFS($M$5:$M$504,$C$5:$C$504,C444,$L$5:$L$504,TRUE,$F$5:$F$504,"&gt;="&amp;AsOfWeek-7*(RecentWeeks-1),$F$5:$F$504,"&lt;="&amp;AsOfWeek),""))</f>
        <v/>
      </c>
      <c r="T444" s="21">
        <f>IF(OR(P444="",S444=""),"",P444/S444-1)</f>
        <v/>
      </c>
      <c r="U444" s="22">
        <f>IF(OR(B444="",'Weekly Input'!G444="",P444="",P444=0),"",'Weekly Input'!G444/P444)</f>
        <v/>
      </c>
      <c r="V444" s="18">
        <f>IF(B444="","",IF(NOT(I444),"Not Ready",IF(NOT(K444),"Not Ready",IF(N444&lt;MinHistory,"Not Ready",IF(NOT(J444),"Not Ready",IF(OR(Q444="",Q444=0),"Noise",IF(Q444&lt;LowBaseThreshold,"Noise",IF(AND(R444&lt;=-OwnDecline,T444&lt;=-PeerGapThreshold),"Markdown Review",IF(AND(R444&gt;=ReorderUplift,U444&lt;&gt;"",U444&lt;=WeeksSupplyCap),"Reorder Candidate","Monitor"))))))))</f>
        <v/>
      </c>
      <c r="W444" s="18">
        <f>IF(B444="","",IF(NOT(I444),"INVALID_MASTER",IF(NOT(K444),"INCOMPLETE_SHELF_CYCLE",IF(N444&lt;MinHistory,"INSUFFICIENT_HISTORY",IF(NOT(J444),"INSUFFICIENT_IN_STOCK",IF(OR(Q444="",Q444=0),"NO_PRIOR_BASE",IF(Q444&lt;LowBaseThreshold,"LOW_BASE_NOISE",IF(V444="Markdown Review","MARKDOWN_PEER_GAP",IF(V444="Reorder Candidate","REORDER_UPLIFT_COVER","NO_MATERIAL_CHANGE"))))))))</f>
        <v/>
      </c>
      <c r="X444" s="18">
        <f>IF(V444="Markdown Review","Markdown support",IF(V444="Reorder Candidate","Second reorder",IF(V444="Monitor","Monitor",IF(V444="Noise","Hold / collect data",IF(V444="Not Ready","Not ready","")))))</f>
        <v/>
      </c>
      <c r="Y444" s="18">
        <f>IF(OR(R444="",T444=""),"",ABS(R444)+ABS(T444))</f>
        <v/>
      </c>
      <c r="Z444" s="21">
        <f>IF(OR(B444="",NOT(O444),R444=""),"",IF(ABS(R444)&gt;=MaterialThreshold,"Yes","No"))</f>
        <v/>
      </c>
      <c r="AA444" s="18">
        <f>IF(Z444&lt;&gt;"Yes","",IF(ABS(R444)&gt;=MaterialThreshold,IF(ABS(R444)&gt;=BroadShare,"Broad SKU movement","Store-concentrated movement"),""))</f>
        <v/>
      </c>
      <c r="AB444" s="18">
        <f>IF(O444,IF(COUNTIFS($O$5:O444,TRUE)&gt;0,COUNTIFS($O$5:O444,TRUE),0),0)</f>
        <v/>
      </c>
      <c r="AC444" s="18">
        <f>IF(V444="Markdown Review",1,IF(V444="Reorder Candidate",2,IF(V444="Monitor",3,IF(V444="Noise",4,IF(V444="Not Ready",5,99)))))</f>
        <v/>
      </c>
      <c r="AD444" s="18">
        <f>IF(O444,COUNTIFS($O$5:$O$504,TRUE,$AC$5:$AC$504,"&lt;"&amp;AC444)+COUNTIFS($O$5:O444,TRUE,$AC$5:AC444,AC444,$Y$5:Y444,"&gt;"&amp;Y444),0)</f>
        <v/>
      </c>
    </row>
    <row r="445">
      <c r="A445" s="17">
        <f>IF(COUNTA('Weekly Input'!A445:C445)=0,"",'Weekly Input'!B445&amp;"|"&amp;'Weekly Input'!C445&amp;"|"&amp;TEXT('Weekly Input'!A445,"yyyy-mm-dd"))</f>
        <v/>
      </c>
      <c r="B445" s="18">
        <f>'Weekly Input'!B445</f>
        <v/>
      </c>
      <c r="C445" s="18">
        <f>'Weekly Input'!C445</f>
        <v/>
      </c>
      <c r="D445" s="18">
        <f>IF(B445="","",IFERROR(INDEX('Master Data'!$B$6:$B$145,MATCH(B445,'Master Data'!$A$6:$A$145,0)),""))</f>
        <v/>
      </c>
      <c r="E445" s="18">
        <f>IF(C445="","",IFERROR(INDEX('Master Data'!$H$6:$H$13,MATCH(C445,'Master Data'!$F$6:$F$13,0)),""))</f>
        <v/>
      </c>
      <c r="F445" s="19">
        <f>'Weekly Input'!A445</f>
        <v/>
      </c>
      <c r="G445" s="19">
        <f>IF(B445="","",IFERROR(INDEX('Master Data'!$D$6:$D$145,MATCH(B445,'Master Data'!$A$6:$A$145,0)),""))</f>
        <v/>
      </c>
      <c r="H445" s="18">
        <f>IF(OR(F445="",G445=""),"",F445-G445)</f>
        <v/>
      </c>
      <c r="I445" s="18">
        <f>IF(B445="","",IF('Weekly Input'!J445="OK",TRUE,FALSE))</f>
        <v/>
      </c>
      <c r="J445" s="18">
        <f>IF(B445="","",'Weekly Input'!H445&gt;=MinInStockDays)</f>
        <v/>
      </c>
      <c r="K445" s="18">
        <f>IF(B445="","",H445&gt;=FullCycleMin)</f>
        <v/>
      </c>
      <c r="L445" s="18">
        <f>IF(B445="","",AND(I445,J445,K445,N445&gt;=MinHistory))</f>
        <v/>
      </c>
      <c r="M445" s="20">
        <f>IF(OR(B445="",'Weekly Input'!H445=0),"",'Weekly Input'!D445/'Weekly Input'!H445*7)</f>
        <v/>
      </c>
      <c r="N445" s="18">
        <f>IF(B445="","",COUNTIFS($B$5:$B$504,B445,$C$5:$C$504,C445,$I$5:$I$504,TRUE,$J$5:$J$504,TRUE,$K$5:$K$504,TRUE))</f>
        <v/>
      </c>
      <c r="O445" s="18">
        <f>IF(B445="","",AND(F445=AsOfWeek,AsOfWeek&lt;&gt;""))</f>
        <v/>
      </c>
      <c r="P445" s="20">
        <f>IF(OR(B445="",AsOfWeek=""),"",IFERROR(SUMIFS($M$5:$M$504,$B$5:$B$504,B445,$C$5:$C$504,C445,$L$5:$L$504,TRUE,$F$5:$F$504,"&gt;="&amp;AsOfWeek-7*(RecentWeeks-1),$F$5:$F$504,"&lt;="&amp;AsOfWeek),""))</f>
        <v/>
      </c>
      <c r="Q445" s="20">
        <f>IF(OR(B445="",AsOfWeek=""),"",IFERROR(SUMIFS($M$5:$M$504,$B$5:$B$504,B445,$C$5:$C$504,C445,$L$5:$L$504,TRUE,$F$5:$F$504,"&gt;="&amp;AsOfWeek-7*(RecentWeeks+PriorWeeks-1),$F$5:$F$504,"&lt;"&amp;AsOfWeek-7*(RecentWeeks-1)),""))</f>
        <v/>
      </c>
      <c r="R445" s="21">
        <f>IF(OR(P445="",Q445="",Q445=0),"",P445/Q445-1)</f>
        <v/>
      </c>
      <c r="S445" s="20">
        <f>IF(OR(C445="",AsOfWeek=""),"",IFERROR(AVERAGEIFS($M$5:$M$504,$C$5:$C$504,C445,$L$5:$L$504,TRUE,$F$5:$F$504,"&gt;="&amp;AsOfWeek-7*(RecentWeeks-1),$F$5:$F$504,"&lt;="&amp;AsOfWeek),""))</f>
        <v/>
      </c>
      <c r="T445" s="21">
        <f>IF(OR(P445="",S445=""),"",P445/S445-1)</f>
        <v/>
      </c>
      <c r="U445" s="22">
        <f>IF(OR(B445="",'Weekly Input'!G445="",P445="",P445=0),"",'Weekly Input'!G445/P445)</f>
        <v/>
      </c>
      <c r="V445" s="18">
        <f>IF(B445="","",IF(NOT(I445),"Not Ready",IF(NOT(K445),"Not Ready",IF(N445&lt;MinHistory,"Not Ready",IF(NOT(J445),"Not Ready",IF(OR(Q445="",Q445=0),"Noise",IF(Q445&lt;LowBaseThreshold,"Noise",IF(AND(R445&lt;=-OwnDecline,T445&lt;=-PeerGapThreshold),"Markdown Review",IF(AND(R445&gt;=ReorderUplift,U445&lt;&gt;"",U445&lt;=WeeksSupplyCap),"Reorder Candidate","Monitor"))))))))</f>
        <v/>
      </c>
      <c r="W445" s="18">
        <f>IF(B445="","",IF(NOT(I445),"INVALID_MASTER",IF(NOT(K445),"INCOMPLETE_SHELF_CYCLE",IF(N445&lt;MinHistory,"INSUFFICIENT_HISTORY",IF(NOT(J445),"INSUFFICIENT_IN_STOCK",IF(OR(Q445="",Q445=0),"NO_PRIOR_BASE",IF(Q445&lt;LowBaseThreshold,"LOW_BASE_NOISE",IF(V445="Markdown Review","MARKDOWN_PEER_GAP",IF(V445="Reorder Candidate","REORDER_UPLIFT_COVER","NO_MATERIAL_CHANGE"))))))))</f>
        <v/>
      </c>
      <c r="X445" s="18">
        <f>IF(V445="Markdown Review","Markdown support",IF(V445="Reorder Candidate","Second reorder",IF(V445="Monitor","Monitor",IF(V445="Noise","Hold / collect data",IF(V445="Not Ready","Not ready","")))))</f>
        <v/>
      </c>
      <c r="Y445" s="18">
        <f>IF(OR(R445="",T445=""),"",ABS(R445)+ABS(T445))</f>
        <v/>
      </c>
      <c r="Z445" s="21">
        <f>IF(OR(B445="",NOT(O445),R445=""),"",IF(ABS(R445)&gt;=MaterialThreshold,"Yes","No"))</f>
        <v/>
      </c>
      <c r="AA445" s="18">
        <f>IF(Z445&lt;&gt;"Yes","",IF(ABS(R445)&gt;=MaterialThreshold,IF(ABS(R445)&gt;=BroadShare,"Broad SKU movement","Store-concentrated movement"),""))</f>
        <v/>
      </c>
      <c r="AB445" s="18">
        <f>IF(O445,IF(COUNTIFS($O$5:O445,TRUE)&gt;0,COUNTIFS($O$5:O445,TRUE),0),0)</f>
        <v/>
      </c>
      <c r="AC445" s="18">
        <f>IF(V445="Markdown Review",1,IF(V445="Reorder Candidate",2,IF(V445="Monitor",3,IF(V445="Noise",4,IF(V445="Not Ready",5,99)))))</f>
        <v/>
      </c>
      <c r="AD445" s="18">
        <f>IF(O445,COUNTIFS($O$5:$O$504,TRUE,$AC$5:$AC$504,"&lt;"&amp;AC445)+COUNTIFS($O$5:O445,TRUE,$AC$5:AC445,AC445,$Y$5:Y445,"&gt;"&amp;Y445),0)</f>
        <v/>
      </c>
    </row>
    <row r="446">
      <c r="A446" s="17">
        <f>IF(COUNTA('Weekly Input'!A446:C446)=0,"",'Weekly Input'!B446&amp;"|"&amp;'Weekly Input'!C446&amp;"|"&amp;TEXT('Weekly Input'!A446,"yyyy-mm-dd"))</f>
        <v/>
      </c>
      <c r="B446" s="18">
        <f>'Weekly Input'!B446</f>
        <v/>
      </c>
      <c r="C446" s="18">
        <f>'Weekly Input'!C446</f>
        <v/>
      </c>
      <c r="D446" s="18">
        <f>IF(B446="","",IFERROR(INDEX('Master Data'!$B$6:$B$145,MATCH(B446,'Master Data'!$A$6:$A$145,0)),""))</f>
        <v/>
      </c>
      <c r="E446" s="18">
        <f>IF(C446="","",IFERROR(INDEX('Master Data'!$H$6:$H$13,MATCH(C446,'Master Data'!$F$6:$F$13,0)),""))</f>
        <v/>
      </c>
      <c r="F446" s="19">
        <f>'Weekly Input'!A446</f>
        <v/>
      </c>
      <c r="G446" s="19">
        <f>IF(B446="","",IFERROR(INDEX('Master Data'!$D$6:$D$145,MATCH(B446,'Master Data'!$A$6:$A$145,0)),""))</f>
        <v/>
      </c>
      <c r="H446" s="18">
        <f>IF(OR(F446="",G446=""),"",F446-G446)</f>
        <v/>
      </c>
      <c r="I446" s="18">
        <f>IF(B446="","",IF('Weekly Input'!J446="OK",TRUE,FALSE))</f>
        <v/>
      </c>
      <c r="J446" s="18">
        <f>IF(B446="","",'Weekly Input'!H446&gt;=MinInStockDays)</f>
        <v/>
      </c>
      <c r="K446" s="18">
        <f>IF(B446="","",H446&gt;=FullCycleMin)</f>
        <v/>
      </c>
      <c r="L446" s="18">
        <f>IF(B446="","",AND(I446,J446,K446,N446&gt;=MinHistory))</f>
        <v/>
      </c>
      <c r="M446" s="20">
        <f>IF(OR(B446="",'Weekly Input'!H446=0),"",'Weekly Input'!D446/'Weekly Input'!H446*7)</f>
        <v/>
      </c>
      <c r="N446" s="18">
        <f>IF(B446="","",COUNTIFS($B$5:$B$504,B446,$C$5:$C$504,C446,$I$5:$I$504,TRUE,$J$5:$J$504,TRUE,$K$5:$K$504,TRUE))</f>
        <v/>
      </c>
      <c r="O446" s="18">
        <f>IF(B446="","",AND(F446=AsOfWeek,AsOfWeek&lt;&gt;""))</f>
        <v/>
      </c>
      <c r="P446" s="20">
        <f>IF(OR(B446="",AsOfWeek=""),"",IFERROR(SUMIFS($M$5:$M$504,$B$5:$B$504,B446,$C$5:$C$504,C446,$L$5:$L$504,TRUE,$F$5:$F$504,"&gt;="&amp;AsOfWeek-7*(RecentWeeks-1),$F$5:$F$504,"&lt;="&amp;AsOfWeek),""))</f>
        <v/>
      </c>
      <c r="Q446" s="20">
        <f>IF(OR(B446="",AsOfWeek=""),"",IFERROR(SUMIFS($M$5:$M$504,$B$5:$B$504,B446,$C$5:$C$504,C446,$L$5:$L$504,TRUE,$F$5:$F$504,"&gt;="&amp;AsOfWeek-7*(RecentWeeks+PriorWeeks-1),$F$5:$F$504,"&lt;"&amp;AsOfWeek-7*(RecentWeeks-1)),""))</f>
        <v/>
      </c>
      <c r="R446" s="21">
        <f>IF(OR(P446="",Q446="",Q446=0),"",P446/Q446-1)</f>
        <v/>
      </c>
      <c r="S446" s="20">
        <f>IF(OR(C446="",AsOfWeek=""),"",IFERROR(AVERAGEIFS($M$5:$M$504,$C$5:$C$504,C446,$L$5:$L$504,TRUE,$F$5:$F$504,"&gt;="&amp;AsOfWeek-7*(RecentWeeks-1),$F$5:$F$504,"&lt;="&amp;AsOfWeek),""))</f>
        <v/>
      </c>
      <c r="T446" s="21">
        <f>IF(OR(P446="",S446=""),"",P446/S446-1)</f>
        <v/>
      </c>
      <c r="U446" s="22">
        <f>IF(OR(B446="",'Weekly Input'!G446="",P446="",P446=0),"",'Weekly Input'!G446/P446)</f>
        <v/>
      </c>
      <c r="V446" s="18">
        <f>IF(B446="","",IF(NOT(I446),"Not Ready",IF(NOT(K446),"Not Ready",IF(N446&lt;MinHistory,"Not Ready",IF(NOT(J446),"Not Ready",IF(OR(Q446="",Q446=0),"Noise",IF(Q446&lt;LowBaseThreshold,"Noise",IF(AND(R446&lt;=-OwnDecline,T446&lt;=-PeerGapThreshold),"Markdown Review",IF(AND(R446&gt;=ReorderUplift,U446&lt;&gt;"",U446&lt;=WeeksSupplyCap),"Reorder Candidate","Monitor"))))))))</f>
        <v/>
      </c>
      <c r="W446" s="18">
        <f>IF(B446="","",IF(NOT(I446),"INVALID_MASTER",IF(NOT(K446),"INCOMPLETE_SHELF_CYCLE",IF(N446&lt;MinHistory,"INSUFFICIENT_HISTORY",IF(NOT(J446),"INSUFFICIENT_IN_STOCK",IF(OR(Q446="",Q446=0),"NO_PRIOR_BASE",IF(Q446&lt;LowBaseThreshold,"LOW_BASE_NOISE",IF(V446="Markdown Review","MARKDOWN_PEER_GAP",IF(V446="Reorder Candidate","REORDER_UPLIFT_COVER","NO_MATERIAL_CHANGE"))))))))</f>
        <v/>
      </c>
      <c r="X446" s="18">
        <f>IF(V446="Markdown Review","Markdown support",IF(V446="Reorder Candidate","Second reorder",IF(V446="Monitor","Monitor",IF(V446="Noise","Hold / collect data",IF(V446="Not Ready","Not ready","")))))</f>
        <v/>
      </c>
      <c r="Y446" s="18">
        <f>IF(OR(R446="",T446=""),"",ABS(R446)+ABS(T446))</f>
        <v/>
      </c>
      <c r="Z446" s="21">
        <f>IF(OR(B446="",NOT(O446),R446=""),"",IF(ABS(R446)&gt;=MaterialThreshold,"Yes","No"))</f>
        <v/>
      </c>
      <c r="AA446" s="18">
        <f>IF(Z446&lt;&gt;"Yes","",IF(ABS(R446)&gt;=MaterialThreshold,IF(ABS(R446)&gt;=BroadShare,"Broad SKU movement","Store-concentrated movement"),""))</f>
        <v/>
      </c>
      <c r="AB446" s="18">
        <f>IF(O446,IF(COUNTIFS($O$5:O446,TRUE)&gt;0,COUNTIFS($O$5:O446,TRUE),0),0)</f>
        <v/>
      </c>
      <c r="AC446" s="18">
        <f>IF(V446="Markdown Review",1,IF(V446="Reorder Candidate",2,IF(V446="Monitor",3,IF(V446="Noise",4,IF(V446="Not Ready",5,99)))))</f>
        <v/>
      </c>
      <c r="AD446" s="18">
        <f>IF(O446,COUNTIFS($O$5:$O$504,TRUE,$AC$5:$AC$504,"&lt;"&amp;AC446)+COUNTIFS($O$5:O446,TRUE,$AC$5:AC446,AC446,$Y$5:Y446,"&gt;"&amp;Y446),0)</f>
        <v/>
      </c>
    </row>
    <row r="447">
      <c r="A447" s="17">
        <f>IF(COUNTA('Weekly Input'!A447:C447)=0,"",'Weekly Input'!B447&amp;"|"&amp;'Weekly Input'!C447&amp;"|"&amp;TEXT('Weekly Input'!A447,"yyyy-mm-dd"))</f>
        <v/>
      </c>
      <c r="B447" s="18">
        <f>'Weekly Input'!B447</f>
        <v/>
      </c>
      <c r="C447" s="18">
        <f>'Weekly Input'!C447</f>
        <v/>
      </c>
      <c r="D447" s="18">
        <f>IF(B447="","",IFERROR(INDEX('Master Data'!$B$6:$B$145,MATCH(B447,'Master Data'!$A$6:$A$145,0)),""))</f>
        <v/>
      </c>
      <c r="E447" s="18">
        <f>IF(C447="","",IFERROR(INDEX('Master Data'!$H$6:$H$13,MATCH(C447,'Master Data'!$F$6:$F$13,0)),""))</f>
        <v/>
      </c>
      <c r="F447" s="19">
        <f>'Weekly Input'!A447</f>
        <v/>
      </c>
      <c r="G447" s="19">
        <f>IF(B447="","",IFERROR(INDEX('Master Data'!$D$6:$D$145,MATCH(B447,'Master Data'!$A$6:$A$145,0)),""))</f>
        <v/>
      </c>
      <c r="H447" s="18">
        <f>IF(OR(F447="",G447=""),"",F447-G447)</f>
        <v/>
      </c>
      <c r="I447" s="18">
        <f>IF(B447="","",IF('Weekly Input'!J447="OK",TRUE,FALSE))</f>
        <v/>
      </c>
      <c r="J447" s="18">
        <f>IF(B447="","",'Weekly Input'!H447&gt;=MinInStockDays)</f>
        <v/>
      </c>
      <c r="K447" s="18">
        <f>IF(B447="","",H447&gt;=FullCycleMin)</f>
        <v/>
      </c>
      <c r="L447" s="18">
        <f>IF(B447="","",AND(I447,J447,K447,N447&gt;=MinHistory))</f>
        <v/>
      </c>
      <c r="M447" s="20">
        <f>IF(OR(B447="",'Weekly Input'!H447=0),"",'Weekly Input'!D447/'Weekly Input'!H447*7)</f>
        <v/>
      </c>
      <c r="N447" s="18">
        <f>IF(B447="","",COUNTIFS($B$5:$B$504,B447,$C$5:$C$504,C447,$I$5:$I$504,TRUE,$J$5:$J$504,TRUE,$K$5:$K$504,TRUE))</f>
        <v/>
      </c>
      <c r="O447" s="18">
        <f>IF(B447="","",AND(F447=AsOfWeek,AsOfWeek&lt;&gt;""))</f>
        <v/>
      </c>
      <c r="P447" s="20">
        <f>IF(OR(B447="",AsOfWeek=""),"",IFERROR(SUMIFS($M$5:$M$504,$B$5:$B$504,B447,$C$5:$C$504,C447,$L$5:$L$504,TRUE,$F$5:$F$504,"&gt;="&amp;AsOfWeek-7*(RecentWeeks-1),$F$5:$F$504,"&lt;="&amp;AsOfWeek),""))</f>
        <v/>
      </c>
      <c r="Q447" s="20">
        <f>IF(OR(B447="",AsOfWeek=""),"",IFERROR(SUMIFS($M$5:$M$504,$B$5:$B$504,B447,$C$5:$C$504,C447,$L$5:$L$504,TRUE,$F$5:$F$504,"&gt;="&amp;AsOfWeek-7*(RecentWeeks+PriorWeeks-1),$F$5:$F$504,"&lt;"&amp;AsOfWeek-7*(RecentWeeks-1)),""))</f>
        <v/>
      </c>
      <c r="R447" s="21">
        <f>IF(OR(P447="",Q447="",Q447=0),"",P447/Q447-1)</f>
        <v/>
      </c>
      <c r="S447" s="20">
        <f>IF(OR(C447="",AsOfWeek=""),"",IFERROR(AVERAGEIFS($M$5:$M$504,$C$5:$C$504,C447,$L$5:$L$504,TRUE,$F$5:$F$504,"&gt;="&amp;AsOfWeek-7*(RecentWeeks-1),$F$5:$F$504,"&lt;="&amp;AsOfWeek),""))</f>
        <v/>
      </c>
      <c r="T447" s="21">
        <f>IF(OR(P447="",S447=""),"",P447/S447-1)</f>
        <v/>
      </c>
      <c r="U447" s="22">
        <f>IF(OR(B447="",'Weekly Input'!G447="",P447="",P447=0),"",'Weekly Input'!G447/P447)</f>
        <v/>
      </c>
      <c r="V447" s="18">
        <f>IF(B447="","",IF(NOT(I447),"Not Ready",IF(NOT(K447),"Not Ready",IF(N447&lt;MinHistory,"Not Ready",IF(NOT(J447),"Not Ready",IF(OR(Q447="",Q447=0),"Noise",IF(Q447&lt;LowBaseThreshold,"Noise",IF(AND(R447&lt;=-OwnDecline,T447&lt;=-PeerGapThreshold),"Markdown Review",IF(AND(R447&gt;=ReorderUplift,U447&lt;&gt;"",U447&lt;=WeeksSupplyCap),"Reorder Candidate","Monitor"))))))))</f>
        <v/>
      </c>
      <c r="W447" s="18">
        <f>IF(B447="","",IF(NOT(I447),"INVALID_MASTER",IF(NOT(K447),"INCOMPLETE_SHELF_CYCLE",IF(N447&lt;MinHistory,"INSUFFICIENT_HISTORY",IF(NOT(J447),"INSUFFICIENT_IN_STOCK",IF(OR(Q447="",Q447=0),"NO_PRIOR_BASE",IF(Q447&lt;LowBaseThreshold,"LOW_BASE_NOISE",IF(V447="Markdown Review","MARKDOWN_PEER_GAP",IF(V447="Reorder Candidate","REORDER_UPLIFT_COVER","NO_MATERIAL_CHANGE"))))))))</f>
        <v/>
      </c>
      <c r="X447" s="18">
        <f>IF(V447="Markdown Review","Markdown support",IF(V447="Reorder Candidate","Second reorder",IF(V447="Monitor","Monitor",IF(V447="Noise","Hold / collect data",IF(V447="Not Ready","Not ready","")))))</f>
        <v/>
      </c>
      <c r="Y447" s="18">
        <f>IF(OR(R447="",T447=""),"",ABS(R447)+ABS(T447))</f>
        <v/>
      </c>
      <c r="Z447" s="21">
        <f>IF(OR(B447="",NOT(O447),R447=""),"",IF(ABS(R447)&gt;=MaterialThreshold,"Yes","No"))</f>
        <v/>
      </c>
      <c r="AA447" s="18">
        <f>IF(Z447&lt;&gt;"Yes","",IF(ABS(R447)&gt;=MaterialThreshold,IF(ABS(R447)&gt;=BroadShare,"Broad SKU movement","Store-concentrated movement"),""))</f>
        <v/>
      </c>
      <c r="AB447" s="18">
        <f>IF(O447,IF(COUNTIFS($O$5:O447,TRUE)&gt;0,COUNTIFS($O$5:O447,TRUE),0),0)</f>
        <v/>
      </c>
      <c r="AC447" s="18">
        <f>IF(V447="Markdown Review",1,IF(V447="Reorder Candidate",2,IF(V447="Monitor",3,IF(V447="Noise",4,IF(V447="Not Ready",5,99)))))</f>
        <v/>
      </c>
      <c r="AD447" s="18">
        <f>IF(O447,COUNTIFS($O$5:$O$504,TRUE,$AC$5:$AC$504,"&lt;"&amp;AC447)+COUNTIFS($O$5:O447,TRUE,$AC$5:AC447,AC447,$Y$5:Y447,"&gt;"&amp;Y447),0)</f>
        <v/>
      </c>
    </row>
    <row r="448">
      <c r="A448" s="17">
        <f>IF(COUNTA('Weekly Input'!A448:C448)=0,"",'Weekly Input'!B448&amp;"|"&amp;'Weekly Input'!C448&amp;"|"&amp;TEXT('Weekly Input'!A448,"yyyy-mm-dd"))</f>
        <v/>
      </c>
      <c r="B448" s="18">
        <f>'Weekly Input'!B448</f>
        <v/>
      </c>
      <c r="C448" s="18">
        <f>'Weekly Input'!C448</f>
        <v/>
      </c>
      <c r="D448" s="18">
        <f>IF(B448="","",IFERROR(INDEX('Master Data'!$B$6:$B$145,MATCH(B448,'Master Data'!$A$6:$A$145,0)),""))</f>
        <v/>
      </c>
      <c r="E448" s="18">
        <f>IF(C448="","",IFERROR(INDEX('Master Data'!$H$6:$H$13,MATCH(C448,'Master Data'!$F$6:$F$13,0)),""))</f>
        <v/>
      </c>
      <c r="F448" s="19">
        <f>'Weekly Input'!A448</f>
        <v/>
      </c>
      <c r="G448" s="19">
        <f>IF(B448="","",IFERROR(INDEX('Master Data'!$D$6:$D$145,MATCH(B448,'Master Data'!$A$6:$A$145,0)),""))</f>
        <v/>
      </c>
      <c r="H448" s="18">
        <f>IF(OR(F448="",G448=""),"",F448-G448)</f>
        <v/>
      </c>
      <c r="I448" s="18">
        <f>IF(B448="","",IF('Weekly Input'!J448="OK",TRUE,FALSE))</f>
        <v/>
      </c>
      <c r="J448" s="18">
        <f>IF(B448="","",'Weekly Input'!H448&gt;=MinInStockDays)</f>
        <v/>
      </c>
      <c r="K448" s="18">
        <f>IF(B448="","",H448&gt;=FullCycleMin)</f>
        <v/>
      </c>
      <c r="L448" s="18">
        <f>IF(B448="","",AND(I448,J448,K448,N448&gt;=MinHistory))</f>
        <v/>
      </c>
      <c r="M448" s="20">
        <f>IF(OR(B448="",'Weekly Input'!H448=0),"",'Weekly Input'!D448/'Weekly Input'!H448*7)</f>
        <v/>
      </c>
      <c r="N448" s="18">
        <f>IF(B448="","",COUNTIFS($B$5:$B$504,B448,$C$5:$C$504,C448,$I$5:$I$504,TRUE,$J$5:$J$504,TRUE,$K$5:$K$504,TRUE))</f>
        <v/>
      </c>
      <c r="O448" s="18">
        <f>IF(B448="","",AND(F448=AsOfWeek,AsOfWeek&lt;&gt;""))</f>
        <v/>
      </c>
      <c r="P448" s="20">
        <f>IF(OR(B448="",AsOfWeek=""),"",IFERROR(SUMIFS($M$5:$M$504,$B$5:$B$504,B448,$C$5:$C$504,C448,$L$5:$L$504,TRUE,$F$5:$F$504,"&gt;="&amp;AsOfWeek-7*(RecentWeeks-1),$F$5:$F$504,"&lt;="&amp;AsOfWeek),""))</f>
        <v/>
      </c>
      <c r="Q448" s="20">
        <f>IF(OR(B448="",AsOfWeek=""),"",IFERROR(SUMIFS($M$5:$M$504,$B$5:$B$504,B448,$C$5:$C$504,C448,$L$5:$L$504,TRUE,$F$5:$F$504,"&gt;="&amp;AsOfWeek-7*(RecentWeeks+PriorWeeks-1),$F$5:$F$504,"&lt;"&amp;AsOfWeek-7*(RecentWeeks-1)),""))</f>
        <v/>
      </c>
      <c r="R448" s="21">
        <f>IF(OR(P448="",Q448="",Q448=0),"",P448/Q448-1)</f>
        <v/>
      </c>
      <c r="S448" s="20">
        <f>IF(OR(C448="",AsOfWeek=""),"",IFERROR(AVERAGEIFS($M$5:$M$504,$C$5:$C$504,C448,$L$5:$L$504,TRUE,$F$5:$F$504,"&gt;="&amp;AsOfWeek-7*(RecentWeeks-1),$F$5:$F$504,"&lt;="&amp;AsOfWeek),""))</f>
        <v/>
      </c>
      <c r="T448" s="21">
        <f>IF(OR(P448="",S448=""),"",P448/S448-1)</f>
        <v/>
      </c>
      <c r="U448" s="22">
        <f>IF(OR(B448="",'Weekly Input'!G448="",P448="",P448=0),"",'Weekly Input'!G448/P448)</f>
        <v/>
      </c>
      <c r="V448" s="18">
        <f>IF(B448="","",IF(NOT(I448),"Not Ready",IF(NOT(K448),"Not Ready",IF(N448&lt;MinHistory,"Not Ready",IF(NOT(J448),"Not Ready",IF(OR(Q448="",Q448=0),"Noise",IF(Q448&lt;LowBaseThreshold,"Noise",IF(AND(R448&lt;=-OwnDecline,T448&lt;=-PeerGapThreshold),"Markdown Review",IF(AND(R448&gt;=ReorderUplift,U448&lt;&gt;"",U448&lt;=WeeksSupplyCap),"Reorder Candidate","Monitor"))))))))</f>
        <v/>
      </c>
      <c r="W448" s="18">
        <f>IF(B448="","",IF(NOT(I448),"INVALID_MASTER",IF(NOT(K448),"INCOMPLETE_SHELF_CYCLE",IF(N448&lt;MinHistory,"INSUFFICIENT_HISTORY",IF(NOT(J448),"INSUFFICIENT_IN_STOCK",IF(OR(Q448="",Q448=0),"NO_PRIOR_BASE",IF(Q448&lt;LowBaseThreshold,"LOW_BASE_NOISE",IF(V448="Markdown Review","MARKDOWN_PEER_GAP",IF(V448="Reorder Candidate","REORDER_UPLIFT_COVER","NO_MATERIAL_CHANGE"))))))))</f>
        <v/>
      </c>
      <c r="X448" s="18">
        <f>IF(V448="Markdown Review","Markdown support",IF(V448="Reorder Candidate","Second reorder",IF(V448="Monitor","Monitor",IF(V448="Noise","Hold / collect data",IF(V448="Not Ready","Not ready","")))))</f>
        <v/>
      </c>
      <c r="Y448" s="18">
        <f>IF(OR(R448="",T448=""),"",ABS(R448)+ABS(T448))</f>
        <v/>
      </c>
      <c r="Z448" s="21">
        <f>IF(OR(B448="",NOT(O448),R448=""),"",IF(ABS(R448)&gt;=MaterialThreshold,"Yes","No"))</f>
        <v/>
      </c>
      <c r="AA448" s="18">
        <f>IF(Z448&lt;&gt;"Yes","",IF(ABS(R448)&gt;=MaterialThreshold,IF(ABS(R448)&gt;=BroadShare,"Broad SKU movement","Store-concentrated movement"),""))</f>
        <v/>
      </c>
      <c r="AB448" s="18">
        <f>IF(O448,IF(COUNTIFS($O$5:O448,TRUE)&gt;0,COUNTIFS($O$5:O448,TRUE),0),0)</f>
        <v/>
      </c>
      <c r="AC448" s="18">
        <f>IF(V448="Markdown Review",1,IF(V448="Reorder Candidate",2,IF(V448="Monitor",3,IF(V448="Noise",4,IF(V448="Not Ready",5,99)))))</f>
        <v/>
      </c>
      <c r="AD448" s="18">
        <f>IF(O448,COUNTIFS($O$5:$O$504,TRUE,$AC$5:$AC$504,"&lt;"&amp;AC448)+COUNTIFS($O$5:O448,TRUE,$AC$5:AC448,AC448,$Y$5:Y448,"&gt;"&amp;Y448),0)</f>
        <v/>
      </c>
    </row>
    <row r="449">
      <c r="A449" s="17">
        <f>IF(COUNTA('Weekly Input'!A449:C449)=0,"",'Weekly Input'!B449&amp;"|"&amp;'Weekly Input'!C449&amp;"|"&amp;TEXT('Weekly Input'!A449,"yyyy-mm-dd"))</f>
        <v/>
      </c>
      <c r="B449" s="18">
        <f>'Weekly Input'!B449</f>
        <v/>
      </c>
      <c r="C449" s="18">
        <f>'Weekly Input'!C449</f>
        <v/>
      </c>
      <c r="D449" s="18">
        <f>IF(B449="","",IFERROR(INDEX('Master Data'!$B$6:$B$145,MATCH(B449,'Master Data'!$A$6:$A$145,0)),""))</f>
        <v/>
      </c>
      <c r="E449" s="18">
        <f>IF(C449="","",IFERROR(INDEX('Master Data'!$H$6:$H$13,MATCH(C449,'Master Data'!$F$6:$F$13,0)),""))</f>
        <v/>
      </c>
      <c r="F449" s="19">
        <f>'Weekly Input'!A449</f>
        <v/>
      </c>
      <c r="G449" s="19">
        <f>IF(B449="","",IFERROR(INDEX('Master Data'!$D$6:$D$145,MATCH(B449,'Master Data'!$A$6:$A$145,0)),""))</f>
        <v/>
      </c>
      <c r="H449" s="18">
        <f>IF(OR(F449="",G449=""),"",F449-G449)</f>
        <v/>
      </c>
      <c r="I449" s="18">
        <f>IF(B449="","",IF('Weekly Input'!J449="OK",TRUE,FALSE))</f>
        <v/>
      </c>
      <c r="J449" s="18">
        <f>IF(B449="","",'Weekly Input'!H449&gt;=MinInStockDays)</f>
        <v/>
      </c>
      <c r="K449" s="18">
        <f>IF(B449="","",H449&gt;=FullCycleMin)</f>
        <v/>
      </c>
      <c r="L449" s="18">
        <f>IF(B449="","",AND(I449,J449,K449,N449&gt;=MinHistory))</f>
        <v/>
      </c>
      <c r="M449" s="20">
        <f>IF(OR(B449="",'Weekly Input'!H449=0),"",'Weekly Input'!D449/'Weekly Input'!H449*7)</f>
        <v/>
      </c>
      <c r="N449" s="18">
        <f>IF(B449="","",COUNTIFS($B$5:$B$504,B449,$C$5:$C$504,C449,$I$5:$I$504,TRUE,$J$5:$J$504,TRUE,$K$5:$K$504,TRUE))</f>
        <v/>
      </c>
      <c r="O449" s="18">
        <f>IF(B449="","",AND(F449=AsOfWeek,AsOfWeek&lt;&gt;""))</f>
        <v/>
      </c>
      <c r="P449" s="20">
        <f>IF(OR(B449="",AsOfWeek=""),"",IFERROR(SUMIFS($M$5:$M$504,$B$5:$B$504,B449,$C$5:$C$504,C449,$L$5:$L$504,TRUE,$F$5:$F$504,"&gt;="&amp;AsOfWeek-7*(RecentWeeks-1),$F$5:$F$504,"&lt;="&amp;AsOfWeek),""))</f>
        <v/>
      </c>
      <c r="Q449" s="20">
        <f>IF(OR(B449="",AsOfWeek=""),"",IFERROR(SUMIFS($M$5:$M$504,$B$5:$B$504,B449,$C$5:$C$504,C449,$L$5:$L$504,TRUE,$F$5:$F$504,"&gt;="&amp;AsOfWeek-7*(RecentWeeks+PriorWeeks-1),$F$5:$F$504,"&lt;"&amp;AsOfWeek-7*(RecentWeeks-1)),""))</f>
        <v/>
      </c>
      <c r="R449" s="21">
        <f>IF(OR(P449="",Q449="",Q449=0),"",P449/Q449-1)</f>
        <v/>
      </c>
      <c r="S449" s="20">
        <f>IF(OR(C449="",AsOfWeek=""),"",IFERROR(AVERAGEIFS($M$5:$M$504,$C$5:$C$504,C449,$L$5:$L$504,TRUE,$F$5:$F$504,"&gt;="&amp;AsOfWeek-7*(RecentWeeks-1),$F$5:$F$504,"&lt;="&amp;AsOfWeek),""))</f>
        <v/>
      </c>
      <c r="T449" s="21">
        <f>IF(OR(P449="",S449=""),"",P449/S449-1)</f>
        <v/>
      </c>
      <c r="U449" s="22">
        <f>IF(OR(B449="",'Weekly Input'!G449="",P449="",P449=0),"",'Weekly Input'!G449/P449)</f>
        <v/>
      </c>
      <c r="V449" s="18">
        <f>IF(B449="","",IF(NOT(I449),"Not Ready",IF(NOT(K449),"Not Ready",IF(N449&lt;MinHistory,"Not Ready",IF(NOT(J449),"Not Ready",IF(OR(Q449="",Q449=0),"Noise",IF(Q449&lt;LowBaseThreshold,"Noise",IF(AND(R449&lt;=-OwnDecline,T449&lt;=-PeerGapThreshold),"Markdown Review",IF(AND(R449&gt;=ReorderUplift,U449&lt;&gt;"",U449&lt;=WeeksSupplyCap),"Reorder Candidate","Monitor"))))))))</f>
        <v/>
      </c>
      <c r="W449" s="18">
        <f>IF(B449="","",IF(NOT(I449),"INVALID_MASTER",IF(NOT(K449),"INCOMPLETE_SHELF_CYCLE",IF(N449&lt;MinHistory,"INSUFFICIENT_HISTORY",IF(NOT(J449),"INSUFFICIENT_IN_STOCK",IF(OR(Q449="",Q449=0),"NO_PRIOR_BASE",IF(Q449&lt;LowBaseThreshold,"LOW_BASE_NOISE",IF(V449="Markdown Review","MARKDOWN_PEER_GAP",IF(V449="Reorder Candidate","REORDER_UPLIFT_COVER","NO_MATERIAL_CHANGE"))))))))</f>
        <v/>
      </c>
      <c r="X449" s="18">
        <f>IF(V449="Markdown Review","Markdown support",IF(V449="Reorder Candidate","Second reorder",IF(V449="Monitor","Monitor",IF(V449="Noise","Hold / collect data",IF(V449="Not Ready","Not ready","")))))</f>
        <v/>
      </c>
      <c r="Y449" s="18">
        <f>IF(OR(R449="",T449=""),"",ABS(R449)+ABS(T449))</f>
        <v/>
      </c>
      <c r="Z449" s="21">
        <f>IF(OR(B449="",NOT(O449),R449=""),"",IF(ABS(R449)&gt;=MaterialThreshold,"Yes","No"))</f>
        <v/>
      </c>
      <c r="AA449" s="18">
        <f>IF(Z449&lt;&gt;"Yes","",IF(ABS(R449)&gt;=MaterialThreshold,IF(ABS(R449)&gt;=BroadShare,"Broad SKU movement","Store-concentrated movement"),""))</f>
        <v/>
      </c>
      <c r="AB449" s="18">
        <f>IF(O449,IF(COUNTIFS($O$5:O449,TRUE)&gt;0,COUNTIFS($O$5:O449,TRUE),0),0)</f>
        <v/>
      </c>
      <c r="AC449" s="18">
        <f>IF(V449="Markdown Review",1,IF(V449="Reorder Candidate",2,IF(V449="Monitor",3,IF(V449="Noise",4,IF(V449="Not Ready",5,99)))))</f>
        <v/>
      </c>
      <c r="AD449" s="18">
        <f>IF(O449,COUNTIFS($O$5:$O$504,TRUE,$AC$5:$AC$504,"&lt;"&amp;AC449)+COUNTIFS($O$5:O449,TRUE,$AC$5:AC449,AC449,$Y$5:Y449,"&gt;"&amp;Y449),0)</f>
        <v/>
      </c>
    </row>
    <row r="450">
      <c r="A450" s="17">
        <f>IF(COUNTA('Weekly Input'!A450:C450)=0,"",'Weekly Input'!B450&amp;"|"&amp;'Weekly Input'!C450&amp;"|"&amp;TEXT('Weekly Input'!A450,"yyyy-mm-dd"))</f>
        <v/>
      </c>
      <c r="B450" s="18">
        <f>'Weekly Input'!B450</f>
        <v/>
      </c>
      <c r="C450" s="18">
        <f>'Weekly Input'!C450</f>
        <v/>
      </c>
      <c r="D450" s="18">
        <f>IF(B450="","",IFERROR(INDEX('Master Data'!$B$6:$B$145,MATCH(B450,'Master Data'!$A$6:$A$145,0)),""))</f>
        <v/>
      </c>
      <c r="E450" s="18">
        <f>IF(C450="","",IFERROR(INDEX('Master Data'!$H$6:$H$13,MATCH(C450,'Master Data'!$F$6:$F$13,0)),""))</f>
        <v/>
      </c>
      <c r="F450" s="19">
        <f>'Weekly Input'!A450</f>
        <v/>
      </c>
      <c r="G450" s="19">
        <f>IF(B450="","",IFERROR(INDEX('Master Data'!$D$6:$D$145,MATCH(B450,'Master Data'!$A$6:$A$145,0)),""))</f>
        <v/>
      </c>
      <c r="H450" s="18">
        <f>IF(OR(F450="",G450=""),"",F450-G450)</f>
        <v/>
      </c>
      <c r="I450" s="18">
        <f>IF(B450="","",IF('Weekly Input'!J450="OK",TRUE,FALSE))</f>
        <v/>
      </c>
      <c r="J450" s="18">
        <f>IF(B450="","",'Weekly Input'!H450&gt;=MinInStockDays)</f>
        <v/>
      </c>
      <c r="K450" s="18">
        <f>IF(B450="","",H450&gt;=FullCycleMin)</f>
        <v/>
      </c>
      <c r="L450" s="18">
        <f>IF(B450="","",AND(I450,J450,K450,N450&gt;=MinHistory))</f>
        <v/>
      </c>
      <c r="M450" s="20">
        <f>IF(OR(B450="",'Weekly Input'!H450=0),"",'Weekly Input'!D450/'Weekly Input'!H450*7)</f>
        <v/>
      </c>
      <c r="N450" s="18">
        <f>IF(B450="","",COUNTIFS($B$5:$B$504,B450,$C$5:$C$504,C450,$I$5:$I$504,TRUE,$J$5:$J$504,TRUE,$K$5:$K$504,TRUE))</f>
        <v/>
      </c>
      <c r="O450" s="18">
        <f>IF(B450="","",AND(F450=AsOfWeek,AsOfWeek&lt;&gt;""))</f>
        <v/>
      </c>
      <c r="P450" s="20">
        <f>IF(OR(B450="",AsOfWeek=""),"",IFERROR(SUMIFS($M$5:$M$504,$B$5:$B$504,B450,$C$5:$C$504,C450,$L$5:$L$504,TRUE,$F$5:$F$504,"&gt;="&amp;AsOfWeek-7*(RecentWeeks-1),$F$5:$F$504,"&lt;="&amp;AsOfWeek),""))</f>
        <v/>
      </c>
      <c r="Q450" s="20">
        <f>IF(OR(B450="",AsOfWeek=""),"",IFERROR(SUMIFS($M$5:$M$504,$B$5:$B$504,B450,$C$5:$C$504,C450,$L$5:$L$504,TRUE,$F$5:$F$504,"&gt;="&amp;AsOfWeek-7*(RecentWeeks+PriorWeeks-1),$F$5:$F$504,"&lt;"&amp;AsOfWeek-7*(RecentWeeks-1)),""))</f>
        <v/>
      </c>
      <c r="R450" s="21">
        <f>IF(OR(P450="",Q450="",Q450=0),"",P450/Q450-1)</f>
        <v/>
      </c>
      <c r="S450" s="20">
        <f>IF(OR(C450="",AsOfWeek=""),"",IFERROR(AVERAGEIFS($M$5:$M$504,$C$5:$C$504,C450,$L$5:$L$504,TRUE,$F$5:$F$504,"&gt;="&amp;AsOfWeek-7*(RecentWeeks-1),$F$5:$F$504,"&lt;="&amp;AsOfWeek),""))</f>
        <v/>
      </c>
      <c r="T450" s="21">
        <f>IF(OR(P450="",S450=""),"",P450/S450-1)</f>
        <v/>
      </c>
      <c r="U450" s="22">
        <f>IF(OR(B450="",'Weekly Input'!G450="",P450="",P450=0),"",'Weekly Input'!G450/P450)</f>
        <v/>
      </c>
      <c r="V450" s="18">
        <f>IF(B450="","",IF(NOT(I450),"Not Ready",IF(NOT(K450),"Not Ready",IF(N450&lt;MinHistory,"Not Ready",IF(NOT(J450),"Not Ready",IF(OR(Q450="",Q450=0),"Noise",IF(Q450&lt;LowBaseThreshold,"Noise",IF(AND(R450&lt;=-OwnDecline,T450&lt;=-PeerGapThreshold),"Markdown Review",IF(AND(R450&gt;=ReorderUplift,U450&lt;&gt;"",U450&lt;=WeeksSupplyCap),"Reorder Candidate","Monitor"))))))))</f>
        <v/>
      </c>
      <c r="W450" s="18">
        <f>IF(B450="","",IF(NOT(I450),"INVALID_MASTER",IF(NOT(K450),"INCOMPLETE_SHELF_CYCLE",IF(N450&lt;MinHistory,"INSUFFICIENT_HISTORY",IF(NOT(J450),"INSUFFICIENT_IN_STOCK",IF(OR(Q450="",Q450=0),"NO_PRIOR_BASE",IF(Q450&lt;LowBaseThreshold,"LOW_BASE_NOISE",IF(V450="Markdown Review","MARKDOWN_PEER_GAP",IF(V450="Reorder Candidate","REORDER_UPLIFT_COVER","NO_MATERIAL_CHANGE"))))))))</f>
        <v/>
      </c>
      <c r="X450" s="18">
        <f>IF(V450="Markdown Review","Markdown support",IF(V450="Reorder Candidate","Second reorder",IF(V450="Monitor","Monitor",IF(V450="Noise","Hold / collect data",IF(V450="Not Ready","Not ready","")))))</f>
        <v/>
      </c>
      <c r="Y450" s="18">
        <f>IF(OR(R450="",T450=""),"",ABS(R450)+ABS(T450))</f>
        <v/>
      </c>
      <c r="Z450" s="21">
        <f>IF(OR(B450="",NOT(O450),R450=""),"",IF(ABS(R450)&gt;=MaterialThreshold,"Yes","No"))</f>
        <v/>
      </c>
      <c r="AA450" s="18">
        <f>IF(Z450&lt;&gt;"Yes","",IF(ABS(R450)&gt;=MaterialThreshold,IF(ABS(R450)&gt;=BroadShare,"Broad SKU movement","Store-concentrated movement"),""))</f>
        <v/>
      </c>
      <c r="AB450" s="18">
        <f>IF(O450,IF(COUNTIFS($O$5:O450,TRUE)&gt;0,COUNTIFS($O$5:O450,TRUE),0),0)</f>
        <v/>
      </c>
      <c r="AC450" s="18">
        <f>IF(V450="Markdown Review",1,IF(V450="Reorder Candidate",2,IF(V450="Monitor",3,IF(V450="Noise",4,IF(V450="Not Ready",5,99)))))</f>
        <v/>
      </c>
      <c r="AD450" s="18">
        <f>IF(O450,COUNTIFS($O$5:$O$504,TRUE,$AC$5:$AC$504,"&lt;"&amp;AC450)+COUNTIFS($O$5:O450,TRUE,$AC$5:AC450,AC450,$Y$5:Y450,"&gt;"&amp;Y450),0)</f>
        <v/>
      </c>
    </row>
    <row r="451">
      <c r="A451" s="17">
        <f>IF(COUNTA('Weekly Input'!A451:C451)=0,"",'Weekly Input'!B451&amp;"|"&amp;'Weekly Input'!C451&amp;"|"&amp;TEXT('Weekly Input'!A451,"yyyy-mm-dd"))</f>
        <v/>
      </c>
      <c r="B451" s="18">
        <f>'Weekly Input'!B451</f>
        <v/>
      </c>
      <c r="C451" s="18">
        <f>'Weekly Input'!C451</f>
        <v/>
      </c>
      <c r="D451" s="18">
        <f>IF(B451="","",IFERROR(INDEX('Master Data'!$B$6:$B$145,MATCH(B451,'Master Data'!$A$6:$A$145,0)),""))</f>
        <v/>
      </c>
      <c r="E451" s="18">
        <f>IF(C451="","",IFERROR(INDEX('Master Data'!$H$6:$H$13,MATCH(C451,'Master Data'!$F$6:$F$13,0)),""))</f>
        <v/>
      </c>
      <c r="F451" s="19">
        <f>'Weekly Input'!A451</f>
        <v/>
      </c>
      <c r="G451" s="19">
        <f>IF(B451="","",IFERROR(INDEX('Master Data'!$D$6:$D$145,MATCH(B451,'Master Data'!$A$6:$A$145,0)),""))</f>
        <v/>
      </c>
      <c r="H451" s="18">
        <f>IF(OR(F451="",G451=""),"",F451-G451)</f>
        <v/>
      </c>
      <c r="I451" s="18">
        <f>IF(B451="","",IF('Weekly Input'!J451="OK",TRUE,FALSE))</f>
        <v/>
      </c>
      <c r="J451" s="18">
        <f>IF(B451="","",'Weekly Input'!H451&gt;=MinInStockDays)</f>
        <v/>
      </c>
      <c r="K451" s="18">
        <f>IF(B451="","",H451&gt;=FullCycleMin)</f>
        <v/>
      </c>
      <c r="L451" s="18">
        <f>IF(B451="","",AND(I451,J451,K451,N451&gt;=MinHistory))</f>
        <v/>
      </c>
      <c r="M451" s="20">
        <f>IF(OR(B451="",'Weekly Input'!H451=0),"",'Weekly Input'!D451/'Weekly Input'!H451*7)</f>
        <v/>
      </c>
      <c r="N451" s="18">
        <f>IF(B451="","",COUNTIFS($B$5:$B$504,B451,$C$5:$C$504,C451,$I$5:$I$504,TRUE,$J$5:$J$504,TRUE,$K$5:$K$504,TRUE))</f>
        <v/>
      </c>
      <c r="O451" s="18">
        <f>IF(B451="","",AND(F451=AsOfWeek,AsOfWeek&lt;&gt;""))</f>
        <v/>
      </c>
      <c r="P451" s="20">
        <f>IF(OR(B451="",AsOfWeek=""),"",IFERROR(SUMIFS($M$5:$M$504,$B$5:$B$504,B451,$C$5:$C$504,C451,$L$5:$L$504,TRUE,$F$5:$F$504,"&gt;="&amp;AsOfWeek-7*(RecentWeeks-1),$F$5:$F$504,"&lt;="&amp;AsOfWeek),""))</f>
        <v/>
      </c>
      <c r="Q451" s="20">
        <f>IF(OR(B451="",AsOfWeek=""),"",IFERROR(SUMIFS($M$5:$M$504,$B$5:$B$504,B451,$C$5:$C$504,C451,$L$5:$L$504,TRUE,$F$5:$F$504,"&gt;="&amp;AsOfWeek-7*(RecentWeeks+PriorWeeks-1),$F$5:$F$504,"&lt;"&amp;AsOfWeek-7*(RecentWeeks-1)),""))</f>
        <v/>
      </c>
      <c r="R451" s="21">
        <f>IF(OR(P451="",Q451="",Q451=0),"",P451/Q451-1)</f>
        <v/>
      </c>
      <c r="S451" s="20">
        <f>IF(OR(C451="",AsOfWeek=""),"",IFERROR(AVERAGEIFS($M$5:$M$504,$C$5:$C$504,C451,$L$5:$L$504,TRUE,$F$5:$F$504,"&gt;="&amp;AsOfWeek-7*(RecentWeeks-1),$F$5:$F$504,"&lt;="&amp;AsOfWeek),""))</f>
        <v/>
      </c>
      <c r="T451" s="21">
        <f>IF(OR(P451="",S451=""),"",P451/S451-1)</f>
        <v/>
      </c>
      <c r="U451" s="22">
        <f>IF(OR(B451="",'Weekly Input'!G451="",P451="",P451=0),"",'Weekly Input'!G451/P451)</f>
        <v/>
      </c>
      <c r="V451" s="18">
        <f>IF(B451="","",IF(NOT(I451),"Not Ready",IF(NOT(K451),"Not Ready",IF(N451&lt;MinHistory,"Not Ready",IF(NOT(J451),"Not Ready",IF(OR(Q451="",Q451=0),"Noise",IF(Q451&lt;LowBaseThreshold,"Noise",IF(AND(R451&lt;=-OwnDecline,T451&lt;=-PeerGapThreshold),"Markdown Review",IF(AND(R451&gt;=ReorderUplift,U451&lt;&gt;"",U451&lt;=WeeksSupplyCap),"Reorder Candidate","Monitor"))))))))</f>
        <v/>
      </c>
      <c r="W451" s="18">
        <f>IF(B451="","",IF(NOT(I451),"INVALID_MASTER",IF(NOT(K451),"INCOMPLETE_SHELF_CYCLE",IF(N451&lt;MinHistory,"INSUFFICIENT_HISTORY",IF(NOT(J451),"INSUFFICIENT_IN_STOCK",IF(OR(Q451="",Q451=0),"NO_PRIOR_BASE",IF(Q451&lt;LowBaseThreshold,"LOW_BASE_NOISE",IF(V451="Markdown Review","MARKDOWN_PEER_GAP",IF(V451="Reorder Candidate","REORDER_UPLIFT_COVER","NO_MATERIAL_CHANGE"))))))))</f>
        <v/>
      </c>
      <c r="X451" s="18">
        <f>IF(V451="Markdown Review","Markdown support",IF(V451="Reorder Candidate","Second reorder",IF(V451="Monitor","Monitor",IF(V451="Noise","Hold / collect data",IF(V451="Not Ready","Not ready","")))))</f>
        <v/>
      </c>
      <c r="Y451" s="18">
        <f>IF(OR(R451="",T451=""),"",ABS(R451)+ABS(T451))</f>
        <v/>
      </c>
      <c r="Z451" s="21">
        <f>IF(OR(B451="",NOT(O451),R451=""),"",IF(ABS(R451)&gt;=MaterialThreshold,"Yes","No"))</f>
        <v/>
      </c>
      <c r="AA451" s="18">
        <f>IF(Z451&lt;&gt;"Yes","",IF(ABS(R451)&gt;=MaterialThreshold,IF(ABS(R451)&gt;=BroadShare,"Broad SKU movement","Store-concentrated movement"),""))</f>
        <v/>
      </c>
      <c r="AB451" s="18">
        <f>IF(O451,IF(COUNTIFS($O$5:O451,TRUE)&gt;0,COUNTIFS($O$5:O451,TRUE),0),0)</f>
        <v/>
      </c>
      <c r="AC451" s="18">
        <f>IF(V451="Markdown Review",1,IF(V451="Reorder Candidate",2,IF(V451="Monitor",3,IF(V451="Noise",4,IF(V451="Not Ready",5,99)))))</f>
        <v/>
      </c>
      <c r="AD451" s="18">
        <f>IF(O451,COUNTIFS($O$5:$O$504,TRUE,$AC$5:$AC$504,"&lt;"&amp;AC451)+COUNTIFS($O$5:O451,TRUE,$AC$5:AC451,AC451,$Y$5:Y451,"&gt;"&amp;Y451),0)</f>
        <v/>
      </c>
    </row>
    <row r="452">
      <c r="A452" s="17">
        <f>IF(COUNTA('Weekly Input'!A452:C452)=0,"",'Weekly Input'!B452&amp;"|"&amp;'Weekly Input'!C452&amp;"|"&amp;TEXT('Weekly Input'!A452,"yyyy-mm-dd"))</f>
        <v/>
      </c>
      <c r="B452" s="18">
        <f>'Weekly Input'!B452</f>
        <v/>
      </c>
      <c r="C452" s="18">
        <f>'Weekly Input'!C452</f>
        <v/>
      </c>
      <c r="D452" s="18">
        <f>IF(B452="","",IFERROR(INDEX('Master Data'!$B$6:$B$145,MATCH(B452,'Master Data'!$A$6:$A$145,0)),""))</f>
        <v/>
      </c>
      <c r="E452" s="18">
        <f>IF(C452="","",IFERROR(INDEX('Master Data'!$H$6:$H$13,MATCH(C452,'Master Data'!$F$6:$F$13,0)),""))</f>
        <v/>
      </c>
      <c r="F452" s="19">
        <f>'Weekly Input'!A452</f>
        <v/>
      </c>
      <c r="G452" s="19">
        <f>IF(B452="","",IFERROR(INDEX('Master Data'!$D$6:$D$145,MATCH(B452,'Master Data'!$A$6:$A$145,0)),""))</f>
        <v/>
      </c>
      <c r="H452" s="18">
        <f>IF(OR(F452="",G452=""),"",F452-G452)</f>
        <v/>
      </c>
      <c r="I452" s="18">
        <f>IF(B452="","",IF('Weekly Input'!J452="OK",TRUE,FALSE))</f>
        <v/>
      </c>
      <c r="J452" s="18">
        <f>IF(B452="","",'Weekly Input'!H452&gt;=MinInStockDays)</f>
        <v/>
      </c>
      <c r="K452" s="18">
        <f>IF(B452="","",H452&gt;=FullCycleMin)</f>
        <v/>
      </c>
      <c r="L452" s="18">
        <f>IF(B452="","",AND(I452,J452,K452,N452&gt;=MinHistory))</f>
        <v/>
      </c>
      <c r="M452" s="20">
        <f>IF(OR(B452="",'Weekly Input'!H452=0),"",'Weekly Input'!D452/'Weekly Input'!H452*7)</f>
        <v/>
      </c>
      <c r="N452" s="18">
        <f>IF(B452="","",COUNTIFS($B$5:$B$504,B452,$C$5:$C$504,C452,$I$5:$I$504,TRUE,$J$5:$J$504,TRUE,$K$5:$K$504,TRUE))</f>
        <v/>
      </c>
      <c r="O452" s="18">
        <f>IF(B452="","",AND(F452=AsOfWeek,AsOfWeek&lt;&gt;""))</f>
        <v/>
      </c>
      <c r="P452" s="20">
        <f>IF(OR(B452="",AsOfWeek=""),"",IFERROR(SUMIFS($M$5:$M$504,$B$5:$B$504,B452,$C$5:$C$504,C452,$L$5:$L$504,TRUE,$F$5:$F$504,"&gt;="&amp;AsOfWeek-7*(RecentWeeks-1),$F$5:$F$504,"&lt;="&amp;AsOfWeek),""))</f>
        <v/>
      </c>
      <c r="Q452" s="20">
        <f>IF(OR(B452="",AsOfWeek=""),"",IFERROR(SUMIFS($M$5:$M$504,$B$5:$B$504,B452,$C$5:$C$504,C452,$L$5:$L$504,TRUE,$F$5:$F$504,"&gt;="&amp;AsOfWeek-7*(RecentWeeks+PriorWeeks-1),$F$5:$F$504,"&lt;"&amp;AsOfWeek-7*(RecentWeeks-1)),""))</f>
        <v/>
      </c>
      <c r="R452" s="21">
        <f>IF(OR(P452="",Q452="",Q452=0),"",P452/Q452-1)</f>
        <v/>
      </c>
      <c r="S452" s="20">
        <f>IF(OR(C452="",AsOfWeek=""),"",IFERROR(AVERAGEIFS($M$5:$M$504,$C$5:$C$504,C452,$L$5:$L$504,TRUE,$F$5:$F$504,"&gt;="&amp;AsOfWeek-7*(RecentWeeks-1),$F$5:$F$504,"&lt;="&amp;AsOfWeek),""))</f>
        <v/>
      </c>
      <c r="T452" s="21">
        <f>IF(OR(P452="",S452=""),"",P452/S452-1)</f>
        <v/>
      </c>
      <c r="U452" s="22">
        <f>IF(OR(B452="",'Weekly Input'!G452="",P452="",P452=0),"",'Weekly Input'!G452/P452)</f>
        <v/>
      </c>
      <c r="V452" s="18">
        <f>IF(B452="","",IF(NOT(I452),"Not Ready",IF(NOT(K452),"Not Ready",IF(N452&lt;MinHistory,"Not Ready",IF(NOT(J452),"Not Ready",IF(OR(Q452="",Q452=0),"Noise",IF(Q452&lt;LowBaseThreshold,"Noise",IF(AND(R452&lt;=-OwnDecline,T452&lt;=-PeerGapThreshold),"Markdown Review",IF(AND(R452&gt;=ReorderUplift,U452&lt;&gt;"",U452&lt;=WeeksSupplyCap),"Reorder Candidate","Monitor"))))))))</f>
        <v/>
      </c>
      <c r="W452" s="18">
        <f>IF(B452="","",IF(NOT(I452),"INVALID_MASTER",IF(NOT(K452),"INCOMPLETE_SHELF_CYCLE",IF(N452&lt;MinHistory,"INSUFFICIENT_HISTORY",IF(NOT(J452),"INSUFFICIENT_IN_STOCK",IF(OR(Q452="",Q452=0),"NO_PRIOR_BASE",IF(Q452&lt;LowBaseThreshold,"LOW_BASE_NOISE",IF(V452="Markdown Review","MARKDOWN_PEER_GAP",IF(V452="Reorder Candidate","REORDER_UPLIFT_COVER","NO_MATERIAL_CHANGE"))))))))</f>
        <v/>
      </c>
      <c r="X452" s="18">
        <f>IF(V452="Markdown Review","Markdown support",IF(V452="Reorder Candidate","Second reorder",IF(V452="Monitor","Monitor",IF(V452="Noise","Hold / collect data",IF(V452="Not Ready","Not ready","")))))</f>
        <v/>
      </c>
      <c r="Y452" s="18">
        <f>IF(OR(R452="",T452=""),"",ABS(R452)+ABS(T452))</f>
        <v/>
      </c>
      <c r="Z452" s="21">
        <f>IF(OR(B452="",NOT(O452),R452=""),"",IF(ABS(R452)&gt;=MaterialThreshold,"Yes","No"))</f>
        <v/>
      </c>
      <c r="AA452" s="18">
        <f>IF(Z452&lt;&gt;"Yes","",IF(ABS(R452)&gt;=MaterialThreshold,IF(ABS(R452)&gt;=BroadShare,"Broad SKU movement","Store-concentrated movement"),""))</f>
        <v/>
      </c>
      <c r="AB452" s="18">
        <f>IF(O452,IF(COUNTIFS($O$5:O452,TRUE)&gt;0,COUNTIFS($O$5:O452,TRUE),0),0)</f>
        <v/>
      </c>
      <c r="AC452" s="18">
        <f>IF(V452="Markdown Review",1,IF(V452="Reorder Candidate",2,IF(V452="Monitor",3,IF(V452="Noise",4,IF(V452="Not Ready",5,99)))))</f>
        <v/>
      </c>
      <c r="AD452" s="18">
        <f>IF(O452,COUNTIFS($O$5:$O$504,TRUE,$AC$5:$AC$504,"&lt;"&amp;AC452)+COUNTIFS($O$5:O452,TRUE,$AC$5:AC452,AC452,$Y$5:Y452,"&gt;"&amp;Y452),0)</f>
        <v/>
      </c>
    </row>
    <row r="453">
      <c r="A453" s="17">
        <f>IF(COUNTA('Weekly Input'!A453:C453)=0,"",'Weekly Input'!B453&amp;"|"&amp;'Weekly Input'!C453&amp;"|"&amp;TEXT('Weekly Input'!A453,"yyyy-mm-dd"))</f>
        <v/>
      </c>
      <c r="B453" s="18">
        <f>'Weekly Input'!B453</f>
        <v/>
      </c>
      <c r="C453" s="18">
        <f>'Weekly Input'!C453</f>
        <v/>
      </c>
      <c r="D453" s="18">
        <f>IF(B453="","",IFERROR(INDEX('Master Data'!$B$6:$B$145,MATCH(B453,'Master Data'!$A$6:$A$145,0)),""))</f>
        <v/>
      </c>
      <c r="E453" s="18">
        <f>IF(C453="","",IFERROR(INDEX('Master Data'!$H$6:$H$13,MATCH(C453,'Master Data'!$F$6:$F$13,0)),""))</f>
        <v/>
      </c>
      <c r="F453" s="19">
        <f>'Weekly Input'!A453</f>
        <v/>
      </c>
      <c r="G453" s="19">
        <f>IF(B453="","",IFERROR(INDEX('Master Data'!$D$6:$D$145,MATCH(B453,'Master Data'!$A$6:$A$145,0)),""))</f>
        <v/>
      </c>
      <c r="H453" s="18">
        <f>IF(OR(F453="",G453=""),"",F453-G453)</f>
        <v/>
      </c>
      <c r="I453" s="18">
        <f>IF(B453="","",IF('Weekly Input'!J453="OK",TRUE,FALSE))</f>
        <v/>
      </c>
      <c r="J453" s="18">
        <f>IF(B453="","",'Weekly Input'!H453&gt;=MinInStockDays)</f>
        <v/>
      </c>
      <c r="K453" s="18">
        <f>IF(B453="","",H453&gt;=FullCycleMin)</f>
        <v/>
      </c>
      <c r="L453" s="18">
        <f>IF(B453="","",AND(I453,J453,K453,N453&gt;=MinHistory))</f>
        <v/>
      </c>
      <c r="M453" s="20">
        <f>IF(OR(B453="",'Weekly Input'!H453=0),"",'Weekly Input'!D453/'Weekly Input'!H453*7)</f>
        <v/>
      </c>
      <c r="N453" s="18">
        <f>IF(B453="","",COUNTIFS($B$5:$B$504,B453,$C$5:$C$504,C453,$I$5:$I$504,TRUE,$J$5:$J$504,TRUE,$K$5:$K$504,TRUE))</f>
        <v/>
      </c>
      <c r="O453" s="18">
        <f>IF(B453="","",AND(F453=AsOfWeek,AsOfWeek&lt;&gt;""))</f>
        <v/>
      </c>
      <c r="P453" s="20">
        <f>IF(OR(B453="",AsOfWeek=""),"",IFERROR(SUMIFS($M$5:$M$504,$B$5:$B$504,B453,$C$5:$C$504,C453,$L$5:$L$504,TRUE,$F$5:$F$504,"&gt;="&amp;AsOfWeek-7*(RecentWeeks-1),$F$5:$F$504,"&lt;="&amp;AsOfWeek),""))</f>
        <v/>
      </c>
      <c r="Q453" s="20">
        <f>IF(OR(B453="",AsOfWeek=""),"",IFERROR(SUMIFS($M$5:$M$504,$B$5:$B$504,B453,$C$5:$C$504,C453,$L$5:$L$504,TRUE,$F$5:$F$504,"&gt;="&amp;AsOfWeek-7*(RecentWeeks+PriorWeeks-1),$F$5:$F$504,"&lt;"&amp;AsOfWeek-7*(RecentWeeks-1)),""))</f>
        <v/>
      </c>
      <c r="R453" s="21">
        <f>IF(OR(P453="",Q453="",Q453=0),"",P453/Q453-1)</f>
        <v/>
      </c>
      <c r="S453" s="20">
        <f>IF(OR(C453="",AsOfWeek=""),"",IFERROR(AVERAGEIFS($M$5:$M$504,$C$5:$C$504,C453,$L$5:$L$504,TRUE,$F$5:$F$504,"&gt;="&amp;AsOfWeek-7*(RecentWeeks-1),$F$5:$F$504,"&lt;="&amp;AsOfWeek),""))</f>
        <v/>
      </c>
      <c r="T453" s="21">
        <f>IF(OR(P453="",S453=""),"",P453/S453-1)</f>
        <v/>
      </c>
      <c r="U453" s="22">
        <f>IF(OR(B453="",'Weekly Input'!G453="",P453="",P453=0),"",'Weekly Input'!G453/P453)</f>
        <v/>
      </c>
      <c r="V453" s="18">
        <f>IF(B453="","",IF(NOT(I453),"Not Ready",IF(NOT(K453),"Not Ready",IF(N453&lt;MinHistory,"Not Ready",IF(NOT(J453),"Not Ready",IF(OR(Q453="",Q453=0),"Noise",IF(Q453&lt;LowBaseThreshold,"Noise",IF(AND(R453&lt;=-OwnDecline,T453&lt;=-PeerGapThreshold),"Markdown Review",IF(AND(R453&gt;=ReorderUplift,U453&lt;&gt;"",U453&lt;=WeeksSupplyCap),"Reorder Candidate","Monitor"))))))))</f>
        <v/>
      </c>
      <c r="W453" s="18">
        <f>IF(B453="","",IF(NOT(I453),"INVALID_MASTER",IF(NOT(K453),"INCOMPLETE_SHELF_CYCLE",IF(N453&lt;MinHistory,"INSUFFICIENT_HISTORY",IF(NOT(J453),"INSUFFICIENT_IN_STOCK",IF(OR(Q453="",Q453=0),"NO_PRIOR_BASE",IF(Q453&lt;LowBaseThreshold,"LOW_BASE_NOISE",IF(V453="Markdown Review","MARKDOWN_PEER_GAP",IF(V453="Reorder Candidate","REORDER_UPLIFT_COVER","NO_MATERIAL_CHANGE"))))))))</f>
        <v/>
      </c>
      <c r="X453" s="18">
        <f>IF(V453="Markdown Review","Markdown support",IF(V453="Reorder Candidate","Second reorder",IF(V453="Monitor","Monitor",IF(V453="Noise","Hold / collect data",IF(V453="Not Ready","Not ready","")))))</f>
        <v/>
      </c>
      <c r="Y453" s="18">
        <f>IF(OR(R453="",T453=""),"",ABS(R453)+ABS(T453))</f>
        <v/>
      </c>
      <c r="Z453" s="21">
        <f>IF(OR(B453="",NOT(O453),R453=""),"",IF(ABS(R453)&gt;=MaterialThreshold,"Yes","No"))</f>
        <v/>
      </c>
      <c r="AA453" s="18">
        <f>IF(Z453&lt;&gt;"Yes","",IF(ABS(R453)&gt;=MaterialThreshold,IF(ABS(R453)&gt;=BroadShare,"Broad SKU movement","Store-concentrated movement"),""))</f>
        <v/>
      </c>
      <c r="AB453" s="18">
        <f>IF(O453,IF(COUNTIFS($O$5:O453,TRUE)&gt;0,COUNTIFS($O$5:O453,TRUE),0),0)</f>
        <v/>
      </c>
      <c r="AC453" s="18">
        <f>IF(V453="Markdown Review",1,IF(V453="Reorder Candidate",2,IF(V453="Monitor",3,IF(V453="Noise",4,IF(V453="Not Ready",5,99)))))</f>
        <v/>
      </c>
      <c r="AD453" s="18">
        <f>IF(O453,COUNTIFS($O$5:$O$504,TRUE,$AC$5:$AC$504,"&lt;"&amp;AC453)+COUNTIFS($O$5:O453,TRUE,$AC$5:AC453,AC453,$Y$5:Y453,"&gt;"&amp;Y453),0)</f>
        <v/>
      </c>
    </row>
    <row r="454">
      <c r="A454" s="17">
        <f>IF(COUNTA('Weekly Input'!A454:C454)=0,"",'Weekly Input'!B454&amp;"|"&amp;'Weekly Input'!C454&amp;"|"&amp;TEXT('Weekly Input'!A454,"yyyy-mm-dd"))</f>
        <v/>
      </c>
      <c r="B454" s="18">
        <f>'Weekly Input'!B454</f>
        <v/>
      </c>
      <c r="C454" s="18">
        <f>'Weekly Input'!C454</f>
        <v/>
      </c>
      <c r="D454" s="18">
        <f>IF(B454="","",IFERROR(INDEX('Master Data'!$B$6:$B$145,MATCH(B454,'Master Data'!$A$6:$A$145,0)),""))</f>
        <v/>
      </c>
      <c r="E454" s="18">
        <f>IF(C454="","",IFERROR(INDEX('Master Data'!$H$6:$H$13,MATCH(C454,'Master Data'!$F$6:$F$13,0)),""))</f>
        <v/>
      </c>
      <c r="F454" s="19">
        <f>'Weekly Input'!A454</f>
        <v/>
      </c>
      <c r="G454" s="19">
        <f>IF(B454="","",IFERROR(INDEX('Master Data'!$D$6:$D$145,MATCH(B454,'Master Data'!$A$6:$A$145,0)),""))</f>
        <v/>
      </c>
      <c r="H454" s="18">
        <f>IF(OR(F454="",G454=""),"",F454-G454)</f>
        <v/>
      </c>
      <c r="I454" s="18">
        <f>IF(B454="","",IF('Weekly Input'!J454="OK",TRUE,FALSE))</f>
        <v/>
      </c>
      <c r="J454" s="18">
        <f>IF(B454="","",'Weekly Input'!H454&gt;=MinInStockDays)</f>
        <v/>
      </c>
      <c r="K454" s="18">
        <f>IF(B454="","",H454&gt;=FullCycleMin)</f>
        <v/>
      </c>
      <c r="L454" s="18">
        <f>IF(B454="","",AND(I454,J454,K454,N454&gt;=MinHistory))</f>
        <v/>
      </c>
      <c r="M454" s="20">
        <f>IF(OR(B454="",'Weekly Input'!H454=0),"",'Weekly Input'!D454/'Weekly Input'!H454*7)</f>
        <v/>
      </c>
      <c r="N454" s="18">
        <f>IF(B454="","",COUNTIFS($B$5:$B$504,B454,$C$5:$C$504,C454,$I$5:$I$504,TRUE,$J$5:$J$504,TRUE,$K$5:$K$504,TRUE))</f>
        <v/>
      </c>
      <c r="O454" s="18">
        <f>IF(B454="","",AND(F454=AsOfWeek,AsOfWeek&lt;&gt;""))</f>
        <v/>
      </c>
      <c r="P454" s="20">
        <f>IF(OR(B454="",AsOfWeek=""),"",IFERROR(SUMIFS($M$5:$M$504,$B$5:$B$504,B454,$C$5:$C$504,C454,$L$5:$L$504,TRUE,$F$5:$F$504,"&gt;="&amp;AsOfWeek-7*(RecentWeeks-1),$F$5:$F$504,"&lt;="&amp;AsOfWeek),""))</f>
        <v/>
      </c>
      <c r="Q454" s="20">
        <f>IF(OR(B454="",AsOfWeek=""),"",IFERROR(SUMIFS($M$5:$M$504,$B$5:$B$504,B454,$C$5:$C$504,C454,$L$5:$L$504,TRUE,$F$5:$F$504,"&gt;="&amp;AsOfWeek-7*(RecentWeeks+PriorWeeks-1),$F$5:$F$504,"&lt;"&amp;AsOfWeek-7*(RecentWeeks-1)),""))</f>
        <v/>
      </c>
      <c r="R454" s="21">
        <f>IF(OR(P454="",Q454="",Q454=0),"",P454/Q454-1)</f>
        <v/>
      </c>
      <c r="S454" s="20">
        <f>IF(OR(C454="",AsOfWeek=""),"",IFERROR(AVERAGEIFS($M$5:$M$504,$C$5:$C$504,C454,$L$5:$L$504,TRUE,$F$5:$F$504,"&gt;="&amp;AsOfWeek-7*(RecentWeeks-1),$F$5:$F$504,"&lt;="&amp;AsOfWeek),""))</f>
        <v/>
      </c>
      <c r="T454" s="21">
        <f>IF(OR(P454="",S454=""),"",P454/S454-1)</f>
        <v/>
      </c>
      <c r="U454" s="22">
        <f>IF(OR(B454="",'Weekly Input'!G454="",P454="",P454=0),"",'Weekly Input'!G454/P454)</f>
        <v/>
      </c>
      <c r="V454" s="18">
        <f>IF(B454="","",IF(NOT(I454),"Not Ready",IF(NOT(K454),"Not Ready",IF(N454&lt;MinHistory,"Not Ready",IF(NOT(J454),"Not Ready",IF(OR(Q454="",Q454=0),"Noise",IF(Q454&lt;LowBaseThreshold,"Noise",IF(AND(R454&lt;=-OwnDecline,T454&lt;=-PeerGapThreshold),"Markdown Review",IF(AND(R454&gt;=ReorderUplift,U454&lt;&gt;"",U454&lt;=WeeksSupplyCap),"Reorder Candidate","Monitor"))))))))</f>
        <v/>
      </c>
      <c r="W454" s="18">
        <f>IF(B454="","",IF(NOT(I454),"INVALID_MASTER",IF(NOT(K454),"INCOMPLETE_SHELF_CYCLE",IF(N454&lt;MinHistory,"INSUFFICIENT_HISTORY",IF(NOT(J454),"INSUFFICIENT_IN_STOCK",IF(OR(Q454="",Q454=0),"NO_PRIOR_BASE",IF(Q454&lt;LowBaseThreshold,"LOW_BASE_NOISE",IF(V454="Markdown Review","MARKDOWN_PEER_GAP",IF(V454="Reorder Candidate","REORDER_UPLIFT_COVER","NO_MATERIAL_CHANGE"))))))))</f>
        <v/>
      </c>
      <c r="X454" s="18">
        <f>IF(V454="Markdown Review","Markdown support",IF(V454="Reorder Candidate","Second reorder",IF(V454="Monitor","Monitor",IF(V454="Noise","Hold / collect data",IF(V454="Not Ready","Not ready","")))))</f>
        <v/>
      </c>
      <c r="Y454" s="18">
        <f>IF(OR(R454="",T454=""),"",ABS(R454)+ABS(T454))</f>
        <v/>
      </c>
      <c r="Z454" s="21">
        <f>IF(OR(B454="",NOT(O454),R454=""),"",IF(ABS(R454)&gt;=MaterialThreshold,"Yes","No"))</f>
        <v/>
      </c>
      <c r="AA454" s="18">
        <f>IF(Z454&lt;&gt;"Yes","",IF(ABS(R454)&gt;=MaterialThreshold,IF(ABS(R454)&gt;=BroadShare,"Broad SKU movement","Store-concentrated movement"),""))</f>
        <v/>
      </c>
      <c r="AB454" s="18">
        <f>IF(O454,IF(COUNTIFS($O$5:O454,TRUE)&gt;0,COUNTIFS($O$5:O454,TRUE),0),0)</f>
        <v/>
      </c>
      <c r="AC454" s="18">
        <f>IF(V454="Markdown Review",1,IF(V454="Reorder Candidate",2,IF(V454="Monitor",3,IF(V454="Noise",4,IF(V454="Not Ready",5,99)))))</f>
        <v/>
      </c>
      <c r="AD454" s="18">
        <f>IF(O454,COUNTIFS($O$5:$O$504,TRUE,$AC$5:$AC$504,"&lt;"&amp;AC454)+COUNTIFS($O$5:O454,TRUE,$AC$5:AC454,AC454,$Y$5:Y454,"&gt;"&amp;Y454),0)</f>
        <v/>
      </c>
    </row>
    <row r="455">
      <c r="A455" s="17">
        <f>IF(COUNTA('Weekly Input'!A455:C455)=0,"",'Weekly Input'!B455&amp;"|"&amp;'Weekly Input'!C455&amp;"|"&amp;TEXT('Weekly Input'!A455,"yyyy-mm-dd"))</f>
        <v/>
      </c>
      <c r="B455" s="18">
        <f>'Weekly Input'!B455</f>
        <v/>
      </c>
      <c r="C455" s="18">
        <f>'Weekly Input'!C455</f>
        <v/>
      </c>
      <c r="D455" s="18">
        <f>IF(B455="","",IFERROR(INDEX('Master Data'!$B$6:$B$145,MATCH(B455,'Master Data'!$A$6:$A$145,0)),""))</f>
        <v/>
      </c>
      <c r="E455" s="18">
        <f>IF(C455="","",IFERROR(INDEX('Master Data'!$H$6:$H$13,MATCH(C455,'Master Data'!$F$6:$F$13,0)),""))</f>
        <v/>
      </c>
      <c r="F455" s="19">
        <f>'Weekly Input'!A455</f>
        <v/>
      </c>
      <c r="G455" s="19">
        <f>IF(B455="","",IFERROR(INDEX('Master Data'!$D$6:$D$145,MATCH(B455,'Master Data'!$A$6:$A$145,0)),""))</f>
        <v/>
      </c>
      <c r="H455" s="18">
        <f>IF(OR(F455="",G455=""),"",F455-G455)</f>
        <v/>
      </c>
      <c r="I455" s="18">
        <f>IF(B455="","",IF('Weekly Input'!J455="OK",TRUE,FALSE))</f>
        <v/>
      </c>
      <c r="J455" s="18">
        <f>IF(B455="","",'Weekly Input'!H455&gt;=MinInStockDays)</f>
        <v/>
      </c>
      <c r="K455" s="18">
        <f>IF(B455="","",H455&gt;=FullCycleMin)</f>
        <v/>
      </c>
      <c r="L455" s="18">
        <f>IF(B455="","",AND(I455,J455,K455,N455&gt;=MinHistory))</f>
        <v/>
      </c>
      <c r="M455" s="20">
        <f>IF(OR(B455="",'Weekly Input'!H455=0),"",'Weekly Input'!D455/'Weekly Input'!H455*7)</f>
        <v/>
      </c>
      <c r="N455" s="18">
        <f>IF(B455="","",COUNTIFS($B$5:$B$504,B455,$C$5:$C$504,C455,$I$5:$I$504,TRUE,$J$5:$J$504,TRUE,$K$5:$K$504,TRUE))</f>
        <v/>
      </c>
      <c r="O455" s="18">
        <f>IF(B455="","",AND(F455=AsOfWeek,AsOfWeek&lt;&gt;""))</f>
        <v/>
      </c>
      <c r="P455" s="20">
        <f>IF(OR(B455="",AsOfWeek=""),"",IFERROR(SUMIFS($M$5:$M$504,$B$5:$B$504,B455,$C$5:$C$504,C455,$L$5:$L$504,TRUE,$F$5:$F$504,"&gt;="&amp;AsOfWeek-7*(RecentWeeks-1),$F$5:$F$504,"&lt;="&amp;AsOfWeek),""))</f>
        <v/>
      </c>
      <c r="Q455" s="20">
        <f>IF(OR(B455="",AsOfWeek=""),"",IFERROR(SUMIFS($M$5:$M$504,$B$5:$B$504,B455,$C$5:$C$504,C455,$L$5:$L$504,TRUE,$F$5:$F$504,"&gt;="&amp;AsOfWeek-7*(RecentWeeks+PriorWeeks-1),$F$5:$F$504,"&lt;"&amp;AsOfWeek-7*(RecentWeeks-1)),""))</f>
        <v/>
      </c>
      <c r="R455" s="21">
        <f>IF(OR(P455="",Q455="",Q455=0),"",P455/Q455-1)</f>
        <v/>
      </c>
      <c r="S455" s="20">
        <f>IF(OR(C455="",AsOfWeek=""),"",IFERROR(AVERAGEIFS($M$5:$M$504,$C$5:$C$504,C455,$L$5:$L$504,TRUE,$F$5:$F$504,"&gt;="&amp;AsOfWeek-7*(RecentWeeks-1),$F$5:$F$504,"&lt;="&amp;AsOfWeek),""))</f>
        <v/>
      </c>
      <c r="T455" s="21">
        <f>IF(OR(P455="",S455=""),"",P455/S455-1)</f>
        <v/>
      </c>
      <c r="U455" s="22">
        <f>IF(OR(B455="",'Weekly Input'!G455="",P455="",P455=0),"",'Weekly Input'!G455/P455)</f>
        <v/>
      </c>
      <c r="V455" s="18">
        <f>IF(B455="","",IF(NOT(I455),"Not Ready",IF(NOT(K455),"Not Ready",IF(N455&lt;MinHistory,"Not Ready",IF(NOT(J455),"Not Ready",IF(OR(Q455="",Q455=0),"Noise",IF(Q455&lt;LowBaseThreshold,"Noise",IF(AND(R455&lt;=-OwnDecline,T455&lt;=-PeerGapThreshold),"Markdown Review",IF(AND(R455&gt;=ReorderUplift,U455&lt;&gt;"",U455&lt;=WeeksSupplyCap),"Reorder Candidate","Monitor"))))))))</f>
        <v/>
      </c>
      <c r="W455" s="18">
        <f>IF(B455="","",IF(NOT(I455),"INVALID_MASTER",IF(NOT(K455),"INCOMPLETE_SHELF_CYCLE",IF(N455&lt;MinHistory,"INSUFFICIENT_HISTORY",IF(NOT(J455),"INSUFFICIENT_IN_STOCK",IF(OR(Q455="",Q455=0),"NO_PRIOR_BASE",IF(Q455&lt;LowBaseThreshold,"LOW_BASE_NOISE",IF(V455="Markdown Review","MARKDOWN_PEER_GAP",IF(V455="Reorder Candidate","REORDER_UPLIFT_COVER","NO_MATERIAL_CHANGE"))))))))</f>
        <v/>
      </c>
      <c r="X455" s="18">
        <f>IF(V455="Markdown Review","Markdown support",IF(V455="Reorder Candidate","Second reorder",IF(V455="Monitor","Monitor",IF(V455="Noise","Hold / collect data",IF(V455="Not Ready","Not ready","")))))</f>
        <v/>
      </c>
      <c r="Y455" s="18">
        <f>IF(OR(R455="",T455=""),"",ABS(R455)+ABS(T455))</f>
        <v/>
      </c>
      <c r="Z455" s="21">
        <f>IF(OR(B455="",NOT(O455),R455=""),"",IF(ABS(R455)&gt;=MaterialThreshold,"Yes","No"))</f>
        <v/>
      </c>
      <c r="AA455" s="18">
        <f>IF(Z455&lt;&gt;"Yes","",IF(ABS(R455)&gt;=MaterialThreshold,IF(ABS(R455)&gt;=BroadShare,"Broad SKU movement","Store-concentrated movement"),""))</f>
        <v/>
      </c>
      <c r="AB455" s="18">
        <f>IF(O455,IF(COUNTIFS($O$5:O455,TRUE)&gt;0,COUNTIFS($O$5:O455,TRUE),0),0)</f>
        <v/>
      </c>
      <c r="AC455" s="18">
        <f>IF(V455="Markdown Review",1,IF(V455="Reorder Candidate",2,IF(V455="Monitor",3,IF(V455="Noise",4,IF(V455="Not Ready",5,99)))))</f>
        <v/>
      </c>
      <c r="AD455" s="18">
        <f>IF(O455,COUNTIFS($O$5:$O$504,TRUE,$AC$5:$AC$504,"&lt;"&amp;AC455)+COUNTIFS($O$5:O455,TRUE,$AC$5:AC455,AC455,$Y$5:Y455,"&gt;"&amp;Y455),0)</f>
        <v/>
      </c>
    </row>
    <row r="456">
      <c r="A456" s="17">
        <f>IF(COUNTA('Weekly Input'!A456:C456)=0,"",'Weekly Input'!B456&amp;"|"&amp;'Weekly Input'!C456&amp;"|"&amp;TEXT('Weekly Input'!A456,"yyyy-mm-dd"))</f>
        <v/>
      </c>
      <c r="B456" s="18">
        <f>'Weekly Input'!B456</f>
        <v/>
      </c>
      <c r="C456" s="18">
        <f>'Weekly Input'!C456</f>
        <v/>
      </c>
      <c r="D456" s="18">
        <f>IF(B456="","",IFERROR(INDEX('Master Data'!$B$6:$B$145,MATCH(B456,'Master Data'!$A$6:$A$145,0)),""))</f>
        <v/>
      </c>
      <c r="E456" s="18">
        <f>IF(C456="","",IFERROR(INDEX('Master Data'!$H$6:$H$13,MATCH(C456,'Master Data'!$F$6:$F$13,0)),""))</f>
        <v/>
      </c>
      <c r="F456" s="19">
        <f>'Weekly Input'!A456</f>
        <v/>
      </c>
      <c r="G456" s="19">
        <f>IF(B456="","",IFERROR(INDEX('Master Data'!$D$6:$D$145,MATCH(B456,'Master Data'!$A$6:$A$145,0)),""))</f>
        <v/>
      </c>
      <c r="H456" s="18">
        <f>IF(OR(F456="",G456=""),"",F456-G456)</f>
        <v/>
      </c>
      <c r="I456" s="18">
        <f>IF(B456="","",IF('Weekly Input'!J456="OK",TRUE,FALSE))</f>
        <v/>
      </c>
      <c r="J456" s="18">
        <f>IF(B456="","",'Weekly Input'!H456&gt;=MinInStockDays)</f>
        <v/>
      </c>
      <c r="K456" s="18">
        <f>IF(B456="","",H456&gt;=FullCycleMin)</f>
        <v/>
      </c>
      <c r="L456" s="18">
        <f>IF(B456="","",AND(I456,J456,K456,N456&gt;=MinHistory))</f>
        <v/>
      </c>
      <c r="M456" s="20">
        <f>IF(OR(B456="",'Weekly Input'!H456=0),"",'Weekly Input'!D456/'Weekly Input'!H456*7)</f>
        <v/>
      </c>
      <c r="N456" s="18">
        <f>IF(B456="","",COUNTIFS($B$5:$B$504,B456,$C$5:$C$504,C456,$I$5:$I$504,TRUE,$J$5:$J$504,TRUE,$K$5:$K$504,TRUE))</f>
        <v/>
      </c>
      <c r="O456" s="18">
        <f>IF(B456="","",AND(F456=AsOfWeek,AsOfWeek&lt;&gt;""))</f>
        <v/>
      </c>
      <c r="P456" s="20">
        <f>IF(OR(B456="",AsOfWeek=""),"",IFERROR(SUMIFS($M$5:$M$504,$B$5:$B$504,B456,$C$5:$C$504,C456,$L$5:$L$504,TRUE,$F$5:$F$504,"&gt;="&amp;AsOfWeek-7*(RecentWeeks-1),$F$5:$F$504,"&lt;="&amp;AsOfWeek),""))</f>
        <v/>
      </c>
      <c r="Q456" s="20">
        <f>IF(OR(B456="",AsOfWeek=""),"",IFERROR(SUMIFS($M$5:$M$504,$B$5:$B$504,B456,$C$5:$C$504,C456,$L$5:$L$504,TRUE,$F$5:$F$504,"&gt;="&amp;AsOfWeek-7*(RecentWeeks+PriorWeeks-1),$F$5:$F$504,"&lt;"&amp;AsOfWeek-7*(RecentWeeks-1)),""))</f>
        <v/>
      </c>
      <c r="R456" s="21">
        <f>IF(OR(P456="",Q456="",Q456=0),"",P456/Q456-1)</f>
        <v/>
      </c>
      <c r="S456" s="20">
        <f>IF(OR(C456="",AsOfWeek=""),"",IFERROR(AVERAGEIFS($M$5:$M$504,$C$5:$C$504,C456,$L$5:$L$504,TRUE,$F$5:$F$504,"&gt;="&amp;AsOfWeek-7*(RecentWeeks-1),$F$5:$F$504,"&lt;="&amp;AsOfWeek),""))</f>
        <v/>
      </c>
      <c r="T456" s="21">
        <f>IF(OR(P456="",S456=""),"",P456/S456-1)</f>
        <v/>
      </c>
      <c r="U456" s="22">
        <f>IF(OR(B456="",'Weekly Input'!G456="",P456="",P456=0),"",'Weekly Input'!G456/P456)</f>
        <v/>
      </c>
      <c r="V456" s="18">
        <f>IF(B456="","",IF(NOT(I456),"Not Ready",IF(NOT(K456),"Not Ready",IF(N456&lt;MinHistory,"Not Ready",IF(NOT(J456),"Not Ready",IF(OR(Q456="",Q456=0),"Noise",IF(Q456&lt;LowBaseThreshold,"Noise",IF(AND(R456&lt;=-OwnDecline,T456&lt;=-PeerGapThreshold),"Markdown Review",IF(AND(R456&gt;=ReorderUplift,U456&lt;&gt;"",U456&lt;=WeeksSupplyCap),"Reorder Candidate","Monitor"))))))))</f>
        <v/>
      </c>
      <c r="W456" s="18">
        <f>IF(B456="","",IF(NOT(I456),"INVALID_MASTER",IF(NOT(K456),"INCOMPLETE_SHELF_CYCLE",IF(N456&lt;MinHistory,"INSUFFICIENT_HISTORY",IF(NOT(J456),"INSUFFICIENT_IN_STOCK",IF(OR(Q456="",Q456=0),"NO_PRIOR_BASE",IF(Q456&lt;LowBaseThreshold,"LOW_BASE_NOISE",IF(V456="Markdown Review","MARKDOWN_PEER_GAP",IF(V456="Reorder Candidate","REORDER_UPLIFT_COVER","NO_MATERIAL_CHANGE"))))))))</f>
        <v/>
      </c>
      <c r="X456" s="18">
        <f>IF(V456="Markdown Review","Markdown support",IF(V456="Reorder Candidate","Second reorder",IF(V456="Monitor","Monitor",IF(V456="Noise","Hold / collect data",IF(V456="Not Ready","Not ready","")))))</f>
        <v/>
      </c>
      <c r="Y456" s="18">
        <f>IF(OR(R456="",T456=""),"",ABS(R456)+ABS(T456))</f>
        <v/>
      </c>
      <c r="Z456" s="21">
        <f>IF(OR(B456="",NOT(O456),R456=""),"",IF(ABS(R456)&gt;=MaterialThreshold,"Yes","No"))</f>
        <v/>
      </c>
      <c r="AA456" s="18">
        <f>IF(Z456&lt;&gt;"Yes","",IF(ABS(R456)&gt;=MaterialThreshold,IF(ABS(R456)&gt;=BroadShare,"Broad SKU movement","Store-concentrated movement"),""))</f>
        <v/>
      </c>
      <c r="AB456" s="18">
        <f>IF(O456,IF(COUNTIFS($O$5:O456,TRUE)&gt;0,COUNTIFS($O$5:O456,TRUE),0),0)</f>
        <v/>
      </c>
      <c r="AC456" s="18">
        <f>IF(V456="Markdown Review",1,IF(V456="Reorder Candidate",2,IF(V456="Monitor",3,IF(V456="Noise",4,IF(V456="Not Ready",5,99)))))</f>
        <v/>
      </c>
      <c r="AD456" s="18">
        <f>IF(O456,COUNTIFS($O$5:$O$504,TRUE,$AC$5:$AC$504,"&lt;"&amp;AC456)+COUNTIFS($O$5:O456,TRUE,$AC$5:AC456,AC456,$Y$5:Y456,"&gt;"&amp;Y456),0)</f>
        <v/>
      </c>
    </row>
    <row r="457">
      <c r="A457" s="17">
        <f>IF(COUNTA('Weekly Input'!A457:C457)=0,"",'Weekly Input'!B457&amp;"|"&amp;'Weekly Input'!C457&amp;"|"&amp;TEXT('Weekly Input'!A457,"yyyy-mm-dd"))</f>
        <v/>
      </c>
      <c r="B457" s="18">
        <f>'Weekly Input'!B457</f>
        <v/>
      </c>
      <c r="C457" s="18">
        <f>'Weekly Input'!C457</f>
        <v/>
      </c>
      <c r="D457" s="18">
        <f>IF(B457="","",IFERROR(INDEX('Master Data'!$B$6:$B$145,MATCH(B457,'Master Data'!$A$6:$A$145,0)),""))</f>
        <v/>
      </c>
      <c r="E457" s="18">
        <f>IF(C457="","",IFERROR(INDEX('Master Data'!$H$6:$H$13,MATCH(C457,'Master Data'!$F$6:$F$13,0)),""))</f>
        <v/>
      </c>
      <c r="F457" s="19">
        <f>'Weekly Input'!A457</f>
        <v/>
      </c>
      <c r="G457" s="19">
        <f>IF(B457="","",IFERROR(INDEX('Master Data'!$D$6:$D$145,MATCH(B457,'Master Data'!$A$6:$A$145,0)),""))</f>
        <v/>
      </c>
      <c r="H457" s="18">
        <f>IF(OR(F457="",G457=""),"",F457-G457)</f>
        <v/>
      </c>
      <c r="I457" s="18">
        <f>IF(B457="","",IF('Weekly Input'!J457="OK",TRUE,FALSE))</f>
        <v/>
      </c>
      <c r="J457" s="18">
        <f>IF(B457="","",'Weekly Input'!H457&gt;=MinInStockDays)</f>
        <v/>
      </c>
      <c r="K457" s="18">
        <f>IF(B457="","",H457&gt;=FullCycleMin)</f>
        <v/>
      </c>
      <c r="L457" s="18">
        <f>IF(B457="","",AND(I457,J457,K457,N457&gt;=MinHistory))</f>
        <v/>
      </c>
      <c r="M457" s="20">
        <f>IF(OR(B457="",'Weekly Input'!H457=0),"",'Weekly Input'!D457/'Weekly Input'!H457*7)</f>
        <v/>
      </c>
      <c r="N457" s="18">
        <f>IF(B457="","",COUNTIFS($B$5:$B$504,B457,$C$5:$C$504,C457,$I$5:$I$504,TRUE,$J$5:$J$504,TRUE,$K$5:$K$504,TRUE))</f>
        <v/>
      </c>
      <c r="O457" s="18">
        <f>IF(B457="","",AND(F457=AsOfWeek,AsOfWeek&lt;&gt;""))</f>
        <v/>
      </c>
      <c r="P457" s="20">
        <f>IF(OR(B457="",AsOfWeek=""),"",IFERROR(SUMIFS($M$5:$M$504,$B$5:$B$504,B457,$C$5:$C$504,C457,$L$5:$L$504,TRUE,$F$5:$F$504,"&gt;="&amp;AsOfWeek-7*(RecentWeeks-1),$F$5:$F$504,"&lt;="&amp;AsOfWeek),""))</f>
        <v/>
      </c>
      <c r="Q457" s="20">
        <f>IF(OR(B457="",AsOfWeek=""),"",IFERROR(SUMIFS($M$5:$M$504,$B$5:$B$504,B457,$C$5:$C$504,C457,$L$5:$L$504,TRUE,$F$5:$F$504,"&gt;="&amp;AsOfWeek-7*(RecentWeeks+PriorWeeks-1),$F$5:$F$504,"&lt;"&amp;AsOfWeek-7*(RecentWeeks-1)),""))</f>
        <v/>
      </c>
      <c r="R457" s="21">
        <f>IF(OR(P457="",Q457="",Q457=0),"",P457/Q457-1)</f>
        <v/>
      </c>
      <c r="S457" s="20">
        <f>IF(OR(C457="",AsOfWeek=""),"",IFERROR(AVERAGEIFS($M$5:$M$504,$C$5:$C$504,C457,$L$5:$L$504,TRUE,$F$5:$F$504,"&gt;="&amp;AsOfWeek-7*(RecentWeeks-1),$F$5:$F$504,"&lt;="&amp;AsOfWeek),""))</f>
        <v/>
      </c>
      <c r="T457" s="21">
        <f>IF(OR(P457="",S457=""),"",P457/S457-1)</f>
        <v/>
      </c>
      <c r="U457" s="22">
        <f>IF(OR(B457="",'Weekly Input'!G457="",P457="",P457=0),"",'Weekly Input'!G457/P457)</f>
        <v/>
      </c>
      <c r="V457" s="18">
        <f>IF(B457="","",IF(NOT(I457),"Not Ready",IF(NOT(K457),"Not Ready",IF(N457&lt;MinHistory,"Not Ready",IF(NOT(J457),"Not Ready",IF(OR(Q457="",Q457=0),"Noise",IF(Q457&lt;LowBaseThreshold,"Noise",IF(AND(R457&lt;=-OwnDecline,T457&lt;=-PeerGapThreshold),"Markdown Review",IF(AND(R457&gt;=ReorderUplift,U457&lt;&gt;"",U457&lt;=WeeksSupplyCap),"Reorder Candidate","Monitor"))))))))</f>
        <v/>
      </c>
      <c r="W457" s="18">
        <f>IF(B457="","",IF(NOT(I457),"INVALID_MASTER",IF(NOT(K457),"INCOMPLETE_SHELF_CYCLE",IF(N457&lt;MinHistory,"INSUFFICIENT_HISTORY",IF(NOT(J457),"INSUFFICIENT_IN_STOCK",IF(OR(Q457="",Q457=0),"NO_PRIOR_BASE",IF(Q457&lt;LowBaseThreshold,"LOW_BASE_NOISE",IF(V457="Markdown Review","MARKDOWN_PEER_GAP",IF(V457="Reorder Candidate","REORDER_UPLIFT_COVER","NO_MATERIAL_CHANGE"))))))))</f>
        <v/>
      </c>
      <c r="X457" s="18">
        <f>IF(V457="Markdown Review","Markdown support",IF(V457="Reorder Candidate","Second reorder",IF(V457="Monitor","Monitor",IF(V457="Noise","Hold / collect data",IF(V457="Not Ready","Not ready","")))))</f>
        <v/>
      </c>
      <c r="Y457" s="18">
        <f>IF(OR(R457="",T457=""),"",ABS(R457)+ABS(T457))</f>
        <v/>
      </c>
      <c r="Z457" s="21">
        <f>IF(OR(B457="",NOT(O457),R457=""),"",IF(ABS(R457)&gt;=MaterialThreshold,"Yes","No"))</f>
        <v/>
      </c>
      <c r="AA457" s="18">
        <f>IF(Z457&lt;&gt;"Yes","",IF(ABS(R457)&gt;=MaterialThreshold,IF(ABS(R457)&gt;=BroadShare,"Broad SKU movement","Store-concentrated movement"),""))</f>
        <v/>
      </c>
      <c r="AB457" s="18">
        <f>IF(O457,IF(COUNTIFS($O$5:O457,TRUE)&gt;0,COUNTIFS($O$5:O457,TRUE),0),0)</f>
        <v/>
      </c>
      <c r="AC457" s="18">
        <f>IF(V457="Markdown Review",1,IF(V457="Reorder Candidate",2,IF(V457="Monitor",3,IF(V457="Noise",4,IF(V457="Not Ready",5,99)))))</f>
        <v/>
      </c>
      <c r="AD457" s="18">
        <f>IF(O457,COUNTIFS($O$5:$O$504,TRUE,$AC$5:$AC$504,"&lt;"&amp;AC457)+COUNTIFS($O$5:O457,TRUE,$AC$5:AC457,AC457,$Y$5:Y457,"&gt;"&amp;Y457),0)</f>
        <v/>
      </c>
    </row>
    <row r="458">
      <c r="A458" s="17">
        <f>IF(COUNTA('Weekly Input'!A458:C458)=0,"",'Weekly Input'!B458&amp;"|"&amp;'Weekly Input'!C458&amp;"|"&amp;TEXT('Weekly Input'!A458,"yyyy-mm-dd"))</f>
        <v/>
      </c>
      <c r="B458" s="18">
        <f>'Weekly Input'!B458</f>
        <v/>
      </c>
      <c r="C458" s="18">
        <f>'Weekly Input'!C458</f>
        <v/>
      </c>
      <c r="D458" s="18">
        <f>IF(B458="","",IFERROR(INDEX('Master Data'!$B$6:$B$145,MATCH(B458,'Master Data'!$A$6:$A$145,0)),""))</f>
        <v/>
      </c>
      <c r="E458" s="18">
        <f>IF(C458="","",IFERROR(INDEX('Master Data'!$H$6:$H$13,MATCH(C458,'Master Data'!$F$6:$F$13,0)),""))</f>
        <v/>
      </c>
      <c r="F458" s="19">
        <f>'Weekly Input'!A458</f>
        <v/>
      </c>
      <c r="G458" s="19">
        <f>IF(B458="","",IFERROR(INDEX('Master Data'!$D$6:$D$145,MATCH(B458,'Master Data'!$A$6:$A$145,0)),""))</f>
        <v/>
      </c>
      <c r="H458" s="18">
        <f>IF(OR(F458="",G458=""),"",F458-G458)</f>
        <v/>
      </c>
      <c r="I458" s="18">
        <f>IF(B458="","",IF('Weekly Input'!J458="OK",TRUE,FALSE))</f>
        <v/>
      </c>
      <c r="J458" s="18">
        <f>IF(B458="","",'Weekly Input'!H458&gt;=MinInStockDays)</f>
        <v/>
      </c>
      <c r="K458" s="18">
        <f>IF(B458="","",H458&gt;=FullCycleMin)</f>
        <v/>
      </c>
      <c r="L458" s="18">
        <f>IF(B458="","",AND(I458,J458,K458,N458&gt;=MinHistory))</f>
        <v/>
      </c>
      <c r="M458" s="20">
        <f>IF(OR(B458="",'Weekly Input'!H458=0),"",'Weekly Input'!D458/'Weekly Input'!H458*7)</f>
        <v/>
      </c>
      <c r="N458" s="18">
        <f>IF(B458="","",COUNTIFS($B$5:$B$504,B458,$C$5:$C$504,C458,$I$5:$I$504,TRUE,$J$5:$J$504,TRUE,$K$5:$K$504,TRUE))</f>
        <v/>
      </c>
      <c r="O458" s="18">
        <f>IF(B458="","",AND(F458=AsOfWeek,AsOfWeek&lt;&gt;""))</f>
        <v/>
      </c>
      <c r="P458" s="20">
        <f>IF(OR(B458="",AsOfWeek=""),"",IFERROR(SUMIFS($M$5:$M$504,$B$5:$B$504,B458,$C$5:$C$504,C458,$L$5:$L$504,TRUE,$F$5:$F$504,"&gt;="&amp;AsOfWeek-7*(RecentWeeks-1),$F$5:$F$504,"&lt;="&amp;AsOfWeek),""))</f>
        <v/>
      </c>
      <c r="Q458" s="20">
        <f>IF(OR(B458="",AsOfWeek=""),"",IFERROR(SUMIFS($M$5:$M$504,$B$5:$B$504,B458,$C$5:$C$504,C458,$L$5:$L$504,TRUE,$F$5:$F$504,"&gt;="&amp;AsOfWeek-7*(RecentWeeks+PriorWeeks-1),$F$5:$F$504,"&lt;"&amp;AsOfWeek-7*(RecentWeeks-1)),""))</f>
        <v/>
      </c>
      <c r="R458" s="21">
        <f>IF(OR(P458="",Q458="",Q458=0),"",P458/Q458-1)</f>
        <v/>
      </c>
      <c r="S458" s="20">
        <f>IF(OR(C458="",AsOfWeek=""),"",IFERROR(AVERAGEIFS($M$5:$M$504,$C$5:$C$504,C458,$L$5:$L$504,TRUE,$F$5:$F$504,"&gt;="&amp;AsOfWeek-7*(RecentWeeks-1),$F$5:$F$504,"&lt;="&amp;AsOfWeek),""))</f>
        <v/>
      </c>
      <c r="T458" s="21">
        <f>IF(OR(P458="",S458=""),"",P458/S458-1)</f>
        <v/>
      </c>
      <c r="U458" s="22">
        <f>IF(OR(B458="",'Weekly Input'!G458="",P458="",P458=0),"",'Weekly Input'!G458/P458)</f>
        <v/>
      </c>
      <c r="V458" s="18">
        <f>IF(B458="","",IF(NOT(I458),"Not Ready",IF(NOT(K458),"Not Ready",IF(N458&lt;MinHistory,"Not Ready",IF(NOT(J458),"Not Ready",IF(OR(Q458="",Q458=0),"Noise",IF(Q458&lt;LowBaseThreshold,"Noise",IF(AND(R458&lt;=-OwnDecline,T458&lt;=-PeerGapThreshold),"Markdown Review",IF(AND(R458&gt;=ReorderUplift,U458&lt;&gt;"",U458&lt;=WeeksSupplyCap),"Reorder Candidate","Monitor"))))))))</f>
        <v/>
      </c>
      <c r="W458" s="18">
        <f>IF(B458="","",IF(NOT(I458),"INVALID_MASTER",IF(NOT(K458),"INCOMPLETE_SHELF_CYCLE",IF(N458&lt;MinHistory,"INSUFFICIENT_HISTORY",IF(NOT(J458),"INSUFFICIENT_IN_STOCK",IF(OR(Q458="",Q458=0),"NO_PRIOR_BASE",IF(Q458&lt;LowBaseThreshold,"LOW_BASE_NOISE",IF(V458="Markdown Review","MARKDOWN_PEER_GAP",IF(V458="Reorder Candidate","REORDER_UPLIFT_COVER","NO_MATERIAL_CHANGE"))))))))</f>
        <v/>
      </c>
      <c r="X458" s="18">
        <f>IF(V458="Markdown Review","Markdown support",IF(V458="Reorder Candidate","Second reorder",IF(V458="Monitor","Monitor",IF(V458="Noise","Hold / collect data",IF(V458="Not Ready","Not ready","")))))</f>
        <v/>
      </c>
      <c r="Y458" s="18">
        <f>IF(OR(R458="",T458=""),"",ABS(R458)+ABS(T458))</f>
        <v/>
      </c>
      <c r="Z458" s="21">
        <f>IF(OR(B458="",NOT(O458),R458=""),"",IF(ABS(R458)&gt;=MaterialThreshold,"Yes","No"))</f>
        <v/>
      </c>
      <c r="AA458" s="18">
        <f>IF(Z458&lt;&gt;"Yes","",IF(ABS(R458)&gt;=MaterialThreshold,IF(ABS(R458)&gt;=BroadShare,"Broad SKU movement","Store-concentrated movement"),""))</f>
        <v/>
      </c>
      <c r="AB458" s="18">
        <f>IF(O458,IF(COUNTIFS($O$5:O458,TRUE)&gt;0,COUNTIFS($O$5:O458,TRUE),0),0)</f>
        <v/>
      </c>
      <c r="AC458" s="18">
        <f>IF(V458="Markdown Review",1,IF(V458="Reorder Candidate",2,IF(V458="Monitor",3,IF(V458="Noise",4,IF(V458="Not Ready",5,99)))))</f>
        <v/>
      </c>
      <c r="AD458" s="18">
        <f>IF(O458,COUNTIFS($O$5:$O$504,TRUE,$AC$5:$AC$504,"&lt;"&amp;AC458)+COUNTIFS($O$5:O458,TRUE,$AC$5:AC458,AC458,$Y$5:Y458,"&gt;"&amp;Y458),0)</f>
        <v/>
      </c>
    </row>
    <row r="459">
      <c r="A459" s="17">
        <f>IF(COUNTA('Weekly Input'!A459:C459)=0,"",'Weekly Input'!B459&amp;"|"&amp;'Weekly Input'!C459&amp;"|"&amp;TEXT('Weekly Input'!A459,"yyyy-mm-dd"))</f>
        <v/>
      </c>
      <c r="B459" s="18">
        <f>'Weekly Input'!B459</f>
        <v/>
      </c>
      <c r="C459" s="18">
        <f>'Weekly Input'!C459</f>
        <v/>
      </c>
      <c r="D459" s="18">
        <f>IF(B459="","",IFERROR(INDEX('Master Data'!$B$6:$B$145,MATCH(B459,'Master Data'!$A$6:$A$145,0)),""))</f>
        <v/>
      </c>
      <c r="E459" s="18">
        <f>IF(C459="","",IFERROR(INDEX('Master Data'!$H$6:$H$13,MATCH(C459,'Master Data'!$F$6:$F$13,0)),""))</f>
        <v/>
      </c>
      <c r="F459" s="19">
        <f>'Weekly Input'!A459</f>
        <v/>
      </c>
      <c r="G459" s="19">
        <f>IF(B459="","",IFERROR(INDEX('Master Data'!$D$6:$D$145,MATCH(B459,'Master Data'!$A$6:$A$145,0)),""))</f>
        <v/>
      </c>
      <c r="H459" s="18">
        <f>IF(OR(F459="",G459=""),"",F459-G459)</f>
        <v/>
      </c>
      <c r="I459" s="18">
        <f>IF(B459="","",IF('Weekly Input'!J459="OK",TRUE,FALSE))</f>
        <v/>
      </c>
      <c r="J459" s="18">
        <f>IF(B459="","",'Weekly Input'!H459&gt;=MinInStockDays)</f>
        <v/>
      </c>
      <c r="K459" s="18">
        <f>IF(B459="","",H459&gt;=FullCycleMin)</f>
        <v/>
      </c>
      <c r="L459" s="18">
        <f>IF(B459="","",AND(I459,J459,K459,N459&gt;=MinHistory))</f>
        <v/>
      </c>
      <c r="M459" s="20">
        <f>IF(OR(B459="",'Weekly Input'!H459=0),"",'Weekly Input'!D459/'Weekly Input'!H459*7)</f>
        <v/>
      </c>
      <c r="N459" s="18">
        <f>IF(B459="","",COUNTIFS($B$5:$B$504,B459,$C$5:$C$504,C459,$I$5:$I$504,TRUE,$J$5:$J$504,TRUE,$K$5:$K$504,TRUE))</f>
        <v/>
      </c>
      <c r="O459" s="18">
        <f>IF(B459="","",AND(F459=AsOfWeek,AsOfWeek&lt;&gt;""))</f>
        <v/>
      </c>
      <c r="P459" s="20">
        <f>IF(OR(B459="",AsOfWeek=""),"",IFERROR(SUMIFS($M$5:$M$504,$B$5:$B$504,B459,$C$5:$C$504,C459,$L$5:$L$504,TRUE,$F$5:$F$504,"&gt;="&amp;AsOfWeek-7*(RecentWeeks-1),$F$5:$F$504,"&lt;="&amp;AsOfWeek),""))</f>
        <v/>
      </c>
      <c r="Q459" s="20">
        <f>IF(OR(B459="",AsOfWeek=""),"",IFERROR(SUMIFS($M$5:$M$504,$B$5:$B$504,B459,$C$5:$C$504,C459,$L$5:$L$504,TRUE,$F$5:$F$504,"&gt;="&amp;AsOfWeek-7*(RecentWeeks+PriorWeeks-1),$F$5:$F$504,"&lt;"&amp;AsOfWeek-7*(RecentWeeks-1)),""))</f>
        <v/>
      </c>
      <c r="R459" s="21">
        <f>IF(OR(P459="",Q459="",Q459=0),"",P459/Q459-1)</f>
        <v/>
      </c>
      <c r="S459" s="20">
        <f>IF(OR(C459="",AsOfWeek=""),"",IFERROR(AVERAGEIFS($M$5:$M$504,$C$5:$C$504,C459,$L$5:$L$504,TRUE,$F$5:$F$504,"&gt;="&amp;AsOfWeek-7*(RecentWeeks-1),$F$5:$F$504,"&lt;="&amp;AsOfWeek),""))</f>
        <v/>
      </c>
      <c r="T459" s="21">
        <f>IF(OR(P459="",S459=""),"",P459/S459-1)</f>
        <v/>
      </c>
      <c r="U459" s="22">
        <f>IF(OR(B459="",'Weekly Input'!G459="",P459="",P459=0),"",'Weekly Input'!G459/P459)</f>
        <v/>
      </c>
      <c r="V459" s="18">
        <f>IF(B459="","",IF(NOT(I459),"Not Ready",IF(NOT(K459),"Not Ready",IF(N459&lt;MinHistory,"Not Ready",IF(NOT(J459),"Not Ready",IF(OR(Q459="",Q459=0),"Noise",IF(Q459&lt;LowBaseThreshold,"Noise",IF(AND(R459&lt;=-OwnDecline,T459&lt;=-PeerGapThreshold),"Markdown Review",IF(AND(R459&gt;=ReorderUplift,U459&lt;&gt;"",U459&lt;=WeeksSupplyCap),"Reorder Candidate","Monitor"))))))))</f>
        <v/>
      </c>
      <c r="W459" s="18">
        <f>IF(B459="","",IF(NOT(I459),"INVALID_MASTER",IF(NOT(K459),"INCOMPLETE_SHELF_CYCLE",IF(N459&lt;MinHistory,"INSUFFICIENT_HISTORY",IF(NOT(J459),"INSUFFICIENT_IN_STOCK",IF(OR(Q459="",Q459=0),"NO_PRIOR_BASE",IF(Q459&lt;LowBaseThreshold,"LOW_BASE_NOISE",IF(V459="Markdown Review","MARKDOWN_PEER_GAP",IF(V459="Reorder Candidate","REORDER_UPLIFT_COVER","NO_MATERIAL_CHANGE"))))))))</f>
        <v/>
      </c>
      <c r="X459" s="18">
        <f>IF(V459="Markdown Review","Markdown support",IF(V459="Reorder Candidate","Second reorder",IF(V459="Monitor","Monitor",IF(V459="Noise","Hold / collect data",IF(V459="Not Ready","Not ready","")))))</f>
        <v/>
      </c>
      <c r="Y459" s="18">
        <f>IF(OR(R459="",T459=""),"",ABS(R459)+ABS(T459))</f>
        <v/>
      </c>
      <c r="Z459" s="21">
        <f>IF(OR(B459="",NOT(O459),R459=""),"",IF(ABS(R459)&gt;=MaterialThreshold,"Yes","No"))</f>
        <v/>
      </c>
      <c r="AA459" s="18">
        <f>IF(Z459&lt;&gt;"Yes","",IF(ABS(R459)&gt;=MaterialThreshold,IF(ABS(R459)&gt;=BroadShare,"Broad SKU movement","Store-concentrated movement"),""))</f>
        <v/>
      </c>
      <c r="AB459" s="18">
        <f>IF(O459,IF(COUNTIFS($O$5:O459,TRUE)&gt;0,COUNTIFS($O$5:O459,TRUE),0),0)</f>
        <v/>
      </c>
      <c r="AC459" s="18">
        <f>IF(V459="Markdown Review",1,IF(V459="Reorder Candidate",2,IF(V459="Monitor",3,IF(V459="Noise",4,IF(V459="Not Ready",5,99)))))</f>
        <v/>
      </c>
      <c r="AD459" s="18">
        <f>IF(O459,COUNTIFS($O$5:$O$504,TRUE,$AC$5:$AC$504,"&lt;"&amp;AC459)+COUNTIFS($O$5:O459,TRUE,$AC$5:AC459,AC459,$Y$5:Y459,"&gt;"&amp;Y459),0)</f>
        <v/>
      </c>
    </row>
    <row r="460">
      <c r="A460" s="17">
        <f>IF(COUNTA('Weekly Input'!A460:C460)=0,"",'Weekly Input'!B460&amp;"|"&amp;'Weekly Input'!C460&amp;"|"&amp;TEXT('Weekly Input'!A460,"yyyy-mm-dd"))</f>
        <v/>
      </c>
      <c r="B460" s="18">
        <f>'Weekly Input'!B460</f>
        <v/>
      </c>
      <c r="C460" s="18">
        <f>'Weekly Input'!C460</f>
        <v/>
      </c>
      <c r="D460" s="18">
        <f>IF(B460="","",IFERROR(INDEX('Master Data'!$B$6:$B$145,MATCH(B460,'Master Data'!$A$6:$A$145,0)),""))</f>
        <v/>
      </c>
      <c r="E460" s="18">
        <f>IF(C460="","",IFERROR(INDEX('Master Data'!$H$6:$H$13,MATCH(C460,'Master Data'!$F$6:$F$13,0)),""))</f>
        <v/>
      </c>
      <c r="F460" s="19">
        <f>'Weekly Input'!A460</f>
        <v/>
      </c>
      <c r="G460" s="19">
        <f>IF(B460="","",IFERROR(INDEX('Master Data'!$D$6:$D$145,MATCH(B460,'Master Data'!$A$6:$A$145,0)),""))</f>
        <v/>
      </c>
      <c r="H460" s="18">
        <f>IF(OR(F460="",G460=""),"",F460-G460)</f>
        <v/>
      </c>
      <c r="I460" s="18">
        <f>IF(B460="","",IF('Weekly Input'!J460="OK",TRUE,FALSE))</f>
        <v/>
      </c>
      <c r="J460" s="18">
        <f>IF(B460="","",'Weekly Input'!H460&gt;=MinInStockDays)</f>
        <v/>
      </c>
      <c r="K460" s="18">
        <f>IF(B460="","",H460&gt;=FullCycleMin)</f>
        <v/>
      </c>
      <c r="L460" s="18">
        <f>IF(B460="","",AND(I460,J460,K460,N460&gt;=MinHistory))</f>
        <v/>
      </c>
      <c r="M460" s="20">
        <f>IF(OR(B460="",'Weekly Input'!H460=0),"",'Weekly Input'!D460/'Weekly Input'!H460*7)</f>
        <v/>
      </c>
      <c r="N460" s="18">
        <f>IF(B460="","",COUNTIFS($B$5:$B$504,B460,$C$5:$C$504,C460,$I$5:$I$504,TRUE,$J$5:$J$504,TRUE,$K$5:$K$504,TRUE))</f>
        <v/>
      </c>
      <c r="O460" s="18">
        <f>IF(B460="","",AND(F460=AsOfWeek,AsOfWeek&lt;&gt;""))</f>
        <v/>
      </c>
      <c r="P460" s="20">
        <f>IF(OR(B460="",AsOfWeek=""),"",IFERROR(SUMIFS($M$5:$M$504,$B$5:$B$504,B460,$C$5:$C$504,C460,$L$5:$L$504,TRUE,$F$5:$F$504,"&gt;="&amp;AsOfWeek-7*(RecentWeeks-1),$F$5:$F$504,"&lt;="&amp;AsOfWeek),""))</f>
        <v/>
      </c>
      <c r="Q460" s="20">
        <f>IF(OR(B460="",AsOfWeek=""),"",IFERROR(SUMIFS($M$5:$M$504,$B$5:$B$504,B460,$C$5:$C$504,C460,$L$5:$L$504,TRUE,$F$5:$F$504,"&gt;="&amp;AsOfWeek-7*(RecentWeeks+PriorWeeks-1),$F$5:$F$504,"&lt;"&amp;AsOfWeek-7*(RecentWeeks-1)),""))</f>
        <v/>
      </c>
      <c r="R460" s="21">
        <f>IF(OR(P460="",Q460="",Q460=0),"",P460/Q460-1)</f>
        <v/>
      </c>
      <c r="S460" s="20">
        <f>IF(OR(C460="",AsOfWeek=""),"",IFERROR(AVERAGEIFS($M$5:$M$504,$C$5:$C$504,C460,$L$5:$L$504,TRUE,$F$5:$F$504,"&gt;="&amp;AsOfWeek-7*(RecentWeeks-1),$F$5:$F$504,"&lt;="&amp;AsOfWeek),""))</f>
        <v/>
      </c>
      <c r="T460" s="21">
        <f>IF(OR(P460="",S460=""),"",P460/S460-1)</f>
        <v/>
      </c>
      <c r="U460" s="22">
        <f>IF(OR(B460="",'Weekly Input'!G460="",P460="",P460=0),"",'Weekly Input'!G460/P460)</f>
        <v/>
      </c>
      <c r="V460" s="18">
        <f>IF(B460="","",IF(NOT(I460),"Not Ready",IF(NOT(K460),"Not Ready",IF(N460&lt;MinHistory,"Not Ready",IF(NOT(J460),"Not Ready",IF(OR(Q460="",Q460=0),"Noise",IF(Q460&lt;LowBaseThreshold,"Noise",IF(AND(R460&lt;=-OwnDecline,T460&lt;=-PeerGapThreshold),"Markdown Review",IF(AND(R460&gt;=ReorderUplift,U460&lt;&gt;"",U460&lt;=WeeksSupplyCap),"Reorder Candidate","Monitor"))))))))</f>
        <v/>
      </c>
      <c r="W460" s="18">
        <f>IF(B460="","",IF(NOT(I460),"INVALID_MASTER",IF(NOT(K460),"INCOMPLETE_SHELF_CYCLE",IF(N460&lt;MinHistory,"INSUFFICIENT_HISTORY",IF(NOT(J460),"INSUFFICIENT_IN_STOCK",IF(OR(Q460="",Q460=0),"NO_PRIOR_BASE",IF(Q460&lt;LowBaseThreshold,"LOW_BASE_NOISE",IF(V460="Markdown Review","MARKDOWN_PEER_GAP",IF(V460="Reorder Candidate","REORDER_UPLIFT_COVER","NO_MATERIAL_CHANGE"))))))))</f>
        <v/>
      </c>
      <c r="X460" s="18">
        <f>IF(V460="Markdown Review","Markdown support",IF(V460="Reorder Candidate","Second reorder",IF(V460="Monitor","Monitor",IF(V460="Noise","Hold / collect data",IF(V460="Not Ready","Not ready","")))))</f>
        <v/>
      </c>
      <c r="Y460" s="18">
        <f>IF(OR(R460="",T460=""),"",ABS(R460)+ABS(T460))</f>
        <v/>
      </c>
      <c r="Z460" s="21">
        <f>IF(OR(B460="",NOT(O460),R460=""),"",IF(ABS(R460)&gt;=MaterialThreshold,"Yes","No"))</f>
        <v/>
      </c>
      <c r="AA460" s="18">
        <f>IF(Z460&lt;&gt;"Yes","",IF(ABS(R460)&gt;=MaterialThreshold,IF(ABS(R460)&gt;=BroadShare,"Broad SKU movement","Store-concentrated movement"),""))</f>
        <v/>
      </c>
      <c r="AB460" s="18">
        <f>IF(O460,IF(COUNTIFS($O$5:O460,TRUE)&gt;0,COUNTIFS($O$5:O460,TRUE),0),0)</f>
        <v/>
      </c>
      <c r="AC460" s="18">
        <f>IF(V460="Markdown Review",1,IF(V460="Reorder Candidate",2,IF(V460="Monitor",3,IF(V460="Noise",4,IF(V460="Not Ready",5,99)))))</f>
        <v/>
      </c>
      <c r="AD460" s="18">
        <f>IF(O460,COUNTIFS($O$5:$O$504,TRUE,$AC$5:$AC$504,"&lt;"&amp;AC460)+COUNTIFS($O$5:O460,TRUE,$AC$5:AC460,AC460,$Y$5:Y460,"&gt;"&amp;Y460),0)</f>
        <v/>
      </c>
    </row>
    <row r="461">
      <c r="A461" s="17">
        <f>IF(COUNTA('Weekly Input'!A461:C461)=0,"",'Weekly Input'!B461&amp;"|"&amp;'Weekly Input'!C461&amp;"|"&amp;TEXT('Weekly Input'!A461,"yyyy-mm-dd"))</f>
        <v/>
      </c>
      <c r="B461" s="18">
        <f>'Weekly Input'!B461</f>
        <v/>
      </c>
      <c r="C461" s="18">
        <f>'Weekly Input'!C461</f>
        <v/>
      </c>
      <c r="D461" s="18">
        <f>IF(B461="","",IFERROR(INDEX('Master Data'!$B$6:$B$145,MATCH(B461,'Master Data'!$A$6:$A$145,0)),""))</f>
        <v/>
      </c>
      <c r="E461" s="18">
        <f>IF(C461="","",IFERROR(INDEX('Master Data'!$H$6:$H$13,MATCH(C461,'Master Data'!$F$6:$F$13,0)),""))</f>
        <v/>
      </c>
      <c r="F461" s="19">
        <f>'Weekly Input'!A461</f>
        <v/>
      </c>
      <c r="G461" s="19">
        <f>IF(B461="","",IFERROR(INDEX('Master Data'!$D$6:$D$145,MATCH(B461,'Master Data'!$A$6:$A$145,0)),""))</f>
        <v/>
      </c>
      <c r="H461" s="18">
        <f>IF(OR(F461="",G461=""),"",F461-G461)</f>
        <v/>
      </c>
      <c r="I461" s="18">
        <f>IF(B461="","",IF('Weekly Input'!J461="OK",TRUE,FALSE))</f>
        <v/>
      </c>
      <c r="J461" s="18">
        <f>IF(B461="","",'Weekly Input'!H461&gt;=MinInStockDays)</f>
        <v/>
      </c>
      <c r="K461" s="18">
        <f>IF(B461="","",H461&gt;=FullCycleMin)</f>
        <v/>
      </c>
      <c r="L461" s="18">
        <f>IF(B461="","",AND(I461,J461,K461,N461&gt;=MinHistory))</f>
        <v/>
      </c>
      <c r="M461" s="20">
        <f>IF(OR(B461="",'Weekly Input'!H461=0),"",'Weekly Input'!D461/'Weekly Input'!H461*7)</f>
        <v/>
      </c>
      <c r="N461" s="18">
        <f>IF(B461="","",COUNTIFS($B$5:$B$504,B461,$C$5:$C$504,C461,$I$5:$I$504,TRUE,$J$5:$J$504,TRUE,$K$5:$K$504,TRUE))</f>
        <v/>
      </c>
      <c r="O461" s="18">
        <f>IF(B461="","",AND(F461=AsOfWeek,AsOfWeek&lt;&gt;""))</f>
        <v/>
      </c>
      <c r="P461" s="20">
        <f>IF(OR(B461="",AsOfWeek=""),"",IFERROR(SUMIFS($M$5:$M$504,$B$5:$B$504,B461,$C$5:$C$504,C461,$L$5:$L$504,TRUE,$F$5:$F$504,"&gt;="&amp;AsOfWeek-7*(RecentWeeks-1),$F$5:$F$504,"&lt;="&amp;AsOfWeek),""))</f>
        <v/>
      </c>
      <c r="Q461" s="20">
        <f>IF(OR(B461="",AsOfWeek=""),"",IFERROR(SUMIFS($M$5:$M$504,$B$5:$B$504,B461,$C$5:$C$504,C461,$L$5:$L$504,TRUE,$F$5:$F$504,"&gt;="&amp;AsOfWeek-7*(RecentWeeks+PriorWeeks-1),$F$5:$F$504,"&lt;"&amp;AsOfWeek-7*(RecentWeeks-1)),""))</f>
        <v/>
      </c>
      <c r="R461" s="21">
        <f>IF(OR(P461="",Q461="",Q461=0),"",P461/Q461-1)</f>
        <v/>
      </c>
      <c r="S461" s="20">
        <f>IF(OR(C461="",AsOfWeek=""),"",IFERROR(AVERAGEIFS($M$5:$M$504,$C$5:$C$504,C461,$L$5:$L$504,TRUE,$F$5:$F$504,"&gt;="&amp;AsOfWeek-7*(RecentWeeks-1),$F$5:$F$504,"&lt;="&amp;AsOfWeek),""))</f>
        <v/>
      </c>
      <c r="T461" s="21">
        <f>IF(OR(P461="",S461=""),"",P461/S461-1)</f>
        <v/>
      </c>
      <c r="U461" s="22">
        <f>IF(OR(B461="",'Weekly Input'!G461="",P461="",P461=0),"",'Weekly Input'!G461/P461)</f>
        <v/>
      </c>
      <c r="V461" s="18">
        <f>IF(B461="","",IF(NOT(I461),"Not Ready",IF(NOT(K461),"Not Ready",IF(N461&lt;MinHistory,"Not Ready",IF(NOT(J461),"Not Ready",IF(OR(Q461="",Q461=0),"Noise",IF(Q461&lt;LowBaseThreshold,"Noise",IF(AND(R461&lt;=-OwnDecline,T461&lt;=-PeerGapThreshold),"Markdown Review",IF(AND(R461&gt;=ReorderUplift,U461&lt;&gt;"",U461&lt;=WeeksSupplyCap),"Reorder Candidate","Monitor"))))))))</f>
        <v/>
      </c>
      <c r="W461" s="18">
        <f>IF(B461="","",IF(NOT(I461),"INVALID_MASTER",IF(NOT(K461),"INCOMPLETE_SHELF_CYCLE",IF(N461&lt;MinHistory,"INSUFFICIENT_HISTORY",IF(NOT(J461),"INSUFFICIENT_IN_STOCK",IF(OR(Q461="",Q461=0),"NO_PRIOR_BASE",IF(Q461&lt;LowBaseThreshold,"LOW_BASE_NOISE",IF(V461="Markdown Review","MARKDOWN_PEER_GAP",IF(V461="Reorder Candidate","REORDER_UPLIFT_COVER","NO_MATERIAL_CHANGE"))))))))</f>
        <v/>
      </c>
      <c r="X461" s="18">
        <f>IF(V461="Markdown Review","Markdown support",IF(V461="Reorder Candidate","Second reorder",IF(V461="Monitor","Monitor",IF(V461="Noise","Hold / collect data",IF(V461="Not Ready","Not ready","")))))</f>
        <v/>
      </c>
      <c r="Y461" s="18">
        <f>IF(OR(R461="",T461=""),"",ABS(R461)+ABS(T461))</f>
        <v/>
      </c>
      <c r="Z461" s="21">
        <f>IF(OR(B461="",NOT(O461),R461=""),"",IF(ABS(R461)&gt;=MaterialThreshold,"Yes","No"))</f>
        <v/>
      </c>
      <c r="AA461" s="18">
        <f>IF(Z461&lt;&gt;"Yes","",IF(ABS(R461)&gt;=MaterialThreshold,IF(ABS(R461)&gt;=BroadShare,"Broad SKU movement","Store-concentrated movement"),""))</f>
        <v/>
      </c>
      <c r="AB461" s="18">
        <f>IF(O461,IF(COUNTIFS($O$5:O461,TRUE)&gt;0,COUNTIFS($O$5:O461,TRUE),0),0)</f>
        <v/>
      </c>
      <c r="AC461" s="18">
        <f>IF(V461="Markdown Review",1,IF(V461="Reorder Candidate",2,IF(V461="Monitor",3,IF(V461="Noise",4,IF(V461="Not Ready",5,99)))))</f>
        <v/>
      </c>
      <c r="AD461" s="18">
        <f>IF(O461,COUNTIFS($O$5:$O$504,TRUE,$AC$5:$AC$504,"&lt;"&amp;AC461)+COUNTIFS($O$5:O461,TRUE,$AC$5:AC461,AC461,$Y$5:Y461,"&gt;"&amp;Y461),0)</f>
        <v/>
      </c>
    </row>
    <row r="462">
      <c r="A462" s="17">
        <f>IF(COUNTA('Weekly Input'!A462:C462)=0,"",'Weekly Input'!B462&amp;"|"&amp;'Weekly Input'!C462&amp;"|"&amp;TEXT('Weekly Input'!A462,"yyyy-mm-dd"))</f>
        <v/>
      </c>
      <c r="B462" s="18">
        <f>'Weekly Input'!B462</f>
        <v/>
      </c>
      <c r="C462" s="18">
        <f>'Weekly Input'!C462</f>
        <v/>
      </c>
      <c r="D462" s="18">
        <f>IF(B462="","",IFERROR(INDEX('Master Data'!$B$6:$B$145,MATCH(B462,'Master Data'!$A$6:$A$145,0)),""))</f>
        <v/>
      </c>
      <c r="E462" s="18">
        <f>IF(C462="","",IFERROR(INDEX('Master Data'!$H$6:$H$13,MATCH(C462,'Master Data'!$F$6:$F$13,0)),""))</f>
        <v/>
      </c>
      <c r="F462" s="19">
        <f>'Weekly Input'!A462</f>
        <v/>
      </c>
      <c r="G462" s="19">
        <f>IF(B462="","",IFERROR(INDEX('Master Data'!$D$6:$D$145,MATCH(B462,'Master Data'!$A$6:$A$145,0)),""))</f>
        <v/>
      </c>
      <c r="H462" s="18">
        <f>IF(OR(F462="",G462=""),"",F462-G462)</f>
        <v/>
      </c>
      <c r="I462" s="18">
        <f>IF(B462="","",IF('Weekly Input'!J462="OK",TRUE,FALSE))</f>
        <v/>
      </c>
      <c r="J462" s="18">
        <f>IF(B462="","",'Weekly Input'!H462&gt;=MinInStockDays)</f>
        <v/>
      </c>
      <c r="K462" s="18">
        <f>IF(B462="","",H462&gt;=FullCycleMin)</f>
        <v/>
      </c>
      <c r="L462" s="18">
        <f>IF(B462="","",AND(I462,J462,K462,N462&gt;=MinHistory))</f>
        <v/>
      </c>
      <c r="M462" s="20">
        <f>IF(OR(B462="",'Weekly Input'!H462=0),"",'Weekly Input'!D462/'Weekly Input'!H462*7)</f>
        <v/>
      </c>
      <c r="N462" s="18">
        <f>IF(B462="","",COUNTIFS($B$5:$B$504,B462,$C$5:$C$504,C462,$I$5:$I$504,TRUE,$J$5:$J$504,TRUE,$K$5:$K$504,TRUE))</f>
        <v/>
      </c>
      <c r="O462" s="18">
        <f>IF(B462="","",AND(F462=AsOfWeek,AsOfWeek&lt;&gt;""))</f>
        <v/>
      </c>
      <c r="P462" s="20">
        <f>IF(OR(B462="",AsOfWeek=""),"",IFERROR(SUMIFS($M$5:$M$504,$B$5:$B$504,B462,$C$5:$C$504,C462,$L$5:$L$504,TRUE,$F$5:$F$504,"&gt;="&amp;AsOfWeek-7*(RecentWeeks-1),$F$5:$F$504,"&lt;="&amp;AsOfWeek),""))</f>
        <v/>
      </c>
      <c r="Q462" s="20">
        <f>IF(OR(B462="",AsOfWeek=""),"",IFERROR(SUMIFS($M$5:$M$504,$B$5:$B$504,B462,$C$5:$C$504,C462,$L$5:$L$504,TRUE,$F$5:$F$504,"&gt;="&amp;AsOfWeek-7*(RecentWeeks+PriorWeeks-1),$F$5:$F$504,"&lt;"&amp;AsOfWeek-7*(RecentWeeks-1)),""))</f>
        <v/>
      </c>
      <c r="R462" s="21">
        <f>IF(OR(P462="",Q462="",Q462=0),"",P462/Q462-1)</f>
        <v/>
      </c>
      <c r="S462" s="20">
        <f>IF(OR(C462="",AsOfWeek=""),"",IFERROR(AVERAGEIFS($M$5:$M$504,$C$5:$C$504,C462,$L$5:$L$504,TRUE,$F$5:$F$504,"&gt;="&amp;AsOfWeek-7*(RecentWeeks-1),$F$5:$F$504,"&lt;="&amp;AsOfWeek),""))</f>
        <v/>
      </c>
      <c r="T462" s="21">
        <f>IF(OR(P462="",S462=""),"",P462/S462-1)</f>
        <v/>
      </c>
      <c r="U462" s="22">
        <f>IF(OR(B462="",'Weekly Input'!G462="",P462="",P462=0),"",'Weekly Input'!G462/P462)</f>
        <v/>
      </c>
      <c r="V462" s="18">
        <f>IF(B462="","",IF(NOT(I462),"Not Ready",IF(NOT(K462),"Not Ready",IF(N462&lt;MinHistory,"Not Ready",IF(NOT(J462),"Not Ready",IF(OR(Q462="",Q462=0),"Noise",IF(Q462&lt;LowBaseThreshold,"Noise",IF(AND(R462&lt;=-OwnDecline,T462&lt;=-PeerGapThreshold),"Markdown Review",IF(AND(R462&gt;=ReorderUplift,U462&lt;&gt;"",U462&lt;=WeeksSupplyCap),"Reorder Candidate","Monitor"))))))))</f>
        <v/>
      </c>
      <c r="W462" s="18">
        <f>IF(B462="","",IF(NOT(I462),"INVALID_MASTER",IF(NOT(K462),"INCOMPLETE_SHELF_CYCLE",IF(N462&lt;MinHistory,"INSUFFICIENT_HISTORY",IF(NOT(J462),"INSUFFICIENT_IN_STOCK",IF(OR(Q462="",Q462=0),"NO_PRIOR_BASE",IF(Q462&lt;LowBaseThreshold,"LOW_BASE_NOISE",IF(V462="Markdown Review","MARKDOWN_PEER_GAP",IF(V462="Reorder Candidate","REORDER_UPLIFT_COVER","NO_MATERIAL_CHANGE"))))))))</f>
        <v/>
      </c>
      <c r="X462" s="18">
        <f>IF(V462="Markdown Review","Markdown support",IF(V462="Reorder Candidate","Second reorder",IF(V462="Monitor","Monitor",IF(V462="Noise","Hold / collect data",IF(V462="Not Ready","Not ready","")))))</f>
        <v/>
      </c>
      <c r="Y462" s="18">
        <f>IF(OR(R462="",T462=""),"",ABS(R462)+ABS(T462))</f>
        <v/>
      </c>
      <c r="Z462" s="21">
        <f>IF(OR(B462="",NOT(O462),R462=""),"",IF(ABS(R462)&gt;=MaterialThreshold,"Yes","No"))</f>
        <v/>
      </c>
      <c r="AA462" s="18">
        <f>IF(Z462&lt;&gt;"Yes","",IF(ABS(R462)&gt;=MaterialThreshold,IF(ABS(R462)&gt;=BroadShare,"Broad SKU movement","Store-concentrated movement"),""))</f>
        <v/>
      </c>
      <c r="AB462" s="18">
        <f>IF(O462,IF(COUNTIFS($O$5:O462,TRUE)&gt;0,COUNTIFS($O$5:O462,TRUE),0),0)</f>
        <v/>
      </c>
      <c r="AC462" s="18">
        <f>IF(V462="Markdown Review",1,IF(V462="Reorder Candidate",2,IF(V462="Monitor",3,IF(V462="Noise",4,IF(V462="Not Ready",5,99)))))</f>
        <v/>
      </c>
      <c r="AD462" s="18">
        <f>IF(O462,COUNTIFS($O$5:$O$504,TRUE,$AC$5:$AC$504,"&lt;"&amp;AC462)+COUNTIFS($O$5:O462,TRUE,$AC$5:AC462,AC462,$Y$5:Y462,"&gt;"&amp;Y462),0)</f>
        <v/>
      </c>
    </row>
    <row r="463">
      <c r="A463" s="17">
        <f>IF(COUNTA('Weekly Input'!A463:C463)=0,"",'Weekly Input'!B463&amp;"|"&amp;'Weekly Input'!C463&amp;"|"&amp;TEXT('Weekly Input'!A463,"yyyy-mm-dd"))</f>
        <v/>
      </c>
      <c r="B463" s="18">
        <f>'Weekly Input'!B463</f>
        <v/>
      </c>
      <c r="C463" s="18">
        <f>'Weekly Input'!C463</f>
        <v/>
      </c>
      <c r="D463" s="18">
        <f>IF(B463="","",IFERROR(INDEX('Master Data'!$B$6:$B$145,MATCH(B463,'Master Data'!$A$6:$A$145,0)),""))</f>
        <v/>
      </c>
      <c r="E463" s="18">
        <f>IF(C463="","",IFERROR(INDEX('Master Data'!$H$6:$H$13,MATCH(C463,'Master Data'!$F$6:$F$13,0)),""))</f>
        <v/>
      </c>
      <c r="F463" s="19">
        <f>'Weekly Input'!A463</f>
        <v/>
      </c>
      <c r="G463" s="19">
        <f>IF(B463="","",IFERROR(INDEX('Master Data'!$D$6:$D$145,MATCH(B463,'Master Data'!$A$6:$A$145,0)),""))</f>
        <v/>
      </c>
      <c r="H463" s="18">
        <f>IF(OR(F463="",G463=""),"",F463-G463)</f>
        <v/>
      </c>
      <c r="I463" s="18">
        <f>IF(B463="","",IF('Weekly Input'!J463="OK",TRUE,FALSE))</f>
        <v/>
      </c>
      <c r="J463" s="18">
        <f>IF(B463="","",'Weekly Input'!H463&gt;=MinInStockDays)</f>
        <v/>
      </c>
      <c r="K463" s="18">
        <f>IF(B463="","",H463&gt;=FullCycleMin)</f>
        <v/>
      </c>
      <c r="L463" s="18">
        <f>IF(B463="","",AND(I463,J463,K463,N463&gt;=MinHistory))</f>
        <v/>
      </c>
      <c r="M463" s="20">
        <f>IF(OR(B463="",'Weekly Input'!H463=0),"",'Weekly Input'!D463/'Weekly Input'!H463*7)</f>
        <v/>
      </c>
      <c r="N463" s="18">
        <f>IF(B463="","",COUNTIFS($B$5:$B$504,B463,$C$5:$C$504,C463,$I$5:$I$504,TRUE,$J$5:$J$504,TRUE,$K$5:$K$504,TRUE))</f>
        <v/>
      </c>
      <c r="O463" s="18">
        <f>IF(B463="","",AND(F463=AsOfWeek,AsOfWeek&lt;&gt;""))</f>
        <v/>
      </c>
      <c r="P463" s="20">
        <f>IF(OR(B463="",AsOfWeek=""),"",IFERROR(SUMIFS($M$5:$M$504,$B$5:$B$504,B463,$C$5:$C$504,C463,$L$5:$L$504,TRUE,$F$5:$F$504,"&gt;="&amp;AsOfWeek-7*(RecentWeeks-1),$F$5:$F$504,"&lt;="&amp;AsOfWeek),""))</f>
        <v/>
      </c>
      <c r="Q463" s="20">
        <f>IF(OR(B463="",AsOfWeek=""),"",IFERROR(SUMIFS($M$5:$M$504,$B$5:$B$504,B463,$C$5:$C$504,C463,$L$5:$L$504,TRUE,$F$5:$F$504,"&gt;="&amp;AsOfWeek-7*(RecentWeeks+PriorWeeks-1),$F$5:$F$504,"&lt;"&amp;AsOfWeek-7*(RecentWeeks-1)),""))</f>
        <v/>
      </c>
      <c r="R463" s="21">
        <f>IF(OR(P463="",Q463="",Q463=0),"",P463/Q463-1)</f>
        <v/>
      </c>
      <c r="S463" s="20">
        <f>IF(OR(C463="",AsOfWeek=""),"",IFERROR(AVERAGEIFS($M$5:$M$504,$C$5:$C$504,C463,$L$5:$L$504,TRUE,$F$5:$F$504,"&gt;="&amp;AsOfWeek-7*(RecentWeeks-1),$F$5:$F$504,"&lt;="&amp;AsOfWeek),""))</f>
        <v/>
      </c>
      <c r="T463" s="21">
        <f>IF(OR(P463="",S463=""),"",P463/S463-1)</f>
        <v/>
      </c>
      <c r="U463" s="22">
        <f>IF(OR(B463="",'Weekly Input'!G463="",P463="",P463=0),"",'Weekly Input'!G463/P463)</f>
        <v/>
      </c>
      <c r="V463" s="18">
        <f>IF(B463="","",IF(NOT(I463),"Not Ready",IF(NOT(K463),"Not Ready",IF(N463&lt;MinHistory,"Not Ready",IF(NOT(J463),"Not Ready",IF(OR(Q463="",Q463=0),"Noise",IF(Q463&lt;LowBaseThreshold,"Noise",IF(AND(R463&lt;=-OwnDecline,T463&lt;=-PeerGapThreshold),"Markdown Review",IF(AND(R463&gt;=ReorderUplift,U463&lt;&gt;"",U463&lt;=WeeksSupplyCap),"Reorder Candidate","Monitor"))))))))</f>
        <v/>
      </c>
      <c r="W463" s="18">
        <f>IF(B463="","",IF(NOT(I463),"INVALID_MASTER",IF(NOT(K463),"INCOMPLETE_SHELF_CYCLE",IF(N463&lt;MinHistory,"INSUFFICIENT_HISTORY",IF(NOT(J463),"INSUFFICIENT_IN_STOCK",IF(OR(Q463="",Q463=0),"NO_PRIOR_BASE",IF(Q463&lt;LowBaseThreshold,"LOW_BASE_NOISE",IF(V463="Markdown Review","MARKDOWN_PEER_GAP",IF(V463="Reorder Candidate","REORDER_UPLIFT_COVER","NO_MATERIAL_CHANGE"))))))))</f>
        <v/>
      </c>
      <c r="X463" s="18">
        <f>IF(V463="Markdown Review","Markdown support",IF(V463="Reorder Candidate","Second reorder",IF(V463="Monitor","Monitor",IF(V463="Noise","Hold / collect data",IF(V463="Not Ready","Not ready","")))))</f>
        <v/>
      </c>
      <c r="Y463" s="18">
        <f>IF(OR(R463="",T463=""),"",ABS(R463)+ABS(T463))</f>
        <v/>
      </c>
      <c r="Z463" s="21">
        <f>IF(OR(B463="",NOT(O463),R463=""),"",IF(ABS(R463)&gt;=MaterialThreshold,"Yes","No"))</f>
        <v/>
      </c>
      <c r="AA463" s="18">
        <f>IF(Z463&lt;&gt;"Yes","",IF(ABS(R463)&gt;=MaterialThreshold,IF(ABS(R463)&gt;=BroadShare,"Broad SKU movement","Store-concentrated movement"),""))</f>
        <v/>
      </c>
      <c r="AB463" s="18">
        <f>IF(O463,IF(COUNTIFS($O$5:O463,TRUE)&gt;0,COUNTIFS($O$5:O463,TRUE),0),0)</f>
        <v/>
      </c>
      <c r="AC463" s="18">
        <f>IF(V463="Markdown Review",1,IF(V463="Reorder Candidate",2,IF(V463="Monitor",3,IF(V463="Noise",4,IF(V463="Not Ready",5,99)))))</f>
        <v/>
      </c>
      <c r="AD463" s="18">
        <f>IF(O463,COUNTIFS($O$5:$O$504,TRUE,$AC$5:$AC$504,"&lt;"&amp;AC463)+COUNTIFS($O$5:O463,TRUE,$AC$5:AC463,AC463,$Y$5:Y463,"&gt;"&amp;Y463),0)</f>
        <v/>
      </c>
    </row>
    <row r="464">
      <c r="A464" s="17">
        <f>IF(COUNTA('Weekly Input'!A464:C464)=0,"",'Weekly Input'!B464&amp;"|"&amp;'Weekly Input'!C464&amp;"|"&amp;TEXT('Weekly Input'!A464,"yyyy-mm-dd"))</f>
        <v/>
      </c>
      <c r="B464" s="18">
        <f>'Weekly Input'!B464</f>
        <v/>
      </c>
      <c r="C464" s="18">
        <f>'Weekly Input'!C464</f>
        <v/>
      </c>
      <c r="D464" s="18">
        <f>IF(B464="","",IFERROR(INDEX('Master Data'!$B$6:$B$145,MATCH(B464,'Master Data'!$A$6:$A$145,0)),""))</f>
        <v/>
      </c>
      <c r="E464" s="18">
        <f>IF(C464="","",IFERROR(INDEX('Master Data'!$H$6:$H$13,MATCH(C464,'Master Data'!$F$6:$F$13,0)),""))</f>
        <v/>
      </c>
      <c r="F464" s="19">
        <f>'Weekly Input'!A464</f>
        <v/>
      </c>
      <c r="G464" s="19">
        <f>IF(B464="","",IFERROR(INDEX('Master Data'!$D$6:$D$145,MATCH(B464,'Master Data'!$A$6:$A$145,0)),""))</f>
        <v/>
      </c>
      <c r="H464" s="18">
        <f>IF(OR(F464="",G464=""),"",F464-G464)</f>
        <v/>
      </c>
      <c r="I464" s="18">
        <f>IF(B464="","",IF('Weekly Input'!J464="OK",TRUE,FALSE))</f>
        <v/>
      </c>
      <c r="J464" s="18">
        <f>IF(B464="","",'Weekly Input'!H464&gt;=MinInStockDays)</f>
        <v/>
      </c>
      <c r="K464" s="18">
        <f>IF(B464="","",H464&gt;=FullCycleMin)</f>
        <v/>
      </c>
      <c r="L464" s="18">
        <f>IF(B464="","",AND(I464,J464,K464,N464&gt;=MinHistory))</f>
        <v/>
      </c>
      <c r="M464" s="20">
        <f>IF(OR(B464="",'Weekly Input'!H464=0),"",'Weekly Input'!D464/'Weekly Input'!H464*7)</f>
        <v/>
      </c>
      <c r="N464" s="18">
        <f>IF(B464="","",COUNTIFS($B$5:$B$504,B464,$C$5:$C$504,C464,$I$5:$I$504,TRUE,$J$5:$J$504,TRUE,$K$5:$K$504,TRUE))</f>
        <v/>
      </c>
      <c r="O464" s="18">
        <f>IF(B464="","",AND(F464=AsOfWeek,AsOfWeek&lt;&gt;""))</f>
        <v/>
      </c>
      <c r="P464" s="20">
        <f>IF(OR(B464="",AsOfWeek=""),"",IFERROR(SUMIFS($M$5:$M$504,$B$5:$B$504,B464,$C$5:$C$504,C464,$L$5:$L$504,TRUE,$F$5:$F$504,"&gt;="&amp;AsOfWeek-7*(RecentWeeks-1),$F$5:$F$504,"&lt;="&amp;AsOfWeek),""))</f>
        <v/>
      </c>
      <c r="Q464" s="20">
        <f>IF(OR(B464="",AsOfWeek=""),"",IFERROR(SUMIFS($M$5:$M$504,$B$5:$B$504,B464,$C$5:$C$504,C464,$L$5:$L$504,TRUE,$F$5:$F$504,"&gt;="&amp;AsOfWeek-7*(RecentWeeks+PriorWeeks-1),$F$5:$F$504,"&lt;"&amp;AsOfWeek-7*(RecentWeeks-1)),""))</f>
        <v/>
      </c>
      <c r="R464" s="21">
        <f>IF(OR(P464="",Q464="",Q464=0),"",P464/Q464-1)</f>
        <v/>
      </c>
      <c r="S464" s="20">
        <f>IF(OR(C464="",AsOfWeek=""),"",IFERROR(AVERAGEIFS($M$5:$M$504,$C$5:$C$504,C464,$L$5:$L$504,TRUE,$F$5:$F$504,"&gt;="&amp;AsOfWeek-7*(RecentWeeks-1),$F$5:$F$504,"&lt;="&amp;AsOfWeek),""))</f>
        <v/>
      </c>
      <c r="T464" s="21">
        <f>IF(OR(P464="",S464=""),"",P464/S464-1)</f>
        <v/>
      </c>
      <c r="U464" s="22">
        <f>IF(OR(B464="",'Weekly Input'!G464="",P464="",P464=0),"",'Weekly Input'!G464/P464)</f>
        <v/>
      </c>
      <c r="V464" s="18">
        <f>IF(B464="","",IF(NOT(I464),"Not Ready",IF(NOT(K464),"Not Ready",IF(N464&lt;MinHistory,"Not Ready",IF(NOT(J464),"Not Ready",IF(OR(Q464="",Q464=0),"Noise",IF(Q464&lt;LowBaseThreshold,"Noise",IF(AND(R464&lt;=-OwnDecline,T464&lt;=-PeerGapThreshold),"Markdown Review",IF(AND(R464&gt;=ReorderUplift,U464&lt;&gt;"",U464&lt;=WeeksSupplyCap),"Reorder Candidate","Monitor"))))))))</f>
        <v/>
      </c>
      <c r="W464" s="18">
        <f>IF(B464="","",IF(NOT(I464),"INVALID_MASTER",IF(NOT(K464),"INCOMPLETE_SHELF_CYCLE",IF(N464&lt;MinHistory,"INSUFFICIENT_HISTORY",IF(NOT(J464),"INSUFFICIENT_IN_STOCK",IF(OR(Q464="",Q464=0),"NO_PRIOR_BASE",IF(Q464&lt;LowBaseThreshold,"LOW_BASE_NOISE",IF(V464="Markdown Review","MARKDOWN_PEER_GAP",IF(V464="Reorder Candidate","REORDER_UPLIFT_COVER","NO_MATERIAL_CHANGE"))))))))</f>
        <v/>
      </c>
      <c r="X464" s="18">
        <f>IF(V464="Markdown Review","Markdown support",IF(V464="Reorder Candidate","Second reorder",IF(V464="Monitor","Monitor",IF(V464="Noise","Hold / collect data",IF(V464="Not Ready","Not ready","")))))</f>
        <v/>
      </c>
      <c r="Y464" s="18">
        <f>IF(OR(R464="",T464=""),"",ABS(R464)+ABS(T464))</f>
        <v/>
      </c>
      <c r="Z464" s="21">
        <f>IF(OR(B464="",NOT(O464),R464=""),"",IF(ABS(R464)&gt;=MaterialThreshold,"Yes","No"))</f>
        <v/>
      </c>
      <c r="AA464" s="18">
        <f>IF(Z464&lt;&gt;"Yes","",IF(ABS(R464)&gt;=MaterialThreshold,IF(ABS(R464)&gt;=BroadShare,"Broad SKU movement","Store-concentrated movement"),""))</f>
        <v/>
      </c>
      <c r="AB464" s="18">
        <f>IF(O464,IF(COUNTIFS($O$5:O464,TRUE)&gt;0,COUNTIFS($O$5:O464,TRUE),0),0)</f>
        <v/>
      </c>
      <c r="AC464" s="18">
        <f>IF(V464="Markdown Review",1,IF(V464="Reorder Candidate",2,IF(V464="Monitor",3,IF(V464="Noise",4,IF(V464="Not Ready",5,99)))))</f>
        <v/>
      </c>
      <c r="AD464" s="18">
        <f>IF(O464,COUNTIFS($O$5:$O$504,TRUE,$AC$5:$AC$504,"&lt;"&amp;AC464)+COUNTIFS($O$5:O464,TRUE,$AC$5:AC464,AC464,$Y$5:Y464,"&gt;"&amp;Y464),0)</f>
        <v/>
      </c>
    </row>
    <row r="465">
      <c r="A465" s="17">
        <f>IF(COUNTA('Weekly Input'!A465:C465)=0,"",'Weekly Input'!B465&amp;"|"&amp;'Weekly Input'!C465&amp;"|"&amp;TEXT('Weekly Input'!A465,"yyyy-mm-dd"))</f>
        <v/>
      </c>
      <c r="B465" s="18">
        <f>'Weekly Input'!B465</f>
        <v/>
      </c>
      <c r="C465" s="18">
        <f>'Weekly Input'!C465</f>
        <v/>
      </c>
      <c r="D465" s="18">
        <f>IF(B465="","",IFERROR(INDEX('Master Data'!$B$6:$B$145,MATCH(B465,'Master Data'!$A$6:$A$145,0)),""))</f>
        <v/>
      </c>
      <c r="E465" s="18">
        <f>IF(C465="","",IFERROR(INDEX('Master Data'!$H$6:$H$13,MATCH(C465,'Master Data'!$F$6:$F$13,0)),""))</f>
        <v/>
      </c>
      <c r="F465" s="19">
        <f>'Weekly Input'!A465</f>
        <v/>
      </c>
      <c r="G465" s="19">
        <f>IF(B465="","",IFERROR(INDEX('Master Data'!$D$6:$D$145,MATCH(B465,'Master Data'!$A$6:$A$145,0)),""))</f>
        <v/>
      </c>
      <c r="H465" s="18">
        <f>IF(OR(F465="",G465=""),"",F465-G465)</f>
        <v/>
      </c>
      <c r="I465" s="18">
        <f>IF(B465="","",IF('Weekly Input'!J465="OK",TRUE,FALSE))</f>
        <v/>
      </c>
      <c r="J465" s="18">
        <f>IF(B465="","",'Weekly Input'!H465&gt;=MinInStockDays)</f>
        <v/>
      </c>
      <c r="K465" s="18">
        <f>IF(B465="","",H465&gt;=FullCycleMin)</f>
        <v/>
      </c>
      <c r="L465" s="18">
        <f>IF(B465="","",AND(I465,J465,K465,N465&gt;=MinHistory))</f>
        <v/>
      </c>
      <c r="M465" s="20">
        <f>IF(OR(B465="",'Weekly Input'!H465=0),"",'Weekly Input'!D465/'Weekly Input'!H465*7)</f>
        <v/>
      </c>
      <c r="N465" s="18">
        <f>IF(B465="","",COUNTIFS($B$5:$B$504,B465,$C$5:$C$504,C465,$I$5:$I$504,TRUE,$J$5:$J$504,TRUE,$K$5:$K$504,TRUE))</f>
        <v/>
      </c>
      <c r="O465" s="18">
        <f>IF(B465="","",AND(F465=AsOfWeek,AsOfWeek&lt;&gt;""))</f>
        <v/>
      </c>
      <c r="P465" s="20">
        <f>IF(OR(B465="",AsOfWeek=""),"",IFERROR(SUMIFS($M$5:$M$504,$B$5:$B$504,B465,$C$5:$C$504,C465,$L$5:$L$504,TRUE,$F$5:$F$504,"&gt;="&amp;AsOfWeek-7*(RecentWeeks-1),$F$5:$F$504,"&lt;="&amp;AsOfWeek),""))</f>
        <v/>
      </c>
      <c r="Q465" s="20">
        <f>IF(OR(B465="",AsOfWeek=""),"",IFERROR(SUMIFS($M$5:$M$504,$B$5:$B$504,B465,$C$5:$C$504,C465,$L$5:$L$504,TRUE,$F$5:$F$504,"&gt;="&amp;AsOfWeek-7*(RecentWeeks+PriorWeeks-1),$F$5:$F$504,"&lt;"&amp;AsOfWeek-7*(RecentWeeks-1)),""))</f>
        <v/>
      </c>
      <c r="R465" s="21">
        <f>IF(OR(P465="",Q465="",Q465=0),"",P465/Q465-1)</f>
        <v/>
      </c>
      <c r="S465" s="20">
        <f>IF(OR(C465="",AsOfWeek=""),"",IFERROR(AVERAGEIFS($M$5:$M$504,$C$5:$C$504,C465,$L$5:$L$504,TRUE,$F$5:$F$504,"&gt;="&amp;AsOfWeek-7*(RecentWeeks-1),$F$5:$F$504,"&lt;="&amp;AsOfWeek),""))</f>
        <v/>
      </c>
      <c r="T465" s="21">
        <f>IF(OR(P465="",S465=""),"",P465/S465-1)</f>
        <v/>
      </c>
      <c r="U465" s="22">
        <f>IF(OR(B465="",'Weekly Input'!G465="",P465="",P465=0),"",'Weekly Input'!G465/P465)</f>
        <v/>
      </c>
      <c r="V465" s="18">
        <f>IF(B465="","",IF(NOT(I465),"Not Ready",IF(NOT(K465),"Not Ready",IF(N465&lt;MinHistory,"Not Ready",IF(NOT(J465),"Not Ready",IF(OR(Q465="",Q465=0),"Noise",IF(Q465&lt;LowBaseThreshold,"Noise",IF(AND(R465&lt;=-OwnDecline,T465&lt;=-PeerGapThreshold),"Markdown Review",IF(AND(R465&gt;=ReorderUplift,U465&lt;&gt;"",U465&lt;=WeeksSupplyCap),"Reorder Candidate","Monitor"))))))))</f>
        <v/>
      </c>
      <c r="W465" s="18">
        <f>IF(B465="","",IF(NOT(I465),"INVALID_MASTER",IF(NOT(K465),"INCOMPLETE_SHELF_CYCLE",IF(N465&lt;MinHistory,"INSUFFICIENT_HISTORY",IF(NOT(J465),"INSUFFICIENT_IN_STOCK",IF(OR(Q465="",Q465=0),"NO_PRIOR_BASE",IF(Q465&lt;LowBaseThreshold,"LOW_BASE_NOISE",IF(V465="Markdown Review","MARKDOWN_PEER_GAP",IF(V465="Reorder Candidate","REORDER_UPLIFT_COVER","NO_MATERIAL_CHANGE"))))))))</f>
        <v/>
      </c>
      <c r="X465" s="18">
        <f>IF(V465="Markdown Review","Markdown support",IF(V465="Reorder Candidate","Second reorder",IF(V465="Monitor","Monitor",IF(V465="Noise","Hold / collect data",IF(V465="Not Ready","Not ready","")))))</f>
        <v/>
      </c>
      <c r="Y465" s="18">
        <f>IF(OR(R465="",T465=""),"",ABS(R465)+ABS(T465))</f>
        <v/>
      </c>
      <c r="Z465" s="21">
        <f>IF(OR(B465="",NOT(O465),R465=""),"",IF(ABS(R465)&gt;=MaterialThreshold,"Yes","No"))</f>
        <v/>
      </c>
      <c r="AA465" s="18">
        <f>IF(Z465&lt;&gt;"Yes","",IF(ABS(R465)&gt;=MaterialThreshold,IF(ABS(R465)&gt;=BroadShare,"Broad SKU movement","Store-concentrated movement"),""))</f>
        <v/>
      </c>
      <c r="AB465" s="18">
        <f>IF(O465,IF(COUNTIFS($O$5:O465,TRUE)&gt;0,COUNTIFS($O$5:O465,TRUE),0),0)</f>
        <v/>
      </c>
      <c r="AC465" s="18">
        <f>IF(V465="Markdown Review",1,IF(V465="Reorder Candidate",2,IF(V465="Monitor",3,IF(V465="Noise",4,IF(V465="Not Ready",5,99)))))</f>
        <v/>
      </c>
      <c r="AD465" s="18">
        <f>IF(O465,COUNTIFS($O$5:$O$504,TRUE,$AC$5:$AC$504,"&lt;"&amp;AC465)+COUNTIFS($O$5:O465,TRUE,$AC$5:AC465,AC465,$Y$5:Y465,"&gt;"&amp;Y465),0)</f>
        <v/>
      </c>
    </row>
    <row r="466">
      <c r="A466" s="17">
        <f>IF(COUNTA('Weekly Input'!A466:C466)=0,"",'Weekly Input'!B466&amp;"|"&amp;'Weekly Input'!C466&amp;"|"&amp;TEXT('Weekly Input'!A466,"yyyy-mm-dd"))</f>
        <v/>
      </c>
      <c r="B466" s="18">
        <f>'Weekly Input'!B466</f>
        <v/>
      </c>
      <c r="C466" s="18">
        <f>'Weekly Input'!C466</f>
        <v/>
      </c>
      <c r="D466" s="18">
        <f>IF(B466="","",IFERROR(INDEX('Master Data'!$B$6:$B$145,MATCH(B466,'Master Data'!$A$6:$A$145,0)),""))</f>
        <v/>
      </c>
      <c r="E466" s="18">
        <f>IF(C466="","",IFERROR(INDEX('Master Data'!$H$6:$H$13,MATCH(C466,'Master Data'!$F$6:$F$13,0)),""))</f>
        <v/>
      </c>
      <c r="F466" s="19">
        <f>'Weekly Input'!A466</f>
        <v/>
      </c>
      <c r="G466" s="19">
        <f>IF(B466="","",IFERROR(INDEX('Master Data'!$D$6:$D$145,MATCH(B466,'Master Data'!$A$6:$A$145,0)),""))</f>
        <v/>
      </c>
      <c r="H466" s="18">
        <f>IF(OR(F466="",G466=""),"",F466-G466)</f>
        <v/>
      </c>
      <c r="I466" s="18">
        <f>IF(B466="","",IF('Weekly Input'!J466="OK",TRUE,FALSE))</f>
        <v/>
      </c>
      <c r="J466" s="18">
        <f>IF(B466="","",'Weekly Input'!H466&gt;=MinInStockDays)</f>
        <v/>
      </c>
      <c r="K466" s="18">
        <f>IF(B466="","",H466&gt;=FullCycleMin)</f>
        <v/>
      </c>
      <c r="L466" s="18">
        <f>IF(B466="","",AND(I466,J466,K466,N466&gt;=MinHistory))</f>
        <v/>
      </c>
      <c r="M466" s="20">
        <f>IF(OR(B466="",'Weekly Input'!H466=0),"",'Weekly Input'!D466/'Weekly Input'!H466*7)</f>
        <v/>
      </c>
      <c r="N466" s="18">
        <f>IF(B466="","",COUNTIFS($B$5:$B$504,B466,$C$5:$C$504,C466,$I$5:$I$504,TRUE,$J$5:$J$504,TRUE,$K$5:$K$504,TRUE))</f>
        <v/>
      </c>
      <c r="O466" s="18">
        <f>IF(B466="","",AND(F466=AsOfWeek,AsOfWeek&lt;&gt;""))</f>
        <v/>
      </c>
      <c r="P466" s="20">
        <f>IF(OR(B466="",AsOfWeek=""),"",IFERROR(SUMIFS($M$5:$M$504,$B$5:$B$504,B466,$C$5:$C$504,C466,$L$5:$L$504,TRUE,$F$5:$F$504,"&gt;="&amp;AsOfWeek-7*(RecentWeeks-1),$F$5:$F$504,"&lt;="&amp;AsOfWeek),""))</f>
        <v/>
      </c>
      <c r="Q466" s="20">
        <f>IF(OR(B466="",AsOfWeek=""),"",IFERROR(SUMIFS($M$5:$M$504,$B$5:$B$504,B466,$C$5:$C$504,C466,$L$5:$L$504,TRUE,$F$5:$F$504,"&gt;="&amp;AsOfWeek-7*(RecentWeeks+PriorWeeks-1),$F$5:$F$504,"&lt;"&amp;AsOfWeek-7*(RecentWeeks-1)),""))</f>
        <v/>
      </c>
      <c r="R466" s="21">
        <f>IF(OR(P466="",Q466="",Q466=0),"",P466/Q466-1)</f>
        <v/>
      </c>
      <c r="S466" s="20">
        <f>IF(OR(C466="",AsOfWeek=""),"",IFERROR(AVERAGEIFS($M$5:$M$504,$C$5:$C$504,C466,$L$5:$L$504,TRUE,$F$5:$F$504,"&gt;="&amp;AsOfWeek-7*(RecentWeeks-1),$F$5:$F$504,"&lt;="&amp;AsOfWeek),""))</f>
        <v/>
      </c>
      <c r="T466" s="21">
        <f>IF(OR(P466="",S466=""),"",P466/S466-1)</f>
        <v/>
      </c>
      <c r="U466" s="22">
        <f>IF(OR(B466="",'Weekly Input'!G466="",P466="",P466=0),"",'Weekly Input'!G466/P466)</f>
        <v/>
      </c>
      <c r="V466" s="18">
        <f>IF(B466="","",IF(NOT(I466),"Not Ready",IF(NOT(K466),"Not Ready",IF(N466&lt;MinHistory,"Not Ready",IF(NOT(J466),"Not Ready",IF(OR(Q466="",Q466=0),"Noise",IF(Q466&lt;LowBaseThreshold,"Noise",IF(AND(R466&lt;=-OwnDecline,T466&lt;=-PeerGapThreshold),"Markdown Review",IF(AND(R466&gt;=ReorderUplift,U466&lt;&gt;"",U466&lt;=WeeksSupplyCap),"Reorder Candidate","Monitor"))))))))</f>
        <v/>
      </c>
      <c r="W466" s="18">
        <f>IF(B466="","",IF(NOT(I466),"INVALID_MASTER",IF(NOT(K466),"INCOMPLETE_SHELF_CYCLE",IF(N466&lt;MinHistory,"INSUFFICIENT_HISTORY",IF(NOT(J466),"INSUFFICIENT_IN_STOCK",IF(OR(Q466="",Q466=0),"NO_PRIOR_BASE",IF(Q466&lt;LowBaseThreshold,"LOW_BASE_NOISE",IF(V466="Markdown Review","MARKDOWN_PEER_GAP",IF(V466="Reorder Candidate","REORDER_UPLIFT_COVER","NO_MATERIAL_CHANGE"))))))))</f>
        <v/>
      </c>
      <c r="X466" s="18">
        <f>IF(V466="Markdown Review","Markdown support",IF(V466="Reorder Candidate","Second reorder",IF(V466="Monitor","Monitor",IF(V466="Noise","Hold / collect data",IF(V466="Not Ready","Not ready","")))))</f>
        <v/>
      </c>
      <c r="Y466" s="18">
        <f>IF(OR(R466="",T466=""),"",ABS(R466)+ABS(T466))</f>
        <v/>
      </c>
      <c r="Z466" s="21">
        <f>IF(OR(B466="",NOT(O466),R466=""),"",IF(ABS(R466)&gt;=MaterialThreshold,"Yes","No"))</f>
        <v/>
      </c>
      <c r="AA466" s="18">
        <f>IF(Z466&lt;&gt;"Yes","",IF(ABS(R466)&gt;=MaterialThreshold,IF(ABS(R466)&gt;=BroadShare,"Broad SKU movement","Store-concentrated movement"),""))</f>
        <v/>
      </c>
      <c r="AB466" s="18">
        <f>IF(O466,IF(COUNTIFS($O$5:O466,TRUE)&gt;0,COUNTIFS($O$5:O466,TRUE),0),0)</f>
        <v/>
      </c>
      <c r="AC466" s="18">
        <f>IF(V466="Markdown Review",1,IF(V466="Reorder Candidate",2,IF(V466="Monitor",3,IF(V466="Noise",4,IF(V466="Not Ready",5,99)))))</f>
        <v/>
      </c>
      <c r="AD466" s="18">
        <f>IF(O466,COUNTIFS($O$5:$O$504,TRUE,$AC$5:$AC$504,"&lt;"&amp;AC466)+COUNTIFS($O$5:O466,TRUE,$AC$5:AC466,AC466,$Y$5:Y466,"&gt;"&amp;Y466),0)</f>
        <v/>
      </c>
    </row>
    <row r="467">
      <c r="A467" s="17">
        <f>IF(COUNTA('Weekly Input'!A467:C467)=0,"",'Weekly Input'!B467&amp;"|"&amp;'Weekly Input'!C467&amp;"|"&amp;TEXT('Weekly Input'!A467,"yyyy-mm-dd"))</f>
        <v/>
      </c>
      <c r="B467" s="18">
        <f>'Weekly Input'!B467</f>
        <v/>
      </c>
      <c r="C467" s="18">
        <f>'Weekly Input'!C467</f>
        <v/>
      </c>
      <c r="D467" s="18">
        <f>IF(B467="","",IFERROR(INDEX('Master Data'!$B$6:$B$145,MATCH(B467,'Master Data'!$A$6:$A$145,0)),""))</f>
        <v/>
      </c>
      <c r="E467" s="18">
        <f>IF(C467="","",IFERROR(INDEX('Master Data'!$H$6:$H$13,MATCH(C467,'Master Data'!$F$6:$F$13,0)),""))</f>
        <v/>
      </c>
      <c r="F467" s="19">
        <f>'Weekly Input'!A467</f>
        <v/>
      </c>
      <c r="G467" s="19">
        <f>IF(B467="","",IFERROR(INDEX('Master Data'!$D$6:$D$145,MATCH(B467,'Master Data'!$A$6:$A$145,0)),""))</f>
        <v/>
      </c>
      <c r="H467" s="18">
        <f>IF(OR(F467="",G467=""),"",F467-G467)</f>
        <v/>
      </c>
      <c r="I467" s="18">
        <f>IF(B467="","",IF('Weekly Input'!J467="OK",TRUE,FALSE))</f>
        <v/>
      </c>
      <c r="J467" s="18">
        <f>IF(B467="","",'Weekly Input'!H467&gt;=MinInStockDays)</f>
        <v/>
      </c>
      <c r="K467" s="18">
        <f>IF(B467="","",H467&gt;=FullCycleMin)</f>
        <v/>
      </c>
      <c r="L467" s="18">
        <f>IF(B467="","",AND(I467,J467,K467,N467&gt;=MinHistory))</f>
        <v/>
      </c>
      <c r="M467" s="20">
        <f>IF(OR(B467="",'Weekly Input'!H467=0),"",'Weekly Input'!D467/'Weekly Input'!H467*7)</f>
        <v/>
      </c>
      <c r="N467" s="18">
        <f>IF(B467="","",COUNTIFS($B$5:$B$504,B467,$C$5:$C$504,C467,$I$5:$I$504,TRUE,$J$5:$J$504,TRUE,$K$5:$K$504,TRUE))</f>
        <v/>
      </c>
      <c r="O467" s="18">
        <f>IF(B467="","",AND(F467=AsOfWeek,AsOfWeek&lt;&gt;""))</f>
        <v/>
      </c>
      <c r="P467" s="20">
        <f>IF(OR(B467="",AsOfWeek=""),"",IFERROR(SUMIFS($M$5:$M$504,$B$5:$B$504,B467,$C$5:$C$504,C467,$L$5:$L$504,TRUE,$F$5:$F$504,"&gt;="&amp;AsOfWeek-7*(RecentWeeks-1),$F$5:$F$504,"&lt;="&amp;AsOfWeek),""))</f>
        <v/>
      </c>
      <c r="Q467" s="20">
        <f>IF(OR(B467="",AsOfWeek=""),"",IFERROR(SUMIFS($M$5:$M$504,$B$5:$B$504,B467,$C$5:$C$504,C467,$L$5:$L$504,TRUE,$F$5:$F$504,"&gt;="&amp;AsOfWeek-7*(RecentWeeks+PriorWeeks-1),$F$5:$F$504,"&lt;"&amp;AsOfWeek-7*(RecentWeeks-1)),""))</f>
        <v/>
      </c>
      <c r="R467" s="21">
        <f>IF(OR(P467="",Q467="",Q467=0),"",P467/Q467-1)</f>
        <v/>
      </c>
      <c r="S467" s="20">
        <f>IF(OR(C467="",AsOfWeek=""),"",IFERROR(AVERAGEIFS($M$5:$M$504,$C$5:$C$504,C467,$L$5:$L$504,TRUE,$F$5:$F$504,"&gt;="&amp;AsOfWeek-7*(RecentWeeks-1),$F$5:$F$504,"&lt;="&amp;AsOfWeek),""))</f>
        <v/>
      </c>
      <c r="T467" s="21">
        <f>IF(OR(P467="",S467=""),"",P467/S467-1)</f>
        <v/>
      </c>
      <c r="U467" s="22">
        <f>IF(OR(B467="",'Weekly Input'!G467="",P467="",P467=0),"",'Weekly Input'!G467/P467)</f>
        <v/>
      </c>
      <c r="V467" s="18">
        <f>IF(B467="","",IF(NOT(I467),"Not Ready",IF(NOT(K467),"Not Ready",IF(N467&lt;MinHistory,"Not Ready",IF(NOT(J467),"Not Ready",IF(OR(Q467="",Q467=0),"Noise",IF(Q467&lt;LowBaseThreshold,"Noise",IF(AND(R467&lt;=-OwnDecline,T467&lt;=-PeerGapThreshold),"Markdown Review",IF(AND(R467&gt;=ReorderUplift,U467&lt;&gt;"",U467&lt;=WeeksSupplyCap),"Reorder Candidate","Monitor"))))))))</f>
        <v/>
      </c>
      <c r="W467" s="18">
        <f>IF(B467="","",IF(NOT(I467),"INVALID_MASTER",IF(NOT(K467),"INCOMPLETE_SHELF_CYCLE",IF(N467&lt;MinHistory,"INSUFFICIENT_HISTORY",IF(NOT(J467),"INSUFFICIENT_IN_STOCK",IF(OR(Q467="",Q467=0),"NO_PRIOR_BASE",IF(Q467&lt;LowBaseThreshold,"LOW_BASE_NOISE",IF(V467="Markdown Review","MARKDOWN_PEER_GAP",IF(V467="Reorder Candidate","REORDER_UPLIFT_COVER","NO_MATERIAL_CHANGE"))))))))</f>
        <v/>
      </c>
      <c r="X467" s="18">
        <f>IF(V467="Markdown Review","Markdown support",IF(V467="Reorder Candidate","Second reorder",IF(V467="Monitor","Monitor",IF(V467="Noise","Hold / collect data",IF(V467="Not Ready","Not ready","")))))</f>
        <v/>
      </c>
      <c r="Y467" s="18">
        <f>IF(OR(R467="",T467=""),"",ABS(R467)+ABS(T467))</f>
        <v/>
      </c>
      <c r="Z467" s="21">
        <f>IF(OR(B467="",NOT(O467),R467=""),"",IF(ABS(R467)&gt;=MaterialThreshold,"Yes","No"))</f>
        <v/>
      </c>
      <c r="AA467" s="18">
        <f>IF(Z467&lt;&gt;"Yes","",IF(ABS(R467)&gt;=MaterialThreshold,IF(ABS(R467)&gt;=BroadShare,"Broad SKU movement","Store-concentrated movement"),""))</f>
        <v/>
      </c>
      <c r="AB467" s="18">
        <f>IF(O467,IF(COUNTIFS($O$5:O467,TRUE)&gt;0,COUNTIFS($O$5:O467,TRUE),0),0)</f>
        <v/>
      </c>
      <c r="AC467" s="18">
        <f>IF(V467="Markdown Review",1,IF(V467="Reorder Candidate",2,IF(V467="Monitor",3,IF(V467="Noise",4,IF(V467="Not Ready",5,99)))))</f>
        <v/>
      </c>
      <c r="AD467" s="18">
        <f>IF(O467,COUNTIFS($O$5:$O$504,TRUE,$AC$5:$AC$504,"&lt;"&amp;AC467)+COUNTIFS($O$5:O467,TRUE,$AC$5:AC467,AC467,$Y$5:Y467,"&gt;"&amp;Y467),0)</f>
        <v/>
      </c>
    </row>
    <row r="468">
      <c r="A468" s="17">
        <f>IF(COUNTA('Weekly Input'!A468:C468)=0,"",'Weekly Input'!B468&amp;"|"&amp;'Weekly Input'!C468&amp;"|"&amp;TEXT('Weekly Input'!A468,"yyyy-mm-dd"))</f>
        <v/>
      </c>
      <c r="B468" s="18">
        <f>'Weekly Input'!B468</f>
        <v/>
      </c>
      <c r="C468" s="18">
        <f>'Weekly Input'!C468</f>
        <v/>
      </c>
      <c r="D468" s="18">
        <f>IF(B468="","",IFERROR(INDEX('Master Data'!$B$6:$B$145,MATCH(B468,'Master Data'!$A$6:$A$145,0)),""))</f>
        <v/>
      </c>
      <c r="E468" s="18">
        <f>IF(C468="","",IFERROR(INDEX('Master Data'!$H$6:$H$13,MATCH(C468,'Master Data'!$F$6:$F$13,0)),""))</f>
        <v/>
      </c>
      <c r="F468" s="19">
        <f>'Weekly Input'!A468</f>
        <v/>
      </c>
      <c r="G468" s="19">
        <f>IF(B468="","",IFERROR(INDEX('Master Data'!$D$6:$D$145,MATCH(B468,'Master Data'!$A$6:$A$145,0)),""))</f>
        <v/>
      </c>
      <c r="H468" s="18">
        <f>IF(OR(F468="",G468=""),"",F468-G468)</f>
        <v/>
      </c>
      <c r="I468" s="18">
        <f>IF(B468="","",IF('Weekly Input'!J468="OK",TRUE,FALSE))</f>
        <v/>
      </c>
      <c r="J468" s="18">
        <f>IF(B468="","",'Weekly Input'!H468&gt;=MinInStockDays)</f>
        <v/>
      </c>
      <c r="K468" s="18">
        <f>IF(B468="","",H468&gt;=FullCycleMin)</f>
        <v/>
      </c>
      <c r="L468" s="18">
        <f>IF(B468="","",AND(I468,J468,K468,N468&gt;=MinHistory))</f>
        <v/>
      </c>
      <c r="M468" s="20">
        <f>IF(OR(B468="",'Weekly Input'!H468=0),"",'Weekly Input'!D468/'Weekly Input'!H468*7)</f>
        <v/>
      </c>
      <c r="N468" s="18">
        <f>IF(B468="","",COUNTIFS($B$5:$B$504,B468,$C$5:$C$504,C468,$I$5:$I$504,TRUE,$J$5:$J$504,TRUE,$K$5:$K$504,TRUE))</f>
        <v/>
      </c>
      <c r="O468" s="18">
        <f>IF(B468="","",AND(F468=AsOfWeek,AsOfWeek&lt;&gt;""))</f>
        <v/>
      </c>
      <c r="P468" s="20">
        <f>IF(OR(B468="",AsOfWeek=""),"",IFERROR(SUMIFS($M$5:$M$504,$B$5:$B$504,B468,$C$5:$C$504,C468,$L$5:$L$504,TRUE,$F$5:$F$504,"&gt;="&amp;AsOfWeek-7*(RecentWeeks-1),$F$5:$F$504,"&lt;="&amp;AsOfWeek),""))</f>
        <v/>
      </c>
      <c r="Q468" s="20">
        <f>IF(OR(B468="",AsOfWeek=""),"",IFERROR(SUMIFS($M$5:$M$504,$B$5:$B$504,B468,$C$5:$C$504,C468,$L$5:$L$504,TRUE,$F$5:$F$504,"&gt;="&amp;AsOfWeek-7*(RecentWeeks+PriorWeeks-1),$F$5:$F$504,"&lt;"&amp;AsOfWeek-7*(RecentWeeks-1)),""))</f>
        <v/>
      </c>
      <c r="R468" s="21">
        <f>IF(OR(P468="",Q468="",Q468=0),"",P468/Q468-1)</f>
        <v/>
      </c>
      <c r="S468" s="20">
        <f>IF(OR(C468="",AsOfWeek=""),"",IFERROR(AVERAGEIFS($M$5:$M$504,$C$5:$C$504,C468,$L$5:$L$504,TRUE,$F$5:$F$504,"&gt;="&amp;AsOfWeek-7*(RecentWeeks-1),$F$5:$F$504,"&lt;="&amp;AsOfWeek),""))</f>
        <v/>
      </c>
      <c r="T468" s="21">
        <f>IF(OR(P468="",S468=""),"",P468/S468-1)</f>
        <v/>
      </c>
      <c r="U468" s="22">
        <f>IF(OR(B468="",'Weekly Input'!G468="",P468="",P468=0),"",'Weekly Input'!G468/P468)</f>
        <v/>
      </c>
      <c r="V468" s="18">
        <f>IF(B468="","",IF(NOT(I468),"Not Ready",IF(NOT(K468),"Not Ready",IF(N468&lt;MinHistory,"Not Ready",IF(NOT(J468),"Not Ready",IF(OR(Q468="",Q468=0),"Noise",IF(Q468&lt;LowBaseThreshold,"Noise",IF(AND(R468&lt;=-OwnDecline,T468&lt;=-PeerGapThreshold),"Markdown Review",IF(AND(R468&gt;=ReorderUplift,U468&lt;&gt;"",U468&lt;=WeeksSupplyCap),"Reorder Candidate","Monitor"))))))))</f>
        <v/>
      </c>
      <c r="W468" s="18">
        <f>IF(B468="","",IF(NOT(I468),"INVALID_MASTER",IF(NOT(K468),"INCOMPLETE_SHELF_CYCLE",IF(N468&lt;MinHistory,"INSUFFICIENT_HISTORY",IF(NOT(J468),"INSUFFICIENT_IN_STOCK",IF(OR(Q468="",Q468=0),"NO_PRIOR_BASE",IF(Q468&lt;LowBaseThreshold,"LOW_BASE_NOISE",IF(V468="Markdown Review","MARKDOWN_PEER_GAP",IF(V468="Reorder Candidate","REORDER_UPLIFT_COVER","NO_MATERIAL_CHANGE"))))))))</f>
        <v/>
      </c>
      <c r="X468" s="18">
        <f>IF(V468="Markdown Review","Markdown support",IF(V468="Reorder Candidate","Second reorder",IF(V468="Monitor","Monitor",IF(V468="Noise","Hold / collect data",IF(V468="Not Ready","Not ready","")))))</f>
        <v/>
      </c>
      <c r="Y468" s="18">
        <f>IF(OR(R468="",T468=""),"",ABS(R468)+ABS(T468))</f>
        <v/>
      </c>
      <c r="Z468" s="21">
        <f>IF(OR(B468="",NOT(O468),R468=""),"",IF(ABS(R468)&gt;=MaterialThreshold,"Yes","No"))</f>
        <v/>
      </c>
      <c r="AA468" s="18">
        <f>IF(Z468&lt;&gt;"Yes","",IF(ABS(R468)&gt;=MaterialThreshold,IF(ABS(R468)&gt;=BroadShare,"Broad SKU movement","Store-concentrated movement"),""))</f>
        <v/>
      </c>
      <c r="AB468" s="18">
        <f>IF(O468,IF(COUNTIFS($O$5:O468,TRUE)&gt;0,COUNTIFS($O$5:O468,TRUE),0),0)</f>
        <v/>
      </c>
      <c r="AC468" s="18">
        <f>IF(V468="Markdown Review",1,IF(V468="Reorder Candidate",2,IF(V468="Monitor",3,IF(V468="Noise",4,IF(V468="Not Ready",5,99)))))</f>
        <v/>
      </c>
      <c r="AD468" s="18">
        <f>IF(O468,COUNTIFS($O$5:$O$504,TRUE,$AC$5:$AC$504,"&lt;"&amp;AC468)+COUNTIFS($O$5:O468,TRUE,$AC$5:AC468,AC468,$Y$5:Y468,"&gt;"&amp;Y468),0)</f>
        <v/>
      </c>
    </row>
    <row r="469">
      <c r="A469" s="17">
        <f>IF(COUNTA('Weekly Input'!A469:C469)=0,"",'Weekly Input'!B469&amp;"|"&amp;'Weekly Input'!C469&amp;"|"&amp;TEXT('Weekly Input'!A469,"yyyy-mm-dd"))</f>
        <v/>
      </c>
      <c r="B469" s="18">
        <f>'Weekly Input'!B469</f>
        <v/>
      </c>
      <c r="C469" s="18">
        <f>'Weekly Input'!C469</f>
        <v/>
      </c>
      <c r="D469" s="18">
        <f>IF(B469="","",IFERROR(INDEX('Master Data'!$B$6:$B$145,MATCH(B469,'Master Data'!$A$6:$A$145,0)),""))</f>
        <v/>
      </c>
      <c r="E469" s="18">
        <f>IF(C469="","",IFERROR(INDEX('Master Data'!$H$6:$H$13,MATCH(C469,'Master Data'!$F$6:$F$13,0)),""))</f>
        <v/>
      </c>
      <c r="F469" s="19">
        <f>'Weekly Input'!A469</f>
        <v/>
      </c>
      <c r="G469" s="19">
        <f>IF(B469="","",IFERROR(INDEX('Master Data'!$D$6:$D$145,MATCH(B469,'Master Data'!$A$6:$A$145,0)),""))</f>
        <v/>
      </c>
      <c r="H469" s="18">
        <f>IF(OR(F469="",G469=""),"",F469-G469)</f>
        <v/>
      </c>
      <c r="I469" s="18">
        <f>IF(B469="","",IF('Weekly Input'!J469="OK",TRUE,FALSE))</f>
        <v/>
      </c>
      <c r="J469" s="18">
        <f>IF(B469="","",'Weekly Input'!H469&gt;=MinInStockDays)</f>
        <v/>
      </c>
      <c r="K469" s="18">
        <f>IF(B469="","",H469&gt;=FullCycleMin)</f>
        <v/>
      </c>
      <c r="L469" s="18">
        <f>IF(B469="","",AND(I469,J469,K469,N469&gt;=MinHistory))</f>
        <v/>
      </c>
      <c r="M469" s="20">
        <f>IF(OR(B469="",'Weekly Input'!H469=0),"",'Weekly Input'!D469/'Weekly Input'!H469*7)</f>
        <v/>
      </c>
      <c r="N469" s="18">
        <f>IF(B469="","",COUNTIFS($B$5:$B$504,B469,$C$5:$C$504,C469,$I$5:$I$504,TRUE,$J$5:$J$504,TRUE,$K$5:$K$504,TRUE))</f>
        <v/>
      </c>
      <c r="O469" s="18">
        <f>IF(B469="","",AND(F469=AsOfWeek,AsOfWeek&lt;&gt;""))</f>
        <v/>
      </c>
      <c r="P469" s="20">
        <f>IF(OR(B469="",AsOfWeek=""),"",IFERROR(SUMIFS($M$5:$M$504,$B$5:$B$504,B469,$C$5:$C$504,C469,$L$5:$L$504,TRUE,$F$5:$F$504,"&gt;="&amp;AsOfWeek-7*(RecentWeeks-1),$F$5:$F$504,"&lt;="&amp;AsOfWeek),""))</f>
        <v/>
      </c>
      <c r="Q469" s="20">
        <f>IF(OR(B469="",AsOfWeek=""),"",IFERROR(SUMIFS($M$5:$M$504,$B$5:$B$504,B469,$C$5:$C$504,C469,$L$5:$L$504,TRUE,$F$5:$F$504,"&gt;="&amp;AsOfWeek-7*(RecentWeeks+PriorWeeks-1),$F$5:$F$504,"&lt;"&amp;AsOfWeek-7*(RecentWeeks-1)),""))</f>
        <v/>
      </c>
      <c r="R469" s="21">
        <f>IF(OR(P469="",Q469="",Q469=0),"",P469/Q469-1)</f>
        <v/>
      </c>
      <c r="S469" s="20">
        <f>IF(OR(C469="",AsOfWeek=""),"",IFERROR(AVERAGEIFS($M$5:$M$504,$C$5:$C$504,C469,$L$5:$L$504,TRUE,$F$5:$F$504,"&gt;="&amp;AsOfWeek-7*(RecentWeeks-1),$F$5:$F$504,"&lt;="&amp;AsOfWeek),""))</f>
        <v/>
      </c>
      <c r="T469" s="21">
        <f>IF(OR(P469="",S469=""),"",P469/S469-1)</f>
        <v/>
      </c>
      <c r="U469" s="22">
        <f>IF(OR(B469="",'Weekly Input'!G469="",P469="",P469=0),"",'Weekly Input'!G469/P469)</f>
        <v/>
      </c>
      <c r="V469" s="18">
        <f>IF(B469="","",IF(NOT(I469),"Not Ready",IF(NOT(K469),"Not Ready",IF(N469&lt;MinHistory,"Not Ready",IF(NOT(J469),"Not Ready",IF(OR(Q469="",Q469=0),"Noise",IF(Q469&lt;LowBaseThreshold,"Noise",IF(AND(R469&lt;=-OwnDecline,T469&lt;=-PeerGapThreshold),"Markdown Review",IF(AND(R469&gt;=ReorderUplift,U469&lt;&gt;"",U469&lt;=WeeksSupplyCap),"Reorder Candidate","Monitor"))))))))</f>
        <v/>
      </c>
      <c r="W469" s="18">
        <f>IF(B469="","",IF(NOT(I469),"INVALID_MASTER",IF(NOT(K469),"INCOMPLETE_SHELF_CYCLE",IF(N469&lt;MinHistory,"INSUFFICIENT_HISTORY",IF(NOT(J469),"INSUFFICIENT_IN_STOCK",IF(OR(Q469="",Q469=0),"NO_PRIOR_BASE",IF(Q469&lt;LowBaseThreshold,"LOW_BASE_NOISE",IF(V469="Markdown Review","MARKDOWN_PEER_GAP",IF(V469="Reorder Candidate","REORDER_UPLIFT_COVER","NO_MATERIAL_CHANGE"))))))))</f>
        <v/>
      </c>
      <c r="X469" s="18">
        <f>IF(V469="Markdown Review","Markdown support",IF(V469="Reorder Candidate","Second reorder",IF(V469="Monitor","Monitor",IF(V469="Noise","Hold / collect data",IF(V469="Not Ready","Not ready","")))))</f>
        <v/>
      </c>
      <c r="Y469" s="18">
        <f>IF(OR(R469="",T469=""),"",ABS(R469)+ABS(T469))</f>
        <v/>
      </c>
      <c r="Z469" s="21">
        <f>IF(OR(B469="",NOT(O469),R469=""),"",IF(ABS(R469)&gt;=MaterialThreshold,"Yes","No"))</f>
        <v/>
      </c>
      <c r="AA469" s="18">
        <f>IF(Z469&lt;&gt;"Yes","",IF(ABS(R469)&gt;=MaterialThreshold,IF(ABS(R469)&gt;=BroadShare,"Broad SKU movement","Store-concentrated movement"),""))</f>
        <v/>
      </c>
      <c r="AB469" s="18">
        <f>IF(O469,IF(COUNTIFS($O$5:O469,TRUE)&gt;0,COUNTIFS($O$5:O469,TRUE),0),0)</f>
        <v/>
      </c>
      <c r="AC469" s="18">
        <f>IF(V469="Markdown Review",1,IF(V469="Reorder Candidate",2,IF(V469="Monitor",3,IF(V469="Noise",4,IF(V469="Not Ready",5,99)))))</f>
        <v/>
      </c>
      <c r="AD469" s="18">
        <f>IF(O469,COUNTIFS($O$5:$O$504,TRUE,$AC$5:$AC$504,"&lt;"&amp;AC469)+COUNTIFS($O$5:O469,TRUE,$AC$5:AC469,AC469,$Y$5:Y469,"&gt;"&amp;Y469),0)</f>
        <v/>
      </c>
    </row>
    <row r="470">
      <c r="A470" s="17">
        <f>IF(COUNTA('Weekly Input'!A470:C470)=0,"",'Weekly Input'!B470&amp;"|"&amp;'Weekly Input'!C470&amp;"|"&amp;TEXT('Weekly Input'!A470,"yyyy-mm-dd"))</f>
        <v/>
      </c>
      <c r="B470" s="18">
        <f>'Weekly Input'!B470</f>
        <v/>
      </c>
      <c r="C470" s="18">
        <f>'Weekly Input'!C470</f>
        <v/>
      </c>
      <c r="D470" s="18">
        <f>IF(B470="","",IFERROR(INDEX('Master Data'!$B$6:$B$145,MATCH(B470,'Master Data'!$A$6:$A$145,0)),""))</f>
        <v/>
      </c>
      <c r="E470" s="18">
        <f>IF(C470="","",IFERROR(INDEX('Master Data'!$H$6:$H$13,MATCH(C470,'Master Data'!$F$6:$F$13,0)),""))</f>
        <v/>
      </c>
      <c r="F470" s="19">
        <f>'Weekly Input'!A470</f>
        <v/>
      </c>
      <c r="G470" s="19">
        <f>IF(B470="","",IFERROR(INDEX('Master Data'!$D$6:$D$145,MATCH(B470,'Master Data'!$A$6:$A$145,0)),""))</f>
        <v/>
      </c>
      <c r="H470" s="18">
        <f>IF(OR(F470="",G470=""),"",F470-G470)</f>
        <v/>
      </c>
      <c r="I470" s="18">
        <f>IF(B470="","",IF('Weekly Input'!J470="OK",TRUE,FALSE))</f>
        <v/>
      </c>
      <c r="J470" s="18">
        <f>IF(B470="","",'Weekly Input'!H470&gt;=MinInStockDays)</f>
        <v/>
      </c>
      <c r="K470" s="18">
        <f>IF(B470="","",H470&gt;=FullCycleMin)</f>
        <v/>
      </c>
      <c r="L470" s="18">
        <f>IF(B470="","",AND(I470,J470,K470,N470&gt;=MinHistory))</f>
        <v/>
      </c>
      <c r="M470" s="20">
        <f>IF(OR(B470="",'Weekly Input'!H470=0),"",'Weekly Input'!D470/'Weekly Input'!H470*7)</f>
        <v/>
      </c>
      <c r="N470" s="18">
        <f>IF(B470="","",COUNTIFS($B$5:$B$504,B470,$C$5:$C$504,C470,$I$5:$I$504,TRUE,$J$5:$J$504,TRUE,$K$5:$K$504,TRUE))</f>
        <v/>
      </c>
      <c r="O470" s="18">
        <f>IF(B470="","",AND(F470=AsOfWeek,AsOfWeek&lt;&gt;""))</f>
        <v/>
      </c>
      <c r="P470" s="20">
        <f>IF(OR(B470="",AsOfWeek=""),"",IFERROR(SUMIFS($M$5:$M$504,$B$5:$B$504,B470,$C$5:$C$504,C470,$L$5:$L$504,TRUE,$F$5:$F$504,"&gt;="&amp;AsOfWeek-7*(RecentWeeks-1),$F$5:$F$504,"&lt;="&amp;AsOfWeek),""))</f>
        <v/>
      </c>
      <c r="Q470" s="20">
        <f>IF(OR(B470="",AsOfWeek=""),"",IFERROR(SUMIFS($M$5:$M$504,$B$5:$B$504,B470,$C$5:$C$504,C470,$L$5:$L$504,TRUE,$F$5:$F$504,"&gt;="&amp;AsOfWeek-7*(RecentWeeks+PriorWeeks-1),$F$5:$F$504,"&lt;"&amp;AsOfWeek-7*(RecentWeeks-1)),""))</f>
        <v/>
      </c>
      <c r="R470" s="21">
        <f>IF(OR(P470="",Q470="",Q470=0),"",P470/Q470-1)</f>
        <v/>
      </c>
      <c r="S470" s="20">
        <f>IF(OR(C470="",AsOfWeek=""),"",IFERROR(AVERAGEIFS($M$5:$M$504,$C$5:$C$504,C470,$L$5:$L$504,TRUE,$F$5:$F$504,"&gt;="&amp;AsOfWeek-7*(RecentWeeks-1),$F$5:$F$504,"&lt;="&amp;AsOfWeek),""))</f>
        <v/>
      </c>
      <c r="T470" s="21">
        <f>IF(OR(P470="",S470=""),"",P470/S470-1)</f>
        <v/>
      </c>
      <c r="U470" s="22">
        <f>IF(OR(B470="",'Weekly Input'!G470="",P470="",P470=0),"",'Weekly Input'!G470/P470)</f>
        <v/>
      </c>
      <c r="V470" s="18">
        <f>IF(B470="","",IF(NOT(I470),"Not Ready",IF(NOT(K470),"Not Ready",IF(N470&lt;MinHistory,"Not Ready",IF(NOT(J470),"Not Ready",IF(OR(Q470="",Q470=0),"Noise",IF(Q470&lt;LowBaseThreshold,"Noise",IF(AND(R470&lt;=-OwnDecline,T470&lt;=-PeerGapThreshold),"Markdown Review",IF(AND(R470&gt;=ReorderUplift,U470&lt;&gt;"",U470&lt;=WeeksSupplyCap),"Reorder Candidate","Monitor"))))))))</f>
        <v/>
      </c>
      <c r="W470" s="18">
        <f>IF(B470="","",IF(NOT(I470),"INVALID_MASTER",IF(NOT(K470),"INCOMPLETE_SHELF_CYCLE",IF(N470&lt;MinHistory,"INSUFFICIENT_HISTORY",IF(NOT(J470),"INSUFFICIENT_IN_STOCK",IF(OR(Q470="",Q470=0),"NO_PRIOR_BASE",IF(Q470&lt;LowBaseThreshold,"LOW_BASE_NOISE",IF(V470="Markdown Review","MARKDOWN_PEER_GAP",IF(V470="Reorder Candidate","REORDER_UPLIFT_COVER","NO_MATERIAL_CHANGE"))))))))</f>
        <v/>
      </c>
      <c r="X470" s="18">
        <f>IF(V470="Markdown Review","Markdown support",IF(V470="Reorder Candidate","Second reorder",IF(V470="Monitor","Monitor",IF(V470="Noise","Hold / collect data",IF(V470="Not Ready","Not ready","")))))</f>
        <v/>
      </c>
      <c r="Y470" s="18">
        <f>IF(OR(R470="",T470=""),"",ABS(R470)+ABS(T470))</f>
        <v/>
      </c>
      <c r="Z470" s="21">
        <f>IF(OR(B470="",NOT(O470),R470=""),"",IF(ABS(R470)&gt;=MaterialThreshold,"Yes","No"))</f>
        <v/>
      </c>
      <c r="AA470" s="18">
        <f>IF(Z470&lt;&gt;"Yes","",IF(ABS(R470)&gt;=MaterialThreshold,IF(ABS(R470)&gt;=BroadShare,"Broad SKU movement","Store-concentrated movement"),""))</f>
        <v/>
      </c>
      <c r="AB470" s="18">
        <f>IF(O470,IF(COUNTIFS($O$5:O470,TRUE)&gt;0,COUNTIFS($O$5:O470,TRUE),0),0)</f>
        <v/>
      </c>
      <c r="AC470" s="18">
        <f>IF(V470="Markdown Review",1,IF(V470="Reorder Candidate",2,IF(V470="Monitor",3,IF(V470="Noise",4,IF(V470="Not Ready",5,99)))))</f>
        <v/>
      </c>
      <c r="AD470" s="18">
        <f>IF(O470,COUNTIFS($O$5:$O$504,TRUE,$AC$5:$AC$504,"&lt;"&amp;AC470)+COUNTIFS($O$5:O470,TRUE,$AC$5:AC470,AC470,$Y$5:Y470,"&gt;"&amp;Y470),0)</f>
        <v/>
      </c>
    </row>
    <row r="471">
      <c r="A471" s="17">
        <f>IF(COUNTA('Weekly Input'!A471:C471)=0,"",'Weekly Input'!B471&amp;"|"&amp;'Weekly Input'!C471&amp;"|"&amp;TEXT('Weekly Input'!A471,"yyyy-mm-dd"))</f>
        <v/>
      </c>
      <c r="B471" s="18">
        <f>'Weekly Input'!B471</f>
        <v/>
      </c>
      <c r="C471" s="18">
        <f>'Weekly Input'!C471</f>
        <v/>
      </c>
      <c r="D471" s="18">
        <f>IF(B471="","",IFERROR(INDEX('Master Data'!$B$6:$B$145,MATCH(B471,'Master Data'!$A$6:$A$145,0)),""))</f>
        <v/>
      </c>
      <c r="E471" s="18">
        <f>IF(C471="","",IFERROR(INDEX('Master Data'!$H$6:$H$13,MATCH(C471,'Master Data'!$F$6:$F$13,0)),""))</f>
        <v/>
      </c>
      <c r="F471" s="19">
        <f>'Weekly Input'!A471</f>
        <v/>
      </c>
      <c r="G471" s="19">
        <f>IF(B471="","",IFERROR(INDEX('Master Data'!$D$6:$D$145,MATCH(B471,'Master Data'!$A$6:$A$145,0)),""))</f>
        <v/>
      </c>
      <c r="H471" s="18">
        <f>IF(OR(F471="",G471=""),"",F471-G471)</f>
        <v/>
      </c>
      <c r="I471" s="18">
        <f>IF(B471="","",IF('Weekly Input'!J471="OK",TRUE,FALSE))</f>
        <v/>
      </c>
      <c r="J471" s="18">
        <f>IF(B471="","",'Weekly Input'!H471&gt;=MinInStockDays)</f>
        <v/>
      </c>
      <c r="K471" s="18">
        <f>IF(B471="","",H471&gt;=FullCycleMin)</f>
        <v/>
      </c>
      <c r="L471" s="18">
        <f>IF(B471="","",AND(I471,J471,K471,N471&gt;=MinHistory))</f>
        <v/>
      </c>
      <c r="M471" s="20">
        <f>IF(OR(B471="",'Weekly Input'!H471=0),"",'Weekly Input'!D471/'Weekly Input'!H471*7)</f>
        <v/>
      </c>
      <c r="N471" s="18">
        <f>IF(B471="","",COUNTIFS($B$5:$B$504,B471,$C$5:$C$504,C471,$I$5:$I$504,TRUE,$J$5:$J$504,TRUE,$K$5:$K$504,TRUE))</f>
        <v/>
      </c>
      <c r="O471" s="18">
        <f>IF(B471="","",AND(F471=AsOfWeek,AsOfWeek&lt;&gt;""))</f>
        <v/>
      </c>
      <c r="P471" s="20">
        <f>IF(OR(B471="",AsOfWeek=""),"",IFERROR(SUMIFS($M$5:$M$504,$B$5:$B$504,B471,$C$5:$C$504,C471,$L$5:$L$504,TRUE,$F$5:$F$504,"&gt;="&amp;AsOfWeek-7*(RecentWeeks-1),$F$5:$F$504,"&lt;="&amp;AsOfWeek),""))</f>
        <v/>
      </c>
      <c r="Q471" s="20">
        <f>IF(OR(B471="",AsOfWeek=""),"",IFERROR(SUMIFS($M$5:$M$504,$B$5:$B$504,B471,$C$5:$C$504,C471,$L$5:$L$504,TRUE,$F$5:$F$504,"&gt;="&amp;AsOfWeek-7*(RecentWeeks+PriorWeeks-1),$F$5:$F$504,"&lt;"&amp;AsOfWeek-7*(RecentWeeks-1)),""))</f>
        <v/>
      </c>
      <c r="R471" s="21">
        <f>IF(OR(P471="",Q471="",Q471=0),"",P471/Q471-1)</f>
        <v/>
      </c>
      <c r="S471" s="20">
        <f>IF(OR(C471="",AsOfWeek=""),"",IFERROR(AVERAGEIFS($M$5:$M$504,$C$5:$C$504,C471,$L$5:$L$504,TRUE,$F$5:$F$504,"&gt;="&amp;AsOfWeek-7*(RecentWeeks-1),$F$5:$F$504,"&lt;="&amp;AsOfWeek),""))</f>
        <v/>
      </c>
      <c r="T471" s="21">
        <f>IF(OR(P471="",S471=""),"",P471/S471-1)</f>
        <v/>
      </c>
      <c r="U471" s="22">
        <f>IF(OR(B471="",'Weekly Input'!G471="",P471="",P471=0),"",'Weekly Input'!G471/P471)</f>
        <v/>
      </c>
      <c r="V471" s="18">
        <f>IF(B471="","",IF(NOT(I471),"Not Ready",IF(NOT(K471),"Not Ready",IF(N471&lt;MinHistory,"Not Ready",IF(NOT(J471),"Not Ready",IF(OR(Q471="",Q471=0),"Noise",IF(Q471&lt;LowBaseThreshold,"Noise",IF(AND(R471&lt;=-OwnDecline,T471&lt;=-PeerGapThreshold),"Markdown Review",IF(AND(R471&gt;=ReorderUplift,U471&lt;&gt;"",U471&lt;=WeeksSupplyCap),"Reorder Candidate","Monitor"))))))))</f>
        <v/>
      </c>
      <c r="W471" s="18">
        <f>IF(B471="","",IF(NOT(I471),"INVALID_MASTER",IF(NOT(K471),"INCOMPLETE_SHELF_CYCLE",IF(N471&lt;MinHistory,"INSUFFICIENT_HISTORY",IF(NOT(J471),"INSUFFICIENT_IN_STOCK",IF(OR(Q471="",Q471=0),"NO_PRIOR_BASE",IF(Q471&lt;LowBaseThreshold,"LOW_BASE_NOISE",IF(V471="Markdown Review","MARKDOWN_PEER_GAP",IF(V471="Reorder Candidate","REORDER_UPLIFT_COVER","NO_MATERIAL_CHANGE"))))))))</f>
        <v/>
      </c>
      <c r="X471" s="18">
        <f>IF(V471="Markdown Review","Markdown support",IF(V471="Reorder Candidate","Second reorder",IF(V471="Monitor","Monitor",IF(V471="Noise","Hold / collect data",IF(V471="Not Ready","Not ready","")))))</f>
        <v/>
      </c>
      <c r="Y471" s="18">
        <f>IF(OR(R471="",T471=""),"",ABS(R471)+ABS(T471))</f>
        <v/>
      </c>
      <c r="Z471" s="21">
        <f>IF(OR(B471="",NOT(O471),R471=""),"",IF(ABS(R471)&gt;=MaterialThreshold,"Yes","No"))</f>
        <v/>
      </c>
      <c r="AA471" s="18">
        <f>IF(Z471&lt;&gt;"Yes","",IF(ABS(R471)&gt;=MaterialThreshold,IF(ABS(R471)&gt;=BroadShare,"Broad SKU movement","Store-concentrated movement"),""))</f>
        <v/>
      </c>
      <c r="AB471" s="18">
        <f>IF(O471,IF(COUNTIFS($O$5:O471,TRUE)&gt;0,COUNTIFS($O$5:O471,TRUE),0),0)</f>
        <v/>
      </c>
      <c r="AC471" s="18">
        <f>IF(V471="Markdown Review",1,IF(V471="Reorder Candidate",2,IF(V471="Monitor",3,IF(V471="Noise",4,IF(V471="Not Ready",5,99)))))</f>
        <v/>
      </c>
      <c r="AD471" s="18">
        <f>IF(O471,COUNTIFS($O$5:$O$504,TRUE,$AC$5:$AC$504,"&lt;"&amp;AC471)+COUNTIFS($O$5:O471,TRUE,$AC$5:AC471,AC471,$Y$5:Y471,"&gt;"&amp;Y471),0)</f>
        <v/>
      </c>
    </row>
    <row r="472">
      <c r="A472" s="17">
        <f>IF(COUNTA('Weekly Input'!A472:C472)=0,"",'Weekly Input'!B472&amp;"|"&amp;'Weekly Input'!C472&amp;"|"&amp;TEXT('Weekly Input'!A472,"yyyy-mm-dd"))</f>
        <v/>
      </c>
      <c r="B472" s="18">
        <f>'Weekly Input'!B472</f>
        <v/>
      </c>
      <c r="C472" s="18">
        <f>'Weekly Input'!C472</f>
        <v/>
      </c>
      <c r="D472" s="18">
        <f>IF(B472="","",IFERROR(INDEX('Master Data'!$B$6:$B$145,MATCH(B472,'Master Data'!$A$6:$A$145,0)),""))</f>
        <v/>
      </c>
      <c r="E472" s="18">
        <f>IF(C472="","",IFERROR(INDEX('Master Data'!$H$6:$H$13,MATCH(C472,'Master Data'!$F$6:$F$13,0)),""))</f>
        <v/>
      </c>
      <c r="F472" s="19">
        <f>'Weekly Input'!A472</f>
        <v/>
      </c>
      <c r="G472" s="19">
        <f>IF(B472="","",IFERROR(INDEX('Master Data'!$D$6:$D$145,MATCH(B472,'Master Data'!$A$6:$A$145,0)),""))</f>
        <v/>
      </c>
      <c r="H472" s="18">
        <f>IF(OR(F472="",G472=""),"",F472-G472)</f>
        <v/>
      </c>
      <c r="I472" s="18">
        <f>IF(B472="","",IF('Weekly Input'!J472="OK",TRUE,FALSE))</f>
        <v/>
      </c>
      <c r="J472" s="18">
        <f>IF(B472="","",'Weekly Input'!H472&gt;=MinInStockDays)</f>
        <v/>
      </c>
      <c r="K472" s="18">
        <f>IF(B472="","",H472&gt;=FullCycleMin)</f>
        <v/>
      </c>
      <c r="L472" s="18">
        <f>IF(B472="","",AND(I472,J472,K472,N472&gt;=MinHistory))</f>
        <v/>
      </c>
      <c r="M472" s="20">
        <f>IF(OR(B472="",'Weekly Input'!H472=0),"",'Weekly Input'!D472/'Weekly Input'!H472*7)</f>
        <v/>
      </c>
      <c r="N472" s="18">
        <f>IF(B472="","",COUNTIFS($B$5:$B$504,B472,$C$5:$C$504,C472,$I$5:$I$504,TRUE,$J$5:$J$504,TRUE,$K$5:$K$504,TRUE))</f>
        <v/>
      </c>
      <c r="O472" s="18">
        <f>IF(B472="","",AND(F472=AsOfWeek,AsOfWeek&lt;&gt;""))</f>
        <v/>
      </c>
      <c r="P472" s="20">
        <f>IF(OR(B472="",AsOfWeek=""),"",IFERROR(SUMIFS($M$5:$M$504,$B$5:$B$504,B472,$C$5:$C$504,C472,$L$5:$L$504,TRUE,$F$5:$F$504,"&gt;="&amp;AsOfWeek-7*(RecentWeeks-1),$F$5:$F$504,"&lt;="&amp;AsOfWeek),""))</f>
        <v/>
      </c>
      <c r="Q472" s="20">
        <f>IF(OR(B472="",AsOfWeek=""),"",IFERROR(SUMIFS($M$5:$M$504,$B$5:$B$504,B472,$C$5:$C$504,C472,$L$5:$L$504,TRUE,$F$5:$F$504,"&gt;="&amp;AsOfWeek-7*(RecentWeeks+PriorWeeks-1),$F$5:$F$504,"&lt;"&amp;AsOfWeek-7*(RecentWeeks-1)),""))</f>
        <v/>
      </c>
      <c r="R472" s="21">
        <f>IF(OR(P472="",Q472="",Q472=0),"",P472/Q472-1)</f>
        <v/>
      </c>
      <c r="S472" s="20">
        <f>IF(OR(C472="",AsOfWeek=""),"",IFERROR(AVERAGEIFS($M$5:$M$504,$C$5:$C$504,C472,$L$5:$L$504,TRUE,$F$5:$F$504,"&gt;="&amp;AsOfWeek-7*(RecentWeeks-1),$F$5:$F$504,"&lt;="&amp;AsOfWeek),""))</f>
        <v/>
      </c>
      <c r="T472" s="21">
        <f>IF(OR(P472="",S472=""),"",P472/S472-1)</f>
        <v/>
      </c>
      <c r="U472" s="22">
        <f>IF(OR(B472="",'Weekly Input'!G472="",P472="",P472=0),"",'Weekly Input'!G472/P472)</f>
        <v/>
      </c>
      <c r="V472" s="18">
        <f>IF(B472="","",IF(NOT(I472),"Not Ready",IF(NOT(K472),"Not Ready",IF(N472&lt;MinHistory,"Not Ready",IF(NOT(J472),"Not Ready",IF(OR(Q472="",Q472=0),"Noise",IF(Q472&lt;LowBaseThreshold,"Noise",IF(AND(R472&lt;=-OwnDecline,T472&lt;=-PeerGapThreshold),"Markdown Review",IF(AND(R472&gt;=ReorderUplift,U472&lt;&gt;"",U472&lt;=WeeksSupplyCap),"Reorder Candidate","Monitor"))))))))</f>
        <v/>
      </c>
      <c r="W472" s="18">
        <f>IF(B472="","",IF(NOT(I472),"INVALID_MASTER",IF(NOT(K472),"INCOMPLETE_SHELF_CYCLE",IF(N472&lt;MinHistory,"INSUFFICIENT_HISTORY",IF(NOT(J472),"INSUFFICIENT_IN_STOCK",IF(OR(Q472="",Q472=0),"NO_PRIOR_BASE",IF(Q472&lt;LowBaseThreshold,"LOW_BASE_NOISE",IF(V472="Markdown Review","MARKDOWN_PEER_GAP",IF(V472="Reorder Candidate","REORDER_UPLIFT_COVER","NO_MATERIAL_CHANGE"))))))))</f>
        <v/>
      </c>
      <c r="X472" s="18">
        <f>IF(V472="Markdown Review","Markdown support",IF(V472="Reorder Candidate","Second reorder",IF(V472="Monitor","Monitor",IF(V472="Noise","Hold / collect data",IF(V472="Not Ready","Not ready","")))))</f>
        <v/>
      </c>
      <c r="Y472" s="18">
        <f>IF(OR(R472="",T472=""),"",ABS(R472)+ABS(T472))</f>
        <v/>
      </c>
      <c r="Z472" s="21">
        <f>IF(OR(B472="",NOT(O472),R472=""),"",IF(ABS(R472)&gt;=MaterialThreshold,"Yes","No"))</f>
        <v/>
      </c>
      <c r="AA472" s="18">
        <f>IF(Z472&lt;&gt;"Yes","",IF(ABS(R472)&gt;=MaterialThreshold,IF(ABS(R472)&gt;=BroadShare,"Broad SKU movement","Store-concentrated movement"),""))</f>
        <v/>
      </c>
      <c r="AB472" s="18">
        <f>IF(O472,IF(COUNTIFS($O$5:O472,TRUE)&gt;0,COUNTIFS($O$5:O472,TRUE),0),0)</f>
        <v/>
      </c>
      <c r="AC472" s="18">
        <f>IF(V472="Markdown Review",1,IF(V472="Reorder Candidate",2,IF(V472="Monitor",3,IF(V472="Noise",4,IF(V472="Not Ready",5,99)))))</f>
        <v/>
      </c>
      <c r="AD472" s="18">
        <f>IF(O472,COUNTIFS($O$5:$O$504,TRUE,$AC$5:$AC$504,"&lt;"&amp;AC472)+COUNTIFS($O$5:O472,TRUE,$AC$5:AC472,AC472,$Y$5:Y472,"&gt;"&amp;Y472),0)</f>
        <v/>
      </c>
    </row>
    <row r="473">
      <c r="A473" s="17">
        <f>IF(COUNTA('Weekly Input'!A473:C473)=0,"",'Weekly Input'!B473&amp;"|"&amp;'Weekly Input'!C473&amp;"|"&amp;TEXT('Weekly Input'!A473,"yyyy-mm-dd"))</f>
        <v/>
      </c>
      <c r="B473" s="18">
        <f>'Weekly Input'!B473</f>
        <v/>
      </c>
      <c r="C473" s="18">
        <f>'Weekly Input'!C473</f>
        <v/>
      </c>
      <c r="D473" s="18">
        <f>IF(B473="","",IFERROR(INDEX('Master Data'!$B$6:$B$145,MATCH(B473,'Master Data'!$A$6:$A$145,0)),""))</f>
        <v/>
      </c>
      <c r="E473" s="18">
        <f>IF(C473="","",IFERROR(INDEX('Master Data'!$H$6:$H$13,MATCH(C473,'Master Data'!$F$6:$F$13,0)),""))</f>
        <v/>
      </c>
      <c r="F473" s="19">
        <f>'Weekly Input'!A473</f>
        <v/>
      </c>
      <c r="G473" s="19">
        <f>IF(B473="","",IFERROR(INDEX('Master Data'!$D$6:$D$145,MATCH(B473,'Master Data'!$A$6:$A$145,0)),""))</f>
        <v/>
      </c>
      <c r="H473" s="18">
        <f>IF(OR(F473="",G473=""),"",F473-G473)</f>
        <v/>
      </c>
      <c r="I473" s="18">
        <f>IF(B473="","",IF('Weekly Input'!J473="OK",TRUE,FALSE))</f>
        <v/>
      </c>
      <c r="J473" s="18">
        <f>IF(B473="","",'Weekly Input'!H473&gt;=MinInStockDays)</f>
        <v/>
      </c>
      <c r="K473" s="18">
        <f>IF(B473="","",H473&gt;=FullCycleMin)</f>
        <v/>
      </c>
      <c r="L473" s="18">
        <f>IF(B473="","",AND(I473,J473,K473,N473&gt;=MinHistory))</f>
        <v/>
      </c>
      <c r="M473" s="20">
        <f>IF(OR(B473="",'Weekly Input'!H473=0),"",'Weekly Input'!D473/'Weekly Input'!H473*7)</f>
        <v/>
      </c>
      <c r="N473" s="18">
        <f>IF(B473="","",COUNTIFS($B$5:$B$504,B473,$C$5:$C$504,C473,$I$5:$I$504,TRUE,$J$5:$J$504,TRUE,$K$5:$K$504,TRUE))</f>
        <v/>
      </c>
      <c r="O473" s="18">
        <f>IF(B473="","",AND(F473=AsOfWeek,AsOfWeek&lt;&gt;""))</f>
        <v/>
      </c>
      <c r="P473" s="20">
        <f>IF(OR(B473="",AsOfWeek=""),"",IFERROR(SUMIFS($M$5:$M$504,$B$5:$B$504,B473,$C$5:$C$504,C473,$L$5:$L$504,TRUE,$F$5:$F$504,"&gt;="&amp;AsOfWeek-7*(RecentWeeks-1),$F$5:$F$504,"&lt;="&amp;AsOfWeek),""))</f>
        <v/>
      </c>
      <c r="Q473" s="20">
        <f>IF(OR(B473="",AsOfWeek=""),"",IFERROR(SUMIFS($M$5:$M$504,$B$5:$B$504,B473,$C$5:$C$504,C473,$L$5:$L$504,TRUE,$F$5:$F$504,"&gt;="&amp;AsOfWeek-7*(RecentWeeks+PriorWeeks-1),$F$5:$F$504,"&lt;"&amp;AsOfWeek-7*(RecentWeeks-1)),""))</f>
        <v/>
      </c>
      <c r="R473" s="21">
        <f>IF(OR(P473="",Q473="",Q473=0),"",P473/Q473-1)</f>
        <v/>
      </c>
      <c r="S473" s="20">
        <f>IF(OR(C473="",AsOfWeek=""),"",IFERROR(AVERAGEIFS($M$5:$M$504,$C$5:$C$504,C473,$L$5:$L$504,TRUE,$F$5:$F$504,"&gt;="&amp;AsOfWeek-7*(RecentWeeks-1),$F$5:$F$504,"&lt;="&amp;AsOfWeek),""))</f>
        <v/>
      </c>
      <c r="T473" s="21">
        <f>IF(OR(P473="",S473=""),"",P473/S473-1)</f>
        <v/>
      </c>
      <c r="U473" s="22">
        <f>IF(OR(B473="",'Weekly Input'!G473="",P473="",P473=0),"",'Weekly Input'!G473/P473)</f>
        <v/>
      </c>
      <c r="V473" s="18">
        <f>IF(B473="","",IF(NOT(I473),"Not Ready",IF(NOT(K473),"Not Ready",IF(N473&lt;MinHistory,"Not Ready",IF(NOT(J473),"Not Ready",IF(OR(Q473="",Q473=0),"Noise",IF(Q473&lt;LowBaseThreshold,"Noise",IF(AND(R473&lt;=-OwnDecline,T473&lt;=-PeerGapThreshold),"Markdown Review",IF(AND(R473&gt;=ReorderUplift,U473&lt;&gt;"",U473&lt;=WeeksSupplyCap),"Reorder Candidate","Monitor"))))))))</f>
        <v/>
      </c>
      <c r="W473" s="18">
        <f>IF(B473="","",IF(NOT(I473),"INVALID_MASTER",IF(NOT(K473),"INCOMPLETE_SHELF_CYCLE",IF(N473&lt;MinHistory,"INSUFFICIENT_HISTORY",IF(NOT(J473),"INSUFFICIENT_IN_STOCK",IF(OR(Q473="",Q473=0),"NO_PRIOR_BASE",IF(Q473&lt;LowBaseThreshold,"LOW_BASE_NOISE",IF(V473="Markdown Review","MARKDOWN_PEER_GAP",IF(V473="Reorder Candidate","REORDER_UPLIFT_COVER","NO_MATERIAL_CHANGE"))))))))</f>
        <v/>
      </c>
      <c r="X473" s="18">
        <f>IF(V473="Markdown Review","Markdown support",IF(V473="Reorder Candidate","Second reorder",IF(V473="Monitor","Monitor",IF(V473="Noise","Hold / collect data",IF(V473="Not Ready","Not ready","")))))</f>
        <v/>
      </c>
      <c r="Y473" s="18">
        <f>IF(OR(R473="",T473=""),"",ABS(R473)+ABS(T473))</f>
        <v/>
      </c>
      <c r="Z473" s="21">
        <f>IF(OR(B473="",NOT(O473),R473=""),"",IF(ABS(R473)&gt;=MaterialThreshold,"Yes","No"))</f>
        <v/>
      </c>
      <c r="AA473" s="18">
        <f>IF(Z473&lt;&gt;"Yes","",IF(ABS(R473)&gt;=MaterialThreshold,IF(ABS(R473)&gt;=BroadShare,"Broad SKU movement","Store-concentrated movement"),""))</f>
        <v/>
      </c>
      <c r="AB473" s="18">
        <f>IF(O473,IF(COUNTIFS($O$5:O473,TRUE)&gt;0,COUNTIFS($O$5:O473,TRUE),0),0)</f>
        <v/>
      </c>
      <c r="AC473" s="18">
        <f>IF(V473="Markdown Review",1,IF(V473="Reorder Candidate",2,IF(V473="Monitor",3,IF(V473="Noise",4,IF(V473="Not Ready",5,99)))))</f>
        <v/>
      </c>
      <c r="AD473" s="18">
        <f>IF(O473,COUNTIFS($O$5:$O$504,TRUE,$AC$5:$AC$504,"&lt;"&amp;AC473)+COUNTIFS($O$5:O473,TRUE,$AC$5:AC473,AC473,$Y$5:Y473,"&gt;"&amp;Y473),0)</f>
        <v/>
      </c>
    </row>
    <row r="474">
      <c r="A474" s="17">
        <f>IF(COUNTA('Weekly Input'!A474:C474)=0,"",'Weekly Input'!B474&amp;"|"&amp;'Weekly Input'!C474&amp;"|"&amp;TEXT('Weekly Input'!A474,"yyyy-mm-dd"))</f>
        <v/>
      </c>
      <c r="B474" s="18">
        <f>'Weekly Input'!B474</f>
        <v/>
      </c>
      <c r="C474" s="18">
        <f>'Weekly Input'!C474</f>
        <v/>
      </c>
      <c r="D474" s="18">
        <f>IF(B474="","",IFERROR(INDEX('Master Data'!$B$6:$B$145,MATCH(B474,'Master Data'!$A$6:$A$145,0)),""))</f>
        <v/>
      </c>
      <c r="E474" s="18">
        <f>IF(C474="","",IFERROR(INDEX('Master Data'!$H$6:$H$13,MATCH(C474,'Master Data'!$F$6:$F$13,0)),""))</f>
        <v/>
      </c>
      <c r="F474" s="19">
        <f>'Weekly Input'!A474</f>
        <v/>
      </c>
      <c r="G474" s="19">
        <f>IF(B474="","",IFERROR(INDEX('Master Data'!$D$6:$D$145,MATCH(B474,'Master Data'!$A$6:$A$145,0)),""))</f>
        <v/>
      </c>
      <c r="H474" s="18">
        <f>IF(OR(F474="",G474=""),"",F474-G474)</f>
        <v/>
      </c>
      <c r="I474" s="18">
        <f>IF(B474="","",IF('Weekly Input'!J474="OK",TRUE,FALSE))</f>
        <v/>
      </c>
      <c r="J474" s="18">
        <f>IF(B474="","",'Weekly Input'!H474&gt;=MinInStockDays)</f>
        <v/>
      </c>
      <c r="K474" s="18">
        <f>IF(B474="","",H474&gt;=FullCycleMin)</f>
        <v/>
      </c>
      <c r="L474" s="18">
        <f>IF(B474="","",AND(I474,J474,K474,N474&gt;=MinHistory))</f>
        <v/>
      </c>
      <c r="M474" s="20">
        <f>IF(OR(B474="",'Weekly Input'!H474=0),"",'Weekly Input'!D474/'Weekly Input'!H474*7)</f>
        <v/>
      </c>
      <c r="N474" s="18">
        <f>IF(B474="","",COUNTIFS($B$5:$B$504,B474,$C$5:$C$504,C474,$I$5:$I$504,TRUE,$J$5:$J$504,TRUE,$K$5:$K$504,TRUE))</f>
        <v/>
      </c>
      <c r="O474" s="18">
        <f>IF(B474="","",AND(F474=AsOfWeek,AsOfWeek&lt;&gt;""))</f>
        <v/>
      </c>
      <c r="P474" s="20">
        <f>IF(OR(B474="",AsOfWeek=""),"",IFERROR(SUMIFS($M$5:$M$504,$B$5:$B$504,B474,$C$5:$C$504,C474,$L$5:$L$504,TRUE,$F$5:$F$504,"&gt;="&amp;AsOfWeek-7*(RecentWeeks-1),$F$5:$F$504,"&lt;="&amp;AsOfWeek),""))</f>
        <v/>
      </c>
      <c r="Q474" s="20">
        <f>IF(OR(B474="",AsOfWeek=""),"",IFERROR(SUMIFS($M$5:$M$504,$B$5:$B$504,B474,$C$5:$C$504,C474,$L$5:$L$504,TRUE,$F$5:$F$504,"&gt;="&amp;AsOfWeek-7*(RecentWeeks+PriorWeeks-1),$F$5:$F$504,"&lt;"&amp;AsOfWeek-7*(RecentWeeks-1)),""))</f>
        <v/>
      </c>
      <c r="R474" s="21">
        <f>IF(OR(P474="",Q474="",Q474=0),"",P474/Q474-1)</f>
        <v/>
      </c>
      <c r="S474" s="20">
        <f>IF(OR(C474="",AsOfWeek=""),"",IFERROR(AVERAGEIFS($M$5:$M$504,$C$5:$C$504,C474,$L$5:$L$504,TRUE,$F$5:$F$504,"&gt;="&amp;AsOfWeek-7*(RecentWeeks-1),$F$5:$F$504,"&lt;="&amp;AsOfWeek),""))</f>
        <v/>
      </c>
      <c r="T474" s="21">
        <f>IF(OR(P474="",S474=""),"",P474/S474-1)</f>
        <v/>
      </c>
      <c r="U474" s="22">
        <f>IF(OR(B474="",'Weekly Input'!G474="",P474="",P474=0),"",'Weekly Input'!G474/P474)</f>
        <v/>
      </c>
      <c r="V474" s="18">
        <f>IF(B474="","",IF(NOT(I474),"Not Ready",IF(NOT(K474),"Not Ready",IF(N474&lt;MinHistory,"Not Ready",IF(NOT(J474),"Not Ready",IF(OR(Q474="",Q474=0),"Noise",IF(Q474&lt;LowBaseThreshold,"Noise",IF(AND(R474&lt;=-OwnDecline,T474&lt;=-PeerGapThreshold),"Markdown Review",IF(AND(R474&gt;=ReorderUplift,U474&lt;&gt;"",U474&lt;=WeeksSupplyCap),"Reorder Candidate","Monitor"))))))))</f>
        <v/>
      </c>
      <c r="W474" s="18">
        <f>IF(B474="","",IF(NOT(I474),"INVALID_MASTER",IF(NOT(K474),"INCOMPLETE_SHELF_CYCLE",IF(N474&lt;MinHistory,"INSUFFICIENT_HISTORY",IF(NOT(J474),"INSUFFICIENT_IN_STOCK",IF(OR(Q474="",Q474=0),"NO_PRIOR_BASE",IF(Q474&lt;LowBaseThreshold,"LOW_BASE_NOISE",IF(V474="Markdown Review","MARKDOWN_PEER_GAP",IF(V474="Reorder Candidate","REORDER_UPLIFT_COVER","NO_MATERIAL_CHANGE"))))))))</f>
        <v/>
      </c>
      <c r="X474" s="18">
        <f>IF(V474="Markdown Review","Markdown support",IF(V474="Reorder Candidate","Second reorder",IF(V474="Monitor","Monitor",IF(V474="Noise","Hold / collect data",IF(V474="Not Ready","Not ready","")))))</f>
        <v/>
      </c>
      <c r="Y474" s="18">
        <f>IF(OR(R474="",T474=""),"",ABS(R474)+ABS(T474))</f>
        <v/>
      </c>
      <c r="Z474" s="21">
        <f>IF(OR(B474="",NOT(O474),R474=""),"",IF(ABS(R474)&gt;=MaterialThreshold,"Yes","No"))</f>
        <v/>
      </c>
      <c r="AA474" s="18">
        <f>IF(Z474&lt;&gt;"Yes","",IF(ABS(R474)&gt;=MaterialThreshold,IF(ABS(R474)&gt;=BroadShare,"Broad SKU movement","Store-concentrated movement"),""))</f>
        <v/>
      </c>
      <c r="AB474" s="18">
        <f>IF(O474,IF(COUNTIFS($O$5:O474,TRUE)&gt;0,COUNTIFS($O$5:O474,TRUE),0),0)</f>
        <v/>
      </c>
      <c r="AC474" s="18">
        <f>IF(V474="Markdown Review",1,IF(V474="Reorder Candidate",2,IF(V474="Monitor",3,IF(V474="Noise",4,IF(V474="Not Ready",5,99)))))</f>
        <v/>
      </c>
      <c r="AD474" s="18">
        <f>IF(O474,COUNTIFS($O$5:$O$504,TRUE,$AC$5:$AC$504,"&lt;"&amp;AC474)+COUNTIFS($O$5:O474,TRUE,$AC$5:AC474,AC474,$Y$5:Y474,"&gt;"&amp;Y474),0)</f>
        <v/>
      </c>
    </row>
    <row r="475">
      <c r="A475" s="17">
        <f>IF(COUNTA('Weekly Input'!A475:C475)=0,"",'Weekly Input'!B475&amp;"|"&amp;'Weekly Input'!C475&amp;"|"&amp;TEXT('Weekly Input'!A475,"yyyy-mm-dd"))</f>
        <v/>
      </c>
      <c r="B475" s="18">
        <f>'Weekly Input'!B475</f>
        <v/>
      </c>
      <c r="C475" s="18">
        <f>'Weekly Input'!C475</f>
        <v/>
      </c>
      <c r="D475" s="18">
        <f>IF(B475="","",IFERROR(INDEX('Master Data'!$B$6:$B$145,MATCH(B475,'Master Data'!$A$6:$A$145,0)),""))</f>
        <v/>
      </c>
      <c r="E475" s="18">
        <f>IF(C475="","",IFERROR(INDEX('Master Data'!$H$6:$H$13,MATCH(C475,'Master Data'!$F$6:$F$13,0)),""))</f>
        <v/>
      </c>
      <c r="F475" s="19">
        <f>'Weekly Input'!A475</f>
        <v/>
      </c>
      <c r="G475" s="19">
        <f>IF(B475="","",IFERROR(INDEX('Master Data'!$D$6:$D$145,MATCH(B475,'Master Data'!$A$6:$A$145,0)),""))</f>
        <v/>
      </c>
      <c r="H475" s="18">
        <f>IF(OR(F475="",G475=""),"",F475-G475)</f>
        <v/>
      </c>
      <c r="I475" s="18">
        <f>IF(B475="","",IF('Weekly Input'!J475="OK",TRUE,FALSE))</f>
        <v/>
      </c>
      <c r="J475" s="18">
        <f>IF(B475="","",'Weekly Input'!H475&gt;=MinInStockDays)</f>
        <v/>
      </c>
      <c r="K475" s="18">
        <f>IF(B475="","",H475&gt;=FullCycleMin)</f>
        <v/>
      </c>
      <c r="L475" s="18">
        <f>IF(B475="","",AND(I475,J475,K475,N475&gt;=MinHistory))</f>
        <v/>
      </c>
      <c r="M475" s="20">
        <f>IF(OR(B475="",'Weekly Input'!H475=0),"",'Weekly Input'!D475/'Weekly Input'!H475*7)</f>
        <v/>
      </c>
      <c r="N475" s="18">
        <f>IF(B475="","",COUNTIFS($B$5:$B$504,B475,$C$5:$C$504,C475,$I$5:$I$504,TRUE,$J$5:$J$504,TRUE,$K$5:$K$504,TRUE))</f>
        <v/>
      </c>
      <c r="O475" s="18">
        <f>IF(B475="","",AND(F475=AsOfWeek,AsOfWeek&lt;&gt;""))</f>
        <v/>
      </c>
      <c r="P475" s="20">
        <f>IF(OR(B475="",AsOfWeek=""),"",IFERROR(SUMIFS($M$5:$M$504,$B$5:$B$504,B475,$C$5:$C$504,C475,$L$5:$L$504,TRUE,$F$5:$F$504,"&gt;="&amp;AsOfWeek-7*(RecentWeeks-1),$F$5:$F$504,"&lt;="&amp;AsOfWeek),""))</f>
        <v/>
      </c>
      <c r="Q475" s="20">
        <f>IF(OR(B475="",AsOfWeek=""),"",IFERROR(SUMIFS($M$5:$M$504,$B$5:$B$504,B475,$C$5:$C$504,C475,$L$5:$L$504,TRUE,$F$5:$F$504,"&gt;="&amp;AsOfWeek-7*(RecentWeeks+PriorWeeks-1),$F$5:$F$504,"&lt;"&amp;AsOfWeek-7*(RecentWeeks-1)),""))</f>
        <v/>
      </c>
      <c r="R475" s="21">
        <f>IF(OR(P475="",Q475="",Q475=0),"",P475/Q475-1)</f>
        <v/>
      </c>
      <c r="S475" s="20">
        <f>IF(OR(C475="",AsOfWeek=""),"",IFERROR(AVERAGEIFS($M$5:$M$504,$C$5:$C$504,C475,$L$5:$L$504,TRUE,$F$5:$F$504,"&gt;="&amp;AsOfWeek-7*(RecentWeeks-1),$F$5:$F$504,"&lt;="&amp;AsOfWeek),""))</f>
        <v/>
      </c>
      <c r="T475" s="21">
        <f>IF(OR(P475="",S475=""),"",P475/S475-1)</f>
        <v/>
      </c>
      <c r="U475" s="22">
        <f>IF(OR(B475="",'Weekly Input'!G475="",P475="",P475=0),"",'Weekly Input'!G475/P475)</f>
        <v/>
      </c>
      <c r="V475" s="18">
        <f>IF(B475="","",IF(NOT(I475),"Not Ready",IF(NOT(K475),"Not Ready",IF(N475&lt;MinHistory,"Not Ready",IF(NOT(J475),"Not Ready",IF(OR(Q475="",Q475=0),"Noise",IF(Q475&lt;LowBaseThreshold,"Noise",IF(AND(R475&lt;=-OwnDecline,T475&lt;=-PeerGapThreshold),"Markdown Review",IF(AND(R475&gt;=ReorderUplift,U475&lt;&gt;"",U475&lt;=WeeksSupplyCap),"Reorder Candidate","Monitor"))))))))</f>
        <v/>
      </c>
      <c r="W475" s="18">
        <f>IF(B475="","",IF(NOT(I475),"INVALID_MASTER",IF(NOT(K475),"INCOMPLETE_SHELF_CYCLE",IF(N475&lt;MinHistory,"INSUFFICIENT_HISTORY",IF(NOT(J475),"INSUFFICIENT_IN_STOCK",IF(OR(Q475="",Q475=0),"NO_PRIOR_BASE",IF(Q475&lt;LowBaseThreshold,"LOW_BASE_NOISE",IF(V475="Markdown Review","MARKDOWN_PEER_GAP",IF(V475="Reorder Candidate","REORDER_UPLIFT_COVER","NO_MATERIAL_CHANGE"))))))))</f>
        <v/>
      </c>
      <c r="X475" s="18">
        <f>IF(V475="Markdown Review","Markdown support",IF(V475="Reorder Candidate","Second reorder",IF(V475="Monitor","Monitor",IF(V475="Noise","Hold / collect data",IF(V475="Not Ready","Not ready","")))))</f>
        <v/>
      </c>
      <c r="Y475" s="18">
        <f>IF(OR(R475="",T475=""),"",ABS(R475)+ABS(T475))</f>
        <v/>
      </c>
      <c r="Z475" s="21">
        <f>IF(OR(B475="",NOT(O475),R475=""),"",IF(ABS(R475)&gt;=MaterialThreshold,"Yes","No"))</f>
        <v/>
      </c>
      <c r="AA475" s="18">
        <f>IF(Z475&lt;&gt;"Yes","",IF(ABS(R475)&gt;=MaterialThreshold,IF(ABS(R475)&gt;=BroadShare,"Broad SKU movement","Store-concentrated movement"),""))</f>
        <v/>
      </c>
      <c r="AB475" s="18">
        <f>IF(O475,IF(COUNTIFS($O$5:O475,TRUE)&gt;0,COUNTIFS($O$5:O475,TRUE),0),0)</f>
        <v/>
      </c>
      <c r="AC475" s="18">
        <f>IF(V475="Markdown Review",1,IF(V475="Reorder Candidate",2,IF(V475="Monitor",3,IF(V475="Noise",4,IF(V475="Not Ready",5,99)))))</f>
        <v/>
      </c>
      <c r="AD475" s="18">
        <f>IF(O475,COUNTIFS($O$5:$O$504,TRUE,$AC$5:$AC$504,"&lt;"&amp;AC475)+COUNTIFS($O$5:O475,TRUE,$AC$5:AC475,AC475,$Y$5:Y475,"&gt;"&amp;Y475),0)</f>
        <v/>
      </c>
    </row>
    <row r="476">
      <c r="A476" s="17">
        <f>IF(COUNTA('Weekly Input'!A476:C476)=0,"",'Weekly Input'!B476&amp;"|"&amp;'Weekly Input'!C476&amp;"|"&amp;TEXT('Weekly Input'!A476,"yyyy-mm-dd"))</f>
        <v/>
      </c>
      <c r="B476" s="18">
        <f>'Weekly Input'!B476</f>
        <v/>
      </c>
      <c r="C476" s="18">
        <f>'Weekly Input'!C476</f>
        <v/>
      </c>
      <c r="D476" s="18">
        <f>IF(B476="","",IFERROR(INDEX('Master Data'!$B$6:$B$145,MATCH(B476,'Master Data'!$A$6:$A$145,0)),""))</f>
        <v/>
      </c>
      <c r="E476" s="18">
        <f>IF(C476="","",IFERROR(INDEX('Master Data'!$H$6:$H$13,MATCH(C476,'Master Data'!$F$6:$F$13,0)),""))</f>
        <v/>
      </c>
      <c r="F476" s="19">
        <f>'Weekly Input'!A476</f>
        <v/>
      </c>
      <c r="G476" s="19">
        <f>IF(B476="","",IFERROR(INDEX('Master Data'!$D$6:$D$145,MATCH(B476,'Master Data'!$A$6:$A$145,0)),""))</f>
        <v/>
      </c>
      <c r="H476" s="18">
        <f>IF(OR(F476="",G476=""),"",F476-G476)</f>
        <v/>
      </c>
      <c r="I476" s="18">
        <f>IF(B476="","",IF('Weekly Input'!J476="OK",TRUE,FALSE))</f>
        <v/>
      </c>
      <c r="J476" s="18">
        <f>IF(B476="","",'Weekly Input'!H476&gt;=MinInStockDays)</f>
        <v/>
      </c>
      <c r="K476" s="18">
        <f>IF(B476="","",H476&gt;=FullCycleMin)</f>
        <v/>
      </c>
      <c r="L476" s="18">
        <f>IF(B476="","",AND(I476,J476,K476,N476&gt;=MinHistory))</f>
        <v/>
      </c>
      <c r="M476" s="20">
        <f>IF(OR(B476="",'Weekly Input'!H476=0),"",'Weekly Input'!D476/'Weekly Input'!H476*7)</f>
        <v/>
      </c>
      <c r="N476" s="18">
        <f>IF(B476="","",COUNTIFS($B$5:$B$504,B476,$C$5:$C$504,C476,$I$5:$I$504,TRUE,$J$5:$J$504,TRUE,$K$5:$K$504,TRUE))</f>
        <v/>
      </c>
      <c r="O476" s="18">
        <f>IF(B476="","",AND(F476=AsOfWeek,AsOfWeek&lt;&gt;""))</f>
        <v/>
      </c>
      <c r="P476" s="20">
        <f>IF(OR(B476="",AsOfWeek=""),"",IFERROR(SUMIFS($M$5:$M$504,$B$5:$B$504,B476,$C$5:$C$504,C476,$L$5:$L$504,TRUE,$F$5:$F$504,"&gt;="&amp;AsOfWeek-7*(RecentWeeks-1),$F$5:$F$504,"&lt;="&amp;AsOfWeek),""))</f>
        <v/>
      </c>
      <c r="Q476" s="20">
        <f>IF(OR(B476="",AsOfWeek=""),"",IFERROR(SUMIFS($M$5:$M$504,$B$5:$B$504,B476,$C$5:$C$504,C476,$L$5:$L$504,TRUE,$F$5:$F$504,"&gt;="&amp;AsOfWeek-7*(RecentWeeks+PriorWeeks-1),$F$5:$F$504,"&lt;"&amp;AsOfWeek-7*(RecentWeeks-1)),""))</f>
        <v/>
      </c>
      <c r="R476" s="21">
        <f>IF(OR(P476="",Q476="",Q476=0),"",P476/Q476-1)</f>
        <v/>
      </c>
      <c r="S476" s="20">
        <f>IF(OR(C476="",AsOfWeek=""),"",IFERROR(AVERAGEIFS($M$5:$M$504,$C$5:$C$504,C476,$L$5:$L$504,TRUE,$F$5:$F$504,"&gt;="&amp;AsOfWeek-7*(RecentWeeks-1),$F$5:$F$504,"&lt;="&amp;AsOfWeek),""))</f>
        <v/>
      </c>
      <c r="T476" s="21">
        <f>IF(OR(P476="",S476=""),"",P476/S476-1)</f>
        <v/>
      </c>
      <c r="U476" s="22">
        <f>IF(OR(B476="",'Weekly Input'!G476="",P476="",P476=0),"",'Weekly Input'!G476/P476)</f>
        <v/>
      </c>
      <c r="V476" s="18">
        <f>IF(B476="","",IF(NOT(I476),"Not Ready",IF(NOT(K476),"Not Ready",IF(N476&lt;MinHistory,"Not Ready",IF(NOT(J476),"Not Ready",IF(OR(Q476="",Q476=0),"Noise",IF(Q476&lt;LowBaseThreshold,"Noise",IF(AND(R476&lt;=-OwnDecline,T476&lt;=-PeerGapThreshold),"Markdown Review",IF(AND(R476&gt;=ReorderUplift,U476&lt;&gt;"",U476&lt;=WeeksSupplyCap),"Reorder Candidate","Monitor"))))))))</f>
        <v/>
      </c>
      <c r="W476" s="18">
        <f>IF(B476="","",IF(NOT(I476),"INVALID_MASTER",IF(NOT(K476),"INCOMPLETE_SHELF_CYCLE",IF(N476&lt;MinHistory,"INSUFFICIENT_HISTORY",IF(NOT(J476),"INSUFFICIENT_IN_STOCK",IF(OR(Q476="",Q476=0),"NO_PRIOR_BASE",IF(Q476&lt;LowBaseThreshold,"LOW_BASE_NOISE",IF(V476="Markdown Review","MARKDOWN_PEER_GAP",IF(V476="Reorder Candidate","REORDER_UPLIFT_COVER","NO_MATERIAL_CHANGE"))))))))</f>
        <v/>
      </c>
      <c r="X476" s="18">
        <f>IF(V476="Markdown Review","Markdown support",IF(V476="Reorder Candidate","Second reorder",IF(V476="Monitor","Monitor",IF(V476="Noise","Hold / collect data",IF(V476="Not Ready","Not ready","")))))</f>
        <v/>
      </c>
      <c r="Y476" s="18">
        <f>IF(OR(R476="",T476=""),"",ABS(R476)+ABS(T476))</f>
        <v/>
      </c>
      <c r="Z476" s="21">
        <f>IF(OR(B476="",NOT(O476),R476=""),"",IF(ABS(R476)&gt;=MaterialThreshold,"Yes","No"))</f>
        <v/>
      </c>
      <c r="AA476" s="18">
        <f>IF(Z476&lt;&gt;"Yes","",IF(ABS(R476)&gt;=MaterialThreshold,IF(ABS(R476)&gt;=BroadShare,"Broad SKU movement","Store-concentrated movement"),""))</f>
        <v/>
      </c>
      <c r="AB476" s="18">
        <f>IF(O476,IF(COUNTIFS($O$5:O476,TRUE)&gt;0,COUNTIFS($O$5:O476,TRUE),0),0)</f>
        <v/>
      </c>
      <c r="AC476" s="18">
        <f>IF(V476="Markdown Review",1,IF(V476="Reorder Candidate",2,IF(V476="Monitor",3,IF(V476="Noise",4,IF(V476="Not Ready",5,99)))))</f>
        <v/>
      </c>
      <c r="AD476" s="18">
        <f>IF(O476,COUNTIFS($O$5:$O$504,TRUE,$AC$5:$AC$504,"&lt;"&amp;AC476)+COUNTIFS($O$5:O476,TRUE,$AC$5:AC476,AC476,$Y$5:Y476,"&gt;"&amp;Y476),0)</f>
        <v/>
      </c>
    </row>
    <row r="477">
      <c r="A477" s="17">
        <f>IF(COUNTA('Weekly Input'!A477:C477)=0,"",'Weekly Input'!B477&amp;"|"&amp;'Weekly Input'!C477&amp;"|"&amp;TEXT('Weekly Input'!A477,"yyyy-mm-dd"))</f>
        <v/>
      </c>
      <c r="B477" s="18">
        <f>'Weekly Input'!B477</f>
        <v/>
      </c>
      <c r="C477" s="18">
        <f>'Weekly Input'!C477</f>
        <v/>
      </c>
      <c r="D477" s="18">
        <f>IF(B477="","",IFERROR(INDEX('Master Data'!$B$6:$B$145,MATCH(B477,'Master Data'!$A$6:$A$145,0)),""))</f>
        <v/>
      </c>
      <c r="E477" s="18">
        <f>IF(C477="","",IFERROR(INDEX('Master Data'!$H$6:$H$13,MATCH(C477,'Master Data'!$F$6:$F$13,0)),""))</f>
        <v/>
      </c>
      <c r="F477" s="19">
        <f>'Weekly Input'!A477</f>
        <v/>
      </c>
      <c r="G477" s="19">
        <f>IF(B477="","",IFERROR(INDEX('Master Data'!$D$6:$D$145,MATCH(B477,'Master Data'!$A$6:$A$145,0)),""))</f>
        <v/>
      </c>
      <c r="H477" s="18">
        <f>IF(OR(F477="",G477=""),"",F477-G477)</f>
        <v/>
      </c>
      <c r="I477" s="18">
        <f>IF(B477="","",IF('Weekly Input'!J477="OK",TRUE,FALSE))</f>
        <v/>
      </c>
      <c r="J477" s="18">
        <f>IF(B477="","",'Weekly Input'!H477&gt;=MinInStockDays)</f>
        <v/>
      </c>
      <c r="K477" s="18">
        <f>IF(B477="","",H477&gt;=FullCycleMin)</f>
        <v/>
      </c>
      <c r="L477" s="18">
        <f>IF(B477="","",AND(I477,J477,K477,N477&gt;=MinHistory))</f>
        <v/>
      </c>
      <c r="M477" s="20">
        <f>IF(OR(B477="",'Weekly Input'!H477=0),"",'Weekly Input'!D477/'Weekly Input'!H477*7)</f>
        <v/>
      </c>
      <c r="N477" s="18">
        <f>IF(B477="","",COUNTIFS($B$5:$B$504,B477,$C$5:$C$504,C477,$I$5:$I$504,TRUE,$J$5:$J$504,TRUE,$K$5:$K$504,TRUE))</f>
        <v/>
      </c>
      <c r="O477" s="18">
        <f>IF(B477="","",AND(F477=AsOfWeek,AsOfWeek&lt;&gt;""))</f>
        <v/>
      </c>
      <c r="P477" s="20">
        <f>IF(OR(B477="",AsOfWeek=""),"",IFERROR(SUMIFS($M$5:$M$504,$B$5:$B$504,B477,$C$5:$C$504,C477,$L$5:$L$504,TRUE,$F$5:$F$504,"&gt;="&amp;AsOfWeek-7*(RecentWeeks-1),$F$5:$F$504,"&lt;="&amp;AsOfWeek),""))</f>
        <v/>
      </c>
      <c r="Q477" s="20">
        <f>IF(OR(B477="",AsOfWeek=""),"",IFERROR(SUMIFS($M$5:$M$504,$B$5:$B$504,B477,$C$5:$C$504,C477,$L$5:$L$504,TRUE,$F$5:$F$504,"&gt;="&amp;AsOfWeek-7*(RecentWeeks+PriorWeeks-1),$F$5:$F$504,"&lt;"&amp;AsOfWeek-7*(RecentWeeks-1)),""))</f>
        <v/>
      </c>
      <c r="R477" s="21">
        <f>IF(OR(P477="",Q477="",Q477=0),"",P477/Q477-1)</f>
        <v/>
      </c>
      <c r="S477" s="20">
        <f>IF(OR(C477="",AsOfWeek=""),"",IFERROR(AVERAGEIFS($M$5:$M$504,$C$5:$C$504,C477,$L$5:$L$504,TRUE,$F$5:$F$504,"&gt;="&amp;AsOfWeek-7*(RecentWeeks-1),$F$5:$F$504,"&lt;="&amp;AsOfWeek),""))</f>
        <v/>
      </c>
      <c r="T477" s="21">
        <f>IF(OR(P477="",S477=""),"",P477/S477-1)</f>
        <v/>
      </c>
      <c r="U477" s="22">
        <f>IF(OR(B477="",'Weekly Input'!G477="",P477="",P477=0),"",'Weekly Input'!G477/P477)</f>
        <v/>
      </c>
      <c r="V477" s="18">
        <f>IF(B477="","",IF(NOT(I477),"Not Ready",IF(NOT(K477),"Not Ready",IF(N477&lt;MinHistory,"Not Ready",IF(NOT(J477),"Not Ready",IF(OR(Q477="",Q477=0),"Noise",IF(Q477&lt;LowBaseThreshold,"Noise",IF(AND(R477&lt;=-OwnDecline,T477&lt;=-PeerGapThreshold),"Markdown Review",IF(AND(R477&gt;=ReorderUplift,U477&lt;&gt;"",U477&lt;=WeeksSupplyCap),"Reorder Candidate","Monitor"))))))))</f>
        <v/>
      </c>
      <c r="W477" s="18">
        <f>IF(B477="","",IF(NOT(I477),"INVALID_MASTER",IF(NOT(K477),"INCOMPLETE_SHELF_CYCLE",IF(N477&lt;MinHistory,"INSUFFICIENT_HISTORY",IF(NOT(J477),"INSUFFICIENT_IN_STOCK",IF(OR(Q477="",Q477=0),"NO_PRIOR_BASE",IF(Q477&lt;LowBaseThreshold,"LOW_BASE_NOISE",IF(V477="Markdown Review","MARKDOWN_PEER_GAP",IF(V477="Reorder Candidate","REORDER_UPLIFT_COVER","NO_MATERIAL_CHANGE"))))))))</f>
        <v/>
      </c>
      <c r="X477" s="18">
        <f>IF(V477="Markdown Review","Markdown support",IF(V477="Reorder Candidate","Second reorder",IF(V477="Monitor","Monitor",IF(V477="Noise","Hold / collect data",IF(V477="Not Ready","Not ready","")))))</f>
        <v/>
      </c>
      <c r="Y477" s="18">
        <f>IF(OR(R477="",T477=""),"",ABS(R477)+ABS(T477))</f>
        <v/>
      </c>
      <c r="Z477" s="21">
        <f>IF(OR(B477="",NOT(O477),R477=""),"",IF(ABS(R477)&gt;=MaterialThreshold,"Yes","No"))</f>
        <v/>
      </c>
      <c r="AA477" s="18">
        <f>IF(Z477&lt;&gt;"Yes","",IF(ABS(R477)&gt;=MaterialThreshold,IF(ABS(R477)&gt;=BroadShare,"Broad SKU movement","Store-concentrated movement"),""))</f>
        <v/>
      </c>
      <c r="AB477" s="18">
        <f>IF(O477,IF(COUNTIFS($O$5:O477,TRUE)&gt;0,COUNTIFS($O$5:O477,TRUE),0),0)</f>
        <v/>
      </c>
      <c r="AC477" s="18">
        <f>IF(V477="Markdown Review",1,IF(V477="Reorder Candidate",2,IF(V477="Monitor",3,IF(V477="Noise",4,IF(V477="Not Ready",5,99)))))</f>
        <v/>
      </c>
      <c r="AD477" s="18">
        <f>IF(O477,COUNTIFS($O$5:$O$504,TRUE,$AC$5:$AC$504,"&lt;"&amp;AC477)+COUNTIFS($O$5:O477,TRUE,$AC$5:AC477,AC477,$Y$5:Y477,"&gt;"&amp;Y477),0)</f>
        <v/>
      </c>
    </row>
    <row r="478">
      <c r="A478" s="17">
        <f>IF(COUNTA('Weekly Input'!A478:C478)=0,"",'Weekly Input'!B478&amp;"|"&amp;'Weekly Input'!C478&amp;"|"&amp;TEXT('Weekly Input'!A478,"yyyy-mm-dd"))</f>
        <v/>
      </c>
      <c r="B478" s="18">
        <f>'Weekly Input'!B478</f>
        <v/>
      </c>
      <c r="C478" s="18">
        <f>'Weekly Input'!C478</f>
        <v/>
      </c>
      <c r="D478" s="18">
        <f>IF(B478="","",IFERROR(INDEX('Master Data'!$B$6:$B$145,MATCH(B478,'Master Data'!$A$6:$A$145,0)),""))</f>
        <v/>
      </c>
      <c r="E478" s="18">
        <f>IF(C478="","",IFERROR(INDEX('Master Data'!$H$6:$H$13,MATCH(C478,'Master Data'!$F$6:$F$13,0)),""))</f>
        <v/>
      </c>
      <c r="F478" s="19">
        <f>'Weekly Input'!A478</f>
        <v/>
      </c>
      <c r="G478" s="19">
        <f>IF(B478="","",IFERROR(INDEX('Master Data'!$D$6:$D$145,MATCH(B478,'Master Data'!$A$6:$A$145,0)),""))</f>
        <v/>
      </c>
      <c r="H478" s="18">
        <f>IF(OR(F478="",G478=""),"",F478-G478)</f>
        <v/>
      </c>
      <c r="I478" s="18">
        <f>IF(B478="","",IF('Weekly Input'!J478="OK",TRUE,FALSE))</f>
        <v/>
      </c>
      <c r="J478" s="18">
        <f>IF(B478="","",'Weekly Input'!H478&gt;=MinInStockDays)</f>
        <v/>
      </c>
      <c r="K478" s="18">
        <f>IF(B478="","",H478&gt;=FullCycleMin)</f>
        <v/>
      </c>
      <c r="L478" s="18">
        <f>IF(B478="","",AND(I478,J478,K478,N478&gt;=MinHistory))</f>
        <v/>
      </c>
      <c r="M478" s="20">
        <f>IF(OR(B478="",'Weekly Input'!H478=0),"",'Weekly Input'!D478/'Weekly Input'!H478*7)</f>
        <v/>
      </c>
      <c r="N478" s="18">
        <f>IF(B478="","",COUNTIFS($B$5:$B$504,B478,$C$5:$C$504,C478,$I$5:$I$504,TRUE,$J$5:$J$504,TRUE,$K$5:$K$504,TRUE))</f>
        <v/>
      </c>
      <c r="O478" s="18">
        <f>IF(B478="","",AND(F478=AsOfWeek,AsOfWeek&lt;&gt;""))</f>
        <v/>
      </c>
      <c r="P478" s="20">
        <f>IF(OR(B478="",AsOfWeek=""),"",IFERROR(SUMIFS($M$5:$M$504,$B$5:$B$504,B478,$C$5:$C$504,C478,$L$5:$L$504,TRUE,$F$5:$F$504,"&gt;="&amp;AsOfWeek-7*(RecentWeeks-1),$F$5:$F$504,"&lt;="&amp;AsOfWeek),""))</f>
        <v/>
      </c>
      <c r="Q478" s="20">
        <f>IF(OR(B478="",AsOfWeek=""),"",IFERROR(SUMIFS($M$5:$M$504,$B$5:$B$504,B478,$C$5:$C$504,C478,$L$5:$L$504,TRUE,$F$5:$F$504,"&gt;="&amp;AsOfWeek-7*(RecentWeeks+PriorWeeks-1),$F$5:$F$504,"&lt;"&amp;AsOfWeek-7*(RecentWeeks-1)),""))</f>
        <v/>
      </c>
      <c r="R478" s="21">
        <f>IF(OR(P478="",Q478="",Q478=0),"",P478/Q478-1)</f>
        <v/>
      </c>
      <c r="S478" s="20">
        <f>IF(OR(C478="",AsOfWeek=""),"",IFERROR(AVERAGEIFS($M$5:$M$504,$C$5:$C$504,C478,$L$5:$L$504,TRUE,$F$5:$F$504,"&gt;="&amp;AsOfWeek-7*(RecentWeeks-1),$F$5:$F$504,"&lt;="&amp;AsOfWeek),""))</f>
        <v/>
      </c>
      <c r="T478" s="21">
        <f>IF(OR(P478="",S478=""),"",P478/S478-1)</f>
        <v/>
      </c>
      <c r="U478" s="22">
        <f>IF(OR(B478="",'Weekly Input'!G478="",P478="",P478=0),"",'Weekly Input'!G478/P478)</f>
        <v/>
      </c>
      <c r="V478" s="18">
        <f>IF(B478="","",IF(NOT(I478),"Not Ready",IF(NOT(K478),"Not Ready",IF(N478&lt;MinHistory,"Not Ready",IF(NOT(J478),"Not Ready",IF(OR(Q478="",Q478=0),"Noise",IF(Q478&lt;LowBaseThreshold,"Noise",IF(AND(R478&lt;=-OwnDecline,T478&lt;=-PeerGapThreshold),"Markdown Review",IF(AND(R478&gt;=ReorderUplift,U478&lt;&gt;"",U478&lt;=WeeksSupplyCap),"Reorder Candidate","Monitor"))))))))</f>
        <v/>
      </c>
      <c r="W478" s="18">
        <f>IF(B478="","",IF(NOT(I478),"INVALID_MASTER",IF(NOT(K478),"INCOMPLETE_SHELF_CYCLE",IF(N478&lt;MinHistory,"INSUFFICIENT_HISTORY",IF(NOT(J478),"INSUFFICIENT_IN_STOCK",IF(OR(Q478="",Q478=0),"NO_PRIOR_BASE",IF(Q478&lt;LowBaseThreshold,"LOW_BASE_NOISE",IF(V478="Markdown Review","MARKDOWN_PEER_GAP",IF(V478="Reorder Candidate","REORDER_UPLIFT_COVER","NO_MATERIAL_CHANGE"))))))))</f>
        <v/>
      </c>
      <c r="X478" s="18">
        <f>IF(V478="Markdown Review","Markdown support",IF(V478="Reorder Candidate","Second reorder",IF(V478="Monitor","Monitor",IF(V478="Noise","Hold / collect data",IF(V478="Not Ready","Not ready","")))))</f>
        <v/>
      </c>
      <c r="Y478" s="18">
        <f>IF(OR(R478="",T478=""),"",ABS(R478)+ABS(T478))</f>
        <v/>
      </c>
      <c r="Z478" s="21">
        <f>IF(OR(B478="",NOT(O478),R478=""),"",IF(ABS(R478)&gt;=MaterialThreshold,"Yes","No"))</f>
        <v/>
      </c>
      <c r="AA478" s="18">
        <f>IF(Z478&lt;&gt;"Yes","",IF(ABS(R478)&gt;=MaterialThreshold,IF(ABS(R478)&gt;=BroadShare,"Broad SKU movement","Store-concentrated movement"),""))</f>
        <v/>
      </c>
      <c r="AB478" s="18">
        <f>IF(O478,IF(COUNTIFS($O$5:O478,TRUE)&gt;0,COUNTIFS($O$5:O478,TRUE),0),0)</f>
        <v/>
      </c>
      <c r="AC478" s="18">
        <f>IF(V478="Markdown Review",1,IF(V478="Reorder Candidate",2,IF(V478="Monitor",3,IF(V478="Noise",4,IF(V478="Not Ready",5,99)))))</f>
        <v/>
      </c>
      <c r="AD478" s="18">
        <f>IF(O478,COUNTIFS($O$5:$O$504,TRUE,$AC$5:$AC$504,"&lt;"&amp;AC478)+COUNTIFS($O$5:O478,TRUE,$AC$5:AC478,AC478,$Y$5:Y478,"&gt;"&amp;Y478),0)</f>
        <v/>
      </c>
    </row>
    <row r="479">
      <c r="A479" s="17">
        <f>IF(COUNTA('Weekly Input'!A479:C479)=0,"",'Weekly Input'!B479&amp;"|"&amp;'Weekly Input'!C479&amp;"|"&amp;TEXT('Weekly Input'!A479,"yyyy-mm-dd"))</f>
        <v/>
      </c>
      <c r="B479" s="18">
        <f>'Weekly Input'!B479</f>
        <v/>
      </c>
      <c r="C479" s="18">
        <f>'Weekly Input'!C479</f>
        <v/>
      </c>
      <c r="D479" s="18">
        <f>IF(B479="","",IFERROR(INDEX('Master Data'!$B$6:$B$145,MATCH(B479,'Master Data'!$A$6:$A$145,0)),""))</f>
        <v/>
      </c>
      <c r="E479" s="18">
        <f>IF(C479="","",IFERROR(INDEX('Master Data'!$H$6:$H$13,MATCH(C479,'Master Data'!$F$6:$F$13,0)),""))</f>
        <v/>
      </c>
      <c r="F479" s="19">
        <f>'Weekly Input'!A479</f>
        <v/>
      </c>
      <c r="G479" s="19">
        <f>IF(B479="","",IFERROR(INDEX('Master Data'!$D$6:$D$145,MATCH(B479,'Master Data'!$A$6:$A$145,0)),""))</f>
        <v/>
      </c>
      <c r="H479" s="18">
        <f>IF(OR(F479="",G479=""),"",F479-G479)</f>
        <v/>
      </c>
      <c r="I479" s="18">
        <f>IF(B479="","",IF('Weekly Input'!J479="OK",TRUE,FALSE))</f>
        <v/>
      </c>
      <c r="J479" s="18">
        <f>IF(B479="","",'Weekly Input'!H479&gt;=MinInStockDays)</f>
        <v/>
      </c>
      <c r="K479" s="18">
        <f>IF(B479="","",H479&gt;=FullCycleMin)</f>
        <v/>
      </c>
      <c r="L479" s="18">
        <f>IF(B479="","",AND(I479,J479,K479,N479&gt;=MinHistory))</f>
        <v/>
      </c>
      <c r="M479" s="20">
        <f>IF(OR(B479="",'Weekly Input'!H479=0),"",'Weekly Input'!D479/'Weekly Input'!H479*7)</f>
        <v/>
      </c>
      <c r="N479" s="18">
        <f>IF(B479="","",COUNTIFS($B$5:$B$504,B479,$C$5:$C$504,C479,$I$5:$I$504,TRUE,$J$5:$J$504,TRUE,$K$5:$K$504,TRUE))</f>
        <v/>
      </c>
      <c r="O479" s="18">
        <f>IF(B479="","",AND(F479=AsOfWeek,AsOfWeek&lt;&gt;""))</f>
        <v/>
      </c>
      <c r="P479" s="20">
        <f>IF(OR(B479="",AsOfWeek=""),"",IFERROR(SUMIFS($M$5:$M$504,$B$5:$B$504,B479,$C$5:$C$504,C479,$L$5:$L$504,TRUE,$F$5:$F$504,"&gt;="&amp;AsOfWeek-7*(RecentWeeks-1),$F$5:$F$504,"&lt;="&amp;AsOfWeek),""))</f>
        <v/>
      </c>
      <c r="Q479" s="20">
        <f>IF(OR(B479="",AsOfWeek=""),"",IFERROR(SUMIFS($M$5:$M$504,$B$5:$B$504,B479,$C$5:$C$504,C479,$L$5:$L$504,TRUE,$F$5:$F$504,"&gt;="&amp;AsOfWeek-7*(RecentWeeks+PriorWeeks-1),$F$5:$F$504,"&lt;"&amp;AsOfWeek-7*(RecentWeeks-1)),""))</f>
        <v/>
      </c>
      <c r="R479" s="21">
        <f>IF(OR(P479="",Q479="",Q479=0),"",P479/Q479-1)</f>
        <v/>
      </c>
      <c r="S479" s="20">
        <f>IF(OR(C479="",AsOfWeek=""),"",IFERROR(AVERAGEIFS($M$5:$M$504,$C$5:$C$504,C479,$L$5:$L$504,TRUE,$F$5:$F$504,"&gt;="&amp;AsOfWeek-7*(RecentWeeks-1),$F$5:$F$504,"&lt;="&amp;AsOfWeek),""))</f>
        <v/>
      </c>
      <c r="T479" s="21">
        <f>IF(OR(P479="",S479=""),"",P479/S479-1)</f>
        <v/>
      </c>
      <c r="U479" s="22">
        <f>IF(OR(B479="",'Weekly Input'!G479="",P479="",P479=0),"",'Weekly Input'!G479/P479)</f>
        <v/>
      </c>
      <c r="V479" s="18">
        <f>IF(B479="","",IF(NOT(I479),"Not Ready",IF(NOT(K479),"Not Ready",IF(N479&lt;MinHistory,"Not Ready",IF(NOT(J479),"Not Ready",IF(OR(Q479="",Q479=0),"Noise",IF(Q479&lt;LowBaseThreshold,"Noise",IF(AND(R479&lt;=-OwnDecline,T479&lt;=-PeerGapThreshold),"Markdown Review",IF(AND(R479&gt;=ReorderUplift,U479&lt;&gt;"",U479&lt;=WeeksSupplyCap),"Reorder Candidate","Monitor"))))))))</f>
        <v/>
      </c>
      <c r="W479" s="18">
        <f>IF(B479="","",IF(NOT(I479),"INVALID_MASTER",IF(NOT(K479),"INCOMPLETE_SHELF_CYCLE",IF(N479&lt;MinHistory,"INSUFFICIENT_HISTORY",IF(NOT(J479),"INSUFFICIENT_IN_STOCK",IF(OR(Q479="",Q479=0),"NO_PRIOR_BASE",IF(Q479&lt;LowBaseThreshold,"LOW_BASE_NOISE",IF(V479="Markdown Review","MARKDOWN_PEER_GAP",IF(V479="Reorder Candidate","REORDER_UPLIFT_COVER","NO_MATERIAL_CHANGE"))))))))</f>
        <v/>
      </c>
      <c r="X479" s="18">
        <f>IF(V479="Markdown Review","Markdown support",IF(V479="Reorder Candidate","Second reorder",IF(V479="Monitor","Monitor",IF(V479="Noise","Hold / collect data",IF(V479="Not Ready","Not ready","")))))</f>
        <v/>
      </c>
      <c r="Y479" s="18">
        <f>IF(OR(R479="",T479=""),"",ABS(R479)+ABS(T479))</f>
        <v/>
      </c>
      <c r="Z479" s="21">
        <f>IF(OR(B479="",NOT(O479),R479=""),"",IF(ABS(R479)&gt;=MaterialThreshold,"Yes","No"))</f>
        <v/>
      </c>
      <c r="AA479" s="18">
        <f>IF(Z479&lt;&gt;"Yes","",IF(ABS(R479)&gt;=MaterialThreshold,IF(ABS(R479)&gt;=BroadShare,"Broad SKU movement","Store-concentrated movement"),""))</f>
        <v/>
      </c>
      <c r="AB479" s="18">
        <f>IF(O479,IF(COUNTIFS($O$5:O479,TRUE)&gt;0,COUNTIFS($O$5:O479,TRUE),0),0)</f>
        <v/>
      </c>
      <c r="AC479" s="18">
        <f>IF(V479="Markdown Review",1,IF(V479="Reorder Candidate",2,IF(V479="Monitor",3,IF(V479="Noise",4,IF(V479="Not Ready",5,99)))))</f>
        <v/>
      </c>
      <c r="AD479" s="18">
        <f>IF(O479,COUNTIFS($O$5:$O$504,TRUE,$AC$5:$AC$504,"&lt;"&amp;AC479)+COUNTIFS($O$5:O479,TRUE,$AC$5:AC479,AC479,$Y$5:Y479,"&gt;"&amp;Y479),0)</f>
        <v/>
      </c>
    </row>
    <row r="480">
      <c r="A480" s="17">
        <f>IF(COUNTA('Weekly Input'!A480:C480)=0,"",'Weekly Input'!B480&amp;"|"&amp;'Weekly Input'!C480&amp;"|"&amp;TEXT('Weekly Input'!A480,"yyyy-mm-dd"))</f>
        <v/>
      </c>
      <c r="B480" s="18">
        <f>'Weekly Input'!B480</f>
        <v/>
      </c>
      <c r="C480" s="18">
        <f>'Weekly Input'!C480</f>
        <v/>
      </c>
      <c r="D480" s="18">
        <f>IF(B480="","",IFERROR(INDEX('Master Data'!$B$6:$B$145,MATCH(B480,'Master Data'!$A$6:$A$145,0)),""))</f>
        <v/>
      </c>
      <c r="E480" s="18">
        <f>IF(C480="","",IFERROR(INDEX('Master Data'!$H$6:$H$13,MATCH(C480,'Master Data'!$F$6:$F$13,0)),""))</f>
        <v/>
      </c>
      <c r="F480" s="19">
        <f>'Weekly Input'!A480</f>
        <v/>
      </c>
      <c r="G480" s="19">
        <f>IF(B480="","",IFERROR(INDEX('Master Data'!$D$6:$D$145,MATCH(B480,'Master Data'!$A$6:$A$145,0)),""))</f>
        <v/>
      </c>
      <c r="H480" s="18">
        <f>IF(OR(F480="",G480=""),"",F480-G480)</f>
        <v/>
      </c>
      <c r="I480" s="18">
        <f>IF(B480="","",IF('Weekly Input'!J480="OK",TRUE,FALSE))</f>
        <v/>
      </c>
      <c r="J480" s="18">
        <f>IF(B480="","",'Weekly Input'!H480&gt;=MinInStockDays)</f>
        <v/>
      </c>
      <c r="K480" s="18">
        <f>IF(B480="","",H480&gt;=FullCycleMin)</f>
        <v/>
      </c>
      <c r="L480" s="18">
        <f>IF(B480="","",AND(I480,J480,K480,N480&gt;=MinHistory))</f>
        <v/>
      </c>
      <c r="M480" s="20">
        <f>IF(OR(B480="",'Weekly Input'!H480=0),"",'Weekly Input'!D480/'Weekly Input'!H480*7)</f>
        <v/>
      </c>
      <c r="N480" s="18">
        <f>IF(B480="","",COUNTIFS($B$5:$B$504,B480,$C$5:$C$504,C480,$I$5:$I$504,TRUE,$J$5:$J$504,TRUE,$K$5:$K$504,TRUE))</f>
        <v/>
      </c>
      <c r="O480" s="18">
        <f>IF(B480="","",AND(F480=AsOfWeek,AsOfWeek&lt;&gt;""))</f>
        <v/>
      </c>
      <c r="P480" s="20">
        <f>IF(OR(B480="",AsOfWeek=""),"",IFERROR(SUMIFS($M$5:$M$504,$B$5:$B$504,B480,$C$5:$C$504,C480,$L$5:$L$504,TRUE,$F$5:$F$504,"&gt;="&amp;AsOfWeek-7*(RecentWeeks-1),$F$5:$F$504,"&lt;="&amp;AsOfWeek),""))</f>
        <v/>
      </c>
      <c r="Q480" s="20">
        <f>IF(OR(B480="",AsOfWeek=""),"",IFERROR(SUMIFS($M$5:$M$504,$B$5:$B$504,B480,$C$5:$C$504,C480,$L$5:$L$504,TRUE,$F$5:$F$504,"&gt;="&amp;AsOfWeek-7*(RecentWeeks+PriorWeeks-1),$F$5:$F$504,"&lt;"&amp;AsOfWeek-7*(RecentWeeks-1)),""))</f>
        <v/>
      </c>
      <c r="R480" s="21">
        <f>IF(OR(P480="",Q480="",Q480=0),"",P480/Q480-1)</f>
        <v/>
      </c>
      <c r="S480" s="20">
        <f>IF(OR(C480="",AsOfWeek=""),"",IFERROR(AVERAGEIFS($M$5:$M$504,$C$5:$C$504,C480,$L$5:$L$504,TRUE,$F$5:$F$504,"&gt;="&amp;AsOfWeek-7*(RecentWeeks-1),$F$5:$F$504,"&lt;="&amp;AsOfWeek),""))</f>
        <v/>
      </c>
      <c r="T480" s="21">
        <f>IF(OR(P480="",S480=""),"",P480/S480-1)</f>
        <v/>
      </c>
      <c r="U480" s="22">
        <f>IF(OR(B480="",'Weekly Input'!G480="",P480="",P480=0),"",'Weekly Input'!G480/P480)</f>
        <v/>
      </c>
      <c r="V480" s="18">
        <f>IF(B480="","",IF(NOT(I480),"Not Ready",IF(NOT(K480),"Not Ready",IF(N480&lt;MinHistory,"Not Ready",IF(NOT(J480),"Not Ready",IF(OR(Q480="",Q480=0),"Noise",IF(Q480&lt;LowBaseThreshold,"Noise",IF(AND(R480&lt;=-OwnDecline,T480&lt;=-PeerGapThreshold),"Markdown Review",IF(AND(R480&gt;=ReorderUplift,U480&lt;&gt;"",U480&lt;=WeeksSupplyCap),"Reorder Candidate","Monitor"))))))))</f>
        <v/>
      </c>
      <c r="W480" s="18">
        <f>IF(B480="","",IF(NOT(I480),"INVALID_MASTER",IF(NOT(K480),"INCOMPLETE_SHELF_CYCLE",IF(N480&lt;MinHistory,"INSUFFICIENT_HISTORY",IF(NOT(J480),"INSUFFICIENT_IN_STOCK",IF(OR(Q480="",Q480=0),"NO_PRIOR_BASE",IF(Q480&lt;LowBaseThreshold,"LOW_BASE_NOISE",IF(V480="Markdown Review","MARKDOWN_PEER_GAP",IF(V480="Reorder Candidate","REORDER_UPLIFT_COVER","NO_MATERIAL_CHANGE"))))))))</f>
        <v/>
      </c>
      <c r="X480" s="18">
        <f>IF(V480="Markdown Review","Markdown support",IF(V480="Reorder Candidate","Second reorder",IF(V480="Monitor","Monitor",IF(V480="Noise","Hold / collect data",IF(V480="Not Ready","Not ready","")))))</f>
        <v/>
      </c>
      <c r="Y480" s="18">
        <f>IF(OR(R480="",T480=""),"",ABS(R480)+ABS(T480))</f>
        <v/>
      </c>
      <c r="Z480" s="21">
        <f>IF(OR(B480="",NOT(O480),R480=""),"",IF(ABS(R480)&gt;=MaterialThreshold,"Yes","No"))</f>
        <v/>
      </c>
      <c r="AA480" s="18">
        <f>IF(Z480&lt;&gt;"Yes","",IF(ABS(R480)&gt;=MaterialThreshold,IF(ABS(R480)&gt;=BroadShare,"Broad SKU movement","Store-concentrated movement"),""))</f>
        <v/>
      </c>
      <c r="AB480" s="18">
        <f>IF(O480,IF(COUNTIFS($O$5:O480,TRUE)&gt;0,COUNTIFS($O$5:O480,TRUE),0),0)</f>
        <v/>
      </c>
      <c r="AC480" s="18">
        <f>IF(V480="Markdown Review",1,IF(V480="Reorder Candidate",2,IF(V480="Monitor",3,IF(V480="Noise",4,IF(V480="Not Ready",5,99)))))</f>
        <v/>
      </c>
      <c r="AD480" s="18">
        <f>IF(O480,COUNTIFS($O$5:$O$504,TRUE,$AC$5:$AC$504,"&lt;"&amp;AC480)+COUNTIFS($O$5:O480,TRUE,$AC$5:AC480,AC480,$Y$5:Y480,"&gt;"&amp;Y480),0)</f>
        <v/>
      </c>
    </row>
    <row r="481">
      <c r="A481" s="17">
        <f>IF(COUNTA('Weekly Input'!A481:C481)=0,"",'Weekly Input'!B481&amp;"|"&amp;'Weekly Input'!C481&amp;"|"&amp;TEXT('Weekly Input'!A481,"yyyy-mm-dd"))</f>
        <v/>
      </c>
      <c r="B481" s="18">
        <f>'Weekly Input'!B481</f>
        <v/>
      </c>
      <c r="C481" s="18">
        <f>'Weekly Input'!C481</f>
        <v/>
      </c>
      <c r="D481" s="18">
        <f>IF(B481="","",IFERROR(INDEX('Master Data'!$B$6:$B$145,MATCH(B481,'Master Data'!$A$6:$A$145,0)),""))</f>
        <v/>
      </c>
      <c r="E481" s="18">
        <f>IF(C481="","",IFERROR(INDEX('Master Data'!$H$6:$H$13,MATCH(C481,'Master Data'!$F$6:$F$13,0)),""))</f>
        <v/>
      </c>
      <c r="F481" s="19">
        <f>'Weekly Input'!A481</f>
        <v/>
      </c>
      <c r="G481" s="19">
        <f>IF(B481="","",IFERROR(INDEX('Master Data'!$D$6:$D$145,MATCH(B481,'Master Data'!$A$6:$A$145,0)),""))</f>
        <v/>
      </c>
      <c r="H481" s="18">
        <f>IF(OR(F481="",G481=""),"",F481-G481)</f>
        <v/>
      </c>
      <c r="I481" s="18">
        <f>IF(B481="","",IF('Weekly Input'!J481="OK",TRUE,FALSE))</f>
        <v/>
      </c>
      <c r="J481" s="18">
        <f>IF(B481="","",'Weekly Input'!H481&gt;=MinInStockDays)</f>
        <v/>
      </c>
      <c r="K481" s="18">
        <f>IF(B481="","",H481&gt;=FullCycleMin)</f>
        <v/>
      </c>
      <c r="L481" s="18">
        <f>IF(B481="","",AND(I481,J481,K481,N481&gt;=MinHistory))</f>
        <v/>
      </c>
      <c r="M481" s="20">
        <f>IF(OR(B481="",'Weekly Input'!H481=0),"",'Weekly Input'!D481/'Weekly Input'!H481*7)</f>
        <v/>
      </c>
      <c r="N481" s="18">
        <f>IF(B481="","",COUNTIFS($B$5:$B$504,B481,$C$5:$C$504,C481,$I$5:$I$504,TRUE,$J$5:$J$504,TRUE,$K$5:$K$504,TRUE))</f>
        <v/>
      </c>
      <c r="O481" s="18">
        <f>IF(B481="","",AND(F481=AsOfWeek,AsOfWeek&lt;&gt;""))</f>
        <v/>
      </c>
      <c r="P481" s="20">
        <f>IF(OR(B481="",AsOfWeek=""),"",IFERROR(SUMIFS($M$5:$M$504,$B$5:$B$504,B481,$C$5:$C$504,C481,$L$5:$L$504,TRUE,$F$5:$F$504,"&gt;="&amp;AsOfWeek-7*(RecentWeeks-1),$F$5:$F$504,"&lt;="&amp;AsOfWeek),""))</f>
        <v/>
      </c>
      <c r="Q481" s="20">
        <f>IF(OR(B481="",AsOfWeek=""),"",IFERROR(SUMIFS($M$5:$M$504,$B$5:$B$504,B481,$C$5:$C$504,C481,$L$5:$L$504,TRUE,$F$5:$F$504,"&gt;="&amp;AsOfWeek-7*(RecentWeeks+PriorWeeks-1),$F$5:$F$504,"&lt;"&amp;AsOfWeek-7*(RecentWeeks-1)),""))</f>
        <v/>
      </c>
      <c r="R481" s="21">
        <f>IF(OR(P481="",Q481="",Q481=0),"",P481/Q481-1)</f>
        <v/>
      </c>
      <c r="S481" s="20">
        <f>IF(OR(C481="",AsOfWeek=""),"",IFERROR(AVERAGEIFS($M$5:$M$504,$C$5:$C$504,C481,$L$5:$L$504,TRUE,$F$5:$F$504,"&gt;="&amp;AsOfWeek-7*(RecentWeeks-1),$F$5:$F$504,"&lt;="&amp;AsOfWeek),""))</f>
        <v/>
      </c>
      <c r="T481" s="21">
        <f>IF(OR(P481="",S481=""),"",P481/S481-1)</f>
        <v/>
      </c>
      <c r="U481" s="22">
        <f>IF(OR(B481="",'Weekly Input'!G481="",P481="",P481=0),"",'Weekly Input'!G481/P481)</f>
        <v/>
      </c>
      <c r="V481" s="18">
        <f>IF(B481="","",IF(NOT(I481),"Not Ready",IF(NOT(K481),"Not Ready",IF(N481&lt;MinHistory,"Not Ready",IF(NOT(J481),"Not Ready",IF(OR(Q481="",Q481=0),"Noise",IF(Q481&lt;LowBaseThreshold,"Noise",IF(AND(R481&lt;=-OwnDecline,T481&lt;=-PeerGapThreshold),"Markdown Review",IF(AND(R481&gt;=ReorderUplift,U481&lt;&gt;"",U481&lt;=WeeksSupplyCap),"Reorder Candidate","Monitor"))))))))</f>
        <v/>
      </c>
      <c r="W481" s="18">
        <f>IF(B481="","",IF(NOT(I481),"INVALID_MASTER",IF(NOT(K481),"INCOMPLETE_SHELF_CYCLE",IF(N481&lt;MinHistory,"INSUFFICIENT_HISTORY",IF(NOT(J481),"INSUFFICIENT_IN_STOCK",IF(OR(Q481="",Q481=0),"NO_PRIOR_BASE",IF(Q481&lt;LowBaseThreshold,"LOW_BASE_NOISE",IF(V481="Markdown Review","MARKDOWN_PEER_GAP",IF(V481="Reorder Candidate","REORDER_UPLIFT_COVER","NO_MATERIAL_CHANGE"))))))))</f>
        <v/>
      </c>
      <c r="X481" s="18">
        <f>IF(V481="Markdown Review","Markdown support",IF(V481="Reorder Candidate","Second reorder",IF(V481="Monitor","Monitor",IF(V481="Noise","Hold / collect data",IF(V481="Not Ready","Not ready","")))))</f>
        <v/>
      </c>
      <c r="Y481" s="18">
        <f>IF(OR(R481="",T481=""),"",ABS(R481)+ABS(T481))</f>
        <v/>
      </c>
      <c r="Z481" s="21">
        <f>IF(OR(B481="",NOT(O481),R481=""),"",IF(ABS(R481)&gt;=MaterialThreshold,"Yes","No"))</f>
        <v/>
      </c>
      <c r="AA481" s="18">
        <f>IF(Z481&lt;&gt;"Yes","",IF(ABS(R481)&gt;=MaterialThreshold,IF(ABS(R481)&gt;=BroadShare,"Broad SKU movement","Store-concentrated movement"),""))</f>
        <v/>
      </c>
      <c r="AB481" s="18">
        <f>IF(O481,IF(COUNTIFS($O$5:O481,TRUE)&gt;0,COUNTIFS($O$5:O481,TRUE),0),0)</f>
        <v/>
      </c>
      <c r="AC481" s="18">
        <f>IF(V481="Markdown Review",1,IF(V481="Reorder Candidate",2,IF(V481="Monitor",3,IF(V481="Noise",4,IF(V481="Not Ready",5,99)))))</f>
        <v/>
      </c>
      <c r="AD481" s="18">
        <f>IF(O481,COUNTIFS($O$5:$O$504,TRUE,$AC$5:$AC$504,"&lt;"&amp;AC481)+COUNTIFS($O$5:O481,TRUE,$AC$5:AC481,AC481,$Y$5:Y481,"&gt;"&amp;Y481),0)</f>
        <v/>
      </c>
    </row>
    <row r="482">
      <c r="A482" s="17">
        <f>IF(COUNTA('Weekly Input'!A482:C482)=0,"",'Weekly Input'!B482&amp;"|"&amp;'Weekly Input'!C482&amp;"|"&amp;TEXT('Weekly Input'!A482,"yyyy-mm-dd"))</f>
        <v/>
      </c>
      <c r="B482" s="18">
        <f>'Weekly Input'!B482</f>
        <v/>
      </c>
      <c r="C482" s="18">
        <f>'Weekly Input'!C482</f>
        <v/>
      </c>
      <c r="D482" s="18">
        <f>IF(B482="","",IFERROR(INDEX('Master Data'!$B$6:$B$145,MATCH(B482,'Master Data'!$A$6:$A$145,0)),""))</f>
        <v/>
      </c>
      <c r="E482" s="18">
        <f>IF(C482="","",IFERROR(INDEX('Master Data'!$H$6:$H$13,MATCH(C482,'Master Data'!$F$6:$F$13,0)),""))</f>
        <v/>
      </c>
      <c r="F482" s="19">
        <f>'Weekly Input'!A482</f>
        <v/>
      </c>
      <c r="G482" s="19">
        <f>IF(B482="","",IFERROR(INDEX('Master Data'!$D$6:$D$145,MATCH(B482,'Master Data'!$A$6:$A$145,0)),""))</f>
        <v/>
      </c>
      <c r="H482" s="18">
        <f>IF(OR(F482="",G482=""),"",F482-G482)</f>
        <v/>
      </c>
      <c r="I482" s="18">
        <f>IF(B482="","",IF('Weekly Input'!J482="OK",TRUE,FALSE))</f>
        <v/>
      </c>
      <c r="J482" s="18">
        <f>IF(B482="","",'Weekly Input'!H482&gt;=MinInStockDays)</f>
        <v/>
      </c>
      <c r="K482" s="18">
        <f>IF(B482="","",H482&gt;=FullCycleMin)</f>
        <v/>
      </c>
      <c r="L482" s="18">
        <f>IF(B482="","",AND(I482,J482,K482,N482&gt;=MinHistory))</f>
        <v/>
      </c>
      <c r="M482" s="20">
        <f>IF(OR(B482="",'Weekly Input'!H482=0),"",'Weekly Input'!D482/'Weekly Input'!H482*7)</f>
        <v/>
      </c>
      <c r="N482" s="18">
        <f>IF(B482="","",COUNTIFS($B$5:$B$504,B482,$C$5:$C$504,C482,$I$5:$I$504,TRUE,$J$5:$J$504,TRUE,$K$5:$K$504,TRUE))</f>
        <v/>
      </c>
      <c r="O482" s="18">
        <f>IF(B482="","",AND(F482=AsOfWeek,AsOfWeek&lt;&gt;""))</f>
        <v/>
      </c>
      <c r="P482" s="20">
        <f>IF(OR(B482="",AsOfWeek=""),"",IFERROR(SUMIFS($M$5:$M$504,$B$5:$B$504,B482,$C$5:$C$504,C482,$L$5:$L$504,TRUE,$F$5:$F$504,"&gt;="&amp;AsOfWeek-7*(RecentWeeks-1),$F$5:$F$504,"&lt;="&amp;AsOfWeek),""))</f>
        <v/>
      </c>
      <c r="Q482" s="20">
        <f>IF(OR(B482="",AsOfWeek=""),"",IFERROR(SUMIFS($M$5:$M$504,$B$5:$B$504,B482,$C$5:$C$504,C482,$L$5:$L$504,TRUE,$F$5:$F$504,"&gt;="&amp;AsOfWeek-7*(RecentWeeks+PriorWeeks-1),$F$5:$F$504,"&lt;"&amp;AsOfWeek-7*(RecentWeeks-1)),""))</f>
        <v/>
      </c>
      <c r="R482" s="21">
        <f>IF(OR(P482="",Q482="",Q482=0),"",P482/Q482-1)</f>
        <v/>
      </c>
      <c r="S482" s="20">
        <f>IF(OR(C482="",AsOfWeek=""),"",IFERROR(AVERAGEIFS($M$5:$M$504,$C$5:$C$504,C482,$L$5:$L$504,TRUE,$F$5:$F$504,"&gt;="&amp;AsOfWeek-7*(RecentWeeks-1),$F$5:$F$504,"&lt;="&amp;AsOfWeek),""))</f>
        <v/>
      </c>
      <c r="T482" s="21">
        <f>IF(OR(P482="",S482=""),"",P482/S482-1)</f>
        <v/>
      </c>
      <c r="U482" s="22">
        <f>IF(OR(B482="",'Weekly Input'!G482="",P482="",P482=0),"",'Weekly Input'!G482/P482)</f>
        <v/>
      </c>
      <c r="V482" s="18">
        <f>IF(B482="","",IF(NOT(I482),"Not Ready",IF(NOT(K482),"Not Ready",IF(N482&lt;MinHistory,"Not Ready",IF(NOT(J482),"Not Ready",IF(OR(Q482="",Q482=0),"Noise",IF(Q482&lt;LowBaseThreshold,"Noise",IF(AND(R482&lt;=-OwnDecline,T482&lt;=-PeerGapThreshold),"Markdown Review",IF(AND(R482&gt;=ReorderUplift,U482&lt;&gt;"",U482&lt;=WeeksSupplyCap),"Reorder Candidate","Monitor"))))))))</f>
        <v/>
      </c>
      <c r="W482" s="18">
        <f>IF(B482="","",IF(NOT(I482),"INVALID_MASTER",IF(NOT(K482),"INCOMPLETE_SHELF_CYCLE",IF(N482&lt;MinHistory,"INSUFFICIENT_HISTORY",IF(NOT(J482),"INSUFFICIENT_IN_STOCK",IF(OR(Q482="",Q482=0),"NO_PRIOR_BASE",IF(Q482&lt;LowBaseThreshold,"LOW_BASE_NOISE",IF(V482="Markdown Review","MARKDOWN_PEER_GAP",IF(V482="Reorder Candidate","REORDER_UPLIFT_COVER","NO_MATERIAL_CHANGE"))))))))</f>
        <v/>
      </c>
      <c r="X482" s="18">
        <f>IF(V482="Markdown Review","Markdown support",IF(V482="Reorder Candidate","Second reorder",IF(V482="Monitor","Monitor",IF(V482="Noise","Hold / collect data",IF(V482="Not Ready","Not ready","")))))</f>
        <v/>
      </c>
      <c r="Y482" s="18">
        <f>IF(OR(R482="",T482=""),"",ABS(R482)+ABS(T482))</f>
        <v/>
      </c>
      <c r="Z482" s="21">
        <f>IF(OR(B482="",NOT(O482),R482=""),"",IF(ABS(R482)&gt;=MaterialThreshold,"Yes","No"))</f>
        <v/>
      </c>
      <c r="AA482" s="18">
        <f>IF(Z482&lt;&gt;"Yes","",IF(ABS(R482)&gt;=MaterialThreshold,IF(ABS(R482)&gt;=BroadShare,"Broad SKU movement","Store-concentrated movement"),""))</f>
        <v/>
      </c>
      <c r="AB482" s="18">
        <f>IF(O482,IF(COUNTIFS($O$5:O482,TRUE)&gt;0,COUNTIFS($O$5:O482,TRUE),0),0)</f>
        <v/>
      </c>
      <c r="AC482" s="18">
        <f>IF(V482="Markdown Review",1,IF(V482="Reorder Candidate",2,IF(V482="Monitor",3,IF(V482="Noise",4,IF(V482="Not Ready",5,99)))))</f>
        <v/>
      </c>
      <c r="AD482" s="18">
        <f>IF(O482,COUNTIFS($O$5:$O$504,TRUE,$AC$5:$AC$504,"&lt;"&amp;AC482)+COUNTIFS($O$5:O482,TRUE,$AC$5:AC482,AC482,$Y$5:Y482,"&gt;"&amp;Y482),0)</f>
        <v/>
      </c>
    </row>
    <row r="483">
      <c r="A483" s="17">
        <f>IF(COUNTA('Weekly Input'!A483:C483)=0,"",'Weekly Input'!B483&amp;"|"&amp;'Weekly Input'!C483&amp;"|"&amp;TEXT('Weekly Input'!A483,"yyyy-mm-dd"))</f>
        <v/>
      </c>
      <c r="B483" s="18">
        <f>'Weekly Input'!B483</f>
        <v/>
      </c>
      <c r="C483" s="18">
        <f>'Weekly Input'!C483</f>
        <v/>
      </c>
      <c r="D483" s="18">
        <f>IF(B483="","",IFERROR(INDEX('Master Data'!$B$6:$B$145,MATCH(B483,'Master Data'!$A$6:$A$145,0)),""))</f>
        <v/>
      </c>
      <c r="E483" s="18">
        <f>IF(C483="","",IFERROR(INDEX('Master Data'!$H$6:$H$13,MATCH(C483,'Master Data'!$F$6:$F$13,0)),""))</f>
        <v/>
      </c>
      <c r="F483" s="19">
        <f>'Weekly Input'!A483</f>
        <v/>
      </c>
      <c r="G483" s="19">
        <f>IF(B483="","",IFERROR(INDEX('Master Data'!$D$6:$D$145,MATCH(B483,'Master Data'!$A$6:$A$145,0)),""))</f>
        <v/>
      </c>
      <c r="H483" s="18">
        <f>IF(OR(F483="",G483=""),"",F483-G483)</f>
        <v/>
      </c>
      <c r="I483" s="18">
        <f>IF(B483="","",IF('Weekly Input'!J483="OK",TRUE,FALSE))</f>
        <v/>
      </c>
      <c r="J483" s="18">
        <f>IF(B483="","",'Weekly Input'!H483&gt;=MinInStockDays)</f>
        <v/>
      </c>
      <c r="K483" s="18">
        <f>IF(B483="","",H483&gt;=FullCycleMin)</f>
        <v/>
      </c>
      <c r="L483" s="18">
        <f>IF(B483="","",AND(I483,J483,K483,N483&gt;=MinHistory))</f>
        <v/>
      </c>
      <c r="M483" s="20">
        <f>IF(OR(B483="",'Weekly Input'!H483=0),"",'Weekly Input'!D483/'Weekly Input'!H483*7)</f>
        <v/>
      </c>
      <c r="N483" s="18">
        <f>IF(B483="","",COUNTIFS($B$5:$B$504,B483,$C$5:$C$504,C483,$I$5:$I$504,TRUE,$J$5:$J$504,TRUE,$K$5:$K$504,TRUE))</f>
        <v/>
      </c>
      <c r="O483" s="18">
        <f>IF(B483="","",AND(F483=AsOfWeek,AsOfWeek&lt;&gt;""))</f>
        <v/>
      </c>
      <c r="P483" s="20">
        <f>IF(OR(B483="",AsOfWeek=""),"",IFERROR(SUMIFS($M$5:$M$504,$B$5:$B$504,B483,$C$5:$C$504,C483,$L$5:$L$504,TRUE,$F$5:$F$504,"&gt;="&amp;AsOfWeek-7*(RecentWeeks-1),$F$5:$F$504,"&lt;="&amp;AsOfWeek),""))</f>
        <v/>
      </c>
      <c r="Q483" s="20">
        <f>IF(OR(B483="",AsOfWeek=""),"",IFERROR(SUMIFS($M$5:$M$504,$B$5:$B$504,B483,$C$5:$C$504,C483,$L$5:$L$504,TRUE,$F$5:$F$504,"&gt;="&amp;AsOfWeek-7*(RecentWeeks+PriorWeeks-1),$F$5:$F$504,"&lt;"&amp;AsOfWeek-7*(RecentWeeks-1)),""))</f>
        <v/>
      </c>
      <c r="R483" s="21">
        <f>IF(OR(P483="",Q483="",Q483=0),"",P483/Q483-1)</f>
        <v/>
      </c>
      <c r="S483" s="20">
        <f>IF(OR(C483="",AsOfWeek=""),"",IFERROR(AVERAGEIFS($M$5:$M$504,$C$5:$C$504,C483,$L$5:$L$504,TRUE,$F$5:$F$504,"&gt;="&amp;AsOfWeek-7*(RecentWeeks-1),$F$5:$F$504,"&lt;="&amp;AsOfWeek),""))</f>
        <v/>
      </c>
      <c r="T483" s="21">
        <f>IF(OR(P483="",S483=""),"",P483/S483-1)</f>
        <v/>
      </c>
      <c r="U483" s="22">
        <f>IF(OR(B483="",'Weekly Input'!G483="",P483="",P483=0),"",'Weekly Input'!G483/P483)</f>
        <v/>
      </c>
      <c r="V483" s="18">
        <f>IF(B483="","",IF(NOT(I483),"Not Ready",IF(NOT(K483),"Not Ready",IF(N483&lt;MinHistory,"Not Ready",IF(NOT(J483),"Not Ready",IF(OR(Q483="",Q483=0),"Noise",IF(Q483&lt;LowBaseThreshold,"Noise",IF(AND(R483&lt;=-OwnDecline,T483&lt;=-PeerGapThreshold),"Markdown Review",IF(AND(R483&gt;=ReorderUplift,U483&lt;&gt;"",U483&lt;=WeeksSupplyCap),"Reorder Candidate","Monitor"))))))))</f>
        <v/>
      </c>
      <c r="W483" s="18">
        <f>IF(B483="","",IF(NOT(I483),"INVALID_MASTER",IF(NOT(K483),"INCOMPLETE_SHELF_CYCLE",IF(N483&lt;MinHistory,"INSUFFICIENT_HISTORY",IF(NOT(J483),"INSUFFICIENT_IN_STOCK",IF(OR(Q483="",Q483=0),"NO_PRIOR_BASE",IF(Q483&lt;LowBaseThreshold,"LOW_BASE_NOISE",IF(V483="Markdown Review","MARKDOWN_PEER_GAP",IF(V483="Reorder Candidate","REORDER_UPLIFT_COVER","NO_MATERIAL_CHANGE"))))))))</f>
        <v/>
      </c>
      <c r="X483" s="18">
        <f>IF(V483="Markdown Review","Markdown support",IF(V483="Reorder Candidate","Second reorder",IF(V483="Monitor","Monitor",IF(V483="Noise","Hold / collect data",IF(V483="Not Ready","Not ready","")))))</f>
        <v/>
      </c>
      <c r="Y483" s="18">
        <f>IF(OR(R483="",T483=""),"",ABS(R483)+ABS(T483))</f>
        <v/>
      </c>
      <c r="Z483" s="21">
        <f>IF(OR(B483="",NOT(O483),R483=""),"",IF(ABS(R483)&gt;=MaterialThreshold,"Yes","No"))</f>
        <v/>
      </c>
      <c r="AA483" s="18">
        <f>IF(Z483&lt;&gt;"Yes","",IF(ABS(R483)&gt;=MaterialThreshold,IF(ABS(R483)&gt;=BroadShare,"Broad SKU movement","Store-concentrated movement"),""))</f>
        <v/>
      </c>
      <c r="AB483" s="18">
        <f>IF(O483,IF(COUNTIFS($O$5:O483,TRUE)&gt;0,COUNTIFS($O$5:O483,TRUE),0),0)</f>
        <v/>
      </c>
      <c r="AC483" s="18">
        <f>IF(V483="Markdown Review",1,IF(V483="Reorder Candidate",2,IF(V483="Monitor",3,IF(V483="Noise",4,IF(V483="Not Ready",5,99)))))</f>
        <v/>
      </c>
      <c r="AD483" s="18">
        <f>IF(O483,COUNTIFS($O$5:$O$504,TRUE,$AC$5:$AC$504,"&lt;"&amp;AC483)+COUNTIFS($O$5:O483,TRUE,$AC$5:AC483,AC483,$Y$5:Y483,"&gt;"&amp;Y483),0)</f>
        <v/>
      </c>
    </row>
    <row r="484">
      <c r="A484" s="17">
        <f>IF(COUNTA('Weekly Input'!A484:C484)=0,"",'Weekly Input'!B484&amp;"|"&amp;'Weekly Input'!C484&amp;"|"&amp;TEXT('Weekly Input'!A484,"yyyy-mm-dd"))</f>
        <v/>
      </c>
      <c r="B484" s="18">
        <f>'Weekly Input'!B484</f>
        <v/>
      </c>
      <c r="C484" s="18">
        <f>'Weekly Input'!C484</f>
        <v/>
      </c>
      <c r="D484" s="18">
        <f>IF(B484="","",IFERROR(INDEX('Master Data'!$B$6:$B$145,MATCH(B484,'Master Data'!$A$6:$A$145,0)),""))</f>
        <v/>
      </c>
      <c r="E484" s="18">
        <f>IF(C484="","",IFERROR(INDEX('Master Data'!$H$6:$H$13,MATCH(C484,'Master Data'!$F$6:$F$13,0)),""))</f>
        <v/>
      </c>
      <c r="F484" s="19">
        <f>'Weekly Input'!A484</f>
        <v/>
      </c>
      <c r="G484" s="19">
        <f>IF(B484="","",IFERROR(INDEX('Master Data'!$D$6:$D$145,MATCH(B484,'Master Data'!$A$6:$A$145,0)),""))</f>
        <v/>
      </c>
      <c r="H484" s="18">
        <f>IF(OR(F484="",G484=""),"",F484-G484)</f>
        <v/>
      </c>
      <c r="I484" s="18">
        <f>IF(B484="","",IF('Weekly Input'!J484="OK",TRUE,FALSE))</f>
        <v/>
      </c>
      <c r="J484" s="18">
        <f>IF(B484="","",'Weekly Input'!H484&gt;=MinInStockDays)</f>
        <v/>
      </c>
      <c r="K484" s="18">
        <f>IF(B484="","",H484&gt;=FullCycleMin)</f>
        <v/>
      </c>
      <c r="L484" s="18">
        <f>IF(B484="","",AND(I484,J484,K484,N484&gt;=MinHistory))</f>
        <v/>
      </c>
      <c r="M484" s="20">
        <f>IF(OR(B484="",'Weekly Input'!H484=0),"",'Weekly Input'!D484/'Weekly Input'!H484*7)</f>
        <v/>
      </c>
      <c r="N484" s="18">
        <f>IF(B484="","",COUNTIFS($B$5:$B$504,B484,$C$5:$C$504,C484,$I$5:$I$504,TRUE,$J$5:$J$504,TRUE,$K$5:$K$504,TRUE))</f>
        <v/>
      </c>
      <c r="O484" s="18">
        <f>IF(B484="","",AND(F484=AsOfWeek,AsOfWeek&lt;&gt;""))</f>
        <v/>
      </c>
      <c r="P484" s="20">
        <f>IF(OR(B484="",AsOfWeek=""),"",IFERROR(SUMIFS($M$5:$M$504,$B$5:$B$504,B484,$C$5:$C$504,C484,$L$5:$L$504,TRUE,$F$5:$F$504,"&gt;="&amp;AsOfWeek-7*(RecentWeeks-1),$F$5:$F$504,"&lt;="&amp;AsOfWeek),""))</f>
        <v/>
      </c>
      <c r="Q484" s="20">
        <f>IF(OR(B484="",AsOfWeek=""),"",IFERROR(SUMIFS($M$5:$M$504,$B$5:$B$504,B484,$C$5:$C$504,C484,$L$5:$L$504,TRUE,$F$5:$F$504,"&gt;="&amp;AsOfWeek-7*(RecentWeeks+PriorWeeks-1),$F$5:$F$504,"&lt;"&amp;AsOfWeek-7*(RecentWeeks-1)),""))</f>
        <v/>
      </c>
      <c r="R484" s="21">
        <f>IF(OR(P484="",Q484="",Q484=0),"",P484/Q484-1)</f>
        <v/>
      </c>
      <c r="S484" s="20">
        <f>IF(OR(C484="",AsOfWeek=""),"",IFERROR(AVERAGEIFS($M$5:$M$504,$C$5:$C$504,C484,$L$5:$L$504,TRUE,$F$5:$F$504,"&gt;="&amp;AsOfWeek-7*(RecentWeeks-1),$F$5:$F$504,"&lt;="&amp;AsOfWeek),""))</f>
        <v/>
      </c>
      <c r="T484" s="21">
        <f>IF(OR(P484="",S484=""),"",P484/S484-1)</f>
        <v/>
      </c>
      <c r="U484" s="22">
        <f>IF(OR(B484="",'Weekly Input'!G484="",P484="",P484=0),"",'Weekly Input'!G484/P484)</f>
        <v/>
      </c>
      <c r="V484" s="18">
        <f>IF(B484="","",IF(NOT(I484),"Not Ready",IF(NOT(K484),"Not Ready",IF(N484&lt;MinHistory,"Not Ready",IF(NOT(J484),"Not Ready",IF(OR(Q484="",Q484=0),"Noise",IF(Q484&lt;LowBaseThreshold,"Noise",IF(AND(R484&lt;=-OwnDecline,T484&lt;=-PeerGapThreshold),"Markdown Review",IF(AND(R484&gt;=ReorderUplift,U484&lt;&gt;"",U484&lt;=WeeksSupplyCap),"Reorder Candidate","Monitor"))))))))</f>
        <v/>
      </c>
      <c r="W484" s="18">
        <f>IF(B484="","",IF(NOT(I484),"INVALID_MASTER",IF(NOT(K484),"INCOMPLETE_SHELF_CYCLE",IF(N484&lt;MinHistory,"INSUFFICIENT_HISTORY",IF(NOT(J484),"INSUFFICIENT_IN_STOCK",IF(OR(Q484="",Q484=0),"NO_PRIOR_BASE",IF(Q484&lt;LowBaseThreshold,"LOW_BASE_NOISE",IF(V484="Markdown Review","MARKDOWN_PEER_GAP",IF(V484="Reorder Candidate","REORDER_UPLIFT_COVER","NO_MATERIAL_CHANGE"))))))))</f>
        <v/>
      </c>
      <c r="X484" s="18">
        <f>IF(V484="Markdown Review","Markdown support",IF(V484="Reorder Candidate","Second reorder",IF(V484="Monitor","Monitor",IF(V484="Noise","Hold / collect data",IF(V484="Not Ready","Not ready","")))))</f>
        <v/>
      </c>
      <c r="Y484" s="18">
        <f>IF(OR(R484="",T484=""),"",ABS(R484)+ABS(T484))</f>
        <v/>
      </c>
      <c r="Z484" s="21">
        <f>IF(OR(B484="",NOT(O484),R484=""),"",IF(ABS(R484)&gt;=MaterialThreshold,"Yes","No"))</f>
        <v/>
      </c>
      <c r="AA484" s="18">
        <f>IF(Z484&lt;&gt;"Yes","",IF(ABS(R484)&gt;=MaterialThreshold,IF(ABS(R484)&gt;=BroadShare,"Broad SKU movement","Store-concentrated movement"),""))</f>
        <v/>
      </c>
      <c r="AB484" s="18">
        <f>IF(O484,IF(COUNTIFS($O$5:O484,TRUE)&gt;0,COUNTIFS($O$5:O484,TRUE),0),0)</f>
        <v/>
      </c>
      <c r="AC484" s="18">
        <f>IF(V484="Markdown Review",1,IF(V484="Reorder Candidate",2,IF(V484="Monitor",3,IF(V484="Noise",4,IF(V484="Not Ready",5,99)))))</f>
        <v/>
      </c>
      <c r="AD484" s="18">
        <f>IF(O484,COUNTIFS($O$5:$O$504,TRUE,$AC$5:$AC$504,"&lt;"&amp;AC484)+COUNTIFS($O$5:O484,TRUE,$AC$5:AC484,AC484,$Y$5:Y484,"&gt;"&amp;Y484),0)</f>
        <v/>
      </c>
    </row>
    <row r="485">
      <c r="A485" s="17">
        <f>IF(COUNTA('Weekly Input'!A485:C485)=0,"",'Weekly Input'!B485&amp;"|"&amp;'Weekly Input'!C485&amp;"|"&amp;TEXT('Weekly Input'!A485,"yyyy-mm-dd"))</f>
        <v/>
      </c>
      <c r="B485" s="18">
        <f>'Weekly Input'!B485</f>
        <v/>
      </c>
      <c r="C485" s="18">
        <f>'Weekly Input'!C485</f>
        <v/>
      </c>
      <c r="D485" s="18">
        <f>IF(B485="","",IFERROR(INDEX('Master Data'!$B$6:$B$145,MATCH(B485,'Master Data'!$A$6:$A$145,0)),""))</f>
        <v/>
      </c>
      <c r="E485" s="18">
        <f>IF(C485="","",IFERROR(INDEX('Master Data'!$H$6:$H$13,MATCH(C485,'Master Data'!$F$6:$F$13,0)),""))</f>
        <v/>
      </c>
      <c r="F485" s="19">
        <f>'Weekly Input'!A485</f>
        <v/>
      </c>
      <c r="G485" s="19">
        <f>IF(B485="","",IFERROR(INDEX('Master Data'!$D$6:$D$145,MATCH(B485,'Master Data'!$A$6:$A$145,0)),""))</f>
        <v/>
      </c>
      <c r="H485" s="18">
        <f>IF(OR(F485="",G485=""),"",F485-G485)</f>
        <v/>
      </c>
      <c r="I485" s="18">
        <f>IF(B485="","",IF('Weekly Input'!J485="OK",TRUE,FALSE))</f>
        <v/>
      </c>
      <c r="J485" s="18">
        <f>IF(B485="","",'Weekly Input'!H485&gt;=MinInStockDays)</f>
        <v/>
      </c>
      <c r="K485" s="18">
        <f>IF(B485="","",H485&gt;=FullCycleMin)</f>
        <v/>
      </c>
      <c r="L485" s="18">
        <f>IF(B485="","",AND(I485,J485,K485,N485&gt;=MinHistory))</f>
        <v/>
      </c>
      <c r="M485" s="20">
        <f>IF(OR(B485="",'Weekly Input'!H485=0),"",'Weekly Input'!D485/'Weekly Input'!H485*7)</f>
        <v/>
      </c>
      <c r="N485" s="18">
        <f>IF(B485="","",COUNTIFS($B$5:$B$504,B485,$C$5:$C$504,C485,$I$5:$I$504,TRUE,$J$5:$J$504,TRUE,$K$5:$K$504,TRUE))</f>
        <v/>
      </c>
      <c r="O485" s="18">
        <f>IF(B485="","",AND(F485=AsOfWeek,AsOfWeek&lt;&gt;""))</f>
        <v/>
      </c>
      <c r="P485" s="20">
        <f>IF(OR(B485="",AsOfWeek=""),"",IFERROR(SUMIFS($M$5:$M$504,$B$5:$B$504,B485,$C$5:$C$504,C485,$L$5:$L$504,TRUE,$F$5:$F$504,"&gt;="&amp;AsOfWeek-7*(RecentWeeks-1),$F$5:$F$504,"&lt;="&amp;AsOfWeek),""))</f>
        <v/>
      </c>
      <c r="Q485" s="20">
        <f>IF(OR(B485="",AsOfWeek=""),"",IFERROR(SUMIFS($M$5:$M$504,$B$5:$B$504,B485,$C$5:$C$504,C485,$L$5:$L$504,TRUE,$F$5:$F$504,"&gt;="&amp;AsOfWeek-7*(RecentWeeks+PriorWeeks-1),$F$5:$F$504,"&lt;"&amp;AsOfWeek-7*(RecentWeeks-1)),""))</f>
        <v/>
      </c>
      <c r="R485" s="21">
        <f>IF(OR(P485="",Q485="",Q485=0),"",P485/Q485-1)</f>
        <v/>
      </c>
      <c r="S485" s="20">
        <f>IF(OR(C485="",AsOfWeek=""),"",IFERROR(AVERAGEIFS($M$5:$M$504,$C$5:$C$504,C485,$L$5:$L$504,TRUE,$F$5:$F$504,"&gt;="&amp;AsOfWeek-7*(RecentWeeks-1),$F$5:$F$504,"&lt;="&amp;AsOfWeek),""))</f>
        <v/>
      </c>
      <c r="T485" s="21">
        <f>IF(OR(P485="",S485=""),"",P485/S485-1)</f>
        <v/>
      </c>
      <c r="U485" s="22">
        <f>IF(OR(B485="",'Weekly Input'!G485="",P485="",P485=0),"",'Weekly Input'!G485/P485)</f>
        <v/>
      </c>
      <c r="V485" s="18">
        <f>IF(B485="","",IF(NOT(I485),"Not Ready",IF(NOT(K485),"Not Ready",IF(N485&lt;MinHistory,"Not Ready",IF(NOT(J485),"Not Ready",IF(OR(Q485="",Q485=0),"Noise",IF(Q485&lt;LowBaseThreshold,"Noise",IF(AND(R485&lt;=-OwnDecline,T485&lt;=-PeerGapThreshold),"Markdown Review",IF(AND(R485&gt;=ReorderUplift,U485&lt;&gt;"",U485&lt;=WeeksSupplyCap),"Reorder Candidate","Monitor"))))))))</f>
        <v/>
      </c>
      <c r="W485" s="18">
        <f>IF(B485="","",IF(NOT(I485),"INVALID_MASTER",IF(NOT(K485),"INCOMPLETE_SHELF_CYCLE",IF(N485&lt;MinHistory,"INSUFFICIENT_HISTORY",IF(NOT(J485),"INSUFFICIENT_IN_STOCK",IF(OR(Q485="",Q485=0),"NO_PRIOR_BASE",IF(Q485&lt;LowBaseThreshold,"LOW_BASE_NOISE",IF(V485="Markdown Review","MARKDOWN_PEER_GAP",IF(V485="Reorder Candidate","REORDER_UPLIFT_COVER","NO_MATERIAL_CHANGE"))))))))</f>
        <v/>
      </c>
      <c r="X485" s="18">
        <f>IF(V485="Markdown Review","Markdown support",IF(V485="Reorder Candidate","Second reorder",IF(V485="Monitor","Monitor",IF(V485="Noise","Hold / collect data",IF(V485="Not Ready","Not ready","")))))</f>
        <v/>
      </c>
      <c r="Y485" s="18">
        <f>IF(OR(R485="",T485=""),"",ABS(R485)+ABS(T485))</f>
        <v/>
      </c>
      <c r="Z485" s="21">
        <f>IF(OR(B485="",NOT(O485),R485=""),"",IF(ABS(R485)&gt;=MaterialThreshold,"Yes","No"))</f>
        <v/>
      </c>
      <c r="AA485" s="18">
        <f>IF(Z485&lt;&gt;"Yes","",IF(ABS(R485)&gt;=MaterialThreshold,IF(ABS(R485)&gt;=BroadShare,"Broad SKU movement","Store-concentrated movement"),""))</f>
        <v/>
      </c>
      <c r="AB485" s="18">
        <f>IF(O485,IF(COUNTIFS($O$5:O485,TRUE)&gt;0,COUNTIFS($O$5:O485,TRUE),0),0)</f>
        <v/>
      </c>
      <c r="AC485" s="18">
        <f>IF(V485="Markdown Review",1,IF(V485="Reorder Candidate",2,IF(V485="Monitor",3,IF(V485="Noise",4,IF(V485="Not Ready",5,99)))))</f>
        <v/>
      </c>
      <c r="AD485" s="18">
        <f>IF(O485,COUNTIFS($O$5:$O$504,TRUE,$AC$5:$AC$504,"&lt;"&amp;AC485)+COUNTIFS($O$5:O485,TRUE,$AC$5:AC485,AC485,$Y$5:Y485,"&gt;"&amp;Y485),0)</f>
        <v/>
      </c>
    </row>
    <row r="486">
      <c r="A486" s="17">
        <f>IF(COUNTA('Weekly Input'!A486:C486)=0,"",'Weekly Input'!B486&amp;"|"&amp;'Weekly Input'!C486&amp;"|"&amp;TEXT('Weekly Input'!A486,"yyyy-mm-dd"))</f>
        <v/>
      </c>
      <c r="B486" s="18">
        <f>'Weekly Input'!B486</f>
        <v/>
      </c>
      <c r="C486" s="18">
        <f>'Weekly Input'!C486</f>
        <v/>
      </c>
      <c r="D486" s="18">
        <f>IF(B486="","",IFERROR(INDEX('Master Data'!$B$6:$B$145,MATCH(B486,'Master Data'!$A$6:$A$145,0)),""))</f>
        <v/>
      </c>
      <c r="E486" s="18">
        <f>IF(C486="","",IFERROR(INDEX('Master Data'!$H$6:$H$13,MATCH(C486,'Master Data'!$F$6:$F$13,0)),""))</f>
        <v/>
      </c>
      <c r="F486" s="19">
        <f>'Weekly Input'!A486</f>
        <v/>
      </c>
      <c r="G486" s="19">
        <f>IF(B486="","",IFERROR(INDEX('Master Data'!$D$6:$D$145,MATCH(B486,'Master Data'!$A$6:$A$145,0)),""))</f>
        <v/>
      </c>
      <c r="H486" s="18">
        <f>IF(OR(F486="",G486=""),"",F486-G486)</f>
        <v/>
      </c>
      <c r="I486" s="18">
        <f>IF(B486="","",IF('Weekly Input'!J486="OK",TRUE,FALSE))</f>
        <v/>
      </c>
      <c r="J486" s="18">
        <f>IF(B486="","",'Weekly Input'!H486&gt;=MinInStockDays)</f>
        <v/>
      </c>
      <c r="K486" s="18">
        <f>IF(B486="","",H486&gt;=FullCycleMin)</f>
        <v/>
      </c>
      <c r="L486" s="18">
        <f>IF(B486="","",AND(I486,J486,K486,N486&gt;=MinHistory))</f>
        <v/>
      </c>
      <c r="M486" s="20">
        <f>IF(OR(B486="",'Weekly Input'!H486=0),"",'Weekly Input'!D486/'Weekly Input'!H486*7)</f>
        <v/>
      </c>
      <c r="N486" s="18">
        <f>IF(B486="","",COUNTIFS($B$5:$B$504,B486,$C$5:$C$504,C486,$I$5:$I$504,TRUE,$J$5:$J$504,TRUE,$K$5:$K$504,TRUE))</f>
        <v/>
      </c>
      <c r="O486" s="18">
        <f>IF(B486="","",AND(F486=AsOfWeek,AsOfWeek&lt;&gt;""))</f>
        <v/>
      </c>
      <c r="P486" s="20">
        <f>IF(OR(B486="",AsOfWeek=""),"",IFERROR(SUMIFS($M$5:$M$504,$B$5:$B$504,B486,$C$5:$C$504,C486,$L$5:$L$504,TRUE,$F$5:$F$504,"&gt;="&amp;AsOfWeek-7*(RecentWeeks-1),$F$5:$F$504,"&lt;="&amp;AsOfWeek),""))</f>
        <v/>
      </c>
      <c r="Q486" s="20">
        <f>IF(OR(B486="",AsOfWeek=""),"",IFERROR(SUMIFS($M$5:$M$504,$B$5:$B$504,B486,$C$5:$C$504,C486,$L$5:$L$504,TRUE,$F$5:$F$504,"&gt;="&amp;AsOfWeek-7*(RecentWeeks+PriorWeeks-1),$F$5:$F$504,"&lt;"&amp;AsOfWeek-7*(RecentWeeks-1)),""))</f>
        <v/>
      </c>
      <c r="R486" s="21">
        <f>IF(OR(P486="",Q486="",Q486=0),"",P486/Q486-1)</f>
        <v/>
      </c>
      <c r="S486" s="20">
        <f>IF(OR(C486="",AsOfWeek=""),"",IFERROR(AVERAGEIFS($M$5:$M$504,$C$5:$C$504,C486,$L$5:$L$504,TRUE,$F$5:$F$504,"&gt;="&amp;AsOfWeek-7*(RecentWeeks-1),$F$5:$F$504,"&lt;="&amp;AsOfWeek),""))</f>
        <v/>
      </c>
      <c r="T486" s="21">
        <f>IF(OR(P486="",S486=""),"",P486/S486-1)</f>
        <v/>
      </c>
      <c r="U486" s="22">
        <f>IF(OR(B486="",'Weekly Input'!G486="",P486="",P486=0),"",'Weekly Input'!G486/P486)</f>
        <v/>
      </c>
      <c r="V486" s="18">
        <f>IF(B486="","",IF(NOT(I486),"Not Ready",IF(NOT(K486),"Not Ready",IF(N486&lt;MinHistory,"Not Ready",IF(NOT(J486),"Not Ready",IF(OR(Q486="",Q486=0),"Noise",IF(Q486&lt;LowBaseThreshold,"Noise",IF(AND(R486&lt;=-OwnDecline,T486&lt;=-PeerGapThreshold),"Markdown Review",IF(AND(R486&gt;=ReorderUplift,U486&lt;&gt;"",U486&lt;=WeeksSupplyCap),"Reorder Candidate","Monitor"))))))))</f>
        <v/>
      </c>
      <c r="W486" s="18">
        <f>IF(B486="","",IF(NOT(I486),"INVALID_MASTER",IF(NOT(K486),"INCOMPLETE_SHELF_CYCLE",IF(N486&lt;MinHistory,"INSUFFICIENT_HISTORY",IF(NOT(J486),"INSUFFICIENT_IN_STOCK",IF(OR(Q486="",Q486=0),"NO_PRIOR_BASE",IF(Q486&lt;LowBaseThreshold,"LOW_BASE_NOISE",IF(V486="Markdown Review","MARKDOWN_PEER_GAP",IF(V486="Reorder Candidate","REORDER_UPLIFT_COVER","NO_MATERIAL_CHANGE"))))))))</f>
        <v/>
      </c>
      <c r="X486" s="18">
        <f>IF(V486="Markdown Review","Markdown support",IF(V486="Reorder Candidate","Second reorder",IF(V486="Monitor","Monitor",IF(V486="Noise","Hold / collect data",IF(V486="Not Ready","Not ready","")))))</f>
        <v/>
      </c>
      <c r="Y486" s="18">
        <f>IF(OR(R486="",T486=""),"",ABS(R486)+ABS(T486))</f>
        <v/>
      </c>
      <c r="Z486" s="21">
        <f>IF(OR(B486="",NOT(O486),R486=""),"",IF(ABS(R486)&gt;=MaterialThreshold,"Yes","No"))</f>
        <v/>
      </c>
      <c r="AA486" s="18">
        <f>IF(Z486&lt;&gt;"Yes","",IF(ABS(R486)&gt;=MaterialThreshold,IF(ABS(R486)&gt;=BroadShare,"Broad SKU movement","Store-concentrated movement"),""))</f>
        <v/>
      </c>
      <c r="AB486" s="18">
        <f>IF(O486,IF(COUNTIFS($O$5:O486,TRUE)&gt;0,COUNTIFS($O$5:O486,TRUE),0),0)</f>
        <v/>
      </c>
      <c r="AC486" s="18">
        <f>IF(V486="Markdown Review",1,IF(V486="Reorder Candidate",2,IF(V486="Monitor",3,IF(V486="Noise",4,IF(V486="Not Ready",5,99)))))</f>
        <v/>
      </c>
      <c r="AD486" s="18">
        <f>IF(O486,COUNTIFS($O$5:$O$504,TRUE,$AC$5:$AC$504,"&lt;"&amp;AC486)+COUNTIFS($O$5:O486,TRUE,$AC$5:AC486,AC486,$Y$5:Y486,"&gt;"&amp;Y486),0)</f>
        <v/>
      </c>
    </row>
    <row r="487">
      <c r="A487" s="17">
        <f>IF(COUNTA('Weekly Input'!A487:C487)=0,"",'Weekly Input'!B487&amp;"|"&amp;'Weekly Input'!C487&amp;"|"&amp;TEXT('Weekly Input'!A487,"yyyy-mm-dd"))</f>
        <v/>
      </c>
      <c r="B487" s="18">
        <f>'Weekly Input'!B487</f>
        <v/>
      </c>
      <c r="C487" s="18">
        <f>'Weekly Input'!C487</f>
        <v/>
      </c>
      <c r="D487" s="18">
        <f>IF(B487="","",IFERROR(INDEX('Master Data'!$B$6:$B$145,MATCH(B487,'Master Data'!$A$6:$A$145,0)),""))</f>
        <v/>
      </c>
      <c r="E487" s="18">
        <f>IF(C487="","",IFERROR(INDEX('Master Data'!$H$6:$H$13,MATCH(C487,'Master Data'!$F$6:$F$13,0)),""))</f>
        <v/>
      </c>
      <c r="F487" s="19">
        <f>'Weekly Input'!A487</f>
        <v/>
      </c>
      <c r="G487" s="19">
        <f>IF(B487="","",IFERROR(INDEX('Master Data'!$D$6:$D$145,MATCH(B487,'Master Data'!$A$6:$A$145,0)),""))</f>
        <v/>
      </c>
      <c r="H487" s="18">
        <f>IF(OR(F487="",G487=""),"",F487-G487)</f>
        <v/>
      </c>
      <c r="I487" s="18">
        <f>IF(B487="","",IF('Weekly Input'!J487="OK",TRUE,FALSE))</f>
        <v/>
      </c>
      <c r="J487" s="18">
        <f>IF(B487="","",'Weekly Input'!H487&gt;=MinInStockDays)</f>
        <v/>
      </c>
      <c r="K487" s="18">
        <f>IF(B487="","",H487&gt;=FullCycleMin)</f>
        <v/>
      </c>
      <c r="L487" s="18">
        <f>IF(B487="","",AND(I487,J487,K487,N487&gt;=MinHistory))</f>
        <v/>
      </c>
      <c r="M487" s="20">
        <f>IF(OR(B487="",'Weekly Input'!H487=0),"",'Weekly Input'!D487/'Weekly Input'!H487*7)</f>
        <v/>
      </c>
      <c r="N487" s="18">
        <f>IF(B487="","",COUNTIFS($B$5:$B$504,B487,$C$5:$C$504,C487,$I$5:$I$504,TRUE,$J$5:$J$504,TRUE,$K$5:$K$504,TRUE))</f>
        <v/>
      </c>
      <c r="O487" s="18">
        <f>IF(B487="","",AND(F487=AsOfWeek,AsOfWeek&lt;&gt;""))</f>
        <v/>
      </c>
      <c r="P487" s="20">
        <f>IF(OR(B487="",AsOfWeek=""),"",IFERROR(SUMIFS($M$5:$M$504,$B$5:$B$504,B487,$C$5:$C$504,C487,$L$5:$L$504,TRUE,$F$5:$F$504,"&gt;="&amp;AsOfWeek-7*(RecentWeeks-1),$F$5:$F$504,"&lt;="&amp;AsOfWeek),""))</f>
        <v/>
      </c>
      <c r="Q487" s="20">
        <f>IF(OR(B487="",AsOfWeek=""),"",IFERROR(SUMIFS($M$5:$M$504,$B$5:$B$504,B487,$C$5:$C$504,C487,$L$5:$L$504,TRUE,$F$5:$F$504,"&gt;="&amp;AsOfWeek-7*(RecentWeeks+PriorWeeks-1),$F$5:$F$504,"&lt;"&amp;AsOfWeek-7*(RecentWeeks-1)),""))</f>
        <v/>
      </c>
      <c r="R487" s="21">
        <f>IF(OR(P487="",Q487="",Q487=0),"",P487/Q487-1)</f>
        <v/>
      </c>
      <c r="S487" s="20">
        <f>IF(OR(C487="",AsOfWeek=""),"",IFERROR(AVERAGEIFS($M$5:$M$504,$C$5:$C$504,C487,$L$5:$L$504,TRUE,$F$5:$F$504,"&gt;="&amp;AsOfWeek-7*(RecentWeeks-1),$F$5:$F$504,"&lt;="&amp;AsOfWeek),""))</f>
        <v/>
      </c>
      <c r="T487" s="21">
        <f>IF(OR(P487="",S487=""),"",P487/S487-1)</f>
        <v/>
      </c>
      <c r="U487" s="22">
        <f>IF(OR(B487="",'Weekly Input'!G487="",P487="",P487=0),"",'Weekly Input'!G487/P487)</f>
        <v/>
      </c>
      <c r="V487" s="18">
        <f>IF(B487="","",IF(NOT(I487),"Not Ready",IF(NOT(K487),"Not Ready",IF(N487&lt;MinHistory,"Not Ready",IF(NOT(J487),"Not Ready",IF(OR(Q487="",Q487=0),"Noise",IF(Q487&lt;LowBaseThreshold,"Noise",IF(AND(R487&lt;=-OwnDecline,T487&lt;=-PeerGapThreshold),"Markdown Review",IF(AND(R487&gt;=ReorderUplift,U487&lt;&gt;"",U487&lt;=WeeksSupplyCap),"Reorder Candidate","Monitor"))))))))</f>
        <v/>
      </c>
      <c r="W487" s="18">
        <f>IF(B487="","",IF(NOT(I487),"INVALID_MASTER",IF(NOT(K487),"INCOMPLETE_SHELF_CYCLE",IF(N487&lt;MinHistory,"INSUFFICIENT_HISTORY",IF(NOT(J487),"INSUFFICIENT_IN_STOCK",IF(OR(Q487="",Q487=0),"NO_PRIOR_BASE",IF(Q487&lt;LowBaseThreshold,"LOW_BASE_NOISE",IF(V487="Markdown Review","MARKDOWN_PEER_GAP",IF(V487="Reorder Candidate","REORDER_UPLIFT_COVER","NO_MATERIAL_CHANGE"))))))))</f>
        <v/>
      </c>
      <c r="X487" s="18">
        <f>IF(V487="Markdown Review","Markdown support",IF(V487="Reorder Candidate","Second reorder",IF(V487="Monitor","Monitor",IF(V487="Noise","Hold / collect data",IF(V487="Not Ready","Not ready","")))))</f>
        <v/>
      </c>
      <c r="Y487" s="18">
        <f>IF(OR(R487="",T487=""),"",ABS(R487)+ABS(T487))</f>
        <v/>
      </c>
      <c r="Z487" s="21">
        <f>IF(OR(B487="",NOT(O487),R487=""),"",IF(ABS(R487)&gt;=MaterialThreshold,"Yes","No"))</f>
        <v/>
      </c>
      <c r="AA487" s="18">
        <f>IF(Z487&lt;&gt;"Yes","",IF(ABS(R487)&gt;=MaterialThreshold,IF(ABS(R487)&gt;=BroadShare,"Broad SKU movement","Store-concentrated movement"),""))</f>
        <v/>
      </c>
      <c r="AB487" s="18">
        <f>IF(O487,IF(COUNTIFS($O$5:O487,TRUE)&gt;0,COUNTIFS($O$5:O487,TRUE),0),0)</f>
        <v/>
      </c>
      <c r="AC487" s="18">
        <f>IF(V487="Markdown Review",1,IF(V487="Reorder Candidate",2,IF(V487="Monitor",3,IF(V487="Noise",4,IF(V487="Not Ready",5,99)))))</f>
        <v/>
      </c>
      <c r="AD487" s="18">
        <f>IF(O487,COUNTIFS($O$5:$O$504,TRUE,$AC$5:$AC$504,"&lt;"&amp;AC487)+COUNTIFS($O$5:O487,TRUE,$AC$5:AC487,AC487,$Y$5:Y487,"&gt;"&amp;Y487),0)</f>
        <v/>
      </c>
    </row>
    <row r="488">
      <c r="A488" s="17">
        <f>IF(COUNTA('Weekly Input'!A488:C488)=0,"",'Weekly Input'!B488&amp;"|"&amp;'Weekly Input'!C488&amp;"|"&amp;TEXT('Weekly Input'!A488,"yyyy-mm-dd"))</f>
        <v/>
      </c>
      <c r="B488" s="18">
        <f>'Weekly Input'!B488</f>
        <v/>
      </c>
      <c r="C488" s="18">
        <f>'Weekly Input'!C488</f>
        <v/>
      </c>
      <c r="D488" s="18">
        <f>IF(B488="","",IFERROR(INDEX('Master Data'!$B$6:$B$145,MATCH(B488,'Master Data'!$A$6:$A$145,0)),""))</f>
        <v/>
      </c>
      <c r="E488" s="18">
        <f>IF(C488="","",IFERROR(INDEX('Master Data'!$H$6:$H$13,MATCH(C488,'Master Data'!$F$6:$F$13,0)),""))</f>
        <v/>
      </c>
      <c r="F488" s="19">
        <f>'Weekly Input'!A488</f>
        <v/>
      </c>
      <c r="G488" s="19">
        <f>IF(B488="","",IFERROR(INDEX('Master Data'!$D$6:$D$145,MATCH(B488,'Master Data'!$A$6:$A$145,0)),""))</f>
        <v/>
      </c>
      <c r="H488" s="18">
        <f>IF(OR(F488="",G488=""),"",F488-G488)</f>
        <v/>
      </c>
      <c r="I488" s="18">
        <f>IF(B488="","",IF('Weekly Input'!J488="OK",TRUE,FALSE))</f>
        <v/>
      </c>
      <c r="J488" s="18">
        <f>IF(B488="","",'Weekly Input'!H488&gt;=MinInStockDays)</f>
        <v/>
      </c>
      <c r="K488" s="18">
        <f>IF(B488="","",H488&gt;=FullCycleMin)</f>
        <v/>
      </c>
      <c r="L488" s="18">
        <f>IF(B488="","",AND(I488,J488,K488,N488&gt;=MinHistory))</f>
        <v/>
      </c>
      <c r="M488" s="20">
        <f>IF(OR(B488="",'Weekly Input'!H488=0),"",'Weekly Input'!D488/'Weekly Input'!H488*7)</f>
        <v/>
      </c>
      <c r="N488" s="18">
        <f>IF(B488="","",COUNTIFS($B$5:$B$504,B488,$C$5:$C$504,C488,$I$5:$I$504,TRUE,$J$5:$J$504,TRUE,$K$5:$K$504,TRUE))</f>
        <v/>
      </c>
      <c r="O488" s="18">
        <f>IF(B488="","",AND(F488=AsOfWeek,AsOfWeek&lt;&gt;""))</f>
        <v/>
      </c>
      <c r="P488" s="20">
        <f>IF(OR(B488="",AsOfWeek=""),"",IFERROR(SUMIFS($M$5:$M$504,$B$5:$B$504,B488,$C$5:$C$504,C488,$L$5:$L$504,TRUE,$F$5:$F$504,"&gt;="&amp;AsOfWeek-7*(RecentWeeks-1),$F$5:$F$504,"&lt;="&amp;AsOfWeek),""))</f>
        <v/>
      </c>
      <c r="Q488" s="20">
        <f>IF(OR(B488="",AsOfWeek=""),"",IFERROR(SUMIFS($M$5:$M$504,$B$5:$B$504,B488,$C$5:$C$504,C488,$L$5:$L$504,TRUE,$F$5:$F$504,"&gt;="&amp;AsOfWeek-7*(RecentWeeks+PriorWeeks-1),$F$5:$F$504,"&lt;"&amp;AsOfWeek-7*(RecentWeeks-1)),""))</f>
        <v/>
      </c>
      <c r="R488" s="21">
        <f>IF(OR(P488="",Q488="",Q488=0),"",P488/Q488-1)</f>
        <v/>
      </c>
      <c r="S488" s="20">
        <f>IF(OR(C488="",AsOfWeek=""),"",IFERROR(AVERAGEIFS($M$5:$M$504,$C$5:$C$504,C488,$L$5:$L$504,TRUE,$F$5:$F$504,"&gt;="&amp;AsOfWeek-7*(RecentWeeks-1),$F$5:$F$504,"&lt;="&amp;AsOfWeek),""))</f>
        <v/>
      </c>
      <c r="T488" s="21">
        <f>IF(OR(P488="",S488=""),"",P488/S488-1)</f>
        <v/>
      </c>
      <c r="U488" s="22">
        <f>IF(OR(B488="",'Weekly Input'!G488="",P488="",P488=0),"",'Weekly Input'!G488/P488)</f>
        <v/>
      </c>
      <c r="V488" s="18">
        <f>IF(B488="","",IF(NOT(I488),"Not Ready",IF(NOT(K488),"Not Ready",IF(N488&lt;MinHistory,"Not Ready",IF(NOT(J488),"Not Ready",IF(OR(Q488="",Q488=0),"Noise",IF(Q488&lt;LowBaseThreshold,"Noise",IF(AND(R488&lt;=-OwnDecline,T488&lt;=-PeerGapThreshold),"Markdown Review",IF(AND(R488&gt;=ReorderUplift,U488&lt;&gt;"",U488&lt;=WeeksSupplyCap),"Reorder Candidate","Monitor"))))))))</f>
        <v/>
      </c>
      <c r="W488" s="18">
        <f>IF(B488="","",IF(NOT(I488),"INVALID_MASTER",IF(NOT(K488),"INCOMPLETE_SHELF_CYCLE",IF(N488&lt;MinHistory,"INSUFFICIENT_HISTORY",IF(NOT(J488),"INSUFFICIENT_IN_STOCK",IF(OR(Q488="",Q488=0),"NO_PRIOR_BASE",IF(Q488&lt;LowBaseThreshold,"LOW_BASE_NOISE",IF(V488="Markdown Review","MARKDOWN_PEER_GAP",IF(V488="Reorder Candidate","REORDER_UPLIFT_COVER","NO_MATERIAL_CHANGE"))))))))</f>
        <v/>
      </c>
      <c r="X488" s="18">
        <f>IF(V488="Markdown Review","Markdown support",IF(V488="Reorder Candidate","Second reorder",IF(V488="Monitor","Monitor",IF(V488="Noise","Hold / collect data",IF(V488="Not Ready","Not ready","")))))</f>
        <v/>
      </c>
      <c r="Y488" s="18">
        <f>IF(OR(R488="",T488=""),"",ABS(R488)+ABS(T488))</f>
        <v/>
      </c>
      <c r="Z488" s="21">
        <f>IF(OR(B488="",NOT(O488),R488=""),"",IF(ABS(R488)&gt;=MaterialThreshold,"Yes","No"))</f>
        <v/>
      </c>
      <c r="AA488" s="18">
        <f>IF(Z488&lt;&gt;"Yes","",IF(ABS(R488)&gt;=MaterialThreshold,IF(ABS(R488)&gt;=BroadShare,"Broad SKU movement","Store-concentrated movement"),""))</f>
        <v/>
      </c>
      <c r="AB488" s="18">
        <f>IF(O488,IF(COUNTIFS($O$5:O488,TRUE)&gt;0,COUNTIFS($O$5:O488,TRUE),0),0)</f>
        <v/>
      </c>
      <c r="AC488" s="18">
        <f>IF(V488="Markdown Review",1,IF(V488="Reorder Candidate",2,IF(V488="Monitor",3,IF(V488="Noise",4,IF(V488="Not Ready",5,99)))))</f>
        <v/>
      </c>
      <c r="AD488" s="18">
        <f>IF(O488,COUNTIFS($O$5:$O$504,TRUE,$AC$5:$AC$504,"&lt;"&amp;AC488)+COUNTIFS($O$5:O488,TRUE,$AC$5:AC488,AC488,$Y$5:Y488,"&gt;"&amp;Y488),0)</f>
        <v/>
      </c>
    </row>
    <row r="489">
      <c r="A489" s="17">
        <f>IF(COUNTA('Weekly Input'!A489:C489)=0,"",'Weekly Input'!B489&amp;"|"&amp;'Weekly Input'!C489&amp;"|"&amp;TEXT('Weekly Input'!A489,"yyyy-mm-dd"))</f>
        <v/>
      </c>
      <c r="B489" s="18">
        <f>'Weekly Input'!B489</f>
        <v/>
      </c>
      <c r="C489" s="18">
        <f>'Weekly Input'!C489</f>
        <v/>
      </c>
      <c r="D489" s="18">
        <f>IF(B489="","",IFERROR(INDEX('Master Data'!$B$6:$B$145,MATCH(B489,'Master Data'!$A$6:$A$145,0)),""))</f>
        <v/>
      </c>
      <c r="E489" s="18">
        <f>IF(C489="","",IFERROR(INDEX('Master Data'!$H$6:$H$13,MATCH(C489,'Master Data'!$F$6:$F$13,0)),""))</f>
        <v/>
      </c>
      <c r="F489" s="19">
        <f>'Weekly Input'!A489</f>
        <v/>
      </c>
      <c r="G489" s="19">
        <f>IF(B489="","",IFERROR(INDEX('Master Data'!$D$6:$D$145,MATCH(B489,'Master Data'!$A$6:$A$145,0)),""))</f>
        <v/>
      </c>
      <c r="H489" s="18">
        <f>IF(OR(F489="",G489=""),"",F489-G489)</f>
        <v/>
      </c>
      <c r="I489" s="18">
        <f>IF(B489="","",IF('Weekly Input'!J489="OK",TRUE,FALSE))</f>
        <v/>
      </c>
      <c r="J489" s="18">
        <f>IF(B489="","",'Weekly Input'!H489&gt;=MinInStockDays)</f>
        <v/>
      </c>
      <c r="K489" s="18">
        <f>IF(B489="","",H489&gt;=FullCycleMin)</f>
        <v/>
      </c>
      <c r="L489" s="18">
        <f>IF(B489="","",AND(I489,J489,K489,N489&gt;=MinHistory))</f>
        <v/>
      </c>
      <c r="M489" s="20">
        <f>IF(OR(B489="",'Weekly Input'!H489=0),"",'Weekly Input'!D489/'Weekly Input'!H489*7)</f>
        <v/>
      </c>
      <c r="N489" s="18">
        <f>IF(B489="","",COUNTIFS($B$5:$B$504,B489,$C$5:$C$504,C489,$I$5:$I$504,TRUE,$J$5:$J$504,TRUE,$K$5:$K$504,TRUE))</f>
        <v/>
      </c>
      <c r="O489" s="18">
        <f>IF(B489="","",AND(F489=AsOfWeek,AsOfWeek&lt;&gt;""))</f>
        <v/>
      </c>
      <c r="P489" s="20">
        <f>IF(OR(B489="",AsOfWeek=""),"",IFERROR(SUMIFS($M$5:$M$504,$B$5:$B$504,B489,$C$5:$C$504,C489,$L$5:$L$504,TRUE,$F$5:$F$504,"&gt;="&amp;AsOfWeek-7*(RecentWeeks-1),$F$5:$F$504,"&lt;="&amp;AsOfWeek),""))</f>
        <v/>
      </c>
      <c r="Q489" s="20">
        <f>IF(OR(B489="",AsOfWeek=""),"",IFERROR(SUMIFS($M$5:$M$504,$B$5:$B$504,B489,$C$5:$C$504,C489,$L$5:$L$504,TRUE,$F$5:$F$504,"&gt;="&amp;AsOfWeek-7*(RecentWeeks+PriorWeeks-1),$F$5:$F$504,"&lt;"&amp;AsOfWeek-7*(RecentWeeks-1)),""))</f>
        <v/>
      </c>
      <c r="R489" s="21">
        <f>IF(OR(P489="",Q489="",Q489=0),"",P489/Q489-1)</f>
        <v/>
      </c>
      <c r="S489" s="20">
        <f>IF(OR(C489="",AsOfWeek=""),"",IFERROR(AVERAGEIFS($M$5:$M$504,$C$5:$C$504,C489,$L$5:$L$504,TRUE,$F$5:$F$504,"&gt;="&amp;AsOfWeek-7*(RecentWeeks-1),$F$5:$F$504,"&lt;="&amp;AsOfWeek),""))</f>
        <v/>
      </c>
      <c r="T489" s="21">
        <f>IF(OR(P489="",S489=""),"",P489/S489-1)</f>
        <v/>
      </c>
      <c r="U489" s="22">
        <f>IF(OR(B489="",'Weekly Input'!G489="",P489="",P489=0),"",'Weekly Input'!G489/P489)</f>
        <v/>
      </c>
      <c r="V489" s="18">
        <f>IF(B489="","",IF(NOT(I489),"Not Ready",IF(NOT(K489),"Not Ready",IF(N489&lt;MinHistory,"Not Ready",IF(NOT(J489),"Not Ready",IF(OR(Q489="",Q489=0),"Noise",IF(Q489&lt;LowBaseThreshold,"Noise",IF(AND(R489&lt;=-OwnDecline,T489&lt;=-PeerGapThreshold),"Markdown Review",IF(AND(R489&gt;=ReorderUplift,U489&lt;&gt;"",U489&lt;=WeeksSupplyCap),"Reorder Candidate","Monitor"))))))))</f>
        <v/>
      </c>
      <c r="W489" s="18">
        <f>IF(B489="","",IF(NOT(I489),"INVALID_MASTER",IF(NOT(K489),"INCOMPLETE_SHELF_CYCLE",IF(N489&lt;MinHistory,"INSUFFICIENT_HISTORY",IF(NOT(J489),"INSUFFICIENT_IN_STOCK",IF(OR(Q489="",Q489=0),"NO_PRIOR_BASE",IF(Q489&lt;LowBaseThreshold,"LOW_BASE_NOISE",IF(V489="Markdown Review","MARKDOWN_PEER_GAP",IF(V489="Reorder Candidate","REORDER_UPLIFT_COVER","NO_MATERIAL_CHANGE"))))))))</f>
        <v/>
      </c>
      <c r="X489" s="18">
        <f>IF(V489="Markdown Review","Markdown support",IF(V489="Reorder Candidate","Second reorder",IF(V489="Monitor","Monitor",IF(V489="Noise","Hold / collect data",IF(V489="Not Ready","Not ready","")))))</f>
        <v/>
      </c>
      <c r="Y489" s="18">
        <f>IF(OR(R489="",T489=""),"",ABS(R489)+ABS(T489))</f>
        <v/>
      </c>
      <c r="Z489" s="21">
        <f>IF(OR(B489="",NOT(O489),R489=""),"",IF(ABS(R489)&gt;=MaterialThreshold,"Yes","No"))</f>
        <v/>
      </c>
      <c r="AA489" s="18">
        <f>IF(Z489&lt;&gt;"Yes","",IF(ABS(R489)&gt;=MaterialThreshold,IF(ABS(R489)&gt;=BroadShare,"Broad SKU movement","Store-concentrated movement"),""))</f>
        <v/>
      </c>
      <c r="AB489" s="18">
        <f>IF(O489,IF(COUNTIFS($O$5:O489,TRUE)&gt;0,COUNTIFS($O$5:O489,TRUE),0),0)</f>
        <v/>
      </c>
      <c r="AC489" s="18">
        <f>IF(V489="Markdown Review",1,IF(V489="Reorder Candidate",2,IF(V489="Monitor",3,IF(V489="Noise",4,IF(V489="Not Ready",5,99)))))</f>
        <v/>
      </c>
      <c r="AD489" s="18">
        <f>IF(O489,COUNTIFS($O$5:$O$504,TRUE,$AC$5:$AC$504,"&lt;"&amp;AC489)+COUNTIFS($O$5:O489,TRUE,$AC$5:AC489,AC489,$Y$5:Y489,"&gt;"&amp;Y489),0)</f>
        <v/>
      </c>
    </row>
    <row r="490">
      <c r="A490" s="17">
        <f>IF(COUNTA('Weekly Input'!A490:C490)=0,"",'Weekly Input'!B490&amp;"|"&amp;'Weekly Input'!C490&amp;"|"&amp;TEXT('Weekly Input'!A490,"yyyy-mm-dd"))</f>
        <v/>
      </c>
      <c r="B490" s="18">
        <f>'Weekly Input'!B490</f>
        <v/>
      </c>
      <c r="C490" s="18">
        <f>'Weekly Input'!C490</f>
        <v/>
      </c>
      <c r="D490" s="18">
        <f>IF(B490="","",IFERROR(INDEX('Master Data'!$B$6:$B$145,MATCH(B490,'Master Data'!$A$6:$A$145,0)),""))</f>
        <v/>
      </c>
      <c r="E490" s="18">
        <f>IF(C490="","",IFERROR(INDEX('Master Data'!$H$6:$H$13,MATCH(C490,'Master Data'!$F$6:$F$13,0)),""))</f>
        <v/>
      </c>
      <c r="F490" s="19">
        <f>'Weekly Input'!A490</f>
        <v/>
      </c>
      <c r="G490" s="19">
        <f>IF(B490="","",IFERROR(INDEX('Master Data'!$D$6:$D$145,MATCH(B490,'Master Data'!$A$6:$A$145,0)),""))</f>
        <v/>
      </c>
      <c r="H490" s="18">
        <f>IF(OR(F490="",G490=""),"",F490-G490)</f>
        <v/>
      </c>
      <c r="I490" s="18">
        <f>IF(B490="","",IF('Weekly Input'!J490="OK",TRUE,FALSE))</f>
        <v/>
      </c>
      <c r="J490" s="18">
        <f>IF(B490="","",'Weekly Input'!H490&gt;=MinInStockDays)</f>
        <v/>
      </c>
      <c r="K490" s="18">
        <f>IF(B490="","",H490&gt;=FullCycleMin)</f>
        <v/>
      </c>
      <c r="L490" s="18">
        <f>IF(B490="","",AND(I490,J490,K490,N490&gt;=MinHistory))</f>
        <v/>
      </c>
      <c r="M490" s="20">
        <f>IF(OR(B490="",'Weekly Input'!H490=0),"",'Weekly Input'!D490/'Weekly Input'!H490*7)</f>
        <v/>
      </c>
      <c r="N490" s="18">
        <f>IF(B490="","",COUNTIFS($B$5:$B$504,B490,$C$5:$C$504,C490,$I$5:$I$504,TRUE,$J$5:$J$504,TRUE,$K$5:$K$504,TRUE))</f>
        <v/>
      </c>
      <c r="O490" s="18">
        <f>IF(B490="","",AND(F490=AsOfWeek,AsOfWeek&lt;&gt;""))</f>
        <v/>
      </c>
      <c r="P490" s="20">
        <f>IF(OR(B490="",AsOfWeek=""),"",IFERROR(SUMIFS($M$5:$M$504,$B$5:$B$504,B490,$C$5:$C$504,C490,$L$5:$L$504,TRUE,$F$5:$F$504,"&gt;="&amp;AsOfWeek-7*(RecentWeeks-1),$F$5:$F$504,"&lt;="&amp;AsOfWeek),""))</f>
        <v/>
      </c>
      <c r="Q490" s="20">
        <f>IF(OR(B490="",AsOfWeek=""),"",IFERROR(SUMIFS($M$5:$M$504,$B$5:$B$504,B490,$C$5:$C$504,C490,$L$5:$L$504,TRUE,$F$5:$F$504,"&gt;="&amp;AsOfWeek-7*(RecentWeeks+PriorWeeks-1),$F$5:$F$504,"&lt;"&amp;AsOfWeek-7*(RecentWeeks-1)),""))</f>
        <v/>
      </c>
      <c r="R490" s="21">
        <f>IF(OR(P490="",Q490="",Q490=0),"",P490/Q490-1)</f>
        <v/>
      </c>
      <c r="S490" s="20">
        <f>IF(OR(C490="",AsOfWeek=""),"",IFERROR(AVERAGEIFS($M$5:$M$504,$C$5:$C$504,C490,$L$5:$L$504,TRUE,$F$5:$F$504,"&gt;="&amp;AsOfWeek-7*(RecentWeeks-1),$F$5:$F$504,"&lt;="&amp;AsOfWeek),""))</f>
        <v/>
      </c>
      <c r="T490" s="21">
        <f>IF(OR(P490="",S490=""),"",P490/S490-1)</f>
        <v/>
      </c>
      <c r="U490" s="22">
        <f>IF(OR(B490="",'Weekly Input'!G490="",P490="",P490=0),"",'Weekly Input'!G490/P490)</f>
        <v/>
      </c>
      <c r="V490" s="18">
        <f>IF(B490="","",IF(NOT(I490),"Not Ready",IF(NOT(K490),"Not Ready",IF(N490&lt;MinHistory,"Not Ready",IF(NOT(J490),"Not Ready",IF(OR(Q490="",Q490=0),"Noise",IF(Q490&lt;LowBaseThreshold,"Noise",IF(AND(R490&lt;=-OwnDecline,T490&lt;=-PeerGapThreshold),"Markdown Review",IF(AND(R490&gt;=ReorderUplift,U490&lt;&gt;"",U490&lt;=WeeksSupplyCap),"Reorder Candidate","Monitor"))))))))</f>
        <v/>
      </c>
      <c r="W490" s="18">
        <f>IF(B490="","",IF(NOT(I490),"INVALID_MASTER",IF(NOT(K490),"INCOMPLETE_SHELF_CYCLE",IF(N490&lt;MinHistory,"INSUFFICIENT_HISTORY",IF(NOT(J490),"INSUFFICIENT_IN_STOCK",IF(OR(Q490="",Q490=0),"NO_PRIOR_BASE",IF(Q490&lt;LowBaseThreshold,"LOW_BASE_NOISE",IF(V490="Markdown Review","MARKDOWN_PEER_GAP",IF(V490="Reorder Candidate","REORDER_UPLIFT_COVER","NO_MATERIAL_CHANGE"))))))))</f>
        <v/>
      </c>
      <c r="X490" s="18">
        <f>IF(V490="Markdown Review","Markdown support",IF(V490="Reorder Candidate","Second reorder",IF(V490="Monitor","Monitor",IF(V490="Noise","Hold / collect data",IF(V490="Not Ready","Not ready","")))))</f>
        <v/>
      </c>
      <c r="Y490" s="18">
        <f>IF(OR(R490="",T490=""),"",ABS(R490)+ABS(T490))</f>
        <v/>
      </c>
      <c r="Z490" s="21">
        <f>IF(OR(B490="",NOT(O490),R490=""),"",IF(ABS(R490)&gt;=MaterialThreshold,"Yes","No"))</f>
        <v/>
      </c>
      <c r="AA490" s="18">
        <f>IF(Z490&lt;&gt;"Yes","",IF(ABS(R490)&gt;=MaterialThreshold,IF(ABS(R490)&gt;=BroadShare,"Broad SKU movement","Store-concentrated movement"),""))</f>
        <v/>
      </c>
      <c r="AB490" s="18">
        <f>IF(O490,IF(COUNTIFS($O$5:O490,TRUE)&gt;0,COUNTIFS($O$5:O490,TRUE),0),0)</f>
        <v/>
      </c>
      <c r="AC490" s="18">
        <f>IF(V490="Markdown Review",1,IF(V490="Reorder Candidate",2,IF(V490="Monitor",3,IF(V490="Noise",4,IF(V490="Not Ready",5,99)))))</f>
        <v/>
      </c>
      <c r="AD490" s="18">
        <f>IF(O490,COUNTIFS($O$5:$O$504,TRUE,$AC$5:$AC$504,"&lt;"&amp;AC490)+COUNTIFS($O$5:O490,TRUE,$AC$5:AC490,AC490,$Y$5:Y490,"&gt;"&amp;Y490),0)</f>
        <v/>
      </c>
    </row>
    <row r="491">
      <c r="A491" s="17">
        <f>IF(COUNTA('Weekly Input'!A491:C491)=0,"",'Weekly Input'!B491&amp;"|"&amp;'Weekly Input'!C491&amp;"|"&amp;TEXT('Weekly Input'!A491,"yyyy-mm-dd"))</f>
        <v/>
      </c>
      <c r="B491" s="18">
        <f>'Weekly Input'!B491</f>
        <v/>
      </c>
      <c r="C491" s="18">
        <f>'Weekly Input'!C491</f>
        <v/>
      </c>
      <c r="D491" s="18">
        <f>IF(B491="","",IFERROR(INDEX('Master Data'!$B$6:$B$145,MATCH(B491,'Master Data'!$A$6:$A$145,0)),""))</f>
        <v/>
      </c>
      <c r="E491" s="18">
        <f>IF(C491="","",IFERROR(INDEX('Master Data'!$H$6:$H$13,MATCH(C491,'Master Data'!$F$6:$F$13,0)),""))</f>
        <v/>
      </c>
      <c r="F491" s="19">
        <f>'Weekly Input'!A491</f>
        <v/>
      </c>
      <c r="G491" s="19">
        <f>IF(B491="","",IFERROR(INDEX('Master Data'!$D$6:$D$145,MATCH(B491,'Master Data'!$A$6:$A$145,0)),""))</f>
        <v/>
      </c>
      <c r="H491" s="18">
        <f>IF(OR(F491="",G491=""),"",F491-G491)</f>
        <v/>
      </c>
      <c r="I491" s="18">
        <f>IF(B491="","",IF('Weekly Input'!J491="OK",TRUE,FALSE))</f>
        <v/>
      </c>
      <c r="J491" s="18">
        <f>IF(B491="","",'Weekly Input'!H491&gt;=MinInStockDays)</f>
        <v/>
      </c>
      <c r="K491" s="18">
        <f>IF(B491="","",H491&gt;=FullCycleMin)</f>
        <v/>
      </c>
      <c r="L491" s="18">
        <f>IF(B491="","",AND(I491,J491,K491,N491&gt;=MinHistory))</f>
        <v/>
      </c>
      <c r="M491" s="20">
        <f>IF(OR(B491="",'Weekly Input'!H491=0),"",'Weekly Input'!D491/'Weekly Input'!H491*7)</f>
        <v/>
      </c>
      <c r="N491" s="18">
        <f>IF(B491="","",COUNTIFS($B$5:$B$504,B491,$C$5:$C$504,C491,$I$5:$I$504,TRUE,$J$5:$J$504,TRUE,$K$5:$K$504,TRUE))</f>
        <v/>
      </c>
      <c r="O491" s="18">
        <f>IF(B491="","",AND(F491=AsOfWeek,AsOfWeek&lt;&gt;""))</f>
        <v/>
      </c>
      <c r="P491" s="20">
        <f>IF(OR(B491="",AsOfWeek=""),"",IFERROR(SUMIFS($M$5:$M$504,$B$5:$B$504,B491,$C$5:$C$504,C491,$L$5:$L$504,TRUE,$F$5:$F$504,"&gt;="&amp;AsOfWeek-7*(RecentWeeks-1),$F$5:$F$504,"&lt;="&amp;AsOfWeek),""))</f>
        <v/>
      </c>
      <c r="Q491" s="20">
        <f>IF(OR(B491="",AsOfWeek=""),"",IFERROR(SUMIFS($M$5:$M$504,$B$5:$B$504,B491,$C$5:$C$504,C491,$L$5:$L$504,TRUE,$F$5:$F$504,"&gt;="&amp;AsOfWeek-7*(RecentWeeks+PriorWeeks-1),$F$5:$F$504,"&lt;"&amp;AsOfWeek-7*(RecentWeeks-1)),""))</f>
        <v/>
      </c>
      <c r="R491" s="21">
        <f>IF(OR(P491="",Q491="",Q491=0),"",P491/Q491-1)</f>
        <v/>
      </c>
      <c r="S491" s="20">
        <f>IF(OR(C491="",AsOfWeek=""),"",IFERROR(AVERAGEIFS($M$5:$M$504,$C$5:$C$504,C491,$L$5:$L$504,TRUE,$F$5:$F$504,"&gt;="&amp;AsOfWeek-7*(RecentWeeks-1),$F$5:$F$504,"&lt;="&amp;AsOfWeek),""))</f>
        <v/>
      </c>
      <c r="T491" s="21">
        <f>IF(OR(P491="",S491=""),"",P491/S491-1)</f>
        <v/>
      </c>
      <c r="U491" s="22">
        <f>IF(OR(B491="",'Weekly Input'!G491="",P491="",P491=0),"",'Weekly Input'!G491/P491)</f>
        <v/>
      </c>
      <c r="V491" s="18">
        <f>IF(B491="","",IF(NOT(I491),"Not Ready",IF(NOT(K491),"Not Ready",IF(N491&lt;MinHistory,"Not Ready",IF(NOT(J491),"Not Ready",IF(OR(Q491="",Q491=0),"Noise",IF(Q491&lt;LowBaseThreshold,"Noise",IF(AND(R491&lt;=-OwnDecline,T491&lt;=-PeerGapThreshold),"Markdown Review",IF(AND(R491&gt;=ReorderUplift,U491&lt;&gt;"",U491&lt;=WeeksSupplyCap),"Reorder Candidate","Monitor"))))))))</f>
        <v/>
      </c>
      <c r="W491" s="18">
        <f>IF(B491="","",IF(NOT(I491),"INVALID_MASTER",IF(NOT(K491),"INCOMPLETE_SHELF_CYCLE",IF(N491&lt;MinHistory,"INSUFFICIENT_HISTORY",IF(NOT(J491),"INSUFFICIENT_IN_STOCK",IF(OR(Q491="",Q491=0),"NO_PRIOR_BASE",IF(Q491&lt;LowBaseThreshold,"LOW_BASE_NOISE",IF(V491="Markdown Review","MARKDOWN_PEER_GAP",IF(V491="Reorder Candidate","REORDER_UPLIFT_COVER","NO_MATERIAL_CHANGE"))))))))</f>
        <v/>
      </c>
      <c r="X491" s="18">
        <f>IF(V491="Markdown Review","Markdown support",IF(V491="Reorder Candidate","Second reorder",IF(V491="Monitor","Monitor",IF(V491="Noise","Hold / collect data",IF(V491="Not Ready","Not ready","")))))</f>
        <v/>
      </c>
      <c r="Y491" s="18">
        <f>IF(OR(R491="",T491=""),"",ABS(R491)+ABS(T491))</f>
        <v/>
      </c>
      <c r="Z491" s="21">
        <f>IF(OR(B491="",NOT(O491),R491=""),"",IF(ABS(R491)&gt;=MaterialThreshold,"Yes","No"))</f>
        <v/>
      </c>
      <c r="AA491" s="18">
        <f>IF(Z491&lt;&gt;"Yes","",IF(ABS(R491)&gt;=MaterialThreshold,IF(ABS(R491)&gt;=BroadShare,"Broad SKU movement","Store-concentrated movement"),""))</f>
        <v/>
      </c>
      <c r="AB491" s="18">
        <f>IF(O491,IF(COUNTIFS($O$5:O491,TRUE)&gt;0,COUNTIFS($O$5:O491,TRUE),0),0)</f>
        <v/>
      </c>
      <c r="AC491" s="18">
        <f>IF(V491="Markdown Review",1,IF(V491="Reorder Candidate",2,IF(V491="Monitor",3,IF(V491="Noise",4,IF(V491="Not Ready",5,99)))))</f>
        <v/>
      </c>
      <c r="AD491" s="18">
        <f>IF(O491,COUNTIFS($O$5:$O$504,TRUE,$AC$5:$AC$504,"&lt;"&amp;AC491)+COUNTIFS($O$5:O491,TRUE,$AC$5:AC491,AC491,$Y$5:Y491,"&gt;"&amp;Y491),0)</f>
        <v/>
      </c>
    </row>
    <row r="492">
      <c r="A492" s="17">
        <f>IF(COUNTA('Weekly Input'!A492:C492)=0,"",'Weekly Input'!B492&amp;"|"&amp;'Weekly Input'!C492&amp;"|"&amp;TEXT('Weekly Input'!A492,"yyyy-mm-dd"))</f>
        <v/>
      </c>
      <c r="B492" s="18">
        <f>'Weekly Input'!B492</f>
        <v/>
      </c>
      <c r="C492" s="18">
        <f>'Weekly Input'!C492</f>
        <v/>
      </c>
      <c r="D492" s="18">
        <f>IF(B492="","",IFERROR(INDEX('Master Data'!$B$6:$B$145,MATCH(B492,'Master Data'!$A$6:$A$145,0)),""))</f>
        <v/>
      </c>
      <c r="E492" s="18">
        <f>IF(C492="","",IFERROR(INDEX('Master Data'!$H$6:$H$13,MATCH(C492,'Master Data'!$F$6:$F$13,0)),""))</f>
        <v/>
      </c>
      <c r="F492" s="19">
        <f>'Weekly Input'!A492</f>
        <v/>
      </c>
      <c r="G492" s="19">
        <f>IF(B492="","",IFERROR(INDEX('Master Data'!$D$6:$D$145,MATCH(B492,'Master Data'!$A$6:$A$145,0)),""))</f>
        <v/>
      </c>
      <c r="H492" s="18">
        <f>IF(OR(F492="",G492=""),"",F492-G492)</f>
        <v/>
      </c>
      <c r="I492" s="18">
        <f>IF(B492="","",IF('Weekly Input'!J492="OK",TRUE,FALSE))</f>
        <v/>
      </c>
      <c r="J492" s="18">
        <f>IF(B492="","",'Weekly Input'!H492&gt;=MinInStockDays)</f>
        <v/>
      </c>
      <c r="K492" s="18">
        <f>IF(B492="","",H492&gt;=FullCycleMin)</f>
        <v/>
      </c>
      <c r="L492" s="18">
        <f>IF(B492="","",AND(I492,J492,K492,N492&gt;=MinHistory))</f>
        <v/>
      </c>
      <c r="M492" s="20">
        <f>IF(OR(B492="",'Weekly Input'!H492=0),"",'Weekly Input'!D492/'Weekly Input'!H492*7)</f>
        <v/>
      </c>
      <c r="N492" s="18">
        <f>IF(B492="","",COUNTIFS($B$5:$B$504,B492,$C$5:$C$504,C492,$I$5:$I$504,TRUE,$J$5:$J$504,TRUE,$K$5:$K$504,TRUE))</f>
        <v/>
      </c>
      <c r="O492" s="18">
        <f>IF(B492="","",AND(F492=AsOfWeek,AsOfWeek&lt;&gt;""))</f>
        <v/>
      </c>
      <c r="P492" s="20">
        <f>IF(OR(B492="",AsOfWeek=""),"",IFERROR(SUMIFS($M$5:$M$504,$B$5:$B$504,B492,$C$5:$C$504,C492,$L$5:$L$504,TRUE,$F$5:$F$504,"&gt;="&amp;AsOfWeek-7*(RecentWeeks-1),$F$5:$F$504,"&lt;="&amp;AsOfWeek),""))</f>
        <v/>
      </c>
      <c r="Q492" s="20">
        <f>IF(OR(B492="",AsOfWeek=""),"",IFERROR(SUMIFS($M$5:$M$504,$B$5:$B$504,B492,$C$5:$C$504,C492,$L$5:$L$504,TRUE,$F$5:$F$504,"&gt;="&amp;AsOfWeek-7*(RecentWeeks+PriorWeeks-1),$F$5:$F$504,"&lt;"&amp;AsOfWeek-7*(RecentWeeks-1)),""))</f>
        <v/>
      </c>
      <c r="R492" s="21">
        <f>IF(OR(P492="",Q492="",Q492=0),"",P492/Q492-1)</f>
        <v/>
      </c>
      <c r="S492" s="20">
        <f>IF(OR(C492="",AsOfWeek=""),"",IFERROR(AVERAGEIFS($M$5:$M$504,$C$5:$C$504,C492,$L$5:$L$504,TRUE,$F$5:$F$504,"&gt;="&amp;AsOfWeek-7*(RecentWeeks-1),$F$5:$F$504,"&lt;="&amp;AsOfWeek),""))</f>
        <v/>
      </c>
      <c r="T492" s="21">
        <f>IF(OR(P492="",S492=""),"",P492/S492-1)</f>
        <v/>
      </c>
      <c r="U492" s="22">
        <f>IF(OR(B492="",'Weekly Input'!G492="",P492="",P492=0),"",'Weekly Input'!G492/P492)</f>
        <v/>
      </c>
      <c r="V492" s="18">
        <f>IF(B492="","",IF(NOT(I492),"Not Ready",IF(NOT(K492),"Not Ready",IF(N492&lt;MinHistory,"Not Ready",IF(NOT(J492),"Not Ready",IF(OR(Q492="",Q492=0),"Noise",IF(Q492&lt;LowBaseThreshold,"Noise",IF(AND(R492&lt;=-OwnDecline,T492&lt;=-PeerGapThreshold),"Markdown Review",IF(AND(R492&gt;=ReorderUplift,U492&lt;&gt;"",U492&lt;=WeeksSupplyCap),"Reorder Candidate","Monitor"))))))))</f>
        <v/>
      </c>
      <c r="W492" s="18">
        <f>IF(B492="","",IF(NOT(I492),"INVALID_MASTER",IF(NOT(K492),"INCOMPLETE_SHELF_CYCLE",IF(N492&lt;MinHistory,"INSUFFICIENT_HISTORY",IF(NOT(J492),"INSUFFICIENT_IN_STOCK",IF(OR(Q492="",Q492=0),"NO_PRIOR_BASE",IF(Q492&lt;LowBaseThreshold,"LOW_BASE_NOISE",IF(V492="Markdown Review","MARKDOWN_PEER_GAP",IF(V492="Reorder Candidate","REORDER_UPLIFT_COVER","NO_MATERIAL_CHANGE"))))))))</f>
        <v/>
      </c>
      <c r="X492" s="18">
        <f>IF(V492="Markdown Review","Markdown support",IF(V492="Reorder Candidate","Second reorder",IF(V492="Monitor","Monitor",IF(V492="Noise","Hold / collect data",IF(V492="Not Ready","Not ready","")))))</f>
        <v/>
      </c>
      <c r="Y492" s="18">
        <f>IF(OR(R492="",T492=""),"",ABS(R492)+ABS(T492))</f>
        <v/>
      </c>
      <c r="Z492" s="21">
        <f>IF(OR(B492="",NOT(O492),R492=""),"",IF(ABS(R492)&gt;=MaterialThreshold,"Yes","No"))</f>
        <v/>
      </c>
      <c r="AA492" s="18">
        <f>IF(Z492&lt;&gt;"Yes","",IF(ABS(R492)&gt;=MaterialThreshold,IF(ABS(R492)&gt;=BroadShare,"Broad SKU movement","Store-concentrated movement"),""))</f>
        <v/>
      </c>
      <c r="AB492" s="18">
        <f>IF(O492,IF(COUNTIFS($O$5:O492,TRUE)&gt;0,COUNTIFS($O$5:O492,TRUE),0),0)</f>
        <v/>
      </c>
      <c r="AC492" s="18">
        <f>IF(V492="Markdown Review",1,IF(V492="Reorder Candidate",2,IF(V492="Monitor",3,IF(V492="Noise",4,IF(V492="Not Ready",5,99)))))</f>
        <v/>
      </c>
      <c r="AD492" s="18">
        <f>IF(O492,COUNTIFS($O$5:$O$504,TRUE,$AC$5:$AC$504,"&lt;"&amp;AC492)+COUNTIFS($O$5:O492,TRUE,$AC$5:AC492,AC492,$Y$5:Y492,"&gt;"&amp;Y492),0)</f>
        <v/>
      </c>
    </row>
    <row r="493">
      <c r="A493" s="17">
        <f>IF(COUNTA('Weekly Input'!A493:C493)=0,"",'Weekly Input'!B493&amp;"|"&amp;'Weekly Input'!C493&amp;"|"&amp;TEXT('Weekly Input'!A493,"yyyy-mm-dd"))</f>
        <v/>
      </c>
      <c r="B493" s="18">
        <f>'Weekly Input'!B493</f>
        <v/>
      </c>
      <c r="C493" s="18">
        <f>'Weekly Input'!C493</f>
        <v/>
      </c>
      <c r="D493" s="18">
        <f>IF(B493="","",IFERROR(INDEX('Master Data'!$B$6:$B$145,MATCH(B493,'Master Data'!$A$6:$A$145,0)),""))</f>
        <v/>
      </c>
      <c r="E493" s="18">
        <f>IF(C493="","",IFERROR(INDEX('Master Data'!$H$6:$H$13,MATCH(C493,'Master Data'!$F$6:$F$13,0)),""))</f>
        <v/>
      </c>
      <c r="F493" s="19">
        <f>'Weekly Input'!A493</f>
        <v/>
      </c>
      <c r="G493" s="19">
        <f>IF(B493="","",IFERROR(INDEX('Master Data'!$D$6:$D$145,MATCH(B493,'Master Data'!$A$6:$A$145,0)),""))</f>
        <v/>
      </c>
      <c r="H493" s="18">
        <f>IF(OR(F493="",G493=""),"",F493-G493)</f>
        <v/>
      </c>
      <c r="I493" s="18">
        <f>IF(B493="","",IF('Weekly Input'!J493="OK",TRUE,FALSE))</f>
        <v/>
      </c>
      <c r="J493" s="18">
        <f>IF(B493="","",'Weekly Input'!H493&gt;=MinInStockDays)</f>
        <v/>
      </c>
      <c r="K493" s="18">
        <f>IF(B493="","",H493&gt;=FullCycleMin)</f>
        <v/>
      </c>
      <c r="L493" s="18">
        <f>IF(B493="","",AND(I493,J493,K493,N493&gt;=MinHistory))</f>
        <v/>
      </c>
      <c r="M493" s="20">
        <f>IF(OR(B493="",'Weekly Input'!H493=0),"",'Weekly Input'!D493/'Weekly Input'!H493*7)</f>
        <v/>
      </c>
      <c r="N493" s="18">
        <f>IF(B493="","",COUNTIFS($B$5:$B$504,B493,$C$5:$C$504,C493,$I$5:$I$504,TRUE,$J$5:$J$504,TRUE,$K$5:$K$504,TRUE))</f>
        <v/>
      </c>
      <c r="O493" s="18">
        <f>IF(B493="","",AND(F493=AsOfWeek,AsOfWeek&lt;&gt;""))</f>
        <v/>
      </c>
      <c r="P493" s="20">
        <f>IF(OR(B493="",AsOfWeek=""),"",IFERROR(SUMIFS($M$5:$M$504,$B$5:$B$504,B493,$C$5:$C$504,C493,$L$5:$L$504,TRUE,$F$5:$F$504,"&gt;="&amp;AsOfWeek-7*(RecentWeeks-1),$F$5:$F$504,"&lt;="&amp;AsOfWeek),""))</f>
        <v/>
      </c>
      <c r="Q493" s="20">
        <f>IF(OR(B493="",AsOfWeek=""),"",IFERROR(SUMIFS($M$5:$M$504,$B$5:$B$504,B493,$C$5:$C$504,C493,$L$5:$L$504,TRUE,$F$5:$F$504,"&gt;="&amp;AsOfWeek-7*(RecentWeeks+PriorWeeks-1),$F$5:$F$504,"&lt;"&amp;AsOfWeek-7*(RecentWeeks-1)),""))</f>
        <v/>
      </c>
      <c r="R493" s="21">
        <f>IF(OR(P493="",Q493="",Q493=0),"",P493/Q493-1)</f>
        <v/>
      </c>
      <c r="S493" s="20">
        <f>IF(OR(C493="",AsOfWeek=""),"",IFERROR(AVERAGEIFS($M$5:$M$504,$C$5:$C$504,C493,$L$5:$L$504,TRUE,$F$5:$F$504,"&gt;="&amp;AsOfWeek-7*(RecentWeeks-1),$F$5:$F$504,"&lt;="&amp;AsOfWeek),""))</f>
        <v/>
      </c>
      <c r="T493" s="21">
        <f>IF(OR(P493="",S493=""),"",P493/S493-1)</f>
        <v/>
      </c>
      <c r="U493" s="22">
        <f>IF(OR(B493="",'Weekly Input'!G493="",P493="",P493=0),"",'Weekly Input'!G493/P493)</f>
        <v/>
      </c>
      <c r="V493" s="18">
        <f>IF(B493="","",IF(NOT(I493),"Not Ready",IF(NOT(K493),"Not Ready",IF(N493&lt;MinHistory,"Not Ready",IF(NOT(J493),"Not Ready",IF(OR(Q493="",Q493=0),"Noise",IF(Q493&lt;LowBaseThreshold,"Noise",IF(AND(R493&lt;=-OwnDecline,T493&lt;=-PeerGapThreshold),"Markdown Review",IF(AND(R493&gt;=ReorderUplift,U493&lt;&gt;"",U493&lt;=WeeksSupplyCap),"Reorder Candidate","Monitor"))))))))</f>
        <v/>
      </c>
      <c r="W493" s="18">
        <f>IF(B493="","",IF(NOT(I493),"INVALID_MASTER",IF(NOT(K493),"INCOMPLETE_SHELF_CYCLE",IF(N493&lt;MinHistory,"INSUFFICIENT_HISTORY",IF(NOT(J493),"INSUFFICIENT_IN_STOCK",IF(OR(Q493="",Q493=0),"NO_PRIOR_BASE",IF(Q493&lt;LowBaseThreshold,"LOW_BASE_NOISE",IF(V493="Markdown Review","MARKDOWN_PEER_GAP",IF(V493="Reorder Candidate","REORDER_UPLIFT_COVER","NO_MATERIAL_CHANGE"))))))))</f>
        <v/>
      </c>
      <c r="X493" s="18">
        <f>IF(V493="Markdown Review","Markdown support",IF(V493="Reorder Candidate","Second reorder",IF(V493="Monitor","Monitor",IF(V493="Noise","Hold / collect data",IF(V493="Not Ready","Not ready","")))))</f>
        <v/>
      </c>
      <c r="Y493" s="18">
        <f>IF(OR(R493="",T493=""),"",ABS(R493)+ABS(T493))</f>
        <v/>
      </c>
      <c r="Z493" s="21">
        <f>IF(OR(B493="",NOT(O493),R493=""),"",IF(ABS(R493)&gt;=MaterialThreshold,"Yes","No"))</f>
        <v/>
      </c>
      <c r="AA493" s="18">
        <f>IF(Z493&lt;&gt;"Yes","",IF(ABS(R493)&gt;=MaterialThreshold,IF(ABS(R493)&gt;=BroadShare,"Broad SKU movement","Store-concentrated movement"),""))</f>
        <v/>
      </c>
      <c r="AB493" s="18">
        <f>IF(O493,IF(COUNTIFS($O$5:O493,TRUE)&gt;0,COUNTIFS($O$5:O493,TRUE),0),0)</f>
        <v/>
      </c>
      <c r="AC493" s="18">
        <f>IF(V493="Markdown Review",1,IF(V493="Reorder Candidate",2,IF(V493="Monitor",3,IF(V493="Noise",4,IF(V493="Not Ready",5,99)))))</f>
        <v/>
      </c>
      <c r="AD493" s="18">
        <f>IF(O493,COUNTIFS($O$5:$O$504,TRUE,$AC$5:$AC$504,"&lt;"&amp;AC493)+COUNTIFS($O$5:O493,TRUE,$AC$5:AC493,AC493,$Y$5:Y493,"&gt;"&amp;Y493),0)</f>
        <v/>
      </c>
    </row>
    <row r="494">
      <c r="A494" s="17">
        <f>IF(COUNTA('Weekly Input'!A494:C494)=0,"",'Weekly Input'!B494&amp;"|"&amp;'Weekly Input'!C494&amp;"|"&amp;TEXT('Weekly Input'!A494,"yyyy-mm-dd"))</f>
        <v/>
      </c>
      <c r="B494" s="18">
        <f>'Weekly Input'!B494</f>
        <v/>
      </c>
      <c r="C494" s="18">
        <f>'Weekly Input'!C494</f>
        <v/>
      </c>
      <c r="D494" s="18">
        <f>IF(B494="","",IFERROR(INDEX('Master Data'!$B$6:$B$145,MATCH(B494,'Master Data'!$A$6:$A$145,0)),""))</f>
        <v/>
      </c>
      <c r="E494" s="18">
        <f>IF(C494="","",IFERROR(INDEX('Master Data'!$H$6:$H$13,MATCH(C494,'Master Data'!$F$6:$F$13,0)),""))</f>
        <v/>
      </c>
      <c r="F494" s="19">
        <f>'Weekly Input'!A494</f>
        <v/>
      </c>
      <c r="G494" s="19">
        <f>IF(B494="","",IFERROR(INDEX('Master Data'!$D$6:$D$145,MATCH(B494,'Master Data'!$A$6:$A$145,0)),""))</f>
        <v/>
      </c>
      <c r="H494" s="18">
        <f>IF(OR(F494="",G494=""),"",F494-G494)</f>
        <v/>
      </c>
      <c r="I494" s="18">
        <f>IF(B494="","",IF('Weekly Input'!J494="OK",TRUE,FALSE))</f>
        <v/>
      </c>
      <c r="J494" s="18">
        <f>IF(B494="","",'Weekly Input'!H494&gt;=MinInStockDays)</f>
        <v/>
      </c>
      <c r="K494" s="18">
        <f>IF(B494="","",H494&gt;=FullCycleMin)</f>
        <v/>
      </c>
      <c r="L494" s="18">
        <f>IF(B494="","",AND(I494,J494,K494,N494&gt;=MinHistory))</f>
        <v/>
      </c>
      <c r="M494" s="20">
        <f>IF(OR(B494="",'Weekly Input'!H494=0),"",'Weekly Input'!D494/'Weekly Input'!H494*7)</f>
        <v/>
      </c>
      <c r="N494" s="18">
        <f>IF(B494="","",COUNTIFS($B$5:$B$504,B494,$C$5:$C$504,C494,$I$5:$I$504,TRUE,$J$5:$J$504,TRUE,$K$5:$K$504,TRUE))</f>
        <v/>
      </c>
      <c r="O494" s="18">
        <f>IF(B494="","",AND(F494=AsOfWeek,AsOfWeek&lt;&gt;""))</f>
        <v/>
      </c>
      <c r="P494" s="20">
        <f>IF(OR(B494="",AsOfWeek=""),"",IFERROR(SUMIFS($M$5:$M$504,$B$5:$B$504,B494,$C$5:$C$504,C494,$L$5:$L$504,TRUE,$F$5:$F$504,"&gt;="&amp;AsOfWeek-7*(RecentWeeks-1),$F$5:$F$504,"&lt;="&amp;AsOfWeek),""))</f>
        <v/>
      </c>
      <c r="Q494" s="20">
        <f>IF(OR(B494="",AsOfWeek=""),"",IFERROR(SUMIFS($M$5:$M$504,$B$5:$B$504,B494,$C$5:$C$504,C494,$L$5:$L$504,TRUE,$F$5:$F$504,"&gt;="&amp;AsOfWeek-7*(RecentWeeks+PriorWeeks-1),$F$5:$F$504,"&lt;"&amp;AsOfWeek-7*(RecentWeeks-1)),""))</f>
        <v/>
      </c>
      <c r="R494" s="21">
        <f>IF(OR(P494="",Q494="",Q494=0),"",P494/Q494-1)</f>
        <v/>
      </c>
      <c r="S494" s="20">
        <f>IF(OR(C494="",AsOfWeek=""),"",IFERROR(AVERAGEIFS($M$5:$M$504,$C$5:$C$504,C494,$L$5:$L$504,TRUE,$F$5:$F$504,"&gt;="&amp;AsOfWeek-7*(RecentWeeks-1),$F$5:$F$504,"&lt;="&amp;AsOfWeek),""))</f>
        <v/>
      </c>
      <c r="T494" s="21">
        <f>IF(OR(P494="",S494=""),"",P494/S494-1)</f>
        <v/>
      </c>
      <c r="U494" s="22">
        <f>IF(OR(B494="",'Weekly Input'!G494="",P494="",P494=0),"",'Weekly Input'!G494/P494)</f>
        <v/>
      </c>
      <c r="V494" s="18">
        <f>IF(B494="","",IF(NOT(I494),"Not Ready",IF(NOT(K494),"Not Ready",IF(N494&lt;MinHistory,"Not Ready",IF(NOT(J494),"Not Ready",IF(OR(Q494="",Q494=0),"Noise",IF(Q494&lt;LowBaseThreshold,"Noise",IF(AND(R494&lt;=-OwnDecline,T494&lt;=-PeerGapThreshold),"Markdown Review",IF(AND(R494&gt;=ReorderUplift,U494&lt;&gt;"",U494&lt;=WeeksSupplyCap),"Reorder Candidate","Monitor"))))))))</f>
        <v/>
      </c>
      <c r="W494" s="18">
        <f>IF(B494="","",IF(NOT(I494),"INVALID_MASTER",IF(NOT(K494),"INCOMPLETE_SHELF_CYCLE",IF(N494&lt;MinHistory,"INSUFFICIENT_HISTORY",IF(NOT(J494),"INSUFFICIENT_IN_STOCK",IF(OR(Q494="",Q494=0),"NO_PRIOR_BASE",IF(Q494&lt;LowBaseThreshold,"LOW_BASE_NOISE",IF(V494="Markdown Review","MARKDOWN_PEER_GAP",IF(V494="Reorder Candidate","REORDER_UPLIFT_COVER","NO_MATERIAL_CHANGE"))))))))</f>
        <v/>
      </c>
      <c r="X494" s="18">
        <f>IF(V494="Markdown Review","Markdown support",IF(V494="Reorder Candidate","Second reorder",IF(V494="Monitor","Monitor",IF(V494="Noise","Hold / collect data",IF(V494="Not Ready","Not ready","")))))</f>
        <v/>
      </c>
      <c r="Y494" s="18">
        <f>IF(OR(R494="",T494=""),"",ABS(R494)+ABS(T494))</f>
        <v/>
      </c>
      <c r="Z494" s="21">
        <f>IF(OR(B494="",NOT(O494),R494=""),"",IF(ABS(R494)&gt;=MaterialThreshold,"Yes","No"))</f>
        <v/>
      </c>
      <c r="AA494" s="18">
        <f>IF(Z494&lt;&gt;"Yes","",IF(ABS(R494)&gt;=MaterialThreshold,IF(ABS(R494)&gt;=BroadShare,"Broad SKU movement","Store-concentrated movement"),""))</f>
        <v/>
      </c>
      <c r="AB494" s="18">
        <f>IF(O494,IF(COUNTIFS($O$5:O494,TRUE)&gt;0,COUNTIFS($O$5:O494,TRUE),0),0)</f>
        <v/>
      </c>
      <c r="AC494" s="18">
        <f>IF(V494="Markdown Review",1,IF(V494="Reorder Candidate",2,IF(V494="Monitor",3,IF(V494="Noise",4,IF(V494="Not Ready",5,99)))))</f>
        <v/>
      </c>
      <c r="AD494" s="18">
        <f>IF(O494,COUNTIFS($O$5:$O$504,TRUE,$AC$5:$AC$504,"&lt;"&amp;AC494)+COUNTIFS($O$5:O494,TRUE,$AC$5:AC494,AC494,$Y$5:Y494,"&gt;"&amp;Y494),0)</f>
        <v/>
      </c>
    </row>
    <row r="495">
      <c r="A495" s="17">
        <f>IF(COUNTA('Weekly Input'!A495:C495)=0,"",'Weekly Input'!B495&amp;"|"&amp;'Weekly Input'!C495&amp;"|"&amp;TEXT('Weekly Input'!A495,"yyyy-mm-dd"))</f>
        <v/>
      </c>
      <c r="B495" s="18">
        <f>'Weekly Input'!B495</f>
        <v/>
      </c>
      <c r="C495" s="18">
        <f>'Weekly Input'!C495</f>
        <v/>
      </c>
      <c r="D495" s="18">
        <f>IF(B495="","",IFERROR(INDEX('Master Data'!$B$6:$B$145,MATCH(B495,'Master Data'!$A$6:$A$145,0)),""))</f>
        <v/>
      </c>
      <c r="E495" s="18">
        <f>IF(C495="","",IFERROR(INDEX('Master Data'!$H$6:$H$13,MATCH(C495,'Master Data'!$F$6:$F$13,0)),""))</f>
        <v/>
      </c>
      <c r="F495" s="19">
        <f>'Weekly Input'!A495</f>
        <v/>
      </c>
      <c r="G495" s="19">
        <f>IF(B495="","",IFERROR(INDEX('Master Data'!$D$6:$D$145,MATCH(B495,'Master Data'!$A$6:$A$145,0)),""))</f>
        <v/>
      </c>
      <c r="H495" s="18">
        <f>IF(OR(F495="",G495=""),"",F495-G495)</f>
        <v/>
      </c>
      <c r="I495" s="18">
        <f>IF(B495="","",IF('Weekly Input'!J495="OK",TRUE,FALSE))</f>
        <v/>
      </c>
      <c r="J495" s="18">
        <f>IF(B495="","",'Weekly Input'!H495&gt;=MinInStockDays)</f>
        <v/>
      </c>
      <c r="K495" s="18">
        <f>IF(B495="","",H495&gt;=FullCycleMin)</f>
        <v/>
      </c>
      <c r="L495" s="18">
        <f>IF(B495="","",AND(I495,J495,K495,N495&gt;=MinHistory))</f>
        <v/>
      </c>
      <c r="M495" s="20">
        <f>IF(OR(B495="",'Weekly Input'!H495=0),"",'Weekly Input'!D495/'Weekly Input'!H495*7)</f>
        <v/>
      </c>
      <c r="N495" s="18">
        <f>IF(B495="","",COUNTIFS($B$5:$B$504,B495,$C$5:$C$504,C495,$I$5:$I$504,TRUE,$J$5:$J$504,TRUE,$K$5:$K$504,TRUE))</f>
        <v/>
      </c>
      <c r="O495" s="18">
        <f>IF(B495="","",AND(F495=AsOfWeek,AsOfWeek&lt;&gt;""))</f>
        <v/>
      </c>
      <c r="P495" s="20">
        <f>IF(OR(B495="",AsOfWeek=""),"",IFERROR(SUMIFS($M$5:$M$504,$B$5:$B$504,B495,$C$5:$C$504,C495,$L$5:$L$504,TRUE,$F$5:$F$504,"&gt;="&amp;AsOfWeek-7*(RecentWeeks-1),$F$5:$F$504,"&lt;="&amp;AsOfWeek),""))</f>
        <v/>
      </c>
      <c r="Q495" s="20">
        <f>IF(OR(B495="",AsOfWeek=""),"",IFERROR(SUMIFS($M$5:$M$504,$B$5:$B$504,B495,$C$5:$C$504,C495,$L$5:$L$504,TRUE,$F$5:$F$504,"&gt;="&amp;AsOfWeek-7*(RecentWeeks+PriorWeeks-1),$F$5:$F$504,"&lt;"&amp;AsOfWeek-7*(RecentWeeks-1)),""))</f>
        <v/>
      </c>
      <c r="R495" s="21">
        <f>IF(OR(P495="",Q495="",Q495=0),"",P495/Q495-1)</f>
        <v/>
      </c>
      <c r="S495" s="20">
        <f>IF(OR(C495="",AsOfWeek=""),"",IFERROR(AVERAGEIFS($M$5:$M$504,$C$5:$C$504,C495,$L$5:$L$504,TRUE,$F$5:$F$504,"&gt;="&amp;AsOfWeek-7*(RecentWeeks-1),$F$5:$F$504,"&lt;="&amp;AsOfWeek),""))</f>
        <v/>
      </c>
      <c r="T495" s="21">
        <f>IF(OR(P495="",S495=""),"",P495/S495-1)</f>
        <v/>
      </c>
      <c r="U495" s="22">
        <f>IF(OR(B495="",'Weekly Input'!G495="",P495="",P495=0),"",'Weekly Input'!G495/P495)</f>
        <v/>
      </c>
      <c r="V495" s="18">
        <f>IF(B495="","",IF(NOT(I495),"Not Ready",IF(NOT(K495),"Not Ready",IF(N495&lt;MinHistory,"Not Ready",IF(NOT(J495),"Not Ready",IF(OR(Q495="",Q495=0),"Noise",IF(Q495&lt;LowBaseThreshold,"Noise",IF(AND(R495&lt;=-OwnDecline,T495&lt;=-PeerGapThreshold),"Markdown Review",IF(AND(R495&gt;=ReorderUplift,U495&lt;&gt;"",U495&lt;=WeeksSupplyCap),"Reorder Candidate","Monitor"))))))))</f>
        <v/>
      </c>
      <c r="W495" s="18">
        <f>IF(B495="","",IF(NOT(I495),"INVALID_MASTER",IF(NOT(K495),"INCOMPLETE_SHELF_CYCLE",IF(N495&lt;MinHistory,"INSUFFICIENT_HISTORY",IF(NOT(J495),"INSUFFICIENT_IN_STOCK",IF(OR(Q495="",Q495=0),"NO_PRIOR_BASE",IF(Q495&lt;LowBaseThreshold,"LOW_BASE_NOISE",IF(V495="Markdown Review","MARKDOWN_PEER_GAP",IF(V495="Reorder Candidate","REORDER_UPLIFT_COVER","NO_MATERIAL_CHANGE"))))))))</f>
        <v/>
      </c>
      <c r="X495" s="18">
        <f>IF(V495="Markdown Review","Markdown support",IF(V495="Reorder Candidate","Second reorder",IF(V495="Monitor","Monitor",IF(V495="Noise","Hold / collect data",IF(V495="Not Ready","Not ready","")))))</f>
        <v/>
      </c>
      <c r="Y495" s="18">
        <f>IF(OR(R495="",T495=""),"",ABS(R495)+ABS(T495))</f>
        <v/>
      </c>
      <c r="Z495" s="21">
        <f>IF(OR(B495="",NOT(O495),R495=""),"",IF(ABS(R495)&gt;=MaterialThreshold,"Yes","No"))</f>
        <v/>
      </c>
      <c r="AA495" s="18">
        <f>IF(Z495&lt;&gt;"Yes","",IF(ABS(R495)&gt;=MaterialThreshold,IF(ABS(R495)&gt;=BroadShare,"Broad SKU movement","Store-concentrated movement"),""))</f>
        <v/>
      </c>
      <c r="AB495" s="18">
        <f>IF(O495,IF(COUNTIFS($O$5:O495,TRUE)&gt;0,COUNTIFS($O$5:O495,TRUE),0),0)</f>
        <v/>
      </c>
      <c r="AC495" s="18">
        <f>IF(V495="Markdown Review",1,IF(V495="Reorder Candidate",2,IF(V495="Monitor",3,IF(V495="Noise",4,IF(V495="Not Ready",5,99)))))</f>
        <v/>
      </c>
      <c r="AD495" s="18">
        <f>IF(O495,COUNTIFS($O$5:$O$504,TRUE,$AC$5:$AC$504,"&lt;"&amp;AC495)+COUNTIFS($O$5:O495,TRUE,$AC$5:AC495,AC495,$Y$5:Y495,"&gt;"&amp;Y495),0)</f>
        <v/>
      </c>
    </row>
    <row r="496">
      <c r="A496" s="17">
        <f>IF(COUNTA('Weekly Input'!A496:C496)=0,"",'Weekly Input'!B496&amp;"|"&amp;'Weekly Input'!C496&amp;"|"&amp;TEXT('Weekly Input'!A496,"yyyy-mm-dd"))</f>
        <v/>
      </c>
      <c r="B496" s="18">
        <f>'Weekly Input'!B496</f>
        <v/>
      </c>
      <c r="C496" s="18">
        <f>'Weekly Input'!C496</f>
        <v/>
      </c>
      <c r="D496" s="18">
        <f>IF(B496="","",IFERROR(INDEX('Master Data'!$B$6:$B$145,MATCH(B496,'Master Data'!$A$6:$A$145,0)),""))</f>
        <v/>
      </c>
      <c r="E496" s="18">
        <f>IF(C496="","",IFERROR(INDEX('Master Data'!$H$6:$H$13,MATCH(C496,'Master Data'!$F$6:$F$13,0)),""))</f>
        <v/>
      </c>
      <c r="F496" s="19">
        <f>'Weekly Input'!A496</f>
        <v/>
      </c>
      <c r="G496" s="19">
        <f>IF(B496="","",IFERROR(INDEX('Master Data'!$D$6:$D$145,MATCH(B496,'Master Data'!$A$6:$A$145,0)),""))</f>
        <v/>
      </c>
      <c r="H496" s="18">
        <f>IF(OR(F496="",G496=""),"",F496-G496)</f>
        <v/>
      </c>
      <c r="I496" s="18">
        <f>IF(B496="","",IF('Weekly Input'!J496="OK",TRUE,FALSE))</f>
        <v/>
      </c>
      <c r="J496" s="18">
        <f>IF(B496="","",'Weekly Input'!H496&gt;=MinInStockDays)</f>
        <v/>
      </c>
      <c r="K496" s="18">
        <f>IF(B496="","",H496&gt;=FullCycleMin)</f>
        <v/>
      </c>
      <c r="L496" s="18">
        <f>IF(B496="","",AND(I496,J496,K496,N496&gt;=MinHistory))</f>
        <v/>
      </c>
      <c r="M496" s="20">
        <f>IF(OR(B496="",'Weekly Input'!H496=0),"",'Weekly Input'!D496/'Weekly Input'!H496*7)</f>
        <v/>
      </c>
      <c r="N496" s="18">
        <f>IF(B496="","",COUNTIFS($B$5:$B$504,B496,$C$5:$C$504,C496,$I$5:$I$504,TRUE,$J$5:$J$504,TRUE,$K$5:$K$504,TRUE))</f>
        <v/>
      </c>
      <c r="O496" s="18">
        <f>IF(B496="","",AND(F496=AsOfWeek,AsOfWeek&lt;&gt;""))</f>
        <v/>
      </c>
      <c r="P496" s="20">
        <f>IF(OR(B496="",AsOfWeek=""),"",IFERROR(SUMIFS($M$5:$M$504,$B$5:$B$504,B496,$C$5:$C$504,C496,$L$5:$L$504,TRUE,$F$5:$F$504,"&gt;="&amp;AsOfWeek-7*(RecentWeeks-1),$F$5:$F$504,"&lt;="&amp;AsOfWeek),""))</f>
        <v/>
      </c>
      <c r="Q496" s="20">
        <f>IF(OR(B496="",AsOfWeek=""),"",IFERROR(SUMIFS($M$5:$M$504,$B$5:$B$504,B496,$C$5:$C$504,C496,$L$5:$L$504,TRUE,$F$5:$F$504,"&gt;="&amp;AsOfWeek-7*(RecentWeeks+PriorWeeks-1),$F$5:$F$504,"&lt;"&amp;AsOfWeek-7*(RecentWeeks-1)),""))</f>
        <v/>
      </c>
      <c r="R496" s="21">
        <f>IF(OR(P496="",Q496="",Q496=0),"",P496/Q496-1)</f>
        <v/>
      </c>
      <c r="S496" s="20">
        <f>IF(OR(C496="",AsOfWeek=""),"",IFERROR(AVERAGEIFS($M$5:$M$504,$C$5:$C$504,C496,$L$5:$L$504,TRUE,$F$5:$F$504,"&gt;="&amp;AsOfWeek-7*(RecentWeeks-1),$F$5:$F$504,"&lt;="&amp;AsOfWeek),""))</f>
        <v/>
      </c>
      <c r="T496" s="21">
        <f>IF(OR(P496="",S496=""),"",P496/S496-1)</f>
        <v/>
      </c>
      <c r="U496" s="22">
        <f>IF(OR(B496="",'Weekly Input'!G496="",P496="",P496=0),"",'Weekly Input'!G496/P496)</f>
        <v/>
      </c>
      <c r="V496" s="18">
        <f>IF(B496="","",IF(NOT(I496),"Not Ready",IF(NOT(K496),"Not Ready",IF(N496&lt;MinHistory,"Not Ready",IF(NOT(J496),"Not Ready",IF(OR(Q496="",Q496=0),"Noise",IF(Q496&lt;LowBaseThreshold,"Noise",IF(AND(R496&lt;=-OwnDecline,T496&lt;=-PeerGapThreshold),"Markdown Review",IF(AND(R496&gt;=ReorderUplift,U496&lt;&gt;"",U496&lt;=WeeksSupplyCap),"Reorder Candidate","Monitor"))))))))</f>
        <v/>
      </c>
      <c r="W496" s="18">
        <f>IF(B496="","",IF(NOT(I496),"INVALID_MASTER",IF(NOT(K496),"INCOMPLETE_SHELF_CYCLE",IF(N496&lt;MinHistory,"INSUFFICIENT_HISTORY",IF(NOT(J496),"INSUFFICIENT_IN_STOCK",IF(OR(Q496="",Q496=0),"NO_PRIOR_BASE",IF(Q496&lt;LowBaseThreshold,"LOW_BASE_NOISE",IF(V496="Markdown Review","MARKDOWN_PEER_GAP",IF(V496="Reorder Candidate","REORDER_UPLIFT_COVER","NO_MATERIAL_CHANGE"))))))))</f>
        <v/>
      </c>
      <c r="X496" s="18">
        <f>IF(V496="Markdown Review","Markdown support",IF(V496="Reorder Candidate","Second reorder",IF(V496="Monitor","Monitor",IF(V496="Noise","Hold / collect data",IF(V496="Not Ready","Not ready","")))))</f>
        <v/>
      </c>
      <c r="Y496" s="18">
        <f>IF(OR(R496="",T496=""),"",ABS(R496)+ABS(T496))</f>
        <v/>
      </c>
      <c r="Z496" s="21">
        <f>IF(OR(B496="",NOT(O496),R496=""),"",IF(ABS(R496)&gt;=MaterialThreshold,"Yes","No"))</f>
        <v/>
      </c>
      <c r="AA496" s="18">
        <f>IF(Z496&lt;&gt;"Yes","",IF(ABS(R496)&gt;=MaterialThreshold,IF(ABS(R496)&gt;=BroadShare,"Broad SKU movement","Store-concentrated movement"),""))</f>
        <v/>
      </c>
      <c r="AB496" s="18">
        <f>IF(O496,IF(COUNTIFS($O$5:O496,TRUE)&gt;0,COUNTIFS($O$5:O496,TRUE),0),0)</f>
        <v/>
      </c>
      <c r="AC496" s="18">
        <f>IF(V496="Markdown Review",1,IF(V496="Reorder Candidate",2,IF(V496="Monitor",3,IF(V496="Noise",4,IF(V496="Not Ready",5,99)))))</f>
        <v/>
      </c>
      <c r="AD496" s="18">
        <f>IF(O496,COUNTIFS($O$5:$O$504,TRUE,$AC$5:$AC$504,"&lt;"&amp;AC496)+COUNTIFS($O$5:O496,TRUE,$AC$5:AC496,AC496,$Y$5:Y496,"&gt;"&amp;Y496),0)</f>
        <v/>
      </c>
    </row>
    <row r="497">
      <c r="A497" s="17">
        <f>IF(COUNTA('Weekly Input'!A497:C497)=0,"",'Weekly Input'!B497&amp;"|"&amp;'Weekly Input'!C497&amp;"|"&amp;TEXT('Weekly Input'!A497,"yyyy-mm-dd"))</f>
        <v/>
      </c>
      <c r="B497" s="18">
        <f>'Weekly Input'!B497</f>
        <v/>
      </c>
      <c r="C497" s="18">
        <f>'Weekly Input'!C497</f>
        <v/>
      </c>
      <c r="D497" s="18">
        <f>IF(B497="","",IFERROR(INDEX('Master Data'!$B$6:$B$145,MATCH(B497,'Master Data'!$A$6:$A$145,0)),""))</f>
        <v/>
      </c>
      <c r="E497" s="18">
        <f>IF(C497="","",IFERROR(INDEX('Master Data'!$H$6:$H$13,MATCH(C497,'Master Data'!$F$6:$F$13,0)),""))</f>
        <v/>
      </c>
      <c r="F497" s="19">
        <f>'Weekly Input'!A497</f>
        <v/>
      </c>
      <c r="G497" s="19">
        <f>IF(B497="","",IFERROR(INDEX('Master Data'!$D$6:$D$145,MATCH(B497,'Master Data'!$A$6:$A$145,0)),""))</f>
        <v/>
      </c>
      <c r="H497" s="18">
        <f>IF(OR(F497="",G497=""),"",F497-G497)</f>
        <v/>
      </c>
      <c r="I497" s="18">
        <f>IF(B497="","",IF('Weekly Input'!J497="OK",TRUE,FALSE))</f>
        <v/>
      </c>
      <c r="J497" s="18">
        <f>IF(B497="","",'Weekly Input'!H497&gt;=MinInStockDays)</f>
        <v/>
      </c>
      <c r="K497" s="18">
        <f>IF(B497="","",H497&gt;=FullCycleMin)</f>
        <v/>
      </c>
      <c r="L497" s="18">
        <f>IF(B497="","",AND(I497,J497,K497,N497&gt;=MinHistory))</f>
        <v/>
      </c>
      <c r="M497" s="20">
        <f>IF(OR(B497="",'Weekly Input'!H497=0),"",'Weekly Input'!D497/'Weekly Input'!H497*7)</f>
        <v/>
      </c>
      <c r="N497" s="18">
        <f>IF(B497="","",COUNTIFS($B$5:$B$504,B497,$C$5:$C$504,C497,$I$5:$I$504,TRUE,$J$5:$J$504,TRUE,$K$5:$K$504,TRUE))</f>
        <v/>
      </c>
      <c r="O497" s="18">
        <f>IF(B497="","",AND(F497=AsOfWeek,AsOfWeek&lt;&gt;""))</f>
        <v/>
      </c>
      <c r="P497" s="20">
        <f>IF(OR(B497="",AsOfWeek=""),"",IFERROR(SUMIFS($M$5:$M$504,$B$5:$B$504,B497,$C$5:$C$504,C497,$L$5:$L$504,TRUE,$F$5:$F$504,"&gt;="&amp;AsOfWeek-7*(RecentWeeks-1),$F$5:$F$504,"&lt;="&amp;AsOfWeek),""))</f>
        <v/>
      </c>
      <c r="Q497" s="20">
        <f>IF(OR(B497="",AsOfWeek=""),"",IFERROR(SUMIFS($M$5:$M$504,$B$5:$B$504,B497,$C$5:$C$504,C497,$L$5:$L$504,TRUE,$F$5:$F$504,"&gt;="&amp;AsOfWeek-7*(RecentWeeks+PriorWeeks-1),$F$5:$F$504,"&lt;"&amp;AsOfWeek-7*(RecentWeeks-1)),""))</f>
        <v/>
      </c>
      <c r="R497" s="21">
        <f>IF(OR(P497="",Q497="",Q497=0),"",P497/Q497-1)</f>
        <v/>
      </c>
      <c r="S497" s="20">
        <f>IF(OR(C497="",AsOfWeek=""),"",IFERROR(AVERAGEIFS($M$5:$M$504,$C$5:$C$504,C497,$L$5:$L$504,TRUE,$F$5:$F$504,"&gt;="&amp;AsOfWeek-7*(RecentWeeks-1),$F$5:$F$504,"&lt;="&amp;AsOfWeek),""))</f>
        <v/>
      </c>
      <c r="T497" s="21">
        <f>IF(OR(P497="",S497=""),"",P497/S497-1)</f>
        <v/>
      </c>
      <c r="U497" s="22">
        <f>IF(OR(B497="",'Weekly Input'!G497="",P497="",P497=0),"",'Weekly Input'!G497/P497)</f>
        <v/>
      </c>
      <c r="V497" s="18">
        <f>IF(B497="","",IF(NOT(I497),"Not Ready",IF(NOT(K497),"Not Ready",IF(N497&lt;MinHistory,"Not Ready",IF(NOT(J497),"Not Ready",IF(OR(Q497="",Q497=0),"Noise",IF(Q497&lt;LowBaseThreshold,"Noise",IF(AND(R497&lt;=-OwnDecline,T497&lt;=-PeerGapThreshold),"Markdown Review",IF(AND(R497&gt;=ReorderUplift,U497&lt;&gt;"",U497&lt;=WeeksSupplyCap),"Reorder Candidate","Monitor"))))))))</f>
        <v/>
      </c>
      <c r="W497" s="18">
        <f>IF(B497="","",IF(NOT(I497),"INVALID_MASTER",IF(NOT(K497),"INCOMPLETE_SHELF_CYCLE",IF(N497&lt;MinHistory,"INSUFFICIENT_HISTORY",IF(NOT(J497),"INSUFFICIENT_IN_STOCK",IF(OR(Q497="",Q497=0),"NO_PRIOR_BASE",IF(Q497&lt;LowBaseThreshold,"LOW_BASE_NOISE",IF(V497="Markdown Review","MARKDOWN_PEER_GAP",IF(V497="Reorder Candidate","REORDER_UPLIFT_COVER","NO_MATERIAL_CHANGE"))))))))</f>
        <v/>
      </c>
      <c r="X497" s="18">
        <f>IF(V497="Markdown Review","Markdown support",IF(V497="Reorder Candidate","Second reorder",IF(V497="Monitor","Monitor",IF(V497="Noise","Hold / collect data",IF(V497="Not Ready","Not ready","")))))</f>
        <v/>
      </c>
      <c r="Y497" s="18">
        <f>IF(OR(R497="",T497=""),"",ABS(R497)+ABS(T497))</f>
        <v/>
      </c>
      <c r="Z497" s="21">
        <f>IF(OR(B497="",NOT(O497),R497=""),"",IF(ABS(R497)&gt;=MaterialThreshold,"Yes","No"))</f>
        <v/>
      </c>
      <c r="AA497" s="18">
        <f>IF(Z497&lt;&gt;"Yes","",IF(ABS(R497)&gt;=MaterialThreshold,IF(ABS(R497)&gt;=BroadShare,"Broad SKU movement","Store-concentrated movement"),""))</f>
        <v/>
      </c>
      <c r="AB497" s="18">
        <f>IF(O497,IF(COUNTIFS($O$5:O497,TRUE)&gt;0,COUNTIFS($O$5:O497,TRUE),0),0)</f>
        <v/>
      </c>
      <c r="AC497" s="18">
        <f>IF(V497="Markdown Review",1,IF(V497="Reorder Candidate",2,IF(V497="Monitor",3,IF(V497="Noise",4,IF(V497="Not Ready",5,99)))))</f>
        <v/>
      </c>
      <c r="AD497" s="18">
        <f>IF(O497,COUNTIFS($O$5:$O$504,TRUE,$AC$5:$AC$504,"&lt;"&amp;AC497)+COUNTIFS($O$5:O497,TRUE,$AC$5:AC497,AC497,$Y$5:Y497,"&gt;"&amp;Y497),0)</f>
        <v/>
      </c>
    </row>
    <row r="498">
      <c r="A498" s="17">
        <f>IF(COUNTA('Weekly Input'!A498:C498)=0,"",'Weekly Input'!B498&amp;"|"&amp;'Weekly Input'!C498&amp;"|"&amp;TEXT('Weekly Input'!A498,"yyyy-mm-dd"))</f>
        <v/>
      </c>
      <c r="B498" s="18">
        <f>'Weekly Input'!B498</f>
        <v/>
      </c>
      <c r="C498" s="18">
        <f>'Weekly Input'!C498</f>
        <v/>
      </c>
      <c r="D498" s="18">
        <f>IF(B498="","",IFERROR(INDEX('Master Data'!$B$6:$B$145,MATCH(B498,'Master Data'!$A$6:$A$145,0)),""))</f>
        <v/>
      </c>
      <c r="E498" s="18">
        <f>IF(C498="","",IFERROR(INDEX('Master Data'!$H$6:$H$13,MATCH(C498,'Master Data'!$F$6:$F$13,0)),""))</f>
        <v/>
      </c>
      <c r="F498" s="19">
        <f>'Weekly Input'!A498</f>
        <v/>
      </c>
      <c r="G498" s="19">
        <f>IF(B498="","",IFERROR(INDEX('Master Data'!$D$6:$D$145,MATCH(B498,'Master Data'!$A$6:$A$145,0)),""))</f>
        <v/>
      </c>
      <c r="H498" s="18">
        <f>IF(OR(F498="",G498=""),"",F498-G498)</f>
        <v/>
      </c>
      <c r="I498" s="18">
        <f>IF(B498="","",IF('Weekly Input'!J498="OK",TRUE,FALSE))</f>
        <v/>
      </c>
      <c r="J498" s="18">
        <f>IF(B498="","",'Weekly Input'!H498&gt;=MinInStockDays)</f>
        <v/>
      </c>
      <c r="K498" s="18">
        <f>IF(B498="","",H498&gt;=FullCycleMin)</f>
        <v/>
      </c>
      <c r="L498" s="18">
        <f>IF(B498="","",AND(I498,J498,K498,N498&gt;=MinHistory))</f>
        <v/>
      </c>
      <c r="M498" s="20">
        <f>IF(OR(B498="",'Weekly Input'!H498=0),"",'Weekly Input'!D498/'Weekly Input'!H498*7)</f>
        <v/>
      </c>
      <c r="N498" s="18">
        <f>IF(B498="","",COUNTIFS($B$5:$B$504,B498,$C$5:$C$504,C498,$I$5:$I$504,TRUE,$J$5:$J$504,TRUE,$K$5:$K$504,TRUE))</f>
        <v/>
      </c>
      <c r="O498" s="18">
        <f>IF(B498="","",AND(F498=AsOfWeek,AsOfWeek&lt;&gt;""))</f>
        <v/>
      </c>
      <c r="P498" s="20">
        <f>IF(OR(B498="",AsOfWeek=""),"",IFERROR(SUMIFS($M$5:$M$504,$B$5:$B$504,B498,$C$5:$C$504,C498,$L$5:$L$504,TRUE,$F$5:$F$504,"&gt;="&amp;AsOfWeek-7*(RecentWeeks-1),$F$5:$F$504,"&lt;="&amp;AsOfWeek),""))</f>
        <v/>
      </c>
      <c r="Q498" s="20">
        <f>IF(OR(B498="",AsOfWeek=""),"",IFERROR(SUMIFS($M$5:$M$504,$B$5:$B$504,B498,$C$5:$C$504,C498,$L$5:$L$504,TRUE,$F$5:$F$504,"&gt;="&amp;AsOfWeek-7*(RecentWeeks+PriorWeeks-1),$F$5:$F$504,"&lt;"&amp;AsOfWeek-7*(RecentWeeks-1)),""))</f>
        <v/>
      </c>
      <c r="R498" s="21">
        <f>IF(OR(P498="",Q498="",Q498=0),"",P498/Q498-1)</f>
        <v/>
      </c>
      <c r="S498" s="20">
        <f>IF(OR(C498="",AsOfWeek=""),"",IFERROR(AVERAGEIFS($M$5:$M$504,$C$5:$C$504,C498,$L$5:$L$504,TRUE,$F$5:$F$504,"&gt;="&amp;AsOfWeek-7*(RecentWeeks-1),$F$5:$F$504,"&lt;="&amp;AsOfWeek),""))</f>
        <v/>
      </c>
      <c r="T498" s="21">
        <f>IF(OR(P498="",S498=""),"",P498/S498-1)</f>
        <v/>
      </c>
      <c r="U498" s="22">
        <f>IF(OR(B498="",'Weekly Input'!G498="",P498="",P498=0),"",'Weekly Input'!G498/P498)</f>
        <v/>
      </c>
      <c r="V498" s="18">
        <f>IF(B498="","",IF(NOT(I498),"Not Ready",IF(NOT(K498),"Not Ready",IF(N498&lt;MinHistory,"Not Ready",IF(NOT(J498),"Not Ready",IF(OR(Q498="",Q498=0),"Noise",IF(Q498&lt;LowBaseThreshold,"Noise",IF(AND(R498&lt;=-OwnDecline,T498&lt;=-PeerGapThreshold),"Markdown Review",IF(AND(R498&gt;=ReorderUplift,U498&lt;&gt;"",U498&lt;=WeeksSupplyCap),"Reorder Candidate","Monitor"))))))))</f>
        <v/>
      </c>
      <c r="W498" s="18">
        <f>IF(B498="","",IF(NOT(I498),"INVALID_MASTER",IF(NOT(K498),"INCOMPLETE_SHELF_CYCLE",IF(N498&lt;MinHistory,"INSUFFICIENT_HISTORY",IF(NOT(J498),"INSUFFICIENT_IN_STOCK",IF(OR(Q498="",Q498=0),"NO_PRIOR_BASE",IF(Q498&lt;LowBaseThreshold,"LOW_BASE_NOISE",IF(V498="Markdown Review","MARKDOWN_PEER_GAP",IF(V498="Reorder Candidate","REORDER_UPLIFT_COVER","NO_MATERIAL_CHANGE"))))))))</f>
        <v/>
      </c>
      <c r="X498" s="18">
        <f>IF(V498="Markdown Review","Markdown support",IF(V498="Reorder Candidate","Second reorder",IF(V498="Monitor","Monitor",IF(V498="Noise","Hold / collect data",IF(V498="Not Ready","Not ready","")))))</f>
        <v/>
      </c>
      <c r="Y498" s="18">
        <f>IF(OR(R498="",T498=""),"",ABS(R498)+ABS(T498))</f>
        <v/>
      </c>
      <c r="Z498" s="21">
        <f>IF(OR(B498="",NOT(O498),R498=""),"",IF(ABS(R498)&gt;=MaterialThreshold,"Yes","No"))</f>
        <v/>
      </c>
      <c r="AA498" s="18">
        <f>IF(Z498&lt;&gt;"Yes","",IF(ABS(R498)&gt;=MaterialThreshold,IF(ABS(R498)&gt;=BroadShare,"Broad SKU movement","Store-concentrated movement"),""))</f>
        <v/>
      </c>
      <c r="AB498" s="18">
        <f>IF(O498,IF(COUNTIFS($O$5:O498,TRUE)&gt;0,COUNTIFS($O$5:O498,TRUE),0),0)</f>
        <v/>
      </c>
      <c r="AC498" s="18">
        <f>IF(V498="Markdown Review",1,IF(V498="Reorder Candidate",2,IF(V498="Monitor",3,IF(V498="Noise",4,IF(V498="Not Ready",5,99)))))</f>
        <v/>
      </c>
      <c r="AD498" s="18">
        <f>IF(O498,COUNTIFS($O$5:$O$504,TRUE,$AC$5:$AC$504,"&lt;"&amp;AC498)+COUNTIFS($O$5:O498,TRUE,$AC$5:AC498,AC498,$Y$5:Y498,"&gt;"&amp;Y498),0)</f>
        <v/>
      </c>
    </row>
    <row r="499">
      <c r="A499" s="17">
        <f>IF(COUNTA('Weekly Input'!A499:C499)=0,"",'Weekly Input'!B499&amp;"|"&amp;'Weekly Input'!C499&amp;"|"&amp;TEXT('Weekly Input'!A499,"yyyy-mm-dd"))</f>
        <v/>
      </c>
      <c r="B499" s="18">
        <f>'Weekly Input'!B499</f>
        <v/>
      </c>
      <c r="C499" s="18">
        <f>'Weekly Input'!C499</f>
        <v/>
      </c>
      <c r="D499" s="18">
        <f>IF(B499="","",IFERROR(INDEX('Master Data'!$B$6:$B$145,MATCH(B499,'Master Data'!$A$6:$A$145,0)),""))</f>
        <v/>
      </c>
      <c r="E499" s="18">
        <f>IF(C499="","",IFERROR(INDEX('Master Data'!$H$6:$H$13,MATCH(C499,'Master Data'!$F$6:$F$13,0)),""))</f>
        <v/>
      </c>
      <c r="F499" s="19">
        <f>'Weekly Input'!A499</f>
        <v/>
      </c>
      <c r="G499" s="19">
        <f>IF(B499="","",IFERROR(INDEX('Master Data'!$D$6:$D$145,MATCH(B499,'Master Data'!$A$6:$A$145,0)),""))</f>
        <v/>
      </c>
      <c r="H499" s="18">
        <f>IF(OR(F499="",G499=""),"",F499-G499)</f>
        <v/>
      </c>
      <c r="I499" s="18">
        <f>IF(B499="","",IF('Weekly Input'!J499="OK",TRUE,FALSE))</f>
        <v/>
      </c>
      <c r="J499" s="18">
        <f>IF(B499="","",'Weekly Input'!H499&gt;=MinInStockDays)</f>
        <v/>
      </c>
      <c r="K499" s="18">
        <f>IF(B499="","",H499&gt;=FullCycleMin)</f>
        <v/>
      </c>
      <c r="L499" s="18">
        <f>IF(B499="","",AND(I499,J499,K499,N499&gt;=MinHistory))</f>
        <v/>
      </c>
      <c r="M499" s="20">
        <f>IF(OR(B499="",'Weekly Input'!H499=0),"",'Weekly Input'!D499/'Weekly Input'!H499*7)</f>
        <v/>
      </c>
      <c r="N499" s="18">
        <f>IF(B499="","",COUNTIFS($B$5:$B$504,B499,$C$5:$C$504,C499,$I$5:$I$504,TRUE,$J$5:$J$504,TRUE,$K$5:$K$504,TRUE))</f>
        <v/>
      </c>
      <c r="O499" s="18">
        <f>IF(B499="","",AND(F499=AsOfWeek,AsOfWeek&lt;&gt;""))</f>
        <v/>
      </c>
      <c r="P499" s="20">
        <f>IF(OR(B499="",AsOfWeek=""),"",IFERROR(SUMIFS($M$5:$M$504,$B$5:$B$504,B499,$C$5:$C$504,C499,$L$5:$L$504,TRUE,$F$5:$F$504,"&gt;="&amp;AsOfWeek-7*(RecentWeeks-1),$F$5:$F$504,"&lt;="&amp;AsOfWeek),""))</f>
        <v/>
      </c>
      <c r="Q499" s="20">
        <f>IF(OR(B499="",AsOfWeek=""),"",IFERROR(SUMIFS($M$5:$M$504,$B$5:$B$504,B499,$C$5:$C$504,C499,$L$5:$L$504,TRUE,$F$5:$F$504,"&gt;="&amp;AsOfWeek-7*(RecentWeeks+PriorWeeks-1),$F$5:$F$504,"&lt;"&amp;AsOfWeek-7*(RecentWeeks-1)),""))</f>
        <v/>
      </c>
      <c r="R499" s="21">
        <f>IF(OR(P499="",Q499="",Q499=0),"",P499/Q499-1)</f>
        <v/>
      </c>
      <c r="S499" s="20">
        <f>IF(OR(C499="",AsOfWeek=""),"",IFERROR(AVERAGEIFS($M$5:$M$504,$C$5:$C$504,C499,$L$5:$L$504,TRUE,$F$5:$F$504,"&gt;="&amp;AsOfWeek-7*(RecentWeeks-1),$F$5:$F$504,"&lt;="&amp;AsOfWeek),""))</f>
        <v/>
      </c>
      <c r="T499" s="21">
        <f>IF(OR(P499="",S499=""),"",P499/S499-1)</f>
        <v/>
      </c>
      <c r="U499" s="22">
        <f>IF(OR(B499="",'Weekly Input'!G499="",P499="",P499=0),"",'Weekly Input'!G499/P499)</f>
        <v/>
      </c>
      <c r="V499" s="18">
        <f>IF(B499="","",IF(NOT(I499),"Not Ready",IF(NOT(K499),"Not Ready",IF(N499&lt;MinHistory,"Not Ready",IF(NOT(J499),"Not Ready",IF(OR(Q499="",Q499=0),"Noise",IF(Q499&lt;LowBaseThreshold,"Noise",IF(AND(R499&lt;=-OwnDecline,T499&lt;=-PeerGapThreshold),"Markdown Review",IF(AND(R499&gt;=ReorderUplift,U499&lt;&gt;"",U499&lt;=WeeksSupplyCap),"Reorder Candidate","Monitor"))))))))</f>
        <v/>
      </c>
      <c r="W499" s="18">
        <f>IF(B499="","",IF(NOT(I499),"INVALID_MASTER",IF(NOT(K499),"INCOMPLETE_SHELF_CYCLE",IF(N499&lt;MinHistory,"INSUFFICIENT_HISTORY",IF(NOT(J499),"INSUFFICIENT_IN_STOCK",IF(OR(Q499="",Q499=0),"NO_PRIOR_BASE",IF(Q499&lt;LowBaseThreshold,"LOW_BASE_NOISE",IF(V499="Markdown Review","MARKDOWN_PEER_GAP",IF(V499="Reorder Candidate","REORDER_UPLIFT_COVER","NO_MATERIAL_CHANGE"))))))))</f>
        <v/>
      </c>
      <c r="X499" s="18">
        <f>IF(V499="Markdown Review","Markdown support",IF(V499="Reorder Candidate","Second reorder",IF(V499="Monitor","Monitor",IF(V499="Noise","Hold / collect data",IF(V499="Not Ready","Not ready","")))))</f>
        <v/>
      </c>
      <c r="Y499" s="18">
        <f>IF(OR(R499="",T499=""),"",ABS(R499)+ABS(T499))</f>
        <v/>
      </c>
      <c r="Z499" s="21">
        <f>IF(OR(B499="",NOT(O499),R499=""),"",IF(ABS(R499)&gt;=MaterialThreshold,"Yes","No"))</f>
        <v/>
      </c>
      <c r="AA499" s="18">
        <f>IF(Z499&lt;&gt;"Yes","",IF(ABS(R499)&gt;=MaterialThreshold,IF(ABS(R499)&gt;=BroadShare,"Broad SKU movement","Store-concentrated movement"),""))</f>
        <v/>
      </c>
      <c r="AB499" s="18">
        <f>IF(O499,IF(COUNTIFS($O$5:O499,TRUE)&gt;0,COUNTIFS($O$5:O499,TRUE),0),0)</f>
        <v/>
      </c>
      <c r="AC499" s="18">
        <f>IF(V499="Markdown Review",1,IF(V499="Reorder Candidate",2,IF(V499="Monitor",3,IF(V499="Noise",4,IF(V499="Not Ready",5,99)))))</f>
        <v/>
      </c>
      <c r="AD499" s="18">
        <f>IF(O499,COUNTIFS($O$5:$O$504,TRUE,$AC$5:$AC$504,"&lt;"&amp;AC499)+COUNTIFS($O$5:O499,TRUE,$AC$5:AC499,AC499,$Y$5:Y499,"&gt;"&amp;Y499),0)</f>
        <v/>
      </c>
    </row>
    <row r="500">
      <c r="A500" s="17">
        <f>IF(COUNTA('Weekly Input'!A500:C500)=0,"",'Weekly Input'!B500&amp;"|"&amp;'Weekly Input'!C500&amp;"|"&amp;TEXT('Weekly Input'!A500,"yyyy-mm-dd"))</f>
        <v/>
      </c>
      <c r="B500" s="18">
        <f>'Weekly Input'!B500</f>
        <v/>
      </c>
      <c r="C500" s="18">
        <f>'Weekly Input'!C500</f>
        <v/>
      </c>
      <c r="D500" s="18">
        <f>IF(B500="","",IFERROR(INDEX('Master Data'!$B$6:$B$145,MATCH(B500,'Master Data'!$A$6:$A$145,0)),""))</f>
        <v/>
      </c>
      <c r="E500" s="18">
        <f>IF(C500="","",IFERROR(INDEX('Master Data'!$H$6:$H$13,MATCH(C500,'Master Data'!$F$6:$F$13,0)),""))</f>
        <v/>
      </c>
      <c r="F500" s="19">
        <f>'Weekly Input'!A500</f>
        <v/>
      </c>
      <c r="G500" s="19">
        <f>IF(B500="","",IFERROR(INDEX('Master Data'!$D$6:$D$145,MATCH(B500,'Master Data'!$A$6:$A$145,0)),""))</f>
        <v/>
      </c>
      <c r="H500" s="18">
        <f>IF(OR(F500="",G500=""),"",F500-G500)</f>
        <v/>
      </c>
      <c r="I500" s="18">
        <f>IF(B500="","",IF('Weekly Input'!J500="OK",TRUE,FALSE))</f>
        <v/>
      </c>
      <c r="J500" s="18">
        <f>IF(B500="","",'Weekly Input'!H500&gt;=MinInStockDays)</f>
        <v/>
      </c>
      <c r="K500" s="18">
        <f>IF(B500="","",H500&gt;=FullCycleMin)</f>
        <v/>
      </c>
      <c r="L500" s="18">
        <f>IF(B500="","",AND(I500,J500,K500,N500&gt;=MinHistory))</f>
        <v/>
      </c>
      <c r="M500" s="20">
        <f>IF(OR(B500="",'Weekly Input'!H500=0),"",'Weekly Input'!D500/'Weekly Input'!H500*7)</f>
        <v/>
      </c>
      <c r="N500" s="18">
        <f>IF(B500="","",COUNTIFS($B$5:$B$504,B500,$C$5:$C$504,C500,$I$5:$I$504,TRUE,$J$5:$J$504,TRUE,$K$5:$K$504,TRUE))</f>
        <v/>
      </c>
      <c r="O500" s="18">
        <f>IF(B500="","",AND(F500=AsOfWeek,AsOfWeek&lt;&gt;""))</f>
        <v/>
      </c>
      <c r="P500" s="20">
        <f>IF(OR(B500="",AsOfWeek=""),"",IFERROR(SUMIFS($M$5:$M$504,$B$5:$B$504,B500,$C$5:$C$504,C500,$L$5:$L$504,TRUE,$F$5:$F$504,"&gt;="&amp;AsOfWeek-7*(RecentWeeks-1),$F$5:$F$504,"&lt;="&amp;AsOfWeek),""))</f>
        <v/>
      </c>
      <c r="Q500" s="20">
        <f>IF(OR(B500="",AsOfWeek=""),"",IFERROR(SUMIFS($M$5:$M$504,$B$5:$B$504,B500,$C$5:$C$504,C500,$L$5:$L$504,TRUE,$F$5:$F$504,"&gt;="&amp;AsOfWeek-7*(RecentWeeks+PriorWeeks-1),$F$5:$F$504,"&lt;"&amp;AsOfWeek-7*(RecentWeeks-1)),""))</f>
        <v/>
      </c>
      <c r="R500" s="21">
        <f>IF(OR(P500="",Q500="",Q500=0),"",P500/Q500-1)</f>
        <v/>
      </c>
      <c r="S500" s="20">
        <f>IF(OR(C500="",AsOfWeek=""),"",IFERROR(AVERAGEIFS($M$5:$M$504,$C$5:$C$504,C500,$L$5:$L$504,TRUE,$F$5:$F$504,"&gt;="&amp;AsOfWeek-7*(RecentWeeks-1),$F$5:$F$504,"&lt;="&amp;AsOfWeek),""))</f>
        <v/>
      </c>
      <c r="T500" s="21">
        <f>IF(OR(P500="",S500=""),"",P500/S500-1)</f>
        <v/>
      </c>
      <c r="U500" s="22">
        <f>IF(OR(B500="",'Weekly Input'!G500="",P500="",P500=0),"",'Weekly Input'!G500/P500)</f>
        <v/>
      </c>
      <c r="V500" s="18">
        <f>IF(B500="","",IF(NOT(I500),"Not Ready",IF(NOT(K500),"Not Ready",IF(N500&lt;MinHistory,"Not Ready",IF(NOT(J500),"Not Ready",IF(OR(Q500="",Q500=0),"Noise",IF(Q500&lt;LowBaseThreshold,"Noise",IF(AND(R500&lt;=-OwnDecline,T500&lt;=-PeerGapThreshold),"Markdown Review",IF(AND(R500&gt;=ReorderUplift,U500&lt;&gt;"",U500&lt;=WeeksSupplyCap),"Reorder Candidate","Monitor"))))))))</f>
        <v/>
      </c>
      <c r="W500" s="18">
        <f>IF(B500="","",IF(NOT(I500),"INVALID_MASTER",IF(NOT(K500),"INCOMPLETE_SHELF_CYCLE",IF(N500&lt;MinHistory,"INSUFFICIENT_HISTORY",IF(NOT(J500),"INSUFFICIENT_IN_STOCK",IF(OR(Q500="",Q500=0),"NO_PRIOR_BASE",IF(Q500&lt;LowBaseThreshold,"LOW_BASE_NOISE",IF(V500="Markdown Review","MARKDOWN_PEER_GAP",IF(V500="Reorder Candidate","REORDER_UPLIFT_COVER","NO_MATERIAL_CHANGE"))))))))</f>
        <v/>
      </c>
      <c r="X500" s="18">
        <f>IF(V500="Markdown Review","Markdown support",IF(V500="Reorder Candidate","Second reorder",IF(V500="Monitor","Monitor",IF(V500="Noise","Hold / collect data",IF(V500="Not Ready","Not ready","")))))</f>
        <v/>
      </c>
      <c r="Y500" s="18">
        <f>IF(OR(R500="",T500=""),"",ABS(R500)+ABS(T500))</f>
        <v/>
      </c>
      <c r="Z500" s="21">
        <f>IF(OR(B500="",NOT(O500),R500=""),"",IF(ABS(R500)&gt;=MaterialThreshold,"Yes","No"))</f>
        <v/>
      </c>
      <c r="AA500" s="18">
        <f>IF(Z500&lt;&gt;"Yes","",IF(ABS(R500)&gt;=MaterialThreshold,IF(ABS(R500)&gt;=BroadShare,"Broad SKU movement","Store-concentrated movement"),""))</f>
        <v/>
      </c>
      <c r="AB500" s="18">
        <f>IF(O500,IF(COUNTIFS($O$5:O500,TRUE)&gt;0,COUNTIFS($O$5:O500,TRUE),0),0)</f>
        <v/>
      </c>
      <c r="AC500" s="18">
        <f>IF(V500="Markdown Review",1,IF(V500="Reorder Candidate",2,IF(V500="Monitor",3,IF(V500="Noise",4,IF(V500="Not Ready",5,99)))))</f>
        <v/>
      </c>
      <c r="AD500" s="18">
        <f>IF(O500,COUNTIFS($O$5:$O$504,TRUE,$AC$5:$AC$504,"&lt;"&amp;AC500)+COUNTIFS($O$5:O500,TRUE,$AC$5:AC500,AC500,$Y$5:Y500,"&gt;"&amp;Y500),0)</f>
        <v/>
      </c>
    </row>
    <row r="501">
      <c r="A501" s="17">
        <f>IF(COUNTA('Weekly Input'!A501:C501)=0,"",'Weekly Input'!B501&amp;"|"&amp;'Weekly Input'!C501&amp;"|"&amp;TEXT('Weekly Input'!A501,"yyyy-mm-dd"))</f>
        <v/>
      </c>
      <c r="B501" s="18">
        <f>'Weekly Input'!B501</f>
        <v/>
      </c>
      <c r="C501" s="18">
        <f>'Weekly Input'!C501</f>
        <v/>
      </c>
      <c r="D501" s="18">
        <f>IF(B501="","",IFERROR(INDEX('Master Data'!$B$6:$B$145,MATCH(B501,'Master Data'!$A$6:$A$145,0)),""))</f>
        <v/>
      </c>
      <c r="E501" s="18">
        <f>IF(C501="","",IFERROR(INDEX('Master Data'!$H$6:$H$13,MATCH(C501,'Master Data'!$F$6:$F$13,0)),""))</f>
        <v/>
      </c>
      <c r="F501" s="19">
        <f>'Weekly Input'!A501</f>
        <v/>
      </c>
      <c r="G501" s="19">
        <f>IF(B501="","",IFERROR(INDEX('Master Data'!$D$6:$D$145,MATCH(B501,'Master Data'!$A$6:$A$145,0)),""))</f>
        <v/>
      </c>
      <c r="H501" s="18">
        <f>IF(OR(F501="",G501=""),"",F501-G501)</f>
        <v/>
      </c>
      <c r="I501" s="18">
        <f>IF(B501="","",IF('Weekly Input'!J501="OK",TRUE,FALSE))</f>
        <v/>
      </c>
      <c r="J501" s="18">
        <f>IF(B501="","",'Weekly Input'!H501&gt;=MinInStockDays)</f>
        <v/>
      </c>
      <c r="K501" s="18">
        <f>IF(B501="","",H501&gt;=FullCycleMin)</f>
        <v/>
      </c>
      <c r="L501" s="18">
        <f>IF(B501="","",AND(I501,J501,K501,N501&gt;=MinHistory))</f>
        <v/>
      </c>
      <c r="M501" s="20">
        <f>IF(OR(B501="",'Weekly Input'!H501=0),"",'Weekly Input'!D501/'Weekly Input'!H501*7)</f>
        <v/>
      </c>
      <c r="N501" s="18">
        <f>IF(B501="","",COUNTIFS($B$5:$B$504,B501,$C$5:$C$504,C501,$I$5:$I$504,TRUE,$J$5:$J$504,TRUE,$K$5:$K$504,TRUE))</f>
        <v/>
      </c>
      <c r="O501" s="18">
        <f>IF(B501="","",AND(F501=AsOfWeek,AsOfWeek&lt;&gt;""))</f>
        <v/>
      </c>
      <c r="P501" s="20">
        <f>IF(OR(B501="",AsOfWeek=""),"",IFERROR(SUMIFS($M$5:$M$504,$B$5:$B$504,B501,$C$5:$C$504,C501,$L$5:$L$504,TRUE,$F$5:$F$504,"&gt;="&amp;AsOfWeek-7*(RecentWeeks-1),$F$5:$F$504,"&lt;="&amp;AsOfWeek),""))</f>
        <v/>
      </c>
      <c r="Q501" s="20">
        <f>IF(OR(B501="",AsOfWeek=""),"",IFERROR(SUMIFS($M$5:$M$504,$B$5:$B$504,B501,$C$5:$C$504,C501,$L$5:$L$504,TRUE,$F$5:$F$504,"&gt;="&amp;AsOfWeek-7*(RecentWeeks+PriorWeeks-1),$F$5:$F$504,"&lt;"&amp;AsOfWeek-7*(RecentWeeks-1)),""))</f>
        <v/>
      </c>
      <c r="R501" s="21">
        <f>IF(OR(P501="",Q501="",Q501=0),"",P501/Q501-1)</f>
        <v/>
      </c>
      <c r="S501" s="20">
        <f>IF(OR(C501="",AsOfWeek=""),"",IFERROR(AVERAGEIFS($M$5:$M$504,$C$5:$C$504,C501,$L$5:$L$504,TRUE,$F$5:$F$504,"&gt;="&amp;AsOfWeek-7*(RecentWeeks-1),$F$5:$F$504,"&lt;="&amp;AsOfWeek),""))</f>
        <v/>
      </c>
      <c r="T501" s="21">
        <f>IF(OR(P501="",S501=""),"",P501/S501-1)</f>
        <v/>
      </c>
      <c r="U501" s="22">
        <f>IF(OR(B501="",'Weekly Input'!G501="",P501="",P501=0),"",'Weekly Input'!G501/P501)</f>
        <v/>
      </c>
      <c r="V501" s="18">
        <f>IF(B501="","",IF(NOT(I501),"Not Ready",IF(NOT(K501),"Not Ready",IF(N501&lt;MinHistory,"Not Ready",IF(NOT(J501),"Not Ready",IF(OR(Q501="",Q501=0),"Noise",IF(Q501&lt;LowBaseThreshold,"Noise",IF(AND(R501&lt;=-OwnDecline,T501&lt;=-PeerGapThreshold),"Markdown Review",IF(AND(R501&gt;=ReorderUplift,U501&lt;&gt;"",U501&lt;=WeeksSupplyCap),"Reorder Candidate","Monitor"))))))))</f>
        <v/>
      </c>
      <c r="W501" s="18">
        <f>IF(B501="","",IF(NOT(I501),"INVALID_MASTER",IF(NOT(K501),"INCOMPLETE_SHELF_CYCLE",IF(N501&lt;MinHistory,"INSUFFICIENT_HISTORY",IF(NOT(J501),"INSUFFICIENT_IN_STOCK",IF(OR(Q501="",Q501=0),"NO_PRIOR_BASE",IF(Q501&lt;LowBaseThreshold,"LOW_BASE_NOISE",IF(V501="Markdown Review","MARKDOWN_PEER_GAP",IF(V501="Reorder Candidate","REORDER_UPLIFT_COVER","NO_MATERIAL_CHANGE"))))))))</f>
        <v/>
      </c>
      <c r="X501" s="18">
        <f>IF(V501="Markdown Review","Markdown support",IF(V501="Reorder Candidate","Second reorder",IF(V501="Monitor","Monitor",IF(V501="Noise","Hold / collect data",IF(V501="Not Ready","Not ready","")))))</f>
        <v/>
      </c>
      <c r="Y501" s="18">
        <f>IF(OR(R501="",T501=""),"",ABS(R501)+ABS(T501))</f>
        <v/>
      </c>
      <c r="Z501" s="21">
        <f>IF(OR(B501="",NOT(O501),R501=""),"",IF(ABS(R501)&gt;=MaterialThreshold,"Yes","No"))</f>
        <v/>
      </c>
      <c r="AA501" s="18">
        <f>IF(Z501&lt;&gt;"Yes","",IF(ABS(R501)&gt;=MaterialThreshold,IF(ABS(R501)&gt;=BroadShare,"Broad SKU movement","Store-concentrated movement"),""))</f>
        <v/>
      </c>
      <c r="AB501" s="18">
        <f>IF(O501,IF(COUNTIFS($O$5:O501,TRUE)&gt;0,COUNTIFS($O$5:O501,TRUE),0),0)</f>
        <v/>
      </c>
      <c r="AC501" s="18">
        <f>IF(V501="Markdown Review",1,IF(V501="Reorder Candidate",2,IF(V501="Monitor",3,IF(V501="Noise",4,IF(V501="Not Ready",5,99)))))</f>
        <v/>
      </c>
      <c r="AD501" s="18">
        <f>IF(O501,COUNTIFS($O$5:$O$504,TRUE,$AC$5:$AC$504,"&lt;"&amp;AC501)+COUNTIFS($O$5:O501,TRUE,$AC$5:AC501,AC501,$Y$5:Y501,"&gt;"&amp;Y501),0)</f>
        <v/>
      </c>
    </row>
    <row r="502">
      <c r="A502" s="17">
        <f>IF(COUNTA('Weekly Input'!A502:C502)=0,"",'Weekly Input'!B502&amp;"|"&amp;'Weekly Input'!C502&amp;"|"&amp;TEXT('Weekly Input'!A502,"yyyy-mm-dd"))</f>
        <v/>
      </c>
      <c r="B502" s="18">
        <f>'Weekly Input'!B502</f>
        <v/>
      </c>
      <c r="C502" s="18">
        <f>'Weekly Input'!C502</f>
        <v/>
      </c>
      <c r="D502" s="18">
        <f>IF(B502="","",IFERROR(INDEX('Master Data'!$B$6:$B$145,MATCH(B502,'Master Data'!$A$6:$A$145,0)),""))</f>
        <v/>
      </c>
      <c r="E502" s="18">
        <f>IF(C502="","",IFERROR(INDEX('Master Data'!$H$6:$H$13,MATCH(C502,'Master Data'!$F$6:$F$13,0)),""))</f>
        <v/>
      </c>
      <c r="F502" s="19">
        <f>'Weekly Input'!A502</f>
        <v/>
      </c>
      <c r="G502" s="19">
        <f>IF(B502="","",IFERROR(INDEX('Master Data'!$D$6:$D$145,MATCH(B502,'Master Data'!$A$6:$A$145,0)),""))</f>
        <v/>
      </c>
      <c r="H502" s="18">
        <f>IF(OR(F502="",G502=""),"",F502-G502)</f>
        <v/>
      </c>
      <c r="I502" s="18">
        <f>IF(B502="","",IF('Weekly Input'!J502="OK",TRUE,FALSE))</f>
        <v/>
      </c>
      <c r="J502" s="18">
        <f>IF(B502="","",'Weekly Input'!H502&gt;=MinInStockDays)</f>
        <v/>
      </c>
      <c r="K502" s="18">
        <f>IF(B502="","",H502&gt;=FullCycleMin)</f>
        <v/>
      </c>
      <c r="L502" s="18">
        <f>IF(B502="","",AND(I502,J502,K502,N502&gt;=MinHistory))</f>
        <v/>
      </c>
      <c r="M502" s="20">
        <f>IF(OR(B502="",'Weekly Input'!H502=0),"",'Weekly Input'!D502/'Weekly Input'!H502*7)</f>
        <v/>
      </c>
      <c r="N502" s="18">
        <f>IF(B502="","",COUNTIFS($B$5:$B$504,B502,$C$5:$C$504,C502,$I$5:$I$504,TRUE,$J$5:$J$504,TRUE,$K$5:$K$504,TRUE))</f>
        <v/>
      </c>
      <c r="O502" s="18">
        <f>IF(B502="","",AND(F502=AsOfWeek,AsOfWeek&lt;&gt;""))</f>
        <v/>
      </c>
      <c r="P502" s="20">
        <f>IF(OR(B502="",AsOfWeek=""),"",IFERROR(SUMIFS($M$5:$M$504,$B$5:$B$504,B502,$C$5:$C$504,C502,$L$5:$L$504,TRUE,$F$5:$F$504,"&gt;="&amp;AsOfWeek-7*(RecentWeeks-1),$F$5:$F$504,"&lt;="&amp;AsOfWeek),""))</f>
        <v/>
      </c>
      <c r="Q502" s="20">
        <f>IF(OR(B502="",AsOfWeek=""),"",IFERROR(SUMIFS($M$5:$M$504,$B$5:$B$504,B502,$C$5:$C$504,C502,$L$5:$L$504,TRUE,$F$5:$F$504,"&gt;="&amp;AsOfWeek-7*(RecentWeeks+PriorWeeks-1),$F$5:$F$504,"&lt;"&amp;AsOfWeek-7*(RecentWeeks-1)),""))</f>
        <v/>
      </c>
      <c r="R502" s="21">
        <f>IF(OR(P502="",Q502="",Q502=0),"",P502/Q502-1)</f>
        <v/>
      </c>
      <c r="S502" s="20">
        <f>IF(OR(C502="",AsOfWeek=""),"",IFERROR(AVERAGEIFS($M$5:$M$504,$C$5:$C$504,C502,$L$5:$L$504,TRUE,$F$5:$F$504,"&gt;="&amp;AsOfWeek-7*(RecentWeeks-1),$F$5:$F$504,"&lt;="&amp;AsOfWeek),""))</f>
        <v/>
      </c>
      <c r="T502" s="21">
        <f>IF(OR(P502="",S502=""),"",P502/S502-1)</f>
        <v/>
      </c>
      <c r="U502" s="22">
        <f>IF(OR(B502="",'Weekly Input'!G502="",P502="",P502=0),"",'Weekly Input'!G502/P502)</f>
        <v/>
      </c>
      <c r="V502" s="18">
        <f>IF(B502="","",IF(NOT(I502),"Not Ready",IF(NOT(K502),"Not Ready",IF(N502&lt;MinHistory,"Not Ready",IF(NOT(J502),"Not Ready",IF(OR(Q502="",Q502=0),"Noise",IF(Q502&lt;LowBaseThreshold,"Noise",IF(AND(R502&lt;=-OwnDecline,T502&lt;=-PeerGapThreshold),"Markdown Review",IF(AND(R502&gt;=ReorderUplift,U502&lt;&gt;"",U502&lt;=WeeksSupplyCap),"Reorder Candidate","Monitor"))))))))</f>
        <v/>
      </c>
      <c r="W502" s="18">
        <f>IF(B502="","",IF(NOT(I502),"INVALID_MASTER",IF(NOT(K502),"INCOMPLETE_SHELF_CYCLE",IF(N502&lt;MinHistory,"INSUFFICIENT_HISTORY",IF(NOT(J502),"INSUFFICIENT_IN_STOCK",IF(OR(Q502="",Q502=0),"NO_PRIOR_BASE",IF(Q502&lt;LowBaseThreshold,"LOW_BASE_NOISE",IF(V502="Markdown Review","MARKDOWN_PEER_GAP",IF(V502="Reorder Candidate","REORDER_UPLIFT_COVER","NO_MATERIAL_CHANGE"))))))))</f>
        <v/>
      </c>
      <c r="X502" s="18">
        <f>IF(V502="Markdown Review","Markdown support",IF(V502="Reorder Candidate","Second reorder",IF(V502="Monitor","Monitor",IF(V502="Noise","Hold / collect data",IF(V502="Not Ready","Not ready","")))))</f>
        <v/>
      </c>
      <c r="Y502" s="18">
        <f>IF(OR(R502="",T502=""),"",ABS(R502)+ABS(T502))</f>
        <v/>
      </c>
      <c r="Z502" s="21">
        <f>IF(OR(B502="",NOT(O502),R502=""),"",IF(ABS(R502)&gt;=MaterialThreshold,"Yes","No"))</f>
        <v/>
      </c>
      <c r="AA502" s="18">
        <f>IF(Z502&lt;&gt;"Yes","",IF(ABS(R502)&gt;=MaterialThreshold,IF(ABS(R502)&gt;=BroadShare,"Broad SKU movement","Store-concentrated movement"),""))</f>
        <v/>
      </c>
      <c r="AB502" s="18">
        <f>IF(O502,IF(COUNTIFS($O$5:O502,TRUE)&gt;0,COUNTIFS($O$5:O502,TRUE),0),0)</f>
        <v/>
      </c>
      <c r="AC502" s="18">
        <f>IF(V502="Markdown Review",1,IF(V502="Reorder Candidate",2,IF(V502="Monitor",3,IF(V502="Noise",4,IF(V502="Not Ready",5,99)))))</f>
        <v/>
      </c>
      <c r="AD502" s="18">
        <f>IF(O502,COUNTIFS($O$5:$O$504,TRUE,$AC$5:$AC$504,"&lt;"&amp;AC502)+COUNTIFS($O$5:O502,TRUE,$AC$5:AC502,AC502,$Y$5:Y502,"&gt;"&amp;Y502),0)</f>
        <v/>
      </c>
    </row>
    <row r="503">
      <c r="A503" s="17">
        <f>IF(COUNTA('Weekly Input'!A503:C503)=0,"",'Weekly Input'!B503&amp;"|"&amp;'Weekly Input'!C503&amp;"|"&amp;TEXT('Weekly Input'!A503,"yyyy-mm-dd"))</f>
        <v/>
      </c>
      <c r="B503" s="18">
        <f>'Weekly Input'!B503</f>
        <v/>
      </c>
      <c r="C503" s="18">
        <f>'Weekly Input'!C503</f>
        <v/>
      </c>
      <c r="D503" s="18">
        <f>IF(B503="","",IFERROR(INDEX('Master Data'!$B$6:$B$145,MATCH(B503,'Master Data'!$A$6:$A$145,0)),""))</f>
        <v/>
      </c>
      <c r="E503" s="18">
        <f>IF(C503="","",IFERROR(INDEX('Master Data'!$H$6:$H$13,MATCH(C503,'Master Data'!$F$6:$F$13,0)),""))</f>
        <v/>
      </c>
      <c r="F503" s="19">
        <f>'Weekly Input'!A503</f>
        <v/>
      </c>
      <c r="G503" s="19">
        <f>IF(B503="","",IFERROR(INDEX('Master Data'!$D$6:$D$145,MATCH(B503,'Master Data'!$A$6:$A$145,0)),""))</f>
        <v/>
      </c>
      <c r="H503" s="18">
        <f>IF(OR(F503="",G503=""),"",F503-G503)</f>
        <v/>
      </c>
      <c r="I503" s="18">
        <f>IF(B503="","",IF('Weekly Input'!J503="OK",TRUE,FALSE))</f>
        <v/>
      </c>
      <c r="J503" s="18">
        <f>IF(B503="","",'Weekly Input'!H503&gt;=MinInStockDays)</f>
        <v/>
      </c>
      <c r="K503" s="18">
        <f>IF(B503="","",H503&gt;=FullCycleMin)</f>
        <v/>
      </c>
      <c r="L503" s="18">
        <f>IF(B503="","",AND(I503,J503,K503,N503&gt;=MinHistory))</f>
        <v/>
      </c>
      <c r="M503" s="20">
        <f>IF(OR(B503="",'Weekly Input'!H503=0),"",'Weekly Input'!D503/'Weekly Input'!H503*7)</f>
        <v/>
      </c>
      <c r="N503" s="18">
        <f>IF(B503="","",COUNTIFS($B$5:$B$504,B503,$C$5:$C$504,C503,$I$5:$I$504,TRUE,$J$5:$J$504,TRUE,$K$5:$K$504,TRUE))</f>
        <v/>
      </c>
      <c r="O503" s="18">
        <f>IF(B503="","",AND(F503=AsOfWeek,AsOfWeek&lt;&gt;""))</f>
        <v/>
      </c>
      <c r="P503" s="20">
        <f>IF(OR(B503="",AsOfWeek=""),"",IFERROR(SUMIFS($M$5:$M$504,$B$5:$B$504,B503,$C$5:$C$504,C503,$L$5:$L$504,TRUE,$F$5:$F$504,"&gt;="&amp;AsOfWeek-7*(RecentWeeks-1),$F$5:$F$504,"&lt;="&amp;AsOfWeek),""))</f>
        <v/>
      </c>
      <c r="Q503" s="20">
        <f>IF(OR(B503="",AsOfWeek=""),"",IFERROR(SUMIFS($M$5:$M$504,$B$5:$B$504,B503,$C$5:$C$504,C503,$L$5:$L$504,TRUE,$F$5:$F$504,"&gt;="&amp;AsOfWeek-7*(RecentWeeks+PriorWeeks-1),$F$5:$F$504,"&lt;"&amp;AsOfWeek-7*(RecentWeeks-1)),""))</f>
        <v/>
      </c>
      <c r="R503" s="21">
        <f>IF(OR(P503="",Q503="",Q503=0),"",P503/Q503-1)</f>
        <v/>
      </c>
      <c r="S503" s="20">
        <f>IF(OR(C503="",AsOfWeek=""),"",IFERROR(AVERAGEIFS($M$5:$M$504,$C$5:$C$504,C503,$L$5:$L$504,TRUE,$F$5:$F$504,"&gt;="&amp;AsOfWeek-7*(RecentWeeks-1),$F$5:$F$504,"&lt;="&amp;AsOfWeek),""))</f>
        <v/>
      </c>
      <c r="T503" s="21">
        <f>IF(OR(P503="",S503=""),"",P503/S503-1)</f>
        <v/>
      </c>
      <c r="U503" s="22">
        <f>IF(OR(B503="",'Weekly Input'!G503="",P503="",P503=0),"",'Weekly Input'!G503/P503)</f>
        <v/>
      </c>
      <c r="V503" s="18">
        <f>IF(B503="","",IF(NOT(I503),"Not Ready",IF(NOT(K503),"Not Ready",IF(N503&lt;MinHistory,"Not Ready",IF(NOT(J503),"Not Ready",IF(OR(Q503="",Q503=0),"Noise",IF(Q503&lt;LowBaseThreshold,"Noise",IF(AND(R503&lt;=-OwnDecline,T503&lt;=-PeerGapThreshold),"Markdown Review",IF(AND(R503&gt;=ReorderUplift,U503&lt;&gt;"",U503&lt;=WeeksSupplyCap),"Reorder Candidate","Monitor"))))))))</f>
        <v/>
      </c>
      <c r="W503" s="18">
        <f>IF(B503="","",IF(NOT(I503),"INVALID_MASTER",IF(NOT(K503),"INCOMPLETE_SHELF_CYCLE",IF(N503&lt;MinHistory,"INSUFFICIENT_HISTORY",IF(NOT(J503),"INSUFFICIENT_IN_STOCK",IF(OR(Q503="",Q503=0),"NO_PRIOR_BASE",IF(Q503&lt;LowBaseThreshold,"LOW_BASE_NOISE",IF(V503="Markdown Review","MARKDOWN_PEER_GAP",IF(V503="Reorder Candidate","REORDER_UPLIFT_COVER","NO_MATERIAL_CHANGE"))))))))</f>
        <v/>
      </c>
      <c r="X503" s="18">
        <f>IF(V503="Markdown Review","Markdown support",IF(V503="Reorder Candidate","Second reorder",IF(V503="Monitor","Monitor",IF(V503="Noise","Hold / collect data",IF(V503="Not Ready","Not ready","")))))</f>
        <v/>
      </c>
      <c r="Y503" s="18">
        <f>IF(OR(R503="",T503=""),"",ABS(R503)+ABS(T503))</f>
        <v/>
      </c>
      <c r="Z503" s="21">
        <f>IF(OR(B503="",NOT(O503),R503=""),"",IF(ABS(R503)&gt;=MaterialThreshold,"Yes","No"))</f>
        <v/>
      </c>
      <c r="AA503" s="18">
        <f>IF(Z503&lt;&gt;"Yes","",IF(ABS(R503)&gt;=MaterialThreshold,IF(ABS(R503)&gt;=BroadShare,"Broad SKU movement","Store-concentrated movement"),""))</f>
        <v/>
      </c>
      <c r="AB503" s="18">
        <f>IF(O503,IF(COUNTIFS($O$5:O503,TRUE)&gt;0,COUNTIFS($O$5:O503,TRUE),0),0)</f>
        <v/>
      </c>
      <c r="AC503" s="18">
        <f>IF(V503="Markdown Review",1,IF(V503="Reorder Candidate",2,IF(V503="Monitor",3,IF(V503="Noise",4,IF(V503="Not Ready",5,99)))))</f>
        <v/>
      </c>
      <c r="AD503" s="18">
        <f>IF(O503,COUNTIFS($O$5:$O$504,TRUE,$AC$5:$AC$504,"&lt;"&amp;AC503)+COUNTIFS($O$5:O503,TRUE,$AC$5:AC503,AC503,$Y$5:Y503,"&gt;"&amp;Y503),0)</f>
        <v/>
      </c>
    </row>
    <row r="504">
      <c r="A504" s="17">
        <f>IF(COUNTA('Weekly Input'!A504:C504)=0,"",'Weekly Input'!B504&amp;"|"&amp;'Weekly Input'!C504&amp;"|"&amp;TEXT('Weekly Input'!A504,"yyyy-mm-dd"))</f>
        <v/>
      </c>
      <c r="B504" s="18">
        <f>'Weekly Input'!B504</f>
        <v/>
      </c>
      <c r="C504" s="18">
        <f>'Weekly Input'!C504</f>
        <v/>
      </c>
      <c r="D504" s="18">
        <f>IF(B504="","",IFERROR(INDEX('Master Data'!$B$6:$B$145,MATCH(B504,'Master Data'!$A$6:$A$145,0)),""))</f>
        <v/>
      </c>
      <c r="E504" s="18">
        <f>IF(C504="","",IFERROR(INDEX('Master Data'!$H$6:$H$13,MATCH(C504,'Master Data'!$F$6:$F$13,0)),""))</f>
        <v/>
      </c>
      <c r="F504" s="19">
        <f>'Weekly Input'!A504</f>
        <v/>
      </c>
      <c r="G504" s="19">
        <f>IF(B504="","",IFERROR(INDEX('Master Data'!$D$6:$D$145,MATCH(B504,'Master Data'!$A$6:$A$145,0)),""))</f>
        <v/>
      </c>
      <c r="H504" s="18">
        <f>IF(OR(F504="",G504=""),"",F504-G504)</f>
        <v/>
      </c>
      <c r="I504" s="18">
        <f>IF(B504="","",IF('Weekly Input'!J504="OK",TRUE,FALSE))</f>
        <v/>
      </c>
      <c r="J504" s="18">
        <f>IF(B504="","",'Weekly Input'!H504&gt;=MinInStockDays)</f>
        <v/>
      </c>
      <c r="K504" s="18">
        <f>IF(B504="","",H504&gt;=FullCycleMin)</f>
        <v/>
      </c>
      <c r="L504" s="18">
        <f>IF(B504="","",AND(I504,J504,K504,N504&gt;=MinHistory))</f>
        <v/>
      </c>
      <c r="M504" s="20">
        <f>IF(OR(B504="",'Weekly Input'!H504=0),"",'Weekly Input'!D504/'Weekly Input'!H504*7)</f>
        <v/>
      </c>
      <c r="N504" s="18">
        <f>IF(B504="","",COUNTIFS($B$5:$B$504,B504,$C$5:$C$504,C504,$I$5:$I$504,TRUE,$J$5:$J$504,TRUE,$K$5:$K$504,TRUE))</f>
        <v/>
      </c>
      <c r="O504" s="18">
        <f>IF(B504="","",AND(F504=AsOfWeek,AsOfWeek&lt;&gt;""))</f>
        <v/>
      </c>
      <c r="P504" s="20">
        <f>IF(OR(B504="",AsOfWeek=""),"",IFERROR(SUMIFS($M$5:$M$504,$B$5:$B$504,B504,$C$5:$C$504,C504,$L$5:$L$504,TRUE,$F$5:$F$504,"&gt;="&amp;AsOfWeek-7*(RecentWeeks-1),$F$5:$F$504,"&lt;="&amp;AsOfWeek),""))</f>
        <v/>
      </c>
      <c r="Q504" s="20">
        <f>IF(OR(B504="",AsOfWeek=""),"",IFERROR(SUMIFS($M$5:$M$504,$B$5:$B$504,B504,$C$5:$C$504,C504,$L$5:$L$504,TRUE,$F$5:$F$504,"&gt;="&amp;AsOfWeek-7*(RecentWeeks+PriorWeeks-1),$F$5:$F$504,"&lt;"&amp;AsOfWeek-7*(RecentWeeks-1)),""))</f>
        <v/>
      </c>
      <c r="R504" s="21">
        <f>IF(OR(P504="",Q504="",Q504=0),"",P504/Q504-1)</f>
        <v/>
      </c>
      <c r="S504" s="20">
        <f>IF(OR(C504="",AsOfWeek=""),"",IFERROR(AVERAGEIFS($M$5:$M$504,$C$5:$C$504,C504,$L$5:$L$504,TRUE,$F$5:$F$504,"&gt;="&amp;AsOfWeek-7*(RecentWeeks-1),$F$5:$F$504,"&lt;="&amp;AsOfWeek),""))</f>
        <v/>
      </c>
      <c r="T504" s="21">
        <f>IF(OR(P504="",S504=""),"",P504/S504-1)</f>
        <v/>
      </c>
      <c r="U504" s="22">
        <f>IF(OR(B504="",'Weekly Input'!G504="",P504="",P504=0),"",'Weekly Input'!G504/P504)</f>
        <v/>
      </c>
      <c r="V504" s="18">
        <f>IF(B504="","",IF(NOT(I504),"Not Ready",IF(NOT(K504),"Not Ready",IF(N504&lt;MinHistory,"Not Ready",IF(NOT(J504),"Not Ready",IF(OR(Q504="",Q504=0),"Noise",IF(Q504&lt;LowBaseThreshold,"Noise",IF(AND(R504&lt;=-OwnDecline,T504&lt;=-PeerGapThreshold),"Markdown Review",IF(AND(R504&gt;=ReorderUplift,U504&lt;&gt;"",U504&lt;=WeeksSupplyCap),"Reorder Candidate","Monitor"))))))))</f>
        <v/>
      </c>
      <c r="W504" s="18">
        <f>IF(B504="","",IF(NOT(I504),"INVALID_MASTER",IF(NOT(K504),"INCOMPLETE_SHELF_CYCLE",IF(N504&lt;MinHistory,"INSUFFICIENT_HISTORY",IF(NOT(J504),"INSUFFICIENT_IN_STOCK",IF(OR(Q504="",Q504=0),"NO_PRIOR_BASE",IF(Q504&lt;LowBaseThreshold,"LOW_BASE_NOISE",IF(V504="Markdown Review","MARKDOWN_PEER_GAP",IF(V504="Reorder Candidate","REORDER_UPLIFT_COVER","NO_MATERIAL_CHANGE"))))))))</f>
        <v/>
      </c>
      <c r="X504" s="18">
        <f>IF(V504="Markdown Review","Markdown support",IF(V504="Reorder Candidate","Second reorder",IF(V504="Monitor","Monitor",IF(V504="Noise","Hold / collect data",IF(V504="Not Ready","Not ready","")))))</f>
        <v/>
      </c>
      <c r="Y504" s="18">
        <f>IF(OR(R504="",T504=""),"",ABS(R504)+ABS(T504))</f>
        <v/>
      </c>
      <c r="Z504" s="21">
        <f>IF(OR(B504="",NOT(O504),R504=""),"",IF(ABS(R504)&gt;=MaterialThreshold,"Yes","No"))</f>
        <v/>
      </c>
      <c r="AA504" s="18">
        <f>IF(Z504&lt;&gt;"Yes","",IF(ABS(R504)&gt;=MaterialThreshold,IF(ABS(R504)&gt;=BroadShare,"Broad SKU movement","Store-concentrated movement"),""))</f>
        <v/>
      </c>
      <c r="AB504" s="18">
        <f>IF(O504,IF(COUNTIFS($O$5:O504,TRUE)&gt;0,COUNTIFS($O$5:O504,TRUE),0),0)</f>
        <v/>
      </c>
      <c r="AC504" s="18">
        <f>IF(V504="Markdown Review",1,IF(V504="Reorder Candidate",2,IF(V504="Monitor",3,IF(V504="Noise",4,IF(V504="Not Ready",5,99)))))</f>
        <v/>
      </c>
      <c r="AD504" s="18">
        <f>IF(O504,COUNTIFS($O$5:$O$504,TRUE,$AC$5:$AC$504,"&lt;"&amp;AC504)+COUNTIFS($O$5:O504,TRUE,$AC$5:AC504,AC504,$Y$5:Y504,"&gt;"&amp;Y504),0)</f>
        <v/>
      </c>
    </row>
  </sheetData>
  <autoFilter ref="A4:AD504"/>
  <mergeCells count="2">
    <mergeCell ref="A2:H2"/>
    <mergeCell ref="A1:H1"/>
  </mergeCells>
  <conditionalFormatting sqref="V5:V504">
    <cfRule type="expression" priority="1" dxfId="0">
      <formula>$V5="Markdown Review"</formula>
    </cfRule>
    <cfRule type="expression" priority="2" dxfId="1">
      <formula>$V5="Reorder Candidate"</formula>
    </cfRule>
    <cfRule type="expression" priority="3" dxfId="2">
      <formula>$V5="Noise"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W2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4" customWidth="1" min="4" max="4"/>
    <col width="14" customWidth="1" min="5" max="5"/>
    <col width="14" customWidth="1" min="6" max="6"/>
    <col width="18" customWidth="1" min="7" max="7"/>
    <col width="12" customWidth="1" min="8" max="8"/>
    <col width="16" customWidth="1" min="9" max="9"/>
    <col width="16" customWidth="1" min="10" max="10"/>
    <col width="12" customWidth="1" min="11" max="11"/>
    <col width="16" customWidth="1" min="12" max="12"/>
    <col width="12" customWidth="1" min="13" max="13"/>
    <col width="18" customWidth="1" min="14" max="14"/>
    <col width="20" customWidth="1" min="15" max="15"/>
    <col width="24" customWidth="1" min="16" max="16"/>
    <col width="18" customWidth="1" min="17" max="17"/>
    <col width="12" customWidth="1" min="18" max="18"/>
    <col width="14" customWidth="1" min="19" max="19"/>
    <col width="26" customWidth="1" min="20" max="20"/>
    <col width="28" customWidth="1" min="21" max="21"/>
    <col width="30" customWidth="1" min="22" max="22"/>
    <col width="16" customWidth="1" min="23" max="23"/>
  </cols>
  <sheetData>
    <row r="1">
      <c r="A1" s="1" t="inlineStr">
        <is>
          <t>Exceptions</t>
        </is>
      </c>
    </row>
    <row r="2">
      <c r="A2" s="2" t="inlineStr">
        <is>
          <t>Formula-driven current register; one row per latest-week SKU-store combination. Human review fields are blank.</t>
        </is>
      </c>
    </row>
    <row r="4">
      <c r="A4" s="6" t="inlineStr">
        <is>
          <t>Store ID</t>
        </is>
      </c>
      <c r="B4" s="6" t="inlineStr">
        <is>
          <t>SKU</t>
        </is>
      </c>
      <c r="C4" s="6" t="inlineStr">
        <is>
          <t>Store Name</t>
        </is>
      </c>
      <c r="D4" s="6" t="inlineStr">
        <is>
          <t>Category</t>
        </is>
      </c>
      <c r="E4" s="6" t="inlineStr">
        <is>
          <t>Week Ending</t>
        </is>
      </c>
      <c r="F4" s="6" t="inlineStr">
        <is>
          <t>Shelf-Set Date</t>
        </is>
      </c>
      <c r="G4" s="6" t="inlineStr">
        <is>
          <t>Shelf-Cycle Age (days)</t>
        </is>
      </c>
      <c r="H4" s="6" t="inlineStr">
        <is>
          <t>Eligible</t>
        </is>
      </c>
      <c r="I4" s="6" t="inlineStr">
        <is>
          <t>Recent Velocity</t>
        </is>
      </c>
      <c r="J4" s="6" t="inlineStr">
        <is>
          <t>Prior Velocity</t>
        </is>
      </c>
      <c r="K4" s="6" t="inlineStr">
        <is>
          <t>Own Change</t>
        </is>
      </c>
      <c r="L4" s="6" t="inlineStr">
        <is>
          <t>SKU Peer Velocity</t>
        </is>
      </c>
      <c r="M4" s="6" t="inlineStr">
        <is>
          <t>Peer Gap</t>
        </is>
      </c>
      <c r="N4" s="6" t="inlineStr">
        <is>
          <t>Inventory Cover (weeks)</t>
        </is>
      </c>
      <c r="O4" s="6" t="inlineStr">
        <is>
          <t>Outcome</t>
        </is>
      </c>
      <c r="P4" s="6" t="inlineStr">
        <is>
          <t>Reason Code</t>
        </is>
      </c>
      <c r="Q4" s="6" t="inlineStr">
        <is>
          <t>Action</t>
        </is>
      </c>
      <c r="R4" s="6" t="inlineStr">
        <is>
          <t>Severity</t>
        </is>
      </c>
      <c r="S4" s="6" t="inlineStr">
        <is>
          <t>Material Change</t>
        </is>
      </c>
      <c r="T4" s="6" t="inlineStr">
        <is>
          <t>Driver</t>
        </is>
      </c>
      <c r="U4" s="6" t="inlineStr">
        <is>
          <t>Review Notes</t>
        </is>
      </c>
      <c r="V4" s="6" t="inlineStr">
        <is>
          <t>Disposition Comment</t>
        </is>
      </c>
      <c r="W4" s="6" t="inlineStr">
        <is>
          <t>Sign-off</t>
        </is>
      </c>
    </row>
    <row r="5">
      <c r="A5" s="18">
        <f>IFERROR(INDEX(Model!$B$5:$B$504,MATCH(ROWS($A$5:A5),Model!$AD$5:$AD$504,0)),"")</f>
        <v/>
      </c>
      <c r="B5" s="18">
        <f>IF(A5="","",INDEX(Model!$C$5:$C$504,MATCH(ROWS($A$5:A5),Model!$AD$5:$AD$504,0)))</f>
        <v/>
      </c>
      <c r="C5" s="18">
        <f>IF(A5="","",INDEX(Model!$D$5:$D$504,MATCH(ROWS($A$5:A5),Model!$AD$5:$AD$504,0)))</f>
        <v/>
      </c>
      <c r="D5" s="18">
        <f>IF(A5="","",INDEX(Model!$E$5:$E$504,MATCH(ROWS($A$5:A5),Model!$AD$5:$AD$504,0)))</f>
        <v/>
      </c>
      <c r="E5" s="19">
        <f>IF(A5="","",INDEX(Model!$F$5:$F$504,MATCH(ROWS($A$5:A5),Model!$AD$5:$AD$504,0)))</f>
        <v/>
      </c>
      <c r="F5" s="19">
        <f>IF(A5="","",INDEX(Model!$G$5:$G$504,MATCH(ROWS($A$5:A5),Model!$AD$5:$AD$504,0)))</f>
        <v/>
      </c>
      <c r="G5" s="18">
        <f>IF(A5="","",INDEX(Model!$H$5:$H$504,MATCH(ROWS($A$5:A5),Model!$AD$5:$AD$504,0)))</f>
        <v/>
      </c>
      <c r="H5" s="18">
        <f>IF(A5="","",INDEX(Model!$L$5:$L$504,MATCH(ROWS($A$5:A5),Model!$AD$5:$AD$504,0)))</f>
        <v/>
      </c>
      <c r="I5" s="20">
        <f>IF(A5="","",INDEX(Model!$P$5:$P$504,MATCH(ROWS($A$5:A5),Model!$AD$5:$AD$504,0)))</f>
        <v/>
      </c>
      <c r="J5" s="20">
        <f>IF(A5="","",INDEX(Model!$Q$5:$Q$504,MATCH(ROWS($A$5:A5),Model!$AD$5:$AD$504,0)))</f>
        <v/>
      </c>
      <c r="K5" s="21">
        <f>IF(A5="","",INDEX(Model!$R$5:$R$504,MATCH(ROWS($A$5:A5),Model!$AD$5:$AD$504,0)))</f>
        <v/>
      </c>
      <c r="L5" s="20">
        <f>IF(A5="","",INDEX(Model!$S$5:$S$504,MATCH(ROWS($A$5:A5),Model!$AD$5:$AD$504,0)))</f>
        <v/>
      </c>
      <c r="M5" s="21">
        <f>IF(A5="","",INDEX(Model!$T$5:$T$504,MATCH(ROWS($A$5:A5),Model!$AD$5:$AD$504,0)))</f>
        <v/>
      </c>
      <c r="N5" s="18">
        <f>IF(A5="","",INDEX(Model!$U$5:$U$504,MATCH(ROWS($A$5:A5),Model!$AD$5:$AD$504,0)))</f>
        <v/>
      </c>
      <c r="O5" s="18">
        <f>IF(A5="","",INDEX(Model!$V$5:$V$504,MATCH(ROWS($A$5:A5),Model!$AD$5:$AD$504,0)))</f>
        <v/>
      </c>
      <c r="P5" s="18">
        <f>IF(A5="","",INDEX(Model!$W$5:$W$504,MATCH(ROWS($A$5:A5),Model!$AD$5:$AD$504,0)))</f>
        <v/>
      </c>
      <c r="Q5" s="18">
        <f>IF(A5="","",INDEX(Model!$X$5:$X$504,MATCH(ROWS($A$5:A5),Model!$AD$5:$AD$504,0)))</f>
        <v/>
      </c>
      <c r="R5" s="18">
        <f>IF(A5="","",INDEX(Model!$Y$5:$Y$504,MATCH(ROWS($A$5:A5),Model!$AD$5:$AD$504,0)))</f>
        <v/>
      </c>
      <c r="S5" s="21">
        <f>IF(A5="","",INDEX(Model!$Z$5:$Z$504,MATCH(ROWS($A$5:A5),Model!$AD$5:$AD$504,0)))</f>
        <v/>
      </c>
      <c r="T5" s="18">
        <f>IF(A5="","",INDEX(Model!$AA$5:$AA$504,MATCH(ROWS($A$5:A5),Model!$AD$5:$AD$504,0)))</f>
        <v/>
      </c>
      <c r="U5" s="13" t="n"/>
      <c r="V5" s="13" t="n"/>
      <c r="W5" s="13" t="n"/>
    </row>
    <row r="6">
      <c r="A6" s="18">
        <f>IFERROR(INDEX(Model!$B$5:$B$504,MATCH(ROWS($A$5:A6),Model!$AD$5:$AD$504,0)),"")</f>
        <v/>
      </c>
      <c r="B6" s="18">
        <f>IF(A6="","",INDEX(Model!$C$5:$C$504,MATCH(ROWS($A$5:A6),Model!$AD$5:$AD$504,0)))</f>
        <v/>
      </c>
      <c r="C6" s="18">
        <f>IF(A6="","",INDEX(Model!$D$5:$D$504,MATCH(ROWS($A$5:A6),Model!$AD$5:$AD$504,0)))</f>
        <v/>
      </c>
      <c r="D6" s="18">
        <f>IF(A6="","",INDEX(Model!$E$5:$E$504,MATCH(ROWS($A$5:A6),Model!$AD$5:$AD$504,0)))</f>
        <v/>
      </c>
      <c r="E6" s="19">
        <f>IF(A6="","",INDEX(Model!$F$5:$F$504,MATCH(ROWS($A$5:A6),Model!$AD$5:$AD$504,0)))</f>
        <v/>
      </c>
      <c r="F6" s="19">
        <f>IF(A6="","",INDEX(Model!$G$5:$G$504,MATCH(ROWS($A$5:A6),Model!$AD$5:$AD$504,0)))</f>
        <v/>
      </c>
      <c r="G6" s="18">
        <f>IF(A6="","",INDEX(Model!$H$5:$H$504,MATCH(ROWS($A$5:A6),Model!$AD$5:$AD$504,0)))</f>
        <v/>
      </c>
      <c r="H6" s="18">
        <f>IF(A6="","",INDEX(Model!$L$5:$L$504,MATCH(ROWS($A$5:A6),Model!$AD$5:$AD$504,0)))</f>
        <v/>
      </c>
      <c r="I6" s="20">
        <f>IF(A6="","",INDEX(Model!$P$5:$P$504,MATCH(ROWS($A$5:A6),Model!$AD$5:$AD$504,0)))</f>
        <v/>
      </c>
      <c r="J6" s="20">
        <f>IF(A6="","",INDEX(Model!$Q$5:$Q$504,MATCH(ROWS($A$5:A6),Model!$AD$5:$AD$504,0)))</f>
        <v/>
      </c>
      <c r="K6" s="21">
        <f>IF(A6="","",INDEX(Model!$R$5:$R$504,MATCH(ROWS($A$5:A6),Model!$AD$5:$AD$504,0)))</f>
        <v/>
      </c>
      <c r="L6" s="20">
        <f>IF(A6="","",INDEX(Model!$S$5:$S$504,MATCH(ROWS($A$5:A6),Model!$AD$5:$AD$504,0)))</f>
        <v/>
      </c>
      <c r="M6" s="21">
        <f>IF(A6="","",INDEX(Model!$T$5:$T$504,MATCH(ROWS($A$5:A6),Model!$AD$5:$AD$504,0)))</f>
        <v/>
      </c>
      <c r="N6" s="18">
        <f>IF(A6="","",INDEX(Model!$U$5:$U$504,MATCH(ROWS($A$5:A6),Model!$AD$5:$AD$504,0)))</f>
        <v/>
      </c>
      <c r="O6" s="18">
        <f>IF(A6="","",INDEX(Model!$V$5:$V$504,MATCH(ROWS($A$5:A6),Model!$AD$5:$AD$504,0)))</f>
        <v/>
      </c>
      <c r="P6" s="18">
        <f>IF(A6="","",INDEX(Model!$W$5:$W$504,MATCH(ROWS($A$5:A6),Model!$AD$5:$AD$504,0)))</f>
        <v/>
      </c>
      <c r="Q6" s="18">
        <f>IF(A6="","",INDEX(Model!$X$5:$X$504,MATCH(ROWS($A$5:A6),Model!$AD$5:$AD$504,0)))</f>
        <v/>
      </c>
      <c r="R6" s="18">
        <f>IF(A6="","",INDEX(Model!$Y$5:$Y$504,MATCH(ROWS($A$5:A6),Model!$AD$5:$AD$504,0)))</f>
        <v/>
      </c>
      <c r="S6" s="21">
        <f>IF(A6="","",INDEX(Model!$Z$5:$Z$504,MATCH(ROWS($A$5:A6),Model!$AD$5:$AD$504,0)))</f>
        <v/>
      </c>
      <c r="T6" s="18">
        <f>IF(A6="","",INDEX(Model!$AA$5:$AA$504,MATCH(ROWS($A$5:A6),Model!$AD$5:$AD$504,0)))</f>
        <v/>
      </c>
      <c r="U6" s="13" t="n"/>
      <c r="V6" s="13" t="n"/>
      <c r="W6" s="13" t="n"/>
    </row>
    <row r="7">
      <c r="A7" s="18">
        <f>IFERROR(INDEX(Model!$B$5:$B$504,MATCH(ROWS($A$5:A7),Model!$AD$5:$AD$504,0)),"")</f>
        <v/>
      </c>
      <c r="B7" s="18">
        <f>IF(A7="","",INDEX(Model!$C$5:$C$504,MATCH(ROWS($A$5:A7),Model!$AD$5:$AD$504,0)))</f>
        <v/>
      </c>
      <c r="C7" s="18">
        <f>IF(A7="","",INDEX(Model!$D$5:$D$504,MATCH(ROWS($A$5:A7),Model!$AD$5:$AD$504,0)))</f>
        <v/>
      </c>
      <c r="D7" s="18">
        <f>IF(A7="","",INDEX(Model!$E$5:$E$504,MATCH(ROWS($A$5:A7),Model!$AD$5:$AD$504,0)))</f>
        <v/>
      </c>
      <c r="E7" s="19">
        <f>IF(A7="","",INDEX(Model!$F$5:$F$504,MATCH(ROWS($A$5:A7),Model!$AD$5:$AD$504,0)))</f>
        <v/>
      </c>
      <c r="F7" s="19">
        <f>IF(A7="","",INDEX(Model!$G$5:$G$504,MATCH(ROWS($A$5:A7),Model!$AD$5:$AD$504,0)))</f>
        <v/>
      </c>
      <c r="G7" s="18">
        <f>IF(A7="","",INDEX(Model!$H$5:$H$504,MATCH(ROWS($A$5:A7),Model!$AD$5:$AD$504,0)))</f>
        <v/>
      </c>
      <c r="H7" s="18">
        <f>IF(A7="","",INDEX(Model!$L$5:$L$504,MATCH(ROWS($A$5:A7),Model!$AD$5:$AD$504,0)))</f>
        <v/>
      </c>
      <c r="I7" s="20">
        <f>IF(A7="","",INDEX(Model!$P$5:$P$504,MATCH(ROWS($A$5:A7),Model!$AD$5:$AD$504,0)))</f>
        <v/>
      </c>
      <c r="J7" s="20">
        <f>IF(A7="","",INDEX(Model!$Q$5:$Q$504,MATCH(ROWS($A$5:A7),Model!$AD$5:$AD$504,0)))</f>
        <v/>
      </c>
      <c r="K7" s="21">
        <f>IF(A7="","",INDEX(Model!$R$5:$R$504,MATCH(ROWS($A$5:A7),Model!$AD$5:$AD$504,0)))</f>
        <v/>
      </c>
      <c r="L7" s="20">
        <f>IF(A7="","",INDEX(Model!$S$5:$S$504,MATCH(ROWS($A$5:A7),Model!$AD$5:$AD$504,0)))</f>
        <v/>
      </c>
      <c r="M7" s="21">
        <f>IF(A7="","",INDEX(Model!$T$5:$T$504,MATCH(ROWS($A$5:A7),Model!$AD$5:$AD$504,0)))</f>
        <v/>
      </c>
      <c r="N7" s="18">
        <f>IF(A7="","",INDEX(Model!$U$5:$U$504,MATCH(ROWS($A$5:A7),Model!$AD$5:$AD$504,0)))</f>
        <v/>
      </c>
      <c r="O7" s="18">
        <f>IF(A7="","",INDEX(Model!$V$5:$V$504,MATCH(ROWS($A$5:A7),Model!$AD$5:$AD$504,0)))</f>
        <v/>
      </c>
      <c r="P7" s="18">
        <f>IF(A7="","",INDEX(Model!$W$5:$W$504,MATCH(ROWS($A$5:A7),Model!$AD$5:$AD$504,0)))</f>
        <v/>
      </c>
      <c r="Q7" s="18">
        <f>IF(A7="","",INDEX(Model!$X$5:$X$504,MATCH(ROWS($A$5:A7),Model!$AD$5:$AD$504,0)))</f>
        <v/>
      </c>
      <c r="R7" s="18">
        <f>IF(A7="","",INDEX(Model!$Y$5:$Y$504,MATCH(ROWS($A$5:A7),Model!$AD$5:$AD$504,0)))</f>
        <v/>
      </c>
      <c r="S7" s="21">
        <f>IF(A7="","",INDEX(Model!$Z$5:$Z$504,MATCH(ROWS($A$5:A7),Model!$AD$5:$AD$504,0)))</f>
        <v/>
      </c>
      <c r="T7" s="18">
        <f>IF(A7="","",INDEX(Model!$AA$5:$AA$504,MATCH(ROWS($A$5:A7),Model!$AD$5:$AD$504,0)))</f>
        <v/>
      </c>
      <c r="U7" s="13" t="n"/>
      <c r="V7" s="13" t="n"/>
      <c r="W7" s="13" t="n"/>
    </row>
    <row r="8">
      <c r="A8" s="18">
        <f>IFERROR(INDEX(Model!$B$5:$B$504,MATCH(ROWS($A$5:A8),Model!$AD$5:$AD$504,0)),"")</f>
        <v/>
      </c>
      <c r="B8" s="18">
        <f>IF(A8="","",INDEX(Model!$C$5:$C$504,MATCH(ROWS($A$5:A8),Model!$AD$5:$AD$504,0)))</f>
        <v/>
      </c>
      <c r="C8" s="18">
        <f>IF(A8="","",INDEX(Model!$D$5:$D$504,MATCH(ROWS($A$5:A8),Model!$AD$5:$AD$504,0)))</f>
        <v/>
      </c>
      <c r="D8" s="18">
        <f>IF(A8="","",INDEX(Model!$E$5:$E$504,MATCH(ROWS($A$5:A8),Model!$AD$5:$AD$504,0)))</f>
        <v/>
      </c>
      <c r="E8" s="19">
        <f>IF(A8="","",INDEX(Model!$F$5:$F$504,MATCH(ROWS($A$5:A8),Model!$AD$5:$AD$504,0)))</f>
        <v/>
      </c>
      <c r="F8" s="19">
        <f>IF(A8="","",INDEX(Model!$G$5:$G$504,MATCH(ROWS($A$5:A8),Model!$AD$5:$AD$504,0)))</f>
        <v/>
      </c>
      <c r="G8" s="18">
        <f>IF(A8="","",INDEX(Model!$H$5:$H$504,MATCH(ROWS($A$5:A8),Model!$AD$5:$AD$504,0)))</f>
        <v/>
      </c>
      <c r="H8" s="18">
        <f>IF(A8="","",INDEX(Model!$L$5:$L$504,MATCH(ROWS($A$5:A8),Model!$AD$5:$AD$504,0)))</f>
        <v/>
      </c>
      <c r="I8" s="20">
        <f>IF(A8="","",INDEX(Model!$P$5:$P$504,MATCH(ROWS($A$5:A8),Model!$AD$5:$AD$504,0)))</f>
        <v/>
      </c>
      <c r="J8" s="20">
        <f>IF(A8="","",INDEX(Model!$Q$5:$Q$504,MATCH(ROWS($A$5:A8),Model!$AD$5:$AD$504,0)))</f>
        <v/>
      </c>
      <c r="K8" s="21">
        <f>IF(A8="","",INDEX(Model!$R$5:$R$504,MATCH(ROWS($A$5:A8),Model!$AD$5:$AD$504,0)))</f>
        <v/>
      </c>
      <c r="L8" s="20">
        <f>IF(A8="","",INDEX(Model!$S$5:$S$504,MATCH(ROWS($A$5:A8),Model!$AD$5:$AD$504,0)))</f>
        <v/>
      </c>
      <c r="M8" s="21">
        <f>IF(A8="","",INDEX(Model!$T$5:$T$504,MATCH(ROWS($A$5:A8),Model!$AD$5:$AD$504,0)))</f>
        <v/>
      </c>
      <c r="N8" s="18">
        <f>IF(A8="","",INDEX(Model!$U$5:$U$504,MATCH(ROWS($A$5:A8),Model!$AD$5:$AD$504,0)))</f>
        <v/>
      </c>
      <c r="O8" s="18">
        <f>IF(A8="","",INDEX(Model!$V$5:$V$504,MATCH(ROWS($A$5:A8),Model!$AD$5:$AD$504,0)))</f>
        <v/>
      </c>
      <c r="P8" s="18">
        <f>IF(A8="","",INDEX(Model!$W$5:$W$504,MATCH(ROWS($A$5:A8),Model!$AD$5:$AD$504,0)))</f>
        <v/>
      </c>
      <c r="Q8" s="18">
        <f>IF(A8="","",INDEX(Model!$X$5:$X$504,MATCH(ROWS($A$5:A8),Model!$AD$5:$AD$504,0)))</f>
        <v/>
      </c>
      <c r="R8" s="18">
        <f>IF(A8="","",INDEX(Model!$Y$5:$Y$504,MATCH(ROWS($A$5:A8),Model!$AD$5:$AD$504,0)))</f>
        <v/>
      </c>
      <c r="S8" s="21">
        <f>IF(A8="","",INDEX(Model!$Z$5:$Z$504,MATCH(ROWS($A$5:A8),Model!$AD$5:$AD$504,0)))</f>
        <v/>
      </c>
      <c r="T8" s="18">
        <f>IF(A8="","",INDEX(Model!$AA$5:$AA$504,MATCH(ROWS($A$5:A8),Model!$AD$5:$AD$504,0)))</f>
        <v/>
      </c>
      <c r="U8" s="13" t="n"/>
      <c r="V8" s="13" t="n"/>
      <c r="W8" s="13" t="n"/>
    </row>
    <row r="9">
      <c r="A9" s="18">
        <f>IFERROR(INDEX(Model!$B$5:$B$504,MATCH(ROWS($A$5:A9),Model!$AD$5:$AD$504,0)),"")</f>
        <v/>
      </c>
      <c r="B9" s="18">
        <f>IF(A9="","",INDEX(Model!$C$5:$C$504,MATCH(ROWS($A$5:A9),Model!$AD$5:$AD$504,0)))</f>
        <v/>
      </c>
      <c r="C9" s="18">
        <f>IF(A9="","",INDEX(Model!$D$5:$D$504,MATCH(ROWS($A$5:A9),Model!$AD$5:$AD$504,0)))</f>
        <v/>
      </c>
      <c r="D9" s="18">
        <f>IF(A9="","",INDEX(Model!$E$5:$E$504,MATCH(ROWS($A$5:A9),Model!$AD$5:$AD$504,0)))</f>
        <v/>
      </c>
      <c r="E9" s="19">
        <f>IF(A9="","",INDEX(Model!$F$5:$F$504,MATCH(ROWS($A$5:A9),Model!$AD$5:$AD$504,0)))</f>
        <v/>
      </c>
      <c r="F9" s="19">
        <f>IF(A9="","",INDEX(Model!$G$5:$G$504,MATCH(ROWS($A$5:A9),Model!$AD$5:$AD$504,0)))</f>
        <v/>
      </c>
      <c r="G9" s="18">
        <f>IF(A9="","",INDEX(Model!$H$5:$H$504,MATCH(ROWS($A$5:A9),Model!$AD$5:$AD$504,0)))</f>
        <v/>
      </c>
      <c r="H9" s="18">
        <f>IF(A9="","",INDEX(Model!$L$5:$L$504,MATCH(ROWS($A$5:A9),Model!$AD$5:$AD$504,0)))</f>
        <v/>
      </c>
      <c r="I9" s="20">
        <f>IF(A9="","",INDEX(Model!$P$5:$P$504,MATCH(ROWS($A$5:A9),Model!$AD$5:$AD$504,0)))</f>
        <v/>
      </c>
      <c r="J9" s="20">
        <f>IF(A9="","",INDEX(Model!$Q$5:$Q$504,MATCH(ROWS($A$5:A9),Model!$AD$5:$AD$504,0)))</f>
        <v/>
      </c>
      <c r="K9" s="21">
        <f>IF(A9="","",INDEX(Model!$R$5:$R$504,MATCH(ROWS($A$5:A9),Model!$AD$5:$AD$504,0)))</f>
        <v/>
      </c>
      <c r="L9" s="20">
        <f>IF(A9="","",INDEX(Model!$S$5:$S$504,MATCH(ROWS($A$5:A9),Model!$AD$5:$AD$504,0)))</f>
        <v/>
      </c>
      <c r="M9" s="21">
        <f>IF(A9="","",INDEX(Model!$T$5:$T$504,MATCH(ROWS($A$5:A9),Model!$AD$5:$AD$504,0)))</f>
        <v/>
      </c>
      <c r="N9" s="18">
        <f>IF(A9="","",INDEX(Model!$U$5:$U$504,MATCH(ROWS($A$5:A9),Model!$AD$5:$AD$504,0)))</f>
        <v/>
      </c>
      <c r="O9" s="18">
        <f>IF(A9="","",INDEX(Model!$V$5:$V$504,MATCH(ROWS($A$5:A9),Model!$AD$5:$AD$504,0)))</f>
        <v/>
      </c>
      <c r="P9" s="18">
        <f>IF(A9="","",INDEX(Model!$W$5:$W$504,MATCH(ROWS($A$5:A9),Model!$AD$5:$AD$504,0)))</f>
        <v/>
      </c>
      <c r="Q9" s="18">
        <f>IF(A9="","",INDEX(Model!$X$5:$X$504,MATCH(ROWS($A$5:A9),Model!$AD$5:$AD$504,0)))</f>
        <v/>
      </c>
      <c r="R9" s="18">
        <f>IF(A9="","",INDEX(Model!$Y$5:$Y$504,MATCH(ROWS($A$5:A9),Model!$AD$5:$AD$504,0)))</f>
        <v/>
      </c>
      <c r="S9" s="21">
        <f>IF(A9="","",INDEX(Model!$Z$5:$Z$504,MATCH(ROWS($A$5:A9),Model!$AD$5:$AD$504,0)))</f>
        <v/>
      </c>
      <c r="T9" s="18">
        <f>IF(A9="","",INDEX(Model!$AA$5:$AA$504,MATCH(ROWS($A$5:A9),Model!$AD$5:$AD$504,0)))</f>
        <v/>
      </c>
      <c r="U9" s="13" t="n"/>
      <c r="V9" s="13" t="n"/>
      <c r="W9" s="13" t="n"/>
    </row>
    <row r="10">
      <c r="A10" s="18">
        <f>IFERROR(INDEX(Model!$B$5:$B$504,MATCH(ROWS($A$5:A10),Model!$AD$5:$AD$504,0)),"")</f>
        <v/>
      </c>
      <c r="B10" s="18">
        <f>IF(A10="","",INDEX(Model!$C$5:$C$504,MATCH(ROWS($A$5:A10),Model!$AD$5:$AD$504,0)))</f>
        <v/>
      </c>
      <c r="C10" s="18">
        <f>IF(A10="","",INDEX(Model!$D$5:$D$504,MATCH(ROWS($A$5:A10),Model!$AD$5:$AD$504,0)))</f>
        <v/>
      </c>
      <c r="D10" s="18">
        <f>IF(A10="","",INDEX(Model!$E$5:$E$504,MATCH(ROWS($A$5:A10),Model!$AD$5:$AD$504,0)))</f>
        <v/>
      </c>
      <c r="E10" s="19">
        <f>IF(A10="","",INDEX(Model!$F$5:$F$504,MATCH(ROWS($A$5:A10),Model!$AD$5:$AD$504,0)))</f>
        <v/>
      </c>
      <c r="F10" s="19">
        <f>IF(A10="","",INDEX(Model!$G$5:$G$504,MATCH(ROWS($A$5:A10),Model!$AD$5:$AD$504,0)))</f>
        <v/>
      </c>
      <c r="G10" s="18">
        <f>IF(A10="","",INDEX(Model!$H$5:$H$504,MATCH(ROWS($A$5:A10),Model!$AD$5:$AD$504,0)))</f>
        <v/>
      </c>
      <c r="H10" s="18">
        <f>IF(A10="","",INDEX(Model!$L$5:$L$504,MATCH(ROWS($A$5:A10),Model!$AD$5:$AD$504,0)))</f>
        <v/>
      </c>
      <c r="I10" s="20">
        <f>IF(A10="","",INDEX(Model!$P$5:$P$504,MATCH(ROWS($A$5:A10),Model!$AD$5:$AD$504,0)))</f>
        <v/>
      </c>
      <c r="J10" s="20">
        <f>IF(A10="","",INDEX(Model!$Q$5:$Q$504,MATCH(ROWS($A$5:A10),Model!$AD$5:$AD$504,0)))</f>
        <v/>
      </c>
      <c r="K10" s="21">
        <f>IF(A10="","",INDEX(Model!$R$5:$R$504,MATCH(ROWS($A$5:A10),Model!$AD$5:$AD$504,0)))</f>
        <v/>
      </c>
      <c r="L10" s="20">
        <f>IF(A10="","",INDEX(Model!$S$5:$S$504,MATCH(ROWS($A$5:A10),Model!$AD$5:$AD$504,0)))</f>
        <v/>
      </c>
      <c r="M10" s="21">
        <f>IF(A10="","",INDEX(Model!$T$5:$T$504,MATCH(ROWS($A$5:A10),Model!$AD$5:$AD$504,0)))</f>
        <v/>
      </c>
      <c r="N10" s="18">
        <f>IF(A10="","",INDEX(Model!$U$5:$U$504,MATCH(ROWS($A$5:A10),Model!$AD$5:$AD$504,0)))</f>
        <v/>
      </c>
      <c r="O10" s="18">
        <f>IF(A10="","",INDEX(Model!$V$5:$V$504,MATCH(ROWS($A$5:A10),Model!$AD$5:$AD$504,0)))</f>
        <v/>
      </c>
      <c r="P10" s="18">
        <f>IF(A10="","",INDEX(Model!$W$5:$W$504,MATCH(ROWS($A$5:A10),Model!$AD$5:$AD$504,0)))</f>
        <v/>
      </c>
      <c r="Q10" s="18">
        <f>IF(A10="","",INDEX(Model!$X$5:$X$504,MATCH(ROWS($A$5:A10),Model!$AD$5:$AD$504,0)))</f>
        <v/>
      </c>
      <c r="R10" s="18">
        <f>IF(A10="","",INDEX(Model!$Y$5:$Y$504,MATCH(ROWS($A$5:A10),Model!$AD$5:$AD$504,0)))</f>
        <v/>
      </c>
      <c r="S10" s="21">
        <f>IF(A10="","",INDEX(Model!$Z$5:$Z$504,MATCH(ROWS($A$5:A10),Model!$AD$5:$AD$504,0)))</f>
        <v/>
      </c>
      <c r="T10" s="18">
        <f>IF(A10="","",INDEX(Model!$AA$5:$AA$504,MATCH(ROWS($A$5:A10),Model!$AD$5:$AD$504,0)))</f>
        <v/>
      </c>
      <c r="U10" s="13" t="n"/>
      <c r="V10" s="13" t="n"/>
      <c r="W10" s="13" t="n"/>
    </row>
    <row r="11">
      <c r="A11" s="18">
        <f>IFERROR(INDEX(Model!$B$5:$B$504,MATCH(ROWS($A$5:A11),Model!$AD$5:$AD$504,0)),"")</f>
        <v/>
      </c>
      <c r="B11" s="18">
        <f>IF(A11="","",INDEX(Model!$C$5:$C$504,MATCH(ROWS($A$5:A11),Model!$AD$5:$AD$504,0)))</f>
        <v/>
      </c>
      <c r="C11" s="18">
        <f>IF(A11="","",INDEX(Model!$D$5:$D$504,MATCH(ROWS($A$5:A11),Model!$AD$5:$AD$504,0)))</f>
        <v/>
      </c>
      <c r="D11" s="18">
        <f>IF(A11="","",INDEX(Model!$E$5:$E$504,MATCH(ROWS($A$5:A11),Model!$AD$5:$AD$504,0)))</f>
        <v/>
      </c>
      <c r="E11" s="19">
        <f>IF(A11="","",INDEX(Model!$F$5:$F$504,MATCH(ROWS($A$5:A11),Model!$AD$5:$AD$504,0)))</f>
        <v/>
      </c>
      <c r="F11" s="19">
        <f>IF(A11="","",INDEX(Model!$G$5:$G$504,MATCH(ROWS($A$5:A11),Model!$AD$5:$AD$504,0)))</f>
        <v/>
      </c>
      <c r="G11" s="18">
        <f>IF(A11="","",INDEX(Model!$H$5:$H$504,MATCH(ROWS($A$5:A11),Model!$AD$5:$AD$504,0)))</f>
        <v/>
      </c>
      <c r="H11" s="18">
        <f>IF(A11="","",INDEX(Model!$L$5:$L$504,MATCH(ROWS($A$5:A11),Model!$AD$5:$AD$504,0)))</f>
        <v/>
      </c>
      <c r="I11" s="20">
        <f>IF(A11="","",INDEX(Model!$P$5:$P$504,MATCH(ROWS($A$5:A11),Model!$AD$5:$AD$504,0)))</f>
        <v/>
      </c>
      <c r="J11" s="20">
        <f>IF(A11="","",INDEX(Model!$Q$5:$Q$504,MATCH(ROWS($A$5:A11),Model!$AD$5:$AD$504,0)))</f>
        <v/>
      </c>
      <c r="K11" s="21">
        <f>IF(A11="","",INDEX(Model!$R$5:$R$504,MATCH(ROWS($A$5:A11),Model!$AD$5:$AD$504,0)))</f>
        <v/>
      </c>
      <c r="L11" s="20">
        <f>IF(A11="","",INDEX(Model!$S$5:$S$504,MATCH(ROWS($A$5:A11),Model!$AD$5:$AD$504,0)))</f>
        <v/>
      </c>
      <c r="M11" s="21">
        <f>IF(A11="","",INDEX(Model!$T$5:$T$504,MATCH(ROWS($A$5:A11),Model!$AD$5:$AD$504,0)))</f>
        <v/>
      </c>
      <c r="N11" s="18">
        <f>IF(A11="","",INDEX(Model!$U$5:$U$504,MATCH(ROWS($A$5:A11),Model!$AD$5:$AD$504,0)))</f>
        <v/>
      </c>
      <c r="O11" s="18">
        <f>IF(A11="","",INDEX(Model!$V$5:$V$504,MATCH(ROWS($A$5:A11),Model!$AD$5:$AD$504,0)))</f>
        <v/>
      </c>
      <c r="P11" s="18">
        <f>IF(A11="","",INDEX(Model!$W$5:$W$504,MATCH(ROWS($A$5:A11),Model!$AD$5:$AD$504,0)))</f>
        <v/>
      </c>
      <c r="Q11" s="18">
        <f>IF(A11="","",INDEX(Model!$X$5:$X$504,MATCH(ROWS($A$5:A11),Model!$AD$5:$AD$504,0)))</f>
        <v/>
      </c>
      <c r="R11" s="18">
        <f>IF(A11="","",INDEX(Model!$Y$5:$Y$504,MATCH(ROWS($A$5:A11),Model!$AD$5:$AD$504,0)))</f>
        <v/>
      </c>
      <c r="S11" s="21">
        <f>IF(A11="","",INDEX(Model!$Z$5:$Z$504,MATCH(ROWS($A$5:A11),Model!$AD$5:$AD$504,0)))</f>
        <v/>
      </c>
      <c r="T11" s="18">
        <f>IF(A11="","",INDEX(Model!$AA$5:$AA$504,MATCH(ROWS($A$5:A11),Model!$AD$5:$AD$504,0)))</f>
        <v/>
      </c>
      <c r="U11" s="13" t="n"/>
      <c r="V11" s="13" t="n"/>
      <c r="W11" s="13" t="n"/>
    </row>
    <row r="12">
      <c r="A12" s="18">
        <f>IFERROR(INDEX(Model!$B$5:$B$504,MATCH(ROWS($A$5:A12),Model!$AD$5:$AD$504,0)),"")</f>
        <v/>
      </c>
      <c r="B12" s="18">
        <f>IF(A12="","",INDEX(Model!$C$5:$C$504,MATCH(ROWS($A$5:A12),Model!$AD$5:$AD$504,0)))</f>
        <v/>
      </c>
      <c r="C12" s="18">
        <f>IF(A12="","",INDEX(Model!$D$5:$D$504,MATCH(ROWS($A$5:A12),Model!$AD$5:$AD$504,0)))</f>
        <v/>
      </c>
      <c r="D12" s="18">
        <f>IF(A12="","",INDEX(Model!$E$5:$E$504,MATCH(ROWS($A$5:A12),Model!$AD$5:$AD$504,0)))</f>
        <v/>
      </c>
      <c r="E12" s="19">
        <f>IF(A12="","",INDEX(Model!$F$5:$F$504,MATCH(ROWS($A$5:A12),Model!$AD$5:$AD$504,0)))</f>
        <v/>
      </c>
      <c r="F12" s="19">
        <f>IF(A12="","",INDEX(Model!$G$5:$G$504,MATCH(ROWS($A$5:A12),Model!$AD$5:$AD$504,0)))</f>
        <v/>
      </c>
      <c r="G12" s="18">
        <f>IF(A12="","",INDEX(Model!$H$5:$H$504,MATCH(ROWS($A$5:A12),Model!$AD$5:$AD$504,0)))</f>
        <v/>
      </c>
      <c r="H12" s="18">
        <f>IF(A12="","",INDEX(Model!$L$5:$L$504,MATCH(ROWS($A$5:A12),Model!$AD$5:$AD$504,0)))</f>
        <v/>
      </c>
      <c r="I12" s="20">
        <f>IF(A12="","",INDEX(Model!$P$5:$P$504,MATCH(ROWS($A$5:A12),Model!$AD$5:$AD$504,0)))</f>
        <v/>
      </c>
      <c r="J12" s="20">
        <f>IF(A12="","",INDEX(Model!$Q$5:$Q$504,MATCH(ROWS($A$5:A12),Model!$AD$5:$AD$504,0)))</f>
        <v/>
      </c>
      <c r="K12" s="21">
        <f>IF(A12="","",INDEX(Model!$R$5:$R$504,MATCH(ROWS($A$5:A12),Model!$AD$5:$AD$504,0)))</f>
        <v/>
      </c>
      <c r="L12" s="20">
        <f>IF(A12="","",INDEX(Model!$S$5:$S$504,MATCH(ROWS($A$5:A12),Model!$AD$5:$AD$504,0)))</f>
        <v/>
      </c>
      <c r="M12" s="21">
        <f>IF(A12="","",INDEX(Model!$T$5:$T$504,MATCH(ROWS($A$5:A12),Model!$AD$5:$AD$504,0)))</f>
        <v/>
      </c>
      <c r="N12" s="18">
        <f>IF(A12="","",INDEX(Model!$U$5:$U$504,MATCH(ROWS($A$5:A12),Model!$AD$5:$AD$504,0)))</f>
        <v/>
      </c>
      <c r="O12" s="18">
        <f>IF(A12="","",INDEX(Model!$V$5:$V$504,MATCH(ROWS($A$5:A12),Model!$AD$5:$AD$504,0)))</f>
        <v/>
      </c>
      <c r="P12" s="18">
        <f>IF(A12="","",INDEX(Model!$W$5:$W$504,MATCH(ROWS($A$5:A12),Model!$AD$5:$AD$504,0)))</f>
        <v/>
      </c>
      <c r="Q12" s="18">
        <f>IF(A12="","",INDEX(Model!$X$5:$X$504,MATCH(ROWS($A$5:A12),Model!$AD$5:$AD$504,0)))</f>
        <v/>
      </c>
      <c r="R12" s="18">
        <f>IF(A12="","",INDEX(Model!$Y$5:$Y$504,MATCH(ROWS($A$5:A12),Model!$AD$5:$AD$504,0)))</f>
        <v/>
      </c>
      <c r="S12" s="21">
        <f>IF(A12="","",INDEX(Model!$Z$5:$Z$504,MATCH(ROWS($A$5:A12),Model!$AD$5:$AD$504,0)))</f>
        <v/>
      </c>
      <c r="T12" s="18">
        <f>IF(A12="","",INDEX(Model!$AA$5:$AA$504,MATCH(ROWS($A$5:A12),Model!$AD$5:$AD$504,0)))</f>
        <v/>
      </c>
      <c r="U12" s="13" t="n"/>
      <c r="V12" s="13" t="n"/>
      <c r="W12" s="13" t="n"/>
    </row>
    <row r="13">
      <c r="A13" s="18">
        <f>IFERROR(INDEX(Model!$B$5:$B$504,MATCH(ROWS($A$5:A13),Model!$AD$5:$AD$504,0)),"")</f>
        <v/>
      </c>
      <c r="B13" s="18">
        <f>IF(A13="","",INDEX(Model!$C$5:$C$504,MATCH(ROWS($A$5:A13),Model!$AD$5:$AD$504,0)))</f>
        <v/>
      </c>
      <c r="C13" s="18">
        <f>IF(A13="","",INDEX(Model!$D$5:$D$504,MATCH(ROWS($A$5:A13),Model!$AD$5:$AD$504,0)))</f>
        <v/>
      </c>
      <c r="D13" s="18">
        <f>IF(A13="","",INDEX(Model!$E$5:$E$504,MATCH(ROWS($A$5:A13),Model!$AD$5:$AD$504,0)))</f>
        <v/>
      </c>
      <c r="E13" s="19">
        <f>IF(A13="","",INDEX(Model!$F$5:$F$504,MATCH(ROWS($A$5:A13),Model!$AD$5:$AD$504,0)))</f>
        <v/>
      </c>
      <c r="F13" s="19">
        <f>IF(A13="","",INDEX(Model!$G$5:$G$504,MATCH(ROWS($A$5:A13),Model!$AD$5:$AD$504,0)))</f>
        <v/>
      </c>
      <c r="G13" s="18">
        <f>IF(A13="","",INDEX(Model!$H$5:$H$504,MATCH(ROWS($A$5:A13),Model!$AD$5:$AD$504,0)))</f>
        <v/>
      </c>
      <c r="H13" s="18">
        <f>IF(A13="","",INDEX(Model!$L$5:$L$504,MATCH(ROWS($A$5:A13),Model!$AD$5:$AD$504,0)))</f>
        <v/>
      </c>
      <c r="I13" s="20">
        <f>IF(A13="","",INDEX(Model!$P$5:$P$504,MATCH(ROWS($A$5:A13),Model!$AD$5:$AD$504,0)))</f>
        <v/>
      </c>
      <c r="J13" s="20">
        <f>IF(A13="","",INDEX(Model!$Q$5:$Q$504,MATCH(ROWS($A$5:A13),Model!$AD$5:$AD$504,0)))</f>
        <v/>
      </c>
      <c r="K13" s="21">
        <f>IF(A13="","",INDEX(Model!$R$5:$R$504,MATCH(ROWS($A$5:A13),Model!$AD$5:$AD$504,0)))</f>
        <v/>
      </c>
      <c r="L13" s="20">
        <f>IF(A13="","",INDEX(Model!$S$5:$S$504,MATCH(ROWS($A$5:A13),Model!$AD$5:$AD$504,0)))</f>
        <v/>
      </c>
      <c r="M13" s="21">
        <f>IF(A13="","",INDEX(Model!$T$5:$T$504,MATCH(ROWS($A$5:A13),Model!$AD$5:$AD$504,0)))</f>
        <v/>
      </c>
      <c r="N13" s="18">
        <f>IF(A13="","",INDEX(Model!$U$5:$U$504,MATCH(ROWS($A$5:A13),Model!$AD$5:$AD$504,0)))</f>
        <v/>
      </c>
      <c r="O13" s="18">
        <f>IF(A13="","",INDEX(Model!$V$5:$V$504,MATCH(ROWS($A$5:A13),Model!$AD$5:$AD$504,0)))</f>
        <v/>
      </c>
      <c r="P13" s="18">
        <f>IF(A13="","",INDEX(Model!$W$5:$W$504,MATCH(ROWS($A$5:A13),Model!$AD$5:$AD$504,0)))</f>
        <v/>
      </c>
      <c r="Q13" s="18">
        <f>IF(A13="","",INDEX(Model!$X$5:$X$504,MATCH(ROWS($A$5:A13),Model!$AD$5:$AD$504,0)))</f>
        <v/>
      </c>
      <c r="R13" s="18">
        <f>IF(A13="","",INDEX(Model!$Y$5:$Y$504,MATCH(ROWS($A$5:A13),Model!$AD$5:$AD$504,0)))</f>
        <v/>
      </c>
      <c r="S13" s="21">
        <f>IF(A13="","",INDEX(Model!$Z$5:$Z$504,MATCH(ROWS($A$5:A13),Model!$AD$5:$AD$504,0)))</f>
        <v/>
      </c>
      <c r="T13" s="18">
        <f>IF(A13="","",INDEX(Model!$AA$5:$AA$504,MATCH(ROWS($A$5:A13),Model!$AD$5:$AD$504,0)))</f>
        <v/>
      </c>
      <c r="U13" s="13" t="n"/>
      <c r="V13" s="13" t="n"/>
      <c r="W13" s="13" t="n"/>
    </row>
    <row r="14">
      <c r="A14" s="18">
        <f>IFERROR(INDEX(Model!$B$5:$B$504,MATCH(ROWS($A$5:A14),Model!$AD$5:$AD$504,0)),"")</f>
        <v/>
      </c>
      <c r="B14" s="18">
        <f>IF(A14="","",INDEX(Model!$C$5:$C$504,MATCH(ROWS($A$5:A14),Model!$AD$5:$AD$504,0)))</f>
        <v/>
      </c>
      <c r="C14" s="18">
        <f>IF(A14="","",INDEX(Model!$D$5:$D$504,MATCH(ROWS($A$5:A14),Model!$AD$5:$AD$504,0)))</f>
        <v/>
      </c>
      <c r="D14" s="18">
        <f>IF(A14="","",INDEX(Model!$E$5:$E$504,MATCH(ROWS($A$5:A14),Model!$AD$5:$AD$504,0)))</f>
        <v/>
      </c>
      <c r="E14" s="19">
        <f>IF(A14="","",INDEX(Model!$F$5:$F$504,MATCH(ROWS($A$5:A14),Model!$AD$5:$AD$504,0)))</f>
        <v/>
      </c>
      <c r="F14" s="19">
        <f>IF(A14="","",INDEX(Model!$G$5:$G$504,MATCH(ROWS($A$5:A14),Model!$AD$5:$AD$504,0)))</f>
        <v/>
      </c>
      <c r="G14" s="18">
        <f>IF(A14="","",INDEX(Model!$H$5:$H$504,MATCH(ROWS($A$5:A14),Model!$AD$5:$AD$504,0)))</f>
        <v/>
      </c>
      <c r="H14" s="18">
        <f>IF(A14="","",INDEX(Model!$L$5:$L$504,MATCH(ROWS($A$5:A14),Model!$AD$5:$AD$504,0)))</f>
        <v/>
      </c>
      <c r="I14" s="20">
        <f>IF(A14="","",INDEX(Model!$P$5:$P$504,MATCH(ROWS($A$5:A14),Model!$AD$5:$AD$504,0)))</f>
        <v/>
      </c>
      <c r="J14" s="20">
        <f>IF(A14="","",INDEX(Model!$Q$5:$Q$504,MATCH(ROWS($A$5:A14),Model!$AD$5:$AD$504,0)))</f>
        <v/>
      </c>
      <c r="K14" s="21">
        <f>IF(A14="","",INDEX(Model!$R$5:$R$504,MATCH(ROWS($A$5:A14),Model!$AD$5:$AD$504,0)))</f>
        <v/>
      </c>
      <c r="L14" s="20">
        <f>IF(A14="","",INDEX(Model!$S$5:$S$504,MATCH(ROWS($A$5:A14),Model!$AD$5:$AD$504,0)))</f>
        <v/>
      </c>
      <c r="M14" s="21">
        <f>IF(A14="","",INDEX(Model!$T$5:$T$504,MATCH(ROWS($A$5:A14),Model!$AD$5:$AD$504,0)))</f>
        <v/>
      </c>
      <c r="N14" s="18">
        <f>IF(A14="","",INDEX(Model!$U$5:$U$504,MATCH(ROWS($A$5:A14),Model!$AD$5:$AD$504,0)))</f>
        <v/>
      </c>
      <c r="O14" s="18">
        <f>IF(A14="","",INDEX(Model!$V$5:$V$504,MATCH(ROWS($A$5:A14),Model!$AD$5:$AD$504,0)))</f>
        <v/>
      </c>
      <c r="P14" s="18">
        <f>IF(A14="","",INDEX(Model!$W$5:$W$504,MATCH(ROWS($A$5:A14),Model!$AD$5:$AD$504,0)))</f>
        <v/>
      </c>
      <c r="Q14" s="18">
        <f>IF(A14="","",INDEX(Model!$X$5:$X$504,MATCH(ROWS($A$5:A14),Model!$AD$5:$AD$504,0)))</f>
        <v/>
      </c>
      <c r="R14" s="18">
        <f>IF(A14="","",INDEX(Model!$Y$5:$Y$504,MATCH(ROWS($A$5:A14),Model!$AD$5:$AD$504,0)))</f>
        <v/>
      </c>
      <c r="S14" s="21">
        <f>IF(A14="","",INDEX(Model!$Z$5:$Z$504,MATCH(ROWS($A$5:A14),Model!$AD$5:$AD$504,0)))</f>
        <v/>
      </c>
      <c r="T14" s="18">
        <f>IF(A14="","",INDEX(Model!$AA$5:$AA$504,MATCH(ROWS($A$5:A14),Model!$AD$5:$AD$504,0)))</f>
        <v/>
      </c>
      <c r="U14" s="13" t="n"/>
      <c r="V14" s="13" t="n"/>
      <c r="W14" s="13" t="n"/>
    </row>
    <row r="15">
      <c r="A15" s="18">
        <f>IFERROR(INDEX(Model!$B$5:$B$504,MATCH(ROWS($A$5:A15),Model!$AD$5:$AD$504,0)),"")</f>
        <v/>
      </c>
      <c r="B15" s="18">
        <f>IF(A15="","",INDEX(Model!$C$5:$C$504,MATCH(ROWS($A$5:A15),Model!$AD$5:$AD$504,0)))</f>
        <v/>
      </c>
      <c r="C15" s="18">
        <f>IF(A15="","",INDEX(Model!$D$5:$D$504,MATCH(ROWS($A$5:A15),Model!$AD$5:$AD$504,0)))</f>
        <v/>
      </c>
      <c r="D15" s="18">
        <f>IF(A15="","",INDEX(Model!$E$5:$E$504,MATCH(ROWS($A$5:A15),Model!$AD$5:$AD$504,0)))</f>
        <v/>
      </c>
      <c r="E15" s="19">
        <f>IF(A15="","",INDEX(Model!$F$5:$F$504,MATCH(ROWS($A$5:A15),Model!$AD$5:$AD$504,0)))</f>
        <v/>
      </c>
      <c r="F15" s="19">
        <f>IF(A15="","",INDEX(Model!$G$5:$G$504,MATCH(ROWS($A$5:A15),Model!$AD$5:$AD$504,0)))</f>
        <v/>
      </c>
      <c r="G15" s="18">
        <f>IF(A15="","",INDEX(Model!$H$5:$H$504,MATCH(ROWS($A$5:A15),Model!$AD$5:$AD$504,0)))</f>
        <v/>
      </c>
      <c r="H15" s="18">
        <f>IF(A15="","",INDEX(Model!$L$5:$L$504,MATCH(ROWS($A$5:A15),Model!$AD$5:$AD$504,0)))</f>
        <v/>
      </c>
      <c r="I15" s="20">
        <f>IF(A15="","",INDEX(Model!$P$5:$P$504,MATCH(ROWS($A$5:A15),Model!$AD$5:$AD$504,0)))</f>
        <v/>
      </c>
      <c r="J15" s="20">
        <f>IF(A15="","",INDEX(Model!$Q$5:$Q$504,MATCH(ROWS($A$5:A15),Model!$AD$5:$AD$504,0)))</f>
        <v/>
      </c>
      <c r="K15" s="21">
        <f>IF(A15="","",INDEX(Model!$R$5:$R$504,MATCH(ROWS($A$5:A15),Model!$AD$5:$AD$504,0)))</f>
        <v/>
      </c>
      <c r="L15" s="20">
        <f>IF(A15="","",INDEX(Model!$S$5:$S$504,MATCH(ROWS($A$5:A15),Model!$AD$5:$AD$504,0)))</f>
        <v/>
      </c>
      <c r="M15" s="21">
        <f>IF(A15="","",INDEX(Model!$T$5:$T$504,MATCH(ROWS($A$5:A15),Model!$AD$5:$AD$504,0)))</f>
        <v/>
      </c>
      <c r="N15" s="18">
        <f>IF(A15="","",INDEX(Model!$U$5:$U$504,MATCH(ROWS($A$5:A15),Model!$AD$5:$AD$504,0)))</f>
        <v/>
      </c>
      <c r="O15" s="18">
        <f>IF(A15="","",INDEX(Model!$V$5:$V$504,MATCH(ROWS($A$5:A15),Model!$AD$5:$AD$504,0)))</f>
        <v/>
      </c>
      <c r="P15" s="18">
        <f>IF(A15="","",INDEX(Model!$W$5:$W$504,MATCH(ROWS($A$5:A15),Model!$AD$5:$AD$504,0)))</f>
        <v/>
      </c>
      <c r="Q15" s="18">
        <f>IF(A15="","",INDEX(Model!$X$5:$X$504,MATCH(ROWS($A$5:A15),Model!$AD$5:$AD$504,0)))</f>
        <v/>
      </c>
      <c r="R15" s="18">
        <f>IF(A15="","",INDEX(Model!$Y$5:$Y$504,MATCH(ROWS($A$5:A15),Model!$AD$5:$AD$504,0)))</f>
        <v/>
      </c>
      <c r="S15" s="21">
        <f>IF(A15="","",INDEX(Model!$Z$5:$Z$504,MATCH(ROWS($A$5:A15),Model!$AD$5:$AD$504,0)))</f>
        <v/>
      </c>
      <c r="T15" s="18">
        <f>IF(A15="","",INDEX(Model!$AA$5:$AA$504,MATCH(ROWS($A$5:A15),Model!$AD$5:$AD$504,0)))</f>
        <v/>
      </c>
      <c r="U15" s="13" t="n"/>
      <c r="V15" s="13" t="n"/>
      <c r="W15" s="13" t="n"/>
    </row>
    <row r="16">
      <c r="A16" s="18">
        <f>IFERROR(INDEX(Model!$B$5:$B$504,MATCH(ROWS($A$5:A16),Model!$AD$5:$AD$504,0)),"")</f>
        <v/>
      </c>
      <c r="B16" s="18">
        <f>IF(A16="","",INDEX(Model!$C$5:$C$504,MATCH(ROWS($A$5:A16),Model!$AD$5:$AD$504,0)))</f>
        <v/>
      </c>
      <c r="C16" s="18">
        <f>IF(A16="","",INDEX(Model!$D$5:$D$504,MATCH(ROWS($A$5:A16),Model!$AD$5:$AD$504,0)))</f>
        <v/>
      </c>
      <c r="D16" s="18">
        <f>IF(A16="","",INDEX(Model!$E$5:$E$504,MATCH(ROWS($A$5:A16),Model!$AD$5:$AD$504,0)))</f>
        <v/>
      </c>
      <c r="E16" s="19">
        <f>IF(A16="","",INDEX(Model!$F$5:$F$504,MATCH(ROWS($A$5:A16),Model!$AD$5:$AD$504,0)))</f>
        <v/>
      </c>
      <c r="F16" s="19">
        <f>IF(A16="","",INDEX(Model!$G$5:$G$504,MATCH(ROWS($A$5:A16),Model!$AD$5:$AD$504,0)))</f>
        <v/>
      </c>
      <c r="G16" s="18">
        <f>IF(A16="","",INDEX(Model!$H$5:$H$504,MATCH(ROWS($A$5:A16),Model!$AD$5:$AD$504,0)))</f>
        <v/>
      </c>
      <c r="H16" s="18">
        <f>IF(A16="","",INDEX(Model!$L$5:$L$504,MATCH(ROWS($A$5:A16),Model!$AD$5:$AD$504,0)))</f>
        <v/>
      </c>
      <c r="I16" s="20">
        <f>IF(A16="","",INDEX(Model!$P$5:$P$504,MATCH(ROWS($A$5:A16),Model!$AD$5:$AD$504,0)))</f>
        <v/>
      </c>
      <c r="J16" s="20">
        <f>IF(A16="","",INDEX(Model!$Q$5:$Q$504,MATCH(ROWS($A$5:A16),Model!$AD$5:$AD$504,0)))</f>
        <v/>
      </c>
      <c r="K16" s="21">
        <f>IF(A16="","",INDEX(Model!$R$5:$R$504,MATCH(ROWS($A$5:A16),Model!$AD$5:$AD$504,0)))</f>
        <v/>
      </c>
      <c r="L16" s="20">
        <f>IF(A16="","",INDEX(Model!$S$5:$S$504,MATCH(ROWS($A$5:A16),Model!$AD$5:$AD$504,0)))</f>
        <v/>
      </c>
      <c r="M16" s="21">
        <f>IF(A16="","",INDEX(Model!$T$5:$T$504,MATCH(ROWS($A$5:A16),Model!$AD$5:$AD$504,0)))</f>
        <v/>
      </c>
      <c r="N16" s="18">
        <f>IF(A16="","",INDEX(Model!$U$5:$U$504,MATCH(ROWS($A$5:A16),Model!$AD$5:$AD$504,0)))</f>
        <v/>
      </c>
      <c r="O16" s="18">
        <f>IF(A16="","",INDEX(Model!$V$5:$V$504,MATCH(ROWS($A$5:A16),Model!$AD$5:$AD$504,0)))</f>
        <v/>
      </c>
      <c r="P16" s="18">
        <f>IF(A16="","",INDEX(Model!$W$5:$W$504,MATCH(ROWS($A$5:A16),Model!$AD$5:$AD$504,0)))</f>
        <v/>
      </c>
      <c r="Q16" s="18">
        <f>IF(A16="","",INDEX(Model!$X$5:$X$504,MATCH(ROWS($A$5:A16),Model!$AD$5:$AD$504,0)))</f>
        <v/>
      </c>
      <c r="R16" s="18">
        <f>IF(A16="","",INDEX(Model!$Y$5:$Y$504,MATCH(ROWS($A$5:A16),Model!$AD$5:$AD$504,0)))</f>
        <v/>
      </c>
      <c r="S16" s="21">
        <f>IF(A16="","",INDEX(Model!$Z$5:$Z$504,MATCH(ROWS($A$5:A16),Model!$AD$5:$AD$504,0)))</f>
        <v/>
      </c>
      <c r="T16" s="18">
        <f>IF(A16="","",INDEX(Model!$AA$5:$AA$504,MATCH(ROWS($A$5:A16),Model!$AD$5:$AD$504,0)))</f>
        <v/>
      </c>
      <c r="U16" s="13" t="n"/>
      <c r="V16" s="13" t="n"/>
      <c r="W16" s="13" t="n"/>
    </row>
    <row r="17">
      <c r="A17" s="18">
        <f>IFERROR(INDEX(Model!$B$5:$B$504,MATCH(ROWS($A$5:A17),Model!$AD$5:$AD$504,0)),"")</f>
        <v/>
      </c>
      <c r="B17" s="18">
        <f>IF(A17="","",INDEX(Model!$C$5:$C$504,MATCH(ROWS($A$5:A17),Model!$AD$5:$AD$504,0)))</f>
        <v/>
      </c>
      <c r="C17" s="18">
        <f>IF(A17="","",INDEX(Model!$D$5:$D$504,MATCH(ROWS($A$5:A17),Model!$AD$5:$AD$504,0)))</f>
        <v/>
      </c>
      <c r="D17" s="18">
        <f>IF(A17="","",INDEX(Model!$E$5:$E$504,MATCH(ROWS($A$5:A17),Model!$AD$5:$AD$504,0)))</f>
        <v/>
      </c>
      <c r="E17" s="19">
        <f>IF(A17="","",INDEX(Model!$F$5:$F$504,MATCH(ROWS($A$5:A17),Model!$AD$5:$AD$504,0)))</f>
        <v/>
      </c>
      <c r="F17" s="19">
        <f>IF(A17="","",INDEX(Model!$G$5:$G$504,MATCH(ROWS($A$5:A17),Model!$AD$5:$AD$504,0)))</f>
        <v/>
      </c>
      <c r="G17" s="18">
        <f>IF(A17="","",INDEX(Model!$H$5:$H$504,MATCH(ROWS($A$5:A17),Model!$AD$5:$AD$504,0)))</f>
        <v/>
      </c>
      <c r="H17" s="18">
        <f>IF(A17="","",INDEX(Model!$L$5:$L$504,MATCH(ROWS($A$5:A17),Model!$AD$5:$AD$504,0)))</f>
        <v/>
      </c>
      <c r="I17" s="20">
        <f>IF(A17="","",INDEX(Model!$P$5:$P$504,MATCH(ROWS($A$5:A17),Model!$AD$5:$AD$504,0)))</f>
        <v/>
      </c>
      <c r="J17" s="20">
        <f>IF(A17="","",INDEX(Model!$Q$5:$Q$504,MATCH(ROWS($A$5:A17),Model!$AD$5:$AD$504,0)))</f>
        <v/>
      </c>
      <c r="K17" s="21">
        <f>IF(A17="","",INDEX(Model!$R$5:$R$504,MATCH(ROWS($A$5:A17),Model!$AD$5:$AD$504,0)))</f>
        <v/>
      </c>
      <c r="L17" s="20">
        <f>IF(A17="","",INDEX(Model!$S$5:$S$504,MATCH(ROWS($A$5:A17),Model!$AD$5:$AD$504,0)))</f>
        <v/>
      </c>
      <c r="M17" s="21">
        <f>IF(A17="","",INDEX(Model!$T$5:$T$504,MATCH(ROWS($A$5:A17),Model!$AD$5:$AD$504,0)))</f>
        <v/>
      </c>
      <c r="N17" s="18">
        <f>IF(A17="","",INDEX(Model!$U$5:$U$504,MATCH(ROWS($A$5:A17),Model!$AD$5:$AD$504,0)))</f>
        <v/>
      </c>
      <c r="O17" s="18">
        <f>IF(A17="","",INDEX(Model!$V$5:$V$504,MATCH(ROWS($A$5:A17),Model!$AD$5:$AD$504,0)))</f>
        <v/>
      </c>
      <c r="P17" s="18">
        <f>IF(A17="","",INDEX(Model!$W$5:$W$504,MATCH(ROWS($A$5:A17),Model!$AD$5:$AD$504,0)))</f>
        <v/>
      </c>
      <c r="Q17" s="18">
        <f>IF(A17="","",INDEX(Model!$X$5:$X$504,MATCH(ROWS($A$5:A17),Model!$AD$5:$AD$504,0)))</f>
        <v/>
      </c>
      <c r="R17" s="18">
        <f>IF(A17="","",INDEX(Model!$Y$5:$Y$504,MATCH(ROWS($A$5:A17),Model!$AD$5:$AD$504,0)))</f>
        <v/>
      </c>
      <c r="S17" s="21">
        <f>IF(A17="","",INDEX(Model!$Z$5:$Z$504,MATCH(ROWS($A$5:A17),Model!$AD$5:$AD$504,0)))</f>
        <v/>
      </c>
      <c r="T17" s="18">
        <f>IF(A17="","",INDEX(Model!$AA$5:$AA$504,MATCH(ROWS($A$5:A17),Model!$AD$5:$AD$504,0)))</f>
        <v/>
      </c>
      <c r="U17" s="13" t="n"/>
      <c r="V17" s="13" t="n"/>
      <c r="W17" s="13" t="n"/>
    </row>
    <row r="18">
      <c r="A18" s="18">
        <f>IFERROR(INDEX(Model!$B$5:$B$504,MATCH(ROWS($A$5:A18),Model!$AD$5:$AD$504,0)),"")</f>
        <v/>
      </c>
      <c r="B18" s="18">
        <f>IF(A18="","",INDEX(Model!$C$5:$C$504,MATCH(ROWS($A$5:A18),Model!$AD$5:$AD$504,0)))</f>
        <v/>
      </c>
      <c r="C18" s="18">
        <f>IF(A18="","",INDEX(Model!$D$5:$D$504,MATCH(ROWS($A$5:A18),Model!$AD$5:$AD$504,0)))</f>
        <v/>
      </c>
      <c r="D18" s="18">
        <f>IF(A18="","",INDEX(Model!$E$5:$E$504,MATCH(ROWS($A$5:A18),Model!$AD$5:$AD$504,0)))</f>
        <v/>
      </c>
      <c r="E18" s="19">
        <f>IF(A18="","",INDEX(Model!$F$5:$F$504,MATCH(ROWS($A$5:A18),Model!$AD$5:$AD$504,0)))</f>
        <v/>
      </c>
      <c r="F18" s="19">
        <f>IF(A18="","",INDEX(Model!$G$5:$G$504,MATCH(ROWS($A$5:A18),Model!$AD$5:$AD$504,0)))</f>
        <v/>
      </c>
      <c r="G18" s="18">
        <f>IF(A18="","",INDEX(Model!$H$5:$H$504,MATCH(ROWS($A$5:A18),Model!$AD$5:$AD$504,0)))</f>
        <v/>
      </c>
      <c r="H18" s="18">
        <f>IF(A18="","",INDEX(Model!$L$5:$L$504,MATCH(ROWS($A$5:A18),Model!$AD$5:$AD$504,0)))</f>
        <v/>
      </c>
      <c r="I18" s="20">
        <f>IF(A18="","",INDEX(Model!$P$5:$P$504,MATCH(ROWS($A$5:A18),Model!$AD$5:$AD$504,0)))</f>
        <v/>
      </c>
      <c r="J18" s="20">
        <f>IF(A18="","",INDEX(Model!$Q$5:$Q$504,MATCH(ROWS($A$5:A18),Model!$AD$5:$AD$504,0)))</f>
        <v/>
      </c>
      <c r="K18" s="21">
        <f>IF(A18="","",INDEX(Model!$R$5:$R$504,MATCH(ROWS($A$5:A18),Model!$AD$5:$AD$504,0)))</f>
        <v/>
      </c>
      <c r="L18" s="20">
        <f>IF(A18="","",INDEX(Model!$S$5:$S$504,MATCH(ROWS($A$5:A18),Model!$AD$5:$AD$504,0)))</f>
        <v/>
      </c>
      <c r="M18" s="21">
        <f>IF(A18="","",INDEX(Model!$T$5:$T$504,MATCH(ROWS($A$5:A18),Model!$AD$5:$AD$504,0)))</f>
        <v/>
      </c>
      <c r="N18" s="18">
        <f>IF(A18="","",INDEX(Model!$U$5:$U$504,MATCH(ROWS($A$5:A18),Model!$AD$5:$AD$504,0)))</f>
        <v/>
      </c>
      <c r="O18" s="18">
        <f>IF(A18="","",INDEX(Model!$V$5:$V$504,MATCH(ROWS($A$5:A18),Model!$AD$5:$AD$504,0)))</f>
        <v/>
      </c>
      <c r="P18" s="18">
        <f>IF(A18="","",INDEX(Model!$W$5:$W$504,MATCH(ROWS($A$5:A18),Model!$AD$5:$AD$504,0)))</f>
        <v/>
      </c>
      <c r="Q18" s="18">
        <f>IF(A18="","",INDEX(Model!$X$5:$X$504,MATCH(ROWS($A$5:A18),Model!$AD$5:$AD$504,0)))</f>
        <v/>
      </c>
      <c r="R18" s="18">
        <f>IF(A18="","",INDEX(Model!$Y$5:$Y$504,MATCH(ROWS($A$5:A18),Model!$AD$5:$AD$504,0)))</f>
        <v/>
      </c>
      <c r="S18" s="21">
        <f>IF(A18="","",INDEX(Model!$Z$5:$Z$504,MATCH(ROWS($A$5:A18),Model!$AD$5:$AD$504,0)))</f>
        <v/>
      </c>
      <c r="T18" s="18">
        <f>IF(A18="","",INDEX(Model!$AA$5:$AA$504,MATCH(ROWS($A$5:A18),Model!$AD$5:$AD$504,0)))</f>
        <v/>
      </c>
      <c r="U18" s="13" t="n"/>
      <c r="V18" s="13" t="n"/>
      <c r="W18" s="13" t="n"/>
    </row>
    <row r="19">
      <c r="A19" s="18">
        <f>IFERROR(INDEX(Model!$B$5:$B$504,MATCH(ROWS($A$5:A19),Model!$AD$5:$AD$504,0)),"")</f>
        <v/>
      </c>
      <c r="B19" s="18">
        <f>IF(A19="","",INDEX(Model!$C$5:$C$504,MATCH(ROWS($A$5:A19),Model!$AD$5:$AD$504,0)))</f>
        <v/>
      </c>
      <c r="C19" s="18">
        <f>IF(A19="","",INDEX(Model!$D$5:$D$504,MATCH(ROWS($A$5:A19),Model!$AD$5:$AD$504,0)))</f>
        <v/>
      </c>
      <c r="D19" s="18">
        <f>IF(A19="","",INDEX(Model!$E$5:$E$504,MATCH(ROWS($A$5:A19),Model!$AD$5:$AD$504,0)))</f>
        <v/>
      </c>
      <c r="E19" s="19">
        <f>IF(A19="","",INDEX(Model!$F$5:$F$504,MATCH(ROWS($A$5:A19),Model!$AD$5:$AD$504,0)))</f>
        <v/>
      </c>
      <c r="F19" s="19">
        <f>IF(A19="","",INDEX(Model!$G$5:$G$504,MATCH(ROWS($A$5:A19),Model!$AD$5:$AD$504,0)))</f>
        <v/>
      </c>
      <c r="G19" s="18">
        <f>IF(A19="","",INDEX(Model!$H$5:$H$504,MATCH(ROWS($A$5:A19),Model!$AD$5:$AD$504,0)))</f>
        <v/>
      </c>
      <c r="H19" s="18">
        <f>IF(A19="","",INDEX(Model!$L$5:$L$504,MATCH(ROWS($A$5:A19),Model!$AD$5:$AD$504,0)))</f>
        <v/>
      </c>
      <c r="I19" s="20">
        <f>IF(A19="","",INDEX(Model!$P$5:$P$504,MATCH(ROWS($A$5:A19),Model!$AD$5:$AD$504,0)))</f>
        <v/>
      </c>
      <c r="J19" s="20">
        <f>IF(A19="","",INDEX(Model!$Q$5:$Q$504,MATCH(ROWS($A$5:A19),Model!$AD$5:$AD$504,0)))</f>
        <v/>
      </c>
      <c r="K19" s="21">
        <f>IF(A19="","",INDEX(Model!$R$5:$R$504,MATCH(ROWS($A$5:A19),Model!$AD$5:$AD$504,0)))</f>
        <v/>
      </c>
      <c r="L19" s="20">
        <f>IF(A19="","",INDEX(Model!$S$5:$S$504,MATCH(ROWS($A$5:A19),Model!$AD$5:$AD$504,0)))</f>
        <v/>
      </c>
      <c r="M19" s="21">
        <f>IF(A19="","",INDEX(Model!$T$5:$T$504,MATCH(ROWS($A$5:A19),Model!$AD$5:$AD$504,0)))</f>
        <v/>
      </c>
      <c r="N19" s="18">
        <f>IF(A19="","",INDEX(Model!$U$5:$U$504,MATCH(ROWS($A$5:A19),Model!$AD$5:$AD$504,0)))</f>
        <v/>
      </c>
      <c r="O19" s="18">
        <f>IF(A19="","",INDEX(Model!$V$5:$V$504,MATCH(ROWS($A$5:A19),Model!$AD$5:$AD$504,0)))</f>
        <v/>
      </c>
      <c r="P19" s="18">
        <f>IF(A19="","",INDEX(Model!$W$5:$W$504,MATCH(ROWS($A$5:A19),Model!$AD$5:$AD$504,0)))</f>
        <v/>
      </c>
      <c r="Q19" s="18">
        <f>IF(A19="","",INDEX(Model!$X$5:$X$504,MATCH(ROWS($A$5:A19),Model!$AD$5:$AD$504,0)))</f>
        <v/>
      </c>
      <c r="R19" s="18">
        <f>IF(A19="","",INDEX(Model!$Y$5:$Y$504,MATCH(ROWS($A$5:A19),Model!$AD$5:$AD$504,0)))</f>
        <v/>
      </c>
      <c r="S19" s="21">
        <f>IF(A19="","",INDEX(Model!$Z$5:$Z$504,MATCH(ROWS($A$5:A19),Model!$AD$5:$AD$504,0)))</f>
        <v/>
      </c>
      <c r="T19" s="18">
        <f>IF(A19="","",INDEX(Model!$AA$5:$AA$504,MATCH(ROWS($A$5:A19),Model!$AD$5:$AD$504,0)))</f>
        <v/>
      </c>
      <c r="U19" s="13" t="n"/>
      <c r="V19" s="13" t="n"/>
      <c r="W19" s="13" t="n"/>
    </row>
    <row r="20">
      <c r="A20" s="18">
        <f>IFERROR(INDEX(Model!$B$5:$B$504,MATCH(ROWS($A$5:A20),Model!$AD$5:$AD$504,0)),"")</f>
        <v/>
      </c>
      <c r="B20" s="18">
        <f>IF(A20="","",INDEX(Model!$C$5:$C$504,MATCH(ROWS($A$5:A20),Model!$AD$5:$AD$504,0)))</f>
        <v/>
      </c>
      <c r="C20" s="18">
        <f>IF(A20="","",INDEX(Model!$D$5:$D$504,MATCH(ROWS($A$5:A20),Model!$AD$5:$AD$504,0)))</f>
        <v/>
      </c>
      <c r="D20" s="18">
        <f>IF(A20="","",INDEX(Model!$E$5:$E$504,MATCH(ROWS($A$5:A20),Model!$AD$5:$AD$504,0)))</f>
        <v/>
      </c>
      <c r="E20" s="19">
        <f>IF(A20="","",INDEX(Model!$F$5:$F$504,MATCH(ROWS($A$5:A20),Model!$AD$5:$AD$504,0)))</f>
        <v/>
      </c>
      <c r="F20" s="19">
        <f>IF(A20="","",INDEX(Model!$G$5:$G$504,MATCH(ROWS($A$5:A20),Model!$AD$5:$AD$504,0)))</f>
        <v/>
      </c>
      <c r="G20" s="18">
        <f>IF(A20="","",INDEX(Model!$H$5:$H$504,MATCH(ROWS($A$5:A20),Model!$AD$5:$AD$504,0)))</f>
        <v/>
      </c>
      <c r="H20" s="18">
        <f>IF(A20="","",INDEX(Model!$L$5:$L$504,MATCH(ROWS($A$5:A20),Model!$AD$5:$AD$504,0)))</f>
        <v/>
      </c>
      <c r="I20" s="20">
        <f>IF(A20="","",INDEX(Model!$P$5:$P$504,MATCH(ROWS($A$5:A20),Model!$AD$5:$AD$504,0)))</f>
        <v/>
      </c>
      <c r="J20" s="20">
        <f>IF(A20="","",INDEX(Model!$Q$5:$Q$504,MATCH(ROWS($A$5:A20),Model!$AD$5:$AD$504,0)))</f>
        <v/>
      </c>
      <c r="K20" s="21">
        <f>IF(A20="","",INDEX(Model!$R$5:$R$504,MATCH(ROWS($A$5:A20),Model!$AD$5:$AD$504,0)))</f>
        <v/>
      </c>
      <c r="L20" s="20">
        <f>IF(A20="","",INDEX(Model!$S$5:$S$504,MATCH(ROWS($A$5:A20),Model!$AD$5:$AD$504,0)))</f>
        <v/>
      </c>
      <c r="M20" s="21">
        <f>IF(A20="","",INDEX(Model!$T$5:$T$504,MATCH(ROWS($A$5:A20),Model!$AD$5:$AD$504,0)))</f>
        <v/>
      </c>
      <c r="N20" s="18">
        <f>IF(A20="","",INDEX(Model!$U$5:$U$504,MATCH(ROWS($A$5:A20),Model!$AD$5:$AD$504,0)))</f>
        <v/>
      </c>
      <c r="O20" s="18">
        <f>IF(A20="","",INDEX(Model!$V$5:$V$504,MATCH(ROWS($A$5:A20),Model!$AD$5:$AD$504,0)))</f>
        <v/>
      </c>
      <c r="P20" s="18">
        <f>IF(A20="","",INDEX(Model!$W$5:$W$504,MATCH(ROWS($A$5:A20),Model!$AD$5:$AD$504,0)))</f>
        <v/>
      </c>
      <c r="Q20" s="18">
        <f>IF(A20="","",INDEX(Model!$X$5:$X$504,MATCH(ROWS($A$5:A20),Model!$AD$5:$AD$504,0)))</f>
        <v/>
      </c>
      <c r="R20" s="18">
        <f>IF(A20="","",INDEX(Model!$Y$5:$Y$504,MATCH(ROWS($A$5:A20),Model!$AD$5:$AD$504,0)))</f>
        <v/>
      </c>
      <c r="S20" s="21">
        <f>IF(A20="","",INDEX(Model!$Z$5:$Z$504,MATCH(ROWS($A$5:A20),Model!$AD$5:$AD$504,0)))</f>
        <v/>
      </c>
      <c r="T20" s="18">
        <f>IF(A20="","",INDEX(Model!$AA$5:$AA$504,MATCH(ROWS($A$5:A20),Model!$AD$5:$AD$504,0)))</f>
        <v/>
      </c>
      <c r="U20" s="13" t="n"/>
      <c r="V20" s="13" t="n"/>
      <c r="W20" s="13" t="n"/>
    </row>
    <row r="21">
      <c r="A21" s="18">
        <f>IFERROR(INDEX(Model!$B$5:$B$504,MATCH(ROWS($A$5:A21),Model!$AD$5:$AD$504,0)),"")</f>
        <v/>
      </c>
      <c r="B21" s="18">
        <f>IF(A21="","",INDEX(Model!$C$5:$C$504,MATCH(ROWS($A$5:A21),Model!$AD$5:$AD$504,0)))</f>
        <v/>
      </c>
      <c r="C21" s="18">
        <f>IF(A21="","",INDEX(Model!$D$5:$D$504,MATCH(ROWS($A$5:A21),Model!$AD$5:$AD$504,0)))</f>
        <v/>
      </c>
      <c r="D21" s="18">
        <f>IF(A21="","",INDEX(Model!$E$5:$E$504,MATCH(ROWS($A$5:A21),Model!$AD$5:$AD$504,0)))</f>
        <v/>
      </c>
      <c r="E21" s="19">
        <f>IF(A21="","",INDEX(Model!$F$5:$F$504,MATCH(ROWS($A$5:A21),Model!$AD$5:$AD$504,0)))</f>
        <v/>
      </c>
      <c r="F21" s="19">
        <f>IF(A21="","",INDEX(Model!$G$5:$G$504,MATCH(ROWS($A$5:A21),Model!$AD$5:$AD$504,0)))</f>
        <v/>
      </c>
      <c r="G21" s="18">
        <f>IF(A21="","",INDEX(Model!$H$5:$H$504,MATCH(ROWS($A$5:A21),Model!$AD$5:$AD$504,0)))</f>
        <v/>
      </c>
      <c r="H21" s="18">
        <f>IF(A21="","",INDEX(Model!$L$5:$L$504,MATCH(ROWS($A$5:A21),Model!$AD$5:$AD$504,0)))</f>
        <v/>
      </c>
      <c r="I21" s="20">
        <f>IF(A21="","",INDEX(Model!$P$5:$P$504,MATCH(ROWS($A$5:A21),Model!$AD$5:$AD$504,0)))</f>
        <v/>
      </c>
      <c r="J21" s="20">
        <f>IF(A21="","",INDEX(Model!$Q$5:$Q$504,MATCH(ROWS($A$5:A21),Model!$AD$5:$AD$504,0)))</f>
        <v/>
      </c>
      <c r="K21" s="21">
        <f>IF(A21="","",INDEX(Model!$R$5:$R$504,MATCH(ROWS($A$5:A21),Model!$AD$5:$AD$504,0)))</f>
        <v/>
      </c>
      <c r="L21" s="20">
        <f>IF(A21="","",INDEX(Model!$S$5:$S$504,MATCH(ROWS($A$5:A21),Model!$AD$5:$AD$504,0)))</f>
        <v/>
      </c>
      <c r="M21" s="21">
        <f>IF(A21="","",INDEX(Model!$T$5:$T$504,MATCH(ROWS($A$5:A21),Model!$AD$5:$AD$504,0)))</f>
        <v/>
      </c>
      <c r="N21" s="18">
        <f>IF(A21="","",INDEX(Model!$U$5:$U$504,MATCH(ROWS($A$5:A21),Model!$AD$5:$AD$504,0)))</f>
        <v/>
      </c>
      <c r="O21" s="18">
        <f>IF(A21="","",INDEX(Model!$V$5:$V$504,MATCH(ROWS($A$5:A21),Model!$AD$5:$AD$504,0)))</f>
        <v/>
      </c>
      <c r="P21" s="18">
        <f>IF(A21="","",INDEX(Model!$W$5:$W$504,MATCH(ROWS($A$5:A21),Model!$AD$5:$AD$504,0)))</f>
        <v/>
      </c>
      <c r="Q21" s="18">
        <f>IF(A21="","",INDEX(Model!$X$5:$X$504,MATCH(ROWS($A$5:A21),Model!$AD$5:$AD$504,0)))</f>
        <v/>
      </c>
      <c r="R21" s="18">
        <f>IF(A21="","",INDEX(Model!$Y$5:$Y$504,MATCH(ROWS($A$5:A21),Model!$AD$5:$AD$504,0)))</f>
        <v/>
      </c>
      <c r="S21" s="21">
        <f>IF(A21="","",INDEX(Model!$Z$5:$Z$504,MATCH(ROWS($A$5:A21),Model!$AD$5:$AD$504,0)))</f>
        <v/>
      </c>
      <c r="T21" s="18">
        <f>IF(A21="","",INDEX(Model!$AA$5:$AA$504,MATCH(ROWS($A$5:A21),Model!$AD$5:$AD$504,0)))</f>
        <v/>
      </c>
      <c r="U21" s="13" t="n"/>
      <c r="V21" s="13" t="n"/>
      <c r="W21" s="13" t="n"/>
    </row>
    <row r="22">
      <c r="A22" s="18">
        <f>IFERROR(INDEX(Model!$B$5:$B$504,MATCH(ROWS($A$5:A22),Model!$AD$5:$AD$504,0)),"")</f>
        <v/>
      </c>
      <c r="B22" s="18">
        <f>IF(A22="","",INDEX(Model!$C$5:$C$504,MATCH(ROWS($A$5:A22),Model!$AD$5:$AD$504,0)))</f>
        <v/>
      </c>
      <c r="C22" s="18">
        <f>IF(A22="","",INDEX(Model!$D$5:$D$504,MATCH(ROWS($A$5:A22),Model!$AD$5:$AD$504,0)))</f>
        <v/>
      </c>
      <c r="D22" s="18">
        <f>IF(A22="","",INDEX(Model!$E$5:$E$504,MATCH(ROWS($A$5:A22),Model!$AD$5:$AD$504,0)))</f>
        <v/>
      </c>
      <c r="E22" s="19">
        <f>IF(A22="","",INDEX(Model!$F$5:$F$504,MATCH(ROWS($A$5:A22),Model!$AD$5:$AD$504,0)))</f>
        <v/>
      </c>
      <c r="F22" s="19">
        <f>IF(A22="","",INDEX(Model!$G$5:$G$504,MATCH(ROWS($A$5:A22),Model!$AD$5:$AD$504,0)))</f>
        <v/>
      </c>
      <c r="G22" s="18">
        <f>IF(A22="","",INDEX(Model!$H$5:$H$504,MATCH(ROWS($A$5:A22),Model!$AD$5:$AD$504,0)))</f>
        <v/>
      </c>
      <c r="H22" s="18">
        <f>IF(A22="","",INDEX(Model!$L$5:$L$504,MATCH(ROWS($A$5:A22),Model!$AD$5:$AD$504,0)))</f>
        <v/>
      </c>
      <c r="I22" s="20">
        <f>IF(A22="","",INDEX(Model!$P$5:$P$504,MATCH(ROWS($A$5:A22),Model!$AD$5:$AD$504,0)))</f>
        <v/>
      </c>
      <c r="J22" s="20">
        <f>IF(A22="","",INDEX(Model!$Q$5:$Q$504,MATCH(ROWS($A$5:A22),Model!$AD$5:$AD$504,0)))</f>
        <v/>
      </c>
      <c r="K22" s="21">
        <f>IF(A22="","",INDEX(Model!$R$5:$R$504,MATCH(ROWS($A$5:A22),Model!$AD$5:$AD$504,0)))</f>
        <v/>
      </c>
      <c r="L22" s="20">
        <f>IF(A22="","",INDEX(Model!$S$5:$S$504,MATCH(ROWS($A$5:A22),Model!$AD$5:$AD$504,0)))</f>
        <v/>
      </c>
      <c r="M22" s="21">
        <f>IF(A22="","",INDEX(Model!$T$5:$T$504,MATCH(ROWS($A$5:A22),Model!$AD$5:$AD$504,0)))</f>
        <v/>
      </c>
      <c r="N22" s="18">
        <f>IF(A22="","",INDEX(Model!$U$5:$U$504,MATCH(ROWS($A$5:A22),Model!$AD$5:$AD$504,0)))</f>
        <v/>
      </c>
      <c r="O22" s="18">
        <f>IF(A22="","",INDEX(Model!$V$5:$V$504,MATCH(ROWS($A$5:A22),Model!$AD$5:$AD$504,0)))</f>
        <v/>
      </c>
      <c r="P22" s="18">
        <f>IF(A22="","",INDEX(Model!$W$5:$W$504,MATCH(ROWS($A$5:A22),Model!$AD$5:$AD$504,0)))</f>
        <v/>
      </c>
      <c r="Q22" s="18">
        <f>IF(A22="","",INDEX(Model!$X$5:$X$504,MATCH(ROWS($A$5:A22),Model!$AD$5:$AD$504,0)))</f>
        <v/>
      </c>
      <c r="R22" s="18">
        <f>IF(A22="","",INDEX(Model!$Y$5:$Y$504,MATCH(ROWS($A$5:A22),Model!$AD$5:$AD$504,0)))</f>
        <v/>
      </c>
      <c r="S22" s="21">
        <f>IF(A22="","",INDEX(Model!$Z$5:$Z$504,MATCH(ROWS($A$5:A22),Model!$AD$5:$AD$504,0)))</f>
        <v/>
      </c>
      <c r="T22" s="18">
        <f>IF(A22="","",INDEX(Model!$AA$5:$AA$504,MATCH(ROWS($A$5:A22),Model!$AD$5:$AD$504,0)))</f>
        <v/>
      </c>
      <c r="U22" s="13" t="n"/>
      <c r="V22" s="13" t="n"/>
      <c r="W22" s="13" t="n"/>
    </row>
    <row r="23">
      <c r="A23" s="18">
        <f>IFERROR(INDEX(Model!$B$5:$B$504,MATCH(ROWS($A$5:A23),Model!$AD$5:$AD$504,0)),"")</f>
        <v/>
      </c>
      <c r="B23" s="18">
        <f>IF(A23="","",INDEX(Model!$C$5:$C$504,MATCH(ROWS($A$5:A23),Model!$AD$5:$AD$504,0)))</f>
        <v/>
      </c>
      <c r="C23" s="18">
        <f>IF(A23="","",INDEX(Model!$D$5:$D$504,MATCH(ROWS($A$5:A23),Model!$AD$5:$AD$504,0)))</f>
        <v/>
      </c>
      <c r="D23" s="18">
        <f>IF(A23="","",INDEX(Model!$E$5:$E$504,MATCH(ROWS($A$5:A23),Model!$AD$5:$AD$504,0)))</f>
        <v/>
      </c>
      <c r="E23" s="19">
        <f>IF(A23="","",INDEX(Model!$F$5:$F$504,MATCH(ROWS($A$5:A23),Model!$AD$5:$AD$504,0)))</f>
        <v/>
      </c>
      <c r="F23" s="19">
        <f>IF(A23="","",INDEX(Model!$G$5:$G$504,MATCH(ROWS($A$5:A23),Model!$AD$5:$AD$504,0)))</f>
        <v/>
      </c>
      <c r="G23" s="18">
        <f>IF(A23="","",INDEX(Model!$H$5:$H$504,MATCH(ROWS($A$5:A23),Model!$AD$5:$AD$504,0)))</f>
        <v/>
      </c>
      <c r="H23" s="18">
        <f>IF(A23="","",INDEX(Model!$L$5:$L$504,MATCH(ROWS($A$5:A23),Model!$AD$5:$AD$504,0)))</f>
        <v/>
      </c>
      <c r="I23" s="20">
        <f>IF(A23="","",INDEX(Model!$P$5:$P$504,MATCH(ROWS($A$5:A23),Model!$AD$5:$AD$504,0)))</f>
        <v/>
      </c>
      <c r="J23" s="20">
        <f>IF(A23="","",INDEX(Model!$Q$5:$Q$504,MATCH(ROWS($A$5:A23),Model!$AD$5:$AD$504,0)))</f>
        <v/>
      </c>
      <c r="K23" s="21">
        <f>IF(A23="","",INDEX(Model!$R$5:$R$504,MATCH(ROWS($A$5:A23),Model!$AD$5:$AD$504,0)))</f>
        <v/>
      </c>
      <c r="L23" s="20">
        <f>IF(A23="","",INDEX(Model!$S$5:$S$504,MATCH(ROWS($A$5:A23),Model!$AD$5:$AD$504,0)))</f>
        <v/>
      </c>
      <c r="M23" s="21">
        <f>IF(A23="","",INDEX(Model!$T$5:$T$504,MATCH(ROWS($A$5:A23),Model!$AD$5:$AD$504,0)))</f>
        <v/>
      </c>
      <c r="N23" s="18">
        <f>IF(A23="","",INDEX(Model!$U$5:$U$504,MATCH(ROWS($A$5:A23),Model!$AD$5:$AD$504,0)))</f>
        <v/>
      </c>
      <c r="O23" s="18">
        <f>IF(A23="","",INDEX(Model!$V$5:$V$504,MATCH(ROWS($A$5:A23),Model!$AD$5:$AD$504,0)))</f>
        <v/>
      </c>
      <c r="P23" s="18">
        <f>IF(A23="","",INDEX(Model!$W$5:$W$504,MATCH(ROWS($A$5:A23),Model!$AD$5:$AD$504,0)))</f>
        <v/>
      </c>
      <c r="Q23" s="18">
        <f>IF(A23="","",INDEX(Model!$X$5:$X$504,MATCH(ROWS($A$5:A23),Model!$AD$5:$AD$504,0)))</f>
        <v/>
      </c>
      <c r="R23" s="18">
        <f>IF(A23="","",INDEX(Model!$Y$5:$Y$504,MATCH(ROWS($A$5:A23),Model!$AD$5:$AD$504,0)))</f>
        <v/>
      </c>
      <c r="S23" s="21">
        <f>IF(A23="","",INDEX(Model!$Z$5:$Z$504,MATCH(ROWS($A$5:A23),Model!$AD$5:$AD$504,0)))</f>
        <v/>
      </c>
      <c r="T23" s="18">
        <f>IF(A23="","",INDEX(Model!$AA$5:$AA$504,MATCH(ROWS($A$5:A23),Model!$AD$5:$AD$504,0)))</f>
        <v/>
      </c>
      <c r="U23" s="13" t="n"/>
      <c r="V23" s="13" t="n"/>
      <c r="W23" s="13" t="n"/>
    </row>
    <row r="24">
      <c r="A24" s="18">
        <f>IFERROR(INDEX(Model!$B$5:$B$504,MATCH(ROWS($A$5:A24),Model!$AD$5:$AD$504,0)),"")</f>
        <v/>
      </c>
      <c r="B24" s="18">
        <f>IF(A24="","",INDEX(Model!$C$5:$C$504,MATCH(ROWS($A$5:A24),Model!$AD$5:$AD$504,0)))</f>
        <v/>
      </c>
      <c r="C24" s="18">
        <f>IF(A24="","",INDEX(Model!$D$5:$D$504,MATCH(ROWS($A$5:A24),Model!$AD$5:$AD$504,0)))</f>
        <v/>
      </c>
      <c r="D24" s="18">
        <f>IF(A24="","",INDEX(Model!$E$5:$E$504,MATCH(ROWS($A$5:A24),Model!$AD$5:$AD$504,0)))</f>
        <v/>
      </c>
      <c r="E24" s="19">
        <f>IF(A24="","",INDEX(Model!$F$5:$F$504,MATCH(ROWS($A$5:A24),Model!$AD$5:$AD$504,0)))</f>
        <v/>
      </c>
      <c r="F24" s="19">
        <f>IF(A24="","",INDEX(Model!$G$5:$G$504,MATCH(ROWS($A$5:A24),Model!$AD$5:$AD$504,0)))</f>
        <v/>
      </c>
      <c r="G24" s="18">
        <f>IF(A24="","",INDEX(Model!$H$5:$H$504,MATCH(ROWS($A$5:A24),Model!$AD$5:$AD$504,0)))</f>
        <v/>
      </c>
      <c r="H24" s="18">
        <f>IF(A24="","",INDEX(Model!$L$5:$L$504,MATCH(ROWS($A$5:A24),Model!$AD$5:$AD$504,0)))</f>
        <v/>
      </c>
      <c r="I24" s="20">
        <f>IF(A24="","",INDEX(Model!$P$5:$P$504,MATCH(ROWS($A$5:A24),Model!$AD$5:$AD$504,0)))</f>
        <v/>
      </c>
      <c r="J24" s="20">
        <f>IF(A24="","",INDEX(Model!$Q$5:$Q$504,MATCH(ROWS($A$5:A24),Model!$AD$5:$AD$504,0)))</f>
        <v/>
      </c>
      <c r="K24" s="21">
        <f>IF(A24="","",INDEX(Model!$R$5:$R$504,MATCH(ROWS($A$5:A24),Model!$AD$5:$AD$504,0)))</f>
        <v/>
      </c>
      <c r="L24" s="20">
        <f>IF(A24="","",INDEX(Model!$S$5:$S$504,MATCH(ROWS($A$5:A24),Model!$AD$5:$AD$504,0)))</f>
        <v/>
      </c>
      <c r="M24" s="21">
        <f>IF(A24="","",INDEX(Model!$T$5:$T$504,MATCH(ROWS($A$5:A24),Model!$AD$5:$AD$504,0)))</f>
        <v/>
      </c>
      <c r="N24" s="18">
        <f>IF(A24="","",INDEX(Model!$U$5:$U$504,MATCH(ROWS($A$5:A24),Model!$AD$5:$AD$504,0)))</f>
        <v/>
      </c>
      <c r="O24" s="18">
        <f>IF(A24="","",INDEX(Model!$V$5:$V$504,MATCH(ROWS($A$5:A24),Model!$AD$5:$AD$504,0)))</f>
        <v/>
      </c>
      <c r="P24" s="18">
        <f>IF(A24="","",INDEX(Model!$W$5:$W$504,MATCH(ROWS($A$5:A24),Model!$AD$5:$AD$504,0)))</f>
        <v/>
      </c>
      <c r="Q24" s="18">
        <f>IF(A24="","",INDEX(Model!$X$5:$X$504,MATCH(ROWS($A$5:A24),Model!$AD$5:$AD$504,0)))</f>
        <v/>
      </c>
      <c r="R24" s="18">
        <f>IF(A24="","",INDEX(Model!$Y$5:$Y$504,MATCH(ROWS($A$5:A24),Model!$AD$5:$AD$504,0)))</f>
        <v/>
      </c>
      <c r="S24" s="21">
        <f>IF(A24="","",INDEX(Model!$Z$5:$Z$504,MATCH(ROWS($A$5:A24),Model!$AD$5:$AD$504,0)))</f>
        <v/>
      </c>
      <c r="T24" s="18">
        <f>IF(A24="","",INDEX(Model!$AA$5:$AA$504,MATCH(ROWS($A$5:A24),Model!$AD$5:$AD$504,0)))</f>
        <v/>
      </c>
      <c r="U24" s="13" t="n"/>
      <c r="V24" s="13" t="n"/>
      <c r="W24" s="13" t="n"/>
    </row>
    <row r="25">
      <c r="A25" s="18">
        <f>IFERROR(INDEX(Model!$B$5:$B$504,MATCH(ROWS($A$5:A25),Model!$AD$5:$AD$504,0)),"")</f>
        <v/>
      </c>
      <c r="B25" s="18">
        <f>IF(A25="","",INDEX(Model!$C$5:$C$504,MATCH(ROWS($A$5:A25),Model!$AD$5:$AD$504,0)))</f>
        <v/>
      </c>
      <c r="C25" s="18">
        <f>IF(A25="","",INDEX(Model!$D$5:$D$504,MATCH(ROWS($A$5:A25),Model!$AD$5:$AD$504,0)))</f>
        <v/>
      </c>
      <c r="D25" s="18">
        <f>IF(A25="","",INDEX(Model!$E$5:$E$504,MATCH(ROWS($A$5:A25),Model!$AD$5:$AD$504,0)))</f>
        <v/>
      </c>
      <c r="E25" s="19">
        <f>IF(A25="","",INDEX(Model!$F$5:$F$504,MATCH(ROWS($A$5:A25),Model!$AD$5:$AD$504,0)))</f>
        <v/>
      </c>
      <c r="F25" s="19">
        <f>IF(A25="","",INDEX(Model!$G$5:$G$504,MATCH(ROWS($A$5:A25),Model!$AD$5:$AD$504,0)))</f>
        <v/>
      </c>
      <c r="G25" s="18">
        <f>IF(A25="","",INDEX(Model!$H$5:$H$504,MATCH(ROWS($A$5:A25),Model!$AD$5:$AD$504,0)))</f>
        <v/>
      </c>
      <c r="H25" s="18">
        <f>IF(A25="","",INDEX(Model!$L$5:$L$504,MATCH(ROWS($A$5:A25),Model!$AD$5:$AD$504,0)))</f>
        <v/>
      </c>
      <c r="I25" s="20">
        <f>IF(A25="","",INDEX(Model!$P$5:$P$504,MATCH(ROWS($A$5:A25),Model!$AD$5:$AD$504,0)))</f>
        <v/>
      </c>
      <c r="J25" s="20">
        <f>IF(A25="","",INDEX(Model!$Q$5:$Q$504,MATCH(ROWS($A$5:A25),Model!$AD$5:$AD$504,0)))</f>
        <v/>
      </c>
      <c r="K25" s="21">
        <f>IF(A25="","",INDEX(Model!$R$5:$R$504,MATCH(ROWS($A$5:A25),Model!$AD$5:$AD$504,0)))</f>
        <v/>
      </c>
      <c r="L25" s="20">
        <f>IF(A25="","",INDEX(Model!$S$5:$S$504,MATCH(ROWS($A$5:A25),Model!$AD$5:$AD$504,0)))</f>
        <v/>
      </c>
      <c r="M25" s="21">
        <f>IF(A25="","",INDEX(Model!$T$5:$T$504,MATCH(ROWS($A$5:A25),Model!$AD$5:$AD$504,0)))</f>
        <v/>
      </c>
      <c r="N25" s="18">
        <f>IF(A25="","",INDEX(Model!$U$5:$U$504,MATCH(ROWS($A$5:A25),Model!$AD$5:$AD$504,0)))</f>
        <v/>
      </c>
      <c r="O25" s="18">
        <f>IF(A25="","",INDEX(Model!$V$5:$V$504,MATCH(ROWS($A$5:A25),Model!$AD$5:$AD$504,0)))</f>
        <v/>
      </c>
      <c r="P25" s="18">
        <f>IF(A25="","",INDEX(Model!$W$5:$W$504,MATCH(ROWS($A$5:A25),Model!$AD$5:$AD$504,0)))</f>
        <v/>
      </c>
      <c r="Q25" s="18">
        <f>IF(A25="","",INDEX(Model!$X$5:$X$504,MATCH(ROWS($A$5:A25),Model!$AD$5:$AD$504,0)))</f>
        <v/>
      </c>
      <c r="R25" s="18">
        <f>IF(A25="","",INDEX(Model!$Y$5:$Y$504,MATCH(ROWS($A$5:A25),Model!$AD$5:$AD$504,0)))</f>
        <v/>
      </c>
      <c r="S25" s="21">
        <f>IF(A25="","",INDEX(Model!$Z$5:$Z$504,MATCH(ROWS($A$5:A25),Model!$AD$5:$AD$504,0)))</f>
        <v/>
      </c>
      <c r="T25" s="18">
        <f>IF(A25="","",INDEX(Model!$AA$5:$AA$504,MATCH(ROWS($A$5:A25),Model!$AD$5:$AD$504,0)))</f>
        <v/>
      </c>
      <c r="U25" s="13" t="n"/>
      <c r="V25" s="13" t="n"/>
      <c r="W25" s="13" t="n"/>
    </row>
    <row r="26">
      <c r="A26" s="18">
        <f>IFERROR(INDEX(Model!$B$5:$B$504,MATCH(ROWS($A$5:A26),Model!$AD$5:$AD$504,0)),"")</f>
        <v/>
      </c>
      <c r="B26" s="18">
        <f>IF(A26="","",INDEX(Model!$C$5:$C$504,MATCH(ROWS($A$5:A26),Model!$AD$5:$AD$504,0)))</f>
        <v/>
      </c>
      <c r="C26" s="18">
        <f>IF(A26="","",INDEX(Model!$D$5:$D$504,MATCH(ROWS($A$5:A26),Model!$AD$5:$AD$504,0)))</f>
        <v/>
      </c>
      <c r="D26" s="18">
        <f>IF(A26="","",INDEX(Model!$E$5:$E$504,MATCH(ROWS($A$5:A26),Model!$AD$5:$AD$504,0)))</f>
        <v/>
      </c>
      <c r="E26" s="19">
        <f>IF(A26="","",INDEX(Model!$F$5:$F$504,MATCH(ROWS($A$5:A26),Model!$AD$5:$AD$504,0)))</f>
        <v/>
      </c>
      <c r="F26" s="19">
        <f>IF(A26="","",INDEX(Model!$G$5:$G$504,MATCH(ROWS($A$5:A26),Model!$AD$5:$AD$504,0)))</f>
        <v/>
      </c>
      <c r="G26" s="18">
        <f>IF(A26="","",INDEX(Model!$H$5:$H$504,MATCH(ROWS($A$5:A26),Model!$AD$5:$AD$504,0)))</f>
        <v/>
      </c>
      <c r="H26" s="18">
        <f>IF(A26="","",INDEX(Model!$L$5:$L$504,MATCH(ROWS($A$5:A26),Model!$AD$5:$AD$504,0)))</f>
        <v/>
      </c>
      <c r="I26" s="20">
        <f>IF(A26="","",INDEX(Model!$P$5:$P$504,MATCH(ROWS($A$5:A26),Model!$AD$5:$AD$504,0)))</f>
        <v/>
      </c>
      <c r="J26" s="20">
        <f>IF(A26="","",INDEX(Model!$Q$5:$Q$504,MATCH(ROWS($A$5:A26),Model!$AD$5:$AD$504,0)))</f>
        <v/>
      </c>
      <c r="K26" s="21">
        <f>IF(A26="","",INDEX(Model!$R$5:$R$504,MATCH(ROWS($A$5:A26),Model!$AD$5:$AD$504,0)))</f>
        <v/>
      </c>
      <c r="L26" s="20">
        <f>IF(A26="","",INDEX(Model!$S$5:$S$504,MATCH(ROWS($A$5:A26),Model!$AD$5:$AD$504,0)))</f>
        <v/>
      </c>
      <c r="M26" s="21">
        <f>IF(A26="","",INDEX(Model!$T$5:$T$504,MATCH(ROWS($A$5:A26),Model!$AD$5:$AD$504,0)))</f>
        <v/>
      </c>
      <c r="N26" s="18">
        <f>IF(A26="","",INDEX(Model!$U$5:$U$504,MATCH(ROWS($A$5:A26),Model!$AD$5:$AD$504,0)))</f>
        <v/>
      </c>
      <c r="O26" s="18">
        <f>IF(A26="","",INDEX(Model!$V$5:$V$504,MATCH(ROWS($A$5:A26),Model!$AD$5:$AD$504,0)))</f>
        <v/>
      </c>
      <c r="P26" s="18">
        <f>IF(A26="","",INDEX(Model!$W$5:$W$504,MATCH(ROWS($A$5:A26),Model!$AD$5:$AD$504,0)))</f>
        <v/>
      </c>
      <c r="Q26" s="18">
        <f>IF(A26="","",INDEX(Model!$X$5:$X$504,MATCH(ROWS($A$5:A26),Model!$AD$5:$AD$504,0)))</f>
        <v/>
      </c>
      <c r="R26" s="18">
        <f>IF(A26="","",INDEX(Model!$Y$5:$Y$504,MATCH(ROWS($A$5:A26),Model!$AD$5:$AD$504,0)))</f>
        <v/>
      </c>
      <c r="S26" s="21">
        <f>IF(A26="","",INDEX(Model!$Z$5:$Z$504,MATCH(ROWS($A$5:A26),Model!$AD$5:$AD$504,0)))</f>
        <v/>
      </c>
      <c r="T26" s="18">
        <f>IF(A26="","",INDEX(Model!$AA$5:$AA$504,MATCH(ROWS($A$5:A26),Model!$AD$5:$AD$504,0)))</f>
        <v/>
      </c>
      <c r="U26" s="13" t="n"/>
      <c r="V26" s="13" t="n"/>
      <c r="W26" s="13" t="n"/>
    </row>
    <row r="27">
      <c r="A27" s="18">
        <f>IFERROR(INDEX(Model!$B$5:$B$504,MATCH(ROWS($A$5:A27),Model!$AD$5:$AD$504,0)),"")</f>
        <v/>
      </c>
      <c r="B27" s="18">
        <f>IF(A27="","",INDEX(Model!$C$5:$C$504,MATCH(ROWS($A$5:A27),Model!$AD$5:$AD$504,0)))</f>
        <v/>
      </c>
      <c r="C27" s="18">
        <f>IF(A27="","",INDEX(Model!$D$5:$D$504,MATCH(ROWS($A$5:A27),Model!$AD$5:$AD$504,0)))</f>
        <v/>
      </c>
      <c r="D27" s="18">
        <f>IF(A27="","",INDEX(Model!$E$5:$E$504,MATCH(ROWS($A$5:A27),Model!$AD$5:$AD$504,0)))</f>
        <v/>
      </c>
      <c r="E27" s="19">
        <f>IF(A27="","",INDEX(Model!$F$5:$F$504,MATCH(ROWS($A$5:A27),Model!$AD$5:$AD$504,0)))</f>
        <v/>
      </c>
      <c r="F27" s="19">
        <f>IF(A27="","",INDEX(Model!$G$5:$G$504,MATCH(ROWS($A$5:A27),Model!$AD$5:$AD$504,0)))</f>
        <v/>
      </c>
      <c r="G27" s="18">
        <f>IF(A27="","",INDEX(Model!$H$5:$H$504,MATCH(ROWS($A$5:A27),Model!$AD$5:$AD$504,0)))</f>
        <v/>
      </c>
      <c r="H27" s="18">
        <f>IF(A27="","",INDEX(Model!$L$5:$L$504,MATCH(ROWS($A$5:A27),Model!$AD$5:$AD$504,0)))</f>
        <v/>
      </c>
      <c r="I27" s="20">
        <f>IF(A27="","",INDEX(Model!$P$5:$P$504,MATCH(ROWS($A$5:A27),Model!$AD$5:$AD$504,0)))</f>
        <v/>
      </c>
      <c r="J27" s="20">
        <f>IF(A27="","",INDEX(Model!$Q$5:$Q$504,MATCH(ROWS($A$5:A27),Model!$AD$5:$AD$504,0)))</f>
        <v/>
      </c>
      <c r="K27" s="21">
        <f>IF(A27="","",INDEX(Model!$R$5:$R$504,MATCH(ROWS($A$5:A27),Model!$AD$5:$AD$504,0)))</f>
        <v/>
      </c>
      <c r="L27" s="20">
        <f>IF(A27="","",INDEX(Model!$S$5:$S$504,MATCH(ROWS($A$5:A27),Model!$AD$5:$AD$504,0)))</f>
        <v/>
      </c>
      <c r="M27" s="21">
        <f>IF(A27="","",INDEX(Model!$T$5:$T$504,MATCH(ROWS($A$5:A27),Model!$AD$5:$AD$504,0)))</f>
        <v/>
      </c>
      <c r="N27" s="18">
        <f>IF(A27="","",INDEX(Model!$U$5:$U$504,MATCH(ROWS($A$5:A27),Model!$AD$5:$AD$504,0)))</f>
        <v/>
      </c>
      <c r="O27" s="18">
        <f>IF(A27="","",INDEX(Model!$V$5:$V$504,MATCH(ROWS($A$5:A27),Model!$AD$5:$AD$504,0)))</f>
        <v/>
      </c>
      <c r="P27" s="18">
        <f>IF(A27="","",INDEX(Model!$W$5:$W$504,MATCH(ROWS($A$5:A27),Model!$AD$5:$AD$504,0)))</f>
        <v/>
      </c>
      <c r="Q27" s="18">
        <f>IF(A27="","",INDEX(Model!$X$5:$X$504,MATCH(ROWS($A$5:A27),Model!$AD$5:$AD$504,0)))</f>
        <v/>
      </c>
      <c r="R27" s="18">
        <f>IF(A27="","",INDEX(Model!$Y$5:$Y$504,MATCH(ROWS($A$5:A27),Model!$AD$5:$AD$504,0)))</f>
        <v/>
      </c>
      <c r="S27" s="21">
        <f>IF(A27="","",INDEX(Model!$Z$5:$Z$504,MATCH(ROWS($A$5:A27),Model!$AD$5:$AD$504,0)))</f>
        <v/>
      </c>
      <c r="T27" s="18">
        <f>IF(A27="","",INDEX(Model!$AA$5:$AA$504,MATCH(ROWS($A$5:A27),Model!$AD$5:$AD$504,0)))</f>
        <v/>
      </c>
      <c r="U27" s="13" t="n"/>
      <c r="V27" s="13" t="n"/>
      <c r="W27" s="13" t="n"/>
    </row>
    <row r="28">
      <c r="A28" s="18">
        <f>IFERROR(INDEX(Model!$B$5:$B$504,MATCH(ROWS($A$5:A28),Model!$AD$5:$AD$504,0)),"")</f>
        <v/>
      </c>
      <c r="B28" s="18">
        <f>IF(A28="","",INDEX(Model!$C$5:$C$504,MATCH(ROWS($A$5:A28),Model!$AD$5:$AD$504,0)))</f>
        <v/>
      </c>
      <c r="C28" s="18">
        <f>IF(A28="","",INDEX(Model!$D$5:$D$504,MATCH(ROWS($A$5:A28),Model!$AD$5:$AD$504,0)))</f>
        <v/>
      </c>
      <c r="D28" s="18">
        <f>IF(A28="","",INDEX(Model!$E$5:$E$504,MATCH(ROWS($A$5:A28),Model!$AD$5:$AD$504,0)))</f>
        <v/>
      </c>
      <c r="E28" s="19">
        <f>IF(A28="","",INDEX(Model!$F$5:$F$504,MATCH(ROWS($A$5:A28),Model!$AD$5:$AD$504,0)))</f>
        <v/>
      </c>
      <c r="F28" s="19">
        <f>IF(A28="","",INDEX(Model!$G$5:$G$504,MATCH(ROWS($A$5:A28),Model!$AD$5:$AD$504,0)))</f>
        <v/>
      </c>
      <c r="G28" s="18">
        <f>IF(A28="","",INDEX(Model!$H$5:$H$504,MATCH(ROWS($A$5:A28),Model!$AD$5:$AD$504,0)))</f>
        <v/>
      </c>
      <c r="H28" s="18">
        <f>IF(A28="","",INDEX(Model!$L$5:$L$504,MATCH(ROWS($A$5:A28),Model!$AD$5:$AD$504,0)))</f>
        <v/>
      </c>
      <c r="I28" s="20">
        <f>IF(A28="","",INDEX(Model!$P$5:$P$504,MATCH(ROWS($A$5:A28),Model!$AD$5:$AD$504,0)))</f>
        <v/>
      </c>
      <c r="J28" s="20">
        <f>IF(A28="","",INDEX(Model!$Q$5:$Q$504,MATCH(ROWS($A$5:A28),Model!$AD$5:$AD$504,0)))</f>
        <v/>
      </c>
      <c r="K28" s="21">
        <f>IF(A28="","",INDEX(Model!$R$5:$R$504,MATCH(ROWS($A$5:A28),Model!$AD$5:$AD$504,0)))</f>
        <v/>
      </c>
      <c r="L28" s="20">
        <f>IF(A28="","",INDEX(Model!$S$5:$S$504,MATCH(ROWS($A$5:A28),Model!$AD$5:$AD$504,0)))</f>
        <v/>
      </c>
      <c r="M28" s="21">
        <f>IF(A28="","",INDEX(Model!$T$5:$T$504,MATCH(ROWS($A$5:A28),Model!$AD$5:$AD$504,0)))</f>
        <v/>
      </c>
      <c r="N28" s="18">
        <f>IF(A28="","",INDEX(Model!$U$5:$U$504,MATCH(ROWS($A$5:A28),Model!$AD$5:$AD$504,0)))</f>
        <v/>
      </c>
      <c r="O28" s="18">
        <f>IF(A28="","",INDEX(Model!$V$5:$V$504,MATCH(ROWS($A$5:A28),Model!$AD$5:$AD$504,0)))</f>
        <v/>
      </c>
      <c r="P28" s="18">
        <f>IF(A28="","",INDEX(Model!$W$5:$W$504,MATCH(ROWS($A$5:A28),Model!$AD$5:$AD$504,0)))</f>
        <v/>
      </c>
      <c r="Q28" s="18">
        <f>IF(A28="","",INDEX(Model!$X$5:$X$504,MATCH(ROWS($A$5:A28),Model!$AD$5:$AD$504,0)))</f>
        <v/>
      </c>
      <c r="R28" s="18">
        <f>IF(A28="","",INDEX(Model!$Y$5:$Y$504,MATCH(ROWS($A$5:A28),Model!$AD$5:$AD$504,0)))</f>
        <v/>
      </c>
      <c r="S28" s="21">
        <f>IF(A28="","",INDEX(Model!$Z$5:$Z$504,MATCH(ROWS($A$5:A28),Model!$AD$5:$AD$504,0)))</f>
        <v/>
      </c>
      <c r="T28" s="18">
        <f>IF(A28="","",INDEX(Model!$AA$5:$AA$504,MATCH(ROWS($A$5:A28),Model!$AD$5:$AD$504,0)))</f>
        <v/>
      </c>
      <c r="U28" s="13" t="n"/>
      <c r="V28" s="13" t="n"/>
      <c r="W28" s="13" t="n"/>
    </row>
    <row r="29">
      <c r="A29" s="18">
        <f>IFERROR(INDEX(Model!$B$5:$B$504,MATCH(ROWS($A$5:A29),Model!$AD$5:$AD$504,0)),"")</f>
        <v/>
      </c>
      <c r="B29" s="18">
        <f>IF(A29="","",INDEX(Model!$C$5:$C$504,MATCH(ROWS($A$5:A29),Model!$AD$5:$AD$504,0)))</f>
        <v/>
      </c>
      <c r="C29" s="18">
        <f>IF(A29="","",INDEX(Model!$D$5:$D$504,MATCH(ROWS($A$5:A29),Model!$AD$5:$AD$504,0)))</f>
        <v/>
      </c>
      <c r="D29" s="18">
        <f>IF(A29="","",INDEX(Model!$E$5:$E$504,MATCH(ROWS($A$5:A29),Model!$AD$5:$AD$504,0)))</f>
        <v/>
      </c>
      <c r="E29" s="19">
        <f>IF(A29="","",INDEX(Model!$F$5:$F$504,MATCH(ROWS($A$5:A29),Model!$AD$5:$AD$504,0)))</f>
        <v/>
      </c>
      <c r="F29" s="19">
        <f>IF(A29="","",INDEX(Model!$G$5:$G$504,MATCH(ROWS($A$5:A29),Model!$AD$5:$AD$504,0)))</f>
        <v/>
      </c>
      <c r="G29" s="18">
        <f>IF(A29="","",INDEX(Model!$H$5:$H$504,MATCH(ROWS($A$5:A29),Model!$AD$5:$AD$504,0)))</f>
        <v/>
      </c>
      <c r="H29" s="18">
        <f>IF(A29="","",INDEX(Model!$L$5:$L$504,MATCH(ROWS($A$5:A29),Model!$AD$5:$AD$504,0)))</f>
        <v/>
      </c>
      <c r="I29" s="20">
        <f>IF(A29="","",INDEX(Model!$P$5:$P$504,MATCH(ROWS($A$5:A29),Model!$AD$5:$AD$504,0)))</f>
        <v/>
      </c>
      <c r="J29" s="20">
        <f>IF(A29="","",INDEX(Model!$Q$5:$Q$504,MATCH(ROWS($A$5:A29),Model!$AD$5:$AD$504,0)))</f>
        <v/>
      </c>
      <c r="K29" s="21">
        <f>IF(A29="","",INDEX(Model!$R$5:$R$504,MATCH(ROWS($A$5:A29),Model!$AD$5:$AD$504,0)))</f>
        <v/>
      </c>
      <c r="L29" s="20">
        <f>IF(A29="","",INDEX(Model!$S$5:$S$504,MATCH(ROWS($A$5:A29),Model!$AD$5:$AD$504,0)))</f>
        <v/>
      </c>
      <c r="M29" s="21">
        <f>IF(A29="","",INDEX(Model!$T$5:$T$504,MATCH(ROWS($A$5:A29),Model!$AD$5:$AD$504,0)))</f>
        <v/>
      </c>
      <c r="N29" s="18">
        <f>IF(A29="","",INDEX(Model!$U$5:$U$504,MATCH(ROWS($A$5:A29),Model!$AD$5:$AD$504,0)))</f>
        <v/>
      </c>
      <c r="O29" s="18">
        <f>IF(A29="","",INDEX(Model!$V$5:$V$504,MATCH(ROWS($A$5:A29),Model!$AD$5:$AD$504,0)))</f>
        <v/>
      </c>
      <c r="P29" s="18">
        <f>IF(A29="","",INDEX(Model!$W$5:$W$504,MATCH(ROWS($A$5:A29),Model!$AD$5:$AD$504,0)))</f>
        <v/>
      </c>
      <c r="Q29" s="18">
        <f>IF(A29="","",INDEX(Model!$X$5:$X$504,MATCH(ROWS($A$5:A29),Model!$AD$5:$AD$504,0)))</f>
        <v/>
      </c>
      <c r="R29" s="18">
        <f>IF(A29="","",INDEX(Model!$Y$5:$Y$504,MATCH(ROWS($A$5:A29),Model!$AD$5:$AD$504,0)))</f>
        <v/>
      </c>
      <c r="S29" s="21">
        <f>IF(A29="","",INDEX(Model!$Z$5:$Z$504,MATCH(ROWS($A$5:A29),Model!$AD$5:$AD$504,0)))</f>
        <v/>
      </c>
      <c r="T29" s="18">
        <f>IF(A29="","",INDEX(Model!$AA$5:$AA$504,MATCH(ROWS($A$5:A29),Model!$AD$5:$AD$504,0)))</f>
        <v/>
      </c>
      <c r="U29" s="13" t="n"/>
      <c r="V29" s="13" t="n"/>
      <c r="W29" s="13" t="n"/>
    </row>
    <row r="30">
      <c r="A30" s="18">
        <f>IFERROR(INDEX(Model!$B$5:$B$504,MATCH(ROWS($A$5:A30),Model!$AD$5:$AD$504,0)),"")</f>
        <v/>
      </c>
      <c r="B30" s="18">
        <f>IF(A30="","",INDEX(Model!$C$5:$C$504,MATCH(ROWS($A$5:A30),Model!$AD$5:$AD$504,0)))</f>
        <v/>
      </c>
      <c r="C30" s="18">
        <f>IF(A30="","",INDEX(Model!$D$5:$D$504,MATCH(ROWS($A$5:A30),Model!$AD$5:$AD$504,0)))</f>
        <v/>
      </c>
      <c r="D30" s="18">
        <f>IF(A30="","",INDEX(Model!$E$5:$E$504,MATCH(ROWS($A$5:A30),Model!$AD$5:$AD$504,0)))</f>
        <v/>
      </c>
      <c r="E30" s="19">
        <f>IF(A30="","",INDEX(Model!$F$5:$F$504,MATCH(ROWS($A$5:A30),Model!$AD$5:$AD$504,0)))</f>
        <v/>
      </c>
      <c r="F30" s="19">
        <f>IF(A30="","",INDEX(Model!$G$5:$G$504,MATCH(ROWS($A$5:A30),Model!$AD$5:$AD$504,0)))</f>
        <v/>
      </c>
      <c r="G30" s="18">
        <f>IF(A30="","",INDEX(Model!$H$5:$H$504,MATCH(ROWS($A$5:A30),Model!$AD$5:$AD$504,0)))</f>
        <v/>
      </c>
      <c r="H30" s="18">
        <f>IF(A30="","",INDEX(Model!$L$5:$L$504,MATCH(ROWS($A$5:A30),Model!$AD$5:$AD$504,0)))</f>
        <v/>
      </c>
      <c r="I30" s="20">
        <f>IF(A30="","",INDEX(Model!$P$5:$P$504,MATCH(ROWS($A$5:A30),Model!$AD$5:$AD$504,0)))</f>
        <v/>
      </c>
      <c r="J30" s="20">
        <f>IF(A30="","",INDEX(Model!$Q$5:$Q$504,MATCH(ROWS($A$5:A30),Model!$AD$5:$AD$504,0)))</f>
        <v/>
      </c>
      <c r="K30" s="21">
        <f>IF(A30="","",INDEX(Model!$R$5:$R$504,MATCH(ROWS($A$5:A30),Model!$AD$5:$AD$504,0)))</f>
        <v/>
      </c>
      <c r="L30" s="20">
        <f>IF(A30="","",INDEX(Model!$S$5:$S$504,MATCH(ROWS($A$5:A30),Model!$AD$5:$AD$504,0)))</f>
        <v/>
      </c>
      <c r="M30" s="21">
        <f>IF(A30="","",INDEX(Model!$T$5:$T$504,MATCH(ROWS($A$5:A30),Model!$AD$5:$AD$504,0)))</f>
        <v/>
      </c>
      <c r="N30" s="18">
        <f>IF(A30="","",INDEX(Model!$U$5:$U$504,MATCH(ROWS($A$5:A30),Model!$AD$5:$AD$504,0)))</f>
        <v/>
      </c>
      <c r="O30" s="18">
        <f>IF(A30="","",INDEX(Model!$V$5:$V$504,MATCH(ROWS($A$5:A30),Model!$AD$5:$AD$504,0)))</f>
        <v/>
      </c>
      <c r="P30" s="18">
        <f>IF(A30="","",INDEX(Model!$W$5:$W$504,MATCH(ROWS($A$5:A30),Model!$AD$5:$AD$504,0)))</f>
        <v/>
      </c>
      <c r="Q30" s="18">
        <f>IF(A30="","",INDEX(Model!$X$5:$X$504,MATCH(ROWS($A$5:A30),Model!$AD$5:$AD$504,0)))</f>
        <v/>
      </c>
      <c r="R30" s="18">
        <f>IF(A30="","",INDEX(Model!$Y$5:$Y$504,MATCH(ROWS($A$5:A30),Model!$AD$5:$AD$504,0)))</f>
        <v/>
      </c>
      <c r="S30" s="21">
        <f>IF(A30="","",INDEX(Model!$Z$5:$Z$504,MATCH(ROWS($A$5:A30),Model!$AD$5:$AD$504,0)))</f>
        <v/>
      </c>
      <c r="T30" s="18">
        <f>IF(A30="","",INDEX(Model!$AA$5:$AA$504,MATCH(ROWS($A$5:A30),Model!$AD$5:$AD$504,0)))</f>
        <v/>
      </c>
      <c r="U30" s="13" t="n"/>
      <c r="V30" s="13" t="n"/>
      <c r="W30" s="13" t="n"/>
    </row>
    <row r="31">
      <c r="A31" s="18">
        <f>IFERROR(INDEX(Model!$B$5:$B$504,MATCH(ROWS($A$5:A31),Model!$AD$5:$AD$504,0)),"")</f>
        <v/>
      </c>
      <c r="B31" s="18">
        <f>IF(A31="","",INDEX(Model!$C$5:$C$504,MATCH(ROWS($A$5:A31),Model!$AD$5:$AD$504,0)))</f>
        <v/>
      </c>
      <c r="C31" s="18">
        <f>IF(A31="","",INDEX(Model!$D$5:$D$504,MATCH(ROWS($A$5:A31),Model!$AD$5:$AD$504,0)))</f>
        <v/>
      </c>
      <c r="D31" s="18">
        <f>IF(A31="","",INDEX(Model!$E$5:$E$504,MATCH(ROWS($A$5:A31),Model!$AD$5:$AD$504,0)))</f>
        <v/>
      </c>
      <c r="E31" s="19">
        <f>IF(A31="","",INDEX(Model!$F$5:$F$504,MATCH(ROWS($A$5:A31),Model!$AD$5:$AD$504,0)))</f>
        <v/>
      </c>
      <c r="F31" s="19">
        <f>IF(A31="","",INDEX(Model!$G$5:$G$504,MATCH(ROWS($A$5:A31),Model!$AD$5:$AD$504,0)))</f>
        <v/>
      </c>
      <c r="G31" s="18">
        <f>IF(A31="","",INDEX(Model!$H$5:$H$504,MATCH(ROWS($A$5:A31),Model!$AD$5:$AD$504,0)))</f>
        <v/>
      </c>
      <c r="H31" s="18">
        <f>IF(A31="","",INDEX(Model!$L$5:$L$504,MATCH(ROWS($A$5:A31),Model!$AD$5:$AD$504,0)))</f>
        <v/>
      </c>
      <c r="I31" s="20">
        <f>IF(A31="","",INDEX(Model!$P$5:$P$504,MATCH(ROWS($A$5:A31),Model!$AD$5:$AD$504,0)))</f>
        <v/>
      </c>
      <c r="J31" s="20">
        <f>IF(A31="","",INDEX(Model!$Q$5:$Q$504,MATCH(ROWS($A$5:A31),Model!$AD$5:$AD$504,0)))</f>
        <v/>
      </c>
      <c r="K31" s="21">
        <f>IF(A31="","",INDEX(Model!$R$5:$R$504,MATCH(ROWS($A$5:A31),Model!$AD$5:$AD$504,0)))</f>
        <v/>
      </c>
      <c r="L31" s="20">
        <f>IF(A31="","",INDEX(Model!$S$5:$S$504,MATCH(ROWS($A$5:A31),Model!$AD$5:$AD$504,0)))</f>
        <v/>
      </c>
      <c r="M31" s="21">
        <f>IF(A31="","",INDEX(Model!$T$5:$T$504,MATCH(ROWS($A$5:A31),Model!$AD$5:$AD$504,0)))</f>
        <v/>
      </c>
      <c r="N31" s="18">
        <f>IF(A31="","",INDEX(Model!$U$5:$U$504,MATCH(ROWS($A$5:A31),Model!$AD$5:$AD$504,0)))</f>
        <v/>
      </c>
      <c r="O31" s="18">
        <f>IF(A31="","",INDEX(Model!$V$5:$V$504,MATCH(ROWS($A$5:A31),Model!$AD$5:$AD$504,0)))</f>
        <v/>
      </c>
      <c r="P31" s="18">
        <f>IF(A31="","",INDEX(Model!$W$5:$W$504,MATCH(ROWS($A$5:A31),Model!$AD$5:$AD$504,0)))</f>
        <v/>
      </c>
      <c r="Q31" s="18">
        <f>IF(A31="","",INDEX(Model!$X$5:$X$504,MATCH(ROWS($A$5:A31),Model!$AD$5:$AD$504,0)))</f>
        <v/>
      </c>
      <c r="R31" s="18">
        <f>IF(A31="","",INDEX(Model!$Y$5:$Y$504,MATCH(ROWS($A$5:A31),Model!$AD$5:$AD$504,0)))</f>
        <v/>
      </c>
      <c r="S31" s="21">
        <f>IF(A31="","",INDEX(Model!$Z$5:$Z$504,MATCH(ROWS($A$5:A31),Model!$AD$5:$AD$504,0)))</f>
        <v/>
      </c>
      <c r="T31" s="18">
        <f>IF(A31="","",INDEX(Model!$AA$5:$AA$504,MATCH(ROWS($A$5:A31),Model!$AD$5:$AD$504,0)))</f>
        <v/>
      </c>
      <c r="U31" s="13" t="n"/>
      <c r="V31" s="13" t="n"/>
      <c r="W31" s="13" t="n"/>
    </row>
    <row r="32">
      <c r="A32" s="18">
        <f>IFERROR(INDEX(Model!$B$5:$B$504,MATCH(ROWS($A$5:A32),Model!$AD$5:$AD$504,0)),"")</f>
        <v/>
      </c>
      <c r="B32" s="18">
        <f>IF(A32="","",INDEX(Model!$C$5:$C$504,MATCH(ROWS($A$5:A32),Model!$AD$5:$AD$504,0)))</f>
        <v/>
      </c>
      <c r="C32" s="18">
        <f>IF(A32="","",INDEX(Model!$D$5:$D$504,MATCH(ROWS($A$5:A32),Model!$AD$5:$AD$504,0)))</f>
        <v/>
      </c>
      <c r="D32" s="18">
        <f>IF(A32="","",INDEX(Model!$E$5:$E$504,MATCH(ROWS($A$5:A32),Model!$AD$5:$AD$504,0)))</f>
        <v/>
      </c>
      <c r="E32" s="19">
        <f>IF(A32="","",INDEX(Model!$F$5:$F$504,MATCH(ROWS($A$5:A32),Model!$AD$5:$AD$504,0)))</f>
        <v/>
      </c>
      <c r="F32" s="19">
        <f>IF(A32="","",INDEX(Model!$G$5:$G$504,MATCH(ROWS($A$5:A32),Model!$AD$5:$AD$504,0)))</f>
        <v/>
      </c>
      <c r="G32" s="18">
        <f>IF(A32="","",INDEX(Model!$H$5:$H$504,MATCH(ROWS($A$5:A32),Model!$AD$5:$AD$504,0)))</f>
        <v/>
      </c>
      <c r="H32" s="18">
        <f>IF(A32="","",INDEX(Model!$L$5:$L$504,MATCH(ROWS($A$5:A32),Model!$AD$5:$AD$504,0)))</f>
        <v/>
      </c>
      <c r="I32" s="20">
        <f>IF(A32="","",INDEX(Model!$P$5:$P$504,MATCH(ROWS($A$5:A32),Model!$AD$5:$AD$504,0)))</f>
        <v/>
      </c>
      <c r="J32" s="20">
        <f>IF(A32="","",INDEX(Model!$Q$5:$Q$504,MATCH(ROWS($A$5:A32),Model!$AD$5:$AD$504,0)))</f>
        <v/>
      </c>
      <c r="K32" s="21">
        <f>IF(A32="","",INDEX(Model!$R$5:$R$504,MATCH(ROWS($A$5:A32),Model!$AD$5:$AD$504,0)))</f>
        <v/>
      </c>
      <c r="L32" s="20">
        <f>IF(A32="","",INDEX(Model!$S$5:$S$504,MATCH(ROWS($A$5:A32),Model!$AD$5:$AD$504,0)))</f>
        <v/>
      </c>
      <c r="M32" s="21">
        <f>IF(A32="","",INDEX(Model!$T$5:$T$504,MATCH(ROWS($A$5:A32),Model!$AD$5:$AD$504,0)))</f>
        <v/>
      </c>
      <c r="N32" s="18">
        <f>IF(A32="","",INDEX(Model!$U$5:$U$504,MATCH(ROWS($A$5:A32),Model!$AD$5:$AD$504,0)))</f>
        <v/>
      </c>
      <c r="O32" s="18">
        <f>IF(A32="","",INDEX(Model!$V$5:$V$504,MATCH(ROWS($A$5:A32),Model!$AD$5:$AD$504,0)))</f>
        <v/>
      </c>
      <c r="P32" s="18">
        <f>IF(A32="","",INDEX(Model!$W$5:$W$504,MATCH(ROWS($A$5:A32),Model!$AD$5:$AD$504,0)))</f>
        <v/>
      </c>
      <c r="Q32" s="18">
        <f>IF(A32="","",INDEX(Model!$X$5:$X$504,MATCH(ROWS($A$5:A32),Model!$AD$5:$AD$504,0)))</f>
        <v/>
      </c>
      <c r="R32" s="18">
        <f>IF(A32="","",INDEX(Model!$Y$5:$Y$504,MATCH(ROWS($A$5:A32),Model!$AD$5:$AD$504,0)))</f>
        <v/>
      </c>
      <c r="S32" s="21">
        <f>IF(A32="","",INDEX(Model!$Z$5:$Z$504,MATCH(ROWS($A$5:A32),Model!$AD$5:$AD$504,0)))</f>
        <v/>
      </c>
      <c r="T32" s="18">
        <f>IF(A32="","",INDEX(Model!$AA$5:$AA$504,MATCH(ROWS($A$5:A32),Model!$AD$5:$AD$504,0)))</f>
        <v/>
      </c>
      <c r="U32" s="13" t="n"/>
      <c r="V32" s="13" t="n"/>
      <c r="W32" s="13" t="n"/>
    </row>
    <row r="33">
      <c r="A33" s="18">
        <f>IFERROR(INDEX(Model!$B$5:$B$504,MATCH(ROWS($A$5:A33),Model!$AD$5:$AD$504,0)),"")</f>
        <v/>
      </c>
      <c r="B33" s="18">
        <f>IF(A33="","",INDEX(Model!$C$5:$C$504,MATCH(ROWS($A$5:A33),Model!$AD$5:$AD$504,0)))</f>
        <v/>
      </c>
      <c r="C33" s="18">
        <f>IF(A33="","",INDEX(Model!$D$5:$D$504,MATCH(ROWS($A$5:A33),Model!$AD$5:$AD$504,0)))</f>
        <v/>
      </c>
      <c r="D33" s="18">
        <f>IF(A33="","",INDEX(Model!$E$5:$E$504,MATCH(ROWS($A$5:A33),Model!$AD$5:$AD$504,0)))</f>
        <v/>
      </c>
      <c r="E33" s="19">
        <f>IF(A33="","",INDEX(Model!$F$5:$F$504,MATCH(ROWS($A$5:A33),Model!$AD$5:$AD$504,0)))</f>
        <v/>
      </c>
      <c r="F33" s="19">
        <f>IF(A33="","",INDEX(Model!$G$5:$G$504,MATCH(ROWS($A$5:A33),Model!$AD$5:$AD$504,0)))</f>
        <v/>
      </c>
      <c r="G33" s="18">
        <f>IF(A33="","",INDEX(Model!$H$5:$H$504,MATCH(ROWS($A$5:A33),Model!$AD$5:$AD$504,0)))</f>
        <v/>
      </c>
      <c r="H33" s="18">
        <f>IF(A33="","",INDEX(Model!$L$5:$L$504,MATCH(ROWS($A$5:A33),Model!$AD$5:$AD$504,0)))</f>
        <v/>
      </c>
      <c r="I33" s="20">
        <f>IF(A33="","",INDEX(Model!$P$5:$P$504,MATCH(ROWS($A$5:A33),Model!$AD$5:$AD$504,0)))</f>
        <v/>
      </c>
      <c r="J33" s="20">
        <f>IF(A33="","",INDEX(Model!$Q$5:$Q$504,MATCH(ROWS($A$5:A33),Model!$AD$5:$AD$504,0)))</f>
        <v/>
      </c>
      <c r="K33" s="21">
        <f>IF(A33="","",INDEX(Model!$R$5:$R$504,MATCH(ROWS($A$5:A33),Model!$AD$5:$AD$504,0)))</f>
        <v/>
      </c>
      <c r="L33" s="20">
        <f>IF(A33="","",INDEX(Model!$S$5:$S$504,MATCH(ROWS($A$5:A33),Model!$AD$5:$AD$504,0)))</f>
        <v/>
      </c>
      <c r="M33" s="21">
        <f>IF(A33="","",INDEX(Model!$T$5:$T$504,MATCH(ROWS($A$5:A33),Model!$AD$5:$AD$504,0)))</f>
        <v/>
      </c>
      <c r="N33" s="18">
        <f>IF(A33="","",INDEX(Model!$U$5:$U$504,MATCH(ROWS($A$5:A33),Model!$AD$5:$AD$504,0)))</f>
        <v/>
      </c>
      <c r="O33" s="18">
        <f>IF(A33="","",INDEX(Model!$V$5:$V$504,MATCH(ROWS($A$5:A33),Model!$AD$5:$AD$504,0)))</f>
        <v/>
      </c>
      <c r="P33" s="18">
        <f>IF(A33="","",INDEX(Model!$W$5:$W$504,MATCH(ROWS($A$5:A33),Model!$AD$5:$AD$504,0)))</f>
        <v/>
      </c>
      <c r="Q33" s="18">
        <f>IF(A33="","",INDEX(Model!$X$5:$X$504,MATCH(ROWS($A$5:A33),Model!$AD$5:$AD$504,0)))</f>
        <v/>
      </c>
      <c r="R33" s="18">
        <f>IF(A33="","",INDEX(Model!$Y$5:$Y$504,MATCH(ROWS($A$5:A33),Model!$AD$5:$AD$504,0)))</f>
        <v/>
      </c>
      <c r="S33" s="21">
        <f>IF(A33="","",INDEX(Model!$Z$5:$Z$504,MATCH(ROWS($A$5:A33),Model!$AD$5:$AD$504,0)))</f>
        <v/>
      </c>
      <c r="T33" s="18">
        <f>IF(A33="","",INDEX(Model!$AA$5:$AA$504,MATCH(ROWS($A$5:A33),Model!$AD$5:$AD$504,0)))</f>
        <v/>
      </c>
      <c r="U33" s="13" t="n"/>
      <c r="V33" s="13" t="n"/>
      <c r="W33" s="13" t="n"/>
    </row>
    <row r="34">
      <c r="A34" s="18">
        <f>IFERROR(INDEX(Model!$B$5:$B$504,MATCH(ROWS($A$5:A34),Model!$AD$5:$AD$504,0)),"")</f>
        <v/>
      </c>
      <c r="B34" s="18">
        <f>IF(A34="","",INDEX(Model!$C$5:$C$504,MATCH(ROWS($A$5:A34),Model!$AD$5:$AD$504,0)))</f>
        <v/>
      </c>
      <c r="C34" s="18">
        <f>IF(A34="","",INDEX(Model!$D$5:$D$504,MATCH(ROWS($A$5:A34),Model!$AD$5:$AD$504,0)))</f>
        <v/>
      </c>
      <c r="D34" s="18">
        <f>IF(A34="","",INDEX(Model!$E$5:$E$504,MATCH(ROWS($A$5:A34),Model!$AD$5:$AD$504,0)))</f>
        <v/>
      </c>
      <c r="E34" s="19">
        <f>IF(A34="","",INDEX(Model!$F$5:$F$504,MATCH(ROWS($A$5:A34),Model!$AD$5:$AD$504,0)))</f>
        <v/>
      </c>
      <c r="F34" s="19">
        <f>IF(A34="","",INDEX(Model!$G$5:$G$504,MATCH(ROWS($A$5:A34),Model!$AD$5:$AD$504,0)))</f>
        <v/>
      </c>
      <c r="G34" s="18">
        <f>IF(A34="","",INDEX(Model!$H$5:$H$504,MATCH(ROWS($A$5:A34),Model!$AD$5:$AD$504,0)))</f>
        <v/>
      </c>
      <c r="H34" s="18">
        <f>IF(A34="","",INDEX(Model!$L$5:$L$504,MATCH(ROWS($A$5:A34),Model!$AD$5:$AD$504,0)))</f>
        <v/>
      </c>
      <c r="I34" s="20">
        <f>IF(A34="","",INDEX(Model!$P$5:$P$504,MATCH(ROWS($A$5:A34),Model!$AD$5:$AD$504,0)))</f>
        <v/>
      </c>
      <c r="J34" s="20">
        <f>IF(A34="","",INDEX(Model!$Q$5:$Q$504,MATCH(ROWS($A$5:A34),Model!$AD$5:$AD$504,0)))</f>
        <v/>
      </c>
      <c r="K34" s="21">
        <f>IF(A34="","",INDEX(Model!$R$5:$R$504,MATCH(ROWS($A$5:A34),Model!$AD$5:$AD$504,0)))</f>
        <v/>
      </c>
      <c r="L34" s="20">
        <f>IF(A34="","",INDEX(Model!$S$5:$S$504,MATCH(ROWS($A$5:A34),Model!$AD$5:$AD$504,0)))</f>
        <v/>
      </c>
      <c r="M34" s="21">
        <f>IF(A34="","",INDEX(Model!$T$5:$T$504,MATCH(ROWS($A$5:A34),Model!$AD$5:$AD$504,0)))</f>
        <v/>
      </c>
      <c r="N34" s="18">
        <f>IF(A34="","",INDEX(Model!$U$5:$U$504,MATCH(ROWS($A$5:A34),Model!$AD$5:$AD$504,0)))</f>
        <v/>
      </c>
      <c r="O34" s="18">
        <f>IF(A34="","",INDEX(Model!$V$5:$V$504,MATCH(ROWS($A$5:A34),Model!$AD$5:$AD$504,0)))</f>
        <v/>
      </c>
      <c r="P34" s="18">
        <f>IF(A34="","",INDEX(Model!$W$5:$W$504,MATCH(ROWS($A$5:A34),Model!$AD$5:$AD$504,0)))</f>
        <v/>
      </c>
      <c r="Q34" s="18">
        <f>IF(A34="","",INDEX(Model!$X$5:$X$504,MATCH(ROWS($A$5:A34),Model!$AD$5:$AD$504,0)))</f>
        <v/>
      </c>
      <c r="R34" s="18">
        <f>IF(A34="","",INDEX(Model!$Y$5:$Y$504,MATCH(ROWS($A$5:A34),Model!$AD$5:$AD$504,0)))</f>
        <v/>
      </c>
      <c r="S34" s="21">
        <f>IF(A34="","",INDEX(Model!$Z$5:$Z$504,MATCH(ROWS($A$5:A34),Model!$AD$5:$AD$504,0)))</f>
        <v/>
      </c>
      <c r="T34" s="18">
        <f>IF(A34="","",INDEX(Model!$AA$5:$AA$504,MATCH(ROWS($A$5:A34),Model!$AD$5:$AD$504,0)))</f>
        <v/>
      </c>
      <c r="U34" s="13" t="n"/>
      <c r="V34" s="13" t="n"/>
      <c r="W34" s="13" t="n"/>
    </row>
    <row r="35">
      <c r="A35" s="18">
        <f>IFERROR(INDEX(Model!$B$5:$B$504,MATCH(ROWS($A$5:A35),Model!$AD$5:$AD$504,0)),"")</f>
        <v/>
      </c>
      <c r="B35" s="18">
        <f>IF(A35="","",INDEX(Model!$C$5:$C$504,MATCH(ROWS($A$5:A35),Model!$AD$5:$AD$504,0)))</f>
        <v/>
      </c>
      <c r="C35" s="18">
        <f>IF(A35="","",INDEX(Model!$D$5:$D$504,MATCH(ROWS($A$5:A35),Model!$AD$5:$AD$504,0)))</f>
        <v/>
      </c>
      <c r="D35" s="18">
        <f>IF(A35="","",INDEX(Model!$E$5:$E$504,MATCH(ROWS($A$5:A35),Model!$AD$5:$AD$504,0)))</f>
        <v/>
      </c>
      <c r="E35" s="19">
        <f>IF(A35="","",INDEX(Model!$F$5:$F$504,MATCH(ROWS($A$5:A35),Model!$AD$5:$AD$504,0)))</f>
        <v/>
      </c>
      <c r="F35" s="19">
        <f>IF(A35="","",INDEX(Model!$G$5:$G$504,MATCH(ROWS($A$5:A35),Model!$AD$5:$AD$504,0)))</f>
        <v/>
      </c>
      <c r="G35" s="18">
        <f>IF(A35="","",INDEX(Model!$H$5:$H$504,MATCH(ROWS($A$5:A35),Model!$AD$5:$AD$504,0)))</f>
        <v/>
      </c>
      <c r="H35" s="18">
        <f>IF(A35="","",INDEX(Model!$L$5:$L$504,MATCH(ROWS($A$5:A35),Model!$AD$5:$AD$504,0)))</f>
        <v/>
      </c>
      <c r="I35" s="20">
        <f>IF(A35="","",INDEX(Model!$P$5:$P$504,MATCH(ROWS($A$5:A35),Model!$AD$5:$AD$504,0)))</f>
        <v/>
      </c>
      <c r="J35" s="20">
        <f>IF(A35="","",INDEX(Model!$Q$5:$Q$504,MATCH(ROWS($A$5:A35),Model!$AD$5:$AD$504,0)))</f>
        <v/>
      </c>
      <c r="K35" s="21">
        <f>IF(A35="","",INDEX(Model!$R$5:$R$504,MATCH(ROWS($A$5:A35),Model!$AD$5:$AD$504,0)))</f>
        <v/>
      </c>
      <c r="L35" s="20">
        <f>IF(A35="","",INDEX(Model!$S$5:$S$504,MATCH(ROWS($A$5:A35),Model!$AD$5:$AD$504,0)))</f>
        <v/>
      </c>
      <c r="M35" s="21">
        <f>IF(A35="","",INDEX(Model!$T$5:$T$504,MATCH(ROWS($A$5:A35),Model!$AD$5:$AD$504,0)))</f>
        <v/>
      </c>
      <c r="N35" s="18">
        <f>IF(A35="","",INDEX(Model!$U$5:$U$504,MATCH(ROWS($A$5:A35),Model!$AD$5:$AD$504,0)))</f>
        <v/>
      </c>
      <c r="O35" s="18">
        <f>IF(A35="","",INDEX(Model!$V$5:$V$504,MATCH(ROWS($A$5:A35),Model!$AD$5:$AD$504,0)))</f>
        <v/>
      </c>
      <c r="P35" s="18">
        <f>IF(A35="","",INDEX(Model!$W$5:$W$504,MATCH(ROWS($A$5:A35),Model!$AD$5:$AD$504,0)))</f>
        <v/>
      </c>
      <c r="Q35" s="18">
        <f>IF(A35="","",INDEX(Model!$X$5:$X$504,MATCH(ROWS($A$5:A35),Model!$AD$5:$AD$504,0)))</f>
        <v/>
      </c>
      <c r="R35" s="18">
        <f>IF(A35="","",INDEX(Model!$Y$5:$Y$504,MATCH(ROWS($A$5:A35),Model!$AD$5:$AD$504,0)))</f>
        <v/>
      </c>
      <c r="S35" s="21">
        <f>IF(A35="","",INDEX(Model!$Z$5:$Z$504,MATCH(ROWS($A$5:A35),Model!$AD$5:$AD$504,0)))</f>
        <v/>
      </c>
      <c r="T35" s="18">
        <f>IF(A35="","",INDEX(Model!$AA$5:$AA$504,MATCH(ROWS($A$5:A35),Model!$AD$5:$AD$504,0)))</f>
        <v/>
      </c>
      <c r="U35" s="13" t="n"/>
      <c r="V35" s="13" t="n"/>
      <c r="W35" s="13" t="n"/>
    </row>
    <row r="36">
      <c r="A36" s="18">
        <f>IFERROR(INDEX(Model!$B$5:$B$504,MATCH(ROWS($A$5:A36),Model!$AD$5:$AD$504,0)),"")</f>
        <v/>
      </c>
      <c r="B36" s="18">
        <f>IF(A36="","",INDEX(Model!$C$5:$C$504,MATCH(ROWS($A$5:A36),Model!$AD$5:$AD$504,0)))</f>
        <v/>
      </c>
      <c r="C36" s="18">
        <f>IF(A36="","",INDEX(Model!$D$5:$D$504,MATCH(ROWS($A$5:A36),Model!$AD$5:$AD$504,0)))</f>
        <v/>
      </c>
      <c r="D36" s="18">
        <f>IF(A36="","",INDEX(Model!$E$5:$E$504,MATCH(ROWS($A$5:A36),Model!$AD$5:$AD$504,0)))</f>
        <v/>
      </c>
      <c r="E36" s="19">
        <f>IF(A36="","",INDEX(Model!$F$5:$F$504,MATCH(ROWS($A$5:A36),Model!$AD$5:$AD$504,0)))</f>
        <v/>
      </c>
      <c r="F36" s="19">
        <f>IF(A36="","",INDEX(Model!$G$5:$G$504,MATCH(ROWS($A$5:A36),Model!$AD$5:$AD$504,0)))</f>
        <v/>
      </c>
      <c r="G36" s="18">
        <f>IF(A36="","",INDEX(Model!$H$5:$H$504,MATCH(ROWS($A$5:A36),Model!$AD$5:$AD$504,0)))</f>
        <v/>
      </c>
      <c r="H36" s="18">
        <f>IF(A36="","",INDEX(Model!$L$5:$L$504,MATCH(ROWS($A$5:A36),Model!$AD$5:$AD$504,0)))</f>
        <v/>
      </c>
      <c r="I36" s="20">
        <f>IF(A36="","",INDEX(Model!$P$5:$P$504,MATCH(ROWS($A$5:A36),Model!$AD$5:$AD$504,0)))</f>
        <v/>
      </c>
      <c r="J36" s="20">
        <f>IF(A36="","",INDEX(Model!$Q$5:$Q$504,MATCH(ROWS($A$5:A36),Model!$AD$5:$AD$504,0)))</f>
        <v/>
      </c>
      <c r="K36" s="21">
        <f>IF(A36="","",INDEX(Model!$R$5:$R$504,MATCH(ROWS($A$5:A36),Model!$AD$5:$AD$504,0)))</f>
        <v/>
      </c>
      <c r="L36" s="20">
        <f>IF(A36="","",INDEX(Model!$S$5:$S$504,MATCH(ROWS($A$5:A36),Model!$AD$5:$AD$504,0)))</f>
        <v/>
      </c>
      <c r="M36" s="21">
        <f>IF(A36="","",INDEX(Model!$T$5:$T$504,MATCH(ROWS($A$5:A36),Model!$AD$5:$AD$504,0)))</f>
        <v/>
      </c>
      <c r="N36" s="18">
        <f>IF(A36="","",INDEX(Model!$U$5:$U$504,MATCH(ROWS($A$5:A36),Model!$AD$5:$AD$504,0)))</f>
        <v/>
      </c>
      <c r="O36" s="18">
        <f>IF(A36="","",INDEX(Model!$V$5:$V$504,MATCH(ROWS($A$5:A36),Model!$AD$5:$AD$504,0)))</f>
        <v/>
      </c>
      <c r="P36" s="18">
        <f>IF(A36="","",INDEX(Model!$W$5:$W$504,MATCH(ROWS($A$5:A36),Model!$AD$5:$AD$504,0)))</f>
        <v/>
      </c>
      <c r="Q36" s="18">
        <f>IF(A36="","",INDEX(Model!$X$5:$X$504,MATCH(ROWS($A$5:A36),Model!$AD$5:$AD$504,0)))</f>
        <v/>
      </c>
      <c r="R36" s="18">
        <f>IF(A36="","",INDEX(Model!$Y$5:$Y$504,MATCH(ROWS($A$5:A36),Model!$AD$5:$AD$504,0)))</f>
        <v/>
      </c>
      <c r="S36" s="21">
        <f>IF(A36="","",INDEX(Model!$Z$5:$Z$504,MATCH(ROWS($A$5:A36),Model!$AD$5:$AD$504,0)))</f>
        <v/>
      </c>
      <c r="T36" s="18">
        <f>IF(A36="","",INDEX(Model!$AA$5:$AA$504,MATCH(ROWS($A$5:A36),Model!$AD$5:$AD$504,0)))</f>
        <v/>
      </c>
      <c r="U36" s="13" t="n"/>
      <c r="V36" s="13" t="n"/>
      <c r="W36" s="13" t="n"/>
    </row>
    <row r="37">
      <c r="A37" s="18">
        <f>IFERROR(INDEX(Model!$B$5:$B$504,MATCH(ROWS($A$5:A37),Model!$AD$5:$AD$504,0)),"")</f>
        <v/>
      </c>
      <c r="B37" s="18">
        <f>IF(A37="","",INDEX(Model!$C$5:$C$504,MATCH(ROWS($A$5:A37),Model!$AD$5:$AD$504,0)))</f>
        <v/>
      </c>
      <c r="C37" s="18">
        <f>IF(A37="","",INDEX(Model!$D$5:$D$504,MATCH(ROWS($A$5:A37),Model!$AD$5:$AD$504,0)))</f>
        <v/>
      </c>
      <c r="D37" s="18">
        <f>IF(A37="","",INDEX(Model!$E$5:$E$504,MATCH(ROWS($A$5:A37),Model!$AD$5:$AD$504,0)))</f>
        <v/>
      </c>
      <c r="E37" s="19">
        <f>IF(A37="","",INDEX(Model!$F$5:$F$504,MATCH(ROWS($A$5:A37),Model!$AD$5:$AD$504,0)))</f>
        <v/>
      </c>
      <c r="F37" s="19">
        <f>IF(A37="","",INDEX(Model!$G$5:$G$504,MATCH(ROWS($A$5:A37),Model!$AD$5:$AD$504,0)))</f>
        <v/>
      </c>
      <c r="G37" s="18">
        <f>IF(A37="","",INDEX(Model!$H$5:$H$504,MATCH(ROWS($A$5:A37),Model!$AD$5:$AD$504,0)))</f>
        <v/>
      </c>
      <c r="H37" s="18">
        <f>IF(A37="","",INDEX(Model!$L$5:$L$504,MATCH(ROWS($A$5:A37),Model!$AD$5:$AD$504,0)))</f>
        <v/>
      </c>
      <c r="I37" s="20">
        <f>IF(A37="","",INDEX(Model!$P$5:$P$504,MATCH(ROWS($A$5:A37),Model!$AD$5:$AD$504,0)))</f>
        <v/>
      </c>
      <c r="J37" s="20">
        <f>IF(A37="","",INDEX(Model!$Q$5:$Q$504,MATCH(ROWS($A$5:A37),Model!$AD$5:$AD$504,0)))</f>
        <v/>
      </c>
      <c r="K37" s="21">
        <f>IF(A37="","",INDEX(Model!$R$5:$R$504,MATCH(ROWS($A$5:A37),Model!$AD$5:$AD$504,0)))</f>
        <v/>
      </c>
      <c r="L37" s="20">
        <f>IF(A37="","",INDEX(Model!$S$5:$S$504,MATCH(ROWS($A$5:A37),Model!$AD$5:$AD$504,0)))</f>
        <v/>
      </c>
      <c r="M37" s="21">
        <f>IF(A37="","",INDEX(Model!$T$5:$T$504,MATCH(ROWS($A$5:A37),Model!$AD$5:$AD$504,0)))</f>
        <v/>
      </c>
      <c r="N37" s="18">
        <f>IF(A37="","",INDEX(Model!$U$5:$U$504,MATCH(ROWS($A$5:A37),Model!$AD$5:$AD$504,0)))</f>
        <v/>
      </c>
      <c r="O37" s="18">
        <f>IF(A37="","",INDEX(Model!$V$5:$V$504,MATCH(ROWS($A$5:A37),Model!$AD$5:$AD$504,0)))</f>
        <v/>
      </c>
      <c r="P37" s="18">
        <f>IF(A37="","",INDEX(Model!$W$5:$W$504,MATCH(ROWS($A$5:A37),Model!$AD$5:$AD$504,0)))</f>
        <v/>
      </c>
      <c r="Q37" s="18">
        <f>IF(A37="","",INDEX(Model!$X$5:$X$504,MATCH(ROWS($A$5:A37),Model!$AD$5:$AD$504,0)))</f>
        <v/>
      </c>
      <c r="R37" s="18">
        <f>IF(A37="","",INDEX(Model!$Y$5:$Y$504,MATCH(ROWS($A$5:A37),Model!$AD$5:$AD$504,0)))</f>
        <v/>
      </c>
      <c r="S37" s="21">
        <f>IF(A37="","",INDEX(Model!$Z$5:$Z$504,MATCH(ROWS($A$5:A37),Model!$AD$5:$AD$504,0)))</f>
        <v/>
      </c>
      <c r="T37" s="18">
        <f>IF(A37="","",INDEX(Model!$AA$5:$AA$504,MATCH(ROWS($A$5:A37),Model!$AD$5:$AD$504,0)))</f>
        <v/>
      </c>
      <c r="U37" s="13" t="n"/>
      <c r="V37" s="13" t="n"/>
      <c r="W37" s="13" t="n"/>
    </row>
    <row r="38">
      <c r="A38" s="18">
        <f>IFERROR(INDEX(Model!$B$5:$B$504,MATCH(ROWS($A$5:A38),Model!$AD$5:$AD$504,0)),"")</f>
        <v/>
      </c>
      <c r="B38" s="18">
        <f>IF(A38="","",INDEX(Model!$C$5:$C$504,MATCH(ROWS($A$5:A38),Model!$AD$5:$AD$504,0)))</f>
        <v/>
      </c>
      <c r="C38" s="18">
        <f>IF(A38="","",INDEX(Model!$D$5:$D$504,MATCH(ROWS($A$5:A38),Model!$AD$5:$AD$504,0)))</f>
        <v/>
      </c>
      <c r="D38" s="18">
        <f>IF(A38="","",INDEX(Model!$E$5:$E$504,MATCH(ROWS($A$5:A38),Model!$AD$5:$AD$504,0)))</f>
        <v/>
      </c>
      <c r="E38" s="19">
        <f>IF(A38="","",INDEX(Model!$F$5:$F$504,MATCH(ROWS($A$5:A38),Model!$AD$5:$AD$504,0)))</f>
        <v/>
      </c>
      <c r="F38" s="19">
        <f>IF(A38="","",INDEX(Model!$G$5:$G$504,MATCH(ROWS($A$5:A38),Model!$AD$5:$AD$504,0)))</f>
        <v/>
      </c>
      <c r="G38" s="18">
        <f>IF(A38="","",INDEX(Model!$H$5:$H$504,MATCH(ROWS($A$5:A38),Model!$AD$5:$AD$504,0)))</f>
        <v/>
      </c>
      <c r="H38" s="18">
        <f>IF(A38="","",INDEX(Model!$L$5:$L$504,MATCH(ROWS($A$5:A38),Model!$AD$5:$AD$504,0)))</f>
        <v/>
      </c>
      <c r="I38" s="20">
        <f>IF(A38="","",INDEX(Model!$P$5:$P$504,MATCH(ROWS($A$5:A38),Model!$AD$5:$AD$504,0)))</f>
        <v/>
      </c>
      <c r="J38" s="20">
        <f>IF(A38="","",INDEX(Model!$Q$5:$Q$504,MATCH(ROWS($A$5:A38),Model!$AD$5:$AD$504,0)))</f>
        <v/>
      </c>
      <c r="K38" s="21">
        <f>IF(A38="","",INDEX(Model!$R$5:$R$504,MATCH(ROWS($A$5:A38),Model!$AD$5:$AD$504,0)))</f>
        <v/>
      </c>
      <c r="L38" s="20">
        <f>IF(A38="","",INDEX(Model!$S$5:$S$504,MATCH(ROWS($A$5:A38),Model!$AD$5:$AD$504,0)))</f>
        <v/>
      </c>
      <c r="M38" s="21">
        <f>IF(A38="","",INDEX(Model!$T$5:$T$504,MATCH(ROWS($A$5:A38),Model!$AD$5:$AD$504,0)))</f>
        <v/>
      </c>
      <c r="N38" s="18">
        <f>IF(A38="","",INDEX(Model!$U$5:$U$504,MATCH(ROWS($A$5:A38),Model!$AD$5:$AD$504,0)))</f>
        <v/>
      </c>
      <c r="O38" s="18">
        <f>IF(A38="","",INDEX(Model!$V$5:$V$504,MATCH(ROWS($A$5:A38),Model!$AD$5:$AD$504,0)))</f>
        <v/>
      </c>
      <c r="P38" s="18">
        <f>IF(A38="","",INDEX(Model!$W$5:$W$504,MATCH(ROWS($A$5:A38),Model!$AD$5:$AD$504,0)))</f>
        <v/>
      </c>
      <c r="Q38" s="18">
        <f>IF(A38="","",INDEX(Model!$X$5:$X$504,MATCH(ROWS($A$5:A38),Model!$AD$5:$AD$504,0)))</f>
        <v/>
      </c>
      <c r="R38" s="18">
        <f>IF(A38="","",INDEX(Model!$Y$5:$Y$504,MATCH(ROWS($A$5:A38),Model!$AD$5:$AD$504,0)))</f>
        <v/>
      </c>
      <c r="S38" s="21">
        <f>IF(A38="","",INDEX(Model!$Z$5:$Z$504,MATCH(ROWS($A$5:A38),Model!$AD$5:$AD$504,0)))</f>
        <v/>
      </c>
      <c r="T38" s="18">
        <f>IF(A38="","",INDEX(Model!$AA$5:$AA$504,MATCH(ROWS($A$5:A38),Model!$AD$5:$AD$504,0)))</f>
        <v/>
      </c>
      <c r="U38" s="13" t="n"/>
      <c r="V38" s="13" t="n"/>
      <c r="W38" s="13" t="n"/>
    </row>
    <row r="39">
      <c r="A39" s="18">
        <f>IFERROR(INDEX(Model!$B$5:$B$504,MATCH(ROWS($A$5:A39),Model!$AD$5:$AD$504,0)),"")</f>
        <v/>
      </c>
      <c r="B39" s="18">
        <f>IF(A39="","",INDEX(Model!$C$5:$C$504,MATCH(ROWS($A$5:A39),Model!$AD$5:$AD$504,0)))</f>
        <v/>
      </c>
      <c r="C39" s="18">
        <f>IF(A39="","",INDEX(Model!$D$5:$D$504,MATCH(ROWS($A$5:A39),Model!$AD$5:$AD$504,0)))</f>
        <v/>
      </c>
      <c r="D39" s="18">
        <f>IF(A39="","",INDEX(Model!$E$5:$E$504,MATCH(ROWS($A$5:A39),Model!$AD$5:$AD$504,0)))</f>
        <v/>
      </c>
      <c r="E39" s="19">
        <f>IF(A39="","",INDEX(Model!$F$5:$F$504,MATCH(ROWS($A$5:A39),Model!$AD$5:$AD$504,0)))</f>
        <v/>
      </c>
      <c r="F39" s="19">
        <f>IF(A39="","",INDEX(Model!$G$5:$G$504,MATCH(ROWS($A$5:A39),Model!$AD$5:$AD$504,0)))</f>
        <v/>
      </c>
      <c r="G39" s="18">
        <f>IF(A39="","",INDEX(Model!$H$5:$H$504,MATCH(ROWS($A$5:A39),Model!$AD$5:$AD$504,0)))</f>
        <v/>
      </c>
      <c r="H39" s="18">
        <f>IF(A39="","",INDEX(Model!$L$5:$L$504,MATCH(ROWS($A$5:A39),Model!$AD$5:$AD$504,0)))</f>
        <v/>
      </c>
      <c r="I39" s="20">
        <f>IF(A39="","",INDEX(Model!$P$5:$P$504,MATCH(ROWS($A$5:A39),Model!$AD$5:$AD$504,0)))</f>
        <v/>
      </c>
      <c r="J39" s="20">
        <f>IF(A39="","",INDEX(Model!$Q$5:$Q$504,MATCH(ROWS($A$5:A39),Model!$AD$5:$AD$504,0)))</f>
        <v/>
      </c>
      <c r="K39" s="21">
        <f>IF(A39="","",INDEX(Model!$R$5:$R$504,MATCH(ROWS($A$5:A39),Model!$AD$5:$AD$504,0)))</f>
        <v/>
      </c>
      <c r="L39" s="20">
        <f>IF(A39="","",INDEX(Model!$S$5:$S$504,MATCH(ROWS($A$5:A39),Model!$AD$5:$AD$504,0)))</f>
        <v/>
      </c>
      <c r="M39" s="21">
        <f>IF(A39="","",INDEX(Model!$T$5:$T$504,MATCH(ROWS($A$5:A39),Model!$AD$5:$AD$504,0)))</f>
        <v/>
      </c>
      <c r="N39" s="18">
        <f>IF(A39="","",INDEX(Model!$U$5:$U$504,MATCH(ROWS($A$5:A39),Model!$AD$5:$AD$504,0)))</f>
        <v/>
      </c>
      <c r="O39" s="18">
        <f>IF(A39="","",INDEX(Model!$V$5:$V$504,MATCH(ROWS($A$5:A39),Model!$AD$5:$AD$504,0)))</f>
        <v/>
      </c>
      <c r="P39" s="18">
        <f>IF(A39="","",INDEX(Model!$W$5:$W$504,MATCH(ROWS($A$5:A39),Model!$AD$5:$AD$504,0)))</f>
        <v/>
      </c>
      <c r="Q39" s="18">
        <f>IF(A39="","",INDEX(Model!$X$5:$X$504,MATCH(ROWS($A$5:A39),Model!$AD$5:$AD$504,0)))</f>
        <v/>
      </c>
      <c r="R39" s="18">
        <f>IF(A39="","",INDEX(Model!$Y$5:$Y$504,MATCH(ROWS($A$5:A39),Model!$AD$5:$AD$504,0)))</f>
        <v/>
      </c>
      <c r="S39" s="21">
        <f>IF(A39="","",INDEX(Model!$Z$5:$Z$504,MATCH(ROWS($A$5:A39),Model!$AD$5:$AD$504,0)))</f>
        <v/>
      </c>
      <c r="T39" s="18">
        <f>IF(A39="","",INDEX(Model!$AA$5:$AA$504,MATCH(ROWS($A$5:A39),Model!$AD$5:$AD$504,0)))</f>
        <v/>
      </c>
      <c r="U39" s="13" t="n"/>
      <c r="V39" s="13" t="n"/>
      <c r="W39" s="13" t="n"/>
    </row>
    <row r="40">
      <c r="A40" s="18">
        <f>IFERROR(INDEX(Model!$B$5:$B$504,MATCH(ROWS($A$5:A40),Model!$AD$5:$AD$504,0)),"")</f>
        <v/>
      </c>
      <c r="B40" s="18">
        <f>IF(A40="","",INDEX(Model!$C$5:$C$504,MATCH(ROWS($A$5:A40),Model!$AD$5:$AD$504,0)))</f>
        <v/>
      </c>
      <c r="C40" s="18">
        <f>IF(A40="","",INDEX(Model!$D$5:$D$504,MATCH(ROWS($A$5:A40),Model!$AD$5:$AD$504,0)))</f>
        <v/>
      </c>
      <c r="D40" s="18">
        <f>IF(A40="","",INDEX(Model!$E$5:$E$504,MATCH(ROWS($A$5:A40),Model!$AD$5:$AD$504,0)))</f>
        <v/>
      </c>
      <c r="E40" s="19">
        <f>IF(A40="","",INDEX(Model!$F$5:$F$504,MATCH(ROWS($A$5:A40),Model!$AD$5:$AD$504,0)))</f>
        <v/>
      </c>
      <c r="F40" s="19">
        <f>IF(A40="","",INDEX(Model!$G$5:$G$504,MATCH(ROWS($A$5:A40),Model!$AD$5:$AD$504,0)))</f>
        <v/>
      </c>
      <c r="G40" s="18">
        <f>IF(A40="","",INDEX(Model!$H$5:$H$504,MATCH(ROWS($A$5:A40),Model!$AD$5:$AD$504,0)))</f>
        <v/>
      </c>
      <c r="H40" s="18">
        <f>IF(A40="","",INDEX(Model!$L$5:$L$504,MATCH(ROWS($A$5:A40),Model!$AD$5:$AD$504,0)))</f>
        <v/>
      </c>
      <c r="I40" s="20">
        <f>IF(A40="","",INDEX(Model!$P$5:$P$504,MATCH(ROWS($A$5:A40),Model!$AD$5:$AD$504,0)))</f>
        <v/>
      </c>
      <c r="J40" s="20">
        <f>IF(A40="","",INDEX(Model!$Q$5:$Q$504,MATCH(ROWS($A$5:A40),Model!$AD$5:$AD$504,0)))</f>
        <v/>
      </c>
      <c r="K40" s="21">
        <f>IF(A40="","",INDEX(Model!$R$5:$R$504,MATCH(ROWS($A$5:A40),Model!$AD$5:$AD$504,0)))</f>
        <v/>
      </c>
      <c r="L40" s="20">
        <f>IF(A40="","",INDEX(Model!$S$5:$S$504,MATCH(ROWS($A$5:A40),Model!$AD$5:$AD$504,0)))</f>
        <v/>
      </c>
      <c r="M40" s="21">
        <f>IF(A40="","",INDEX(Model!$T$5:$T$504,MATCH(ROWS($A$5:A40),Model!$AD$5:$AD$504,0)))</f>
        <v/>
      </c>
      <c r="N40" s="18">
        <f>IF(A40="","",INDEX(Model!$U$5:$U$504,MATCH(ROWS($A$5:A40),Model!$AD$5:$AD$504,0)))</f>
        <v/>
      </c>
      <c r="O40" s="18">
        <f>IF(A40="","",INDEX(Model!$V$5:$V$504,MATCH(ROWS($A$5:A40),Model!$AD$5:$AD$504,0)))</f>
        <v/>
      </c>
      <c r="P40" s="18">
        <f>IF(A40="","",INDEX(Model!$W$5:$W$504,MATCH(ROWS($A$5:A40),Model!$AD$5:$AD$504,0)))</f>
        <v/>
      </c>
      <c r="Q40" s="18">
        <f>IF(A40="","",INDEX(Model!$X$5:$X$504,MATCH(ROWS($A$5:A40),Model!$AD$5:$AD$504,0)))</f>
        <v/>
      </c>
      <c r="R40" s="18">
        <f>IF(A40="","",INDEX(Model!$Y$5:$Y$504,MATCH(ROWS($A$5:A40),Model!$AD$5:$AD$504,0)))</f>
        <v/>
      </c>
      <c r="S40" s="21">
        <f>IF(A40="","",INDEX(Model!$Z$5:$Z$504,MATCH(ROWS($A$5:A40),Model!$AD$5:$AD$504,0)))</f>
        <v/>
      </c>
      <c r="T40" s="18">
        <f>IF(A40="","",INDEX(Model!$AA$5:$AA$504,MATCH(ROWS($A$5:A40),Model!$AD$5:$AD$504,0)))</f>
        <v/>
      </c>
      <c r="U40" s="13" t="n"/>
      <c r="V40" s="13" t="n"/>
      <c r="W40" s="13" t="n"/>
    </row>
    <row r="41">
      <c r="A41" s="18">
        <f>IFERROR(INDEX(Model!$B$5:$B$504,MATCH(ROWS($A$5:A41),Model!$AD$5:$AD$504,0)),"")</f>
        <v/>
      </c>
      <c r="B41" s="18">
        <f>IF(A41="","",INDEX(Model!$C$5:$C$504,MATCH(ROWS($A$5:A41),Model!$AD$5:$AD$504,0)))</f>
        <v/>
      </c>
      <c r="C41" s="18">
        <f>IF(A41="","",INDEX(Model!$D$5:$D$504,MATCH(ROWS($A$5:A41),Model!$AD$5:$AD$504,0)))</f>
        <v/>
      </c>
      <c r="D41" s="18">
        <f>IF(A41="","",INDEX(Model!$E$5:$E$504,MATCH(ROWS($A$5:A41),Model!$AD$5:$AD$504,0)))</f>
        <v/>
      </c>
      <c r="E41" s="19">
        <f>IF(A41="","",INDEX(Model!$F$5:$F$504,MATCH(ROWS($A$5:A41),Model!$AD$5:$AD$504,0)))</f>
        <v/>
      </c>
      <c r="F41" s="19">
        <f>IF(A41="","",INDEX(Model!$G$5:$G$504,MATCH(ROWS($A$5:A41),Model!$AD$5:$AD$504,0)))</f>
        <v/>
      </c>
      <c r="G41" s="18">
        <f>IF(A41="","",INDEX(Model!$H$5:$H$504,MATCH(ROWS($A$5:A41),Model!$AD$5:$AD$504,0)))</f>
        <v/>
      </c>
      <c r="H41" s="18">
        <f>IF(A41="","",INDEX(Model!$L$5:$L$504,MATCH(ROWS($A$5:A41),Model!$AD$5:$AD$504,0)))</f>
        <v/>
      </c>
      <c r="I41" s="20">
        <f>IF(A41="","",INDEX(Model!$P$5:$P$504,MATCH(ROWS($A$5:A41),Model!$AD$5:$AD$504,0)))</f>
        <v/>
      </c>
      <c r="J41" s="20">
        <f>IF(A41="","",INDEX(Model!$Q$5:$Q$504,MATCH(ROWS($A$5:A41),Model!$AD$5:$AD$504,0)))</f>
        <v/>
      </c>
      <c r="K41" s="21">
        <f>IF(A41="","",INDEX(Model!$R$5:$R$504,MATCH(ROWS($A$5:A41),Model!$AD$5:$AD$504,0)))</f>
        <v/>
      </c>
      <c r="L41" s="20">
        <f>IF(A41="","",INDEX(Model!$S$5:$S$504,MATCH(ROWS($A$5:A41),Model!$AD$5:$AD$504,0)))</f>
        <v/>
      </c>
      <c r="M41" s="21">
        <f>IF(A41="","",INDEX(Model!$T$5:$T$504,MATCH(ROWS($A$5:A41),Model!$AD$5:$AD$504,0)))</f>
        <v/>
      </c>
      <c r="N41" s="18">
        <f>IF(A41="","",INDEX(Model!$U$5:$U$504,MATCH(ROWS($A$5:A41),Model!$AD$5:$AD$504,0)))</f>
        <v/>
      </c>
      <c r="O41" s="18">
        <f>IF(A41="","",INDEX(Model!$V$5:$V$504,MATCH(ROWS($A$5:A41),Model!$AD$5:$AD$504,0)))</f>
        <v/>
      </c>
      <c r="P41" s="18">
        <f>IF(A41="","",INDEX(Model!$W$5:$W$504,MATCH(ROWS($A$5:A41),Model!$AD$5:$AD$504,0)))</f>
        <v/>
      </c>
      <c r="Q41" s="18">
        <f>IF(A41="","",INDEX(Model!$X$5:$X$504,MATCH(ROWS($A$5:A41),Model!$AD$5:$AD$504,0)))</f>
        <v/>
      </c>
      <c r="R41" s="18">
        <f>IF(A41="","",INDEX(Model!$Y$5:$Y$504,MATCH(ROWS($A$5:A41),Model!$AD$5:$AD$504,0)))</f>
        <v/>
      </c>
      <c r="S41" s="21">
        <f>IF(A41="","",INDEX(Model!$Z$5:$Z$504,MATCH(ROWS($A$5:A41),Model!$AD$5:$AD$504,0)))</f>
        <v/>
      </c>
      <c r="T41" s="18">
        <f>IF(A41="","",INDEX(Model!$AA$5:$AA$504,MATCH(ROWS($A$5:A41),Model!$AD$5:$AD$504,0)))</f>
        <v/>
      </c>
      <c r="U41" s="13" t="n"/>
      <c r="V41" s="13" t="n"/>
      <c r="W41" s="13" t="n"/>
    </row>
    <row r="42">
      <c r="A42" s="18">
        <f>IFERROR(INDEX(Model!$B$5:$B$504,MATCH(ROWS($A$5:A42),Model!$AD$5:$AD$504,0)),"")</f>
        <v/>
      </c>
      <c r="B42" s="18">
        <f>IF(A42="","",INDEX(Model!$C$5:$C$504,MATCH(ROWS($A$5:A42),Model!$AD$5:$AD$504,0)))</f>
        <v/>
      </c>
      <c r="C42" s="18">
        <f>IF(A42="","",INDEX(Model!$D$5:$D$504,MATCH(ROWS($A$5:A42),Model!$AD$5:$AD$504,0)))</f>
        <v/>
      </c>
      <c r="D42" s="18">
        <f>IF(A42="","",INDEX(Model!$E$5:$E$504,MATCH(ROWS($A$5:A42),Model!$AD$5:$AD$504,0)))</f>
        <v/>
      </c>
      <c r="E42" s="19">
        <f>IF(A42="","",INDEX(Model!$F$5:$F$504,MATCH(ROWS($A$5:A42),Model!$AD$5:$AD$504,0)))</f>
        <v/>
      </c>
      <c r="F42" s="19">
        <f>IF(A42="","",INDEX(Model!$G$5:$G$504,MATCH(ROWS($A$5:A42),Model!$AD$5:$AD$504,0)))</f>
        <v/>
      </c>
      <c r="G42" s="18">
        <f>IF(A42="","",INDEX(Model!$H$5:$H$504,MATCH(ROWS($A$5:A42),Model!$AD$5:$AD$504,0)))</f>
        <v/>
      </c>
      <c r="H42" s="18">
        <f>IF(A42="","",INDEX(Model!$L$5:$L$504,MATCH(ROWS($A$5:A42),Model!$AD$5:$AD$504,0)))</f>
        <v/>
      </c>
      <c r="I42" s="20">
        <f>IF(A42="","",INDEX(Model!$P$5:$P$504,MATCH(ROWS($A$5:A42),Model!$AD$5:$AD$504,0)))</f>
        <v/>
      </c>
      <c r="J42" s="20">
        <f>IF(A42="","",INDEX(Model!$Q$5:$Q$504,MATCH(ROWS($A$5:A42),Model!$AD$5:$AD$504,0)))</f>
        <v/>
      </c>
      <c r="K42" s="21">
        <f>IF(A42="","",INDEX(Model!$R$5:$R$504,MATCH(ROWS($A$5:A42),Model!$AD$5:$AD$504,0)))</f>
        <v/>
      </c>
      <c r="L42" s="20">
        <f>IF(A42="","",INDEX(Model!$S$5:$S$504,MATCH(ROWS($A$5:A42),Model!$AD$5:$AD$504,0)))</f>
        <v/>
      </c>
      <c r="M42" s="21">
        <f>IF(A42="","",INDEX(Model!$T$5:$T$504,MATCH(ROWS($A$5:A42),Model!$AD$5:$AD$504,0)))</f>
        <v/>
      </c>
      <c r="N42" s="18">
        <f>IF(A42="","",INDEX(Model!$U$5:$U$504,MATCH(ROWS($A$5:A42),Model!$AD$5:$AD$504,0)))</f>
        <v/>
      </c>
      <c r="O42" s="18">
        <f>IF(A42="","",INDEX(Model!$V$5:$V$504,MATCH(ROWS($A$5:A42),Model!$AD$5:$AD$504,0)))</f>
        <v/>
      </c>
      <c r="P42" s="18">
        <f>IF(A42="","",INDEX(Model!$W$5:$W$504,MATCH(ROWS($A$5:A42),Model!$AD$5:$AD$504,0)))</f>
        <v/>
      </c>
      <c r="Q42" s="18">
        <f>IF(A42="","",INDEX(Model!$X$5:$X$504,MATCH(ROWS($A$5:A42),Model!$AD$5:$AD$504,0)))</f>
        <v/>
      </c>
      <c r="R42" s="18">
        <f>IF(A42="","",INDEX(Model!$Y$5:$Y$504,MATCH(ROWS($A$5:A42),Model!$AD$5:$AD$504,0)))</f>
        <v/>
      </c>
      <c r="S42" s="21">
        <f>IF(A42="","",INDEX(Model!$Z$5:$Z$504,MATCH(ROWS($A$5:A42),Model!$AD$5:$AD$504,0)))</f>
        <v/>
      </c>
      <c r="T42" s="18">
        <f>IF(A42="","",INDEX(Model!$AA$5:$AA$504,MATCH(ROWS($A$5:A42),Model!$AD$5:$AD$504,0)))</f>
        <v/>
      </c>
      <c r="U42" s="13" t="n"/>
      <c r="V42" s="13" t="n"/>
      <c r="W42" s="13" t="n"/>
    </row>
    <row r="43">
      <c r="A43" s="18">
        <f>IFERROR(INDEX(Model!$B$5:$B$504,MATCH(ROWS($A$5:A43),Model!$AD$5:$AD$504,0)),"")</f>
        <v/>
      </c>
      <c r="B43" s="18">
        <f>IF(A43="","",INDEX(Model!$C$5:$C$504,MATCH(ROWS($A$5:A43),Model!$AD$5:$AD$504,0)))</f>
        <v/>
      </c>
      <c r="C43" s="18">
        <f>IF(A43="","",INDEX(Model!$D$5:$D$504,MATCH(ROWS($A$5:A43),Model!$AD$5:$AD$504,0)))</f>
        <v/>
      </c>
      <c r="D43" s="18">
        <f>IF(A43="","",INDEX(Model!$E$5:$E$504,MATCH(ROWS($A$5:A43),Model!$AD$5:$AD$504,0)))</f>
        <v/>
      </c>
      <c r="E43" s="19">
        <f>IF(A43="","",INDEX(Model!$F$5:$F$504,MATCH(ROWS($A$5:A43),Model!$AD$5:$AD$504,0)))</f>
        <v/>
      </c>
      <c r="F43" s="19">
        <f>IF(A43="","",INDEX(Model!$G$5:$G$504,MATCH(ROWS($A$5:A43),Model!$AD$5:$AD$504,0)))</f>
        <v/>
      </c>
      <c r="G43" s="18">
        <f>IF(A43="","",INDEX(Model!$H$5:$H$504,MATCH(ROWS($A$5:A43),Model!$AD$5:$AD$504,0)))</f>
        <v/>
      </c>
      <c r="H43" s="18">
        <f>IF(A43="","",INDEX(Model!$L$5:$L$504,MATCH(ROWS($A$5:A43),Model!$AD$5:$AD$504,0)))</f>
        <v/>
      </c>
      <c r="I43" s="20">
        <f>IF(A43="","",INDEX(Model!$P$5:$P$504,MATCH(ROWS($A$5:A43),Model!$AD$5:$AD$504,0)))</f>
        <v/>
      </c>
      <c r="J43" s="20">
        <f>IF(A43="","",INDEX(Model!$Q$5:$Q$504,MATCH(ROWS($A$5:A43),Model!$AD$5:$AD$504,0)))</f>
        <v/>
      </c>
      <c r="K43" s="21">
        <f>IF(A43="","",INDEX(Model!$R$5:$R$504,MATCH(ROWS($A$5:A43),Model!$AD$5:$AD$504,0)))</f>
        <v/>
      </c>
      <c r="L43" s="20">
        <f>IF(A43="","",INDEX(Model!$S$5:$S$504,MATCH(ROWS($A$5:A43),Model!$AD$5:$AD$504,0)))</f>
        <v/>
      </c>
      <c r="M43" s="21">
        <f>IF(A43="","",INDEX(Model!$T$5:$T$504,MATCH(ROWS($A$5:A43),Model!$AD$5:$AD$504,0)))</f>
        <v/>
      </c>
      <c r="N43" s="18">
        <f>IF(A43="","",INDEX(Model!$U$5:$U$504,MATCH(ROWS($A$5:A43),Model!$AD$5:$AD$504,0)))</f>
        <v/>
      </c>
      <c r="O43" s="18">
        <f>IF(A43="","",INDEX(Model!$V$5:$V$504,MATCH(ROWS($A$5:A43),Model!$AD$5:$AD$504,0)))</f>
        <v/>
      </c>
      <c r="P43" s="18">
        <f>IF(A43="","",INDEX(Model!$W$5:$W$504,MATCH(ROWS($A$5:A43),Model!$AD$5:$AD$504,0)))</f>
        <v/>
      </c>
      <c r="Q43" s="18">
        <f>IF(A43="","",INDEX(Model!$X$5:$X$504,MATCH(ROWS($A$5:A43),Model!$AD$5:$AD$504,0)))</f>
        <v/>
      </c>
      <c r="R43" s="18">
        <f>IF(A43="","",INDEX(Model!$Y$5:$Y$504,MATCH(ROWS($A$5:A43),Model!$AD$5:$AD$504,0)))</f>
        <v/>
      </c>
      <c r="S43" s="21">
        <f>IF(A43="","",INDEX(Model!$Z$5:$Z$504,MATCH(ROWS($A$5:A43),Model!$AD$5:$AD$504,0)))</f>
        <v/>
      </c>
      <c r="T43" s="18">
        <f>IF(A43="","",INDEX(Model!$AA$5:$AA$504,MATCH(ROWS($A$5:A43),Model!$AD$5:$AD$504,0)))</f>
        <v/>
      </c>
      <c r="U43" s="13" t="n"/>
      <c r="V43" s="13" t="n"/>
      <c r="W43" s="13" t="n"/>
    </row>
    <row r="44">
      <c r="A44" s="18">
        <f>IFERROR(INDEX(Model!$B$5:$B$504,MATCH(ROWS($A$5:A44),Model!$AD$5:$AD$504,0)),"")</f>
        <v/>
      </c>
      <c r="B44" s="18">
        <f>IF(A44="","",INDEX(Model!$C$5:$C$504,MATCH(ROWS($A$5:A44),Model!$AD$5:$AD$504,0)))</f>
        <v/>
      </c>
      <c r="C44" s="18">
        <f>IF(A44="","",INDEX(Model!$D$5:$D$504,MATCH(ROWS($A$5:A44),Model!$AD$5:$AD$504,0)))</f>
        <v/>
      </c>
      <c r="D44" s="18">
        <f>IF(A44="","",INDEX(Model!$E$5:$E$504,MATCH(ROWS($A$5:A44),Model!$AD$5:$AD$504,0)))</f>
        <v/>
      </c>
      <c r="E44" s="19">
        <f>IF(A44="","",INDEX(Model!$F$5:$F$504,MATCH(ROWS($A$5:A44),Model!$AD$5:$AD$504,0)))</f>
        <v/>
      </c>
      <c r="F44" s="19">
        <f>IF(A44="","",INDEX(Model!$G$5:$G$504,MATCH(ROWS($A$5:A44),Model!$AD$5:$AD$504,0)))</f>
        <v/>
      </c>
      <c r="G44" s="18">
        <f>IF(A44="","",INDEX(Model!$H$5:$H$504,MATCH(ROWS($A$5:A44),Model!$AD$5:$AD$504,0)))</f>
        <v/>
      </c>
      <c r="H44" s="18">
        <f>IF(A44="","",INDEX(Model!$L$5:$L$504,MATCH(ROWS($A$5:A44),Model!$AD$5:$AD$504,0)))</f>
        <v/>
      </c>
      <c r="I44" s="20">
        <f>IF(A44="","",INDEX(Model!$P$5:$P$504,MATCH(ROWS($A$5:A44),Model!$AD$5:$AD$504,0)))</f>
        <v/>
      </c>
      <c r="J44" s="20">
        <f>IF(A44="","",INDEX(Model!$Q$5:$Q$504,MATCH(ROWS($A$5:A44),Model!$AD$5:$AD$504,0)))</f>
        <v/>
      </c>
      <c r="K44" s="21">
        <f>IF(A44="","",INDEX(Model!$R$5:$R$504,MATCH(ROWS($A$5:A44),Model!$AD$5:$AD$504,0)))</f>
        <v/>
      </c>
      <c r="L44" s="20">
        <f>IF(A44="","",INDEX(Model!$S$5:$S$504,MATCH(ROWS($A$5:A44),Model!$AD$5:$AD$504,0)))</f>
        <v/>
      </c>
      <c r="M44" s="21">
        <f>IF(A44="","",INDEX(Model!$T$5:$T$504,MATCH(ROWS($A$5:A44),Model!$AD$5:$AD$504,0)))</f>
        <v/>
      </c>
      <c r="N44" s="18">
        <f>IF(A44="","",INDEX(Model!$U$5:$U$504,MATCH(ROWS($A$5:A44),Model!$AD$5:$AD$504,0)))</f>
        <v/>
      </c>
      <c r="O44" s="18">
        <f>IF(A44="","",INDEX(Model!$V$5:$V$504,MATCH(ROWS($A$5:A44),Model!$AD$5:$AD$504,0)))</f>
        <v/>
      </c>
      <c r="P44" s="18">
        <f>IF(A44="","",INDEX(Model!$W$5:$W$504,MATCH(ROWS($A$5:A44),Model!$AD$5:$AD$504,0)))</f>
        <v/>
      </c>
      <c r="Q44" s="18">
        <f>IF(A44="","",INDEX(Model!$X$5:$X$504,MATCH(ROWS($A$5:A44),Model!$AD$5:$AD$504,0)))</f>
        <v/>
      </c>
      <c r="R44" s="18">
        <f>IF(A44="","",INDEX(Model!$Y$5:$Y$504,MATCH(ROWS($A$5:A44),Model!$AD$5:$AD$504,0)))</f>
        <v/>
      </c>
      <c r="S44" s="21">
        <f>IF(A44="","",INDEX(Model!$Z$5:$Z$504,MATCH(ROWS($A$5:A44),Model!$AD$5:$AD$504,0)))</f>
        <v/>
      </c>
      <c r="T44" s="18">
        <f>IF(A44="","",INDEX(Model!$AA$5:$AA$504,MATCH(ROWS($A$5:A44),Model!$AD$5:$AD$504,0)))</f>
        <v/>
      </c>
      <c r="U44" s="13" t="n"/>
      <c r="V44" s="13" t="n"/>
      <c r="W44" s="13" t="n"/>
    </row>
    <row r="45">
      <c r="A45" s="18">
        <f>IFERROR(INDEX(Model!$B$5:$B$504,MATCH(ROWS($A$5:A45),Model!$AD$5:$AD$504,0)),"")</f>
        <v/>
      </c>
      <c r="B45" s="18">
        <f>IF(A45="","",INDEX(Model!$C$5:$C$504,MATCH(ROWS($A$5:A45),Model!$AD$5:$AD$504,0)))</f>
        <v/>
      </c>
      <c r="C45" s="18">
        <f>IF(A45="","",INDEX(Model!$D$5:$D$504,MATCH(ROWS($A$5:A45),Model!$AD$5:$AD$504,0)))</f>
        <v/>
      </c>
      <c r="D45" s="18">
        <f>IF(A45="","",INDEX(Model!$E$5:$E$504,MATCH(ROWS($A$5:A45),Model!$AD$5:$AD$504,0)))</f>
        <v/>
      </c>
      <c r="E45" s="19">
        <f>IF(A45="","",INDEX(Model!$F$5:$F$504,MATCH(ROWS($A$5:A45),Model!$AD$5:$AD$504,0)))</f>
        <v/>
      </c>
      <c r="F45" s="19">
        <f>IF(A45="","",INDEX(Model!$G$5:$G$504,MATCH(ROWS($A$5:A45),Model!$AD$5:$AD$504,0)))</f>
        <v/>
      </c>
      <c r="G45" s="18">
        <f>IF(A45="","",INDEX(Model!$H$5:$H$504,MATCH(ROWS($A$5:A45),Model!$AD$5:$AD$504,0)))</f>
        <v/>
      </c>
      <c r="H45" s="18">
        <f>IF(A45="","",INDEX(Model!$L$5:$L$504,MATCH(ROWS($A$5:A45),Model!$AD$5:$AD$504,0)))</f>
        <v/>
      </c>
      <c r="I45" s="20">
        <f>IF(A45="","",INDEX(Model!$P$5:$P$504,MATCH(ROWS($A$5:A45),Model!$AD$5:$AD$504,0)))</f>
        <v/>
      </c>
      <c r="J45" s="20">
        <f>IF(A45="","",INDEX(Model!$Q$5:$Q$504,MATCH(ROWS($A$5:A45),Model!$AD$5:$AD$504,0)))</f>
        <v/>
      </c>
      <c r="K45" s="21">
        <f>IF(A45="","",INDEX(Model!$R$5:$R$504,MATCH(ROWS($A$5:A45),Model!$AD$5:$AD$504,0)))</f>
        <v/>
      </c>
      <c r="L45" s="20">
        <f>IF(A45="","",INDEX(Model!$S$5:$S$504,MATCH(ROWS($A$5:A45),Model!$AD$5:$AD$504,0)))</f>
        <v/>
      </c>
      <c r="M45" s="21">
        <f>IF(A45="","",INDEX(Model!$T$5:$T$504,MATCH(ROWS($A$5:A45),Model!$AD$5:$AD$504,0)))</f>
        <v/>
      </c>
      <c r="N45" s="18">
        <f>IF(A45="","",INDEX(Model!$U$5:$U$504,MATCH(ROWS($A$5:A45),Model!$AD$5:$AD$504,0)))</f>
        <v/>
      </c>
      <c r="O45" s="18">
        <f>IF(A45="","",INDEX(Model!$V$5:$V$504,MATCH(ROWS($A$5:A45),Model!$AD$5:$AD$504,0)))</f>
        <v/>
      </c>
      <c r="P45" s="18">
        <f>IF(A45="","",INDEX(Model!$W$5:$W$504,MATCH(ROWS($A$5:A45),Model!$AD$5:$AD$504,0)))</f>
        <v/>
      </c>
      <c r="Q45" s="18">
        <f>IF(A45="","",INDEX(Model!$X$5:$X$504,MATCH(ROWS($A$5:A45),Model!$AD$5:$AD$504,0)))</f>
        <v/>
      </c>
      <c r="R45" s="18">
        <f>IF(A45="","",INDEX(Model!$Y$5:$Y$504,MATCH(ROWS($A$5:A45),Model!$AD$5:$AD$504,0)))</f>
        <v/>
      </c>
      <c r="S45" s="21">
        <f>IF(A45="","",INDEX(Model!$Z$5:$Z$504,MATCH(ROWS($A$5:A45),Model!$AD$5:$AD$504,0)))</f>
        <v/>
      </c>
      <c r="T45" s="18">
        <f>IF(A45="","",INDEX(Model!$AA$5:$AA$504,MATCH(ROWS($A$5:A45),Model!$AD$5:$AD$504,0)))</f>
        <v/>
      </c>
      <c r="U45" s="13" t="n"/>
      <c r="V45" s="13" t="n"/>
      <c r="W45" s="13" t="n"/>
    </row>
    <row r="46">
      <c r="A46" s="18">
        <f>IFERROR(INDEX(Model!$B$5:$B$504,MATCH(ROWS($A$5:A46),Model!$AD$5:$AD$504,0)),"")</f>
        <v/>
      </c>
      <c r="B46" s="18">
        <f>IF(A46="","",INDEX(Model!$C$5:$C$504,MATCH(ROWS($A$5:A46),Model!$AD$5:$AD$504,0)))</f>
        <v/>
      </c>
      <c r="C46" s="18">
        <f>IF(A46="","",INDEX(Model!$D$5:$D$504,MATCH(ROWS($A$5:A46),Model!$AD$5:$AD$504,0)))</f>
        <v/>
      </c>
      <c r="D46" s="18">
        <f>IF(A46="","",INDEX(Model!$E$5:$E$504,MATCH(ROWS($A$5:A46),Model!$AD$5:$AD$504,0)))</f>
        <v/>
      </c>
      <c r="E46" s="19">
        <f>IF(A46="","",INDEX(Model!$F$5:$F$504,MATCH(ROWS($A$5:A46),Model!$AD$5:$AD$504,0)))</f>
        <v/>
      </c>
      <c r="F46" s="19">
        <f>IF(A46="","",INDEX(Model!$G$5:$G$504,MATCH(ROWS($A$5:A46),Model!$AD$5:$AD$504,0)))</f>
        <v/>
      </c>
      <c r="G46" s="18">
        <f>IF(A46="","",INDEX(Model!$H$5:$H$504,MATCH(ROWS($A$5:A46),Model!$AD$5:$AD$504,0)))</f>
        <v/>
      </c>
      <c r="H46" s="18">
        <f>IF(A46="","",INDEX(Model!$L$5:$L$504,MATCH(ROWS($A$5:A46),Model!$AD$5:$AD$504,0)))</f>
        <v/>
      </c>
      <c r="I46" s="20">
        <f>IF(A46="","",INDEX(Model!$P$5:$P$504,MATCH(ROWS($A$5:A46),Model!$AD$5:$AD$504,0)))</f>
        <v/>
      </c>
      <c r="J46" s="20">
        <f>IF(A46="","",INDEX(Model!$Q$5:$Q$504,MATCH(ROWS($A$5:A46),Model!$AD$5:$AD$504,0)))</f>
        <v/>
      </c>
      <c r="K46" s="21">
        <f>IF(A46="","",INDEX(Model!$R$5:$R$504,MATCH(ROWS($A$5:A46),Model!$AD$5:$AD$504,0)))</f>
        <v/>
      </c>
      <c r="L46" s="20">
        <f>IF(A46="","",INDEX(Model!$S$5:$S$504,MATCH(ROWS($A$5:A46),Model!$AD$5:$AD$504,0)))</f>
        <v/>
      </c>
      <c r="M46" s="21">
        <f>IF(A46="","",INDEX(Model!$T$5:$T$504,MATCH(ROWS($A$5:A46),Model!$AD$5:$AD$504,0)))</f>
        <v/>
      </c>
      <c r="N46" s="18">
        <f>IF(A46="","",INDEX(Model!$U$5:$U$504,MATCH(ROWS($A$5:A46),Model!$AD$5:$AD$504,0)))</f>
        <v/>
      </c>
      <c r="O46" s="18">
        <f>IF(A46="","",INDEX(Model!$V$5:$V$504,MATCH(ROWS($A$5:A46),Model!$AD$5:$AD$504,0)))</f>
        <v/>
      </c>
      <c r="P46" s="18">
        <f>IF(A46="","",INDEX(Model!$W$5:$W$504,MATCH(ROWS($A$5:A46),Model!$AD$5:$AD$504,0)))</f>
        <v/>
      </c>
      <c r="Q46" s="18">
        <f>IF(A46="","",INDEX(Model!$X$5:$X$504,MATCH(ROWS($A$5:A46),Model!$AD$5:$AD$504,0)))</f>
        <v/>
      </c>
      <c r="R46" s="18">
        <f>IF(A46="","",INDEX(Model!$Y$5:$Y$504,MATCH(ROWS($A$5:A46),Model!$AD$5:$AD$504,0)))</f>
        <v/>
      </c>
      <c r="S46" s="21">
        <f>IF(A46="","",INDEX(Model!$Z$5:$Z$504,MATCH(ROWS($A$5:A46),Model!$AD$5:$AD$504,0)))</f>
        <v/>
      </c>
      <c r="T46" s="18">
        <f>IF(A46="","",INDEX(Model!$AA$5:$AA$504,MATCH(ROWS($A$5:A46),Model!$AD$5:$AD$504,0)))</f>
        <v/>
      </c>
      <c r="U46" s="13" t="n"/>
      <c r="V46" s="13" t="n"/>
      <c r="W46" s="13" t="n"/>
    </row>
    <row r="47">
      <c r="A47" s="18">
        <f>IFERROR(INDEX(Model!$B$5:$B$504,MATCH(ROWS($A$5:A47),Model!$AD$5:$AD$504,0)),"")</f>
        <v/>
      </c>
      <c r="B47" s="18">
        <f>IF(A47="","",INDEX(Model!$C$5:$C$504,MATCH(ROWS($A$5:A47),Model!$AD$5:$AD$504,0)))</f>
        <v/>
      </c>
      <c r="C47" s="18">
        <f>IF(A47="","",INDEX(Model!$D$5:$D$504,MATCH(ROWS($A$5:A47),Model!$AD$5:$AD$504,0)))</f>
        <v/>
      </c>
      <c r="D47" s="18">
        <f>IF(A47="","",INDEX(Model!$E$5:$E$504,MATCH(ROWS($A$5:A47),Model!$AD$5:$AD$504,0)))</f>
        <v/>
      </c>
      <c r="E47" s="19">
        <f>IF(A47="","",INDEX(Model!$F$5:$F$504,MATCH(ROWS($A$5:A47),Model!$AD$5:$AD$504,0)))</f>
        <v/>
      </c>
      <c r="F47" s="19">
        <f>IF(A47="","",INDEX(Model!$G$5:$G$504,MATCH(ROWS($A$5:A47),Model!$AD$5:$AD$504,0)))</f>
        <v/>
      </c>
      <c r="G47" s="18">
        <f>IF(A47="","",INDEX(Model!$H$5:$H$504,MATCH(ROWS($A$5:A47),Model!$AD$5:$AD$504,0)))</f>
        <v/>
      </c>
      <c r="H47" s="18">
        <f>IF(A47="","",INDEX(Model!$L$5:$L$504,MATCH(ROWS($A$5:A47),Model!$AD$5:$AD$504,0)))</f>
        <v/>
      </c>
      <c r="I47" s="20">
        <f>IF(A47="","",INDEX(Model!$P$5:$P$504,MATCH(ROWS($A$5:A47),Model!$AD$5:$AD$504,0)))</f>
        <v/>
      </c>
      <c r="J47" s="20">
        <f>IF(A47="","",INDEX(Model!$Q$5:$Q$504,MATCH(ROWS($A$5:A47),Model!$AD$5:$AD$504,0)))</f>
        <v/>
      </c>
      <c r="K47" s="21">
        <f>IF(A47="","",INDEX(Model!$R$5:$R$504,MATCH(ROWS($A$5:A47),Model!$AD$5:$AD$504,0)))</f>
        <v/>
      </c>
      <c r="L47" s="20">
        <f>IF(A47="","",INDEX(Model!$S$5:$S$504,MATCH(ROWS($A$5:A47),Model!$AD$5:$AD$504,0)))</f>
        <v/>
      </c>
      <c r="M47" s="21">
        <f>IF(A47="","",INDEX(Model!$T$5:$T$504,MATCH(ROWS($A$5:A47),Model!$AD$5:$AD$504,0)))</f>
        <v/>
      </c>
      <c r="N47" s="18">
        <f>IF(A47="","",INDEX(Model!$U$5:$U$504,MATCH(ROWS($A$5:A47),Model!$AD$5:$AD$504,0)))</f>
        <v/>
      </c>
      <c r="O47" s="18">
        <f>IF(A47="","",INDEX(Model!$V$5:$V$504,MATCH(ROWS($A$5:A47),Model!$AD$5:$AD$504,0)))</f>
        <v/>
      </c>
      <c r="P47" s="18">
        <f>IF(A47="","",INDEX(Model!$W$5:$W$504,MATCH(ROWS($A$5:A47),Model!$AD$5:$AD$504,0)))</f>
        <v/>
      </c>
      <c r="Q47" s="18">
        <f>IF(A47="","",INDEX(Model!$X$5:$X$504,MATCH(ROWS($A$5:A47),Model!$AD$5:$AD$504,0)))</f>
        <v/>
      </c>
      <c r="R47" s="18">
        <f>IF(A47="","",INDEX(Model!$Y$5:$Y$504,MATCH(ROWS($A$5:A47),Model!$AD$5:$AD$504,0)))</f>
        <v/>
      </c>
      <c r="S47" s="21">
        <f>IF(A47="","",INDEX(Model!$Z$5:$Z$504,MATCH(ROWS($A$5:A47),Model!$AD$5:$AD$504,0)))</f>
        <v/>
      </c>
      <c r="T47" s="18">
        <f>IF(A47="","",INDEX(Model!$AA$5:$AA$504,MATCH(ROWS($A$5:A47),Model!$AD$5:$AD$504,0)))</f>
        <v/>
      </c>
      <c r="U47" s="13" t="n"/>
      <c r="V47" s="13" t="n"/>
      <c r="W47" s="13" t="n"/>
    </row>
    <row r="48">
      <c r="A48" s="18">
        <f>IFERROR(INDEX(Model!$B$5:$B$504,MATCH(ROWS($A$5:A48),Model!$AD$5:$AD$504,0)),"")</f>
        <v/>
      </c>
      <c r="B48" s="18">
        <f>IF(A48="","",INDEX(Model!$C$5:$C$504,MATCH(ROWS($A$5:A48),Model!$AD$5:$AD$504,0)))</f>
        <v/>
      </c>
      <c r="C48" s="18">
        <f>IF(A48="","",INDEX(Model!$D$5:$D$504,MATCH(ROWS($A$5:A48),Model!$AD$5:$AD$504,0)))</f>
        <v/>
      </c>
      <c r="D48" s="18">
        <f>IF(A48="","",INDEX(Model!$E$5:$E$504,MATCH(ROWS($A$5:A48),Model!$AD$5:$AD$504,0)))</f>
        <v/>
      </c>
      <c r="E48" s="19">
        <f>IF(A48="","",INDEX(Model!$F$5:$F$504,MATCH(ROWS($A$5:A48),Model!$AD$5:$AD$504,0)))</f>
        <v/>
      </c>
      <c r="F48" s="19">
        <f>IF(A48="","",INDEX(Model!$G$5:$G$504,MATCH(ROWS($A$5:A48),Model!$AD$5:$AD$504,0)))</f>
        <v/>
      </c>
      <c r="G48" s="18">
        <f>IF(A48="","",INDEX(Model!$H$5:$H$504,MATCH(ROWS($A$5:A48),Model!$AD$5:$AD$504,0)))</f>
        <v/>
      </c>
      <c r="H48" s="18">
        <f>IF(A48="","",INDEX(Model!$L$5:$L$504,MATCH(ROWS($A$5:A48),Model!$AD$5:$AD$504,0)))</f>
        <v/>
      </c>
      <c r="I48" s="20">
        <f>IF(A48="","",INDEX(Model!$P$5:$P$504,MATCH(ROWS($A$5:A48),Model!$AD$5:$AD$504,0)))</f>
        <v/>
      </c>
      <c r="J48" s="20">
        <f>IF(A48="","",INDEX(Model!$Q$5:$Q$504,MATCH(ROWS($A$5:A48),Model!$AD$5:$AD$504,0)))</f>
        <v/>
      </c>
      <c r="K48" s="21">
        <f>IF(A48="","",INDEX(Model!$R$5:$R$504,MATCH(ROWS($A$5:A48),Model!$AD$5:$AD$504,0)))</f>
        <v/>
      </c>
      <c r="L48" s="20">
        <f>IF(A48="","",INDEX(Model!$S$5:$S$504,MATCH(ROWS($A$5:A48),Model!$AD$5:$AD$504,0)))</f>
        <v/>
      </c>
      <c r="M48" s="21">
        <f>IF(A48="","",INDEX(Model!$T$5:$T$504,MATCH(ROWS($A$5:A48),Model!$AD$5:$AD$504,0)))</f>
        <v/>
      </c>
      <c r="N48" s="18">
        <f>IF(A48="","",INDEX(Model!$U$5:$U$504,MATCH(ROWS($A$5:A48),Model!$AD$5:$AD$504,0)))</f>
        <v/>
      </c>
      <c r="O48" s="18">
        <f>IF(A48="","",INDEX(Model!$V$5:$V$504,MATCH(ROWS($A$5:A48),Model!$AD$5:$AD$504,0)))</f>
        <v/>
      </c>
      <c r="P48" s="18">
        <f>IF(A48="","",INDEX(Model!$W$5:$W$504,MATCH(ROWS($A$5:A48),Model!$AD$5:$AD$504,0)))</f>
        <v/>
      </c>
      <c r="Q48" s="18">
        <f>IF(A48="","",INDEX(Model!$X$5:$X$504,MATCH(ROWS($A$5:A48),Model!$AD$5:$AD$504,0)))</f>
        <v/>
      </c>
      <c r="R48" s="18">
        <f>IF(A48="","",INDEX(Model!$Y$5:$Y$504,MATCH(ROWS($A$5:A48),Model!$AD$5:$AD$504,0)))</f>
        <v/>
      </c>
      <c r="S48" s="21">
        <f>IF(A48="","",INDEX(Model!$Z$5:$Z$504,MATCH(ROWS($A$5:A48),Model!$AD$5:$AD$504,0)))</f>
        <v/>
      </c>
      <c r="T48" s="18">
        <f>IF(A48="","",INDEX(Model!$AA$5:$AA$504,MATCH(ROWS($A$5:A48),Model!$AD$5:$AD$504,0)))</f>
        <v/>
      </c>
      <c r="U48" s="13" t="n"/>
      <c r="V48" s="13" t="n"/>
      <c r="W48" s="13" t="n"/>
    </row>
    <row r="49">
      <c r="A49" s="18">
        <f>IFERROR(INDEX(Model!$B$5:$B$504,MATCH(ROWS($A$5:A49),Model!$AD$5:$AD$504,0)),"")</f>
        <v/>
      </c>
      <c r="B49" s="18">
        <f>IF(A49="","",INDEX(Model!$C$5:$C$504,MATCH(ROWS($A$5:A49),Model!$AD$5:$AD$504,0)))</f>
        <v/>
      </c>
      <c r="C49" s="18">
        <f>IF(A49="","",INDEX(Model!$D$5:$D$504,MATCH(ROWS($A$5:A49),Model!$AD$5:$AD$504,0)))</f>
        <v/>
      </c>
      <c r="D49" s="18">
        <f>IF(A49="","",INDEX(Model!$E$5:$E$504,MATCH(ROWS($A$5:A49),Model!$AD$5:$AD$504,0)))</f>
        <v/>
      </c>
      <c r="E49" s="19">
        <f>IF(A49="","",INDEX(Model!$F$5:$F$504,MATCH(ROWS($A$5:A49),Model!$AD$5:$AD$504,0)))</f>
        <v/>
      </c>
      <c r="F49" s="19">
        <f>IF(A49="","",INDEX(Model!$G$5:$G$504,MATCH(ROWS($A$5:A49),Model!$AD$5:$AD$504,0)))</f>
        <v/>
      </c>
      <c r="G49" s="18">
        <f>IF(A49="","",INDEX(Model!$H$5:$H$504,MATCH(ROWS($A$5:A49),Model!$AD$5:$AD$504,0)))</f>
        <v/>
      </c>
      <c r="H49" s="18">
        <f>IF(A49="","",INDEX(Model!$L$5:$L$504,MATCH(ROWS($A$5:A49),Model!$AD$5:$AD$504,0)))</f>
        <v/>
      </c>
      <c r="I49" s="20">
        <f>IF(A49="","",INDEX(Model!$P$5:$P$504,MATCH(ROWS($A$5:A49),Model!$AD$5:$AD$504,0)))</f>
        <v/>
      </c>
      <c r="J49" s="20">
        <f>IF(A49="","",INDEX(Model!$Q$5:$Q$504,MATCH(ROWS($A$5:A49),Model!$AD$5:$AD$504,0)))</f>
        <v/>
      </c>
      <c r="K49" s="21">
        <f>IF(A49="","",INDEX(Model!$R$5:$R$504,MATCH(ROWS($A$5:A49),Model!$AD$5:$AD$504,0)))</f>
        <v/>
      </c>
      <c r="L49" s="20">
        <f>IF(A49="","",INDEX(Model!$S$5:$S$504,MATCH(ROWS($A$5:A49),Model!$AD$5:$AD$504,0)))</f>
        <v/>
      </c>
      <c r="M49" s="21">
        <f>IF(A49="","",INDEX(Model!$T$5:$T$504,MATCH(ROWS($A$5:A49),Model!$AD$5:$AD$504,0)))</f>
        <v/>
      </c>
      <c r="N49" s="18">
        <f>IF(A49="","",INDEX(Model!$U$5:$U$504,MATCH(ROWS($A$5:A49),Model!$AD$5:$AD$504,0)))</f>
        <v/>
      </c>
      <c r="O49" s="18">
        <f>IF(A49="","",INDEX(Model!$V$5:$V$504,MATCH(ROWS($A$5:A49),Model!$AD$5:$AD$504,0)))</f>
        <v/>
      </c>
      <c r="P49" s="18">
        <f>IF(A49="","",INDEX(Model!$W$5:$W$504,MATCH(ROWS($A$5:A49),Model!$AD$5:$AD$504,0)))</f>
        <v/>
      </c>
      <c r="Q49" s="18">
        <f>IF(A49="","",INDEX(Model!$X$5:$X$504,MATCH(ROWS($A$5:A49),Model!$AD$5:$AD$504,0)))</f>
        <v/>
      </c>
      <c r="R49" s="18">
        <f>IF(A49="","",INDEX(Model!$Y$5:$Y$504,MATCH(ROWS($A$5:A49),Model!$AD$5:$AD$504,0)))</f>
        <v/>
      </c>
      <c r="S49" s="21">
        <f>IF(A49="","",INDEX(Model!$Z$5:$Z$504,MATCH(ROWS($A$5:A49),Model!$AD$5:$AD$504,0)))</f>
        <v/>
      </c>
      <c r="T49" s="18">
        <f>IF(A49="","",INDEX(Model!$AA$5:$AA$504,MATCH(ROWS($A$5:A49),Model!$AD$5:$AD$504,0)))</f>
        <v/>
      </c>
      <c r="U49" s="13" t="n"/>
      <c r="V49" s="13" t="n"/>
      <c r="W49" s="13" t="n"/>
    </row>
    <row r="50">
      <c r="A50" s="18">
        <f>IFERROR(INDEX(Model!$B$5:$B$504,MATCH(ROWS($A$5:A50),Model!$AD$5:$AD$504,0)),"")</f>
        <v/>
      </c>
      <c r="B50" s="18">
        <f>IF(A50="","",INDEX(Model!$C$5:$C$504,MATCH(ROWS($A$5:A50),Model!$AD$5:$AD$504,0)))</f>
        <v/>
      </c>
      <c r="C50" s="18">
        <f>IF(A50="","",INDEX(Model!$D$5:$D$504,MATCH(ROWS($A$5:A50),Model!$AD$5:$AD$504,0)))</f>
        <v/>
      </c>
      <c r="D50" s="18">
        <f>IF(A50="","",INDEX(Model!$E$5:$E$504,MATCH(ROWS($A$5:A50),Model!$AD$5:$AD$504,0)))</f>
        <v/>
      </c>
      <c r="E50" s="19">
        <f>IF(A50="","",INDEX(Model!$F$5:$F$504,MATCH(ROWS($A$5:A50),Model!$AD$5:$AD$504,0)))</f>
        <v/>
      </c>
      <c r="F50" s="19">
        <f>IF(A50="","",INDEX(Model!$G$5:$G$504,MATCH(ROWS($A$5:A50),Model!$AD$5:$AD$504,0)))</f>
        <v/>
      </c>
      <c r="G50" s="18">
        <f>IF(A50="","",INDEX(Model!$H$5:$H$504,MATCH(ROWS($A$5:A50),Model!$AD$5:$AD$504,0)))</f>
        <v/>
      </c>
      <c r="H50" s="18">
        <f>IF(A50="","",INDEX(Model!$L$5:$L$504,MATCH(ROWS($A$5:A50),Model!$AD$5:$AD$504,0)))</f>
        <v/>
      </c>
      <c r="I50" s="20">
        <f>IF(A50="","",INDEX(Model!$P$5:$P$504,MATCH(ROWS($A$5:A50),Model!$AD$5:$AD$504,0)))</f>
        <v/>
      </c>
      <c r="J50" s="20">
        <f>IF(A50="","",INDEX(Model!$Q$5:$Q$504,MATCH(ROWS($A$5:A50),Model!$AD$5:$AD$504,0)))</f>
        <v/>
      </c>
      <c r="K50" s="21">
        <f>IF(A50="","",INDEX(Model!$R$5:$R$504,MATCH(ROWS($A$5:A50),Model!$AD$5:$AD$504,0)))</f>
        <v/>
      </c>
      <c r="L50" s="20">
        <f>IF(A50="","",INDEX(Model!$S$5:$S$504,MATCH(ROWS($A$5:A50),Model!$AD$5:$AD$504,0)))</f>
        <v/>
      </c>
      <c r="M50" s="21">
        <f>IF(A50="","",INDEX(Model!$T$5:$T$504,MATCH(ROWS($A$5:A50),Model!$AD$5:$AD$504,0)))</f>
        <v/>
      </c>
      <c r="N50" s="18">
        <f>IF(A50="","",INDEX(Model!$U$5:$U$504,MATCH(ROWS($A$5:A50),Model!$AD$5:$AD$504,0)))</f>
        <v/>
      </c>
      <c r="O50" s="18">
        <f>IF(A50="","",INDEX(Model!$V$5:$V$504,MATCH(ROWS($A$5:A50),Model!$AD$5:$AD$504,0)))</f>
        <v/>
      </c>
      <c r="P50" s="18">
        <f>IF(A50="","",INDEX(Model!$W$5:$W$504,MATCH(ROWS($A$5:A50),Model!$AD$5:$AD$504,0)))</f>
        <v/>
      </c>
      <c r="Q50" s="18">
        <f>IF(A50="","",INDEX(Model!$X$5:$X$504,MATCH(ROWS($A$5:A50),Model!$AD$5:$AD$504,0)))</f>
        <v/>
      </c>
      <c r="R50" s="18">
        <f>IF(A50="","",INDEX(Model!$Y$5:$Y$504,MATCH(ROWS($A$5:A50),Model!$AD$5:$AD$504,0)))</f>
        <v/>
      </c>
      <c r="S50" s="21">
        <f>IF(A50="","",INDEX(Model!$Z$5:$Z$504,MATCH(ROWS($A$5:A50),Model!$AD$5:$AD$504,0)))</f>
        <v/>
      </c>
      <c r="T50" s="18">
        <f>IF(A50="","",INDEX(Model!$AA$5:$AA$504,MATCH(ROWS($A$5:A50),Model!$AD$5:$AD$504,0)))</f>
        <v/>
      </c>
      <c r="U50" s="13" t="n"/>
      <c r="V50" s="13" t="n"/>
      <c r="W50" s="13" t="n"/>
    </row>
    <row r="51">
      <c r="A51" s="18">
        <f>IFERROR(INDEX(Model!$B$5:$B$504,MATCH(ROWS($A$5:A51),Model!$AD$5:$AD$504,0)),"")</f>
        <v/>
      </c>
      <c r="B51" s="18">
        <f>IF(A51="","",INDEX(Model!$C$5:$C$504,MATCH(ROWS($A$5:A51),Model!$AD$5:$AD$504,0)))</f>
        <v/>
      </c>
      <c r="C51" s="18">
        <f>IF(A51="","",INDEX(Model!$D$5:$D$504,MATCH(ROWS($A$5:A51),Model!$AD$5:$AD$504,0)))</f>
        <v/>
      </c>
      <c r="D51" s="18">
        <f>IF(A51="","",INDEX(Model!$E$5:$E$504,MATCH(ROWS($A$5:A51),Model!$AD$5:$AD$504,0)))</f>
        <v/>
      </c>
      <c r="E51" s="19">
        <f>IF(A51="","",INDEX(Model!$F$5:$F$504,MATCH(ROWS($A$5:A51),Model!$AD$5:$AD$504,0)))</f>
        <v/>
      </c>
      <c r="F51" s="19">
        <f>IF(A51="","",INDEX(Model!$G$5:$G$504,MATCH(ROWS($A$5:A51),Model!$AD$5:$AD$504,0)))</f>
        <v/>
      </c>
      <c r="G51" s="18">
        <f>IF(A51="","",INDEX(Model!$H$5:$H$504,MATCH(ROWS($A$5:A51),Model!$AD$5:$AD$504,0)))</f>
        <v/>
      </c>
      <c r="H51" s="18">
        <f>IF(A51="","",INDEX(Model!$L$5:$L$504,MATCH(ROWS($A$5:A51),Model!$AD$5:$AD$504,0)))</f>
        <v/>
      </c>
      <c r="I51" s="20">
        <f>IF(A51="","",INDEX(Model!$P$5:$P$504,MATCH(ROWS($A$5:A51),Model!$AD$5:$AD$504,0)))</f>
        <v/>
      </c>
      <c r="J51" s="20">
        <f>IF(A51="","",INDEX(Model!$Q$5:$Q$504,MATCH(ROWS($A$5:A51),Model!$AD$5:$AD$504,0)))</f>
        <v/>
      </c>
      <c r="K51" s="21">
        <f>IF(A51="","",INDEX(Model!$R$5:$R$504,MATCH(ROWS($A$5:A51),Model!$AD$5:$AD$504,0)))</f>
        <v/>
      </c>
      <c r="L51" s="20">
        <f>IF(A51="","",INDEX(Model!$S$5:$S$504,MATCH(ROWS($A$5:A51),Model!$AD$5:$AD$504,0)))</f>
        <v/>
      </c>
      <c r="M51" s="21">
        <f>IF(A51="","",INDEX(Model!$T$5:$T$504,MATCH(ROWS($A$5:A51),Model!$AD$5:$AD$504,0)))</f>
        <v/>
      </c>
      <c r="N51" s="18">
        <f>IF(A51="","",INDEX(Model!$U$5:$U$504,MATCH(ROWS($A$5:A51),Model!$AD$5:$AD$504,0)))</f>
        <v/>
      </c>
      <c r="O51" s="18">
        <f>IF(A51="","",INDEX(Model!$V$5:$V$504,MATCH(ROWS($A$5:A51),Model!$AD$5:$AD$504,0)))</f>
        <v/>
      </c>
      <c r="P51" s="18">
        <f>IF(A51="","",INDEX(Model!$W$5:$W$504,MATCH(ROWS($A$5:A51),Model!$AD$5:$AD$504,0)))</f>
        <v/>
      </c>
      <c r="Q51" s="18">
        <f>IF(A51="","",INDEX(Model!$X$5:$X$504,MATCH(ROWS($A$5:A51),Model!$AD$5:$AD$504,0)))</f>
        <v/>
      </c>
      <c r="R51" s="18">
        <f>IF(A51="","",INDEX(Model!$Y$5:$Y$504,MATCH(ROWS($A$5:A51),Model!$AD$5:$AD$504,0)))</f>
        <v/>
      </c>
      <c r="S51" s="21">
        <f>IF(A51="","",INDEX(Model!$Z$5:$Z$504,MATCH(ROWS($A$5:A51),Model!$AD$5:$AD$504,0)))</f>
        <v/>
      </c>
      <c r="T51" s="18">
        <f>IF(A51="","",INDEX(Model!$AA$5:$AA$504,MATCH(ROWS($A$5:A51),Model!$AD$5:$AD$504,0)))</f>
        <v/>
      </c>
      <c r="U51" s="13" t="n"/>
      <c r="V51" s="13" t="n"/>
      <c r="W51" s="13" t="n"/>
    </row>
    <row r="52">
      <c r="A52" s="18">
        <f>IFERROR(INDEX(Model!$B$5:$B$504,MATCH(ROWS($A$5:A52),Model!$AD$5:$AD$504,0)),"")</f>
        <v/>
      </c>
      <c r="B52" s="18">
        <f>IF(A52="","",INDEX(Model!$C$5:$C$504,MATCH(ROWS($A$5:A52),Model!$AD$5:$AD$504,0)))</f>
        <v/>
      </c>
      <c r="C52" s="18">
        <f>IF(A52="","",INDEX(Model!$D$5:$D$504,MATCH(ROWS($A$5:A52),Model!$AD$5:$AD$504,0)))</f>
        <v/>
      </c>
      <c r="D52" s="18">
        <f>IF(A52="","",INDEX(Model!$E$5:$E$504,MATCH(ROWS($A$5:A52),Model!$AD$5:$AD$504,0)))</f>
        <v/>
      </c>
      <c r="E52" s="19">
        <f>IF(A52="","",INDEX(Model!$F$5:$F$504,MATCH(ROWS($A$5:A52),Model!$AD$5:$AD$504,0)))</f>
        <v/>
      </c>
      <c r="F52" s="19">
        <f>IF(A52="","",INDEX(Model!$G$5:$G$504,MATCH(ROWS($A$5:A52),Model!$AD$5:$AD$504,0)))</f>
        <v/>
      </c>
      <c r="G52" s="18">
        <f>IF(A52="","",INDEX(Model!$H$5:$H$504,MATCH(ROWS($A$5:A52),Model!$AD$5:$AD$504,0)))</f>
        <v/>
      </c>
      <c r="H52" s="18">
        <f>IF(A52="","",INDEX(Model!$L$5:$L$504,MATCH(ROWS($A$5:A52),Model!$AD$5:$AD$504,0)))</f>
        <v/>
      </c>
      <c r="I52" s="20">
        <f>IF(A52="","",INDEX(Model!$P$5:$P$504,MATCH(ROWS($A$5:A52),Model!$AD$5:$AD$504,0)))</f>
        <v/>
      </c>
      <c r="J52" s="20">
        <f>IF(A52="","",INDEX(Model!$Q$5:$Q$504,MATCH(ROWS($A$5:A52),Model!$AD$5:$AD$504,0)))</f>
        <v/>
      </c>
      <c r="K52" s="21">
        <f>IF(A52="","",INDEX(Model!$R$5:$R$504,MATCH(ROWS($A$5:A52),Model!$AD$5:$AD$504,0)))</f>
        <v/>
      </c>
      <c r="L52" s="20">
        <f>IF(A52="","",INDEX(Model!$S$5:$S$504,MATCH(ROWS($A$5:A52),Model!$AD$5:$AD$504,0)))</f>
        <v/>
      </c>
      <c r="M52" s="21">
        <f>IF(A52="","",INDEX(Model!$T$5:$T$504,MATCH(ROWS($A$5:A52),Model!$AD$5:$AD$504,0)))</f>
        <v/>
      </c>
      <c r="N52" s="18">
        <f>IF(A52="","",INDEX(Model!$U$5:$U$504,MATCH(ROWS($A$5:A52),Model!$AD$5:$AD$504,0)))</f>
        <v/>
      </c>
      <c r="O52" s="18">
        <f>IF(A52="","",INDEX(Model!$V$5:$V$504,MATCH(ROWS($A$5:A52),Model!$AD$5:$AD$504,0)))</f>
        <v/>
      </c>
      <c r="P52" s="18">
        <f>IF(A52="","",INDEX(Model!$W$5:$W$504,MATCH(ROWS($A$5:A52),Model!$AD$5:$AD$504,0)))</f>
        <v/>
      </c>
      <c r="Q52" s="18">
        <f>IF(A52="","",INDEX(Model!$X$5:$X$504,MATCH(ROWS($A$5:A52),Model!$AD$5:$AD$504,0)))</f>
        <v/>
      </c>
      <c r="R52" s="18">
        <f>IF(A52="","",INDEX(Model!$Y$5:$Y$504,MATCH(ROWS($A$5:A52),Model!$AD$5:$AD$504,0)))</f>
        <v/>
      </c>
      <c r="S52" s="21">
        <f>IF(A52="","",INDEX(Model!$Z$5:$Z$504,MATCH(ROWS($A$5:A52),Model!$AD$5:$AD$504,0)))</f>
        <v/>
      </c>
      <c r="T52" s="18">
        <f>IF(A52="","",INDEX(Model!$AA$5:$AA$504,MATCH(ROWS($A$5:A52),Model!$AD$5:$AD$504,0)))</f>
        <v/>
      </c>
      <c r="U52" s="13" t="n"/>
      <c r="V52" s="13" t="n"/>
      <c r="W52" s="13" t="n"/>
    </row>
    <row r="53">
      <c r="A53" s="18">
        <f>IFERROR(INDEX(Model!$B$5:$B$504,MATCH(ROWS($A$5:A53),Model!$AD$5:$AD$504,0)),"")</f>
        <v/>
      </c>
      <c r="B53" s="18">
        <f>IF(A53="","",INDEX(Model!$C$5:$C$504,MATCH(ROWS($A$5:A53),Model!$AD$5:$AD$504,0)))</f>
        <v/>
      </c>
      <c r="C53" s="18">
        <f>IF(A53="","",INDEX(Model!$D$5:$D$504,MATCH(ROWS($A$5:A53),Model!$AD$5:$AD$504,0)))</f>
        <v/>
      </c>
      <c r="D53" s="18">
        <f>IF(A53="","",INDEX(Model!$E$5:$E$504,MATCH(ROWS($A$5:A53),Model!$AD$5:$AD$504,0)))</f>
        <v/>
      </c>
      <c r="E53" s="19">
        <f>IF(A53="","",INDEX(Model!$F$5:$F$504,MATCH(ROWS($A$5:A53),Model!$AD$5:$AD$504,0)))</f>
        <v/>
      </c>
      <c r="F53" s="19">
        <f>IF(A53="","",INDEX(Model!$G$5:$G$504,MATCH(ROWS($A$5:A53),Model!$AD$5:$AD$504,0)))</f>
        <v/>
      </c>
      <c r="G53" s="18">
        <f>IF(A53="","",INDEX(Model!$H$5:$H$504,MATCH(ROWS($A$5:A53),Model!$AD$5:$AD$504,0)))</f>
        <v/>
      </c>
      <c r="H53" s="18">
        <f>IF(A53="","",INDEX(Model!$L$5:$L$504,MATCH(ROWS($A$5:A53),Model!$AD$5:$AD$504,0)))</f>
        <v/>
      </c>
      <c r="I53" s="20">
        <f>IF(A53="","",INDEX(Model!$P$5:$P$504,MATCH(ROWS($A$5:A53),Model!$AD$5:$AD$504,0)))</f>
        <v/>
      </c>
      <c r="J53" s="20">
        <f>IF(A53="","",INDEX(Model!$Q$5:$Q$504,MATCH(ROWS($A$5:A53),Model!$AD$5:$AD$504,0)))</f>
        <v/>
      </c>
      <c r="K53" s="21">
        <f>IF(A53="","",INDEX(Model!$R$5:$R$504,MATCH(ROWS($A$5:A53),Model!$AD$5:$AD$504,0)))</f>
        <v/>
      </c>
      <c r="L53" s="20">
        <f>IF(A53="","",INDEX(Model!$S$5:$S$504,MATCH(ROWS($A$5:A53),Model!$AD$5:$AD$504,0)))</f>
        <v/>
      </c>
      <c r="M53" s="21">
        <f>IF(A53="","",INDEX(Model!$T$5:$T$504,MATCH(ROWS($A$5:A53),Model!$AD$5:$AD$504,0)))</f>
        <v/>
      </c>
      <c r="N53" s="18">
        <f>IF(A53="","",INDEX(Model!$U$5:$U$504,MATCH(ROWS($A$5:A53),Model!$AD$5:$AD$504,0)))</f>
        <v/>
      </c>
      <c r="O53" s="18">
        <f>IF(A53="","",INDEX(Model!$V$5:$V$504,MATCH(ROWS($A$5:A53),Model!$AD$5:$AD$504,0)))</f>
        <v/>
      </c>
      <c r="P53" s="18">
        <f>IF(A53="","",INDEX(Model!$W$5:$W$504,MATCH(ROWS($A$5:A53),Model!$AD$5:$AD$504,0)))</f>
        <v/>
      </c>
      <c r="Q53" s="18">
        <f>IF(A53="","",INDEX(Model!$X$5:$X$504,MATCH(ROWS($A$5:A53),Model!$AD$5:$AD$504,0)))</f>
        <v/>
      </c>
      <c r="R53" s="18">
        <f>IF(A53="","",INDEX(Model!$Y$5:$Y$504,MATCH(ROWS($A$5:A53),Model!$AD$5:$AD$504,0)))</f>
        <v/>
      </c>
      <c r="S53" s="21">
        <f>IF(A53="","",INDEX(Model!$Z$5:$Z$504,MATCH(ROWS($A$5:A53),Model!$AD$5:$AD$504,0)))</f>
        <v/>
      </c>
      <c r="T53" s="18">
        <f>IF(A53="","",INDEX(Model!$AA$5:$AA$504,MATCH(ROWS($A$5:A53),Model!$AD$5:$AD$504,0)))</f>
        <v/>
      </c>
      <c r="U53" s="13" t="n"/>
      <c r="V53" s="13" t="n"/>
      <c r="W53" s="13" t="n"/>
    </row>
    <row r="54">
      <c r="A54" s="18">
        <f>IFERROR(INDEX(Model!$B$5:$B$504,MATCH(ROWS($A$5:A54),Model!$AD$5:$AD$504,0)),"")</f>
        <v/>
      </c>
      <c r="B54" s="18">
        <f>IF(A54="","",INDEX(Model!$C$5:$C$504,MATCH(ROWS($A$5:A54),Model!$AD$5:$AD$504,0)))</f>
        <v/>
      </c>
      <c r="C54" s="18">
        <f>IF(A54="","",INDEX(Model!$D$5:$D$504,MATCH(ROWS($A$5:A54),Model!$AD$5:$AD$504,0)))</f>
        <v/>
      </c>
      <c r="D54" s="18">
        <f>IF(A54="","",INDEX(Model!$E$5:$E$504,MATCH(ROWS($A$5:A54),Model!$AD$5:$AD$504,0)))</f>
        <v/>
      </c>
      <c r="E54" s="19">
        <f>IF(A54="","",INDEX(Model!$F$5:$F$504,MATCH(ROWS($A$5:A54),Model!$AD$5:$AD$504,0)))</f>
        <v/>
      </c>
      <c r="F54" s="19">
        <f>IF(A54="","",INDEX(Model!$G$5:$G$504,MATCH(ROWS($A$5:A54),Model!$AD$5:$AD$504,0)))</f>
        <v/>
      </c>
      <c r="G54" s="18">
        <f>IF(A54="","",INDEX(Model!$H$5:$H$504,MATCH(ROWS($A$5:A54),Model!$AD$5:$AD$504,0)))</f>
        <v/>
      </c>
      <c r="H54" s="18">
        <f>IF(A54="","",INDEX(Model!$L$5:$L$504,MATCH(ROWS($A$5:A54),Model!$AD$5:$AD$504,0)))</f>
        <v/>
      </c>
      <c r="I54" s="20">
        <f>IF(A54="","",INDEX(Model!$P$5:$P$504,MATCH(ROWS($A$5:A54),Model!$AD$5:$AD$504,0)))</f>
        <v/>
      </c>
      <c r="J54" s="20">
        <f>IF(A54="","",INDEX(Model!$Q$5:$Q$504,MATCH(ROWS($A$5:A54),Model!$AD$5:$AD$504,0)))</f>
        <v/>
      </c>
      <c r="K54" s="21">
        <f>IF(A54="","",INDEX(Model!$R$5:$R$504,MATCH(ROWS($A$5:A54),Model!$AD$5:$AD$504,0)))</f>
        <v/>
      </c>
      <c r="L54" s="20">
        <f>IF(A54="","",INDEX(Model!$S$5:$S$504,MATCH(ROWS($A$5:A54),Model!$AD$5:$AD$504,0)))</f>
        <v/>
      </c>
      <c r="M54" s="21">
        <f>IF(A54="","",INDEX(Model!$T$5:$T$504,MATCH(ROWS($A$5:A54),Model!$AD$5:$AD$504,0)))</f>
        <v/>
      </c>
      <c r="N54" s="18">
        <f>IF(A54="","",INDEX(Model!$U$5:$U$504,MATCH(ROWS($A$5:A54),Model!$AD$5:$AD$504,0)))</f>
        <v/>
      </c>
      <c r="O54" s="18">
        <f>IF(A54="","",INDEX(Model!$V$5:$V$504,MATCH(ROWS($A$5:A54),Model!$AD$5:$AD$504,0)))</f>
        <v/>
      </c>
      <c r="P54" s="18">
        <f>IF(A54="","",INDEX(Model!$W$5:$W$504,MATCH(ROWS($A$5:A54),Model!$AD$5:$AD$504,0)))</f>
        <v/>
      </c>
      <c r="Q54" s="18">
        <f>IF(A54="","",INDEX(Model!$X$5:$X$504,MATCH(ROWS($A$5:A54),Model!$AD$5:$AD$504,0)))</f>
        <v/>
      </c>
      <c r="R54" s="18">
        <f>IF(A54="","",INDEX(Model!$Y$5:$Y$504,MATCH(ROWS($A$5:A54),Model!$AD$5:$AD$504,0)))</f>
        <v/>
      </c>
      <c r="S54" s="21">
        <f>IF(A54="","",INDEX(Model!$Z$5:$Z$504,MATCH(ROWS($A$5:A54),Model!$AD$5:$AD$504,0)))</f>
        <v/>
      </c>
      <c r="T54" s="18">
        <f>IF(A54="","",INDEX(Model!$AA$5:$AA$504,MATCH(ROWS($A$5:A54),Model!$AD$5:$AD$504,0)))</f>
        <v/>
      </c>
      <c r="U54" s="13" t="n"/>
      <c r="V54" s="13" t="n"/>
      <c r="W54" s="13" t="n"/>
    </row>
    <row r="55">
      <c r="A55" s="18">
        <f>IFERROR(INDEX(Model!$B$5:$B$504,MATCH(ROWS($A$5:A55),Model!$AD$5:$AD$504,0)),"")</f>
        <v/>
      </c>
      <c r="B55" s="18">
        <f>IF(A55="","",INDEX(Model!$C$5:$C$504,MATCH(ROWS($A$5:A55),Model!$AD$5:$AD$504,0)))</f>
        <v/>
      </c>
      <c r="C55" s="18">
        <f>IF(A55="","",INDEX(Model!$D$5:$D$504,MATCH(ROWS($A$5:A55),Model!$AD$5:$AD$504,0)))</f>
        <v/>
      </c>
      <c r="D55" s="18">
        <f>IF(A55="","",INDEX(Model!$E$5:$E$504,MATCH(ROWS($A$5:A55),Model!$AD$5:$AD$504,0)))</f>
        <v/>
      </c>
      <c r="E55" s="19">
        <f>IF(A55="","",INDEX(Model!$F$5:$F$504,MATCH(ROWS($A$5:A55),Model!$AD$5:$AD$504,0)))</f>
        <v/>
      </c>
      <c r="F55" s="19">
        <f>IF(A55="","",INDEX(Model!$G$5:$G$504,MATCH(ROWS($A$5:A55),Model!$AD$5:$AD$504,0)))</f>
        <v/>
      </c>
      <c r="G55" s="18">
        <f>IF(A55="","",INDEX(Model!$H$5:$H$504,MATCH(ROWS($A$5:A55),Model!$AD$5:$AD$504,0)))</f>
        <v/>
      </c>
      <c r="H55" s="18">
        <f>IF(A55="","",INDEX(Model!$L$5:$L$504,MATCH(ROWS($A$5:A55),Model!$AD$5:$AD$504,0)))</f>
        <v/>
      </c>
      <c r="I55" s="20">
        <f>IF(A55="","",INDEX(Model!$P$5:$P$504,MATCH(ROWS($A$5:A55),Model!$AD$5:$AD$504,0)))</f>
        <v/>
      </c>
      <c r="J55" s="20">
        <f>IF(A55="","",INDEX(Model!$Q$5:$Q$504,MATCH(ROWS($A$5:A55),Model!$AD$5:$AD$504,0)))</f>
        <v/>
      </c>
      <c r="K55" s="21">
        <f>IF(A55="","",INDEX(Model!$R$5:$R$504,MATCH(ROWS($A$5:A55),Model!$AD$5:$AD$504,0)))</f>
        <v/>
      </c>
      <c r="L55" s="20">
        <f>IF(A55="","",INDEX(Model!$S$5:$S$504,MATCH(ROWS($A$5:A55),Model!$AD$5:$AD$504,0)))</f>
        <v/>
      </c>
      <c r="M55" s="21">
        <f>IF(A55="","",INDEX(Model!$T$5:$T$504,MATCH(ROWS($A$5:A55),Model!$AD$5:$AD$504,0)))</f>
        <v/>
      </c>
      <c r="N55" s="18">
        <f>IF(A55="","",INDEX(Model!$U$5:$U$504,MATCH(ROWS($A$5:A55),Model!$AD$5:$AD$504,0)))</f>
        <v/>
      </c>
      <c r="O55" s="18">
        <f>IF(A55="","",INDEX(Model!$V$5:$V$504,MATCH(ROWS($A$5:A55),Model!$AD$5:$AD$504,0)))</f>
        <v/>
      </c>
      <c r="P55" s="18">
        <f>IF(A55="","",INDEX(Model!$W$5:$W$504,MATCH(ROWS($A$5:A55),Model!$AD$5:$AD$504,0)))</f>
        <v/>
      </c>
      <c r="Q55" s="18">
        <f>IF(A55="","",INDEX(Model!$X$5:$X$504,MATCH(ROWS($A$5:A55),Model!$AD$5:$AD$504,0)))</f>
        <v/>
      </c>
      <c r="R55" s="18">
        <f>IF(A55="","",INDEX(Model!$Y$5:$Y$504,MATCH(ROWS($A$5:A55),Model!$AD$5:$AD$504,0)))</f>
        <v/>
      </c>
      <c r="S55" s="21">
        <f>IF(A55="","",INDEX(Model!$Z$5:$Z$504,MATCH(ROWS($A$5:A55),Model!$AD$5:$AD$504,0)))</f>
        <v/>
      </c>
      <c r="T55" s="18">
        <f>IF(A55="","",INDEX(Model!$AA$5:$AA$504,MATCH(ROWS($A$5:A55),Model!$AD$5:$AD$504,0)))</f>
        <v/>
      </c>
      <c r="U55" s="13" t="n"/>
      <c r="V55" s="13" t="n"/>
      <c r="W55" s="13" t="n"/>
    </row>
    <row r="56">
      <c r="A56" s="18">
        <f>IFERROR(INDEX(Model!$B$5:$B$504,MATCH(ROWS($A$5:A56),Model!$AD$5:$AD$504,0)),"")</f>
        <v/>
      </c>
      <c r="B56" s="18">
        <f>IF(A56="","",INDEX(Model!$C$5:$C$504,MATCH(ROWS($A$5:A56),Model!$AD$5:$AD$504,0)))</f>
        <v/>
      </c>
      <c r="C56" s="18">
        <f>IF(A56="","",INDEX(Model!$D$5:$D$504,MATCH(ROWS($A$5:A56),Model!$AD$5:$AD$504,0)))</f>
        <v/>
      </c>
      <c r="D56" s="18">
        <f>IF(A56="","",INDEX(Model!$E$5:$E$504,MATCH(ROWS($A$5:A56),Model!$AD$5:$AD$504,0)))</f>
        <v/>
      </c>
      <c r="E56" s="19">
        <f>IF(A56="","",INDEX(Model!$F$5:$F$504,MATCH(ROWS($A$5:A56),Model!$AD$5:$AD$504,0)))</f>
        <v/>
      </c>
      <c r="F56" s="19">
        <f>IF(A56="","",INDEX(Model!$G$5:$G$504,MATCH(ROWS($A$5:A56),Model!$AD$5:$AD$504,0)))</f>
        <v/>
      </c>
      <c r="G56" s="18">
        <f>IF(A56="","",INDEX(Model!$H$5:$H$504,MATCH(ROWS($A$5:A56),Model!$AD$5:$AD$504,0)))</f>
        <v/>
      </c>
      <c r="H56" s="18">
        <f>IF(A56="","",INDEX(Model!$L$5:$L$504,MATCH(ROWS($A$5:A56),Model!$AD$5:$AD$504,0)))</f>
        <v/>
      </c>
      <c r="I56" s="20">
        <f>IF(A56="","",INDEX(Model!$P$5:$P$504,MATCH(ROWS($A$5:A56),Model!$AD$5:$AD$504,0)))</f>
        <v/>
      </c>
      <c r="J56" s="20">
        <f>IF(A56="","",INDEX(Model!$Q$5:$Q$504,MATCH(ROWS($A$5:A56),Model!$AD$5:$AD$504,0)))</f>
        <v/>
      </c>
      <c r="K56" s="21">
        <f>IF(A56="","",INDEX(Model!$R$5:$R$504,MATCH(ROWS($A$5:A56),Model!$AD$5:$AD$504,0)))</f>
        <v/>
      </c>
      <c r="L56" s="20">
        <f>IF(A56="","",INDEX(Model!$S$5:$S$504,MATCH(ROWS($A$5:A56),Model!$AD$5:$AD$504,0)))</f>
        <v/>
      </c>
      <c r="M56" s="21">
        <f>IF(A56="","",INDEX(Model!$T$5:$T$504,MATCH(ROWS($A$5:A56),Model!$AD$5:$AD$504,0)))</f>
        <v/>
      </c>
      <c r="N56" s="18">
        <f>IF(A56="","",INDEX(Model!$U$5:$U$504,MATCH(ROWS($A$5:A56),Model!$AD$5:$AD$504,0)))</f>
        <v/>
      </c>
      <c r="O56" s="18">
        <f>IF(A56="","",INDEX(Model!$V$5:$V$504,MATCH(ROWS($A$5:A56),Model!$AD$5:$AD$504,0)))</f>
        <v/>
      </c>
      <c r="P56" s="18">
        <f>IF(A56="","",INDEX(Model!$W$5:$W$504,MATCH(ROWS($A$5:A56),Model!$AD$5:$AD$504,0)))</f>
        <v/>
      </c>
      <c r="Q56" s="18">
        <f>IF(A56="","",INDEX(Model!$X$5:$X$504,MATCH(ROWS($A$5:A56),Model!$AD$5:$AD$504,0)))</f>
        <v/>
      </c>
      <c r="R56" s="18">
        <f>IF(A56="","",INDEX(Model!$Y$5:$Y$504,MATCH(ROWS($A$5:A56),Model!$AD$5:$AD$504,0)))</f>
        <v/>
      </c>
      <c r="S56" s="21">
        <f>IF(A56="","",INDEX(Model!$Z$5:$Z$504,MATCH(ROWS($A$5:A56),Model!$AD$5:$AD$504,0)))</f>
        <v/>
      </c>
      <c r="T56" s="18">
        <f>IF(A56="","",INDEX(Model!$AA$5:$AA$504,MATCH(ROWS($A$5:A56),Model!$AD$5:$AD$504,0)))</f>
        <v/>
      </c>
      <c r="U56" s="13" t="n"/>
      <c r="V56" s="13" t="n"/>
      <c r="W56" s="13" t="n"/>
    </row>
    <row r="57">
      <c r="A57" s="18">
        <f>IFERROR(INDEX(Model!$B$5:$B$504,MATCH(ROWS($A$5:A57),Model!$AD$5:$AD$504,0)),"")</f>
        <v/>
      </c>
      <c r="B57" s="18">
        <f>IF(A57="","",INDEX(Model!$C$5:$C$504,MATCH(ROWS($A$5:A57),Model!$AD$5:$AD$504,0)))</f>
        <v/>
      </c>
      <c r="C57" s="18">
        <f>IF(A57="","",INDEX(Model!$D$5:$D$504,MATCH(ROWS($A$5:A57),Model!$AD$5:$AD$504,0)))</f>
        <v/>
      </c>
      <c r="D57" s="18">
        <f>IF(A57="","",INDEX(Model!$E$5:$E$504,MATCH(ROWS($A$5:A57),Model!$AD$5:$AD$504,0)))</f>
        <v/>
      </c>
      <c r="E57" s="19">
        <f>IF(A57="","",INDEX(Model!$F$5:$F$504,MATCH(ROWS($A$5:A57),Model!$AD$5:$AD$504,0)))</f>
        <v/>
      </c>
      <c r="F57" s="19">
        <f>IF(A57="","",INDEX(Model!$G$5:$G$504,MATCH(ROWS($A$5:A57),Model!$AD$5:$AD$504,0)))</f>
        <v/>
      </c>
      <c r="G57" s="18">
        <f>IF(A57="","",INDEX(Model!$H$5:$H$504,MATCH(ROWS($A$5:A57),Model!$AD$5:$AD$504,0)))</f>
        <v/>
      </c>
      <c r="H57" s="18">
        <f>IF(A57="","",INDEX(Model!$L$5:$L$504,MATCH(ROWS($A$5:A57),Model!$AD$5:$AD$504,0)))</f>
        <v/>
      </c>
      <c r="I57" s="20">
        <f>IF(A57="","",INDEX(Model!$P$5:$P$504,MATCH(ROWS($A$5:A57),Model!$AD$5:$AD$504,0)))</f>
        <v/>
      </c>
      <c r="J57" s="20">
        <f>IF(A57="","",INDEX(Model!$Q$5:$Q$504,MATCH(ROWS($A$5:A57),Model!$AD$5:$AD$504,0)))</f>
        <v/>
      </c>
      <c r="K57" s="21">
        <f>IF(A57="","",INDEX(Model!$R$5:$R$504,MATCH(ROWS($A$5:A57),Model!$AD$5:$AD$504,0)))</f>
        <v/>
      </c>
      <c r="L57" s="20">
        <f>IF(A57="","",INDEX(Model!$S$5:$S$504,MATCH(ROWS($A$5:A57),Model!$AD$5:$AD$504,0)))</f>
        <v/>
      </c>
      <c r="M57" s="21">
        <f>IF(A57="","",INDEX(Model!$T$5:$T$504,MATCH(ROWS($A$5:A57),Model!$AD$5:$AD$504,0)))</f>
        <v/>
      </c>
      <c r="N57" s="18">
        <f>IF(A57="","",INDEX(Model!$U$5:$U$504,MATCH(ROWS($A$5:A57),Model!$AD$5:$AD$504,0)))</f>
        <v/>
      </c>
      <c r="O57" s="18">
        <f>IF(A57="","",INDEX(Model!$V$5:$V$504,MATCH(ROWS($A$5:A57),Model!$AD$5:$AD$504,0)))</f>
        <v/>
      </c>
      <c r="P57" s="18">
        <f>IF(A57="","",INDEX(Model!$W$5:$W$504,MATCH(ROWS($A$5:A57),Model!$AD$5:$AD$504,0)))</f>
        <v/>
      </c>
      <c r="Q57" s="18">
        <f>IF(A57="","",INDEX(Model!$X$5:$X$504,MATCH(ROWS($A$5:A57),Model!$AD$5:$AD$504,0)))</f>
        <v/>
      </c>
      <c r="R57" s="18">
        <f>IF(A57="","",INDEX(Model!$Y$5:$Y$504,MATCH(ROWS($A$5:A57),Model!$AD$5:$AD$504,0)))</f>
        <v/>
      </c>
      <c r="S57" s="21">
        <f>IF(A57="","",INDEX(Model!$Z$5:$Z$504,MATCH(ROWS($A$5:A57),Model!$AD$5:$AD$504,0)))</f>
        <v/>
      </c>
      <c r="T57" s="18">
        <f>IF(A57="","",INDEX(Model!$AA$5:$AA$504,MATCH(ROWS($A$5:A57),Model!$AD$5:$AD$504,0)))</f>
        <v/>
      </c>
      <c r="U57" s="13" t="n"/>
      <c r="V57" s="13" t="n"/>
      <c r="W57" s="13" t="n"/>
    </row>
    <row r="58">
      <c r="A58" s="18">
        <f>IFERROR(INDEX(Model!$B$5:$B$504,MATCH(ROWS($A$5:A58),Model!$AD$5:$AD$504,0)),"")</f>
        <v/>
      </c>
      <c r="B58" s="18">
        <f>IF(A58="","",INDEX(Model!$C$5:$C$504,MATCH(ROWS($A$5:A58),Model!$AD$5:$AD$504,0)))</f>
        <v/>
      </c>
      <c r="C58" s="18">
        <f>IF(A58="","",INDEX(Model!$D$5:$D$504,MATCH(ROWS($A$5:A58),Model!$AD$5:$AD$504,0)))</f>
        <v/>
      </c>
      <c r="D58" s="18">
        <f>IF(A58="","",INDEX(Model!$E$5:$E$504,MATCH(ROWS($A$5:A58),Model!$AD$5:$AD$504,0)))</f>
        <v/>
      </c>
      <c r="E58" s="19">
        <f>IF(A58="","",INDEX(Model!$F$5:$F$504,MATCH(ROWS($A$5:A58),Model!$AD$5:$AD$504,0)))</f>
        <v/>
      </c>
      <c r="F58" s="19">
        <f>IF(A58="","",INDEX(Model!$G$5:$G$504,MATCH(ROWS($A$5:A58),Model!$AD$5:$AD$504,0)))</f>
        <v/>
      </c>
      <c r="G58" s="18">
        <f>IF(A58="","",INDEX(Model!$H$5:$H$504,MATCH(ROWS($A$5:A58),Model!$AD$5:$AD$504,0)))</f>
        <v/>
      </c>
      <c r="H58" s="18">
        <f>IF(A58="","",INDEX(Model!$L$5:$L$504,MATCH(ROWS($A$5:A58),Model!$AD$5:$AD$504,0)))</f>
        <v/>
      </c>
      <c r="I58" s="20">
        <f>IF(A58="","",INDEX(Model!$P$5:$P$504,MATCH(ROWS($A$5:A58),Model!$AD$5:$AD$504,0)))</f>
        <v/>
      </c>
      <c r="J58" s="20">
        <f>IF(A58="","",INDEX(Model!$Q$5:$Q$504,MATCH(ROWS($A$5:A58),Model!$AD$5:$AD$504,0)))</f>
        <v/>
      </c>
      <c r="K58" s="21">
        <f>IF(A58="","",INDEX(Model!$R$5:$R$504,MATCH(ROWS($A$5:A58),Model!$AD$5:$AD$504,0)))</f>
        <v/>
      </c>
      <c r="L58" s="20">
        <f>IF(A58="","",INDEX(Model!$S$5:$S$504,MATCH(ROWS($A$5:A58),Model!$AD$5:$AD$504,0)))</f>
        <v/>
      </c>
      <c r="M58" s="21">
        <f>IF(A58="","",INDEX(Model!$T$5:$T$504,MATCH(ROWS($A$5:A58),Model!$AD$5:$AD$504,0)))</f>
        <v/>
      </c>
      <c r="N58" s="18">
        <f>IF(A58="","",INDEX(Model!$U$5:$U$504,MATCH(ROWS($A$5:A58),Model!$AD$5:$AD$504,0)))</f>
        <v/>
      </c>
      <c r="O58" s="18">
        <f>IF(A58="","",INDEX(Model!$V$5:$V$504,MATCH(ROWS($A$5:A58),Model!$AD$5:$AD$504,0)))</f>
        <v/>
      </c>
      <c r="P58" s="18">
        <f>IF(A58="","",INDEX(Model!$W$5:$W$504,MATCH(ROWS($A$5:A58),Model!$AD$5:$AD$504,0)))</f>
        <v/>
      </c>
      <c r="Q58" s="18">
        <f>IF(A58="","",INDEX(Model!$X$5:$X$504,MATCH(ROWS($A$5:A58),Model!$AD$5:$AD$504,0)))</f>
        <v/>
      </c>
      <c r="R58" s="18">
        <f>IF(A58="","",INDEX(Model!$Y$5:$Y$504,MATCH(ROWS($A$5:A58),Model!$AD$5:$AD$504,0)))</f>
        <v/>
      </c>
      <c r="S58" s="21">
        <f>IF(A58="","",INDEX(Model!$Z$5:$Z$504,MATCH(ROWS($A$5:A58),Model!$AD$5:$AD$504,0)))</f>
        <v/>
      </c>
      <c r="T58" s="18">
        <f>IF(A58="","",INDEX(Model!$AA$5:$AA$504,MATCH(ROWS($A$5:A58),Model!$AD$5:$AD$504,0)))</f>
        <v/>
      </c>
      <c r="U58" s="13" t="n"/>
      <c r="V58" s="13" t="n"/>
      <c r="W58" s="13" t="n"/>
    </row>
    <row r="59">
      <c r="A59" s="18">
        <f>IFERROR(INDEX(Model!$B$5:$B$504,MATCH(ROWS($A$5:A59),Model!$AD$5:$AD$504,0)),"")</f>
        <v/>
      </c>
      <c r="B59" s="18">
        <f>IF(A59="","",INDEX(Model!$C$5:$C$504,MATCH(ROWS($A$5:A59),Model!$AD$5:$AD$504,0)))</f>
        <v/>
      </c>
      <c r="C59" s="18">
        <f>IF(A59="","",INDEX(Model!$D$5:$D$504,MATCH(ROWS($A$5:A59),Model!$AD$5:$AD$504,0)))</f>
        <v/>
      </c>
      <c r="D59" s="18">
        <f>IF(A59="","",INDEX(Model!$E$5:$E$504,MATCH(ROWS($A$5:A59),Model!$AD$5:$AD$504,0)))</f>
        <v/>
      </c>
      <c r="E59" s="19">
        <f>IF(A59="","",INDEX(Model!$F$5:$F$504,MATCH(ROWS($A$5:A59),Model!$AD$5:$AD$504,0)))</f>
        <v/>
      </c>
      <c r="F59" s="19">
        <f>IF(A59="","",INDEX(Model!$G$5:$G$504,MATCH(ROWS($A$5:A59),Model!$AD$5:$AD$504,0)))</f>
        <v/>
      </c>
      <c r="G59" s="18">
        <f>IF(A59="","",INDEX(Model!$H$5:$H$504,MATCH(ROWS($A$5:A59),Model!$AD$5:$AD$504,0)))</f>
        <v/>
      </c>
      <c r="H59" s="18">
        <f>IF(A59="","",INDEX(Model!$L$5:$L$504,MATCH(ROWS($A$5:A59),Model!$AD$5:$AD$504,0)))</f>
        <v/>
      </c>
      <c r="I59" s="20">
        <f>IF(A59="","",INDEX(Model!$P$5:$P$504,MATCH(ROWS($A$5:A59),Model!$AD$5:$AD$504,0)))</f>
        <v/>
      </c>
      <c r="J59" s="20">
        <f>IF(A59="","",INDEX(Model!$Q$5:$Q$504,MATCH(ROWS($A$5:A59),Model!$AD$5:$AD$504,0)))</f>
        <v/>
      </c>
      <c r="K59" s="21">
        <f>IF(A59="","",INDEX(Model!$R$5:$R$504,MATCH(ROWS($A$5:A59),Model!$AD$5:$AD$504,0)))</f>
        <v/>
      </c>
      <c r="L59" s="20">
        <f>IF(A59="","",INDEX(Model!$S$5:$S$504,MATCH(ROWS($A$5:A59),Model!$AD$5:$AD$504,0)))</f>
        <v/>
      </c>
      <c r="M59" s="21">
        <f>IF(A59="","",INDEX(Model!$T$5:$T$504,MATCH(ROWS($A$5:A59),Model!$AD$5:$AD$504,0)))</f>
        <v/>
      </c>
      <c r="N59" s="18">
        <f>IF(A59="","",INDEX(Model!$U$5:$U$504,MATCH(ROWS($A$5:A59),Model!$AD$5:$AD$504,0)))</f>
        <v/>
      </c>
      <c r="O59" s="18">
        <f>IF(A59="","",INDEX(Model!$V$5:$V$504,MATCH(ROWS($A$5:A59),Model!$AD$5:$AD$504,0)))</f>
        <v/>
      </c>
      <c r="P59" s="18">
        <f>IF(A59="","",INDEX(Model!$W$5:$W$504,MATCH(ROWS($A$5:A59),Model!$AD$5:$AD$504,0)))</f>
        <v/>
      </c>
      <c r="Q59" s="18">
        <f>IF(A59="","",INDEX(Model!$X$5:$X$504,MATCH(ROWS($A$5:A59),Model!$AD$5:$AD$504,0)))</f>
        <v/>
      </c>
      <c r="R59" s="18">
        <f>IF(A59="","",INDEX(Model!$Y$5:$Y$504,MATCH(ROWS($A$5:A59),Model!$AD$5:$AD$504,0)))</f>
        <v/>
      </c>
      <c r="S59" s="21">
        <f>IF(A59="","",INDEX(Model!$Z$5:$Z$504,MATCH(ROWS($A$5:A59),Model!$AD$5:$AD$504,0)))</f>
        <v/>
      </c>
      <c r="T59" s="18">
        <f>IF(A59="","",INDEX(Model!$AA$5:$AA$504,MATCH(ROWS($A$5:A59),Model!$AD$5:$AD$504,0)))</f>
        <v/>
      </c>
      <c r="U59" s="13" t="n"/>
      <c r="V59" s="13" t="n"/>
      <c r="W59" s="13" t="n"/>
    </row>
    <row r="60">
      <c r="A60" s="18">
        <f>IFERROR(INDEX(Model!$B$5:$B$504,MATCH(ROWS($A$5:A60),Model!$AD$5:$AD$504,0)),"")</f>
        <v/>
      </c>
      <c r="B60" s="18">
        <f>IF(A60="","",INDEX(Model!$C$5:$C$504,MATCH(ROWS($A$5:A60),Model!$AD$5:$AD$504,0)))</f>
        <v/>
      </c>
      <c r="C60" s="18">
        <f>IF(A60="","",INDEX(Model!$D$5:$D$504,MATCH(ROWS($A$5:A60),Model!$AD$5:$AD$504,0)))</f>
        <v/>
      </c>
      <c r="D60" s="18">
        <f>IF(A60="","",INDEX(Model!$E$5:$E$504,MATCH(ROWS($A$5:A60),Model!$AD$5:$AD$504,0)))</f>
        <v/>
      </c>
      <c r="E60" s="19">
        <f>IF(A60="","",INDEX(Model!$F$5:$F$504,MATCH(ROWS($A$5:A60),Model!$AD$5:$AD$504,0)))</f>
        <v/>
      </c>
      <c r="F60" s="19">
        <f>IF(A60="","",INDEX(Model!$G$5:$G$504,MATCH(ROWS($A$5:A60),Model!$AD$5:$AD$504,0)))</f>
        <v/>
      </c>
      <c r="G60" s="18">
        <f>IF(A60="","",INDEX(Model!$H$5:$H$504,MATCH(ROWS($A$5:A60),Model!$AD$5:$AD$504,0)))</f>
        <v/>
      </c>
      <c r="H60" s="18">
        <f>IF(A60="","",INDEX(Model!$L$5:$L$504,MATCH(ROWS($A$5:A60),Model!$AD$5:$AD$504,0)))</f>
        <v/>
      </c>
      <c r="I60" s="20">
        <f>IF(A60="","",INDEX(Model!$P$5:$P$504,MATCH(ROWS($A$5:A60),Model!$AD$5:$AD$504,0)))</f>
        <v/>
      </c>
      <c r="J60" s="20">
        <f>IF(A60="","",INDEX(Model!$Q$5:$Q$504,MATCH(ROWS($A$5:A60),Model!$AD$5:$AD$504,0)))</f>
        <v/>
      </c>
      <c r="K60" s="21">
        <f>IF(A60="","",INDEX(Model!$R$5:$R$504,MATCH(ROWS($A$5:A60),Model!$AD$5:$AD$504,0)))</f>
        <v/>
      </c>
      <c r="L60" s="20">
        <f>IF(A60="","",INDEX(Model!$S$5:$S$504,MATCH(ROWS($A$5:A60),Model!$AD$5:$AD$504,0)))</f>
        <v/>
      </c>
      <c r="M60" s="21">
        <f>IF(A60="","",INDEX(Model!$T$5:$T$504,MATCH(ROWS($A$5:A60),Model!$AD$5:$AD$504,0)))</f>
        <v/>
      </c>
      <c r="N60" s="18">
        <f>IF(A60="","",INDEX(Model!$U$5:$U$504,MATCH(ROWS($A$5:A60),Model!$AD$5:$AD$504,0)))</f>
        <v/>
      </c>
      <c r="O60" s="18">
        <f>IF(A60="","",INDEX(Model!$V$5:$V$504,MATCH(ROWS($A$5:A60),Model!$AD$5:$AD$504,0)))</f>
        <v/>
      </c>
      <c r="P60" s="18">
        <f>IF(A60="","",INDEX(Model!$W$5:$W$504,MATCH(ROWS($A$5:A60),Model!$AD$5:$AD$504,0)))</f>
        <v/>
      </c>
      <c r="Q60" s="18">
        <f>IF(A60="","",INDEX(Model!$X$5:$X$504,MATCH(ROWS($A$5:A60),Model!$AD$5:$AD$504,0)))</f>
        <v/>
      </c>
      <c r="R60" s="18">
        <f>IF(A60="","",INDEX(Model!$Y$5:$Y$504,MATCH(ROWS($A$5:A60),Model!$AD$5:$AD$504,0)))</f>
        <v/>
      </c>
      <c r="S60" s="21">
        <f>IF(A60="","",INDEX(Model!$Z$5:$Z$504,MATCH(ROWS($A$5:A60),Model!$AD$5:$AD$504,0)))</f>
        <v/>
      </c>
      <c r="T60" s="18">
        <f>IF(A60="","",INDEX(Model!$AA$5:$AA$504,MATCH(ROWS($A$5:A60),Model!$AD$5:$AD$504,0)))</f>
        <v/>
      </c>
      <c r="U60" s="13" t="n"/>
      <c r="V60" s="13" t="n"/>
      <c r="W60" s="13" t="n"/>
    </row>
    <row r="61">
      <c r="A61" s="18">
        <f>IFERROR(INDEX(Model!$B$5:$B$504,MATCH(ROWS($A$5:A61),Model!$AD$5:$AD$504,0)),"")</f>
        <v/>
      </c>
      <c r="B61" s="18">
        <f>IF(A61="","",INDEX(Model!$C$5:$C$504,MATCH(ROWS($A$5:A61),Model!$AD$5:$AD$504,0)))</f>
        <v/>
      </c>
      <c r="C61" s="18">
        <f>IF(A61="","",INDEX(Model!$D$5:$D$504,MATCH(ROWS($A$5:A61),Model!$AD$5:$AD$504,0)))</f>
        <v/>
      </c>
      <c r="D61" s="18">
        <f>IF(A61="","",INDEX(Model!$E$5:$E$504,MATCH(ROWS($A$5:A61),Model!$AD$5:$AD$504,0)))</f>
        <v/>
      </c>
      <c r="E61" s="19">
        <f>IF(A61="","",INDEX(Model!$F$5:$F$504,MATCH(ROWS($A$5:A61),Model!$AD$5:$AD$504,0)))</f>
        <v/>
      </c>
      <c r="F61" s="19">
        <f>IF(A61="","",INDEX(Model!$G$5:$G$504,MATCH(ROWS($A$5:A61),Model!$AD$5:$AD$504,0)))</f>
        <v/>
      </c>
      <c r="G61" s="18">
        <f>IF(A61="","",INDEX(Model!$H$5:$H$504,MATCH(ROWS($A$5:A61),Model!$AD$5:$AD$504,0)))</f>
        <v/>
      </c>
      <c r="H61" s="18">
        <f>IF(A61="","",INDEX(Model!$L$5:$L$504,MATCH(ROWS($A$5:A61),Model!$AD$5:$AD$504,0)))</f>
        <v/>
      </c>
      <c r="I61" s="20">
        <f>IF(A61="","",INDEX(Model!$P$5:$P$504,MATCH(ROWS($A$5:A61),Model!$AD$5:$AD$504,0)))</f>
        <v/>
      </c>
      <c r="J61" s="20">
        <f>IF(A61="","",INDEX(Model!$Q$5:$Q$504,MATCH(ROWS($A$5:A61),Model!$AD$5:$AD$504,0)))</f>
        <v/>
      </c>
      <c r="K61" s="21">
        <f>IF(A61="","",INDEX(Model!$R$5:$R$504,MATCH(ROWS($A$5:A61),Model!$AD$5:$AD$504,0)))</f>
        <v/>
      </c>
      <c r="L61" s="20">
        <f>IF(A61="","",INDEX(Model!$S$5:$S$504,MATCH(ROWS($A$5:A61),Model!$AD$5:$AD$504,0)))</f>
        <v/>
      </c>
      <c r="M61" s="21">
        <f>IF(A61="","",INDEX(Model!$T$5:$T$504,MATCH(ROWS($A$5:A61),Model!$AD$5:$AD$504,0)))</f>
        <v/>
      </c>
      <c r="N61" s="18">
        <f>IF(A61="","",INDEX(Model!$U$5:$U$504,MATCH(ROWS($A$5:A61),Model!$AD$5:$AD$504,0)))</f>
        <v/>
      </c>
      <c r="O61" s="18">
        <f>IF(A61="","",INDEX(Model!$V$5:$V$504,MATCH(ROWS($A$5:A61),Model!$AD$5:$AD$504,0)))</f>
        <v/>
      </c>
      <c r="P61" s="18">
        <f>IF(A61="","",INDEX(Model!$W$5:$W$504,MATCH(ROWS($A$5:A61),Model!$AD$5:$AD$504,0)))</f>
        <v/>
      </c>
      <c r="Q61" s="18">
        <f>IF(A61="","",INDEX(Model!$X$5:$X$504,MATCH(ROWS($A$5:A61),Model!$AD$5:$AD$504,0)))</f>
        <v/>
      </c>
      <c r="R61" s="18">
        <f>IF(A61="","",INDEX(Model!$Y$5:$Y$504,MATCH(ROWS($A$5:A61),Model!$AD$5:$AD$504,0)))</f>
        <v/>
      </c>
      <c r="S61" s="21">
        <f>IF(A61="","",INDEX(Model!$Z$5:$Z$504,MATCH(ROWS($A$5:A61),Model!$AD$5:$AD$504,0)))</f>
        <v/>
      </c>
      <c r="T61" s="18">
        <f>IF(A61="","",INDEX(Model!$AA$5:$AA$504,MATCH(ROWS($A$5:A61),Model!$AD$5:$AD$504,0)))</f>
        <v/>
      </c>
      <c r="U61" s="13" t="n"/>
      <c r="V61" s="13" t="n"/>
      <c r="W61" s="13" t="n"/>
    </row>
    <row r="62">
      <c r="A62" s="18">
        <f>IFERROR(INDEX(Model!$B$5:$B$504,MATCH(ROWS($A$5:A62),Model!$AD$5:$AD$504,0)),"")</f>
        <v/>
      </c>
      <c r="B62" s="18">
        <f>IF(A62="","",INDEX(Model!$C$5:$C$504,MATCH(ROWS($A$5:A62),Model!$AD$5:$AD$504,0)))</f>
        <v/>
      </c>
      <c r="C62" s="18">
        <f>IF(A62="","",INDEX(Model!$D$5:$D$504,MATCH(ROWS($A$5:A62),Model!$AD$5:$AD$504,0)))</f>
        <v/>
      </c>
      <c r="D62" s="18">
        <f>IF(A62="","",INDEX(Model!$E$5:$E$504,MATCH(ROWS($A$5:A62),Model!$AD$5:$AD$504,0)))</f>
        <v/>
      </c>
      <c r="E62" s="19">
        <f>IF(A62="","",INDEX(Model!$F$5:$F$504,MATCH(ROWS($A$5:A62),Model!$AD$5:$AD$504,0)))</f>
        <v/>
      </c>
      <c r="F62" s="19">
        <f>IF(A62="","",INDEX(Model!$G$5:$G$504,MATCH(ROWS($A$5:A62),Model!$AD$5:$AD$504,0)))</f>
        <v/>
      </c>
      <c r="G62" s="18">
        <f>IF(A62="","",INDEX(Model!$H$5:$H$504,MATCH(ROWS($A$5:A62),Model!$AD$5:$AD$504,0)))</f>
        <v/>
      </c>
      <c r="H62" s="18">
        <f>IF(A62="","",INDEX(Model!$L$5:$L$504,MATCH(ROWS($A$5:A62),Model!$AD$5:$AD$504,0)))</f>
        <v/>
      </c>
      <c r="I62" s="20">
        <f>IF(A62="","",INDEX(Model!$P$5:$P$504,MATCH(ROWS($A$5:A62),Model!$AD$5:$AD$504,0)))</f>
        <v/>
      </c>
      <c r="J62" s="20">
        <f>IF(A62="","",INDEX(Model!$Q$5:$Q$504,MATCH(ROWS($A$5:A62),Model!$AD$5:$AD$504,0)))</f>
        <v/>
      </c>
      <c r="K62" s="21">
        <f>IF(A62="","",INDEX(Model!$R$5:$R$504,MATCH(ROWS($A$5:A62),Model!$AD$5:$AD$504,0)))</f>
        <v/>
      </c>
      <c r="L62" s="20">
        <f>IF(A62="","",INDEX(Model!$S$5:$S$504,MATCH(ROWS($A$5:A62),Model!$AD$5:$AD$504,0)))</f>
        <v/>
      </c>
      <c r="M62" s="21">
        <f>IF(A62="","",INDEX(Model!$T$5:$T$504,MATCH(ROWS($A$5:A62),Model!$AD$5:$AD$504,0)))</f>
        <v/>
      </c>
      <c r="N62" s="18">
        <f>IF(A62="","",INDEX(Model!$U$5:$U$504,MATCH(ROWS($A$5:A62),Model!$AD$5:$AD$504,0)))</f>
        <v/>
      </c>
      <c r="O62" s="18">
        <f>IF(A62="","",INDEX(Model!$V$5:$V$504,MATCH(ROWS($A$5:A62),Model!$AD$5:$AD$504,0)))</f>
        <v/>
      </c>
      <c r="P62" s="18">
        <f>IF(A62="","",INDEX(Model!$W$5:$W$504,MATCH(ROWS($A$5:A62),Model!$AD$5:$AD$504,0)))</f>
        <v/>
      </c>
      <c r="Q62" s="18">
        <f>IF(A62="","",INDEX(Model!$X$5:$X$504,MATCH(ROWS($A$5:A62),Model!$AD$5:$AD$504,0)))</f>
        <v/>
      </c>
      <c r="R62" s="18">
        <f>IF(A62="","",INDEX(Model!$Y$5:$Y$504,MATCH(ROWS($A$5:A62),Model!$AD$5:$AD$504,0)))</f>
        <v/>
      </c>
      <c r="S62" s="21">
        <f>IF(A62="","",INDEX(Model!$Z$5:$Z$504,MATCH(ROWS($A$5:A62),Model!$AD$5:$AD$504,0)))</f>
        <v/>
      </c>
      <c r="T62" s="18">
        <f>IF(A62="","",INDEX(Model!$AA$5:$AA$504,MATCH(ROWS($A$5:A62),Model!$AD$5:$AD$504,0)))</f>
        <v/>
      </c>
      <c r="U62" s="13" t="n"/>
      <c r="V62" s="13" t="n"/>
      <c r="W62" s="13" t="n"/>
    </row>
    <row r="63">
      <c r="A63" s="18">
        <f>IFERROR(INDEX(Model!$B$5:$B$504,MATCH(ROWS($A$5:A63),Model!$AD$5:$AD$504,0)),"")</f>
        <v/>
      </c>
      <c r="B63" s="18">
        <f>IF(A63="","",INDEX(Model!$C$5:$C$504,MATCH(ROWS($A$5:A63),Model!$AD$5:$AD$504,0)))</f>
        <v/>
      </c>
      <c r="C63" s="18">
        <f>IF(A63="","",INDEX(Model!$D$5:$D$504,MATCH(ROWS($A$5:A63),Model!$AD$5:$AD$504,0)))</f>
        <v/>
      </c>
      <c r="D63" s="18">
        <f>IF(A63="","",INDEX(Model!$E$5:$E$504,MATCH(ROWS($A$5:A63),Model!$AD$5:$AD$504,0)))</f>
        <v/>
      </c>
      <c r="E63" s="19">
        <f>IF(A63="","",INDEX(Model!$F$5:$F$504,MATCH(ROWS($A$5:A63),Model!$AD$5:$AD$504,0)))</f>
        <v/>
      </c>
      <c r="F63" s="19">
        <f>IF(A63="","",INDEX(Model!$G$5:$G$504,MATCH(ROWS($A$5:A63),Model!$AD$5:$AD$504,0)))</f>
        <v/>
      </c>
      <c r="G63" s="18">
        <f>IF(A63="","",INDEX(Model!$H$5:$H$504,MATCH(ROWS($A$5:A63),Model!$AD$5:$AD$504,0)))</f>
        <v/>
      </c>
      <c r="H63" s="18">
        <f>IF(A63="","",INDEX(Model!$L$5:$L$504,MATCH(ROWS($A$5:A63),Model!$AD$5:$AD$504,0)))</f>
        <v/>
      </c>
      <c r="I63" s="20">
        <f>IF(A63="","",INDEX(Model!$P$5:$P$504,MATCH(ROWS($A$5:A63),Model!$AD$5:$AD$504,0)))</f>
        <v/>
      </c>
      <c r="J63" s="20">
        <f>IF(A63="","",INDEX(Model!$Q$5:$Q$504,MATCH(ROWS($A$5:A63),Model!$AD$5:$AD$504,0)))</f>
        <v/>
      </c>
      <c r="K63" s="21">
        <f>IF(A63="","",INDEX(Model!$R$5:$R$504,MATCH(ROWS($A$5:A63),Model!$AD$5:$AD$504,0)))</f>
        <v/>
      </c>
      <c r="L63" s="20">
        <f>IF(A63="","",INDEX(Model!$S$5:$S$504,MATCH(ROWS($A$5:A63),Model!$AD$5:$AD$504,0)))</f>
        <v/>
      </c>
      <c r="M63" s="21">
        <f>IF(A63="","",INDEX(Model!$T$5:$T$504,MATCH(ROWS($A$5:A63),Model!$AD$5:$AD$504,0)))</f>
        <v/>
      </c>
      <c r="N63" s="18">
        <f>IF(A63="","",INDEX(Model!$U$5:$U$504,MATCH(ROWS($A$5:A63),Model!$AD$5:$AD$504,0)))</f>
        <v/>
      </c>
      <c r="O63" s="18">
        <f>IF(A63="","",INDEX(Model!$V$5:$V$504,MATCH(ROWS($A$5:A63),Model!$AD$5:$AD$504,0)))</f>
        <v/>
      </c>
      <c r="P63" s="18">
        <f>IF(A63="","",INDEX(Model!$W$5:$W$504,MATCH(ROWS($A$5:A63),Model!$AD$5:$AD$504,0)))</f>
        <v/>
      </c>
      <c r="Q63" s="18">
        <f>IF(A63="","",INDEX(Model!$X$5:$X$504,MATCH(ROWS($A$5:A63),Model!$AD$5:$AD$504,0)))</f>
        <v/>
      </c>
      <c r="R63" s="18">
        <f>IF(A63="","",INDEX(Model!$Y$5:$Y$504,MATCH(ROWS($A$5:A63),Model!$AD$5:$AD$504,0)))</f>
        <v/>
      </c>
      <c r="S63" s="21">
        <f>IF(A63="","",INDEX(Model!$Z$5:$Z$504,MATCH(ROWS($A$5:A63),Model!$AD$5:$AD$504,0)))</f>
        <v/>
      </c>
      <c r="T63" s="18">
        <f>IF(A63="","",INDEX(Model!$AA$5:$AA$504,MATCH(ROWS($A$5:A63),Model!$AD$5:$AD$504,0)))</f>
        <v/>
      </c>
      <c r="U63" s="13" t="n"/>
      <c r="V63" s="13" t="n"/>
      <c r="W63" s="13" t="n"/>
    </row>
    <row r="64">
      <c r="A64" s="18">
        <f>IFERROR(INDEX(Model!$B$5:$B$504,MATCH(ROWS($A$5:A64),Model!$AD$5:$AD$504,0)),"")</f>
        <v/>
      </c>
      <c r="B64" s="18">
        <f>IF(A64="","",INDEX(Model!$C$5:$C$504,MATCH(ROWS($A$5:A64),Model!$AD$5:$AD$504,0)))</f>
        <v/>
      </c>
      <c r="C64" s="18">
        <f>IF(A64="","",INDEX(Model!$D$5:$D$504,MATCH(ROWS($A$5:A64),Model!$AD$5:$AD$504,0)))</f>
        <v/>
      </c>
      <c r="D64" s="18">
        <f>IF(A64="","",INDEX(Model!$E$5:$E$504,MATCH(ROWS($A$5:A64),Model!$AD$5:$AD$504,0)))</f>
        <v/>
      </c>
      <c r="E64" s="19">
        <f>IF(A64="","",INDEX(Model!$F$5:$F$504,MATCH(ROWS($A$5:A64),Model!$AD$5:$AD$504,0)))</f>
        <v/>
      </c>
      <c r="F64" s="19">
        <f>IF(A64="","",INDEX(Model!$G$5:$G$504,MATCH(ROWS($A$5:A64),Model!$AD$5:$AD$504,0)))</f>
        <v/>
      </c>
      <c r="G64" s="18">
        <f>IF(A64="","",INDEX(Model!$H$5:$H$504,MATCH(ROWS($A$5:A64),Model!$AD$5:$AD$504,0)))</f>
        <v/>
      </c>
      <c r="H64" s="18">
        <f>IF(A64="","",INDEX(Model!$L$5:$L$504,MATCH(ROWS($A$5:A64),Model!$AD$5:$AD$504,0)))</f>
        <v/>
      </c>
      <c r="I64" s="20">
        <f>IF(A64="","",INDEX(Model!$P$5:$P$504,MATCH(ROWS($A$5:A64),Model!$AD$5:$AD$504,0)))</f>
        <v/>
      </c>
      <c r="J64" s="20">
        <f>IF(A64="","",INDEX(Model!$Q$5:$Q$504,MATCH(ROWS($A$5:A64),Model!$AD$5:$AD$504,0)))</f>
        <v/>
      </c>
      <c r="K64" s="21">
        <f>IF(A64="","",INDEX(Model!$R$5:$R$504,MATCH(ROWS($A$5:A64),Model!$AD$5:$AD$504,0)))</f>
        <v/>
      </c>
      <c r="L64" s="20">
        <f>IF(A64="","",INDEX(Model!$S$5:$S$504,MATCH(ROWS($A$5:A64),Model!$AD$5:$AD$504,0)))</f>
        <v/>
      </c>
      <c r="M64" s="21">
        <f>IF(A64="","",INDEX(Model!$T$5:$T$504,MATCH(ROWS($A$5:A64),Model!$AD$5:$AD$504,0)))</f>
        <v/>
      </c>
      <c r="N64" s="18">
        <f>IF(A64="","",INDEX(Model!$U$5:$U$504,MATCH(ROWS($A$5:A64),Model!$AD$5:$AD$504,0)))</f>
        <v/>
      </c>
      <c r="O64" s="18">
        <f>IF(A64="","",INDEX(Model!$V$5:$V$504,MATCH(ROWS($A$5:A64),Model!$AD$5:$AD$504,0)))</f>
        <v/>
      </c>
      <c r="P64" s="18">
        <f>IF(A64="","",INDEX(Model!$W$5:$W$504,MATCH(ROWS($A$5:A64),Model!$AD$5:$AD$504,0)))</f>
        <v/>
      </c>
      <c r="Q64" s="18">
        <f>IF(A64="","",INDEX(Model!$X$5:$X$504,MATCH(ROWS($A$5:A64),Model!$AD$5:$AD$504,0)))</f>
        <v/>
      </c>
      <c r="R64" s="18">
        <f>IF(A64="","",INDEX(Model!$Y$5:$Y$504,MATCH(ROWS($A$5:A64),Model!$AD$5:$AD$504,0)))</f>
        <v/>
      </c>
      <c r="S64" s="21">
        <f>IF(A64="","",INDEX(Model!$Z$5:$Z$504,MATCH(ROWS($A$5:A64),Model!$AD$5:$AD$504,0)))</f>
        <v/>
      </c>
      <c r="T64" s="18">
        <f>IF(A64="","",INDEX(Model!$AA$5:$AA$504,MATCH(ROWS($A$5:A64),Model!$AD$5:$AD$504,0)))</f>
        <v/>
      </c>
      <c r="U64" s="13" t="n"/>
      <c r="V64" s="13" t="n"/>
      <c r="W64" s="13" t="n"/>
    </row>
    <row r="65">
      <c r="A65" s="18">
        <f>IFERROR(INDEX(Model!$B$5:$B$504,MATCH(ROWS($A$5:A65),Model!$AD$5:$AD$504,0)),"")</f>
        <v/>
      </c>
      <c r="B65" s="18">
        <f>IF(A65="","",INDEX(Model!$C$5:$C$504,MATCH(ROWS($A$5:A65),Model!$AD$5:$AD$504,0)))</f>
        <v/>
      </c>
      <c r="C65" s="18">
        <f>IF(A65="","",INDEX(Model!$D$5:$D$504,MATCH(ROWS($A$5:A65),Model!$AD$5:$AD$504,0)))</f>
        <v/>
      </c>
      <c r="D65" s="18">
        <f>IF(A65="","",INDEX(Model!$E$5:$E$504,MATCH(ROWS($A$5:A65),Model!$AD$5:$AD$504,0)))</f>
        <v/>
      </c>
      <c r="E65" s="19">
        <f>IF(A65="","",INDEX(Model!$F$5:$F$504,MATCH(ROWS($A$5:A65),Model!$AD$5:$AD$504,0)))</f>
        <v/>
      </c>
      <c r="F65" s="19">
        <f>IF(A65="","",INDEX(Model!$G$5:$G$504,MATCH(ROWS($A$5:A65),Model!$AD$5:$AD$504,0)))</f>
        <v/>
      </c>
      <c r="G65" s="18">
        <f>IF(A65="","",INDEX(Model!$H$5:$H$504,MATCH(ROWS($A$5:A65),Model!$AD$5:$AD$504,0)))</f>
        <v/>
      </c>
      <c r="H65" s="18">
        <f>IF(A65="","",INDEX(Model!$L$5:$L$504,MATCH(ROWS($A$5:A65),Model!$AD$5:$AD$504,0)))</f>
        <v/>
      </c>
      <c r="I65" s="20">
        <f>IF(A65="","",INDEX(Model!$P$5:$P$504,MATCH(ROWS($A$5:A65),Model!$AD$5:$AD$504,0)))</f>
        <v/>
      </c>
      <c r="J65" s="20">
        <f>IF(A65="","",INDEX(Model!$Q$5:$Q$504,MATCH(ROWS($A$5:A65),Model!$AD$5:$AD$504,0)))</f>
        <v/>
      </c>
      <c r="K65" s="21">
        <f>IF(A65="","",INDEX(Model!$R$5:$R$504,MATCH(ROWS($A$5:A65),Model!$AD$5:$AD$504,0)))</f>
        <v/>
      </c>
      <c r="L65" s="20">
        <f>IF(A65="","",INDEX(Model!$S$5:$S$504,MATCH(ROWS($A$5:A65),Model!$AD$5:$AD$504,0)))</f>
        <v/>
      </c>
      <c r="M65" s="21">
        <f>IF(A65="","",INDEX(Model!$T$5:$T$504,MATCH(ROWS($A$5:A65),Model!$AD$5:$AD$504,0)))</f>
        <v/>
      </c>
      <c r="N65" s="18">
        <f>IF(A65="","",INDEX(Model!$U$5:$U$504,MATCH(ROWS($A$5:A65),Model!$AD$5:$AD$504,0)))</f>
        <v/>
      </c>
      <c r="O65" s="18">
        <f>IF(A65="","",INDEX(Model!$V$5:$V$504,MATCH(ROWS($A$5:A65),Model!$AD$5:$AD$504,0)))</f>
        <v/>
      </c>
      <c r="P65" s="18">
        <f>IF(A65="","",INDEX(Model!$W$5:$W$504,MATCH(ROWS($A$5:A65),Model!$AD$5:$AD$504,0)))</f>
        <v/>
      </c>
      <c r="Q65" s="18">
        <f>IF(A65="","",INDEX(Model!$X$5:$X$504,MATCH(ROWS($A$5:A65),Model!$AD$5:$AD$504,0)))</f>
        <v/>
      </c>
      <c r="R65" s="18">
        <f>IF(A65="","",INDEX(Model!$Y$5:$Y$504,MATCH(ROWS($A$5:A65),Model!$AD$5:$AD$504,0)))</f>
        <v/>
      </c>
      <c r="S65" s="21">
        <f>IF(A65="","",INDEX(Model!$Z$5:$Z$504,MATCH(ROWS($A$5:A65),Model!$AD$5:$AD$504,0)))</f>
        <v/>
      </c>
      <c r="T65" s="18">
        <f>IF(A65="","",INDEX(Model!$AA$5:$AA$504,MATCH(ROWS($A$5:A65),Model!$AD$5:$AD$504,0)))</f>
        <v/>
      </c>
      <c r="U65" s="13" t="n"/>
      <c r="V65" s="13" t="n"/>
      <c r="W65" s="13" t="n"/>
    </row>
    <row r="66">
      <c r="A66" s="18">
        <f>IFERROR(INDEX(Model!$B$5:$B$504,MATCH(ROWS($A$5:A66),Model!$AD$5:$AD$504,0)),"")</f>
        <v/>
      </c>
      <c r="B66" s="18">
        <f>IF(A66="","",INDEX(Model!$C$5:$C$504,MATCH(ROWS($A$5:A66),Model!$AD$5:$AD$504,0)))</f>
        <v/>
      </c>
      <c r="C66" s="18">
        <f>IF(A66="","",INDEX(Model!$D$5:$D$504,MATCH(ROWS($A$5:A66),Model!$AD$5:$AD$504,0)))</f>
        <v/>
      </c>
      <c r="D66" s="18">
        <f>IF(A66="","",INDEX(Model!$E$5:$E$504,MATCH(ROWS($A$5:A66),Model!$AD$5:$AD$504,0)))</f>
        <v/>
      </c>
      <c r="E66" s="19">
        <f>IF(A66="","",INDEX(Model!$F$5:$F$504,MATCH(ROWS($A$5:A66),Model!$AD$5:$AD$504,0)))</f>
        <v/>
      </c>
      <c r="F66" s="19">
        <f>IF(A66="","",INDEX(Model!$G$5:$G$504,MATCH(ROWS($A$5:A66),Model!$AD$5:$AD$504,0)))</f>
        <v/>
      </c>
      <c r="G66" s="18">
        <f>IF(A66="","",INDEX(Model!$H$5:$H$504,MATCH(ROWS($A$5:A66),Model!$AD$5:$AD$504,0)))</f>
        <v/>
      </c>
      <c r="H66" s="18">
        <f>IF(A66="","",INDEX(Model!$L$5:$L$504,MATCH(ROWS($A$5:A66),Model!$AD$5:$AD$504,0)))</f>
        <v/>
      </c>
      <c r="I66" s="20">
        <f>IF(A66="","",INDEX(Model!$P$5:$P$504,MATCH(ROWS($A$5:A66),Model!$AD$5:$AD$504,0)))</f>
        <v/>
      </c>
      <c r="J66" s="20">
        <f>IF(A66="","",INDEX(Model!$Q$5:$Q$504,MATCH(ROWS($A$5:A66),Model!$AD$5:$AD$504,0)))</f>
        <v/>
      </c>
      <c r="K66" s="21">
        <f>IF(A66="","",INDEX(Model!$R$5:$R$504,MATCH(ROWS($A$5:A66),Model!$AD$5:$AD$504,0)))</f>
        <v/>
      </c>
      <c r="L66" s="20">
        <f>IF(A66="","",INDEX(Model!$S$5:$S$504,MATCH(ROWS($A$5:A66),Model!$AD$5:$AD$504,0)))</f>
        <v/>
      </c>
      <c r="M66" s="21">
        <f>IF(A66="","",INDEX(Model!$T$5:$T$504,MATCH(ROWS($A$5:A66),Model!$AD$5:$AD$504,0)))</f>
        <v/>
      </c>
      <c r="N66" s="18">
        <f>IF(A66="","",INDEX(Model!$U$5:$U$504,MATCH(ROWS($A$5:A66),Model!$AD$5:$AD$504,0)))</f>
        <v/>
      </c>
      <c r="O66" s="18">
        <f>IF(A66="","",INDEX(Model!$V$5:$V$504,MATCH(ROWS($A$5:A66),Model!$AD$5:$AD$504,0)))</f>
        <v/>
      </c>
      <c r="P66" s="18">
        <f>IF(A66="","",INDEX(Model!$W$5:$W$504,MATCH(ROWS($A$5:A66),Model!$AD$5:$AD$504,0)))</f>
        <v/>
      </c>
      <c r="Q66" s="18">
        <f>IF(A66="","",INDEX(Model!$X$5:$X$504,MATCH(ROWS($A$5:A66),Model!$AD$5:$AD$504,0)))</f>
        <v/>
      </c>
      <c r="R66" s="18">
        <f>IF(A66="","",INDEX(Model!$Y$5:$Y$504,MATCH(ROWS($A$5:A66),Model!$AD$5:$AD$504,0)))</f>
        <v/>
      </c>
      <c r="S66" s="21">
        <f>IF(A66="","",INDEX(Model!$Z$5:$Z$504,MATCH(ROWS($A$5:A66),Model!$AD$5:$AD$504,0)))</f>
        <v/>
      </c>
      <c r="T66" s="18">
        <f>IF(A66="","",INDEX(Model!$AA$5:$AA$504,MATCH(ROWS($A$5:A66),Model!$AD$5:$AD$504,0)))</f>
        <v/>
      </c>
      <c r="U66" s="13" t="n"/>
      <c r="V66" s="13" t="n"/>
      <c r="W66" s="13" t="n"/>
    </row>
    <row r="67">
      <c r="A67" s="18">
        <f>IFERROR(INDEX(Model!$B$5:$B$504,MATCH(ROWS($A$5:A67),Model!$AD$5:$AD$504,0)),"")</f>
        <v/>
      </c>
      <c r="B67" s="18">
        <f>IF(A67="","",INDEX(Model!$C$5:$C$504,MATCH(ROWS($A$5:A67),Model!$AD$5:$AD$504,0)))</f>
        <v/>
      </c>
      <c r="C67" s="18">
        <f>IF(A67="","",INDEX(Model!$D$5:$D$504,MATCH(ROWS($A$5:A67),Model!$AD$5:$AD$504,0)))</f>
        <v/>
      </c>
      <c r="D67" s="18">
        <f>IF(A67="","",INDEX(Model!$E$5:$E$504,MATCH(ROWS($A$5:A67),Model!$AD$5:$AD$504,0)))</f>
        <v/>
      </c>
      <c r="E67" s="19">
        <f>IF(A67="","",INDEX(Model!$F$5:$F$504,MATCH(ROWS($A$5:A67),Model!$AD$5:$AD$504,0)))</f>
        <v/>
      </c>
      <c r="F67" s="19">
        <f>IF(A67="","",INDEX(Model!$G$5:$G$504,MATCH(ROWS($A$5:A67),Model!$AD$5:$AD$504,0)))</f>
        <v/>
      </c>
      <c r="G67" s="18">
        <f>IF(A67="","",INDEX(Model!$H$5:$H$504,MATCH(ROWS($A$5:A67),Model!$AD$5:$AD$504,0)))</f>
        <v/>
      </c>
      <c r="H67" s="18">
        <f>IF(A67="","",INDEX(Model!$L$5:$L$504,MATCH(ROWS($A$5:A67),Model!$AD$5:$AD$504,0)))</f>
        <v/>
      </c>
      <c r="I67" s="20">
        <f>IF(A67="","",INDEX(Model!$P$5:$P$504,MATCH(ROWS($A$5:A67),Model!$AD$5:$AD$504,0)))</f>
        <v/>
      </c>
      <c r="J67" s="20">
        <f>IF(A67="","",INDEX(Model!$Q$5:$Q$504,MATCH(ROWS($A$5:A67),Model!$AD$5:$AD$504,0)))</f>
        <v/>
      </c>
      <c r="K67" s="21">
        <f>IF(A67="","",INDEX(Model!$R$5:$R$504,MATCH(ROWS($A$5:A67),Model!$AD$5:$AD$504,0)))</f>
        <v/>
      </c>
      <c r="L67" s="20">
        <f>IF(A67="","",INDEX(Model!$S$5:$S$504,MATCH(ROWS($A$5:A67),Model!$AD$5:$AD$504,0)))</f>
        <v/>
      </c>
      <c r="M67" s="21">
        <f>IF(A67="","",INDEX(Model!$T$5:$T$504,MATCH(ROWS($A$5:A67),Model!$AD$5:$AD$504,0)))</f>
        <v/>
      </c>
      <c r="N67" s="18">
        <f>IF(A67="","",INDEX(Model!$U$5:$U$504,MATCH(ROWS($A$5:A67),Model!$AD$5:$AD$504,0)))</f>
        <v/>
      </c>
      <c r="O67" s="18">
        <f>IF(A67="","",INDEX(Model!$V$5:$V$504,MATCH(ROWS($A$5:A67),Model!$AD$5:$AD$504,0)))</f>
        <v/>
      </c>
      <c r="P67" s="18">
        <f>IF(A67="","",INDEX(Model!$W$5:$W$504,MATCH(ROWS($A$5:A67),Model!$AD$5:$AD$504,0)))</f>
        <v/>
      </c>
      <c r="Q67" s="18">
        <f>IF(A67="","",INDEX(Model!$X$5:$X$504,MATCH(ROWS($A$5:A67),Model!$AD$5:$AD$504,0)))</f>
        <v/>
      </c>
      <c r="R67" s="18">
        <f>IF(A67="","",INDEX(Model!$Y$5:$Y$504,MATCH(ROWS($A$5:A67),Model!$AD$5:$AD$504,0)))</f>
        <v/>
      </c>
      <c r="S67" s="21">
        <f>IF(A67="","",INDEX(Model!$Z$5:$Z$504,MATCH(ROWS($A$5:A67),Model!$AD$5:$AD$504,0)))</f>
        <v/>
      </c>
      <c r="T67" s="18">
        <f>IF(A67="","",INDEX(Model!$AA$5:$AA$504,MATCH(ROWS($A$5:A67),Model!$AD$5:$AD$504,0)))</f>
        <v/>
      </c>
      <c r="U67" s="13" t="n"/>
      <c r="V67" s="13" t="n"/>
      <c r="W67" s="13" t="n"/>
    </row>
    <row r="68">
      <c r="A68" s="18">
        <f>IFERROR(INDEX(Model!$B$5:$B$504,MATCH(ROWS($A$5:A68),Model!$AD$5:$AD$504,0)),"")</f>
        <v/>
      </c>
      <c r="B68" s="18">
        <f>IF(A68="","",INDEX(Model!$C$5:$C$504,MATCH(ROWS($A$5:A68),Model!$AD$5:$AD$504,0)))</f>
        <v/>
      </c>
      <c r="C68" s="18">
        <f>IF(A68="","",INDEX(Model!$D$5:$D$504,MATCH(ROWS($A$5:A68),Model!$AD$5:$AD$504,0)))</f>
        <v/>
      </c>
      <c r="D68" s="18">
        <f>IF(A68="","",INDEX(Model!$E$5:$E$504,MATCH(ROWS($A$5:A68),Model!$AD$5:$AD$504,0)))</f>
        <v/>
      </c>
      <c r="E68" s="19">
        <f>IF(A68="","",INDEX(Model!$F$5:$F$504,MATCH(ROWS($A$5:A68),Model!$AD$5:$AD$504,0)))</f>
        <v/>
      </c>
      <c r="F68" s="19">
        <f>IF(A68="","",INDEX(Model!$G$5:$G$504,MATCH(ROWS($A$5:A68),Model!$AD$5:$AD$504,0)))</f>
        <v/>
      </c>
      <c r="G68" s="18">
        <f>IF(A68="","",INDEX(Model!$H$5:$H$504,MATCH(ROWS($A$5:A68),Model!$AD$5:$AD$504,0)))</f>
        <v/>
      </c>
      <c r="H68" s="18">
        <f>IF(A68="","",INDEX(Model!$L$5:$L$504,MATCH(ROWS($A$5:A68),Model!$AD$5:$AD$504,0)))</f>
        <v/>
      </c>
      <c r="I68" s="20">
        <f>IF(A68="","",INDEX(Model!$P$5:$P$504,MATCH(ROWS($A$5:A68),Model!$AD$5:$AD$504,0)))</f>
        <v/>
      </c>
      <c r="J68" s="20">
        <f>IF(A68="","",INDEX(Model!$Q$5:$Q$504,MATCH(ROWS($A$5:A68),Model!$AD$5:$AD$504,0)))</f>
        <v/>
      </c>
      <c r="K68" s="21">
        <f>IF(A68="","",INDEX(Model!$R$5:$R$504,MATCH(ROWS($A$5:A68),Model!$AD$5:$AD$504,0)))</f>
        <v/>
      </c>
      <c r="L68" s="20">
        <f>IF(A68="","",INDEX(Model!$S$5:$S$504,MATCH(ROWS($A$5:A68),Model!$AD$5:$AD$504,0)))</f>
        <v/>
      </c>
      <c r="M68" s="21">
        <f>IF(A68="","",INDEX(Model!$T$5:$T$504,MATCH(ROWS($A$5:A68),Model!$AD$5:$AD$504,0)))</f>
        <v/>
      </c>
      <c r="N68" s="18">
        <f>IF(A68="","",INDEX(Model!$U$5:$U$504,MATCH(ROWS($A$5:A68),Model!$AD$5:$AD$504,0)))</f>
        <v/>
      </c>
      <c r="O68" s="18">
        <f>IF(A68="","",INDEX(Model!$V$5:$V$504,MATCH(ROWS($A$5:A68),Model!$AD$5:$AD$504,0)))</f>
        <v/>
      </c>
      <c r="P68" s="18">
        <f>IF(A68="","",INDEX(Model!$W$5:$W$504,MATCH(ROWS($A$5:A68),Model!$AD$5:$AD$504,0)))</f>
        <v/>
      </c>
      <c r="Q68" s="18">
        <f>IF(A68="","",INDEX(Model!$X$5:$X$504,MATCH(ROWS($A$5:A68),Model!$AD$5:$AD$504,0)))</f>
        <v/>
      </c>
      <c r="R68" s="18">
        <f>IF(A68="","",INDEX(Model!$Y$5:$Y$504,MATCH(ROWS($A$5:A68),Model!$AD$5:$AD$504,0)))</f>
        <v/>
      </c>
      <c r="S68" s="21">
        <f>IF(A68="","",INDEX(Model!$Z$5:$Z$504,MATCH(ROWS($A$5:A68),Model!$AD$5:$AD$504,0)))</f>
        <v/>
      </c>
      <c r="T68" s="18">
        <f>IF(A68="","",INDEX(Model!$AA$5:$AA$504,MATCH(ROWS($A$5:A68),Model!$AD$5:$AD$504,0)))</f>
        <v/>
      </c>
      <c r="U68" s="13" t="n"/>
      <c r="V68" s="13" t="n"/>
      <c r="W68" s="13" t="n"/>
    </row>
    <row r="69">
      <c r="A69" s="18">
        <f>IFERROR(INDEX(Model!$B$5:$B$504,MATCH(ROWS($A$5:A69),Model!$AD$5:$AD$504,0)),"")</f>
        <v/>
      </c>
      <c r="B69" s="18">
        <f>IF(A69="","",INDEX(Model!$C$5:$C$504,MATCH(ROWS($A$5:A69),Model!$AD$5:$AD$504,0)))</f>
        <v/>
      </c>
      <c r="C69" s="18">
        <f>IF(A69="","",INDEX(Model!$D$5:$D$504,MATCH(ROWS($A$5:A69),Model!$AD$5:$AD$504,0)))</f>
        <v/>
      </c>
      <c r="D69" s="18">
        <f>IF(A69="","",INDEX(Model!$E$5:$E$504,MATCH(ROWS($A$5:A69),Model!$AD$5:$AD$504,0)))</f>
        <v/>
      </c>
      <c r="E69" s="19">
        <f>IF(A69="","",INDEX(Model!$F$5:$F$504,MATCH(ROWS($A$5:A69),Model!$AD$5:$AD$504,0)))</f>
        <v/>
      </c>
      <c r="F69" s="19">
        <f>IF(A69="","",INDEX(Model!$G$5:$G$504,MATCH(ROWS($A$5:A69),Model!$AD$5:$AD$504,0)))</f>
        <v/>
      </c>
      <c r="G69" s="18">
        <f>IF(A69="","",INDEX(Model!$H$5:$H$504,MATCH(ROWS($A$5:A69),Model!$AD$5:$AD$504,0)))</f>
        <v/>
      </c>
      <c r="H69" s="18">
        <f>IF(A69="","",INDEX(Model!$L$5:$L$504,MATCH(ROWS($A$5:A69),Model!$AD$5:$AD$504,0)))</f>
        <v/>
      </c>
      <c r="I69" s="20">
        <f>IF(A69="","",INDEX(Model!$P$5:$P$504,MATCH(ROWS($A$5:A69),Model!$AD$5:$AD$504,0)))</f>
        <v/>
      </c>
      <c r="J69" s="20">
        <f>IF(A69="","",INDEX(Model!$Q$5:$Q$504,MATCH(ROWS($A$5:A69),Model!$AD$5:$AD$504,0)))</f>
        <v/>
      </c>
      <c r="K69" s="21">
        <f>IF(A69="","",INDEX(Model!$R$5:$R$504,MATCH(ROWS($A$5:A69),Model!$AD$5:$AD$504,0)))</f>
        <v/>
      </c>
      <c r="L69" s="20">
        <f>IF(A69="","",INDEX(Model!$S$5:$S$504,MATCH(ROWS($A$5:A69),Model!$AD$5:$AD$504,0)))</f>
        <v/>
      </c>
      <c r="M69" s="21">
        <f>IF(A69="","",INDEX(Model!$T$5:$T$504,MATCH(ROWS($A$5:A69),Model!$AD$5:$AD$504,0)))</f>
        <v/>
      </c>
      <c r="N69" s="18">
        <f>IF(A69="","",INDEX(Model!$U$5:$U$504,MATCH(ROWS($A$5:A69),Model!$AD$5:$AD$504,0)))</f>
        <v/>
      </c>
      <c r="O69" s="18">
        <f>IF(A69="","",INDEX(Model!$V$5:$V$504,MATCH(ROWS($A$5:A69),Model!$AD$5:$AD$504,0)))</f>
        <v/>
      </c>
      <c r="P69" s="18">
        <f>IF(A69="","",INDEX(Model!$W$5:$W$504,MATCH(ROWS($A$5:A69),Model!$AD$5:$AD$504,0)))</f>
        <v/>
      </c>
      <c r="Q69" s="18">
        <f>IF(A69="","",INDEX(Model!$X$5:$X$504,MATCH(ROWS($A$5:A69),Model!$AD$5:$AD$504,0)))</f>
        <v/>
      </c>
      <c r="R69" s="18">
        <f>IF(A69="","",INDEX(Model!$Y$5:$Y$504,MATCH(ROWS($A$5:A69),Model!$AD$5:$AD$504,0)))</f>
        <v/>
      </c>
      <c r="S69" s="21">
        <f>IF(A69="","",INDEX(Model!$Z$5:$Z$504,MATCH(ROWS($A$5:A69),Model!$AD$5:$AD$504,0)))</f>
        <v/>
      </c>
      <c r="T69" s="18">
        <f>IF(A69="","",INDEX(Model!$AA$5:$AA$504,MATCH(ROWS($A$5:A69),Model!$AD$5:$AD$504,0)))</f>
        <v/>
      </c>
      <c r="U69" s="13" t="n"/>
      <c r="V69" s="13" t="n"/>
      <c r="W69" s="13" t="n"/>
    </row>
    <row r="70">
      <c r="A70" s="18">
        <f>IFERROR(INDEX(Model!$B$5:$B$504,MATCH(ROWS($A$5:A70),Model!$AD$5:$AD$504,0)),"")</f>
        <v/>
      </c>
      <c r="B70" s="18">
        <f>IF(A70="","",INDEX(Model!$C$5:$C$504,MATCH(ROWS($A$5:A70),Model!$AD$5:$AD$504,0)))</f>
        <v/>
      </c>
      <c r="C70" s="18">
        <f>IF(A70="","",INDEX(Model!$D$5:$D$504,MATCH(ROWS($A$5:A70),Model!$AD$5:$AD$504,0)))</f>
        <v/>
      </c>
      <c r="D70" s="18">
        <f>IF(A70="","",INDEX(Model!$E$5:$E$504,MATCH(ROWS($A$5:A70),Model!$AD$5:$AD$504,0)))</f>
        <v/>
      </c>
      <c r="E70" s="19">
        <f>IF(A70="","",INDEX(Model!$F$5:$F$504,MATCH(ROWS($A$5:A70),Model!$AD$5:$AD$504,0)))</f>
        <v/>
      </c>
      <c r="F70" s="19">
        <f>IF(A70="","",INDEX(Model!$G$5:$G$504,MATCH(ROWS($A$5:A70),Model!$AD$5:$AD$504,0)))</f>
        <v/>
      </c>
      <c r="G70" s="18">
        <f>IF(A70="","",INDEX(Model!$H$5:$H$504,MATCH(ROWS($A$5:A70),Model!$AD$5:$AD$504,0)))</f>
        <v/>
      </c>
      <c r="H70" s="18">
        <f>IF(A70="","",INDEX(Model!$L$5:$L$504,MATCH(ROWS($A$5:A70),Model!$AD$5:$AD$504,0)))</f>
        <v/>
      </c>
      <c r="I70" s="20">
        <f>IF(A70="","",INDEX(Model!$P$5:$P$504,MATCH(ROWS($A$5:A70),Model!$AD$5:$AD$504,0)))</f>
        <v/>
      </c>
      <c r="J70" s="20">
        <f>IF(A70="","",INDEX(Model!$Q$5:$Q$504,MATCH(ROWS($A$5:A70),Model!$AD$5:$AD$504,0)))</f>
        <v/>
      </c>
      <c r="K70" s="21">
        <f>IF(A70="","",INDEX(Model!$R$5:$R$504,MATCH(ROWS($A$5:A70),Model!$AD$5:$AD$504,0)))</f>
        <v/>
      </c>
      <c r="L70" s="20">
        <f>IF(A70="","",INDEX(Model!$S$5:$S$504,MATCH(ROWS($A$5:A70),Model!$AD$5:$AD$504,0)))</f>
        <v/>
      </c>
      <c r="M70" s="21">
        <f>IF(A70="","",INDEX(Model!$T$5:$T$504,MATCH(ROWS($A$5:A70),Model!$AD$5:$AD$504,0)))</f>
        <v/>
      </c>
      <c r="N70" s="18">
        <f>IF(A70="","",INDEX(Model!$U$5:$U$504,MATCH(ROWS($A$5:A70),Model!$AD$5:$AD$504,0)))</f>
        <v/>
      </c>
      <c r="O70" s="18">
        <f>IF(A70="","",INDEX(Model!$V$5:$V$504,MATCH(ROWS($A$5:A70),Model!$AD$5:$AD$504,0)))</f>
        <v/>
      </c>
      <c r="P70" s="18">
        <f>IF(A70="","",INDEX(Model!$W$5:$W$504,MATCH(ROWS($A$5:A70),Model!$AD$5:$AD$504,0)))</f>
        <v/>
      </c>
      <c r="Q70" s="18">
        <f>IF(A70="","",INDEX(Model!$X$5:$X$504,MATCH(ROWS($A$5:A70),Model!$AD$5:$AD$504,0)))</f>
        <v/>
      </c>
      <c r="R70" s="18">
        <f>IF(A70="","",INDEX(Model!$Y$5:$Y$504,MATCH(ROWS($A$5:A70),Model!$AD$5:$AD$504,0)))</f>
        <v/>
      </c>
      <c r="S70" s="21">
        <f>IF(A70="","",INDEX(Model!$Z$5:$Z$504,MATCH(ROWS($A$5:A70),Model!$AD$5:$AD$504,0)))</f>
        <v/>
      </c>
      <c r="T70" s="18">
        <f>IF(A70="","",INDEX(Model!$AA$5:$AA$504,MATCH(ROWS($A$5:A70),Model!$AD$5:$AD$504,0)))</f>
        <v/>
      </c>
      <c r="U70" s="13" t="n"/>
      <c r="V70" s="13" t="n"/>
      <c r="W70" s="13" t="n"/>
    </row>
    <row r="71">
      <c r="A71" s="18">
        <f>IFERROR(INDEX(Model!$B$5:$B$504,MATCH(ROWS($A$5:A71),Model!$AD$5:$AD$504,0)),"")</f>
        <v/>
      </c>
      <c r="B71" s="18">
        <f>IF(A71="","",INDEX(Model!$C$5:$C$504,MATCH(ROWS($A$5:A71),Model!$AD$5:$AD$504,0)))</f>
        <v/>
      </c>
      <c r="C71" s="18">
        <f>IF(A71="","",INDEX(Model!$D$5:$D$504,MATCH(ROWS($A$5:A71),Model!$AD$5:$AD$504,0)))</f>
        <v/>
      </c>
      <c r="D71" s="18">
        <f>IF(A71="","",INDEX(Model!$E$5:$E$504,MATCH(ROWS($A$5:A71),Model!$AD$5:$AD$504,0)))</f>
        <v/>
      </c>
      <c r="E71" s="19">
        <f>IF(A71="","",INDEX(Model!$F$5:$F$504,MATCH(ROWS($A$5:A71),Model!$AD$5:$AD$504,0)))</f>
        <v/>
      </c>
      <c r="F71" s="19">
        <f>IF(A71="","",INDEX(Model!$G$5:$G$504,MATCH(ROWS($A$5:A71),Model!$AD$5:$AD$504,0)))</f>
        <v/>
      </c>
      <c r="G71" s="18">
        <f>IF(A71="","",INDEX(Model!$H$5:$H$504,MATCH(ROWS($A$5:A71),Model!$AD$5:$AD$504,0)))</f>
        <v/>
      </c>
      <c r="H71" s="18">
        <f>IF(A71="","",INDEX(Model!$L$5:$L$504,MATCH(ROWS($A$5:A71),Model!$AD$5:$AD$504,0)))</f>
        <v/>
      </c>
      <c r="I71" s="20">
        <f>IF(A71="","",INDEX(Model!$P$5:$P$504,MATCH(ROWS($A$5:A71),Model!$AD$5:$AD$504,0)))</f>
        <v/>
      </c>
      <c r="J71" s="20">
        <f>IF(A71="","",INDEX(Model!$Q$5:$Q$504,MATCH(ROWS($A$5:A71),Model!$AD$5:$AD$504,0)))</f>
        <v/>
      </c>
      <c r="K71" s="21">
        <f>IF(A71="","",INDEX(Model!$R$5:$R$504,MATCH(ROWS($A$5:A71),Model!$AD$5:$AD$504,0)))</f>
        <v/>
      </c>
      <c r="L71" s="20">
        <f>IF(A71="","",INDEX(Model!$S$5:$S$504,MATCH(ROWS($A$5:A71),Model!$AD$5:$AD$504,0)))</f>
        <v/>
      </c>
      <c r="M71" s="21">
        <f>IF(A71="","",INDEX(Model!$T$5:$T$504,MATCH(ROWS($A$5:A71),Model!$AD$5:$AD$504,0)))</f>
        <v/>
      </c>
      <c r="N71" s="18">
        <f>IF(A71="","",INDEX(Model!$U$5:$U$504,MATCH(ROWS($A$5:A71),Model!$AD$5:$AD$504,0)))</f>
        <v/>
      </c>
      <c r="O71" s="18">
        <f>IF(A71="","",INDEX(Model!$V$5:$V$504,MATCH(ROWS($A$5:A71),Model!$AD$5:$AD$504,0)))</f>
        <v/>
      </c>
      <c r="P71" s="18">
        <f>IF(A71="","",INDEX(Model!$W$5:$W$504,MATCH(ROWS($A$5:A71),Model!$AD$5:$AD$504,0)))</f>
        <v/>
      </c>
      <c r="Q71" s="18">
        <f>IF(A71="","",INDEX(Model!$X$5:$X$504,MATCH(ROWS($A$5:A71),Model!$AD$5:$AD$504,0)))</f>
        <v/>
      </c>
      <c r="R71" s="18">
        <f>IF(A71="","",INDEX(Model!$Y$5:$Y$504,MATCH(ROWS($A$5:A71),Model!$AD$5:$AD$504,0)))</f>
        <v/>
      </c>
      <c r="S71" s="21">
        <f>IF(A71="","",INDEX(Model!$Z$5:$Z$504,MATCH(ROWS($A$5:A71),Model!$AD$5:$AD$504,0)))</f>
        <v/>
      </c>
      <c r="T71" s="18">
        <f>IF(A71="","",INDEX(Model!$AA$5:$AA$504,MATCH(ROWS($A$5:A71),Model!$AD$5:$AD$504,0)))</f>
        <v/>
      </c>
      <c r="U71" s="13" t="n"/>
      <c r="V71" s="13" t="n"/>
      <c r="W71" s="13" t="n"/>
    </row>
    <row r="72">
      <c r="A72" s="18">
        <f>IFERROR(INDEX(Model!$B$5:$B$504,MATCH(ROWS($A$5:A72),Model!$AD$5:$AD$504,0)),"")</f>
        <v/>
      </c>
      <c r="B72" s="18">
        <f>IF(A72="","",INDEX(Model!$C$5:$C$504,MATCH(ROWS($A$5:A72),Model!$AD$5:$AD$504,0)))</f>
        <v/>
      </c>
      <c r="C72" s="18">
        <f>IF(A72="","",INDEX(Model!$D$5:$D$504,MATCH(ROWS($A$5:A72),Model!$AD$5:$AD$504,0)))</f>
        <v/>
      </c>
      <c r="D72" s="18">
        <f>IF(A72="","",INDEX(Model!$E$5:$E$504,MATCH(ROWS($A$5:A72),Model!$AD$5:$AD$504,0)))</f>
        <v/>
      </c>
      <c r="E72" s="19">
        <f>IF(A72="","",INDEX(Model!$F$5:$F$504,MATCH(ROWS($A$5:A72),Model!$AD$5:$AD$504,0)))</f>
        <v/>
      </c>
      <c r="F72" s="19">
        <f>IF(A72="","",INDEX(Model!$G$5:$G$504,MATCH(ROWS($A$5:A72),Model!$AD$5:$AD$504,0)))</f>
        <v/>
      </c>
      <c r="G72" s="18">
        <f>IF(A72="","",INDEX(Model!$H$5:$H$504,MATCH(ROWS($A$5:A72),Model!$AD$5:$AD$504,0)))</f>
        <v/>
      </c>
      <c r="H72" s="18">
        <f>IF(A72="","",INDEX(Model!$L$5:$L$504,MATCH(ROWS($A$5:A72),Model!$AD$5:$AD$504,0)))</f>
        <v/>
      </c>
      <c r="I72" s="20">
        <f>IF(A72="","",INDEX(Model!$P$5:$P$504,MATCH(ROWS($A$5:A72),Model!$AD$5:$AD$504,0)))</f>
        <v/>
      </c>
      <c r="J72" s="20">
        <f>IF(A72="","",INDEX(Model!$Q$5:$Q$504,MATCH(ROWS($A$5:A72),Model!$AD$5:$AD$504,0)))</f>
        <v/>
      </c>
      <c r="K72" s="21">
        <f>IF(A72="","",INDEX(Model!$R$5:$R$504,MATCH(ROWS($A$5:A72),Model!$AD$5:$AD$504,0)))</f>
        <v/>
      </c>
      <c r="L72" s="20">
        <f>IF(A72="","",INDEX(Model!$S$5:$S$504,MATCH(ROWS($A$5:A72),Model!$AD$5:$AD$504,0)))</f>
        <v/>
      </c>
      <c r="M72" s="21">
        <f>IF(A72="","",INDEX(Model!$T$5:$T$504,MATCH(ROWS($A$5:A72),Model!$AD$5:$AD$504,0)))</f>
        <v/>
      </c>
      <c r="N72" s="18">
        <f>IF(A72="","",INDEX(Model!$U$5:$U$504,MATCH(ROWS($A$5:A72),Model!$AD$5:$AD$504,0)))</f>
        <v/>
      </c>
      <c r="O72" s="18">
        <f>IF(A72="","",INDEX(Model!$V$5:$V$504,MATCH(ROWS($A$5:A72),Model!$AD$5:$AD$504,0)))</f>
        <v/>
      </c>
      <c r="P72" s="18">
        <f>IF(A72="","",INDEX(Model!$W$5:$W$504,MATCH(ROWS($A$5:A72),Model!$AD$5:$AD$504,0)))</f>
        <v/>
      </c>
      <c r="Q72" s="18">
        <f>IF(A72="","",INDEX(Model!$X$5:$X$504,MATCH(ROWS($A$5:A72),Model!$AD$5:$AD$504,0)))</f>
        <v/>
      </c>
      <c r="R72" s="18">
        <f>IF(A72="","",INDEX(Model!$Y$5:$Y$504,MATCH(ROWS($A$5:A72),Model!$AD$5:$AD$504,0)))</f>
        <v/>
      </c>
      <c r="S72" s="21">
        <f>IF(A72="","",INDEX(Model!$Z$5:$Z$504,MATCH(ROWS($A$5:A72),Model!$AD$5:$AD$504,0)))</f>
        <v/>
      </c>
      <c r="T72" s="18">
        <f>IF(A72="","",INDEX(Model!$AA$5:$AA$504,MATCH(ROWS($A$5:A72),Model!$AD$5:$AD$504,0)))</f>
        <v/>
      </c>
      <c r="U72" s="13" t="n"/>
      <c r="V72" s="13" t="n"/>
      <c r="W72" s="13" t="n"/>
    </row>
    <row r="73">
      <c r="A73" s="18">
        <f>IFERROR(INDEX(Model!$B$5:$B$504,MATCH(ROWS($A$5:A73),Model!$AD$5:$AD$504,0)),"")</f>
        <v/>
      </c>
      <c r="B73" s="18">
        <f>IF(A73="","",INDEX(Model!$C$5:$C$504,MATCH(ROWS($A$5:A73),Model!$AD$5:$AD$504,0)))</f>
        <v/>
      </c>
      <c r="C73" s="18">
        <f>IF(A73="","",INDEX(Model!$D$5:$D$504,MATCH(ROWS($A$5:A73),Model!$AD$5:$AD$504,0)))</f>
        <v/>
      </c>
      <c r="D73" s="18">
        <f>IF(A73="","",INDEX(Model!$E$5:$E$504,MATCH(ROWS($A$5:A73),Model!$AD$5:$AD$504,0)))</f>
        <v/>
      </c>
      <c r="E73" s="19">
        <f>IF(A73="","",INDEX(Model!$F$5:$F$504,MATCH(ROWS($A$5:A73),Model!$AD$5:$AD$504,0)))</f>
        <v/>
      </c>
      <c r="F73" s="19">
        <f>IF(A73="","",INDEX(Model!$G$5:$G$504,MATCH(ROWS($A$5:A73),Model!$AD$5:$AD$504,0)))</f>
        <v/>
      </c>
      <c r="G73" s="18">
        <f>IF(A73="","",INDEX(Model!$H$5:$H$504,MATCH(ROWS($A$5:A73),Model!$AD$5:$AD$504,0)))</f>
        <v/>
      </c>
      <c r="H73" s="18">
        <f>IF(A73="","",INDEX(Model!$L$5:$L$504,MATCH(ROWS($A$5:A73),Model!$AD$5:$AD$504,0)))</f>
        <v/>
      </c>
      <c r="I73" s="20">
        <f>IF(A73="","",INDEX(Model!$P$5:$P$504,MATCH(ROWS($A$5:A73),Model!$AD$5:$AD$504,0)))</f>
        <v/>
      </c>
      <c r="J73" s="20">
        <f>IF(A73="","",INDEX(Model!$Q$5:$Q$504,MATCH(ROWS($A$5:A73),Model!$AD$5:$AD$504,0)))</f>
        <v/>
      </c>
      <c r="K73" s="21">
        <f>IF(A73="","",INDEX(Model!$R$5:$R$504,MATCH(ROWS($A$5:A73),Model!$AD$5:$AD$504,0)))</f>
        <v/>
      </c>
      <c r="L73" s="20">
        <f>IF(A73="","",INDEX(Model!$S$5:$S$504,MATCH(ROWS($A$5:A73),Model!$AD$5:$AD$504,0)))</f>
        <v/>
      </c>
      <c r="M73" s="21">
        <f>IF(A73="","",INDEX(Model!$T$5:$T$504,MATCH(ROWS($A$5:A73),Model!$AD$5:$AD$504,0)))</f>
        <v/>
      </c>
      <c r="N73" s="18">
        <f>IF(A73="","",INDEX(Model!$U$5:$U$504,MATCH(ROWS($A$5:A73),Model!$AD$5:$AD$504,0)))</f>
        <v/>
      </c>
      <c r="O73" s="18">
        <f>IF(A73="","",INDEX(Model!$V$5:$V$504,MATCH(ROWS($A$5:A73),Model!$AD$5:$AD$504,0)))</f>
        <v/>
      </c>
      <c r="P73" s="18">
        <f>IF(A73="","",INDEX(Model!$W$5:$W$504,MATCH(ROWS($A$5:A73),Model!$AD$5:$AD$504,0)))</f>
        <v/>
      </c>
      <c r="Q73" s="18">
        <f>IF(A73="","",INDEX(Model!$X$5:$X$504,MATCH(ROWS($A$5:A73),Model!$AD$5:$AD$504,0)))</f>
        <v/>
      </c>
      <c r="R73" s="18">
        <f>IF(A73="","",INDEX(Model!$Y$5:$Y$504,MATCH(ROWS($A$5:A73),Model!$AD$5:$AD$504,0)))</f>
        <v/>
      </c>
      <c r="S73" s="21">
        <f>IF(A73="","",INDEX(Model!$Z$5:$Z$504,MATCH(ROWS($A$5:A73),Model!$AD$5:$AD$504,0)))</f>
        <v/>
      </c>
      <c r="T73" s="18">
        <f>IF(A73="","",INDEX(Model!$AA$5:$AA$504,MATCH(ROWS($A$5:A73),Model!$AD$5:$AD$504,0)))</f>
        <v/>
      </c>
      <c r="U73" s="13" t="n"/>
      <c r="V73" s="13" t="n"/>
      <c r="W73" s="13" t="n"/>
    </row>
    <row r="74">
      <c r="A74" s="18">
        <f>IFERROR(INDEX(Model!$B$5:$B$504,MATCH(ROWS($A$5:A74),Model!$AD$5:$AD$504,0)),"")</f>
        <v/>
      </c>
      <c r="B74" s="18">
        <f>IF(A74="","",INDEX(Model!$C$5:$C$504,MATCH(ROWS($A$5:A74),Model!$AD$5:$AD$504,0)))</f>
        <v/>
      </c>
      <c r="C74" s="18">
        <f>IF(A74="","",INDEX(Model!$D$5:$D$504,MATCH(ROWS($A$5:A74),Model!$AD$5:$AD$504,0)))</f>
        <v/>
      </c>
      <c r="D74" s="18">
        <f>IF(A74="","",INDEX(Model!$E$5:$E$504,MATCH(ROWS($A$5:A74),Model!$AD$5:$AD$504,0)))</f>
        <v/>
      </c>
      <c r="E74" s="19">
        <f>IF(A74="","",INDEX(Model!$F$5:$F$504,MATCH(ROWS($A$5:A74),Model!$AD$5:$AD$504,0)))</f>
        <v/>
      </c>
      <c r="F74" s="19">
        <f>IF(A74="","",INDEX(Model!$G$5:$G$504,MATCH(ROWS($A$5:A74),Model!$AD$5:$AD$504,0)))</f>
        <v/>
      </c>
      <c r="G74" s="18">
        <f>IF(A74="","",INDEX(Model!$H$5:$H$504,MATCH(ROWS($A$5:A74),Model!$AD$5:$AD$504,0)))</f>
        <v/>
      </c>
      <c r="H74" s="18">
        <f>IF(A74="","",INDEX(Model!$L$5:$L$504,MATCH(ROWS($A$5:A74),Model!$AD$5:$AD$504,0)))</f>
        <v/>
      </c>
      <c r="I74" s="20">
        <f>IF(A74="","",INDEX(Model!$P$5:$P$504,MATCH(ROWS($A$5:A74),Model!$AD$5:$AD$504,0)))</f>
        <v/>
      </c>
      <c r="J74" s="20">
        <f>IF(A74="","",INDEX(Model!$Q$5:$Q$504,MATCH(ROWS($A$5:A74),Model!$AD$5:$AD$504,0)))</f>
        <v/>
      </c>
      <c r="K74" s="21">
        <f>IF(A74="","",INDEX(Model!$R$5:$R$504,MATCH(ROWS($A$5:A74),Model!$AD$5:$AD$504,0)))</f>
        <v/>
      </c>
      <c r="L74" s="20">
        <f>IF(A74="","",INDEX(Model!$S$5:$S$504,MATCH(ROWS($A$5:A74),Model!$AD$5:$AD$504,0)))</f>
        <v/>
      </c>
      <c r="M74" s="21">
        <f>IF(A74="","",INDEX(Model!$T$5:$T$504,MATCH(ROWS($A$5:A74),Model!$AD$5:$AD$504,0)))</f>
        <v/>
      </c>
      <c r="N74" s="18">
        <f>IF(A74="","",INDEX(Model!$U$5:$U$504,MATCH(ROWS($A$5:A74),Model!$AD$5:$AD$504,0)))</f>
        <v/>
      </c>
      <c r="O74" s="18">
        <f>IF(A74="","",INDEX(Model!$V$5:$V$504,MATCH(ROWS($A$5:A74),Model!$AD$5:$AD$504,0)))</f>
        <v/>
      </c>
      <c r="P74" s="18">
        <f>IF(A74="","",INDEX(Model!$W$5:$W$504,MATCH(ROWS($A$5:A74),Model!$AD$5:$AD$504,0)))</f>
        <v/>
      </c>
      <c r="Q74" s="18">
        <f>IF(A74="","",INDEX(Model!$X$5:$X$504,MATCH(ROWS($A$5:A74),Model!$AD$5:$AD$504,0)))</f>
        <v/>
      </c>
      <c r="R74" s="18">
        <f>IF(A74="","",INDEX(Model!$Y$5:$Y$504,MATCH(ROWS($A$5:A74),Model!$AD$5:$AD$504,0)))</f>
        <v/>
      </c>
      <c r="S74" s="21">
        <f>IF(A74="","",INDEX(Model!$Z$5:$Z$504,MATCH(ROWS($A$5:A74),Model!$AD$5:$AD$504,0)))</f>
        <v/>
      </c>
      <c r="T74" s="18">
        <f>IF(A74="","",INDEX(Model!$AA$5:$AA$504,MATCH(ROWS($A$5:A74),Model!$AD$5:$AD$504,0)))</f>
        <v/>
      </c>
      <c r="U74" s="13" t="n"/>
      <c r="V74" s="13" t="n"/>
      <c r="W74" s="13" t="n"/>
    </row>
    <row r="75">
      <c r="A75" s="18">
        <f>IFERROR(INDEX(Model!$B$5:$B$504,MATCH(ROWS($A$5:A75),Model!$AD$5:$AD$504,0)),"")</f>
        <v/>
      </c>
      <c r="B75" s="18">
        <f>IF(A75="","",INDEX(Model!$C$5:$C$504,MATCH(ROWS($A$5:A75),Model!$AD$5:$AD$504,0)))</f>
        <v/>
      </c>
      <c r="C75" s="18">
        <f>IF(A75="","",INDEX(Model!$D$5:$D$504,MATCH(ROWS($A$5:A75),Model!$AD$5:$AD$504,0)))</f>
        <v/>
      </c>
      <c r="D75" s="18">
        <f>IF(A75="","",INDEX(Model!$E$5:$E$504,MATCH(ROWS($A$5:A75),Model!$AD$5:$AD$504,0)))</f>
        <v/>
      </c>
      <c r="E75" s="19">
        <f>IF(A75="","",INDEX(Model!$F$5:$F$504,MATCH(ROWS($A$5:A75),Model!$AD$5:$AD$504,0)))</f>
        <v/>
      </c>
      <c r="F75" s="19">
        <f>IF(A75="","",INDEX(Model!$G$5:$G$504,MATCH(ROWS($A$5:A75),Model!$AD$5:$AD$504,0)))</f>
        <v/>
      </c>
      <c r="G75" s="18">
        <f>IF(A75="","",INDEX(Model!$H$5:$H$504,MATCH(ROWS($A$5:A75),Model!$AD$5:$AD$504,0)))</f>
        <v/>
      </c>
      <c r="H75" s="18">
        <f>IF(A75="","",INDEX(Model!$L$5:$L$504,MATCH(ROWS($A$5:A75),Model!$AD$5:$AD$504,0)))</f>
        <v/>
      </c>
      <c r="I75" s="20">
        <f>IF(A75="","",INDEX(Model!$P$5:$P$504,MATCH(ROWS($A$5:A75),Model!$AD$5:$AD$504,0)))</f>
        <v/>
      </c>
      <c r="J75" s="20">
        <f>IF(A75="","",INDEX(Model!$Q$5:$Q$504,MATCH(ROWS($A$5:A75),Model!$AD$5:$AD$504,0)))</f>
        <v/>
      </c>
      <c r="K75" s="21">
        <f>IF(A75="","",INDEX(Model!$R$5:$R$504,MATCH(ROWS($A$5:A75),Model!$AD$5:$AD$504,0)))</f>
        <v/>
      </c>
      <c r="L75" s="20">
        <f>IF(A75="","",INDEX(Model!$S$5:$S$504,MATCH(ROWS($A$5:A75),Model!$AD$5:$AD$504,0)))</f>
        <v/>
      </c>
      <c r="M75" s="21">
        <f>IF(A75="","",INDEX(Model!$T$5:$T$504,MATCH(ROWS($A$5:A75),Model!$AD$5:$AD$504,0)))</f>
        <v/>
      </c>
      <c r="N75" s="18">
        <f>IF(A75="","",INDEX(Model!$U$5:$U$504,MATCH(ROWS($A$5:A75),Model!$AD$5:$AD$504,0)))</f>
        <v/>
      </c>
      <c r="O75" s="18">
        <f>IF(A75="","",INDEX(Model!$V$5:$V$504,MATCH(ROWS($A$5:A75),Model!$AD$5:$AD$504,0)))</f>
        <v/>
      </c>
      <c r="P75" s="18">
        <f>IF(A75="","",INDEX(Model!$W$5:$W$504,MATCH(ROWS($A$5:A75),Model!$AD$5:$AD$504,0)))</f>
        <v/>
      </c>
      <c r="Q75" s="18">
        <f>IF(A75="","",INDEX(Model!$X$5:$X$504,MATCH(ROWS($A$5:A75),Model!$AD$5:$AD$504,0)))</f>
        <v/>
      </c>
      <c r="R75" s="18">
        <f>IF(A75="","",INDEX(Model!$Y$5:$Y$504,MATCH(ROWS($A$5:A75),Model!$AD$5:$AD$504,0)))</f>
        <v/>
      </c>
      <c r="S75" s="21">
        <f>IF(A75="","",INDEX(Model!$Z$5:$Z$504,MATCH(ROWS($A$5:A75),Model!$AD$5:$AD$504,0)))</f>
        <v/>
      </c>
      <c r="T75" s="18">
        <f>IF(A75="","",INDEX(Model!$AA$5:$AA$504,MATCH(ROWS($A$5:A75),Model!$AD$5:$AD$504,0)))</f>
        <v/>
      </c>
      <c r="U75" s="13" t="n"/>
      <c r="V75" s="13" t="n"/>
      <c r="W75" s="13" t="n"/>
    </row>
    <row r="76">
      <c r="A76" s="18">
        <f>IFERROR(INDEX(Model!$B$5:$B$504,MATCH(ROWS($A$5:A76),Model!$AD$5:$AD$504,0)),"")</f>
        <v/>
      </c>
      <c r="B76" s="18">
        <f>IF(A76="","",INDEX(Model!$C$5:$C$504,MATCH(ROWS($A$5:A76),Model!$AD$5:$AD$504,0)))</f>
        <v/>
      </c>
      <c r="C76" s="18">
        <f>IF(A76="","",INDEX(Model!$D$5:$D$504,MATCH(ROWS($A$5:A76),Model!$AD$5:$AD$504,0)))</f>
        <v/>
      </c>
      <c r="D76" s="18">
        <f>IF(A76="","",INDEX(Model!$E$5:$E$504,MATCH(ROWS($A$5:A76),Model!$AD$5:$AD$504,0)))</f>
        <v/>
      </c>
      <c r="E76" s="19">
        <f>IF(A76="","",INDEX(Model!$F$5:$F$504,MATCH(ROWS($A$5:A76),Model!$AD$5:$AD$504,0)))</f>
        <v/>
      </c>
      <c r="F76" s="19">
        <f>IF(A76="","",INDEX(Model!$G$5:$G$504,MATCH(ROWS($A$5:A76),Model!$AD$5:$AD$504,0)))</f>
        <v/>
      </c>
      <c r="G76" s="18">
        <f>IF(A76="","",INDEX(Model!$H$5:$H$504,MATCH(ROWS($A$5:A76),Model!$AD$5:$AD$504,0)))</f>
        <v/>
      </c>
      <c r="H76" s="18">
        <f>IF(A76="","",INDEX(Model!$L$5:$L$504,MATCH(ROWS($A$5:A76),Model!$AD$5:$AD$504,0)))</f>
        <v/>
      </c>
      <c r="I76" s="20">
        <f>IF(A76="","",INDEX(Model!$P$5:$P$504,MATCH(ROWS($A$5:A76),Model!$AD$5:$AD$504,0)))</f>
        <v/>
      </c>
      <c r="J76" s="20">
        <f>IF(A76="","",INDEX(Model!$Q$5:$Q$504,MATCH(ROWS($A$5:A76),Model!$AD$5:$AD$504,0)))</f>
        <v/>
      </c>
      <c r="K76" s="21">
        <f>IF(A76="","",INDEX(Model!$R$5:$R$504,MATCH(ROWS($A$5:A76),Model!$AD$5:$AD$504,0)))</f>
        <v/>
      </c>
      <c r="L76" s="20">
        <f>IF(A76="","",INDEX(Model!$S$5:$S$504,MATCH(ROWS($A$5:A76),Model!$AD$5:$AD$504,0)))</f>
        <v/>
      </c>
      <c r="M76" s="21">
        <f>IF(A76="","",INDEX(Model!$T$5:$T$504,MATCH(ROWS($A$5:A76),Model!$AD$5:$AD$504,0)))</f>
        <v/>
      </c>
      <c r="N76" s="18">
        <f>IF(A76="","",INDEX(Model!$U$5:$U$504,MATCH(ROWS($A$5:A76),Model!$AD$5:$AD$504,0)))</f>
        <v/>
      </c>
      <c r="O76" s="18">
        <f>IF(A76="","",INDEX(Model!$V$5:$V$504,MATCH(ROWS($A$5:A76),Model!$AD$5:$AD$504,0)))</f>
        <v/>
      </c>
      <c r="P76" s="18">
        <f>IF(A76="","",INDEX(Model!$W$5:$W$504,MATCH(ROWS($A$5:A76),Model!$AD$5:$AD$504,0)))</f>
        <v/>
      </c>
      <c r="Q76" s="18">
        <f>IF(A76="","",INDEX(Model!$X$5:$X$504,MATCH(ROWS($A$5:A76),Model!$AD$5:$AD$504,0)))</f>
        <v/>
      </c>
      <c r="R76" s="18">
        <f>IF(A76="","",INDEX(Model!$Y$5:$Y$504,MATCH(ROWS($A$5:A76),Model!$AD$5:$AD$504,0)))</f>
        <v/>
      </c>
      <c r="S76" s="21">
        <f>IF(A76="","",INDEX(Model!$Z$5:$Z$504,MATCH(ROWS($A$5:A76),Model!$AD$5:$AD$504,0)))</f>
        <v/>
      </c>
      <c r="T76" s="18">
        <f>IF(A76="","",INDEX(Model!$AA$5:$AA$504,MATCH(ROWS($A$5:A76),Model!$AD$5:$AD$504,0)))</f>
        <v/>
      </c>
      <c r="U76" s="13" t="n"/>
      <c r="V76" s="13" t="n"/>
      <c r="W76" s="13" t="n"/>
    </row>
    <row r="77">
      <c r="A77" s="18">
        <f>IFERROR(INDEX(Model!$B$5:$B$504,MATCH(ROWS($A$5:A77),Model!$AD$5:$AD$504,0)),"")</f>
        <v/>
      </c>
      <c r="B77" s="18">
        <f>IF(A77="","",INDEX(Model!$C$5:$C$504,MATCH(ROWS($A$5:A77),Model!$AD$5:$AD$504,0)))</f>
        <v/>
      </c>
      <c r="C77" s="18">
        <f>IF(A77="","",INDEX(Model!$D$5:$D$504,MATCH(ROWS($A$5:A77),Model!$AD$5:$AD$504,0)))</f>
        <v/>
      </c>
      <c r="D77" s="18">
        <f>IF(A77="","",INDEX(Model!$E$5:$E$504,MATCH(ROWS($A$5:A77),Model!$AD$5:$AD$504,0)))</f>
        <v/>
      </c>
      <c r="E77" s="19">
        <f>IF(A77="","",INDEX(Model!$F$5:$F$504,MATCH(ROWS($A$5:A77),Model!$AD$5:$AD$504,0)))</f>
        <v/>
      </c>
      <c r="F77" s="19">
        <f>IF(A77="","",INDEX(Model!$G$5:$G$504,MATCH(ROWS($A$5:A77),Model!$AD$5:$AD$504,0)))</f>
        <v/>
      </c>
      <c r="G77" s="18">
        <f>IF(A77="","",INDEX(Model!$H$5:$H$504,MATCH(ROWS($A$5:A77),Model!$AD$5:$AD$504,0)))</f>
        <v/>
      </c>
      <c r="H77" s="18">
        <f>IF(A77="","",INDEX(Model!$L$5:$L$504,MATCH(ROWS($A$5:A77),Model!$AD$5:$AD$504,0)))</f>
        <v/>
      </c>
      <c r="I77" s="20">
        <f>IF(A77="","",INDEX(Model!$P$5:$P$504,MATCH(ROWS($A$5:A77),Model!$AD$5:$AD$504,0)))</f>
        <v/>
      </c>
      <c r="J77" s="20">
        <f>IF(A77="","",INDEX(Model!$Q$5:$Q$504,MATCH(ROWS($A$5:A77),Model!$AD$5:$AD$504,0)))</f>
        <v/>
      </c>
      <c r="K77" s="21">
        <f>IF(A77="","",INDEX(Model!$R$5:$R$504,MATCH(ROWS($A$5:A77),Model!$AD$5:$AD$504,0)))</f>
        <v/>
      </c>
      <c r="L77" s="20">
        <f>IF(A77="","",INDEX(Model!$S$5:$S$504,MATCH(ROWS($A$5:A77),Model!$AD$5:$AD$504,0)))</f>
        <v/>
      </c>
      <c r="M77" s="21">
        <f>IF(A77="","",INDEX(Model!$T$5:$T$504,MATCH(ROWS($A$5:A77),Model!$AD$5:$AD$504,0)))</f>
        <v/>
      </c>
      <c r="N77" s="18">
        <f>IF(A77="","",INDEX(Model!$U$5:$U$504,MATCH(ROWS($A$5:A77),Model!$AD$5:$AD$504,0)))</f>
        <v/>
      </c>
      <c r="O77" s="18">
        <f>IF(A77="","",INDEX(Model!$V$5:$V$504,MATCH(ROWS($A$5:A77),Model!$AD$5:$AD$504,0)))</f>
        <v/>
      </c>
      <c r="P77" s="18">
        <f>IF(A77="","",INDEX(Model!$W$5:$W$504,MATCH(ROWS($A$5:A77),Model!$AD$5:$AD$504,0)))</f>
        <v/>
      </c>
      <c r="Q77" s="18">
        <f>IF(A77="","",INDEX(Model!$X$5:$X$504,MATCH(ROWS($A$5:A77),Model!$AD$5:$AD$504,0)))</f>
        <v/>
      </c>
      <c r="R77" s="18">
        <f>IF(A77="","",INDEX(Model!$Y$5:$Y$504,MATCH(ROWS($A$5:A77),Model!$AD$5:$AD$504,0)))</f>
        <v/>
      </c>
      <c r="S77" s="21">
        <f>IF(A77="","",INDEX(Model!$Z$5:$Z$504,MATCH(ROWS($A$5:A77),Model!$AD$5:$AD$504,0)))</f>
        <v/>
      </c>
      <c r="T77" s="18">
        <f>IF(A77="","",INDEX(Model!$AA$5:$AA$504,MATCH(ROWS($A$5:A77),Model!$AD$5:$AD$504,0)))</f>
        <v/>
      </c>
      <c r="U77" s="13" t="n"/>
      <c r="V77" s="13" t="n"/>
      <c r="W77" s="13" t="n"/>
    </row>
    <row r="78">
      <c r="A78" s="18">
        <f>IFERROR(INDEX(Model!$B$5:$B$504,MATCH(ROWS($A$5:A78),Model!$AD$5:$AD$504,0)),"")</f>
        <v/>
      </c>
      <c r="B78" s="18">
        <f>IF(A78="","",INDEX(Model!$C$5:$C$504,MATCH(ROWS($A$5:A78),Model!$AD$5:$AD$504,0)))</f>
        <v/>
      </c>
      <c r="C78" s="18">
        <f>IF(A78="","",INDEX(Model!$D$5:$D$504,MATCH(ROWS($A$5:A78),Model!$AD$5:$AD$504,0)))</f>
        <v/>
      </c>
      <c r="D78" s="18">
        <f>IF(A78="","",INDEX(Model!$E$5:$E$504,MATCH(ROWS($A$5:A78),Model!$AD$5:$AD$504,0)))</f>
        <v/>
      </c>
      <c r="E78" s="19">
        <f>IF(A78="","",INDEX(Model!$F$5:$F$504,MATCH(ROWS($A$5:A78),Model!$AD$5:$AD$504,0)))</f>
        <v/>
      </c>
      <c r="F78" s="19">
        <f>IF(A78="","",INDEX(Model!$G$5:$G$504,MATCH(ROWS($A$5:A78),Model!$AD$5:$AD$504,0)))</f>
        <v/>
      </c>
      <c r="G78" s="18">
        <f>IF(A78="","",INDEX(Model!$H$5:$H$504,MATCH(ROWS($A$5:A78),Model!$AD$5:$AD$504,0)))</f>
        <v/>
      </c>
      <c r="H78" s="18">
        <f>IF(A78="","",INDEX(Model!$L$5:$L$504,MATCH(ROWS($A$5:A78),Model!$AD$5:$AD$504,0)))</f>
        <v/>
      </c>
      <c r="I78" s="20">
        <f>IF(A78="","",INDEX(Model!$P$5:$P$504,MATCH(ROWS($A$5:A78),Model!$AD$5:$AD$504,0)))</f>
        <v/>
      </c>
      <c r="J78" s="20">
        <f>IF(A78="","",INDEX(Model!$Q$5:$Q$504,MATCH(ROWS($A$5:A78),Model!$AD$5:$AD$504,0)))</f>
        <v/>
      </c>
      <c r="K78" s="21">
        <f>IF(A78="","",INDEX(Model!$R$5:$R$504,MATCH(ROWS($A$5:A78),Model!$AD$5:$AD$504,0)))</f>
        <v/>
      </c>
      <c r="L78" s="20">
        <f>IF(A78="","",INDEX(Model!$S$5:$S$504,MATCH(ROWS($A$5:A78),Model!$AD$5:$AD$504,0)))</f>
        <v/>
      </c>
      <c r="M78" s="21">
        <f>IF(A78="","",INDEX(Model!$T$5:$T$504,MATCH(ROWS($A$5:A78),Model!$AD$5:$AD$504,0)))</f>
        <v/>
      </c>
      <c r="N78" s="18">
        <f>IF(A78="","",INDEX(Model!$U$5:$U$504,MATCH(ROWS($A$5:A78),Model!$AD$5:$AD$504,0)))</f>
        <v/>
      </c>
      <c r="O78" s="18">
        <f>IF(A78="","",INDEX(Model!$V$5:$V$504,MATCH(ROWS($A$5:A78),Model!$AD$5:$AD$504,0)))</f>
        <v/>
      </c>
      <c r="P78" s="18">
        <f>IF(A78="","",INDEX(Model!$W$5:$W$504,MATCH(ROWS($A$5:A78),Model!$AD$5:$AD$504,0)))</f>
        <v/>
      </c>
      <c r="Q78" s="18">
        <f>IF(A78="","",INDEX(Model!$X$5:$X$504,MATCH(ROWS($A$5:A78),Model!$AD$5:$AD$504,0)))</f>
        <v/>
      </c>
      <c r="R78" s="18">
        <f>IF(A78="","",INDEX(Model!$Y$5:$Y$504,MATCH(ROWS($A$5:A78),Model!$AD$5:$AD$504,0)))</f>
        <v/>
      </c>
      <c r="S78" s="21">
        <f>IF(A78="","",INDEX(Model!$Z$5:$Z$504,MATCH(ROWS($A$5:A78),Model!$AD$5:$AD$504,0)))</f>
        <v/>
      </c>
      <c r="T78" s="18">
        <f>IF(A78="","",INDEX(Model!$AA$5:$AA$504,MATCH(ROWS($A$5:A78),Model!$AD$5:$AD$504,0)))</f>
        <v/>
      </c>
      <c r="U78" s="13" t="n"/>
      <c r="V78" s="13" t="n"/>
      <c r="W78" s="13" t="n"/>
    </row>
    <row r="79">
      <c r="A79" s="18">
        <f>IFERROR(INDEX(Model!$B$5:$B$504,MATCH(ROWS($A$5:A79),Model!$AD$5:$AD$504,0)),"")</f>
        <v/>
      </c>
      <c r="B79" s="18">
        <f>IF(A79="","",INDEX(Model!$C$5:$C$504,MATCH(ROWS($A$5:A79),Model!$AD$5:$AD$504,0)))</f>
        <v/>
      </c>
      <c r="C79" s="18">
        <f>IF(A79="","",INDEX(Model!$D$5:$D$504,MATCH(ROWS($A$5:A79),Model!$AD$5:$AD$504,0)))</f>
        <v/>
      </c>
      <c r="D79" s="18">
        <f>IF(A79="","",INDEX(Model!$E$5:$E$504,MATCH(ROWS($A$5:A79),Model!$AD$5:$AD$504,0)))</f>
        <v/>
      </c>
      <c r="E79" s="19">
        <f>IF(A79="","",INDEX(Model!$F$5:$F$504,MATCH(ROWS($A$5:A79),Model!$AD$5:$AD$504,0)))</f>
        <v/>
      </c>
      <c r="F79" s="19">
        <f>IF(A79="","",INDEX(Model!$G$5:$G$504,MATCH(ROWS($A$5:A79),Model!$AD$5:$AD$504,0)))</f>
        <v/>
      </c>
      <c r="G79" s="18">
        <f>IF(A79="","",INDEX(Model!$H$5:$H$504,MATCH(ROWS($A$5:A79),Model!$AD$5:$AD$504,0)))</f>
        <v/>
      </c>
      <c r="H79" s="18">
        <f>IF(A79="","",INDEX(Model!$L$5:$L$504,MATCH(ROWS($A$5:A79),Model!$AD$5:$AD$504,0)))</f>
        <v/>
      </c>
      <c r="I79" s="20">
        <f>IF(A79="","",INDEX(Model!$P$5:$P$504,MATCH(ROWS($A$5:A79),Model!$AD$5:$AD$504,0)))</f>
        <v/>
      </c>
      <c r="J79" s="20">
        <f>IF(A79="","",INDEX(Model!$Q$5:$Q$504,MATCH(ROWS($A$5:A79),Model!$AD$5:$AD$504,0)))</f>
        <v/>
      </c>
      <c r="K79" s="21">
        <f>IF(A79="","",INDEX(Model!$R$5:$R$504,MATCH(ROWS($A$5:A79),Model!$AD$5:$AD$504,0)))</f>
        <v/>
      </c>
      <c r="L79" s="20">
        <f>IF(A79="","",INDEX(Model!$S$5:$S$504,MATCH(ROWS($A$5:A79),Model!$AD$5:$AD$504,0)))</f>
        <v/>
      </c>
      <c r="M79" s="21">
        <f>IF(A79="","",INDEX(Model!$T$5:$T$504,MATCH(ROWS($A$5:A79),Model!$AD$5:$AD$504,0)))</f>
        <v/>
      </c>
      <c r="N79" s="18">
        <f>IF(A79="","",INDEX(Model!$U$5:$U$504,MATCH(ROWS($A$5:A79),Model!$AD$5:$AD$504,0)))</f>
        <v/>
      </c>
      <c r="O79" s="18">
        <f>IF(A79="","",INDEX(Model!$V$5:$V$504,MATCH(ROWS($A$5:A79),Model!$AD$5:$AD$504,0)))</f>
        <v/>
      </c>
      <c r="P79" s="18">
        <f>IF(A79="","",INDEX(Model!$W$5:$W$504,MATCH(ROWS($A$5:A79),Model!$AD$5:$AD$504,0)))</f>
        <v/>
      </c>
      <c r="Q79" s="18">
        <f>IF(A79="","",INDEX(Model!$X$5:$X$504,MATCH(ROWS($A$5:A79),Model!$AD$5:$AD$504,0)))</f>
        <v/>
      </c>
      <c r="R79" s="18">
        <f>IF(A79="","",INDEX(Model!$Y$5:$Y$504,MATCH(ROWS($A$5:A79),Model!$AD$5:$AD$504,0)))</f>
        <v/>
      </c>
      <c r="S79" s="21">
        <f>IF(A79="","",INDEX(Model!$Z$5:$Z$504,MATCH(ROWS($A$5:A79),Model!$AD$5:$AD$504,0)))</f>
        <v/>
      </c>
      <c r="T79" s="18">
        <f>IF(A79="","",INDEX(Model!$AA$5:$AA$504,MATCH(ROWS($A$5:A79),Model!$AD$5:$AD$504,0)))</f>
        <v/>
      </c>
      <c r="U79" s="13" t="n"/>
      <c r="V79" s="13" t="n"/>
      <c r="W79" s="13" t="n"/>
    </row>
    <row r="80">
      <c r="A80" s="18">
        <f>IFERROR(INDEX(Model!$B$5:$B$504,MATCH(ROWS($A$5:A80),Model!$AD$5:$AD$504,0)),"")</f>
        <v/>
      </c>
      <c r="B80" s="18">
        <f>IF(A80="","",INDEX(Model!$C$5:$C$504,MATCH(ROWS($A$5:A80),Model!$AD$5:$AD$504,0)))</f>
        <v/>
      </c>
      <c r="C80" s="18">
        <f>IF(A80="","",INDEX(Model!$D$5:$D$504,MATCH(ROWS($A$5:A80),Model!$AD$5:$AD$504,0)))</f>
        <v/>
      </c>
      <c r="D80" s="18">
        <f>IF(A80="","",INDEX(Model!$E$5:$E$504,MATCH(ROWS($A$5:A80),Model!$AD$5:$AD$504,0)))</f>
        <v/>
      </c>
      <c r="E80" s="19">
        <f>IF(A80="","",INDEX(Model!$F$5:$F$504,MATCH(ROWS($A$5:A80),Model!$AD$5:$AD$504,0)))</f>
        <v/>
      </c>
      <c r="F80" s="19">
        <f>IF(A80="","",INDEX(Model!$G$5:$G$504,MATCH(ROWS($A$5:A80),Model!$AD$5:$AD$504,0)))</f>
        <v/>
      </c>
      <c r="G80" s="18">
        <f>IF(A80="","",INDEX(Model!$H$5:$H$504,MATCH(ROWS($A$5:A80),Model!$AD$5:$AD$504,0)))</f>
        <v/>
      </c>
      <c r="H80" s="18">
        <f>IF(A80="","",INDEX(Model!$L$5:$L$504,MATCH(ROWS($A$5:A80),Model!$AD$5:$AD$504,0)))</f>
        <v/>
      </c>
      <c r="I80" s="20">
        <f>IF(A80="","",INDEX(Model!$P$5:$P$504,MATCH(ROWS($A$5:A80),Model!$AD$5:$AD$504,0)))</f>
        <v/>
      </c>
      <c r="J80" s="20">
        <f>IF(A80="","",INDEX(Model!$Q$5:$Q$504,MATCH(ROWS($A$5:A80),Model!$AD$5:$AD$504,0)))</f>
        <v/>
      </c>
      <c r="K80" s="21">
        <f>IF(A80="","",INDEX(Model!$R$5:$R$504,MATCH(ROWS($A$5:A80),Model!$AD$5:$AD$504,0)))</f>
        <v/>
      </c>
      <c r="L80" s="20">
        <f>IF(A80="","",INDEX(Model!$S$5:$S$504,MATCH(ROWS($A$5:A80),Model!$AD$5:$AD$504,0)))</f>
        <v/>
      </c>
      <c r="M80" s="21">
        <f>IF(A80="","",INDEX(Model!$T$5:$T$504,MATCH(ROWS($A$5:A80),Model!$AD$5:$AD$504,0)))</f>
        <v/>
      </c>
      <c r="N80" s="18">
        <f>IF(A80="","",INDEX(Model!$U$5:$U$504,MATCH(ROWS($A$5:A80),Model!$AD$5:$AD$504,0)))</f>
        <v/>
      </c>
      <c r="O80" s="18">
        <f>IF(A80="","",INDEX(Model!$V$5:$V$504,MATCH(ROWS($A$5:A80),Model!$AD$5:$AD$504,0)))</f>
        <v/>
      </c>
      <c r="P80" s="18">
        <f>IF(A80="","",INDEX(Model!$W$5:$W$504,MATCH(ROWS($A$5:A80),Model!$AD$5:$AD$504,0)))</f>
        <v/>
      </c>
      <c r="Q80" s="18">
        <f>IF(A80="","",INDEX(Model!$X$5:$X$504,MATCH(ROWS($A$5:A80),Model!$AD$5:$AD$504,0)))</f>
        <v/>
      </c>
      <c r="R80" s="18">
        <f>IF(A80="","",INDEX(Model!$Y$5:$Y$504,MATCH(ROWS($A$5:A80),Model!$AD$5:$AD$504,0)))</f>
        <v/>
      </c>
      <c r="S80" s="21">
        <f>IF(A80="","",INDEX(Model!$Z$5:$Z$504,MATCH(ROWS($A$5:A80),Model!$AD$5:$AD$504,0)))</f>
        <v/>
      </c>
      <c r="T80" s="18">
        <f>IF(A80="","",INDEX(Model!$AA$5:$AA$504,MATCH(ROWS($A$5:A80),Model!$AD$5:$AD$504,0)))</f>
        <v/>
      </c>
      <c r="U80" s="13" t="n"/>
      <c r="V80" s="13" t="n"/>
      <c r="W80" s="13" t="n"/>
    </row>
    <row r="81">
      <c r="A81" s="18">
        <f>IFERROR(INDEX(Model!$B$5:$B$504,MATCH(ROWS($A$5:A81),Model!$AD$5:$AD$504,0)),"")</f>
        <v/>
      </c>
      <c r="B81" s="18">
        <f>IF(A81="","",INDEX(Model!$C$5:$C$504,MATCH(ROWS($A$5:A81),Model!$AD$5:$AD$504,0)))</f>
        <v/>
      </c>
      <c r="C81" s="18">
        <f>IF(A81="","",INDEX(Model!$D$5:$D$504,MATCH(ROWS($A$5:A81),Model!$AD$5:$AD$504,0)))</f>
        <v/>
      </c>
      <c r="D81" s="18">
        <f>IF(A81="","",INDEX(Model!$E$5:$E$504,MATCH(ROWS($A$5:A81),Model!$AD$5:$AD$504,0)))</f>
        <v/>
      </c>
      <c r="E81" s="19">
        <f>IF(A81="","",INDEX(Model!$F$5:$F$504,MATCH(ROWS($A$5:A81),Model!$AD$5:$AD$504,0)))</f>
        <v/>
      </c>
      <c r="F81" s="19">
        <f>IF(A81="","",INDEX(Model!$G$5:$G$504,MATCH(ROWS($A$5:A81),Model!$AD$5:$AD$504,0)))</f>
        <v/>
      </c>
      <c r="G81" s="18">
        <f>IF(A81="","",INDEX(Model!$H$5:$H$504,MATCH(ROWS($A$5:A81),Model!$AD$5:$AD$504,0)))</f>
        <v/>
      </c>
      <c r="H81" s="18">
        <f>IF(A81="","",INDEX(Model!$L$5:$L$504,MATCH(ROWS($A$5:A81),Model!$AD$5:$AD$504,0)))</f>
        <v/>
      </c>
      <c r="I81" s="20">
        <f>IF(A81="","",INDEX(Model!$P$5:$P$504,MATCH(ROWS($A$5:A81),Model!$AD$5:$AD$504,0)))</f>
        <v/>
      </c>
      <c r="J81" s="20">
        <f>IF(A81="","",INDEX(Model!$Q$5:$Q$504,MATCH(ROWS($A$5:A81),Model!$AD$5:$AD$504,0)))</f>
        <v/>
      </c>
      <c r="K81" s="21">
        <f>IF(A81="","",INDEX(Model!$R$5:$R$504,MATCH(ROWS($A$5:A81),Model!$AD$5:$AD$504,0)))</f>
        <v/>
      </c>
      <c r="L81" s="20">
        <f>IF(A81="","",INDEX(Model!$S$5:$S$504,MATCH(ROWS($A$5:A81),Model!$AD$5:$AD$504,0)))</f>
        <v/>
      </c>
      <c r="M81" s="21">
        <f>IF(A81="","",INDEX(Model!$T$5:$T$504,MATCH(ROWS($A$5:A81),Model!$AD$5:$AD$504,0)))</f>
        <v/>
      </c>
      <c r="N81" s="18">
        <f>IF(A81="","",INDEX(Model!$U$5:$U$504,MATCH(ROWS($A$5:A81),Model!$AD$5:$AD$504,0)))</f>
        <v/>
      </c>
      <c r="O81" s="18">
        <f>IF(A81="","",INDEX(Model!$V$5:$V$504,MATCH(ROWS($A$5:A81),Model!$AD$5:$AD$504,0)))</f>
        <v/>
      </c>
      <c r="P81" s="18">
        <f>IF(A81="","",INDEX(Model!$W$5:$W$504,MATCH(ROWS($A$5:A81),Model!$AD$5:$AD$504,0)))</f>
        <v/>
      </c>
      <c r="Q81" s="18">
        <f>IF(A81="","",INDEX(Model!$X$5:$X$504,MATCH(ROWS($A$5:A81),Model!$AD$5:$AD$504,0)))</f>
        <v/>
      </c>
      <c r="R81" s="18">
        <f>IF(A81="","",INDEX(Model!$Y$5:$Y$504,MATCH(ROWS($A$5:A81),Model!$AD$5:$AD$504,0)))</f>
        <v/>
      </c>
      <c r="S81" s="21">
        <f>IF(A81="","",INDEX(Model!$Z$5:$Z$504,MATCH(ROWS($A$5:A81),Model!$AD$5:$AD$504,0)))</f>
        <v/>
      </c>
      <c r="T81" s="18">
        <f>IF(A81="","",INDEX(Model!$AA$5:$AA$504,MATCH(ROWS($A$5:A81),Model!$AD$5:$AD$504,0)))</f>
        <v/>
      </c>
      <c r="U81" s="13" t="n"/>
      <c r="V81" s="13" t="n"/>
      <c r="W81" s="13" t="n"/>
    </row>
    <row r="82">
      <c r="A82" s="18">
        <f>IFERROR(INDEX(Model!$B$5:$B$504,MATCH(ROWS($A$5:A82),Model!$AD$5:$AD$504,0)),"")</f>
        <v/>
      </c>
      <c r="B82" s="18">
        <f>IF(A82="","",INDEX(Model!$C$5:$C$504,MATCH(ROWS($A$5:A82),Model!$AD$5:$AD$504,0)))</f>
        <v/>
      </c>
      <c r="C82" s="18">
        <f>IF(A82="","",INDEX(Model!$D$5:$D$504,MATCH(ROWS($A$5:A82),Model!$AD$5:$AD$504,0)))</f>
        <v/>
      </c>
      <c r="D82" s="18">
        <f>IF(A82="","",INDEX(Model!$E$5:$E$504,MATCH(ROWS($A$5:A82),Model!$AD$5:$AD$504,0)))</f>
        <v/>
      </c>
      <c r="E82" s="19">
        <f>IF(A82="","",INDEX(Model!$F$5:$F$504,MATCH(ROWS($A$5:A82),Model!$AD$5:$AD$504,0)))</f>
        <v/>
      </c>
      <c r="F82" s="19">
        <f>IF(A82="","",INDEX(Model!$G$5:$G$504,MATCH(ROWS($A$5:A82),Model!$AD$5:$AD$504,0)))</f>
        <v/>
      </c>
      <c r="G82" s="18">
        <f>IF(A82="","",INDEX(Model!$H$5:$H$504,MATCH(ROWS($A$5:A82),Model!$AD$5:$AD$504,0)))</f>
        <v/>
      </c>
      <c r="H82" s="18">
        <f>IF(A82="","",INDEX(Model!$L$5:$L$504,MATCH(ROWS($A$5:A82),Model!$AD$5:$AD$504,0)))</f>
        <v/>
      </c>
      <c r="I82" s="20">
        <f>IF(A82="","",INDEX(Model!$P$5:$P$504,MATCH(ROWS($A$5:A82),Model!$AD$5:$AD$504,0)))</f>
        <v/>
      </c>
      <c r="J82" s="20">
        <f>IF(A82="","",INDEX(Model!$Q$5:$Q$504,MATCH(ROWS($A$5:A82),Model!$AD$5:$AD$504,0)))</f>
        <v/>
      </c>
      <c r="K82" s="21">
        <f>IF(A82="","",INDEX(Model!$R$5:$R$504,MATCH(ROWS($A$5:A82),Model!$AD$5:$AD$504,0)))</f>
        <v/>
      </c>
      <c r="L82" s="20">
        <f>IF(A82="","",INDEX(Model!$S$5:$S$504,MATCH(ROWS($A$5:A82),Model!$AD$5:$AD$504,0)))</f>
        <v/>
      </c>
      <c r="M82" s="21">
        <f>IF(A82="","",INDEX(Model!$T$5:$T$504,MATCH(ROWS($A$5:A82),Model!$AD$5:$AD$504,0)))</f>
        <v/>
      </c>
      <c r="N82" s="18">
        <f>IF(A82="","",INDEX(Model!$U$5:$U$504,MATCH(ROWS($A$5:A82),Model!$AD$5:$AD$504,0)))</f>
        <v/>
      </c>
      <c r="O82" s="18">
        <f>IF(A82="","",INDEX(Model!$V$5:$V$504,MATCH(ROWS($A$5:A82),Model!$AD$5:$AD$504,0)))</f>
        <v/>
      </c>
      <c r="P82" s="18">
        <f>IF(A82="","",INDEX(Model!$W$5:$W$504,MATCH(ROWS($A$5:A82),Model!$AD$5:$AD$504,0)))</f>
        <v/>
      </c>
      <c r="Q82" s="18">
        <f>IF(A82="","",INDEX(Model!$X$5:$X$504,MATCH(ROWS($A$5:A82),Model!$AD$5:$AD$504,0)))</f>
        <v/>
      </c>
      <c r="R82" s="18">
        <f>IF(A82="","",INDEX(Model!$Y$5:$Y$504,MATCH(ROWS($A$5:A82),Model!$AD$5:$AD$504,0)))</f>
        <v/>
      </c>
      <c r="S82" s="21">
        <f>IF(A82="","",INDEX(Model!$Z$5:$Z$504,MATCH(ROWS($A$5:A82),Model!$AD$5:$AD$504,0)))</f>
        <v/>
      </c>
      <c r="T82" s="18">
        <f>IF(A82="","",INDEX(Model!$AA$5:$AA$504,MATCH(ROWS($A$5:A82),Model!$AD$5:$AD$504,0)))</f>
        <v/>
      </c>
      <c r="U82" s="13" t="n"/>
      <c r="V82" s="13" t="n"/>
      <c r="W82" s="13" t="n"/>
    </row>
    <row r="83">
      <c r="A83" s="18">
        <f>IFERROR(INDEX(Model!$B$5:$B$504,MATCH(ROWS($A$5:A83),Model!$AD$5:$AD$504,0)),"")</f>
        <v/>
      </c>
      <c r="B83" s="18">
        <f>IF(A83="","",INDEX(Model!$C$5:$C$504,MATCH(ROWS($A$5:A83),Model!$AD$5:$AD$504,0)))</f>
        <v/>
      </c>
      <c r="C83" s="18">
        <f>IF(A83="","",INDEX(Model!$D$5:$D$504,MATCH(ROWS($A$5:A83),Model!$AD$5:$AD$504,0)))</f>
        <v/>
      </c>
      <c r="D83" s="18">
        <f>IF(A83="","",INDEX(Model!$E$5:$E$504,MATCH(ROWS($A$5:A83),Model!$AD$5:$AD$504,0)))</f>
        <v/>
      </c>
      <c r="E83" s="19">
        <f>IF(A83="","",INDEX(Model!$F$5:$F$504,MATCH(ROWS($A$5:A83),Model!$AD$5:$AD$504,0)))</f>
        <v/>
      </c>
      <c r="F83" s="19">
        <f>IF(A83="","",INDEX(Model!$G$5:$G$504,MATCH(ROWS($A$5:A83),Model!$AD$5:$AD$504,0)))</f>
        <v/>
      </c>
      <c r="G83" s="18">
        <f>IF(A83="","",INDEX(Model!$H$5:$H$504,MATCH(ROWS($A$5:A83),Model!$AD$5:$AD$504,0)))</f>
        <v/>
      </c>
      <c r="H83" s="18">
        <f>IF(A83="","",INDEX(Model!$L$5:$L$504,MATCH(ROWS($A$5:A83),Model!$AD$5:$AD$504,0)))</f>
        <v/>
      </c>
      <c r="I83" s="20">
        <f>IF(A83="","",INDEX(Model!$P$5:$P$504,MATCH(ROWS($A$5:A83),Model!$AD$5:$AD$504,0)))</f>
        <v/>
      </c>
      <c r="J83" s="20">
        <f>IF(A83="","",INDEX(Model!$Q$5:$Q$504,MATCH(ROWS($A$5:A83),Model!$AD$5:$AD$504,0)))</f>
        <v/>
      </c>
      <c r="K83" s="21">
        <f>IF(A83="","",INDEX(Model!$R$5:$R$504,MATCH(ROWS($A$5:A83),Model!$AD$5:$AD$504,0)))</f>
        <v/>
      </c>
      <c r="L83" s="20">
        <f>IF(A83="","",INDEX(Model!$S$5:$S$504,MATCH(ROWS($A$5:A83),Model!$AD$5:$AD$504,0)))</f>
        <v/>
      </c>
      <c r="M83" s="21">
        <f>IF(A83="","",INDEX(Model!$T$5:$T$504,MATCH(ROWS($A$5:A83),Model!$AD$5:$AD$504,0)))</f>
        <v/>
      </c>
      <c r="N83" s="18">
        <f>IF(A83="","",INDEX(Model!$U$5:$U$504,MATCH(ROWS($A$5:A83),Model!$AD$5:$AD$504,0)))</f>
        <v/>
      </c>
      <c r="O83" s="18">
        <f>IF(A83="","",INDEX(Model!$V$5:$V$504,MATCH(ROWS($A$5:A83),Model!$AD$5:$AD$504,0)))</f>
        <v/>
      </c>
      <c r="P83" s="18">
        <f>IF(A83="","",INDEX(Model!$W$5:$W$504,MATCH(ROWS($A$5:A83),Model!$AD$5:$AD$504,0)))</f>
        <v/>
      </c>
      <c r="Q83" s="18">
        <f>IF(A83="","",INDEX(Model!$X$5:$X$504,MATCH(ROWS($A$5:A83),Model!$AD$5:$AD$504,0)))</f>
        <v/>
      </c>
      <c r="R83" s="18">
        <f>IF(A83="","",INDEX(Model!$Y$5:$Y$504,MATCH(ROWS($A$5:A83),Model!$AD$5:$AD$504,0)))</f>
        <v/>
      </c>
      <c r="S83" s="21">
        <f>IF(A83="","",INDEX(Model!$Z$5:$Z$504,MATCH(ROWS($A$5:A83),Model!$AD$5:$AD$504,0)))</f>
        <v/>
      </c>
      <c r="T83" s="18">
        <f>IF(A83="","",INDEX(Model!$AA$5:$AA$504,MATCH(ROWS($A$5:A83),Model!$AD$5:$AD$504,0)))</f>
        <v/>
      </c>
      <c r="U83" s="13" t="n"/>
      <c r="V83" s="13" t="n"/>
      <c r="W83" s="13" t="n"/>
    </row>
    <row r="84">
      <c r="A84" s="18">
        <f>IFERROR(INDEX(Model!$B$5:$B$504,MATCH(ROWS($A$5:A84),Model!$AD$5:$AD$504,0)),"")</f>
        <v/>
      </c>
      <c r="B84" s="18">
        <f>IF(A84="","",INDEX(Model!$C$5:$C$504,MATCH(ROWS($A$5:A84),Model!$AD$5:$AD$504,0)))</f>
        <v/>
      </c>
      <c r="C84" s="18">
        <f>IF(A84="","",INDEX(Model!$D$5:$D$504,MATCH(ROWS($A$5:A84),Model!$AD$5:$AD$504,0)))</f>
        <v/>
      </c>
      <c r="D84" s="18">
        <f>IF(A84="","",INDEX(Model!$E$5:$E$504,MATCH(ROWS($A$5:A84),Model!$AD$5:$AD$504,0)))</f>
        <v/>
      </c>
      <c r="E84" s="19">
        <f>IF(A84="","",INDEX(Model!$F$5:$F$504,MATCH(ROWS($A$5:A84),Model!$AD$5:$AD$504,0)))</f>
        <v/>
      </c>
      <c r="F84" s="19">
        <f>IF(A84="","",INDEX(Model!$G$5:$G$504,MATCH(ROWS($A$5:A84),Model!$AD$5:$AD$504,0)))</f>
        <v/>
      </c>
      <c r="G84" s="18">
        <f>IF(A84="","",INDEX(Model!$H$5:$H$504,MATCH(ROWS($A$5:A84),Model!$AD$5:$AD$504,0)))</f>
        <v/>
      </c>
      <c r="H84" s="18">
        <f>IF(A84="","",INDEX(Model!$L$5:$L$504,MATCH(ROWS($A$5:A84),Model!$AD$5:$AD$504,0)))</f>
        <v/>
      </c>
      <c r="I84" s="20">
        <f>IF(A84="","",INDEX(Model!$P$5:$P$504,MATCH(ROWS($A$5:A84),Model!$AD$5:$AD$504,0)))</f>
        <v/>
      </c>
      <c r="J84" s="20">
        <f>IF(A84="","",INDEX(Model!$Q$5:$Q$504,MATCH(ROWS($A$5:A84),Model!$AD$5:$AD$504,0)))</f>
        <v/>
      </c>
      <c r="K84" s="21">
        <f>IF(A84="","",INDEX(Model!$R$5:$R$504,MATCH(ROWS($A$5:A84),Model!$AD$5:$AD$504,0)))</f>
        <v/>
      </c>
      <c r="L84" s="20">
        <f>IF(A84="","",INDEX(Model!$S$5:$S$504,MATCH(ROWS($A$5:A84),Model!$AD$5:$AD$504,0)))</f>
        <v/>
      </c>
      <c r="M84" s="21">
        <f>IF(A84="","",INDEX(Model!$T$5:$T$504,MATCH(ROWS($A$5:A84),Model!$AD$5:$AD$504,0)))</f>
        <v/>
      </c>
      <c r="N84" s="18">
        <f>IF(A84="","",INDEX(Model!$U$5:$U$504,MATCH(ROWS($A$5:A84),Model!$AD$5:$AD$504,0)))</f>
        <v/>
      </c>
      <c r="O84" s="18">
        <f>IF(A84="","",INDEX(Model!$V$5:$V$504,MATCH(ROWS($A$5:A84),Model!$AD$5:$AD$504,0)))</f>
        <v/>
      </c>
      <c r="P84" s="18">
        <f>IF(A84="","",INDEX(Model!$W$5:$W$504,MATCH(ROWS($A$5:A84),Model!$AD$5:$AD$504,0)))</f>
        <v/>
      </c>
      <c r="Q84" s="18">
        <f>IF(A84="","",INDEX(Model!$X$5:$X$504,MATCH(ROWS($A$5:A84),Model!$AD$5:$AD$504,0)))</f>
        <v/>
      </c>
      <c r="R84" s="18">
        <f>IF(A84="","",INDEX(Model!$Y$5:$Y$504,MATCH(ROWS($A$5:A84),Model!$AD$5:$AD$504,0)))</f>
        <v/>
      </c>
      <c r="S84" s="21">
        <f>IF(A84="","",INDEX(Model!$Z$5:$Z$504,MATCH(ROWS($A$5:A84),Model!$AD$5:$AD$504,0)))</f>
        <v/>
      </c>
      <c r="T84" s="18">
        <f>IF(A84="","",INDEX(Model!$AA$5:$AA$504,MATCH(ROWS($A$5:A84),Model!$AD$5:$AD$504,0)))</f>
        <v/>
      </c>
      <c r="U84" s="13" t="n"/>
      <c r="V84" s="13" t="n"/>
      <c r="W84" s="13" t="n"/>
    </row>
    <row r="85">
      <c r="A85" s="18">
        <f>IFERROR(INDEX(Model!$B$5:$B$504,MATCH(ROWS($A$5:A85),Model!$AD$5:$AD$504,0)),"")</f>
        <v/>
      </c>
      <c r="B85" s="18">
        <f>IF(A85="","",INDEX(Model!$C$5:$C$504,MATCH(ROWS($A$5:A85),Model!$AD$5:$AD$504,0)))</f>
        <v/>
      </c>
      <c r="C85" s="18">
        <f>IF(A85="","",INDEX(Model!$D$5:$D$504,MATCH(ROWS($A$5:A85),Model!$AD$5:$AD$504,0)))</f>
        <v/>
      </c>
      <c r="D85" s="18">
        <f>IF(A85="","",INDEX(Model!$E$5:$E$504,MATCH(ROWS($A$5:A85),Model!$AD$5:$AD$504,0)))</f>
        <v/>
      </c>
      <c r="E85" s="19">
        <f>IF(A85="","",INDEX(Model!$F$5:$F$504,MATCH(ROWS($A$5:A85),Model!$AD$5:$AD$504,0)))</f>
        <v/>
      </c>
      <c r="F85" s="19">
        <f>IF(A85="","",INDEX(Model!$G$5:$G$504,MATCH(ROWS($A$5:A85),Model!$AD$5:$AD$504,0)))</f>
        <v/>
      </c>
      <c r="G85" s="18">
        <f>IF(A85="","",INDEX(Model!$H$5:$H$504,MATCH(ROWS($A$5:A85),Model!$AD$5:$AD$504,0)))</f>
        <v/>
      </c>
      <c r="H85" s="18">
        <f>IF(A85="","",INDEX(Model!$L$5:$L$504,MATCH(ROWS($A$5:A85),Model!$AD$5:$AD$504,0)))</f>
        <v/>
      </c>
      <c r="I85" s="20">
        <f>IF(A85="","",INDEX(Model!$P$5:$P$504,MATCH(ROWS($A$5:A85),Model!$AD$5:$AD$504,0)))</f>
        <v/>
      </c>
      <c r="J85" s="20">
        <f>IF(A85="","",INDEX(Model!$Q$5:$Q$504,MATCH(ROWS($A$5:A85),Model!$AD$5:$AD$504,0)))</f>
        <v/>
      </c>
      <c r="K85" s="21">
        <f>IF(A85="","",INDEX(Model!$R$5:$R$504,MATCH(ROWS($A$5:A85),Model!$AD$5:$AD$504,0)))</f>
        <v/>
      </c>
      <c r="L85" s="20">
        <f>IF(A85="","",INDEX(Model!$S$5:$S$504,MATCH(ROWS($A$5:A85),Model!$AD$5:$AD$504,0)))</f>
        <v/>
      </c>
      <c r="M85" s="21">
        <f>IF(A85="","",INDEX(Model!$T$5:$T$504,MATCH(ROWS($A$5:A85),Model!$AD$5:$AD$504,0)))</f>
        <v/>
      </c>
      <c r="N85" s="18">
        <f>IF(A85="","",INDEX(Model!$U$5:$U$504,MATCH(ROWS($A$5:A85),Model!$AD$5:$AD$504,0)))</f>
        <v/>
      </c>
      <c r="O85" s="18">
        <f>IF(A85="","",INDEX(Model!$V$5:$V$504,MATCH(ROWS($A$5:A85),Model!$AD$5:$AD$504,0)))</f>
        <v/>
      </c>
      <c r="P85" s="18">
        <f>IF(A85="","",INDEX(Model!$W$5:$W$504,MATCH(ROWS($A$5:A85),Model!$AD$5:$AD$504,0)))</f>
        <v/>
      </c>
      <c r="Q85" s="18">
        <f>IF(A85="","",INDEX(Model!$X$5:$X$504,MATCH(ROWS($A$5:A85),Model!$AD$5:$AD$504,0)))</f>
        <v/>
      </c>
      <c r="R85" s="18">
        <f>IF(A85="","",INDEX(Model!$Y$5:$Y$504,MATCH(ROWS($A$5:A85),Model!$AD$5:$AD$504,0)))</f>
        <v/>
      </c>
      <c r="S85" s="21">
        <f>IF(A85="","",INDEX(Model!$Z$5:$Z$504,MATCH(ROWS($A$5:A85),Model!$AD$5:$AD$504,0)))</f>
        <v/>
      </c>
      <c r="T85" s="18">
        <f>IF(A85="","",INDEX(Model!$AA$5:$AA$504,MATCH(ROWS($A$5:A85),Model!$AD$5:$AD$504,0)))</f>
        <v/>
      </c>
      <c r="U85" s="13" t="n"/>
      <c r="V85" s="13" t="n"/>
      <c r="W85" s="13" t="n"/>
    </row>
    <row r="86">
      <c r="A86" s="18">
        <f>IFERROR(INDEX(Model!$B$5:$B$504,MATCH(ROWS($A$5:A86),Model!$AD$5:$AD$504,0)),"")</f>
        <v/>
      </c>
      <c r="B86" s="18">
        <f>IF(A86="","",INDEX(Model!$C$5:$C$504,MATCH(ROWS($A$5:A86),Model!$AD$5:$AD$504,0)))</f>
        <v/>
      </c>
      <c r="C86" s="18">
        <f>IF(A86="","",INDEX(Model!$D$5:$D$504,MATCH(ROWS($A$5:A86),Model!$AD$5:$AD$504,0)))</f>
        <v/>
      </c>
      <c r="D86" s="18">
        <f>IF(A86="","",INDEX(Model!$E$5:$E$504,MATCH(ROWS($A$5:A86),Model!$AD$5:$AD$504,0)))</f>
        <v/>
      </c>
      <c r="E86" s="19">
        <f>IF(A86="","",INDEX(Model!$F$5:$F$504,MATCH(ROWS($A$5:A86),Model!$AD$5:$AD$504,0)))</f>
        <v/>
      </c>
      <c r="F86" s="19">
        <f>IF(A86="","",INDEX(Model!$G$5:$G$504,MATCH(ROWS($A$5:A86),Model!$AD$5:$AD$504,0)))</f>
        <v/>
      </c>
      <c r="G86" s="18">
        <f>IF(A86="","",INDEX(Model!$H$5:$H$504,MATCH(ROWS($A$5:A86),Model!$AD$5:$AD$504,0)))</f>
        <v/>
      </c>
      <c r="H86" s="18">
        <f>IF(A86="","",INDEX(Model!$L$5:$L$504,MATCH(ROWS($A$5:A86),Model!$AD$5:$AD$504,0)))</f>
        <v/>
      </c>
      <c r="I86" s="20">
        <f>IF(A86="","",INDEX(Model!$P$5:$P$504,MATCH(ROWS($A$5:A86),Model!$AD$5:$AD$504,0)))</f>
        <v/>
      </c>
      <c r="J86" s="20">
        <f>IF(A86="","",INDEX(Model!$Q$5:$Q$504,MATCH(ROWS($A$5:A86),Model!$AD$5:$AD$504,0)))</f>
        <v/>
      </c>
      <c r="K86" s="21">
        <f>IF(A86="","",INDEX(Model!$R$5:$R$504,MATCH(ROWS($A$5:A86),Model!$AD$5:$AD$504,0)))</f>
        <v/>
      </c>
      <c r="L86" s="20">
        <f>IF(A86="","",INDEX(Model!$S$5:$S$504,MATCH(ROWS($A$5:A86),Model!$AD$5:$AD$504,0)))</f>
        <v/>
      </c>
      <c r="M86" s="21">
        <f>IF(A86="","",INDEX(Model!$T$5:$T$504,MATCH(ROWS($A$5:A86),Model!$AD$5:$AD$504,0)))</f>
        <v/>
      </c>
      <c r="N86" s="18">
        <f>IF(A86="","",INDEX(Model!$U$5:$U$504,MATCH(ROWS($A$5:A86),Model!$AD$5:$AD$504,0)))</f>
        <v/>
      </c>
      <c r="O86" s="18">
        <f>IF(A86="","",INDEX(Model!$V$5:$V$504,MATCH(ROWS($A$5:A86),Model!$AD$5:$AD$504,0)))</f>
        <v/>
      </c>
      <c r="P86" s="18">
        <f>IF(A86="","",INDEX(Model!$W$5:$W$504,MATCH(ROWS($A$5:A86),Model!$AD$5:$AD$504,0)))</f>
        <v/>
      </c>
      <c r="Q86" s="18">
        <f>IF(A86="","",INDEX(Model!$X$5:$X$504,MATCH(ROWS($A$5:A86),Model!$AD$5:$AD$504,0)))</f>
        <v/>
      </c>
      <c r="R86" s="18">
        <f>IF(A86="","",INDEX(Model!$Y$5:$Y$504,MATCH(ROWS($A$5:A86),Model!$AD$5:$AD$504,0)))</f>
        <v/>
      </c>
      <c r="S86" s="21">
        <f>IF(A86="","",INDEX(Model!$Z$5:$Z$504,MATCH(ROWS($A$5:A86),Model!$AD$5:$AD$504,0)))</f>
        <v/>
      </c>
      <c r="T86" s="18">
        <f>IF(A86="","",INDEX(Model!$AA$5:$AA$504,MATCH(ROWS($A$5:A86),Model!$AD$5:$AD$504,0)))</f>
        <v/>
      </c>
      <c r="U86" s="13" t="n"/>
      <c r="V86" s="13" t="n"/>
      <c r="W86" s="13" t="n"/>
    </row>
    <row r="87">
      <c r="A87" s="18">
        <f>IFERROR(INDEX(Model!$B$5:$B$504,MATCH(ROWS($A$5:A87),Model!$AD$5:$AD$504,0)),"")</f>
        <v/>
      </c>
      <c r="B87" s="18">
        <f>IF(A87="","",INDEX(Model!$C$5:$C$504,MATCH(ROWS($A$5:A87),Model!$AD$5:$AD$504,0)))</f>
        <v/>
      </c>
      <c r="C87" s="18">
        <f>IF(A87="","",INDEX(Model!$D$5:$D$504,MATCH(ROWS($A$5:A87),Model!$AD$5:$AD$504,0)))</f>
        <v/>
      </c>
      <c r="D87" s="18">
        <f>IF(A87="","",INDEX(Model!$E$5:$E$504,MATCH(ROWS($A$5:A87),Model!$AD$5:$AD$504,0)))</f>
        <v/>
      </c>
      <c r="E87" s="19">
        <f>IF(A87="","",INDEX(Model!$F$5:$F$504,MATCH(ROWS($A$5:A87),Model!$AD$5:$AD$504,0)))</f>
        <v/>
      </c>
      <c r="F87" s="19">
        <f>IF(A87="","",INDEX(Model!$G$5:$G$504,MATCH(ROWS($A$5:A87),Model!$AD$5:$AD$504,0)))</f>
        <v/>
      </c>
      <c r="G87" s="18">
        <f>IF(A87="","",INDEX(Model!$H$5:$H$504,MATCH(ROWS($A$5:A87),Model!$AD$5:$AD$504,0)))</f>
        <v/>
      </c>
      <c r="H87" s="18">
        <f>IF(A87="","",INDEX(Model!$L$5:$L$504,MATCH(ROWS($A$5:A87),Model!$AD$5:$AD$504,0)))</f>
        <v/>
      </c>
      <c r="I87" s="20">
        <f>IF(A87="","",INDEX(Model!$P$5:$P$504,MATCH(ROWS($A$5:A87),Model!$AD$5:$AD$504,0)))</f>
        <v/>
      </c>
      <c r="J87" s="20">
        <f>IF(A87="","",INDEX(Model!$Q$5:$Q$504,MATCH(ROWS($A$5:A87),Model!$AD$5:$AD$504,0)))</f>
        <v/>
      </c>
      <c r="K87" s="21">
        <f>IF(A87="","",INDEX(Model!$R$5:$R$504,MATCH(ROWS($A$5:A87),Model!$AD$5:$AD$504,0)))</f>
        <v/>
      </c>
      <c r="L87" s="20">
        <f>IF(A87="","",INDEX(Model!$S$5:$S$504,MATCH(ROWS($A$5:A87),Model!$AD$5:$AD$504,0)))</f>
        <v/>
      </c>
      <c r="M87" s="21">
        <f>IF(A87="","",INDEX(Model!$T$5:$T$504,MATCH(ROWS($A$5:A87),Model!$AD$5:$AD$504,0)))</f>
        <v/>
      </c>
      <c r="N87" s="18">
        <f>IF(A87="","",INDEX(Model!$U$5:$U$504,MATCH(ROWS($A$5:A87),Model!$AD$5:$AD$504,0)))</f>
        <v/>
      </c>
      <c r="O87" s="18">
        <f>IF(A87="","",INDEX(Model!$V$5:$V$504,MATCH(ROWS($A$5:A87),Model!$AD$5:$AD$504,0)))</f>
        <v/>
      </c>
      <c r="P87" s="18">
        <f>IF(A87="","",INDEX(Model!$W$5:$W$504,MATCH(ROWS($A$5:A87),Model!$AD$5:$AD$504,0)))</f>
        <v/>
      </c>
      <c r="Q87" s="18">
        <f>IF(A87="","",INDEX(Model!$X$5:$X$504,MATCH(ROWS($A$5:A87),Model!$AD$5:$AD$504,0)))</f>
        <v/>
      </c>
      <c r="R87" s="18">
        <f>IF(A87="","",INDEX(Model!$Y$5:$Y$504,MATCH(ROWS($A$5:A87),Model!$AD$5:$AD$504,0)))</f>
        <v/>
      </c>
      <c r="S87" s="21">
        <f>IF(A87="","",INDEX(Model!$Z$5:$Z$504,MATCH(ROWS($A$5:A87),Model!$AD$5:$AD$504,0)))</f>
        <v/>
      </c>
      <c r="T87" s="18">
        <f>IF(A87="","",INDEX(Model!$AA$5:$AA$504,MATCH(ROWS($A$5:A87),Model!$AD$5:$AD$504,0)))</f>
        <v/>
      </c>
      <c r="U87" s="13" t="n"/>
      <c r="V87" s="13" t="n"/>
      <c r="W87" s="13" t="n"/>
    </row>
    <row r="88">
      <c r="A88" s="18">
        <f>IFERROR(INDEX(Model!$B$5:$B$504,MATCH(ROWS($A$5:A88),Model!$AD$5:$AD$504,0)),"")</f>
        <v/>
      </c>
      <c r="B88" s="18">
        <f>IF(A88="","",INDEX(Model!$C$5:$C$504,MATCH(ROWS($A$5:A88),Model!$AD$5:$AD$504,0)))</f>
        <v/>
      </c>
      <c r="C88" s="18">
        <f>IF(A88="","",INDEX(Model!$D$5:$D$504,MATCH(ROWS($A$5:A88),Model!$AD$5:$AD$504,0)))</f>
        <v/>
      </c>
      <c r="D88" s="18">
        <f>IF(A88="","",INDEX(Model!$E$5:$E$504,MATCH(ROWS($A$5:A88),Model!$AD$5:$AD$504,0)))</f>
        <v/>
      </c>
      <c r="E88" s="19">
        <f>IF(A88="","",INDEX(Model!$F$5:$F$504,MATCH(ROWS($A$5:A88),Model!$AD$5:$AD$504,0)))</f>
        <v/>
      </c>
      <c r="F88" s="19">
        <f>IF(A88="","",INDEX(Model!$G$5:$G$504,MATCH(ROWS($A$5:A88),Model!$AD$5:$AD$504,0)))</f>
        <v/>
      </c>
      <c r="G88" s="18">
        <f>IF(A88="","",INDEX(Model!$H$5:$H$504,MATCH(ROWS($A$5:A88),Model!$AD$5:$AD$504,0)))</f>
        <v/>
      </c>
      <c r="H88" s="18">
        <f>IF(A88="","",INDEX(Model!$L$5:$L$504,MATCH(ROWS($A$5:A88),Model!$AD$5:$AD$504,0)))</f>
        <v/>
      </c>
      <c r="I88" s="20">
        <f>IF(A88="","",INDEX(Model!$P$5:$P$504,MATCH(ROWS($A$5:A88),Model!$AD$5:$AD$504,0)))</f>
        <v/>
      </c>
      <c r="J88" s="20">
        <f>IF(A88="","",INDEX(Model!$Q$5:$Q$504,MATCH(ROWS($A$5:A88),Model!$AD$5:$AD$504,0)))</f>
        <v/>
      </c>
      <c r="K88" s="21">
        <f>IF(A88="","",INDEX(Model!$R$5:$R$504,MATCH(ROWS($A$5:A88),Model!$AD$5:$AD$504,0)))</f>
        <v/>
      </c>
      <c r="L88" s="20">
        <f>IF(A88="","",INDEX(Model!$S$5:$S$504,MATCH(ROWS($A$5:A88),Model!$AD$5:$AD$504,0)))</f>
        <v/>
      </c>
      <c r="M88" s="21">
        <f>IF(A88="","",INDEX(Model!$T$5:$T$504,MATCH(ROWS($A$5:A88),Model!$AD$5:$AD$504,0)))</f>
        <v/>
      </c>
      <c r="N88" s="18">
        <f>IF(A88="","",INDEX(Model!$U$5:$U$504,MATCH(ROWS($A$5:A88),Model!$AD$5:$AD$504,0)))</f>
        <v/>
      </c>
      <c r="O88" s="18">
        <f>IF(A88="","",INDEX(Model!$V$5:$V$504,MATCH(ROWS($A$5:A88),Model!$AD$5:$AD$504,0)))</f>
        <v/>
      </c>
      <c r="P88" s="18">
        <f>IF(A88="","",INDEX(Model!$W$5:$W$504,MATCH(ROWS($A$5:A88),Model!$AD$5:$AD$504,0)))</f>
        <v/>
      </c>
      <c r="Q88" s="18">
        <f>IF(A88="","",INDEX(Model!$X$5:$X$504,MATCH(ROWS($A$5:A88),Model!$AD$5:$AD$504,0)))</f>
        <v/>
      </c>
      <c r="R88" s="18">
        <f>IF(A88="","",INDEX(Model!$Y$5:$Y$504,MATCH(ROWS($A$5:A88),Model!$AD$5:$AD$504,0)))</f>
        <v/>
      </c>
      <c r="S88" s="21">
        <f>IF(A88="","",INDEX(Model!$Z$5:$Z$504,MATCH(ROWS($A$5:A88),Model!$AD$5:$AD$504,0)))</f>
        <v/>
      </c>
      <c r="T88" s="18">
        <f>IF(A88="","",INDEX(Model!$AA$5:$AA$504,MATCH(ROWS($A$5:A88),Model!$AD$5:$AD$504,0)))</f>
        <v/>
      </c>
      <c r="U88" s="13" t="n"/>
      <c r="V88" s="13" t="n"/>
      <c r="W88" s="13" t="n"/>
    </row>
    <row r="89">
      <c r="A89" s="18">
        <f>IFERROR(INDEX(Model!$B$5:$B$504,MATCH(ROWS($A$5:A89),Model!$AD$5:$AD$504,0)),"")</f>
        <v/>
      </c>
      <c r="B89" s="18">
        <f>IF(A89="","",INDEX(Model!$C$5:$C$504,MATCH(ROWS($A$5:A89),Model!$AD$5:$AD$504,0)))</f>
        <v/>
      </c>
      <c r="C89" s="18">
        <f>IF(A89="","",INDEX(Model!$D$5:$D$504,MATCH(ROWS($A$5:A89),Model!$AD$5:$AD$504,0)))</f>
        <v/>
      </c>
      <c r="D89" s="18">
        <f>IF(A89="","",INDEX(Model!$E$5:$E$504,MATCH(ROWS($A$5:A89),Model!$AD$5:$AD$504,0)))</f>
        <v/>
      </c>
      <c r="E89" s="19">
        <f>IF(A89="","",INDEX(Model!$F$5:$F$504,MATCH(ROWS($A$5:A89),Model!$AD$5:$AD$504,0)))</f>
        <v/>
      </c>
      <c r="F89" s="19">
        <f>IF(A89="","",INDEX(Model!$G$5:$G$504,MATCH(ROWS($A$5:A89),Model!$AD$5:$AD$504,0)))</f>
        <v/>
      </c>
      <c r="G89" s="18">
        <f>IF(A89="","",INDEX(Model!$H$5:$H$504,MATCH(ROWS($A$5:A89),Model!$AD$5:$AD$504,0)))</f>
        <v/>
      </c>
      <c r="H89" s="18">
        <f>IF(A89="","",INDEX(Model!$L$5:$L$504,MATCH(ROWS($A$5:A89),Model!$AD$5:$AD$504,0)))</f>
        <v/>
      </c>
      <c r="I89" s="20">
        <f>IF(A89="","",INDEX(Model!$P$5:$P$504,MATCH(ROWS($A$5:A89),Model!$AD$5:$AD$504,0)))</f>
        <v/>
      </c>
      <c r="J89" s="20">
        <f>IF(A89="","",INDEX(Model!$Q$5:$Q$504,MATCH(ROWS($A$5:A89),Model!$AD$5:$AD$504,0)))</f>
        <v/>
      </c>
      <c r="K89" s="21">
        <f>IF(A89="","",INDEX(Model!$R$5:$R$504,MATCH(ROWS($A$5:A89),Model!$AD$5:$AD$504,0)))</f>
        <v/>
      </c>
      <c r="L89" s="20">
        <f>IF(A89="","",INDEX(Model!$S$5:$S$504,MATCH(ROWS($A$5:A89),Model!$AD$5:$AD$504,0)))</f>
        <v/>
      </c>
      <c r="M89" s="21">
        <f>IF(A89="","",INDEX(Model!$T$5:$T$504,MATCH(ROWS($A$5:A89),Model!$AD$5:$AD$504,0)))</f>
        <v/>
      </c>
      <c r="N89" s="18">
        <f>IF(A89="","",INDEX(Model!$U$5:$U$504,MATCH(ROWS($A$5:A89),Model!$AD$5:$AD$504,0)))</f>
        <v/>
      </c>
      <c r="O89" s="18">
        <f>IF(A89="","",INDEX(Model!$V$5:$V$504,MATCH(ROWS($A$5:A89),Model!$AD$5:$AD$504,0)))</f>
        <v/>
      </c>
      <c r="P89" s="18">
        <f>IF(A89="","",INDEX(Model!$W$5:$W$504,MATCH(ROWS($A$5:A89),Model!$AD$5:$AD$504,0)))</f>
        <v/>
      </c>
      <c r="Q89" s="18">
        <f>IF(A89="","",INDEX(Model!$X$5:$X$504,MATCH(ROWS($A$5:A89),Model!$AD$5:$AD$504,0)))</f>
        <v/>
      </c>
      <c r="R89" s="18">
        <f>IF(A89="","",INDEX(Model!$Y$5:$Y$504,MATCH(ROWS($A$5:A89),Model!$AD$5:$AD$504,0)))</f>
        <v/>
      </c>
      <c r="S89" s="21">
        <f>IF(A89="","",INDEX(Model!$Z$5:$Z$504,MATCH(ROWS($A$5:A89),Model!$AD$5:$AD$504,0)))</f>
        <v/>
      </c>
      <c r="T89" s="18">
        <f>IF(A89="","",INDEX(Model!$AA$5:$AA$504,MATCH(ROWS($A$5:A89),Model!$AD$5:$AD$504,0)))</f>
        <v/>
      </c>
      <c r="U89" s="13" t="n"/>
      <c r="V89" s="13" t="n"/>
      <c r="W89" s="13" t="n"/>
    </row>
    <row r="90">
      <c r="A90" s="18">
        <f>IFERROR(INDEX(Model!$B$5:$B$504,MATCH(ROWS($A$5:A90),Model!$AD$5:$AD$504,0)),"")</f>
        <v/>
      </c>
      <c r="B90" s="18">
        <f>IF(A90="","",INDEX(Model!$C$5:$C$504,MATCH(ROWS($A$5:A90),Model!$AD$5:$AD$504,0)))</f>
        <v/>
      </c>
      <c r="C90" s="18">
        <f>IF(A90="","",INDEX(Model!$D$5:$D$504,MATCH(ROWS($A$5:A90),Model!$AD$5:$AD$504,0)))</f>
        <v/>
      </c>
      <c r="D90" s="18">
        <f>IF(A90="","",INDEX(Model!$E$5:$E$504,MATCH(ROWS($A$5:A90),Model!$AD$5:$AD$504,0)))</f>
        <v/>
      </c>
      <c r="E90" s="19">
        <f>IF(A90="","",INDEX(Model!$F$5:$F$504,MATCH(ROWS($A$5:A90),Model!$AD$5:$AD$504,0)))</f>
        <v/>
      </c>
      <c r="F90" s="19">
        <f>IF(A90="","",INDEX(Model!$G$5:$G$504,MATCH(ROWS($A$5:A90),Model!$AD$5:$AD$504,0)))</f>
        <v/>
      </c>
      <c r="G90" s="18">
        <f>IF(A90="","",INDEX(Model!$H$5:$H$504,MATCH(ROWS($A$5:A90),Model!$AD$5:$AD$504,0)))</f>
        <v/>
      </c>
      <c r="H90" s="18">
        <f>IF(A90="","",INDEX(Model!$L$5:$L$504,MATCH(ROWS($A$5:A90),Model!$AD$5:$AD$504,0)))</f>
        <v/>
      </c>
      <c r="I90" s="20">
        <f>IF(A90="","",INDEX(Model!$P$5:$P$504,MATCH(ROWS($A$5:A90),Model!$AD$5:$AD$504,0)))</f>
        <v/>
      </c>
      <c r="J90" s="20">
        <f>IF(A90="","",INDEX(Model!$Q$5:$Q$504,MATCH(ROWS($A$5:A90),Model!$AD$5:$AD$504,0)))</f>
        <v/>
      </c>
      <c r="K90" s="21">
        <f>IF(A90="","",INDEX(Model!$R$5:$R$504,MATCH(ROWS($A$5:A90),Model!$AD$5:$AD$504,0)))</f>
        <v/>
      </c>
      <c r="L90" s="20">
        <f>IF(A90="","",INDEX(Model!$S$5:$S$504,MATCH(ROWS($A$5:A90),Model!$AD$5:$AD$504,0)))</f>
        <v/>
      </c>
      <c r="M90" s="21">
        <f>IF(A90="","",INDEX(Model!$T$5:$T$504,MATCH(ROWS($A$5:A90),Model!$AD$5:$AD$504,0)))</f>
        <v/>
      </c>
      <c r="N90" s="18">
        <f>IF(A90="","",INDEX(Model!$U$5:$U$504,MATCH(ROWS($A$5:A90),Model!$AD$5:$AD$504,0)))</f>
        <v/>
      </c>
      <c r="O90" s="18">
        <f>IF(A90="","",INDEX(Model!$V$5:$V$504,MATCH(ROWS($A$5:A90),Model!$AD$5:$AD$504,0)))</f>
        <v/>
      </c>
      <c r="P90" s="18">
        <f>IF(A90="","",INDEX(Model!$W$5:$W$504,MATCH(ROWS($A$5:A90),Model!$AD$5:$AD$504,0)))</f>
        <v/>
      </c>
      <c r="Q90" s="18">
        <f>IF(A90="","",INDEX(Model!$X$5:$X$504,MATCH(ROWS($A$5:A90),Model!$AD$5:$AD$504,0)))</f>
        <v/>
      </c>
      <c r="R90" s="18">
        <f>IF(A90="","",INDEX(Model!$Y$5:$Y$504,MATCH(ROWS($A$5:A90),Model!$AD$5:$AD$504,0)))</f>
        <v/>
      </c>
      <c r="S90" s="21">
        <f>IF(A90="","",INDEX(Model!$Z$5:$Z$504,MATCH(ROWS($A$5:A90),Model!$AD$5:$AD$504,0)))</f>
        <v/>
      </c>
      <c r="T90" s="18">
        <f>IF(A90="","",INDEX(Model!$AA$5:$AA$504,MATCH(ROWS($A$5:A90),Model!$AD$5:$AD$504,0)))</f>
        <v/>
      </c>
      <c r="U90" s="13" t="n"/>
      <c r="V90" s="13" t="n"/>
      <c r="W90" s="13" t="n"/>
    </row>
    <row r="91">
      <c r="A91" s="18">
        <f>IFERROR(INDEX(Model!$B$5:$B$504,MATCH(ROWS($A$5:A91),Model!$AD$5:$AD$504,0)),"")</f>
        <v/>
      </c>
      <c r="B91" s="18">
        <f>IF(A91="","",INDEX(Model!$C$5:$C$504,MATCH(ROWS($A$5:A91),Model!$AD$5:$AD$504,0)))</f>
        <v/>
      </c>
      <c r="C91" s="18">
        <f>IF(A91="","",INDEX(Model!$D$5:$D$504,MATCH(ROWS($A$5:A91),Model!$AD$5:$AD$504,0)))</f>
        <v/>
      </c>
      <c r="D91" s="18">
        <f>IF(A91="","",INDEX(Model!$E$5:$E$504,MATCH(ROWS($A$5:A91),Model!$AD$5:$AD$504,0)))</f>
        <v/>
      </c>
      <c r="E91" s="19">
        <f>IF(A91="","",INDEX(Model!$F$5:$F$504,MATCH(ROWS($A$5:A91),Model!$AD$5:$AD$504,0)))</f>
        <v/>
      </c>
      <c r="F91" s="19">
        <f>IF(A91="","",INDEX(Model!$G$5:$G$504,MATCH(ROWS($A$5:A91),Model!$AD$5:$AD$504,0)))</f>
        <v/>
      </c>
      <c r="G91" s="18">
        <f>IF(A91="","",INDEX(Model!$H$5:$H$504,MATCH(ROWS($A$5:A91),Model!$AD$5:$AD$504,0)))</f>
        <v/>
      </c>
      <c r="H91" s="18">
        <f>IF(A91="","",INDEX(Model!$L$5:$L$504,MATCH(ROWS($A$5:A91),Model!$AD$5:$AD$504,0)))</f>
        <v/>
      </c>
      <c r="I91" s="20">
        <f>IF(A91="","",INDEX(Model!$P$5:$P$504,MATCH(ROWS($A$5:A91),Model!$AD$5:$AD$504,0)))</f>
        <v/>
      </c>
      <c r="J91" s="20">
        <f>IF(A91="","",INDEX(Model!$Q$5:$Q$504,MATCH(ROWS($A$5:A91),Model!$AD$5:$AD$504,0)))</f>
        <v/>
      </c>
      <c r="K91" s="21">
        <f>IF(A91="","",INDEX(Model!$R$5:$R$504,MATCH(ROWS($A$5:A91),Model!$AD$5:$AD$504,0)))</f>
        <v/>
      </c>
      <c r="L91" s="20">
        <f>IF(A91="","",INDEX(Model!$S$5:$S$504,MATCH(ROWS($A$5:A91),Model!$AD$5:$AD$504,0)))</f>
        <v/>
      </c>
      <c r="M91" s="21">
        <f>IF(A91="","",INDEX(Model!$T$5:$T$504,MATCH(ROWS($A$5:A91),Model!$AD$5:$AD$504,0)))</f>
        <v/>
      </c>
      <c r="N91" s="18">
        <f>IF(A91="","",INDEX(Model!$U$5:$U$504,MATCH(ROWS($A$5:A91),Model!$AD$5:$AD$504,0)))</f>
        <v/>
      </c>
      <c r="O91" s="18">
        <f>IF(A91="","",INDEX(Model!$V$5:$V$504,MATCH(ROWS($A$5:A91),Model!$AD$5:$AD$504,0)))</f>
        <v/>
      </c>
      <c r="P91" s="18">
        <f>IF(A91="","",INDEX(Model!$W$5:$W$504,MATCH(ROWS($A$5:A91),Model!$AD$5:$AD$504,0)))</f>
        <v/>
      </c>
      <c r="Q91" s="18">
        <f>IF(A91="","",INDEX(Model!$X$5:$X$504,MATCH(ROWS($A$5:A91),Model!$AD$5:$AD$504,0)))</f>
        <v/>
      </c>
      <c r="R91" s="18">
        <f>IF(A91="","",INDEX(Model!$Y$5:$Y$504,MATCH(ROWS($A$5:A91),Model!$AD$5:$AD$504,0)))</f>
        <v/>
      </c>
      <c r="S91" s="21">
        <f>IF(A91="","",INDEX(Model!$Z$5:$Z$504,MATCH(ROWS($A$5:A91),Model!$AD$5:$AD$504,0)))</f>
        <v/>
      </c>
      <c r="T91" s="18">
        <f>IF(A91="","",INDEX(Model!$AA$5:$AA$504,MATCH(ROWS($A$5:A91),Model!$AD$5:$AD$504,0)))</f>
        <v/>
      </c>
      <c r="U91" s="13" t="n"/>
      <c r="V91" s="13" t="n"/>
      <c r="W91" s="13" t="n"/>
    </row>
    <row r="92">
      <c r="A92" s="18">
        <f>IFERROR(INDEX(Model!$B$5:$B$504,MATCH(ROWS($A$5:A92),Model!$AD$5:$AD$504,0)),"")</f>
        <v/>
      </c>
      <c r="B92" s="18">
        <f>IF(A92="","",INDEX(Model!$C$5:$C$504,MATCH(ROWS($A$5:A92),Model!$AD$5:$AD$504,0)))</f>
        <v/>
      </c>
      <c r="C92" s="18">
        <f>IF(A92="","",INDEX(Model!$D$5:$D$504,MATCH(ROWS($A$5:A92),Model!$AD$5:$AD$504,0)))</f>
        <v/>
      </c>
      <c r="D92" s="18">
        <f>IF(A92="","",INDEX(Model!$E$5:$E$504,MATCH(ROWS($A$5:A92),Model!$AD$5:$AD$504,0)))</f>
        <v/>
      </c>
      <c r="E92" s="19">
        <f>IF(A92="","",INDEX(Model!$F$5:$F$504,MATCH(ROWS($A$5:A92),Model!$AD$5:$AD$504,0)))</f>
        <v/>
      </c>
      <c r="F92" s="19">
        <f>IF(A92="","",INDEX(Model!$G$5:$G$504,MATCH(ROWS($A$5:A92),Model!$AD$5:$AD$504,0)))</f>
        <v/>
      </c>
      <c r="G92" s="18">
        <f>IF(A92="","",INDEX(Model!$H$5:$H$504,MATCH(ROWS($A$5:A92),Model!$AD$5:$AD$504,0)))</f>
        <v/>
      </c>
      <c r="H92" s="18">
        <f>IF(A92="","",INDEX(Model!$L$5:$L$504,MATCH(ROWS($A$5:A92),Model!$AD$5:$AD$504,0)))</f>
        <v/>
      </c>
      <c r="I92" s="20">
        <f>IF(A92="","",INDEX(Model!$P$5:$P$504,MATCH(ROWS($A$5:A92),Model!$AD$5:$AD$504,0)))</f>
        <v/>
      </c>
      <c r="J92" s="20">
        <f>IF(A92="","",INDEX(Model!$Q$5:$Q$504,MATCH(ROWS($A$5:A92),Model!$AD$5:$AD$504,0)))</f>
        <v/>
      </c>
      <c r="K92" s="21">
        <f>IF(A92="","",INDEX(Model!$R$5:$R$504,MATCH(ROWS($A$5:A92),Model!$AD$5:$AD$504,0)))</f>
        <v/>
      </c>
      <c r="L92" s="20">
        <f>IF(A92="","",INDEX(Model!$S$5:$S$504,MATCH(ROWS($A$5:A92),Model!$AD$5:$AD$504,0)))</f>
        <v/>
      </c>
      <c r="M92" s="21">
        <f>IF(A92="","",INDEX(Model!$T$5:$T$504,MATCH(ROWS($A$5:A92),Model!$AD$5:$AD$504,0)))</f>
        <v/>
      </c>
      <c r="N92" s="18">
        <f>IF(A92="","",INDEX(Model!$U$5:$U$504,MATCH(ROWS($A$5:A92),Model!$AD$5:$AD$504,0)))</f>
        <v/>
      </c>
      <c r="O92" s="18">
        <f>IF(A92="","",INDEX(Model!$V$5:$V$504,MATCH(ROWS($A$5:A92),Model!$AD$5:$AD$504,0)))</f>
        <v/>
      </c>
      <c r="P92" s="18">
        <f>IF(A92="","",INDEX(Model!$W$5:$W$504,MATCH(ROWS($A$5:A92),Model!$AD$5:$AD$504,0)))</f>
        <v/>
      </c>
      <c r="Q92" s="18">
        <f>IF(A92="","",INDEX(Model!$X$5:$X$504,MATCH(ROWS($A$5:A92),Model!$AD$5:$AD$504,0)))</f>
        <v/>
      </c>
      <c r="R92" s="18">
        <f>IF(A92="","",INDEX(Model!$Y$5:$Y$504,MATCH(ROWS($A$5:A92),Model!$AD$5:$AD$504,0)))</f>
        <v/>
      </c>
      <c r="S92" s="21">
        <f>IF(A92="","",INDEX(Model!$Z$5:$Z$504,MATCH(ROWS($A$5:A92),Model!$AD$5:$AD$504,0)))</f>
        <v/>
      </c>
      <c r="T92" s="18">
        <f>IF(A92="","",INDEX(Model!$AA$5:$AA$504,MATCH(ROWS($A$5:A92),Model!$AD$5:$AD$504,0)))</f>
        <v/>
      </c>
      <c r="U92" s="13" t="n"/>
      <c r="V92" s="13" t="n"/>
      <c r="W92" s="13" t="n"/>
    </row>
    <row r="93">
      <c r="A93" s="18">
        <f>IFERROR(INDEX(Model!$B$5:$B$504,MATCH(ROWS($A$5:A93),Model!$AD$5:$AD$504,0)),"")</f>
        <v/>
      </c>
      <c r="B93" s="18">
        <f>IF(A93="","",INDEX(Model!$C$5:$C$504,MATCH(ROWS($A$5:A93),Model!$AD$5:$AD$504,0)))</f>
        <v/>
      </c>
      <c r="C93" s="18">
        <f>IF(A93="","",INDEX(Model!$D$5:$D$504,MATCH(ROWS($A$5:A93),Model!$AD$5:$AD$504,0)))</f>
        <v/>
      </c>
      <c r="D93" s="18">
        <f>IF(A93="","",INDEX(Model!$E$5:$E$504,MATCH(ROWS($A$5:A93),Model!$AD$5:$AD$504,0)))</f>
        <v/>
      </c>
      <c r="E93" s="19">
        <f>IF(A93="","",INDEX(Model!$F$5:$F$504,MATCH(ROWS($A$5:A93),Model!$AD$5:$AD$504,0)))</f>
        <v/>
      </c>
      <c r="F93" s="19">
        <f>IF(A93="","",INDEX(Model!$G$5:$G$504,MATCH(ROWS($A$5:A93),Model!$AD$5:$AD$504,0)))</f>
        <v/>
      </c>
      <c r="G93" s="18">
        <f>IF(A93="","",INDEX(Model!$H$5:$H$504,MATCH(ROWS($A$5:A93),Model!$AD$5:$AD$504,0)))</f>
        <v/>
      </c>
      <c r="H93" s="18">
        <f>IF(A93="","",INDEX(Model!$L$5:$L$504,MATCH(ROWS($A$5:A93),Model!$AD$5:$AD$504,0)))</f>
        <v/>
      </c>
      <c r="I93" s="20">
        <f>IF(A93="","",INDEX(Model!$P$5:$P$504,MATCH(ROWS($A$5:A93),Model!$AD$5:$AD$504,0)))</f>
        <v/>
      </c>
      <c r="J93" s="20">
        <f>IF(A93="","",INDEX(Model!$Q$5:$Q$504,MATCH(ROWS($A$5:A93),Model!$AD$5:$AD$504,0)))</f>
        <v/>
      </c>
      <c r="K93" s="21">
        <f>IF(A93="","",INDEX(Model!$R$5:$R$504,MATCH(ROWS($A$5:A93),Model!$AD$5:$AD$504,0)))</f>
        <v/>
      </c>
      <c r="L93" s="20">
        <f>IF(A93="","",INDEX(Model!$S$5:$S$504,MATCH(ROWS($A$5:A93),Model!$AD$5:$AD$504,0)))</f>
        <v/>
      </c>
      <c r="M93" s="21">
        <f>IF(A93="","",INDEX(Model!$T$5:$T$504,MATCH(ROWS($A$5:A93),Model!$AD$5:$AD$504,0)))</f>
        <v/>
      </c>
      <c r="N93" s="18">
        <f>IF(A93="","",INDEX(Model!$U$5:$U$504,MATCH(ROWS($A$5:A93),Model!$AD$5:$AD$504,0)))</f>
        <v/>
      </c>
      <c r="O93" s="18">
        <f>IF(A93="","",INDEX(Model!$V$5:$V$504,MATCH(ROWS($A$5:A93),Model!$AD$5:$AD$504,0)))</f>
        <v/>
      </c>
      <c r="P93" s="18">
        <f>IF(A93="","",INDEX(Model!$W$5:$W$504,MATCH(ROWS($A$5:A93),Model!$AD$5:$AD$504,0)))</f>
        <v/>
      </c>
      <c r="Q93" s="18">
        <f>IF(A93="","",INDEX(Model!$X$5:$X$504,MATCH(ROWS($A$5:A93),Model!$AD$5:$AD$504,0)))</f>
        <v/>
      </c>
      <c r="R93" s="18">
        <f>IF(A93="","",INDEX(Model!$Y$5:$Y$504,MATCH(ROWS($A$5:A93),Model!$AD$5:$AD$504,0)))</f>
        <v/>
      </c>
      <c r="S93" s="21">
        <f>IF(A93="","",INDEX(Model!$Z$5:$Z$504,MATCH(ROWS($A$5:A93),Model!$AD$5:$AD$504,0)))</f>
        <v/>
      </c>
      <c r="T93" s="18">
        <f>IF(A93="","",INDEX(Model!$AA$5:$AA$504,MATCH(ROWS($A$5:A93),Model!$AD$5:$AD$504,0)))</f>
        <v/>
      </c>
      <c r="U93" s="13" t="n"/>
      <c r="V93" s="13" t="n"/>
      <c r="W93" s="13" t="n"/>
    </row>
    <row r="94">
      <c r="A94" s="18">
        <f>IFERROR(INDEX(Model!$B$5:$B$504,MATCH(ROWS($A$5:A94),Model!$AD$5:$AD$504,0)),"")</f>
        <v/>
      </c>
      <c r="B94" s="18">
        <f>IF(A94="","",INDEX(Model!$C$5:$C$504,MATCH(ROWS($A$5:A94),Model!$AD$5:$AD$504,0)))</f>
        <v/>
      </c>
      <c r="C94" s="18">
        <f>IF(A94="","",INDEX(Model!$D$5:$D$504,MATCH(ROWS($A$5:A94),Model!$AD$5:$AD$504,0)))</f>
        <v/>
      </c>
      <c r="D94" s="18">
        <f>IF(A94="","",INDEX(Model!$E$5:$E$504,MATCH(ROWS($A$5:A94),Model!$AD$5:$AD$504,0)))</f>
        <v/>
      </c>
      <c r="E94" s="19">
        <f>IF(A94="","",INDEX(Model!$F$5:$F$504,MATCH(ROWS($A$5:A94),Model!$AD$5:$AD$504,0)))</f>
        <v/>
      </c>
      <c r="F94" s="19">
        <f>IF(A94="","",INDEX(Model!$G$5:$G$504,MATCH(ROWS($A$5:A94),Model!$AD$5:$AD$504,0)))</f>
        <v/>
      </c>
      <c r="G94" s="18">
        <f>IF(A94="","",INDEX(Model!$H$5:$H$504,MATCH(ROWS($A$5:A94),Model!$AD$5:$AD$504,0)))</f>
        <v/>
      </c>
      <c r="H94" s="18">
        <f>IF(A94="","",INDEX(Model!$L$5:$L$504,MATCH(ROWS($A$5:A94),Model!$AD$5:$AD$504,0)))</f>
        <v/>
      </c>
      <c r="I94" s="20">
        <f>IF(A94="","",INDEX(Model!$P$5:$P$504,MATCH(ROWS($A$5:A94),Model!$AD$5:$AD$504,0)))</f>
        <v/>
      </c>
      <c r="J94" s="20">
        <f>IF(A94="","",INDEX(Model!$Q$5:$Q$504,MATCH(ROWS($A$5:A94),Model!$AD$5:$AD$504,0)))</f>
        <v/>
      </c>
      <c r="K94" s="21">
        <f>IF(A94="","",INDEX(Model!$R$5:$R$504,MATCH(ROWS($A$5:A94),Model!$AD$5:$AD$504,0)))</f>
        <v/>
      </c>
      <c r="L94" s="20">
        <f>IF(A94="","",INDEX(Model!$S$5:$S$504,MATCH(ROWS($A$5:A94),Model!$AD$5:$AD$504,0)))</f>
        <v/>
      </c>
      <c r="M94" s="21">
        <f>IF(A94="","",INDEX(Model!$T$5:$T$504,MATCH(ROWS($A$5:A94),Model!$AD$5:$AD$504,0)))</f>
        <v/>
      </c>
      <c r="N94" s="18">
        <f>IF(A94="","",INDEX(Model!$U$5:$U$504,MATCH(ROWS($A$5:A94),Model!$AD$5:$AD$504,0)))</f>
        <v/>
      </c>
      <c r="O94" s="18">
        <f>IF(A94="","",INDEX(Model!$V$5:$V$504,MATCH(ROWS($A$5:A94),Model!$AD$5:$AD$504,0)))</f>
        <v/>
      </c>
      <c r="P94" s="18">
        <f>IF(A94="","",INDEX(Model!$W$5:$W$504,MATCH(ROWS($A$5:A94),Model!$AD$5:$AD$504,0)))</f>
        <v/>
      </c>
      <c r="Q94" s="18">
        <f>IF(A94="","",INDEX(Model!$X$5:$X$504,MATCH(ROWS($A$5:A94),Model!$AD$5:$AD$504,0)))</f>
        <v/>
      </c>
      <c r="R94" s="18">
        <f>IF(A94="","",INDEX(Model!$Y$5:$Y$504,MATCH(ROWS($A$5:A94),Model!$AD$5:$AD$504,0)))</f>
        <v/>
      </c>
      <c r="S94" s="21">
        <f>IF(A94="","",INDEX(Model!$Z$5:$Z$504,MATCH(ROWS($A$5:A94),Model!$AD$5:$AD$504,0)))</f>
        <v/>
      </c>
      <c r="T94" s="18">
        <f>IF(A94="","",INDEX(Model!$AA$5:$AA$504,MATCH(ROWS($A$5:A94),Model!$AD$5:$AD$504,0)))</f>
        <v/>
      </c>
      <c r="U94" s="13" t="n"/>
      <c r="V94" s="13" t="n"/>
      <c r="W94" s="13" t="n"/>
    </row>
    <row r="95">
      <c r="A95" s="18">
        <f>IFERROR(INDEX(Model!$B$5:$B$504,MATCH(ROWS($A$5:A95),Model!$AD$5:$AD$504,0)),"")</f>
        <v/>
      </c>
      <c r="B95" s="18">
        <f>IF(A95="","",INDEX(Model!$C$5:$C$504,MATCH(ROWS($A$5:A95),Model!$AD$5:$AD$504,0)))</f>
        <v/>
      </c>
      <c r="C95" s="18">
        <f>IF(A95="","",INDEX(Model!$D$5:$D$504,MATCH(ROWS($A$5:A95),Model!$AD$5:$AD$504,0)))</f>
        <v/>
      </c>
      <c r="D95" s="18">
        <f>IF(A95="","",INDEX(Model!$E$5:$E$504,MATCH(ROWS($A$5:A95),Model!$AD$5:$AD$504,0)))</f>
        <v/>
      </c>
      <c r="E95" s="19">
        <f>IF(A95="","",INDEX(Model!$F$5:$F$504,MATCH(ROWS($A$5:A95),Model!$AD$5:$AD$504,0)))</f>
        <v/>
      </c>
      <c r="F95" s="19">
        <f>IF(A95="","",INDEX(Model!$G$5:$G$504,MATCH(ROWS($A$5:A95),Model!$AD$5:$AD$504,0)))</f>
        <v/>
      </c>
      <c r="G95" s="18">
        <f>IF(A95="","",INDEX(Model!$H$5:$H$504,MATCH(ROWS($A$5:A95),Model!$AD$5:$AD$504,0)))</f>
        <v/>
      </c>
      <c r="H95" s="18">
        <f>IF(A95="","",INDEX(Model!$L$5:$L$504,MATCH(ROWS($A$5:A95),Model!$AD$5:$AD$504,0)))</f>
        <v/>
      </c>
      <c r="I95" s="20">
        <f>IF(A95="","",INDEX(Model!$P$5:$P$504,MATCH(ROWS($A$5:A95),Model!$AD$5:$AD$504,0)))</f>
        <v/>
      </c>
      <c r="J95" s="20">
        <f>IF(A95="","",INDEX(Model!$Q$5:$Q$504,MATCH(ROWS($A$5:A95),Model!$AD$5:$AD$504,0)))</f>
        <v/>
      </c>
      <c r="K95" s="21">
        <f>IF(A95="","",INDEX(Model!$R$5:$R$504,MATCH(ROWS($A$5:A95),Model!$AD$5:$AD$504,0)))</f>
        <v/>
      </c>
      <c r="L95" s="20">
        <f>IF(A95="","",INDEX(Model!$S$5:$S$504,MATCH(ROWS($A$5:A95),Model!$AD$5:$AD$504,0)))</f>
        <v/>
      </c>
      <c r="M95" s="21">
        <f>IF(A95="","",INDEX(Model!$T$5:$T$504,MATCH(ROWS($A$5:A95),Model!$AD$5:$AD$504,0)))</f>
        <v/>
      </c>
      <c r="N95" s="18">
        <f>IF(A95="","",INDEX(Model!$U$5:$U$504,MATCH(ROWS($A$5:A95),Model!$AD$5:$AD$504,0)))</f>
        <v/>
      </c>
      <c r="O95" s="18">
        <f>IF(A95="","",INDEX(Model!$V$5:$V$504,MATCH(ROWS($A$5:A95),Model!$AD$5:$AD$504,0)))</f>
        <v/>
      </c>
      <c r="P95" s="18">
        <f>IF(A95="","",INDEX(Model!$W$5:$W$504,MATCH(ROWS($A$5:A95),Model!$AD$5:$AD$504,0)))</f>
        <v/>
      </c>
      <c r="Q95" s="18">
        <f>IF(A95="","",INDEX(Model!$X$5:$X$504,MATCH(ROWS($A$5:A95),Model!$AD$5:$AD$504,0)))</f>
        <v/>
      </c>
      <c r="R95" s="18">
        <f>IF(A95="","",INDEX(Model!$Y$5:$Y$504,MATCH(ROWS($A$5:A95),Model!$AD$5:$AD$504,0)))</f>
        <v/>
      </c>
      <c r="S95" s="21">
        <f>IF(A95="","",INDEX(Model!$Z$5:$Z$504,MATCH(ROWS($A$5:A95),Model!$AD$5:$AD$504,0)))</f>
        <v/>
      </c>
      <c r="T95" s="18">
        <f>IF(A95="","",INDEX(Model!$AA$5:$AA$504,MATCH(ROWS($A$5:A95),Model!$AD$5:$AD$504,0)))</f>
        <v/>
      </c>
      <c r="U95" s="13" t="n"/>
      <c r="V95" s="13" t="n"/>
      <c r="W95" s="13" t="n"/>
    </row>
    <row r="96">
      <c r="A96" s="18">
        <f>IFERROR(INDEX(Model!$B$5:$B$504,MATCH(ROWS($A$5:A96),Model!$AD$5:$AD$504,0)),"")</f>
        <v/>
      </c>
      <c r="B96" s="18">
        <f>IF(A96="","",INDEX(Model!$C$5:$C$504,MATCH(ROWS($A$5:A96),Model!$AD$5:$AD$504,0)))</f>
        <v/>
      </c>
      <c r="C96" s="18">
        <f>IF(A96="","",INDEX(Model!$D$5:$D$504,MATCH(ROWS($A$5:A96),Model!$AD$5:$AD$504,0)))</f>
        <v/>
      </c>
      <c r="D96" s="18">
        <f>IF(A96="","",INDEX(Model!$E$5:$E$504,MATCH(ROWS($A$5:A96),Model!$AD$5:$AD$504,0)))</f>
        <v/>
      </c>
      <c r="E96" s="19">
        <f>IF(A96="","",INDEX(Model!$F$5:$F$504,MATCH(ROWS($A$5:A96),Model!$AD$5:$AD$504,0)))</f>
        <v/>
      </c>
      <c r="F96" s="19">
        <f>IF(A96="","",INDEX(Model!$G$5:$G$504,MATCH(ROWS($A$5:A96),Model!$AD$5:$AD$504,0)))</f>
        <v/>
      </c>
      <c r="G96" s="18">
        <f>IF(A96="","",INDEX(Model!$H$5:$H$504,MATCH(ROWS($A$5:A96),Model!$AD$5:$AD$504,0)))</f>
        <v/>
      </c>
      <c r="H96" s="18">
        <f>IF(A96="","",INDEX(Model!$L$5:$L$504,MATCH(ROWS($A$5:A96),Model!$AD$5:$AD$504,0)))</f>
        <v/>
      </c>
      <c r="I96" s="20">
        <f>IF(A96="","",INDEX(Model!$P$5:$P$504,MATCH(ROWS($A$5:A96),Model!$AD$5:$AD$504,0)))</f>
        <v/>
      </c>
      <c r="J96" s="20">
        <f>IF(A96="","",INDEX(Model!$Q$5:$Q$504,MATCH(ROWS($A$5:A96),Model!$AD$5:$AD$504,0)))</f>
        <v/>
      </c>
      <c r="K96" s="21">
        <f>IF(A96="","",INDEX(Model!$R$5:$R$504,MATCH(ROWS($A$5:A96),Model!$AD$5:$AD$504,0)))</f>
        <v/>
      </c>
      <c r="L96" s="20">
        <f>IF(A96="","",INDEX(Model!$S$5:$S$504,MATCH(ROWS($A$5:A96),Model!$AD$5:$AD$504,0)))</f>
        <v/>
      </c>
      <c r="M96" s="21">
        <f>IF(A96="","",INDEX(Model!$T$5:$T$504,MATCH(ROWS($A$5:A96),Model!$AD$5:$AD$504,0)))</f>
        <v/>
      </c>
      <c r="N96" s="18">
        <f>IF(A96="","",INDEX(Model!$U$5:$U$504,MATCH(ROWS($A$5:A96),Model!$AD$5:$AD$504,0)))</f>
        <v/>
      </c>
      <c r="O96" s="18">
        <f>IF(A96="","",INDEX(Model!$V$5:$V$504,MATCH(ROWS($A$5:A96),Model!$AD$5:$AD$504,0)))</f>
        <v/>
      </c>
      <c r="P96" s="18">
        <f>IF(A96="","",INDEX(Model!$W$5:$W$504,MATCH(ROWS($A$5:A96),Model!$AD$5:$AD$504,0)))</f>
        <v/>
      </c>
      <c r="Q96" s="18">
        <f>IF(A96="","",INDEX(Model!$X$5:$X$504,MATCH(ROWS($A$5:A96),Model!$AD$5:$AD$504,0)))</f>
        <v/>
      </c>
      <c r="R96" s="18">
        <f>IF(A96="","",INDEX(Model!$Y$5:$Y$504,MATCH(ROWS($A$5:A96),Model!$AD$5:$AD$504,0)))</f>
        <v/>
      </c>
      <c r="S96" s="21">
        <f>IF(A96="","",INDEX(Model!$Z$5:$Z$504,MATCH(ROWS($A$5:A96),Model!$AD$5:$AD$504,0)))</f>
        <v/>
      </c>
      <c r="T96" s="18">
        <f>IF(A96="","",INDEX(Model!$AA$5:$AA$504,MATCH(ROWS($A$5:A96),Model!$AD$5:$AD$504,0)))</f>
        <v/>
      </c>
      <c r="U96" s="13" t="n"/>
      <c r="V96" s="13" t="n"/>
      <c r="W96" s="13" t="n"/>
    </row>
    <row r="97">
      <c r="A97" s="18">
        <f>IFERROR(INDEX(Model!$B$5:$B$504,MATCH(ROWS($A$5:A97),Model!$AD$5:$AD$504,0)),"")</f>
        <v/>
      </c>
      <c r="B97" s="18">
        <f>IF(A97="","",INDEX(Model!$C$5:$C$504,MATCH(ROWS($A$5:A97),Model!$AD$5:$AD$504,0)))</f>
        <v/>
      </c>
      <c r="C97" s="18">
        <f>IF(A97="","",INDEX(Model!$D$5:$D$504,MATCH(ROWS($A$5:A97),Model!$AD$5:$AD$504,0)))</f>
        <v/>
      </c>
      <c r="D97" s="18">
        <f>IF(A97="","",INDEX(Model!$E$5:$E$504,MATCH(ROWS($A$5:A97),Model!$AD$5:$AD$504,0)))</f>
        <v/>
      </c>
      <c r="E97" s="19">
        <f>IF(A97="","",INDEX(Model!$F$5:$F$504,MATCH(ROWS($A$5:A97),Model!$AD$5:$AD$504,0)))</f>
        <v/>
      </c>
      <c r="F97" s="19">
        <f>IF(A97="","",INDEX(Model!$G$5:$G$504,MATCH(ROWS($A$5:A97),Model!$AD$5:$AD$504,0)))</f>
        <v/>
      </c>
      <c r="G97" s="18">
        <f>IF(A97="","",INDEX(Model!$H$5:$H$504,MATCH(ROWS($A$5:A97),Model!$AD$5:$AD$504,0)))</f>
        <v/>
      </c>
      <c r="H97" s="18">
        <f>IF(A97="","",INDEX(Model!$L$5:$L$504,MATCH(ROWS($A$5:A97),Model!$AD$5:$AD$504,0)))</f>
        <v/>
      </c>
      <c r="I97" s="20">
        <f>IF(A97="","",INDEX(Model!$P$5:$P$504,MATCH(ROWS($A$5:A97),Model!$AD$5:$AD$504,0)))</f>
        <v/>
      </c>
      <c r="J97" s="20">
        <f>IF(A97="","",INDEX(Model!$Q$5:$Q$504,MATCH(ROWS($A$5:A97),Model!$AD$5:$AD$504,0)))</f>
        <v/>
      </c>
      <c r="K97" s="21">
        <f>IF(A97="","",INDEX(Model!$R$5:$R$504,MATCH(ROWS($A$5:A97),Model!$AD$5:$AD$504,0)))</f>
        <v/>
      </c>
      <c r="L97" s="20">
        <f>IF(A97="","",INDEX(Model!$S$5:$S$504,MATCH(ROWS($A$5:A97),Model!$AD$5:$AD$504,0)))</f>
        <v/>
      </c>
      <c r="M97" s="21">
        <f>IF(A97="","",INDEX(Model!$T$5:$T$504,MATCH(ROWS($A$5:A97),Model!$AD$5:$AD$504,0)))</f>
        <v/>
      </c>
      <c r="N97" s="18">
        <f>IF(A97="","",INDEX(Model!$U$5:$U$504,MATCH(ROWS($A$5:A97),Model!$AD$5:$AD$504,0)))</f>
        <v/>
      </c>
      <c r="O97" s="18">
        <f>IF(A97="","",INDEX(Model!$V$5:$V$504,MATCH(ROWS($A$5:A97),Model!$AD$5:$AD$504,0)))</f>
        <v/>
      </c>
      <c r="P97" s="18">
        <f>IF(A97="","",INDEX(Model!$W$5:$W$504,MATCH(ROWS($A$5:A97),Model!$AD$5:$AD$504,0)))</f>
        <v/>
      </c>
      <c r="Q97" s="18">
        <f>IF(A97="","",INDEX(Model!$X$5:$X$504,MATCH(ROWS($A$5:A97),Model!$AD$5:$AD$504,0)))</f>
        <v/>
      </c>
      <c r="R97" s="18">
        <f>IF(A97="","",INDEX(Model!$Y$5:$Y$504,MATCH(ROWS($A$5:A97),Model!$AD$5:$AD$504,0)))</f>
        <v/>
      </c>
      <c r="S97" s="21">
        <f>IF(A97="","",INDEX(Model!$Z$5:$Z$504,MATCH(ROWS($A$5:A97),Model!$AD$5:$AD$504,0)))</f>
        <v/>
      </c>
      <c r="T97" s="18">
        <f>IF(A97="","",INDEX(Model!$AA$5:$AA$504,MATCH(ROWS($A$5:A97),Model!$AD$5:$AD$504,0)))</f>
        <v/>
      </c>
      <c r="U97" s="13" t="n"/>
      <c r="V97" s="13" t="n"/>
      <c r="W97" s="13" t="n"/>
    </row>
    <row r="98">
      <c r="A98" s="18">
        <f>IFERROR(INDEX(Model!$B$5:$B$504,MATCH(ROWS($A$5:A98),Model!$AD$5:$AD$504,0)),"")</f>
        <v/>
      </c>
      <c r="B98" s="18">
        <f>IF(A98="","",INDEX(Model!$C$5:$C$504,MATCH(ROWS($A$5:A98),Model!$AD$5:$AD$504,0)))</f>
        <v/>
      </c>
      <c r="C98" s="18">
        <f>IF(A98="","",INDEX(Model!$D$5:$D$504,MATCH(ROWS($A$5:A98),Model!$AD$5:$AD$504,0)))</f>
        <v/>
      </c>
      <c r="D98" s="18">
        <f>IF(A98="","",INDEX(Model!$E$5:$E$504,MATCH(ROWS($A$5:A98),Model!$AD$5:$AD$504,0)))</f>
        <v/>
      </c>
      <c r="E98" s="19">
        <f>IF(A98="","",INDEX(Model!$F$5:$F$504,MATCH(ROWS($A$5:A98),Model!$AD$5:$AD$504,0)))</f>
        <v/>
      </c>
      <c r="F98" s="19">
        <f>IF(A98="","",INDEX(Model!$G$5:$G$504,MATCH(ROWS($A$5:A98),Model!$AD$5:$AD$504,0)))</f>
        <v/>
      </c>
      <c r="G98" s="18">
        <f>IF(A98="","",INDEX(Model!$H$5:$H$504,MATCH(ROWS($A$5:A98),Model!$AD$5:$AD$504,0)))</f>
        <v/>
      </c>
      <c r="H98" s="18">
        <f>IF(A98="","",INDEX(Model!$L$5:$L$504,MATCH(ROWS($A$5:A98),Model!$AD$5:$AD$504,0)))</f>
        <v/>
      </c>
      <c r="I98" s="20">
        <f>IF(A98="","",INDEX(Model!$P$5:$P$504,MATCH(ROWS($A$5:A98),Model!$AD$5:$AD$504,0)))</f>
        <v/>
      </c>
      <c r="J98" s="20">
        <f>IF(A98="","",INDEX(Model!$Q$5:$Q$504,MATCH(ROWS($A$5:A98),Model!$AD$5:$AD$504,0)))</f>
        <v/>
      </c>
      <c r="K98" s="21">
        <f>IF(A98="","",INDEX(Model!$R$5:$R$504,MATCH(ROWS($A$5:A98),Model!$AD$5:$AD$504,0)))</f>
        <v/>
      </c>
      <c r="L98" s="20">
        <f>IF(A98="","",INDEX(Model!$S$5:$S$504,MATCH(ROWS($A$5:A98),Model!$AD$5:$AD$504,0)))</f>
        <v/>
      </c>
      <c r="M98" s="21">
        <f>IF(A98="","",INDEX(Model!$T$5:$T$504,MATCH(ROWS($A$5:A98),Model!$AD$5:$AD$504,0)))</f>
        <v/>
      </c>
      <c r="N98" s="18">
        <f>IF(A98="","",INDEX(Model!$U$5:$U$504,MATCH(ROWS($A$5:A98),Model!$AD$5:$AD$504,0)))</f>
        <v/>
      </c>
      <c r="O98" s="18">
        <f>IF(A98="","",INDEX(Model!$V$5:$V$504,MATCH(ROWS($A$5:A98),Model!$AD$5:$AD$504,0)))</f>
        <v/>
      </c>
      <c r="P98" s="18">
        <f>IF(A98="","",INDEX(Model!$W$5:$W$504,MATCH(ROWS($A$5:A98),Model!$AD$5:$AD$504,0)))</f>
        <v/>
      </c>
      <c r="Q98" s="18">
        <f>IF(A98="","",INDEX(Model!$X$5:$X$504,MATCH(ROWS($A$5:A98),Model!$AD$5:$AD$504,0)))</f>
        <v/>
      </c>
      <c r="R98" s="18">
        <f>IF(A98="","",INDEX(Model!$Y$5:$Y$504,MATCH(ROWS($A$5:A98),Model!$AD$5:$AD$504,0)))</f>
        <v/>
      </c>
      <c r="S98" s="21">
        <f>IF(A98="","",INDEX(Model!$Z$5:$Z$504,MATCH(ROWS($A$5:A98),Model!$AD$5:$AD$504,0)))</f>
        <v/>
      </c>
      <c r="T98" s="18">
        <f>IF(A98="","",INDEX(Model!$AA$5:$AA$504,MATCH(ROWS($A$5:A98),Model!$AD$5:$AD$504,0)))</f>
        <v/>
      </c>
      <c r="U98" s="13" t="n"/>
      <c r="V98" s="13" t="n"/>
      <c r="W98" s="13" t="n"/>
    </row>
    <row r="99">
      <c r="A99" s="18">
        <f>IFERROR(INDEX(Model!$B$5:$B$504,MATCH(ROWS($A$5:A99),Model!$AD$5:$AD$504,0)),"")</f>
        <v/>
      </c>
      <c r="B99" s="18">
        <f>IF(A99="","",INDEX(Model!$C$5:$C$504,MATCH(ROWS($A$5:A99),Model!$AD$5:$AD$504,0)))</f>
        <v/>
      </c>
      <c r="C99" s="18">
        <f>IF(A99="","",INDEX(Model!$D$5:$D$504,MATCH(ROWS($A$5:A99),Model!$AD$5:$AD$504,0)))</f>
        <v/>
      </c>
      <c r="D99" s="18">
        <f>IF(A99="","",INDEX(Model!$E$5:$E$504,MATCH(ROWS($A$5:A99),Model!$AD$5:$AD$504,0)))</f>
        <v/>
      </c>
      <c r="E99" s="19">
        <f>IF(A99="","",INDEX(Model!$F$5:$F$504,MATCH(ROWS($A$5:A99),Model!$AD$5:$AD$504,0)))</f>
        <v/>
      </c>
      <c r="F99" s="19">
        <f>IF(A99="","",INDEX(Model!$G$5:$G$504,MATCH(ROWS($A$5:A99),Model!$AD$5:$AD$504,0)))</f>
        <v/>
      </c>
      <c r="G99" s="18">
        <f>IF(A99="","",INDEX(Model!$H$5:$H$504,MATCH(ROWS($A$5:A99),Model!$AD$5:$AD$504,0)))</f>
        <v/>
      </c>
      <c r="H99" s="18">
        <f>IF(A99="","",INDEX(Model!$L$5:$L$504,MATCH(ROWS($A$5:A99),Model!$AD$5:$AD$504,0)))</f>
        <v/>
      </c>
      <c r="I99" s="20">
        <f>IF(A99="","",INDEX(Model!$P$5:$P$504,MATCH(ROWS($A$5:A99),Model!$AD$5:$AD$504,0)))</f>
        <v/>
      </c>
      <c r="J99" s="20">
        <f>IF(A99="","",INDEX(Model!$Q$5:$Q$504,MATCH(ROWS($A$5:A99),Model!$AD$5:$AD$504,0)))</f>
        <v/>
      </c>
      <c r="K99" s="21">
        <f>IF(A99="","",INDEX(Model!$R$5:$R$504,MATCH(ROWS($A$5:A99),Model!$AD$5:$AD$504,0)))</f>
        <v/>
      </c>
      <c r="L99" s="20">
        <f>IF(A99="","",INDEX(Model!$S$5:$S$504,MATCH(ROWS($A$5:A99),Model!$AD$5:$AD$504,0)))</f>
        <v/>
      </c>
      <c r="M99" s="21">
        <f>IF(A99="","",INDEX(Model!$T$5:$T$504,MATCH(ROWS($A$5:A99),Model!$AD$5:$AD$504,0)))</f>
        <v/>
      </c>
      <c r="N99" s="18">
        <f>IF(A99="","",INDEX(Model!$U$5:$U$504,MATCH(ROWS($A$5:A99),Model!$AD$5:$AD$504,0)))</f>
        <v/>
      </c>
      <c r="O99" s="18">
        <f>IF(A99="","",INDEX(Model!$V$5:$V$504,MATCH(ROWS($A$5:A99),Model!$AD$5:$AD$504,0)))</f>
        <v/>
      </c>
      <c r="P99" s="18">
        <f>IF(A99="","",INDEX(Model!$W$5:$W$504,MATCH(ROWS($A$5:A99),Model!$AD$5:$AD$504,0)))</f>
        <v/>
      </c>
      <c r="Q99" s="18">
        <f>IF(A99="","",INDEX(Model!$X$5:$X$504,MATCH(ROWS($A$5:A99),Model!$AD$5:$AD$504,0)))</f>
        <v/>
      </c>
      <c r="R99" s="18">
        <f>IF(A99="","",INDEX(Model!$Y$5:$Y$504,MATCH(ROWS($A$5:A99),Model!$AD$5:$AD$504,0)))</f>
        <v/>
      </c>
      <c r="S99" s="21">
        <f>IF(A99="","",INDEX(Model!$Z$5:$Z$504,MATCH(ROWS($A$5:A99),Model!$AD$5:$AD$504,0)))</f>
        <v/>
      </c>
      <c r="T99" s="18">
        <f>IF(A99="","",INDEX(Model!$AA$5:$AA$504,MATCH(ROWS($A$5:A99),Model!$AD$5:$AD$504,0)))</f>
        <v/>
      </c>
      <c r="U99" s="13" t="n"/>
      <c r="V99" s="13" t="n"/>
      <c r="W99" s="13" t="n"/>
    </row>
    <row r="100">
      <c r="A100" s="18">
        <f>IFERROR(INDEX(Model!$B$5:$B$504,MATCH(ROWS($A$5:A100),Model!$AD$5:$AD$504,0)),"")</f>
        <v/>
      </c>
      <c r="B100" s="18">
        <f>IF(A100="","",INDEX(Model!$C$5:$C$504,MATCH(ROWS($A$5:A100),Model!$AD$5:$AD$504,0)))</f>
        <v/>
      </c>
      <c r="C100" s="18">
        <f>IF(A100="","",INDEX(Model!$D$5:$D$504,MATCH(ROWS($A$5:A100),Model!$AD$5:$AD$504,0)))</f>
        <v/>
      </c>
      <c r="D100" s="18">
        <f>IF(A100="","",INDEX(Model!$E$5:$E$504,MATCH(ROWS($A$5:A100),Model!$AD$5:$AD$504,0)))</f>
        <v/>
      </c>
      <c r="E100" s="19">
        <f>IF(A100="","",INDEX(Model!$F$5:$F$504,MATCH(ROWS($A$5:A100),Model!$AD$5:$AD$504,0)))</f>
        <v/>
      </c>
      <c r="F100" s="19">
        <f>IF(A100="","",INDEX(Model!$G$5:$G$504,MATCH(ROWS($A$5:A100),Model!$AD$5:$AD$504,0)))</f>
        <v/>
      </c>
      <c r="G100" s="18">
        <f>IF(A100="","",INDEX(Model!$H$5:$H$504,MATCH(ROWS($A$5:A100),Model!$AD$5:$AD$504,0)))</f>
        <v/>
      </c>
      <c r="H100" s="18">
        <f>IF(A100="","",INDEX(Model!$L$5:$L$504,MATCH(ROWS($A$5:A100),Model!$AD$5:$AD$504,0)))</f>
        <v/>
      </c>
      <c r="I100" s="20">
        <f>IF(A100="","",INDEX(Model!$P$5:$P$504,MATCH(ROWS($A$5:A100),Model!$AD$5:$AD$504,0)))</f>
        <v/>
      </c>
      <c r="J100" s="20">
        <f>IF(A100="","",INDEX(Model!$Q$5:$Q$504,MATCH(ROWS($A$5:A100),Model!$AD$5:$AD$504,0)))</f>
        <v/>
      </c>
      <c r="K100" s="21">
        <f>IF(A100="","",INDEX(Model!$R$5:$R$504,MATCH(ROWS($A$5:A100),Model!$AD$5:$AD$504,0)))</f>
        <v/>
      </c>
      <c r="L100" s="20">
        <f>IF(A100="","",INDEX(Model!$S$5:$S$504,MATCH(ROWS($A$5:A100),Model!$AD$5:$AD$504,0)))</f>
        <v/>
      </c>
      <c r="M100" s="21">
        <f>IF(A100="","",INDEX(Model!$T$5:$T$504,MATCH(ROWS($A$5:A100),Model!$AD$5:$AD$504,0)))</f>
        <v/>
      </c>
      <c r="N100" s="18">
        <f>IF(A100="","",INDEX(Model!$U$5:$U$504,MATCH(ROWS($A$5:A100),Model!$AD$5:$AD$504,0)))</f>
        <v/>
      </c>
      <c r="O100" s="18">
        <f>IF(A100="","",INDEX(Model!$V$5:$V$504,MATCH(ROWS($A$5:A100),Model!$AD$5:$AD$504,0)))</f>
        <v/>
      </c>
      <c r="P100" s="18">
        <f>IF(A100="","",INDEX(Model!$W$5:$W$504,MATCH(ROWS($A$5:A100),Model!$AD$5:$AD$504,0)))</f>
        <v/>
      </c>
      <c r="Q100" s="18">
        <f>IF(A100="","",INDEX(Model!$X$5:$X$504,MATCH(ROWS($A$5:A100),Model!$AD$5:$AD$504,0)))</f>
        <v/>
      </c>
      <c r="R100" s="18">
        <f>IF(A100="","",INDEX(Model!$Y$5:$Y$504,MATCH(ROWS($A$5:A100),Model!$AD$5:$AD$504,0)))</f>
        <v/>
      </c>
      <c r="S100" s="21">
        <f>IF(A100="","",INDEX(Model!$Z$5:$Z$504,MATCH(ROWS($A$5:A100),Model!$AD$5:$AD$504,0)))</f>
        <v/>
      </c>
      <c r="T100" s="18">
        <f>IF(A100="","",INDEX(Model!$AA$5:$AA$504,MATCH(ROWS($A$5:A100),Model!$AD$5:$AD$504,0)))</f>
        <v/>
      </c>
      <c r="U100" s="13" t="n"/>
      <c r="V100" s="13" t="n"/>
      <c r="W100" s="13" t="n"/>
    </row>
    <row r="101">
      <c r="A101" s="18">
        <f>IFERROR(INDEX(Model!$B$5:$B$504,MATCH(ROWS($A$5:A101),Model!$AD$5:$AD$504,0)),"")</f>
        <v/>
      </c>
      <c r="B101" s="18">
        <f>IF(A101="","",INDEX(Model!$C$5:$C$504,MATCH(ROWS($A$5:A101),Model!$AD$5:$AD$504,0)))</f>
        <v/>
      </c>
      <c r="C101" s="18">
        <f>IF(A101="","",INDEX(Model!$D$5:$D$504,MATCH(ROWS($A$5:A101),Model!$AD$5:$AD$504,0)))</f>
        <v/>
      </c>
      <c r="D101" s="18">
        <f>IF(A101="","",INDEX(Model!$E$5:$E$504,MATCH(ROWS($A$5:A101),Model!$AD$5:$AD$504,0)))</f>
        <v/>
      </c>
      <c r="E101" s="19">
        <f>IF(A101="","",INDEX(Model!$F$5:$F$504,MATCH(ROWS($A$5:A101),Model!$AD$5:$AD$504,0)))</f>
        <v/>
      </c>
      <c r="F101" s="19">
        <f>IF(A101="","",INDEX(Model!$G$5:$G$504,MATCH(ROWS($A$5:A101),Model!$AD$5:$AD$504,0)))</f>
        <v/>
      </c>
      <c r="G101" s="18">
        <f>IF(A101="","",INDEX(Model!$H$5:$H$504,MATCH(ROWS($A$5:A101),Model!$AD$5:$AD$504,0)))</f>
        <v/>
      </c>
      <c r="H101" s="18">
        <f>IF(A101="","",INDEX(Model!$L$5:$L$504,MATCH(ROWS($A$5:A101),Model!$AD$5:$AD$504,0)))</f>
        <v/>
      </c>
      <c r="I101" s="20">
        <f>IF(A101="","",INDEX(Model!$P$5:$P$504,MATCH(ROWS($A$5:A101),Model!$AD$5:$AD$504,0)))</f>
        <v/>
      </c>
      <c r="J101" s="20">
        <f>IF(A101="","",INDEX(Model!$Q$5:$Q$504,MATCH(ROWS($A$5:A101),Model!$AD$5:$AD$504,0)))</f>
        <v/>
      </c>
      <c r="K101" s="21">
        <f>IF(A101="","",INDEX(Model!$R$5:$R$504,MATCH(ROWS($A$5:A101),Model!$AD$5:$AD$504,0)))</f>
        <v/>
      </c>
      <c r="L101" s="20">
        <f>IF(A101="","",INDEX(Model!$S$5:$S$504,MATCH(ROWS($A$5:A101),Model!$AD$5:$AD$504,0)))</f>
        <v/>
      </c>
      <c r="M101" s="21">
        <f>IF(A101="","",INDEX(Model!$T$5:$T$504,MATCH(ROWS($A$5:A101),Model!$AD$5:$AD$504,0)))</f>
        <v/>
      </c>
      <c r="N101" s="18">
        <f>IF(A101="","",INDEX(Model!$U$5:$U$504,MATCH(ROWS($A$5:A101),Model!$AD$5:$AD$504,0)))</f>
        <v/>
      </c>
      <c r="O101" s="18">
        <f>IF(A101="","",INDEX(Model!$V$5:$V$504,MATCH(ROWS($A$5:A101),Model!$AD$5:$AD$504,0)))</f>
        <v/>
      </c>
      <c r="P101" s="18">
        <f>IF(A101="","",INDEX(Model!$W$5:$W$504,MATCH(ROWS($A$5:A101),Model!$AD$5:$AD$504,0)))</f>
        <v/>
      </c>
      <c r="Q101" s="18">
        <f>IF(A101="","",INDEX(Model!$X$5:$X$504,MATCH(ROWS($A$5:A101),Model!$AD$5:$AD$504,0)))</f>
        <v/>
      </c>
      <c r="R101" s="18">
        <f>IF(A101="","",INDEX(Model!$Y$5:$Y$504,MATCH(ROWS($A$5:A101),Model!$AD$5:$AD$504,0)))</f>
        <v/>
      </c>
      <c r="S101" s="21">
        <f>IF(A101="","",INDEX(Model!$Z$5:$Z$504,MATCH(ROWS($A$5:A101),Model!$AD$5:$AD$504,0)))</f>
        <v/>
      </c>
      <c r="T101" s="18">
        <f>IF(A101="","",INDEX(Model!$AA$5:$AA$504,MATCH(ROWS($A$5:A101),Model!$AD$5:$AD$504,0)))</f>
        <v/>
      </c>
      <c r="U101" s="13" t="n"/>
      <c r="V101" s="13" t="n"/>
      <c r="W101" s="13" t="n"/>
    </row>
    <row r="102">
      <c r="A102" s="18">
        <f>IFERROR(INDEX(Model!$B$5:$B$504,MATCH(ROWS($A$5:A102),Model!$AD$5:$AD$504,0)),"")</f>
        <v/>
      </c>
      <c r="B102" s="18">
        <f>IF(A102="","",INDEX(Model!$C$5:$C$504,MATCH(ROWS($A$5:A102),Model!$AD$5:$AD$504,0)))</f>
        <v/>
      </c>
      <c r="C102" s="18">
        <f>IF(A102="","",INDEX(Model!$D$5:$D$504,MATCH(ROWS($A$5:A102),Model!$AD$5:$AD$504,0)))</f>
        <v/>
      </c>
      <c r="D102" s="18">
        <f>IF(A102="","",INDEX(Model!$E$5:$E$504,MATCH(ROWS($A$5:A102),Model!$AD$5:$AD$504,0)))</f>
        <v/>
      </c>
      <c r="E102" s="19">
        <f>IF(A102="","",INDEX(Model!$F$5:$F$504,MATCH(ROWS($A$5:A102),Model!$AD$5:$AD$504,0)))</f>
        <v/>
      </c>
      <c r="F102" s="19">
        <f>IF(A102="","",INDEX(Model!$G$5:$G$504,MATCH(ROWS($A$5:A102),Model!$AD$5:$AD$504,0)))</f>
        <v/>
      </c>
      <c r="G102" s="18">
        <f>IF(A102="","",INDEX(Model!$H$5:$H$504,MATCH(ROWS($A$5:A102),Model!$AD$5:$AD$504,0)))</f>
        <v/>
      </c>
      <c r="H102" s="18">
        <f>IF(A102="","",INDEX(Model!$L$5:$L$504,MATCH(ROWS($A$5:A102),Model!$AD$5:$AD$504,0)))</f>
        <v/>
      </c>
      <c r="I102" s="20">
        <f>IF(A102="","",INDEX(Model!$P$5:$P$504,MATCH(ROWS($A$5:A102),Model!$AD$5:$AD$504,0)))</f>
        <v/>
      </c>
      <c r="J102" s="20">
        <f>IF(A102="","",INDEX(Model!$Q$5:$Q$504,MATCH(ROWS($A$5:A102),Model!$AD$5:$AD$504,0)))</f>
        <v/>
      </c>
      <c r="K102" s="21">
        <f>IF(A102="","",INDEX(Model!$R$5:$R$504,MATCH(ROWS($A$5:A102),Model!$AD$5:$AD$504,0)))</f>
        <v/>
      </c>
      <c r="L102" s="20">
        <f>IF(A102="","",INDEX(Model!$S$5:$S$504,MATCH(ROWS($A$5:A102),Model!$AD$5:$AD$504,0)))</f>
        <v/>
      </c>
      <c r="M102" s="21">
        <f>IF(A102="","",INDEX(Model!$T$5:$T$504,MATCH(ROWS($A$5:A102),Model!$AD$5:$AD$504,0)))</f>
        <v/>
      </c>
      <c r="N102" s="18">
        <f>IF(A102="","",INDEX(Model!$U$5:$U$504,MATCH(ROWS($A$5:A102),Model!$AD$5:$AD$504,0)))</f>
        <v/>
      </c>
      <c r="O102" s="18">
        <f>IF(A102="","",INDEX(Model!$V$5:$V$504,MATCH(ROWS($A$5:A102),Model!$AD$5:$AD$504,0)))</f>
        <v/>
      </c>
      <c r="P102" s="18">
        <f>IF(A102="","",INDEX(Model!$W$5:$W$504,MATCH(ROWS($A$5:A102),Model!$AD$5:$AD$504,0)))</f>
        <v/>
      </c>
      <c r="Q102" s="18">
        <f>IF(A102="","",INDEX(Model!$X$5:$X$504,MATCH(ROWS($A$5:A102),Model!$AD$5:$AD$504,0)))</f>
        <v/>
      </c>
      <c r="R102" s="18">
        <f>IF(A102="","",INDEX(Model!$Y$5:$Y$504,MATCH(ROWS($A$5:A102),Model!$AD$5:$AD$504,0)))</f>
        <v/>
      </c>
      <c r="S102" s="21">
        <f>IF(A102="","",INDEX(Model!$Z$5:$Z$504,MATCH(ROWS($A$5:A102),Model!$AD$5:$AD$504,0)))</f>
        <v/>
      </c>
      <c r="T102" s="18">
        <f>IF(A102="","",INDEX(Model!$AA$5:$AA$504,MATCH(ROWS($A$5:A102),Model!$AD$5:$AD$504,0)))</f>
        <v/>
      </c>
      <c r="U102" s="13" t="n"/>
      <c r="V102" s="13" t="n"/>
      <c r="W102" s="13" t="n"/>
    </row>
    <row r="103">
      <c r="A103" s="18">
        <f>IFERROR(INDEX(Model!$B$5:$B$504,MATCH(ROWS($A$5:A103),Model!$AD$5:$AD$504,0)),"")</f>
        <v/>
      </c>
      <c r="B103" s="18">
        <f>IF(A103="","",INDEX(Model!$C$5:$C$504,MATCH(ROWS($A$5:A103),Model!$AD$5:$AD$504,0)))</f>
        <v/>
      </c>
      <c r="C103" s="18">
        <f>IF(A103="","",INDEX(Model!$D$5:$D$504,MATCH(ROWS($A$5:A103),Model!$AD$5:$AD$504,0)))</f>
        <v/>
      </c>
      <c r="D103" s="18">
        <f>IF(A103="","",INDEX(Model!$E$5:$E$504,MATCH(ROWS($A$5:A103),Model!$AD$5:$AD$504,0)))</f>
        <v/>
      </c>
      <c r="E103" s="19">
        <f>IF(A103="","",INDEX(Model!$F$5:$F$504,MATCH(ROWS($A$5:A103),Model!$AD$5:$AD$504,0)))</f>
        <v/>
      </c>
      <c r="F103" s="19">
        <f>IF(A103="","",INDEX(Model!$G$5:$G$504,MATCH(ROWS($A$5:A103),Model!$AD$5:$AD$504,0)))</f>
        <v/>
      </c>
      <c r="G103" s="18">
        <f>IF(A103="","",INDEX(Model!$H$5:$H$504,MATCH(ROWS($A$5:A103),Model!$AD$5:$AD$504,0)))</f>
        <v/>
      </c>
      <c r="H103" s="18">
        <f>IF(A103="","",INDEX(Model!$L$5:$L$504,MATCH(ROWS($A$5:A103),Model!$AD$5:$AD$504,0)))</f>
        <v/>
      </c>
      <c r="I103" s="20">
        <f>IF(A103="","",INDEX(Model!$P$5:$P$504,MATCH(ROWS($A$5:A103),Model!$AD$5:$AD$504,0)))</f>
        <v/>
      </c>
      <c r="J103" s="20">
        <f>IF(A103="","",INDEX(Model!$Q$5:$Q$504,MATCH(ROWS($A$5:A103),Model!$AD$5:$AD$504,0)))</f>
        <v/>
      </c>
      <c r="K103" s="21">
        <f>IF(A103="","",INDEX(Model!$R$5:$R$504,MATCH(ROWS($A$5:A103),Model!$AD$5:$AD$504,0)))</f>
        <v/>
      </c>
      <c r="L103" s="20">
        <f>IF(A103="","",INDEX(Model!$S$5:$S$504,MATCH(ROWS($A$5:A103),Model!$AD$5:$AD$504,0)))</f>
        <v/>
      </c>
      <c r="M103" s="21">
        <f>IF(A103="","",INDEX(Model!$T$5:$T$504,MATCH(ROWS($A$5:A103),Model!$AD$5:$AD$504,0)))</f>
        <v/>
      </c>
      <c r="N103" s="18">
        <f>IF(A103="","",INDEX(Model!$U$5:$U$504,MATCH(ROWS($A$5:A103),Model!$AD$5:$AD$504,0)))</f>
        <v/>
      </c>
      <c r="O103" s="18">
        <f>IF(A103="","",INDEX(Model!$V$5:$V$504,MATCH(ROWS($A$5:A103),Model!$AD$5:$AD$504,0)))</f>
        <v/>
      </c>
      <c r="P103" s="18">
        <f>IF(A103="","",INDEX(Model!$W$5:$W$504,MATCH(ROWS($A$5:A103),Model!$AD$5:$AD$504,0)))</f>
        <v/>
      </c>
      <c r="Q103" s="18">
        <f>IF(A103="","",INDEX(Model!$X$5:$X$504,MATCH(ROWS($A$5:A103),Model!$AD$5:$AD$504,0)))</f>
        <v/>
      </c>
      <c r="R103" s="18">
        <f>IF(A103="","",INDEX(Model!$Y$5:$Y$504,MATCH(ROWS($A$5:A103),Model!$AD$5:$AD$504,0)))</f>
        <v/>
      </c>
      <c r="S103" s="21">
        <f>IF(A103="","",INDEX(Model!$Z$5:$Z$504,MATCH(ROWS($A$5:A103),Model!$AD$5:$AD$504,0)))</f>
        <v/>
      </c>
      <c r="T103" s="18">
        <f>IF(A103="","",INDEX(Model!$AA$5:$AA$504,MATCH(ROWS($A$5:A103),Model!$AD$5:$AD$504,0)))</f>
        <v/>
      </c>
      <c r="U103" s="13" t="n"/>
      <c r="V103" s="13" t="n"/>
      <c r="W103" s="13" t="n"/>
    </row>
    <row r="104">
      <c r="A104" s="18">
        <f>IFERROR(INDEX(Model!$B$5:$B$504,MATCH(ROWS($A$5:A104),Model!$AD$5:$AD$504,0)),"")</f>
        <v/>
      </c>
      <c r="B104" s="18">
        <f>IF(A104="","",INDEX(Model!$C$5:$C$504,MATCH(ROWS($A$5:A104),Model!$AD$5:$AD$504,0)))</f>
        <v/>
      </c>
      <c r="C104" s="18">
        <f>IF(A104="","",INDEX(Model!$D$5:$D$504,MATCH(ROWS($A$5:A104),Model!$AD$5:$AD$504,0)))</f>
        <v/>
      </c>
      <c r="D104" s="18">
        <f>IF(A104="","",INDEX(Model!$E$5:$E$504,MATCH(ROWS($A$5:A104),Model!$AD$5:$AD$504,0)))</f>
        <v/>
      </c>
      <c r="E104" s="19">
        <f>IF(A104="","",INDEX(Model!$F$5:$F$504,MATCH(ROWS($A$5:A104),Model!$AD$5:$AD$504,0)))</f>
        <v/>
      </c>
      <c r="F104" s="19">
        <f>IF(A104="","",INDEX(Model!$G$5:$G$504,MATCH(ROWS($A$5:A104),Model!$AD$5:$AD$504,0)))</f>
        <v/>
      </c>
      <c r="G104" s="18">
        <f>IF(A104="","",INDEX(Model!$H$5:$H$504,MATCH(ROWS($A$5:A104),Model!$AD$5:$AD$504,0)))</f>
        <v/>
      </c>
      <c r="H104" s="18">
        <f>IF(A104="","",INDEX(Model!$L$5:$L$504,MATCH(ROWS($A$5:A104),Model!$AD$5:$AD$504,0)))</f>
        <v/>
      </c>
      <c r="I104" s="20">
        <f>IF(A104="","",INDEX(Model!$P$5:$P$504,MATCH(ROWS($A$5:A104),Model!$AD$5:$AD$504,0)))</f>
        <v/>
      </c>
      <c r="J104" s="20">
        <f>IF(A104="","",INDEX(Model!$Q$5:$Q$504,MATCH(ROWS($A$5:A104),Model!$AD$5:$AD$504,0)))</f>
        <v/>
      </c>
      <c r="K104" s="21">
        <f>IF(A104="","",INDEX(Model!$R$5:$R$504,MATCH(ROWS($A$5:A104),Model!$AD$5:$AD$504,0)))</f>
        <v/>
      </c>
      <c r="L104" s="20">
        <f>IF(A104="","",INDEX(Model!$S$5:$S$504,MATCH(ROWS($A$5:A104),Model!$AD$5:$AD$504,0)))</f>
        <v/>
      </c>
      <c r="M104" s="21">
        <f>IF(A104="","",INDEX(Model!$T$5:$T$504,MATCH(ROWS($A$5:A104),Model!$AD$5:$AD$504,0)))</f>
        <v/>
      </c>
      <c r="N104" s="18">
        <f>IF(A104="","",INDEX(Model!$U$5:$U$504,MATCH(ROWS($A$5:A104),Model!$AD$5:$AD$504,0)))</f>
        <v/>
      </c>
      <c r="O104" s="18">
        <f>IF(A104="","",INDEX(Model!$V$5:$V$504,MATCH(ROWS($A$5:A104),Model!$AD$5:$AD$504,0)))</f>
        <v/>
      </c>
      <c r="P104" s="18">
        <f>IF(A104="","",INDEX(Model!$W$5:$W$504,MATCH(ROWS($A$5:A104),Model!$AD$5:$AD$504,0)))</f>
        <v/>
      </c>
      <c r="Q104" s="18">
        <f>IF(A104="","",INDEX(Model!$X$5:$X$504,MATCH(ROWS($A$5:A104),Model!$AD$5:$AD$504,0)))</f>
        <v/>
      </c>
      <c r="R104" s="18">
        <f>IF(A104="","",INDEX(Model!$Y$5:$Y$504,MATCH(ROWS($A$5:A104),Model!$AD$5:$AD$504,0)))</f>
        <v/>
      </c>
      <c r="S104" s="21">
        <f>IF(A104="","",INDEX(Model!$Z$5:$Z$504,MATCH(ROWS($A$5:A104),Model!$AD$5:$AD$504,0)))</f>
        <v/>
      </c>
      <c r="T104" s="18">
        <f>IF(A104="","",INDEX(Model!$AA$5:$AA$504,MATCH(ROWS($A$5:A104),Model!$AD$5:$AD$504,0)))</f>
        <v/>
      </c>
      <c r="U104" s="13" t="n"/>
      <c r="V104" s="13" t="n"/>
      <c r="W104" s="13" t="n"/>
    </row>
    <row r="105">
      <c r="A105" s="18">
        <f>IFERROR(INDEX(Model!$B$5:$B$504,MATCH(ROWS($A$5:A105),Model!$AD$5:$AD$504,0)),"")</f>
        <v/>
      </c>
      <c r="B105" s="18">
        <f>IF(A105="","",INDEX(Model!$C$5:$C$504,MATCH(ROWS($A$5:A105),Model!$AD$5:$AD$504,0)))</f>
        <v/>
      </c>
      <c r="C105" s="18">
        <f>IF(A105="","",INDEX(Model!$D$5:$D$504,MATCH(ROWS($A$5:A105),Model!$AD$5:$AD$504,0)))</f>
        <v/>
      </c>
      <c r="D105" s="18">
        <f>IF(A105="","",INDEX(Model!$E$5:$E$504,MATCH(ROWS($A$5:A105),Model!$AD$5:$AD$504,0)))</f>
        <v/>
      </c>
      <c r="E105" s="19">
        <f>IF(A105="","",INDEX(Model!$F$5:$F$504,MATCH(ROWS($A$5:A105),Model!$AD$5:$AD$504,0)))</f>
        <v/>
      </c>
      <c r="F105" s="19">
        <f>IF(A105="","",INDEX(Model!$G$5:$G$504,MATCH(ROWS($A$5:A105),Model!$AD$5:$AD$504,0)))</f>
        <v/>
      </c>
      <c r="G105" s="18">
        <f>IF(A105="","",INDEX(Model!$H$5:$H$504,MATCH(ROWS($A$5:A105),Model!$AD$5:$AD$504,0)))</f>
        <v/>
      </c>
      <c r="H105" s="18">
        <f>IF(A105="","",INDEX(Model!$L$5:$L$504,MATCH(ROWS($A$5:A105),Model!$AD$5:$AD$504,0)))</f>
        <v/>
      </c>
      <c r="I105" s="20">
        <f>IF(A105="","",INDEX(Model!$P$5:$P$504,MATCH(ROWS($A$5:A105),Model!$AD$5:$AD$504,0)))</f>
        <v/>
      </c>
      <c r="J105" s="20">
        <f>IF(A105="","",INDEX(Model!$Q$5:$Q$504,MATCH(ROWS($A$5:A105),Model!$AD$5:$AD$504,0)))</f>
        <v/>
      </c>
      <c r="K105" s="21">
        <f>IF(A105="","",INDEX(Model!$R$5:$R$504,MATCH(ROWS($A$5:A105),Model!$AD$5:$AD$504,0)))</f>
        <v/>
      </c>
      <c r="L105" s="20">
        <f>IF(A105="","",INDEX(Model!$S$5:$S$504,MATCH(ROWS($A$5:A105),Model!$AD$5:$AD$504,0)))</f>
        <v/>
      </c>
      <c r="M105" s="21">
        <f>IF(A105="","",INDEX(Model!$T$5:$T$504,MATCH(ROWS($A$5:A105),Model!$AD$5:$AD$504,0)))</f>
        <v/>
      </c>
      <c r="N105" s="18">
        <f>IF(A105="","",INDEX(Model!$U$5:$U$504,MATCH(ROWS($A$5:A105),Model!$AD$5:$AD$504,0)))</f>
        <v/>
      </c>
      <c r="O105" s="18">
        <f>IF(A105="","",INDEX(Model!$V$5:$V$504,MATCH(ROWS($A$5:A105),Model!$AD$5:$AD$504,0)))</f>
        <v/>
      </c>
      <c r="P105" s="18">
        <f>IF(A105="","",INDEX(Model!$W$5:$W$504,MATCH(ROWS($A$5:A105),Model!$AD$5:$AD$504,0)))</f>
        <v/>
      </c>
      <c r="Q105" s="18">
        <f>IF(A105="","",INDEX(Model!$X$5:$X$504,MATCH(ROWS($A$5:A105),Model!$AD$5:$AD$504,0)))</f>
        <v/>
      </c>
      <c r="R105" s="18">
        <f>IF(A105="","",INDEX(Model!$Y$5:$Y$504,MATCH(ROWS($A$5:A105),Model!$AD$5:$AD$504,0)))</f>
        <v/>
      </c>
      <c r="S105" s="21">
        <f>IF(A105="","",INDEX(Model!$Z$5:$Z$504,MATCH(ROWS($A$5:A105),Model!$AD$5:$AD$504,0)))</f>
        <v/>
      </c>
      <c r="T105" s="18">
        <f>IF(A105="","",INDEX(Model!$AA$5:$AA$504,MATCH(ROWS($A$5:A105),Model!$AD$5:$AD$504,0)))</f>
        <v/>
      </c>
      <c r="U105" s="13" t="n"/>
      <c r="V105" s="13" t="n"/>
      <c r="W105" s="13" t="n"/>
    </row>
    <row r="106">
      <c r="A106" s="18">
        <f>IFERROR(INDEX(Model!$B$5:$B$504,MATCH(ROWS($A$5:A106),Model!$AD$5:$AD$504,0)),"")</f>
        <v/>
      </c>
      <c r="B106" s="18">
        <f>IF(A106="","",INDEX(Model!$C$5:$C$504,MATCH(ROWS($A$5:A106),Model!$AD$5:$AD$504,0)))</f>
        <v/>
      </c>
      <c r="C106" s="18">
        <f>IF(A106="","",INDEX(Model!$D$5:$D$504,MATCH(ROWS($A$5:A106),Model!$AD$5:$AD$504,0)))</f>
        <v/>
      </c>
      <c r="D106" s="18">
        <f>IF(A106="","",INDEX(Model!$E$5:$E$504,MATCH(ROWS($A$5:A106),Model!$AD$5:$AD$504,0)))</f>
        <v/>
      </c>
      <c r="E106" s="19">
        <f>IF(A106="","",INDEX(Model!$F$5:$F$504,MATCH(ROWS($A$5:A106),Model!$AD$5:$AD$504,0)))</f>
        <v/>
      </c>
      <c r="F106" s="19">
        <f>IF(A106="","",INDEX(Model!$G$5:$G$504,MATCH(ROWS($A$5:A106),Model!$AD$5:$AD$504,0)))</f>
        <v/>
      </c>
      <c r="G106" s="18">
        <f>IF(A106="","",INDEX(Model!$H$5:$H$504,MATCH(ROWS($A$5:A106),Model!$AD$5:$AD$504,0)))</f>
        <v/>
      </c>
      <c r="H106" s="18">
        <f>IF(A106="","",INDEX(Model!$L$5:$L$504,MATCH(ROWS($A$5:A106),Model!$AD$5:$AD$504,0)))</f>
        <v/>
      </c>
      <c r="I106" s="20">
        <f>IF(A106="","",INDEX(Model!$P$5:$P$504,MATCH(ROWS($A$5:A106),Model!$AD$5:$AD$504,0)))</f>
        <v/>
      </c>
      <c r="J106" s="20">
        <f>IF(A106="","",INDEX(Model!$Q$5:$Q$504,MATCH(ROWS($A$5:A106),Model!$AD$5:$AD$504,0)))</f>
        <v/>
      </c>
      <c r="K106" s="21">
        <f>IF(A106="","",INDEX(Model!$R$5:$R$504,MATCH(ROWS($A$5:A106),Model!$AD$5:$AD$504,0)))</f>
        <v/>
      </c>
      <c r="L106" s="20">
        <f>IF(A106="","",INDEX(Model!$S$5:$S$504,MATCH(ROWS($A$5:A106),Model!$AD$5:$AD$504,0)))</f>
        <v/>
      </c>
      <c r="M106" s="21">
        <f>IF(A106="","",INDEX(Model!$T$5:$T$504,MATCH(ROWS($A$5:A106),Model!$AD$5:$AD$504,0)))</f>
        <v/>
      </c>
      <c r="N106" s="18">
        <f>IF(A106="","",INDEX(Model!$U$5:$U$504,MATCH(ROWS($A$5:A106),Model!$AD$5:$AD$504,0)))</f>
        <v/>
      </c>
      <c r="O106" s="18">
        <f>IF(A106="","",INDEX(Model!$V$5:$V$504,MATCH(ROWS($A$5:A106),Model!$AD$5:$AD$504,0)))</f>
        <v/>
      </c>
      <c r="P106" s="18">
        <f>IF(A106="","",INDEX(Model!$W$5:$W$504,MATCH(ROWS($A$5:A106),Model!$AD$5:$AD$504,0)))</f>
        <v/>
      </c>
      <c r="Q106" s="18">
        <f>IF(A106="","",INDEX(Model!$X$5:$X$504,MATCH(ROWS($A$5:A106),Model!$AD$5:$AD$504,0)))</f>
        <v/>
      </c>
      <c r="R106" s="18">
        <f>IF(A106="","",INDEX(Model!$Y$5:$Y$504,MATCH(ROWS($A$5:A106),Model!$AD$5:$AD$504,0)))</f>
        <v/>
      </c>
      <c r="S106" s="21">
        <f>IF(A106="","",INDEX(Model!$Z$5:$Z$504,MATCH(ROWS($A$5:A106),Model!$AD$5:$AD$504,0)))</f>
        <v/>
      </c>
      <c r="T106" s="18">
        <f>IF(A106="","",INDEX(Model!$AA$5:$AA$504,MATCH(ROWS($A$5:A106),Model!$AD$5:$AD$504,0)))</f>
        <v/>
      </c>
      <c r="U106" s="13" t="n"/>
      <c r="V106" s="13" t="n"/>
      <c r="W106" s="13" t="n"/>
    </row>
    <row r="107">
      <c r="A107" s="18">
        <f>IFERROR(INDEX(Model!$B$5:$B$504,MATCH(ROWS($A$5:A107),Model!$AD$5:$AD$504,0)),"")</f>
        <v/>
      </c>
      <c r="B107" s="18">
        <f>IF(A107="","",INDEX(Model!$C$5:$C$504,MATCH(ROWS($A$5:A107),Model!$AD$5:$AD$504,0)))</f>
        <v/>
      </c>
      <c r="C107" s="18">
        <f>IF(A107="","",INDEX(Model!$D$5:$D$504,MATCH(ROWS($A$5:A107),Model!$AD$5:$AD$504,0)))</f>
        <v/>
      </c>
      <c r="D107" s="18">
        <f>IF(A107="","",INDEX(Model!$E$5:$E$504,MATCH(ROWS($A$5:A107),Model!$AD$5:$AD$504,0)))</f>
        <v/>
      </c>
      <c r="E107" s="19">
        <f>IF(A107="","",INDEX(Model!$F$5:$F$504,MATCH(ROWS($A$5:A107),Model!$AD$5:$AD$504,0)))</f>
        <v/>
      </c>
      <c r="F107" s="19">
        <f>IF(A107="","",INDEX(Model!$G$5:$G$504,MATCH(ROWS($A$5:A107),Model!$AD$5:$AD$504,0)))</f>
        <v/>
      </c>
      <c r="G107" s="18">
        <f>IF(A107="","",INDEX(Model!$H$5:$H$504,MATCH(ROWS($A$5:A107),Model!$AD$5:$AD$504,0)))</f>
        <v/>
      </c>
      <c r="H107" s="18">
        <f>IF(A107="","",INDEX(Model!$L$5:$L$504,MATCH(ROWS($A$5:A107),Model!$AD$5:$AD$504,0)))</f>
        <v/>
      </c>
      <c r="I107" s="20">
        <f>IF(A107="","",INDEX(Model!$P$5:$P$504,MATCH(ROWS($A$5:A107),Model!$AD$5:$AD$504,0)))</f>
        <v/>
      </c>
      <c r="J107" s="20">
        <f>IF(A107="","",INDEX(Model!$Q$5:$Q$504,MATCH(ROWS($A$5:A107),Model!$AD$5:$AD$504,0)))</f>
        <v/>
      </c>
      <c r="K107" s="21">
        <f>IF(A107="","",INDEX(Model!$R$5:$R$504,MATCH(ROWS($A$5:A107),Model!$AD$5:$AD$504,0)))</f>
        <v/>
      </c>
      <c r="L107" s="20">
        <f>IF(A107="","",INDEX(Model!$S$5:$S$504,MATCH(ROWS($A$5:A107),Model!$AD$5:$AD$504,0)))</f>
        <v/>
      </c>
      <c r="M107" s="21">
        <f>IF(A107="","",INDEX(Model!$T$5:$T$504,MATCH(ROWS($A$5:A107),Model!$AD$5:$AD$504,0)))</f>
        <v/>
      </c>
      <c r="N107" s="18">
        <f>IF(A107="","",INDEX(Model!$U$5:$U$504,MATCH(ROWS($A$5:A107),Model!$AD$5:$AD$504,0)))</f>
        <v/>
      </c>
      <c r="O107" s="18">
        <f>IF(A107="","",INDEX(Model!$V$5:$V$504,MATCH(ROWS($A$5:A107),Model!$AD$5:$AD$504,0)))</f>
        <v/>
      </c>
      <c r="P107" s="18">
        <f>IF(A107="","",INDEX(Model!$W$5:$W$504,MATCH(ROWS($A$5:A107),Model!$AD$5:$AD$504,0)))</f>
        <v/>
      </c>
      <c r="Q107" s="18">
        <f>IF(A107="","",INDEX(Model!$X$5:$X$504,MATCH(ROWS($A$5:A107),Model!$AD$5:$AD$504,0)))</f>
        <v/>
      </c>
      <c r="R107" s="18">
        <f>IF(A107="","",INDEX(Model!$Y$5:$Y$504,MATCH(ROWS($A$5:A107),Model!$AD$5:$AD$504,0)))</f>
        <v/>
      </c>
      <c r="S107" s="21">
        <f>IF(A107="","",INDEX(Model!$Z$5:$Z$504,MATCH(ROWS($A$5:A107),Model!$AD$5:$AD$504,0)))</f>
        <v/>
      </c>
      <c r="T107" s="18">
        <f>IF(A107="","",INDEX(Model!$AA$5:$AA$504,MATCH(ROWS($A$5:A107),Model!$AD$5:$AD$504,0)))</f>
        <v/>
      </c>
      <c r="U107" s="13" t="n"/>
      <c r="V107" s="13" t="n"/>
      <c r="W107" s="13" t="n"/>
    </row>
    <row r="108">
      <c r="A108" s="18">
        <f>IFERROR(INDEX(Model!$B$5:$B$504,MATCH(ROWS($A$5:A108),Model!$AD$5:$AD$504,0)),"")</f>
        <v/>
      </c>
      <c r="B108" s="18">
        <f>IF(A108="","",INDEX(Model!$C$5:$C$504,MATCH(ROWS($A$5:A108),Model!$AD$5:$AD$504,0)))</f>
        <v/>
      </c>
      <c r="C108" s="18">
        <f>IF(A108="","",INDEX(Model!$D$5:$D$504,MATCH(ROWS($A$5:A108),Model!$AD$5:$AD$504,0)))</f>
        <v/>
      </c>
      <c r="D108" s="18">
        <f>IF(A108="","",INDEX(Model!$E$5:$E$504,MATCH(ROWS($A$5:A108),Model!$AD$5:$AD$504,0)))</f>
        <v/>
      </c>
      <c r="E108" s="19">
        <f>IF(A108="","",INDEX(Model!$F$5:$F$504,MATCH(ROWS($A$5:A108),Model!$AD$5:$AD$504,0)))</f>
        <v/>
      </c>
      <c r="F108" s="19">
        <f>IF(A108="","",INDEX(Model!$G$5:$G$504,MATCH(ROWS($A$5:A108),Model!$AD$5:$AD$504,0)))</f>
        <v/>
      </c>
      <c r="G108" s="18">
        <f>IF(A108="","",INDEX(Model!$H$5:$H$504,MATCH(ROWS($A$5:A108),Model!$AD$5:$AD$504,0)))</f>
        <v/>
      </c>
      <c r="H108" s="18">
        <f>IF(A108="","",INDEX(Model!$L$5:$L$504,MATCH(ROWS($A$5:A108),Model!$AD$5:$AD$504,0)))</f>
        <v/>
      </c>
      <c r="I108" s="20">
        <f>IF(A108="","",INDEX(Model!$P$5:$P$504,MATCH(ROWS($A$5:A108),Model!$AD$5:$AD$504,0)))</f>
        <v/>
      </c>
      <c r="J108" s="20">
        <f>IF(A108="","",INDEX(Model!$Q$5:$Q$504,MATCH(ROWS($A$5:A108),Model!$AD$5:$AD$504,0)))</f>
        <v/>
      </c>
      <c r="K108" s="21">
        <f>IF(A108="","",INDEX(Model!$R$5:$R$504,MATCH(ROWS($A$5:A108),Model!$AD$5:$AD$504,0)))</f>
        <v/>
      </c>
      <c r="L108" s="20">
        <f>IF(A108="","",INDEX(Model!$S$5:$S$504,MATCH(ROWS($A$5:A108),Model!$AD$5:$AD$504,0)))</f>
        <v/>
      </c>
      <c r="M108" s="21">
        <f>IF(A108="","",INDEX(Model!$T$5:$T$504,MATCH(ROWS($A$5:A108),Model!$AD$5:$AD$504,0)))</f>
        <v/>
      </c>
      <c r="N108" s="18">
        <f>IF(A108="","",INDEX(Model!$U$5:$U$504,MATCH(ROWS($A$5:A108),Model!$AD$5:$AD$504,0)))</f>
        <v/>
      </c>
      <c r="O108" s="18">
        <f>IF(A108="","",INDEX(Model!$V$5:$V$504,MATCH(ROWS($A$5:A108),Model!$AD$5:$AD$504,0)))</f>
        <v/>
      </c>
      <c r="P108" s="18">
        <f>IF(A108="","",INDEX(Model!$W$5:$W$504,MATCH(ROWS($A$5:A108),Model!$AD$5:$AD$504,0)))</f>
        <v/>
      </c>
      <c r="Q108" s="18">
        <f>IF(A108="","",INDEX(Model!$X$5:$X$504,MATCH(ROWS($A$5:A108),Model!$AD$5:$AD$504,0)))</f>
        <v/>
      </c>
      <c r="R108" s="18">
        <f>IF(A108="","",INDEX(Model!$Y$5:$Y$504,MATCH(ROWS($A$5:A108),Model!$AD$5:$AD$504,0)))</f>
        <v/>
      </c>
      <c r="S108" s="21">
        <f>IF(A108="","",INDEX(Model!$Z$5:$Z$504,MATCH(ROWS($A$5:A108),Model!$AD$5:$AD$504,0)))</f>
        <v/>
      </c>
      <c r="T108" s="18">
        <f>IF(A108="","",INDEX(Model!$AA$5:$AA$504,MATCH(ROWS($A$5:A108),Model!$AD$5:$AD$504,0)))</f>
        <v/>
      </c>
      <c r="U108" s="13" t="n"/>
      <c r="V108" s="13" t="n"/>
      <c r="W108" s="13" t="n"/>
    </row>
    <row r="109">
      <c r="A109" s="18">
        <f>IFERROR(INDEX(Model!$B$5:$B$504,MATCH(ROWS($A$5:A109),Model!$AD$5:$AD$504,0)),"")</f>
        <v/>
      </c>
      <c r="B109" s="18">
        <f>IF(A109="","",INDEX(Model!$C$5:$C$504,MATCH(ROWS($A$5:A109),Model!$AD$5:$AD$504,0)))</f>
        <v/>
      </c>
      <c r="C109" s="18">
        <f>IF(A109="","",INDEX(Model!$D$5:$D$504,MATCH(ROWS($A$5:A109),Model!$AD$5:$AD$504,0)))</f>
        <v/>
      </c>
      <c r="D109" s="18">
        <f>IF(A109="","",INDEX(Model!$E$5:$E$504,MATCH(ROWS($A$5:A109),Model!$AD$5:$AD$504,0)))</f>
        <v/>
      </c>
      <c r="E109" s="19">
        <f>IF(A109="","",INDEX(Model!$F$5:$F$504,MATCH(ROWS($A$5:A109),Model!$AD$5:$AD$504,0)))</f>
        <v/>
      </c>
      <c r="F109" s="19">
        <f>IF(A109="","",INDEX(Model!$G$5:$G$504,MATCH(ROWS($A$5:A109),Model!$AD$5:$AD$504,0)))</f>
        <v/>
      </c>
      <c r="G109" s="18">
        <f>IF(A109="","",INDEX(Model!$H$5:$H$504,MATCH(ROWS($A$5:A109),Model!$AD$5:$AD$504,0)))</f>
        <v/>
      </c>
      <c r="H109" s="18">
        <f>IF(A109="","",INDEX(Model!$L$5:$L$504,MATCH(ROWS($A$5:A109),Model!$AD$5:$AD$504,0)))</f>
        <v/>
      </c>
      <c r="I109" s="20">
        <f>IF(A109="","",INDEX(Model!$P$5:$P$504,MATCH(ROWS($A$5:A109),Model!$AD$5:$AD$504,0)))</f>
        <v/>
      </c>
      <c r="J109" s="20">
        <f>IF(A109="","",INDEX(Model!$Q$5:$Q$504,MATCH(ROWS($A$5:A109),Model!$AD$5:$AD$504,0)))</f>
        <v/>
      </c>
      <c r="K109" s="21">
        <f>IF(A109="","",INDEX(Model!$R$5:$R$504,MATCH(ROWS($A$5:A109),Model!$AD$5:$AD$504,0)))</f>
        <v/>
      </c>
      <c r="L109" s="20">
        <f>IF(A109="","",INDEX(Model!$S$5:$S$504,MATCH(ROWS($A$5:A109),Model!$AD$5:$AD$504,0)))</f>
        <v/>
      </c>
      <c r="M109" s="21">
        <f>IF(A109="","",INDEX(Model!$T$5:$T$504,MATCH(ROWS($A$5:A109),Model!$AD$5:$AD$504,0)))</f>
        <v/>
      </c>
      <c r="N109" s="18">
        <f>IF(A109="","",INDEX(Model!$U$5:$U$504,MATCH(ROWS($A$5:A109),Model!$AD$5:$AD$504,0)))</f>
        <v/>
      </c>
      <c r="O109" s="18">
        <f>IF(A109="","",INDEX(Model!$V$5:$V$504,MATCH(ROWS($A$5:A109),Model!$AD$5:$AD$504,0)))</f>
        <v/>
      </c>
      <c r="P109" s="18">
        <f>IF(A109="","",INDEX(Model!$W$5:$W$504,MATCH(ROWS($A$5:A109),Model!$AD$5:$AD$504,0)))</f>
        <v/>
      </c>
      <c r="Q109" s="18">
        <f>IF(A109="","",INDEX(Model!$X$5:$X$504,MATCH(ROWS($A$5:A109),Model!$AD$5:$AD$504,0)))</f>
        <v/>
      </c>
      <c r="R109" s="18">
        <f>IF(A109="","",INDEX(Model!$Y$5:$Y$504,MATCH(ROWS($A$5:A109),Model!$AD$5:$AD$504,0)))</f>
        <v/>
      </c>
      <c r="S109" s="21">
        <f>IF(A109="","",INDEX(Model!$Z$5:$Z$504,MATCH(ROWS($A$5:A109),Model!$AD$5:$AD$504,0)))</f>
        <v/>
      </c>
      <c r="T109" s="18">
        <f>IF(A109="","",INDEX(Model!$AA$5:$AA$504,MATCH(ROWS($A$5:A109),Model!$AD$5:$AD$504,0)))</f>
        <v/>
      </c>
      <c r="U109" s="13" t="n"/>
      <c r="V109" s="13" t="n"/>
      <c r="W109" s="13" t="n"/>
    </row>
    <row r="110">
      <c r="A110" s="18">
        <f>IFERROR(INDEX(Model!$B$5:$B$504,MATCH(ROWS($A$5:A110),Model!$AD$5:$AD$504,0)),"")</f>
        <v/>
      </c>
      <c r="B110" s="18">
        <f>IF(A110="","",INDEX(Model!$C$5:$C$504,MATCH(ROWS($A$5:A110),Model!$AD$5:$AD$504,0)))</f>
        <v/>
      </c>
      <c r="C110" s="18">
        <f>IF(A110="","",INDEX(Model!$D$5:$D$504,MATCH(ROWS($A$5:A110),Model!$AD$5:$AD$504,0)))</f>
        <v/>
      </c>
      <c r="D110" s="18">
        <f>IF(A110="","",INDEX(Model!$E$5:$E$504,MATCH(ROWS($A$5:A110),Model!$AD$5:$AD$504,0)))</f>
        <v/>
      </c>
      <c r="E110" s="19">
        <f>IF(A110="","",INDEX(Model!$F$5:$F$504,MATCH(ROWS($A$5:A110),Model!$AD$5:$AD$504,0)))</f>
        <v/>
      </c>
      <c r="F110" s="19">
        <f>IF(A110="","",INDEX(Model!$G$5:$G$504,MATCH(ROWS($A$5:A110),Model!$AD$5:$AD$504,0)))</f>
        <v/>
      </c>
      <c r="G110" s="18">
        <f>IF(A110="","",INDEX(Model!$H$5:$H$504,MATCH(ROWS($A$5:A110),Model!$AD$5:$AD$504,0)))</f>
        <v/>
      </c>
      <c r="H110" s="18">
        <f>IF(A110="","",INDEX(Model!$L$5:$L$504,MATCH(ROWS($A$5:A110),Model!$AD$5:$AD$504,0)))</f>
        <v/>
      </c>
      <c r="I110" s="20">
        <f>IF(A110="","",INDEX(Model!$P$5:$P$504,MATCH(ROWS($A$5:A110),Model!$AD$5:$AD$504,0)))</f>
        <v/>
      </c>
      <c r="J110" s="20">
        <f>IF(A110="","",INDEX(Model!$Q$5:$Q$504,MATCH(ROWS($A$5:A110),Model!$AD$5:$AD$504,0)))</f>
        <v/>
      </c>
      <c r="K110" s="21">
        <f>IF(A110="","",INDEX(Model!$R$5:$R$504,MATCH(ROWS($A$5:A110),Model!$AD$5:$AD$504,0)))</f>
        <v/>
      </c>
      <c r="L110" s="20">
        <f>IF(A110="","",INDEX(Model!$S$5:$S$504,MATCH(ROWS($A$5:A110),Model!$AD$5:$AD$504,0)))</f>
        <v/>
      </c>
      <c r="M110" s="21">
        <f>IF(A110="","",INDEX(Model!$T$5:$T$504,MATCH(ROWS($A$5:A110),Model!$AD$5:$AD$504,0)))</f>
        <v/>
      </c>
      <c r="N110" s="18">
        <f>IF(A110="","",INDEX(Model!$U$5:$U$504,MATCH(ROWS($A$5:A110),Model!$AD$5:$AD$504,0)))</f>
        <v/>
      </c>
      <c r="O110" s="18">
        <f>IF(A110="","",INDEX(Model!$V$5:$V$504,MATCH(ROWS($A$5:A110),Model!$AD$5:$AD$504,0)))</f>
        <v/>
      </c>
      <c r="P110" s="18">
        <f>IF(A110="","",INDEX(Model!$W$5:$W$504,MATCH(ROWS($A$5:A110),Model!$AD$5:$AD$504,0)))</f>
        <v/>
      </c>
      <c r="Q110" s="18">
        <f>IF(A110="","",INDEX(Model!$X$5:$X$504,MATCH(ROWS($A$5:A110),Model!$AD$5:$AD$504,0)))</f>
        <v/>
      </c>
      <c r="R110" s="18">
        <f>IF(A110="","",INDEX(Model!$Y$5:$Y$504,MATCH(ROWS($A$5:A110),Model!$AD$5:$AD$504,0)))</f>
        <v/>
      </c>
      <c r="S110" s="21">
        <f>IF(A110="","",INDEX(Model!$Z$5:$Z$504,MATCH(ROWS($A$5:A110),Model!$AD$5:$AD$504,0)))</f>
        <v/>
      </c>
      <c r="T110" s="18">
        <f>IF(A110="","",INDEX(Model!$AA$5:$AA$504,MATCH(ROWS($A$5:A110),Model!$AD$5:$AD$504,0)))</f>
        <v/>
      </c>
      <c r="U110" s="13" t="n"/>
      <c r="V110" s="13" t="n"/>
      <c r="W110" s="13" t="n"/>
    </row>
    <row r="111">
      <c r="A111" s="18">
        <f>IFERROR(INDEX(Model!$B$5:$B$504,MATCH(ROWS($A$5:A111),Model!$AD$5:$AD$504,0)),"")</f>
        <v/>
      </c>
      <c r="B111" s="18">
        <f>IF(A111="","",INDEX(Model!$C$5:$C$504,MATCH(ROWS($A$5:A111),Model!$AD$5:$AD$504,0)))</f>
        <v/>
      </c>
      <c r="C111" s="18">
        <f>IF(A111="","",INDEX(Model!$D$5:$D$504,MATCH(ROWS($A$5:A111),Model!$AD$5:$AD$504,0)))</f>
        <v/>
      </c>
      <c r="D111" s="18">
        <f>IF(A111="","",INDEX(Model!$E$5:$E$504,MATCH(ROWS($A$5:A111),Model!$AD$5:$AD$504,0)))</f>
        <v/>
      </c>
      <c r="E111" s="19">
        <f>IF(A111="","",INDEX(Model!$F$5:$F$504,MATCH(ROWS($A$5:A111),Model!$AD$5:$AD$504,0)))</f>
        <v/>
      </c>
      <c r="F111" s="19">
        <f>IF(A111="","",INDEX(Model!$G$5:$G$504,MATCH(ROWS($A$5:A111),Model!$AD$5:$AD$504,0)))</f>
        <v/>
      </c>
      <c r="G111" s="18">
        <f>IF(A111="","",INDEX(Model!$H$5:$H$504,MATCH(ROWS($A$5:A111),Model!$AD$5:$AD$504,0)))</f>
        <v/>
      </c>
      <c r="H111" s="18">
        <f>IF(A111="","",INDEX(Model!$L$5:$L$504,MATCH(ROWS($A$5:A111),Model!$AD$5:$AD$504,0)))</f>
        <v/>
      </c>
      <c r="I111" s="20">
        <f>IF(A111="","",INDEX(Model!$P$5:$P$504,MATCH(ROWS($A$5:A111),Model!$AD$5:$AD$504,0)))</f>
        <v/>
      </c>
      <c r="J111" s="20">
        <f>IF(A111="","",INDEX(Model!$Q$5:$Q$504,MATCH(ROWS($A$5:A111),Model!$AD$5:$AD$504,0)))</f>
        <v/>
      </c>
      <c r="K111" s="21">
        <f>IF(A111="","",INDEX(Model!$R$5:$R$504,MATCH(ROWS($A$5:A111),Model!$AD$5:$AD$504,0)))</f>
        <v/>
      </c>
      <c r="L111" s="20">
        <f>IF(A111="","",INDEX(Model!$S$5:$S$504,MATCH(ROWS($A$5:A111),Model!$AD$5:$AD$504,0)))</f>
        <v/>
      </c>
      <c r="M111" s="21">
        <f>IF(A111="","",INDEX(Model!$T$5:$T$504,MATCH(ROWS($A$5:A111),Model!$AD$5:$AD$504,0)))</f>
        <v/>
      </c>
      <c r="N111" s="18">
        <f>IF(A111="","",INDEX(Model!$U$5:$U$504,MATCH(ROWS($A$5:A111),Model!$AD$5:$AD$504,0)))</f>
        <v/>
      </c>
      <c r="O111" s="18">
        <f>IF(A111="","",INDEX(Model!$V$5:$V$504,MATCH(ROWS($A$5:A111),Model!$AD$5:$AD$504,0)))</f>
        <v/>
      </c>
      <c r="P111" s="18">
        <f>IF(A111="","",INDEX(Model!$W$5:$W$504,MATCH(ROWS($A$5:A111),Model!$AD$5:$AD$504,0)))</f>
        <v/>
      </c>
      <c r="Q111" s="18">
        <f>IF(A111="","",INDEX(Model!$X$5:$X$504,MATCH(ROWS($A$5:A111),Model!$AD$5:$AD$504,0)))</f>
        <v/>
      </c>
      <c r="R111" s="18">
        <f>IF(A111="","",INDEX(Model!$Y$5:$Y$504,MATCH(ROWS($A$5:A111),Model!$AD$5:$AD$504,0)))</f>
        <v/>
      </c>
      <c r="S111" s="21">
        <f>IF(A111="","",INDEX(Model!$Z$5:$Z$504,MATCH(ROWS($A$5:A111),Model!$AD$5:$AD$504,0)))</f>
        <v/>
      </c>
      <c r="T111" s="18">
        <f>IF(A111="","",INDEX(Model!$AA$5:$AA$504,MATCH(ROWS($A$5:A111),Model!$AD$5:$AD$504,0)))</f>
        <v/>
      </c>
      <c r="U111" s="13" t="n"/>
      <c r="V111" s="13" t="n"/>
      <c r="W111" s="13" t="n"/>
    </row>
    <row r="112">
      <c r="A112" s="18">
        <f>IFERROR(INDEX(Model!$B$5:$B$504,MATCH(ROWS($A$5:A112),Model!$AD$5:$AD$504,0)),"")</f>
        <v/>
      </c>
      <c r="B112" s="18">
        <f>IF(A112="","",INDEX(Model!$C$5:$C$504,MATCH(ROWS($A$5:A112),Model!$AD$5:$AD$504,0)))</f>
        <v/>
      </c>
      <c r="C112" s="18">
        <f>IF(A112="","",INDEX(Model!$D$5:$D$504,MATCH(ROWS($A$5:A112),Model!$AD$5:$AD$504,0)))</f>
        <v/>
      </c>
      <c r="D112" s="18">
        <f>IF(A112="","",INDEX(Model!$E$5:$E$504,MATCH(ROWS($A$5:A112),Model!$AD$5:$AD$504,0)))</f>
        <v/>
      </c>
      <c r="E112" s="19">
        <f>IF(A112="","",INDEX(Model!$F$5:$F$504,MATCH(ROWS($A$5:A112),Model!$AD$5:$AD$504,0)))</f>
        <v/>
      </c>
      <c r="F112" s="19">
        <f>IF(A112="","",INDEX(Model!$G$5:$G$504,MATCH(ROWS($A$5:A112),Model!$AD$5:$AD$504,0)))</f>
        <v/>
      </c>
      <c r="G112" s="18">
        <f>IF(A112="","",INDEX(Model!$H$5:$H$504,MATCH(ROWS($A$5:A112),Model!$AD$5:$AD$504,0)))</f>
        <v/>
      </c>
      <c r="H112" s="18">
        <f>IF(A112="","",INDEX(Model!$L$5:$L$504,MATCH(ROWS($A$5:A112),Model!$AD$5:$AD$504,0)))</f>
        <v/>
      </c>
      <c r="I112" s="20">
        <f>IF(A112="","",INDEX(Model!$P$5:$P$504,MATCH(ROWS($A$5:A112),Model!$AD$5:$AD$504,0)))</f>
        <v/>
      </c>
      <c r="J112" s="20">
        <f>IF(A112="","",INDEX(Model!$Q$5:$Q$504,MATCH(ROWS($A$5:A112),Model!$AD$5:$AD$504,0)))</f>
        <v/>
      </c>
      <c r="K112" s="21">
        <f>IF(A112="","",INDEX(Model!$R$5:$R$504,MATCH(ROWS($A$5:A112),Model!$AD$5:$AD$504,0)))</f>
        <v/>
      </c>
      <c r="L112" s="20">
        <f>IF(A112="","",INDEX(Model!$S$5:$S$504,MATCH(ROWS($A$5:A112),Model!$AD$5:$AD$504,0)))</f>
        <v/>
      </c>
      <c r="M112" s="21">
        <f>IF(A112="","",INDEX(Model!$T$5:$T$504,MATCH(ROWS($A$5:A112),Model!$AD$5:$AD$504,0)))</f>
        <v/>
      </c>
      <c r="N112" s="18">
        <f>IF(A112="","",INDEX(Model!$U$5:$U$504,MATCH(ROWS($A$5:A112),Model!$AD$5:$AD$504,0)))</f>
        <v/>
      </c>
      <c r="O112" s="18">
        <f>IF(A112="","",INDEX(Model!$V$5:$V$504,MATCH(ROWS($A$5:A112),Model!$AD$5:$AD$504,0)))</f>
        <v/>
      </c>
      <c r="P112" s="18">
        <f>IF(A112="","",INDEX(Model!$W$5:$W$504,MATCH(ROWS($A$5:A112),Model!$AD$5:$AD$504,0)))</f>
        <v/>
      </c>
      <c r="Q112" s="18">
        <f>IF(A112="","",INDEX(Model!$X$5:$X$504,MATCH(ROWS($A$5:A112),Model!$AD$5:$AD$504,0)))</f>
        <v/>
      </c>
      <c r="R112" s="18">
        <f>IF(A112="","",INDEX(Model!$Y$5:$Y$504,MATCH(ROWS($A$5:A112),Model!$AD$5:$AD$504,0)))</f>
        <v/>
      </c>
      <c r="S112" s="21">
        <f>IF(A112="","",INDEX(Model!$Z$5:$Z$504,MATCH(ROWS($A$5:A112),Model!$AD$5:$AD$504,0)))</f>
        <v/>
      </c>
      <c r="T112" s="18">
        <f>IF(A112="","",INDEX(Model!$AA$5:$AA$504,MATCH(ROWS($A$5:A112),Model!$AD$5:$AD$504,0)))</f>
        <v/>
      </c>
      <c r="U112" s="13" t="n"/>
      <c r="V112" s="13" t="n"/>
      <c r="W112" s="13" t="n"/>
    </row>
    <row r="113">
      <c r="A113" s="18">
        <f>IFERROR(INDEX(Model!$B$5:$B$504,MATCH(ROWS($A$5:A113),Model!$AD$5:$AD$504,0)),"")</f>
        <v/>
      </c>
      <c r="B113" s="18">
        <f>IF(A113="","",INDEX(Model!$C$5:$C$504,MATCH(ROWS($A$5:A113),Model!$AD$5:$AD$504,0)))</f>
        <v/>
      </c>
      <c r="C113" s="18">
        <f>IF(A113="","",INDEX(Model!$D$5:$D$504,MATCH(ROWS($A$5:A113),Model!$AD$5:$AD$504,0)))</f>
        <v/>
      </c>
      <c r="D113" s="18">
        <f>IF(A113="","",INDEX(Model!$E$5:$E$504,MATCH(ROWS($A$5:A113),Model!$AD$5:$AD$504,0)))</f>
        <v/>
      </c>
      <c r="E113" s="19">
        <f>IF(A113="","",INDEX(Model!$F$5:$F$504,MATCH(ROWS($A$5:A113),Model!$AD$5:$AD$504,0)))</f>
        <v/>
      </c>
      <c r="F113" s="19">
        <f>IF(A113="","",INDEX(Model!$G$5:$G$504,MATCH(ROWS($A$5:A113),Model!$AD$5:$AD$504,0)))</f>
        <v/>
      </c>
      <c r="G113" s="18">
        <f>IF(A113="","",INDEX(Model!$H$5:$H$504,MATCH(ROWS($A$5:A113),Model!$AD$5:$AD$504,0)))</f>
        <v/>
      </c>
      <c r="H113" s="18">
        <f>IF(A113="","",INDEX(Model!$L$5:$L$504,MATCH(ROWS($A$5:A113),Model!$AD$5:$AD$504,0)))</f>
        <v/>
      </c>
      <c r="I113" s="20">
        <f>IF(A113="","",INDEX(Model!$P$5:$P$504,MATCH(ROWS($A$5:A113),Model!$AD$5:$AD$504,0)))</f>
        <v/>
      </c>
      <c r="J113" s="20">
        <f>IF(A113="","",INDEX(Model!$Q$5:$Q$504,MATCH(ROWS($A$5:A113),Model!$AD$5:$AD$504,0)))</f>
        <v/>
      </c>
      <c r="K113" s="21">
        <f>IF(A113="","",INDEX(Model!$R$5:$R$504,MATCH(ROWS($A$5:A113),Model!$AD$5:$AD$504,0)))</f>
        <v/>
      </c>
      <c r="L113" s="20">
        <f>IF(A113="","",INDEX(Model!$S$5:$S$504,MATCH(ROWS($A$5:A113),Model!$AD$5:$AD$504,0)))</f>
        <v/>
      </c>
      <c r="M113" s="21">
        <f>IF(A113="","",INDEX(Model!$T$5:$T$504,MATCH(ROWS($A$5:A113),Model!$AD$5:$AD$504,0)))</f>
        <v/>
      </c>
      <c r="N113" s="18">
        <f>IF(A113="","",INDEX(Model!$U$5:$U$504,MATCH(ROWS($A$5:A113),Model!$AD$5:$AD$504,0)))</f>
        <v/>
      </c>
      <c r="O113" s="18">
        <f>IF(A113="","",INDEX(Model!$V$5:$V$504,MATCH(ROWS($A$5:A113),Model!$AD$5:$AD$504,0)))</f>
        <v/>
      </c>
      <c r="P113" s="18">
        <f>IF(A113="","",INDEX(Model!$W$5:$W$504,MATCH(ROWS($A$5:A113),Model!$AD$5:$AD$504,0)))</f>
        <v/>
      </c>
      <c r="Q113" s="18">
        <f>IF(A113="","",INDEX(Model!$X$5:$X$504,MATCH(ROWS($A$5:A113),Model!$AD$5:$AD$504,0)))</f>
        <v/>
      </c>
      <c r="R113" s="18">
        <f>IF(A113="","",INDEX(Model!$Y$5:$Y$504,MATCH(ROWS($A$5:A113),Model!$AD$5:$AD$504,0)))</f>
        <v/>
      </c>
      <c r="S113" s="21">
        <f>IF(A113="","",INDEX(Model!$Z$5:$Z$504,MATCH(ROWS($A$5:A113),Model!$AD$5:$AD$504,0)))</f>
        <v/>
      </c>
      <c r="T113" s="18">
        <f>IF(A113="","",INDEX(Model!$AA$5:$AA$504,MATCH(ROWS($A$5:A113),Model!$AD$5:$AD$504,0)))</f>
        <v/>
      </c>
      <c r="U113" s="13" t="n"/>
      <c r="V113" s="13" t="n"/>
      <c r="W113" s="13" t="n"/>
    </row>
    <row r="114">
      <c r="A114" s="18">
        <f>IFERROR(INDEX(Model!$B$5:$B$504,MATCH(ROWS($A$5:A114),Model!$AD$5:$AD$504,0)),"")</f>
        <v/>
      </c>
      <c r="B114" s="18">
        <f>IF(A114="","",INDEX(Model!$C$5:$C$504,MATCH(ROWS($A$5:A114),Model!$AD$5:$AD$504,0)))</f>
        <v/>
      </c>
      <c r="C114" s="18">
        <f>IF(A114="","",INDEX(Model!$D$5:$D$504,MATCH(ROWS($A$5:A114),Model!$AD$5:$AD$504,0)))</f>
        <v/>
      </c>
      <c r="D114" s="18">
        <f>IF(A114="","",INDEX(Model!$E$5:$E$504,MATCH(ROWS($A$5:A114),Model!$AD$5:$AD$504,0)))</f>
        <v/>
      </c>
      <c r="E114" s="19">
        <f>IF(A114="","",INDEX(Model!$F$5:$F$504,MATCH(ROWS($A$5:A114),Model!$AD$5:$AD$504,0)))</f>
        <v/>
      </c>
      <c r="F114" s="19">
        <f>IF(A114="","",INDEX(Model!$G$5:$G$504,MATCH(ROWS($A$5:A114),Model!$AD$5:$AD$504,0)))</f>
        <v/>
      </c>
      <c r="G114" s="18">
        <f>IF(A114="","",INDEX(Model!$H$5:$H$504,MATCH(ROWS($A$5:A114),Model!$AD$5:$AD$504,0)))</f>
        <v/>
      </c>
      <c r="H114" s="18">
        <f>IF(A114="","",INDEX(Model!$L$5:$L$504,MATCH(ROWS($A$5:A114),Model!$AD$5:$AD$504,0)))</f>
        <v/>
      </c>
      <c r="I114" s="20">
        <f>IF(A114="","",INDEX(Model!$P$5:$P$504,MATCH(ROWS($A$5:A114),Model!$AD$5:$AD$504,0)))</f>
        <v/>
      </c>
      <c r="J114" s="20">
        <f>IF(A114="","",INDEX(Model!$Q$5:$Q$504,MATCH(ROWS($A$5:A114),Model!$AD$5:$AD$504,0)))</f>
        <v/>
      </c>
      <c r="K114" s="21">
        <f>IF(A114="","",INDEX(Model!$R$5:$R$504,MATCH(ROWS($A$5:A114),Model!$AD$5:$AD$504,0)))</f>
        <v/>
      </c>
      <c r="L114" s="20">
        <f>IF(A114="","",INDEX(Model!$S$5:$S$504,MATCH(ROWS($A$5:A114),Model!$AD$5:$AD$504,0)))</f>
        <v/>
      </c>
      <c r="M114" s="21">
        <f>IF(A114="","",INDEX(Model!$T$5:$T$504,MATCH(ROWS($A$5:A114),Model!$AD$5:$AD$504,0)))</f>
        <v/>
      </c>
      <c r="N114" s="18">
        <f>IF(A114="","",INDEX(Model!$U$5:$U$504,MATCH(ROWS($A$5:A114),Model!$AD$5:$AD$504,0)))</f>
        <v/>
      </c>
      <c r="O114" s="18">
        <f>IF(A114="","",INDEX(Model!$V$5:$V$504,MATCH(ROWS($A$5:A114),Model!$AD$5:$AD$504,0)))</f>
        <v/>
      </c>
      <c r="P114" s="18">
        <f>IF(A114="","",INDEX(Model!$W$5:$W$504,MATCH(ROWS($A$5:A114),Model!$AD$5:$AD$504,0)))</f>
        <v/>
      </c>
      <c r="Q114" s="18">
        <f>IF(A114="","",INDEX(Model!$X$5:$X$504,MATCH(ROWS($A$5:A114),Model!$AD$5:$AD$504,0)))</f>
        <v/>
      </c>
      <c r="R114" s="18">
        <f>IF(A114="","",INDEX(Model!$Y$5:$Y$504,MATCH(ROWS($A$5:A114),Model!$AD$5:$AD$504,0)))</f>
        <v/>
      </c>
      <c r="S114" s="21">
        <f>IF(A114="","",INDEX(Model!$Z$5:$Z$504,MATCH(ROWS($A$5:A114),Model!$AD$5:$AD$504,0)))</f>
        <v/>
      </c>
      <c r="T114" s="18">
        <f>IF(A114="","",INDEX(Model!$AA$5:$AA$504,MATCH(ROWS($A$5:A114),Model!$AD$5:$AD$504,0)))</f>
        <v/>
      </c>
      <c r="U114" s="13" t="n"/>
      <c r="V114" s="13" t="n"/>
      <c r="W114" s="13" t="n"/>
    </row>
    <row r="115">
      <c r="A115" s="18">
        <f>IFERROR(INDEX(Model!$B$5:$B$504,MATCH(ROWS($A$5:A115),Model!$AD$5:$AD$504,0)),"")</f>
        <v/>
      </c>
      <c r="B115" s="18">
        <f>IF(A115="","",INDEX(Model!$C$5:$C$504,MATCH(ROWS($A$5:A115),Model!$AD$5:$AD$504,0)))</f>
        <v/>
      </c>
      <c r="C115" s="18">
        <f>IF(A115="","",INDEX(Model!$D$5:$D$504,MATCH(ROWS($A$5:A115),Model!$AD$5:$AD$504,0)))</f>
        <v/>
      </c>
      <c r="D115" s="18">
        <f>IF(A115="","",INDEX(Model!$E$5:$E$504,MATCH(ROWS($A$5:A115),Model!$AD$5:$AD$504,0)))</f>
        <v/>
      </c>
      <c r="E115" s="19">
        <f>IF(A115="","",INDEX(Model!$F$5:$F$504,MATCH(ROWS($A$5:A115),Model!$AD$5:$AD$504,0)))</f>
        <v/>
      </c>
      <c r="F115" s="19">
        <f>IF(A115="","",INDEX(Model!$G$5:$G$504,MATCH(ROWS($A$5:A115),Model!$AD$5:$AD$504,0)))</f>
        <v/>
      </c>
      <c r="G115" s="18">
        <f>IF(A115="","",INDEX(Model!$H$5:$H$504,MATCH(ROWS($A$5:A115),Model!$AD$5:$AD$504,0)))</f>
        <v/>
      </c>
      <c r="H115" s="18">
        <f>IF(A115="","",INDEX(Model!$L$5:$L$504,MATCH(ROWS($A$5:A115),Model!$AD$5:$AD$504,0)))</f>
        <v/>
      </c>
      <c r="I115" s="20">
        <f>IF(A115="","",INDEX(Model!$P$5:$P$504,MATCH(ROWS($A$5:A115),Model!$AD$5:$AD$504,0)))</f>
        <v/>
      </c>
      <c r="J115" s="20">
        <f>IF(A115="","",INDEX(Model!$Q$5:$Q$504,MATCH(ROWS($A$5:A115),Model!$AD$5:$AD$504,0)))</f>
        <v/>
      </c>
      <c r="K115" s="21">
        <f>IF(A115="","",INDEX(Model!$R$5:$R$504,MATCH(ROWS($A$5:A115),Model!$AD$5:$AD$504,0)))</f>
        <v/>
      </c>
      <c r="L115" s="20">
        <f>IF(A115="","",INDEX(Model!$S$5:$S$504,MATCH(ROWS($A$5:A115),Model!$AD$5:$AD$504,0)))</f>
        <v/>
      </c>
      <c r="M115" s="21">
        <f>IF(A115="","",INDEX(Model!$T$5:$T$504,MATCH(ROWS($A$5:A115),Model!$AD$5:$AD$504,0)))</f>
        <v/>
      </c>
      <c r="N115" s="18">
        <f>IF(A115="","",INDEX(Model!$U$5:$U$504,MATCH(ROWS($A$5:A115),Model!$AD$5:$AD$504,0)))</f>
        <v/>
      </c>
      <c r="O115" s="18">
        <f>IF(A115="","",INDEX(Model!$V$5:$V$504,MATCH(ROWS($A$5:A115),Model!$AD$5:$AD$504,0)))</f>
        <v/>
      </c>
      <c r="P115" s="18">
        <f>IF(A115="","",INDEX(Model!$W$5:$W$504,MATCH(ROWS($A$5:A115),Model!$AD$5:$AD$504,0)))</f>
        <v/>
      </c>
      <c r="Q115" s="18">
        <f>IF(A115="","",INDEX(Model!$X$5:$X$504,MATCH(ROWS($A$5:A115),Model!$AD$5:$AD$504,0)))</f>
        <v/>
      </c>
      <c r="R115" s="18">
        <f>IF(A115="","",INDEX(Model!$Y$5:$Y$504,MATCH(ROWS($A$5:A115),Model!$AD$5:$AD$504,0)))</f>
        <v/>
      </c>
      <c r="S115" s="21">
        <f>IF(A115="","",INDEX(Model!$Z$5:$Z$504,MATCH(ROWS($A$5:A115),Model!$AD$5:$AD$504,0)))</f>
        <v/>
      </c>
      <c r="T115" s="18">
        <f>IF(A115="","",INDEX(Model!$AA$5:$AA$504,MATCH(ROWS($A$5:A115),Model!$AD$5:$AD$504,0)))</f>
        <v/>
      </c>
      <c r="U115" s="13" t="n"/>
      <c r="V115" s="13" t="n"/>
      <c r="W115" s="13" t="n"/>
    </row>
    <row r="116">
      <c r="A116" s="18">
        <f>IFERROR(INDEX(Model!$B$5:$B$504,MATCH(ROWS($A$5:A116),Model!$AD$5:$AD$504,0)),"")</f>
        <v/>
      </c>
      <c r="B116" s="18">
        <f>IF(A116="","",INDEX(Model!$C$5:$C$504,MATCH(ROWS($A$5:A116),Model!$AD$5:$AD$504,0)))</f>
        <v/>
      </c>
      <c r="C116" s="18">
        <f>IF(A116="","",INDEX(Model!$D$5:$D$504,MATCH(ROWS($A$5:A116),Model!$AD$5:$AD$504,0)))</f>
        <v/>
      </c>
      <c r="D116" s="18">
        <f>IF(A116="","",INDEX(Model!$E$5:$E$504,MATCH(ROWS($A$5:A116),Model!$AD$5:$AD$504,0)))</f>
        <v/>
      </c>
      <c r="E116" s="19">
        <f>IF(A116="","",INDEX(Model!$F$5:$F$504,MATCH(ROWS($A$5:A116),Model!$AD$5:$AD$504,0)))</f>
        <v/>
      </c>
      <c r="F116" s="19">
        <f>IF(A116="","",INDEX(Model!$G$5:$G$504,MATCH(ROWS($A$5:A116),Model!$AD$5:$AD$504,0)))</f>
        <v/>
      </c>
      <c r="G116" s="18">
        <f>IF(A116="","",INDEX(Model!$H$5:$H$504,MATCH(ROWS($A$5:A116),Model!$AD$5:$AD$504,0)))</f>
        <v/>
      </c>
      <c r="H116" s="18">
        <f>IF(A116="","",INDEX(Model!$L$5:$L$504,MATCH(ROWS($A$5:A116),Model!$AD$5:$AD$504,0)))</f>
        <v/>
      </c>
      <c r="I116" s="20">
        <f>IF(A116="","",INDEX(Model!$P$5:$P$504,MATCH(ROWS($A$5:A116),Model!$AD$5:$AD$504,0)))</f>
        <v/>
      </c>
      <c r="J116" s="20">
        <f>IF(A116="","",INDEX(Model!$Q$5:$Q$504,MATCH(ROWS($A$5:A116),Model!$AD$5:$AD$504,0)))</f>
        <v/>
      </c>
      <c r="K116" s="21">
        <f>IF(A116="","",INDEX(Model!$R$5:$R$504,MATCH(ROWS($A$5:A116),Model!$AD$5:$AD$504,0)))</f>
        <v/>
      </c>
      <c r="L116" s="20">
        <f>IF(A116="","",INDEX(Model!$S$5:$S$504,MATCH(ROWS($A$5:A116),Model!$AD$5:$AD$504,0)))</f>
        <v/>
      </c>
      <c r="M116" s="21">
        <f>IF(A116="","",INDEX(Model!$T$5:$T$504,MATCH(ROWS($A$5:A116),Model!$AD$5:$AD$504,0)))</f>
        <v/>
      </c>
      <c r="N116" s="18">
        <f>IF(A116="","",INDEX(Model!$U$5:$U$504,MATCH(ROWS($A$5:A116),Model!$AD$5:$AD$504,0)))</f>
        <v/>
      </c>
      <c r="O116" s="18">
        <f>IF(A116="","",INDEX(Model!$V$5:$V$504,MATCH(ROWS($A$5:A116),Model!$AD$5:$AD$504,0)))</f>
        <v/>
      </c>
      <c r="P116" s="18">
        <f>IF(A116="","",INDEX(Model!$W$5:$W$504,MATCH(ROWS($A$5:A116),Model!$AD$5:$AD$504,0)))</f>
        <v/>
      </c>
      <c r="Q116" s="18">
        <f>IF(A116="","",INDEX(Model!$X$5:$X$504,MATCH(ROWS($A$5:A116),Model!$AD$5:$AD$504,0)))</f>
        <v/>
      </c>
      <c r="R116" s="18">
        <f>IF(A116="","",INDEX(Model!$Y$5:$Y$504,MATCH(ROWS($A$5:A116),Model!$AD$5:$AD$504,0)))</f>
        <v/>
      </c>
      <c r="S116" s="21">
        <f>IF(A116="","",INDEX(Model!$Z$5:$Z$504,MATCH(ROWS($A$5:A116),Model!$AD$5:$AD$504,0)))</f>
        <v/>
      </c>
      <c r="T116" s="18">
        <f>IF(A116="","",INDEX(Model!$AA$5:$AA$504,MATCH(ROWS($A$5:A116),Model!$AD$5:$AD$504,0)))</f>
        <v/>
      </c>
      <c r="U116" s="13" t="n"/>
      <c r="V116" s="13" t="n"/>
      <c r="W116" s="13" t="n"/>
    </row>
    <row r="117">
      <c r="A117" s="18">
        <f>IFERROR(INDEX(Model!$B$5:$B$504,MATCH(ROWS($A$5:A117),Model!$AD$5:$AD$504,0)),"")</f>
        <v/>
      </c>
      <c r="B117" s="18">
        <f>IF(A117="","",INDEX(Model!$C$5:$C$504,MATCH(ROWS($A$5:A117),Model!$AD$5:$AD$504,0)))</f>
        <v/>
      </c>
      <c r="C117" s="18">
        <f>IF(A117="","",INDEX(Model!$D$5:$D$504,MATCH(ROWS($A$5:A117),Model!$AD$5:$AD$504,0)))</f>
        <v/>
      </c>
      <c r="D117" s="18">
        <f>IF(A117="","",INDEX(Model!$E$5:$E$504,MATCH(ROWS($A$5:A117),Model!$AD$5:$AD$504,0)))</f>
        <v/>
      </c>
      <c r="E117" s="19">
        <f>IF(A117="","",INDEX(Model!$F$5:$F$504,MATCH(ROWS($A$5:A117),Model!$AD$5:$AD$504,0)))</f>
        <v/>
      </c>
      <c r="F117" s="19">
        <f>IF(A117="","",INDEX(Model!$G$5:$G$504,MATCH(ROWS($A$5:A117),Model!$AD$5:$AD$504,0)))</f>
        <v/>
      </c>
      <c r="G117" s="18">
        <f>IF(A117="","",INDEX(Model!$H$5:$H$504,MATCH(ROWS($A$5:A117),Model!$AD$5:$AD$504,0)))</f>
        <v/>
      </c>
      <c r="H117" s="18">
        <f>IF(A117="","",INDEX(Model!$L$5:$L$504,MATCH(ROWS($A$5:A117),Model!$AD$5:$AD$504,0)))</f>
        <v/>
      </c>
      <c r="I117" s="20">
        <f>IF(A117="","",INDEX(Model!$P$5:$P$504,MATCH(ROWS($A$5:A117),Model!$AD$5:$AD$504,0)))</f>
        <v/>
      </c>
      <c r="J117" s="20">
        <f>IF(A117="","",INDEX(Model!$Q$5:$Q$504,MATCH(ROWS($A$5:A117),Model!$AD$5:$AD$504,0)))</f>
        <v/>
      </c>
      <c r="K117" s="21">
        <f>IF(A117="","",INDEX(Model!$R$5:$R$504,MATCH(ROWS($A$5:A117),Model!$AD$5:$AD$504,0)))</f>
        <v/>
      </c>
      <c r="L117" s="20">
        <f>IF(A117="","",INDEX(Model!$S$5:$S$504,MATCH(ROWS($A$5:A117),Model!$AD$5:$AD$504,0)))</f>
        <v/>
      </c>
      <c r="M117" s="21">
        <f>IF(A117="","",INDEX(Model!$T$5:$T$504,MATCH(ROWS($A$5:A117),Model!$AD$5:$AD$504,0)))</f>
        <v/>
      </c>
      <c r="N117" s="18">
        <f>IF(A117="","",INDEX(Model!$U$5:$U$504,MATCH(ROWS($A$5:A117),Model!$AD$5:$AD$504,0)))</f>
        <v/>
      </c>
      <c r="O117" s="18">
        <f>IF(A117="","",INDEX(Model!$V$5:$V$504,MATCH(ROWS($A$5:A117),Model!$AD$5:$AD$504,0)))</f>
        <v/>
      </c>
      <c r="P117" s="18">
        <f>IF(A117="","",INDEX(Model!$W$5:$W$504,MATCH(ROWS($A$5:A117),Model!$AD$5:$AD$504,0)))</f>
        <v/>
      </c>
      <c r="Q117" s="18">
        <f>IF(A117="","",INDEX(Model!$X$5:$X$504,MATCH(ROWS($A$5:A117),Model!$AD$5:$AD$504,0)))</f>
        <v/>
      </c>
      <c r="R117" s="18">
        <f>IF(A117="","",INDEX(Model!$Y$5:$Y$504,MATCH(ROWS($A$5:A117),Model!$AD$5:$AD$504,0)))</f>
        <v/>
      </c>
      <c r="S117" s="21">
        <f>IF(A117="","",INDEX(Model!$Z$5:$Z$504,MATCH(ROWS($A$5:A117),Model!$AD$5:$AD$504,0)))</f>
        <v/>
      </c>
      <c r="T117" s="18">
        <f>IF(A117="","",INDEX(Model!$AA$5:$AA$504,MATCH(ROWS($A$5:A117),Model!$AD$5:$AD$504,0)))</f>
        <v/>
      </c>
      <c r="U117" s="13" t="n"/>
      <c r="V117" s="13" t="n"/>
      <c r="W117" s="13" t="n"/>
    </row>
    <row r="118">
      <c r="A118" s="18">
        <f>IFERROR(INDEX(Model!$B$5:$B$504,MATCH(ROWS($A$5:A118),Model!$AD$5:$AD$504,0)),"")</f>
        <v/>
      </c>
      <c r="B118" s="18">
        <f>IF(A118="","",INDEX(Model!$C$5:$C$504,MATCH(ROWS($A$5:A118),Model!$AD$5:$AD$504,0)))</f>
        <v/>
      </c>
      <c r="C118" s="18">
        <f>IF(A118="","",INDEX(Model!$D$5:$D$504,MATCH(ROWS($A$5:A118),Model!$AD$5:$AD$504,0)))</f>
        <v/>
      </c>
      <c r="D118" s="18">
        <f>IF(A118="","",INDEX(Model!$E$5:$E$504,MATCH(ROWS($A$5:A118),Model!$AD$5:$AD$504,0)))</f>
        <v/>
      </c>
      <c r="E118" s="19">
        <f>IF(A118="","",INDEX(Model!$F$5:$F$504,MATCH(ROWS($A$5:A118),Model!$AD$5:$AD$504,0)))</f>
        <v/>
      </c>
      <c r="F118" s="19">
        <f>IF(A118="","",INDEX(Model!$G$5:$G$504,MATCH(ROWS($A$5:A118),Model!$AD$5:$AD$504,0)))</f>
        <v/>
      </c>
      <c r="G118" s="18">
        <f>IF(A118="","",INDEX(Model!$H$5:$H$504,MATCH(ROWS($A$5:A118),Model!$AD$5:$AD$504,0)))</f>
        <v/>
      </c>
      <c r="H118" s="18">
        <f>IF(A118="","",INDEX(Model!$L$5:$L$504,MATCH(ROWS($A$5:A118),Model!$AD$5:$AD$504,0)))</f>
        <v/>
      </c>
      <c r="I118" s="20">
        <f>IF(A118="","",INDEX(Model!$P$5:$P$504,MATCH(ROWS($A$5:A118),Model!$AD$5:$AD$504,0)))</f>
        <v/>
      </c>
      <c r="J118" s="20">
        <f>IF(A118="","",INDEX(Model!$Q$5:$Q$504,MATCH(ROWS($A$5:A118),Model!$AD$5:$AD$504,0)))</f>
        <v/>
      </c>
      <c r="K118" s="21">
        <f>IF(A118="","",INDEX(Model!$R$5:$R$504,MATCH(ROWS($A$5:A118),Model!$AD$5:$AD$504,0)))</f>
        <v/>
      </c>
      <c r="L118" s="20">
        <f>IF(A118="","",INDEX(Model!$S$5:$S$504,MATCH(ROWS($A$5:A118),Model!$AD$5:$AD$504,0)))</f>
        <v/>
      </c>
      <c r="M118" s="21">
        <f>IF(A118="","",INDEX(Model!$T$5:$T$504,MATCH(ROWS($A$5:A118),Model!$AD$5:$AD$504,0)))</f>
        <v/>
      </c>
      <c r="N118" s="18">
        <f>IF(A118="","",INDEX(Model!$U$5:$U$504,MATCH(ROWS($A$5:A118),Model!$AD$5:$AD$504,0)))</f>
        <v/>
      </c>
      <c r="O118" s="18">
        <f>IF(A118="","",INDEX(Model!$V$5:$V$504,MATCH(ROWS($A$5:A118),Model!$AD$5:$AD$504,0)))</f>
        <v/>
      </c>
      <c r="P118" s="18">
        <f>IF(A118="","",INDEX(Model!$W$5:$W$504,MATCH(ROWS($A$5:A118),Model!$AD$5:$AD$504,0)))</f>
        <v/>
      </c>
      <c r="Q118" s="18">
        <f>IF(A118="","",INDEX(Model!$X$5:$X$504,MATCH(ROWS($A$5:A118),Model!$AD$5:$AD$504,0)))</f>
        <v/>
      </c>
      <c r="R118" s="18">
        <f>IF(A118="","",INDEX(Model!$Y$5:$Y$504,MATCH(ROWS($A$5:A118),Model!$AD$5:$AD$504,0)))</f>
        <v/>
      </c>
      <c r="S118" s="21">
        <f>IF(A118="","",INDEX(Model!$Z$5:$Z$504,MATCH(ROWS($A$5:A118),Model!$AD$5:$AD$504,0)))</f>
        <v/>
      </c>
      <c r="T118" s="18">
        <f>IF(A118="","",INDEX(Model!$AA$5:$AA$504,MATCH(ROWS($A$5:A118),Model!$AD$5:$AD$504,0)))</f>
        <v/>
      </c>
      <c r="U118" s="13" t="n"/>
      <c r="V118" s="13" t="n"/>
      <c r="W118" s="13" t="n"/>
    </row>
    <row r="119">
      <c r="A119" s="18">
        <f>IFERROR(INDEX(Model!$B$5:$B$504,MATCH(ROWS($A$5:A119),Model!$AD$5:$AD$504,0)),"")</f>
        <v/>
      </c>
      <c r="B119" s="18">
        <f>IF(A119="","",INDEX(Model!$C$5:$C$504,MATCH(ROWS($A$5:A119),Model!$AD$5:$AD$504,0)))</f>
        <v/>
      </c>
      <c r="C119" s="18">
        <f>IF(A119="","",INDEX(Model!$D$5:$D$504,MATCH(ROWS($A$5:A119),Model!$AD$5:$AD$504,0)))</f>
        <v/>
      </c>
      <c r="D119" s="18">
        <f>IF(A119="","",INDEX(Model!$E$5:$E$504,MATCH(ROWS($A$5:A119),Model!$AD$5:$AD$504,0)))</f>
        <v/>
      </c>
      <c r="E119" s="19">
        <f>IF(A119="","",INDEX(Model!$F$5:$F$504,MATCH(ROWS($A$5:A119),Model!$AD$5:$AD$504,0)))</f>
        <v/>
      </c>
      <c r="F119" s="19">
        <f>IF(A119="","",INDEX(Model!$G$5:$G$504,MATCH(ROWS($A$5:A119),Model!$AD$5:$AD$504,0)))</f>
        <v/>
      </c>
      <c r="G119" s="18">
        <f>IF(A119="","",INDEX(Model!$H$5:$H$504,MATCH(ROWS($A$5:A119),Model!$AD$5:$AD$504,0)))</f>
        <v/>
      </c>
      <c r="H119" s="18">
        <f>IF(A119="","",INDEX(Model!$L$5:$L$504,MATCH(ROWS($A$5:A119),Model!$AD$5:$AD$504,0)))</f>
        <v/>
      </c>
      <c r="I119" s="20">
        <f>IF(A119="","",INDEX(Model!$P$5:$P$504,MATCH(ROWS($A$5:A119),Model!$AD$5:$AD$504,0)))</f>
        <v/>
      </c>
      <c r="J119" s="20">
        <f>IF(A119="","",INDEX(Model!$Q$5:$Q$504,MATCH(ROWS($A$5:A119),Model!$AD$5:$AD$504,0)))</f>
        <v/>
      </c>
      <c r="K119" s="21">
        <f>IF(A119="","",INDEX(Model!$R$5:$R$504,MATCH(ROWS($A$5:A119),Model!$AD$5:$AD$504,0)))</f>
        <v/>
      </c>
      <c r="L119" s="20">
        <f>IF(A119="","",INDEX(Model!$S$5:$S$504,MATCH(ROWS($A$5:A119),Model!$AD$5:$AD$504,0)))</f>
        <v/>
      </c>
      <c r="M119" s="21">
        <f>IF(A119="","",INDEX(Model!$T$5:$T$504,MATCH(ROWS($A$5:A119),Model!$AD$5:$AD$504,0)))</f>
        <v/>
      </c>
      <c r="N119" s="18">
        <f>IF(A119="","",INDEX(Model!$U$5:$U$504,MATCH(ROWS($A$5:A119),Model!$AD$5:$AD$504,0)))</f>
        <v/>
      </c>
      <c r="O119" s="18">
        <f>IF(A119="","",INDEX(Model!$V$5:$V$504,MATCH(ROWS($A$5:A119),Model!$AD$5:$AD$504,0)))</f>
        <v/>
      </c>
      <c r="P119" s="18">
        <f>IF(A119="","",INDEX(Model!$W$5:$W$504,MATCH(ROWS($A$5:A119),Model!$AD$5:$AD$504,0)))</f>
        <v/>
      </c>
      <c r="Q119" s="18">
        <f>IF(A119="","",INDEX(Model!$X$5:$X$504,MATCH(ROWS($A$5:A119),Model!$AD$5:$AD$504,0)))</f>
        <v/>
      </c>
      <c r="R119" s="18">
        <f>IF(A119="","",INDEX(Model!$Y$5:$Y$504,MATCH(ROWS($A$5:A119),Model!$AD$5:$AD$504,0)))</f>
        <v/>
      </c>
      <c r="S119" s="21">
        <f>IF(A119="","",INDEX(Model!$Z$5:$Z$504,MATCH(ROWS($A$5:A119),Model!$AD$5:$AD$504,0)))</f>
        <v/>
      </c>
      <c r="T119" s="18">
        <f>IF(A119="","",INDEX(Model!$AA$5:$AA$504,MATCH(ROWS($A$5:A119),Model!$AD$5:$AD$504,0)))</f>
        <v/>
      </c>
      <c r="U119" s="13" t="n"/>
      <c r="V119" s="13" t="n"/>
      <c r="W119" s="13" t="n"/>
    </row>
    <row r="120">
      <c r="A120" s="18">
        <f>IFERROR(INDEX(Model!$B$5:$B$504,MATCH(ROWS($A$5:A120),Model!$AD$5:$AD$504,0)),"")</f>
        <v/>
      </c>
      <c r="B120" s="18">
        <f>IF(A120="","",INDEX(Model!$C$5:$C$504,MATCH(ROWS($A$5:A120),Model!$AD$5:$AD$504,0)))</f>
        <v/>
      </c>
      <c r="C120" s="18">
        <f>IF(A120="","",INDEX(Model!$D$5:$D$504,MATCH(ROWS($A$5:A120),Model!$AD$5:$AD$504,0)))</f>
        <v/>
      </c>
      <c r="D120" s="18">
        <f>IF(A120="","",INDEX(Model!$E$5:$E$504,MATCH(ROWS($A$5:A120),Model!$AD$5:$AD$504,0)))</f>
        <v/>
      </c>
      <c r="E120" s="19">
        <f>IF(A120="","",INDEX(Model!$F$5:$F$504,MATCH(ROWS($A$5:A120),Model!$AD$5:$AD$504,0)))</f>
        <v/>
      </c>
      <c r="F120" s="19">
        <f>IF(A120="","",INDEX(Model!$G$5:$G$504,MATCH(ROWS($A$5:A120),Model!$AD$5:$AD$504,0)))</f>
        <v/>
      </c>
      <c r="G120" s="18">
        <f>IF(A120="","",INDEX(Model!$H$5:$H$504,MATCH(ROWS($A$5:A120),Model!$AD$5:$AD$504,0)))</f>
        <v/>
      </c>
      <c r="H120" s="18">
        <f>IF(A120="","",INDEX(Model!$L$5:$L$504,MATCH(ROWS($A$5:A120),Model!$AD$5:$AD$504,0)))</f>
        <v/>
      </c>
      <c r="I120" s="20">
        <f>IF(A120="","",INDEX(Model!$P$5:$P$504,MATCH(ROWS($A$5:A120),Model!$AD$5:$AD$504,0)))</f>
        <v/>
      </c>
      <c r="J120" s="20">
        <f>IF(A120="","",INDEX(Model!$Q$5:$Q$504,MATCH(ROWS($A$5:A120),Model!$AD$5:$AD$504,0)))</f>
        <v/>
      </c>
      <c r="K120" s="21">
        <f>IF(A120="","",INDEX(Model!$R$5:$R$504,MATCH(ROWS($A$5:A120),Model!$AD$5:$AD$504,0)))</f>
        <v/>
      </c>
      <c r="L120" s="20">
        <f>IF(A120="","",INDEX(Model!$S$5:$S$504,MATCH(ROWS($A$5:A120),Model!$AD$5:$AD$504,0)))</f>
        <v/>
      </c>
      <c r="M120" s="21">
        <f>IF(A120="","",INDEX(Model!$T$5:$T$504,MATCH(ROWS($A$5:A120),Model!$AD$5:$AD$504,0)))</f>
        <v/>
      </c>
      <c r="N120" s="18">
        <f>IF(A120="","",INDEX(Model!$U$5:$U$504,MATCH(ROWS($A$5:A120),Model!$AD$5:$AD$504,0)))</f>
        <v/>
      </c>
      <c r="O120" s="18">
        <f>IF(A120="","",INDEX(Model!$V$5:$V$504,MATCH(ROWS($A$5:A120),Model!$AD$5:$AD$504,0)))</f>
        <v/>
      </c>
      <c r="P120" s="18">
        <f>IF(A120="","",INDEX(Model!$W$5:$W$504,MATCH(ROWS($A$5:A120),Model!$AD$5:$AD$504,0)))</f>
        <v/>
      </c>
      <c r="Q120" s="18">
        <f>IF(A120="","",INDEX(Model!$X$5:$X$504,MATCH(ROWS($A$5:A120),Model!$AD$5:$AD$504,0)))</f>
        <v/>
      </c>
      <c r="R120" s="18">
        <f>IF(A120="","",INDEX(Model!$Y$5:$Y$504,MATCH(ROWS($A$5:A120),Model!$AD$5:$AD$504,0)))</f>
        <v/>
      </c>
      <c r="S120" s="21">
        <f>IF(A120="","",INDEX(Model!$Z$5:$Z$504,MATCH(ROWS($A$5:A120),Model!$AD$5:$AD$504,0)))</f>
        <v/>
      </c>
      <c r="T120" s="18">
        <f>IF(A120="","",INDEX(Model!$AA$5:$AA$504,MATCH(ROWS($A$5:A120),Model!$AD$5:$AD$504,0)))</f>
        <v/>
      </c>
      <c r="U120" s="13" t="n"/>
      <c r="V120" s="13" t="n"/>
      <c r="W120" s="13" t="n"/>
    </row>
    <row r="121">
      <c r="A121" s="18">
        <f>IFERROR(INDEX(Model!$B$5:$B$504,MATCH(ROWS($A$5:A121),Model!$AD$5:$AD$504,0)),"")</f>
        <v/>
      </c>
      <c r="B121" s="18">
        <f>IF(A121="","",INDEX(Model!$C$5:$C$504,MATCH(ROWS($A$5:A121),Model!$AD$5:$AD$504,0)))</f>
        <v/>
      </c>
      <c r="C121" s="18">
        <f>IF(A121="","",INDEX(Model!$D$5:$D$504,MATCH(ROWS($A$5:A121),Model!$AD$5:$AD$504,0)))</f>
        <v/>
      </c>
      <c r="D121" s="18">
        <f>IF(A121="","",INDEX(Model!$E$5:$E$504,MATCH(ROWS($A$5:A121),Model!$AD$5:$AD$504,0)))</f>
        <v/>
      </c>
      <c r="E121" s="19">
        <f>IF(A121="","",INDEX(Model!$F$5:$F$504,MATCH(ROWS($A$5:A121),Model!$AD$5:$AD$504,0)))</f>
        <v/>
      </c>
      <c r="F121" s="19">
        <f>IF(A121="","",INDEX(Model!$G$5:$G$504,MATCH(ROWS($A$5:A121),Model!$AD$5:$AD$504,0)))</f>
        <v/>
      </c>
      <c r="G121" s="18">
        <f>IF(A121="","",INDEX(Model!$H$5:$H$504,MATCH(ROWS($A$5:A121),Model!$AD$5:$AD$504,0)))</f>
        <v/>
      </c>
      <c r="H121" s="18">
        <f>IF(A121="","",INDEX(Model!$L$5:$L$504,MATCH(ROWS($A$5:A121),Model!$AD$5:$AD$504,0)))</f>
        <v/>
      </c>
      <c r="I121" s="20">
        <f>IF(A121="","",INDEX(Model!$P$5:$P$504,MATCH(ROWS($A$5:A121),Model!$AD$5:$AD$504,0)))</f>
        <v/>
      </c>
      <c r="J121" s="20">
        <f>IF(A121="","",INDEX(Model!$Q$5:$Q$504,MATCH(ROWS($A$5:A121),Model!$AD$5:$AD$504,0)))</f>
        <v/>
      </c>
      <c r="K121" s="21">
        <f>IF(A121="","",INDEX(Model!$R$5:$R$504,MATCH(ROWS($A$5:A121),Model!$AD$5:$AD$504,0)))</f>
        <v/>
      </c>
      <c r="L121" s="20">
        <f>IF(A121="","",INDEX(Model!$S$5:$S$504,MATCH(ROWS($A$5:A121),Model!$AD$5:$AD$504,0)))</f>
        <v/>
      </c>
      <c r="M121" s="21">
        <f>IF(A121="","",INDEX(Model!$T$5:$T$504,MATCH(ROWS($A$5:A121),Model!$AD$5:$AD$504,0)))</f>
        <v/>
      </c>
      <c r="N121" s="18">
        <f>IF(A121="","",INDEX(Model!$U$5:$U$504,MATCH(ROWS($A$5:A121),Model!$AD$5:$AD$504,0)))</f>
        <v/>
      </c>
      <c r="O121" s="18">
        <f>IF(A121="","",INDEX(Model!$V$5:$V$504,MATCH(ROWS($A$5:A121),Model!$AD$5:$AD$504,0)))</f>
        <v/>
      </c>
      <c r="P121" s="18">
        <f>IF(A121="","",INDEX(Model!$W$5:$W$504,MATCH(ROWS($A$5:A121),Model!$AD$5:$AD$504,0)))</f>
        <v/>
      </c>
      <c r="Q121" s="18">
        <f>IF(A121="","",INDEX(Model!$X$5:$X$504,MATCH(ROWS($A$5:A121),Model!$AD$5:$AD$504,0)))</f>
        <v/>
      </c>
      <c r="R121" s="18">
        <f>IF(A121="","",INDEX(Model!$Y$5:$Y$504,MATCH(ROWS($A$5:A121),Model!$AD$5:$AD$504,0)))</f>
        <v/>
      </c>
      <c r="S121" s="21">
        <f>IF(A121="","",INDEX(Model!$Z$5:$Z$504,MATCH(ROWS($A$5:A121),Model!$AD$5:$AD$504,0)))</f>
        <v/>
      </c>
      <c r="T121" s="18">
        <f>IF(A121="","",INDEX(Model!$AA$5:$AA$504,MATCH(ROWS($A$5:A121),Model!$AD$5:$AD$504,0)))</f>
        <v/>
      </c>
      <c r="U121" s="13" t="n"/>
      <c r="V121" s="13" t="n"/>
      <c r="W121" s="13" t="n"/>
    </row>
    <row r="122">
      <c r="A122" s="18">
        <f>IFERROR(INDEX(Model!$B$5:$B$504,MATCH(ROWS($A$5:A122),Model!$AD$5:$AD$504,0)),"")</f>
        <v/>
      </c>
      <c r="B122" s="18">
        <f>IF(A122="","",INDEX(Model!$C$5:$C$504,MATCH(ROWS($A$5:A122),Model!$AD$5:$AD$504,0)))</f>
        <v/>
      </c>
      <c r="C122" s="18">
        <f>IF(A122="","",INDEX(Model!$D$5:$D$504,MATCH(ROWS($A$5:A122),Model!$AD$5:$AD$504,0)))</f>
        <v/>
      </c>
      <c r="D122" s="18">
        <f>IF(A122="","",INDEX(Model!$E$5:$E$504,MATCH(ROWS($A$5:A122),Model!$AD$5:$AD$504,0)))</f>
        <v/>
      </c>
      <c r="E122" s="19">
        <f>IF(A122="","",INDEX(Model!$F$5:$F$504,MATCH(ROWS($A$5:A122),Model!$AD$5:$AD$504,0)))</f>
        <v/>
      </c>
      <c r="F122" s="19">
        <f>IF(A122="","",INDEX(Model!$G$5:$G$504,MATCH(ROWS($A$5:A122),Model!$AD$5:$AD$504,0)))</f>
        <v/>
      </c>
      <c r="G122" s="18">
        <f>IF(A122="","",INDEX(Model!$H$5:$H$504,MATCH(ROWS($A$5:A122),Model!$AD$5:$AD$504,0)))</f>
        <v/>
      </c>
      <c r="H122" s="18">
        <f>IF(A122="","",INDEX(Model!$L$5:$L$504,MATCH(ROWS($A$5:A122),Model!$AD$5:$AD$504,0)))</f>
        <v/>
      </c>
      <c r="I122" s="20">
        <f>IF(A122="","",INDEX(Model!$P$5:$P$504,MATCH(ROWS($A$5:A122),Model!$AD$5:$AD$504,0)))</f>
        <v/>
      </c>
      <c r="J122" s="20">
        <f>IF(A122="","",INDEX(Model!$Q$5:$Q$504,MATCH(ROWS($A$5:A122),Model!$AD$5:$AD$504,0)))</f>
        <v/>
      </c>
      <c r="K122" s="21">
        <f>IF(A122="","",INDEX(Model!$R$5:$R$504,MATCH(ROWS($A$5:A122),Model!$AD$5:$AD$504,0)))</f>
        <v/>
      </c>
      <c r="L122" s="20">
        <f>IF(A122="","",INDEX(Model!$S$5:$S$504,MATCH(ROWS($A$5:A122),Model!$AD$5:$AD$504,0)))</f>
        <v/>
      </c>
      <c r="M122" s="21">
        <f>IF(A122="","",INDEX(Model!$T$5:$T$504,MATCH(ROWS($A$5:A122),Model!$AD$5:$AD$504,0)))</f>
        <v/>
      </c>
      <c r="N122" s="18">
        <f>IF(A122="","",INDEX(Model!$U$5:$U$504,MATCH(ROWS($A$5:A122),Model!$AD$5:$AD$504,0)))</f>
        <v/>
      </c>
      <c r="O122" s="18">
        <f>IF(A122="","",INDEX(Model!$V$5:$V$504,MATCH(ROWS($A$5:A122),Model!$AD$5:$AD$504,0)))</f>
        <v/>
      </c>
      <c r="P122" s="18">
        <f>IF(A122="","",INDEX(Model!$W$5:$W$504,MATCH(ROWS($A$5:A122),Model!$AD$5:$AD$504,0)))</f>
        <v/>
      </c>
      <c r="Q122" s="18">
        <f>IF(A122="","",INDEX(Model!$X$5:$X$504,MATCH(ROWS($A$5:A122),Model!$AD$5:$AD$504,0)))</f>
        <v/>
      </c>
      <c r="R122" s="18">
        <f>IF(A122="","",INDEX(Model!$Y$5:$Y$504,MATCH(ROWS($A$5:A122),Model!$AD$5:$AD$504,0)))</f>
        <v/>
      </c>
      <c r="S122" s="21">
        <f>IF(A122="","",INDEX(Model!$Z$5:$Z$504,MATCH(ROWS($A$5:A122),Model!$AD$5:$AD$504,0)))</f>
        <v/>
      </c>
      <c r="T122" s="18">
        <f>IF(A122="","",INDEX(Model!$AA$5:$AA$504,MATCH(ROWS($A$5:A122),Model!$AD$5:$AD$504,0)))</f>
        <v/>
      </c>
      <c r="U122" s="13" t="n"/>
      <c r="V122" s="13" t="n"/>
      <c r="W122" s="13" t="n"/>
    </row>
    <row r="123">
      <c r="A123" s="18">
        <f>IFERROR(INDEX(Model!$B$5:$B$504,MATCH(ROWS($A$5:A123),Model!$AD$5:$AD$504,0)),"")</f>
        <v/>
      </c>
      <c r="B123" s="18">
        <f>IF(A123="","",INDEX(Model!$C$5:$C$504,MATCH(ROWS($A$5:A123),Model!$AD$5:$AD$504,0)))</f>
        <v/>
      </c>
      <c r="C123" s="18">
        <f>IF(A123="","",INDEX(Model!$D$5:$D$504,MATCH(ROWS($A$5:A123),Model!$AD$5:$AD$504,0)))</f>
        <v/>
      </c>
      <c r="D123" s="18">
        <f>IF(A123="","",INDEX(Model!$E$5:$E$504,MATCH(ROWS($A$5:A123),Model!$AD$5:$AD$504,0)))</f>
        <v/>
      </c>
      <c r="E123" s="19">
        <f>IF(A123="","",INDEX(Model!$F$5:$F$504,MATCH(ROWS($A$5:A123),Model!$AD$5:$AD$504,0)))</f>
        <v/>
      </c>
      <c r="F123" s="19">
        <f>IF(A123="","",INDEX(Model!$G$5:$G$504,MATCH(ROWS($A$5:A123),Model!$AD$5:$AD$504,0)))</f>
        <v/>
      </c>
      <c r="G123" s="18">
        <f>IF(A123="","",INDEX(Model!$H$5:$H$504,MATCH(ROWS($A$5:A123),Model!$AD$5:$AD$504,0)))</f>
        <v/>
      </c>
      <c r="H123" s="18">
        <f>IF(A123="","",INDEX(Model!$L$5:$L$504,MATCH(ROWS($A$5:A123),Model!$AD$5:$AD$504,0)))</f>
        <v/>
      </c>
      <c r="I123" s="20">
        <f>IF(A123="","",INDEX(Model!$P$5:$P$504,MATCH(ROWS($A$5:A123),Model!$AD$5:$AD$504,0)))</f>
        <v/>
      </c>
      <c r="J123" s="20">
        <f>IF(A123="","",INDEX(Model!$Q$5:$Q$504,MATCH(ROWS($A$5:A123),Model!$AD$5:$AD$504,0)))</f>
        <v/>
      </c>
      <c r="K123" s="21">
        <f>IF(A123="","",INDEX(Model!$R$5:$R$504,MATCH(ROWS($A$5:A123),Model!$AD$5:$AD$504,0)))</f>
        <v/>
      </c>
      <c r="L123" s="20">
        <f>IF(A123="","",INDEX(Model!$S$5:$S$504,MATCH(ROWS($A$5:A123),Model!$AD$5:$AD$504,0)))</f>
        <v/>
      </c>
      <c r="M123" s="21">
        <f>IF(A123="","",INDEX(Model!$T$5:$T$504,MATCH(ROWS($A$5:A123),Model!$AD$5:$AD$504,0)))</f>
        <v/>
      </c>
      <c r="N123" s="18">
        <f>IF(A123="","",INDEX(Model!$U$5:$U$504,MATCH(ROWS($A$5:A123),Model!$AD$5:$AD$504,0)))</f>
        <v/>
      </c>
      <c r="O123" s="18">
        <f>IF(A123="","",INDEX(Model!$V$5:$V$504,MATCH(ROWS($A$5:A123),Model!$AD$5:$AD$504,0)))</f>
        <v/>
      </c>
      <c r="P123" s="18">
        <f>IF(A123="","",INDEX(Model!$W$5:$W$504,MATCH(ROWS($A$5:A123),Model!$AD$5:$AD$504,0)))</f>
        <v/>
      </c>
      <c r="Q123" s="18">
        <f>IF(A123="","",INDEX(Model!$X$5:$X$504,MATCH(ROWS($A$5:A123),Model!$AD$5:$AD$504,0)))</f>
        <v/>
      </c>
      <c r="R123" s="18">
        <f>IF(A123="","",INDEX(Model!$Y$5:$Y$504,MATCH(ROWS($A$5:A123),Model!$AD$5:$AD$504,0)))</f>
        <v/>
      </c>
      <c r="S123" s="21">
        <f>IF(A123="","",INDEX(Model!$Z$5:$Z$504,MATCH(ROWS($A$5:A123),Model!$AD$5:$AD$504,0)))</f>
        <v/>
      </c>
      <c r="T123" s="18">
        <f>IF(A123="","",INDEX(Model!$AA$5:$AA$504,MATCH(ROWS($A$5:A123),Model!$AD$5:$AD$504,0)))</f>
        <v/>
      </c>
      <c r="U123" s="13" t="n"/>
      <c r="V123" s="13" t="n"/>
      <c r="W123" s="13" t="n"/>
    </row>
    <row r="124">
      <c r="A124" s="18">
        <f>IFERROR(INDEX(Model!$B$5:$B$504,MATCH(ROWS($A$5:A124),Model!$AD$5:$AD$504,0)),"")</f>
        <v/>
      </c>
      <c r="B124" s="18">
        <f>IF(A124="","",INDEX(Model!$C$5:$C$504,MATCH(ROWS($A$5:A124),Model!$AD$5:$AD$504,0)))</f>
        <v/>
      </c>
      <c r="C124" s="18">
        <f>IF(A124="","",INDEX(Model!$D$5:$D$504,MATCH(ROWS($A$5:A124),Model!$AD$5:$AD$504,0)))</f>
        <v/>
      </c>
      <c r="D124" s="18">
        <f>IF(A124="","",INDEX(Model!$E$5:$E$504,MATCH(ROWS($A$5:A124),Model!$AD$5:$AD$504,0)))</f>
        <v/>
      </c>
      <c r="E124" s="19">
        <f>IF(A124="","",INDEX(Model!$F$5:$F$504,MATCH(ROWS($A$5:A124),Model!$AD$5:$AD$504,0)))</f>
        <v/>
      </c>
      <c r="F124" s="19">
        <f>IF(A124="","",INDEX(Model!$G$5:$G$504,MATCH(ROWS($A$5:A124),Model!$AD$5:$AD$504,0)))</f>
        <v/>
      </c>
      <c r="G124" s="18">
        <f>IF(A124="","",INDEX(Model!$H$5:$H$504,MATCH(ROWS($A$5:A124),Model!$AD$5:$AD$504,0)))</f>
        <v/>
      </c>
      <c r="H124" s="18">
        <f>IF(A124="","",INDEX(Model!$L$5:$L$504,MATCH(ROWS($A$5:A124),Model!$AD$5:$AD$504,0)))</f>
        <v/>
      </c>
      <c r="I124" s="20">
        <f>IF(A124="","",INDEX(Model!$P$5:$P$504,MATCH(ROWS($A$5:A124),Model!$AD$5:$AD$504,0)))</f>
        <v/>
      </c>
      <c r="J124" s="20">
        <f>IF(A124="","",INDEX(Model!$Q$5:$Q$504,MATCH(ROWS($A$5:A124),Model!$AD$5:$AD$504,0)))</f>
        <v/>
      </c>
      <c r="K124" s="21">
        <f>IF(A124="","",INDEX(Model!$R$5:$R$504,MATCH(ROWS($A$5:A124),Model!$AD$5:$AD$504,0)))</f>
        <v/>
      </c>
      <c r="L124" s="20">
        <f>IF(A124="","",INDEX(Model!$S$5:$S$504,MATCH(ROWS($A$5:A124),Model!$AD$5:$AD$504,0)))</f>
        <v/>
      </c>
      <c r="M124" s="21">
        <f>IF(A124="","",INDEX(Model!$T$5:$T$504,MATCH(ROWS($A$5:A124),Model!$AD$5:$AD$504,0)))</f>
        <v/>
      </c>
      <c r="N124" s="18">
        <f>IF(A124="","",INDEX(Model!$U$5:$U$504,MATCH(ROWS($A$5:A124),Model!$AD$5:$AD$504,0)))</f>
        <v/>
      </c>
      <c r="O124" s="18">
        <f>IF(A124="","",INDEX(Model!$V$5:$V$504,MATCH(ROWS($A$5:A124),Model!$AD$5:$AD$504,0)))</f>
        <v/>
      </c>
      <c r="P124" s="18">
        <f>IF(A124="","",INDEX(Model!$W$5:$W$504,MATCH(ROWS($A$5:A124),Model!$AD$5:$AD$504,0)))</f>
        <v/>
      </c>
      <c r="Q124" s="18">
        <f>IF(A124="","",INDEX(Model!$X$5:$X$504,MATCH(ROWS($A$5:A124),Model!$AD$5:$AD$504,0)))</f>
        <v/>
      </c>
      <c r="R124" s="18">
        <f>IF(A124="","",INDEX(Model!$Y$5:$Y$504,MATCH(ROWS($A$5:A124),Model!$AD$5:$AD$504,0)))</f>
        <v/>
      </c>
      <c r="S124" s="21">
        <f>IF(A124="","",INDEX(Model!$Z$5:$Z$504,MATCH(ROWS($A$5:A124),Model!$AD$5:$AD$504,0)))</f>
        <v/>
      </c>
      <c r="T124" s="18">
        <f>IF(A124="","",INDEX(Model!$AA$5:$AA$504,MATCH(ROWS($A$5:A124),Model!$AD$5:$AD$504,0)))</f>
        <v/>
      </c>
      <c r="U124" s="13" t="n"/>
      <c r="V124" s="13" t="n"/>
      <c r="W124" s="13" t="n"/>
    </row>
    <row r="125">
      <c r="A125" s="18">
        <f>IFERROR(INDEX(Model!$B$5:$B$504,MATCH(ROWS($A$5:A125),Model!$AD$5:$AD$504,0)),"")</f>
        <v/>
      </c>
      <c r="B125" s="18">
        <f>IF(A125="","",INDEX(Model!$C$5:$C$504,MATCH(ROWS($A$5:A125),Model!$AD$5:$AD$504,0)))</f>
        <v/>
      </c>
      <c r="C125" s="18">
        <f>IF(A125="","",INDEX(Model!$D$5:$D$504,MATCH(ROWS($A$5:A125),Model!$AD$5:$AD$504,0)))</f>
        <v/>
      </c>
      <c r="D125" s="18">
        <f>IF(A125="","",INDEX(Model!$E$5:$E$504,MATCH(ROWS($A$5:A125),Model!$AD$5:$AD$504,0)))</f>
        <v/>
      </c>
      <c r="E125" s="19">
        <f>IF(A125="","",INDEX(Model!$F$5:$F$504,MATCH(ROWS($A$5:A125),Model!$AD$5:$AD$504,0)))</f>
        <v/>
      </c>
      <c r="F125" s="19">
        <f>IF(A125="","",INDEX(Model!$G$5:$G$504,MATCH(ROWS($A$5:A125),Model!$AD$5:$AD$504,0)))</f>
        <v/>
      </c>
      <c r="G125" s="18">
        <f>IF(A125="","",INDEX(Model!$H$5:$H$504,MATCH(ROWS($A$5:A125),Model!$AD$5:$AD$504,0)))</f>
        <v/>
      </c>
      <c r="H125" s="18">
        <f>IF(A125="","",INDEX(Model!$L$5:$L$504,MATCH(ROWS($A$5:A125),Model!$AD$5:$AD$504,0)))</f>
        <v/>
      </c>
      <c r="I125" s="20">
        <f>IF(A125="","",INDEX(Model!$P$5:$P$504,MATCH(ROWS($A$5:A125),Model!$AD$5:$AD$504,0)))</f>
        <v/>
      </c>
      <c r="J125" s="20">
        <f>IF(A125="","",INDEX(Model!$Q$5:$Q$504,MATCH(ROWS($A$5:A125),Model!$AD$5:$AD$504,0)))</f>
        <v/>
      </c>
      <c r="K125" s="21">
        <f>IF(A125="","",INDEX(Model!$R$5:$R$504,MATCH(ROWS($A$5:A125),Model!$AD$5:$AD$504,0)))</f>
        <v/>
      </c>
      <c r="L125" s="20">
        <f>IF(A125="","",INDEX(Model!$S$5:$S$504,MATCH(ROWS($A$5:A125),Model!$AD$5:$AD$504,0)))</f>
        <v/>
      </c>
      <c r="M125" s="21">
        <f>IF(A125="","",INDEX(Model!$T$5:$T$504,MATCH(ROWS($A$5:A125),Model!$AD$5:$AD$504,0)))</f>
        <v/>
      </c>
      <c r="N125" s="18">
        <f>IF(A125="","",INDEX(Model!$U$5:$U$504,MATCH(ROWS($A$5:A125),Model!$AD$5:$AD$504,0)))</f>
        <v/>
      </c>
      <c r="O125" s="18">
        <f>IF(A125="","",INDEX(Model!$V$5:$V$504,MATCH(ROWS($A$5:A125),Model!$AD$5:$AD$504,0)))</f>
        <v/>
      </c>
      <c r="P125" s="18">
        <f>IF(A125="","",INDEX(Model!$W$5:$W$504,MATCH(ROWS($A$5:A125),Model!$AD$5:$AD$504,0)))</f>
        <v/>
      </c>
      <c r="Q125" s="18">
        <f>IF(A125="","",INDEX(Model!$X$5:$X$504,MATCH(ROWS($A$5:A125),Model!$AD$5:$AD$504,0)))</f>
        <v/>
      </c>
      <c r="R125" s="18">
        <f>IF(A125="","",INDEX(Model!$Y$5:$Y$504,MATCH(ROWS($A$5:A125),Model!$AD$5:$AD$504,0)))</f>
        <v/>
      </c>
      <c r="S125" s="21">
        <f>IF(A125="","",INDEX(Model!$Z$5:$Z$504,MATCH(ROWS($A$5:A125),Model!$AD$5:$AD$504,0)))</f>
        <v/>
      </c>
      <c r="T125" s="18">
        <f>IF(A125="","",INDEX(Model!$AA$5:$AA$504,MATCH(ROWS($A$5:A125),Model!$AD$5:$AD$504,0)))</f>
        <v/>
      </c>
      <c r="U125" s="13" t="n"/>
      <c r="V125" s="13" t="n"/>
      <c r="W125" s="13" t="n"/>
    </row>
    <row r="126">
      <c r="A126" s="18">
        <f>IFERROR(INDEX(Model!$B$5:$B$504,MATCH(ROWS($A$5:A126),Model!$AD$5:$AD$504,0)),"")</f>
        <v/>
      </c>
      <c r="B126" s="18">
        <f>IF(A126="","",INDEX(Model!$C$5:$C$504,MATCH(ROWS($A$5:A126),Model!$AD$5:$AD$504,0)))</f>
        <v/>
      </c>
      <c r="C126" s="18">
        <f>IF(A126="","",INDEX(Model!$D$5:$D$504,MATCH(ROWS($A$5:A126),Model!$AD$5:$AD$504,0)))</f>
        <v/>
      </c>
      <c r="D126" s="18">
        <f>IF(A126="","",INDEX(Model!$E$5:$E$504,MATCH(ROWS($A$5:A126),Model!$AD$5:$AD$504,0)))</f>
        <v/>
      </c>
      <c r="E126" s="19">
        <f>IF(A126="","",INDEX(Model!$F$5:$F$504,MATCH(ROWS($A$5:A126),Model!$AD$5:$AD$504,0)))</f>
        <v/>
      </c>
      <c r="F126" s="19">
        <f>IF(A126="","",INDEX(Model!$G$5:$G$504,MATCH(ROWS($A$5:A126),Model!$AD$5:$AD$504,0)))</f>
        <v/>
      </c>
      <c r="G126" s="18">
        <f>IF(A126="","",INDEX(Model!$H$5:$H$504,MATCH(ROWS($A$5:A126),Model!$AD$5:$AD$504,0)))</f>
        <v/>
      </c>
      <c r="H126" s="18">
        <f>IF(A126="","",INDEX(Model!$L$5:$L$504,MATCH(ROWS($A$5:A126),Model!$AD$5:$AD$504,0)))</f>
        <v/>
      </c>
      <c r="I126" s="20">
        <f>IF(A126="","",INDEX(Model!$P$5:$P$504,MATCH(ROWS($A$5:A126),Model!$AD$5:$AD$504,0)))</f>
        <v/>
      </c>
      <c r="J126" s="20">
        <f>IF(A126="","",INDEX(Model!$Q$5:$Q$504,MATCH(ROWS($A$5:A126),Model!$AD$5:$AD$504,0)))</f>
        <v/>
      </c>
      <c r="K126" s="21">
        <f>IF(A126="","",INDEX(Model!$R$5:$R$504,MATCH(ROWS($A$5:A126),Model!$AD$5:$AD$504,0)))</f>
        <v/>
      </c>
      <c r="L126" s="20">
        <f>IF(A126="","",INDEX(Model!$S$5:$S$504,MATCH(ROWS($A$5:A126),Model!$AD$5:$AD$504,0)))</f>
        <v/>
      </c>
      <c r="M126" s="21">
        <f>IF(A126="","",INDEX(Model!$T$5:$T$504,MATCH(ROWS($A$5:A126),Model!$AD$5:$AD$504,0)))</f>
        <v/>
      </c>
      <c r="N126" s="18">
        <f>IF(A126="","",INDEX(Model!$U$5:$U$504,MATCH(ROWS($A$5:A126),Model!$AD$5:$AD$504,0)))</f>
        <v/>
      </c>
      <c r="O126" s="18">
        <f>IF(A126="","",INDEX(Model!$V$5:$V$504,MATCH(ROWS($A$5:A126),Model!$AD$5:$AD$504,0)))</f>
        <v/>
      </c>
      <c r="P126" s="18">
        <f>IF(A126="","",INDEX(Model!$W$5:$W$504,MATCH(ROWS($A$5:A126),Model!$AD$5:$AD$504,0)))</f>
        <v/>
      </c>
      <c r="Q126" s="18">
        <f>IF(A126="","",INDEX(Model!$X$5:$X$504,MATCH(ROWS($A$5:A126),Model!$AD$5:$AD$504,0)))</f>
        <v/>
      </c>
      <c r="R126" s="18">
        <f>IF(A126="","",INDEX(Model!$Y$5:$Y$504,MATCH(ROWS($A$5:A126),Model!$AD$5:$AD$504,0)))</f>
        <v/>
      </c>
      <c r="S126" s="21">
        <f>IF(A126="","",INDEX(Model!$Z$5:$Z$504,MATCH(ROWS($A$5:A126),Model!$AD$5:$AD$504,0)))</f>
        <v/>
      </c>
      <c r="T126" s="18">
        <f>IF(A126="","",INDEX(Model!$AA$5:$AA$504,MATCH(ROWS($A$5:A126),Model!$AD$5:$AD$504,0)))</f>
        <v/>
      </c>
      <c r="U126" s="13" t="n"/>
      <c r="V126" s="13" t="n"/>
      <c r="W126" s="13" t="n"/>
    </row>
    <row r="127">
      <c r="A127" s="18">
        <f>IFERROR(INDEX(Model!$B$5:$B$504,MATCH(ROWS($A$5:A127),Model!$AD$5:$AD$504,0)),"")</f>
        <v/>
      </c>
      <c r="B127" s="18">
        <f>IF(A127="","",INDEX(Model!$C$5:$C$504,MATCH(ROWS($A$5:A127),Model!$AD$5:$AD$504,0)))</f>
        <v/>
      </c>
      <c r="C127" s="18">
        <f>IF(A127="","",INDEX(Model!$D$5:$D$504,MATCH(ROWS($A$5:A127),Model!$AD$5:$AD$504,0)))</f>
        <v/>
      </c>
      <c r="D127" s="18">
        <f>IF(A127="","",INDEX(Model!$E$5:$E$504,MATCH(ROWS($A$5:A127),Model!$AD$5:$AD$504,0)))</f>
        <v/>
      </c>
      <c r="E127" s="19">
        <f>IF(A127="","",INDEX(Model!$F$5:$F$504,MATCH(ROWS($A$5:A127),Model!$AD$5:$AD$504,0)))</f>
        <v/>
      </c>
      <c r="F127" s="19">
        <f>IF(A127="","",INDEX(Model!$G$5:$G$504,MATCH(ROWS($A$5:A127),Model!$AD$5:$AD$504,0)))</f>
        <v/>
      </c>
      <c r="G127" s="18">
        <f>IF(A127="","",INDEX(Model!$H$5:$H$504,MATCH(ROWS($A$5:A127),Model!$AD$5:$AD$504,0)))</f>
        <v/>
      </c>
      <c r="H127" s="18">
        <f>IF(A127="","",INDEX(Model!$L$5:$L$504,MATCH(ROWS($A$5:A127),Model!$AD$5:$AD$504,0)))</f>
        <v/>
      </c>
      <c r="I127" s="20">
        <f>IF(A127="","",INDEX(Model!$P$5:$P$504,MATCH(ROWS($A$5:A127),Model!$AD$5:$AD$504,0)))</f>
        <v/>
      </c>
      <c r="J127" s="20">
        <f>IF(A127="","",INDEX(Model!$Q$5:$Q$504,MATCH(ROWS($A$5:A127),Model!$AD$5:$AD$504,0)))</f>
        <v/>
      </c>
      <c r="K127" s="21">
        <f>IF(A127="","",INDEX(Model!$R$5:$R$504,MATCH(ROWS($A$5:A127),Model!$AD$5:$AD$504,0)))</f>
        <v/>
      </c>
      <c r="L127" s="20">
        <f>IF(A127="","",INDEX(Model!$S$5:$S$504,MATCH(ROWS($A$5:A127),Model!$AD$5:$AD$504,0)))</f>
        <v/>
      </c>
      <c r="M127" s="21">
        <f>IF(A127="","",INDEX(Model!$T$5:$T$504,MATCH(ROWS($A$5:A127),Model!$AD$5:$AD$504,0)))</f>
        <v/>
      </c>
      <c r="N127" s="18">
        <f>IF(A127="","",INDEX(Model!$U$5:$U$504,MATCH(ROWS($A$5:A127),Model!$AD$5:$AD$504,0)))</f>
        <v/>
      </c>
      <c r="O127" s="18">
        <f>IF(A127="","",INDEX(Model!$V$5:$V$504,MATCH(ROWS($A$5:A127),Model!$AD$5:$AD$504,0)))</f>
        <v/>
      </c>
      <c r="P127" s="18">
        <f>IF(A127="","",INDEX(Model!$W$5:$W$504,MATCH(ROWS($A$5:A127),Model!$AD$5:$AD$504,0)))</f>
        <v/>
      </c>
      <c r="Q127" s="18">
        <f>IF(A127="","",INDEX(Model!$X$5:$X$504,MATCH(ROWS($A$5:A127),Model!$AD$5:$AD$504,0)))</f>
        <v/>
      </c>
      <c r="R127" s="18">
        <f>IF(A127="","",INDEX(Model!$Y$5:$Y$504,MATCH(ROWS($A$5:A127),Model!$AD$5:$AD$504,0)))</f>
        <v/>
      </c>
      <c r="S127" s="21">
        <f>IF(A127="","",INDEX(Model!$Z$5:$Z$504,MATCH(ROWS($A$5:A127),Model!$AD$5:$AD$504,0)))</f>
        <v/>
      </c>
      <c r="T127" s="18">
        <f>IF(A127="","",INDEX(Model!$AA$5:$AA$504,MATCH(ROWS($A$5:A127),Model!$AD$5:$AD$504,0)))</f>
        <v/>
      </c>
      <c r="U127" s="13" t="n"/>
      <c r="V127" s="13" t="n"/>
      <c r="W127" s="13" t="n"/>
    </row>
    <row r="128">
      <c r="A128" s="18">
        <f>IFERROR(INDEX(Model!$B$5:$B$504,MATCH(ROWS($A$5:A128),Model!$AD$5:$AD$504,0)),"")</f>
        <v/>
      </c>
      <c r="B128" s="18">
        <f>IF(A128="","",INDEX(Model!$C$5:$C$504,MATCH(ROWS($A$5:A128),Model!$AD$5:$AD$504,0)))</f>
        <v/>
      </c>
      <c r="C128" s="18">
        <f>IF(A128="","",INDEX(Model!$D$5:$D$504,MATCH(ROWS($A$5:A128),Model!$AD$5:$AD$504,0)))</f>
        <v/>
      </c>
      <c r="D128" s="18">
        <f>IF(A128="","",INDEX(Model!$E$5:$E$504,MATCH(ROWS($A$5:A128),Model!$AD$5:$AD$504,0)))</f>
        <v/>
      </c>
      <c r="E128" s="19">
        <f>IF(A128="","",INDEX(Model!$F$5:$F$504,MATCH(ROWS($A$5:A128),Model!$AD$5:$AD$504,0)))</f>
        <v/>
      </c>
      <c r="F128" s="19">
        <f>IF(A128="","",INDEX(Model!$G$5:$G$504,MATCH(ROWS($A$5:A128),Model!$AD$5:$AD$504,0)))</f>
        <v/>
      </c>
      <c r="G128" s="18">
        <f>IF(A128="","",INDEX(Model!$H$5:$H$504,MATCH(ROWS($A$5:A128),Model!$AD$5:$AD$504,0)))</f>
        <v/>
      </c>
      <c r="H128" s="18">
        <f>IF(A128="","",INDEX(Model!$L$5:$L$504,MATCH(ROWS($A$5:A128),Model!$AD$5:$AD$504,0)))</f>
        <v/>
      </c>
      <c r="I128" s="20">
        <f>IF(A128="","",INDEX(Model!$P$5:$P$504,MATCH(ROWS($A$5:A128),Model!$AD$5:$AD$504,0)))</f>
        <v/>
      </c>
      <c r="J128" s="20">
        <f>IF(A128="","",INDEX(Model!$Q$5:$Q$504,MATCH(ROWS($A$5:A128),Model!$AD$5:$AD$504,0)))</f>
        <v/>
      </c>
      <c r="K128" s="21">
        <f>IF(A128="","",INDEX(Model!$R$5:$R$504,MATCH(ROWS($A$5:A128),Model!$AD$5:$AD$504,0)))</f>
        <v/>
      </c>
      <c r="L128" s="20">
        <f>IF(A128="","",INDEX(Model!$S$5:$S$504,MATCH(ROWS($A$5:A128),Model!$AD$5:$AD$504,0)))</f>
        <v/>
      </c>
      <c r="M128" s="21">
        <f>IF(A128="","",INDEX(Model!$T$5:$T$504,MATCH(ROWS($A$5:A128),Model!$AD$5:$AD$504,0)))</f>
        <v/>
      </c>
      <c r="N128" s="18">
        <f>IF(A128="","",INDEX(Model!$U$5:$U$504,MATCH(ROWS($A$5:A128),Model!$AD$5:$AD$504,0)))</f>
        <v/>
      </c>
      <c r="O128" s="18">
        <f>IF(A128="","",INDEX(Model!$V$5:$V$504,MATCH(ROWS($A$5:A128),Model!$AD$5:$AD$504,0)))</f>
        <v/>
      </c>
      <c r="P128" s="18">
        <f>IF(A128="","",INDEX(Model!$W$5:$W$504,MATCH(ROWS($A$5:A128),Model!$AD$5:$AD$504,0)))</f>
        <v/>
      </c>
      <c r="Q128" s="18">
        <f>IF(A128="","",INDEX(Model!$X$5:$X$504,MATCH(ROWS($A$5:A128),Model!$AD$5:$AD$504,0)))</f>
        <v/>
      </c>
      <c r="R128" s="18">
        <f>IF(A128="","",INDEX(Model!$Y$5:$Y$504,MATCH(ROWS($A$5:A128),Model!$AD$5:$AD$504,0)))</f>
        <v/>
      </c>
      <c r="S128" s="21">
        <f>IF(A128="","",INDEX(Model!$Z$5:$Z$504,MATCH(ROWS($A$5:A128),Model!$AD$5:$AD$504,0)))</f>
        <v/>
      </c>
      <c r="T128" s="18">
        <f>IF(A128="","",INDEX(Model!$AA$5:$AA$504,MATCH(ROWS($A$5:A128),Model!$AD$5:$AD$504,0)))</f>
        <v/>
      </c>
      <c r="U128" s="13" t="n"/>
      <c r="V128" s="13" t="n"/>
      <c r="W128" s="13" t="n"/>
    </row>
    <row r="129">
      <c r="A129" s="18">
        <f>IFERROR(INDEX(Model!$B$5:$B$504,MATCH(ROWS($A$5:A129),Model!$AD$5:$AD$504,0)),"")</f>
        <v/>
      </c>
      <c r="B129" s="18">
        <f>IF(A129="","",INDEX(Model!$C$5:$C$504,MATCH(ROWS($A$5:A129),Model!$AD$5:$AD$504,0)))</f>
        <v/>
      </c>
      <c r="C129" s="18">
        <f>IF(A129="","",INDEX(Model!$D$5:$D$504,MATCH(ROWS($A$5:A129),Model!$AD$5:$AD$504,0)))</f>
        <v/>
      </c>
      <c r="D129" s="18">
        <f>IF(A129="","",INDEX(Model!$E$5:$E$504,MATCH(ROWS($A$5:A129),Model!$AD$5:$AD$504,0)))</f>
        <v/>
      </c>
      <c r="E129" s="19">
        <f>IF(A129="","",INDEX(Model!$F$5:$F$504,MATCH(ROWS($A$5:A129),Model!$AD$5:$AD$504,0)))</f>
        <v/>
      </c>
      <c r="F129" s="19">
        <f>IF(A129="","",INDEX(Model!$G$5:$G$504,MATCH(ROWS($A$5:A129),Model!$AD$5:$AD$504,0)))</f>
        <v/>
      </c>
      <c r="G129" s="18">
        <f>IF(A129="","",INDEX(Model!$H$5:$H$504,MATCH(ROWS($A$5:A129),Model!$AD$5:$AD$504,0)))</f>
        <v/>
      </c>
      <c r="H129" s="18">
        <f>IF(A129="","",INDEX(Model!$L$5:$L$504,MATCH(ROWS($A$5:A129),Model!$AD$5:$AD$504,0)))</f>
        <v/>
      </c>
      <c r="I129" s="20">
        <f>IF(A129="","",INDEX(Model!$P$5:$P$504,MATCH(ROWS($A$5:A129),Model!$AD$5:$AD$504,0)))</f>
        <v/>
      </c>
      <c r="J129" s="20">
        <f>IF(A129="","",INDEX(Model!$Q$5:$Q$504,MATCH(ROWS($A$5:A129),Model!$AD$5:$AD$504,0)))</f>
        <v/>
      </c>
      <c r="K129" s="21">
        <f>IF(A129="","",INDEX(Model!$R$5:$R$504,MATCH(ROWS($A$5:A129),Model!$AD$5:$AD$504,0)))</f>
        <v/>
      </c>
      <c r="L129" s="20">
        <f>IF(A129="","",INDEX(Model!$S$5:$S$504,MATCH(ROWS($A$5:A129),Model!$AD$5:$AD$504,0)))</f>
        <v/>
      </c>
      <c r="M129" s="21">
        <f>IF(A129="","",INDEX(Model!$T$5:$T$504,MATCH(ROWS($A$5:A129),Model!$AD$5:$AD$504,0)))</f>
        <v/>
      </c>
      <c r="N129" s="18">
        <f>IF(A129="","",INDEX(Model!$U$5:$U$504,MATCH(ROWS($A$5:A129),Model!$AD$5:$AD$504,0)))</f>
        <v/>
      </c>
      <c r="O129" s="18">
        <f>IF(A129="","",INDEX(Model!$V$5:$V$504,MATCH(ROWS($A$5:A129),Model!$AD$5:$AD$504,0)))</f>
        <v/>
      </c>
      <c r="P129" s="18">
        <f>IF(A129="","",INDEX(Model!$W$5:$W$504,MATCH(ROWS($A$5:A129),Model!$AD$5:$AD$504,0)))</f>
        <v/>
      </c>
      <c r="Q129" s="18">
        <f>IF(A129="","",INDEX(Model!$X$5:$X$504,MATCH(ROWS($A$5:A129),Model!$AD$5:$AD$504,0)))</f>
        <v/>
      </c>
      <c r="R129" s="18">
        <f>IF(A129="","",INDEX(Model!$Y$5:$Y$504,MATCH(ROWS($A$5:A129),Model!$AD$5:$AD$504,0)))</f>
        <v/>
      </c>
      <c r="S129" s="21">
        <f>IF(A129="","",INDEX(Model!$Z$5:$Z$504,MATCH(ROWS($A$5:A129),Model!$AD$5:$AD$504,0)))</f>
        <v/>
      </c>
      <c r="T129" s="18">
        <f>IF(A129="","",INDEX(Model!$AA$5:$AA$504,MATCH(ROWS($A$5:A129),Model!$AD$5:$AD$504,0)))</f>
        <v/>
      </c>
      <c r="U129" s="13" t="n"/>
      <c r="V129" s="13" t="n"/>
      <c r="W129" s="13" t="n"/>
    </row>
    <row r="130">
      <c r="A130" s="18">
        <f>IFERROR(INDEX(Model!$B$5:$B$504,MATCH(ROWS($A$5:A130),Model!$AD$5:$AD$504,0)),"")</f>
        <v/>
      </c>
      <c r="B130" s="18">
        <f>IF(A130="","",INDEX(Model!$C$5:$C$504,MATCH(ROWS($A$5:A130),Model!$AD$5:$AD$504,0)))</f>
        <v/>
      </c>
      <c r="C130" s="18">
        <f>IF(A130="","",INDEX(Model!$D$5:$D$504,MATCH(ROWS($A$5:A130),Model!$AD$5:$AD$504,0)))</f>
        <v/>
      </c>
      <c r="D130" s="18">
        <f>IF(A130="","",INDEX(Model!$E$5:$E$504,MATCH(ROWS($A$5:A130),Model!$AD$5:$AD$504,0)))</f>
        <v/>
      </c>
      <c r="E130" s="19">
        <f>IF(A130="","",INDEX(Model!$F$5:$F$504,MATCH(ROWS($A$5:A130),Model!$AD$5:$AD$504,0)))</f>
        <v/>
      </c>
      <c r="F130" s="19">
        <f>IF(A130="","",INDEX(Model!$G$5:$G$504,MATCH(ROWS($A$5:A130),Model!$AD$5:$AD$504,0)))</f>
        <v/>
      </c>
      <c r="G130" s="18">
        <f>IF(A130="","",INDEX(Model!$H$5:$H$504,MATCH(ROWS($A$5:A130),Model!$AD$5:$AD$504,0)))</f>
        <v/>
      </c>
      <c r="H130" s="18">
        <f>IF(A130="","",INDEX(Model!$L$5:$L$504,MATCH(ROWS($A$5:A130),Model!$AD$5:$AD$504,0)))</f>
        <v/>
      </c>
      <c r="I130" s="20">
        <f>IF(A130="","",INDEX(Model!$P$5:$P$504,MATCH(ROWS($A$5:A130),Model!$AD$5:$AD$504,0)))</f>
        <v/>
      </c>
      <c r="J130" s="20">
        <f>IF(A130="","",INDEX(Model!$Q$5:$Q$504,MATCH(ROWS($A$5:A130),Model!$AD$5:$AD$504,0)))</f>
        <v/>
      </c>
      <c r="K130" s="21">
        <f>IF(A130="","",INDEX(Model!$R$5:$R$504,MATCH(ROWS($A$5:A130),Model!$AD$5:$AD$504,0)))</f>
        <v/>
      </c>
      <c r="L130" s="20">
        <f>IF(A130="","",INDEX(Model!$S$5:$S$504,MATCH(ROWS($A$5:A130),Model!$AD$5:$AD$504,0)))</f>
        <v/>
      </c>
      <c r="M130" s="21">
        <f>IF(A130="","",INDEX(Model!$T$5:$T$504,MATCH(ROWS($A$5:A130),Model!$AD$5:$AD$504,0)))</f>
        <v/>
      </c>
      <c r="N130" s="18">
        <f>IF(A130="","",INDEX(Model!$U$5:$U$504,MATCH(ROWS($A$5:A130),Model!$AD$5:$AD$504,0)))</f>
        <v/>
      </c>
      <c r="O130" s="18">
        <f>IF(A130="","",INDEX(Model!$V$5:$V$504,MATCH(ROWS($A$5:A130),Model!$AD$5:$AD$504,0)))</f>
        <v/>
      </c>
      <c r="P130" s="18">
        <f>IF(A130="","",INDEX(Model!$W$5:$W$504,MATCH(ROWS($A$5:A130),Model!$AD$5:$AD$504,0)))</f>
        <v/>
      </c>
      <c r="Q130" s="18">
        <f>IF(A130="","",INDEX(Model!$X$5:$X$504,MATCH(ROWS($A$5:A130),Model!$AD$5:$AD$504,0)))</f>
        <v/>
      </c>
      <c r="R130" s="18">
        <f>IF(A130="","",INDEX(Model!$Y$5:$Y$504,MATCH(ROWS($A$5:A130),Model!$AD$5:$AD$504,0)))</f>
        <v/>
      </c>
      <c r="S130" s="21">
        <f>IF(A130="","",INDEX(Model!$Z$5:$Z$504,MATCH(ROWS($A$5:A130),Model!$AD$5:$AD$504,0)))</f>
        <v/>
      </c>
      <c r="T130" s="18">
        <f>IF(A130="","",INDEX(Model!$AA$5:$AA$504,MATCH(ROWS($A$5:A130),Model!$AD$5:$AD$504,0)))</f>
        <v/>
      </c>
      <c r="U130" s="13" t="n"/>
      <c r="V130" s="13" t="n"/>
      <c r="W130" s="13" t="n"/>
    </row>
    <row r="131">
      <c r="A131" s="18">
        <f>IFERROR(INDEX(Model!$B$5:$B$504,MATCH(ROWS($A$5:A131),Model!$AD$5:$AD$504,0)),"")</f>
        <v/>
      </c>
      <c r="B131" s="18">
        <f>IF(A131="","",INDEX(Model!$C$5:$C$504,MATCH(ROWS($A$5:A131),Model!$AD$5:$AD$504,0)))</f>
        <v/>
      </c>
      <c r="C131" s="18">
        <f>IF(A131="","",INDEX(Model!$D$5:$D$504,MATCH(ROWS($A$5:A131),Model!$AD$5:$AD$504,0)))</f>
        <v/>
      </c>
      <c r="D131" s="18">
        <f>IF(A131="","",INDEX(Model!$E$5:$E$504,MATCH(ROWS($A$5:A131),Model!$AD$5:$AD$504,0)))</f>
        <v/>
      </c>
      <c r="E131" s="19">
        <f>IF(A131="","",INDEX(Model!$F$5:$F$504,MATCH(ROWS($A$5:A131),Model!$AD$5:$AD$504,0)))</f>
        <v/>
      </c>
      <c r="F131" s="19">
        <f>IF(A131="","",INDEX(Model!$G$5:$G$504,MATCH(ROWS($A$5:A131),Model!$AD$5:$AD$504,0)))</f>
        <v/>
      </c>
      <c r="G131" s="18">
        <f>IF(A131="","",INDEX(Model!$H$5:$H$504,MATCH(ROWS($A$5:A131),Model!$AD$5:$AD$504,0)))</f>
        <v/>
      </c>
      <c r="H131" s="18">
        <f>IF(A131="","",INDEX(Model!$L$5:$L$504,MATCH(ROWS($A$5:A131),Model!$AD$5:$AD$504,0)))</f>
        <v/>
      </c>
      <c r="I131" s="20">
        <f>IF(A131="","",INDEX(Model!$P$5:$P$504,MATCH(ROWS($A$5:A131),Model!$AD$5:$AD$504,0)))</f>
        <v/>
      </c>
      <c r="J131" s="20">
        <f>IF(A131="","",INDEX(Model!$Q$5:$Q$504,MATCH(ROWS($A$5:A131),Model!$AD$5:$AD$504,0)))</f>
        <v/>
      </c>
      <c r="K131" s="21">
        <f>IF(A131="","",INDEX(Model!$R$5:$R$504,MATCH(ROWS($A$5:A131),Model!$AD$5:$AD$504,0)))</f>
        <v/>
      </c>
      <c r="L131" s="20">
        <f>IF(A131="","",INDEX(Model!$S$5:$S$504,MATCH(ROWS($A$5:A131),Model!$AD$5:$AD$504,0)))</f>
        <v/>
      </c>
      <c r="M131" s="21">
        <f>IF(A131="","",INDEX(Model!$T$5:$T$504,MATCH(ROWS($A$5:A131),Model!$AD$5:$AD$504,0)))</f>
        <v/>
      </c>
      <c r="N131" s="18">
        <f>IF(A131="","",INDEX(Model!$U$5:$U$504,MATCH(ROWS($A$5:A131),Model!$AD$5:$AD$504,0)))</f>
        <v/>
      </c>
      <c r="O131" s="18">
        <f>IF(A131="","",INDEX(Model!$V$5:$V$504,MATCH(ROWS($A$5:A131),Model!$AD$5:$AD$504,0)))</f>
        <v/>
      </c>
      <c r="P131" s="18">
        <f>IF(A131="","",INDEX(Model!$W$5:$W$504,MATCH(ROWS($A$5:A131),Model!$AD$5:$AD$504,0)))</f>
        <v/>
      </c>
      <c r="Q131" s="18">
        <f>IF(A131="","",INDEX(Model!$X$5:$X$504,MATCH(ROWS($A$5:A131),Model!$AD$5:$AD$504,0)))</f>
        <v/>
      </c>
      <c r="R131" s="18">
        <f>IF(A131="","",INDEX(Model!$Y$5:$Y$504,MATCH(ROWS($A$5:A131),Model!$AD$5:$AD$504,0)))</f>
        <v/>
      </c>
      <c r="S131" s="21">
        <f>IF(A131="","",INDEX(Model!$Z$5:$Z$504,MATCH(ROWS($A$5:A131),Model!$AD$5:$AD$504,0)))</f>
        <v/>
      </c>
      <c r="T131" s="18">
        <f>IF(A131="","",INDEX(Model!$AA$5:$AA$504,MATCH(ROWS($A$5:A131),Model!$AD$5:$AD$504,0)))</f>
        <v/>
      </c>
      <c r="U131" s="13" t="n"/>
      <c r="V131" s="13" t="n"/>
      <c r="W131" s="13" t="n"/>
    </row>
    <row r="132">
      <c r="A132" s="18">
        <f>IFERROR(INDEX(Model!$B$5:$B$504,MATCH(ROWS($A$5:A132),Model!$AD$5:$AD$504,0)),"")</f>
        <v/>
      </c>
      <c r="B132" s="18">
        <f>IF(A132="","",INDEX(Model!$C$5:$C$504,MATCH(ROWS($A$5:A132),Model!$AD$5:$AD$504,0)))</f>
        <v/>
      </c>
      <c r="C132" s="18">
        <f>IF(A132="","",INDEX(Model!$D$5:$D$504,MATCH(ROWS($A$5:A132),Model!$AD$5:$AD$504,0)))</f>
        <v/>
      </c>
      <c r="D132" s="18">
        <f>IF(A132="","",INDEX(Model!$E$5:$E$504,MATCH(ROWS($A$5:A132),Model!$AD$5:$AD$504,0)))</f>
        <v/>
      </c>
      <c r="E132" s="19">
        <f>IF(A132="","",INDEX(Model!$F$5:$F$504,MATCH(ROWS($A$5:A132),Model!$AD$5:$AD$504,0)))</f>
        <v/>
      </c>
      <c r="F132" s="19">
        <f>IF(A132="","",INDEX(Model!$G$5:$G$504,MATCH(ROWS($A$5:A132),Model!$AD$5:$AD$504,0)))</f>
        <v/>
      </c>
      <c r="G132" s="18">
        <f>IF(A132="","",INDEX(Model!$H$5:$H$504,MATCH(ROWS($A$5:A132),Model!$AD$5:$AD$504,0)))</f>
        <v/>
      </c>
      <c r="H132" s="18">
        <f>IF(A132="","",INDEX(Model!$L$5:$L$504,MATCH(ROWS($A$5:A132),Model!$AD$5:$AD$504,0)))</f>
        <v/>
      </c>
      <c r="I132" s="20">
        <f>IF(A132="","",INDEX(Model!$P$5:$P$504,MATCH(ROWS($A$5:A132),Model!$AD$5:$AD$504,0)))</f>
        <v/>
      </c>
      <c r="J132" s="20">
        <f>IF(A132="","",INDEX(Model!$Q$5:$Q$504,MATCH(ROWS($A$5:A132),Model!$AD$5:$AD$504,0)))</f>
        <v/>
      </c>
      <c r="K132" s="21">
        <f>IF(A132="","",INDEX(Model!$R$5:$R$504,MATCH(ROWS($A$5:A132),Model!$AD$5:$AD$504,0)))</f>
        <v/>
      </c>
      <c r="L132" s="20">
        <f>IF(A132="","",INDEX(Model!$S$5:$S$504,MATCH(ROWS($A$5:A132),Model!$AD$5:$AD$504,0)))</f>
        <v/>
      </c>
      <c r="M132" s="21">
        <f>IF(A132="","",INDEX(Model!$T$5:$T$504,MATCH(ROWS($A$5:A132),Model!$AD$5:$AD$504,0)))</f>
        <v/>
      </c>
      <c r="N132" s="18">
        <f>IF(A132="","",INDEX(Model!$U$5:$U$504,MATCH(ROWS($A$5:A132),Model!$AD$5:$AD$504,0)))</f>
        <v/>
      </c>
      <c r="O132" s="18">
        <f>IF(A132="","",INDEX(Model!$V$5:$V$504,MATCH(ROWS($A$5:A132),Model!$AD$5:$AD$504,0)))</f>
        <v/>
      </c>
      <c r="P132" s="18">
        <f>IF(A132="","",INDEX(Model!$W$5:$W$504,MATCH(ROWS($A$5:A132),Model!$AD$5:$AD$504,0)))</f>
        <v/>
      </c>
      <c r="Q132" s="18">
        <f>IF(A132="","",INDEX(Model!$X$5:$X$504,MATCH(ROWS($A$5:A132),Model!$AD$5:$AD$504,0)))</f>
        <v/>
      </c>
      <c r="R132" s="18">
        <f>IF(A132="","",INDEX(Model!$Y$5:$Y$504,MATCH(ROWS($A$5:A132),Model!$AD$5:$AD$504,0)))</f>
        <v/>
      </c>
      <c r="S132" s="21">
        <f>IF(A132="","",INDEX(Model!$Z$5:$Z$504,MATCH(ROWS($A$5:A132),Model!$AD$5:$AD$504,0)))</f>
        <v/>
      </c>
      <c r="T132" s="18">
        <f>IF(A132="","",INDEX(Model!$AA$5:$AA$504,MATCH(ROWS($A$5:A132),Model!$AD$5:$AD$504,0)))</f>
        <v/>
      </c>
      <c r="U132" s="13" t="n"/>
      <c r="V132" s="13" t="n"/>
      <c r="W132" s="13" t="n"/>
    </row>
    <row r="133">
      <c r="A133" s="18">
        <f>IFERROR(INDEX(Model!$B$5:$B$504,MATCH(ROWS($A$5:A133),Model!$AD$5:$AD$504,0)),"")</f>
        <v/>
      </c>
      <c r="B133" s="18">
        <f>IF(A133="","",INDEX(Model!$C$5:$C$504,MATCH(ROWS($A$5:A133),Model!$AD$5:$AD$504,0)))</f>
        <v/>
      </c>
      <c r="C133" s="18">
        <f>IF(A133="","",INDEX(Model!$D$5:$D$504,MATCH(ROWS($A$5:A133),Model!$AD$5:$AD$504,0)))</f>
        <v/>
      </c>
      <c r="D133" s="18">
        <f>IF(A133="","",INDEX(Model!$E$5:$E$504,MATCH(ROWS($A$5:A133),Model!$AD$5:$AD$504,0)))</f>
        <v/>
      </c>
      <c r="E133" s="19">
        <f>IF(A133="","",INDEX(Model!$F$5:$F$504,MATCH(ROWS($A$5:A133),Model!$AD$5:$AD$504,0)))</f>
        <v/>
      </c>
      <c r="F133" s="19">
        <f>IF(A133="","",INDEX(Model!$G$5:$G$504,MATCH(ROWS($A$5:A133),Model!$AD$5:$AD$504,0)))</f>
        <v/>
      </c>
      <c r="G133" s="18">
        <f>IF(A133="","",INDEX(Model!$H$5:$H$504,MATCH(ROWS($A$5:A133),Model!$AD$5:$AD$504,0)))</f>
        <v/>
      </c>
      <c r="H133" s="18">
        <f>IF(A133="","",INDEX(Model!$L$5:$L$504,MATCH(ROWS($A$5:A133),Model!$AD$5:$AD$504,0)))</f>
        <v/>
      </c>
      <c r="I133" s="20">
        <f>IF(A133="","",INDEX(Model!$P$5:$P$504,MATCH(ROWS($A$5:A133),Model!$AD$5:$AD$504,0)))</f>
        <v/>
      </c>
      <c r="J133" s="20">
        <f>IF(A133="","",INDEX(Model!$Q$5:$Q$504,MATCH(ROWS($A$5:A133),Model!$AD$5:$AD$504,0)))</f>
        <v/>
      </c>
      <c r="K133" s="21">
        <f>IF(A133="","",INDEX(Model!$R$5:$R$504,MATCH(ROWS($A$5:A133),Model!$AD$5:$AD$504,0)))</f>
        <v/>
      </c>
      <c r="L133" s="20">
        <f>IF(A133="","",INDEX(Model!$S$5:$S$504,MATCH(ROWS($A$5:A133),Model!$AD$5:$AD$504,0)))</f>
        <v/>
      </c>
      <c r="M133" s="21">
        <f>IF(A133="","",INDEX(Model!$T$5:$T$504,MATCH(ROWS($A$5:A133),Model!$AD$5:$AD$504,0)))</f>
        <v/>
      </c>
      <c r="N133" s="18">
        <f>IF(A133="","",INDEX(Model!$U$5:$U$504,MATCH(ROWS($A$5:A133),Model!$AD$5:$AD$504,0)))</f>
        <v/>
      </c>
      <c r="O133" s="18">
        <f>IF(A133="","",INDEX(Model!$V$5:$V$504,MATCH(ROWS($A$5:A133),Model!$AD$5:$AD$504,0)))</f>
        <v/>
      </c>
      <c r="P133" s="18">
        <f>IF(A133="","",INDEX(Model!$W$5:$W$504,MATCH(ROWS($A$5:A133),Model!$AD$5:$AD$504,0)))</f>
        <v/>
      </c>
      <c r="Q133" s="18">
        <f>IF(A133="","",INDEX(Model!$X$5:$X$504,MATCH(ROWS($A$5:A133),Model!$AD$5:$AD$504,0)))</f>
        <v/>
      </c>
      <c r="R133" s="18">
        <f>IF(A133="","",INDEX(Model!$Y$5:$Y$504,MATCH(ROWS($A$5:A133),Model!$AD$5:$AD$504,0)))</f>
        <v/>
      </c>
      <c r="S133" s="21">
        <f>IF(A133="","",INDEX(Model!$Z$5:$Z$504,MATCH(ROWS($A$5:A133),Model!$AD$5:$AD$504,0)))</f>
        <v/>
      </c>
      <c r="T133" s="18">
        <f>IF(A133="","",INDEX(Model!$AA$5:$AA$504,MATCH(ROWS($A$5:A133),Model!$AD$5:$AD$504,0)))</f>
        <v/>
      </c>
      <c r="U133" s="13" t="n"/>
      <c r="V133" s="13" t="n"/>
      <c r="W133" s="13" t="n"/>
    </row>
    <row r="134">
      <c r="A134" s="18">
        <f>IFERROR(INDEX(Model!$B$5:$B$504,MATCH(ROWS($A$5:A134),Model!$AD$5:$AD$504,0)),"")</f>
        <v/>
      </c>
      <c r="B134" s="18">
        <f>IF(A134="","",INDEX(Model!$C$5:$C$504,MATCH(ROWS($A$5:A134),Model!$AD$5:$AD$504,0)))</f>
        <v/>
      </c>
      <c r="C134" s="18">
        <f>IF(A134="","",INDEX(Model!$D$5:$D$504,MATCH(ROWS($A$5:A134),Model!$AD$5:$AD$504,0)))</f>
        <v/>
      </c>
      <c r="D134" s="18">
        <f>IF(A134="","",INDEX(Model!$E$5:$E$504,MATCH(ROWS($A$5:A134),Model!$AD$5:$AD$504,0)))</f>
        <v/>
      </c>
      <c r="E134" s="19">
        <f>IF(A134="","",INDEX(Model!$F$5:$F$504,MATCH(ROWS($A$5:A134),Model!$AD$5:$AD$504,0)))</f>
        <v/>
      </c>
      <c r="F134" s="19">
        <f>IF(A134="","",INDEX(Model!$G$5:$G$504,MATCH(ROWS($A$5:A134),Model!$AD$5:$AD$504,0)))</f>
        <v/>
      </c>
      <c r="G134" s="18">
        <f>IF(A134="","",INDEX(Model!$H$5:$H$504,MATCH(ROWS($A$5:A134),Model!$AD$5:$AD$504,0)))</f>
        <v/>
      </c>
      <c r="H134" s="18">
        <f>IF(A134="","",INDEX(Model!$L$5:$L$504,MATCH(ROWS($A$5:A134),Model!$AD$5:$AD$504,0)))</f>
        <v/>
      </c>
      <c r="I134" s="20">
        <f>IF(A134="","",INDEX(Model!$P$5:$P$504,MATCH(ROWS($A$5:A134),Model!$AD$5:$AD$504,0)))</f>
        <v/>
      </c>
      <c r="J134" s="20">
        <f>IF(A134="","",INDEX(Model!$Q$5:$Q$504,MATCH(ROWS($A$5:A134),Model!$AD$5:$AD$504,0)))</f>
        <v/>
      </c>
      <c r="K134" s="21">
        <f>IF(A134="","",INDEX(Model!$R$5:$R$504,MATCH(ROWS($A$5:A134),Model!$AD$5:$AD$504,0)))</f>
        <v/>
      </c>
      <c r="L134" s="20">
        <f>IF(A134="","",INDEX(Model!$S$5:$S$504,MATCH(ROWS($A$5:A134),Model!$AD$5:$AD$504,0)))</f>
        <v/>
      </c>
      <c r="M134" s="21">
        <f>IF(A134="","",INDEX(Model!$T$5:$T$504,MATCH(ROWS($A$5:A134),Model!$AD$5:$AD$504,0)))</f>
        <v/>
      </c>
      <c r="N134" s="18">
        <f>IF(A134="","",INDEX(Model!$U$5:$U$504,MATCH(ROWS($A$5:A134),Model!$AD$5:$AD$504,0)))</f>
        <v/>
      </c>
      <c r="O134" s="18">
        <f>IF(A134="","",INDEX(Model!$V$5:$V$504,MATCH(ROWS($A$5:A134),Model!$AD$5:$AD$504,0)))</f>
        <v/>
      </c>
      <c r="P134" s="18">
        <f>IF(A134="","",INDEX(Model!$W$5:$W$504,MATCH(ROWS($A$5:A134),Model!$AD$5:$AD$504,0)))</f>
        <v/>
      </c>
      <c r="Q134" s="18">
        <f>IF(A134="","",INDEX(Model!$X$5:$X$504,MATCH(ROWS($A$5:A134),Model!$AD$5:$AD$504,0)))</f>
        <v/>
      </c>
      <c r="R134" s="18">
        <f>IF(A134="","",INDEX(Model!$Y$5:$Y$504,MATCH(ROWS($A$5:A134),Model!$AD$5:$AD$504,0)))</f>
        <v/>
      </c>
      <c r="S134" s="21">
        <f>IF(A134="","",INDEX(Model!$Z$5:$Z$504,MATCH(ROWS($A$5:A134),Model!$AD$5:$AD$504,0)))</f>
        <v/>
      </c>
      <c r="T134" s="18">
        <f>IF(A134="","",INDEX(Model!$AA$5:$AA$504,MATCH(ROWS($A$5:A134),Model!$AD$5:$AD$504,0)))</f>
        <v/>
      </c>
      <c r="U134" s="13" t="n"/>
      <c r="V134" s="13" t="n"/>
      <c r="W134" s="13" t="n"/>
    </row>
    <row r="135">
      <c r="A135" s="18">
        <f>IFERROR(INDEX(Model!$B$5:$B$504,MATCH(ROWS($A$5:A135),Model!$AD$5:$AD$504,0)),"")</f>
        <v/>
      </c>
      <c r="B135" s="18">
        <f>IF(A135="","",INDEX(Model!$C$5:$C$504,MATCH(ROWS($A$5:A135),Model!$AD$5:$AD$504,0)))</f>
        <v/>
      </c>
      <c r="C135" s="18">
        <f>IF(A135="","",INDEX(Model!$D$5:$D$504,MATCH(ROWS($A$5:A135),Model!$AD$5:$AD$504,0)))</f>
        <v/>
      </c>
      <c r="D135" s="18">
        <f>IF(A135="","",INDEX(Model!$E$5:$E$504,MATCH(ROWS($A$5:A135),Model!$AD$5:$AD$504,0)))</f>
        <v/>
      </c>
      <c r="E135" s="19">
        <f>IF(A135="","",INDEX(Model!$F$5:$F$504,MATCH(ROWS($A$5:A135),Model!$AD$5:$AD$504,0)))</f>
        <v/>
      </c>
      <c r="F135" s="19">
        <f>IF(A135="","",INDEX(Model!$G$5:$G$504,MATCH(ROWS($A$5:A135),Model!$AD$5:$AD$504,0)))</f>
        <v/>
      </c>
      <c r="G135" s="18">
        <f>IF(A135="","",INDEX(Model!$H$5:$H$504,MATCH(ROWS($A$5:A135),Model!$AD$5:$AD$504,0)))</f>
        <v/>
      </c>
      <c r="H135" s="18">
        <f>IF(A135="","",INDEX(Model!$L$5:$L$504,MATCH(ROWS($A$5:A135),Model!$AD$5:$AD$504,0)))</f>
        <v/>
      </c>
      <c r="I135" s="20">
        <f>IF(A135="","",INDEX(Model!$P$5:$P$504,MATCH(ROWS($A$5:A135),Model!$AD$5:$AD$504,0)))</f>
        <v/>
      </c>
      <c r="J135" s="20">
        <f>IF(A135="","",INDEX(Model!$Q$5:$Q$504,MATCH(ROWS($A$5:A135),Model!$AD$5:$AD$504,0)))</f>
        <v/>
      </c>
      <c r="K135" s="21">
        <f>IF(A135="","",INDEX(Model!$R$5:$R$504,MATCH(ROWS($A$5:A135),Model!$AD$5:$AD$504,0)))</f>
        <v/>
      </c>
      <c r="L135" s="20">
        <f>IF(A135="","",INDEX(Model!$S$5:$S$504,MATCH(ROWS($A$5:A135),Model!$AD$5:$AD$504,0)))</f>
        <v/>
      </c>
      <c r="M135" s="21">
        <f>IF(A135="","",INDEX(Model!$T$5:$T$504,MATCH(ROWS($A$5:A135),Model!$AD$5:$AD$504,0)))</f>
        <v/>
      </c>
      <c r="N135" s="18">
        <f>IF(A135="","",INDEX(Model!$U$5:$U$504,MATCH(ROWS($A$5:A135),Model!$AD$5:$AD$504,0)))</f>
        <v/>
      </c>
      <c r="O135" s="18">
        <f>IF(A135="","",INDEX(Model!$V$5:$V$504,MATCH(ROWS($A$5:A135),Model!$AD$5:$AD$504,0)))</f>
        <v/>
      </c>
      <c r="P135" s="18">
        <f>IF(A135="","",INDEX(Model!$W$5:$W$504,MATCH(ROWS($A$5:A135),Model!$AD$5:$AD$504,0)))</f>
        <v/>
      </c>
      <c r="Q135" s="18">
        <f>IF(A135="","",INDEX(Model!$X$5:$X$504,MATCH(ROWS($A$5:A135),Model!$AD$5:$AD$504,0)))</f>
        <v/>
      </c>
      <c r="R135" s="18">
        <f>IF(A135="","",INDEX(Model!$Y$5:$Y$504,MATCH(ROWS($A$5:A135),Model!$AD$5:$AD$504,0)))</f>
        <v/>
      </c>
      <c r="S135" s="21">
        <f>IF(A135="","",INDEX(Model!$Z$5:$Z$504,MATCH(ROWS($A$5:A135),Model!$AD$5:$AD$504,0)))</f>
        <v/>
      </c>
      <c r="T135" s="18">
        <f>IF(A135="","",INDEX(Model!$AA$5:$AA$504,MATCH(ROWS($A$5:A135),Model!$AD$5:$AD$504,0)))</f>
        <v/>
      </c>
      <c r="U135" s="13" t="n"/>
      <c r="V135" s="13" t="n"/>
      <c r="W135" s="13" t="n"/>
    </row>
    <row r="136">
      <c r="A136" s="18">
        <f>IFERROR(INDEX(Model!$B$5:$B$504,MATCH(ROWS($A$5:A136),Model!$AD$5:$AD$504,0)),"")</f>
        <v/>
      </c>
      <c r="B136" s="18">
        <f>IF(A136="","",INDEX(Model!$C$5:$C$504,MATCH(ROWS($A$5:A136),Model!$AD$5:$AD$504,0)))</f>
        <v/>
      </c>
      <c r="C136" s="18">
        <f>IF(A136="","",INDEX(Model!$D$5:$D$504,MATCH(ROWS($A$5:A136),Model!$AD$5:$AD$504,0)))</f>
        <v/>
      </c>
      <c r="D136" s="18">
        <f>IF(A136="","",INDEX(Model!$E$5:$E$504,MATCH(ROWS($A$5:A136),Model!$AD$5:$AD$504,0)))</f>
        <v/>
      </c>
      <c r="E136" s="19">
        <f>IF(A136="","",INDEX(Model!$F$5:$F$504,MATCH(ROWS($A$5:A136),Model!$AD$5:$AD$504,0)))</f>
        <v/>
      </c>
      <c r="F136" s="19">
        <f>IF(A136="","",INDEX(Model!$G$5:$G$504,MATCH(ROWS($A$5:A136),Model!$AD$5:$AD$504,0)))</f>
        <v/>
      </c>
      <c r="G136" s="18">
        <f>IF(A136="","",INDEX(Model!$H$5:$H$504,MATCH(ROWS($A$5:A136),Model!$AD$5:$AD$504,0)))</f>
        <v/>
      </c>
      <c r="H136" s="18">
        <f>IF(A136="","",INDEX(Model!$L$5:$L$504,MATCH(ROWS($A$5:A136),Model!$AD$5:$AD$504,0)))</f>
        <v/>
      </c>
      <c r="I136" s="20">
        <f>IF(A136="","",INDEX(Model!$P$5:$P$504,MATCH(ROWS($A$5:A136),Model!$AD$5:$AD$504,0)))</f>
        <v/>
      </c>
      <c r="J136" s="20">
        <f>IF(A136="","",INDEX(Model!$Q$5:$Q$504,MATCH(ROWS($A$5:A136),Model!$AD$5:$AD$504,0)))</f>
        <v/>
      </c>
      <c r="K136" s="21">
        <f>IF(A136="","",INDEX(Model!$R$5:$R$504,MATCH(ROWS($A$5:A136),Model!$AD$5:$AD$504,0)))</f>
        <v/>
      </c>
      <c r="L136" s="20">
        <f>IF(A136="","",INDEX(Model!$S$5:$S$504,MATCH(ROWS($A$5:A136),Model!$AD$5:$AD$504,0)))</f>
        <v/>
      </c>
      <c r="M136" s="21">
        <f>IF(A136="","",INDEX(Model!$T$5:$T$504,MATCH(ROWS($A$5:A136),Model!$AD$5:$AD$504,0)))</f>
        <v/>
      </c>
      <c r="N136" s="18">
        <f>IF(A136="","",INDEX(Model!$U$5:$U$504,MATCH(ROWS($A$5:A136),Model!$AD$5:$AD$504,0)))</f>
        <v/>
      </c>
      <c r="O136" s="18">
        <f>IF(A136="","",INDEX(Model!$V$5:$V$504,MATCH(ROWS($A$5:A136),Model!$AD$5:$AD$504,0)))</f>
        <v/>
      </c>
      <c r="P136" s="18">
        <f>IF(A136="","",INDEX(Model!$W$5:$W$504,MATCH(ROWS($A$5:A136),Model!$AD$5:$AD$504,0)))</f>
        <v/>
      </c>
      <c r="Q136" s="18">
        <f>IF(A136="","",INDEX(Model!$X$5:$X$504,MATCH(ROWS($A$5:A136),Model!$AD$5:$AD$504,0)))</f>
        <v/>
      </c>
      <c r="R136" s="18">
        <f>IF(A136="","",INDEX(Model!$Y$5:$Y$504,MATCH(ROWS($A$5:A136),Model!$AD$5:$AD$504,0)))</f>
        <v/>
      </c>
      <c r="S136" s="21">
        <f>IF(A136="","",INDEX(Model!$Z$5:$Z$504,MATCH(ROWS($A$5:A136),Model!$AD$5:$AD$504,0)))</f>
        <v/>
      </c>
      <c r="T136" s="18">
        <f>IF(A136="","",INDEX(Model!$AA$5:$AA$504,MATCH(ROWS($A$5:A136),Model!$AD$5:$AD$504,0)))</f>
        <v/>
      </c>
      <c r="U136" s="13" t="n"/>
      <c r="V136" s="13" t="n"/>
      <c r="W136" s="13" t="n"/>
    </row>
    <row r="137">
      <c r="A137" s="18">
        <f>IFERROR(INDEX(Model!$B$5:$B$504,MATCH(ROWS($A$5:A137),Model!$AD$5:$AD$504,0)),"")</f>
        <v/>
      </c>
      <c r="B137" s="18">
        <f>IF(A137="","",INDEX(Model!$C$5:$C$504,MATCH(ROWS($A$5:A137),Model!$AD$5:$AD$504,0)))</f>
        <v/>
      </c>
      <c r="C137" s="18">
        <f>IF(A137="","",INDEX(Model!$D$5:$D$504,MATCH(ROWS($A$5:A137),Model!$AD$5:$AD$504,0)))</f>
        <v/>
      </c>
      <c r="D137" s="18">
        <f>IF(A137="","",INDEX(Model!$E$5:$E$504,MATCH(ROWS($A$5:A137),Model!$AD$5:$AD$504,0)))</f>
        <v/>
      </c>
      <c r="E137" s="19">
        <f>IF(A137="","",INDEX(Model!$F$5:$F$504,MATCH(ROWS($A$5:A137),Model!$AD$5:$AD$504,0)))</f>
        <v/>
      </c>
      <c r="F137" s="19">
        <f>IF(A137="","",INDEX(Model!$G$5:$G$504,MATCH(ROWS($A$5:A137),Model!$AD$5:$AD$504,0)))</f>
        <v/>
      </c>
      <c r="G137" s="18">
        <f>IF(A137="","",INDEX(Model!$H$5:$H$504,MATCH(ROWS($A$5:A137),Model!$AD$5:$AD$504,0)))</f>
        <v/>
      </c>
      <c r="H137" s="18">
        <f>IF(A137="","",INDEX(Model!$L$5:$L$504,MATCH(ROWS($A$5:A137),Model!$AD$5:$AD$504,0)))</f>
        <v/>
      </c>
      <c r="I137" s="20">
        <f>IF(A137="","",INDEX(Model!$P$5:$P$504,MATCH(ROWS($A$5:A137),Model!$AD$5:$AD$504,0)))</f>
        <v/>
      </c>
      <c r="J137" s="20">
        <f>IF(A137="","",INDEX(Model!$Q$5:$Q$504,MATCH(ROWS($A$5:A137),Model!$AD$5:$AD$504,0)))</f>
        <v/>
      </c>
      <c r="K137" s="21">
        <f>IF(A137="","",INDEX(Model!$R$5:$R$504,MATCH(ROWS($A$5:A137),Model!$AD$5:$AD$504,0)))</f>
        <v/>
      </c>
      <c r="L137" s="20">
        <f>IF(A137="","",INDEX(Model!$S$5:$S$504,MATCH(ROWS($A$5:A137),Model!$AD$5:$AD$504,0)))</f>
        <v/>
      </c>
      <c r="M137" s="21">
        <f>IF(A137="","",INDEX(Model!$T$5:$T$504,MATCH(ROWS($A$5:A137),Model!$AD$5:$AD$504,0)))</f>
        <v/>
      </c>
      <c r="N137" s="18">
        <f>IF(A137="","",INDEX(Model!$U$5:$U$504,MATCH(ROWS($A$5:A137),Model!$AD$5:$AD$504,0)))</f>
        <v/>
      </c>
      <c r="O137" s="18">
        <f>IF(A137="","",INDEX(Model!$V$5:$V$504,MATCH(ROWS($A$5:A137),Model!$AD$5:$AD$504,0)))</f>
        <v/>
      </c>
      <c r="P137" s="18">
        <f>IF(A137="","",INDEX(Model!$W$5:$W$504,MATCH(ROWS($A$5:A137),Model!$AD$5:$AD$504,0)))</f>
        <v/>
      </c>
      <c r="Q137" s="18">
        <f>IF(A137="","",INDEX(Model!$X$5:$X$504,MATCH(ROWS($A$5:A137),Model!$AD$5:$AD$504,0)))</f>
        <v/>
      </c>
      <c r="R137" s="18">
        <f>IF(A137="","",INDEX(Model!$Y$5:$Y$504,MATCH(ROWS($A$5:A137),Model!$AD$5:$AD$504,0)))</f>
        <v/>
      </c>
      <c r="S137" s="21">
        <f>IF(A137="","",INDEX(Model!$Z$5:$Z$504,MATCH(ROWS($A$5:A137),Model!$AD$5:$AD$504,0)))</f>
        <v/>
      </c>
      <c r="T137" s="18">
        <f>IF(A137="","",INDEX(Model!$AA$5:$AA$504,MATCH(ROWS($A$5:A137),Model!$AD$5:$AD$504,0)))</f>
        <v/>
      </c>
      <c r="U137" s="13" t="n"/>
      <c r="V137" s="13" t="n"/>
      <c r="W137" s="13" t="n"/>
    </row>
    <row r="138">
      <c r="A138" s="18">
        <f>IFERROR(INDEX(Model!$B$5:$B$504,MATCH(ROWS($A$5:A138),Model!$AD$5:$AD$504,0)),"")</f>
        <v/>
      </c>
      <c r="B138" s="18">
        <f>IF(A138="","",INDEX(Model!$C$5:$C$504,MATCH(ROWS($A$5:A138),Model!$AD$5:$AD$504,0)))</f>
        <v/>
      </c>
      <c r="C138" s="18">
        <f>IF(A138="","",INDEX(Model!$D$5:$D$504,MATCH(ROWS($A$5:A138),Model!$AD$5:$AD$504,0)))</f>
        <v/>
      </c>
      <c r="D138" s="18">
        <f>IF(A138="","",INDEX(Model!$E$5:$E$504,MATCH(ROWS($A$5:A138),Model!$AD$5:$AD$504,0)))</f>
        <v/>
      </c>
      <c r="E138" s="19">
        <f>IF(A138="","",INDEX(Model!$F$5:$F$504,MATCH(ROWS($A$5:A138),Model!$AD$5:$AD$504,0)))</f>
        <v/>
      </c>
      <c r="F138" s="19">
        <f>IF(A138="","",INDEX(Model!$G$5:$G$504,MATCH(ROWS($A$5:A138),Model!$AD$5:$AD$504,0)))</f>
        <v/>
      </c>
      <c r="G138" s="18">
        <f>IF(A138="","",INDEX(Model!$H$5:$H$504,MATCH(ROWS($A$5:A138),Model!$AD$5:$AD$504,0)))</f>
        <v/>
      </c>
      <c r="H138" s="18">
        <f>IF(A138="","",INDEX(Model!$L$5:$L$504,MATCH(ROWS($A$5:A138),Model!$AD$5:$AD$504,0)))</f>
        <v/>
      </c>
      <c r="I138" s="20">
        <f>IF(A138="","",INDEX(Model!$P$5:$P$504,MATCH(ROWS($A$5:A138),Model!$AD$5:$AD$504,0)))</f>
        <v/>
      </c>
      <c r="J138" s="20">
        <f>IF(A138="","",INDEX(Model!$Q$5:$Q$504,MATCH(ROWS($A$5:A138),Model!$AD$5:$AD$504,0)))</f>
        <v/>
      </c>
      <c r="K138" s="21">
        <f>IF(A138="","",INDEX(Model!$R$5:$R$504,MATCH(ROWS($A$5:A138),Model!$AD$5:$AD$504,0)))</f>
        <v/>
      </c>
      <c r="L138" s="20">
        <f>IF(A138="","",INDEX(Model!$S$5:$S$504,MATCH(ROWS($A$5:A138),Model!$AD$5:$AD$504,0)))</f>
        <v/>
      </c>
      <c r="M138" s="21">
        <f>IF(A138="","",INDEX(Model!$T$5:$T$504,MATCH(ROWS($A$5:A138),Model!$AD$5:$AD$504,0)))</f>
        <v/>
      </c>
      <c r="N138" s="18">
        <f>IF(A138="","",INDEX(Model!$U$5:$U$504,MATCH(ROWS($A$5:A138),Model!$AD$5:$AD$504,0)))</f>
        <v/>
      </c>
      <c r="O138" s="18">
        <f>IF(A138="","",INDEX(Model!$V$5:$V$504,MATCH(ROWS($A$5:A138),Model!$AD$5:$AD$504,0)))</f>
        <v/>
      </c>
      <c r="P138" s="18">
        <f>IF(A138="","",INDEX(Model!$W$5:$W$504,MATCH(ROWS($A$5:A138),Model!$AD$5:$AD$504,0)))</f>
        <v/>
      </c>
      <c r="Q138" s="18">
        <f>IF(A138="","",INDEX(Model!$X$5:$X$504,MATCH(ROWS($A$5:A138),Model!$AD$5:$AD$504,0)))</f>
        <v/>
      </c>
      <c r="R138" s="18">
        <f>IF(A138="","",INDEX(Model!$Y$5:$Y$504,MATCH(ROWS($A$5:A138),Model!$AD$5:$AD$504,0)))</f>
        <v/>
      </c>
      <c r="S138" s="21">
        <f>IF(A138="","",INDEX(Model!$Z$5:$Z$504,MATCH(ROWS($A$5:A138),Model!$AD$5:$AD$504,0)))</f>
        <v/>
      </c>
      <c r="T138" s="18">
        <f>IF(A138="","",INDEX(Model!$AA$5:$AA$504,MATCH(ROWS($A$5:A138),Model!$AD$5:$AD$504,0)))</f>
        <v/>
      </c>
      <c r="U138" s="13" t="n"/>
      <c r="V138" s="13" t="n"/>
      <c r="W138" s="13" t="n"/>
    </row>
    <row r="139">
      <c r="A139" s="18">
        <f>IFERROR(INDEX(Model!$B$5:$B$504,MATCH(ROWS($A$5:A139),Model!$AD$5:$AD$504,0)),"")</f>
        <v/>
      </c>
      <c r="B139" s="18">
        <f>IF(A139="","",INDEX(Model!$C$5:$C$504,MATCH(ROWS($A$5:A139),Model!$AD$5:$AD$504,0)))</f>
        <v/>
      </c>
      <c r="C139" s="18">
        <f>IF(A139="","",INDEX(Model!$D$5:$D$504,MATCH(ROWS($A$5:A139),Model!$AD$5:$AD$504,0)))</f>
        <v/>
      </c>
      <c r="D139" s="18">
        <f>IF(A139="","",INDEX(Model!$E$5:$E$504,MATCH(ROWS($A$5:A139),Model!$AD$5:$AD$504,0)))</f>
        <v/>
      </c>
      <c r="E139" s="19">
        <f>IF(A139="","",INDEX(Model!$F$5:$F$504,MATCH(ROWS($A$5:A139),Model!$AD$5:$AD$504,0)))</f>
        <v/>
      </c>
      <c r="F139" s="19">
        <f>IF(A139="","",INDEX(Model!$G$5:$G$504,MATCH(ROWS($A$5:A139),Model!$AD$5:$AD$504,0)))</f>
        <v/>
      </c>
      <c r="G139" s="18">
        <f>IF(A139="","",INDEX(Model!$H$5:$H$504,MATCH(ROWS($A$5:A139),Model!$AD$5:$AD$504,0)))</f>
        <v/>
      </c>
      <c r="H139" s="18">
        <f>IF(A139="","",INDEX(Model!$L$5:$L$504,MATCH(ROWS($A$5:A139),Model!$AD$5:$AD$504,0)))</f>
        <v/>
      </c>
      <c r="I139" s="20">
        <f>IF(A139="","",INDEX(Model!$P$5:$P$504,MATCH(ROWS($A$5:A139),Model!$AD$5:$AD$504,0)))</f>
        <v/>
      </c>
      <c r="J139" s="20">
        <f>IF(A139="","",INDEX(Model!$Q$5:$Q$504,MATCH(ROWS($A$5:A139),Model!$AD$5:$AD$504,0)))</f>
        <v/>
      </c>
      <c r="K139" s="21">
        <f>IF(A139="","",INDEX(Model!$R$5:$R$504,MATCH(ROWS($A$5:A139),Model!$AD$5:$AD$504,0)))</f>
        <v/>
      </c>
      <c r="L139" s="20">
        <f>IF(A139="","",INDEX(Model!$S$5:$S$504,MATCH(ROWS($A$5:A139),Model!$AD$5:$AD$504,0)))</f>
        <v/>
      </c>
      <c r="M139" s="21">
        <f>IF(A139="","",INDEX(Model!$T$5:$T$504,MATCH(ROWS($A$5:A139),Model!$AD$5:$AD$504,0)))</f>
        <v/>
      </c>
      <c r="N139" s="18">
        <f>IF(A139="","",INDEX(Model!$U$5:$U$504,MATCH(ROWS($A$5:A139),Model!$AD$5:$AD$504,0)))</f>
        <v/>
      </c>
      <c r="O139" s="18">
        <f>IF(A139="","",INDEX(Model!$V$5:$V$504,MATCH(ROWS($A$5:A139),Model!$AD$5:$AD$504,0)))</f>
        <v/>
      </c>
      <c r="P139" s="18">
        <f>IF(A139="","",INDEX(Model!$W$5:$W$504,MATCH(ROWS($A$5:A139),Model!$AD$5:$AD$504,0)))</f>
        <v/>
      </c>
      <c r="Q139" s="18">
        <f>IF(A139="","",INDEX(Model!$X$5:$X$504,MATCH(ROWS($A$5:A139),Model!$AD$5:$AD$504,0)))</f>
        <v/>
      </c>
      <c r="R139" s="18">
        <f>IF(A139="","",INDEX(Model!$Y$5:$Y$504,MATCH(ROWS($A$5:A139),Model!$AD$5:$AD$504,0)))</f>
        <v/>
      </c>
      <c r="S139" s="21">
        <f>IF(A139="","",INDEX(Model!$Z$5:$Z$504,MATCH(ROWS($A$5:A139),Model!$AD$5:$AD$504,0)))</f>
        <v/>
      </c>
      <c r="T139" s="18">
        <f>IF(A139="","",INDEX(Model!$AA$5:$AA$504,MATCH(ROWS($A$5:A139),Model!$AD$5:$AD$504,0)))</f>
        <v/>
      </c>
      <c r="U139" s="13" t="n"/>
      <c r="V139" s="13" t="n"/>
      <c r="W139" s="13" t="n"/>
    </row>
    <row r="140">
      <c r="A140" s="18">
        <f>IFERROR(INDEX(Model!$B$5:$B$504,MATCH(ROWS($A$5:A140),Model!$AD$5:$AD$504,0)),"")</f>
        <v/>
      </c>
      <c r="B140" s="18">
        <f>IF(A140="","",INDEX(Model!$C$5:$C$504,MATCH(ROWS($A$5:A140),Model!$AD$5:$AD$504,0)))</f>
        <v/>
      </c>
      <c r="C140" s="18">
        <f>IF(A140="","",INDEX(Model!$D$5:$D$504,MATCH(ROWS($A$5:A140),Model!$AD$5:$AD$504,0)))</f>
        <v/>
      </c>
      <c r="D140" s="18">
        <f>IF(A140="","",INDEX(Model!$E$5:$E$504,MATCH(ROWS($A$5:A140),Model!$AD$5:$AD$504,0)))</f>
        <v/>
      </c>
      <c r="E140" s="19">
        <f>IF(A140="","",INDEX(Model!$F$5:$F$504,MATCH(ROWS($A$5:A140),Model!$AD$5:$AD$504,0)))</f>
        <v/>
      </c>
      <c r="F140" s="19">
        <f>IF(A140="","",INDEX(Model!$G$5:$G$504,MATCH(ROWS($A$5:A140),Model!$AD$5:$AD$504,0)))</f>
        <v/>
      </c>
      <c r="G140" s="18">
        <f>IF(A140="","",INDEX(Model!$H$5:$H$504,MATCH(ROWS($A$5:A140),Model!$AD$5:$AD$504,0)))</f>
        <v/>
      </c>
      <c r="H140" s="18">
        <f>IF(A140="","",INDEX(Model!$L$5:$L$504,MATCH(ROWS($A$5:A140),Model!$AD$5:$AD$504,0)))</f>
        <v/>
      </c>
      <c r="I140" s="20">
        <f>IF(A140="","",INDEX(Model!$P$5:$P$504,MATCH(ROWS($A$5:A140),Model!$AD$5:$AD$504,0)))</f>
        <v/>
      </c>
      <c r="J140" s="20">
        <f>IF(A140="","",INDEX(Model!$Q$5:$Q$504,MATCH(ROWS($A$5:A140),Model!$AD$5:$AD$504,0)))</f>
        <v/>
      </c>
      <c r="K140" s="21">
        <f>IF(A140="","",INDEX(Model!$R$5:$R$504,MATCH(ROWS($A$5:A140),Model!$AD$5:$AD$504,0)))</f>
        <v/>
      </c>
      <c r="L140" s="20">
        <f>IF(A140="","",INDEX(Model!$S$5:$S$504,MATCH(ROWS($A$5:A140),Model!$AD$5:$AD$504,0)))</f>
        <v/>
      </c>
      <c r="M140" s="21">
        <f>IF(A140="","",INDEX(Model!$T$5:$T$504,MATCH(ROWS($A$5:A140),Model!$AD$5:$AD$504,0)))</f>
        <v/>
      </c>
      <c r="N140" s="18">
        <f>IF(A140="","",INDEX(Model!$U$5:$U$504,MATCH(ROWS($A$5:A140),Model!$AD$5:$AD$504,0)))</f>
        <v/>
      </c>
      <c r="O140" s="18">
        <f>IF(A140="","",INDEX(Model!$V$5:$V$504,MATCH(ROWS($A$5:A140),Model!$AD$5:$AD$504,0)))</f>
        <v/>
      </c>
      <c r="P140" s="18">
        <f>IF(A140="","",INDEX(Model!$W$5:$W$504,MATCH(ROWS($A$5:A140),Model!$AD$5:$AD$504,0)))</f>
        <v/>
      </c>
      <c r="Q140" s="18">
        <f>IF(A140="","",INDEX(Model!$X$5:$X$504,MATCH(ROWS($A$5:A140),Model!$AD$5:$AD$504,0)))</f>
        <v/>
      </c>
      <c r="R140" s="18">
        <f>IF(A140="","",INDEX(Model!$Y$5:$Y$504,MATCH(ROWS($A$5:A140),Model!$AD$5:$AD$504,0)))</f>
        <v/>
      </c>
      <c r="S140" s="21">
        <f>IF(A140="","",INDEX(Model!$Z$5:$Z$504,MATCH(ROWS($A$5:A140),Model!$AD$5:$AD$504,0)))</f>
        <v/>
      </c>
      <c r="T140" s="18">
        <f>IF(A140="","",INDEX(Model!$AA$5:$AA$504,MATCH(ROWS($A$5:A140),Model!$AD$5:$AD$504,0)))</f>
        <v/>
      </c>
      <c r="U140" s="13" t="n"/>
      <c r="V140" s="13" t="n"/>
      <c r="W140" s="13" t="n"/>
    </row>
    <row r="141">
      <c r="A141" s="18">
        <f>IFERROR(INDEX(Model!$B$5:$B$504,MATCH(ROWS($A$5:A141),Model!$AD$5:$AD$504,0)),"")</f>
        <v/>
      </c>
      <c r="B141" s="18">
        <f>IF(A141="","",INDEX(Model!$C$5:$C$504,MATCH(ROWS($A$5:A141),Model!$AD$5:$AD$504,0)))</f>
        <v/>
      </c>
      <c r="C141" s="18">
        <f>IF(A141="","",INDEX(Model!$D$5:$D$504,MATCH(ROWS($A$5:A141),Model!$AD$5:$AD$504,0)))</f>
        <v/>
      </c>
      <c r="D141" s="18">
        <f>IF(A141="","",INDEX(Model!$E$5:$E$504,MATCH(ROWS($A$5:A141),Model!$AD$5:$AD$504,0)))</f>
        <v/>
      </c>
      <c r="E141" s="19">
        <f>IF(A141="","",INDEX(Model!$F$5:$F$504,MATCH(ROWS($A$5:A141),Model!$AD$5:$AD$504,0)))</f>
        <v/>
      </c>
      <c r="F141" s="19">
        <f>IF(A141="","",INDEX(Model!$G$5:$G$504,MATCH(ROWS($A$5:A141),Model!$AD$5:$AD$504,0)))</f>
        <v/>
      </c>
      <c r="G141" s="18">
        <f>IF(A141="","",INDEX(Model!$H$5:$H$504,MATCH(ROWS($A$5:A141),Model!$AD$5:$AD$504,0)))</f>
        <v/>
      </c>
      <c r="H141" s="18">
        <f>IF(A141="","",INDEX(Model!$L$5:$L$504,MATCH(ROWS($A$5:A141),Model!$AD$5:$AD$504,0)))</f>
        <v/>
      </c>
      <c r="I141" s="20">
        <f>IF(A141="","",INDEX(Model!$P$5:$P$504,MATCH(ROWS($A$5:A141),Model!$AD$5:$AD$504,0)))</f>
        <v/>
      </c>
      <c r="J141" s="20">
        <f>IF(A141="","",INDEX(Model!$Q$5:$Q$504,MATCH(ROWS($A$5:A141),Model!$AD$5:$AD$504,0)))</f>
        <v/>
      </c>
      <c r="K141" s="21">
        <f>IF(A141="","",INDEX(Model!$R$5:$R$504,MATCH(ROWS($A$5:A141),Model!$AD$5:$AD$504,0)))</f>
        <v/>
      </c>
      <c r="L141" s="20">
        <f>IF(A141="","",INDEX(Model!$S$5:$S$504,MATCH(ROWS($A$5:A141),Model!$AD$5:$AD$504,0)))</f>
        <v/>
      </c>
      <c r="M141" s="21">
        <f>IF(A141="","",INDEX(Model!$T$5:$T$504,MATCH(ROWS($A$5:A141),Model!$AD$5:$AD$504,0)))</f>
        <v/>
      </c>
      <c r="N141" s="18">
        <f>IF(A141="","",INDEX(Model!$U$5:$U$504,MATCH(ROWS($A$5:A141),Model!$AD$5:$AD$504,0)))</f>
        <v/>
      </c>
      <c r="O141" s="18">
        <f>IF(A141="","",INDEX(Model!$V$5:$V$504,MATCH(ROWS($A$5:A141),Model!$AD$5:$AD$504,0)))</f>
        <v/>
      </c>
      <c r="P141" s="18">
        <f>IF(A141="","",INDEX(Model!$W$5:$W$504,MATCH(ROWS($A$5:A141),Model!$AD$5:$AD$504,0)))</f>
        <v/>
      </c>
      <c r="Q141" s="18">
        <f>IF(A141="","",INDEX(Model!$X$5:$X$504,MATCH(ROWS($A$5:A141),Model!$AD$5:$AD$504,0)))</f>
        <v/>
      </c>
      <c r="R141" s="18">
        <f>IF(A141="","",INDEX(Model!$Y$5:$Y$504,MATCH(ROWS($A$5:A141),Model!$AD$5:$AD$504,0)))</f>
        <v/>
      </c>
      <c r="S141" s="21">
        <f>IF(A141="","",INDEX(Model!$Z$5:$Z$504,MATCH(ROWS($A$5:A141),Model!$AD$5:$AD$504,0)))</f>
        <v/>
      </c>
      <c r="T141" s="18">
        <f>IF(A141="","",INDEX(Model!$AA$5:$AA$504,MATCH(ROWS($A$5:A141),Model!$AD$5:$AD$504,0)))</f>
        <v/>
      </c>
      <c r="U141" s="13" t="n"/>
      <c r="V141" s="13" t="n"/>
      <c r="W141" s="13" t="n"/>
    </row>
    <row r="142">
      <c r="A142" s="18">
        <f>IFERROR(INDEX(Model!$B$5:$B$504,MATCH(ROWS($A$5:A142),Model!$AD$5:$AD$504,0)),"")</f>
        <v/>
      </c>
      <c r="B142" s="18">
        <f>IF(A142="","",INDEX(Model!$C$5:$C$504,MATCH(ROWS($A$5:A142),Model!$AD$5:$AD$504,0)))</f>
        <v/>
      </c>
      <c r="C142" s="18">
        <f>IF(A142="","",INDEX(Model!$D$5:$D$504,MATCH(ROWS($A$5:A142),Model!$AD$5:$AD$504,0)))</f>
        <v/>
      </c>
      <c r="D142" s="18">
        <f>IF(A142="","",INDEX(Model!$E$5:$E$504,MATCH(ROWS($A$5:A142),Model!$AD$5:$AD$504,0)))</f>
        <v/>
      </c>
      <c r="E142" s="19">
        <f>IF(A142="","",INDEX(Model!$F$5:$F$504,MATCH(ROWS($A$5:A142),Model!$AD$5:$AD$504,0)))</f>
        <v/>
      </c>
      <c r="F142" s="19">
        <f>IF(A142="","",INDEX(Model!$G$5:$G$504,MATCH(ROWS($A$5:A142),Model!$AD$5:$AD$504,0)))</f>
        <v/>
      </c>
      <c r="G142" s="18">
        <f>IF(A142="","",INDEX(Model!$H$5:$H$504,MATCH(ROWS($A$5:A142),Model!$AD$5:$AD$504,0)))</f>
        <v/>
      </c>
      <c r="H142" s="18">
        <f>IF(A142="","",INDEX(Model!$L$5:$L$504,MATCH(ROWS($A$5:A142),Model!$AD$5:$AD$504,0)))</f>
        <v/>
      </c>
      <c r="I142" s="20">
        <f>IF(A142="","",INDEX(Model!$P$5:$P$504,MATCH(ROWS($A$5:A142),Model!$AD$5:$AD$504,0)))</f>
        <v/>
      </c>
      <c r="J142" s="20">
        <f>IF(A142="","",INDEX(Model!$Q$5:$Q$504,MATCH(ROWS($A$5:A142),Model!$AD$5:$AD$504,0)))</f>
        <v/>
      </c>
      <c r="K142" s="21">
        <f>IF(A142="","",INDEX(Model!$R$5:$R$504,MATCH(ROWS($A$5:A142),Model!$AD$5:$AD$504,0)))</f>
        <v/>
      </c>
      <c r="L142" s="20">
        <f>IF(A142="","",INDEX(Model!$S$5:$S$504,MATCH(ROWS($A$5:A142),Model!$AD$5:$AD$504,0)))</f>
        <v/>
      </c>
      <c r="M142" s="21">
        <f>IF(A142="","",INDEX(Model!$T$5:$T$504,MATCH(ROWS($A$5:A142),Model!$AD$5:$AD$504,0)))</f>
        <v/>
      </c>
      <c r="N142" s="18">
        <f>IF(A142="","",INDEX(Model!$U$5:$U$504,MATCH(ROWS($A$5:A142),Model!$AD$5:$AD$504,0)))</f>
        <v/>
      </c>
      <c r="O142" s="18">
        <f>IF(A142="","",INDEX(Model!$V$5:$V$504,MATCH(ROWS($A$5:A142),Model!$AD$5:$AD$504,0)))</f>
        <v/>
      </c>
      <c r="P142" s="18">
        <f>IF(A142="","",INDEX(Model!$W$5:$W$504,MATCH(ROWS($A$5:A142),Model!$AD$5:$AD$504,0)))</f>
        <v/>
      </c>
      <c r="Q142" s="18">
        <f>IF(A142="","",INDEX(Model!$X$5:$X$504,MATCH(ROWS($A$5:A142),Model!$AD$5:$AD$504,0)))</f>
        <v/>
      </c>
      <c r="R142" s="18">
        <f>IF(A142="","",INDEX(Model!$Y$5:$Y$504,MATCH(ROWS($A$5:A142),Model!$AD$5:$AD$504,0)))</f>
        <v/>
      </c>
      <c r="S142" s="21">
        <f>IF(A142="","",INDEX(Model!$Z$5:$Z$504,MATCH(ROWS($A$5:A142),Model!$AD$5:$AD$504,0)))</f>
        <v/>
      </c>
      <c r="T142" s="18">
        <f>IF(A142="","",INDEX(Model!$AA$5:$AA$504,MATCH(ROWS($A$5:A142),Model!$AD$5:$AD$504,0)))</f>
        <v/>
      </c>
      <c r="U142" s="13" t="n"/>
      <c r="V142" s="13" t="n"/>
      <c r="W142" s="13" t="n"/>
    </row>
    <row r="143">
      <c r="A143" s="18">
        <f>IFERROR(INDEX(Model!$B$5:$B$504,MATCH(ROWS($A$5:A143),Model!$AD$5:$AD$504,0)),"")</f>
        <v/>
      </c>
      <c r="B143" s="18">
        <f>IF(A143="","",INDEX(Model!$C$5:$C$504,MATCH(ROWS($A$5:A143),Model!$AD$5:$AD$504,0)))</f>
        <v/>
      </c>
      <c r="C143" s="18">
        <f>IF(A143="","",INDEX(Model!$D$5:$D$504,MATCH(ROWS($A$5:A143),Model!$AD$5:$AD$504,0)))</f>
        <v/>
      </c>
      <c r="D143" s="18">
        <f>IF(A143="","",INDEX(Model!$E$5:$E$504,MATCH(ROWS($A$5:A143),Model!$AD$5:$AD$504,0)))</f>
        <v/>
      </c>
      <c r="E143" s="19">
        <f>IF(A143="","",INDEX(Model!$F$5:$F$504,MATCH(ROWS($A$5:A143),Model!$AD$5:$AD$504,0)))</f>
        <v/>
      </c>
      <c r="F143" s="19">
        <f>IF(A143="","",INDEX(Model!$G$5:$G$504,MATCH(ROWS($A$5:A143),Model!$AD$5:$AD$504,0)))</f>
        <v/>
      </c>
      <c r="G143" s="18">
        <f>IF(A143="","",INDEX(Model!$H$5:$H$504,MATCH(ROWS($A$5:A143),Model!$AD$5:$AD$504,0)))</f>
        <v/>
      </c>
      <c r="H143" s="18">
        <f>IF(A143="","",INDEX(Model!$L$5:$L$504,MATCH(ROWS($A$5:A143),Model!$AD$5:$AD$504,0)))</f>
        <v/>
      </c>
      <c r="I143" s="20">
        <f>IF(A143="","",INDEX(Model!$P$5:$P$504,MATCH(ROWS($A$5:A143),Model!$AD$5:$AD$504,0)))</f>
        <v/>
      </c>
      <c r="J143" s="20">
        <f>IF(A143="","",INDEX(Model!$Q$5:$Q$504,MATCH(ROWS($A$5:A143),Model!$AD$5:$AD$504,0)))</f>
        <v/>
      </c>
      <c r="K143" s="21">
        <f>IF(A143="","",INDEX(Model!$R$5:$R$504,MATCH(ROWS($A$5:A143),Model!$AD$5:$AD$504,0)))</f>
        <v/>
      </c>
      <c r="L143" s="20">
        <f>IF(A143="","",INDEX(Model!$S$5:$S$504,MATCH(ROWS($A$5:A143),Model!$AD$5:$AD$504,0)))</f>
        <v/>
      </c>
      <c r="M143" s="21">
        <f>IF(A143="","",INDEX(Model!$T$5:$T$504,MATCH(ROWS($A$5:A143),Model!$AD$5:$AD$504,0)))</f>
        <v/>
      </c>
      <c r="N143" s="18">
        <f>IF(A143="","",INDEX(Model!$U$5:$U$504,MATCH(ROWS($A$5:A143),Model!$AD$5:$AD$504,0)))</f>
        <v/>
      </c>
      <c r="O143" s="18">
        <f>IF(A143="","",INDEX(Model!$V$5:$V$504,MATCH(ROWS($A$5:A143),Model!$AD$5:$AD$504,0)))</f>
        <v/>
      </c>
      <c r="P143" s="18">
        <f>IF(A143="","",INDEX(Model!$W$5:$W$504,MATCH(ROWS($A$5:A143),Model!$AD$5:$AD$504,0)))</f>
        <v/>
      </c>
      <c r="Q143" s="18">
        <f>IF(A143="","",INDEX(Model!$X$5:$X$504,MATCH(ROWS($A$5:A143),Model!$AD$5:$AD$504,0)))</f>
        <v/>
      </c>
      <c r="R143" s="18">
        <f>IF(A143="","",INDEX(Model!$Y$5:$Y$504,MATCH(ROWS($A$5:A143),Model!$AD$5:$AD$504,0)))</f>
        <v/>
      </c>
      <c r="S143" s="21">
        <f>IF(A143="","",INDEX(Model!$Z$5:$Z$504,MATCH(ROWS($A$5:A143),Model!$AD$5:$AD$504,0)))</f>
        <v/>
      </c>
      <c r="T143" s="18">
        <f>IF(A143="","",INDEX(Model!$AA$5:$AA$504,MATCH(ROWS($A$5:A143),Model!$AD$5:$AD$504,0)))</f>
        <v/>
      </c>
      <c r="U143" s="13" t="n"/>
      <c r="V143" s="13" t="n"/>
      <c r="W143" s="13" t="n"/>
    </row>
    <row r="144">
      <c r="A144" s="18">
        <f>IFERROR(INDEX(Model!$B$5:$B$504,MATCH(ROWS($A$5:A144),Model!$AD$5:$AD$504,0)),"")</f>
        <v/>
      </c>
      <c r="B144" s="18">
        <f>IF(A144="","",INDEX(Model!$C$5:$C$504,MATCH(ROWS($A$5:A144),Model!$AD$5:$AD$504,0)))</f>
        <v/>
      </c>
      <c r="C144" s="18">
        <f>IF(A144="","",INDEX(Model!$D$5:$D$504,MATCH(ROWS($A$5:A144),Model!$AD$5:$AD$504,0)))</f>
        <v/>
      </c>
      <c r="D144" s="18">
        <f>IF(A144="","",INDEX(Model!$E$5:$E$504,MATCH(ROWS($A$5:A144),Model!$AD$5:$AD$504,0)))</f>
        <v/>
      </c>
      <c r="E144" s="19">
        <f>IF(A144="","",INDEX(Model!$F$5:$F$504,MATCH(ROWS($A$5:A144),Model!$AD$5:$AD$504,0)))</f>
        <v/>
      </c>
      <c r="F144" s="19">
        <f>IF(A144="","",INDEX(Model!$G$5:$G$504,MATCH(ROWS($A$5:A144),Model!$AD$5:$AD$504,0)))</f>
        <v/>
      </c>
      <c r="G144" s="18">
        <f>IF(A144="","",INDEX(Model!$H$5:$H$504,MATCH(ROWS($A$5:A144),Model!$AD$5:$AD$504,0)))</f>
        <v/>
      </c>
      <c r="H144" s="18">
        <f>IF(A144="","",INDEX(Model!$L$5:$L$504,MATCH(ROWS($A$5:A144),Model!$AD$5:$AD$504,0)))</f>
        <v/>
      </c>
      <c r="I144" s="20">
        <f>IF(A144="","",INDEX(Model!$P$5:$P$504,MATCH(ROWS($A$5:A144),Model!$AD$5:$AD$504,0)))</f>
        <v/>
      </c>
      <c r="J144" s="20">
        <f>IF(A144="","",INDEX(Model!$Q$5:$Q$504,MATCH(ROWS($A$5:A144),Model!$AD$5:$AD$504,0)))</f>
        <v/>
      </c>
      <c r="K144" s="21">
        <f>IF(A144="","",INDEX(Model!$R$5:$R$504,MATCH(ROWS($A$5:A144),Model!$AD$5:$AD$504,0)))</f>
        <v/>
      </c>
      <c r="L144" s="20">
        <f>IF(A144="","",INDEX(Model!$S$5:$S$504,MATCH(ROWS($A$5:A144),Model!$AD$5:$AD$504,0)))</f>
        <v/>
      </c>
      <c r="M144" s="21">
        <f>IF(A144="","",INDEX(Model!$T$5:$T$504,MATCH(ROWS($A$5:A144),Model!$AD$5:$AD$504,0)))</f>
        <v/>
      </c>
      <c r="N144" s="18">
        <f>IF(A144="","",INDEX(Model!$U$5:$U$504,MATCH(ROWS($A$5:A144),Model!$AD$5:$AD$504,0)))</f>
        <v/>
      </c>
      <c r="O144" s="18">
        <f>IF(A144="","",INDEX(Model!$V$5:$V$504,MATCH(ROWS($A$5:A144),Model!$AD$5:$AD$504,0)))</f>
        <v/>
      </c>
      <c r="P144" s="18">
        <f>IF(A144="","",INDEX(Model!$W$5:$W$504,MATCH(ROWS($A$5:A144),Model!$AD$5:$AD$504,0)))</f>
        <v/>
      </c>
      <c r="Q144" s="18">
        <f>IF(A144="","",INDEX(Model!$X$5:$X$504,MATCH(ROWS($A$5:A144),Model!$AD$5:$AD$504,0)))</f>
        <v/>
      </c>
      <c r="R144" s="18">
        <f>IF(A144="","",INDEX(Model!$Y$5:$Y$504,MATCH(ROWS($A$5:A144),Model!$AD$5:$AD$504,0)))</f>
        <v/>
      </c>
      <c r="S144" s="21">
        <f>IF(A144="","",INDEX(Model!$Z$5:$Z$504,MATCH(ROWS($A$5:A144),Model!$AD$5:$AD$504,0)))</f>
        <v/>
      </c>
      <c r="T144" s="18">
        <f>IF(A144="","",INDEX(Model!$AA$5:$AA$504,MATCH(ROWS($A$5:A144),Model!$AD$5:$AD$504,0)))</f>
        <v/>
      </c>
      <c r="U144" s="13" t="n"/>
      <c r="V144" s="13" t="n"/>
      <c r="W144" s="13" t="n"/>
    </row>
    <row r="145">
      <c r="A145" s="18">
        <f>IFERROR(INDEX(Model!$B$5:$B$504,MATCH(ROWS($A$5:A145),Model!$AD$5:$AD$504,0)),"")</f>
        <v/>
      </c>
      <c r="B145" s="18">
        <f>IF(A145="","",INDEX(Model!$C$5:$C$504,MATCH(ROWS($A$5:A145),Model!$AD$5:$AD$504,0)))</f>
        <v/>
      </c>
      <c r="C145" s="18">
        <f>IF(A145="","",INDEX(Model!$D$5:$D$504,MATCH(ROWS($A$5:A145),Model!$AD$5:$AD$504,0)))</f>
        <v/>
      </c>
      <c r="D145" s="18">
        <f>IF(A145="","",INDEX(Model!$E$5:$E$504,MATCH(ROWS($A$5:A145),Model!$AD$5:$AD$504,0)))</f>
        <v/>
      </c>
      <c r="E145" s="19">
        <f>IF(A145="","",INDEX(Model!$F$5:$F$504,MATCH(ROWS($A$5:A145),Model!$AD$5:$AD$504,0)))</f>
        <v/>
      </c>
      <c r="F145" s="19">
        <f>IF(A145="","",INDEX(Model!$G$5:$G$504,MATCH(ROWS($A$5:A145),Model!$AD$5:$AD$504,0)))</f>
        <v/>
      </c>
      <c r="G145" s="18">
        <f>IF(A145="","",INDEX(Model!$H$5:$H$504,MATCH(ROWS($A$5:A145),Model!$AD$5:$AD$504,0)))</f>
        <v/>
      </c>
      <c r="H145" s="18">
        <f>IF(A145="","",INDEX(Model!$L$5:$L$504,MATCH(ROWS($A$5:A145),Model!$AD$5:$AD$504,0)))</f>
        <v/>
      </c>
      <c r="I145" s="20">
        <f>IF(A145="","",INDEX(Model!$P$5:$P$504,MATCH(ROWS($A$5:A145),Model!$AD$5:$AD$504,0)))</f>
        <v/>
      </c>
      <c r="J145" s="20">
        <f>IF(A145="","",INDEX(Model!$Q$5:$Q$504,MATCH(ROWS($A$5:A145),Model!$AD$5:$AD$504,0)))</f>
        <v/>
      </c>
      <c r="K145" s="21">
        <f>IF(A145="","",INDEX(Model!$R$5:$R$504,MATCH(ROWS($A$5:A145),Model!$AD$5:$AD$504,0)))</f>
        <v/>
      </c>
      <c r="L145" s="20">
        <f>IF(A145="","",INDEX(Model!$S$5:$S$504,MATCH(ROWS($A$5:A145),Model!$AD$5:$AD$504,0)))</f>
        <v/>
      </c>
      <c r="M145" s="21">
        <f>IF(A145="","",INDEX(Model!$T$5:$T$504,MATCH(ROWS($A$5:A145),Model!$AD$5:$AD$504,0)))</f>
        <v/>
      </c>
      <c r="N145" s="18">
        <f>IF(A145="","",INDEX(Model!$U$5:$U$504,MATCH(ROWS($A$5:A145),Model!$AD$5:$AD$504,0)))</f>
        <v/>
      </c>
      <c r="O145" s="18">
        <f>IF(A145="","",INDEX(Model!$V$5:$V$504,MATCH(ROWS($A$5:A145),Model!$AD$5:$AD$504,0)))</f>
        <v/>
      </c>
      <c r="P145" s="18">
        <f>IF(A145="","",INDEX(Model!$W$5:$W$504,MATCH(ROWS($A$5:A145),Model!$AD$5:$AD$504,0)))</f>
        <v/>
      </c>
      <c r="Q145" s="18">
        <f>IF(A145="","",INDEX(Model!$X$5:$X$504,MATCH(ROWS($A$5:A145),Model!$AD$5:$AD$504,0)))</f>
        <v/>
      </c>
      <c r="R145" s="18">
        <f>IF(A145="","",INDEX(Model!$Y$5:$Y$504,MATCH(ROWS($A$5:A145),Model!$AD$5:$AD$504,0)))</f>
        <v/>
      </c>
      <c r="S145" s="21">
        <f>IF(A145="","",INDEX(Model!$Z$5:$Z$504,MATCH(ROWS($A$5:A145),Model!$AD$5:$AD$504,0)))</f>
        <v/>
      </c>
      <c r="T145" s="18">
        <f>IF(A145="","",INDEX(Model!$AA$5:$AA$504,MATCH(ROWS($A$5:A145),Model!$AD$5:$AD$504,0)))</f>
        <v/>
      </c>
      <c r="U145" s="13" t="n"/>
      <c r="V145" s="13" t="n"/>
      <c r="W145" s="13" t="n"/>
    </row>
    <row r="146">
      <c r="A146" s="18">
        <f>IFERROR(INDEX(Model!$B$5:$B$504,MATCH(ROWS($A$5:A146),Model!$AD$5:$AD$504,0)),"")</f>
        <v/>
      </c>
      <c r="B146" s="18">
        <f>IF(A146="","",INDEX(Model!$C$5:$C$504,MATCH(ROWS($A$5:A146),Model!$AD$5:$AD$504,0)))</f>
        <v/>
      </c>
      <c r="C146" s="18">
        <f>IF(A146="","",INDEX(Model!$D$5:$D$504,MATCH(ROWS($A$5:A146),Model!$AD$5:$AD$504,0)))</f>
        <v/>
      </c>
      <c r="D146" s="18">
        <f>IF(A146="","",INDEX(Model!$E$5:$E$504,MATCH(ROWS($A$5:A146),Model!$AD$5:$AD$504,0)))</f>
        <v/>
      </c>
      <c r="E146" s="19">
        <f>IF(A146="","",INDEX(Model!$F$5:$F$504,MATCH(ROWS($A$5:A146),Model!$AD$5:$AD$504,0)))</f>
        <v/>
      </c>
      <c r="F146" s="19">
        <f>IF(A146="","",INDEX(Model!$G$5:$G$504,MATCH(ROWS($A$5:A146),Model!$AD$5:$AD$504,0)))</f>
        <v/>
      </c>
      <c r="G146" s="18">
        <f>IF(A146="","",INDEX(Model!$H$5:$H$504,MATCH(ROWS($A$5:A146),Model!$AD$5:$AD$504,0)))</f>
        <v/>
      </c>
      <c r="H146" s="18">
        <f>IF(A146="","",INDEX(Model!$L$5:$L$504,MATCH(ROWS($A$5:A146),Model!$AD$5:$AD$504,0)))</f>
        <v/>
      </c>
      <c r="I146" s="20">
        <f>IF(A146="","",INDEX(Model!$P$5:$P$504,MATCH(ROWS($A$5:A146),Model!$AD$5:$AD$504,0)))</f>
        <v/>
      </c>
      <c r="J146" s="20">
        <f>IF(A146="","",INDEX(Model!$Q$5:$Q$504,MATCH(ROWS($A$5:A146),Model!$AD$5:$AD$504,0)))</f>
        <v/>
      </c>
      <c r="K146" s="21">
        <f>IF(A146="","",INDEX(Model!$R$5:$R$504,MATCH(ROWS($A$5:A146),Model!$AD$5:$AD$504,0)))</f>
        <v/>
      </c>
      <c r="L146" s="20">
        <f>IF(A146="","",INDEX(Model!$S$5:$S$504,MATCH(ROWS($A$5:A146),Model!$AD$5:$AD$504,0)))</f>
        <v/>
      </c>
      <c r="M146" s="21">
        <f>IF(A146="","",INDEX(Model!$T$5:$T$504,MATCH(ROWS($A$5:A146),Model!$AD$5:$AD$504,0)))</f>
        <v/>
      </c>
      <c r="N146" s="18">
        <f>IF(A146="","",INDEX(Model!$U$5:$U$504,MATCH(ROWS($A$5:A146),Model!$AD$5:$AD$504,0)))</f>
        <v/>
      </c>
      <c r="O146" s="18">
        <f>IF(A146="","",INDEX(Model!$V$5:$V$504,MATCH(ROWS($A$5:A146),Model!$AD$5:$AD$504,0)))</f>
        <v/>
      </c>
      <c r="P146" s="18">
        <f>IF(A146="","",INDEX(Model!$W$5:$W$504,MATCH(ROWS($A$5:A146),Model!$AD$5:$AD$504,0)))</f>
        <v/>
      </c>
      <c r="Q146" s="18">
        <f>IF(A146="","",INDEX(Model!$X$5:$X$504,MATCH(ROWS($A$5:A146),Model!$AD$5:$AD$504,0)))</f>
        <v/>
      </c>
      <c r="R146" s="18">
        <f>IF(A146="","",INDEX(Model!$Y$5:$Y$504,MATCH(ROWS($A$5:A146),Model!$AD$5:$AD$504,0)))</f>
        <v/>
      </c>
      <c r="S146" s="21">
        <f>IF(A146="","",INDEX(Model!$Z$5:$Z$504,MATCH(ROWS($A$5:A146),Model!$AD$5:$AD$504,0)))</f>
        <v/>
      </c>
      <c r="T146" s="18">
        <f>IF(A146="","",INDEX(Model!$AA$5:$AA$504,MATCH(ROWS($A$5:A146),Model!$AD$5:$AD$504,0)))</f>
        <v/>
      </c>
      <c r="U146" s="13" t="n"/>
      <c r="V146" s="13" t="n"/>
      <c r="W146" s="13" t="n"/>
    </row>
    <row r="147">
      <c r="A147" s="18">
        <f>IFERROR(INDEX(Model!$B$5:$B$504,MATCH(ROWS($A$5:A147),Model!$AD$5:$AD$504,0)),"")</f>
        <v/>
      </c>
      <c r="B147" s="18">
        <f>IF(A147="","",INDEX(Model!$C$5:$C$504,MATCH(ROWS($A$5:A147),Model!$AD$5:$AD$504,0)))</f>
        <v/>
      </c>
      <c r="C147" s="18">
        <f>IF(A147="","",INDEX(Model!$D$5:$D$504,MATCH(ROWS($A$5:A147),Model!$AD$5:$AD$504,0)))</f>
        <v/>
      </c>
      <c r="D147" s="18">
        <f>IF(A147="","",INDEX(Model!$E$5:$E$504,MATCH(ROWS($A$5:A147),Model!$AD$5:$AD$504,0)))</f>
        <v/>
      </c>
      <c r="E147" s="19">
        <f>IF(A147="","",INDEX(Model!$F$5:$F$504,MATCH(ROWS($A$5:A147),Model!$AD$5:$AD$504,0)))</f>
        <v/>
      </c>
      <c r="F147" s="19">
        <f>IF(A147="","",INDEX(Model!$G$5:$G$504,MATCH(ROWS($A$5:A147),Model!$AD$5:$AD$504,0)))</f>
        <v/>
      </c>
      <c r="G147" s="18">
        <f>IF(A147="","",INDEX(Model!$H$5:$H$504,MATCH(ROWS($A$5:A147),Model!$AD$5:$AD$504,0)))</f>
        <v/>
      </c>
      <c r="H147" s="18">
        <f>IF(A147="","",INDEX(Model!$L$5:$L$504,MATCH(ROWS($A$5:A147),Model!$AD$5:$AD$504,0)))</f>
        <v/>
      </c>
      <c r="I147" s="20">
        <f>IF(A147="","",INDEX(Model!$P$5:$P$504,MATCH(ROWS($A$5:A147),Model!$AD$5:$AD$504,0)))</f>
        <v/>
      </c>
      <c r="J147" s="20">
        <f>IF(A147="","",INDEX(Model!$Q$5:$Q$504,MATCH(ROWS($A$5:A147),Model!$AD$5:$AD$504,0)))</f>
        <v/>
      </c>
      <c r="K147" s="21">
        <f>IF(A147="","",INDEX(Model!$R$5:$R$504,MATCH(ROWS($A$5:A147),Model!$AD$5:$AD$504,0)))</f>
        <v/>
      </c>
      <c r="L147" s="20">
        <f>IF(A147="","",INDEX(Model!$S$5:$S$504,MATCH(ROWS($A$5:A147),Model!$AD$5:$AD$504,0)))</f>
        <v/>
      </c>
      <c r="M147" s="21">
        <f>IF(A147="","",INDEX(Model!$T$5:$T$504,MATCH(ROWS($A$5:A147),Model!$AD$5:$AD$504,0)))</f>
        <v/>
      </c>
      <c r="N147" s="18">
        <f>IF(A147="","",INDEX(Model!$U$5:$U$504,MATCH(ROWS($A$5:A147),Model!$AD$5:$AD$504,0)))</f>
        <v/>
      </c>
      <c r="O147" s="18">
        <f>IF(A147="","",INDEX(Model!$V$5:$V$504,MATCH(ROWS($A$5:A147),Model!$AD$5:$AD$504,0)))</f>
        <v/>
      </c>
      <c r="P147" s="18">
        <f>IF(A147="","",INDEX(Model!$W$5:$W$504,MATCH(ROWS($A$5:A147),Model!$AD$5:$AD$504,0)))</f>
        <v/>
      </c>
      <c r="Q147" s="18">
        <f>IF(A147="","",INDEX(Model!$X$5:$X$504,MATCH(ROWS($A$5:A147),Model!$AD$5:$AD$504,0)))</f>
        <v/>
      </c>
      <c r="R147" s="18">
        <f>IF(A147="","",INDEX(Model!$Y$5:$Y$504,MATCH(ROWS($A$5:A147),Model!$AD$5:$AD$504,0)))</f>
        <v/>
      </c>
      <c r="S147" s="21">
        <f>IF(A147="","",INDEX(Model!$Z$5:$Z$504,MATCH(ROWS($A$5:A147),Model!$AD$5:$AD$504,0)))</f>
        <v/>
      </c>
      <c r="T147" s="18">
        <f>IF(A147="","",INDEX(Model!$AA$5:$AA$504,MATCH(ROWS($A$5:A147),Model!$AD$5:$AD$504,0)))</f>
        <v/>
      </c>
      <c r="U147" s="13" t="n"/>
      <c r="V147" s="13" t="n"/>
      <c r="W147" s="13" t="n"/>
    </row>
    <row r="148">
      <c r="A148" s="18">
        <f>IFERROR(INDEX(Model!$B$5:$B$504,MATCH(ROWS($A$5:A148),Model!$AD$5:$AD$504,0)),"")</f>
        <v/>
      </c>
      <c r="B148" s="18">
        <f>IF(A148="","",INDEX(Model!$C$5:$C$504,MATCH(ROWS($A$5:A148),Model!$AD$5:$AD$504,0)))</f>
        <v/>
      </c>
      <c r="C148" s="18">
        <f>IF(A148="","",INDEX(Model!$D$5:$D$504,MATCH(ROWS($A$5:A148),Model!$AD$5:$AD$504,0)))</f>
        <v/>
      </c>
      <c r="D148" s="18">
        <f>IF(A148="","",INDEX(Model!$E$5:$E$504,MATCH(ROWS($A$5:A148),Model!$AD$5:$AD$504,0)))</f>
        <v/>
      </c>
      <c r="E148" s="19">
        <f>IF(A148="","",INDEX(Model!$F$5:$F$504,MATCH(ROWS($A$5:A148),Model!$AD$5:$AD$504,0)))</f>
        <v/>
      </c>
      <c r="F148" s="19">
        <f>IF(A148="","",INDEX(Model!$G$5:$G$504,MATCH(ROWS($A$5:A148),Model!$AD$5:$AD$504,0)))</f>
        <v/>
      </c>
      <c r="G148" s="18">
        <f>IF(A148="","",INDEX(Model!$H$5:$H$504,MATCH(ROWS($A$5:A148),Model!$AD$5:$AD$504,0)))</f>
        <v/>
      </c>
      <c r="H148" s="18">
        <f>IF(A148="","",INDEX(Model!$L$5:$L$504,MATCH(ROWS($A$5:A148),Model!$AD$5:$AD$504,0)))</f>
        <v/>
      </c>
      <c r="I148" s="20">
        <f>IF(A148="","",INDEX(Model!$P$5:$P$504,MATCH(ROWS($A$5:A148),Model!$AD$5:$AD$504,0)))</f>
        <v/>
      </c>
      <c r="J148" s="20">
        <f>IF(A148="","",INDEX(Model!$Q$5:$Q$504,MATCH(ROWS($A$5:A148),Model!$AD$5:$AD$504,0)))</f>
        <v/>
      </c>
      <c r="K148" s="21">
        <f>IF(A148="","",INDEX(Model!$R$5:$R$504,MATCH(ROWS($A$5:A148),Model!$AD$5:$AD$504,0)))</f>
        <v/>
      </c>
      <c r="L148" s="20">
        <f>IF(A148="","",INDEX(Model!$S$5:$S$504,MATCH(ROWS($A$5:A148),Model!$AD$5:$AD$504,0)))</f>
        <v/>
      </c>
      <c r="M148" s="21">
        <f>IF(A148="","",INDEX(Model!$T$5:$T$504,MATCH(ROWS($A$5:A148),Model!$AD$5:$AD$504,0)))</f>
        <v/>
      </c>
      <c r="N148" s="18">
        <f>IF(A148="","",INDEX(Model!$U$5:$U$504,MATCH(ROWS($A$5:A148),Model!$AD$5:$AD$504,0)))</f>
        <v/>
      </c>
      <c r="O148" s="18">
        <f>IF(A148="","",INDEX(Model!$V$5:$V$504,MATCH(ROWS($A$5:A148),Model!$AD$5:$AD$504,0)))</f>
        <v/>
      </c>
      <c r="P148" s="18">
        <f>IF(A148="","",INDEX(Model!$W$5:$W$504,MATCH(ROWS($A$5:A148),Model!$AD$5:$AD$504,0)))</f>
        <v/>
      </c>
      <c r="Q148" s="18">
        <f>IF(A148="","",INDEX(Model!$X$5:$X$504,MATCH(ROWS($A$5:A148),Model!$AD$5:$AD$504,0)))</f>
        <v/>
      </c>
      <c r="R148" s="18">
        <f>IF(A148="","",INDEX(Model!$Y$5:$Y$504,MATCH(ROWS($A$5:A148),Model!$AD$5:$AD$504,0)))</f>
        <v/>
      </c>
      <c r="S148" s="21">
        <f>IF(A148="","",INDEX(Model!$Z$5:$Z$504,MATCH(ROWS($A$5:A148),Model!$AD$5:$AD$504,0)))</f>
        <v/>
      </c>
      <c r="T148" s="18">
        <f>IF(A148="","",INDEX(Model!$AA$5:$AA$504,MATCH(ROWS($A$5:A148),Model!$AD$5:$AD$504,0)))</f>
        <v/>
      </c>
      <c r="U148" s="13" t="n"/>
      <c r="V148" s="13" t="n"/>
      <c r="W148" s="13" t="n"/>
    </row>
    <row r="149">
      <c r="A149" s="18">
        <f>IFERROR(INDEX(Model!$B$5:$B$504,MATCH(ROWS($A$5:A149),Model!$AD$5:$AD$504,0)),"")</f>
        <v/>
      </c>
      <c r="B149" s="18">
        <f>IF(A149="","",INDEX(Model!$C$5:$C$504,MATCH(ROWS($A$5:A149),Model!$AD$5:$AD$504,0)))</f>
        <v/>
      </c>
      <c r="C149" s="18">
        <f>IF(A149="","",INDEX(Model!$D$5:$D$504,MATCH(ROWS($A$5:A149),Model!$AD$5:$AD$504,0)))</f>
        <v/>
      </c>
      <c r="D149" s="18">
        <f>IF(A149="","",INDEX(Model!$E$5:$E$504,MATCH(ROWS($A$5:A149),Model!$AD$5:$AD$504,0)))</f>
        <v/>
      </c>
      <c r="E149" s="19">
        <f>IF(A149="","",INDEX(Model!$F$5:$F$504,MATCH(ROWS($A$5:A149),Model!$AD$5:$AD$504,0)))</f>
        <v/>
      </c>
      <c r="F149" s="19">
        <f>IF(A149="","",INDEX(Model!$G$5:$G$504,MATCH(ROWS($A$5:A149),Model!$AD$5:$AD$504,0)))</f>
        <v/>
      </c>
      <c r="G149" s="18">
        <f>IF(A149="","",INDEX(Model!$H$5:$H$504,MATCH(ROWS($A$5:A149),Model!$AD$5:$AD$504,0)))</f>
        <v/>
      </c>
      <c r="H149" s="18">
        <f>IF(A149="","",INDEX(Model!$L$5:$L$504,MATCH(ROWS($A$5:A149),Model!$AD$5:$AD$504,0)))</f>
        <v/>
      </c>
      <c r="I149" s="20">
        <f>IF(A149="","",INDEX(Model!$P$5:$P$504,MATCH(ROWS($A$5:A149),Model!$AD$5:$AD$504,0)))</f>
        <v/>
      </c>
      <c r="J149" s="20">
        <f>IF(A149="","",INDEX(Model!$Q$5:$Q$504,MATCH(ROWS($A$5:A149),Model!$AD$5:$AD$504,0)))</f>
        <v/>
      </c>
      <c r="K149" s="21">
        <f>IF(A149="","",INDEX(Model!$R$5:$R$504,MATCH(ROWS($A$5:A149),Model!$AD$5:$AD$504,0)))</f>
        <v/>
      </c>
      <c r="L149" s="20">
        <f>IF(A149="","",INDEX(Model!$S$5:$S$504,MATCH(ROWS($A$5:A149),Model!$AD$5:$AD$504,0)))</f>
        <v/>
      </c>
      <c r="M149" s="21">
        <f>IF(A149="","",INDEX(Model!$T$5:$T$504,MATCH(ROWS($A$5:A149),Model!$AD$5:$AD$504,0)))</f>
        <v/>
      </c>
      <c r="N149" s="18">
        <f>IF(A149="","",INDEX(Model!$U$5:$U$504,MATCH(ROWS($A$5:A149),Model!$AD$5:$AD$504,0)))</f>
        <v/>
      </c>
      <c r="O149" s="18">
        <f>IF(A149="","",INDEX(Model!$V$5:$V$504,MATCH(ROWS($A$5:A149),Model!$AD$5:$AD$504,0)))</f>
        <v/>
      </c>
      <c r="P149" s="18">
        <f>IF(A149="","",INDEX(Model!$W$5:$W$504,MATCH(ROWS($A$5:A149),Model!$AD$5:$AD$504,0)))</f>
        <v/>
      </c>
      <c r="Q149" s="18">
        <f>IF(A149="","",INDEX(Model!$X$5:$X$504,MATCH(ROWS($A$5:A149),Model!$AD$5:$AD$504,0)))</f>
        <v/>
      </c>
      <c r="R149" s="18">
        <f>IF(A149="","",INDEX(Model!$Y$5:$Y$504,MATCH(ROWS($A$5:A149),Model!$AD$5:$AD$504,0)))</f>
        <v/>
      </c>
      <c r="S149" s="21">
        <f>IF(A149="","",INDEX(Model!$Z$5:$Z$504,MATCH(ROWS($A$5:A149),Model!$AD$5:$AD$504,0)))</f>
        <v/>
      </c>
      <c r="T149" s="18">
        <f>IF(A149="","",INDEX(Model!$AA$5:$AA$504,MATCH(ROWS($A$5:A149),Model!$AD$5:$AD$504,0)))</f>
        <v/>
      </c>
      <c r="U149" s="13" t="n"/>
      <c r="V149" s="13" t="n"/>
      <c r="W149" s="13" t="n"/>
    </row>
    <row r="150">
      <c r="A150" s="18">
        <f>IFERROR(INDEX(Model!$B$5:$B$504,MATCH(ROWS($A$5:A150),Model!$AD$5:$AD$504,0)),"")</f>
        <v/>
      </c>
      <c r="B150" s="18">
        <f>IF(A150="","",INDEX(Model!$C$5:$C$504,MATCH(ROWS($A$5:A150),Model!$AD$5:$AD$504,0)))</f>
        <v/>
      </c>
      <c r="C150" s="18">
        <f>IF(A150="","",INDEX(Model!$D$5:$D$504,MATCH(ROWS($A$5:A150),Model!$AD$5:$AD$504,0)))</f>
        <v/>
      </c>
      <c r="D150" s="18">
        <f>IF(A150="","",INDEX(Model!$E$5:$E$504,MATCH(ROWS($A$5:A150),Model!$AD$5:$AD$504,0)))</f>
        <v/>
      </c>
      <c r="E150" s="19">
        <f>IF(A150="","",INDEX(Model!$F$5:$F$504,MATCH(ROWS($A$5:A150),Model!$AD$5:$AD$504,0)))</f>
        <v/>
      </c>
      <c r="F150" s="19">
        <f>IF(A150="","",INDEX(Model!$G$5:$G$504,MATCH(ROWS($A$5:A150),Model!$AD$5:$AD$504,0)))</f>
        <v/>
      </c>
      <c r="G150" s="18">
        <f>IF(A150="","",INDEX(Model!$H$5:$H$504,MATCH(ROWS($A$5:A150),Model!$AD$5:$AD$504,0)))</f>
        <v/>
      </c>
      <c r="H150" s="18">
        <f>IF(A150="","",INDEX(Model!$L$5:$L$504,MATCH(ROWS($A$5:A150),Model!$AD$5:$AD$504,0)))</f>
        <v/>
      </c>
      <c r="I150" s="20">
        <f>IF(A150="","",INDEX(Model!$P$5:$P$504,MATCH(ROWS($A$5:A150),Model!$AD$5:$AD$504,0)))</f>
        <v/>
      </c>
      <c r="J150" s="20">
        <f>IF(A150="","",INDEX(Model!$Q$5:$Q$504,MATCH(ROWS($A$5:A150),Model!$AD$5:$AD$504,0)))</f>
        <v/>
      </c>
      <c r="K150" s="21">
        <f>IF(A150="","",INDEX(Model!$R$5:$R$504,MATCH(ROWS($A$5:A150),Model!$AD$5:$AD$504,0)))</f>
        <v/>
      </c>
      <c r="L150" s="20">
        <f>IF(A150="","",INDEX(Model!$S$5:$S$504,MATCH(ROWS($A$5:A150),Model!$AD$5:$AD$504,0)))</f>
        <v/>
      </c>
      <c r="M150" s="21">
        <f>IF(A150="","",INDEX(Model!$T$5:$T$504,MATCH(ROWS($A$5:A150),Model!$AD$5:$AD$504,0)))</f>
        <v/>
      </c>
      <c r="N150" s="18">
        <f>IF(A150="","",INDEX(Model!$U$5:$U$504,MATCH(ROWS($A$5:A150),Model!$AD$5:$AD$504,0)))</f>
        <v/>
      </c>
      <c r="O150" s="18">
        <f>IF(A150="","",INDEX(Model!$V$5:$V$504,MATCH(ROWS($A$5:A150),Model!$AD$5:$AD$504,0)))</f>
        <v/>
      </c>
      <c r="P150" s="18">
        <f>IF(A150="","",INDEX(Model!$W$5:$W$504,MATCH(ROWS($A$5:A150),Model!$AD$5:$AD$504,0)))</f>
        <v/>
      </c>
      <c r="Q150" s="18">
        <f>IF(A150="","",INDEX(Model!$X$5:$X$504,MATCH(ROWS($A$5:A150),Model!$AD$5:$AD$504,0)))</f>
        <v/>
      </c>
      <c r="R150" s="18">
        <f>IF(A150="","",INDEX(Model!$Y$5:$Y$504,MATCH(ROWS($A$5:A150),Model!$AD$5:$AD$504,0)))</f>
        <v/>
      </c>
      <c r="S150" s="21">
        <f>IF(A150="","",INDEX(Model!$Z$5:$Z$504,MATCH(ROWS($A$5:A150),Model!$AD$5:$AD$504,0)))</f>
        <v/>
      </c>
      <c r="T150" s="18">
        <f>IF(A150="","",INDEX(Model!$AA$5:$AA$504,MATCH(ROWS($A$5:A150),Model!$AD$5:$AD$504,0)))</f>
        <v/>
      </c>
      <c r="U150" s="13" t="n"/>
      <c r="V150" s="13" t="n"/>
      <c r="W150" s="13" t="n"/>
    </row>
    <row r="151">
      <c r="A151" s="18">
        <f>IFERROR(INDEX(Model!$B$5:$B$504,MATCH(ROWS($A$5:A151),Model!$AD$5:$AD$504,0)),"")</f>
        <v/>
      </c>
      <c r="B151" s="18">
        <f>IF(A151="","",INDEX(Model!$C$5:$C$504,MATCH(ROWS($A$5:A151),Model!$AD$5:$AD$504,0)))</f>
        <v/>
      </c>
      <c r="C151" s="18">
        <f>IF(A151="","",INDEX(Model!$D$5:$D$504,MATCH(ROWS($A$5:A151),Model!$AD$5:$AD$504,0)))</f>
        <v/>
      </c>
      <c r="D151" s="18">
        <f>IF(A151="","",INDEX(Model!$E$5:$E$504,MATCH(ROWS($A$5:A151),Model!$AD$5:$AD$504,0)))</f>
        <v/>
      </c>
      <c r="E151" s="19">
        <f>IF(A151="","",INDEX(Model!$F$5:$F$504,MATCH(ROWS($A$5:A151),Model!$AD$5:$AD$504,0)))</f>
        <v/>
      </c>
      <c r="F151" s="19">
        <f>IF(A151="","",INDEX(Model!$G$5:$G$504,MATCH(ROWS($A$5:A151),Model!$AD$5:$AD$504,0)))</f>
        <v/>
      </c>
      <c r="G151" s="18">
        <f>IF(A151="","",INDEX(Model!$H$5:$H$504,MATCH(ROWS($A$5:A151),Model!$AD$5:$AD$504,0)))</f>
        <v/>
      </c>
      <c r="H151" s="18">
        <f>IF(A151="","",INDEX(Model!$L$5:$L$504,MATCH(ROWS($A$5:A151),Model!$AD$5:$AD$504,0)))</f>
        <v/>
      </c>
      <c r="I151" s="20">
        <f>IF(A151="","",INDEX(Model!$P$5:$P$504,MATCH(ROWS($A$5:A151),Model!$AD$5:$AD$504,0)))</f>
        <v/>
      </c>
      <c r="J151" s="20">
        <f>IF(A151="","",INDEX(Model!$Q$5:$Q$504,MATCH(ROWS($A$5:A151),Model!$AD$5:$AD$504,0)))</f>
        <v/>
      </c>
      <c r="K151" s="21">
        <f>IF(A151="","",INDEX(Model!$R$5:$R$504,MATCH(ROWS($A$5:A151),Model!$AD$5:$AD$504,0)))</f>
        <v/>
      </c>
      <c r="L151" s="20">
        <f>IF(A151="","",INDEX(Model!$S$5:$S$504,MATCH(ROWS($A$5:A151),Model!$AD$5:$AD$504,0)))</f>
        <v/>
      </c>
      <c r="M151" s="21">
        <f>IF(A151="","",INDEX(Model!$T$5:$T$504,MATCH(ROWS($A$5:A151),Model!$AD$5:$AD$504,0)))</f>
        <v/>
      </c>
      <c r="N151" s="18">
        <f>IF(A151="","",INDEX(Model!$U$5:$U$504,MATCH(ROWS($A$5:A151),Model!$AD$5:$AD$504,0)))</f>
        <v/>
      </c>
      <c r="O151" s="18">
        <f>IF(A151="","",INDEX(Model!$V$5:$V$504,MATCH(ROWS($A$5:A151),Model!$AD$5:$AD$504,0)))</f>
        <v/>
      </c>
      <c r="P151" s="18">
        <f>IF(A151="","",INDEX(Model!$W$5:$W$504,MATCH(ROWS($A$5:A151),Model!$AD$5:$AD$504,0)))</f>
        <v/>
      </c>
      <c r="Q151" s="18">
        <f>IF(A151="","",INDEX(Model!$X$5:$X$504,MATCH(ROWS($A$5:A151),Model!$AD$5:$AD$504,0)))</f>
        <v/>
      </c>
      <c r="R151" s="18">
        <f>IF(A151="","",INDEX(Model!$Y$5:$Y$504,MATCH(ROWS($A$5:A151),Model!$AD$5:$AD$504,0)))</f>
        <v/>
      </c>
      <c r="S151" s="21">
        <f>IF(A151="","",INDEX(Model!$Z$5:$Z$504,MATCH(ROWS($A$5:A151),Model!$AD$5:$AD$504,0)))</f>
        <v/>
      </c>
      <c r="T151" s="18">
        <f>IF(A151="","",INDEX(Model!$AA$5:$AA$504,MATCH(ROWS($A$5:A151),Model!$AD$5:$AD$504,0)))</f>
        <v/>
      </c>
      <c r="U151" s="13" t="n"/>
      <c r="V151" s="13" t="n"/>
      <c r="W151" s="13" t="n"/>
    </row>
    <row r="152">
      <c r="A152" s="18">
        <f>IFERROR(INDEX(Model!$B$5:$B$504,MATCH(ROWS($A$5:A152),Model!$AD$5:$AD$504,0)),"")</f>
        <v/>
      </c>
      <c r="B152" s="18">
        <f>IF(A152="","",INDEX(Model!$C$5:$C$504,MATCH(ROWS($A$5:A152),Model!$AD$5:$AD$504,0)))</f>
        <v/>
      </c>
      <c r="C152" s="18">
        <f>IF(A152="","",INDEX(Model!$D$5:$D$504,MATCH(ROWS($A$5:A152),Model!$AD$5:$AD$504,0)))</f>
        <v/>
      </c>
      <c r="D152" s="18">
        <f>IF(A152="","",INDEX(Model!$E$5:$E$504,MATCH(ROWS($A$5:A152),Model!$AD$5:$AD$504,0)))</f>
        <v/>
      </c>
      <c r="E152" s="19">
        <f>IF(A152="","",INDEX(Model!$F$5:$F$504,MATCH(ROWS($A$5:A152),Model!$AD$5:$AD$504,0)))</f>
        <v/>
      </c>
      <c r="F152" s="19">
        <f>IF(A152="","",INDEX(Model!$G$5:$G$504,MATCH(ROWS($A$5:A152),Model!$AD$5:$AD$504,0)))</f>
        <v/>
      </c>
      <c r="G152" s="18">
        <f>IF(A152="","",INDEX(Model!$H$5:$H$504,MATCH(ROWS($A$5:A152),Model!$AD$5:$AD$504,0)))</f>
        <v/>
      </c>
      <c r="H152" s="18">
        <f>IF(A152="","",INDEX(Model!$L$5:$L$504,MATCH(ROWS($A$5:A152),Model!$AD$5:$AD$504,0)))</f>
        <v/>
      </c>
      <c r="I152" s="20">
        <f>IF(A152="","",INDEX(Model!$P$5:$P$504,MATCH(ROWS($A$5:A152),Model!$AD$5:$AD$504,0)))</f>
        <v/>
      </c>
      <c r="J152" s="20">
        <f>IF(A152="","",INDEX(Model!$Q$5:$Q$504,MATCH(ROWS($A$5:A152),Model!$AD$5:$AD$504,0)))</f>
        <v/>
      </c>
      <c r="K152" s="21">
        <f>IF(A152="","",INDEX(Model!$R$5:$R$504,MATCH(ROWS($A$5:A152),Model!$AD$5:$AD$504,0)))</f>
        <v/>
      </c>
      <c r="L152" s="20">
        <f>IF(A152="","",INDEX(Model!$S$5:$S$504,MATCH(ROWS($A$5:A152),Model!$AD$5:$AD$504,0)))</f>
        <v/>
      </c>
      <c r="M152" s="21">
        <f>IF(A152="","",INDEX(Model!$T$5:$T$504,MATCH(ROWS($A$5:A152),Model!$AD$5:$AD$504,0)))</f>
        <v/>
      </c>
      <c r="N152" s="18">
        <f>IF(A152="","",INDEX(Model!$U$5:$U$504,MATCH(ROWS($A$5:A152),Model!$AD$5:$AD$504,0)))</f>
        <v/>
      </c>
      <c r="O152" s="18">
        <f>IF(A152="","",INDEX(Model!$V$5:$V$504,MATCH(ROWS($A$5:A152),Model!$AD$5:$AD$504,0)))</f>
        <v/>
      </c>
      <c r="P152" s="18">
        <f>IF(A152="","",INDEX(Model!$W$5:$W$504,MATCH(ROWS($A$5:A152),Model!$AD$5:$AD$504,0)))</f>
        <v/>
      </c>
      <c r="Q152" s="18">
        <f>IF(A152="","",INDEX(Model!$X$5:$X$504,MATCH(ROWS($A$5:A152),Model!$AD$5:$AD$504,0)))</f>
        <v/>
      </c>
      <c r="R152" s="18">
        <f>IF(A152="","",INDEX(Model!$Y$5:$Y$504,MATCH(ROWS($A$5:A152),Model!$AD$5:$AD$504,0)))</f>
        <v/>
      </c>
      <c r="S152" s="21">
        <f>IF(A152="","",INDEX(Model!$Z$5:$Z$504,MATCH(ROWS($A$5:A152),Model!$AD$5:$AD$504,0)))</f>
        <v/>
      </c>
      <c r="T152" s="18">
        <f>IF(A152="","",INDEX(Model!$AA$5:$AA$504,MATCH(ROWS($A$5:A152),Model!$AD$5:$AD$504,0)))</f>
        <v/>
      </c>
      <c r="U152" s="13" t="n"/>
      <c r="V152" s="13" t="n"/>
      <c r="W152" s="13" t="n"/>
    </row>
    <row r="153">
      <c r="A153" s="18">
        <f>IFERROR(INDEX(Model!$B$5:$B$504,MATCH(ROWS($A$5:A153),Model!$AD$5:$AD$504,0)),"")</f>
        <v/>
      </c>
      <c r="B153" s="18">
        <f>IF(A153="","",INDEX(Model!$C$5:$C$504,MATCH(ROWS($A$5:A153),Model!$AD$5:$AD$504,0)))</f>
        <v/>
      </c>
      <c r="C153" s="18">
        <f>IF(A153="","",INDEX(Model!$D$5:$D$504,MATCH(ROWS($A$5:A153),Model!$AD$5:$AD$504,0)))</f>
        <v/>
      </c>
      <c r="D153" s="18">
        <f>IF(A153="","",INDEX(Model!$E$5:$E$504,MATCH(ROWS($A$5:A153),Model!$AD$5:$AD$504,0)))</f>
        <v/>
      </c>
      <c r="E153" s="19">
        <f>IF(A153="","",INDEX(Model!$F$5:$F$504,MATCH(ROWS($A$5:A153),Model!$AD$5:$AD$504,0)))</f>
        <v/>
      </c>
      <c r="F153" s="19">
        <f>IF(A153="","",INDEX(Model!$G$5:$G$504,MATCH(ROWS($A$5:A153),Model!$AD$5:$AD$504,0)))</f>
        <v/>
      </c>
      <c r="G153" s="18">
        <f>IF(A153="","",INDEX(Model!$H$5:$H$504,MATCH(ROWS($A$5:A153),Model!$AD$5:$AD$504,0)))</f>
        <v/>
      </c>
      <c r="H153" s="18">
        <f>IF(A153="","",INDEX(Model!$L$5:$L$504,MATCH(ROWS($A$5:A153),Model!$AD$5:$AD$504,0)))</f>
        <v/>
      </c>
      <c r="I153" s="20">
        <f>IF(A153="","",INDEX(Model!$P$5:$P$504,MATCH(ROWS($A$5:A153),Model!$AD$5:$AD$504,0)))</f>
        <v/>
      </c>
      <c r="J153" s="20">
        <f>IF(A153="","",INDEX(Model!$Q$5:$Q$504,MATCH(ROWS($A$5:A153),Model!$AD$5:$AD$504,0)))</f>
        <v/>
      </c>
      <c r="K153" s="21">
        <f>IF(A153="","",INDEX(Model!$R$5:$R$504,MATCH(ROWS($A$5:A153),Model!$AD$5:$AD$504,0)))</f>
        <v/>
      </c>
      <c r="L153" s="20">
        <f>IF(A153="","",INDEX(Model!$S$5:$S$504,MATCH(ROWS($A$5:A153),Model!$AD$5:$AD$504,0)))</f>
        <v/>
      </c>
      <c r="M153" s="21">
        <f>IF(A153="","",INDEX(Model!$T$5:$T$504,MATCH(ROWS($A$5:A153),Model!$AD$5:$AD$504,0)))</f>
        <v/>
      </c>
      <c r="N153" s="18">
        <f>IF(A153="","",INDEX(Model!$U$5:$U$504,MATCH(ROWS($A$5:A153),Model!$AD$5:$AD$504,0)))</f>
        <v/>
      </c>
      <c r="O153" s="18">
        <f>IF(A153="","",INDEX(Model!$V$5:$V$504,MATCH(ROWS($A$5:A153),Model!$AD$5:$AD$504,0)))</f>
        <v/>
      </c>
      <c r="P153" s="18">
        <f>IF(A153="","",INDEX(Model!$W$5:$W$504,MATCH(ROWS($A$5:A153),Model!$AD$5:$AD$504,0)))</f>
        <v/>
      </c>
      <c r="Q153" s="18">
        <f>IF(A153="","",INDEX(Model!$X$5:$X$504,MATCH(ROWS($A$5:A153),Model!$AD$5:$AD$504,0)))</f>
        <v/>
      </c>
      <c r="R153" s="18">
        <f>IF(A153="","",INDEX(Model!$Y$5:$Y$504,MATCH(ROWS($A$5:A153),Model!$AD$5:$AD$504,0)))</f>
        <v/>
      </c>
      <c r="S153" s="21">
        <f>IF(A153="","",INDEX(Model!$Z$5:$Z$504,MATCH(ROWS($A$5:A153),Model!$AD$5:$AD$504,0)))</f>
        <v/>
      </c>
      <c r="T153" s="18">
        <f>IF(A153="","",INDEX(Model!$AA$5:$AA$504,MATCH(ROWS($A$5:A153),Model!$AD$5:$AD$504,0)))</f>
        <v/>
      </c>
      <c r="U153" s="13" t="n"/>
      <c r="V153" s="13" t="n"/>
      <c r="W153" s="13" t="n"/>
    </row>
    <row r="154">
      <c r="A154" s="18">
        <f>IFERROR(INDEX(Model!$B$5:$B$504,MATCH(ROWS($A$5:A154),Model!$AD$5:$AD$504,0)),"")</f>
        <v/>
      </c>
      <c r="B154" s="18">
        <f>IF(A154="","",INDEX(Model!$C$5:$C$504,MATCH(ROWS($A$5:A154),Model!$AD$5:$AD$504,0)))</f>
        <v/>
      </c>
      <c r="C154" s="18">
        <f>IF(A154="","",INDEX(Model!$D$5:$D$504,MATCH(ROWS($A$5:A154),Model!$AD$5:$AD$504,0)))</f>
        <v/>
      </c>
      <c r="D154" s="18">
        <f>IF(A154="","",INDEX(Model!$E$5:$E$504,MATCH(ROWS($A$5:A154),Model!$AD$5:$AD$504,0)))</f>
        <v/>
      </c>
      <c r="E154" s="19">
        <f>IF(A154="","",INDEX(Model!$F$5:$F$504,MATCH(ROWS($A$5:A154),Model!$AD$5:$AD$504,0)))</f>
        <v/>
      </c>
      <c r="F154" s="19">
        <f>IF(A154="","",INDEX(Model!$G$5:$G$504,MATCH(ROWS($A$5:A154),Model!$AD$5:$AD$504,0)))</f>
        <v/>
      </c>
      <c r="G154" s="18">
        <f>IF(A154="","",INDEX(Model!$H$5:$H$504,MATCH(ROWS($A$5:A154),Model!$AD$5:$AD$504,0)))</f>
        <v/>
      </c>
      <c r="H154" s="18">
        <f>IF(A154="","",INDEX(Model!$L$5:$L$504,MATCH(ROWS($A$5:A154),Model!$AD$5:$AD$504,0)))</f>
        <v/>
      </c>
      <c r="I154" s="20">
        <f>IF(A154="","",INDEX(Model!$P$5:$P$504,MATCH(ROWS($A$5:A154),Model!$AD$5:$AD$504,0)))</f>
        <v/>
      </c>
      <c r="J154" s="20">
        <f>IF(A154="","",INDEX(Model!$Q$5:$Q$504,MATCH(ROWS($A$5:A154),Model!$AD$5:$AD$504,0)))</f>
        <v/>
      </c>
      <c r="K154" s="21">
        <f>IF(A154="","",INDEX(Model!$R$5:$R$504,MATCH(ROWS($A$5:A154),Model!$AD$5:$AD$504,0)))</f>
        <v/>
      </c>
      <c r="L154" s="20">
        <f>IF(A154="","",INDEX(Model!$S$5:$S$504,MATCH(ROWS($A$5:A154),Model!$AD$5:$AD$504,0)))</f>
        <v/>
      </c>
      <c r="M154" s="21">
        <f>IF(A154="","",INDEX(Model!$T$5:$T$504,MATCH(ROWS($A$5:A154),Model!$AD$5:$AD$504,0)))</f>
        <v/>
      </c>
      <c r="N154" s="18">
        <f>IF(A154="","",INDEX(Model!$U$5:$U$504,MATCH(ROWS($A$5:A154),Model!$AD$5:$AD$504,0)))</f>
        <v/>
      </c>
      <c r="O154" s="18">
        <f>IF(A154="","",INDEX(Model!$V$5:$V$504,MATCH(ROWS($A$5:A154),Model!$AD$5:$AD$504,0)))</f>
        <v/>
      </c>
      <c r="P154" s="18">
        <f>IF(A154="","",INDEX(Model!$W$5:$W$504,MATCH(ROWS($A$5:A154),Model!$AD$5:$AD$504,0)))</f>
        <v/>
      </c>
      <c r="Q154" s="18">
        <f>IF(A154="","",INDEX(Model!$X$5:$X$504,MATCH(ROWS($A$5:A154),Model!$AD$5:$AD$504,0)))</f>
        <v/>
      </c>
      <c r="R154" s="18">
        <f>IF(A154="","",INDEX(Model!$Y$5:$Y$504,MATCH(ROWS($A$5:A154),Model!$AD$5:$AD$504,0)))</f>
        <v/>
      </c>
      <c r="S154" s="21">
        <f>IF(A154="","",INDEX(Model!$Z$5:$Z$504,MATCH(ROWS($A$5:A154),Model!$AD$5:$AD$504,0)))</f>
        <v/>
      </c>
      <c r="T154" s="18">
        <f>IF(A154="","",INDEX(Model!$AA$5:$AA$504,MATCH(ROWS($A$5:A154),Model!$AD$5:$AD$504,0)))</f>
        <v/>
      </c>
      <c r="U154" s="13" t="n"/>
      <c r="V154" s="13" t="n"/>
      <c r="W154" s="13" t="n"/>
    </row>
    <row r="155">
      <c r="A155" s="18">
        <f>IFERROR(INDEX(Model!$B$5:$B$504,MATCH(ROWS($A$5:A155),Model!$AD$5:$AD$504,0)),"")</f>
        <v/>
      </c>
      <c r="B155" s="18">
        <f>IF(A155="","",INDEX(Model!$C$5:$C$504,MATCH(ROWS($A$5:A155),Model!$AD$5:$AD$504,0)))</f>
        <v/>
      </c>
      <c r="C155" s="18">
        <f>IF(A155="","",INDEX(Model!$D$5:$D$504,MATCH(ROWS($A$5:A155),Model!$AD$5:$AD$504,0)))</f>
        <v/>
      </c>
      <c r="D155" s="18">
        <f>IF(A155="","",INDEX(Model!$E$5:$E$504,MATCH(ROWS($A$5:A155),Model!$AD$5:$AD$504,0)))</f>
        <v/>
      </c>
      <c r="E155" s="19">
        <f>IF(A155="","",INDEX(Model!$F$5:$F$504,MATCH(ROWS($A$5:A155),Model!$AD$5:$AD$504,0)))</f>
        <v/>
      </c>
      <c r="F155" s="19">
        <f>IF(A155="","",INDEX(Model!$G$5:$G$504,MATCH(ROWS($A$5:A155),Model!$AD$5:$AD$504,0)))</f>
        <v/>
      </c>
      <c r="G155" s="18">
        <f>IF(A155="","",INDEX(Model!$H$5:$H$504,MATCH(ROWS($A$5:A155),Model!$AD$5:$AD$504,0)))</f>
        <v/>
      </c>
      <c r="H155" s="18">
        <f>IF(A155="","",INDEX(Model!$L$5:$L$504,MATCH(ROWS($A$5:A155),Model!$AD$5:$AD$504,0)))</f>
        <v/>
      </c>
      <c r="I155" s="20">
        <f>IF(A155="","",INDEX(Model!$P$5:$P$504,MATCH(ROWS($A$5:A155),Model!$AD$5:$AD$504,0)))</f>
        <v/>
      </c>
      <c r="J155" s="20">
        <f>IF(A155="","",INDEX(Model!$Q$5:$Q$504,MATCH(ROWS($A$5:A155),Model!$AD$5:$AD$504,0)))</f>
        <v/>
      </c>
      <c r="K155" s="21">
        <f>IF(A155="","",INDEX(Model!$R$5:$R$504,MATCH(ROWS($A$5:A155),Model!$AD$5:$AD$504,0)))</f>
        <v/>
      </c>
      <c r="L155" s="20">
        <f>IF(A155="","",INDEX(Model!$S$5:$S$504,MATCH(ROWS($A$5:A155),Model!$AD$5:$AD$504,0)))</f>
        <v/>
      </c>
      <c r="M155" s="21">
        <f>IF(A155="","",INDEX(Model!$T$5:$T$504,MATCH(ROWS($A$5:A155),Model!$AD$5:$AD$504,0)))</f>
        <v/>
      </c>
      <c r="N155" s="18">
        <f>IF(A155="","",INDEX(Model!$U$5:$U$504,MATCH(ROWS($A$5:A155),Model!$AD$5:$AD$504,0)))</f>
        <v/>
      </c>
      <c r="O155" s="18">
        <f>IF(A155="","",INDEX(Model!$V$5:$V$504,MATCH(ROWS($A$5:A155),Model!$AD$5:$AD$504,0)))</f>
        <v/>
      </c>
      <c r="P155" s="18">
        <f>IF(A155="","",INDEX(Model!$W$5:$W$504,MATCH(ROWS($A$5:A155),Model!$AD$5:$AD$504,0)))</f>
        <v/>
      </c>
      <c r="Q155" s="18">
        <f>IF(A155="","",INDEX(Model!$X$5:$X$504,MATCH(ROWS($A$5:A155),Model!$AD$5:$AD$504,0)))</f>
        <v/>
      </c>
      <c r="R155" s="18">
        <f>IF(A155="","",INDEX(Model!$Y$5:$Y$504,MATCH(ROWS($A$5:A155),Model!$AD$5:$AD$504,0)))</f>
        <v/>
      </c>
      <c r="S155" s="21">
        <f>IF(A155="","",INDEX(Model!$Z$5:$Z$504,MATCH(ROWS($A$5:A155),Model!$AD$5:$AD$504,0)))</f>
        <v/>
      </c>
      <c r="T155" s="18">
        <f>IF(A155="","",INDEX(Model!$AA$5:$AA$504,MATCH(ROWS($A$5:A155),Model!$AD$5:$AD$504,0)))</f>
        <v/>
      </c>
      <c r="U155" s="13" t="n"/>
      <c r="V155" s="13" t="n"/>
      <c r="W155" s="13" t="n"/>
    </row>
    <row r="156">
      <c r="A156" s="18">
        <f>IFERROR(INDEX(Model!$B$5:$B$504,MATCH(ROWS($A$5:A156),Model!$AD$5:$AD$504,0)),"")</f>
        <v/>
      </c>
      <c r="B156" s="18">
        <f>IF(A156="","",INDEX(Model!$C$5:$C$504,MATCH(ROWS($A$5:A156),Model!$AD$5:$AD$504,0)))</f>
        <v/>
      </c>
      <c r="C156" s="18">
        <f>IF(A156="","",INDEX(Model!$D$5:$D$504,MATCH(ROWS($A$5:A156),Model!$AD$5:$AD$504,0)))</f>
        <v/>
      </c>
      <c r="D156" s="18">
        <f>IF(A156="","",INDEX(Model!$E$5:$E$504,MATCH(ROWS($A$5:A156),Model!$AD$5:$AD$504,0)))</f>
        <v/>
      </c>
      <c r="E156" s="19">
        <f>IF(A156="","",INDEX(Model!$F$5:$F$504,MATCH(ROWS($A$5:A156),Model!$AD$5:$AD$504,0)))</f>
        <v/>
      </c>
      <c r="F156" s="19">
        <f>IF(A156="","",INDEX(Model!$G$5:$G$504,MATCH(ROWS($A$5:A156),Model!$AD$5:$AD$504,0)))</f>
        <v/>
      </c>
      <c r="G156" s="18">
        <f>IF(A156="","",INDEX(Model!$H$5:$H$504,MATCH(ROWS($A$5:A156),Model!$AD$5:$AD$504,0)))</f>
        <v/>
      </c>
      <c r="H156" s="18">
        <f>IF(A156="","",INDEX(Model!$L$5:$L$504,MATCH(ROWS($A$5:A156),Model!$AD$5:$AD$504,0)))</f>
        <v/>
      </c>
      <c r="I156" s="20">
        <f>IF(A156="","",INDEX(Model!$P$5:$P$504,MATCH(ROWS($A$5:A156),Model!$AD$5:$AD$504,0)))</f>
        <v/>
      </c>
      <c r="J156" s="20">
        <f>IF(A156="","",INDEX(Model!$Q$5:$Q$504,MATCH(ROWS($A$5:A156),Model!$AD$5:$AD$504,0)))</f>
        <v/>
      </c>
      <c r="K156" s="21">
        <f>IF(A156="","",INDEX(Model!$R$5:$R$504,MATCH(ROWS($A$5:A156),Model!$AD$5:$AD$504,0)))</f>
        <v/>
      </c>
      <c r="L156" s="20">
        <f>IF(A156="","",INDEX(Model!$S$5:$S$504,MATCH(ROWS($A$5:A156),Model!$AD$5:$AD$504,0)))</f>
        <v/>
      </c>
      <c r="M156" s="21">
        <f>IF(A156="","",INDEX(Model!$T$5:$T$504,MATCH(ROWS($A$5:A156),Model!$AD$5:$AD$504,0)))</f>
        <v/>
      </c>
      <c r="N156" s="18">
        <f>IF(A156="","",INDEX(Model!$U$5:$U$504,MATCH(ROWS($A$5:A156),Model!$AD$5:$AD$504,0)))</f>
        <v/>
      </c>
      <c r="O156" s="18">
        <f>IF(A156="","",INDEX(Model!$V$5:$V$504,MATCH(ROWS($A$5:A156),Model!$AD$5:$AD$504,0)))</f>
        <v/>
      </c>
      <c r="P156" s="18">
        <f>IF(A156="","",INDEX(Model!$W$5:$W$504,MATCH(ROWS($A$5:A156),Model!$AD$5:$AD$504,0)))</f>
        <v/>
      </c>
      <c r="Q156" s="18">
        <f>IF(A156="","",INDEX(Model!$X$5:$X$504,MATCH(ROWS($A$5:A156),Model!$AD$5:$AD$504,0)))</f>
        <v/>
      </c>
      <c r="R156" s="18">
        <f>IF(A156="","",INDEX(Model!$Y$5:$Y$504,MATCH(ROWS($A$5:A156),Model!$AD$5:$AD$504,0)))</f>
        <v/>
      </c>
      <c r="S156" s="21">
        <f>IF(A156="","",INDEX(Model!$Z$5:$Z$504,MATCH(ROWS($A$5:A156),Model!$AD$5:$AD$504,0)))</f>
        <v/>
      </c>
      <c r="T156" s="18">
        <f>IF(A156="","",INDEX(Model!$AA$5:$AA$504,MATCH(ROWS($A$5:A156),Model!$AD$5:$AD$504,0)))</f>
        <v/>
      </c>
      <c r="U156" s="13" t="n"/>
      <c r="V156" s="13" t="n"/>
      <c r="W156" s="13" t="n"/>
    </row>
    <row r="157">
      <c r="A157" s="18">
        <f>IFERROR(INDEX(Model!$B$5:$B$504,MATCH(ROWS($A$5:A157),Model!$AD$5:$AD$504,0)),"")</f>
        <v/>
      </c>
      <c r="B157" s="18">
        <f>IF(A157="","",INDEX(Model!$C$5:$C$504,MATCH(ROWS($A$5:A157),Model!$AD$5:$AD$504,0)))</f>
        <v/>
      </c>
      <c r="C157" s="18">
        <f>IF(A157="","",INDEX(Model!$D$5:$D$504,MATCH(ROWS($A$5:A157),Model!$AD$5:$AD$504,0)))</f>
        <v/>
      </c>
      <c r="D157" s="18">
        <f>IF(A157="","",INDEX(Model!$E$5:$E$504,MATCH(ROWS($A$5:A157),Model!$AD$5:$AD$504,0)))</f>
        <v/>
      </c>
      <c r="E157" s="19">
        <f>IF(A157="","",INDEX(Model!$F$5:$F$504,MATCH(ROWS($A$5:A157),Model!$AD$5:$AD$504,0)))</f>
        <v/>
      </c>
      <c r="F157" s="19">
        <f>IF(A157="","",INDEX(Model!$G$5:$G$504,MATCH(ROWS($A$5:A157),Model!$AD$5:$AD$504,0)))</f>
        <v/>
      </c>
      <c r="G157" s="18">
        <f>IF(A157="","",INDEX(Model!$H$5:$H$504,MATCH(ROWS($A$5:A157),Model!$AD$5:$AD$504,0)))</f>
        <v/>
      </c>
      <c r="H157" s="18">
        <f>IF(A157="","",INDEX(Model!$L$5:$L$504,MATCH(ROWS($A$5:A157),Model!$AD$5:$AD$504,0)))</f>
        <v/>
      </c>
      <c r="I157" s="20">
        <f>IF(A157="","",INDEX(Model!$P$5:$P$504,MATCH(ROWS($A$5:A157),Model!$AD$5:$AD$504,0)))</f>
        <v/>
      </c>
      <c r="J157" s="20">
        <f>IF(A157="","",INDEX(Model!$Q$5:$Q$504,MATCH(ROWS($A$5:A157),Model!$AD$5:$AD$504,0)))</f>
        <v/>
      </c>
      <c r="K157" s="21">
        <f>IF(A157="","",INDEX(Model!$R$5:$R$504,MATCH(ROWS($A$5:A157),Model!$AD$5:$AD$504,0)))</f>
        <v/>
      </c>
      <c r="L157" s="20">
        <f>IF(A157="","",INDEX(Model!$S$5:$S$504,MATCH(ROWS($A$5:A157),Model!$AD$5:$AD$504,0)))</f>
        <v/>
      </c>
      <c r="M157" s="21">
        <f>IF(A157="","",INDEX(Model!$T$5:$T$504,MATCH(ROWS($A$5:A157),Model!$AD$5:$AD$504,0)))</f>
        <v/>
      </c>
      <c r="N157" s="18">
        <f>IF(A157="","",INDEX(Model!$U$5:$U$504,MATCH(ROWS($A$5:A157),Model!$AD$5:$AD$504,0)))</f>
        <v/>
      </c>
      <c r="O157" s="18">
        <f>IF(A157="","",INDEX(Model!$V$5:$V$504,MATCH(ROWS($A$5:A157),Model!$AD$5:$AD$504,0)))</f>
        <v/>
      </c>
      <c r="P157" s="18">
        <f>IF(A157="","",INDEX(Model!$W$5:$W$504,MATCH(ROWS($A$5:A157),Model!$AD$5:$AD$504,0)))</f>
        <v/>
      </c>
      <c r="Q157" s="18">
        <f>IF(A157="","",INDEX(Model!$X$5:$X$504,MATCH(ROWS($A$5:A157),Model!$AD$5:$AD$504,0)))</f>
        <v/>
      </c>
      <c r="R157" s="18">
        <f>IF(A157="","",INDEX(Model!$Y$5:$Y$504,MATCH(ROWS($A$5:A157),Model!$AD$5:$AD$504,0)))</f>
        <v/>
      </c>
      <c r="S157" s="21">
        <f>IF(A157="","",INDEX(Model!$Z$5:$Z$504,MATCH(ROWS($A$5:A157),Model!$AD$5:$AD$504,0)))</f>
        <v/>
      </c>
      <c r="T157" s="18">
        <f>IF(A157="","",INDEX(Model!$AA$5:$AA$504,MATCH(ROWS($A$5:A157),Model!$AD$5:$AD$504,0)))</f>
        <v/>
      </c>
      <c r="U157" s="13" t="n"/>
      <c r="V157" s="13" t="n"/>
      <c r="W157" s="13" t="n"/>
    </row>
    <row r="158">
      <c r="A158" s="18">
        <f>IFERROR(INDEX(Model!$B$5:$B$504,MATCH(ROWS($A$5:A158),Model!$AD$5:$AD$504,0)),"")</f>
        <v/>
      </c>
      <c r="B158" s="18">
        <f>IF(A158="","",INDEX(Model!$C$5:$C$504,MATCH(ROWS($A$5:A158),Model!$AD$5:$AD$504,0)))</f>
        <v/>
      </c>
      <c r="C158" s="18">
        <f>IF(A158="","",INDEX(Model!$D$5:$D$504,MATCH(ROWS($A$5:A158),Model!$AD$5:$AD$504,0)))</f>
        <v/>
      </c>
      <c r="D158" s="18">
        <f>IF(A158="","",INDEX(Model!$E$5:$E$504,MATCH(ROWS($A$5:A158),Model!$AD$5:$AD$504,0)))</f>
        <v/>
      </c>
      <c r="E158" s="19">
        <f>IF(A158="","",INDEX(Model!$F$5:$F$504,MATCH(ROWS($A$5:A158),Model!$AD$5:$AD$504,0)))</f>
        <v/>
      </c>
      <c r="F158" s="19">
        <f>IF(A158="","",INDEX(Model!$G$5:$G$504,MATCH(ROWS($A$5:A158),Model!$AD$5:$AD$504,0)))</f>
        <v/>
      </c>
      <c r="G158" s="18">
        <f>IF(A158="","",INDEX(Model!$H$5:$H$504,MATCH(ROWS($A$5:A158),Model!$AD$5:$AD$504,0)))</f>
        <v/>
      </c>
      <c r="H158" s="18">
        <f>IF(A158="","",INDEX(Model!$L$5:$L$504,MATCH(ROWS($A$5:A158),Model!$AD$5:$AD$504,0)))</f>
        <v/>
      </c>
      <c r="I158" s="20">
        <f>IF(A158="","",INDEX(Model!$P$5:$P$504,MATCH(ROWS($A$5:A158),Model!$AD$5:$AD$504,0)))</f>
        <v/>
      </c>
      <c r="J158" s="20">
        <f>IF(A158="","",INDEX(Model!$Q$5:$Q$504,MATCH(ROWS($A$5:A158),Model!$AD$5:$AD$504,0)))</f>
        <v/>
      </c>
      <c r="K158" s="21">
        <f>IF(A158="","",INDEX(Model!$R$5:$R$504,MATCH(ROWS($A$5:A158),Model!$AD$5:$AD$504,0)))</f>
        <v/>
      </c>
      <c r="L158" s="20">
        <f>IF(A158="","",INDEX(Model!$S$5:$S$504,MATCH(ROWS($A$5:A158),Model!$AD$5:$AD$504,0)))</f>
        <v/>
      </c>
      <c r="M158" s="21">
        <f>IF(A158="","",INDEX(Model!$T$5:$T$504,MATCH(ROWS($A$5:A158),Model!$AD$5:$AD$504,0)))</f>
        <v/>
      </c>
      <c r="N158" s="18">
        <f>IF(A158="","",INDEX(Model!$U$5:$U$504,MATCH(ROWS($A$5:A158),Model!$AD$5:$AD$504,0)))</f>
        <v/>
      </c>
      <c r="O158" s="18">
        <f>IF(A158="","",INDEX(Model!$V$5:$V$504,MATCH(ROWS($A$5:A158),Model!$AD$5:$AD$504,0)))</f>
        <v/>
      </c>
      <c r="P158" s="18">
        <f>IF(A158="","",INDEX(Model!$W$5:$W$504,MATCH(ROWS($A$5:A158),Model!$AD$5:$AD$504,0)))</f>
        <v/>
      </c>
      <c r="Q158" s="18">
        <f>IF(A158="","",INDEX(Model!$X$5:$X$504,MATCH(ROWS($A$5:A158),Model!$AD$5:$AD$504,0)))</f>
        <v/>
      </c>
      <c r="R158" s="18">
        <f>IF(A158="","",INDEX(Model!$Y$5:$Y$504,MATCH(ROWS($A$5:A158),Model!$AD$5:$AD$504,0)))</f>
        <v/>
      </c>
      <c r="S158" s="21">
        <f>IF(A158="","",INDEX(Model!$Z$5:$Z$504,MATCH(ROWS($A$5:A158),Model!$AD$5:$AD$504,0)))</f>
        <v/>
      </c>
      <c r="T158" s="18">
        <f>IF(A158="","",INDEX(Model!$AA$5:$AA$504,MATCH(ROWS($A$5:A158),Model!$AD$5:$AD$504,0)))</f>
        <v/>
      </c>
      <c r="U158" s="13" t="n"/>
      <c r="V158" s="13" t="n"/>
      <c r="W158" s="13" t="n"/>
    </row>
    <row r="159">
      <c r="A159" s="18">
        <f>IFERROR(INDEX(Model!$B$5:$B$504,MATCH(ROWS($A$5:A159),Model!$AD$5:$AD$504,0)),"")</f>
        <v/>
      </c>
      <c r="B159" s="18">
        <f>IF(A159="","",INDEX(Model!$C$5:$C$504,MATCH(ROWS($A$5:A159),Model!$AD$5:$AD$504,0)))</f>
        <v/>
      </c>
      <c r="C159" s="18">
        <f>IF(A159="","",INDEX(Model!$D$5:$D$504,MATCH(ROWS($A$5:A159),Model!$AD$5:$AD$504,0)))</f>
        <v/>
      </c>
      <c r="D159" s="18">
        <f>IF(A159="","",INDEX(Model!$E$5:$E$504,MATCH(ROWS($A$5:A159),Model!$AD$5:$AD$504,0)))</f>
        <v/>
      </c>
      <c r="E159" s="19">
        <f>IF(A159="","",INDEX(Model!$F$5:$F$504,MATCH(ROWS($A$5:A159),Model!$AD$5:$AD$504,0)))</f>
        <v/>
      </c>
      <c r="F159" s="19">
        <f>IF(A159="","",INDEX(Model!$G$5:$G$504,MATCH(ROWS($A$5:A159),Model!$AD$5:$AD$504,0)))</f>
        <v/>
      </c>
      <c r="G159" s="18">
        <f>IF(A159="","",INDEX(Model!$H$5:$H$504,MATCH(ROWS($A$5:A159),Model!$AD$5:$AD$504,0)))</f>
        <v/>
      </c>
      <c r="H159" s="18">
        <f>IF(A159="","",INDEX(Model!$L$5:$L$504,MATCH(ROWS($A$5:A159),Model!$AD$5:$AD$504,0)))</f>
        <v/>
      </c>
      <c r="I159" s="20">
        <f>IF(A159="","",INDEX(Model!$P$5:$P$504,MATCH(ROWS($A$5:A159),Model!$AD$5:$AD$504,0)))</f>
        <v/>
      </c>
      <c r="J159" s="20">
        <f>IF(A159="","",INDEX(Model!$Q$5:$Q$504,MATCH(ROWS($A$5:A159),Model!$AD$5:$AD$504,0)))</f>
        <v/>
      </c>
      <c r="K159" s="21">
        <f>IF(A159="","",INDEX(Model!$R$5:$R$504,MATCH(ROWS($A$5:A159),Model!$AD$5:$AD$504,0)))</f>
        <v/>
      </c>
      <c r="L159" s="20">
        <f>IF(A159="","",INDEX(Model!$S$5:$S$504,MATCH(ROWS($A$5:A159),Model!$AD$5:$AD$504,0)))</f>
        <v/>
      </c>
      <c r="M159" s="21">
        <f>IF(A159="","",INDEX(Model!$T$5:$T$504,MATCH(ROWS($A$5:A159),Model!$AD$5:$AD$504,0)))</f>
        <v/>
      </c>
      <c r="N159" s="18">
        <f>IF(A159="","",INDEX(Model!$U$5:$U$504,MATCH(ROWS($A$5:A159),Model!$AD$5:$AD$504,0)))</f>
        <v/>
      </c>
      <c r="O159" s="18">
        <f>IF(A159="","",INDEX(Model!$V$5:$V$504,MATCH(ROWS($A$5:A159),Model!$AD$5:$AD$504,0)))</f>
        <v/>
      </c>
      <c r="P159" s="18">
        <f>IF(A159="","",INDEX(Model!$W$5:$W$504,MATCH(ROWS($A$5:A159),Model!$AD$5:$AD$504,0)))</f>
        <v/>
      </c>
      <c r="Q159" s="18">
        <f>IF(A159="","",INDEX(Model!$X$5:$X$504,MATCH(ROWS($A$5:A159),Model!$AD$5:$AD$504,0)))</f>
        <v/>
      </c>
      <c r="R159" s="18">
        <f>IF(A159="","",INDEX(Model!$Y$5:$Y$504,MATCH(ROWS($A$5:A159),Model!$AD$5:$AD$504,0)))</f>
        <v/>
      </c>
      <c r="S159" s="21">
        <f>IF(A159="","",INDEX(Model!$Z$5:$Z$504,MATCH(ROWS($A$5:A159),Model!$AD$5:$AD$504,0)))</f>
        <v/>
      </c>
      <c r="T159" s="18">
        <f>IF(A159="","",INDEX(Model!$AA$5:$AA$504,MATCH(ROWS($A$5:A159),Model!$AD$5:$AD$504,0)))</f>
        <v/>
      </c>
      <c r="U159" s="13" t="n"/>
      <c r="V159" s="13" t="n"/>
      <c r="W159" s="13" t="n"/>
    </row>
    <row r="160">
      <c r="A160" s="18">
        <f>IFERROR(INDEX(Model!$B$5:$B$504,MATCH(ROWS($A$5:A160),Model!$AD$5:$AD$504,0)),"")</f>
        <v/>
      </c>
      <c r="B160" s="18">
        <f>IF(A160="","",INDEX(Model!$C$5:$C$504,MATCH(ROWS($A$5:A160),Model!$AD$5:$AD$504,0)))</f>
        <v/>
      </c>
      <c r="C160" s="18">
        <f>IF(A160="","",INDEX(Model!$D$5:$D$504,MATCH(ROWS($A$5:A160),Model!$AD$5:$AD$504,0)))</f>
        <v/>
      </c>
      <c r="D160" s="18">
        <f>IF(A160="","",INDEX(Model!$E$5:$E$504,MATCH(ROWS($A$5:A160),Model!$AD$5:$AD$504,0)))</f>
        <v/>
      </c>
      <c r="E160" s="19">
        <f>IF(A160="","",INDEX(Model!$F$5:$F$504,MATCH(ROWS($A$5:A160),Model!$AD$5:$AD$504,0)))</f>
        <v/>
      </c>
      <c r="F160" s="19">
        <f>IF(A160="","",INDEX(Model!$G$5:$G$504,MATCH(ROWS($A$5:A160),Model!$AD$5:$AD$504,0)))</f>
        <v/>
      </c>
      <c r="G160" s="18">
        <f>IF(A160="","",INDEX(Model!$H$5:$H$504,MATCH(ROWS($A$5:A160),Model!$AD$5:$AD$504,0)))</f>
        <v/>
      </c>
      <c r="H160" s="18">
        <f>IF(A160="","",INDEX(Model!$L$5:$L$504,MATCH(ROWS($A$5:A160),Model!$AD$5:$AD$504,0)))</f>
        <v/>
      </c>
      <c r="I160" s="20">
        <f>IF(A160="","",INDEX(Model!$P$5:$P$504,MATCH(ROWS($A$5:A160),Model!$AD$5:$AD$504,0)))</f>
        <v/>
      </c>
      <c r="J160" s="20">
        <f>IF(A160="","",INDEX(Model!$Q$5:$Q$504,MATCH(ROWS($A$5:A160),Model!$AD$5:$AD$504,0)))</f>
        <v/>
      </c>
      <c r="K160" s="21">
        <f>IF(A160="","",INDEX(Model!$R$5:$R$504,MATCH(ROWS($A$5:A160),Model!$AD$5:$AD$504,0)))</f>
        <v/>
      </c>
      <c r="L160" s="20">
        <f>IF(A160="","",INDEX(Model!$S$5:$S$504,MATCH(ROWS($A$5:A160),Model!$AD$5:$AD$504,0)))</f>
        <v/>
      </c>
      <c r="M160" s="21">
        <f>IF(A160="","",INDEX(Model!$T$5:$T$504,MATCH(ROWS($A$5:A160),Model!$AD$5:$AD$504,0)))</f>
        <v/>
      </c>
      <c r="N160" s="18">
        <f>IF(A160="","",INDEX(Model!$U$5:$U$504,MATCH(ROWS($A$5:A160),Model!$AD$5:$AD$504,0)))</f>
        <v/>
      </c>
      <c r="O160" s="18">
        <f>IF(A160="","",INDEX(Model!$V$5:$V$504,MATCH(ROWS($A$5:A160),Model!$AD$5:$AD$504,0)))</f>
        <v/>
      </c>
      <c r="P160" s="18">
        <f>IF(A160="","",INDEX(Model!$W$5:$W$504,MATCH(ROWS($A$5:A160),Model!$AD$5:$AD$504,0)))</f>
        <v/>
      </c>
      <c r="Q160" s="18">
        <f>IF(A160="","",INDEX(Model!$X$5:$X$504,MATCH(ROWS($A$5:A160),Model!$AD$5:$AD$504,0)))</f>
        <v/>
      </c>
      <c r="R160" s="18">
        <f>IF(A160="","",INDEX(Model!$Y$5:$Y$504,MATCH(ROWS($A$5:A160),Model!$AD$5:$AD$504,0)))</f>
        <v/>
      </c>
      <c r="S160" s="21">
        <f>IF(A160="","",INDEX(Model!$Z$5:$Z$504,MATCH(ROWS($A$5:A160),Model!$AD$5:$AD$504,0)))</f>
        <v/>
      </c>
      <c r="T160" s="18">
        <f>IF(A160="","",INDEX(Model!$AA$5:$AA$504,MATCH(ROWS($A$5:A160),Model!$AD$5:$AD$504,0)))</f>
        <v/>
      </c>
      <c r="U160" s="13" t="n"/>
      <c r="V160" s="13" t="n"/>
      <c r="W160" s="13" t="n"/>
    </row>
    <row r="161">
      <c r="A161" s="18">
        <f>IFERROR(INDEX(Model!$B$5:$B$504,MATCH(ROWS($A$5:A161),Model!$AD$5:$AD$504,0)),"")</f>
        <v/>
      </c>
      <c r="B161" s="18">
        <f>IF(A161="","",INDEX(Model!$C$5:$C$504,MATCH(ROWS($A$5:A161),Model!$AD$5:$AD$504,0)))</f>
        <v/>
      </c>
      <c r="C161" s="18">
        <f>IF(A161="","",INDEX(Model!$D$5:$D$504,MATCH(ROWS($A$5:A161),Model!$AD$5:$AD$504,0)))</f>
        <v/>
      </c>
      <c r="D161" s="18">
        <f>IF(A161="","",INDEX(Model!$E$5:$E$504,MATCH(ROWS($A$5:A161),Model!$AD$5:$AD$504,0)))</f>
        <v/>
      </c>
      <c r="E161" s="19">
        <f>IF(A161="","",INDEX(Model!$F$5:$F$504,MATCH(ROWS($A$5:A161),Model!$AD$5:$AD$504,0)))</f>
        <v/>
      </c>
      <c r="F161" s="19">
        <f>IF(A161="","",INDEX(Model!$G$5:$G$504,MATCH(ROWS($A$5:A161),Model!$AD$5:$AD$504,0)))</f>
        <v/>
      </c>
      <c r="G161" s="18">
        <f>IF(A161="","",INDEX(Model!$H$5:$H$504,MATCH(ROWS($A$5:A161),Model!$AD$5:$AD$504,0)))</f>
        <v/>
      </c>
      <c r="H161" s="18">
        <f>IF(A161="","",INDEX(Model!$L$5:$L$504,MATCH(ROWS($A$5:A161),Model!$AD$5:$AD$504,0)))</f>
        <v/>
      </c>
      <c r="I161" s="20">
        <f>IF(A161="","",INDEX(Model!$P$5:$P$504,MATCH(ROWS($A$5:A161),Model!$AD$5:$AD$504,0)))</f>
        <v/>
      </c>
      <c r="J161" s="20">
        <f>IF(A161="","",INDEX(Model!$Q$5:$Q$504,MATCH(ROWS($A$5:A161),Model!$AD$5:$AD$504,0)))</f>
        <v/>
      </c>
      <c r="K161" s="21">
        <f>IF(A161="","",INDEX(Model!$R$5:$R$504,MATCH(ROWS($A$5:A161),Model!$AD$5:$AD$504,0)))</f>
        <v/>
      </c>
      <c r="L161" s="20">
        <f>IF(A161="","",INDEX(Model!$S$5:$S$504,MATCH(ROWS($A$5:A161),Model!$AD$5:$AD$504,0)))</f>
        <v/>
      </c>
      <c r="M161" s="21">
        <f>IF(A161="","",INDEX(Model!$T$5:$T$504,MATCH(ROWS($A$5:A161),Model!$AD$5:$AD$504,0)))</f>
        <v/>
      </c>
      <c r="N161" s="18">
        <f>IF(A161="","",INDEX(Model!$U$5:$U$504,MATCH(ROWS($A$5:A161),Model!$AD$5:$AD$504,0)))</f>
        <v/>
      </c>
      <c r="O161" s="18">
        <f>IF(A161="","",INDEX(Model!$V$5:$V$504,MATCH(ROWS($A$5:A161),Model!$AD$5:$AD$504,0)))</f>
        <v/>
      </c>
      <c r="P161" s="18">
        <f>IF(A161="","",INDEX(Model!$W$5:$W$504,MATCH(ROWS($A$5:A161),Model!$AD$5:$AD$504,0)))</f>
        <v/>
      </c>
      <c r="Q161" s="18">
        <f>IF(A161="","",INDEX(Model!$X$5:$X$504,MATCH(ROWS($A$5:A161),Model!$AD$5:$AD$504,0)))</f>
        <v/>
      </c>
      <c r="R161" s="18">
        <f>IF(A161="","",INDEX(Model!$Y$5:$Y$504,MATCH(ROWS($A$5:A161),Model!$AD$5:$AD$504,0)))</f>
        <v/>
      </c>
      <c r="S161" s="21">
        <f>IF(A161="","",INDEX(Model!$Z$5:$Z$504,MATCH(ROWS($A$5:A161),Model!$AD$5:$AD$504,0)))</f>
        <v/>
      </c>
      <c r="T161" s="18">
        <f>IF(A161="","",INDEX(Model!$AA$5:$AA$504,MATCH(ROWS($A$5:A161),Model!$AD$5:$AD$504,0)))</f>
        <v/>
      </c>
      <c r="U161" s="13" t="n"/>
      <c r="V161" s="13" t="n"/>
      <c r="W161" s="13" t="n"/>
    </row>
    <row r="162">
      <c r="A162" s="18">
        <f>IFERROR(INDEX(Model!$B$5:$B$504,MATCH(ROWS($A$5:A162),Model!$AD$5:$AD$504,0)),"")</f>
        <v/>
      </c>
      <c r="B162" s="18">
        <f>IF(A162="","",INDEX(Model!$C$5:$C$504,MATCH(ROWS($A$5:A162),Model!$AD$5:$AD$504,0)))</f>
        <v/>
      </c>
      <c r="C162" s="18">
        <f>IF(A162="","",INDEX(Model!$D$5:$D$504,MATCH(ROWS($A$5:A162),Model!$AD$5:$AD$504,0)))</f>
        <v/>
      </c>
      <c r="D162" s="18">
        <f>IF(A162="","",INDEX(Model!$E$5:$E$504,MATCH(ROWS($A$5:A162),Model!$AD$5:$AD$504,0)))</f>
        <v/>
      </c>
      <c r="E162" s="19">
        <f>IF(A162="","",INDEX(Model!$F$5:$F$504,MATCH(ROWS($A$5:A162),Model!$AD$5:$AD$504,0)))</f>
        <v/>
      </c>
      <c r="F162" s="19">
        <f>IF(A162="","",INDEX(Model!$G$5:$G$504,MATCH(ROWS($A$5:A162),Model!$AD$5:$AD$504,0)))</f>
        <v/>
      </c>
      <c r="G162" s="18">
        <f>IF(A162="","",INDEX(Model!$H$5:$H$504,MATCH(ROWS($A$5:A162),Model!$AD$5:$AD$504,0)))</f>
        <v/>
      </c>
      <c r="H162" s="18">
        <f>IF(A162="","",INDEX(Model!$L$5:$L$504,MATCH(ROWS($A$5:A162),Model!$AD$5:$AD$504,0)))</f>
        <v/>
      </c>
      <c r="I162" s="20">
        <f>IF(A162="","",INDEX(Model!$P$5:$P$504,MATCH(ROWS($A$5:A162),Model!$AD$5:$AD$504,0)))</f>
        <v/>
      </c>
      <c r="J162" s="20">
        <f>IF(A162="","",INDEX(Model!$Q$5:$Q$504,MATCH(ROWS($A$5:A162),Model!$AD$5:$AD$504,0)))</f>
        <v/>
      </c>
      <c r="K162" s="21">
        <f>IF(A162="","",INDEX(Model!$R$5:$R$504,MATCH(ROWS($A$5:A162),Model!$AD$5:$AD$504,0)))</f>
        <v/>
      </c>
      <c r="L162" s="20">
        <f>IF(A162="","",INDEX(Model!$S$5:$S$504,MATCH(ROWS($A$5:A162),Model!$AD$5:$AD$504,0)))</f>
        <v/>
      </c>
      <c r="M162" s="21">
        <f>IF(A162="","",INDEX(Model!$T$5:$T$504,MATCH(ROWS($A$5:A162),Model!$AD$5:$AD$504,0)))</f>
        <v/>
      </c>
      <c r="N162" s="18">
        <f>IF(A162="","",INDEX(Model!$U$5:$U$504,MATCH(ROWS($A$5:A162),Model!$AD$5:$AD$504,0)))</f>
        <v/>
      </c>
      <c r="O162" s="18">
        <f>IF(A162="","",INDEX(Model!$V$5:$V$504,MATCH(ROWS($A$5:A162),Model!$AD$5:$AD$504,0)))</f>
        <v/>
      </c>
      <c r="P162" s="18">
        <f>IF(A162="","",INDEX(Model!$W$5:$W$504,MATCH(ROWS($A$5:A162),Model!$AD$5:$AD$504,0)))</f>
        <v/>
      </c>
      <c r="Q162" s="18">
        <f>IF(A162="","",INDEX(Model!$X$5:$X$504,MATCH(ROWS($A$5:A162),Model!$AD$5:$AD$504,0)))</f>
        <v/>
      </c>
      <c r="R162" s="18">
        <f>IF(A162="","",INDEX(Model!$Y$5:$Y$504,MATCH(ROWS($A$5:A162),Model!$AD$5:$AD$504,0)))</f>
        <v/>
      </c>
      <c r="S162" s="21">
        <f>IF(A162="","",INDEX(Model!$Z$5:$Z$504,MATCH(ROWS($A$5:A162),Model!$AD$5:$AD$504,0)))</f>
        <v/>
      </c>
      <c r="T162" s="18">
        <f>IF(A162="","",INDEX(Model!$AA$5:$AA$504,MATCH(ROWS($A$5:A162),Model!$AD$5:$AD$504,0)))</f>
        <v/>
      </c>
      <c r="U162" s="13" t="n"/>
      <c r="V162" s="13" t="n"/>
      <c r="W162" s="13" t="n"/>
    </row>
    <row r="163">
      <c r="A163" s="18">
        <f>IFERROR(INDEX(Model!$B$5:$B$504,MATCH(ROWS($A$5:A163),Model!$AD$5:$AD$504,0)),"")</f>
        <v/>
      </c>
      <c r="B163" s="18">
        <f>IF(A163="","",INDEX(Model!$C$5:$C$504,MATCH(ROWS($A$5:A163),Model!$AD$5:$AD$504,0)))</f>
        <v/>
      </c>
      <c r="C163" s="18">
        <f>IF(A163="","",INDEX(Model!$D$5:$D$504,MATCH(ROWS($A$5:A163),Model!$AD$5:$AD$504,0)))</f>
        <v/>
      </c>
      <c r="D163" s="18">
        <f>IF(A163="","",INDEX(Model!$E$5:$E$504,MATCH(ROWS($A$5:A163),Model!$AD$5:$AD$504,0)))</f>
        <v/>
      </c>
      <c r="E163" s="19">
        <f>IF(A163="","",INDEX(Model!$F$5:$F$504,MATCH(ROWS($A$5:A163),Model!$AD$5:$AD$504,0)))</f>
        <v/>
      </c>
      <c r="F163" s="19">
        <f>IF(A163="","",INDEX(Model!$G$5:$G$504,MATCH(ROWS($A$5:A163),Model!$AD$5:$AD$504,0)))</f>
        <v/>
      </c>
      <c r="G163" s="18">
        <f>IF(A163="","",INDEX(Model!$H$5:$H$504,MATCH(ROWS($A$5:A163),Model!$AD$5:$AD$504,0)))</f>
        <v/>
      </c>
      <c r="H163" s="18">
        <f>IF(A163="","",INDEX(Model!$L$5:$L$504,MATCH(ROWS($A$5:A163),Model!$AD$5:$AD$504,0)))</f>
        <v/>
      </c>
      <c r="I163" s="20">
        <f>IF(A163="","",INDEX(Model!$P$5:$P$504,MATCH(ROWS($A$5:A163),Model!$AD$5:$AD$504,0)))</f>
        <v/>
      </c>
      <c r="J163" s="20">
        <f>IF(A163="","",INDEX(Model!$Q$5:$Q$504,MATCH(ROWS($A$5:A163),Model!$AD$5:$AD$504,0)))</f>
        <v/>
      </c>
      <c r="K163" s="21">
        <f>IF(A163="","",INDEX(Model!$R$5:$R$504,MATCH(ROWS($A$5:A163),Model!$AD$5:$AD$504,0)))</f>
        <v/>
      </c>
      <c r="L163" s="20">
        <f>IF(A163="","",INDEX(Model!$S$5:$S$504,MATCH(ROWS($A$5:A163),Model!$AD$5:$AD$504,0)))</f>
        <v/>
      </c>
      <c r="M163" s="21">
        <f>IF(A163="","",INDEX(Model!$T$5:$T$504,MATCH(ROWS($A$5:A163),Model!$AD$5:$AD$504,0)))</f>
        <v/>
      </c>
      <c r="N163" s="18">
        <f>IF(A163="","",INDEX(Model!$U$5:$U$504,MATCH(ROWS($A$5:A163),Model!$AD$5:$AD$504,0)))</f>
        <v/>
      </c>
      <c r="O163" s="18">
        <f>IF(A163="","",INDEX(Model!$V$5:$V$504,MATCH(ROWS($A$5:A163),Model!$AD$5:$AD$504,0)))</f>
        <v/>
      </c>
      <c r="P163" s="18">
        <f>IF(A163="","",INDEX(Model!$W$5:$W$504,MATCH(ROWS($A$5:A163),Model!$AD$5:$AD$504,0)))</f>
        <v/>
      </c>
      <c r="Q163" s="18">
        <f>IF(A163="","",INDEX(Model!$X$5:$X$504,MATCH(ROWS($A$5:A163),Model!$AD$5:$AD$504,0)))</f>
        <v/>
      </c>
      <c r="R163" s="18">
        <f>IF(A163="","",INDEX(Model!$Y$5:$Y$504,MATCH(ROWS($A$5:A163),Model!$AD$5:$AD$504,0)))</f>
        <v/>
      </c>
      <c r="S163" s="21">
        <f>IF(A163="","",INDEX(Model!$Z$5:$Z$504,MATCH(ROWS($A$5:A163),Model!$AD$5:$AD$504,0)))</f>
        <v/>
      </c>
      <c r="T163" s="18">
        <f>IF(A163="","",INDEX(Model!$AA$5:$AA$504,MATCH(ROWS($A$5:A163),Model!$AD$5:$AD$504,0)))</f>
        <v/>
      </c>
      <c r="U163" s="13" t="n"/>
      <c r="V163" s="13" t="n"/>
      <c r="W163" s="13" t="n"/>
    </row>
    <row r="164">
      <c r="A164" s="18">
        <f>IFERROR(INDEX(Model!$B$5:$B$504,MATCH(ROWS($A$5:A164),Model!$AD$5:$AD$504,0)),"")</f>
        <v/>
      </c>
      <c r="B164" s="18">
        <f>IF(A164="","",INDEX(Model!$C$5:$C$504,MATCH(ROWS($A$5:A164),Model!$AD$5:$AD$504,0)))</f>
        <v/>
      </c>
      <c r="C164" s="18">
        <f>IF(A164="","",INDEX(Model!$D$5:$D$504,MATCH(ROWS($A$5:A164),Model!$AD$5:$AD$504,0)))</f>
        <v/>
      </c>
      <c r="D164" s="18">
        <f>IF(A164="","",INDEX(Model!$E$5:$E$504,MATCH(ROWS($A$5:A164),Model!$AD$5:$AD$504,0)))</f>
        <v/>
      </c>
      <c r="E164" s="19">
        <f>IF(A164="","",INDEX(Model!$F$5:$F$504,MATCH(ROWS($A$5:A164),Model!$AD$5:$AD$504,0)))</f>
        <v/>
      </c>
      <c r="F164" s="19">
        <f>IF(A164="","",INDEX(Model!$G$5:$G$504,MATCH(ROWS($A$5:A164),Model!$AD$5:$AD$504,0)))</f>
        <v/>
      </c>
      <c r="G164" s="18">
        <f>IF(A164="","",INDEX(Model!$H$5:$H$504,MATCH(ROWS($A$5:A164),Model!$AD$5:$AD$504,0)))</f>
        <v/>
      </c>
      <c r="H164" s="18">
        <f>IF(A164="","",INDEX(Model!$L$5:$L$504,MATCH(ROWS($A$5:A164),Model!$AD$5:$AD$504,0)))</f>
        <v/>
      </c>
      <c r="I164" s="20">
        <f>IF(A164="","",INDEX(Model!$P$5:$P$504,MATCH(ROWS($A$5:A164),Model!$AD$5:$AD$504,0)))</f>
        <v/>
      </c>
      <c r="J164" s="20">
        <f>IF(A164="","",INDEX(Model!$Q$5:$Q$504,MATCH(ROWS($A$5:A164),Model!$AD$5:$AD$504,0)))</f>
        <v/>
      </c>
      <c r="K164" s="21">
        <f>IF(A164="","",INDEX(Model!$R$5:$R$504,MATCH(ROWS($A$5:A164),Model!$AD$5:$AD$504,0)))</f>
        <v/>
      </c>
      <c r="L164" s="20">
        <f>IF(A164="","",INDEX(Model!$S$5:$S$504,MATCH(ROWS($A$5:A164),Model!$AD$5:$AD$504,0)))</f>
        <v/>
      </c>
      <c r="M164" s="21">
        <f>IF(A164="","",INDEX(Model!$T$5:$T$504,MATCH(ROWS($A$5:A164),Model!$AD$5:$AD$504,0)))</f>
        <v/>
      </c>
      <c r="N164" s="18">
        <f>IF(A164="","",INDEX(Model!$U$5:$U$504,MATCH(ROWS($A$5:A164),Model!$AD$5:$AD$504,0)))</f>
        <v/>
      </c>
      <c r="O164" s="18">
        <f>IF(A164="","",INDEX(Model!$V$5:$V$504,MATCH(ROWS($A$5:A164),Model!$AD$5:$AD$504,0)))</f>
        <v/>
      </c>
      <c r="P164" s="18">
        <f>IF(A164="","",INDEX(Model!$W$5:$W$504,MATCH(ROWS($A$5:A164),Model!$AD$5:$AD$504,0)))</f>
        <v/>
      </c>
      <c r="Q164" s="18">
        <f>IF(A164="","",INDEX(Model!$X$5:$X$504,MATCH(ROWS($A$5:A164),Model!$AD$5:$AD$504,0)))</f>
        <v/>
      </c>
      <c r="R164" s="18">
        <f>IF(A164="","",INDEX(Model!$Y$5:$Y$504,MATCH(ROWS($A$5:A164),Model!$AD$5:$AD$504,0)))</f>
        <v/>
      </c>
      <c r="S164" s="21">
        <f>IF(A164="","",INDEX(Model!$Z$5:$Z$504,MATCH(ROWS($A$5:A164),Model!$AD$5:$AD$504,0)))</f>
        <v/>
      </c>
      <c r="T164" s="18">
        <f>IF(A164="","",INDEX(Model!$AA$5:$AA$504,MATCH(ROWS($A$5:A164),Model!$AD$5:$AD$504,0)))</f>
        <v/>
      </c>
      <c r="U164" s="13" t="n"/>
      <c r="V164" s="13" t="n"/>
      <c r="W164" s="13" t="n"/>
    </row>
    <row r="165">
      <c r="A165" s="18">
        <f>IFERROR(INDEX(Model!$B$5:$B$504,MATCH(ROWS($A$5:A165),Model!$AD$5:$AD$504,0)),"")</f>
        <v/>
      </c>
      <c r="B165" s="18">
        <f>IF(A165="","",INDEX(Model!$C$5:$C$504,MATCH(ROWS($A$5:A165),Model!$AD$5:$AD$504,0)))</f>
        <v/>
      </c>
      <c r="C165" s="18">
        <f>IF(A165="","",INDEX(Model!$D$5:$D$504,MATCH(ROWS($A$5:A165),Model!$AD$5:$AD$504,0)))</f>
        <v/>
      </c>
      <c r="D165" s="18">
        <f>IF(A165="","",INDEX(Model!$E$5:$E$504,MATCH(ROWS($A$5:A165),Model!$AD$5:$AD$504,0)))</f>
        <v/>
      </c>
      <c r="E165" s="19">
        <f>IF(A165="","",INDEX(Model!$F$5:$F$504,MATCH(ROWS($A$5:A165),Model!$AD$5:$AD$504,0)))</f>
        <v/>
      </c>
      <c r="F165" s="19">
        <f>IF(A165="","",INDEX(Model!$G$5:$G$504,MATCH(ROWS($A$5:A165),Model!$AD$5:$AD$504,0)))</f>
        <v/>
      </c>
      <c r="G165" s="18">
        <f>IF(A165="","",INDEX(Model!$H$5:$H$504,MATCH(ROWS($A$5:A165),Model!$AD$5:$AD$504,0)))</f>
        <v/>
      </c>
      <c r="H165" s="18">
        <f>IF(A165="","",INDEX(Model!$L$5:$L$504,MATCH(ROWS($A$5:A165),Model!$AD$5:$AD$504,0)))</f>
        <v/>
      </c>
      <c r="I165" s="20">
        <f>IF(A165="","",INDEX(Model!$P$5:$P$504,MATCH(ROWS($A$5:A165),Model!$AD$5:$AD$504,0)))</f>
        <v/>
      </c>
      <c r="J165" s="20">
        <f>IF(A165="","",INDEX(Model!$Q$5:$Q$504,MATCH(ROWS($A$5:A165),Model!$AD$5:$AD$504,0)))</f>
        <v/>
      </c>
      <c r="K165" s="21">
        <f>IF(A165="","",INDEX(Model!$R$5:$R$504,MATCH(ROWS($A$5:A165),Model!$AD$5:$AD$504,0)))</f>
        <v/>
      </c>
      <c r="L165" s="20">
        <f>IF(A165="","",INDEX(Model!$S$5:$S$504,MATCH(ROWS($A$5:A165),Model!$AD$5:$AD$504,0)))</f>
        <v/>
      </c>
      <c r="M165" s="21">
        <f>IF(A165="","",INDEX(Model!$T$5:$T$504,MATCH(ROWS($A$5:A165),Model!$AD$5:$AD$504,0)))</f>
        <v/>
      </c>
      <c r="N165" s="18">
        <f>IF(A165="","",INDEX(Model!$U$5:$U$504,MATCH(ROWS($A$5:A165),Model!$AD$5:$AD$504,0)))</f>
        <v/>
      </c>
      <c r="O165" s="18">
        <f>IF(A165="","",INDEX(Model!$V$5:$V$504,MATCH(ROWS($A$5:A165),Model!$AD$5:$AD$504,0)))</f>
        <v/>
      </c>
      <c r="P165" s="18">
        <f>IF(A165="","",INDEX(Model!$W$5:$W$504,MATCH(ROWS($A$5:A165),Model!$AD$5:$AD$504,0)))</f>
        <v/>
      </c>
      <c r="Q165" s="18">
        <f>IF(A165="","",INDEX(Model!$X$5:$X$504,MATCH(ROWS($A$5:A165),Model!$AD$5:$AD$504,0)))</f>
        <v/>
      </c>
      <c r="R165" s="18">
        <f>IF(A165="","",INDEX(Model!$Y$5:$Y$504,MATCH(ROWS($A$5:A165),Model!$AD$5:$AD$504,0)))</f>
        <v/>
      </c>
      <c r="S165" s="21">
        <f>IF(A165="","",INDEX(Model!$Z$5:$Z$504,MATCH(ROWS($A$5:A165),Model!$AD$5:$AD$504,0)))</f>
        <v/>
      </c>
      <c r="T165" s="18">
        <f>IF(A165="","",INDEX(Model!$AA$5:$AA$504,MATCH(ROWS($A$5:A165),Model!$AD$5:$AD$504,0)))</f>
        <v/>
      </c>
      <c r="U165" s="13" t="n"/>
      <c r="V165" s="13" t="n"/>
      <c r="W165" s="13" t="n"/>
    </row>
    <row r="166">
      <c r="A166" s="18">
        <f>IFERROR(INDEX(Model!$B$5:$B$504,MATCH(ROWS($A$5:A166),Model!$AD$5:$AD$504,0)),"")</f>
        <v/>
      </c>
      <c r="B166" s="18">
        <f>IF(A166="","",INDEX(Model!$C$5:$C$504,MATCH(ROWS($A$5:A166),Model!$AD$5:$AD$504,0)))</f>
        <v/>
      </c>
      <c r="C166" s="18">
        <f>IF(A166="","",INDEX(Model!$D$5:$D$504,MATCH(ROWS($A$5:A166),Model!$AD$5:$AD$504,0)))</f>
        <v/>
      </c>
      <c r="D166" s="18">
        <f>IF(A166="","",INDEX(Model!$E$5:$E$504,MATCH(ROWS($A$5:A166),Model!$AD$5:$AD$504,0)))</f>
        <v/>
      </c>
      <c r="E166" s="19">
        <f>IF(A166="","",INDEX(Model!$F$5:$F$504,MATCH(ROWS($A$5:A166),Model!$AD$5:$AD$504,0)))</f>
        <v/>
      </c>
      <c r="F166" s="19">
        <f>IF(A166="","",INDEX(Model!$G$5:$G$504,MATCH(ROWS($A$5:A166),Model!$AD$5:$AD$504,0)))</f>
        <v/>
      </c>
      <c r="G166" s="18">
        <f>IF(A166="","",INDEX(Model!$H$5:$H$504,MATCH(ROWS($A$5:A166),Model!$AD$5:$AD$504,0)))</f>
        <v/>
      </c>
      <c r="H166" s="18">
        <f>IF(A166="","",INDEX(Model!$L$5:$L$504,MATCH(ROWS($A$5:A166),Model!$AD$5:$AD$504,0)))</f>
        <v/>
      </c>
      <c r="I166" s="20">
        <f>IF(A166="","",INDEX(Model!$P$5:$P$504,MATCH(ROWS($A$5:A166),Model!$AD$5:$AD$504,0)))</f>
        <v/>
      </c>
      <c r="J166" s="20">
        <f>IF(A166="","",INDEX(Model!$Q$5:$Q$504,MATCH(ROWS($A$5:A166),Model!$AD$5:$AD$504,0)))</f>
        <v/>
      </c>
      <c r="K166" s="21">
        <f>IF(A166="","",INDEX(Model!$R$5:$R$504,MATCH(ROWS($A$5:A166),Model!$AD$5:$AD$504,0)))</f>
        <v/>
      </c>
      <c r="L166" s="20">
        <f>IF(A166="","",INDEX(Model!$S$5:$S$504,MATCH(ROWS($A$5:A166),Model!$AD$5:$AD$504,0)))</f>
        <v/>
      </c>
      <c r="M166" s="21">
        <f>IF(A166="","",INDEX(Model!$T$5:$T$504,MATCH(ROWS($A$5:A166),Model!$AD$5:$AD$504,0)))</f>
        <v/>
      </c>
      <c r="N166" s="18">
        <f>IF(A166="","",INDEX(Model!$U$5:$U$504,MATCH(ROWS($A$5:A166),Model!$AD$5:$AD$504,0)))</f>
        <v/>
      </c>
      <c r="O166" s="18">
        <f>IF(A166="","",INDEX(Model!$V$5:$V$504,MATCH(ROWS($A$5:A166),Model!$AD$5:$AD$504,0)))</f>
        <v/>
      </c>
      <c r="P166" s="18">
        <f>IF(A166="","",INDEX(Model!$W$5:$W$504,MATCH(ROWS($A$5:A166),Model!$AD$5:$AD$504,0)))</f>
        <v/>
      </c>
      <c r="Q166" s="18">
        <f>IF(A166="","",INDEX(Model!$X$5:$X$504,MATCH(ROWS($A$5:A166),Model!$AD$5:$AD$504,0)))</f>
        <v/>
      </c>
      <c r="R166" s="18">
        <f>IF(A166="","",INDEX(Model!$Y$5:$Y$504,MATCH(ROWS($A$5:A166),Model!$AD$5:$AD$504,0)))</f>
        <v/>
      </c>
      <c r="S166" s="21">
        <f>IF(A166="","",INDEX(Model!$Z$5:$Z$504,MATCH(ROWS($A$5:A166),Model!$AD$5:$AD$504,0)))</f>
        <v/>
      </c>
      <c r="T166" s="18">
        <f>IF(A166="","",INDEX(Model!$AA$5:$AA$504,MATCH(ROWS($A$5:A166),Model!$AD$5:$AD$504,0)))</f>
        <v/>
      </c>
      <c r="U166" s="13" t="n"/>
      <c r="V166" s="13" t="n"/>
      <c r="W166" s="13" t="n"/>
    </row>
    <row r="167">
      <c r="A167" s="18">
        <f>IFERROR(INDEX(Model!$B$5:$B$504,MATCH(ROWS($A$5:A167),Model!$AD$5:$AD$504,0)),"")</f>
        <v/>
      </c>
      <c r="B167" s="18">
        <f>IF(A167="","",INDEX(Model!$C$5:$C$504,MATCH(ROWS($A$5:A167),Model!$AD$5:$AD$504,0)))</f>
        <v/>
      </c>
      <c r="C167" s="18">
        <f>IF(A167="","",INDEX(Model!$D$5:$D$504,MATCH(ROWS($A$5:A167),Model!$AD$5:$AD$504,0)))</f>
        <v/>
      </c>
      <c r="D167" s="18">
        <f>IF(A167="","",INDEX(Model!$E$5:$E$504,MATCH(ROWS($A$5:A167),Model!$AD$5:$AD$504,0)))</f>
        <v/>
      </c>
      <c r="E167" s="19">
        <f>IF(A167="","",INDEX(Model!$F$5:$F$504,MATCH(ROWS($A$5:A167),Model!$AD$5:$AD$504,0)))</f>
        <v/>
      </c>
      <c r="F167" s="19">
        <f>IF(A167="","",INDEX(Model!$G$5:$G$504,MATCH(ROWS($A$5:A167),Model!$AD$5:$AD$504,0)))</f>
        <v/>
      </c>
      <c r="G167" s="18">
        <f>IF(A167="","",INDEX(Model!$H$5:$H$504,MATCH(ROWS($A$5:A167),Model!$AD$5:$AD$504,0)))</f>
        <v/>
      </c>
      <c r="H167" s="18">
        <f>IF(A167="","",INDEX(Model!$L$5:$L$504,MATCH(ROWS($A$5:A167),Model!$AD$5:$AD$504,0)))</f>
        <v/>
      </c>
      <c r="I167" s="20">
        <f>IF(A167="","",INDEX(Model!$P$5:$P$504,MATCH(ROWS($A$5:A167),Model!$AD$5:$AD$504,0)))</f>
        <v/>
      </c>
      <c r="J167" s="20">
        <f>IF(A167="","",INDEX(Model!$Q$5:$Q$504,MATCH(ROWS($A$5:A167),Model!$AD$5:$AD$504,0)))</f>
        <v/>
      </c>
      <c r="K167" s="21">
        <f>IF(A167="","",INDEX(Model!$R$5:$R$504,MATCH(ROWS($A$5:A167),Model!$AD$5:$AD$504,0)))</f>
        <v/>
      </c>
      <c r="L167" s="20">
        <f>IF(A167="","",INDEX(Model!$S$5:$S$504,MATCH(ROWS($A$5:A167),Model!$AD$5:$AD$504,0)))</f>
        <v/>
      </c>
      <c r="M167" s="21">
        <f>IF(A167="","",INDEX(Model!$T$5:$T$504,MATCH(ROWS($A$5:A167),Model!$AD$5:$AD$504,0)))</f>
        <v/>
      </c>
      <c r="N167" s="18">
        <f>IF(A167="","",INDEX(Model!$U$5:$U$504,MATCH(ROWS($A$5:A167),Model!$AD$5:$AD$504,0)))</f>
        <v/>
      </c>
      <c r="O167" s="18">
        <f>IF(A167="","",INDEX(Model!$V$5:$V$504,MATCH(ROWS($A$5:A167),Model!$AD$5:$AD$504,0)))</f>
        <v/>
      </c>
      <c r="P167" s="18">
        <f>IF(A167="","",INDEX(Model!$W$5:$W$504,MATCH(ROWS($A$5:A167),Model!$AD$5:$AD$504,0)))</f>
        <v/>
      </c>
      <c r="Q167" s="18">
        <f>IF(A167="","",INDEX(Model!$X$5:$X$504,MATCH(ROWS($A$5:A167),Model!$AD$5:$AD$504,0)))</f>
        <v/>
      </c>
      <c r="R167" s="18">
        <f>IF(A167="","",INDEX(Model!$Y$5:$Y$504,MATCH(ROWS($A$5:A167),Model!$AD$5:$AD$504,0)))</f>
        <v/>
      </c>
      <c r="S167" s="21">
        <f>IF(A167="","",INDEX(Model!$Z$5:$Z$504,MATCH(ROWS($A$5:A167),Model!$AD$5:$AD$504,0)))</f>
        <v/>
      </c>
      <c r="T167" s="18">
        <f>IF(A167="","",INDEX(Model!$AA$5:$AA$504,MATCH(ROWS($A$5:A167),Model!$AD$5:$AD$504,0)))</f>
        <v/>
      </c>
      <c r="U167" s="13" t="n"/>
      <c r="V167" s="13" t="n"/>
      <c r="W167" s="13" t="n"/>
    </row>
    <row r="168">
      <c r="A168" s="18">
        <f>IFERROR(INDEX(Model!$B$5:$B$504,MATCH(ROWS($A$5:A168),Model!$AD$5:$AD$504,0)),"")</f>
        <v/>
      </c>
      <c r="B168" s="18">
        <f>IF(A168="","",INDEX(Model!$C$5:$C$504,MATCH(ROWS($A$5:A168),Model!$AD$5:$AD$504,0)))</f>
        <v/>
      </c>
      <c r="C168" s="18">
        <f>IF(A168="","",INDEX(Model!$D$5:$D$504,MATCH(ROWS($A$5:A168),Model!$AD$5:$AD$504,0)))</f>
        <v/>
      </c>
      <c r="D168" s="18">
        <f>IF(A168="","",INDEX(Model!$E$5:$E$504,MATCH(ROWS($A$5:A168),Model!$AD$5:$AD$504,0)))</f>
        <v/>
      </c>
      <c r="E168" s="19">
        <f>IF(A168="","",INDEX(Model!$F$5:$F$504,MATCH(ROWS($A$5:A168),Model!$AD$5:$AD$504,0)))</f>
        <v/>
      </c>
      <c r="F168" s="19">
        <f>IF(A168="","",INDEX(Model!$G$5:$G$504,MATCH(ROWS($A$5:A168),Model!$AD$5:$AD$504,0)))</f>
        <v/>
      </c>
      <c r="G168" s="18">
        <f>IF(A168="","",INDEX(Model!$H$5:$H$504,MATCH(ROWS($A$5:A168),Model!$AD$5:$AD$504,0)))</f>
        <v/>
      </c>
      <c r="H168" s="18">
        <f>IF(A168="","",INDEX(Model!$L$5:$L$504,MATCH(ROWS($A$5:A168),Model!$AD$5:$AD$504,0)))</f>
        <v/>
      </c>
      <c r="I168" s="20">
        <f>IF(A168="","",INDEX(Model!$P$5:$P$504,MATCH(ROWS($A$5:A168),Model!$AD$5:$AD$504,0)))</f>
        <v/>
      </c>
      <c r="J168" s="20">
        <f>IF(A168="","",INDEX(Model!$Q$5:$Q$504,MATCH(ROWS($A$5:A168),Model!$AD$5:$AD$504,0)))</f>
        <v/>
      </c>
      <c r="K168" s="21">
        <f>IF(A168="","",INDEX(Model!$R$5:$R$504,MATCH(ROWS($A$5:A168),Model!$AD$5:$AD$504,0)))</f>
        <v/>
      </c>
      <c r="L168" s="20">
        <f>IF(A168="","",INDEX(Model!$S$5:$S$504,MATCH(ROWS($A$5:A168),Model!$AD$5:$AD$504,0)))</f>
        <v/>
      </c>
      <c r="M168" s="21">
        <f>IF(A168="","",INDEX(Model!$T$5:$T$504,MATCH(ROWS($A$5:A168),Model!$AD$5:$AD$504,0)))</f>
        <v/>
      </c>
      <c r="N168" s="18">
        <f>IF(A168="","",INDEX(Model!$U$5:$U$504,MATCH(ROWS($A$5:A168),Model!$AD$5:$AD$504,0)))</f>
        <v/>
      </c>
      <c r="O168" s="18">
        <f>IF(A168="","",INDEX(Model!$V$5:$V$504,MATCH(ROWS($A$5:A168),Model!$AD$5:$AD$504,0)))</f>
        <v/>
      </c>
      <c r="P168" s="18">
        <f>IF(A168="","",INDEX(Model!$W$5:$W$504,MATCH(ROWS($A$5:A168),Model!$AD$5:$AD$504,0)))</f>
        <v/>
      </c>
      <c r="Q168" s="18">
        <f>IF(A168="","",INDEX(Model!$X$5:$X$504,MATCH(ROWS($A$5:A168),Model!$AD$5:$AD$504,0)))</f>
        <v/>
      </c>
      <c r="R168" s="18">
        <f>IF(A168="","",INDEX(Model!$Y$5:$Y$504,MATCH(ROWS($A$5:A168),Model!$AD$5:$AD$504,0)))</f>
        <v/>
      </c>
      <c r="S168" s="21">
        <f>IF(A168="","",INDEX(Model!$Z$5:$Z$504,MATCH(ROWS($A$5:A168),Model!$AD$5:$AD$504,0)))</f>
        <v/>
      </c>
      <c r="T168" s="18">
        <f>IF(A168="","",INDEX(Model!$AA$5:$AA$504,MATCH(ROWS($A$5:A168),Model!$AD$5:$AD$504,0)))</f>
        <v/>
      </c>
      <c r="U168" s="13" t="n"/>
      <c r="V168" s="13" t="n"/>
      <c r="W168" s="13" t="n"/>
    </row>
    <row r="169">
      <c r="A169" s="18">
        <f>IFERROR(INDEX(Model!$B$5:$B$504,MATCH(ROWS($A$5:A169),Model!$AD$5:$AD$504,0)),"")</f>
        <v/>
      </c>
      <c r="B169" s="18">
        <f>IF(A169="","",INDEX(Model!$C$5:$C$504,MATCH(ROWS($A$5:A169),Model!$AD$5:$AD$504,0)))</f>
        <v/>
      </c>
      <c r="C169" s="18">
        <f>IF(A169="","",INDEX(Model!$D$5:$D$504,MATCH(ROWS($A$5:A169),Model!$AD$5:$AD$504,0)))</f>
        <v/>
      </c>
      <c r="D169" s="18">
        <f>IF(A169="","",INDEX(Model!$E$5:$E$504,MATCH(ROWS($A$5:A169),Model!$AD$5:$AD$504,0)))</f>
        <v/>
      </c>
      <c r="E169" s="19">
        <f>IF(A169="","",INDEX(Model!$F$5:$F$504,MATCH(ROWS($A$5:A169),Model!$AD$5:$AD$504,0)))</f>
        <v/>
      </c>
      <c r="F169" s="19">
        <f>IF(A169="","",INDEX(Model!$G$5:$G$504,MATCH(ROWS($A$5:A169),Model!$AD$5:$AD$504,0)))</f>
        <v/>
      </c>
      <c r="G169" s="18">
        <f>IF(A169="","",INDEX(Model!$H$5:$H$504,MATCH(ROWS($A$5:A169),Model!$AD$5:$AD$504,0)))</f>
        <v/>
      </c>
      <c r="H169" s="18">
        <f>IF(A169="","",INDEX(Model!$L$5:$L$504,MATCH(ROWS($A$5:A169),Model!$AD$5:$AD$504,0)))</f>
        <v/>
      </c>
      <c r="I169" s="20">
        <f>IF(A169="","",INDEX(Model!$P$5:$P$504,MATCH(ROWS($A$5:A169),Model!$AD$5:$AD$504,0)))</f>
        <v/>
      </c>
      <c r="J169" s="20">
        <f>IF(A169="","",INDEX(Model!$Q$5:$Q$504,MATCH(ROWS($A$5:A169),Model!$AD$5:$AD$504,0)))</f>
        <v/>
      </c>
      <c r="K169" s="21">
        <f>IF(A169="","",INDEX(Model!$R$5:$R$504,MATCH(ROWS($A$5:A169),Model!$AD$5:$AD$504,0)))</f>
        <v/>
      </c>
      <c r="L169" s="20">
        <f>IF(A169="","",INDEX(Model!$S$5:$S$504,MATCH(ROWS($A$5:A169),Model!$AD$5:$AD$504,0)))</f>
        <v/>
      </c>
      <c r="M169" s="21">
        <f>IF(A169="","",INDEX(Model!$T$5:$T$504,MATCH(ROWS($A$5:A169),Model!$AD$5:$AD$504,0)))</f>
        <v/>
      </c>
      <c r="N169" s="18">
        <f>IF(A169="","",INDEX(Model!$U$5:$U$504,MATCH(ROWS($A$5:A169),Model!$AD$5:$AD$504,0)))</f>
        <v/>
      </c>
      <c r="O169" s="18">
        <f>IF(A169="","",INDEX(Model!$V$5:$V$504,MATCH(ROWS($A$5:A169),Model!$AD$5:$AD$504,0)))</f>
        <v/>
      </c>
      <c r="P169" s="18">
        <f>IF(A169="","",INDEX(Model!$W$5:$W$504,MATCH(ROWS($A$5:A169),Model!$AD$5:$AD$504,0)))</f>
        <v/>
      </c>
      <c r="Q169" s="18">
        <f>IF(A169="","",INDEX(Model!$X$5:$X$504,MATCH(ROWS($A$5:A169),Model!$AD$5:$AD$504,0)))</f>
        <v/>
      </c>
      <c r="R169" s="18">
        <f>IF(A169="","",INDEX(Model!$Y$5:$Y$504,MATCH(ROWS($A$5:A169),Model!$AD$5:$AD$504,0)))</f>
        <v/>
      </c>
      <c r="S169" s="21">
        <f>IF(A169="","",INDEX(Model!$Z$5:$Z$504,MATCH(ROWS($A$5:A169),Model!$AD$5:$AD$504,0)))</f>
        <v/>
      </c>
      <c r="T169" s="18">
        <f>IF(A169="","",INDEX(Model!$AA$5:$AA$504,MATCH(ROWS($A$5:A169),Model!$AD$5:$AD$504,0)))</f>
        <v/>
      </c>
      <c r="U169" s="13" t="n"/>
      <c r="V169" s="13" t="n"/>
      <c r="W169" s="13" t="n"/>
    </row>
    <row r="170">
      <c r="A170" s="18">
        <f>IFERROR(INDEX(Model!$B$5:$B$504,MATCH(ROWS($A$5:A170),Model!$AD$5:$AD$504,0)),"")</f>
        <v/>
      </c>
      <c r="B170" s="18">
        <f>IF(A170="","",INDEX(Model!$C$5:$C$504,MATCH(ROWS($A$5:A170),Model!$AD$5:$AD$504,0)))</f>
        <v/>
      </c>
      <c r="C170" s="18">
        <f>IF(A170="","",INDEX(Model!$D$5:$D$504,MATCH(ROWS($A$5:A170),Model!$AD$5:$AD$504,0)))</f>
        <v/>
      </c>
      <c r="D170" s="18">
        <f>IF(A170="","",INDEX(Model!$E$5:$E$504,MATCH(ROWS($A$5:A170),Model!$AD$5:$AD$504,0)))</f>
        <v/>
      </c>
      <c r="E170" s="19">
        <f>IF(A170="","",INDEX(Model!$F$5:$F$504,MATCH(ROWS($A$5:A170),Model!$AD$5:$AD$504,0)))</f>
        <v/>
      </c>
      <c r="F170" s="19">
        <f>IF(A170="","",INDEX(Model!$G$5:$G$504,MATCH(ROWS($A$5:A170),Model!$AD$5:$AD$504,0)))</f>
        <v/>
      </c>
      <c r="G170" s="18">
        <f>IF(A170="","",INDEX(Model!$H$5:$H$504,MATCH(ROWS($A$5:A170),Model!$AD$5:$AD$504,0)))</f>
        <v/>
      </c>
      <c r="H170" s="18">
        <f>IF(A170="","",INDEX(Model!$L$5:$L$504,MATCH(ROWS($A$5:A170),Model!$AD$5:$AD$504,0)))</f>
        <v/>
      </c>
      <c r="I170" s="20">
        <f>IF(A170="","",INDEX(Model!$P$5:$P$504,MATCH(ROWS($A$5:A170),Model!$AD$5:$AD$504,0)))</f>
        <v/>
      </c>
      <c r="J170" s="20">
        <f>IF(A170="","",INDEX(Model!$Q$5:$Q$504,MATCH(ROWS($A$5:A170),Model!$AD$5:$AD$504,0)))</f>
        <v/>
      </c>
      <c r="K170" s="21">
        <f>IF(A170="","",INDEX(Model!$R$5:$R$504,MATCH(ROWS($A$5:A170),Model!$AD$5:$AD$504,0)))</f>
        <v/>
      </c>
      <c r="L170" s="20">
        <f>IF(A170="","",INDEX(Model!$S$5:$S$504,MATCH(ROWS($A$5:A170),Model!$AD$5:$AD$504,0)))</f>
        <v/>
      </c>
      <c r="M170" s="21">
        <f>IF(A170="","",INDEX(Model!$T$5:$T$504,MATCH(ROWS($A$5:A170),Model!$AD$5:$AD$504,0)))</f>
        <v/>
      </c>
      <c r="N170" s="18">
        <f>IF(A170="","",INDEX(Model!$U$5:$U$504,MATCH(ROWS($A$5:A170),Model!$AD$5:$AD$504,0)))</f>
        <v/>
      </c>
      <c r="O170" s="18">
        <f>IF(A170="","",INDEX(Model!$V$5:$V$504,MATCH(ROWS($A$5:A170),Model!$AD$5:$AD$504,0)))</f>
        <v/>
      </c>
      <c r="P170" s="18">
        <f>IF(A170="","",INDEX(Model!$W$5:$W$504,MATCH(ROWS($A$5:A170),Model!$AD$5:$AD$504,0)))</f>
        <v/>
      </c>
      <c r="Q170" s="18">
        <f>IF(A170="","",INDEX(Model!$X$5:$X$504,MATCH(ROWS($A$5:A170),Model!$AD$5:$AD$504,0)))</f>
        <v/>
      </c>
      <c r="R170" s="18">
        <f>IF(A170="","",INDEX(Model!$Y$5:$Y$504,MATCH(ROWS($A$5:A170),Model!$AD$5:$AD$504,0)))</f>
        <v/>
      </c>
      <c r="S170" s="21">
        <f>IF(A170="","",INDEX(Model!$Z$5:$Z$504,MATCH(ROWS($A$5:A170),Model!$AD$5:$AD$504,0)))</f>
        <v/>
      </c>
      <c r="T170" s="18">
        <f>IF(A170="","",INDEX(Model!$AA$5:$AA$504,MATCH(ROWS($A$5:A170),Model!$AD$5:$AD$504,0)))</f>
        <v/>
      </c>
      <c r="U170" s="13" t="n"/>
      <c r="V170" s="13" t="n"/>
      <c r="W170" s="13" t="n"/>
    </row>
    <row r="171">
      <c r="A171" s="18">
        <f>IFERROR(INDEX(Model!$B$5:$B$504,MATCH(ROWS($A$5:A171),Model!$AD$5:$AD$504,0)),"")</f>
        <v/>
      </c>
      <c r="B171" s="18">
        <f>IF(A171="","",INDEX(Model!$C$5:$C$504,MATCH(ROWS($A$5:A171),Model!$AD$5:$AD$504,0)))</f>
        <v/>
      </c>
      <c r="C171" s="18">
        <f>IF(A171="","",INDEX(Model!$D$5:$D$504,MATCH(ROWS($A$5:A171),Model!$AD$5:$AD$504,0)))</f>
        <v/>
      </c>
      <c r="D171" s="18">
        <f>IF(A171="","",INDEX(Model!$E$5:$E$504,MATCH(ROWS($A$5:A171),Model!$AD$5:$AD$504,0)))</f>
        <v/>
      </c>
      <c r="E171" s="19">
        <f>IF(A171="","",INDEX(Model!$F$5:$F$504,MATCH(ROWS($A$5:A171),Model!$AD$5:$AD$504,0)))</f>
        <v/>
      </c>
      <c r="F171" s="19">
        <f>IF(A171="","",INDEX(Model!$G$5:$G$504,MATCH(ROWS($A$5:A171),Model!$AD$5:$AD$504,0)))</f>
        <v/>
      </c>
      <c r="G171" s="18">
        <f>IF(A171="","",INDEX(Model!$H$5:$H$504,MATCH(ROWS($A$5:A171),Model!$AD$5:$AD$504,0)))</f>
        <v/>
      </c>
      <c r="H171" s="18">
        <f>IF(A171="","",INDEX(Model!$L$5:$L$504,MATCH(ROWS($A$5:A171),Model!$AD$5:$AD$504,0)))</f>
        <v/>
      </c>
      <c r="I171" s="20">
        <f>IF(A171="","",INDEX(Model!$P$5:$P$504,MATCH(ROWS($A$5:A171),Model!$AD$5:$AD$504,0)))</f>
        <v/>
      </c>
      <c r="J171" s="20">
        <f>IF(A171="","",INDEX(Model!$Q$5:$Q$504,MATCH(ROWS($A$5:A171),Model!$AD$5:$AD$504,0)))</f>
        <v/>
      </c>
      <c r="K171" s="21">
        <f>IF(A171="","",INDEX(Model!$R$5:$R$504,MATCH(ROWS($A$5:A171),Model!$AD$5:$AD$504,0)))</f>
        <v/>
      </c>
      <c r="L171" s="20">
        <f>IF(A171="","",INDEX(Model!$S$5:$S$504,MATCH(ROWS($A$5:A171),Model!$AD$5:$AD$504,0)))</f>
        <v/>
      </c>
      <c r="M171" s="21">
        <f>IF(A171="","",INDEX(Model!$T$5:$T$504,MATCH(ROWS($A$5:A171),Model!$AD$5:$AD$504,0)))</f>
        <v/>
      </c>
      <c r="N171" s="18">
        <f>IF(A171="","",INDEX(Model!$U$5:$U$504,MATCH(ROWS($A$5:A171),Model!$AD$5:$AD$504,0)))</f>
        <v/>
      </c>
      <c r="O171" s="18">
        <f>IF(A171="","",INDEX(Model!$V$5:$V$504,MATCH(ROWS($A$5:A171),Model!$AD$5:$AD$504,0)))</f>
        <v/>
      </c>
      <c r="P171" s="18">
        <f>IF(A171="","",INDEX(Model!$W$5:$W$504,MATCH(ROWS($A$5:A171),Model!$AD$5:$AD$504,0)))</f>
        <v/>
      </c>
      <c r="Q171" s="18">
        <f>IF(A171="","",INDEX(Model!$X$5:$X$504,MATCH(ROWS($A$5:A171),Model!$AD$5:$AD$504,0)))</f>
        <v/>
      </c>
      <c r="R171" s="18">
        <f>IF(A171="","",INDEX(Model!$Y$5:$Y$504,MATCH(ROWS($A$5:A171),Model!$AD$5:$AD$504,0)))</f>
        <v/>
      </c>
      <c r="S171" s="21">
        <f>IF(A171="","",INDEX(Model!$Z$5:$Z$504,MATCH(ROWS($A$5:A171),Model!$AD$5:$AD$504,0)))</f>
        <v/>
      </c>
      <c r="T171" s="18">
        <f>IF(A171="","",INDEX(Model!$AA$5:$AA$504,MATCH(ROWS($A$5:A171),Model!$AD$5:$AD$504,0)))</f>
        <v/>
      </c>
      <c r="U171" s="13" t="n"/>
      <c r="V171" s="13" t="n"/>
      <c r="W171" s="13" t="n"/>
    </row>
    <row r="172">
      <c r="A172" s="18">
        <f>IFERROR(INDEX(Model!$B$5:$B$504,MATCH(ROWS($A$5:A172),Model!$AD$5:$AD$504,0)),"")</f>
        <v/>
      </c>
      <c r="B172" s="18">
        <f>IF(A172="","",INDEX(Model!$C$5:$C$504,MATCH(ROWS($A$5:A172),Model!$AD$5:$AD$504,0)))</f>
        <v/>
      </c>
      <c r="C172" s="18">
        <f>IF(A172="","",INDEX(Model!$D$5:$D$504,MATCH(ROWS($A$5:A172),Model!$AD$5:$AD$504,0)))</f>
        <v/>
      </c>
      <c r="D172" s="18">
        <f>IF(A172="","",INDEX(Model!$E$5:$E$504,MATCH(ROWS($A$5:A172),Model!$AD$5:$AD$504,0)))</f>
        <v/>
      </c>
      <c r="E172" s="19">
        <f>IF(A172="","",INDEX(Model!$F$5:$F$504,MATCH(ROWS($A$5:A172),Model!$AD$5:$AD$504,0)))</f>
        <v/>
      </c>
      <c r="F172" s="19">
        <f>IF(A172="","",INDEX(Model!$G$5:$G$504,MATCH(ROWS($A$5:A172),Model!$AD$5:$AD$504,0)))</f>
        <v/>
      </c>
      <c r="G172" s="18">
        <f>IF(A172="","",INDEX(Model!$H$5:$H$504,MATCH(ROWS($A$5:A172),Model!$AD$5:$AD$504,0)))</f>
        <v/>
      </c>
      <c r="H172" s="18">
        <f>IF(A172="","",INDEX(Model!$L$5:$L$504,MATCH(ROWS($A$5:A172),Model!$AD$5:$AD$504,0)))</f>
        <v/>
      </c>
      <c r="I172" s="20">
        <f>IF(A172="","",INDEX(Model!$P$5:$P$504,MATCH(ROWS($A$5:A172),Model!$AD$5:$AD$504,0)))</f>
        <v/>
      </c>
      <c r="J172" s="20">
        <f>IF(A172="","",INDEX(Model!$Q$5:$Q$504,MATCH(ROWS($A$5:A172),Model!$AD$5:$AD$504,0)))</f>
        <v/>
      </c>
      <c r="K172" s="21">
        <f>IF(A172="","",INDEX(Model!$R$5:$R$504,MATCH(ROWS($A$5:A172),Model!$AD$5:$AD$504,0)))</f>
        <v/>
      </c>
      <c r="L172" s="20">
        <f>IF(A172="","",INDEX(Model!$S$5:$S$504,MATCH(ROWS($A$5:A172),Model!$AD$5:$AD$504,0)))</f>
        <v/>
      </c>
      <c r="M172" s="21">
        <f>IF(A172="","",INDEX(Model!$T$5:$T$504,MATCH(ROWS($A$5:A172),Model!$AD$5:$AD$504,0)))</f>
        <v/>
      </c>
      <c r="N172" s="18">
        <f>IF(A172="","",INDEX(Model!$U$5:$U$504,MATCH(ROWS($A$5:A172),Model!$AD$5:$AD$504,0)))</f>
        <v/>
      </c>
      <c r="O172" s="18">
        <f>IF(A172="","",INDEX(Model!$V$5:$V$504,MATCH(ROWS($A$5:A172),Model!$AD$5:$AD$504,0)))</f>
        <v/>
      </c>
      <c r="P172" s="18">
        <f>IF(A172="","",INDEX(Model!$W$5:$W$504,MATCH(ROWS($A$5:A172),Model!$AD$5:$AD$504,0)))</f>
        <v/>
      </c>
      <c r="Q172" s="18">
        <f>IF(A172="","",INDEX(Model!$X$5:$X$504,MATCH(ROWS($A$5:A172),Model!$AD$5:$AD$504,0)))</f>
        <v/>
      </c>
      <c r="R172" s="18">
        <f>IF(A172="","",INDEX(Model!$Y$5:$Y$504,MATCH(ROWS($A$5:A172),Model!$AD$5:$AD$504,0)))</f>
        <v/>
      </c>
      <c r="S172" s="21">
        <f>IF(A172="","",INDEX(Model!$Z$5:$Z$504,MATCH(ROWS($A$5:A172),Model!$AD$5:$AD$504,0)))</f>
        <v/>
      </c>
      <c r="T172" s="18">
        <f>IF(A172="","",INDEX(Model!$AA$5:$AA$504,MATCH(ROWS($A$5:A172),Model!$AD$5:$AD$504,0)))</f>
        <v/>
      </c>
      <c r="U172" s="13" t="n"/>
      <c r="V172" s="13" t="n"/>
      <c r="W172" s="13" t="n"/>
    </row>
    <row r="173">
      <c r="A173" s="18">
        <f>IFERROR(INDEX(Model!$B$5:$B$504,MATCH(ROWS($A$5:A173),Model!$AD$5:$AD$504,0)),"")</f>
        <v/>
      </c>
      <c r="B173" s="18">
        <f>IF(A173="","",INDEX(Model!$C$5:$C$504,MATCH(ROWS($A$5:A173),Model!$AD$5:$AD$504,0)))</f>
        <v/>
      </c>
      <c r="C173" s="18">
        <f>IF(A173="","",INDEX(Model!$D$5:$D$504,MATCH(ROWS($A$5:A173),Model!$AD$5:$AD$504,0)))</f>
        <v/>
      </c>
      <c r="D173" s="18">
        <f>IF(A173="","",INDEX(Model!$E$5:$E$504,MATCH(ROWS($A$5:A173),Model!$AD$5:$AD$504,0)))</f>
        <v/>
      </c>
      <c r="E173" s="19">
        <f>IF(A173="","",INDEX(Model!$F$5:$F$504,MATCH(ROWS($A$5:A173),Model!$AD$5:$AD$504,0)))</f>
        <v/>
      </c>
      <c r="F173" s="19">
        <f>IF(A173="","",INDEX(Model!$G$5:$G$504,MATCH(ROWS($A$5:A173),Model!$AD$5:$AD$504,0)))</f>
        <v/>
      </c>
      <c r="G173" s="18">
        <f>IF(A173="","",INDEX(Model!$H$5:$H$504,MATCH(ROWS($A$5:A173),Model!$AD$5:$AD$504,0)))</f>
        <v/>
      </c>
      <c r="H173" s="18">
        <f>IF(A173="","",INDEX(Model!$L$5:$L$504,MATCH(ROWS($A$5:A173),Model!$AD$5:$AD$504,0)))</f>
        <v/>
      </c>
      <c r="I173" s="20">
        <f>IF(A173="","",INDEX(Model!$P$5:$P$504,MATCH(ROWS($A$5:A173),Model!$AD$5:$AD$504,0)))</f>
        <v/>
      </c>
      <c r="J173" s="20">
        <f>IF(A173="","",INDEX(Model!$Q$5:$Q$504,MATCH(ROWS($A$5:A173),Model!$AD$5:$AD$504,0)))</f>
        <v/>
      </c>
      <c r="K173" s="21">
        <f>IF(A173="","",INDEX(Model!$R$5:$R$504,MATCH(ROWS($A$5:A173),Model!$AD$5:$AD$504,0)))</f>
        <v/>
      </c>
      <c r="L173" s="20">
        <f>IF(A173="","",INDEX(Model!$S$5:$S$504,MATCH(ROWS($A$5:A173),Model!$AD$5:$AD$504,0)))</f>
        <v/>
      </c>
      <c r="M173" s="21">
        <f>IF(A173="","",INDEX(Model!$T$5:$T$504,MATCH(ROWS($A$5:A173),Model!$AD$5:$AD$504,0)))</f>
        <v/>
      </c>
      <c r="N173" s="18">
        <f>IF(A173="","",INDEX(Model!$U$5:$U$504,MATCH(ROWS($A$5:A173),Model!$AD$5:$AD$504,0)))</f>
        <v/>
      </c>
      <c r="O173" s="18">
        <f>IF(A173="","",INDEX(Model!$V$5:$V$504,MATCH(ROWS($A$5:A173),Model!$AD$5:$AD$504,0)))</f>
        <v/>
      </c>
      <c r="P173" s="18">
        <f>IF(A173="","",INDEX(Model!$W$5:$W$504,MATCH(ROWS($A$5:A173),Model!$AD$5:$AD$504,0)))</f>
        <v/>
      </c>
      <c r="Q173" s="18">
        <f>IF(A173="","",INDEX(Model!$X$5:$X$504,MATCH(ROWS($A$5:A173),Model!$AD$5:$AD$504,0)))</f>
        <v/>
      </c>
      <c r="R173" s="18">
        <f>IF(A173="","",INDEX(Model!$Y$5:$Y$504,MATCH(ROWS($A$5:A173),Model!$AD$5:$AD$504,0)))</f>
        <v/>
      </c>
      <c r="S173" s="21">
        <f>IF(A173="","",INDEX(Model!$Z$5:$Z$504,MATCH(ROWS($A$5:A173),Model!$AD$5:$AD$504,0)))</f>
        <v/>
      </c>
      <c r="T173" s="18">
        <f>IF(A173="","",INDEX(Model!$AA$5:$AA$504,MATCH(ROWS($A$5:A173),Model!$AD$5:$AD$504,0)))</f>
        <v/>
      </c>
      <c r="U173" s="13" t="n"/>
      <c r="V173" s="13" t="n"/>
      <c r="W173" s="13" t="n"/>
    </row>
    <row r="174">
      <c r="A174" s="18">
        <f>IFERROR(INDEX(Model!$B$5:$B$504,MATCH(ROWS($A$5:A174),Model!$AD$5:$AD$504,0)),"")</f>
        <v/>
      </c>
      <c r="B174" s="18">
        <f>IF(A174="","",INDEX(Model!$C$5:$C$504,MATCH(ROWS($A$5:A174),Model!$AD$5:$AD$504,0)))</f>
        <v/>
      </c>
      <c r="C174" s="18">
        <f>IF(A174="","",INDEX(Model!$D$5:$D$504,MATCH(ROWS($A$5:A174),Model!$AD$5:$AD$504,0)))</f>
        <v/>
      </c>
      <c r="D174" s="18">
        <f>IF(A174="","",INDEX(Model!$E$5:$E$504,MATCH(ROWS($A$5:A174),Model!$AD$5:$AD$504,0)))</f>
        <v/>
      </c>
      <c r="E174" s="19">
        <f>IF(A174="","",INDEX(Model!$F$5:$F$504,MATCH(ROWS($A$5:A174),Model!$AD$5:$AD$504,0)))</f>
        <v/>
      </c>
      <c r="F174" s="19">
        <f>IF(A174="","",INDEX(Model!$G$5:$G$504,MATCH(ROWS($A$5:A174),Model!$AD$5:$AD$504,0)))</f>
        <v/>
      </c>
      <c r="G174" s="18">
        <f>IF(A174="","",INDEX(Model!$H$5:$H$504,MATCH(ROWS($A$5:A174),Model!$AD$5:$AD$504,0)))</f>
        <v/>
      </c>
      <c r="H174" s="18">
        <f>IF(A174="","",INDEX(Model!$L$5:$L$504,MATCH(ROWS($A$5:A174),Model!$AD$5:$AD$504,0)))</f>
        <v/>
      </c>
      <c r="I174" s="20">
        <f>IF(A174="","",INDEX(Model!$P$5:$P$504,MATCH(ROWS($A$5:A174),Model!$AD$5:$AD$504,0)))</f>
        <v/>
      </c>
      <c r="J174" s="20">
        <f>IF(A174="","",INDEX(Model!$Q$5:$Q$504,MATCH(ROWS($A$5:A174),Model!$AD$5:$AD$504,0)))</f>
        <v/>
      </c>
      <c r="K174" s="21">
        <f>IF(A174="","",INDEX(Model!$R$5:$R$504,MATCH(ROWS($A$5:A174),Model!$AD$5:$AD$504,0)))</f>
        <v/>
      </c>
      <c r="L174" s="20">
        <f>IF(A174="","",INDEX(Model!$S$5:$S$504,MATCH(ROWS($A$5:A174),Model!$AD$5:$AD$504,0)))</f>
        <v/>
      </c>
      <c r="M174" s="21">
        <f>IF(A174="","",INDEX(Model!$T$5:$T$504,MATCH(ROWS($A$5:A174),Model!$AD$5:$AD$504,0)))</f>
        <v/>
      </c>
      <c r="N174" s="18">
        <f>IF(A174="","",INDEX(Model!$U$5:$U$504,MATCH(ROWS($A$5:A174),Model!$AD$5:$AD$504,0)))</f>
        <v/>
      </c>
      <c r="O174" s="18">
        <f>IF(A174="","",INDEX(Model!$V$5:$V$504,MATCH(ROWS($A$5:A174),Model!$AD$5:$AD$504,0)))</f>
        <v/>
      </c>
      <c r="P174" s="18">
        <f>IF(A174="","",INDEX(Model!$W$5:$W$504,MATCH(ROWS($A$5:A174),Model!$AD$5:$AD$504,0)))</f>
        <v/>
      </c>
      <c r="Q174" s="18">
        <f>IF(A174="","",INDEX(Model!$X$5:$X$504,MATCH(ROWS($A$5:A174),Model!$AD$5:$AD$504,0)))</f>
        <v/>
      </c>
      <c r="R174" s="18">
        <f>IF(A174="","",INDEX(Model!$Y$5:$Y$504,MATCH(ROWS($A$5:A174),Model!$AD$5:$AD$504,0)))</f>
        <v/>
      </c>
      <c r="S174" s="21">
        <f>IF(A174="","",INDEX(Model!$Z$5:$Z$504,MATCH(ROWS($A$5:A174),Model!$AD$5:$AD$504,0)))</f>
        <v/>
      </c>
      <c r="T174" s="18">
        <f>IF(A174="","",INDEX(Model!$AA$5:$AA$504,MATCH(ROWS($A$5:A174),Model!$AD$5:$AD$504,0)))</f>
        <v/>
      </c>
      <c r="U174" s="13" t="n"/>
      <c r="V174" s="13" t="n"/>
      <c r="W174" s="13" t="n"/>
    </row>
    <row r="175">
      <c r="A175" s="18">
        <f>IFERROR(INDEX(Model!$B$5:$B$504,MATCH(ROWS($A$5:A175),Model!$AD$5:$AD$504,0)),"")</f>
        <v/>
      </c>
      <c r="B175" s="18">
        <f>IF(A175="","",INDEX(Model!$C$5:$C$504,MATCH(ROWS($A$5:A175),Model!$AD$5:$AD$504,0)))</f>
        <v/>
      </c>
      <c r="C175" s="18">
        <f>IF(A175="","",INDEX(Model!$D$5:$D$504,MATCH(ROWS($A$5:A175),Model!$AD$5:$AD$504,0)))</f>
        <v/>
      </c>
      <c r="D175" s="18">
        <f>IF(A175="","",INDEX(Model!$E$5:$E$504,MATCH(ROWS($A$5:A175),Model!$AD$5:$AD$504,0)))</f>
        <v/>
      </c>
      <c r="E175" s="19">
        <f>IF(A175="","",INDEX(Model!$F$5:$F$504,MATCH(ROWS($A$5:A175),Model!$AD$5:$AD$504,0)))</f>
        <v/>
      </c>
      <c r="F175" s="19">
        <f>IF(A175="","",INDEX(Model!$G$5:$G$504,MATCH(ROWS($A$5:A175),Model!$AD$5:$AD$504,0)))</f>
        <v/>
      </c>
      <c r="G175" s="18">
        <f>IF(A175="","",INDEX(Model!$H$5:$H$504,MATCH(ROWS($A$5:A175),Model!$AD$5:$AD$504,0)))</f>
        <v/>
      </c>
      <c r="H175" s="18">
        <f>IF(A175="","",INDEX(Model!$L$5:$L$504,MATCH(ROWS($A$5:A175),Model!$AD$5:$AD$504,0)))</f>
        <v/>
      </c>
      <c r="I175" s="20">
        <f>IF(A175="","",INDEX(Model!$P$5:$P$504,MATCH(ROWS($A$5:A175),Model!$AD$5:$AD$504,0)))</f>
        <v/>
      </c>
      <c r="J175" s="20">
        <f>IF(A175="","",INDEX(Model!$Q$5:$Q$504,MATCH(ROWS($A$5:A175),Model!$AD$5:$AD$504,0)))</f>
        <v/>
      </c>
      <c r="K175" s="21">
        <f>IF(A175="","",INDEX(Model!$R$5:$R$504,MATCH(ROWS($A$5:A175),Model!$AD$5:$AD$504,0)))</f>
        <v/>
      </c>
      <c r="L175" s="20">
        <f>IF(A175="","",INDEX(Model!$S$5:$S$504,MATCH(ROWS($A$5:A175),Model!$AD$5:$AD$504,0)))</f>
        <v/>
      </c>
      <c r="M175" s="21">
        <f>IF(A175="","",INDEX(Model!$T$5:$T$504,MATCH(ROWS($A$5:A175),Model!$AD$5:$AD$504,0)))</f>
        <v/>
      </c>
      <c r="N175" s="18">
        <f>IF(A175="","",INDEX(Model!$U$5:$U$504,MATCH(ROWS($A$5:A175),Model!$AD$5:$AD$504,0)))</f>
        <v/>
      </c>
      <c r="O175" s="18">
        <f>IF(A175="","",INDEX(Model!$V$5:$V$504,MATCH(ROWS($A$5:A175),Model!$AD$5:$AD$504,0)))</f>
        <v/>
      </c>
      <c r="P175" s="18">
        <f>IF(A175="","",INDEX(Model!$W$5:$W$504,MATCH(ROWS($A$5:A175),Model!$AD$5:$AD$504,0)))</f>
        <v/>
      </c>
      <c r="Q175" s="18">
        <f>IF(A175="","",INDEX(Model!$X$5:$X$504,MATCH(ROWS($A$5:A175),Model!$AD$5:$AD$504,0)))</f>
        <v/>
      </c>
      <c r="R175" s="18">
        <f>IF(A175="","",INDEX(Model!$Y$5:$Y$504,MATCH(ROWS($A$5:A175),Model!$AD$5:$AD$504,0)))</f>
        <v/>
      </c>
      <c r="S175" s="21">
        <f>IF(A175="","",INDEX(Model!$Z$5:$Z$504,MATCH(ROWS($A$5:A175),Model!$AD$5:$AD$504,0)))</f>
        <v/>
      </c>
      <c r="T175" s="18">
        <f>IF(A175="","",INDEX(Model!$AA$5:$AA$504,MATCH(ROWS($A$5:A175),Model!$AD$5:$AD$504,0)))</f>
        <v/>
      </c>
      <c r="U175" s="13" t="n"/>
      <c r="V175" s="13" t="n"/>
      <c r="W175" s="13" t="n"/>
    </row>
    <row r="176">
      <c r="A176" s="18">
        <f>IFERROR(INDEX(Model!$B$5:$B$504,MATCH(ROWS($A$5:A176),Model!$AD$5:$AD$504,0)),"")</f>
        <v/>
      </c>
      <c r="B176" s="18">
        <f>IF(A176="","",INDEX(Model!$C$5:$C$504,MATCH(ROWS($A$5:A176),Model!$AD$5:$AD$504,0)))</f>
        <v/>
      </c>
      <c r="C176" s="18">
        <f>IF(A176="","",INDEX(Model!$D$5:$D$504,MATCH(ROWS($A$5:A176),Model!$AD$5:$AD$504,0)))</f>
        <v/>
      </c>
      <c r="D176" s="18">
        <f>IF(A176="","",INDEX(Model!$E$5:$E$504,MATCH(ROWS($A$5:A176),Model!$AD$5:$AD$504,0)))</f>
        <v/>
      </c>
      <c r="E176" s="19">
        <f>IF(A176="","",INDEX(Model!$F$5:$F$504,MATCH(ROWS($A$5:A176),Model!$AD$5:$AD$504,0)))</f>
        <v/>
      </c>
      <c r="F176" s="19">
        <f>IF(A176="","",INDEX(Model!$G$5:$G$504,MATCH(ROWS($A$5:A176),Model!$AD$5:$AD$504,0)))</f>
        <v/>
      </c>
      <c r="G176" s="18">
        <f>IF(A176="","",INDEX(Model!$H$5:$H$504,MATCH(ROWS($A$5:A176),Model!$AD$5:$AD$504,0)))</f>
        <v/>
      </c>
      <c r="H176" s="18">
        <f>IF(A176="","",INDEX(Model!$L$5:$L$504,MATCH(ROWS($A$5:A176),Model!$AD$5:$AD$504,0)))</f>
        <v/>
      </c>
      <c r="I176" s="20">
        <f>IF(A176="","",INDEX(Model!$P$5:$P$504,MATCH(ROWS($A$5:A176),Model!$AD$5:$AD$504,0)))</f>
        <v/>
      </c>
      <c r="J176" s="20">
        <f>IF(A176="","",INDEX(Model!$Q$5:$Q$504,MATCH(ROWS($A$5:A176),Model!$AD$5:$AD$504,0)))</f>
        <v/>
      </c>
      <c r="K176" s="21">
        <f>IF(A176="","",INDEX(Model!$R$5:$R$504,MATCH(ROWS($A$5:A176),Model!$AD$5:$AD$504,0)))</f>
        <v/>
      </c>
      <c r="L176" s="20">
        <f>IF(A176="","",INDEX(Model!$S$5:$S$504,MATCH(ROWS($A$5:A176),Model!$AD$5:$AD$504,0)))</f>
        <v/>
      </c>
      <c r="M176" s="21">
        <f>IF(A176="","",INDEX(Model!$T$5:$T$504,MATCH(ROWS($A$5:A176),Model!$AD$5:$AD$504,0)))</f>
        <v/>
      </c>
      <c r="N176" s="18">
        <f>IF(A176="","",INDEX(Model!$U$5:$U$504,MATCH(ROWS($A$5:A176),Model!$AD$5:$AD$504,0)))</f>
        <v/>
      </c>
      <c r="O176" s="18">
        <f>IF(A176="","",INDEX(Model!$V$5:$V$504,MATCH(ROWS($A$5:A176),Model!$AD$5:$AD$504,0)))</f>
        <v/>
      </c>
      <c r="P176" s="18">
        <f>IF(A176="","",INDEX(Model!$W$5:$W$504,MATCH(ROWS($A$5:A176),Model!$AD$5:$AD$504,0)))</f>
        <v/>
      </c>
      <c r="Q176" s="18">
        <f>IF(A176="","",INDEX(Model!$X$5:$X$504,MATCH(ROWS($A$5:A176),Model!$AD$5:$AD$504,0)))</f>
        <v/>
      </c>
      <c r="R176" s="18">
        <f>IF(A176="","",INDEX(Model!$Y$5:$Y$504,MATCH(ROWS($A$5:A176),Model!$AD$5:$AD$504,0)))</f>
        <v/>
      </c>
      <c r="S176" s="21">
        <f>IF(A176="","",INDEX(Model!$Z$5:$Z$504,MATCH(ROWS($A$5:A176),Model!$AD$5:$AD$504,0)))</f>
        <v/>
      </c>
      <c r="T176" s="18">
        <f>IF(A176="","",INDEX(Model!$AA$5:$AA$504,MATCH(ROWS($A$5:A176),Model!$AD$5:$AD$504,0)))</f>
        <v/>
      </c>
      <c r="U176" s="13" t="n"/>
      <c r="V176" s="13" t="n"/>
      <c r="W176" s="13" t="n"/>
    </row>
    <row r="177">
      <c r="A177" s="18">
        <f>IFERROR(INDEX(Model!$B$5:$B$504,MATCH(ROWS($A$5:A177),Model!$AD$5:$AD$504,0)),"")</f>
        <v/>
      </c>
      <c r="B177" s="18">
        <f>IF(A177="","",INDEX(Model!$C$5:$C$504,MATCH(ROWS($A$5:A177),Model!$AD$5:$AD$504,0)))</f>
        <v/>
      </c>
      <c r="C177" s="18">
        <f>IF(A177="","",INDEX(Model!$D$5:$D$504,MATCH(ROWS($A$5:A177),Model!$AD$5:$AD$504,0)))</f>
        <v/>
      </c>
      <c r="D177" s="18">
        <f>IF(A177="","",INDEX(Model!$E$5:$E$504,MATCH(ROWS($A$5:A177),Model!$AD$5:$AD$504,0)))</f>
        <v/>
      </c>
      <c r="E177" s="19">
        <f>IF(A177="","",INDEX(Model!$F$5:$F$504,MATCH(ROWS($A$5:A177),Model!$AD$5:$AD$504,0)))</f>
        <v/>
      </c>
      <c r="F177" s="19">
        <f>IF(A177="","",INDEX(Model!$G$5:$G$504,MATCH(ROWS($A$5:A177),Model!$AD$5:$AD$504,0)))</f>
        <v/>
      </c>
      <c r="G177" s="18">
        <f>IF(A177="","",INDEX(Model!$H$5:$H$504,MATCH(ROWS($A$5:A177),Model!$AD$5:$AD$504,0)))</f>
        <v/>
      </c>
      <c r="H177" s="18">
        <f>IF(A177="","",INDEX(Model!$L$5:$L$504,MATCH(ROWS($A$5:A177),Model!$AD$5:$AD$504,0)))</f>
        <v/>
      </c>
      <c r="I177" s="20">
        <f>IF(A177="","",INDEX(Model!$P$5:$P$504,MATCH(ROWS($A$5:A177),Model!$AD$5:$AD$504,0)))</f>
        <v/>
      </c>
      <c r="J177" s="20">
        <f>IF(A177="","",INDEX(Model!$Q$5:$Q$504,MATCH(ROWS($A$5:A177),Model!$AD$5:$AD$504,0)))</f>
        <v/>
      </c>
      <c r="K177" s="21">
        <f>IF(A177="","",INDEX(Model!$R$5:$R$504,MATCH(ROWS($A$5:A177),Model!$AD$5:$AD$504,0)))</f>
        <v/>
      </c>
      <c r="L177" s="20">
        <f>IF(A177="","",INDEX(Model!$S$5:$S$504,MATCH(ROWS($A$5:A177),Model!$AD$5:$AD$504,0)))</f>
        <v/>
      </c>
      <c r="M177" s="21">
        <f>IF(A177="","",INDEX(Model!$T$5:$T$504,MATCH(ROWS($A$5:A177),Model!$AD$5:$AD$504,0)))</f>
        <v/>
      </c>
      <c r="N177" s="18">
        <f>IF(A177="","",INDEX(Model!$U$5:$U$504,MATCH(ROWS($A$5:A177),Model!$AD$5:$AD$504,0)))</f>
        <v/>
      </c>
      <c r="O177" s="18">
        <f>IF(A177="","",INDEX(Model!$V$5:$V$504,MATCH(ROWS($A$5:A177),Model!$AD$5:$AD$504,0)))</f>
        <v/>
      </c>
      <c r="P177" s="18">
        <f>IF(A177="","",INDEX(Model!$W$5:$W$504,MATCH(ROWS($A$5:A177),Model!$AD$5:$AD$504,0)))</f>
        <v/>
      </c>
      <c r="Q177" s="18">
        <f>IF(A177="","",INDEX(Model!$X$5:$X$504,MATCH(ROWS($A$5:A177),Model!$AD$5:$AD$504,0)))</f>
        <v/>
      </c>
      <c r="R177" s="18">
        <f>IF(A177="","",INDEX(Model!$Y$5:$Y$504,MATCH(ROWS($A$5:A177),Model!$AD$5:$AD$504,0)))</f>
        <v/>
      </c>
      <c r="S177" s="21">
        <f>IF(A177="","",INDEX(Model!$Z$5:$Z$504,MATCH(ROWS($A$5:A177),Model!$AD$5:$AD$504,0)))</f>
        <v/>
      </c>
      <c r="T177" s="18">
        <f>IF(A177="","",INDEX(Model!$AA$5:$AA$504,MATCH(ROWS($A$5:A177),Model!$AD$5:$AD$504,0)))</f>
        <v/>
      </c>
      <c r="U177" s="13" t="n"/>
      <c r="V177" s="13" t="n"/>
      <c r="W177" s="13" t="n"/>
    </row>
    <row r="178">
      <c r="A178" s="18">
        <f>IFERROR(INDEX(Model!$B$5:$B$504,MATCH(ROWS($A$5:A178),Model!$AD$5:$AD$504,0)),"")</f>
        <v/>
      </c>
      <c r="B178" s="18">
        <f>IF(A178="","",INDEX(Model!$C$5:$C$504,MATCH(ROWS($A$5:A178),Model!$AD$5:$AD$504,0)))</f>
        <v/>
      </c>
      <c r="C178" s="18">
        <f>IF(A178="","",INDEX(Model!$D$5:$D$504,MATCH(ROWS($A$5:A178),Model!$AD$5:$AD$504,0)))</f>
        <v/>
      </c>
      <c r="D178" s="18">
        <f>IF(A178="","",INDEX(Model!$E$5:$E$504,MATCH(ROWS($A$5:A178),Model!$AD$5:$AD$504,0)))</f>
        <v/>
      </c>
      <c r="E178" s="19">
        <f>IF(A178="","",INDEX(Model!$F$5:$F$504,MATCH(ROWS($A$5:A178),Model!$AD$5:$AD$504,0)))</f>
        <v/>
      </c>
      <c r="F178" s="19">
        <f>IF(A178="","",INDEX(Model!$G$5:$G$504,MATCH(ROWS($A$5:A178),Model!$AD$5:$AD$504,0)))</f>
        <v/>
      </c>
      <c r="G178" s="18">
        <f>IF(A178="","",INDEX(Model!$H$5:$H$504,MATCH(ROWS($A$5:A178),Model!$AD$5:$AD$504,0)))</f>
        <v/>
      </c>
      <c r="H178" s="18">
        <f>IF(A178="","",INDEX(Model!$L$5:$L$504,MATCH(ROWS($A$5:A178),Model!$AD$5:$AD$504,0)))</f>
        <v/>
      </c>
      <c r="I178" s="20">
        <f>IF(A178="","",INDEX(Model!$P$5:$P$504,MATCH(ROWS($A$5:A178),Model!$AD$5:$AD$504,0)))</f>
        <v/>
      </c>
      <c r="J178" s="20">
        <f>IF(A178="","",INDEX(Model!$Q$5:$Q$504,MATCH(ROWS($A$5:A178),Model!$AD$5:$AD$504,0)))</f>
        <v/>
      </c>
      <c r="K178" s="21">
        <f>IF(A178="","",INDEX(Model!$R$5:$R$504,MATCH(ROWS($A$5:A178),Model!$AD$5:$AD$504,0)))</f>
        <v/>
      </c>
      <c r="L178" s="20">
        <f>IF(A178="","",INDEX(Model!$S$5:$S$504,MATCH(ROWS($A$5:A178),Model!$AD$5:$AD$504,0)))</f>
        <v/>
      </c>
      <c r="M178" s="21">
        <f>IF(A178="","",INDEX(Model!$T$5:$T$504,MATCH(ROWS($A$5:A178),Model!$AD$5:$AD$504,0)))</f>
        <v/>
      </c>
      <c r="N178" s="18">
        <f>IF(A178="","",INDEX(Model!$U$5:$U$504,MATCH(ROWS($A$5:A178),Model!$AD$5:$AD$504,0)))</f>
        <v/>
      </c>
      <c r="O178" s="18">
        <f>IF(A178="","",INDEX(Model!$V$5:$V$504,MATCH(ROWS($A$5:A178),Model!$AD$5:$AD$504,0)))</f>
        <v/>
      </c>
      <c r="P178" s="18">
        <f>IF(A178="","",INDEX(Model!$W$5:$W$504,MATCH(ROWS($A$5:A178),Model!$AD$5:$AD$504,0)))</f>
        <v/>
      </c>
      <c r="Q178" s="18">
        <f>IF(A178="","",INDEX(Model!$X$5:$X$504,MATCH(ROWS($A$5:A178),Model!$AD$5:$AD$504,0)))</f>
        <v/>
      </c>
      <c r="R178" s="18">
        <f>IF(A178="","",INDEX(Model!$Y$5:$Y$504,MATCH(ROWS($A$5:A178),Model!$AD$5:$AD$504,0)))</f>
        <v/>
      </c>
      <c r="S178" s="21">
        <f>IF(A178="","",INDEX(Model!$Z$5:$Z$504,MATCH(ROWS($A$5:A178),Model!$AD$5:$AD$504,0)))</f>
        <v/>
      </c>
      <c r="T178" s="18">
        <f>IF(A178="","",INDEX(Model!$AA$5:$AA$504,MATCH(ROWS($A$5:A178),Model!$AD$5:$AD$504,0)))</f>
        <v/>
      </c>
      <c r="U178" s="13" t="n"/>
      <c r="V178" s="13" t="n"/>
      <c r="W178" s="13" t="n"/>
    </row>
    <row r="179">
      <c r="A179" s="18">
        <f>IFERROR(INDEX(Model!$B$5:$B$504,MATCH(ROWS($A$5:A179),Model!$AD$5:$AD$504,0)),"")</f>
        <v/>
      </c>
      <c r="B179" s="18">
        <f>IF(A179="","",INDEX(Model!$C$5:$C$504,MATCH(ROWS($A$5:A179),Model!$AD$5:$AD$504,0)))</f>
        <v/>
      </c>
      <c r="C179" s="18">
        <f>IF(A179="","",INDEX(Model!$D$5:$D$504,MATCH(ROWS($A$5:A179),Model!$AD$5:$AD$504,0)))</f>
        <v/>
      </c>
      <c r="D179" s="18">
        <f>IF(A179="","",INDEX(Model!$E$5:$E$504,MATCH(ROWS($A$5:A179),Model!$AD$5:$AD$504,0)))</f>
        <v/>
      </c>
      <c r="E179" s="19">
        <f>IF(A179="","",INDEX(Model!$F$5:$F$504,MATCH(ROWS($A$5:A179),Model!$AD$5:$AD$504,0)))</f>
        <v/>
      </c>
      <c r="F179" s="19">
        <f>IF(A179="","",INDEX(Model!$G$5:$G$504,MATCH(ROWS($A$5:A179),Model!$AD$5:$AD$504,0)))</f>
        <v/>
      </c>
      <c r="G179" s="18">
        <f>IF(A179="","",INDEX(Model!$H$5:$H$504,MATCH(ROWS($A$5:A179),Model!$AD$5:$AD$504,0)))</f>
        <v/>
      </c>
      <c r="H179" s="18">
        <f>IF(A179="","",INDEX(Model!$L$5:$L$504,MATCH(ROWS($A$5:A179),Model!$AD$5:$AD$504,0)))</f>
        <v/>
      </c>
      <c r="I179" s="20">
        <f>IF(A179="","",INDEX(Model!$P$5:$P$504,MATCH(ROWS($A$5:A179),Model!$AD$5:$AD$504,0)))</f>
        <v/>
      </c>
      <c r="J179" s="20">
        <f>IF(A179="","",INDEX(Model!$Q$5:$Q$504,MATCH(ROWS($A$5:A179),Model!$AD$5:$AD$504,0)))</f>
        <v/>
      </c>
      <c r="K179" s="21">
        <f>IF(A179="","",INDEX(Model!$R$5:$R$504,MATCH(ROWS($A$5:A179),Model!$AD$5:$AD$504,0)))</f>
        <v/>
      </c>
      <c r="L179" s="20">
        <f>IF(A179="","",INDEX(Model!$S$5:$S$504,MATCH(ROWS($A$5:A179),Model!$AD$5:$AD$504,0)))</f>
        <v/>
      </c>
      <c r="M179" s="21">
        <f>IF(A179="","",INDEX(Model!$T$5:$T$504,MATCH(ROWS($A$5:A179),Model!$AD$5:$AD$504,0)))</f>
        <v/>
      </c>
      <c r="N179" s="18">
        <f>IF(A179="","",INDEX(Model!$U$5:$U$504,MATCH(ROWS($A$5:A179),Model!$AD$5:$AD$504,0)))</f>
        <v/>
      </c>
      <c r="O179" s="18">
        <f>IF(A179="","",INDEX(Model!$V$5:$V$504,MATCH(ROWS($A$5:A179),Model!$AD$5:$AD$504,0)))</f>
        <v/>
      </c>
      <c r="P179" s="18">
        <f>IF(A179="","",INDEX(Model!$W$5:$W$504,MATCH(ROWS($A$5:A179),Model!$AD$5:$AD$504,0)))</f>
        <v/>
      </c>
      <c r="Q179" s="18">
        <f>IF(A179="","",INDEX(Model!$X$5:$X$504,MATCH(ROWS($A$5:A179),Model!$AD$5:$AD$504,0)))</f>
        <v/>
      </c>
      <c r="R179" s="18">
        <f>IF(A179="","",INDEX(Model!$Y$5:$Y$504,MATCH(ROWS($A$5:A179),Model!$AD$5:$AD$504,0)))</f>
        <v/>
      </c>
      <c r="S179" s="21">
        <f>IF(A179="","",INDEX(Model!$Z$5:$Z$504,MATCH(ROWS($A$5:A179),Model!$AD$5:$AD$504,0)))</f>
        <v/>
      </c>
      <c r="T179" s="18">
        <f>IF(A179="","",INDEX(Model!$AA$5:$AA$504,MATCH(ROWS($A$5:A179),Model!$AD$5:$AD$504,0)))</f>
        <v/>
      </c>
      <c r="U179" s="13" t="n"/>
      <c r="V179" s="13" t="n"/>
      <c r="W179" s="13" t="n"/>
    </row>
    <row r="180">
      <c r="A180" s="18">
        <f>IFERROR(INDEX(Model!$B$5:$B$504,MATCH(ROWS($A$5:A180),Model!$AD$5:$AD$504,0)),"")</f>
        <v/>
      </c>
      <c r="B180" s="18">
        <f>IF(A180="","",INDEX(Model!$C$5:$C$504,MATCH(ROWS($A$5:A180),Model!$AD$5:$AD$504,0)))</f>
        <v/>
      </c>
      <c r="C180" s="18">
        <f>IF(A180="","",INDEX(Model!$D$5:$D$504,MATCH(ROWS($A$5:A180),Model!$AD$5:$AD$504,0)))</f>
        <v/>
      </c>
      <c r="D180" s="18">
        <f>IF(A180="","",INDEX(Model!$E$5:$E$504,MATCH(ROWS($A$5:A180),Model!$AD$5:$AD$504,0)))</f>
        <v/>
      </c>
      <c r="E180" s="19">
        <f>IF(A180="","",INDEX(Model!$F$5:$F$504,MATCH(ROWS($A$5:A180),Model!$AD$5:$AD$504,0)))</f>
        <v/>
      </c>
      <c r="F180" s="19">
        <f>IF(A180="","",INDEX(Model!$G$5:$G$504,MATCH(ROWS($A$5:A180),Model!$AD$5:$AD$504,0)))</f>
        <v/>
      </c>
      <c r="G180" s="18">
        <f>IF(A180="","",INDEX(Model!$H$5:$H$504,MATCH(ROWS($A$5:A180),Model!$AD$5:$AD$504,0)))</f>
        <v/>
      </c>
      <c r="H180" s="18">
        <f>IF(A180="","",INDEX(Model!$L$5:$L$504,MATCH(ROWS($A$5:A180),Model!$AD$5:$AD$504,0)))</f>
        <v/>
      </c>
      <c r="I180" s="20">
        <f>IF(A180="","",INDEX(Model!$P$5:$P$504,MATCH(ROWS($A$5:A180),Model!$AD$5:$AD$504,0)))</f>
        <v/>
      </c>
      <c r="J180" s="20">
        <f>IF(A180="","",INDEX(Model!$Q$5:$Q$504,MATCH(ROWS($A$5:A180),Model!$AD$5:$AD$504,0)))</f>
        <v/>
      </c>
      <c r="K180" s="21">
        <f>IF(A180="","",INDEX(Model!$R$5:$R$504,MATCH(ROWS($A$5:A180),Model!$AD$5:$AD$504,0)))</f>
        <v/>
      </c>
      <c r="L180" s="20">
        <f>IF(A180="","",INDEX(Model!$S$5:$S$504,MATCH(ROWS($A$5:A180),Model!$AD$5:$AD$504,0)))</f>
        <v/>
      </c>
      <c r="M180" s="21">
        <f>IF(A180="","",INDEX(Model!$T$5:$T$504,MATCH(ROWS($A$5:A180),Model!$AD$5:$AD$504,0)))</f>
        <v/>
      </c>
      <c r="N180" s="18">
        <f>IF(A180="","",INDEX(Model!$U$5:$U$504,MATCH(ROWS($A$5:A180),Model!$AD$5:$AD$504,0)))</f>
        <v/>
      </c>
      <c r="O180" s="18">
        <f>IF(A180="","",INDEX(Model!$V$5:$V$504,MATCH(ROWS($A$5:A180),Model!$AD$5:$AD$504,0)))</f>
        <v/>
      </c>
      <c r="P180" s="18">
        <f>IF(A180="","",INDEX(Model!$W$5:$W$504,MATCH(ROWS($A$5:A180),Model!$AD$5:$AD$504,0)))</f>
        <v/>
      </c>
      <c r="Q180" s="18">
        <f>IF(A180="","",INDEX(Model!$X$5:$X$504,MATCH(ROWS($A$5:A180),Model!$AD$5:$AD$504,0)))</f>
        <v/>
      </c>
      <c r="R180" s="18">
        <f>IF(A180="","",INDEX(Model!$Y$5:$Y$504,MATCH(ROWS($A$5:A180),Model!$AD$5:$AD$504,0)))</f>
        <v/>
      </c>
      <c r="S180" s="21">
        <f>IF(A180="","",INDEX(Model!$Z$5:$Z$504,MATCH(ROWS($A$5:A180),Model!$AD$5:$AD$504,0)))</f>
        <v/>
      </c>
      <c r="T180" s="18">
        <f>IF(A180="","",INDEX(Model!$AA$5:$AA$504,MATCH(ROWS($A$5:A180),Model!$AD$5:$AD$504,0)))</f>
        <v/>
      </c>
      <c r="U180" s="13" t="n"/>
      <c r="V180" s="13" t="n"/>
      <c r="W180" s="13" t="n"/>
    </row>
    <row r="181">
      <c r="A181" s="18">
        <f>IFERROR(INDEX(Model!$B$5:$B$504,MATCH(ROWS($A$5:A181),Model!$AD$5:$AD$504,0)),"")</f>
        <v/>
      </c>
      <c r="B181" s="18">
        <f>IF(A181="","",INDEX(Model!$C$5:$C$504,MATCH(ROWS($A$5:A181),Model!$AD$5:$AD$504,0)))</f>
        <v/>
      </c>
      <c r="C181" s="18">
        <f>IF(A181="","",INDEX(Model!$D$5:$D$504,MATCH(ROWS($A$5:A181),Model!$AD$5:$AD$504,0)))</f>
        <v/>
      </c>
      <c r="D181" s="18">
        <f>IF(A181="","",INDEX(Model!$E$5:$E$504,MATCH(ROWS($A$5:A181),Model!$AD$5:$AD$504,0)))</f>
        <v/>
      </c>
      <c r="E181" s="19">
        <f>IF(A181="","",INDEX(Model!$F$5:$F$504,MATCH(ROWS($A$5:A181),Model!$AD$5:$AD$504,0)))</f>
        <v/>
      </c>
      <c r="F181" s="19">
        <f>IF(A181="","",INDEX(Model!$G$5:$G$504,MATCH(ROWS($A$5:A181),Model!$AD$5:$AD$504,0)))</f>
        <v/>
      </c>
      <c r="G181" s="18">
        <f>IF(A181="","",INDEX(Model!$H$5:$H$504,MATCH(ROWS($A$5:A181),Model!$AD$5:$AD$504,0)))</f>
        <v/>
      </c>
      <c r="H181" s="18">
        <f>IF(A181="","",INDEX(Model!$L$5:$L$504,MATCH(ROWS($A$5:A181),Model!$AD$5:$AD$504,0)))</f>
        <v/>
      </c>
      <c r="I181" s="20">
        <f>IF(A181="","",INDEX(Model!$P$5:$P$504,MATCH(ROWS($A$5:A181),Model!$AD$5:$AD$504,0)))</f>
        <v/>
      </c>
      <c r="J181" s="20">
        <f>IF(A181="","",INDEX(Model!$Q$5:$Q$504,MATCH(ROWS($A$5:A181),Model!$AD$5:$AD$504,0)))</f>
        <v/>
      </c>
      <c r="K181" s="21">
        <f>IF(A181="","",INDEX(Model!$R$5:$R$504,MATCH(ROWS($A$5:A181),Model!$AD$5:$AD$504,0)))</f>
        <v/>
      </c>
      <c r="L181" s="20">
        <f>IF(A181="","",INDEX(Model!$S$5:$S$504,MATCH(ROWS($A$5:A181),Model!$AD$5:$AD$504,0)))</f>
        <v/>
      </c>
      <c r="M181" s="21">
        <f>IF(A181="","",INDEX(Model!$T$5:$T$504,MATCH(ROWS($A$5:A181),Model!$AD$5:$AD$504,0)))</f>
        <v/>
      </c>
      <c r="N181" s="18">
        <f>IF(A181="","",INDEX(Model!$U$5:$U$504,MATCH(ROWS($A$5:A181),Model!$AD$5:$AD$504,0)))</f>
        <v/>
      </c>
      <c r="O181" s="18">
        <f>IF(A181="","",INDEX(Model!$V$5:$V$504,MATCH(ROWS($A$5:A181),Model!$AD$5:$AD$504,0)))</f>
        <v/>
      </c>
      <c r="P181" s="18">
        <f>IF(A181="","",INDEX(Model!$W$5:$W$504,MATCH(ROWS($A$5:A181),Model!$AD$5:$AD$504,0)))</f>
        <v/>
      </c>
      <c r="Q181" s="18">
        <f>IF(A181="","",INDEX(Model!$X$5:$X$504,MATCH(ROWS($A$5:A181),Model!$AD$5:$AD$504,0)))</f>
        <v/>
      </c>
      <c r="R181" s="18">
        <f>IF(A181="","",INDEX(Model!$Y$5:$Y$504,MATCH(ROWS($A$5:A181),Model!$AD$5:$AD$504,0)))</f>
        <v/>
      </c>
      <c r="S181" s="21">
        <f>IF(A181="","",INDEX(Model!$Z$5:$Z$504,MATCH(ROWS($A$5:A181),Model!$AD$5:$AD$504,0)))</f>
        <v/>
      </c>
      <c r="T181" s="18">
        <f>IF(A181="","",INDEX(Model!$AA$5:$AA$504,MATCH(ROWS($A$5:A181),Model!$AD$5:$AD$504,0)))</f>
        <v/>
      </c>
      <c r="U181" s="13" t="n"/>
      <c r="V181" s="13" t="n"/>
      <c r="W181" s="13" t="n"/>
    </row>
    <row r="182">
      <c r="A182" s="18">
        <f>IFERROR(INDEX(Model!$B$5:$B$504,MATCH(ROWS($A$5:A182),Model!$AD$5:$AD$504,0)),"")</f>
        <v/>
      </c>
      <c r="B182" s="18">
        <f>IF(A182="","",INDEX(Model!$C$5:$C$504,MATCH(ROWS($A$5:A182),Model!$AD$5:$AD$504,0)))</f>
        <v/>
      </c>
      <c r="C182" s="18">
        <f>IF(A182="","",INDEX(Model!$D$5:$D$504,MATCH(ROWS($A$5:A182),Model!$AD$5:$AD$504,0)))</f>
        <v/>
      </c>
      <c r="D182" s="18">
        <f>IF(A182="","",INDEX(Model!$E$5:$E$504,MATCH(ROWS($A$5:A182),Model!$AD$5:$AD$504,0)))</f>
        <v/>
      </c>
      <c r="E182" s="19">
        <f>IF(A182="","",INDEX(Model!$F$5:$F$504,MATCH(ROWS($A$5:A182),Model!$AD$5:$AD$504,0)))</f>
        <v/>
      </c>
      <c r="F182" s="19">
        <f>IF(A182="","",INDEX(Model!$G$5:$G$504,MATCH(ROWS($A$5:A182),Model!$AD$5:$AD$504,0)))</f>
        <v/>
      </c>
      <c r="G182" s="18">
        <f>IF(A182="","",INDEX(Model!$H$5:$H$504,MATCH(ROWS($A$5:A182),Model!$AD$5:$AD$504,0)))</f>
        <v/>
      </c>
      <c r="H182" s="18">
        <f>IF(A182="","",INDEX(Model!$L$5:$L$504,MATCH(ROWS($A$5:A182),Model!$AD$5:$AD$504,0)))</f>
        <v/>
      </c>
      <c r="I182" s="20">
        <f>IF(A182="","",INDEX(Model!$P$5:$P$504,MATCH(ROWS($A$5:A182),Model!$AD$5:$AD$504,0)))</f>
        <v/>
      </c>
      <c r="J182" s="20">
        <f>IF(A182="","",INDEX(Model!$Q$5:$Q$504,MATCH(ROWS($A$5:A182),Model!$AD$5:$AD$504,0)))</f>
        <v/>
      </c>
      <c r="K182" s="21">
        <f>IF(A182="","",INDEX(Model!$R$5:$R$504,MATCH(ROWS($A$5:A182),Model!$AD$5:$AD$504,0)))</f>
        <v/>
      </c>
      <c r="L182" s="20">
        <f>IF(A182="","",INDEX(Model!$S$5:$S$504,MATCH(ROWS($A$5:A182),Model!$AD$5:$AD$504,0)))</f>
        <v/>
      </c>
      <c r="M182" s="21">
        <f>IF(A182="","",INDEX(Model!$T$5:$T$504,MATCH(ROWS($A$5:A182),Model!$AD$5:$AD$504,0)))</f>
        <v/>
      </c>
      <c r="N182" s="18">
        <f>IF(A182="","",INDEX(Model!$U$5:$U$504,MATCH(ROWS($A$5:A182),Model!$AD$5:$AD$504,0)))</f>
        <v/>
      </c>
      <c r="O182" s="18">
        <f>IF(A182="","",INDEX(Model!$V$5:$V$504,MATCH(ROWS($A$5:A182),Model!$AD$5:$AD$504,0)))</f>
        <v/>
      </c>
      <c r="P182" s="18">
        <f>IF(A182="","",INDEX(Model!$W$5:$W$504,MATCH(ROWS($A$5:A182),Model!$AD$5:$AD$504,0)))</f>
        <v/>
      </c>
      <c r="Q182" s="18">
        <f>IF(A182="","",INDEX(Model!$X$5:$X$504,MATCH(ROWS($A$5:A182),Model!$AD$5:$AD$504,0)))</f>
        <v/>
      </c>
      <c r="R182" s="18">
        <f>IF(A182="","",INDEX(Model!$Y$5:$Y$504,MATCH(ROWS($A$5:A182),Model!$AD$5:$AD$504,0)))</f>
        <v/>
      </c>
      <c r="S182" s="21">
        <f>IF(A182="","",INDEX(Model!$Z$5:$Z$504,MATCH(ROWS($A$5:A182),Model!$AD$5:$AD$504,0)))</f>
        <v/>
      </c>
      <c r="T182" s="18">
        <f>IF(A182="","",INDEX(Model!$AA$5:$AA$504,MATCH(ROWS($A$5:A182),Model!$AD$5:$AD$504,0)))</f>
        <v/>
      </c>
      <c r="U182" s="13" t="n"/>
      <c r="V182" s="13" t="n"/>
      <c r="W182" s="13" t="n"/>
    </row>
    <row r="183">
      <c r="A183" s="18">
        <f>IFERROR(INDEX(Model!$B$5:$B$504,MATCH(ROWS($A$5:A183),Model!$AD$5:$AD$504,0)),"")</f>
        <v/>
      </c>
      <c r="B183" s="18">
        <f>IF(A183="","",INDEX(Model!$C$5:$C$504,MATCH(ROWS($A$5:A183),Model!$AD$5:$AD$504,0)))</f>
        <v/>
      </c>
      <c r="C183" s="18">
        <f>IF(A183="","",INDEX(Model!$D$5:$D$504,MATCH(ROWS($A$5:A183),Model!$AD$5:$AD$504,0)))</f>
        <v/>
      </c>
      <c r="D183" s="18">
        <f>IF(A183="","",INDEX(Model!$E$5:$E$504,MATCH(ROWS($A$5:A183),Model!$AD$5:$AD$504,0)))</f>
        <v/>
      </c>
      <c r="E183" s="19">
        <f>IF(A183="","",INDEX(Model!$F$5:$F$504,MATCH(ROWS($A$5:A183),Model!$AD$5:$AD$504,0)))</f>
        <v/>
      </c>
      <c r="F183" s="19">
        <f>IF(A183="","",INDEX(Model!$G$5:$G$504,MATCH(ROWS($A$5:A183),Model!$AD$5:$AD$504,0)))</f>
        <v/>
      </c>
      <c r="G183" s="18">
        <f>IF(A183="","",INDEX(Model!$H$5:$H$504,MATCH(ROWS($A$5:A183),Model!$AD$5:$AD$504,0)))</f>
        <v/>
      </c>
      <c r="H183" s="18">
        <f>IF(A183="","",INDEX(Model!$L$5:$L$504,MATCH(ROWS($A$5:A183),Model!$AD$5:$AD$504,0)))</f>
        <v/>
      </c>
      <c r="I183" s="20">
        <f>IF(A183="","",INDEX(Model!$P$5:$P$504,MATCH(ROWS($A$5:A183),Model!$AD$5:$AD$504,0)))</f>
        <v/>
      </c>
      <c r="J183" s="20">
        <f>IF(A183="","",INDEX(Model!$Q$5:$Q$504,MATCH(ROWS($A$5:A183),Model!$AD$5:$AD$504,0)))</f>
        <v/>
      </c>
      <c r="K183" s="21">
        <f>IF(A183="","",INDEX(Model!$R$5:$R$504,MATCH(ROWS($A$5:A183),Model!$AD$5:$AD$504,0)))</f>
        <v/>
      </c>
      <c r="L183" s="20">
        <f>IF(A183="","",INDEX(Model!$S$5:$S$504,MATCH(ROWS($A$5:A183),Model!$AD$5:$AD$504,0)))</f>
        <v/>
      </c>
      <c r="M183" s="21">
        <f>IF(A183="","",INDEX(Model!$T$5:$T$504,MATCH(ROWS($A$5:A183),Model!$AD$5:$AD$504,0)))</f>
        <v/>
      </c>
      <c r="N183" s="18">
        <f>IF(A183="","",INDEX(Model!$U$5:$U$504,MATCH(ROWS($A$5:A183),Model!$AD$5:$AD$504,0)))</f>
        <v/>
      </c>
      <c r="O183" s="18">
        <f>IF(A183="","",INDEX(Model!$V$5:$V$504,MATCH(ROWS($A$5:A183),Model!$AD$5:$AD$504,0)))</f>
        <v/>
      </c>
      <c r="P183" s="18">
        <f>IF(A183="","",INDEX(Model!$W$5:$W$504,MATCH(ROWS($A$5:A183),Model!$AD$5:$AD$504,0)))</f>
        <v/>
      </c>
      <c r="Q183" s="18">
        <f>IF(A183="","",INDEX(Model!$X$5:$X$504,MATCH(ROWS($A$5:A183),Model!$AD$5:$AD$504,0)))</f>
        <v/>
      </c>
      <c r="R183" s="18">
        <f>IF(A183="","",INDEX(Model!$Y$5:$Y$504,MATCH(ROWS($A$5:A183),Model!$AD$5:$AD$504,0)))</f>
        <v/>
      </c>
      <c r="S183" s="21">
        <f>IF(A183="","",INDEX(Model!$Z$5:$Z$504,MATCH(ROWS($A$5:A183),Model!$AD$5:$AD$504,0)))</f>
        <v/>
      </c>
      <c r="T183" s="18">
        <f>IF(A183="","",INDEX(Model!$AA$5:$AA$504,MATCH(ROWS($A$5:A183),Model!$AD$5:$AD$504,0)))</f>
        <v/>
      </c>
      <c r="U183" s="13" t="n"/>
      <c r="V183" s="13" t="n"/>
      <c r="W183" s="13" t="n"/>
    </row>
    <row r="184">
      <c r="A184" s="18">
        <f>IFERROR(INDEX(Model!$B$5:$B$504,MATCH(ROWS($A$5:A184),Model!$AD$5:$AD$504,0)),"")</f>
        <v/>
      </c>
      <c r="B184" s="18">
        <f>IF(A184="","",INDEX(Model!$C$5:$C$504,MATCH(ROWS($A$5:A184),Model!$AD$5:$AD$504,0)))</f>
        <v/>
      </c>
      <c r="C184" s="18">
        <f>IF(A184="","",INDEX(Model!$D$5:$D$504,MATCH(ROWS($A$5:A184),Model!$AD$5:$AD$504,0)))</f>
        <v/>
      </c>
      <c r="D184" s="18">
        <f>IF(A184="","",INDEX(Model!$E$5:$E$504,MATCH(ROWS($A$5:A184),Model!$AD$5:$AD$504,0)))</f>
        <v/>
      </c>
      <c r="E184" s="19">
        <f>IF(A184="","",INDEX(Model!$F$5:$F$504,MATCH(ROWS($A$5:A184),Model!$AD$5:$AD$504,0)))</f>
        <v/>
      </c>
      <c r="F184" s="19">
        <f>IF(A184="","",INDEX(Model!$G$5:$G$504,MATCH(ROWS($A$5:A184),Model!$AD$5:$AD$504,0)))</f>
        <v/>
      </c>
      <c r="G184" s="18">
        <f>IF(A184="","",INDEX(Model!$H$5:$H$504,MATCH(ROWS($A$5:A184),Model!$AD$5:$AD$504,0)))</f>
        <v/>
      </c>
      <c r="H184" s="18">
        <f>IF(A184="","",INDEX(Model!$L$5:$L$504,MATCH(ROWS($A$5:A184),Model!$AD$5:$AD$504,0)))</f>
        <v/>
      </c>
      <c r="I184" s="20">
        <f>IF(A184="","",INDEX(Model!$P$5:$P$504,MATCH(ROWS($A$5:A184),Model!$AD$5:$AD$504,0)))</f>
        <v/>
      </c>
      <c r="J184" s="20">
        <f>IF(A184="","",INDEX(Model!$Q$5:$Q$504,MATCH(ROWS($A$5:A184),Model!$AD$5:$AD$504,0)))</f>
        <v/>
      </c>
      <c r="K184" s="21">
        <f>IF(A184="","",INDEX(Model!$R$5:$R$504,MATCH(ROWS($A$5:A184),Model!$AD$5:$AD$504,0)))</f>
        <v/>
      </c>
      <c r="L184" s="20">
        <f>IF(A184="","",INDEX(Model!$S$5:$S$504,MATCH(ROWS($A$5:A184),Model!$AD$5:$AD$504,0)))</f>
        <v/>
      </c>
      <c r="M184" s="21">
        <f>IF(A184="","",INDEX(Model!$T$5:$T$504,MATCH(ROWS($A$5:A184),Model!$AD$5:$AD$504,0)))</f>
        <v/>
      </c>
      <c r="N184" s="18">
        <f>IF(A184="","",INDEX(Model!$U$5:$U$504,MATCH(ROWS($A$5:A184),Model!$AD$5:$AD$504,0)))</f>
        <v/>
      </c>
      <c r="O184" s="18">
        <f>IF(A184="","",INDEX(Model!$V$5:$V$504,MATCH(ROWS($A$5:A184),Model!$AD$5:$AD$504,0)))</f>
        <v/>
      </c>
      <c r="P184" s="18">
        <f>IF(A184="","",INDEX(Model!$W$5:$W$504,MATCH(ROWS($A$5:A184),Model!$AD$5:$AD$504,0)))</f>
        <v/>
      </c>
      <c r="Q184" s="18">
        <f>IF(A184="","",INDEX(Model!$X$5:$X$504,MATCH(ROWS($A$5:A184),Model!$AD$5:$AD$504,0)))</f>
        <v/>
      </c>
      <c r="R184" s="18">
        <f>IF(A184="","",INDEX(Model!$Y$5:$Y$504,MATCH(ROWS($A$5:A184),Model!$AD$5:$AD$504,0)))</f>
        <v/>
      </c>
      <c r="S184" s="21">
        <f>IF(A184="","",INDEX(Model!$Z$5:$Z$504,MATCH(ROWS($A$5:A184),Model!$AD$5:$AD$504,0)))</f>
        <v/>
      </c>
      <c r="T184" s="18">
        <f>IF(A184="","",INDEX(Model!$AA$5:$AA$504,MATCH(ROWS($A$5:A184),Model!$AD$5:$AD$504,0)))</f>
        <v/>
      </c>
      <c r="U184" s="13" t="n"/>
      <c r="V184" s="13" t="n"/>
      <c r="W184" s="13" t="n"/>
    </row>
    <row r="185">
      <c r="A185" s="18">
        <f>IFERROR(INDEX(Model!$B$5:$B$504,MATCH(ROWS($A$5:A185),Model!$AD$5:$AD$504,0)),"")</f>
        <v/>
      </c>
      <c r="B185" s="18">
        <f>IF(A185="","",INDEX(Model!$C$5:$C$504,MATCH(ROWS($A$5:A185),Model!$AD$5:$AD$504,0)))</f>
        <v/>
      </c>
      <c r="C185" s="18">
        <f>IF(A185="","",INDEX(Model!$D$5:$D$504,MATCH(ROWS($A$5:A185),Model!$AD$5:$AD$504,0)))</f>
        <v/>
      </c>
      <c r="D185" s="18">
        <f>IF(A185="","",INDEX(Model!$E$5:$E$504,MATCH(ROWS($A$5:A185),Model!$AD$5:$AD$504,0)))</f>
        <v/>
      </c>
      <c r="E185" s="19">
        <f>IF(A185="","",INDEX(Model!$F$5:$F$504,MATCH(ROWS($A$5:A185),Model!$AD$5:$AD$504,0)))</f>
        <v/>
      </c>
      <c r="F185" s="19">
        <f>IF(A185="","",INDEX(Model!$G$5:$G$504,MATCH(ROWS($A$5:A185),Model!$AD$5:$AD$504,0)))</f>
        <v/>
      </c>
      <c r="G185" s="18">
        <f>IF(A185="","",INDEX(Model!$H$5:$H$504,MATCH(ROWS($A$5:A185),Model!$AD$5:$AD$504,0)))</f>
        <v/>
      </c>
      <c r="H185" s="18">
        <f>IF(A185="","",INDEX(Model!$L$5:$L$504,MATCH(ROWS($A$5:A185),Model!$AD$5:$AD$504,0)))</f>
        <v/>
      </c>
      <c r="I185" s="20">
        <f>IF(A185="","",INDEX(Model!$P$5:$P$504,MATCH(ROWS($A$5:A185),Model!$AD$5:$AD$504,0)))</f>
        <v/>
      </c>
      <c r="J185" s="20">
        <f>IF(A185="","",INDEX(Model!$Q$5:$Q$504,MATCH(ROWS($A$5:A185),Model!$AD$5:$AD$504,0)))</f>
        <v/>
      </c>
      <c r="K185" s="21">
        <f>IF(A185="","",INDEX(Model!$R$5:$R$504,MATCH(ROWS($A$5:A185),Model!$AD$5:$AD$504,0)))</f>
        <v/>
      </c>
      <c r="L185" s="20">
        <f>IF(A185="","",INDEX(Model!$S$5:$S$504,MATCH(ROWS($A$5:A185),Model!$AD$5:$AD$504,0)))</f>
        <v/>
      </c>
      <c r="M185" s="21">
        <f>IF(A185="","",INDEX(Model!$T$5:$T$504,MATCH(ROWS($A$5:A185),Model!$AD$5:$AD$504,0)))</f>
        <v/>
      </c>
      <c r="N185" s="18">
        <f>IF(A185="","",INDEX(Model!$U$5:$U$504,MATCH(ROWS($A$5:A185),Model!$AD$5:$AD$504,0)))</f>
        <v/>
      </c>
      <c r="O185" s="18">
        <f>IF(A185="","",INDEX(Model!$V$5:$V$504,MATCH(ROWS($A$5:A185),Model!$AD$5:$AD$504,0)))</f>
        <v/>
      </c>
      <c r="P185" s="18">
        <f>IF(A185="","",INDEX(Model!$W$5:$W$504,MATCH(ROWS($A$5:A185),Model!$AD$5:$AD$504,0)))</f>
        <v/>
      </c>
      <c r="Q185" s="18">
        <f>IF(A185="","",INDEX(Model!$X$5:$X$504,MATCH(ROWS($A$5:A185),Model!$AD$5:$AD$504,0)))</f>
        <v/>
      </c>
      <c r="R185" s="18">
        <f>IF(A185="","",INDEX(Model!$Y$5:$Y$504,MATCH(ROWS($A$5:A185),Model!$AD$5:$AD$504,0)))</f>
        <v/>
      </c>
      <c r="S185" s="21">
        <f>IF(A185="","",INDEX(Model!$Z$5:$Z$504,MATCH(ROWS($A$5:A185),Model!$AD$5:$AD$504,0)))</f>
        <v/>
      </c>
      <c r="T185" s="18">
        <f>IF(A185="","",INDEX(Model!$AA$5:$AA$504,MATCH(ROWS($A$5:A185),Model!$AD$5:$AD$504,0)))</f>
        <v/>
      </c>
      <c r="U185" s="13" t="n"/>
      <c r="V185" s="13" t="n"/>
      <c r="W185" s="13" t="n"/>
    </row>
    <row r="186">
      <c r="A186" s="18">
        <f>IFERROR(INDEX(Model!$B$5:$B$504,MATCH(ROWS($A$5:A186),Model!$AD$5:$AD$504,0)),"")</f>
        <v/>
      </c>
      <c r="B186" s="18">
        <f>IF(A186="","",INDEX(Model!$C$5:$C$504,MATCH(ROWS($A$5:A186),Model!$AD$5:$AD$504,0)))</f>
        <v/>
      </c>
      <c r="C186" s="18">
        <f>IF(A186="","",INDEX(Model!$D$5:$D$504,MATCH(ROWS($A$5:A186),Model!$AD$5:$AD$504,0)))</f>
        <v/>
      </c>
      <c r="D186" s="18">
        <f>IF(A186="","",INDEX(Model!$E$5:$E$504,MATCH(ROWS($A$5:A186),Model!$AD$5:$AD$504,0)))</f>
        <v/>
      </c>
      <c r="E186" s="19">
        <f>IF(A186="","",INDEX(Model!$F$5:$F$504,MATCH(ROWS($A$5:A186),Model!$AD$5:$AD$504,0)))</f>
        <v/>
      </c>
      <c r="F186" s="19">
        <f>IF(A186="","",INDEX(Model!$G$5:$G$504,MATCH(ROWS($A$5:A186),Model!$AD$5:$AD$504,0)))</f>
        <v/>
      </c>
      <c r="G186" s="18">
        <f>IF(A186="","",INDEX(Model!$H$5:$H$504,MATCH(ROWS($A$5:A186),Model!$AD$5:$AD$504,0)))</f>
        <v/>
      </c>
      <c r="H186" s="18">
        <f>IF(A186="","",INDEX(Model!$L$5:$L$504,MATCH(ROWS($A$5:A186),Model!$AD$5:$AD$504,0)))</f>
        <v/>
      </c>
      <c r="I186" s="20">
        <f>IF(A186="","",INDEX(Model!$P$5:$P$504,MATCH(ROWS($A$5:A186),Model!$AD$5:$AD$504,0)))</f>
        <v/>
      </c>
      <c r="J186" s="20">
        <f>IF(A186="","",INDEX(Model!$Q$5:$Q$504,MATCH(ROWS($A$5:A186),Model!$AD$5:$AD$504,0)))</f>
        <v/>
      </c>
      <c r="K186" s="21">
        <f>IF(A186="","",INDEX(Model!$R$5:$R$504,MATCH(ROWS($A$5:A186),Model!$AD$5:$AD$504,0)))</f>
        <v/>
      </c>
      <c r="L186" s="20">
        <f>IF(A186="","",INDEX(Model!$S$5:$S$504,MATCH(ROWS($A$5:A186),Model!$AD$5:$AD$504,0)))</f>
        <v/>
      </c>
      <c r="M186" s="21">
        <f>IF(A186="","",INDEX(Model!$T$5:$T$504,MATCH(ROWS($A$5:A186),Model!$AD$5:$AD$504,0)))</f>
        <v/>
      </c>
      <c r="N186" s="18">
        <f>IF(A186="","",INDEX(Model!$U$5:$U$504,MATCH(ROWS($A$5:A186),Model!$AD$5:$AD$504,0)))</f>
        <v/>
      </c>
      <c r="O186" s="18">
        <f>IF(A186="","",INDEX(Model!$V$5:$V$504,MATCH(ROWS($A$5:A186),Model!$AD$5:$AD$504,0)))</f>
        <v/>
      </c>
      <c r="P186" s="18">
        <f>IF(A186="","",INDEX(Model!$W$5:$W$504,MATCH(ROWS($A$5:A186),Model!$AD$5:$AD$504,0)))</f>
        <v/>
      </c>
      <c r="Q186" s="18">
        <f>IF(A186="","",INDEX(Model!$X$5:$X$504,MATCH(ROWS($A$5:A186),Model!$AD$5:$AD$504,0)))</f>
        <v/>
      </c>
      <c r="R186" s="18">
        <f>IF(A186="","",INDEX(Model!$Y$5:$Y$504,MATCH(ROWS($A$5:A186),Model!$AD$5:$AD$504,0)))</f>
        <v/>
      </c>
      <c r="S186" s="21">
        <f>IF(A186="","",INDEX(Model!$Z$5:$Z$504,MATCH(ROWS($A$5:A186),Model!$AD$5:$AD$504,0)))</f>
        <v/>
      </c>
      <c r="T186" s="18">
        <f>IF(A186="","",INDEX(Model!$AA$5:$AA$504,MATCH(ROWS($A$5:A186),Model!$AD$5:$AD$504,0)))</f>
        <v/>
      </c>
      <c r="U186" s="13" t="n"/>
      <c r="V186" s="13" t="n"/>
      <c r="W186" s="13" t="n"/>
    </row>
    <row r="187">
      <c r="A187" s="18">
        <f>IFERROR(INDEX(Model!$B$5:$B$504,MATCH(ROWS($A$5:A187),Model!$AD$5:$AD$504,0)),"")</f>
        <v/>
      </c>
      <c r="B187" s="18">
        <f>IF(A187="","",INDEX(Model!$C$5:$C$504,MATCH(ROWS($A$5:A187),Model!$AD$5:$AD$504,0)))</f>
        <v/>
      </c>
      <c r="C187" s="18">
        <f>IF(A187="","",INDEX(Model!$D$5:$D$504,MATCH(ROWS($A$5:A187),Model!$AD$5:$AD$504,0)))</f>
        <v/>
      </c>
      <c r="D187" s="18">
        <f>IF(A187="","",INDEX(Model!$E$5:$E$504,MATCH(ROWS($A$5:A187),Model!$AD$5:$AD$504,0)))</f>
        <v/>
      </c>
      <c r="E187" s="19">
        <f>IF(A187="","",INDEX(Model!$F$5:$F$504,MATCH(ROWS($A$5:A187),Model!$AD$5:$AD$504,0)))</f>
        <v/>
      </c>
      <c r="F187" s="19">
        <f>IF(A187="","",INDEX(Model!$G$5:$G$504,MATCH(ROWS($A$5:A187),Model!$AD$5:$AD$504,0)))</f>
        <v/>
      </c>
      <c r="G187" s="18">
        <f>IF(A187="","",INDEX(Model!$H$5:$H$504,MATCH(ROWS($A$5:A187),Model!$AD$5:$AD$504,0)))</f>
        <v/>
      </c>
      <c r="H187" s="18">
        <f>IF(A187="","",INDEX(Model!$L$5:$L$504,MATCH(ROWS($A$5:A187),Model!$AD$5:$AD$504,0)))</f>
        <v/>
      </c>
      <c r="I187" s="20">
        <f>IF(A187="","",INDEX(Model!$P$5:$P$504,MATCH(ROWS($A$5:A187),Model!$AD$5:$AD$504,0)))</f>
        <v/>
      </c>
      <c r="J187" s="20">
        <f>IF(A187="","",INDEX(Model!$Q$5:$Q$504,MATCH(ROWS($A$5:A187),Model!$AD$5:$AD$504,0)))</f>
        <v/>
      </c>
      <c r="K187" s="21">
        <f>IF(A187="","",INDEX(Model!$R$5:$R$504,MATCH(ROWS($A$5:A187),Model!$AD$5:$AD$504,0)))</f>
        <v/>
      </c>
      <c r="L187" s="20">
        <f>IF(A187="","",INDEX(Model!$S$5:$S$504,MATCH(ROWS($A$5:A187),Model!$AD$5:$AD$504,0)))</f>
        <v/>
      </c>
      <c r="M187" s="21">
        <f>IF(A187="","",INDEX(Model!$T$5:$T$504,MATCH(ROWS($A$5:A187),Model!$AD$5:$AD$504,0)))</f>
        <v/>
      </c>
      <c r="N187" s="18">
        <f>IF(A187="","",INDEX(Model!$U$5:$U$504,MATCH(ROWS($A$5:A187),Model!$AD$5:$AD$504,0)))</f>
        <v/>
      </c>
      <c r="O187" s="18">
        <f>IF(A187="","",INDEX(Model!$V$5:$V$504,MATCH(ROWS($A$5:A187),Model!$AD$5:$AD$504,0)))</f>
        <v/>
      </c>
      <c r="P187" s="18">
        <f>IF(A187="","",INDEX(Model!$W$5:$W$504,MATCH(ROWS($A$5:A187),Model!$AD$5:$AD$504,0)))</f>
        <v/>
      </c>
      <c r="Q187" s="18">
        <f>IF(A187="","",INDEX(Model!$X$5:$X$504,MATCH(ROWS($A$5:A187),Model!$AD$5:$AD$504,0)))</f>
        <v/>
      </c>
      <c r="R187" s="18">
        <f>IF(A187="","",INDEX(Model!$Y$5:$Y$504,MATCH(ROWS($A$5:A187),Model!$AD$5:$AD$504,0)))</f>
        <v/>
      </c>
      <c r="S187" s="21">
        <f>IF(A187="","",INDEX(Model!$Z$5:$Z$504,MATCH(ROWS($A$5:A187),Model!$AD$5:$AD$504,0)))</f>
        <v/>
      </c>
      <c r="T187" s="18">
        <f>IF(A187="","",INDEX(Model!$AA$5:$AA$504,MATCH(ROWS($A$5:A187),Model!$AD$5:$AD$504,0)))</f>
        <v/>
      </c>
      <c r="U187" s="13" t="n"/>
      <c r="V187" s="13" t="n"/>
      <c r="W187" s="13" t="n"/>
    </row>
    <row r="188">
      <c r="A188" s="18">
        <f>IFERROR(INDEX(Model!$B$5:$B$504,MATCH(ROWS($A$5:A188),Model!$AD$5:$AD$504,0)),"")</f>
        <v/>
      </c>
      <c r="B188" s="18">
        <f>IF(A188="","",INDEX(Model!$C$5:$C$504,MATCH(ROWS($A$5:A188),Model!$AD$5:$AD$504,0)))</f>
        <v/>
      </c>
      <c r="C188" s="18">
        <f>IF(A188="","",INDEX(Model!$D$5:$D$504,MATCH(ROWS($A$5:A188),Model!$AD$5:$AD$504,0)))</f>
        <v/>
      </c>
      <c r="D188" s="18">
        <f>IF(A188="","",INDEX(Model!$E$5:$E$504,MATCH(ROWS($A$5:A188),Model!$AD$5:$AD$504,0)))</f>
        <v/>
      </c>
      <c r="E188" s="19">
        <f>IF(A188="","",INDEX(Model!$F$5:$F$504,MATCH(ROWS($A$5:A188),Model!$AD$5:$AD$504,0)))</f>
        <v/>
      </c>
      <c r="F188" s="19">
        <f>IF(A188="","",INDEX(Model!$G$5:$G$504,MATCH(ROWS($A$5:A188),Model!$AD$5:$AD$504,0)))</f>
        <v/>
      </c>
      <c r="G188" s="18">
        <f>IF(A188="","",INDEX(Model!$H$5:$H$504,MATCH(ROWS($A$5:A188),Model!$AD$5:$AD$504,0)))</f>
        <v/>
      </c>
      <c r="H188" s="18">
        <f>IF(A188="","",INDEX(Model!$L$5:$L$504,MATCH(ROWS($A$5:A188),Model!$AD$5:$AD$504,0)))</f>
        <v/>
      </c>
      <c r="I188" s="20">
        <f>IF(A188="","",INDEX(Model!$P$5:$P$504,MATCH(ROWS($A$5:A188),Model!$AD$5:$AD$504,0)))</f>
        <v/>
      </c>
      <c r="J188" s="20">
        <f>IF(A188="","",INDEX(Model!$Q$5:$Q$504,MATCH(ROWS($A$5:A188),Model!$AD$5:$AD$504,0)))</f>
        <v/>
      </c>
      <c r="K188" s="21">
        <f>IF(A188="","",INDEX(Model!$R$5:$R$504,MATCH(ROWS($A$5:A188),Model!$AD$5:$AD$504,0)))</f>
        <v/>
      </c>
      <c r="L188" s="20">
        <f>IF(A188="","",INDEX(Model!$S$5:$S$504,MATCH(ROWS($A$5:A188),Model!$AD$5:$AD$504,0)))</f>
        <v/>
      </c>
      <c r="M188" s="21">
        <f>IF(A188="","",INDEX(Model!$T$5:$T$504,MATCH(ROWS($A$5:A188),Model!$AD$5:$AD$504,0)))</f>
        <v/>
      </c>
      <c r="N188" s="18">
        <f>IF(A188="","",INDEX(Model!$U$5:$U$504,MATCH(ROWS($A$5:A188),Model!$AD$5:$AD$504,0)))</f>
        <v/>
      </c>
      <c r="O188" s="18">
        <f>IF(A188="","",INDEX(Model!$V$5:$V$504,MATCH(ROWS($A$5:A188),Model!$AD$5:$AD$504,0)))</f>
        <v/>
      </c>
      <c r="P188" s="18">
        <f>IF(A188="","",INDEX(Model!$W$5:$W$504,MATCH(ROWS($A$5:A188),Model!$AD$5:$AD$504,0)))</f>
        <v/>
      </c>
      <c r="Q188" s="18">
        <f>IF(A188="","",INDEX(Model!$X$5:$X$504,MATCH(ROWS($A$5:A188),Model!$AD$5:$AD$504,0)))</f>
        <v/>
      </c>
      <c r="R188" s="18">
        <f>IF(A188="","",INDEX(Model!$Y$5:$Y$504,MATCH(ROWS($A$5:A188),Model!$AD$5:$AD$504,0)))</f>
        <v/>
      </c>
      <c r="S188" s="21">
        <f>IF(A188="","",INDEX(Model!$Z$5:$Z$504,MATCH(ROWS($A$5:A188),Model!$AD$5:$AD$504,0)))</f>
        <v/>
      </c>
      <c r="T188" s="18">
        <f>IF(A188="","",INDEX(Model!$AA$5:$AA$504,MATCH(ROWS($A$5:A188),Model!$AD$5:$AD$504,0)))</f>
        <v/>
      </c>
      <c r="U188" s="13" t="n"/>
      <c r="V188" s="13" t="n"/>
      <c r="W188" s="13" t="n"/>
    </row>
    <row r="189">
      <c r="A189" s="18">
        <f>IFERROR(INDEX(Model!$B$5:$B$504,MATCH(ROWS($A$5:A189),Model!$AD$5:$AD$504,0)),"")</f>
        <v/>
      </c>
      <c r="B189" s="18">
        <f>IF(A189="","",INDEX(Model!$C$5:$C$504,MATCH(ROWS($A$5:A189),Model!$AD$5:$AD$504,0)))</f>
        <v/>
      </c>
      <c r="C189" s="18">
        <f>IF(A189="","",INDEX(Model!$D$5:$D$504,MATCH(ROWS($A$5:A189),Model!$AD$5:$AD$504,0)))</f>
        <v/>
      </c>
      <c r="D189" s="18">
        <f>IF(A189="","",INDEX(Model!$E$5:$E$504,MATCH(ROWS($A$5:A189),Model!$AD$5:$AD$504,0)))</f>
        <v/>
      </c>
      <c r="E189" s="19">
        <f>IF(A189="","",INDEX(Model!$F$5:$F$504,MATCH(ROWS($A$5:A189),Model!$AD$5:$AD$504,0)))</f>
        <v/>
      </c>
      <c r="F189" s="19">
        <f>IF(A189="","",INDEX(Model!$G$5:$G$504,MATCH(ROWS($A$5:A189),Model!$AD$5:$AD$504,0)))</f>
        <v/>
      </c>
      <c r="G189" s="18">
        <f>IF(A189="","",INDEX(Model!$H$5:$H$504,MATCH(ROWS($A$5:A189),Model!$AD$5:$AD$504,0)))</f>
        <v/>
      </c>
      <c r="H189" s="18">
        <f>IF(A189="","",INDEX(Model!$L$5:$L$504,MATCH(ROWS($A$5:A189),Model!$AD$5:$AD$504,0)))</f>
        <v/>
      </c>
      <c r="I189" s="20">
        <f>IF(A189="","",INDEX(Model!$P$5:$P$504,MATCH(ROWS($A$5:A189),Model!$AD$5:$AD$504,0)))</f>
        <v/>
      </c>
      <c r="J189" s="20">
        <f>IF(A189="","",INDEX(Model!$Q$5:$Q$504,MATCH(ROWS($A$5:A189),Model!$AD$5:$AD$504,0)))</f>
        <v/>
      </c>
      <c r="K189" s="21">
        <f>IF(A189="","",INDEX(Model!$R$5:$R$504,MATCH(ROWS($A$5:A189),Model!$AD$5:$AD$504,0)))</f>
        <v/>
      </c>
      <c r="L189" s="20">
        <f>IF(A189="","",INDEX(Model!$S$5:$S$504,MATCH(ROWS($A$5:A189),Model!$AD$5:$AD$504,0)))</f>
        <v/>
      </c>
      <c r="M189" s="21">
        <f>IF(A189="","",INDEX(Model!$T$5:$T$504,MATCH(ROWS($A$5:A189),Model!$AD$5:$AD$504,0)))</f>
        <v/>
      </c>
      <c r="N189" s="18">
        <f>IF(A189="","",INDEX(Model!$U$5:$U$504,MATCH(ROWS($A$5:A189),Model!$AD$5:$AD$504,0)))</f>
        <v/>
      </c>
      <c r="O189" s="18">
        <f>IF(A189="","",INDEX(Model!$V$5:$V$504,MATCH(ROWS($A$5:A189),Model!$AD$5:$AD$504,0)))</f>
        <v/>
      </c>
      <c r="P189" s="18">
        <f>IF(A189="","",INDEX(Model!$W$5:$W$504,MATCH(ROWS($A$5:A189),Model!$AD$5:$AD$504,0)))</f>
        <v/>
      </c>
      <c r="Q189" s="18">
        <f>IF(A189="","",INDEX(Model!$X$5:$X$504,MATCH(ROWS($A$5:A189),Model!$AD$5:$AD$504,0)))</f>
        <v/>
      </c>
      <c r="R189" s="18">
        <f>IF(A189="","",INDEX(Model!$Y$5:$Y$504,MATCH(ROWS($A$5:A189),Model!$AD$5:$AD$504,0)))</f>
        <v/>
      </c>
      <c r="S189" s="21">
        <f>IF(A189="","",INDEX(Model!$Z$5:$Z$504,MATCH(ROWS($A$5:A189),Model!$AD$5:$AD$504,0)))</f>
        <v/>
      </c>
      <c r="T189" s="18">
        <f>IF(A189="","",INDEX(Model!$AA$5:$AA$504,MATCH(ROWS($A$5:A189),Model!$AD$5:$AD$504,0)))</f>
        <v/>
      </c>
      <c r="U189" s="13" t="n"/>
      <c r="V189" s="13" t="n"/>
      <c r="W189" s="13" t="n"/>
    </row>
    <row r="190">
      <c r="A190" s="18">
        <f>IFERROR(INDEX(Model!$B$5:$B$504,MATCH(ROWS($A$5:A190),Model!$AD$5:$AD$504,0)),"")</f>
        <v/>
      </c>
      <c r="B190" s="18">
        <f>IF(A190="","",INDEX(Model!$C$5:$C$504,MATCH(ROWS($A$5:A190),Model!$AD$5:$AD$504,0)))</f>
        <v/>
      </c>
      <c r="C190" s="18">
        <f>IF(A190="","",INDEX(Model!$D$5:$D$504,MATCH(ROWS($A$5:A190),Model!$AD$5:$AD$504,0)))</f>
        <v/>
      </c>
      <c r="D190" s="18">
        <f>IF(A190="","",INDEX(Model!$E$5:$E$504,MATCH(ROWS($A$5:A190),Model!$AD$5:$AD$504,0)))</f>
        <v/>
      </c>
      <c r="E190" s="19">
        <f>IF(A190="","",INDEX(Model!$F$5:$F$504,MATCH(ROWS($A$5:A190),Model!$AD$5:$AD$504,0)))</f>
        <v/>
      </c>
      <c r="F190" s="19">
        <f>IF(A190="","",INDEX(Model!$G$5:$G$504,MATCH(ROWS($A$5:A190),Model!$AD$5:$AD$504,0)))</f>
        <v/>
      </c>
      <c r="G190" s="18">
        <f>IF(A190="","",INDEX(Model!$H$5:$H$504,MATCH(ROWS($A$5:A190),Model!$AD$5:$AD$504,0)))</f>
        <v/>
      </c>
      <c r="H190" s="18">
        <f>IF(A190="","",INDEX(Model!$L$5:$L$504,MATCH(ROWS($A$5:A190),Model!$AD$5:$AD$504,0)))</f>
        <v/>
      </c>
      <c r="I190" s="20">
        <f>IF(A190="","",INDEX(Model!$P$5:$P$504,MATCH(ROWS($A$5:A190),Model!$AD$5:$AD$504,0)))</f>
        <v/>
      </c>
      <c r="J190" s="20">
        <f>IF(A190="","",INDEX(Model!$Q$5:$Q$504,MATCH(ROWS($A$5:A190),Model!$AD$5:$AD$504,0)))</f>
        <v/>
      </c>
      <c r="K190" s="21">
        <f>IF(A190="","",INDEX(Model!$R$5:$R$504,MATCH(ROWS($A$5:A190),Model!$AD$5:$AD$504,0)))</f>
        <v/>
      </c>
      <c r="L190" s="20">
        <f>IF(A190="","",INDEX(Model!$S$5:$S$504,MATCH(ROWS($A$5:A190),Model!$AD$5:$AD$504,0)))</f>
        <v/>
      </c>
      <c r="M190" s="21">
        <f>IF(A190="","",INDEX(Model!$T$5:$T$504,MATCH(ROWS($A$5:A190),Model!$AD$5:$AD$504,0)))</f>
        <v/>
      </c>
      <c r="N190" s="18">
        <f>IF(A190="","",INDEX(Model!$U$5:$U$504,MATCH(ROWS($A$5:A190),Model!$AD$5:$AD$504,0)))</f>
        <v/>
      </c>
      <c r="O190" s="18">
        <f>IF(A190="","",INDEX(Model!$V$5:$V$504,MATCH(ROWS($A$5:A190),Model!$AD$5:$AD$504,0)))</f>
        <v/>
      </c>
      <c r="P190" s="18">
        <f>IF(A190="","",INDEX(Model!$W$5:$W$504,MATCH(ROWS($A$5:A190),Model!$AD$5:$AD$504,0)))</f>
        <v/>
      </c>
      <c r="Q190" s="18">
        <f>IF(A190="","",INDEX(Model!$X$5:$X$504,MATCH(ROWS($A$5:A190),Model!$AD$5:$AD$504,0)))</f>
        <v/>
      </c>
      <c r="R190" s="18">
        <f>IF(A190="","",INDEX(Model!$Y$5:$Y$504,MATCH(ROWS($A$5:A190),Model!$AD$5:$AD$504,0)))</f>
        <v/>
      </c>
      <c r="S190" s="21">
        <f>IF(A190="","",INDEX(Model!$Z$5:$Z$504,MATCH(ROWS($A$5:A190),Model!$AD$5:$AD$504,0)))</f>
        <v/>
      </c>
      <c r="T190" s="18">
        <f>IF(A190="","",INDEX(Model!$AA$5:$AA$504,MATCH(ROWS($A$5:A190),Model!$AD$5:$AD$504,0)))</f>
        <v/>
      </c>
      <c r="U190" s="13" t="n"/>
      <c r="V190" s="13" t="n"/>
      <c r="W190" s="13" t="n"/>
    </row>
    <row r="191">
      <c r="A191" s="18">
        <f>IFERROR(INDEX(Model!$B$5:$B$504,MATCH(ROWS($A$5:A191),Model!$AD$5:$AD$504,0)),"")</f>
        <v/>
      </c>
      <c r="B191" s="18">
        <f>IF(A191="","",INDEX(Model!$C$5:$C$504,MATCH(ROWS($A$5:A191),Model!$AD$5:$AD$504,0)))</f>
        <v/>
      </c>
      <c r="C191" s="18">
        <f>IF(A191="","",INDEX(Model!$D$5:$D$504,MATCH(ROWS($A$5:A191),Model!$AD$5:$AD$504,0)))</f>
        <v/>
      </c>
      <c r="D191" s="18">
        <f>IF(A191="","",INDEX(Model!$E$5:$E$504,MATCH(ROWS($A$5:A191),Model!$AD$5:$AD$504,0)))</f>
        <v/>
      </c>
      <c r="E191" s="19">
        <f>IF(A191="","",INDEX(Model!$F$5:$F$504,MATCH(ROWS($A$5:A191),Model!$AD$5:$AD$504,0)))</f>
        <v/>
      </c>
      <c r="F191" s="19">
        <f>IF(A191="","",INDEX(Model!$G$5:$G$504,MATCH(ROWS($A$5:A191),Model!$AD$5:$AD$504,0)))</f>
        <v/>
      </c>
      <c r="G191" s="18">
        <f>IF(A191="","",INDEX(Model!$H$5:$H$504,MATCH(ROWS($A$5:A191),Model!$AD$5:$AD$504,0)))</f>
        <v/>
      </c>
      <c r="H191" s="18">
        <f>IF(A191="","",INDEX(Model!$L$5:$L$504,MATCH(ROWS($A$5:A191),Model!$AD$5:$AD$504,0)))</f>
        <v/>
      </c>
      <c r="I191" s="20">
        <f>IF(A191="","",INDEX(Model!$P$5:$P$504,MATCH(ROWS($A$5:A191),Model!$AD$5:$AD$504,0)))</f>
        <v/>
      </c>
      <c r="J191" s="20">
        <f>IF(A191="","",INDEX(Model!$Q$5:$Q$504,MATCH(ROWS($A$5:A191),Model!$AD$5:$AD$504,0)))</f>
        <v/>
      </c>
      <c r="K191" s="21">
        <f>IF(A191="","",INDEX(Model!$R$5:$R$504,MATCH(ROWS($A$5:A191),Model!$AD$5:$AD$504,0)))</f>
        <v/>
      </c>
      <c r="L191" s="20">
        <f>IF(A191="","",INDEX(Model!$S$5:$S$504,MATCH(ROWS($A$5:A191),Model!$AD$5:$AD$504,0)))</f>
        <v/>
      </c>
      <c r="M191" s="21">
        <f>IF(A191="","",INDEX(Model!$T$5:$T$504,MATCH(ROWS($A$5:A191),Model!$AD$5:$AD$504,0)))</f>
        <v/>
      </c>
      <c r="N191" s="18">
        <f>IF(A191="","",INDEX(Model!$U$5:$U$504,MATCH(ROWS($A$5:A191),Model!$AD$5:$AD$504,0)))</f>
        <v/>
      </c>
      <c r="O191" s="18">
        <f>IF(A191="","",INDEX(Model!$V$5:$V$504,MATCH(ROWS($A$5:A191),Model!$AD$5:$AD$504,0)))</f>
        <v/>
      </c>
      <c r="P191" s="18">
        <f>IF(A191="","",INDEX(Model!$W$5:$W$504,MATCH(ROWS($A$5:A191),Model!$AD$5:$AD$504,0)))</f>
        <v/>
      </c>
      <c r="Q191" s="18">
        <f>IF(A191="","",INDEX(Model!$X$5:$X$504,MATCH(ROWS($A$5:A191),Model!$AD$5:$AD$504,0)))</f>
        <v/>
      </c>
      <c r="R191" s="18">
        <f>IF(A191="","",INDEX(Model!$Y$5:$Y$504,MATCH(ROWS($A$5:A191),Model!$AD$5:$AD$504,0)))</f>
        <v/>
      </c>
      <c r="S191" s="21">
        <f>IF(A191="","",INDEX(Model!$Z$5:$Z$504,MATCH(ROWS($A$5:A191),Model!$AD$5:$AD$504,0)))</f>
        <v/>
      </c>
      <c r="T191" s="18">
        <f>IF(A191="","",INDEX(Model!$AA$5:$AA$504,MATCH(ROWS($A$5:A191),Model!$AD$5:$AD$504,0)))</f>
        <v/>
      </c>
      <c r="U191" s="13" t="n"/>
      <c r="V191" s="13" t="n"/>
      <c r="W191" s="13" t="n"/>
    </row>
    <row r="192">
      <c r="A192" s="18">
        <f>IFERROR(INDEX(Model!$B$5:$B$504,MATCH(ROWS($A$5:A192),Model!$AD$5:$AD$504,0)),"")</f>
        <v/>
      </c>
      <c r="B192" s="18">
        <f>IF(A192="","",INDEX(Model!$C$5:$C$504,MATCH(ROWS($A$5:A192),Model!$AD$5:$AD$504,0)))</f>
        <v/>
      </c>
      <c r="C192" s="18">
        <f>IF(A192="","",INDEX(Model!$D$5:$D$504,MATCH(ROWS($A$5:A192),Model!$AD$5:$AD$504,0)))</f>
        <v/>
      </c>
      <c r="D192" s="18">
        <f>IF(A192="","",INDEX(Model!$E$5:$E$504,MATCH(ROWS($A$5:A192),Model!$AD$5:$AD$504,0)))</f>
        <v/>
      </c>
      <c r="E192" s="19">
        <f>IF(A192="","",INDEX(Model!$F$5:$F$504,MATCH(ROWS($A$5:A192),Model!$AD$5:$AD$504,0)))</f>
        <v/>
      </c>
      <c r="F192" s="19">
        <f>IF(A192="","",INDEX(Model!$G$5:$G$504,MATCH(ROWS($A$5:A192),Model!$AD$5:$AD$504,0)))</f>
        <v/>
      </c>
      <c r="G192" s="18">
        <f>IF(A192="","",INDEX(Model!$H$5:$H$504,MATCH(ROWS($A$5:A192),Model!$AD$5:$AD$504,0)))</f>
        <v/>
      </c>
      <c r="H192" s="18">
        <f>IF(A192="","",INDEX(Model!$L$5:$L$504,MATCH(ROWS($A$5:A192),Model!$AD$5:$AD$504,0)))</f>
        <v/>
      </c>
      <c r="I192" s="20">
        <f>IF(A192="","",INDEX(Model!$P$5:$P$504,MATCH(ROWS($A$5:A192),Model!$AD$5:$AD$504,0)))</f>
        <v/>
      </c>
      <c r="J192" s="20">
        <f>IF(A192="","",INDEX(Model!$Q$5:$Q$504,MATCH(ROWS($A$5:A192),Model!$AD$5:$AD$504,0)))</f>
        <v/>
      </c>
      <c r="K192" s="21">
        <f>IF(A192="","",INDEX(Model!$R$5:$R$504,MATCH(ROWS($A$5:A192),Model!$AD$5:$AD$504,0)))</f>
        <v/>
      </c>
      <c r="L192" s="20">
        <f>IF(A192="","",INDEX(Model!$S$5:$S$504,MATCH(ROWS($A$5:A192),Model!$AD$5:$AD$504,0)))</f>
        <v/>
      </c>
      <c r="M192" s="21">
        <f>IF(A192="","",INDEX(Model!$T$5:$T$504,MATCH(ROWS($A$5:A192),Model!$AD$5:$AD$504,0)))</f>
        <v/>
      </c>
      <c r="N192" s="18">
        <f>IF(A192="","",INDEX(Model!$U$5:$U$504,MATCH(ROWS($A$5:A192),Model!$AD$5:$AD$504,0)))</f>
        <v/>
      </c>
      <c r="O192" s="18">
        <f>IF(A192="","",INDEX(Model!$V$5:$V$504,MATCH(ROWS($A$5:A192),Model!$AD$5:$AD$504,0)))</f>
        <v/>
      </c>
      <c r="P192" s="18">
        <f>IF(A192="","",INDEX(Model!$W$5:$W$504,MATCH(ROWS($A$5:A192),Model!$AD$5:$AD$504,0)))</f>
        <v/>
      </c>
      <c r="Q192" s="18">
        <f>IF(A192="","",INDEX(Model!$X$5:$X$504,MATCH(ROWS($A$5:A192),Model!$AD$5:$AD$504,0)))</f>
        <v/>
      </c>
      <c r="R192" s="18">
        <f>IF(A192="","",INDEX(Model!$Y$5:$Y$504,MATCH(ROWS($A$5:A192),Model!$AD$5:$AD$504,0)))</f>
        <v/>
      </c>
      <c r="S192" s="21">
        <f>IF(A192="","",INDEX(Model!$Z$5:$Z$504,MATCH(ROWS($A$5:A192),Model!$AD$5:$AD$504,0)))</f>
        <v/>
      </c>
      <c r="T192" s="18">
        <f>IF(A192="","",INDEX(Model!$AA$5:$AA$504,MATCH(ROWS($A$5:A192),Model!$AD$5:$AD$504,0)))</f>
        <v/>
      </c>
      <c r="U192" s="13" t="n"/>
      <c r="V192" s="13" t="n"/>
      <c r="W192" s="13" t="n"/>
    </row>
    <row r="193">
      <c r="A193" s="18">
        <f>IFERROR(INDEX(Model!$B$5:$B$504,MATCH(ROWS($A$5:A193),Model!$AD$5:$AD$504,0)),"")</f>
        <v/>
      </c>
      <c r="B193" s="18">
        <f>IF(A193="","",INDEX(Model!$C$5:$C$504,MATCH(ROWS($A$5:A193),Model!$AD$5:$AD$504,0)))</f>
        <v/>
      </c>
      <c r="C193" s="18">
        <f>IF(A193="","",INDEX(Model!$D$5:$D$504,MATCH(ROWS($A$5:A193),Model!$AD$5:$AD$504,0)))</f>
        <v/>
      </c>
      <c r="D193" s="18">
        <f>IF(A193="","",INDEX(Model!$E$5:$E$504,MATCH(ROWS($A$5:A193),Model!$AD$5:$AD$504,0)))</f>
        <v/>
      </c>
      <c r="E193" s="19">
        <f>IF(A193="","",INDEX(Model!$F$5:$F$504,MATCH(ROWS($A$5:A193),Model!$AD$5:$AD$504,0)))</f>
        <v/>
      </c>
      <c r="F193" s="19">
        <f>IF(A193="","",INDEX(Model!$G$5:$G$504,MATCH(ROWS($A$5:A193),Model!$AD$5:$AD$504,0)))</f>
        <v/>
      </c>
      <c r="G193" s="18">
        <f>IF(A193="","",INDEX(Model!$H$5:$H$504,MATCH(ROWS($A$5:A193),Model!$AD$5:$AD$504,0)))</f>
        <v/>
      </c>
      <c r="H193" s="18">
        <f>IF(A193="","",INDEX(Model!$L$5:$L$504,MATCH(ROWS($A$5:A193),Model!$AD$5:$AD$504,0)))</f>
        <v/>
      </c>
      <c r="I193" s="20">
        <f>IF(A193="","",INDEX(Model!$P$5:$P$504,MATCH(ROWS($A$5:A193),Model!$AD$5:$AD$504,0)))</f>
        <v/>
      </c>
      <c r="J193" s="20">
        <f>IF(A193="","",INDEX(Model!$Q$5:$Q$504,MATCH(ROWS($A$5:A193),Model!$AD$5:$AD$504,0)))</f>
        <v/>
      </c>
      <c r="K193" s="21">
        <f>IF(A193="","",INDEX(Model!$R$5:$R$504,MATCH(ROWS($A$5:A193),Model!$AD$5:$AD$504,0)))</f>
        <v/>
      </c>
      <c r="L193" s="20">
        <f>IF(A193="","",INDEX(Model!$S$5:$S$504,MATCH(ROWS($A$5:A193),Model!$AD$5:$AD$504,0)))</f>
        <v/>
      </c>
      <c r="M193" s="21">
        <f>IF(A193="","",INDEX(Model!$T$5:$T$504,MATCH(ROWS($A$5:A193),Model!$AD$5:$AD$504,0)))</f>
        <v/>
      </c>
      <c r="N193" s="18">
        <f>IF(A193="","",INDEX(Model!$U$5:$U$504,MATCH(ROWS($A$5:A193),Model!$AD$5:$AD$504,0)))</f>
        <v/>
      </c>
      <c r="O193" s="18">
        <f>IF(A193="","",INDEX(Model!$V$5:$V$504,MATCH(ROWS($A$5:A193),Model!$AD$5:$AD$504,0)))</f>
        <v/>
      </c>
      <c r="P193" s="18">
        <f>IF(A193="","",INDEX(Model!$W$5:$W$504,MATCH(ROWS($A$5:A193),Model!$AD$5:$AD$504,0)))</f>
        <v/>
      </c>
      <c r="Q193" s="18">
        <f>IF(A193="","",INDEX(Model!$X$5:$X$504,MATCH(ROWS($A$5:A193),Model!$AD$5:$AD$504,0)))</f>
        <v/>
      </c>
      <c r="R193" s="18">
        <f>IF(A193="","",INDEX(Model!$Y$5:$Y$504,MATCH(ROWS($A$5:A193),Model!$AD$5:$AD$504,0)))</f>
        <v/>
      </c>
      <c r="S193" s="21">
        <f>IF(A193="","",INDEX(Model!$Z$5:$Z$504,MATCH(ROWS($A$5:A193),Model!$AD$5:$AD$504,0)))</f>
        <v/>
      </c>
      <c r="T193" s="18">
        <f>IF(A193="","",INDEX(Model!$AA$5:$AA$504,MATCH(ROWS($A$5:A193),Model!$AD$5:$AD$504,0)))</f>
        <v/>
      </c>
      <c r="U193" s="13" t="n"/>
      <c r="V193" s="13" t="n"/>
      <c r="W193" s="13" t="n"/>
    </row>
    <row r="194">
      <c r="A194" s="18">
        <f>IFERROR(INDEX(Model!$B$5:$B$504,MATCH(ROWS($A$5:A194),Model!$AD$5:$AD$504,0)),"")</f>
        <v/>
      </c>
      <c r="B194" s="18">
        <f>IF(A194="","",INDEX(Model!$C$5:$C$504,MATCH(ROWS($A$5:A194),Model!$AD$5:$AD$504,0)))</f>
        <v/>
      </c>
      <c r="C194" s="18">
        <f>IF(A194="","",INDEX(Model!$D$5:$D$504,MATCH(ROWS($A$5:A194),Model!$AD$5:$AD$504,0)))</f>
        <v/>
      </c>
      <c r="D194" s="18">
        <f>IF(A194="","",INDEX(Model!$E$5:$E$504,MATCH(ROWS($A$5:A194),Model!$AD$5:$AD$504,0)))</f>
        <v/>
      </c>
      <c r="E194" s="19">
        <f>IF(A194="","",INDEX(Model!$F$5:$F$504,MATCH(ROWS($A$5:A194),Model!$AD$5:$AD$504,0)))</f>
        <v/>
      </c>
      <c r="F194" s="19">
        <f>IF(A194="","",INDEX(Model!$G$5:$G$504,MATCH(ROWS($A$5:A194),Model!$AD$5:$AD$504,0)))</f>
        <v/>
      </c>
      <c r="G194" s="18">
        <f>IF(A194="","",INDEX(Model!$H$5:$H$504,MATCH(ROWS($A$5:A194),Model!$AD$5:$AD$504,0)))</f>
        <v/>
      </c>
      <c r="H194" s="18">
        <f>IF(A194="","",INDEX(Model!$L$5:$L$504,MATCH(ROWS($A$5:A194),Model!$AD$5:$AD$504,0)))</f>
        <v/>
      </c>
      <c r="I194" s="20">
        <f>IF(A194="","",INDEX(Model!$P$5:$P$504,MATCH(ROWS($A$5:A194),Model!$AD$5:$AD$504,0)))</f>
        <v/>
      </c>
      <c r="J194" s="20">
        <f>IF(A194="","",INDEX(Model!$Q$5:$Q$504,MATCH(ROWS($A$5:A194),Model!$AD$5:$AD$504,0)))</f>
        <v/>
      </c>
      <c r="K194" s="21">
        <f>IF(A194="","",INDEX(Model!$R$5:$R$504,MATCH(ROWS($A$5:A194),Model!$AD$5:$AD$504,0)))</f>
        <v/>
      </c>
      <c r="L194" s="20">
        <f>IF(A194="","",INDEX(Model!$S$5:$S$504,MATCH(ROWS($A$5:A194),Model!$AD$5:$AD$504,0)))</f>
        <v/>
      </c>
      <c r="M194" s="21">
        <f>IF(A194="","",INDEX(Model!$T$5:$T$504,MATCH(ROWS($A$5:A194),Model!$AD$5:$AD$504,0)))</f>
        <v/>
      </c>
      <c r="N194" s="18">
        <f>IF(A194="","",INDEX(Model!$U$5:$U$504,MATCH(ROWS($A$5:A194),Model!$AD$5:$AD$504,0)))</f>
        <v/>
      </c>
      <c r="O194" s="18">
        <f>IF(A194="","",INDEX(Model!$V$5:$V$504,MATCH(ROWS($A$5:A194),Model!$AD$5:$AD$504,0)))</f>
        <v/>
      </c>
      <c r="P194" s="18">
        <f>IF(A194="","",INDEX(Model!$W$5:$W$504,MATCH(ROWS($A$5:A194),Model!$AD$5:$AD$504,0)))</f>
        <v/>
      </c>
      <c r="Q194" s="18">
        <f>IF(A194="","",INDEX(Model!$X$5:$X$504,MATCH(ROWS($A$5:A194),Model!$AD$5:$AD$504,0)))</f>
        <v/>
      </c>
      <c r="R194" s="18">
        <f>IF(A194="","",INDEX(Model!$Y$5:$Y$504,MATCH(ROWS($A$5:A194),Model!$AD$5:$AD$504,0)))</f>
        <v/>
      </c>
      <c r="S194" s="21">
        <f>IF(A194="","",INDEX(Model!$Z$5:$Z$504,MATCH(ROWS($A$5:A194),Model!$AD$5:$AD$504,0)))</f>
        <v/>
      </c>
      <c r="T194" s="18">
        <f>IF(A194="","",INDEX(Model!$AA$5:$AA$504,MATCH(ROWS($A$5:A194),Model!$AD$5:$AD$504,0)))</f>
        <v/>
      </c>
      <c r="U194" s="13" t="n"/>
      <c r="V194" s="13" t="n"/>
      <c r="W194" s="13" t="n"/>
    </row>
    <row r="195">
      <c r="A195" s="18">
        <f>IFERROR(INDEX(Model!$B$5:$B$504,MATCH(ROWS($A$5:A195),Model!$AD$5:$AD$504,0)),"")</f>
        <v/>
      </c>
      <c r="B195" s="18">
        <f>IF(A195="","",INDEX(Model!$C$5:$C$504,MATCH(ROWS($A$5:A195),Model!$AD$5:$AD$504,0)))</f>
        <v/>
      </c>
      <c r="C195" s="18">
        <f>IF(A195="","",INDEX(Model!$D$5:$D$504,MATCH(ROWS($A$5:A195),Model!$AD$5:$AD$504,0)))</f>
        <v/>
      </c>
      <c r="D195" s="18">
        <f>IF(A195="","",INDEX(Model!$E$5:$E$504,MATCH(ROWS($A$5:A195),Model!$AD$5:$AD$504,0)))</f>
        <v/>
      </c>
      <c r="E195" s="19">
        <f>IF(A195="","",INDEX(Model!$F$5:$F$504,MATCH(ROWS($A$5:A195),Model!$AD$5:$AD$504,0)))</f>
        <v/>
      </c>
      <c r="F195" s="19">
        <f>IF(A195="","",INDEX(Model!$G$5:$G$504,MATCH(ROWS($A$5:A195),Model!$AD$5:$AD$504,0)))</f>
        <v/>
      </c>
      <c r="G195" s="18">
        <f>IF(A195="","",INDEX(Model!$H$5:$H$504,MATCH(ROWS($A$5:A195),Model!$AD$5:$AD$504,0)))</f>
        <v/>
      </c>
      <c r="H195" s="18">
        <f>IF(A195="","",INDEX(Model!$L$5:$L$504,MATCH(ROWS($A$5:A195),Model!$AD$5:$AD$504,0)))</f>
        <v/>
      </c>
      <c r="I195" s="20">
        <f>IF(A195="","",INDEX(Model!$P$5:$P$504,MATCH(ROWS($A$5:A195),Model!$AD$5:$AD$504,0)))</f>
        <v/>
      </c>
      <c r="J195" s="20">
        <f>IF(A195="","",INDEX(Model!$Q$5:$Q$504,MATCH(ROWS($A$5:A195),Model!$AD$5:$AD$504,0)))</f>
        <v/>
      </c>
      <c r="K195" s="21">
        <f>IF(A195="","",INDEX(Model!$R$5:$R$504,MATCH(ROWS($A$5:A195),Model!$AD$5:$AD$504,0)))</f>
        <v/>
      </c>
      <c r="L195" s="20">
        <f>IF(A195="","",INDEX(Model!$S$5:$S$504,MATCH(ROWS($A$5:A195),Model!$AD$5:$AD$504,0)))</f>
        <v/>
      </c>
      <c r="M195" s="21">
        <f>IF(A195="","",INDEX(Model!$T$5:$T$504,MATCH(ROWS($A$5:A195),Model!$AD$5:$AD$504,0)))</f>
        <v/>
      </c>
      <c r="N195" s="18">
        <f>IF(A195="","",INDEX(Model!$U$5:$U$504,MATCH(ROWS($A$5:A195),Model!$AD$5:$AD$504,0)))</f>
        <v/>
      </c>
      <c r="O195" s="18">
        <f>IF(A195="","",INDEX(Model!$V$5:$V$504,MATCH(ROWS($A$5:A195),Model!$AD$5:$AD$504,0)))</f>
        <v/>
      </c>
      <c r="P195" s="18">
        <f>IF(A195="","",INDEX(Model!$W$5:$W$504,MATCH(ROWS($A$5:A195),Model!$AD$5:$AD$504,0)))</f>
        <v/>
      </c>
      <c r="Q195" s="18">
        <f>IF(A195="","",INDEX(Model!$X$5:$X$504,MATCH(ROWS($A$5:A195),Model!$AD$5:$AD$504,0)))</f>
        <v/>
      </c>
      <c r="R195" s="18">
        <f>IF(A195="","",INDEX(Model!$Y$5:$Y$504,MATCH(ROWS($A$5:A195),Model!$AD$5:$AD$504,0)))</f>
        <v/>
      </c>
      <c r="S195" s="21">
        <f>IF(A195="","",INDEX(Model!$Z$5:$Z$504,MATCH(ROWS($A$5:A195),Model!$AD$5:$AD$504,0)))</f>
        <v/>
      </c>
      <c r="T195" s="18">
        <f>IF(A195="","",INDEX(Model!$AA$5:$AA$504,MATCH(ROWS($A$5:A195),Model!$AD$5:$AD$504,0)))</f>
        <v/>
      </c>
      <c r="U195" s="13" t="n"/>
      <c r="V195" s="13" t="n"/>
      <c r="W195" s="13" t="n"/>
    </row>
    <row r="196">
      <c r="A196" s="18">
        <f>IFERROR(INDEX(Model!$B$5:$B$504,MATCH(ROWS($A$5:A196),Model!$AD$5:$AD$504,0)),"")</f>
        <v/>
      </c>
      <c r="B196" s="18">
        <f>IF(A196="","",INDEX(Model!$C$5:$C$504,MATCH(ROWS($A$5:A196),Model!$AD$5:$AD$504,0)))</f>
        <v/>
      </c>
      <c r="C196" s="18">
        <f>IF(A196="","",INDEX(Model!$D$5:$D$504,MATCH(ROWS($A$5:A196),Model!$AD$5:$AD$504,0)))</f>
        <v/>
      </c>
      <c r="D196" s="18">
        <f>IF(A196="","",INDEX(Model!$E$5:$E$504,MATCH(ROWS($A$5:A196),Model!$AD$5:$AD$504,0)))</f>
        <v/>
      </c>
      <c r="E196" s="19">
        <f>IF(A196="","",INDEX(Model!$F$5:$F$504,MATCH(ROWS($A$5:A196),Model!$AD$5:$AD$504,0)))</f>
        <v/>
      </c>
      <c r="F196" s="19">
        <f>IF(A196="","",INDEX(Model!$G$5:$G$504,MATCH(ROWS($A$5:A196),Model!$AD$5:$AD$504,0)))</f>
        <v/>
      </c>
      <c r="G196" s="18">
        <f>IF(A196="","",INDEX(Model!$H$5:$H$504,MATCH(ROWS($A$5:A196),Model!$AD$5:$AD$504,0)))</f>
        <v/>
      </c>
      <c r="H196" s="18">
        <f>IF(A196="","",INDEX(Model!$L$5:$L$504,MATCH(ROWS($A$5:A196),Model!$AD$5:$AD$504,0)))</f>
        <v/>
      </c>
      <c r="I196" s="20">
        <f>IF(A196="","",INDEX(Model!$P$5:$P$504,MATCH(ROWS($A$5:A196),Model!$AD$5:$AD$504,0)))</f>
        <v/>
      </c>
      <c r="J196" s="20">
        <f>IF(A196="","",INDEX(Model!$Q$5:$Q$504,MATCH(ROWS($A$5:A196),Model!$AD$5:$AD$504,0)))</f>
        <v/>
      </c>
      <c r="K196" s="21">
        <f>IF(A196="","",INDEX(Model!$R$5:$R$504,MATCH(ROWS($A$5:A196),Model!$AD$5:$AD$504,0)))</f>
        <v/>
      </c>
      <c r="L196" s="20">
        <f>IF(A196="","",INDEX(Model!$S$5:$S$504,MATCH(ROWS($A$5:A196),Model!$AD$5:$AD$504,0)))</f>
        <v/>
      </c>
      <c r="M196" s="21">
        <f>IF(A196="","",INDEX(Model!$T$5:$T$504,MATCH(ROWS($A$5:A196),Model!$AD$5:$AD$504,0)))</f>
        <v/>
      </c>
      <c r="N196" s="18">
        <f>IF(A196="","",INDEX(Model!$U$5:$U$504,MATCH(ROWS($A$5:A196),Model!$AD$5:$AD$504,0)))</f>
        <v/>
      </c>
      <c r="O196" s="18">
        <f>IF(A196="","",INDEX(Model!$V$5:$V$504,MATCH(ROWS($A$5:A196),Model!$AD$5:$AD$504,0)))</f>
        <v/>
      </c>
      <c r="P196" s="18">
        <f>IF(A196="","",INDEX(Model!$W$5:$W$504,MATCH(ROWS($A$5:A196),Model!$AD$5:$AD$504,0)))</f>
        <v/>
      </c>
      <c r="Q196" s="18">
        <f>IF(A196="","",INDEX(Model!$X$5:$X$504,MATCH(ROWS($A$5:A196),Model!$AD$5:$AD$504,0)))</f>
        <v/>
      </c>
      <c r="R196" s="18">
        <f>IF(A196="","",INDEX(Model!$Y$5:$Y$504,MATCH(ROWS($A$5:A196),Model!$AD$5:$AD$504,0)))</f>
        <v/>
      </c>
      <c r="S196" s="21">
        <f>IF(A196="","",INDEX(Model!$Z$5:$Z$504,MATCH(ROWS($A$5:A196),Model!$AD$5:$AD$504,0)))</f>
        <v/>
      </c>
      <c r="T196" s="18">
        <f>IF(A196="","",INDEX(Model!$AA$5:$AA$504,MATCH(ROWS($A$5:A196),Model!$AD$5:$AD$504,0)))</f>
        <v/>
      </c>
      <c r="U196" s="13" t="n"/>
      <c r="V196" s="13" t="n"/>
      <c r="W196" s="13" t="n"/>
    </row>
    <row r="197">
      <c r="A197" s="18">
        <f>IFERROR(INDEX(Model!$B$5:$B$504,MATCH(ROWS($A$5:A197),Model!$AD$5:$AD$504,0)),"")</f>
        <v/>
      </c>
      <c r="B197" s="18">
        <f>IF(A197="","",INDEX(Model!$C$5:$C$504,MATCH(ROWS($A$5:A197),Model!$AD$5:$AD$504,0)))</f>
        <v/>
      </c>
      <c r="C197" s="18">
        <f>IF(A197="","",INDEX(Model!$D$5:$D$504,MATCH(ROWS($A$5:A197),Model!$AD$5:$AD$504,0)))</f>
        <v/>
      </c>
      <c r="D197" s="18">
        <f>IF(A197="","",INDEX(Model!$E$5:$E$504,MATCH(ROWS($A$5:A197),Model!$AD$5:$AD$504,0)))</f>
        <v/>
      </c>
      <c r="E197" s="19">
        <f>IF(A197="","",INDEX(Model!$F$5:$F$504,MATCH(ROWS($A$5:A197),Model!$AD$5:$AD$504,0)))</f>
        <v/>
      </c>
      <c r="F197" s="19">
        <f>IF(A197="","",INDEX(Model!$G$5:$G$504,MATCH(ROWS($A$5:A197),Model!$AD$5:$AD$504,0)))</f>
        <v/>
      </c>
      <c r="G197" s="18">
        <f>IF(A197="","",INDEX(Model!$H$5:$H$504,MATCH(ROWS($A$5:A197),Model!$AD$5:$AD$504,0)))</f>
        <v/>
      </c>
      <c r="H197" s="18">
        <f>IF(A197="","",INDEX(Model!$L$5:$L$504,MATCH(ROWS($A$5:A197),Model!$AD$5:$AD$504,0)))</f>
        <v/>
      </c>
      <c r="I197" s="20">
        <f>IF(A197="","",INDEX(Model!$P$5:$P$504,MATCH(ROWS($A$5:A197),Model!$AD$5:$AD$504,0)))</f>
        <v/>
      </c>
      <c r="J197" s="20">
        <f>IF(A197="","",INDEX(Model!$Q$5:$Q$504,MATCH(ROWS($A$5:A197),Model!$AD$5:$AD$504,0)))</f>
        <v/>
      </c>
      <c r="K197" s="21">
        <f>IF(A197="","",INDEX(Model!$R$5:$R$504,MATCH(ROWS($A$5:A197),Model!$AD$5:$AD$504,0)))</f>
        <v/>
      </c>
      <c r="L197" s="20">
        <f>IF(A197="","",INDEX(Model!$S$5:$S$504,MATCH(ROWS($A$5:A197),Model!$AD$5:$AD$504,0)))</f>
        <v/>
      </c>
      <c r="M197" s="21">
        <f>IF(A197="","",INDEX(Model!$T$5:$T$504,MATCH(ROWS($A$5:A197),Model!$AD$5:$AD$504,0)))</f>
        <v/>
      </c>
      <c r="N197" s="18">
        <f>IF(A197="","",INDEX(Model!$U$5:$U$504,MATCH(ROWS($A$5:A197),Model!$AD$5:$AD$504,0)))</f>
        <v/>
      </c>
      <c r="O197" s="18">
        <f>IF(A197="","",INDEX(Model!$V$5:$V$504,MATCH(ROWS($A$5:A197),Model!$AD$5:$AD$504,0)))</f>
        <v/>
      </c>
      <c r="P197" s="18">
        <f>IF(A197="","",INDEX(Model!$W$5:$W$504,MATCH(ROWS($A$5:A197),Model!$AD$5:$AD$504,0)))</f>
        <v/>
      </c>
      <c r="Q197" s="18">
        <f>IF(A197="","",INDEX(Model!$X$5:$X$504,MATCH(ROWS($A$5:A197),Model!$AD$5:$AD$504,0)))</f>
        <v/>
      </c>
      <c r="R197" s="18">
        <f>IF(A197="","",INDEX(Model!$Y$5:$Y$504,MATCH(ROWS($A$5:A197),Model!$AD$5:$AD$504,0)))</f>
        <v/>
      </c>
      <c r="S197" s="21">
        <f>IF(A197="","",INDEX(Model!$Z$5:$Z$504,MATCH(ROWS($A$5:A197),Model!$AD$5:$AD$504,0)))</f>
        <v/>
      </c>
      <c r="T197" s="18">
        <f>IF(A197="","",INDEX(Model!$AA$5:$AA$504,MATCH(ROWS($A$5:A197),Model!$AD$5:$AD$504,0)))</f>
        <v/>
      </c>
      <c r="U197" s="13" t="n"/>
      <c r="V197" s="13" t="n"/>
      <c r="W197" s="13" t="n"/>
    </row>
    <row r="198">
      <c r="A198" s="18">
        <f>IFERROR(INDEX(Model!$B$5:$B$504,MATCH(ROWS($A$5:A198),Model!$AD$5:$AD$504,0)),"")</f>
        <v/>
      </c>
      <c r="B198" s="18">
        <f>IF(A198="","",INDEX(Model!$C$5:$C$504,MATCH(ROWS($A$5:A198),Model!$AD$5:$AD$504,0)))</f>
        <v/>
      </c>
      <c r="C198" s="18">
        <f>IF(A198="","",INDEX(Model!$D$5:$D$504,MATCH(ROWS($A$5:A198),Model!$AD$5:$AD$504,0)))</f>
        <v/>
      </c>
      <c r="D198" s="18">
        <f>IF(A198="","",INDEX(Model!$E$5:$E$504,MATCH(ROWS($A$5:A198),Model!$AD$5:$AD$504,0)))</f>
        <v/>
      </c>
      <c r="E198" s="19">
        <f>IF(A198="","",INDEX(Model!$F$5:$F$504,MATCH(ROWS($A$5:A198),Model!$AD$5:$AD$504,0)))</f>
        <v/>
      </c>
      <c r="F198" s="19">
        <f>IF(A198="","",INDEX(Model!$G$5:$G$504,MATCH(ROWS($A$5:A198),Model!$AD$5:$AD$504,0)))</f>
        <v/>
      </c>
      <c r="G198" s="18">
        <f>IF(A198="","",INDEX(Model!$H$5:$H$504,MATCH(ROWS($A$5:A198),Model!$AD$5:$AD$504,0)))</f>
        <v/>
      </c>
      <c r="H198" s="18">
        <f>IF(A198="","",INDEX(Model!$L$5:$L$504,MATCH(ROWS($A$5:A198),Model!$AD$5:$AD$504,0)))</f>
        <v/>
      </c>
      <c r="I198" s="20">
        <f>IF(A198="","",INDEX(Model!$P$5:$P$504,MATCH(ROWS($A$5:A198),Model!$AD$5:$AD$504,0)))</f>
        <v/>
      </c>
      <c r="J198" s="20">
        <f>IF(A198="","",INDEX(Model!$Q$5:$Q$504,MATCH(ROWS($A$5:A198),Model!$AD$5:$AD$504,0)))</f>
        <v/>
      </c>
      <c r="K198" s="21">
        <f>IF(A198="","",INDEX(Model!$R$5:$R$504,MATCH(ROWS($A$5:A198),Model!$AD$5:$AD$504,0)))</f>
        <v/>
      </c>
      <c r="L198" s="20">
        <f>IF(A198="","",INDEX(Model!$S$5:$S$504,MATCH(ROWS($A$5:A198),Model!$AD$5:$AD$504,0)))</f>
        <v/>
      </c>
      <c r="M198" s="21">
        <f>IF(A198="","",INDEX(Model!$T$5:$T$504,MATCH(ROWS($A$5:A198),Model!$AD$5:$AD$504,0)))</f>
        <v/>
      </c>
      <c r="N198" s="18">
        <f>IF(A198="","",INDEX(Model!$U$5:$U$504,MATCH(ROWS($A$5:A198),Model!$AD$5:$AD$504,0)))</f>
        <v/>
      </c>
      <c r="O198" s="18">
        <f>IF(A198="","",INDEX(Model!$V$5:$V$504,MATCH(ROWS($A$5:A198),Model!$AD$5:$AD$504,0)))</f>
        <v/>
      </c>
      <c r="P198" s="18">
        <f>IF(A198="","",INDEX(Model!$W$5:$W$504,MATCH(ROWS($A$5:A198),Model!$AD$5:$AD$504,0)))</f>
        <v/>
      </c>
      <c r="Q198" s="18">
        <f>IF(A198="","",INDEX(Model!$X$5:$X$504,MATCH(ROWS($A$5:A198),Model!$AD$5:$AD$504,0)))</f>
        <v/>
      </c>
      <c r="R198" s="18">
        <f>IF(A198="","",INDEX(Model!$Y$5:$Y$504,MATCH(ROWS($A$5:A198),Model!$AD$5:$AD$504,0)))</f>
        <v/>
      </c>
      <c r="S198" s="21">
        <f>IF(A198="","",INDEX(Model!$Z$5:$Z$504,MATCH(ROWS($A$5:A198),Model!$AD$5:$AD$504,0)))</f>
        <v/>
      </c>
      <c r="T198" s="18">
        <f>IF(A198="","",INDEX(Model!$AA$5:$AA$504,MATCH(ROWS($A$5:A198),Model!$AD$5:$AD$504,0)))</f>
        <v/>
      </c>
      <c r="U198" s="13" t="n"/>
      <c r="V198" s="13" t="n"/>
      <c r="W198" s="13" t="n"/>
    </row>
    <row r="199">
      <c r="A199" s="18">
        <f>IFERROR(INDEX(Model!$B$5:$B$504,MATCH(ROWS($A$5:A199),Model!$AD$5:$AD$504,0)),"")</f>
        <v/>
      </c>
      <c r="B199" s="18">
        <f>IF(A199="","",INDEX(Model!$C$5:$C$504,MATCH(ROWS($A$5:A199),Model!$AD$5:$AD$504,0)))</f>
        <v/>
      </c>
      <c r="C199" s="18">
        <f>IF(A199="","",INDEX(Model!$D$5:$D$504,MATCH(ROWS($A$5:A199),Model!$AD$5:$AD$504,0)))</f>
        <v/>
      </c>
      <c r="D199" s="18">
        <f>IF(A199="","",INDEX(Model!$E$5:$E$504,MATCH(ROWS($A$5:A199),Model!$AD$5:$AD$504,0)))</f>
        <v/>
      </c>
      <c r="E199" s="19">
        <f>IF(A199="","",INDEX(Model!$F$5:$F$504,MATCH(ROWS($A$5:A199),Model!$AD$5:$AD$504,0)))</f>
        <v/>
      </c>
      <c r="F199" s="19">
        <f>IF(A199="","",INDEX(Model!$G$5:$G$504,MATCH(ROWS($A$5:A199),Model!$AD$5:$AD$504,0)))</f>
        <v/>
      </c>
      <c r="G199" s="18">
        <f>IF(A199="","",INDEX(Model!$H$5:$H$504,MATCH(ROWS($A$5:A199),Model!$AD$5:$AD$504,0)))</f>
        <v/>
      </c>
      <c r="H199" s="18">
        <f>IF(A199="","",INDEX(Model!$L$5:$L$504,MATCH(ROWS($A$5:A199),Model!$AD$5:$AD$504,0)))</f>
        <v/>
      </c>
      <c r="I199" s="20">
        <f>IF(A199="","",INDEX(Model!$P$5:$P$504,MATCH(ROWS($A$5:A199),Model!$AD$5:$AD$504,0)))</f>
        <v/>
      </c>
      <c r="J199" s="20">
        <f>IF(A199="","",INDEX(Model!$Q$5:$Q$504,MATCH(ROWS($A$5:A199),Model!$AD$5:$AD$504,0)))</f>
        <v/>
      </c>
      <c r="K199" s="21">
        <f>IF(A199="","",INDEX(Model!$R$5:$R$504,MATCH(ROWS($A$5:A199),Model!$AD$5:$AD$504,0)))</f>
        <v/>
      </c>
      <c r="L199" s="20">
        <f>IF(A199="","",INDEX(Model!$S$5:$S$504,MATCH(ROWS($A$5:A199),Model!$AD$5:$AD$504,0)))</f>
        <v/>
      </c>
      <c r="M199" s="21">
        <f>IF(A199="","",INDEX(Model!$T$5:$T$504,MATCH(ROWS($A$5:A199),Model!$AD$5:$AD$504,0)))</f>
        <v/>
      </c>
      <c r="N199" s="18">
        <f>IF(A199="","",INDEX(Model!$U$5:$U$504,MATCH(ROWS($A$5:A199),Model!$AD$5:$AD$504,0)))</f>
        <v/>
      </c>
      <c r="O199" s="18">
        <f>IF(A199="","",INDEX(Model!$V$5:$V$504,MATCH(ROWS($A$5:A199),Model!$AD$5:$AD$504,0)))</f>
        <v/>
      </c>
      <c r="P199" s="18">
        <f>IF(A199="","",INDEX(Model!$W$5:$W$504,MATCH(ROWS($A$5:A199),Model!$AD$5:$AD$504,0)))</f>
        <v/>
      </c>
      <c r="Q199" s="18">
        <f>IF(A199="","",INDEX(Model!$X$5:$X$504,MATCH(ROWS($A$5:A199),Model!$AD$5:$AD$504,0)))</f>
        <v/>
      </c>
      <c r="R199" s="18">
        <f>IF(A199="","",INDEX(Model!$Y$5:$Y$504,MATCH(ROWS($A$5:A199),Model!$AD$5:$AD$504,0)))</f>
        <v/>
      </c>
      <c r="S199" s="21">
        <f>IF(A199="","",INDEX(Model!$Z$5:$Z$504,MATCH(ROWS($A$5:A199),Model!$AD$5:$AD$504,0)))</f>
        <v/>
      </c>
      <c r="T199" s="18">
        <f>IF(A199="","",INDEX(Model!$AA$5:$AA$504,MATCH(ROWS($A$5:A199),Model!$AD$5:$AD$504,0)))</f>
        <v/>
      </c>
      <c r="U199" s="13" t="n"/>
      <c r="V199" s="13" t="n"/>
      <c r="W199" s="13" t="n"/>
    </row>
    <row r="200">
      <c r="A200" s="18">
        <f>IFERROR(INDEX(Model!$B$5:$B$504,MATCH(ROWS($A$5:A200),Model!$AD$5:$AD$504,0)),"")</f>
        <v/>
      </c>
      <c r="B200" s="18">
        <f>IF(A200="","",INDEX(Model!$C$5:$C$504,MATCH(ROWS($A$5:A200),Model!$AD$5:$AD$504,0)))</f>
        <v/>
      </c>
      <c r="C200" s="18">
        <f>IF(A200="","",INDEX(Model!$D$5:$D$504,MATCH(ROWS($A$5:A200),Model!$AD$5:$AD$504,0)))</f>
        <v/>
      </c>
      <c r="D200" s="18">
        <f>IF(A200="","",INDEX(Model!$E$5:$E$504,MATCH(ROWS($A$5:A200),Model!$AD$5:$AD$504,0)))</f>
        <v/>
      </c>
      <c r="E200" s="19">
        <f>IF(A200="","",INDEX(Model!$F$5:$F$504,MATCH(ROWS($A$5:A200),Model!$AD$5:$AD$504,0)))</f>
        <v/>
      </c>
      <c r="F200" s="19">
        <f>IF(A200="","",INDEX(Model!$G$5:$G$504,MATCH(ROWS($A$5:A200),Model!$AD$5:$AD$504,0)))</f>
        <v/>
      </c>
      <c r="G200" s="18">
        <f>IF(A200="","",INDEX(Model!$H$5:$H$504,MATCH(ROWS($A$5:A200),Model!$AD$5:$AD$504,0)))</f>
        <v/>
      </c>
      <c r="H200" s="18">
        <f>IF(A200="","",INDEX(Model!$L$5:$L$504,MATCH(ROWS($A$5:A200),Model!$AD$5:$AD$504,0)))</f>
        <v/>
      </c>
      <c r="I200" s="20">
        <f>IF(A200="","",INDEX(Model!$P$5:$P$504,MATCH(ROWS($A$5:A200),Model!$AD$5:$AD$504,0)))</f>
        <v/>
      </c>
      <c r="J200" s="20">
        <f>IF(A200="","",INDEX(Model!$Q$5:$Q$504,MATCH(ROWS($A$5:A200),Model!$AD$5:$AD$504,0)))</f>
        <v/>
      </c>
      <c r="K200" s="21">
        <f>IF(A200="","",INDEX(Model!$R$5:$R$504,MATCH(ROWS($A$5:A200),Model!$AD$5:$AD$504,0)))</f>
        <v/>
      </c>
      <c r="L200" s="20">
        <f>IF(A200="","",INDEX(Model!$S$5:$S$504,MATCH(ROWS($A$5:A200),Model!$AD$5:$AD$504,0)))</f>
        <v/>
      </c>
      <c r="M200" s="21">
        <f>IF(A200="","",INDEX(Model!$T$5:$T$504,MATCH(ROWS($A$5:A200),Model!$AD$5:$AD$504,0)))</f>
        <v/>
      </c>
      <c r="N200" s="18">
        <f>IF(A200="","",INDEX(Model!$U$5:$U$504,MATCH(ROWS($A$5:A200),Model!$AD$5:$AD$504,0)))</f>
        <v/>
      </c>
      <c r="O200" s="18">
        <f>IF(A200="","",INDEX(Model!$V$5:$V$504,MATCH(ROWS($A$5:A200),Model!$AD$5:$AD$504,0)))</f>
        <v/>
      </c>
      <c r="P200" s="18">
        <f>IF(A200="","",INDEX(Model!$W$5:$W$504,MATCH(ROWS($A$5:A200),Model!$AD$5:$AD$504,0)))</f>
        <v/>
      </c>
      <c r="Q200" s="18">
        <f>IF(A200="","",INDEX(Model!$X$5:$X$504,MATCH(ROWS($A$5:A200),Model!$AD$5:$AD$504,0)))</f>
        <v/>
      </c>
      <c r="R200" s="18">
        <f>IF(A200="","",INDEX(Model!$Y$5:$Y$504,MATCH(ROWS($A$5:A200),Model!$AD$5:$AD$504,0)))</f>
        <v/>
      </c>
      <c r="S200" s="21">
        <f>IF(A200="","",INDEX(Model!$Z$5:$Z$504,MATCH(ROWS($A$5:A200),Model!$AD$5:$AD$504,0)))</f>
        <v/>
      </c>
      <c r="T200" s="18">
        <f>IF(A200="","",INDEX(Model!$AA$5:$AA$504,MATCH(ROWS($A$5:A200),Model!$AD$5:$AD$504,0)))</f>
        <v/>
      </c>
      <c r="U200" s="13" t="n"/>
      <c r="V200" s="13" t="n"/>
      <c r="W200" s="13" t="n"/>
    </row>
    <row r="201">
      <c r="A201" s="18">
        <f>IFERROR(INDEX(Model!$B$5:$B$504,MATCH(ROWS($A$5:A201),Model!$AD$5:$AD$504,0)),"")</f>
        <v/>
      </c>
      <c r="B201" s="18">
        <f>IF(A201="","",INDEX(Model!$C$5:$C$504,MATCH(ROWS($A$5:A201),Model!$AD$5:$AD$504,0)))</f>
        <v/>
      </c>
      <c r="C201" s="18">
        <f>IF(A201="","",INDEX(Model!$D$5:$D$504,MATCH(ROWS($A$5:A201),Model!$AD$5:$AD$504,0)))</f>
        <v/>
      </c>
      <c r="D201" s="18">
        <f>IF(A201="","",INDEX(Model!$E$5:$E$504,MATCH(ROWS($A$5:A201),Model!$AD$5:$AD$504,0)))</f>
        <v/>
      </c>
      <c r="E201" s="19">
        <f>IF(A201="","",INDEX(Model!$F$5:$F$504,MATCH(ROWS($A$5:A201),Model!$AD$5:$AD$504,0)))</f>
        <v/>
      </c>
      <c r="F201" s="19">
        <f>IF(A201="","",INDEX(Model!$G$5:$G$504,MATCH(ROWS($A$5:A201),Model!$AD$5:$AD$504,0)))</f>
        <v/>
      </c>
      <c r="G201" s="18">
        <f>IF(A201="","",INDEX(Model!$H$5:$H$504,MATCH(ROWS($A$5:A201),Model!$AD$5:$AD$504,0)))</f>
        <v/>
      </c>
      <c r="H201" s="18">
        <f>IF(A201="","",INDEX(Model!$L$5:$L$504,MATCH(ROWS($A$5:A201),Model!$AD$5:$AD$504,0)))</f>
        <v/>
      </c>
      <c r="I201" s="20">
        <f>IF(A201="","",INDEX(Model!$P$5:$P$504,MATCH(ROWS($A$5:A201),Model!$AD$5:$AD$504,0)))</f>
        <v/>
      </c>
      <c r="J201" s="20">
        <f>IF(A201="","",INDEX(Model!$Q$5:$Q$504,MATCH(ROWS($A$5:A201),Model!$AD$5:$AD$504,0)))</f>
        <v/>
      </c>
      <c r="K201" s="21">
        <f>IF(A201="","",INDEX(Model!$R$5:$R$504,MATCH(ROWS($A$5:A201),Model!$AD$5:$AD$504,0)))</f>
        <v/>
      </c>
      <c r="L201" s="20">
        <f>IF(A201="","",INDEX(Model!$S$5:$S$504,MATCH(ROWS($A$5:A201),Model!$AD$5:$AD$504,0)))</f>
        <v/>
      </c>
      <c r="M201" s="21">
        <f>IF(A201="","",INDEX(Model!$T$5:$T$504,MATCH(ROWS($A$5:A201),Model!$AD$5:$AD$504,0)))</f>
        <v/>
      </c>
      <c r="N201" s="18">
        <f>IF(A201="","",INDEX(Model!$U$5:$U$504,MATCH(ROWS($A$5:A201),Model!$AD$5:$AD$504,0)))</f>
        <v/>
      </c>
      <c r="O201" s="18">
        <f>IF(A201="","",INDEX(Model!$V$5:$V$504,MATCH(ROWS($A$5:A201),Model!$AD$5:$AD$504,0)))</f>
        <v/>
      </c>
      <c r="P201" s="18">
        <f>IF(A201="","",INDEX(Model!$W$5:$W$504,MATCH(ROWS($A$5:A201),Model!$AD$5:$AD$504,0)))</f>
        <v/>
      </c>
      <c r="Q201" s="18">
        <f>IF(A201="","",INDEX(Model!$X$5:$X$504,MATCH(ROWS($A$5:A201),Model!$AD$5:$AD$504,0)))</f>
        <v/>
      </c>
      <c r="R201" s="18">
        <f>IF(A201="","",INDEX(Model!$Y$5:$Y$504,MATCH(ROWS($A$5:A201),Model!$AD$5:$AD$504,0)))</f>
        <v/>
      </c>
      <c r="S201" s="21">
        <f>IF(A201="","",INDEX(Model!$Z$5:$Z$504,MATCH(ROWS($A$5:A201),Model!$AD$5:$AD$504,0)))</f>
        <v/>
      </c>
      <c r="T201" s="18">
        <f>IF(A201="","",INDEX(Model!$AA$5:$AA$504,MATCH(ROWS($A$5:A201),Model!$AD$5:$AD$504,0)))</f>
        <v/>
      </c>
      <c r="U201" s="13" t="n"/>
      <c r="V201" s="13" t="n"/>
      <c r="W201" s="13" t="n"/>
    </row>
    <row r="202">
      <c r="A202" s="18">
        <f>IFERROR(INDEX(Model!$B$5:$B$504,MATCH(ROWS($A$5:A202),Model!$AD$5:$AD$504,0)),"")</f>
        <v/>
      </c>
      <c r="B202" s="18">
        <f>IF(A202="","",INDEX(Model!$C$5:$C$504,MATCH(ROWS($A$5:A202),Model!$AD$5:$AD$504,0)))</f>
        <v/>
      </c>
      <c r="C202" s="18">
        <f>IF(A202="","",INDEX(Model!$D$5:$D$504,MATCH(ROWS($A$5:A202),Model!$AD$5:$AD$504,0)))</f>
        <v/>
      </c>
      <c r="D202" s="18">
        <f>IF(A202="","",INDEX(Model!$E$5:$E$504,MATCH(ROWS($A$5:A202),Model!$AD$5:$AD$504,0)))</f>
        <v/>
      </c>
      <c r="E202" s="19">
        <f>IF(A202="","",INDEX(Model!$F$5:$F$504,MATCH(ROWS($A$5:A202),Model!$AD$5:$AD$504,0)))</f>
        <v/>
      </c>
      <c r="F202" s="19">
        <f>IF(A202="","",INDEX(Model!$G$5:$G$504,MATCH(ROWS($A$5:A202),Model!$AD$5:$AD$504,0)))</f>
        <v/>
      </c>
      <c r="G202" s="18">
        <f>IF(A202="","",INDEX(Model!$H$5:$H$504,MATCH(ROWS($A$5:A202),Model!$AD$5:$AD$504,0)))</f>
        <v/>
      </c>
      <c r="H202" s="18">
        <f>IF(A202="","",INDEX(Model!$L$5:$L$504,MATCH(ROWS($A$5:A202),Model!$AD$5:$AD$504,0)))</f>
        <v/>
      </c>
      <c r="I202" s="20">
        <f>IF(A202="","",INDEX(Model!$P$5:$P$504,MATCH(ROWS($A$5:A202),Model!$AD$5:$AD$504,0)))</f>
        <v/>
      </c>
      <c r="J202" s="20">
        <f>IF(A202="","",INDEX(Model!$Q$5:$Q$504,MATCH(ROWS($A$5:A202),Model!$AD$5:$AD$504,0)))</f>
        <v/>
      </c>
      <c r="K202" s="21">
        <f>IF(A202="","",INDEX(Model!$R$5:$R$504,MATCH(ROWS($A$5:A202),Model!$AD$5:$AD$504,0)))</f>
        <v/>
      </c>
      <c r="L202" s="20">
        <f>IF(A202="","",INDEX(Model!$S$5:$S$504,MATCH(ROWS($A$5:A202),Model!$AD$5:$AD$504,0)))</f>
        <v/>
      </c>
      <c r="M202" s="21">
        <f>IF(A202="","",INDEX(Model!$T$5:$T$504,MATCH(ROWS($A$5:A202),Model!$AD$5:$AD$504,0)))</f>
        <v/>
      </c>
      <c r="N202" s="18">
        <f>IF(A202="","",INDEX(Model!$U$5:$U$504,MATCH(ROWS($A$5:A202),Model!$AD$5:$AD$504,0)))</f>
        <v/>
      </c>
      <c r="O202" s="18">
        <f>IF(A202="","",INDEX(Model!$V$5:$V$504,MATCH(ROWS($A$5:A202),Model!$AD$5:$AD$504,0)))</f>
        <v/>
      </c>
      <c r="P202" s="18">
        <f>IF(A202="","",INDEX(Model!$W$5:$W$504,MATCH(ROWS($A$5:A202),Model!$AD$5:$AD$504,0)))</f>
        <v/>
      </c>
      <c r="Q202" s="18">
        <f>IF(A202="","",INDEX(Model!$X$5:$X$504,MATCH(ROWS($A$5:A202),Model!$AD$5:$AD$504,0)))</f>
        <v/>
      </c>
      <c r="R202" s="18">
        <f>IF(A202="","",INDEX(Model!$Y$5:$Y$504,MATCH(ROWS($A$5:A202),Model!$AD$5:$AD$504,0)))</f>
        <v/>
      </c>
      <c r="S202" s="21">
        <f>IF(A202="","",INDEX(Model!$Z$5:$Z$504,MATCH(ROWS($A$5:A202),Model!$AD$5:$AD$504,0)))</f>
        <v/>
      </c>
      <c r="T202" s="18">
        <f>IF(A202="","",INDEX(Model!$AA$5:$AA$504,MATCH(ROWS($A$5:A202),Model!$AD$5:$AD$504,0)))</f>
        <v/>
      </c>
      <c r="U202" s="13" t="n"/>
      <c r="V202" s="13" t="n"/>
      <c r="W202" s="13" t="n"/>
    </row>
    <row r="203">
      <c r="A203" s="18">
        <f>IFERROR(INDEX(Model!$B$5:$B$504,MATCH(ROWS($A$5:A203),Model!$AD$5:$AD$504,0)),"")</f>
        <v/>
      </c>
      <c r="B203" s="18">
        <f>IF(A203="","",INDEX(Model!$C$5:$C$504,MATCH(ROWS($A$5:A203),Model!$AD$5:$AD$504,0)))</f>
        <v/>
      </c>
      <c r="C203" s="18">
        <f>IF(A203="","",INDEX(Model!$D$5:$D$504,MATCH(ROWS($A$5:A203),Model!$AD$5:$AD$504,0)))</f>
        <v/>
      </c>
      <c r="D203" s="18">
        <f>IF(A203="","",INDEX(Model!$E$5:$E$504,MATCH(ROWS($A$5:A203),Model!$AD$5:$AD$504,0)))</f>
        <v/>
      </c>
      <c r="E203" s="19">
        <f>IF(A203="","",INDEX(Model!$F$5:$F$504,MATCH(ROWS($A$5:A203),Model!$AD$5:$AD$504,0)))</f>
        <v/>
      </c>
      <c r="F203" s="19">
        <f>IF(A203="","",INDEX(Model!$G$5:$G$504,MATCH(ROWS($A$5:A203),Model!$AD$5:$AD$504,0)))</f>
        <v/>
      </c>
      <c r="G203" s="18">
        <f>IF(A203="","",INDEX(Model!$H$5:$H$504,MATCH(ROWS($A$5:A203),Model!$AD$5:$AD$504,0)))</f>
        <v/>
      </c>
      <c r="H203" s="18">
        <f>IF(A203="","",INDEX(Model!$L$5:$L$504,MATCH(ROWS($A$5:A203),Model!$AD$5:$AD$504,0)))</f>
        <v/>
      </c>
      <c r="I203" s="20">
        <f>IF(A203="","",INDEX(Model!$P$5:$P$504,MATCH(ROWS($A$5:A203),Model!$AD$5:$AD$504,0)))</f>
        <v/>
      </c>
      <c r="J203" s="20">
        <f>IF(A203="","",INDEX(Model!$Q$5:$Q$504,MATCH(ROWS($A$5:A203),Model!$AD$5:$AD$504,0)))</f>
        <v/>
      </c>
      <c r="K203" s="21">
        <f>IF(A203="","",INDEX(Model!$R$5:$R$504,MATCH(ROWS($A$5:A203),Model!$AD$5:$AD$504,0)))</f>
        <v/>
      </c>
      <c r="L203" s="20">
        <f>IF(A203="","",INDEX(Model!$S$5:$S$504,MATCH(ROWS($A$5:A203),Model!$AD$5:$AD$504,0)))</f>
        <v/>
      </c>
      <c r="M203" s="21">
        <f>IF(A203="","",INDEX(Model!$T$5:$T$504,MATCH(ROWS($A$5:A203),Model!$AD$5:$AD$504,0)))</f>
        <v/>
      </c>
      <c r="N203" s="18">
        <f>IF(A203="","",INDEX(Model!$U$5:$U$504,MATCH(ROWS($A$5:A203),Model!$AD$5:$AD$504,0)))</f>
        <v/>
      </c>
      <c r="O203" s="18">
        <f>IF(A203="","",INDEX(Model!$V$5:$V$504,MATCH(ROWS($A$5:A203),Model!$AD$5:$AD$504,0)))</f>
        <v/>
      </c>
      <c r="P203" s="18">
        <f>IF(A203="","",INDEX(Model!$W$5:$W$504,MATCH(ROWS($A$5:A203),Model!$AD$5:$AD$504,0)))</f>
        <v/>
      </c>
      <c r="Q203" s="18">
        <f>IF(A203="","",INDEX(Model!$X$5:$X$504,MATCH(ROWS($A$5:A203),Model!$AD$5:$AD$504,0)))</f>
        <v/>
      </c>
      <c r="R203" s="18">
        <f>IF(A203="","",INDEX(Model!$Y$5:$Y$504,MATCH(ROWS($A$5:A203),Model!$AD$5:$AD$504,0)))</f>
        <v/>
      </c>
      <c r="S203" s="21">
        <f>IF(A203="","",INDEX(Model!$Z$5:$Z$504,MATCH(ROWS($A$5:A203),Model!$AD$5:$AD$504,0)))</f>
        <v/>
      </c>
      <c r="T203" s="18">
        <f>IF(A203="","",INDEX(Model!$AA$5:$AA$504,MATCH(ROWS($A$5:A203),Model!$AD$5:$AD$504,0)))</f>
        <v/>
      </c>
      <c r="U203" s="13" t="n"/>
      <c r="V203" s="13" t="n"/>
      <c r="W203" s="13" t="n"/>
    </row>
    <row r="204">
      <c r="A204" s="18">
        <f>IFERROR(INDEX(Model!$B$5:$B$504,MATCH(ROWS($A$5:A204),Model!$AD$5:$AD$504,0)),"")</f>
        <v/>
      </c>
      <c r="B204" s="18">
        <f>IF(A204="","",INDEX(Model!$C$5:$C$504,MATCH(ROWS($A$5:A204),Model!$AD$5:$AD$504,0)))</f>
        <v/>
      </c>
      <c r="C204" s="18">
        <f>IF(A204="","",INDEX(Model!$D$5:$D$504,MATCH(ROWS($A$5:A204),Model!$AD$5:$AD$504,0)))</f>
        <v/>
      </c>
      <c r="D204" s="18">
        <f>IF(A204="","",INDEX(Model!$E$5:$E$504,MATCH(ROWS($A$5:A204),Model!$AD$5:$AD$504,0)))</f>
        <v/>
      </c>
      <c r="E204" s="19">
        <f>IF(A204="","",INDEX(Model!$F$5:$F$504,MATCH(ROWS($A$5:A204),Model!$AD$5:$AD$504,0)))</f>
        <v/>
      </c>
      <c r="F204" s="19">
        <f>IF(A204="","",INDEX(Model!$G$5:$G$504,MATCH(ROWS($A$5:A204),Model!$AD$5:$AD$504,0)))</f>
        <v/>
      </c>
      <c r="G204" s="18">
        <f>IF(A204="","",INDEX(Model!$H$5:$H$504,MATCH(ROWS($A$5:A204),Model!$AD$5:$AD$504,0)))</f>
        <v/>
      </c>
      <c r="H204" s="18">
        <f>IF(A204="","",INDEX(Model!$L$5:$L$504,MATCH(ROWS($A$5:A204),Model!$AD$5:$AD$504,0)))</f>
        <v/>
      </c>
      <c r="I204" s="20">
        <f>IF(A204="","",INDEX(Model!$P$5:$P$504,MATCH(ROWS($A$5:A204),Model!$AD$5:$AD$504,0)))</f>
        <v/>
      </c>
      <c r="J204" s="20">
        <f>IF(A204="","",INDEX(Model!$Q$5:$Q$504,MATCH(ROWS($A$5:A204),Model!$AD$5:$AD$504,0)))</f>
        <v/>
      </c>
      <c r="K204" s="21">
        <f>IF(A204="","",INDEX(Model!$R$5:$R$504,MATCH(ROWS($A$5:A204),Model!$AD$5:$AD$504,0)))</f>
        <v/>
      </c>
      <c r="L204" s="20">
        <f>IF(A204="","",INDEX(Model!$S$5:$S$504,MATCH(ROWS($A$5:A204),Model!$AD$5:$AD$504,0)))</f>
        <v/>
      </c>
      <c r="M204" s="21">
        <f>IF(A204="","",INDEX(Model!$T$5:$T$504,MATCH(ROWS($A$5:A204),Model!$AD$5:$AD$504,0)))</f>
        <v/>
      </c>
      <c r="N204" s="18">
        <f>IF(A204="","",INDEX(Model!$U$5:$U$504,MATCH(ROWS($A$5:A204),Model!$AD$5:$AD$504,0)))</f>
        <v/>
      </c>
      <c r="O204" s="18">
        <f>IF(A204="","",INDEX(Model!$V$5:$V$504,MATCH(ROWS($A$5:A204),Model!$AD$5:$AD$504,0)))</f>
        <v/>
      </c>
      <c r="P204" s="18">
        <f>IF(A204="","",INDEX(Model!$W$5:$W$504,MATCH(ROWS($A$5:A204),Model!$AD$5:$AD$504,0)))</f>
        <v/>
      </c>
      <c r="Q204" s="18">
        <f>IF(A204="","",INDEX(Model!$X$5:$X$504,MATCH(ROWS($A$5:A204),Model!$AD$5:$AD$504,0)))</f>
        <v/>
      </c>
      <c r="R204" s="18">
        <f>IF(A204="","",INDEX(Model!$Y$5:$Y$504,MATCH(ROWS($A$5:A204),Model!$AD$5:$AD$504,0)))</f>
        <v/>
      </c>
      <c r="S204" s="21">
        <f>IF(A204="","",INDEX(Model!$Z$5:$Z$504,MATCH(ROWS($A$5:A204),Model!$AD$5:$AD$504,0)))</f>
        <v/>
      </c>
      <c r="T204" s="18">
        <f>IF(A204="","",INDEX(Model!$AA$5:$AA$504,MATCH(ROWS($A$5:A204),Model!$AD$5:$AD$504,0)))</f>
        <v/>
      </c>
      <c r="U204" s="13" t="n"/>
      <c r="V204" s="13" t="n"/>
      <c r="W204" s="13" t="n"/>
    </row>
  </sheetData>
  <autoFilter ref="A4:W204"/>
  <mergeCells count="2">
    <mergeCell ref="A2:H2"/>
    <mergeCell ref="A1:H1"/>
  </mergeCells>
  <conditionalFormatting sqref="O5:O204">
    <cfRule type="expression" priority="1" dxfId="0">
      <formula>$O5="Markdown Review"</formula>
    </cfRule>
    <cfRule type="expression" priority="2" dxfId="1">
      <formula>$O5="Reorder Candidate"</formula>
    </cfRule>
    <cfRule type="expression" priority="3" dxfId="2">
      <formula>$O5="Noise"</formula>
    </cfRule>
  </conditionalFormatting>
  <pageMargins left="0.3" right="0.3" top="0.5" bottom="0.5" header="0.2" footer="0.2"/>
  <pageSetup orientation="landscape" paperSize="1" fitToHeight="0" fitToWidth="1"/>
  <headerFooter>
    <oddHeader/>
    <oddFooter>&amp;CBellhaven sell-through review | Flintridge Consortium&amp;RPage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6" customWidth="1" min="4" max="4"/>
    <col width="16" customWidth="1" min="5" max="5"/>
    <col width="14" customWidth="1" min="6" max="6"/>
    <col width="12" customWidth="1" min="7" max="7"/>
    <col width="16" customWidth="1" min="8" max="8"/>
    <col width="18" customWidth="1" min="9" max="9"/>
    <col width="10" customWidth="1" min="10" max="10"/>
    <col width="10" customWidth="1" min="11" max="11"/>
    <col width="12" customWidth="1" min="12" max="12"/>
    <col width="20" customWidth="1" min="13" max="13"/>
    <col width="14" customWidth="1" min="14" max="14"/>
    <col width="26" customWidth="1" min="15" max="15"/>
  </cols>
  <sheetData>
    <row r="1">
      <c r="A1" s="1" t="inlineStr">
        <is>
          <t>Review Summary</t>
        </is>
      </c>
    </row>
    <row r="2">
      <c r="A2" s="2" t="inlineStr">
        <is>
          <t>SKU rollup for Elena Bassett | derived from current detailed model | blank-state until EDI observations are pasted</t>
        </is>
      </c>
    </row>
    <row r="4">
      <c r="A4" s="6" t="inlineStr">
        <is>
          <t>SKU</t>
        </is>
      </c>
      <c r="B4" s="6" t="inlineStr">
        <is>
          <t>Description</t>
        </is>
      </c>
      <c r="C4" s="6" t="inlineStr">
        <is>
          <t>Category</t>
        </is>
      </c>
      <c r="D4" s="6" t="inlineStr">
        <is>
          <t>Recent Velocity</t>
        </is>
      </c>
      <c r="E4" s="6" t="inlineStr">
        <is>
          <t>Prior Velocity</t>
        </is>
      </c>
      <c r="F4" s="6" t="inlineStr">
        <is>
          <t>Variance</t>
        </is>
      </c>
      <c r="G4" s="6" t="inlineStr">
        <is>
          <t>Variance %</t>
        </is>
      </c>
      <c r="H4" s="6" t="inlineStr">
        <is>
          <t>Markdown Review</t>
        </is>
      </c>
      <c r="I4" s="6" t="inlineStr">
        <is>
          <t>Reorder Candidate</t>
        </is>
      </c>
      <c r="J4" s="6" t="inlineStr">
        <is>
          <t>Noise</t>
        </is>
      </c>
      <c r="K4" s="6" t="inlineStr">
        <is>
          <t>Monitor</t>
        </is>
      </c>
      <c r="L4" s="6" t="inlineStr">
        <is>
          <t>Not Ready</t>
        </is>
      </c>
      <c r="M4" s="6" t="inlineStr">
        <is>
          <t>Recommended Action</t>
        </is>
      </c>
      <c r="N4" s="6" t="inlineStr">
        <is>
          <t>Material Change</t>
        </is>
      </c>
      <c r="O4" s="6" t="inlineStr">
        <is>
          <t>Driver</t>
        </is>
      </c>
    </row>
    <row r="5">
      <c r="A5" s="18" t="inlineStr">
        <is>
          <t>FL-AQ-101</t>
        </is>
      </c>
      <c r="B5" s="18" t="inlineStr">
        <is>
          <t>ClearCurrent Filter Media</t>
        </is>
      </c>
      <c r="C5" s="18" t="inlineStr">
        <is>
          <t>Aquatics</t>
        </is>
      </c>
      <c r="D5" s="20">
        <f>IFERROR(AVERAGEIFS(Model!$M$5:$M$504,Model!$C$5:$C$504,$A5,Model!$L$5:$L$504,TRUE,Model!$F$5:$F$504,"&gt;="&amp;AsOfWeek-7*(RecentWeeks-1),Model!$F$5:$F$504,"&lt;="&amp;AsOfWeek),"")</f>
        <v/>
      </c>
      <c r="E5" s="20">
        <f>IFERROR(AVERAGEIFS(Model!$M$5:$M$504,Model!$C$5:$C$504,$A5,Model!$L$5:$L$504,TRUE,Model!$F$5:$F$504,"&gt;="&amp;AsOfWeek-7*(RecentWeeks+PriorWeeks-1),Model!$F$5:$F$504,"&lt;"&amp;AsOfWeek-7*(RecentWeeks-1)),"")</f>
        <v/>
      </c>
      <c r="F5" s="20">
        <f>IF(OR(D5="",E5=""),"",D5-E5)</f>
        <v/>
      </c>
      <c r="G5" s="21">
        <f>IF(OR(D5="",E5="",E5=0),"",D5/E5-1)</f>
        <v/>
      </c>
      <c r="H5" s="23">
        <f>COUNTIFS(Model!$C$5:$C$504,$A5,Model!$O$5:$O$504,TRUE,Model!$V$5:$V$504,"Markdown Review")</f>
        <v/>
      </c>
      <c r="I5" s="23">
        <f>COUNTIFS(Model!$C$5:$C$504,$A5,Model!$O$5:$O$504,TRUE,Model!$V$5:$V$504,"Reorder Candidate")</f>
        <v/>
      </c>
      <c r="J5" s="23">
        <f>COUNTIFS(Model!$C$5:$C$504,$A5,Model!$O$5:$O$504,TRUE,Model!$V$5:$V$504,"Noise")</f>
        <v/>
      </c>
      <c r="K5" s="23">
        <f>COUNTIFS(Model!$C$5:$C$504,$A5,Model!$O$5:$O$504,TRUE,Model!$V$5:$V$504,"Monitor")</f>
        <v/>
      </c>
      <c r="L5" s="23">
        <f>COUNTIFS(Model!$C$5:$C$504,$A5,Model!$O$5:$O$504,TRUE,Model!$V$5:$V$504,"Not Ready")</f>
        <v/>
      </c>
      <c r="M5" s="18">
        <f>IF(H5&gt;0,"Markdown support",IF(I5&gt;0,"Second reorder",IF(L5&gt;0,"Not ready",IF(J5&gt;0,"Hold / collect data","Monitor"))))</f>
        <v/>
      </c>
      <c r="N5" s="18">
        <f>IF(OR(G5="",G5=0),"No",IF(ABS(G5)&gt;=MaterialThreshold,"Yes","No"))</f>
        <v/>
      </c>
      <c r="O5" s="18">
        <f>IF(N5&lt;&gt;"Yes","",IF(ABS(G5)&gt;=MaterialThreshold,IF(ABS(G5)&gt;=BroadShare,"Broad SKU movement","Store-concentrated movement"),""))</f>
        <v/>
      </c>
    </row>
    <row r="6">
      <c r="A6" s="18" t="inlineStr">
        <is>
          <t>FL-AQ-102</t>
        </is>
      </c>
      <c r="B6" s="18" t="inlineStr">
        <is>
          <t>Tideglass Water Conditioner</t>
        </is>
      </c>
      <c r="C6" s="18" t="inlineStr">
        <is>
          <t>Aquatics</t>
        </is>
      </c>
      <c r="D6" s="20">
        <f>IFERROR(AVERAGEIFS(Model!$M$5:$M$504,Model!$C$5:$C$504,$A6,Model!$L$5:$L$504,TRUE,Model!$F$5:$F$504,"&gt;="&amp;AsOfWeek-7*(RecentWeeks-1),Model!$F$5:$F$504,"&lt;="&amp;AsOfWeek),"")</f>
        <v/>
      </c>
      <c r="E6" s="20">
        <f>IFERROR(AVERAGEIFS(Model!$M$5:$M$504,Model!$C$5:$C$504,$A6,Model!$L$5:$L$504,TRUE,Model!$F$5:$F$504,"&gt;="&amp;AsOfWeek-7*(RecentWeeks+PriorWeeks-1),Model!$F$5:$F$504,"&lt;"&amp;AsOfWeek-7*(RecentWeeks-1)),"")</f>
        <v/>
      </c>
      <c r="F6" s="20">
        <f>IF(OR(D6="",E6=""),"",D6-E6)</f>
        <v/>
      </c>
      <c r="G6" s="21">
        <f>IF(OR(D6="",E6="",E6=0),"",D6/E6-1)</f>
        <v/>
      </c>
      <c r="H6" s="23">
        <f>COUNTIFS(Model!$C$5:$C$504,$A6,Model!$O$5:$O$504,TRUE,Model!$V$5:$V$504,"Markdown Review")</f>
        <v/>
      </c>
      <c r="I6" s="23">
        <f>COUNTIFS(Model!$C$5:$C$504,$A6,Model!$O$5:$O$504,TRUE,Model!$V$5:$V$504,"Reorder Candidate")</f>
        <v/>
      </c>
      <c r="J6" s="23">
        <f>COUNTIFS(Model!$C$5:$C$504,$A6,Model!$O$5:$O$504,TRUE,Model!$V$5:$V$504,"Noise")</f>
        <v/>
      </c>
      <c r="K6" s="23">
        <f>COUNTIFS(Model!$C$5:$C$504,$A6,Model!$O$5:$O$504,TRUE,Model!$V$5:$V$504,"Monitor")</f>
        <v/>
      </c>
      <c r="L6" s="23">
        <f>COUNTIFS(Model!$C$5:$C$504,$A6,Model!$O$5:$O$504,TRUE,Model!$V$5:$V$504,"Not Ready")</f>
        <v/>
      </c>
      <c r="M6" s="18">
        <f>IF(H6&gt;0,"Markdown support",IF(I6&gt;0,"Second reorder",IF(L6&gt;0,"Not ready",IF(J6&gt;0,"Hold / collect data","Monitor"))))</f>
        <v/>
      </c>
      <c r="N6" s="18">
        <f>IF(OR(G6="",G6=0),"No",IF(ABS(G6)&gt;=MaterialThreshold,"Yes","No"))</f>
        <v/>
      </c>
      <c r="O6" s="18">
        <f>IF(N6&lt;&gt;"Yes","",IF(ABS(G6)&gt;=MaterialThreshold,IF(ABS(G6)&gt;=BroadShare,"Broad SKU movement","Store-concentrated movement"),""))</f>
        <v/>
      </c>
    </row>
    <row r="7">
      <c r="A7" s="18" t="inlineStr">
        <is>
          <t>FL-PT-201</t>
        </is>
      </c>
      <c r="B7" s="18" t="inlineStr">
        <is>
          <t>Pawline Dental Chews</t>
        </is>
      </c>
      <c r="C7" s="18" t="inlineStr">
        <is>
          <t>Pet Care</t>
        </is>
      </c>
      <c r="D7" s="20">
        <f>IFERROR(AVERAGEIFS(Model!$M$5:$M$504,Model!$C$5:$C$504,$A7,Model!$L$5:$L$504,TRUE,Model!$F$5:$F$504,"&gt;="&amp;AsOfWeek-7*(RecentWeeks-1),Model!$F$5:$F$504,"&lt;="&amp;AsOfWeek),"")</f>
        <v/>
      </c>
      <c r="E7" s="20">
        <f>IFERROR(AVERAGEIFS(Model!$M$5:$M$504,Model!$C$5:$C$504,$A7,Model!$L$5:$L$504,TRUE,Model!$F$5:$F$504,"&gt;="&amp;AsOfWeek-7*(RecentWeeks+PriorWeeks-1),Model!$F$5:$F$504,"&lt;"&amp;AsOfWeek-7*(RecentWeeks-1)),"")</f>
        <v/>
      </c>
      <c r="F7" s="20">
        <f>IF(OR(D7="",E7=""),"",D7-E7)</f>
        <v/>
      </c>
      <c r="G7" s="21">
        <f>IF(OR(D7="",E7="",E7=0),"",D7/E7-1)</f>
        <v/>
      </c>
      <c r="H7" s="23">
        <f>COUNTIFS(Model!$C$5:$C$504,$A7,Model!$O$5:$O$504,TRUE,Model!$V$5:$V$504,"Markdown Review")</f>
        <v/>
      </c>
      <c r="I7" s="23">
        <f>COUNTIFS(Model!$C$5:$C$504,$A7,Model!$O$5:$O$504,TRUE,Model!$V$5:$V$504,"Reorder Candidate")</f>
        <v/>
      </c>
      <c r="J7" s="23">
        <f>COUNTIFS(Model!$C$5:$C$504,$A7,Model!$O$5:$O$504,TRUE,Model!$V$5:$V$504,"Noise")</f>
        <v/>
      </c>
      <c r="K7" s="23">
        <f>COUNTIFS(Model!$C$5:$C$504,$A7,Model!$O$5:$O$504,TRUE,Model!$V$5:$V$504,"Monitor")</f>
        <v/>
      </c>
      <c r="L7" s="23">
        <f>COUNTIFS(Model!$C$5:$C$504,$A7,Model!$O$5:$O$504,TRUE,Model!$V$5:$V$504,"Not Ready")</f>
        <v/>
      </c>
      <c r="M7" s="18">
        <f>IF(H7&gt;0,"Markdown support",IF(I7&gt;0,"Second reorder",IF(L7&gt;0,"Not ready",IF(J7&gt;0,"Hold / collect data","Monitor"))))</f>
        <v/>
      </c>
      <c r="N7" s="18">
        <f>IF(OR(G7="",G7=0),"No",IF(ABS(G7)&gt;=MaterialThreshold,"Yes","No"))</f>
        <v/>
      </c>
      <c r="O7" s="18">
        <f>IF(N7&lt;&gt;"Yes","",IF(ABS(G7)&gt;=MaterialThreshold,IF(ABS(G7)&gt;=BroadShare,"Broad SKU movement","Store-concentrated movement"),""))</f>
        <v/>
      </c>
    </row>
    <row r="8">
      <c r="A8" s="18" t="inlineStr">
        <is>
          <t>FL-PT-202</t>
        </is>
      </c>
      <c r="B8" s="18" t="inlineStr">
        <is>
          <t>HarborHound Joint Bites</t>
        </is>
      </c>
      <c r="C8" s="18" t="inlineStr">
        <is>
          <t>Pet Care</t>
        </is>
      </c>
      <c r="D8" s="20">
        <f>IFERROR(AVERAGEIFS(Model!$M$5:$M$504,Model!$C$5:$C$504,$A8,Model!$L$5:$L$504,TRUE,Model!$F$5:$F$504,"&gt;="&amp;AsOfWeek-7*(RecentWeeks-1),Model!$F$5:$F$504,"&lt;="&amp;AsOfWeek),"")</f>
        <v/>
      </c>
      <c r="E8" s="20">
        <f>IFERROR(AVERAGEIFS(Model!$M$5:$M$504,Model!$C$5:$C$504,$A8,Model!$L$5:$L$504,TRUE,Model!$F$5:$F$504,"&gt;="&amp;AsOfWeek-7*(RecentWeeks+PriorWeeks-1),Model!$F$5:$F$504,"&lt;"&amp;AsOfWeek-7*(RecentWeeks-1)),"")</f>
        <v/>
      </c>
      <c r="F8" s="20">
        <f>IF(OR(D8="",E8=""),"",D8-E8)</f>
        <v/>
      </c>
      <c r="G8" s="21">
        <f>IF(OR(D8="",E8="",E8=0),"",D8/E8-1)</f>
        <v/>
      </c>
      <c r="H8" s="23">
        <f>COUNTIFS(Model!$C$5:$C$504,$A8,Model!$O$5:$O$504,TRUE,Model!$V$5:$V$504,"Markdown Review")</f>
        <v/>
      </c>
      <c r="I8" s="23">
        <f>COUNTIFS(Model!$C$5:$C$504,$A8,Model!$O$5:$O$504,TRUE,Model!$V$5:$V$504,"Reorder Candidate")</f>
        <v/>
      </c>
      <c r="J8" s="23">
        <f>COUNTIFS(Model!$C$5:$C$504,$A8,Model!$O$5:$O$504,TRUE,Model!$V$5:$V$504,"Noise")</f>
        <v/>
      </c>
      <c r="K8" s="23">
        <f>COUNTIFS(Model!$C$5:$C$504,$A8,Model!$O$5:$O$504,TRUE,Model!$V$5:$V$504,"Monitor")</f>
        <v/>
      </c>
      <c r="L8" s="23">
        <f>COUNTIFS(Model!$C$5:$C$504,$A8,Model!$O$5:$O$504,TRUE,Model!$V$5:$V$504,"Not Ready")</f>
        <v/>
      </c>
      <c r="M8" s="18">
        <f>IF(H8&gt;0,"Markdown support",IF(I8&gt;0,"Second reorder",IF(L8&gt;0,"Not ready",IF(J8&gt;0,"Hold / collect data","Monitor"))))</f>
        <v/>
      </c>
      <c r="N8" s="18">
        <f>IF(OR(G8="",G8=0),"No",IF(ABS(G8)&gt;=MaterialThreshold,"Yes","No"))</f>
        <v/>
      </c>
      <c r="O8" s="18">
        <f>IF(N8&lt;&gt;"Yes","",IF(ABS(G8)&gt;=MaterialThreshold,IF(ABS(G8)&gt;=BroadShare,"Broad SKU movement","Store-concentrated movement"),""))</f>
        <v/>
      </c>
    </row>
    <row r="9">
      <c r="A9" s="18" t="inlineStr">
        <is>
          <t>FL-PT-203</t>
        </is>
      </c>
      <c r="B9" s="18" t="inlineStr">
        <is>
          <t>Moss &amp; Mutt Coat Treats</t>
        </is>
      </c>
      <c r="C9" s="18" t="inlineStr">
        <is>
          <t>Pet Care</t>
        </is>
      </c>
      <c r="D9" s="20">
        <f>IFERROR(AVERAGEIFS(Model!$M$5:$M$504,Model!$C$5:$C$504,$A9,Model!$L$5:$L$504,TRUE,Model!$F$5:$F$504,"&gt;="&amp;AsOfWeek-7*(RecentWeeks-1),Model!$F$5:$F$504,"&lt;="&amp;AsOfWeek),"")</f>
        <v/>
      </c>
      <c r="E9" s="20">
        <f>IFERROR(AVERAGEIFS(Model!$M$5:$M$504,Model!$C$5:$C$504,$A9,Model!$L$5:$L$504,TRUE,Model!$F$5:$F$504,"&gt;="&amp;AsOfWeek-7*(RecentWeeks+PriorWeeks-1),Model!$F$5:$F$504,"&lt;"&amp;AsOfWeek-7*(RecentWeeks-1)),"")</f>
        <v/>
      </c>
      <c r="F9" s="20">
        <f>IF(OR(D9="",E9=""),"",D9-E9)</f>
        <v/>
      </c>
      <c r="G9" s="21">
        <f>IF(OR(D9="",E9="",E9=0),"",D9/E9-1)</f>
        <v/>
      </c>
      <c r="H9" s="23">
        <f>COUNTIFS(Model!$C$5:$C$504,$A9,Model!$O$5:$O$504,TRUE,Model!$V$5:$V$504,"Markdown Review")</f>
        <v/>
      </c>
      <c r="I9" s="23">
        <f>COUNTIFS(Model!$C$5:$C$504,$A9,Model!$O$5:$O$504,TRUE,Model!$V$5:$V$504,"Reorder Candidate")</f>
        <v/>
      </c>
      <c r="J9" s="23">
        <f>COUNTIFS(Model!$C$5:$C$504,$A9,Model!$O$5:$O$504,TRUE,Model!$V$5:$V$504,"Noise")</f>
        <v/>
      </c>
      <c r="K9" s="23">
        <f>COUNTIFS(Model!$C$5:$C$504,$A9,Model!$O$5:$O$504,TRUE,Model!$V$5:$V$504,"Monitor")</f>
        <v/>
      </c>
      <c r="L9" s="23">
        <f>COUNTIFS(Model!$C$5:$C$504,$A9,Model!$O$5:$O$504,TRUE,Model!$V$5:$V$504,"Not Ready")</f>
        <v/>
      </c>
      <c r="M9" s="18">
        <f>IF(H9&gt;0,"Markdown support",IF(I9&gt;0,"Second reorder",IF(L9&gt;0,"Not ready",IF(J9&gt;0,"Hold / collect data","Monitor"))))</f>
        <v/>
      </c>
      <c r="N9" s="18">
        <f>IF(OR(G9="",G9=0),"No",IF(ABS(G9)&gt;=MaterialThreshold,"Yes","No"))</f>
        <v/>
      </c>
      <c r="O9" s="18">
        <f>IF(N9&lt;&gt;"Yes","",IF(ABS(G9)&gt;=MaterialThreshold,IF(ABS(G9)&gt;=BroadShare,"Broad SKU movement","Store-concentrated movement"),""))</f>
        <v/>
      </c>
    </row>
    <row r="10">
      <c r="A10" s="18" t="inlineStr">
        <is>
          <t>FL-PT-204</t>
        </is>
      </c>
      <c r="B10" s="18" t="inlineStr">
        <is>
          <t>WhiskerWell Calming Drops</t>
        </is>
      </c>
      <c r="C10" s="18" t="inlineStr">
        <is>
          <t>Pet Care</t>
        </is>
      </c>
      <c r="D10" s="20">
        <f>IFERROR(AVERAGEIFS(Model!$M$5:$M$504,Model!$C$5:$C$504,$A10,Model!$L$5:$L$504,TRUE,Model!$F$5:$F$504,"&gt;="&amp;AsOfWeek-7*(RecentWeeks-1),Model!$F$5:$F$504,"&lt;="&amp;AsOfWeek),"")</f>
        <v/>
      </c>
      <c r="E10" s="20">
        <f>IFERROR(AVERAGEIFS(Model!$M$5:$M$504,Model!$C$5:$C$504,$A10,Model!$L$5:$L$504,TRUE,Model!$F$5:$F$504,"&gt;="&amp;AsOfWeek-7*(RecentWeeks+PriorWeeks-1),Model!$F$5:$F$504,"&lt;"&amp;AsOfWeek-7*(RecentWeeks-1)),"")</f>
        <v/>
      </c>
      <c r="F10" s="20">
        <f>IF(OR(D10="",E10=""),"",D10-E10)</f>
        <v/>
      </c>
      <c r="G10" s="21">
        <f>IF(OR(D10="",E10="",E10=0),"",D10/E10-1)</f>
        <v/>
      </c>
      <c r="H10" s="23">
        <f>COUNTIFS(Model!$C$5:$C$504,$A10,Model!$O$5:$O$504,TRUE,Model!$V$5:$V$504,"Markdown Review")</f>
        <v/>
      </c>
      <c r="I10" s="23">
        <f>COUNTIFS(Model!$C$5:$C$504,$A10,Model!$O$5:$O$504,TRUE,Model!$V$5:$V$504,"Reorder Candidate")</f>
        <v/>
      </c>
      <c r="J10" s="23">
        <f>COUNTIFS(Model!$C$5:$C$504,$A10,Model!$O$5:$O$504,TRUE,Model!$V$5:$V$504,"Noise")</f>
        <v/>
      </c>
      <c r="K10" s="23">
        <f>COUNTIFS(Model!$C$5:$C$504,$A10,Model!$O$5:$O$504,TRUE,Model!$V$5:$V$504,"Monitor")</f>
        <v/>
      </c>
      <c r="L10" s="23">
        <f>COUNTIFS(Model!$C$5:$C$504,$A10,Model!$O$5:$O$504,TRUE,Model!$V$5:$V$504,"Not Ready")</f>
        <v/>
      </c>
      <c r="M10" s="18">
        <f>IF(H10&gt;0,"Markdown support",IF(I10&gt;0,"Second reorder",IF(L10&gt;0,"Not ready",IF(J10&gt;0,"Hold / collect data","Monitor"))))</f>
        <v/>
      </c>
      <c r="N10" s="18">
        <f>IF(OR(G10="",G10=0),"No",IF(ABS(G10)&gt;=MaterialThreshold,"Yes","No"))</f>
        <v/>
      </c>
      <c r="O10" s="18">
        <f>IF(N10&lt;&gt;"Yes","",IF(ABS(G10)&gt;=MaterialThreshold,IF(ABS(G10)&gt;=BroadShare,"Broad SKU movement","Store-concentrated movement"),""))</f>
        <v/>
      </c>
    </row>
    <row r="11">
      <c r="A11" s="18" t="inlineStr">
        <is>
          <t>FL-GR-301</t>
        </is>
      </c>
      <c r="B11" s="18" t="inlineStr">
        <is>
          <t>Greenfin Staple Pellets</t>
        </is>
      </c>
      <c r="C11" s="18" t="inlineStr">
        <is>
          <t>Aquatics</t>
        </is>
      </c>
      <c r="D11" s="20">
        <f>IFERROR(AVERAGEIFS(Model!$M$5:$M$504,Model!$C$5:$C$504,$A11,Model!$L$5:$L$504,TRUE,Model!$F$5:$F$504,"&gt;="&amp;AsOfWeek-7*(RecentWeeks-1),Model!$F$5:$F$504,"&lt;="&amp;AsOfWeek),"")</f>
        <v/>
      </c>
      <c r="E11" s="20">
        <f>IFERROR(AVERAGEIFS(Model!$M$5:$M$504,Model!$C$5:$C$504,$A11,Model!$L$5:$L$504,TRUE,Model!$F$5:$F$504,"&gt;="&amp;AsOfWeek-7*(RecentWeeks+PriorWeeks-1),Model!$F$5:$F$504,"&lt;"&amp;AsOfWeek-7*(RecentWeeks-1)),"")</f>
        <v/>
      </c>
      <c r="F11" s="20">
        <f>IF(OR(D11="",E11=""),"",D11-E11)</f>
        <v/>
      </c>
      <c r="G11" s="21">
        <f>IF(OR(D11="",E11="",E11=0),"",D11/E11-1)</f>
        <v/>
      </c>
      <c r="H11" s="23">
        <f>COUNTIFS(Model!$C$5:$C$504,$A11,Model!$O$5:$O$504,TRUE,Model!$V$5:$V$504,"Markdown Review")</f>
        <v/>
      </c>
      <c r="I11" s="23">
        <f>COUNTIFS(Model!$C$5:$C$504,$A11,Model!$O$5:$O$504,TRUE,Model!$V$5:$V$504,"Reorder Candidate")</f>
        <v/>
      </c>
      <c r="J11" s="23">
        <f>COUNTIFS(Model!$C$5:$C$504,$A11,Model!$O$5:$O$504,TRUE,Model!$V$5:$V$504,"Noise")</f>
        <v/>
      </c>
      <c r="K11" s="23">
        <f>COUNTIFS(Model!$C$5:$C$504,$A11,Model!$O$5:$O$504,TRUE,Model!$V$5:$V$504,"Monitor")</f>
        <v/>
      </c>
      <c r="L11" s="23">
        <f>COUNTIFS(Model!$C$5:$C$504,$A11,Model!$O$5:$O$504,TRUE,Model!$V$5:$V$504,"Not Ready")</f>
        <v/>
      </c>
      <c r="M11" s="18">
        <f>IF(H11&gt;0,"Markdown support",IF(I11&gt;0,"Second reorder",IF(L11&gt;0,"Not ready",IF(J11&gt;0,"Hold / collect data","Monitor"))))</f>
        <v/>
      </c>
      <c r="N11" s="18">
        <f>IF(OR(G11="",G11=0),"No",IF(ABS(G11)&gt;=MaterialThreshold,"Yes","No"))</f>
        <v/>
      </c>
      <c r="O11" s="18">
        <f>IF(N11&lt;&gt;"Yes","",IF(ABS(G11)&gt;=MaterialThreshold,IF(ABS(G11)&gt;=BroadShare,"Broad SKU movement","Store-concentrated movement"),""))</f>
        <v/>
      </c>
    </row>
    <row r="12">
      <c r="A12" s="18" t="inlineStr">
        <is>
          <t>FL-GR-302</t>
        </is>
      </c>
      <c r="B12" s="18" t="inlineStr">
        <is>
          <t>ReefReady Shrimp Pellets</t>
        </is>
      </c>
      <c r="C12" s="18" t="inlineStr">
        <is>
          <t>Aquatics</t>
        </is>
      </c>
      <c r="D12" s="20">
        <f>IFERROR(AVERAGEIFS(Model!$M$5:$M$504,Model!$C$5:$C$504,$A12,Model!$L$5:$L$504,TRUE,Model!$F$5:$F$504,"&gt;="&amp;AsOfWeek-7*(RecentWeeks-1),Model!$F$5:$F$504,"&lt;="&amp;AsOfWeek),"")</f>
        <v/>
      </c>
      <c r="E12" s="20">
        <f>IFERROR(AVERAGEIFS(Model!$M$5:$M$504,Model!$C$5:$C$504,$A12,Model!$L$5:$L$504,TRUE,Model!$F$5:$F$504,"&gt;="&amp;AsOfWeek-7*(RecentWeeks+PriorWeeks-1),Model!$F$5:$F$504,"&lt;"&amp;AsOfWeek-7*(RecentWeeks-1)),"")</f>
        <v/>
      </c>
      <c r="F12" s="20">
        <f>IF(OR(D12="",E12=""),"",D12-E12)</f>
        <v/>
      </c>
      <c r="G12" s="21">
        <f>IF(OR(D12="",E12="",E12=0),"",D12/E12-1)</f>
        <v/>
      </c>
      <c r="H12" s="23">
        <f>COUNTIFS(Model!$C$5:$C$504,$A12,Model!$O$5:$O$504,TRUE,Model!$V$5:$V$504,"Markdown Review")</f>
        <v/>
      </c>
      <c r="I12" s="23">
        <f>COUNTIFS(Model!$C$5:$C$504,$A12,Model!$O$5:$O$504,TRUE,Model!$V$5:$V$504,"Reorder Candidate")</f>
        <v/>
      </c>
      <c r="J12" s="23">
        <f>COUNTIFS(Model!$C$5:$C$504,$A12,Model!$O$5:$O$504,TRUE,Model!$V$5:$V$504,"Noise")</f>
        <v/>
      </c>
      <c r="K12" s="23">
        <f>COUNTIFS(Model!$C$5:$C$504,$A12,Model!$O$5:$O$504,TRUE,Model!$V$5:$V$504,"Monitor")</f>
        <v/>
      </c>
      <c r="L12" s="23">
        <f>COUNTIFS(Model!$C$5:$C$504,$A12,Model!$O$5:$O$504,TRUE,Model!$V$5:$V$504,"Not Ready")</f>
        <v/>
      </c>
      <c r="M12" s="18">
        <f>IF(H12&gt;0,"Markdown support",IF(I12&gt;0,"Second reorder",IF(L12&gt;0,"Not ready",IF(J12&gt;0,"Hold / collect data","Monitor"))))</f>
        <v/>
      </c>
      <c r="N12" s="18">
        <f>IF(OR(G12="",G12=0),"No",IF(ABS(G12)&gt;=MaterialThreshold,"Yes","No"))</f>
        <v/>
      </c>
      <c r="O12" s="18">
        <f>IF(N12&lt;&gt;"Yes","",IF(ABS(G12)&gt;=MaterialThreshold,IF(ABS(G12)&gt;=BroadShare,"Broad SKU movement","Store-concentrated movement"),""))</f>
        <v/>
      </c>
    </row>
    <row r="14">
      <c r="A14" s="4" t="inlineStr">
        <is>
          <t>Grand Total</t>
        </is>
      </c>
      <c r="D14" s="24">
        <f>SUM(D5:D12)</f>
        <v/>
      </c>
      <c r="E14" s="24">
        <f>SUM(E5:E12)</f>
        <v/>
      </c>
      <c r="F14" s="24">
        <f>SUM(F5:F12)</f>
        <v/>
      </c>
      <c r="H14" s="24">
        <f>SUM(H5:H12)</f>
        <v/>
      </c>
      <c r="I14" s="24">
        <f>SUM(I5:I12)</f>
        <v/>
      </c>
      <c r="J14" s="24">
        <f>SUM(J5:J12)</f>
        <v/>
      </c>
      <c r="K14" s="24">
        <f>SUM(K5:K12)</f>
        <v/>
      </c>
      <c r="L14" s="24">
        <f>SUM(L5:L12)</f>
        <v/>
      </c>
      <c r="M14">
        <f>IF(H14&gt;0,"Markdown support",IF(I14&gt;0,"Second reorder",IF(L14&gt;0,"Not ready",IF(J14&gt;0,"Hold / collect data","Monitor"))))</f>
        <v/>
      </c>
      <c r="N14">
        <f>IF(ABS(G14)&gt;=MaterialThreshold,"Yes","No")</f>
        <v/>
      </c>
    </row>
  </sheetData>
  <autoFilter ref="A4:O12"/>
  <mergeCells count="2">
    <mergeCell ref="A2:H2"/>
    <mergeCell ref="A1:H1"/>
  </mergeCells>
  <conditionalFormatting sqref="M5:M12">
    <cfRule type="expression" priority="1" dxfId="0">
      <formula>$M5="Markdown support"</formula>
    </cfRule>
    <cfRule type="expression" priority="2" dxfId="1">
      <formula>$M5="Second reorder"</formula>
    </cfRule>
  </conditionalFormatting>
  <pageMargins left="0.3" right="0.3" top="0.5" bottom="0.5" header="0.2" footer="0.2"/>
  <pageSetup orientation="landscape" paperSize="1" fitToHeight="0" fitToWidth="1"/>
  <headerFooter>
    <oddHeader/>
    <oddFooter>&amp;CBellhaven sell-through review | Flintridge Consortium&amp;RPage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2026-08-25T01:29:48Z</dcterms:created>
  <dcterms:modified xmlns:dcterms="http://purl.org/dc/terms/" xmlns:xsi="http://www.w3.org/2001/XMLSchema-instance" xsi:type="dcterms:W3CDTF">2026-08-25T01:29:49Z</dcterms:modified>
</cp:coreProperties>
</file>