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erating Plan" sheetId="1" state="visible" r:id="rId3"/>
    <sheet name="Issue Register" sheetId="2" state="visible" r:id="rId4"/>
    <sheet name="Inspection Findings" sheetId="3" state="visible" r:id="rId5"/>
  </sheets>
  <definedNames>
    <definedName function="false" hidden="false" localSheetId="1" name="_xlnm.Print_Titles" vbProcedure="false">'Issue Register'!$1:$4</definedName>
    <definedName function="false" hidden="true" localSheetId="1" name="_xlnm._FilterDatabase" vbProcedure="false">'Issue Register'!$A$4:$J$35</definedName>
    <definedName function="false" hidden="false" localSheetId="0" name="_xlnm.Print_Titles" vbProcedure="false">'Operating Plan'!$1:$14</definedName>
    <definedName function="false" hidden="true" localSheetId="0" name="_xlnm._FilterDatabase" vbProcedure="false">'Operating Plan'!$A$14:$W$30</definedName>
    <definedName function="false" hidden="false" name="InspectionIssues" vbProcedure="false">'Issue Register'!$A$4:$J$35</definedName>
    <definedName function="false" hidden="false" name="OperatingPlan" vbProcedure="false">'Operating Plan'!$A$14:$W$30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<sst xmlns="http://schemas.openxmlformats.org/spreadsheetml/2006/main" count="568" uniqueCount="226">
  <si>
    <t xml:space="preserve">Cobblemoor Provisions | corrected maintenance-access operating plan</t>
  </si>
  <si>
    <t xml:space="preserve">Inspection preparation record | prepared for peer review | source schedule retained with permitted normalization and documented duplicate disposition</t>
  </si>
  <si>
    <t xml:space="preserve">Selected candidate</t>
  </si>
  <si>
    <t xml:space="preserve">Candidate B</t>
  </si>
  <si>
    <t xml:space="preserve">Inspection result</t>
  </si>
  <si>
    <t xml:space="preserve">Compliant</t>
  </si>
  <si>
    <t xml:space="preserve">Overall status</t>
  </si>
  <si>
    <t xml:space="preserve">Pending approval</t>
  </si>
  <si>
    <t xml:space="preserve">Site jurisdiction</t>
  </si>
  <si>
    <t xml:space="preserve">England</t>
  </si>
  <si>
    <t xml:space="preserve">Prepared by</t>
  </si>
  <si>
    <t xml:space="preserve">Tadeo Penrose</t>
  </si>
  <si>
    <t xml:space="preserve">Peer reviewer</t>
  </si>
  <si>
    <t xml:space="preserve">Isabel Tikhonov</t>
  </si>
  <si>
    <t xml:space="preserve">Inspection date</t>
  </si>
  <si>
    <t xml:space="preserve">Peer-review due</t>
  </si>
  <si>
    <t xml:space="preserve">Approval decision</t>
  </si>
  <si>
    <t xml:space="preserve">Assurance summary (live calculations)</t>
  </si>
  <si>
    <t xml:space="preserve">Required activities</t>
  </si>
  <si>
    <t xml:space="preserve">Scheduled activities</t>
  </si>
  <si>
    <t xml:space="preserve">Planned maintenance minutes</t>
  </si>
  <si>
    <t xml:space="preserve">Zone transitions</t>
  </si>
  <si>
    <t xml:space="preserve">Changeover minutes</t>
  </si>
  <si>
    <t xml:space="preserve">Schedule compliance</t>
  </si>
  <si>
    <t xml:space="preserve">Plan row</t>
  </si>
  <si>
    <t xml:space="preserve">Activity ID</t>
  </si>
  <si>
    <t xml:space="preserve">Activity</t>
  </si>
  <si>
    <t xml:space="preserve">Class</t>
  </si>
  <si>
    <t xml:space="preserve">Date</t>
  </si>
  <si>
    <t xml:space="preserve">Start</t>
  </si>
  <si>
    <t xml:space="preserve">Finish</t>
  </si>
  <si>
    <t xml:space="preserve">Elapsed min</t>
  </si>
  <si>
    <t xml:space="preserve">Registered min</t>
  </si>
  <si>
    <t xml:space="preserve">Location</t>
  </si>
  <si>
    <t xml:space="preserve">Zone</t>
  </si>
  <si>
    <t xml:space="preserve">Electrician</t>
  </si>
  <si>
    <t xml:space="preserve">Escort</t>
  </si>
  <si>
    <t xml:space="preserve">Noisy</t>
  </si>
  <si>
    <t xml:space="preserve">Predecessor</t>
  </si>
  <si>
    <t xml:space="preserve">Source candidate</t>
  </si>
  <si>
    <t xml:space="preserve">Source row</t>
  </si>
  <si>
    <t xml:space="preserve">Disposition</t>
  </si>
  <si>
    <t xml:space="preserve">Duration check</t>
  </si>
  <si>
    <t xml:space="preserve">Changeover min</t>
  </si>
  <si>
    <t xml:space="preserve">Access check</t>
  </si>
  <si>
    <t xml:space="preserve">Precedence check</t>
  </si>
  <si>
    <t xml:space="preserve">Compliance</t>
  </si>
  <si>
    <t xml:space="preserve">A01</t>
  </si>
  <si>
    <t xml:space="preserve">North lockout setup</t>
  </si>
  <si>
    <t xml:space="preserve">Maintenance</t>
  </si>
  <si>
    <t xml:space="preserve">North Electrical Room</t>
  </si>
  <si>
    <t xml:space="preserve">North</t>
  </si>
  <si>
    <t xml:space="preserve">Yes</t>
  </si>
  <si>
    <t xml:space="preserve">No</t>
  </si>
  <si>
    <t xml:space="preserve">B-001</t>
  </si>
  <si>
    <t xml:space="preserve">Corrected</t>
  </si>
  <si>
    <t xml:space="preserve">A09</t>
  </si>
  <si>
    <t xml:space="preserve">Noisy functional test 1</t>
  </si>
  <si>
    <t xml:space="preserve">Test Bay</t>
  </si>
  <si>
    <t xml:space="preserve">Test</t>
  </si>
  <si>
    <t xml:space="preserve">B-009</t>
  </si>
  <si>
    <t xml:space="preserve">A02</t>
  </si>
  <si>
    <t xml:space="preserve">North isolation</t>
  </si>
  <si>
    <t xml:space="preserve">B-002</t>
  </si>
  <si>
    <t xml:space="preserve">A03</t>
  </si>
  <si>
    <t xml:space="preserve">North isolation-dependent work</t>
  </si>
  <si>
    <t xml:space="preserve">B-003</t>
  </si>
  <si>
    <t xml:space="preserve">P01</t>
  </si>
  <si>
    <t xml:space="preserve">Public counter - morning 16 June</t>
  </si>
  <si>
    <t xml:space="preserve">Public-counter service</t>
  </si>
  <si>
    <t xml:space="preserve">Public Counter</t>
  </si>
  <si>
    <t xml:space="preserve">None</t>
  </si>
  <si>
    <t xml:space="preserve">B-013</t>
  </si>
  <si>
    <t xml:space="preserve">A04</t>
  </si>
  <si>
    <t xml:space="preserve">North re-energisation</t>
  </si>
  <si>
    <t xml:space="preserve">B-004</t>
  </si>
  <si>
    <t xml:space="preserve">A05</t>
  </si>
  <si>
    <t xml:space="preserve">South lockout setup</t>
  </si>
  <si>
    <t xml:space="preserve">South Electrical Room</t>
  </si>
  <si>
    <t xml:space="preserve">South</t>
  </si>
  <si>
    <t xml:space="preserve">B-005</t>
  </si>
  <si>
    <t xml:space="preserve">A06</t>
  </si>
  <si>
    <t xml:space="preserve">South isolation</t>
  </si>
  <si>
    <t xml:space="preserve">B-006</t>
  </si>
  <si>
    <t xml:space="preserve">A07</t>
  </si>
  <si>
    <t xml:space="preserve">South isolation-dependent work</t>
  </si>
  <si>
    <t xml:space="preserve">B-007</t>
  </si>
  <si>
    <t xml:space="preserve">P02</t>
  </si>
  <si>
    <t xml:space="preserve">Public counter - afternoon 16 June</t>
  </si>
  <si>
    <t xml:space="preserve">B-014</t>
  </si>
  <si>
    <t xml:space="preserve">No change</t>
  </si>
  <si>
    <t xml:space="preserve">A08</t>
  </si>
  <si>
    <t xml:space="preserve">South re-energisation</t>
  </si>
  <si>
    <t xml:space="preserve">B-008</t>
  </si>
  <si>
    <t xml:space="preserve">A10</t>
  </si>
  <si>
    <t xml:space="preserve">Barrier setup</t>
  </si>
  <si>
    <t xml:space="preserve">Loading Entrance</t>
  </si>
  <si>
    <t xml:space="preserve">B-010A</t>
  </si>
  <si>
    <t xml:space="preserve">Retained by judgement</t>
  </si>
  <si>
    <t xml:space="preserve">A11</t>
  </si>
  <si>
    <t xml:space="preserve">Access inspection</t>
  </si>
  <si>
    <t xml:space="preserve">B-011</t>
  </si>
  <si>
    <t xml:space="preserve">P03</t>
  </si>
  <si>
    <t xml:space="preserve">Public counter - morning 17 June</t>
  </si>
  <si>
    <t xml:space="preserve">B-015</t>
  </si>
  <si>
    <t xml:space="preserve">P04</t>
  </si>
  <si>
    <t xml:space="preserve">Public counter - afternoon 17 June</t>
  </si>
  <si>
    <t xml:space="preserve">B-016</t>
  </si>
  <si>
    <t xml:space="preserve">A12</t>
  </si>
  <si>
    <t xml:space="preserve">Noisy functional test 2</t>
  </si>
  <si>
    <t xml:space="preserve">B-012</t>
  </si>
  <si>
    <t xml:space="preserve">Peer-review / approval fields</t>
  </si>
  <si>
    <t xml:space="preserve">Approval authority</t>
  </si>
  <si>
    <t xml:space="preserve">Not recorded</t>
  </si>
  <si>
    <t xml:space="preserve">Approval date</t>
  </si>
  <si>
    <t xml:space="preserve">Cobblemoor Provisions | inspection issue and correction lineage</t>
  </si>
  <si>
    <t xml:space="preserve">Each item below links a permitted normalization or duplicate disposition to a Candidate B source row. The duplicate judgement is explicitly an inference, not a source fact.</t>
  </si>
  <si>
    <t xml:space="preserve">Issue ID</t>
  </si>
  <si>
    <t xml:space="preserve">Issue type</t>
  </si>
  <si>
    <t xml:space="preserve">Field</t>
  </si>
  <si>
    <t xml:space="preserve">Observed value</t>
  </si>
  <si>
    <t xml:space="preserve">Result / exclusion</t>
  </si>
  <si>
    <t xml:space="preserve">Basis</t>
  </si>
  <si>
    <t xml:space="preserve">IR-01</t>
  </si>
  <si>
    <t xml:space="preserve">Normalization</t>
  </si>
  <si>
    <t xml:space="preserve">Finish time</t>
  </si>
  <si>
    <t xml:space="preserve">08.30</t>
  </si>
  <si>
    <t xml:space="preserve">08:30</t>
  </si>
  <si>
    <t xml:space="preserve">Unique parse of submitted time representation</t>
  </si>
  <si>
    <t xml:space="preserve">IR-02</t>
  </si>
  <si>
    <t xml:space="preserve">North Elec Room</t>
  </si>
  <si>
    <t xml:space="preserve">Unique supplied room-name mapping</t>
  </si>
  <si>
    <t xml:space="preserve">IR-03</t>
  </si>
  <si>
    <t xml:space="preserve">Start time</t>
  </si>
  <si>
    <t xml:space="preserve">08:30 hrs</t>
  </si>
  <si>
    <t xml:space="preserve">IR-04</t>
  </si>
  <si>
    <t xml:space="preserve">N. Electrical Rm</t>
  </si>
  <si>
    <t xml:space="preserve">IR-05</t>
  </si>
  <si>
    <t xml:space="preserve">10h30</t>
  </si>
  <si>
    <t xml:space="preserve">10:30</t>
  </si>
  <si>
    <t xml:space="preserve">IR-06</t>
  </si>
  <si>
    <t xml:space="preserve">B-003X</t>
  </si>
  <si>
    <t xml:space="preserve">10:30 (excluded source row)</t>
  </si>
  <si>
    <t xml:space="preserve">Excluded</t>
  </si>
  <si>
    <t xml:space="preserve">Unique parse of submitted time representation; source row is excluded by duplicate disposition.</t>
  </si>
  <si>
    <t xml:space="preserve">IR-07</t>
  </si>
  <si>
    <t xml:space="preserve">10.30</t>
  </si>
  <si>
    <t xml:space="preserve">IR-08</t>
  </si>
  <si>
    <t xml:space="preserve">North electrical</t>
  </si>
  <si>
    <t xml:space="preserve">IR-09</t>
  </si>
  <si>
    <t xml:space="preserve">11h30</t>
  </si>
  <si>
    <t xml:space="preserve">11:30</t>
  </si>
  <si>
    <t xml:space="preserve">IR-10</t>
  </si>
  <si>
    <t xml:space="preserve">South Elec Rm</t>
  </si>
  <si>
    <t xml:space="preserve">IR-11</t>
  </si>
  <si>
    <t xml:space="preserve">13:00 hrs</t>
  </si>
  <si>
    <t xml:space="preserve">13:00</t>
  </si>
  <si>
    <t xml:space="preserve">IR-12</t>
  </si>
  <si>
    <t xml:space="preserve"> 13:00 </t>
  </si>
  <si>
    <t xml:space="preserve">IR-13</t>
  </si>
  <si>
    <t xml:space="preserve">14.00</t>
  </si>
  <si>
    <t xml:space="preserve">14:00</t>
  </si>
  <si>
    <t xml:space="preserve">IR-14</t>
  </si>
  <si>
    <t xml:space="preserve">S Electrical</t>
  </si>
  <si>
    <t xml:space="preserve">IR-15</t>
  </si>
  <si>
    <t xml:space="preserve">South electrical</t>
  </si>
  <si>
    <t xml:space="preserve">IR-16</t>
  </si>
  <si>
    <t xml:space="preserve">08:00 hrs</t>
  </si>
  <si>
    <t xml:space="preserve">08:00</t>
  </si>
  <si>
    <t xml:space="preserve">IR-17</t>
  </si>
  <si>
    <t xml:space="preserve">09h00</t>
  </si>
  <si>
    <t xml:space="preserve">09:00</t>
  </si>
  <si>
    <t xml:space="preserve">IR-18</t>
  </si>
  <si>
    <t xml:space="preserve">Test-bay</t>
  </si>
  <si>
    <t xml:space="preserve">IR-19</t>
  </si>
  <si>
    <t xml:space="preserve">08.00</t>
  </si>
  <si>
    <t xml:space="preserve">IR-20</t>
  </si>
  <si>
    <t xml:space="preserve">IR-21</t>
  </si>
  <si>
    <t xml:space="preserve">Loading Dock Entrance</t>
  </si>
  <si>
    <t xml:space="preserve">IR-22</t>
  </si>
  <si>
    <t xml:space="preserve">B-010B</t>
  </si>
  <si>
    <t xml:space="preserve">Barrier area</t>
  </si>
  <si>
    <t xml:space="preserve">Loading Entrance (excluded source row)</t>
  </si>
  <si>
    <t xml:space="preserve">Unique supplied room-name mapping; source row is excluded by duplicate disposition.</t>
  </si>
  <si>
    <t xml:space="preserve">IR-23</t>
  </si>
  <si>
    <t xml:space="preserve">10:00 hrs</t>
  </si>
  <si>
    <t xml:space="preserve">10:00</t>
  </si>
  <si>
    <t xml:space="preserve">IR-24</t>
  </si>
  <si>
    <t xml:space="preserve">15h30</t>
  </si>
  <si>
    <t xml:space="preserve">15:30</t>
  </si>
  <si>
    <t xml:space="preserve">IR-25</t>
  </si>
  <si>
    <t xml:space="preserve">16h30</t>
  </si>
  <si>
    <t xml:space="preserve">16:30</t>
  </si>
  <si>
    <t xml:space="preserve">IR-26</t>
  </si>
  <si>
    <t xml:space="preserve">Function test bay</t>
  </si>
  <si>
    <t xml:space="preserve">IR-27</t>
  </si>
  <si>
    <t xml:space="preserve">Counter - Public</t>
  </si>
  <si>
    <t xml:space="preserve">IR-28</t>
  </si>
  <si>
    <t xml:space="preserve">Public service counter</t>
  </si>
  <si>
    <t xml:space="preserve">IR-29</t>
  </si>
  <si>
    <t xml:space="preserve">Duplicate disposition</t>
  </si>
  <si>
    <t xml:space="preserve">Scheduled occurrence</t>
  </si>
  <si>
    <t xml:space="preserve">Exact repeat of B-003</t>
  </si>
  <si>
    <t xml:space="preserve">Excluded; B-003 retained</t>
  </si>
  <si>
    <t xml:space="preserve">Same activity, date, interval and mapped location as B-003; retain one occurrence only.</t>
  </si>
  <si>
    <t xml:space="preserve">IR-30</t>
  </si>
  <si>
    <t xml:space="preserve">Conflicting submitted Barrier setup interval</t>
  </si>
  <si>
    <t xml:space="preserve">Excluded; B-010A retained</t>
  </si>
  <si>
    <t xml:space="preserve">Judgement: source evidence does not establish supersession. Retained earlier submitted row because it preserves additional predecessor slack.</t>
  </si>
  <si>
    <t xml:space="preserve">IR-31</t>
  </si>
  <si>
    <t xml:space="preserve">Retained at 08:00-08:30</t>
  </si>
  <si>
    <t xml:space="preserve">Cobblemoor Provisions | inspection findings for peer review</t>
  </si>
  <si>
    <t xml:space="preserve">Selected submission</t>
  </si>
  <si>
    <t xml:space="preserve">Compliant after permitted normalization and documented duplicate disposition.</t>
  </si>
  <si>
    <t xml:space="preserve">Candidate A finding</t>
  </si>
  <si>
    <t xml:space="preserve">England noisy-testing separation fails: A-009 ends at 09:30 immediately before fixed counter block A-013 begins; no full clear 30-minute slot is available.</t>
  </si>
  <si>
    <t xml:space="preserve">Candidate C finding</t>
  </si>
  <si>
    <t xml:space="preserve">Electrician sequence alternates North/South zones. The 360 minutes of electrical work occupy a 390-minute availability window but require 210 minutes of zone-changeover time; the fixed submitted placements leave only 30 minutes unassigned.</t>
  </si>
  <si>
    <t xml:space="preserve">Jurisdiction comparison</t>
  </si>
  <si>
    <t xml:space="preserve">England applies. England requires no noisy-testing overlap and one full clear 30-minute separation slot from every public-counter block; Wales prohibits overlap but has no clear-slot requirement.</t>
  </si>
  <si>
    <t xml:space="preserve">Duplicate judgement</t>
  </si>
  <si>
    <t xml:space="preserve">Source evidence does not establish supersession. B-010A is retained at 08:00-08:30 on 17 June as a judgement, not a source fact.</t>
  </si>
  <si>
    <t xml:space="preserve">Summary figures</t>
  </si>
  <si>
    <t xml:space="preserve">Required activities: 16; scheduled activities: 16; planned maintenance minutes: 570; changeover minutes: 30.</t>
  </si>
  <si>
    <t xml:space="preserve">Authority</t>
  </si>
  <si>
    <t xml:space="preserve">This record states inspection findings only. Approval is not recorded and remains pending peer review.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</si>
</sst>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 mmm\ yyyy"/>
    <numFmt numFmtId="166" formatCode="d\ mmm\ yyyy\ hh:mm"/>
    <numFmt numFmtId="167" formatCode="0"/>
    <numFmt numFmtId="168" formatCode="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B6B6F"/>
      </patternFill>
    </fill>
    <fill>
      <patternFill patternType="solid">
        <fgColor rgb="FFF2F2F2"/>
        <bgColor rgb="FFE2F0D9"/>
      </patternFill>
    </fill>
    <fill>
      <patternFill patternType="solid">
        <fgColor rgb="FFDCE6F1"/>
        <bgColor rgb="FFE2F0D9"/>
      </patternFill>
    </fill>
    <fill>
      <patternFill patternType="solid">
        <fgColor rgb="FF1B6B6F"/>
        <bgColor rgb="FF1F4E78"/>
      </patternFill>
    </fill>
    <fill>
      <patternFill patternType="solid">
        <fgColor rgb="FFE2F0D9"/>
        <bgColor rgb="FFDCE6F1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4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6F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25"/>
    <col collapsed="false" customWidth="true" hidden="false" outlineLevel="0" max="12" min="11" style="0" width="12"/>
    <col collapsed="false" customWidth="true" hidden="false" outlineLevel="0" max="14" min="13" style="0" width="8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22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3" min="23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7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3" t="s">
        <v>4</v>
      </c>
      <c r="H4" s="3"/>
      <c r="I4" s="4" t="s">
        <v>5</v>
      </c>
      <c r="J4" s="4"/>
      <c r="K4" s="4"/>
      <c r="L4" s="4"/>
      <c r="M4" s="3" t="s">
        <v>6</v>
      </c>
      <c r="N4" s="3"/>
      <c r="O4" s="4" t="s">
        <v>7</v>
      </c>
      <c r="P4" s="4"/>
      <c r="Q4" s="4"/>
      <c r="R4" s="4"/>
    </row>
    <row r="5" customFormat="false" ht="27" hidden="false" customHeight="true" outlineLevel="0" collapsed="false">
      <c r="A5" s="3" t="s">
        <v>8</v>
      </c>
      <c r="B5" s="3"/>
      <c r="C5" s="4" t="s">
        <v>9</v>
      </c>
      <c r="D5" s="4"/>
      <c r="E5" s="4"/>
      <c r="F5" s="4"/>
      <c r="G5" s="3" t="s">
        <v>10</v>
      </c>
      <c r="H5" s="3"/>
      <c r="I5" s="4" t="s">
        <v>11</v>
      </c>
      <c r="J5" s="4"/>
      <c r="K5" s="4"/>
      <c r="L5" s="4"/>
      <c r="M5" s="3" t="s">
        <v>12</v>
      </c>
      <c r="N5" s="3"/>
      <c r="O5" s="4" t="s">
        <v>13</v>
      </c>
      <c r="P5" s="4"/>
      <c r="Q5" s="4"/>
      <c r="R5" s="4"/>
    </row>
    <row r="6" customFormat="false" ht="27" hidden="false" customHeight="true" outlineLevel="0" collapsed="false">
      <c r="A6" s="3" t="s">
        <v>14</v>
      </c>
      <c r="B6" s="3"/>
      <c r="C6" s="5" t="n">
        <v>46178</v>
      </c>
      <c r="D6" s="5"/>
      <c r="E6" s="5"/>
      <c r="F6" s="5"/>
      <c r="G6" s="3" t="s">
        <v>15</v>
      </c>
      <c r="H6" s="3"/>
      <c r="I6" s="6" t="n">
        <v>46183.5</v>
      </c>
      <c r="J6" s="6"/>
      <c r="K6" s="6"/>
      <c r="L6" s="6"/>
      <c r="M6" s="3" t="s">
        <v>16</v>
      </c>
      <c r="N6" s="3"/>
      <c r="O6" s="4" t="s">
        <v>7</v>
      </c>
      <c r="P6" s="4"/>
      <c r="Q6" s="4"/>
      <c r="R6" s="4"/>
    </row>
    <row r="8" customFormat="false" ht="15" hidden="false" customHeight="false" outlineLevel="0" collapsed="false">
      <c r="A8" s="7" t="s">
        <v>17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8" t="s">
        <v>18</v>
      </c>
      <c r="B9" s="9" t="n">
        <f aca="false">COUNTA($B$15:$B$30)</f>
        <v>16</v>
      </c>
      <c r="G9" s="8" t="s">
        <v>19</v>
      </c>
      <c r="H9" s="9" t="n">
        <f aca="false">COUNTIF($B$15:$B$30,"&lt;&gt;")</f>
        <v>16</v>
      </c>
      <c r="M9" s="8" t="s">
        <v>20</v>
      </c>
      <c r="N9" s="9" t="n">
        <f aca="false">SUMIF($D$15:$D$30,"Maintenance",$H$15:$H$30)</f>
        <v>570</v>
      </c>
    </row>
    <row r="10" customFormat="false" ht="15" hidden="false" customHeight="false" outlineLevel="0" collapsed="false">
      <c r="A10" s="8" t="s">
        <v>21</v>
      </c>
      <c r="B10" s="9" t="n">
        <f aca="false">COUNTIF($T$15:$T$30,"&gt;0")</f>
        <v>1</v>
      </c>
      <c r="G10" s="8" t="s">
        <v>22</v>
      </c>
      <c r="H10" s="9" t="n">
        <f aca="false">SUM($T$15:$T$30)</f>
        <v>30</v>
      </c>
      <c r="M10" s="8" t="s">
        <v>23</v>
      </c>
      <c r="N10" s="10" t="str">
        <f aca="false">IF(AND(COUNTIF($W$15:$W$30,"FAIL")=0,$B$9=$H$9,$H$10=$B$10*30),"PASS","FAIL")</f>
        <v>PASS</v>
      </c>
    </row>
    <row r="14" customFormat="false" ht="28.35" hidden="false" customHeight="false" outlineLevel="0" collapsed="false">
      <c r="A14" s="11" t="s">
        <v>24</v>
      </c>
      <c r="B14" s="11" t="s">
        <v>25</v>
      </c>
      <c r="C14" s="11" t="s">
        <v>26</v>
      </c>
      <c r="D14" s="11" t="s">
        <v>27</v>
      </c>
      <c r="E14" s="11" t="s">
        <v>28</v>
      </c>
      <c r="F14" s="11" t="s">
        <v>29</v>
      </c>
      <c r="G14" s="11" t="s">
        <v>30</v>
      </c>
      <c r="H14" s="11" t="s">
        <v>31</v>
      </c>
      <c r="I14" s="11" t="s">
        <v>32</v>
      </c>
      <c r="J14" s="11" t="s">
        <v>33</v>
      </c>
      <c r="K14" s="11" t="s">
        <v>34</v>
      </c>
      <c r="L14" s="11" t="s">
        <v>35</v>
      </c>
      <c r="M14" s="11" t="s">
        <v>36</v>
      </c>
      <c r="N14" s="11" t="s">
        <v>37</v>
      </c>
      <c r="O14" s="11" t="s">
        <v>38</v>
      </c>
      <c r="P14" s="11" t="s">
        <v>39</v>
      </c>
      <c r="Q14" s="11" t="s">
        <v>40</v>
      </c>
      <c r="R14" s="11" t="s">
        <v>41</v>
      </c>
      <c r="S14" s="11" t="s">
        <v>42</v>
      </c>
      <c r="T14" s="11" t="s">
        <v>43</v>
      </c>
      <c r="U14" s="11" t="s">
        <v>44</v>
      </c>
      <c r="V14" s="11" t="s">
        <v>45</v>
      </c>
      <c r="W14" s="11" t="s">
        <v>46</v>
      </c>
    </row>
    <row r="15" customFormat="false" ht="30" hidden="false" customHeight="true" outlineLevel="0" collapsed="false">
      <c r="A15" s="12" t="n">
        <v>1</v>
      </c>
      <c r="B15" s="12" t="s">
        <v>47</v>
      </c>
      <c r="C15" s="12" t="s">
        <v>48</v>
      </c>
      <c r="D15" s="12" t="s">
        <v>49</v>
      </c>
      <c r="E15" s="13" t="n">
        <v>46189</v>
      </c>
      <c r="F15" s="14" t="n">
        <v>0.333333333333333</v>
      </c>
      <c r="G15" s="14" t="n">
        <v>0.354166666666667</v>
      </c>
      <c r="H15" s="15" t="n">
        <f aca="false">(G15-F15)*1440</f>
        <v>30</v>
      </c>
      <c r="I15" s="12" t="n">
        <v>30</v>
      </c>
      <c r="J15" s="12" t="s">
        <v>50</v>
      </c>
      <c r="K15" s="12" t="s">
        <v>51</v>
      </c>
      <c r="L15" s="12" t="s">
        <v>52</v>
      </c>
      <c r="M15" s="12" t="n">
        <v>1</v>
      </c>
      <c r="N15" s="12" t="s">
        <v>53</v>
      </c>
      <c r="O15" s="12"/>
      <c r="P15" s="12" t="s">
        <v>3</v>
      </c>
      <c r="Q15" s="12" t="s">
        <v>54</v>
      </c>
      <c r="R15" s="16" t="s">
        <v>55</v>
      </c>
      <c r="S15" s="12" t="str">
        <f aca="false">IF(H15=I15,"PASS","FAIL")</f>
        <v>PASS</v>
      </c>
      <c r="T15" s="12" t="n">
        <f aca="false">0</f>
        <v>0</v>
      </c>
      <c r="U15" s="12" t="str">
        <f aca="false">IF(AND(E15&gt;=DATE(2026,6,16),E15&lt;=DATE(2026,6,17),F15&gt;=TIME(8,0,0),G15&lt;=TIME(18,0,0)),"PASS","FAIL")</f>
        <v>PASS</v>
      </c>
      <c r="V15" s="12" t="str">
        <f aca="false">IF(O15="","PASS",IFERROR(IF(INDEX($G$15:$G$30,MATCH(O15,$B$15:$B$30,0))&lt;=F15,"PASS","FAIL"),"FAIL"))</f>
        <v>PASS</v>
      </c>
      <c r="W15" s="12" t="str">
        <f aca="false">IF(AND(S15="PASS",U15="PASS",V15="PASS"),"PASS","FAIL")</f>
        <v>PASS</v>
      </c>
    </row>
    <row r="16" customFormat="false" ht="30" hidden="false" customHeight="true" outlineLevel="0" collapsed="false">
      <c r="A16" s="12" t="n">
        <v>2</v>
      </c>
      <c r="B16" s="12" t="s">
        <v>56</v>
      </c>
      <c r="C16" s="12" t="s">
        <v>57</v>
      </c>
      <c r="D16" s="12" t="s">
        <v>49</v>
      </c>
      <c r="E16" s="13" t="n">
        <v>46189</v>
      </c>
      <c r="F16" s="14" t="n">
        <v>0.333333333333333</v>
      </c>
      <c r="G16" s="14" t="n">
        <v>0.375</v>
      </c>
      <c r="H16" s="15" t="n">
        <f aca="false">(G16-F16)*1440</f>
        <v>60</v>
      </c>
      <c r="I16" s="12" t="n">
        <v>60</v>
      </c>
      <c r="J16" s="12" t="s">
        <v>58</v>
      </c>
      <c r="K16" s="12" t="s">
        <v>59</v>
      </c>
      <c r="L16" s="12" t="s">
        <v>53</v>
      </c>
      <c r="M16" s="12" t="n">
        <v>1</v>
      </c>
      <c r="N16" s="12" t="s">
        <v>52</v>
      </c>
      <c r="O16" s="12"/>
      <c r="P16" s="12" t="s">
        <v>3</v>
      </c>
      <c r="Q16" s="12" t="s">
        <v>60</v>
      </c>
      <c r="R16" s="16" t="s">
        <v>55</v>
      </c>
      <c r="S16" s="12" t="str">
        <f aca="false">IF(H16=I16,"PASS","FAIL")</f>
        <v>PASS</v>
      </c>
      <c r="T16" s="12" t="n">
        <f aca="false">IF(L16="Yes",IFERROR(IF(LOOKUP(2,1/($L$15:L15="Yes"),$K$15:K15)&lt;&gt;K16,30,0),0),0)</f>
        <v>0</v>
      </c>
      <c r="U16" s="12" t="str">
        <f aca="false">IF(AND(E16&gt;=DATE(2026,6,16),E16&lt;=DATE(2026,6,17),F16&gt;=TIME(8,0,0),G16&lt;=TIME(18,0,0)),"PASS","FAIL")</f>
        <v>PASS</v>
      </c>
      <c r="V16" s="12" t="str">
        <f aca="false">IF(O16="","PASS",IFERROR(IF(INDEX($G$15:$G$30,MATCH(O16,$B$15:$B$30,0))&lt;=F16,"PASS","FAIL"),"FAIL"))</f>
        <v>PASS</v>
      </c>
      <c r="W16" s="12" t="str">
        <f aca="false">IF(AND(S16="PASS",U16="PASS",V16="PASS"),"PASS","FAIL")</f>
        <v>PASS</v>
      </c>
    </row>
    <row r="17" customFormat="false" ht="30" hidden="false" customHeight="true" outlineLevel="0" collapsed="false">
      <c r="A17" s="12" t="n">
        <v>3</v>
      </c>
      <c r="B17" s="12" t="s">
        <v>61</v>
      </c>
      <c r="C17" s="12" t="s">
        <v>62</v>
      </c>
      <c r="D17" s="12" t="s">
        <v>49</v>
      </c>
      <c r="E17" s="13" t="n">
        <v>46189</v>
      </c>
      <c r="F17" s="14" t="n">
        <v>0.354166666666667</v>
      </c>
      <c r="G17" s="14" t="n">
        <v>0.395833333333333</v>
      </c>
      <c r="H17" s="15" t="n">
        <f aca="false">(G17-F17)*1440</f>
        <v>60</v>
      </c>
      <c r="I17" s="12" t="n">
        <v>60</v>
      </c>
      <c r="J17" s="12" t="s">
        <v>50</v>
      </c>
      <c r="K17" s="12" t="s">
        <v>51</v>
      </c>
      <c r="L17" s="12" t="s">
        <v>52</v>
      </c>
      <c r="M17" s="12" t="n">
        <v>1</v>
      </c>
      <c r="N17" s="12" t="s">
        <v>53</v>
      </c>
      <c r="O17" s="12" t="s">
        <v>47</v>
      </c>
      <c r="P17" s="12" t="s">
        <v>3</v>
      </c>
      <c r="Q17" s="12" t="s">
        <v>63</v>
      </c>
      <c r="R17" s="16" t="s">
        <v>55</v>
      </c>
      <c r="S17" s="12" t="str">
        <f aca="false">IF(H17=I17,"PASS","FAIL")</f>
        <v>PASS</v>
      </c>
      <c r="T17" s="12" t="n">
        <f aca="false">IF(L17="Yes",IFERROR(IF(LOOKUP(2,1/($L$15:L16="Yes"),$K$15:K16)&lt;&gt;K17,30,0),0),0)</f>
        <v>0</v>
      </c>
      <c r="U17" s="12" t="str">
        <f aca="false">IF(AND(E17&gt;=DATE(2026,6,16),E17&lt;=DATE(2026,6,17),F17&gt;=TIME(8,0,0),G17&lt;=TIME(18,0,0)),"PASS","FAIL")</f>
        <v>PASS</v>
      </c>
      <c r="V17" s="12" t="str">
        <f aca="false">IF(O17="","PASS",IFERROR(IF(INDEX($G$15:$G$30,MATCH(O17,$B$15:$B$30,0))&lt;=F17,"PASS","FAIL"),"FAIL"))</f>
        <v>PASS</v>
      </c>
      <c r="W17" s="12" t="str">
        <f aca="false">IF(AND(S17="PASS",U17="PASS",V17="PASS"),"PASS","FAIL")</f>
        <v>PASS</v>
      </c>
    </row>
    <row r="18" customFormat="false" ht="30" hidden="false" customHeight="true" outlineLevel="0" collapsed="false">
      <c r="A18" s="12" t="n">
        <v>4</v>
      </c>
      <c r="B18" s="12" t="s">
        <v>64</v>
      </c>
      <c r="C18" s="12" t="s">
        <v>65</v>
      </c>
      <c r="D18" s="12" t="s">
        <v>49</v>
      </c>
      <c r="E18" s="13" t="n">
        <v>46189</v>
      </c>
      <c r="F18" s="14" t="n">
        <v>0.395833333333333</v>
      </c>
      <c r="G18" s="14" t="n">
        <v>0.4375</v>
      </c>
      <c r="H18" s="15" t="n">
        <f aca="false">(G18-F18)*1440</f>
        <v>60</v>
      </c>
      <c r="I18" s="12" t="n">
        <v>60</v>
      </c>
      <c r="J18" s="12" t="s">
        <v>50</v>
      </c>
      <c r="K18" s="12" t="s">
        <v>51</v>
      </c>
      <c r="L18" s="12" t="s">
        <v>52</v>
      </c>
      <c r="M18" s="12" t="n">
        <v>1</v>
      </c>
      <c r="N18" s="12" t="s">
        <v>53</v>
      </c>
      <c r="O18" s="12" t="s">
        <v>61</v>
      </c>
      <c r="P18" s="12" t="s">
        <v>3</v>
      </c>
      <c r="Q18" s="12" t="s">
        <v>66</v>
      </c>
      <c r="R18" s="16" t="s">
        <v>55</v>
      </c>
      <c r="S18" s="12" t="str">
        <f aca="false">IF(H18=I18,"PASS","FAIL")</f>
        <v>PASS</v>
      </c>
      <c r="T18" s="12" t="n">
        <f aca="false">IF(L18="Yes",IFERROR(IF(LOOKUP(2,1/($L$15:L17="Yes"),$K$15:K17)&lt;&gt;K18,30,0),0),0)</f>
        <v>0</v>
      </c>
      <c r="U18" s="12" t="str">
        <f aca="false">IF(AND(E18&gt;=DATE(2026,6,16),E18&lt;=DATE(2026,6,17),F18&gt;=TIME(8,0,0),G18&lt;=TIME(18,0,0)),"PASS","FAIL")</f>
        <v>PASS</v>
      </c>
      <c r="V18" s="12" t="str">
        <f aca="false">IF(O18="","PASS",IFERROR(IF(INDEX($G$15:$G$30,MATCH(O18,$B$15:$B$30,0))&lt;=F18,"PASS","FAIL"),"FAIL"))</f>
        <v>PASS</v>
      </c>
      <c r="W18" s="12" t="str">
        <f aca="false">IF(AND(S18="PASS",U18="PASS",V18="PASS"),"PASS","FAIL")</f>
        <v>PASS</v>
      </c>
    </row>
    <row r="19" customFormat="false" ht="30" hidden="false" customHeight="true" outlineLevel="0" collapsed="false">
      <c r="A19" s="12" t="n">
        <v>5</v>
      </c>
      <c r="B19" s="12" t="s">
        <v>67</v>
      </c>
      <c r="C19" s="12" t="s">
        <v>68</v>
      </c>
      <c r="D19" s="12" t="s">
        <v>69</v>
      </c>
      <c r="E19" s="13" t="n">
        <v>46189</v>
      </c>
      <c r="F19" s="14" t="n">
        <v>0.395833333333333</v>
      </c>
      <c r="G19" s="14" t="n">
        <v>0.5</v>
      </c>
      <c r="H19" s="15" t="n">
        <f aca="false">(G19-F19)*1440</f>
        <v>150</v>
      </c>
      <c r="I19" s="12" t="n">
        <v>150</v>
      </c>
      <c r="J19" s="12" t="s">
        <v>70</v>
      </c>
      <c r="K19" s="12" t="s">
        <v>71</v>
      </c>
      <c r="L19" s="12" t="s">
        <v>53</v>
      </c>
      <c r="M19" s="12" t="n">
        <v>0</v>
      </c>
      <c r="N19" s="12" t="s">
        <v>53</v>
      </c>
      <c r="O19" s="12"/>
      <c r="P19" s="12" t="s">
        <v>3</v>
      </c>
      <c r="Q19" s="12" t="s">
        <v>72</v>
      </c>
      <c r="R19" s="16" t="s">
        <v>55</v>
      </c>
      <c r="S19" s="12" t="str">
        <f aca="false">IF(H19=I19,"PASS","FAIL")</f>
        <v>PASS</v>
      </c>
      <c r="T19" s="12" t="n">
        <f aca="false">IF(L19="Yes",IFERROR(IF(LOOKUP(2,1/($L$15:L18="Yes"),$K$15:K18)&lt;&gt;K19,30,0),0),0)</f>
        <v>0</v>
      </c>
      <c r="U19" s="12" t="str">
        <f aca="false">IF(AND(E19&gt;=DATE(2026,6,16),E19&lt;=DATE(2026,6,17),F19&gt;=TIME(8,0,0),G19&lt;=TIME(18,0,0)),"PASS","FAIL")</f>
        <v>PASS</v>
      </c>
      <c r="V19" s="12" t="str">
        <f aca="false">IF(O19="","PASS",IFERROR(IF(INDEX($G$15:$G$30,MATCH(O19,$B$15:$B$30,0))&lt;=F19,"PASS","FAIL"),"FAIL"))</f>
        <v>PASS</v>
      </c>
      <c r="W19" s="12" t="str">
        <f aca="false">IF(AND(S19="PASS",U19="PASS",V19="PASS"),"PASS","FAIL")</f>
        <v>PASS</v>
      </c>
    </row>
    <row r="20" customFormat="false" ht="30" hidden="false" customHeight="true" outlineLevel="0" collapsed="false">
      <c r="A20" s="12" t="n">
        <v>6</v>
      </c>
      <c r="B20" s="12" t="s">
        <v>73</v>
      </c>
      <c r="C20" s="12" t="s">
        <v>74</v>
      </c>
      <c r="D20" s="12" t="s">
        <v>49</v>
      </c>
      <c r="E20" s="13" t="n">
        <v>46189</v>
      </c>
      <c r="F20" s="14" t="n">
        <v>0.4375</v>
      </c>
      <c r="G20" s="14" t="n">
        <v>0.458333333333333</v>
      </c>
      <c r="H20" s="15" t="n">
        <f aca="false">(G20-F20)*1440</f>
        <v>30</v>
      </c>
      <c r="I20" s="12" t="n">
        <v>30</v>
      </c>
      <c r="J20" s="12" t="s">
        <v>50</v>
      </c>
      <c r="K20" s="12" t="s">
        <v>51</v>
      </c>
      <c r="L20" s="12" t="s">
        <v>52</v>
      </c>
      <c r="M20" s="12" t="n">
        <v>1</v>
      </c>
      <c r="N20" s="12" t="s">
        <v>53</v>
      </c>
      <c r="O20" s="12" t="s">
        <v>64</v>
      </c>
      <c r="P20" s="12" t="s">
        <v>3</v>
      </c>
      <c r="Q20" s="12" t="s">
        <v>75</v>
      </c>
      <c r="R20" s="16" t="s">
        <v>55</v>
      </c>
      <c r="S20" s="12" t="str">
        <f aca="false">IF(H20=I20,"PASS","FAIL")</f>
        <v>PASS</v>
      </c>
      <c r="T20" s="12" t="n">
        <f aca="false">IF(L20="Yes",IFERROR(IF(LOOKUP(2,1/($L$15:L19="Yes"),$K$15:K19)&lt;&gt;K20,30,0),0),0)</f>
        <v>0</v>
      </c>
      <c r="U20" s="12" t="str">
        <f aca="false">IF(AND(E20&gt;=DATE(2026,6,16),E20&lt;=DATE(2026,6,17),F20&gt;=TIME(8,0,0),G20&lt;=TIME(18,0,0)),"PASS","FAIL")</f>
        <v>PASS</v>
      </c>
      <c r="V20" s="12" t="str">
        <f aca="false">IF(O20="","PASS",IFERROR(IF(INDEX($G$15:$G$30,MATCH(O20,$B$15:$B$30,0))&lt;=F20,"PASS","FAIL"),"FAIL"))</f>
        <v>PASS</v>
      </c>
      <c r="W20" s="12" t="str">
        <f aca="false">IF(AND(S20="PASS",U20="PASS",V20="PASS"),"PASS","FAIL")</f>
        <v>PASS</v>
      </c>
    </row>
    <row r="21" customFormat="false" ht="30" hidden="false" customHeight="true" outlineLevel="0" collapsed="false">
      <c r="A21" s="12" t="n">
        <v>7</v>
      </c>
      <c r="B21" s="12" t="s">
        <v>76</v>
      </c>
      <c r="C21" s="12" t="s">
        <v>77</v>
      </c>
      <c r="D21" s="12" t="s">
        <v>49</v>
      </c>
      <c r="E21" s="13" t="n">
        <v>46189</v>
      </c>
      <c r="F21" s="14" t="n">
        <v>0.479166666666667</v>
      </c>
      <c r="G21" s="14" t="n">
        <v>0.5</v>
      </c>
      <c r="H21" s="15" t="n">
        <f aca="false">(G21-F21)*1440</f>
        <v>30</v>
      </c>
      <c r="I21" s="12" t="n">
        <v>30</v>
      </c>
      <c r="J21" s="12" t="s">
        <v>78</v>
      </c>
      <c r="K21" s="12" t="s">
        <v>79</v>
      </c>
      <c r="L21" s="12" t="s">
        <v>52</v>
      </c>
      <c r="M21" s="12" t="n">
        <v>1</v>
      </c>
      <c r="N21" s="12" t="s">
        <v>53</v>
      </c>
      <c r="O21" s="12"/>
      <c r="P21" s="12" t="s">
        <v>3</v>
      </c>
      <c r="Q21" s="12" t="s">
        <v>80</v>
      </c>
      <c r="R21" s="16" t="s">
        <v>55</v>
      </c>
      <c r="S21" s="12" t="str">
        <f aca="false">IF(H21=I21,"PASS","FAIL")</f>
        <v>PASS</v>
      </c>
      <c r="T21" s="12" t="n">
        <f aca="false">IF(L21="Yes",IFERROR(IF(LOOKUP(2,1/($L$15:L20="Yes"),$K$15:K20)&lt;&gt;K21,30,0),0),0)</f>
        <v>30</v>
      </c>
      <c r="U21" s="12" t="str">
        <f aca="false">IF(AND(E21&gt;=DATE(2026,6,16),E21&lt;=DATE(2026,6,17),F21&gt;=TIME(8,0,0),G21&lt;=TIME(18,0,0)),"PASS","FAIL")</f>
        <v>PASS</v>
      </c>
      <c r="V21" s="12" t="str">
        <f aca="false">IF(O21="","PASS",IFERROR(IF(INDEX($G$15:$G$30,MATCH(O21,$B$15:$B$30,0))&lt;=F21,"PASS","FAIL"),"FAIL"))</f>
        <v>PASS</v>
      </c>
      <c r="W21" s="12" t="str">
        <f aca="false">IF(AND(S21="PASS",U21="PASS",V21="PASS"),"PASS","FAIL")</f>
        <v>PASS</v>
      </c>
    </row>
    <row r="22" customFormat="false" ht="30" hidden="false" customHeight="true" outlineLevel="0" collapsed="false">
      <c r="A22" s="12" t="n">
        <v>8</v>
      </c>
      <c r="B22" s="12" t="s">
        <v>81</v>
      </c>
      <c r="C22" s="12" t="s">
        <v>82</v>
      </c>
      <c r="D22" s="12" t="s">
        <v>49</v>
      </c>
      <c r="E22" s="13" t="n">
        <v>46189</v>
      </c>
      <c r="F22" s="14" t="n">
        <v>0.5</v>
      </c>
      <c r="G22" s="14" t="n">
        <v>0.541666666666667</v>
      </c>
      <c r="H22" s="15" t="n">
        <f aca="false">(G22-F22)*1440</f>
        <v>60</v>
      </c>
      <c r="I22" s="12" t="n">
        <v>60</v>
      </c>
      <c r="J22" s="12" t="s">
        <v>78</v>
      </c>
      <c r="K22" s="12" t="s">
        <v>79</v>
      </c>
      <c r="L22" s="12" t="s">
        <v>52</v>
      </c>
      <c r="M22" s="12" t="n">
        <v>1</v>
      </c>
      <c r="N22" s="12" t="s">
        <v>53</v>
      </c>
      <c r="O22" s="12" t="s">
        <v>76</v>
      </c>
      <c r="P22" s="12" t="s">
        <v>3</v>
      </c>
      <c r="Q22" s="12" t="s">
        <v>83</v>
      </c>
      <c r="R22" s="16" t="s">
        <v>55</v>
      </c>
      <c r="S22" s="12" t="str">
        <f aca="false">IF(H22=I22,"PASS","FAIL")</f>
        <v>PASS</v>
      </c>
      <c r="T22" s="12" t="n">
        <f aca="false">IF(L22="Yes",IFERROR(IF(LOOKUP(2,1/($L$15:L21="Yes"),$K$15:K21)&lt;&gt;K22,30,0),0),0)</f>
        <v>0</v>
      </c>
      <c r="U22" s="12" t="str">
        <f aca="false">IF(AND(E22&gt;=DATE(2026,6,16),E22&lt;=DATE(2026,6,17),F22&gt;=TIME(8,0,0),G22&lt;=TIME(18,0,0)),"PASS","FAIL")</f>
        <v>PASS</v>
      </c>
      <c r="V22" s="12" t="str">
        <f aca="false">IF(O22="","PASS",IFERROR(IF(INDEX($G$15:$G$30,MATCH(O22,$B$15:$B$30,0))&lt;=F22,"PASS","FAIL"),"FAIL"))</f>
        <v>PASS</v>
      </c>
      <c r="W22" s="12" t="str">
        <f aca="false">IF(AND(S22="PASS",U22="PASS",V22="PASS"),"PASS","FAIL")</f>
        <v>PASS</v>
      </c>
    </row>
    <row r="23" customFormat="false" ht="30" hidden="false" customHeight="true" outlineLevel="0" collapsed="false">
      <c r="A23" s="12" t="n">
        <v>9</v>
      </c>
      <c r="B23" s="12" t="s">
        <v>84</v>
      </c>
      <c r="C23" s="12" t="s">
        <v>85</v>
      </c>
      <c r="D23" s="12" t="s">
        <v>49</v>
      </c>
      <c r="E23" s="13" t="n">
        <v>46189</v>
      </c>
      <c r="F23" s="14" t="n">
        <v>0.541666666666667</v>
      </c>
      <c r="G23" s="14" t="n">
        <v>0.583333333333333</v>
      </c>
      <c r="H23" s="15" t="n">
        <f aca="false">(G23-F23)*1440</f>
        <v>60</v>
      </c>
      <c r="I23" s="12" t="n">
        <v>60</v>
      </c>
      <c r="J23" s="12" t="s">
        <v>78</v>
      </c>
      <c r="K23" s="12" t="s">
        <v>79</v>
      </c>
      <c r="L23" s="12" t="s">
        <v>52</v>
      </c>
      <c r="M23" s="12" t="n">
        <v>1</v>
      </c>
      <c r="N23" s="12" t="s">
        <v>53</v>
      </c>
      <c r="O23" s="12" t="s">
        <v>81</v>
      </c>
      <c r="P23" s="12" t="s">
        <v>3</v>
      </c>
      <c r="Q23" s="12" t="s">
        <v>86</v>
      </c>
      <c r="R23" s="16" t="s">
        <v>55</v>
      </c>
      <c r="S23" s="12" t="str">
        <f aca="false">IF(H23=I23,"PASS","FAIL")</f>
        <v>PASS</v>
      </c>
      <c r="T23" s="12" t="n">
        <f aca="false">IF(L23="Yes",IFERROR(IF(LOOKUP(2,1/($L$15:L22="Yes"),$K$15:K22)&lt;&gt;K23,30,0),0),0)</f>
        <v>0</v>
      </c>
      <c r="U23" s="12" t="str">
        <f aca="false">IF(AND(E23&gt;=DATE(2026,6,16),E23&lt;=DATE(2026,6,17),F23&gt;=TIME(8,0,0),G23&lt;=TIME(18,0,0)),"PASS","FAIL")</f>
        <v>PASS</v>
      </c>
      <c r="V23" s="12" t="str">
        <f aca="false">IF(O23="","PASS",IFERROR(IF(INDEX($G$15:$G$30,MATCH(O23,$B$15:$B$30,0))&lt;=F23,"PASS","FAIL"),"FAIL"))</f>
        <v>PASS</v>
      </c>
      <c r="W23" s="12" t="str">
        <f aca="false">IF(AND(S23="PASS",U23="PASS",V23="PASS"),"PASS","FAIL")</f>
        <v>PASS</v>
      </c>
    </row>
    <row r="24" customFormat="false" ht="30" hidden="false" customHeight="true" outlineLevel="0" collapsed="false">
      <c r="A24" s="12" t="n">
        <v>10</v>
      </c>
      <c r="B24" s="12" t="s">
        <v>87</v>
      </c>
      <c r="C24" s="12" t="s">
        <v>88</v>
      </c>
      <c r="D24" s="12" t="s">
        <v>69</v>
      </c>
      <c r="E24" s="13" t="n">
        <v>46189</v>
      </c>
      <c r="F24" s="14" t="n">
        <v>0.541666666666667</v>
      </c>
      <c r="G24" s="14" t="n">
        <v>0.625</v>
      </c>
      <c r="H24" s="15" t="n">
        <f aca="false">(G24-F24)*1440</f>
        <v>120</v>
      </c>
      <c r="I24" s="12" t="n">
        <v>120</v>
      </c>
      <c r="J24" s="12" t="s">
        <v>70</v>
      </c>
      <c r="K24" s="12" t="s">
        <v>71</v>
      </c>
      <c r="L24" s="12" t="s">
        <v>53</v>
      </c>
      <c r="M24" s="12" t="n">
        <v>0</v>
      </c>
      <c r="N24" s="12" t="s">
        <v>53</v>
      </c>
      <c r="O24" s="12"/>
      <c r="P24" s="12" t="s">
        <v>3</v>
      </c>
      <c r="Q24" s="12" t="s">
        <v>89</v>
      </c>
      <c r="R24" s="16" t="s">
        <v>90</v>
      </c>
      <c r="S24" s="12" t="str">
        <f aca="false">IF(H24=I24,"PASS","FAIL")</f>
        <v>PASS</v>
      </c>
      <c r="T24" s="12" t="n">
        <f aca="false">IF(L24="Yes",IFERROR(IF(LOOKUP(2,1/($L$15:L23="Yes"),$K$15:K23)&lt;&gt;K24,30,0),0),0)</f>
        <v>0</v>
      </c>
      <c r="U24" s="12" t="str">
        <f aca="false">IF(AND(E24&gt;=DATE(2026,6,16),E24&lt;=DATE(2026,6,17),F24&gt;=TIME(8,0,0),G24&lt;=TIME(18,0,0)),"PASS","FAIL")</f>
        <v>PASS</v>
      </c>
      <c r="V24" s="12" t="str">
        <f aca="false">IF(O24="","PASS",IFERROR(IF(INDEX($G$15:$G$30,MATCH(O24,$B$15:$B$30,0))&lt;=F24,"PASS","FAIL"),"FAIL"))</f>
        <v>PASS</v>
      </c>
      <c r="W24" s="12" t="str">
        <f aca="false">IF(AND(S24="PASS",U24="PASS",V24="PASS"),"PASS","FAIL")</f>
        <v>PASS</v>
      </c>
    </row>
    <row r="25" customFormat="false" ht="30" hidden="false" customHeight="true" outlineLevel="0" collapsed="false">
      <c r="A25" s="12" t="n">
        <v>11</v>
      </c>
      <c r="B25" s="12" t="s">
        <v>91</v>
      </c>
      <c r="C25" s="12" t="s">
        <v>92</v>
      </c>
      <c r="D25" s="12" t="s">
        <v>49</v>
      </c>
      <c r="E25" s="13" t="n">
        <v>46189</v>
      </c>
      <c r="F25" s="14" t="n">
        <v>0.583333333333333</v>
      </c>
      <c r="G25" s="14" t="n">
        <v>0.604166666666667</v>
      </c>
      <c r="H25" s="15" t="n">
        <f aca="false">(G25-F25)*1440</f>
        <v>30</v>
      </c>
      <c r="I25" s="12" t="n">
        <v>30</v>
      </c>
      <c r="J25" s="12" t="s">
        <v>78</v>
      </c>
      <c r="K25" s="12" t="s">
        <v>79</v>
      </c>
      <c r="L25" s="12" t="s">
        <v>52</v>
      </c>
      <c r="M25" s="12" t="n">
        <v>1</v>
      </c>
      <c r="N25" s="12" t="s">
        <v>53</v>
      </c>
      <c r="O25" s="12" t="s">
        <v>84</v>
      </c>
      <c r="P25" s="12" t="s">
        <v>3</v>
      </c>
      <c r="Q25" s="12" t="s">
        <v>93</v>
      </c>
      <c r="R25" s="16" t="s">
        <v>55</v>
      </c>
      <c r="S25" s="12" t="str">
        <f aca="false">IF(H25=I25,"PASS","FAIL")</f>
        <v>PASS</v>
      </c>
      <c r="T25" s="12" t="n">
        <f aca="false">IF(L25="Yes",IFERROR(IF(LOOKUP(2,1/($L$15:L24="Yes"),$K$15:K24)&lt;&gt;K25,30,0),0),0)</f>
        <v>0</v>
      </c>
      <c r="U25" s="12" t="str">
        <f aca="false">IF(AND(E25&gt;=DATE(2026,6,16),E25&lt;=DATE(2026,6,17),F25&gt;=TIME(8,0,0),G25&lt;=TIME(18,0,0)),"PASS","FAIL")</f>
        <v>PASS</v>
      </c>
      <c r="V25" s="12" t="str">
        <f aca="false">IF(O25="","PASS",IFERROR(IF(INDEX($G$15:$G$30,MATCH(O25,$B$15:$B$30,0))&lt;=F25,"PASS","FAIL"),"FAIL"))</f>
        <v>PASS</v>
      </c>
      <c r="W25" s="12" t="str">
        <f aca="false">IF(AND(S25="PASS",U25="PASS",V25="PASS"),"PASS","FAIL")</f>
        <v>PASS</v>
      </c>
    </row>
    <row r="26" customFormat="false" ht="30" hidden="false" customHeight="true" outlineLevel="0" collapsed="false">
      <c r="A26" s="12" t="n">
        <v>12</v>
      </c>
      <c r="B26" s="12" t="s">
        <v>94</v>
      </c>
      <c r="C26" s="12" t="s">
        <v>95</v>
      </c>
      <c r="D26" s="12" t="s">
        <v>49</v>
      </c>
      <c r="E26" s="13" t="n">
        <v>46190</v>
      </c>
      <c r="F26" s="14" t="n">
        <v>0.333333333333333</v>
      </c>
      <c r="G26" s="14" t="n">
        <v>0.354166666666667</v>
      </c>
      <c r="H26" s="15" t="n">
        <f aca="false">(G26-F26)*1440</f>
        <v>30</v>
      </c>
      <c r="I26" s="12" t="n">
        <v>30</v>
      </c>
      <c r="J26" s="12" t="s">
        <v>96</v>
      </c>
      <c r="K26" s="12" t="s">
        <v>71</v>
      </c>
      <c r="L26" s="12" t="s">
        <v>53</v>
      </c>
      <c r="M26" s="12" t="n">
        <v>1</v>
      </c>
      <c r="N26" s="12" t="s">
        <v>53</v>
      </c>
      <c r="O26" s="12"/>
      <c r="P26" s="12" t="s">
        <v>3</v>
      </c>
      <c r="Q26" s="12" t="s">
        <v>97</v>
      </c>
      <c r="R26" s="16" t="s">
        <v>98</v>
      </c>
      <c r="S26" s="12" t="str">
        <f aca="false">IF(H26=I26,"PASS","FAIL")</f>
        <v>PASS</v>
      </c>
      <c r="T26" s="12" t="n">
        <f aca="false">IF(L26="Yes",IFERROR(IF(LOOKUP(2,1/($L$15:L25="Yes"),$K$15:K25)&lt;&gt;K26,30,0),0),0)</f>
        <v>0</v>
      </c>
      <c r="U26" s="12" t="str">
        <f aca="false">IF(AND(E26&gt;=DATE(2026,6,16),E26&lt;=DATE(2026,6,17),F26&gt;=TIME(8,0,0),G26&lt;=TIME(18,0,0)),"PASS","FAIL")</f>
        <v>PASS</v>
      </c>
      <c r="V26" s="12" t="str">
        <f aca="false">IF(O26="","PASS",IFERROR(IF(INDEX($G$15:$G$30,MATCH(O26,$B$15:$B$30,0))&lt;=F26,"PASS","FAIL"),"FAIL"))</f>
        <v>PASS</v>
      </c>
      <c r="W26" s="12" t="str">
        <f aca="false">IF(AND(S26="PASS",U26="PASS",V26="PASS"),"PASS","FAIL")</f>
        <v>PASS</v>
      </c>
    </row>
    <row r="27" customFormat="false" ht="30" hidden="false" customHeight="true" outlineLevel="0" collapsed="false">
      <c r="A27" s="12" t="n">
        <v>13</v>
      </c>
      <c r="B27" s="12" t="s">
        <v>99</v>
      </c>
      <c r="C27" s="12" t="s">
        <v>100</v>
      </c>
      <c r="D27" s="12" t="s">
        <v>49</v>
      </c>
      <c r="E27" s="13" t="n">
        <v>46190</v>
      </c>
      <c r="F27" s="14" t="n">
        <v>0.375</v>
      </c>
      <c r="G27" s="14" t="n">
        <v>0.416666666666667</v>
      </c>
      <c r="H27" s="15" t="n">
        <f aca="false">(G27-F27)*1440</f>
        <v>60</v>
      </c>
      <c r="I27" s="12" t="n">
        <v>60</v>
      </c>
      <c r="J27" s="12" t="s">
        <v>96</v>
      </c>
      <c r="K27" s="12" t="s">
        <v>71</v>
      </c>
      <c r="L27" s="12" t="s">
        <v>53</v>
      </c>
      <c r="M27" s="12" t="n">
        <v>1</v>
      </c>
      <c r="N27" s="12" t="s">
        <v>53</v>
      </c>
      <c r="O27" s="12" t="s">
        <v>94</v>
      </c>
      <c r="P27" s="12" t="s">
        <v>3</v>
      </c>
      <c r="Q27" s="12" t="s">
        <v>101</v>
      </c>
      <c r="R27" s="16" t="s">
        <v>55</v>
      </c>
      <c r="S27" s="12" t="str">
        <f aca="false">IF(H27=I27,"PASS","FAIL")</f>
        <v>PASS</v>
      </c>
      <c r="T27" s="12" t="n">
        <f aca="false">IF(L27="Yes",IFERROR(IF(LOOKUP(2,1/($L$15:L26="Yes"),$K$15:K26)&lt;&gt;K27,30,0),0),0)</f>
        <v>0</v>
      </c>
      <c r="U27" s="12" t="str">
        <f aca="false">IF(AND(E27&gt;=DATE(2026,6,16),E27&lt;=DATE(2026,6,17),F27&gt;=TIME(8,0,0),G27&lt;=TIME(18,0,0)),"PASS","FAIL")</f>
        <v>PASS</v>
      </c>
      <c r="V27" s="12" t="str">
        <f aca="false">IF(O27="","PASS",IFERROR(IF(INDEX($G$15:$G$30,MATCH(O27,$B$15:$B$30,0))&lt;=F27,"PASS","FAIL"),"FAIL"))</f>
        <v>PASS</v>
      </c>
      <c r="W27" s="12" t="str">
        <f aca="false">IF(AND(S27="PASS",U27="PASS",V27="PASS"),"PASS","FAIL")</f>
        <v>PASS</v>
      </c>
    </row>
    <row r="28" customFormat="false" ht="30" hidden="false" customHeight="true" outlineLevel="0" collapsed="false">
      <c r="A28" s="12" t="n">
        <v>14</v>
      </c>
      <c r="B28" s="12" t="s">
        <v>102</v>
      </c>
      <c r="C28" s="12" t="s">
        <v>103</v>
      </c>
      <c r="D28" s="12" t="s">
        <v>69</v>
      </c>
      <c r="E28" s="13" t="n">
        <v>46190</v>
      </c>
      <c r="F28" s="14" t="n">
        <v>0.395833333333333</v>
      </c>
      <c r="G28" s="14" t="n">
        <v>0.5</v>
      </c>
      <c r="H28" s="15" t="n">
        <f aca="false">(G28-F28)*1440</f>
        <v>150</v>
      </c>
      <c r="I28" s="12" t="n">
        <v>150</v>
      </c>
      <c r="J28" s="12" t="s">
        <v>70</v>
      </c>
      <c r="K28" s="12" t="s">
        <v>71</v>
      </c>
      <c r="L28" s="12" t="s">
        <v>53</v>
      </c>
      <c r="M28" s="12" t="n">
        <v>0</v>
      </c>
      <c r="N28" s="12" t="s">
        <v>53</v>
      </c>
      <c r="O28" s="12"/>
      <c r="P28" s="12" t="s">
        <v>3</v>
      </c>
      <c r="Q28" s="12" t="s">
        <v>104</v>
      </c>
      <c r="R28" s="16" t="s">
        <v>55</v>
      </c>
      <c r="S28" s="12" t="str">
        <f aca="false">IF(H28=I28,"PASS","FAIL")</f>
        <v>PASS</v>
      </c>
      <c r="T28" s="12" t="n">
        <f aca="false">IF(L28="Yes",IFERROR(IF(LOOKUP(2,1/($L$15:L27="Yes"),$K$15:K27)&lt;&gt;K28,30,0),0),0)</f>
        <v>0</v>
      </c>
      <c r="U28" s="12" t="str">
        <f aca="false">IF(AND(E28&gt;=DATE(2026,6,16),E28&lt;=DATE(2026,6,17),F28&gt;=TIME(8,0,0),G28&lt;=TIME(18,0,0)),"PASS","FAIL")</f>
        <v>PASS</v>
      </c>
      <c r="V28" s="12" t="str">
        <f aca="false">IF(O28="","PASS",IFERROR(IF(INDEX($G$15:$G$30,MATCH(O28,$B$15:$B$30,0))&lt;=F28,"PASS","FAIL"),"FAIL"))</f>
        <v>PASS</v>
      </c>
      <c r="W28" s="12" t="str">
        <f aca="false">IF(AND(S28="PASS",U28="PASS",V28="PASS"),"PASS","FAIL")</f>
        <v>PASS</v>
      </c>
    </row>
    <row r="29" customFormat="false" ht="30" hidden="false" customHeight="true" outlineLevel="0" collapsed="false">
      <c r="A29" s="12" t="n">
        <v>15</v>
      </c>
      <c r="B29" s="12" t="s">
        <v>105</v>
      </c>
      <c r="C29" s="12" t="s">
        <v>106</v>
      </c>
      <c r="D29" s="12" t="s">
        <v>69</v>
      </c>
      <c r="E29" s="13" t="n">
        <v>46190</v>
      </c>
      <c r="F29" s="14" t="n">
        <v>0.541666666666667</v>
      </c>
      <c r="G29" s="14" t="n">
        <v>0.625</v>
      </c>
      <c r="H29" s="15" t="n">
        <f aca="false">(G29-F29)*1440</f>
        <v>120</v>
      </c>
      <c r="I29" s="12" t="n">
        <v>120</v>
      </c>
      <c r="J29" s="12" t="s">
        <v>70</v>
      </c>
      <c r="K29" s="12" t="s">
        <v>71</v>
      </c>
      <c r="L29" s="12" t="s">
        <v>53</v>
      </c>
      <c r="M29" s="12" t="n">
        <v>0</v>
      </c>
      <c r="N29" s="12" t="s">
        <v>53</v>
      </c>
      <c r="O29" s="12"/>
      <c r="P29" s="12" t="s">
        <v>3</v>
      </c>
      <c r="Q29" s="12" t="s">
        <v>107</v>
      </c>
      <c r="R29" s="16" t="s">
        <v>90</v>
      </c>
      <c r="S29" s="12" t="str">
        <f aca="false">IF(H29=I29,"PASS","FAIL")</f>
        <v>PASS</v>
      </c>
      <c r="T29" s="12" t="n">
        <f aca="false">IF(L29="Yes",IFERROR(IF(LOOKUP(2,1/($L$15:L28="Yes"),$K$15:K28)&lt;&gt;K29,30,0),0),0)</f>
        <v>0</v>
      </c>
      <c r="U29" s="12" t="str">
        <f aca="false">IF(AND(E29&gt;=DATE(2026,6,16),E29&lt;=DATE(2026,6,17),F29&gt;=TIME(8,0,0),G29&lt;=TIME(18,0,0)),"PASS","FAIL")</f>
        <v>PASS</v>
      </c>
      <c r="V29" s="12" t="str">
        <f aca="false">IF(O29="","PASS",IFERROR(IF(INDEX($G$15:$G$30,MATCH(O29,$B$15:$B$30,0))&lt;=F29,"PASS","FAIL"),"FAIL"))</f>
        <v>PASS</v>
      </c>
      <c r="W29" s="12" t="str">
        <f aca="false">IF(AND(S29="PASS",U29="PASS",V29="PASS"),"PASS","FAIL")</f>
        <v>PASS</v>
      </c>
    </row>
    <row r="30" customFormat="false" ht="30" hidden="false" customHeight="true" outlineLevel="0" collapsed="false">
      <c r="A30" s="12" t="n">
        <v>16</v>
      </c>
      <c r="B30" s="12" t="s">
        <v>108</v>
      </c>
      <c r="C30" s="12" t="s">
        <v>109</v>
      </c>
      <c r="D30" s="12" t="s">
        <v>49</v>
      </c>
      <c r="E30" s="13" t="n">
        <v>46190</v>
      </c>
      <c r="F30" s="14" t="n">
        <v>0.645833333333333</v>
      </c>
      <c r="G30" s="14" t="n">
        <v>0.6875</v>
      </c>
      <c r="H30" s="15" t="n">
        <f aca="false">(G30-F30)*1440</f>
        <v>60</v>
      </c>
      <c r="I30" s="12" t="n">
        <v>60</v>
      </c>
      <c r="J30" s="12" t="s">
        <v>58</v>
      </c>
      <c r="K30" s="12" t="s">
        <v>59</v>
      </c>
      <c r="L30" s="12" t="s">
        <v>53</v>
      </c>
      <c r="M30" s="12" t="n">
        <v>1</v>
      </c>
      <c r="N30" s="12" t="s">
        <v>52</v>
      </c>
      <c r="O30" s="12" t="s">
        <v>99</v>
      </c>
      <c r="P30" s="12" t="s">
        <v>3</v>
      </c>
      <c r="Q30" s="12" t="s">
        <v>110</v>
      </c>
      <c r="R30" s="16" t="s">
        <v>55</v>
      </c>
      <c r="S30" s="12" t="str">
        <f aca="false">IF(H30=I30,"PASS","FAIL")</f>
        <v>PASS</v>
      </c>
      <c r="T30" s="12" t="n">
        <f aca="false">IF(L30="Yes",IFERROR(IF(LOOKUP(2,1/($L$15:L29="Yes"),$K$15:K29)&lt;&gt;K30,30,0),0),0)</f>
        <v>0</v>
      </c>
      <c r="U30" s="12" t="str">
        <f aca="false">IF(AND(E30&gt;=DATE(2026,6,16),E30&lt;=DATE(2026,6,17),F30&gt;=TIME(8,0,0),G30&lt;=TIME(18,0,0)),"PASS","FAIL")</f>
        <v>PASS</v>
      </c>
      <c r="V30" s="12" t="str">
        <f aca="false">IF(O30="","PASS",IFERROR(IF(INDEX($G$15:$G$30,MATCH(O30,$B$15:$B$30,0))&lt;=F30,"PASS","FAIL"),"FAIL"))</f>
        <v>PASS</v>
      </c>
      <c r="W30" s="12" t="str">
        <f aca="false">IF(AND(S30="PASS",U30="PASS",V30="PASS"),"PASS","FAIL")</f>
        <v>PASS</v>
      </c>
    </row>
    <row r="33" customFormat="false" ht="15" hidden="false" customHeight="false" outlineLevel="0" collapsed="false">
      <c r="A33" s="7" t="s">
        <v>111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customFormat="false" ht="24" hidden="false" customHeight="true" outlineLevel="0" collapsed="false">
      <c r="A34" s="17" t="s">
        <v>10</v>
      </c>
      <c r="B34" s="18" t="s">
        <v>11</v>
      </c>
      <c r="E34" s="17" t="s">
        <v>12</v>
      </c>
      <c r="F34" s="18" t="s">
        <v>13</v>
      </c>
      <c r="I34" s="17" t="s">
        <v>16</v>
      </c>
      <c r="J34" s="18" t="s">
        <v>7</v>
      </c>
      <c r="M34" s="17" t="s">
        <v>112</v>
      </c>
      <c r="N34" s="18" t="s">
        <v>113</v>
      </c>
      <c r="Q34" s="17" t="s">
        <v>114</v>
      </c>
      <c r="R34" s="18" t="s">
        <v>113</v>
      </c>
    </row>
  </sheetData>
  <autoFilter ref="A14:W30"/>
  <mergeCells count="22">
    <mergeCell ref="A1:R1"/>
    <mergeCell ref="A2:R2"/>
    <mergeCell ref="A4:B4"/>
    <mergeCell ref="C4:F4"/>
    <mergeCell ref="G4:H4"/>
    <mergeCell ref="I4:L4"/>
    <mergeCell ref="M4:N4"/>
    <mergeCell ref="O4:R4"/>
    <mergeCell ref="A5:B5"/>
    <mergeCell ref="C5:F5"/>
    <mergeCell ref="G5:H5"/>
    <mergeCell ref="I5:L5"/>
    <mergeCell ref="M5:N5"/>
    <mergeCell ref="O5:R5"/>
    <mergeCell ref="A6:B6"/>
    <mergeCell ref="C6:F6"/>
    <mergeCell ref="G6:H6"/>
    <mergeCell ref="I6:L6"/>
    <mergeCell ref="M6:N6"/>
    <mergeCell ref="O6:R6"/>
    <mergeCell ref="A8:R8"/>
    <mergeCell ref="A33:W33"/>
  </mergeCells>
  <conditionalFormatting sqref="S15:S30">
    <cfRule type="cellIs" priority="2" operator="equal" aboveAverage="0" equalAverage="0" bottom="0" percent="0" rank="0" text="" dxfId="5">
      <formula>"FAIL"</formula>
    </cfRule>
    <cfRule type="cellIs" priority="3" operator="equal" aboveAverage="0" equalAverage="0" bottom="0" percent="0" rank="0" text="" dxfId="6">
      <formula>"PASS"</formula>
    </cfRule>
  </conditionalFormatting>
  <conditionalFormatting sqref="U15:U30">
    <cfRule type="cellIs" priority="4" operator="equal" aboveAverage="0" equalAverage="0" bottom="0" percent="0" rank="0" text="" dxfId="5">
      <formula>"FAIL"</formula>
    </cfRule>
    <cfRule type="cellIs" priority="5" operator="equal" aboveAverage="0" equalAverage="0" bottom="0" percent="0" rank="0" text="" dxfId="6">
      <formula>"PASS"</formula>
    </cfRule>
  </conditionalFormatting>
  <conditionalFormatting sqref="V15:V30">
    <cfRule type="cellIs" priority="6" operator="equal" aboveAverage="0" equalAverage="0" bottom="0" percent="0" rank="0" text="" dxfId="5">
      <formula>"FAIL"</formula>
    </cfRule>
    <cfRule type="cellIs" priority="7" operator="equal" aboveAverage="0" equalAverage="0" bottom="0" percent="0" rank="0" text="" dxfId="6">
      <formula>"PASS"</formula>
    </cfRule>
  </conditionalFormatting>
  <conditionalFormatting sqref="W15:W30">
    <cfRule type="cellIs" priority="8" operator="equal" aboveAverage="0" equalAverage="0" bottom="0" percent="0" rank="0" text="" dxfId="5">
      <formula>"FAIL"</formula>
    </cfRule>
    <cfRule type="cellIs" priority="9" operator="equal" aboveAverage="0" equalAverage="0" bottom="0" percent="0" rank="0" text="" dxfId="6">
      <formula>"PASS"</formula>
    </cfRule>
  </conditionalFormatting>
  <dataValidations count="6"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C4" type="list">
      <formula1>"Candidate A,Candidate B,Candidate C"</formula1>
      <formula2>0</formula2>
    </dataValidation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I4" type="list">
      <formula1>"Compliant,Non-compliant,Not assessed"</formula1>
      <formula2>0</formula2>
    </dataValidation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O4" type="list">
      <formula1>"Pending approval,Approved,Rejected"</formula1>
      <formula2>0</formula2>
    </dataValidation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O6" type="list">
      <formula1>"Pending approval,Approved,Rejected"</formula1>
      <formula2>0</formula2>
    </dataValidation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R15:R30" type="list">
      <formula1>"Corrected,Retained by judgement,No change"</formula1>
      <formula2>0</formula2>
    </dataValidation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J34" type="list">
      <formula1>"Pending approval,Approved,Rejected"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&amp;CCobblemoor Provisions | corrected operating plan | pending approval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7"/>
    <col collapsed="false" customWidth="true" hidden="false" outlineLevel="0" max="8" min="8" style="0" width="32"/>
    <col collapsed="false" customWidth="true" hidden="false" outlineLevel="0" max="9" min="9" style="0" width="24"/>
    <col collapsed="false" customWidth="true" hidden="false" outlineLevel="0" max="10" min="10" style="0" width="62"/>
  </cols>
  <sheetData>
    <row r="1" customFormat="false" ht="24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9" t="s">
        <v>116</v>
      </c>
      <c r="B2" s="19"/>
      <c r="C2" s="19"/>
      <c r="D2" s="19"/>
      <c r="E2" s="19"/>
      <c r="F2" s="19"/>
      <c r="G2" s="19"/>
      <c r="H2" s="19"/>
      <c r="I2" s="19"/>
      <c r="J2" s="19"/>
    </row>
    <row r="4" customFormat="false" ht="28.35" hidden="false" customHeight="false" outlineLevel="0" collapsed="false">
      <c r="A4" s="11" t="s">
        <v>117</v>
      </c>
      <c r="B4" s="11" t="s">
        <v>39</v>
      </c>
      <c r="C4" s="11" t="s">
        <v>40</v>
      </c>
      <c r="D4" s="11" t="s">
        <v>25</v>
      </c>
      <c r="E4" s="11" t="s">
        <v>118</v>
      </c>
      <c r="F4" s="11" t="s">
        <v>119</v>
      </c>
      <c r="G4" s="11" t="s">
        <v>120</v>
      </c>
      <c r="H4" s="11" t="s">
        <v>121</v>
      </c>
      <c r="I4" s="11" t="s">
        <v>41</v>
      </c>
      <c r="J4" s="11" t="s">
        <v>122</v>
      </c>
    </row>
    <row r="5" customFormat="false" ht="42" hidden="false" customHeight="true" outlineLevel="0" collapsed="false">
      <c r="A5" s="12" t="s">
        <v>123</v>
      </c>
      <c r="B5" s="12" t="s">
        <v>3</v>
      </c>
      <c r="C5" s="12" t="s">
        <v>54</v>
      </c>
      <c r="D5" s="12" t="s">
        <v>47</v>
      </c>
      <c r="E5" s="16" t="s">
        <v>124</v>
      </c>
      <c r="F5" s="12" t="s">
        <v>125</v>
      </c>
      <c r="G5" s="12" t="s">
        <v>126</v>
      </c>
      <c r="H5" s="12" t="s">
        <v>127</v>
      </c>
      <c r="I5" s="16" t="s">
        <v>55</v>
      </c>
      <c r="J5" s="12" t="s">
        <v>128</v>
      </c>
    </row>
    <row r="6" customFormat="false" ht="42" hidden="false" customHeight="true" outlineLevel="0" collapsed="false">
      <c r="A6" s="12" t="s">
        <v>129</v>
      </c>
      <c r="B6" s="12" t="s">
        <v>3</v>
      </c>
      <c r="C6" s="12" t="s">
        <v>54</v>
      </c>
      <c r="D6" s="12" t="s">
        <v>47</v>
      </c>
      <c r="E6" s="16" t="s">
        <v>124</v>
      </c>
      <c r="F6" s="12" t="s">
        <v>33</v>
      </c>
      <c r="G6" s="12" t="s">
        <v>130</v>
      </c>
      <c r="H6" s="12" t="s">
        <v>50</v>
      </c>
      <c r="I6" s="16" t="s">
        <v>55</v>
      </c>
      <c r="J6" s="12" t="s">
        <v>131</v>
      </c>
    </row>
    <row r="7" customFormat="false" ht="42" hidden="false" customHeight="true" outlineLevel="0" collapsed="false">
      <c r="A7" s="12" t="s">
        <v>132</v>
      </c>
      <c r="B7" s="12" t="s">
        <v>3</v>
      </c>
      <c r="C7" s="12" t="s">
        <v>63</v>
      </c>
      <c r="D7" s="12" t="s">
        <v>61</v>
      </c>
      <c r="E7" s="16" t="s">
        <v>124</v>
      </c>
      <c r="F7" s="12" t="s">
        <v>133</v>
      </c>
      <c r="G7" s="12" t="s">
        <v>134</v>
      </c>
      <c r="H7" s="12" t="s">
        <v>127</v>
      </c>
      <c r="I7" s="16" t="s">
        <v>55</v>
      </c>
      <c r="J7" s="12" t="s">
        <v>128</v>
      </c>
    </row>
    <row r="8" customFormat="false" ht="42" hidden="false" customHeight="true" outlineLevel="0" collapsed="false">
      <c r="A8" s="12" t="s">
        <v>135</v>
      </c>
      <c r="B8" s="12" t="s">
        <v>3</v>
      </c>
      <c r="C8" s="12" t="s">
        <v>63</v>
      </c>
      <c r="D8" s="12" t="s">
        <v>61</v>
      </c>
      <c r="E8" s="16" t="s">
        <v>124</v>
      </c>
      <c r="F8" s="12" t="s">
        <v>33</v>
      </c>
      <c r="G8" s="12" t="s">
        <v>136</v>
      </c>
      <c r="H8" s="12" t="s">
        <v>50</v>
      </c>
      <c r="I8" s="16" t="s">
        <v>55</v>
      </c>
      <c r="J8" s="12" t="s">
        <v>131</v>
      </c>
    </row>
    <row r="9" customFormat="false" ht="42" hidden="false" customHeight="true" outlineLevel="0" collapsed="false">
      <c r="A9" s="12" t="s">
        <v>137</v>
      </c>
      <c r="B9" s="12" t="s">
        <v>3</v>
      </c>
      <c r="C9" s="12" t="s">
        <v>66</v>
      </c>
      <c r="D9" s="12" t="s">
        <v>64</v>
      </c>
      <c r="E9" s="16" t="s">
        <v>124</v>
      </c>
      <c r="F9" s="12" t="s">
        <v>125</v>
      </c>
      <c r="G9" s="12" t="s">
        <v>138</v>
      </c>
      <c r="H9" s="12" t="s">
        <v>139</v>
      </c>
      <c r="I9" s="16" t="s">
        <v>55</v>
      </c>
      <c r="J9" s="12" t="s">
        <v>128</v>
      </c>
    </row>
    <row r="10" customFormat="false" ht="42" hidden="false" customHeight="true" outlineLevel="0" collapsed="false">
      <c r="A10" s="12" t="s">
        <v>140</v>
      </c>
      <c r="B10" s="12" t="s">
        <v>3</v>
      </c>
      <c r="C10" s="12" t="s">
        <v>141</v>
      </c>
      <c r="D10" s="12" t="s">
        <v>64</v>
      </c>
      <c r="E10" s="16" t="s">
        <v>124</v>
      </c>
      <c r="F10" s="12" t="s">
        <v>125</v>
      </c>
      <c r="G10" s="12" t="s">
        <v>138</v>
      </c>
      <c r="H10" s="12" t="s">
        <v>142</v>
      </c>
      <c r="I10" s="16" t="s">
        <v>143</v>
      </c>
      <c r="J10" s="12" t="s">
        <v>144</v>
      </c>
    </row>
    <row r="11" customFormat="false" ht="42" hidden="false" customHeight="true" outlineLevel="0" collapsed="false">
      <c r="A11" s="12" t="s">
        <v>145</v>
      </c>
      <c r="B11" s="12" t="s">
        <v>3</v>
      </c>
      <c r="C11" s="12" t="s">
        <v>75</v>
      </c>
      <c r="D11" s="12" t="s">
        <v>73</v>
      </c>
      <c r="E11" s="16" t="s">
        <v>124</v>
      </c>
      <c r="F11" s="12" t="s">
        <v>133</v>
      </c>
      <c r="G11" s="12" t="s">
        <v>146</v>
      </c>
      <c r="H11" s="12" t="s">
        <v>139</v>
      </c>
      <c r="I11" s="16" t="s">
        <v>55</v>
      </c>
      <c r="J11" s="12" t="s">
        <v>128</v>
      </c>
    </row>
    <row r="12" customFormat="false" ht="42" hidden="false" customHeight="true" outlineLevel="0" collapsed="false">
      <c r="A12" s="12" t="s">
        <v>147</v>
      </c>
      <c r="B12" s="12" t="s">
        <v>3</v>
      </c>
      <c r="C12" s="12" t="s">
        <v>75</v>
      </c>
      <c r="D12" s="12" t="s">
        <v>73</v>
      </c>
      <c r="E12" s="16" t="s">
        <v>124</v>
      </c>
      <c r="F12" s="12" t="s">
        <v>33</v>
      </c>
      <c r="G12" s="12" t="s">
        <v>148</v>
      </c>
      <c r="H12" s="12" t="s">
        <v>50</v>
      </c>
      <c r="I12" s="16" t="s">
        <v>55</v>
      </c>
      <c r="J12" s="12" t="s">
        <v>131</v>
      </c>
    </row>
    <row r="13" customFormat="false" ht="42" hidden="false" customHeight="true" outlineLevel="0" collapsed="false">
      <c r="A13" s="12" t="s">
        <v>149</v>
      </c>
      <c r="B13" s="12" t="s">
        <v>3</v>
      </c>
      <c r="C13" s="12" t="s">
        <v>80</v>
      </c>
      <c r="D13" s="12" t="s">
        <v>76</v>
      </c>
      <c r="E13" s="16" t="s">
        <v>124</v>
      </c>
      <c r="F13" s="12" t="s">
        <v>133</v>
      </c>
      <c r="G13" s="12" t="s">
        <v>150</v>
      </c>
      <c r="H13" s="12" t="s">
        <v>151</v>
      </c>
      <c r="I13" s="16" t="s">
        <v>55</v>
      </c>
      <c r="J13" s="12" t="s">
        <v>128</v>
      </c>
    </row>
    <row r="14" customFormat="false" ht="42" hidden="false" customHeight="true" outlineLevel="0" collapsed="false">
      <c r="A14" s="12" t="s">
        <v>152</v>
      </c>
      <c r="B14" s="12" t="s">
        <v>3</v>
      </c>
      <c r="C14" s="12" t="s">
        <v>80</v>
      </c>
      <c r="D14" s="12" t="s">
        <v>76</v>
      </c>
      <c r="E14" s="16" t="s">
        <v>124</v>
      </c>
      <c r="F14" s="12" t="s">
        <v>33</v>
      </c>
      <c r="G14" s="12" t="s">
        <v>153</v>
      </c>
      <c r="H14" s="12" t="s">
        <v>78</v>
      </c>
      <c r="I14" s="16" t="s">
        <v>55</v>
      </c>
      <c r="J14" s="12" t="s">
        <v>131</v>
      </c>
    </row>
    <row r="15" customFormat="false" ht="42" hidden="false" customHeight="true" outlineLevel="0" collapsed="false">
      <c r="A15" s="12" t="s">
        <v>154</v>
      </c>
      <c r="B15" s="12" t="s">
        <v>3</v>
      </c>
      <c r="C15" s="12" t="s">
        <v>83</v>
      </c>
      <c r="D15" s="12" t="s">
        <v>81</v>
      </c>
      <c r="E15" s="16" t="s">
        <v>124</v>
      </c>
      <c r="F15" s="12" t="s">
        <v>125</v>
      </c>
      <c r="G15" s="12" t="s">
        <v>155</v>
      </c>
      <c r="H15" s="12" t="s">
        <v>156</v>
      </c>
      <c r="I15" s="16" t="s">
        <v>55</v>
      </c>
      <c r="J15" s="12" t="s">
        <v>128</v>
      </c>
    </row>
    <row r="16" customFormat="false" ht="42" hidden="false" customHeight="true" outlineLevel="0" collapsed="false">
      <c r="A16" s="12" t="s">
        <v>157</v>
      </c>
      <c r="B16" s="12" t="s">
        <v>3</v>
      </c>
      <c r="C16" s="12" t="s">
        <v>86</v>
      </c>
      <c r="D16" s="12" t="s">
        <v>84</v>
      </c>
      <c r="E16" s="16" t="s">
        <v>124</v>
      </c>
      <c r="F16" s="12" t="s">
        <v>133</v>
      </c>
      <c r="G16" s="12" t="s">
        <v>158</v>
      </c>
      <c r="H16" s="12" t="s">
        <v>156</v>
      </c>
      <c r="I16" s="16" t="s">
        <v>55</v>
      </c>
      <c r="J16" s="12" t="s">
        <v>128</v>
      </c>
    </row>
    <row r="17" customFormat="false" ht="42" hidden="false" customHeight="true" outlineLevel="0" collapsed="false">
      <c r="A17" s="12" t="s">
        <v>159</v>
      </c>
      <c r="B17" s="12" t="s">
        <v>3</v>
      </c>
      <c r="C17" s="12" t="s">
        <v>86</v>
      </c>
      <c r="D17" s="12" t="s">
        <v>84</v>
      </c>
      <c r="E17" s="16" t="s">
        <v>124</v>
      </c>
      <c r="F17" s="12" t="s">
        <v>125</v>
      </c>
      <c r="G17" s="12" t="s">
        <v>160</v>
      </c>
      <c r="H17" s="12" t="s">
        <v>161</v>
      </c>
      <c r="I17" s="16" t="s">
        <v>55</v>
      </c>
      <c r="J17" s="12" t="s">
        <v>128</v>
      </c>
    </row>
    <row r="18" customFormat="false" ht="42" hidden="false" customHeight="true" outlineLevel="0" collapsed="false">
      <c r="A18" s="12" t="s">
        <v>162</v>
      </c>
      <c r="B18" s="12" t="s">
        <v>3</v>
      </c>
      <c r="C18" s="12" t="s">
        <v>86</v>
      </c>
      <c r="D18" s="12" t="s">
        <v>84</v>
      </c>
      <c r="E18" s="16" t="s">
        <v>124</v>
      </c>
      <c r="F18" s="12" t="s">
        <v>33</v>
      </c>
      <c r="G18" s="12" t="s">
        <v>163</v>
      </c>
      <c r="H18" s="12" t="s">
        <v>78</v>
      </c>
      <c r="I18" s="16" t="s">
        <v>55</v>
      </c>
      <c r="J18" s="12" t="s">
        <v>131</v>
      </c>
    </row>
    <row r="19" customFormat="false" ht="42" hidden="false" customHeight="true" outlineLevel="0" collapsed="false">
      <c r="A19" s="12" t="s">
        <v>164</v>
      </c>
      <c r="B19" s="12" t="s">
        <v>3</v>
      </c>
      <c r="C19" s="12" t="s">
        <v>93</v>
      </c>
      <c r="D19" s="12" t="s">
        <v>91</v>
      </c>
      <c r="E19" s="16" t="s">
        <v>124</v>
      </c>
      <c r="F19" s="12" t="s">
        <v>33</v>
      </c>
      <c r="G19" s="12" t="s">
        <v>165</v>
      </c>
      <c r="H19" s="12" t="s">
        <v>78</v>
      </c>
      <c r="I19" s="16" t="s">
        <v>55</v>
      </c>
      <c r="J19" s="12" t="s">
        <v>131</v>
      </c>
    </row>
    <row r="20" customFormat="false" ht="42" hidden="false" customHeight="true" outlineLevel="0" collapsed="false">
      <c r="A20" s="12" t="s">
        <v>166</v>
      </c>
      <c r="B20" s="12" t="s">
        <v>3</v>
      </c>
      <c r="C20" s="12" t="s">
        <v>60</v>
      </c>
      <c r="D20" s="12" t="s">
        <v>56</v>
      </c>
      <c r="E20" s="16" t="s">
        <v>124</v>
      </c>
      <c r="F20" s="12" t="s">
        <v>133</v>
      </c>
      <c r="G20" s="12" t="s">
        <v>167</v>
      </c>
      <c r="H20" s="12" t="s">
        <v>168</v>
      </c>
      <c r="I20" s="16" t="s">
        <v>55</v>
      </c>
      <c r="J20" s="12" t="s">
        <v>128</v>
      </c>
    </row>
    <row r="21" customFormat="false" ht="42" hidden="false" customHeight="true" outlineLevel="0" collapsed="false">
      <c r="A21" s="12" t="s">
        <v>169</v>
      </c>
      <c r="B21" s="12" t="s">
        <v>3</v>
      </c>
      <c r="C21" s="12" t="s">
        <v>60</v>
      </c>
      <c r="D21" s="12" t="s">
        <v>56</v>
      </c>
      <c r="E21" s="16" t="s">
        <v>124</v>
      </c>
      <c r="F21" s="12" t="s">
        <v>125</v>
      </c>
      <c r="G21" s="12" t="s">
        <v>170</v>
      </c>
      <c r="H21" s="12" t="s">
        <v>171</v>
      </c>
      <c r="I21" s="16" t="s">
        <v>55</v>
      </c>
      <c r="J21" s="12" t="s">
        <v>128</v>
      </c>
    </row>
    <row r="22" customFormat="false" ht="42" hidden="false" customHeight="true" outlineLevel="0" collapsed="false">
      <c r="A22" s="12" t="s">
        <v>172</v>
      </c>
      <c r="B22" s="12" t="s">
        <v>3</v>
      </c>
      <c r="C22" s="12" t="s">
        <v>60</v>
      </c>
      <c r="D22" s="12" t="s">
        <v>56</v>
      </c>
      <c r="E22" s="16" t="s">
        <v>124</v>
      </c>
      <c r="F22" s="12" t="s">
        <v>33</v>
      </c>
      <c r="G22" s="12" t="s">
        <v>173</v>
      </c>
      <c r="H22" s="12" t="s">
        <v>58</v>
      </c>
      <c r="I22" s="16" t="s">
        <v>55</v>
      </c>
      <c r="J22" s="12" t="s">
        <v>131</v>
      </c>
    </row>
    <row r="23" customFormat="false" ht="42" hidden="false" customHeight="true" outlineLevel="0" collapsed="false">
      <c r="A23" s="12" t="s">
        <v>174</v>
      </c>
      <c r="B23" s="12" t="s">
        <v>3</v>
      </c>
      <c r="C23" s="12" t="s">
        <v>97</v>
      </c>
      <c r="D23" s="12" t="s">
        <v>94</v>
      </c>
      <c r="E23" s="16" t="s">
        <v>124</v>
      </c>
      <c r="F23" s="12" t="s">
        <v>133</v>
      </c>
      <c r="G23" s="12" t="s">
        <v>175</v>
      </c>
      <c r="H23" s="12" t="s">
        <v>168</v>
      </c>
      <c r="I23" s="16" t="s">
        <v>55</v>
      </c>
      <c r="J23" s="12" t="s">
        <v>128</v>
      </c>
    </row>
    <row r="24" customFormat="false" ht="42" hidden="false" customHeight="true" outlineLevel="0" collapsed="false">
      <c r="A24" s="12" t="s">
        <v>176</v>
      </c>
      <c r="B24" s="12" t="s">
        <v>3</v>
      </c>
      <c r="C24" s="12" t="s">
        <v>97</v>
      </c>
      <c r="D24" s="12" t="s">
        <v>94</v>
      </c>
      <c r="E24" s="16" t="s">
        <v>124</v>
      </c>
      <c r="F24" s="12" t="s">
        <v>125</v>
      </c>
      <c r="G24" s="12" t="s">
        <v>126</v>
      </c>
      <c r="H24" s="12" t="s">
        <v>127</v>
      </c>
      <c r="I24" s="16" t="s">
        <v>55</v>
      </c>
      <c r="J24" s="12" t="s">
        <v>128</v>
      </c>
    </row>
    <row r="25" customFormat="false" ht="42" hidden="false" customHeight="true" outlineLevel="0" collapsed="false">
      <c r="A25" s="12" t="s">
        <v>177</v>
      </c>
      <c r="B25" s="12" t="s">
        <v>3</v>
      </c>
      <c r="C25" s="12" t="s">
        <v>97</v>
      </c>
      <c r="D25" s="12" t="s">
        <v>94</v>
      </c>
      <c r="E25" s="16" t="s">
        <v>124</v>
      </c>
      <c r="F25" s="12" t="s">
        <v>33</v>
      </c>
      <c r="G25" s="12" t="s">
        <v>178</v>
      </c>
      <c r="H25" s="12" t="s">
        <v>96</v>
      </c>
      <c r="I25" s="16" t="s">
        <v>55</v>
      </c>
      <c r="J25" s="12" t="s">
        <v>131</v>
      </c>
    </row>
    <row r="26" customFormat="false" ht="42" hidden="false" customHeight="true" outlineLevel="0" collapsed="false">
      <c r="A26" s="12" t="s">
        <v>179</v>
      </c>
      <c r="B26" s="12" t="s">
        <v>3</v>
      </c>
      <c r="C26" s="12" t="s">
        <v>180</v>
      </c>
      <c r="D26" s="12" t="s">
        <v>94</v>
      </c>
      <c r="E26" s="16" t="s">
        <v>124</v>
      </c>
      <c r="F26" s="12" t="s">
        <v>33</v>
      </c>
      <c r="G26" s="12" t="s">
        <v>181</v>
      </c>
      <c r="H26" s="12" t="s">
        <v>182</v>
      </c>
      <c r="I26" s="16" t="s">
        <v>143</v>
      </c>
      <c r="J26" s="12" t="s">
        <v>183</v>
      </c>
    </row>
    <row r="27" customFormat="false" ht="42" hidden="false" customHeight="true" outlineLevel="0" collapsed="false">
      <c r="A27" s="12" t="s">
        <v>184</v>
      </c>
      <c r="B27" s="12" t="s">
        <v>3</v>
      </c>
      <c r="C27" s="12" t="s">
        <v>101</v>
      </c>
      <c r="D27" s="12" t="s">
        <v>99</v>
      </c>
      <c r="E27" s="16" t="s">
        <v>124</v>
      </c>
      <c r="F27" s="12" t="s">
        <v>125</v>
      </c>
      <c r="G27" s="12" t="s">
        <v>185</v>
      </c>
      <c r="H27" s="12" t="s">
        <v>186</v>
      </c>
      <c r="I27" s="16" t="s">
        <v>55</v>
      </c>
      <c r="J27" s="12" t="s">
        <v>128</v>
      </c>
    </row>
    <row r="28" customFormat="false" ht="42" hidden="false" customHeight="true" outlineLevel="0" collapsed="false">
      <c r="A28" s="12" t="s">
        <v>187</v>
      </c>
      <c r="B28" s="12" t="s">
        <v>3</v>
      </c>
      <c r="C28" s="12" t="s">
        <v>110</v>
      </c>
      <c r="D28" s="12" t="s">
        <v>108</v>
      </c>
      <c r="E28" s="16" t="s">
        <v>124</v>
      </c>
      <c r="F28" s="12" t="s">
        <v>133</v>
      </c>
      <c r="G28" s="12" t="s">
        <v>188</v>
      </c>
      <c r="H28" s="12" t="s">
        <v>189</v>
      </c>
      <c r="I28" s="16" t="s">
        <v>55</v>
      </c>
      <c r="J28" s="12" t="s">
        <v>128</v>
      </c>
    </row>
    <row r="29" customFormat="false" ht="42" hidden="false" customHeight="true" outlineLevel="0" collapsed="false">
      <c r="A29" s="12" t="s">
        <v>190</v>
      </c>
      <c r="B29" s="12" t="s">
        <v>3</v>
      </c>
      <c r="C29" s="12" t="s">
        <v>110</v>
      </c>
      <c r="D29" s="12" t="s">
        <v>108</v>
      </c>
      <c r="E29" s="16" t="s">
        <v>124</v>
      </c>
      <c r="F29" s="12" t="s">
        <v>125</v>
      </c>
      <c r="G29" s="12" t="s">
        <v>191</v>
      </c>
      <c r="H29" s="12" t="s">
        <v>192</v>
      </c>
      <c r="I29" s="16" t="s">
        <v>55</v>
      </c>
      <c r="J29" s="12" t="s">
        <v>128</v>
      </c>
    </row>
    <row r="30" customFormat="false" ht="42" hidden="false" customHeight="true" outlineLevel="0" collapsed="false">
      <c r="A30" s="12" t="s">
        <v>193</v>
      </c>
      <c r="B30" s="12" t="s">
        <v>3</v>
      </c>
      <c r="C30" s="12" t="s">
        <v>110</v>
      </c>
      <c r="D30" s="12" t="s">
        <v>108</v>
      </c>
      <c r="E30" s="16" t="s">
        <v>124</v>
      </c>
      <c r="F30" s="12" t="s">
        <v>33</v>
      </c>
      <c r="G30" s="12" t="s">
        <v>194</v>
      </c>
      <c r="H30" s="12" t="s">
        <v>58</v>
      </c>
      <c r="I30" s="16" t="s">
        <v>55</v>
      </c>
      <c r="J30" s="12" t="s">
        <v>131</v>
      </c>
    </row>
    <row r="31" customFormat="false" ht="42" hidden="false" customHeight="true" outlineLevel="0" collapsed="false">
      <c r="A31" s="12" t="s">
        <v>195</v>
      </c>
      <c r="B31" s="12" t="s">
        <v>3</v>
      </c>
      <c r="C31" s="12" t="s">
        <v>72</v>
      </c>
      <c r="D31" s="12" t="s">
        <v>67</v>
      </c>
      <c r="E31" s="16" t="s">
        <v>124</v>
      </c>
      <c r="F31" s="12" t="s">
        <v>33</v>
      </c>
      <c r="G31" s="12" t="s">
        <v>196</v>
      </c>
      <c r="H31" s="12" t="s">
        <v>70</v>
      </c>
      <c r="I31" s="16" t="s">
        <v>55</v>
      </c>
      <c r="J31" s="12" t="s">
        <v>131</v>
      </c>
    </row>
    <row r="32" customFormat="false" ht="42" hidden="false" customHeight="true" outlineLevel="0" collapsed="false">
      <c r="A32" s="12" t="s">
        <v>197</v>
      </c>
      <c r="B32" s="12" t="s">
        <v>3</v>
      </c>
      <c r="C32" s="12" t="s">
        <v>104</v>
      </c>
      <c r="D32" s="12" t="s">
        <v>102</v>
      </c>
      <c r="E32" s="16" t="s">
        <v>124</v>
      </c>
      <c r="F32" s="12" t="s">
        <v>33</v>
      </c>
      <c r="G32" s="12" t="s">
        <v>198</v>
      </c>
      <c r="H32" s="12" t="s">
        <v>70</v>
      </c>
      <c r="I32" s="16" t="s">
        <v>55</v>
      </c>
      <c r="J32" s="12" t="s">
        <v>131</v>
      </c>
    </row>
    <row r="33" customFormat="false" ht="42" hidden="false" customHeight="true" outlineLevel="0" collapsed="false">
      <c r="A33" s="12" t="s">
        <v>199</v>
      </c>
      <c r="B33" s="12" t="s">
        <v>3</v>
      </c>
      <c r="C33" s="12" t="s">
        <v>141</v>
      </c>
      <c r="D33" s="12" t="s">
        <v>64</v>
      </c>
      <c r="E33" s="16" t="s">
        <v>200</v>
      </c>
      <c r="F33" s="12" t="s">
        <v>201</v>
      </c>
      <c r="G33" s="12" t="s">
        <v>202</v>
      </c>
      <c r="H33" s="12" t="s">
        <v>203</v>
      </c>
      <c r="I33" s="16" t="s">
        <v>143</v>
      </c>
      <c r="J33" s="12" t="s">
        <v>204</v>
      </c>
    </row>
    <row r="34" customFormat="false" ht="42" hidden="false" customHeight="true" outlineLevel="0" collapsed="false">
      <c r="A34" s="12" t="s">
        <v>205</v>
      </c>
      <c r="B34" s="12" t="s">
        <v>3</v>
      </c>
      <c r="C34" s="12" t="s">
        <v>180</v>
      </c>
      <c r="D34" s="12" t="s">
        <v>94</v>
      </c>
      <c r="E34" s="16" t="s">
        <v>200</v>
      </c>
      <c r="F34" s="12" t="s">
        <v>201</v>
      </c>
      <c r="G34" s="12" t="s">
        <v>206</v>
      </c>
      <c r="H34" s="12" t="s">
        <v>207</v>
      </c>
      <c r="I34" s="16" t="s">
        <v>143</v>
      </c>
      <c r="J34" s="12" t="s">
        <v>208</v>
      </c>
    </row>
    <row r="35" customFormat="false" ht="42" hidden="false" customHeight="true" outlineLevel="0" collapsed="false">
      <c r="A35" s="12" t="s">
        <v>209</v>
      </c>
      <c r="B35" s="12" t="s">
        <v>3</v>
      </c>
      <c r="C35" s="12" t="s">
        <v>97</v>
      </c>
      <c r="D35" s="12" t="s">
        <v>94</v>
      </c>
      <c r="E35" s="16" t="s">
        <v>200</v>
      </c>
      <c r="F35" s="12" t="s">
        <v>201</v>
      </c>
      <c r="G35" s="12" t="s">
        <v>206</v>
      </c>
      <c r="H35" s="12" t="s">
        <v>210</v>
      </c>
      <c r="I35" s="16" t="s">
        <v>98</v>
      </c>
      <c r="J35" s="12" t="s">
        <v>208</v>
      </c>
    </row>
  </sheetData>
  <autoFilter ref="A4:J35"/>
  <mergeCells count="2">
    <mergeCell ref="A1:J1"/>
    <mergeCell ref="A2:J2"/>
  </mergeCells>
  <dataValidations count="2"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E5:E35" type="list">
      <formula1>"Normalization,Duplicate disposition,Constraint blocker,Source observation"</formula1>
      <formula2>0</formula2>
    </dataValidation>
    <dataValidation allowBlank="false" error="Select a permitted template value." errorStyle="stop" errorTitle="Controlled entry" operator="between" prompt="Select a controlled value." promptTitle="Cobblemoor approval template" showDropDown="false" showErrorMessage="false" showInputMessage="false" sqref="I5:I35" type="list">
      <formula1>"Corrected,Retained by judgement,Excluded,Rejected candidate,No change"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&amp;CCobblemoor Provisions | correction lineage |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7"/>
  </cols>
  <sheetData>
    <row r="1" customFormat="false" ht="24" hidden="false" customHeight="true" outlineLevel="0" collapsed="false">
      <c r="A1" s="1" t="s">
        <v>211</v>
      </c>
      <c r="B1" s="1"/>
      <c r="C1" s="1"/>
      <c r="D1" s="1"/>
      <c r="E1" s="1"/>
      <c r="F1" s="1"/>
      <c r="G1" s="1"/>
      <c r="H1" s="1"/>
    </row>
    <row r="4" customFormat="false" ht="27.75" hidden="false" customHeight="true" outlineLevel="0" collapsed="false">
      <c r="A4" s="20" t="s">
        <v>212</v>
      </c>
      <c r="B4" s="16" t="s">
        <v>3</v>
      </c>
      <c r="C4" s="16"/>
      <c r="D4" s="16"/>
      <c r="E4" s="16"/>
      <c r="F4" s="16"/>
      <c r="G4" s="16"/>
      <c r="H4" s="16"/>
    </row>
    <row r="5" customFormat="false" ht="27.75" hidden="false" customHeight="true" outlineLevel="0" collapsed="false">
      <c r="A5" s="20" t="s">
        <v>4</v>
      </c>
      <c r="B5" s="21" t="s">
        <v>213</v>
      </c>
      <c r="C5" s="21"/>
      <c r="D5" s="21"/>
      <c r="E5" s="21"/>
      <c r="F5" s="21"/>
      <c r="G5" s="21"/>
      <c r="H5" s="21"/>
    </row>
    <row r="6" customFormat="false" ht="27.75" hidden="false" customHeight="true" outlineLevel="0" collapsed="false">
      <c r="A6" s="20" t="s">
        <v>6</v>
      </c>
      <c r="B6" s="22" t="s">
        <v>7</v>
      </c>
      <c r="C6" s="22"/>
      <c r="D6" s="22"/>
      <c r="E6" s="22"/>
      <c r="F6" s="22"/>
      <c r="G6" s="22"/>
      <c r="H6" s="22"/>
    </row>
    <row r="7" customFormat="false" ht="42" hidden="false" customHeight="true" outlineLevel="0" collapsed="false">
      <c r="A7" s="20" t="s">
        <v>214</v>
      </c>
      <c r="B7" s="16" t="s">
        <v>215</v>
      </c>
      <c r="C7" s="16"/>
      <c r="D7" s="16"/>
      <c r="E7" s="16"/>
      <c r="F7" s="16"/>
      <c r="G7" s="16"/>
      <c r="H7" s="16"/>
    </row>
    <row r="8" customFormat="false" ht="42" hidden="false" customHeight="true" outlineLevel="0" collapsed="false">
      <c r="A8" s="20" t="s">
        <v>216</v>
      </c>
      <c r="B8" s="16" t="s">
        <v>217</v>
      </c>
      <c r="C8" s="16"/>
      <c r="D8" s="16"/>
      <c r="E8" s="16"/>
      <c r="F8" s="16"/>
      <c r="G8" s="16"/>
      <c r="H8" s="16"/>
    </row>
    <row r="9" customFormat="false" ht="42" hidden="false" customHeight="true" outlineLevel="0" collapsed="false">
      <c r="A9" s="20" t="s">
        <v>218</v>
      </c>
      <c r="B9" s="16" t="s">
        <v>219</v>
      </c>
      <c r="C9" s="16"/>
      <c r="D9" s="16"/>
      <c r="E9" s="16"/>
      <c r="F9" s="16"/>
      <c r="G9" s="16"/>
      <c r="H9" s="16"/>
    </row>
    <row r="10" customFormat="false" ht="42" hidden="false" customHeight="true" outlineLevel="0" collapsed="false">
      <c r="A10" s="20" t="s">
        <v>220</v>
      </c>
      <c r="B10" s="16" t="s">
        <v>221</v>
      </c>
      <c r="C10" s="16"/>
      <c r="D10" s="16"/>
      <c r="E10" s="16"/>
      <c r="F10" s="16"/>
      <c r="G10" s="16"/>
      <c r="H10" s="16"/>
    </row>
    <row r="11" customFormat="false" ht="42" hidden="false" customHeight="true" outlineLevel="0" collapsed="false">
      <c r="A11" s="20" t="s">
        <v>222</v>
      </c>
      <c r="B11" s="16" t="s">
        <v>223</v>
      </c>
      <c r="C11" s="16"/>
      <c r="D11" s="16"/>
      <c r="E11" s="16"/>
      <c r="F11" s="16"/>
      <c r="G11" s="16"/>
      <c r="H11" s="16"/>
    </row>
    <row r="12" customFormat="false" ht="42" hidden="false" customHeight="true" outlineLevel="0" collapsed="false">
      <c r="A12" s="20" t="s">
        <v>224</v>
      </c>
      <c r="B12" s="16" t="s">
        <v>225</v>
      </c>
      <c r="C12" s="16"/>
      <c r="D12" s="16"/>
      <c r="E12" s="16"/>
      <c r="F12" s="16"/>
      <c r="G12" s="16"/>
      <c r="H12" s="16"/>
    </row>
  </sheetData>
  <mergeCells count="10">
    <mergeCell ref="A1:H1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&amp;CCobblemoor Provisions | inspection findings | pending approval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2026-08-16T15:11:33Z</dcterms:created>
  <dc:creator>openpyxl</dc:creator>
  <dc:description/>
  <dc:language>en-US</dc:language>
  <cp:lastModifiedBy/>
  <dcterms:modified xsi:type="dcterms:W3CDTF">2026-08-16T15:11:33Z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