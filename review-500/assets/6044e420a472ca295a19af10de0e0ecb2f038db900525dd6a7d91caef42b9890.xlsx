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Build Sheet" sheetId="3" state="visible" r:id="rId3"/>
    <sheet xmlns:r="http://schemas.openxmlformats.org/officeDocument/2006/relationships" name="Weekly Check" sheetId="4" state="visible" r:id="rId4"/>
  </sheets>
  <definedNames>
    <definedName name="DietaryProfiles">'Reference Data'!$A$26:$A$28</definedName>
    <definedName name="Suppliers">'Reference Data'!$B$26:$B$28</definedName>
    <definedName name="PreparationStatuses">'Reference Data'!$C$26:$C$29</definedName>
    <definedName name="ApprovalStatuses">'Reference Data'!$D$26:$D$28</definedName>
    <definedName name="BookingStatuses">'Reference Data'!$E$26:$E$28</definedName>
    <definedName name="ItemCodes">'Reference Data'!$A$5:$A$14</definedName>
    <definedName name="_xlnm._FilterDatabase" localSheetId="2" hidden="1">'Build Sheet'!$A$20:$L$30</definedName>
    <definedName name="_xlnm.Print_Area" localSheetId="2">'Build Sheet'!$A$1:$L$36</definedName>
    <definedName name="_xlnm.Print_Area" localSheetId="3">'Weekly Check'!$A$1:$H$16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yyyy-mm-dd"/>
    <numFmt numFmtId="166" formatCode="dd mmm yyyy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17365D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1F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0" fillId="3" borderId="1" pivotButton="0" quotePrefix="0" xfId="0"/>
    <xf numFmtId="0" fontId="0" fillId="3" borderId="1" pivotButton="0" quotePrefix="0" xfId="0"/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3" borderId="1" applyAlignment="1" pivotButton="0" quotePrefix="0" xfId="0">
      <alignment wrapText="1"/>
    </xf>
    <xf numFmtId="9" fontId="0" fillId="4" borderId="1" applyAlignment="1" pivotButton="0" quotePrefix="0" xfId="0">
      <alignment vertical="center"/>
    </xf>
    <xf numFmtId="0" fontId="0" fillId="3" borderId="0" pivotButton="0" quotePrefix="0" xfId="0"/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talogueTable" displayName="CatalogueTable" ref="A4:P14" headerRowCount="1">
  <autoFilter ref="A4:P14"/>
  <tableColumns count="16">
    <tableColumn id="1" name="Item Code"/>
    <tableColumn id="2" name="Amenity Name"/>
    <tableColumn id="3" name="Category"/>
    <tableColumn id="4" name="Supplier"/>
    <tableColumn id="5" name="Pack Size"/>
    <tableColumn id="6" name="Unit Cost"/>
    <tableColumn id="7" name="Dietary Tags"/>
    <tableColumn id="8" name="Qty Unit"/>
    <tableColumn id="9" name="Lead Days"/>
    <tableColumn id="10" name="Notes"/>
    <tableColumn id="11" name="Std Suit"/>
    <tableColumn id="12" name="NF Suit"/>
    <tableColumn id="13" name="Halal Suit"/>
    <tableColumn id="14" name="Std Score"/>
    <tableColumn id="15" name="NF Score"/>
    <tableColumn id="16" name="Halal Scor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90" workbookViewId="0">
      <selection activeCell="A1" sqref="A1"/>
    </sheetView>
  </sheetViews>
  <sheetFormatPr baseColWidth="8" defaultRowHeight="15"/>
  <cols>
    <col width="20" customWidth="1" min="1" max="1"/>
    <col width="72" customWidth="1" min="2" max="2"/>
  </cols>
  <sheetData>
    <row r="1" ht="28" customHeight="1">
      <c r="A1" s="1" t="inlineStr">
        <is>
          <t>Aldwin House Residence Club | Welcome Amenity Build Sheet</t>
        </is>
      </c>
    </row>
    <row r="2"/>
    <row r="3" ht="32" customHeight="1">
      <c r="A3" s="2" t="inlineStr">
        <is>
          <t>Purpose</t>
        </is>
      </c>
      <c r="B3" s="3" t="inlineStr">
        <is>
          <t>Blank per-arrival instrument for Stonebridge Partners corporate arrivals; complete only when an arrival is being prepared.</t>
        </is>
      </c>
    </row>
    <row r="4" ht="32" customHeight="1">
      <c r="A4" s="2" t="inlineStr">
        <is>
          <t>How to use</t>
        </is>
      </c>
      <c r="B4" s="3" t="inlineStr">
        <is>
          <t>Enter blue cells on Build Sheet. Select controlled values from drop-downs, choose every item explicitly, and record quantities in units per set. Formula cells are shaded grey.</t>
        </is>
      </c>
    </row>
    <row r="5" ht="32" customHeight="1">
      <c r="A5" s="2" t="inlineStr">
        <is>
          <t>Alerts</t>
        </is>
      </c>
      <c r="B5" s="3" t="inlineStr">
        <is>
          <t>Green = feasible/acceptable. Amber = review (near best or threshold). Red = over allowance, late, dietary-incompatible, or exception; escalate before approval.</t>
        </is>
      </c>
    </row>
    <row r="6" ht="32" customHeight="1">
      <c r="A6" s="2" t="inlineStr">
        <is>
          <t>Allowance</t>
        </is>
      </c>
      <c r="B6" s="3" t="inlineStr">
        <is>
          <t>£35.00 per set. Variance is running cost less allowance (negative means room remains). Discounts apply only when the relevant weekly minimum is met.</t>
        </is>
      </c>
    </row>
    <row r="7" ht="32" customHeight="1">
      <c r="A7" s="2" t="inlineStr">
        <is>
          <t>Dietary alternatives</t>
        </is>
      </c>
      <c r="B7" s="3" t="inlineStr">
        <is>
          <t>Dietary alternatives are approved equivalent choices, not inferior gifts. Never silently replace a selected item; choose an approved equivalent and document the decision.</t>
        </is>
      </c>
    </row>
    <row r="8" ht="32" customHeight="1">
      <c r="A8" s="2" t="inlineStr">
        <is>
          <t>Blank convention</t>
        </is>
      </c>
      <c r="B8" s="3" t="inlineStr">
        <is>
          <t>Blank input cells are intentional until staff prepare an arrival. Blank inputs produce neutral calculated outputs and no implied approval.</t>
        </is>
      </c>
    </row>
    <row r="9" ht="32" customHeight="1">
      <c r="A9" s="2" t="inlineStr">
        <is>
          <t>Comparison</t>
        </is>
      </c>
      <c r="B9" s="3" t="inlineStr">
        <is>
          <t>Best achievable score uses the highest-scoring feasible catalogue candidate under allowance, dietary profile, lead-time window, and the applicable weekly discount threshold.</t>
        </is>
      </c>
    </row>
    <row r="10"/>
    <row r="11">
      <c r="A11" s="4" t="inlineStr">
        <is>
          <t>Legend</t>
        </is>
      </c>
      <c r="B11" s="5" t="inlineStr">
        <is>
          <t>Blue input</t>
        </is>
      </c>
      <c r="C11" s="6" t="inlineStr">
        <is>
          <t>Grey formula/reference</t>
        </is>
      </c>
      <c r="D11" s="7" t="inlineStr">
        <is>
          <t>Green acceptable</t>
        </is>
      </c>
      <c r="E11" s="8" t="inlineStr">
        <is>
          <t>Amber review</t>
        </is>
      </c>
      <c r="F11" s="9" t="inlineStr">
        <is>
          <t>Red exception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22" customWidth="1" min="4" max="4"/>
    <col width="12" customWidth="1" min="5" max="5"/>
    <col width="12" customWidth="1" min="6" max="6"/>
    <col width="28" customWidth="1" min="7" max="7"/>
    <col width="12" customWidth="1" min="8" max="8"/>
    <col width="11" customWidth="1" min="9" max="9"/>
    <col width="14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Reference Data | Catalogue, Terms, Lists &amp; Forecast</t>
        </is>
      </c>
    </row>
    <row r="2"/>
    <row r="3">
      <c r="A3" s="2" t="inlineStr">
        <is>
          <t>CATALOGUE</t>
        </is>
      </c>
    </row>
    <row r="4" ht="30" customHeight="1">
      <c r="A4" s="10" t="inlineStr">
        <is>
          <t>Item Code</t>
        </is>
      </c>
      <c r="B4" s="10" t="inlineStr">
        <is>
          <t>Amenity Name</t>
        </is>
      </c>
      <c r="C4" s="10" t="inlineStr">
        <is>
          <t>Category</t>
        </is>
      </c>
      <c r="D4" s="10" t="inlineStr">
        <is>
          <t>Supplier</t>
        </is>
      </c>
      <c r="E4" s="10" t="inlineStr">
        <is>
          <t>Pack Size</t>
        </is>
      </c>
      <c r="F4" s="10" t="inlineStr">
        <is>
          <t>Unit Cost</t>
        </is>
      </c>
      <c r="G4" s="10" t="inlineStr">
        <is>
          <t>Dietary Tags</t>
        </is>
      </c>
      <c r="H4" s="10" t="inlineStr">
        <is>
          <t>Qty Unit</t>
        </is>
      </c>
      <c r="I4" s="10" t="inlineStr">
        <is>
          <t>Lead Days</t>
        </is>
      </c>
      <c r="J4" s="10" t="inlineStr">
        <is>
          <t>Notes</t>
        </is>
      </c>
      <c r="K4" s="10" t="inlineStr">
        <is>
          <t>Std Suit</t>
        </is>
      </c>
      <c r="L4" s="10" t="inlineStr">
        <is>
          <t>NF Suit</t>
        </is>
      </c>
      <c r="M4" s="10" t="inlineStr">
        <is>
          <t>Halal Suit</t>
        </is>
      </c>
      <c r="N4" s="10" t="inlineStr">
        <is>
          <t>Std Score</t>
        </is>
      </c>
      <c r="O4" s="10" t="inlineStr">
        <is>
          <t>NF Score</t>
        </is>
      </c>
      <c r="P4" s="10" t="inlineStr">
        <is>
          <t>Halal Score</t>
        </is>
      </c>
    </row>
    <row r="5">
      <c r="A5" s="4" t="inlineStr">
        <is>
          <t>HP-TEA</t>
        </is>
      </c>
      <c r="B5" s="4" t="inlineStr">
        <is>
          <t>Breakfast Tea Selection</t>
        </is>
      </c>
      <c r="C5" s="4" t="inlineStr">
        <is>
          <t>Beverage</t>
        </is>
      </c>
      <c r="D5" s="4" t="inlineStr">
        <is>
          <t>Harbour Pantry</t>
        </is>
      </c>
      <c r="E5" s="4" t="n">
        <v>20</v>
      </c>
      <c r="F5" s="11" t="n">
        <v>12</v>
      </c>
      <c r="G5" s="4" t="inlineStr">
        <is>
          <t>Standard;Nut-free;Halal</t>
        </is>
      </c>
      <c r="H5" s="4" t="inlineStr">
        <is>
          <t>pack</t>
        </is>
      </c>
      <c r="I5" s="4" t="n">
        <v>2</v>
      </c>
      <c r="K5" s="4">
        <f>IF(ISNUMBER(SEARCH("Standard",G5)),"Y","N")</f>
        <v/>
      </c>
      <c r="L5" s="4">
        <f>IF(ISNUMBER(SEARCH("Nut-free",G5)),"Y","N")</f>
        <v/>
      </c>
      <c r="M5" s="4">
        <f>IF(ISNUMBER(SEARCH("Halal",G5)),"Y","N")</f>
        <v/>
      </c>
      <c r="N5" s="12">
        <f>IF(K5="Y",MAX(0,1-ABS($B$29-F5)/$B$29),0)</f>
        <v/>
      </c>
      <c r="O5" s="12">
        <f>IF(L5="Y",MAX(0,1-ABS($B$29-F5)/$B$29),0)</f>
        <v/>
      </c>
      <c r="P5" s="12">
        <f>IF(M5="Y",MAX(0,1-ABS($B$29-F5)/$B$29),0)</f>
        <v/>
      </c>
    </row>
    <row r="6">
      <c r="A6" s="4" t="inlineStr">
        <is>
          <t>HP-BIS</t>
        </is>
      </c>
      <c r="B6" s="4" t="inlineStr">
        <is>
          <t>Oat &amp; Cocoa Biscuit</t>
        </is>
      </c>
      <c r="C6" s="4" t="inlineStr">
        <is>
          <t>Sweet Bite</t>
        </is>
      </c>
      <c r="D6" s="4" t="inlineStr">
        <is>
          <t>Harbour Pantry</t>
        </is>
      </c>
      <c r="E6" s="4" t="n">
        <v>12</v>
      </c>
      <c r="F6" s="11" t="n">
        <v>18</v>
      </c>
      <c r="G6" s="4" t="inlineStr">
        <is>
          <t>Standard;Nut-free</t>
        </is>
      </c>
      <c r="H6" s="4" t="inlineStr">
        <is>
          <t>pack</t>
        </is>
      </c>
      <c r="I6" s="4" t="n">
        <v>2</v>
      </c>
      <c r="K6" s="4">
        <f>IF(ISNUMBER(SEARCH("Standard",G6)),"Y","N")</f>
        <v/>
      </c>
      <c r="L6" s="4">
        <f>IF(ISNUMBER(SEARCH("Nut-free",G6)),"Y","N")</f>
        <v/>
      </c>
      <c r="M6" s="4">
        <f>IF(ISNUMBER(SEARCH("Halal",G6)),"Y","N")</f>
        <v/>
      </c>
      <c r="N6" s="12">
        <f>IF(K6="Y",MAX(0,1-ABS($B$29-F6)/$B$29),0)</f>
        <v/>
      </c>
      <c r="O6" s="12">
        <f>IF(L6="Y",MAX(0,1-ABS($B$29-F6)/$B$29),0)</f>
        <v/>
      </c>
      <c r="P6" s="12">
        <f>IF(M6="Y",MAX(0,1-ABS($B$29-F6)/$B$29),0)</f>
        <v/>
      </c>
    </row>
    <row r="7">
      <c r="A7" s="4" t="inlineStr">
        <is>
          <t>NQP-MAC</t>
        </is>
      </c>
      <c r="B7" s="4" t="inlineStr">
        <is>
          <t>Hand-finished Macaron Box</t>
        </is>
      </c>
      <c r="C7" s="4" t="inlineStr">
        <is>
          <t>Patisserie</t>
        </is>
      </c>
      <c r="D7" s="4" t="inlineStr">
        <is>
          <t>North Quay Patisserie</t>
        </is>
      </c>
      <c r="E7" s="4" t="n">
        <v>6</v>
      </c>
      <c r="F7" s="11" t="n">
        <v>24</v>
      </c>
      <c r="G7" s="4" t="inlineStr">
        <is>
          <t>Standard</t>
        </is>
      </c>
      <c r="H7" s="4" t="inlineStr">
        <is>
          <t>pack</t>
        </is>
      </c>
      <c r="I7" s="4" t="n">
        <v>5</v>
      </c>
      <c r="K7" s="4">
        <f>IF(ISNUMBER(SEARCH("Standard",G7)),"Y","N")</f>
        <v/>
      </c>
      <c r="L7" s="4">
        <f>IF(ISNUMBER(SEARCH("Nut-free",G7)),"Y","N")</f>
        <v/>
      </c>
      <c r="M7" s="4">
        <f>IF(ISNUMBER(SEARCH("Halal",G7)),"Y","N")</f>
        <v/>
      </c>
      <c r="N7" s="12">
        <f>IF(K7="Y",MAX(0,1-ABS($B$29-F7)/$B$29),0)</f>
        <v/>
      </c>
      <c r="O7" s="12">
        <f>IF(L7="Y",MAX(0,1-ABS($B$29-F7)/$B$29),0)</f>
        <v/>
      </c>
      <c r="P7" s="12">
        <f>IF(M7="Y",MAX(0,1-ABS($B$29-F7)/$B$29),0)</f>
        <v/>
      </c>
    </row>
    <row r="8">
      <c r="A8" s="4" t="inlineStr">
        <is>
          <t>NQP-FRI</t>
        </is>
      </c>
      <c r="B8" s="4" t="inlineStr">
        <is>
          <t>Fruit Financier Box</t>
        </is>
      </c>
      <c r="C8" s="4" t="inlineStr">
        <is>
          <t>Patisserie</t>
        </is>
      </c>
      <c r="D8" s="4" t="inlineStr">
        <is>
          <t>North Quay Patisserie</t>
        </is>
      </c>
      <c r="E8" s="4" t="n">
        <v>6</v>
      </c>
      <c r="F8" s="11" t="n">
        <v>22</v>
      </c>
      <c r="G8" s="4" t="inlineStr">
        <is>
          <t>Standard;Nut-free</t>
        </is>
      </c>
      <c r="H8" s="4" t="inlineStr">
        <is>
          <t>pack</t>
        </is>
      </c>
      <c r="I8" s="4" t="n">
        <v>5</v>
      </c>
      <c r="K8" s="4">
        <f>IF(ISNUMBER(SEARCH("Standard",G8)),"Y","N")</f>
        <v/>
      </c>
      <c r="L8" s="4">
        <f>IF(ISNUMBER(SEARCH("Nut-free",G8)),"Y","N")</f>
        <v/>
      </c>
      <c r="M8" s="4">
        <f>IF(ISNUMBER(SEARCH("Halal",G8)),"Y","N")</f>
        <v/>
      </c>
      <c r="N8" s="12">
        <f>IF(K8="Y",MAX(0,1-ABS($B$29-F8)/$B$29),0)</f>
        <v/>
      </c>
      <c r="O8" s="12">
        <f>IF(L8="Y",MAX(0,1-ABS($B$29-F8)/$B$29),0)</f>
        <v/>
      </c>
      <c r="P8" s="12">
        <f>IF(M8="Y",MAX(0,1-ABS($B$29-F8)/$B$29),0)</f>
        <v/>
      </c>
    </row>
    <row r="9">
      <c r="A9" s="4" t="inlineStr">
        <is>
          <t>HS-FRT</t>
        </is>
      </c>
      <c r="B9" s="4" t="inlineStr">
        <is>
          <t>Seasonal Fruit Pair</t>
        </is>
      </c>
      <c r="C9" s="4" t="inlineStr">
        <is>
          <t>Fresh</t>
        </is>
      </c>
      <c r="D9" s="4" t="inlineStr">
        <is>
          <t>House Stock</t>
        </is>
      </c>
      <c r="E9" s="4" t="n">
        <v>1</v>
      </c>
      <c r="F9" s="11" t="n">
        <v>3</v>
      </c>
      <c r="G9" s="4" t="inlineStr">
        <is>
          <t>Standard;Nut-free;Halal</t>
        </is>
      </c>
      <c r="H9" s="4" t="inlineStr">
        <is>
          <t>each</t>
        </is>
      </c>
      <c r="I9" s="4" t="n">
        <v>1</v>
      </c>
      <c r="K9" s="4">
        <f>IF(ISNUMBER(SEARCH("Standard",G9)),"Y","N")</f>
        <v/>
      </c>
      <c r="L9" s="4">
        <f>IF(ISNUMBER(SEARCH("Nut-free",G9)),"Y","N")</f>
        <v/>
      </c>
      <c r="M9" s="4">
        <f>IF(ISNUMBER(SEARCH("Halal",G9)),"Y","N")</f>
        <v/>
      </c>
      <c r="N9" s="12">
        <f>IF(K9="Y",MAX(0,1-ABS($B$29-F9)/$B$29),0)</f>
        <v/>
      </c>
      <c r="O9" s="12">
        <f>IF(L9="Y",MAX(0,1-ABS($B$29-F9)/$B$29),0)</f>
        <v/>
      </c>
      <c r="P9" s="12">
        <f>IF(M9="Y",MAX(0,1-ABS($B$29-F9)/$B$29),0)</f>
        <v/>
      </c>
    </row>
    <row r="10">
      <c r="A10" s="4" t="inlineStr">
        <is>
          <t>HS-DAT</t>
        </is>
      </c>
      <c r="B10" s="4" t="inlineStr">
        <is>
          <t>Medjool Date Pair</t>
        </is>
      </c>
      <c r="C10" s="4" t="inlineStr">
        <is>
          <t>Fresh</t>
        </is>
      </c>
      <c r="D10" s="4" t="inlineStr">
        <is>
          <t>House Stock</t>
        </is>
      </c>
      <c r="E10" s="4" t="n">
        <v>1</v>
      </c>
      <c r="F10" s="11" t="n">
        <v>4.5</v>
      </c>
      <c r="G10" s="4" t="inlineStr">
        <is>
          <t>Standard;Nut-free;Halal</t>
        </is>
      </c>
      <c r="H10" s="4" t="inlineStr">
        <is>
          <t>each</t>
        </is>
      </c>
      <c r="I10" s="4" t="n">
        <v>1</v>
      </c>
      <c r="K10" s="4">
        <f>IF(ISNUMBER(SEARCH("Standard",G10)),"Y","N")</f>
        <v/>
      </c>
      <c r="L10" s="4">
        <f>IF(ISNUMBER(SEARCH("Nut-free",G10)),"Y","N")</f>
        <v/>
      </c>
      <c r="M10" s="4">
        <f>IF(ISNUMBER(SEARCH("Halal",G10)),"Y","N")</f>
        <v/>
      </c>
      <c r="N10" s="12">
        <f>IF(K10="Y",MAX(0,1-ABS($B$29-F10)/$B$29),0)</f>
        <v/>
      </c>
      <c r="O10" s="12">
        <f>IF(L10="Y",MAX(0,1-ABS($B$29-F10)/$B$29),0)</f>
        <v/>
      </c>
      <c r="P10" s="12">
        <f>IF(M10="Y",MAX(0,1-ABS($B$29-F10)/$B$29),0)</f>
        <v/>
      </c>
    </row>
    <row r="11">
      <c r="A11" s="4" t="inlineStr">
        <is>
          <t>HP-HAL</t>
        </is>
      </c>
      <c r="B11" s="4" t="inlineStr">
        <is>
          <t>Date &amp; Sesame Treat</t>
        </is>
      </c>
      <c r="C11" s="4" t="inlineStr">
        <is>
          <t>Sweet Bite</t>
        </is>
      </c>
      <c r="D11" s="4" t="inlineStr">
        <is>
          <t>Harbour Pantry</t>
        </is>
      </c>
      <c r="E11" s="4" t="n">
        <v>10</v>
      </c>
      <c r="F11" s="11" t="n">
        <v>15</v>
      </c>
      <c r="G11" s="4" t="inlineStr">
        <is>
          <t>Nut-free;Halal</t>
        </is>
      </c>
      <c r="H11" s="4" t="inlineStr">
        <is>
          <t>pack</t>
        </is>
      </c>
      <c r="I11" s="4" t="n">
        <v>2</v>
      </c>
      <c r="K11" s="4">
        <f>IF(ISNUMBER(SEARCH("Standard",G11)),"Y","N")</f>
        <v/>
      </c>
      <c r="L11" s="4">
        <f>IF(ISNUMBER(SEARCH("Nut-free",G11)),"Y","N")</f>
        <v/>
      </c>
      <c r="M11" s="4">
        <f>IF(ISNUMBER(SEARCH("Halal",G11)),"Y","N")</f>
        <v/>
      </c>
      <c r="N11" s="12">
        <f>IF(K11="Y",MAX(0,1-ABS($B$29-F11)/$B$29),0)</f>
        <v/>
      </c>
      <c r="O11" s="12">
        <f>IF(L11="Y",MAX(0,1-ABS($B$29-F11)/$B$29),0)</f>
        <v/>
      </c>
      <c r="P11" s="12">
        <f>IF(M11="Y",MAX(0,1-ABS($B$29-F11)/$B$29),0)</f>
        <v/>
      </c>
    </row>
    <row r="12">
      <c r="A12" s="4" t="inlineStr">
        <is>
          <t>NQP-VEG</t>
        </is>
      </c>
      <c r="B12" s="4" t="inlineStr">
        <is>
          <t>Coconut Shortbread Box</t>
        </is>
      </c>
      <c r="C12" s="4" t="inlineStr">
        <is>
          <t>Patisserie</t>
        </is>
      </c>
      <c r="D12" s="4" t="inlineStr">
        <is>
          <t>North Quay Patisserie</t>
        </is>
      </c>
      <c r="E12" s="4" t="n">
        <v>6</v>
      </c>
      <c r="F12" s="11" t="n">
        <v>20</v>
      </c>
      <c r="G12" s="4" t="inlineStr">
        <is>
          <t>Nut-free;Halal</t>
        </is>
      </c>
      <c r="H12" s="4" t="inlineStr">
        <is>
          <t>pack</t>
        </is>
      </c>
      <c r="I12" s="4" t="n">
        <v>5</v>
      </c>
      <c r="K12" s="4">
        <f>IF(ISNUMBER(SEARCH("Standard",G12)),"Y","N")</f>
        <v/>
      </c>
      <c r="L12" s="4">
        <f>IF(ISNUMBER(SEARCH("Nut-free",G12)),"Y","N")</f>
        <v/>
      </c>
      <c r="M12" s="4">
        <f>IF(ISNUMBER(SEARCH("Halal",G12)),"Y","N")</f>
        <v/>
      </c>
      <c r="N12" s="12">
        <f>IF(K12="Y",MAX(0,1-ABS($B$29-F12)/$B$29),0)</f>
        <v/>
      </c>
      <c r="O12" s="12">
        <f>IF(L12="Y",MAX(0,1-ABS($B$29-F12)/$B$29),0)</f>
        <v/>
      </c>
      <c r="P12" s="12">
        <f>IF(M12="Y",MAX(0,1-ABS($B$29-F12)/$B$29),0)</f>
        <v/>
      </c>
    </row>
    <row r="13">
      <c r="A13" s="4" t="inlineStr">
        <is>
          <t>HP-CB</t>
        </is>
      </c>
      <c r="B13" s="4" t="inlineStr">
        <is>
          <t>Chocolate Biscuit Selection</t>
        </is>
      </c>
      <c r="C13" s="4" t="inlineStr">
        <is>
          <t>Sweet Bite</t>
        </is>
      </c>
      <c r="D13" s="4" t="inlineStr">
        <is>
          <t>Harbour Pantry</t>
        </is>
      </c>
      <c r="E13" s="4" t="n">
        <v>12</v>
      </c>
      <c r="F13" s="11" t="n">
        <v>17</v>
      </c>
      <c r="G13" s="4" t="inlineStr">
        <is>
          <t>Standard</t>
        </is>
      </c>
      <c r="H13" s="4" t="inlineStr">
        <is>
          <t>pack</t>
        </is>
      </c>
      <c r="I13" s="4" t="n">
        <v>2</v>
      </c>
      <c r="K13" s="4">
        <f>IF(ISNUMBER(SEARCH("Standard",G13)),"Y","N")</f>
        <v/>
      </c>
      <c r="L13" s="4">
        <f>IF(ISNUMBER(SEARCH("Nut-free",G13)),"Y","N")</f>
        <v/>
      </c>
      <c r="M13" s="4">
        <f>IF(ISNUMBER(SEARCH("Halal",G13)),"Y","N")</f>
        <v/>
      </c>
      <c r="N13" s="12">
        <f>IF(K13="Y",MAX(0,1-ABS($B$29-F13)/$B$29),0)</f>
        <v/>
      </c>
      <c r="O13" s="12">
        <f>IF(L13="Y",MAX(0,1-ABS($B$29-F13)/$B$29),0)</f>
        <v/>
      </c>
      <c r="P13" s="12">
        <f>IF(M13="Y",MAX(0,1-ABS($B$29-F13)/$B$29),0)</f>
        <v/>
      </c>
    </row>
    <row r="14">
      <c r="A14" s="4" t="inlineStr">
        <is>
          <t>HS-CB</t>
        </is>
      </c>
      <c r="B14" s="4" t="inlineStr">
        <is>
          <t>Chocolate Biscuit Selection</t>
        </is>
      </c>
      <c r="C14" s="4" t="inlineStr">
        <is>
          <t>Sweet Bite</t>
        </is>
      </c>
      <c r="D14" s="4" t="inlineStr">
        <is>
          <t>House Stock</t>
        </is>
      </c>
      <c r="E14" s="4" t="n">
        <v>6</v>
      </c>
      <c r="F14" s="11" t="n">
        <v>9</v>
      </c>
      <c r="G14" s="4" t="inlineStr">
        <is>
          <t>Standard</t>
        </is>
      </c>
      <c r="H14" s="4" t="inlineStr">
        <is>
          <t>pack</t>
        </is>
      </c>
      <c r="I14" s="4" t="n">
        <v>1</v>
      </c>
      <c r="K14" s="4">
        <f>IF(ISNUMBER(SEARCH("Standard",G14)),"Y","N")</f>
        <v/>
      </c>
      <c r="L14" s="4">
        <f>IF(ISNUMBER(SEARCH("Nut-free",G14)),"Y","N")</f>
        <v/>
      </c>
      <c r="M14" s="4">
        <f>IF(ISNUMBER(SEARCH("Halal",G14)),"Y","N")</f>
        <v/>
      </c>
      <c r="N14" s="12">
        <f>IF(K14="Y",MAX(0,1-ABS($B$29-F14)/$B$29),0)</f>
        <v/>
      </c>
      <c r="O14" s="12">
        <f>IF(L14="Y",MAX(0,1-ABS($B$29-F14)/$B$29),0)</f>
        <v/>
      </c>
      <c r="P14" s="12">
        <f>IF(M14="Y",MAX(0,1-ABS($B$29-F14)/$B$29),0)</f>
        <v/>
      </c>
    </row>
    <row r="15"/>
    <row r="16"/>
    <row r="17">
      <c r="A17" s="2" t="inlineStr">
        <is>
          <t>SUPPLIER TERMS</t>
        </is>
      </c>
    </row>
    <row r="18" ht="30" customHeight="1">
      <c r="A18" s="10" t="inlineStr">
        <is>
          <t>Supplier</t>
        </is>
      </c>
      <c r="B18" s="10" t="inlineStr">
        <is>
          <t>Weekly Minimum Sets</t>
        </is>
      </c>
      <c r="C18" s="10" t="inlineStr">
        <is>
          <t>Discount Threshold Sets</t>
        </is>
      </c>
      <c r="D18" s="10" t="inlineStr">
        <is>
          <t>Discount Rate</t>
        </is>
      </c>
      <c r="E18" s="10" t="inlineStr">
        <is>
          <t>Lead Days</t>
        </is>
      </c>
    </row>
    <row r="19">
      <c r="A19" s="4" t="inlineStr">
        <is>
          <t>Harbour Pantry</t>
        </is>
      </c>
      <c r="B19" s="4" t="n">
        <v>20</v>
      </c>
      <c r="C19" s="4" t="n">
        <v>20</v>
      </c>
      <c r="D19" s="13" t="n">
        <v>0.1</v>
      </c>
      <c r="E19" s="4" t="n">
        <v>2</v>
      </c>
    </row>
    <row r="20">
      <c r="A20" s="4" t="inlineStr">
        <is>
          <t>North Quay Patisserie</t>
        </is>
      </c>
      <c r="B20" s="4" t="n">
        <v>8</v>
      </c>
      <c r="C20" s="4" t="n">
        <v>8</v>
      </c>
      <c r="D20" s="13" t="n">
        <v>0.05</v>
      </c>
      <c r="E20" s="4" t="n">
        <v>5</v>
      </c>
    </row>
    <row r="21">
      <c r="A21" s="4" t="inlineStr">
        <is>
          <t>House Stock</t>
        </is>
      </c>
      <c r="B21" s="4" t="n">
        <v>0</v>
      </c>
      <c r="C21" s="4" t="n">
        <v>0</v>
      </c>
      <c r="D21" s="13" t="n">
        <v>0</v>
      </c>
      <c r="E21" s="4" t="n">
        <v>1</v>
      </c>
    </row>
    <row r="22"/>
    <row r="23"/>
    <row r="24">
      <c r="A24" s="2" t="inlineStr">
        <is>
          <t>CONTROLLED LISTS</t>
        </is>
      </c>
    </row>
    <row r="25">
      <c r="A25" s="14" t="inlineStr">
        <is>
          <t>Dietary Profiles</t>
        </is>
      </c>
      <c r="B25" s="14" t="inlineStr">
        <is>
          <t>Suppliers</t>
        </is>
      </c>
      <c r="C25" s="14" t="inlineStr">
        <is>
          <t>Preparation Status</t>
        </is>
      </c>
      <c r="D25" s="14" t="inlineStr">
        <is>
          <t>Approval Status</t>
        </is>
      </c>
      <c r="E25" s="14" t="inlineStr">
        <is>
          <t>Booking Status</t>
        </is>
      </c>
    </row>
    <row r="26">
      <c r="A26" s="4" t="inlineStr">
        <is>
          <t>Standard</t>
        </is>
      </c>
      <c r="B26" s="4" t="inlineStr">
        <is>
          <t>Harbour Pantry</t>
        </is>
      </c>
      <c r="C26" s="4" t="inlineStr">
        <is>
          <t>Not started</t>
        </is>
      </c>
      <c r="D26" s="4" t="inlineStr">
        <is>
          <t>Pending</t>
        </is>
      </c>
      <c r="E26" s="4" t="inlineStr">
        <is>
          <t>Confirmed</t>
        </is>
      </c>
    </row>
    <row r="27">
      <c r="A27" s="4" t="inlineStr">
        <is>
          <t>Nut-free</t>
        </is>
      </c>
      <c r="B27" s="4" t="inlineStr">
        <is>
          <t>North Quay Patisserie</t>
        </is>
      </c>
      <c r="C27" s="4" t="inlineStr">
        <is>
          <t>In preparation</t>
        </is>
      </c>
      <c r="D27" s="4" t="inlineStr">
        <is>
          <t>Reviewed</t>
        </is>
      </c>
      <c r="E27" s="4" t="inlineStr">
        <is>
          <t>Pending</t>
        </is>
      </c>
    </row>
    <row r="28">
      <c r="A28" s="4" t="inlineStr">
        <is>
          <t>Halal</t>
        </is>
      </c>
      <c r="B28" s="4" t="inlineStr">
        <is>
          <t>House Stock</t>
        </is>
      </c>
      <c r="C28" s="4" t="inlineStr">
        <is>
          <t>Ready</t>
        </is>
      </c>
      <c r="D28" s="4" t="inlineStr">
        <is>
          <t>Approved</t>
        </is>
      </c>
      <c r="E28" s="4" t="inlineStr">
        <is>
          <t>Cancelled</t>
        </is>
      </c>
    </row>
    <row r="29">
      <c r="A29" s="4" t="inlineStr">
        <is>
          <t>Allowance used by catalogue score</t>
        </is>
      </c>
      <c r="B29" s="11" t="n">
        <v>35</v>
      </c>
      <c r="C29" s="4" t="inlineStr">
        <is>
          <t>Exception</t>
        </is>
      </c>
    </row>
    <row r="30"/>
    <row r="31"/>
    <row r="32"/>
    <row r="33">
      <c r="A33" s="2" t="inlineStr">
        <is>
          <t>FORECAST CONTEXT</t>
        </is>
      </c>
    </row>
    <row r="34" ht="30" customHeight="1">
      <c r="A34" s="10" t="inlineStr">
        <is>
          <t>Arrival Date</t>
        </is>
      </c>
      <c r="B34" s="10" t="inlineStr">
        <is>
          <t>Corporate Account</t>
        </is>
      </c>
      <c r="C34" s="10" t="inlineStr">
        <is>
          <t>Sets</t>
        </is>
      </c>
      <c r="D34" s="10" t="inlineStr">
        <is>
          <t>Dietary Profile</t>
        </is>
      </c>
      <c r="E34" s="10" t="inlineStr">
        <is>
          <t>Booking Status</t>
        </is>
      </c>
    </row>
    <row r="35">
      <c r="A35" s="15" t="n">
        <v>46297</v>
      </c>
      <c r="B35" s="4" t="inlineStr">
        <is>
          <t>Stonebridge Partners</t>
        </is>
      </c>
      <c r="C35" s="4" t="n">
        <v>6</v>
      </c>
      <c r="D35" s="4" t="inlineStr">
        <is>
          <t>Standard</t>
        </is>
      </c>
      <c r="E35" s="4" t="inlineStr">
        <is>
          <t>Confirmed</t>
        </is>
      </c>
    </row>
    <row r="36">
      <c r="A36" s="15" t="n">
        <v>46303</v>
      </c>
      <c r="B36" s="4" t="inlineStr">
        <is>
          <t>Stonebridge Partners</t>
        </is>
      </c>
      <c r="C36" s="4" t="n">
        <v>4</v>
      </c>
      <c r="D36" s="4" t="inlineStr">
        <is>
          <t>Nut-free</t>
        </is>
      </c>
      <c r="E36" s="4" t="inlineStr">
        <is>
          <t>Confirmed</t>
        </is>
      </c>
    </row>
    <row r="37">
      <c r="A37" s="15" t="n">
        <v>46310</v>
      </c>
      <c r="B37" s="4" t="inlineStr">
        <is>
          <t>Stonebridge Partners</t>
        </is>
      </c>
      <c r="C37" s="4" t="n">
        <v>12</v>
      </c>
      <c r="D37" s="4" t="inlineStr">
        <is>
          <t>Halal</t>
        </is>
      </c>
      <c r="E37" s="4" t="inlineStr">
        <is>
          <t>Pending</t>
        </is>
      </c>
    </row>
    <row r="38">
      <c r="A38" s="15" t="n">
        <v>46317</v>
      </c>
      <c r="B38" s="4" t="inlineStr">
        <is>
          <t>Stonebridge Partners</t>
        </is>
      </c>
      <c r="C38" s="4" t="n">
        <v>3</v>
      </c>
      <c r="D38" s="4" t="inlineStr">
        <is>
          <t>Standard</t>
        </is>
      </c>
      <c r="E38" s="4" t="inlineStr">
        <is>
          <t>Confirmed</t>
        </is>
      </c>
    </row>
    <row r="39"/>
    <row r="40"/>
    <row r="41">
      <c r="A41" s="4" t="inlineStr">
        <is>
          <t>Allowance per set</t>
        </is>
      </c>
      <c r="B41" s="11" t="n">
        <v>35</v>
      </c>
    </row>
    <row r="42">
      <c r="A42" s="4" t="inlineStr">
        <is>
          <t>Comparison objective</t>
        </is>
      </c>
      <c r="B42" s="4" t="inlineStr">
        <is>
          <t>Highest-scoring feasible candidate; no silent substitutions</t>
        </is>
      </c>
    </row>
    <row r="43">
      <c r="A43" s="4" t="inlineStr">
        <is>
          <t>Same-week patisserie rule</t>
        </is>
      </c>
      <c r="B43" s="4" t="inlineStr">
        <is>
          <t>Fewer than 5 days before arrival is not feasible</t>
        </is>
      </c>
    </row>
    <row r="44">
      <c r="A44" s="4" t="inlineStr">
        <is>
          <t>Prepared context</t>
        </is>
      </c>
      <c r="B44" s="4" t="inlineStr">
        <is>
          <t>Forecast is context only; never copy it into Build Sheet entry cells.</t>
        </is>
      </c>
    </row>
  </sheetData>
  <mergeCells count="1"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zoomScale="9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5" customWidth="1" min="3" max="3"/>
    <col width="11" customWidth="1" min="4" max="4"/>
    <col width="20" customWidth="1" min="5" max="5"/>
    <col width="10" customWidth="1" min="6" max="6"/>
    <col width="12" customWidth="1" min="7" max="7"/>
    <col width="19" customWidth="1" min="8" max="8"/>
    <col width="11" customWidth="1" min="9" max="9"/>
    <col width="14" customWidth="1" min="10" max="10"/>
    <col width="10" customWidth="1" min="11" max="11"/>
    <col width="18" customWidth="1" min="12" max="12"/>
  </cols>
  <sheetData>
    <row r="1" ht="28" customHeight="1">
      <c r="A1" s="1" t="inlineStr">
        <is>
          <t>Build Sheet | One Arrival / One Approval Trail</t>
        </is>
      </c>
    </row>
    <row r="2"/>
    <row r="3">
      <c r="A3" s="2" t="inlineStr">
        <is>
          <t>ARRIVAL CONTEXT</t>
        </is>
      </c>
    </row>
    <row r="4"/>
    <row r="5">
      <c r="A5" s="2" t="inlineStr">
        <is>
          <t>Arrival date</t>
        </is>
      </c>
      <c r="B5" s="16" t="n"/>
      <c r="D5" s="2" t="inlineStr">
        <is>
          <t>Calculated controls</t>
        </is>
      </c>
    </row>
    <row r="6">
      <c r="A6" s="2" t="inlineStr">
        <is>
          <t>Corporate account</t>
        </is>
      </c>
      <c r="B6" s="17" t="n"/>
      <c r="D6" s="2" t="inlineStr">
        <is>
          <t>Allowance (£)</t>
        </is>
      </c>
      <c r="E6" s="18">
        <f>'Reference Data'!$B$41</f>
        <v/>
      </c>
    </row>
    <row r="7">
      <c r="A7" s="2" t="inlineStr">
        <is>
          <t>Number of sets</t>
        </is>
      </c>
      <c r="B7" s="17" t="n"/>
      <c r="D7" s="2" t="inlineStr">
        <is>
          <t>Running total (£)</t>
        </is>
      </c>
      <c r="E7" s="18">
        <f>IF(OR($B$7="",COUNTIF($B$21:$B$30,"&lt;&gt;")=0),"",SUM($J$21:$J$30))</f>
        <v/>
      </c>
    </row>
    <row r="8">
      <c r="A8" s="2" t="inlineStr">
        <is>
          <t>Dietary profile</t>
        </is>
      </c>
      <c r="B8" s="17" t="n"/>
      <c r="D8" s="2" t="inlineStr">
        <is>
          <t>Allowance variance (£)</t>
        </is>
      </c>
      <c r="E8" s="18">
        <f>IF(OR($B$7="",$E$7=""),"",$E$7-$E$6*$B$7)</f>
        <v/>
      </c>
    </row>
    <row r="9">
      <c r="A9" s="2" t="inlineStr">
        <is>
          <t>Supplier / pack choice</t>
        </is>
      </c>
      <c r="B9" s="17" t="n"/>
      <c r="D9" s="2" t="inlineStr">
        <is>
          <t>Weekly sets incl. arrival</t>
        </is>
      </c>
      <c r="E9" s="19">
        <f>IF(OR($B$5="",$B$7=""),"",'Weekly Check'!$B$10)</f>
        <v/>
      </c>
    </row>
    <row r="10">
      <c r="A10" s="2" t="inlineStr">
        <is>
          <t>Preparation status</t>
        </is>
      </c>
      <c r="B10" s="17" t="n"/>
      <c r="D10" s="2" t="inlineStr">
        <is>
          <t>Discount eligibility</t>
        </is>
      </c>
      <c r="E10" s="19">
        <f>IF(OR($E$9="",$B$9=""),"",IF($E$9&gt;=MAXIFS('Reference Data'!$B$19:$B$21,'Reference Data'!$A$19:$A$21,$B$9),"Eligible","Below minimum"))</f>
        <v/>
      </c>
    </row>
    <row r="11">
      <c r="A11" s="2" t="inlineStr">
        <is>
          <t>Approval status</t>
        </is>
      </c>
      <c r="B11" s="17" t="n"/>
      <c r="D11" s="2" t="inlineStr">
        <is>
          <t>Lead-time status</t>
        </is>
      </c>
      <c r="E11" s="19">
        <f>IF(OR($B$5="",$B$9=""),"",IF($B$5-TODAY()&lt;MAXIFS('Reference Data'!$E$19:$E$21,'Reference Data'!$A$19:$A$21,$B$9),"LATE / lead time", "On time"))</f>
        <v/>
      </c>
    </row>
    <row r="12" ht="30" customHeight="1">
      <c r="A12" s="2" t="inlineStr">
        <is>
          <t>Staff notes</t>
        </is>
      </c>
      <c r="B12" s="20" t="n"/>
      <c r="D12" s="2" t="inlineStr">
        <is>
          <t>Dietary status</t>
        </is>
      </c>
      <c r="E12" s="19">
        <f>IF(OR($B$8="",COUNTIF($H$21:$H$30,"Dietary exception")&gt;0),IF($B$8="","", "Dietary exception"),"Suitable")</f>
        <v/>
      </c>
    </row>
    <row r="13">
      <c r="D13" s="2" t="inlineStr">
        <is>
          <t>Feasibility</t>
        </is>
      </c>
      <c r="E13" s="19">
        <f>IF($B$7="","",IF(OR($E$8&gt;0,$E$11="LATE / lead time",$E$12="Dietary exception",$B$10="Exception"),"Exception","Feasible"))</f>
        <v/>
      </c>
    </row>
    <row r="14">
      <c r="D14" s="2" t="inlineStr">
        <is>
          <t>Proposed score</t>
        </is>
      </c>
      <c r="E14" s="21">
        <f>IF(OR($B$7="",$E$7=""),"",MIN($E$7/($E$6*$B$7),1))</f>
        <v/>
      </c>
    </row>
    <row r="15">
      <c r="D15" s="2" t="inlineStr">
        <is>
          <t>Best achievable score</t>
        </is>
      </c>
      <c r="E15" s="21">
        <f>IF(OR($B$8="",$B$5=""),"",IF($B$8="Standard",MAXIFS('Reference Data'!$N$5:$N$14,'Reference Data'!$K$5:$K$14,"Y",'Reference Data'!$I$5:$I$14,"&lt;="&amp;MAX(0,$B$5-TODAY())),IF($B$8="Nut-free",MAXIFS('Reference Data'!$O$5:$O$14,'Reference Data'!$L$5:$L$14,"Y",'Reference Data'!$I$5:$I$14,"&lt;="&amp;MAX(0,$B$5-TODAY())),MAXIFS('Reference Data'!$P$5:$P$14,'Reference Data'!$M$5:$M$14,"Y",'Reference Data'!$I$5:$I$14,"&lt;="&amp;MAX(0,$B$5-TODAY())))))</f>
        <v/>
      </c>
    </row>
    <row r="16">
      <c r="D16" s="2" t="inlineStr">
        <is>
          <t>Comparison status</t>
        </is>
      </c>
      <c r="E16" s="19">
        <f>IF($E$13="","",IF($E$13="Exception","EXCEPTION",IF($E$14&gt;=$E$15-0.1,"Acceptable / near best","Review proposed envelope")))</f>
        <v/>
      </c>
    </row>
    <row r="17"/>
    <row r="18">
      <c r="A18" s="2" t="inlineStr">
        <is>
          <t>AMENITY SELECTION — enter item code and units per set; every choice remains explicit</t>
        </is>
      </c>
    </row>
    <row r="19"/>
    <row r="20" ht="30" customHeight="1">
      <c r="A20" s="10" t="inlineStr">
        <is>
          <t>Line</t>
        </is>
      </c>
      <c r="B20" s="10" t="inlineStr">
        <is>
          <t>Item code</t>
        </is>
      </c>
      <c r="C20" s="10" t="inlineStr">
        <is>
          <t>Amenity name</t>
        </is>
      </c>
      <c r="D20" s="10" t="inlineStr">
        <is>
          <t>Units / set</t>
        </is>
      </c>
      <c r="E20" s="10" t="inlineStr">
        <is>
          <t>Supplier / pack</t>
        </is>
      </c>
      <c r="F20" s="10" t="inlineStr">
        <is>
          <t>Pack size</t>
        </is>
      </c>
      <c r="G20" s="10" t="inlineStr">
        <is>
          <t>Unit cost</t>
        </is>
      </c>
      <c r="H20" s="10" t="inlineStr">
        <is>
          <t>Dietary suitability</t>
        </is>
      </c>
      <c r="I20" s="10" t="inlineStr">
        <is>
          <t>Packs / set</t>
        </is>
      </c>
      <c r="J20" s="10" t="inlineStr">
        <is>
          <t>Line cost (£)</t>
        </is>
      </c>
      <c r="K20" s="10" t="inlineStr">
        <is>
          <t>Lead days</t>
        </is>
      </c>
      <c r="L20" s="10" t="inlineStr">
        <is>
          <t>Line status</t>
        </is>
      </c>
    </row>
    <row r="21">
      <c r="A21" s="4" t="n">
        <v>1</v>
      </c>
      <c r="B21" s="22" t="n"/>
      <c r="C21" s="23">
        <f>IFERROR(INDEX('Reference Data'!$B$5:$B$14,MATCH(B21,'Reference Data'!$A$5:$A$14,0)),"")</f>
        <v/>
      </c>
      <c r="D21" s="22" t="n"/>
      <c r="E21" s="22" t="n"/>
      <c r="F21" s="23">
        <f>IFERROR(INDEX('Reference Data'!$E$5:$E$14,MATCH(B21,'Reference Data'!$A$5:$A$14,0)),"")</f>
        <v/>
      </c>
      <c r="G21" s="24">
        <f>IFERROR(INDEX('Reference Data'!$F$5:$F$14,MATCH(B21,'Reference Data'!$A$5:$A$14,0)),"")</f>
        <v/>
      </c>
      <c r="H21" s="23">
        <f>IF(OR(B21="",$B$8=""),"",IF(ISNUMBER(SEARCH($B$8,IFERROR(INDEX('Reference Data'!$G$5:$G$14,MATCH(B21,'Reference Data'!$A$5:$A$14,0)),""))),"Suitable","Dietary exception"))</f>
        <v/>
      </c>
      <c r="I21" s="23">
        <f>IF(OR(D21="",F21=""),"",CEILING(D21/F21,1))</f>
        <v/>
      </c>
      <c r="J21" s="24">
        <f>IF(OR(B21="",D21="",$B$7=""),"",I21*G21*$B$7*IF($E$10="Eligible",1-IFERROR(MAXIFS('Reference Data'!$D$19:$D$21,'Reference Data'!$A$19:$A$21,E21),0),1))</f>
        <v/>
      </c>
      <c r="K21" s="23">
        <f>IFERROR(INDEX('Reference Data'!$I$5:$I$14,MATCH(B21,'Reference Data'!$A$5:$A$14,0)),"")</f>
        <v/>
      </c>
      <c r="L21" s="23">
        <f>IF(B21="","",IF(E21&lt;&gt;IFERROR(INDEX('Reference Data'!$D$5:$D$14,MATCH(B21,'Reference Data'!$A$5:$A$14,0)),""),"Supplier mismatch",IF(H21="Dietary exception","Dietary exception",IF(AND($B$5&lt;&gt;"",B21&lt;&gt;"",$B$5-TODAY()&lt;K21),"Late preparation","Selected"))))</f>
        <v/>
      </c>
    </row>
    <row r="22">
      <c r="A22" s="4" t="n">
        <v>2</v>
      </c>
      <c r="B22" s="22" t="n"/>
      <c r="C22" s="23">
        <f>IFERROR(INDEX('Reference Data'!$B$5:$B$14,MATCH(B22,'Reference Data'!$A$5:$A$14,0)),"")</f>
        <v/>
      </c>
      <c r="D22" s="22" t="n"/>
      <c r="E22" s="22" t="n"/>
      <c r="F22" s="23">
        <f>IFERROR(INDEX('Reference Data'!$E$5:$E$14,MATCH(B22,'Reference Data'!$A$5:$A$14,0)),"")</f>
        <v/>
      </c>
      <c r="G22" s="24">
        <f>IFERROR(INDEX('Reference Data'!$F$5:$F$14,MATCH(B22,'Reference Data'!$A$5:$A$14,0)),"")</f>
        <v/>
      </c>
      <c r="H22" s="23">
        <f>IF(OR(B22="",$B$8=""),"",IF(ISNUMBER(SEARCH($B$8,IFERROR(INDEX('Reference Data'!$G$5:$G$14,MATCH(B22,'Reference Data'!$A$5:$A$14,0)),""))),"Suitable","Dietary exception"))</f>
        <v/>
      </c>
      <c r="I22" s="23">
        <f>IF(OR(D22="",F22=""),"",CEILING(D22/F22,1))</f>
        <v/>
      </c>
      <c r="J22" s="24">
        <f>IF(OR(B22="",D22="",$B$7=""),"",I22*G22*$B$7*IF($E$10="Eligible",1-IFERROR(MAXIFS('Reference Data'!$D$19:$D$21,'Reference Data'!$A$19:$A$21,E22),0),1))</f>
        <v/>
      </c>
      <c r="K22" s="23">
        <f>IFERROR(INDEX('Reference Data'!$I$5:$I$14,MATCH(B22,'Reference Data'!$A$5:$A$14,0)),"")</f>
        <v/>
      </c>
      <c r="L22" s="23">
        <f>IF(B22="","",IF(E22&lt;&gt;IFERROR(INDEX('Reference Data'!$D$5:$D$14,MATCH(B22,'Reference Data'!$A$5:$A$14,0)),""),"Supplier mismatch",IF(H22="Dietary exception","Dietary exception",IF(AND($B$5&lt;&gt;"",B22&lt;&gt;"",$B$5-TODAY()&lt;K22),"Late preparation","Selected"))))</f>
        <v/>
      </c>
    </row>
    <row r="23">
      <c r="A23" s="4" t="n">
        <v>3</v>
      </c>
      <c r="B23" s="22" t="n"/>
      <c r="C23" s="23">
        <f>IFERROR(INDEX('Reference Data'!$B$5:$B$14,MATCH(B23,'Reference Data'!$A$5:$A$14,0)),"")</f>
        <v/>
      </c>
      <c r="D23" s="22" t="n"/>
      <c r="E23" s="22" t="n"/>
      <c r="F23" s="23">
        <f>IFERROR(INDEX('Reference Data'!$E$5:$E$14,MATCH(B23,'Reference Data'!$A$5:$A$14,0)),"")</f>
        <v/>
      </c>
      <c r="G23" s="24">
        <f>IFERROR(INDEX('Reference Data'!$F$5:$F$14,MATCH(B23,'Reference Data'!$A$5:$A$14,0)),"")</f>
        <v/>
      </c>
      <c r="H23" s="23">
        <f>IF(OR(B23="",$B$8=""),"",IF(ISNUMBER(SEARCH($B$8,IFERROR(INDEX('Reference Data'!$G$5:$G$14,MATCH(B23,'Reference Data'!$A$5:$A$14,0)),""))),"Suitable","Dietary exception"))</f>
        <v/>
      </c>
      <c r="I23" s="23">
        <f>IF(OR(D23="",F23=""),"",CEILING(D23/F23,1))</f>
        <v/>
      </c>
      <c r="J23" s="24">
        <f>IF(OR(B23="",D23="",$B$7=""),"",I23*G23*$B$7*IF($E$10="Eligible",1-IFERROR(MAXIFS('Reference Data'!$D$19:$D$21,'Reference Data'!$A$19:$A$21,E23),0),1))</f>
        <v/>
      </c>
      <c r="K23" s="23">
        <f>IFERROR(INDEX('Reference Data'!$I$5:$I$14,MATCH(B23,'Reference Data'!$A$5:$A$14,0)),"")</f>
        <v/>
      </c>
      <c r="L23" s="23">
        <f>IF(B23="","",IF(E23&lt;&gt;IFERROR(INDEX('Reference Data'!$D$5:$D$14,MATCH(B23,'Reference Data'!$A$5:$A$14,0)),""),"Supplier mismatch",IF(H23="Dietary exception","Dietary exception",IF(AND($B$5&lt;&gt;"",B23&lt;&gt;"",$B$5-TODAY()&lt;K23),"Late preparation","Selected"))))</f>
        <v/>
      </c>
    </row>
    <row r="24">
      <c r="A24" s="4" t="n">
        <v>4</v>
      </c>
      <c r="B24" s="22" t="n"/>
      <c r="C24" s="23">
        <f>IFERROR(INDEX('Reference Data'!$B$5:$B$14,MATCH(B24,'Reference Data'!$A$5:$A$14,0)),"")</f>
        <v/>
      </c>
      <c r="D24" s="22" t="n"/>
      <c r="E24" s="22" t="n"/>
      <c r="F24" s="23">
        <f>IFERROR(INDEX('Reference Data'!$E$5:$E$14,MATCH(B24,'Reference Data'!$A$5:$A$14,0)),"")</f>
        <v/>
      </c>
      <c r="G24" s="24">
        <f>IFERROR(INDEX('Reference Data'!$F$5:$F$14,MATCH(B24,'Reference Data'!$A$5:$A$14,0)),"")</f>
        <v/>
      </c>
      <c r="H24" s="23">
        <f>IF(OR(B24="",$B$8=""),"",IF(ISNUMBER(SEARCH($B$8,IFERROR(INDEX('Reference Data'!$G$5:$G$14,MATCH(B24,'Reference Data'!$A$5:$A$14,0)),""))),"Suitable","Dietary exception"))</f>
        <v/>
      </c>
      <c r="I24" s="23">
        <f>IF(OR(D24="",F24=""),"",CEILING(D24/F24,1))</f>
        <v/>
      </c>
      <c r="J24" s="24">
        <f>IF(OR(B24="",D24="",$B$7=""),"",I24*G24*$B$7*IF($E$10="Eligible",1-IFERROR(MAXIFS('Reference Data'!$D$19:$D$21,'Reference Data'!$A$19:$A$21,E24),0),1))</f>
        <v/>
      </c>
      <c r="K24" s="23">
        <f>IFERROR(INDEX('Reference Data'!$I$5:$I$14,MATCH(B24,'Reference Data'!$A$5:$A$14,0)),"")</f>
        <v/>
      </c>
      <c r="L24" s="23">
        <f>IF(B24="","",IF(E24&lt;&gt;IFERROR(INDEX('Reference Data'!$D$5:$D$14,MATCH(B24,'Reference Data'!$A$5:$A$14,0)),""),"Supplier mismatch",IF(H24="Dietary exception","Dietary exception",IF(AND($B$5&lt;&gt;"",B24&lt;&gt;"",$B$5-TODAY()&lt;K24),"Late preparation","Selected"))))</f>
        <v/>
      </c>
    </row>
    <row r="25">
      <c r="A25" s="4" t="n">
        <v>5</v>
      </c>
      <c r="B25" s="22" t="n"/>
      <c r="C25" s="23">
        <f>IFERROR(INDEX('Reference Data'!$B$5:$B$14,MATCH(B25,'Reference Data'!$A$5:$A$14,0)),"")</f>
        <v/>
      </c>
      <c r="D25" s="22" t="n"/>
      <c r="E25" s="22" t="n"/>
      <c r="F25" s="23">
        <f>IFERROR(INDEX('Reference Data'!$E$5:$E$14,MATCH(B25,'Reference Data'!$A$5:$A$14,0)),"")</f>
        <v/>
      </c>
      <c r="G25" s="24">
        <f>IFERROR(INDEX('Reference Data'!$F$5:$F$14,MATCH(B25,'Reference Data'!$A$5:$A$14,0)),"")</f>
        <v/>
      </c>
      <c r="H25" s="23">
        <f>IF(OR(B25="",$B$8=""),"",IF(ISNUMBER(SEARCH($B$8,IFERROR(INDEX('Reference Data'!$G$5:$G$14,MATCH(B25,'Reference Data'!$A$5:$A$14,0)),""))),"Suitable","Dietary exception"))</f>
        <v/>
      </c>
      <c r="I25" s="23">
        <f>IF(OR(D25="",F25=""),"",CEILING(D25/F25,1))</f>
        <v/>
      </c>
      <c r="J25" s="24">
        <f>IF(OR(B25="",D25="",$B$7=""),"",I25*G25*$B$7*IF($E$10="Eligible",1-IFERROR(MAXIFS('Reference Data'!$D$19:$D$21,'Reference Data'!$A$19:$A$21,E25),0),1))</f>
        <v/>
      </c>
      <c r="K25" s="23">
        <f>IFERROR(INDEX('Reference Data'!$I$5:$I$14,MATCH(B25,'Reference Data'!$A$5:$A$14,0)),"")</f>
        <v/>
      </c>
      <c r="L25" s="23">
        <f>IF(B25="","",IF(E25&lt;&gt;IFERROR(INDEX('Reference Data'!$D$5:$D$14,MATCH(B25,'Reference Data'!$A$5:$A$14,0)),""),"Supplier mismatch",IF(H25="Dietary exception","Dietary exception",IF(AND($B$5&lt;&gt;"",B25&lt;&gt;"",$B$5-TODAY()&lt;K25),"Late preparation","Selected"))))</f>
        <v/>
      </c>
    </row>
    <row r="26">
      <c r="A26" s="4" t="n">
        <v>6</v>
      </c>
      <c r="B26" s="22" t="n"/>
      <c r="C26" s="23">
        <f>IFERROR(INDEX('Reference Data'!$B$5:$B$14,MATCH(B26,'Reference Data'!$A$5:$A$14,0)),"")</f>
        <v/>
      </c>
      <c r="D26" s="22" t="n"/>
      <c r="E26" s="22" t="n"/>
      <c r="F26" s="23">
        <f>IFERROR(INDEX('Reference Data'!$E$5:$E$14,MATCH(B26,'Reference Data'!$A$5:$A$14,0)),"")</f>
        <v/>
      </c>
      <c r="G26" s="24">
        <f>IFERROR(INDEX('Reference Data'!$F$5:$F$14,MATCH(B26,'Reference Data'!$A$5:$A$14,0)),"")</f>
        <v/>
      </c>
      <c r="H26" s="23">
        <f>IF(OR(B26="",$B$8=""),"",IF(ISNUMBER(SEARCH($B$8,IFERROR(INDEX('Reference Data'!$G$5:$G$14,MATCH(B26,'Reference Data'!$A$5:$A$14,0)),""))),"Suitable","Dietary exception"))</f>
        <v/>
      </c>
      <c r="I26" s="23">
        <f>IF(OR(D26="",F26=""),"",CEILING(D26/F26,1))</f>
        <v/>
      </c>
      <c r="J26" s="24">
        <f>IF(OR(B26="",D26="",$B$7=""),"",I26*G26*$B$7*IF($E$10="Eligible",1-IFERROR(MAXIFS('Reference Data'!$D$19:$D$21,'Reference Data'!$A$19:$A$21,E26),0),1))</f>
        <v/>
      </c>
      <c r="K26" s="23">
        <f>IFERROR(INDEX('Reference Data'!$I$5:$I$14,MATCH(B26,'Reference Data'!$A$5:$A$14,0)),"")</f>
        <v/>
      </c>
      <c r="L26" s="23">
        <f>IF(B26="","",IF(E26&lt;&gt;IFERROR(INDEX('Reference Data'!$D$5:$D$14,MATCH(B26,'Reference Data'!$A$5:$A$14,0)),""),"Supplier mismatch",IF(H26="Dietary exception","Dietary exception",IF(AND($B$5&lt;&gt;"",B26&lt;&gt;"",$B$5-TODAY()&lt;K26),"Late preparation","Selected"))))</f>
        <v/>
      </c>
    </row>
    <row r="27">
      <c r="A27" s="4" t="n">
        <v>7</v>
      </c>
      <c r="B27" s="22" t="n"/>
      <c r="C27" s="23">
        <f>IFERROR(INDEX('Reference Data'!$B$5:$B$14,MATCH(B27,'Reference Data'!$A$5:$A$14,0)),"")</f>
        <v/>
      </c>
      <c r="D27" s="22" t="n"/>
      <c r="E27" s="22" t="n"/>
      <c r="F27" s="23">
        <f>IFERROR(INDEX('Reference Data'!$E$5:$E$14,MATCH(B27,'Reference Data'!$A$5:$A$14,0)),"")</f>
        <v/>
      </c>
      <c r="G27" s="24">
        <f>IFERROR(INDEX('Reference Data'!$F$5:$F$14,MATCH(B27,'Reference Data'!$A$5:$A$14,0)),"")</f>
        <v/>
      </c>
      <c r="H27" s="23">
        <f>IF(OR(B27="",$B$8=""),"",IF(ISNUMBER(SEARCH($B$8,IFERROR(INDEX('Reference Data'!$G$5:$G$14,MATCH(B27,'Reference Data'!$A$5:$A$14,0)),""))),"Suitable","Dietary exception"))</f>
        <v/>
      </c>
      <c r="I27" s="23">
        <f>IF(OR(D27="",F27=""),"",CEILING(D27/F27,1))</f>
        <v/>
      </c>
      <c r="J27" s="24">
        <f>IF(OR(B27="",D27="",$B$7=""),"",I27*G27*$B$7*IF($E$10="Eligible",1-IFERROR(MAXIFS('Reference Data'!$D$19:$D$21,'Reference Data'!$A$19:$A$21,E27),0),1))</f>
        <v/>
      </c>
      <c r="K27" s="23">
        <f>IFERROR(INDEX('Reference Data'!$I$5:$I$14,MATCH(B27,'Reference Data'!$A$5:$A$14,0)),"")</f>
        <v/>
      </c>
      <c r="L27" s="23">
        <f>IF(B27="","",IF(E27&lt;&gt;IFERROR(INDEX('Reference Data'!$D$5:$D$14,MATCH(B27,'Reference Data'!$A$5:$A$14,0)),""),"Supplier mismatch",IF(H27="Dietary exception","Dietary exception",IF(AND($B$5&lt;&gt;"",B27&lt;&gt;"",$B$5-TODAY()&lt;K27),"Late preparation","Selected"))))</f>
        <v/>
      </c>
    </row>
    <row r="28">
      <c r="A28" s="4" t="n">
        <v>8</v>
      </c>
      <c r="B28" s="22" t="n"/>
      <c r="C28" s="23">
        <f>IFERROR(INDEX('Reference Data'!$B$5:$B$14,MATCH(B28,'Reference Data'!$A$5:$A$14,0)),"")</f>
        <v/>
      </c>
      <c r="D28" s="22" t="n"/>
      <c r="E28" s="22" t="n"/>
      <c r="F28" s="23">
        <f>IFERROR(INDEX('Reference Data'!$E$5:$E$14,MATCH(B28,'Reference Data'!$A$5:$A$14,0)),"")</f>
        <v/>
      </c>
      <c r="G28" s="24">
        <f>IFERROR(INDEX('Reference Data'!$F$5:$F$14,MATCH(B28,'Reference Data'!$A$5:$A$14,0)),"")</f>
        <v/>
      </c>
      <c r="H28" s="23">
        <f>IF(OR(B28="",$B$8=""),"",IF(ISNUMBER(SEARCH($B$8,IFERROR(INDEX('Reference Data'!$G$5:$G$14,MATCH(B28,'Reference Data'!$A$5:$A$14,0)),""))),"Suitable","Dietary exception"))</f>
        <v/>
      </c>
      <c r="I28" s="23">
        <f>IF(OR(D28="",F28=""),"",CEILING(D28/F28,1))</f>
        <v/>
      </c>
      <c r="J28" s="24">
        <f>IF(OR(B28="",D28="",$B$7=""),"",I28*G28*$B$7*IF($E$10="Eligible",1-IFERROR(MAXIFS('Reference Data'!$D$19:$D$21,'Reference Data'!$A$19:$A$21,E28),0),1))</f>
        <v/>
      </c>
      <c r="K28" s="23">
        <f>IFERROR(INDEX('Reference Data'!$I$5:$I$14,MATCH(B28,'Reference Data'!$A$5:$A$14,0)),"")</f>
        <v/>
      </c>
      <c r="L28" s="23">
        <f>IF(B28="","",IF(E28&lt;&gt;IFERROR(INDEX('Reference Data'!$D$5:$D$14,MATCH(B28,'Reference Data'!$A$5:$A$14,0)),""),"Supplier mismatch",IF(H28="Dietary exception","Dietary exception",IF(AND($B$5&lt;&gt;"",B28&lt;&gt;"",$B$5-TODAY()&lt;K28),"Late preparation","Selected"))))</f>
        <v/>
      </c>
    </row>
    <row r="29">
      <c r="A29" s="4" t="n">
        <v>9</v>
      </c>
      <c r="B29" s="22" t="n"/>
      <c r="C29" s="23">
        <f>IFERROR(INDEX('Reference Data'!$B$5:$B$14,MATCH(B29,'Reference Data'!$A$5:$A$14,0)),"")</f>
        <v/>
      </c>
      <c r="D29" s="22" t="n"/>
      <c r="E29" s="22" t="n"/>
      <c r="F29" s="23">
        <f>IFERROR(INDEX('Reference Data'!$E$5:$E$14,MATCH(B29,'Reference Data'!$A$5:$A$14,0)),"")</f>
        <v/>
      </c>
      <c r="G29" s="24">
        <f>IFERROR(INDEX('Reference Data'!$F$5:$F$14,MATCH(B29,'Reference Data'!$A$5:$A$14,0)),"")</f>
        <v/>
      </c>
      <c r="H29" s="23">
        <f>IF(OR(B29="",$B$8=""),"",IF(ISNUMBER(SEARCH($B$8,IFERROR(INDEX('Reference Data'!$G$5:$G$14,MATCH(B29,'Reference Data'!$A$5:$A$14,0)),""))),"Suitable","Dietary exception"))</f>
        <v/>
      </c>
      <c r="I29" s="23">
        <f>IF(OR(D29="",F29=""),"",CEILING(D29/F29,1))</f>
        <v/>
      </c>
      <c r="J29" s="24">
        <f>IF(OR(B29="",D29="",$B$7=""),"",I29*G29*$B$7*IF($E$10="Eligible",1-IFERROR(MAXIFS('Reference Data'!$D$19:$D$21,'Reference Data'!$A$19:$A$21,E29),0),1))</f>
        <v/>
      </c>
      <c r="K29" s="23">
        <f>IFERROR(INDEX('Reference Data'!$I$5:$I$14,MATCH(B29,'Reference Data'!$A$5:$A$14,0)),"")</f>
        <v/>
      </c>
      <c r="L29" s="23">
        <f>IF(B29="","",IF(E29&lt;&gt;IFERROR(INDEX('Reference Data'!$D$5:$D$14,MATCH(B29,'Reference Data'!$A$5:$A$14,0)),""),"Supplier mismatch",IF(H29="Dietary exception","Dietary exception",IF(AND($B$5&lt;&gt;"",B29&lt;&gt;"",$B$5-TODAY()&lt;K29),"Late preparation","Selected"))))</f>
        <v/>
      </c>
    </row>
    <row r="30">
      <c r="A30" s="4" t="n">
        <v>10</v>
      </c>
      <c r="B30" s="22" t="n"/>
      <c r="C30" s="23">
        <f>IFERROR(INDEX('Reference Data'!$B$5:$B$14,MATCH(B30,'Reference Data'!$A$5:$A$14,0)),"")</f>
        <v/>
      </c>
      <c r="D30" s="22" t="n"/>
      <c r="E30" s="22" t="n"/>
      <c r="F30" s="23">
        <f>IFERROR(INDEX('Reference Data'!$E$5:$E$14,MATCH(B30,'Reference Data'!$A$5:$A$14,0)),"")</f>
        <v/>
      </c>
      <c r="G30" s="24">
        <f>IFERROR(INDEX('Reference Data'!$F$5:$F$14,MATCH(B30,'Reference Data'!$A$5:$A$14,0)),"")</f>
        <v/>
      </c>
      <c r="H30" s="23">
        <f>IF(OR(B30="",$B$8=""),"",IF(ISNUMBER(SEARCH($B$8,IFERROR(INDEX('Reference Data'!$G$5:$G$14,MATCH(B30,'Reference Data'!$A$5:$A$14,0)),""))),"Suitable","Dietary exception"))</f>
        <v/>
      </c>
      <c r="I30" s="23">
        <f>IF(OR(D30="",F30=""),"",CEILING(D30/F30,1))</f>
        <v/>
      </c>
      <c r="J30" s="24">
        <f>IF(OR(B30="",D30="",$B$7=""),"",I30*G30*$B$7*IF($E$10="Eligible",1-IFERROR(MAXIFS('Reference Data'!$D$19:$D$21,'Reference Data'!$A$19:$A$21,E30),0),1))</f>
        <v/>
      </c>
      <c r="K30" s="23">
        <f>IFERROR(INDEX('Reference Data'!$I$5:$I$14,MATCH(B30,'Reference Data'!$A$5:$A$14,0)),"")</f>
        <v/>
      </c>
      <c r="L30" s="23">
        <f>IF(B30="","",IF(E30&lt;&gt;IFERROR(INDEX('Reference Data'!$D$5:$D$14,MATCH(B30,'Reference Data'!$A$5:$A$14,0)),""),"Supplier mismatch",IF(H30="Dietary exception","Dietary exception",IF(AND($B$5&lt;&gt;"",B30&lt;&gt;"",$B$5-TODAY()&lt;K30),"Late preparation","Selected"))))</f>
        <v/>
      </c>
    </row>
    <row r="31">
      <c r="I31" s="2" t="inlineStr">
        <is>
          <t>TOTAL</t>
        </is>
      </c>
      <c r="J31" s="25">
        <f>IF(COUNTIF(B21:B30,"&lt;&gt;")=0,"",SUM(J21:J30))</f>
        <v/>
      </c>
    </row>
    <row r="32"/>
    <row r="33">
      <c r="A33" s="2" t="inlineStr">
        <is>
          <t>APPROVAL / SIGN-OFF</t>
        </is>
      </c>
    </row>
    <row r="34"/>
    <row r="35">
      <c r="A35" s="2" t="inlineStr">
        <is>
          <t>Prepared by</t>
        </is>
      </c>
      <c r="B35" s="17" t="n"/>
      <c r="D35" s="2" t="inlineStr">
        <is>
          <t>Reviewed by</t>
        </is>
      </c>
      <c r="E35" s="17" t="n"/>
      <c r="G35" s="2" t="inlineStr">
        <is>
          <t>Approval reference</t>
        </is>
      </c>
      <c r="H35" s="17" t="n"/>
    </row>
    <row r="36">
      <c r="A36" s="2" t="inlineStr">
        <is>
          <t>Prepared date</t>
        </is>
      </c>
      <c r="B36" s="16" t="n"/>
      <c r="D36" s="2" t="inlineStr">
        <is>
          <t>Review date</t>
        </is>
      </c>
      <c r="E36" s="16" t="n"/>
    </row>
  </sheetData>
  <autoFilter ref="A20:L30"/>
  <mergeCells count="1">
    <mergeCell ref="A1:L1"/>
  </mergeCells>
  <conditionalFormatting sqref="E8">
    <cfRule type="expression" priority="1" dxfId="0">
      <formula>=E8&gt;0</formula>
    </cfRule>
  </conditionalFormatting>
  <conditionalFormatting sqref="E11">
    <cfRule type="expression" priority="2" dxfId="0">
      <formula>=E11="LATE / lead time"</formula>
    </cfRule>
  </conditionalFormatting>
  <conditionalFormatting sqref="E12">
    <cfRule type="expression" priority="3" dxfId="0">
      <formula>=E12="Dietary exception"</formula>
    </cfRule>
  </conditionalFormatting>
  <conditionalFormatting sqref="E13">
    <cfRule type="expression" priority="4" dxfId="1">
      <formula>=E13="Feasible"</formula>
    </cfRule>
  </conditionalFormatting>
  <conditionalFormatting sqref="E16">
    <cfRule type="expression" priority="5" dxfId="0">
      <formula>=E16="EXCEPTION"</formula>
    </cfRule>
  </conditionalFormatting>
  <conditionalFormatting sqref="H21:H30">
    <cfRule type="expression" priority="6" dxfId="0">
      <formula>=H21="Dietary exception"</formula>
    </cfRule>
  </conditionalFormatting>
  <conditionalFormatting sqref="L21:L30">
    <cfRule type="expression" priority="7" dxfId="0">
      <formula>=OR(L21="Dietary exception",L21="Late preparation")</formula>
    </cfRule>
  </conditionalFormatting>
  <dataValidations count="5">
    <dataValidation sqref="B21:B30" showDropDown="0" showInputMessage="0" showErrorMessage="0" allowBlank="1" type="list">
      <formula1>=ItemCodes</formula1>
    </dataValidation>
    <dataValidation sqref="E21:E30" showDropDown="0" showInputMessage="0" showErrorMessage="0" allowBlank="1" type="list">
      <formula1>=Suppliers</formula1>
    </dataValidation>
    <dataValidation sqref="B8" showDropDown="0" showInputMessage="0" showErrorMessage="0" allowBlank="1" type="list">
      <formula1>=DietaryProfiles</formula1>
    </dataValidation>
    <dataValidation sqref="B10" showDropDown="0" showInputMessage="0" showErrorMessage="0" allowBlank="1" type="list">
      <formula1>=PreparationStatuses</formula1>
    </dataValidation>
    <dataValidation sqref="B11" showDropDown="0" showInputMessage="0" showErrorMessage="0" allowBlank="1" type="list">
      <formula1>=ApprovalStatuses</formula1>
    </dataValidation>
  </dataValidations>
  <pageMargins left="0.25" right="0.25" top="0.4" bottom="0.4" header="0.2" footer="0.2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" customWidth="1" min="3" max="3"/>
  </cols>
  <sheetData>
    <row r="1" ht="28" customHeight="1">
      <c r="A1" s="1" t="inlineStr">
        <is>
          <t>Weekly Check | Oversight View</t>
        </is>
      </c>
    </row>
    <row r="2"/>
    <row r="3">
      <c r="A3" s="2" t="inlineStr">
        <is>
          <t>Select week commencing</t>
        </is>
      </c>
      <c r="B3" s="16" t="n"/>
    </row>
    <row r="4">
      <c r="A4" s="2" t="inlineStr">
        <is>
          <t>Linked Build Sheet sets</t>
        </is>
      </c>
      <c r="B4" s="19">
        <f>IF('Build Sheet'!$B$7="","",'Build Sheet'!$B$7)</f>
        <v/>
      </c>
    </row>
    <row r="5">
      <c r="A5" s="2" t="inlineStr">
        <is>
          <t>Forecast sets in selected week</t>
        </is>
      </c>
      <c r="B5" s="19">
        <f>IF($B$3="","",SUMIFS('Reference Data'!$C$35:$C$38,'Reference Data'!$A$35:$A$38,"&gt;="&amp;$B$3,'Reference Data'!$A$35:$A$38,"&lt;"&amp;$B$3+7))</f>
        <v/>
      </c>
    </row>
    <row r="6">
      <c r="A6" s="2" t="inlineStr">
        <is>
          <t>Weekly set count</t>
        </is>
      </c>
      <c r="B6" s="19">
        <f>IF(AND($B$3="",$B$4=""),"",N($B$4)+N($B$5))</f>
        <v/>
      </c>
    </row>
    <row r="7">
      <c r="A7" s="2" t="inlineStr">
        <is>
          <t>Projected spend (£)</t>
        </is>
      </c>
      <c r="B7" s="18">
        <f>IF($B$6="","",IF('Build Sheet'!$E$7="","",'Build Sheet'!$E$7+N($B$5)*IFERROR('Build Sheet'!$E$7/'Build Sheet'!$B$7,0)))</f>
        <v/>
      </c>
    </row>
    <row r="8">
      <c r="A8" s="2" t="inlineStr">
        <is>
          <t>Harbour Pantry threshold</t>
        </is>
      </c>
      <c r="B8" s="19">
        <f>IF($B$6="","",IF($B$6&gt;=MAXIFS('Reference Data'!$B$19:$B$21,'Reference Data'!$A$19:$A$21,"Harbour Pantry"),"Met","Below minimum"))</f>
        <v/>
      </c>
    </row>
    <row r="9">
      <c r="A9" s="2" t="inlineStr">
        <is>
          <t>North Quay threshold</t>
        </is>
      </c>
      <c r="B9" s="19">
        <f>IF($B$6="","",IF($B$6&gt;=MAXIFS('Reference Data'!$B$19:$B$21,'Reference Data'!$A$19:$A$21,"North Quay Patisserie"),"Met","Below minimum"))</f>
        <v/>
      </c>
    </row>
    <row r="10">
      <c r="A10" s="2" t="inlineStr">
        <is>
          <t>Arrival quantity used by Build Sheet</t>
        </is>
      </c>
      <c r="B10" s="19">
        <f>IF('Build Sheet'!$B$7="","",'Build Sheet'!$B$7)</f>
        <v/>
      </c>
    </row>
    <row r="11">
      <c r="A11" s="2" t="inlineStr">
        <is>
          <t>Lead-time exception count</t>
        </is>
      </c>
      <c r="B11" s="19">
        <f>IF($B$3="","",COUNTIFS('Reference Data'!$A$35:$A$38,"&gt;="&amp;$B$3,'Reference Data'!$A$35:$A$38,"&lt;"&amp;$B$3+7,'Reference Data'!$E$35:$E$38,"&lt;&gt;Confirmed"))</f>
        <v/>
      </c>
    </row>
    <row r="12"/>
    <row r="13" ht="32" customHeight="1">
      <c r="A13" s="4" t="inlineStr">
        <is>
          <t>Review note</t>
        </is>
      </c>
      <c r="B13" s="3" t="inlineStr">
        <is>
          <t>Use the linked Build Sheet quantity as the only arrival source. Forecast rows are context; blank week yields blank/neutral checks.</t>
        </is>
      </c>
    </row>
  </sheetData>
  <mergeCells count="1">
    <mergeCell ref="A1:H1"/>
  </mergeCells>
  <conditionalFormatting sqref="B8:B9">
    <cfRule type="expression" priority="1" dxfId="2">
      <formula>B8="Below minimum"</formula>
    </cfRule>
  </conditionalFormatting>
  <conditionalFormatting sqref="B11">
    <cfRule type="cellIs" priority="2" operator="greaterThan" dxfId="0">
      <formula>0</formula>
    </cfRule>
  </conditionalFormatting>
  <pageMargins left="0.3" right="0.3" top="0.5" bottom="0.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2026-08-24T13:09:37Z</dcterms:created>
  <dcterms:modified xmlns:dcterms="http://purl.org/dc/terms/" xmlns:xsi="http://www.w3.org/2001/XMLSchema-instance" xsi:type="dcterms:W3CDTF">2026-08-24T13:09:37Z</dcterms:modified>
</cp:coreProperties>
</file>