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" sheetId="1" state="visible" r:id="rId3"/>
    <sheet name="France" sheetId="2" state="visible" r:id="rId4"/>
    <sheet name="Germany" sheetId="3" state="visible" r:id="rId5"/>
    <sheet name="Method" sheetId="4" state="visible" r:id="rId6"/>
    <sheet name="Change Log" sheetId="5" state="visible" r:id="rId7"/>
    <sheet name="Source Copy" sheetId="6" state="visible" r:id="rId8"/>
  </sheets>
  <definedNames>
    <definedName function="false" hidden="false" localSheetId="4" name="_xlnm.Print_Area" vbProcedure="false">'Change Log'!$A$1:$F$11</definedName>
    <definedName function="false" hidden="false" localSheetId="4" name="_xlnm.Print_Titles" vbProcedure="false">'Change Log'!$1:$5</definedName>
    <definedName function="false" hidden="false" localSheetId="0" name="_xlnm.Print_Area" vbProcedure="false">'Executive Summary'!$A$1:$D$38</definedName>
    <definedName function="false" hidden="false" localSheetId="1" name="_xlnm.Print_Area" vbProcedure="false">France!$A$1:$AA$32</definedName>
    <definedName function="false" hidden="false" localSheetId="1" name="_xlnm.Print_Titles" vbProcedure="false">France!$1:$22</definedName>
    <definedName function="false" hidden="true" localSheetId="1" name="_xlnm._FilterDatabase" vbProcedure="false">France!$A$22:$AA$32</definedName>
    <definedName function="false" hidden="false" localSheetId="2" name="_xlnm.Print_Area" vbProcedure="false">Germany!$A$1:$AA$32</definedName>
    <definedName function="false" hidden="false" localSheetId="2" name="_xlnm.Print_Titles" vbProcedure="false">Germany!$1:$22</definedName>
    <definedName function="false" hidden="true" localSheetId="2" name="_xlnm._FilterDatabase" vbProcedure="false">Germany!$A$22:$AA$32</definedName>
    <definedName function="false" hidden="false" localSheetId="3" name="_xlnm.Print_Area" vbProcedure="false">Method!$A$1:$D$16</definedName>
    <definedName function="false" hidden="false" localSheetId="3" name="_xlnm.Print_Titles" vbProcedure="false">Method!$1:$5</definedName>
    <definedName function="false" hidden="false" localSheetId="5" name="_xlnm.Print_Area" vbProcedure="false">'Source Copy'!$A$1:$L$41</definedName>
    <definedName function="false" hidden="false" localSheetId="5" name="_xlnm.Print_Titles" vbProcedure="false">'Source Copy'!$1:$18</definedName>
    <definedName function="false" hidden="true" localSheetId="5" name="_xlnm._FilterDatabase" vbProcedure="false">'Source Copy'!$A$18:$L$38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<sst xmlns="http://schemas.openxmlformats.org/spreadsheetml/2006/main" count="506" uniqueCount="330">
  <si>
    <t xml:space="preserve">Willowmere Components | Wholesale Rebate Review</t>
  </si>
  <si>
    <t xml:space="preserve">Frozen source snapshot: 27 February 2027 | Currency: EUR | Markets: France and Germany</t>
  </si>
  <si>
    <t xml:space="preserve">Selected headline treatment: calendar-date inclusive; includes return WHR-FR-008 timestamped exactly 2027-02-27T00:00:00Z.</t>
  </si>
  <si>
    <t xml:space="preserve">Alternate sensitivity: frozen-snapshot boundary treatment excludes only that exact-midnight return; all other source-record treatment is unchanged.</t>
  </si>
  <si>
    <t xml:space="preserve">Selected scenario - calendar-date inclusive (headline)</t>
  </si>
  <si>
    <t xml:space="preserve">Metric</t>
  </si>
  <si>
    <t xml:space="preserve">France</t>
  </si>
  <si>
    <t xml:space="preserve">Germany</t>
  </si>
  <si>
    <t xml:space="preserve">Combined</t>
  </si>
  <si>
    <t xml:space="preserve">Proposed rebate (%)</t>
  </si>
  <si>
    <t xml:space="preserve">Net individual units</t>
  </si>
  <si>
    <t xml:space="preserve">Net sales (EUR)</t>
  </si>
  <si>
    <t xml:space="preserve">Net cost (EUR)</t>
  </si>
  <si>
    <t xml:space="preserve">Rebate value (EUR)</t>
  </si>
  <si>
    <t xml:space="preserve">Contribution margin (EUR)</t>
  </si>
  <si>
    <t xml:space="preserve">Contribution margin (%)</t>
  </si>
  <si>
    <t xml:space="preserve">Commercial guardrail (CM %)</t>
  </si>
  <si>
    <t xml:space="preserve">Margin vs guardrail (pp)</t>
  </si>
  <si>
    <t xml:space="preserve">Commercial defensibility</t>
  </si>
  <si>
    <t xml:space="preserve">Alternate sensitivity - frozen-snapshot boundary (midnight return excluded)</t>
  </si>
  <si>
    <t xml:space="preserve">Change in contribution margin % vs selected (pp)</t>
  </si>
  <si>
    <t xml:space="preserve">This is an evidence-based guardrail comparison only. No supplier action, negotiation position, or sourcing recommendation is stated.</t>
  </si>
  <si>
    <t xml:space="preserve">France | Corrected Wholesale Rebate Detail</t>
  </si>
  <si>
    <t xml:space="preserve">Market: France | Currency: EUR | Commercial quantity basis: individual units</t>
  </si>
  <si>
    <t xml:space="preserve">Frozen snapshot cutoff</t>
  </si>
  <si>
    <t xml:space="preserve">Proposed rebate</t>
  </si>
  <si>
    <t xml:space="preserve">Commercial guardrail</t>
  </si>
  <si>
    <t xml:space="preserve">Rate-card precision</t>
  </si>
  <si>
    <t xml:space="preserve">Selected scenario (headline): calendar-date inclusive through 27 February 2027; includes return WHR-FR-008 at exactly 2027-02-27T00:00:00Z.</t>
  </si>
  <si>
    <t xml:space="preserve">Scenario totals - traceable to the per-record detail below</t>
  </si>
  <si>
    <t xml:space="preserve">Selected scenario</t>
  </si>
  <si>
    <t xml:space="preserve">Alternate sensitivity</t>
  </si>
  <si>
    <t xml:space="preserve">Audit expression</t>
  </si>
  <si>
    <t xml:space="preserve">Included source lines</t>
  </si>
  <si>
    <t xml:space="preserve">Count of Include flags in columns X / Y</t>
  </si>
  <si>
    <t xml:space="preserve">SUMIF inclusion flag, signed individual units</t>
  </si>
  <si>
    <t xml:space="preserve">SUMIF inclusion flag, signed gross sales</t>
  </si>
  <si>
    <t xml:space="preserve">SUMIF inclusion flag, signed cost</t>
  </si>
  <si>
    <t xml:space="preserve">SUMIF inclusion flag, signed rebate</t>
  </si>
  <si>
    <t xml:space="preserve">SUMIF inclusion flag, signed contribution</t>
  </si>
  <si>
    <t xml:space="preserve">Contribution margin / net sales</t>
  </si>
  <si>
    <t xml:space="preserve">Source Copy commercial CM guardrail</t>
  </si>
  <si>
    <t xml:space="preserve">Contribution margin % less guardrail</t>
  </si>
  <si>
    <t xml:space="preserve">Evidence-only comparison; no action recommendation</t>
  </si>
  <si>
    <t xml:space="preserve">Detail rule: raw signed economics are shown for every source line; columns X and Y determine whether each line contributes to the selected or alternate totals.</t>
  </si>
  <si>
    <t xml:space="preserve">Source Record ID</t>
  </si>
  <si>
    <t xml:space="preserve">Original Account Key</t>
  </si>
  <si>
    <t xml:space="preserve">Normalized Account Key</t>
  </si>
  <si>
    <t xml:space="preserve">Market (map join)</t>
  </si>
  <si>
    <t xml:space="preserve">Original Timestamp Text</t>
  </si>
  <si>
    <t xml:space="preserve">Parsed Calculation Timestamp (UTC)</t>
  </si>
  <si>
    <t xml:space="preserve">Date Interpretation</t>
  </si>
  <si>
    <t xml:space="preserve">Event Type</t>
  </si>
  <si>
    <t xml:space="preserve">Product Code</t>
  </si>
  <si>
    <t xml:space="preserve">Shipment Reference</t>
  </si>
  <si>
    <t xml:space="preserve">Source Qty (packs)</t>
  </si>
  <si>
    <t xml:space="preserve">Source Pack Size (individual units/pack)</t>
  </si>
  <si>
    <t xml:space="preserve">Calculated Individual Units</t>
  </si>
  <si>
    <t xml:space="preserve">Source Unit Rate (EUR/individual unit)</t>
  </si>
  <si>
    <t xml:space="preserve">Commercial Unit Rate (EUR/individual unit)</t>
  </si>
  <si>
    <t xml:space="preserve">Source Unit Cost (EUR/individual unit)</t>
  </si>
  <si>
    <t xml:space="preserve">Event Sign</t>
  </si>
  <si>
    <t xml:space="preserve">Signed Individual Units</t>
  </si>
  <si>
    <t xml:space="preserve">Signed Gross Sales (EUR)</t>
  </si>
  <si>
    <t xml:space="preserve">Signed Cost (EUR)</t>
  </si>
  <si>
    <t xml:space="preserve">Signed Rebate (EUR)</t>
  </si>
  <si>
    <t xml:space="preserve">Signed Contribution (EUR)</t>
  </si>
  <si>
    <t xml:space="preserve">Cutoff Classification</t>
  </si>
  <si>
    <t xml:space="preserve">Selected Inclusion</t>
  </si>
  <si>
    <t xml:space="preserve">Alternate Inclusion</t>
  </si>
  <si>
    <t xml:space="preserve">Record Treatment</t>
  </si>
  <si>
    <t xml:space="preserve">Source Copy Cell</t>
  </si>
  <si>
    <t xml:space="preserve">Slash text interpreted as DD/MM/YYYY</t>
  </si>
  <si>
    <t xml:space="preserve">Source Copy!A19</t>
  </si>
  <si>
    <t xml:space="preserve">ISO UTC timestamp parsed</t>
  </si>
  <si>
    <t xml:space="preserve">Source Copy!A20</t>
  </si>
  <si>
    <t xml:space="preserve">Source Copy!A21</t>
  </si>
  <si>
    <t xml:space="preserve">Source Copy!A22</t>
  </si>
  <si>
    <t xml:space="preserve">Source Copy!A23</t>
  </si>
  <si>
    <t xml:space="preserve">Source Copy!A24</t>
  </si>
  <si>
    <t xml:space="preserve">Source Copy!A25</t>
  </si>
  <si>
    <t xml:space="preserve">Source Copy!A26</t>
  </si>
  <si>
    <t xml:space="preserve">Source Copy!A27</t>
  </si>
  <si>
    <t xml:space="preserve">Source Copy!A28</t>
  </si>
  <si>
    <t xml:space="preserve">Germany | Corrected Wholesale Rebate Detail</t>
  </si>
  <si>
    <t xml:space="preserve">Market: Germany | Currency: EUR | Commercial quantity basis: individual units</t>
  </si>
  <si>
    <t xml:space="preserve">Source Copy!A29</t>
  </si>
  <si>
    <t xml:space="preserve">Source Copy!A30</t>
  </si>
  <si>
    <t xml:space="preserve">Source Copy!A31</t>
  </si>
  <si>
    <t xml:space="preserve">Source Copy!A32</t>
  </si>
  <si>
    <t xml:space="preserve">Source Copy!A33</t>
  </si>
  <si>
    <t xml:space="preserve">Source Copy!A34</t>
  </si>
  <si>
    <t xml:space="preserve">Source Copy!A35</t>
  </si>
  <si>
    <t xml:space="preserve">Source Copy!A36</t>
  </si>
  <si>
    <t xml:space="preserve">Source Copy!A37</t>
  </si>
  <si>
    <t xml:space="preserve">Source Copy!A38</t>
  </si>
  <si>
    <t xml:space="preserve">Method and Assumption Register</t>
  </si>
  <si>
    <t xml:space="preserve">Corrected model basis | Frozen snapshot 27 February 2027 | Currency: EUR</t>
  </si>
  <si>
    <t xml:space="preserve">Source facts, interpretation, scenario choice, and calculation rules</t>
  </si>
  <si>
    <t xml:space="preserve">Topic</t>
  </si>
  <si>
    <t xml:space="preserve">Classification</t>
  </si>
  <si>
    <t xml:space="preserve">Source field / record</t>
  </si>
  <si>
    <t xml:space="preserve">Treatment used in the corrected model</t>
  </si>
  <si>
    <t xml:space="preserve">Source scope and markets</t>
  </si>
  <si>
    <t xml:space="preserve">Sourced fact</t>
  </si>
  <si>
    <t xml:space="preserve">Source Copy!D7; Customer map Source Copy!A12:D15</t>
  </si>
  <si>
    <t xml:space="preserve">The frozen snapshot boundary is 27 February 2027. The supplied account map covers France and Germany; records are kept in separate country sheets after the account join.</t>
  </si>
  <si>
    <t xml:space="preserve">Proposal term and commercial guardrail</t>
  </si>
  <si>
    <t xml:space="preserve">Proposed rebate Source Copy!D6; guardrail Source Copy!F6; currency Source Copy!B6</t>
  </si>
  <si>
    <t xml:space="preserve">The model applies the sourced proposed rebate of 7.35% to signed gross sales and compares each contribution-margin percentage with the sourced 13.3% guardrail. Currency is EUR.</t>
  </si>
  <si>
    <t xml:space="preserve">Account-key matching</t>
  </si>
  <si>
    <t xml:space="preserve">Analyst interpretation / correction</t>
  </si>
  <si>
    <t xml:space="preserve">Transaction Cust ID and Customer map Cust ID in Source Copy!A19:L38</t>
  </si>
  <si>
    <t xml:space="preserve">For every transaction, the join key is TRIM(UPPER(original account key)): surrounding whitespace is removed and case is made consistent. The original account-key string remains visible next to the normalized key in each detail sheet.</t>
  </si>
  <si>
    <t xml:space="preserve">Mixed timestamp representations</t>
  </si>
  <si>
    <t xml:space="preserve">Analyst interpretation</t>
  </si>
  <si>
    <t xml:space="preserve">Transaction timestamp in Source Copy!A19:L38; affected record WHR-FR-001</t>
  </si>
  <si>
    <t xml:space="preserve">ISO-form timestamps ending in Z are parsed as UTC. The slash-form text 04/03/2026 08:15 is genuinely ambiguous; it is read as DD/MM/YYYY (4 March 2026, 08:15). An MM/DD reading would be 3 April 2026, also before the cutoff, so the record is retained under either reading. Original text and parsed timestamp are both displayed.</t>
  </si>
  <si>
    <t xml:space="preserve">Cutoff and exact-midnight return</t>
  </si>
  <si>
    <t xml:space="preserve">Scenario choice</t>
  </si>
  <si>
    <t xml:space="preserve">Frozen snapshot date Source Copy!D7; WHR-FR-008 transaction timestamp 2027-02-27T00:00:00Z</t>
  </si>
  <si>
    <t xml:space="preserve">Selected scenario: interpret the stated snapshot date as calendar-date inclusive, so the return at exactly 00:00 on 27 February 2027 is included. Alternate sensitivity: interpret the frozen snapshot as a start-of-day boundary and exclude only that return. Later records are excluded in both scenarios. The source does not control this timestamp convention, so both treatments remain visible.</t>
  </si>
  <si>
    <t xml:space="preserve">Commercial quantity basis</t>
  </si>
  <si>
    <t xml:space="preserve">Sourced field plus calculated rule</t>
  </si>
  <si>
    <t xml:space="preserve">Qty Shipped, Pack size, and Shipment ref in Source Copy!A19:L38</t>
  </si>
  <si>
    <t xml:space="preserve">Individual units are the commercial quantity basis: calculated individual units = source pack quantity multiplied by source pack size. Qty Shipped is packs, not individual units. Shipment references identify dispatches only and are not quantities sold; multiple lines sharing a shipment remain separate economic records.</t>
  </si>
  <si>
    <t xml:space="preserve">Unit-rate precision</t>
  </si>
  <si>
    <t xml:space="preserve">Sourced fact plus analyst correction</t>
  </si>
  <si>
    <t xml:space="preserve">Rate-card precision Source Copy!B7; Unit rate (EUR), including WHR-FR-002 and WHR-DE-002</t>
  </si>
  <si>
    <t xml:space="preserve">The source rate-card convention is EUR 0.01 per individual unit. The commercial unit rate is ROUND(source unit rate, 2); therefore 23.4700003 is treated as EUR 23.47, the same commercial price as 23.47. Machine-level floating-point residue is not presented as a separate price or product.</t>
  </si>
  <si>
    <t xml:space="preserve">Returns and signs</t>
  </si>
  <si>
    <t xml:space="preserve">Calculated rule</t>
  </si>
  <si>
    <t xml:space="preserve">Event field in Source Copy!A19:L38; return IDs WHR-FR-004, WHR-FR-008, WHR-DE-004, WHR-DE-008</t>
  </si>
  <si>
    <t xml:space="preserve">Sale events use sign +1 and Return events use sign -1. Returns reverse individual units, gross sales, cost, rebate value, and contribution; a source record remains one line and is never duplicated as a sale.</t>
  </si>
  <si>
    <t xml:space="preserve">Financial equations</t>
  </si>
  <si>
    <t xml:space="preserve">Visible country detail formulas and sourced rates/costs/proposal term</t>
  </si>
  <si>
    <t xml:space="preserve">Signed gross sales = signed individual units x commercial unit rate. Signed cost = signed individual units x source unit cost. Signed rebate = signed gross sales x proposed rebate. Contribution margin = net sales - net cost - rebate. Contribution margin % = contribution margin / net sales.</t>
  </si>
  <si>
    <t xml:space="preserve">Commercial defensibility comparison</t>
  </si>
  <si>
    <t xml:space="preserve">Sourced guardrail Source Copy!F6; Executive Summary selected table</t>
  </si>
  <si>
    <t xml:space="preserve">The result is commercially defensible only where the selected contribution-margin percentage is at or above the supplied commercial guardrail. The workbook reports that comparison as evidence and does not prescribe an action, negotiation position, or supplier choice.</t>
  </si>
  <si>
    <t xml:space="preserve">Data boundary</t>
  </si>
  <si>
    <t xml:space="preserve">Scope statement</t>
  </si>
  <si>
    <t xml:space="preserve">Supplied workbook only</t>
  </si>
  <si>
    <t xml:space="preserve">No external market information, rates, accounts, transactions, or financial values are introduced. Sourced facts, formulas, and analyst interpretation are distinguished in this register and in the detailed audit columns.</t>
  </si>
  <si>
    <t xml:space="preserve">Change Log - Corrected Wholesale Rebate Model</t>
  </si>
  <si>
    <t xml:space="preserve">Corrections made to the existing model extract; supplied source material is retained unchanged on Source Copy.</t>
  </si>
  <si>
    <t xml:space="preserve">Correction record and source-to-output mapping</t>
  </si>
  <si>
    <t xml:space="preserve">Change ID</t>
  </si>
  <si>
    <t xml:space="preserve">Correction area</t>
  </si>
  <si>
    <t xml:space="preserve">Existing-model issue observed</t>
  </si>
  <si>
    <t xml:space="preserve">Corrected treatment</t>
  </si>
  <si>
    <t xml:space="preserve">Affected source field / record</t>
  </si>
  <si>
    <t xml:space="preserve">Output fields / impact</t>
  </si>
  <si>
    <t xml:space="preserve">CL-01</t>
  </si>
  <si>
    <t xml:space="preserve">Snapshot cutoff and midnight return</t>
  </si>
  <si>
    <t xml:space="preserve">The existing extract says transactions before 27 Feb 2027 and does not make the exact boundary treatment auditable.</t>
  </si>
  <si>
    <t xml:space="preserve">Selected calendar-date-inclusive treatment includes the exact-midnight return; the alternate frozen-boundary sensitivity excludes only it. Post-cutoff records remain excluded.</t>
  </si>
  <si>
    <t xml:space="preserve">Frozen snapshot date Source Copy!D7; WHR-FR-008 Transaction timestamp = 2027-02-27T00:00:00Z</t>
  </si>
  <si>
    <t xml:space="preserve">France columns W:Y; France scenario totals; Executive Summary selected and alternate blocks.</t>
  </si>
  <si>
    <t xml:space="preserve">CL-02</t>
  </si>
  <si>
    <t xml:space="preserve">Timestamp parsing</t>
  </si>
  <si>
    <t xml:space="preserve">The transaction timestamp column mixes ISO UTC text with one ambiguous slash-form value, with no calculation timestamp in the existing extract.</t>
  </si>
  <si>
    <t xml:space="preserve">Original timestamp text is retained. ISO values are parsed as UTC; 04/03/2026 08:15 is interpreted DD/MM/YYYY for calculation and disclosed as an ambiguity.</t>
  </si>
  <si>
    <t xml:space="preserve">France and Germany columns E:G; Method mixed-timestamp register entry.</t>
  </si>
  <si>
    <t xml:space="preserve">CL-03</t>
  </si>
  <si>
    <t xml:space="preserve">Account-key normalization and market assignment</t>
  </si>
  <si>
    <t xml:space="preserve">The existing extract presents raw account-key matching, while source transaction keys include case and surrounding-whitespace variants.</t>
  </si>
  <si>
    <t xml:space="preserve">Account join uses TRIM(UPPER(Cust ID)) against the supplied customer map. Original keys are retained and each normalized key maps to exactly one market.</t>
  </si>
  <si>
    <t xml:space="preserve">Cust ID in transaction detail and Customer map; examples WHR-FR-002, WHR-FR-010, WHR-DE-002, WHR-DE-006, WHR-DE-009.</t>
  </si>
  <si>
    <t xml:space="preserve">France/Germany columns B:D; country separation and all country totals.</t>
  </si>
  <si>
    <t xml:space="preserve">CL-04</t>
  </si>
  <si>
    <t xml:space="preserve">Pack-to-unit quantity basis and shipment references</t>
  </si>
  <si>
    <t xml:space="preserve">The existing extract identifies Qty Shipped as its volume basis; a pack count or a distinct-shipment count is not an individual-unit sales basis.</t>
  </si>
  <si>
    <t xml:space="preserve">Calculated individual units = Qty Shipped packs x Pack size. Shipment refs are identifiers only; shared shipment FR-61084 remains two separate source lines.</t>
  </si>
  <si>
    <t xml:space="preserve">Qty Shipped, Pack size, Shipment ref in Source Copy!A19:L38; shared shipment rows WHR-FR-001 and WHR-FR-002.</t>
  </si>
  <si>
    <t xml:space="preserve">France/Germany columns J:M and R; scenario totals Net individual units.</t>
  </si>
  <si>
    <t xml:space="preserve">CL-05</t>
  </si>
  <si>
    <t xml:space="preserve">Floating-point unit-rate precision</t>
  </si>
  <si>
    <t xml:space="preserve">The source unit-rate column includes a machine-residue representation next to a cents-level commercial rate.</t>
  </si>
  <si>
    <t xml:space="preserve">Commercial rate rounds to the supplied EUR 0.01 rate-card precision; 23.4700003 is treated as EUR 23.47, not a separate price.</t>
  </si>
  <si>
    <t xml:space="preserve">Rate-card precision Source Copy!B7; Unit rate (EUR) on WHR-FR-002 and WHR-DE-002.</t>
  </si>
  <si>
    <t xml:space="preserve">France/Germany columns N:O and signed gross-sales/rebate/contribution calculations.</t>
  </si>
  <si>
    <t xml:space="preserve">CL-06</t>
  </si>
  <si>
    <t xml:space="preserve">Return signs and line-level economics</t>
  </si>
  <si>
    <t xml:space="preserve">The existing extract does not show signed return economics or a line-to-summary audit trail.</t>
  </si>
  <si>
    <t xml:space="preserve">Return events use a negative sign for units, sales, cost, rebate, and contribution. Each source record remains one economic line in its own normalized market.</t>
  </si>
  <si>
    <t xml:space="preserve">Event field in Source Copy!A19:L38; returns WHR-FR-004, WHR-FR-008, WHR-DE-004, WHR-DE-008.</t>
  </si>
  <si>
    <t xml:space="preserve">France/Germany columns Q:V and scenario inclusion columns W:Y; Executive Summary totals.</t>
  </si>
  <si>
    <t xml:space="preserve">Frozen market snapshot - 27 February 2027 | Quillhaven Solutions</t>
  </si>
  <si>
    <t xml:space="preserve">Proposal &amp; commercial terms</t>
  </si>
  <si>
    <t xml:space="preserve">Existing model extract</t>
  </si>
  <si>
    <t xml:space="preserve">Prepared by</t>
  </si>
  <si>
    <t xml:space="preserve">Lidia Sinclair</t>
  </si>
  <si>
    <t xml:space="preserve">Challenge logged</t>
  </si>
  <si>
    <t xml:space="preserve">Raised by</t>
  </si>
  <si>
    <t xml:space="preserve">Antoni Alcantara</t>
  </si>
  <si>
    <t xml:space="preserve">Basis</t>
  </si>
  <si>
    <t xml:space="preserve">Recorded value</t>
  </si>
  <si>
    <t xml:space="preserve">Currency</t>
  </si>
  <si>
    <t xml:space="preserve">EUR</t>
  </si>
  <si>
    <t xml:space="preserve">Commercial CM guardrail</t>
  </si>
  <si>
    <t xml:space="preserve">Filter note</t>
  </si>
  <si>
    <t xml:space="preserve">transactions before 27 Feb 2027</t>
  </si>
  <si>
    <t xml:space="preserve">EUR 0.01 per individual unit</t>
  </si>
  <si>
    <t xml:space="preserve">Frozen snapshot date</t>
  </si>
  <si>
    <t xml:space="preserve">Export timestamp</t>
  </si>
  <si>
    <t xml:space="preserve">2027-02-27 18:10 UTC</t>
  </si>
  <si>
    <t xml:space="preserve">Volume basis</t>
  </si>
  <si>
    <t xml:space="preserve">Qty Shipped</t>
  </si>
  <si>
    <t xml:space="preserve">Account lookup</t>
  </si>
  <si>
    <t xml:space="preserve">account key</t>
  </si>
  <si>
    <t xml:space="preserve">France CM %</t>
  </si>
  <si>
    <t xml:space="preserve">Customer map</t>
  </si>
  <si>
    <t xml:space="preserve">Germany CM %</t>
  </si>
  <si>
    <t xml:space="preserve">Cust ID</t>
  </si>
  <si>
    <t xml:space="preserve">Market</t>
  </si>
  <si>
    <t xml:space="preserve">customer_name</t>
  </si>
  <si>
    <t xml:space="preserve">Map Ref</t>
  </si>
  <si>
    <t xml:space="preserve">Combined CM %</t>
  </si>
  <si>
    <t xml:space="preserve">LA-FR</t>
  </si>
  <si>
    <t xml:space="preserve">Lanterne Assemblage SAS</t>
  </si>
  <si>
    <t xml:space="preserve">MAP-FR-01</t>
  </si>
  <si>
    <t xml:space="preserve">Review state</t>
  </si>
  <si>
    <t xml:space="preserve">Pending correction</t>
  </si>
  <si>
    <t xml:space="preserve">MV-FR</t>
  </si>
  <si>
    <t xml:space="preserve">Montvarin Electrique</t>
  </si>
  <si>
    <t xml:space="preserve">MAP-FR-02</t>
  </si>
  <si>
    <t xml:space="preserve">BR-DE</t>
  </si>
  <si>
    <t xml:space="preserve">Bredenau Werke GmbH</t>
  </si>
  <si>
    <t xml:space="preserve">MAP-DE-01</t>
  </si>
  <si>
    <t xml:space="preserve">KS-DE</t>
  </si>
  <si>
    <t xml:space="preserve">Kestel Schalttechnik GmbH</t>
  </si>
  <si>
    <t xml:space="preserve">MAP-DE-02</t>
  </si>
  <si>
    <t xml:space="preserve">Transaction detail - ERP snapshot</t>
  </si>
  <si>
    <t xml:space="preserve">Record ID</t>
  </si>
  <si>
    <t xml:space="preserve">Transaction timestamp</t>
  </si>
  <si>
    <t xml:space="preserve">Event</t>
  </si>
  <si>
    <t xml:space="preserve">Product code</t>
  </si>
  <si>
    <t xml:space="preserve">Pack size</t>
  </si>
  <si>
    <t xml:space="preserve">Unit rate (EUR)</t>
  </si>
  <si>
    <t xml:space="preserve">Unit cost (EUR)</t>
  </si>
  <si>
    <t xml:space="preserve">Shipment ref</t>
  </si>
  <si>
    <t xml:space="preserve">Entered by</t>
  </si>
  <si>
    <t xml:space="preserve">Line memo</t>
  </si>
  <si>
    <t xml:space="preserve">WHR-FR-001</t>
  </si>
  <si>
    <t xml:space="preserve">04/03/2026 08:15</t>
  </si>
  <si>
    <t xml:space="preserve">Sale</t>
  </si>
  <si>
    <t xml:space="preserve">QH-AR-10</t>
  </si>
  <si>
    <t xml:space="preserve">FR-61084</t>
  </si>
  <si>
    <t xml:space="preserve">m.choi</t>
  </si>
  <si>
    <t xml:space="preserve">WHR-FR-002</t>
  </si>
  <si>
    <t xml:space="preserve">la-fr </t>
  </si>
  <si>
    <t xml:space="preserve">2026-11-18T09:40:00Z</t>
  </si>
  <si>
    <t xml:space="preserve">repeat dispatch</t>
  </si>
  <si>
    <t xml:space="preserve">WHR-FR-003</t>
  </si>
  <si>
    <t xml:space="preserve"> MV-FR</t>
  </si>
  <si>
    <t xml:space="preserve">2026-12-05T14:05:00Z</t>
  </si>
  <si>
    <t xml:space="preserve">QH-PL-60</t>
  </si>
  <si>
    <t xml:space="preserve">FR-61088</t>
  </si>
  <si>
    <t xml:space="preserve">l.bertin</t>
  </si>
  <si>
    <t xml:space="preserve">WHR-FR-004</t>
  </si>
  <si>
    <t xml:space="preserve">mv-fr</t>
  </si>
  <si>
    <t xml:space="preserve">2027-01-11T11:25:00Z</t>
  </si>
  <si>
    <t xml:space="preserve">Return</t>
  </si>
  <si>
    <t xml:space="preserve">FR-RMA-121</t>
  </si>
  <si>
    <t xml:space="preserve">seal issue</t>
  </si>
  <si>
    <t xml:space="preserve">WHR-FR-005</t>
  </si>
  <si>
    <t xml:space="preserve">2027-02-08T08:10:00Z</t>
  </si>
  <si>
    <t xml:space="preserve">FR-61115</t>
  </si>
  <si>
    <t xml:space="preserve">WHR-FR-006</t>
  </si>
  <si>
    <t xml:space="preserve">2027-02-20T15:20:00Z</t>
  </si>
  <si>
    <t xml:space="preserve">FR-61120</t>
  </si>
  <si>
    <t xml:space="preserve">WHR-FR-007</t>
  </si>
  <si>
    <t xml:space="preserve">2027-02-26T16:15:00Z</t>
  </si>
  <si>
    <t xml:space="preserve">FR-61127</t>
  </si>
  <si>
    <t xml:space="preserve">WHR-FR-008</t>
  </si>
  <si>
    <t xml:space="preserve">mv-fr </t>
  </si>
  <si>
    <t xml:space="preserve">2027-02-27T00:00:00Z</t>
  </si>
  <si>
    <t xml:space="preserve">FR-RMA-131</t>
  </si>
  <si>
    <t xml:space="preserve">WHR-FR-009</t>
  </si>
  <si>
    <t xml:space="preserve">2027-03-01T10:00:00Z</t>
  </si>
  <si>
    <t xml:space="preserve">FR-61144</t>
  </si>
  <si>
    <t xml:space="preserve">late posting</t>
  </si>
  <si>
    <t xml:space="preserve">WHR-FR-010</t>
  </si>
  <si>
    <t xml:space="preserve"> la-fr</t>
  </si>
  <si>
    <t xml:space="preserve">2027-02-14T13:45:00Z</t>
  </si>
  <si>
    <t xml:space="preserve">QH-MT-05</t>
  </si>
  <si>
    <t xml:space="preserve">FR-61118</t>
  </si>
  <si>
    <t xml:space="preserve">p.doyle</t>
  </si>
  <si>
    <t xml:space="preserve">WHR-DE-001</t>
  </si>
  <si>
    <t xml:space="preserve">2026-10-10T07:30:00Z</t>
  </si>
  <si>
    <t xml:space="preserve">DE-44091</t>
  </si>
  <si>
    <t xml:space="preserve">a.voss</t>
  </si>
  <si>
    <t xml:space="preserve">WHR-DE-002</t>
  </si>
  <si>
    <t xml:space="preserve">br-de </t>
  </si>
  <si>
    <t xml:space="preserve">2026-11-26T10:45:00Z</t>
  </si>
  <si>
    <t xml:space="preserve">DE-44092</t>
  </si>
  <si>
    <t xml:space="preserve">WHR-DE-003</t>
  </si>
  <si>
    <t xml:space="preserve">2026-12-22T12:00:00Z</t>
  </si>
  <si>
    <t xml:space="preserve">DE-44110</t>
  </si>
  <si>
    <t xml:space="preserve">s.ahn</t>
  </si>
  <si>
    <t xml:space="preserve">WHR-DE-004</t>
  </si>
  <si>
    <t xml:space="preserve">ks-de</t>
  </si>
  <si>
    <t xml:space="preserve">2027-01-18T09:50:00Z</t>
  </si>
  <si>
    <t xml:space="preserve">DE-RMA-061</t>
  </si>
  <si>
    <t xml:space="preserve">WHR-DE-005</t>
  </si>
  <si>
    <t xml:space="preserve">br-de</t>
  </si>
  <si>
    <t xml:space="preserve">2027-02-05T17:25:00Z</t>
  </si>
  <si>
    <t xml:space="preserve">DE-44133</t>
  </si>
  <si>
    <t xml:space="preserve">WHR-DE-006</t>
  </si>
  <si>
    <t xml:space="preserve">KS-DE </t>
  </si>
  <si>
    <t xml:space="preserve">2027-02-23T10:15:00Z</t>
  </si>
  <si>
    <t xml:space="preserve">DE-44138</t>
  </si>
  <si>
    <t xml:space="preserve">WHR-DE-007</t>
  </si>
  <si>
    <t xml:space="preserve">2027-02-26T22:59:00Z</t>
  </si>
  <si>
    <t xml:space="preserve">DE-44140</t>
  </si>
  <si>
    <t xml:space="preserve">WHR-DE-008</t>
  </si>
  <si>
    <t xml:space="preserve">ks-de </t>
  </si>
  <si>
    <t xml:space="preserve">2027-02-28T01:05:00Z</t>
  </si>
  <si>
    <t xml:space="preserve">DE-RMA-068</t>
  </si>
  <si>
    <t xml:space="preserve">WHR-DE-009</t>
  </si>
  <si>
    <t xml:space="preserve">BR-DE </t>
  </si>
  <si>
    <t xml:space="preserve">2027-03-02T06:45:00Z</t>
  </si>
  <si>
    <t xml:space="preserve">DE-44152</t>
  </si>
  <si>
    <t xml:space="preserve">WHR-DE-010</t>
  </si>
  <si>
    <t xml:space="preserve">2027-02-12T11:10:00Z</t>
  </si>
  <si>
    <t xml:space="preserve">DE-44135</t>
  </si>
  <si>
    <t xml:space="preserve">Export footer</t>
  </si>
  <si>
    <t xml:space="preserve">Wholesale Ledger v4.2 | snapshot generated 2027-02-27 18:10 UTC</t>
  </si>
  <si>
    <t xml:space="preserve">Some export memo fields are blank.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</si>
</sst>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#,##0&quot; individual units&quot;;[RED]\-#,##0&quot; individual units&quot;"/>
    <numFmt numFmtId="167" formatCode="#,##0.00&quot; EUR&quot;;[RED]\-#,##0.00&quot; EUR&quot;"/>
    <numFmt numFmtId="168" formatCode="0.0&quot; pp&quot;;[RED]\-0.0&quot; pp&quot;"/>
    <numFmt numFmtId="169" formatCode="General"/>
    <numFmt numFmtId="170" formatCode="d\ mmmm\ yyyy"/>
    <numFmt numFmtId="171" formatCode="yyyy\-mm\-dd\ hh:mm:ss"/>
    <numFmt numFmtId="172" formatCode="0.#########"/>
    <numFmt numFmtId="173" formatCode="0.00&quot; EUR&quot;"/>
    <numFmt numFmtId="174" formatCode="@"/>
    <numFmt numFmtId="175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10"/>
      <color rgb="FF595959"/>
      <name val="Aptos"/>
      <family val="0"/>
      <charset val="1"/>
    </font>
    <font>
      <b val="true"/>
      <sz val="10"/>
      <color rgb="FF17365D"/>
      <name val="Aptos"/>
      <family val="0"/>
      <charset val="1"/>
    </font>
    <font>
      <i val="true"/>
      <sz val="9"/>
      <color rgb="FF59595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9"/>
      <color rgb="FFFFFFFF"/>
      <name val="Aptos"/>
      <family val="0"/>
      <charset val="1"/>
    </font>
    <font>
      <b val="true"/>
      <sz val="9"/>
      <name val="Aptos"/>
      <family val="0"/>
      <charset val="1"/>
    </font>
    <font>
      <b val="true"/>
      <sz val="11"/>
      <color rgb="FF17365D"/>
      <name val="Aptos"/>
      <family val="0"/>
      <charset val="1"/>
    </font>
    <font>
      <b val="true"/>
      <sz val="9"/>
      <color rgb="FF595959"/>
      <name val="Aptos"/>
      <family val="0"/>
      <charset val="1"/>
    </font>
    <font>
      <b val="true"/>
      <sz val="9"/>
      <color rgb="FF17365D"/>
      <name val="Aptos"/>
      <family val="0"/>
      <charset val="1"/>
    </font>
    <font>
      <i val="true"/>
      <sz val="8"/>
      <color rgb="FF595959"/>
      <name val="Aptos"/>
      <family val="0"/>
      <charset val="1"/>
    </font>
    <font>
      <b val="true"/>
      <sz val="9"/>
      <color rgb="FF806000"/>
      <name val="Aptos"/>
      <family val="0"/>
      <charset val="1"/>
    </font>
    <font>
      <sz val="9"/>
      <name val="Aptos"/>
      <family val="0"/>
      <charset val="1"/>
    </font>
    <font>
      <b val="true"/>
      <sz val="8"/>
      <color rgb="FF595959"/>
      <name val="Aptos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FF8E1"/>
      </patternFill>
    </fill>
    <fill>
      <patternFill patternType="solid">
        <fgColor rgb="FFF2F2F2"/>
        <bgColor rgb="FFEEEEEE"/>
      </patternFill>
    </fill>
    <fill>
      <patternFill patternType="solid">
        <fgColor rgb="FFF5FAFE"/>
        <bgColor rgb="FFF4F8FC"/>
      </patternFill>
    </fill>
    <fill>
      <patternFill patternType="solid">
        <fgColor rgb="FFEAF2F8"/>
        <bgColor rgb="FFF2F2F2"/>
      </patternFill>
    </fill>
    <fill>
      <patternFill patternType="solid">
        <fgColor rgb="FF806000"/>
        <bgColor rgb="FF595959"/>
      </patternFill>
    </fill>
    <fill>
      <patternFill patternType="solid">
        <fgColor rgb="FFFFF8E1"/>
        <bgColor rgb="FFFFF2CC"/>
      </patternFill>
    </fill>
    <fill>
      <patternFill patternType="solid">
        <fgColor rgb="FF2F75B5"/>
        <bgColor rgb="FF4F81BD"/>
      </patternFill>
    </fill>
    <fill>
      <patternFill patternType="solid">
        <fgColor rgb="FFF4F8FC"/>
        <bgColor rgb="FFF5FAFE"/>
      </patternFill>
    </fill>
    <fill>
      <patternFill patternType="solid">
        <fgColor rgb="FFEEEEEE"/>
        <bgColor rgb="FFF2F2F2"/>
      </patternFill>
    </fill>
    <fill>
      <patternFill patternType="solid">
        <fgColor rgb="FF2F855A"/>
        <bgColor rgb="FF008080"/>
      </patternFill>
    </fill>
    <fill>
      <patternFill patternType="solid">
        <fgColor rgb="FFE2F0D9"/>
        <bgColor rgb="FFE7E6E6"/>
      </patternFill>
    </fill>
    <fill>
      <patternFill patternType="solid">
        <fgColor rgb="FF1F4E78"/>
        <bgColor rgb="FF17365D"/>
      </patternFill>
    </fill>
    <fill>
      <patternFill patternType="solid">
        <fgColor rgb="FFE7E6E6"/>
        <bgColor rgb="FFEEEEEE"/>
      </patternFill>
    </fill>
    <fill>
      <patternFill patternType="solid">
        <fgColor rgb="FFF8FBFD"/>
        <bgColor rgb="FFF5F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7365D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7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6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7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6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7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6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7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9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9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9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9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4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4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4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4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11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11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11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12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12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12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12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12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0" fillId="1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0" fillId="17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17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17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F75B5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DEBF7"/>
        </patternFill>
      </fill>
    </dxf>
    <dxf>
      <fill>
        <patternFill patternType="solid">
          <fgColor rgb="FF2F855A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8FBF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BFD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7B7B7"/>
      <rgbColor rgb="FF4F81BD"/>
      <rgbColor rgb="FF9999FF"/>
      <rgbColor rgb="FF993366"/>
      <rgbColor rgb="FFFFF8E1"/>
      <rgbColor rgb="FFD9EAF7"/>
      <rgbColor rgb="FF660066"/>
      <rgbColor rgb="FFFF8080"/>
      <rgbColor rgb="FF0066CC"/>
      <rgbColor rgb="FFE7E6E6"/>
      <rgbColor rgb="FF000080"/>
      <rgbColor rgb="FFFF00FF"/>
      <rgbColor rgb="FFF5FAFE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2CC"/>
      <rgbColor rgb="FFEAF2F8"/>
      <rgbColor rgb="FFF2F2F2"/>
      <rgbColor rgb="FFF4F8FC"/>
      <rgbColor rgb="FFEEEEEE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2F855A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3"/>
    <col collapsed="false" customWidth="true" hidden="false" outlineLevel="0" max="4" min="4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.75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/>
      <c r="C4" s="3"/>
      <c r="D4" s="3"/>
    </row>
    <row r="5" customFormat="false" ht="27.75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5" t="s">
        <v>4</v>
      </c>
      <c r="B7" s="5"/>
      <c r="C7" s="5"/>
      <c r="D7" s="5"/>
    </row>
    <row r="8" customFormat="false" ht="15" hidden="false" customHeight="false" outlineLevel="0" collapsed="false">
      <c r="A8" s="6" t="s">
        <v>5</v>
      </c>
      <c r="B8" s="6" t="s">
        <v>6</v>
      </c>
      <c r="C8" s="6" t="s">
        <v>7</v>
      </c>
      <c r="D8" s="6" t="s">
        <v>8</v>
      </c>
    </row>
    <row r="9" customFormat="false" ht="15" hidden="false" customHeight="false" outlineLevel="0" collapsed="false">
      <c r="A9" s="7" t="s">
        <v>9</v>
      </c>
      <c r="B9" s="8" t="n">
        <f aca="false">France!$E$3</f>
        <v>0.0735</v>
      </c>
      <c r="C9" s="8" t="n">
        <f aca="false">Germany!$E$3</f>
        <v>0.0735</v>
      </c>
      <c r="D9" s="9" t="n">
        <f aca="false">B9</f>
        <v>0.0735</v>
      </c>
    </row>
    <row r="10" customFormat="false" ht="15" hidden="false" customHeight="false" outlineLevel="0" collapsed="false">
      <c r="A10" s="7" t="s">
        <v>10</v>
      </c>
      <c r="B10" s="10" t="n">
        <f aca="false">France!$B$10</f>
        <v>1208</v>
      </c>
      <c r="C10" s="10" t="n">
        <f aca="false">Germany!$B$10</f>
        <v>1140</v>
      </c>
      <c r="D10" s="11" t="n">
        <f aca="false">SUM(B10:C10)</f>
        <v>2348</v>
      </c>
    </row>
    <row r="11" customFormat="false" ht="15" hidden="false" customHeight="false" outlineLevel="0" collapsed="false">
      <c r="A11" s="7" t="s">
        <v>11</v>
      </c>
      <c r="B11" s="12" t="n">
        <f aca="false">France!$B$11</f>
        <v>28507.28</v>
      </c>
      <c r="C11" s="12" t="n">
        <f aca="false">Germany!$B$11</f>
        <v>28801.68</v>
      </c>
      <c r="D11" s="13" t="n">
        <f aca="false">SUM(B11:C11)</f>
        <v>57308.96</v>
      </c>
    </row>
    <row r="12" customFormat="false" ht="15" hidden="false" customHeight="false" outlineLevel="0" collapsed="false">
      <c r="A12" s="7" t="s">
        <v>12</v>
      </c>
      <c r="B12" s="12" t="n">
        <f aca="false">France!$B$12</f>
        <v>22398.08</v>
      </c>
      <c r="C12" s="12" t="n">
        <f aca="false">Germany!$B$12</f>
        <v>23048.52</v>
      </c>
      <c r="D12" s="13" t="n">
        <f aca="false">SUM(B12:C12)</f>
        <v>45446.6</v>
      </c>
    </row>
    <row r="13" customFormat="false" ht="15" hidden="false" customHeight="false" outlineLevel="0" collapsed="false">
      <c r="A13" s="7" t="s">
        <v>13</v>
      </c>
      <c r="B13" s="12" t="n">
        <f aca="false">France!$B$13</f>
        <v>2095.28508</v>
      </c>
      <c r="C13" s="12" t="n">
        <f aca="false">Germany!$B$13</f>
        <v>2116.92348</v>
      </c>
      <c r="D13" s="13" t="n">
        <f aca="false">SUM(B13:C13)</f>
        <v>4212.20856</v>
      </c>
    </row>
    <row r="14" customFormat="false" ht="15" hidden="false" customHeight="false" outlineLevel="0" collapsed="false">
      <c r="A14" s="7" t="s">
        <v>14</v>
      </c>
      <c r="B14" s="12" t="n">
        <f aca="false">France!$B$14</f>
        <v>4013.91492</v>
      </c>
      <c r="C14" s="12" t="n">
        <f aca="false">Germany!$B$14</f>
        <v>3636.23652</v>
      </c>
      <c r="D14" s="13" t="n">
        <f aca="false">SUM(B14:C14)</f>
        <v>7650.15144</v>
      </c>
    </row>
    <row r="15" customFormat="false" ht="15" hidden="false" customHeight="false" outlineLevel="0" collapsed="false">
      <c r="A15" s="7" t="s">
        <v>15</v>
      </c>
      <c r="B15" s="8" t="n">
        <f aca="false">France!$B$15</f>
        <v>0.140803153440104</v>
      </c>
      <c r="C15" s="8" t="n">
        <f aca="false">Germany!$B$15</f>
        <v>0.126250847867208</v>
      </c>
      <c r="D15" s="9" t="n">
        <f aca="false">IFERROR(D14/D11,0)</f>
        <v>0.133489622565128</v>
      </c>
    </row>
    <row r="16" customFormat="false" ht="15" hidden="false" customHeight="false" outlineLevel="0" collapsed="false">
      <c r="A16" s="7" t="s">
        <v>16</v>
      </c>
      <c r="B16" s="8" t="n">
        <f aca="false">France!$B$16</f>
        <v>0.133</v>
      </c>
      <c r="C16" s="8" t="n">
        <f aca="false">Germany!$B$16</f>
        <v>0.133</v>
      </c>
      <c r="D16" s="9" t="n">
        <f aca="false">B16</f>
        <v>0.133</v>
      </c>
    </row>
    <row r="17" customFormat="false" ht="15" hidden="false" customHeight="false" outlineLevel="0" collapsed="false">
      <c r="A17" s="7" t="s">
        <v>17</v>
      </c>
      <c r="B17" s="14" t="n">
        <f aca="false">France!$B$17</f>
        <v>0.780315344010368</v>
      </c>
      <c r="C17" s="14" t="n">
        <f aca="false">Germany!$B$17</f>
        <v>-0.674915213279229</v>
      </c>
      <c r="D17" s="15" t="n">
        <f aca="false">(D15-D16)*100</f>
        <v>0.0489622565127662</v>
      </c>
    </row>
    <row r="18" customFormat="false" ht="15" hidden="false" customHeight="false" outlineLevel="0" collapsed="false">
      <c r="A18" s="7" t="s">
        <v>18</v>
      </c>
      <c r="B18" s="16" t="str">
        <f aca="false">France!$B$18</f>
        <v>Meets supplied guardrail</v>
      </c>
      <c r="C18" s="16" t="str">
        <f aca="false">Germany!$B$18</f>
        <v>Below supplied guardrail</v>
      </c>
      <c r="D18" s="17" t="str">
        <f aca="false">IF(D15&gt;=D16,"Meets supplied guardrail","Below supplied guardrail")</f>
        <v>Meets supplied guardrail</v>
      </c>
    </row>
    <row r="21" customFormat="false" ht="15" hidden="false" customHeight="false" outlineLevel="0" collapsed="false">
      <c r="A21" s="18" t="s">
        <v>19</v>
      </c>
      <c r="B21" s="18"/>
      <c r="C21" s="18"/>
      <c r="D21" s="18"/>
    </row>
    <row r="22" customFormat="false" ht="15" hidden="false" customHeight="false" outlineLevel="0" collapsed="false">
      <c r="A22" s="19" t="s">
        <v>5</v>
      </c>
      <c r="B22" s="19" t="s">
        <v>6</v>
      </c>
      <c r="C22" s="19" t="s">
        <v>7</v>
      </c>
      <c r="D22" s="19" t="s">
        <v>8</v>
      </c>
    </row>
    <row r="23" customFormat="false" ht="15" hidden="false" customHeight="false" outlineLevel="0" collapsed="false">
      <c r="A23" s="20" t="s">
        <v>10</v>
      </c>
      <c r="B23" s="21" t="n">
        <f aca="false">France!$C$10</f>
        <v>1304</v>
      </c>
      <c r="C23" s="21" t="n">
        <f aca="false">Germany!$C$10</f>
        <v>1140</v>
      </c>
      <c r="D23" s="21" t="n">
        <f aca="false">SUM(B23:C23)</f>
        <v>2444</v>
      </c>
    </row>
    <row r="24" customFormat="false" ht="15" hidden="false" customHeight="false" outlineLevel="0" collapsed="false">
      <c r="A24" s="20" t="s">
        <v>11</v>
      </c>
      <c r="B24" s="22" t="n">
        <f aca="false">France!$C$11</f>
        <v>31560.08</v>
      </c>
      <c r="C24" s="22" t="n">
        <f aca="false">Germany!$C$11</f>
        <v>28801.68</v>
      </c>
      <c r="D24" s="22" t="n">
        <f aca="false">SUM(B24:C24)</f>
        <v>60361.76</v>
      </c>
    </row>
    <row r="25" customFormat="false" ht="15" hidden="false" customHeight="false" outlineLevel="0" collapsed="false">
      <c r="A25" s="20" t="s">
        <v>12</v>
      </c>
      <c r="B25" s="22" t="n">
        <f aca="false">France!$C$12</f>
        <v>24910.4</v>
      </c>
      <c r="C25" s="22" t="n">
        <f aca="false">Germany!$C$12</f>
        <v>23048.52</v>
      </c>
      <c r="D25" s="22" t="n">
        <f aca="false">SUM(B25:C25)</f>
        <v>47958.92</v>
      </c>
    </row>
    <row r="26" customFormat="false" ht="15" hidden="false" customHeight="false" outlineLevel="0" collapsed="false">
      <c r="A26" s="20" t="s">
        <v>13</v>
      </c>
      <c r="B26" s="22" t="n">
        <f aca="false">France!$C$13</f>
        <v>2319.66588</v>
      </c>
      <c r="C26" s="22" t="n">
        <f aca="false">Germany!$C$13</f>
        <v>2116.92348</v>
      </c>
      <c r="D26" s="22" t="n">
        <f aca="false">SUM(B26:C26)</f>
        <v>4436.58936</v>
      </c>
    </row>
    <row r="27" customFormat="false" ht="15" hidden="false" customHeight="false" outlineLevel="0" collapsed="false">
      <c r="A27" s="20" t="s">
        <v>14</v>
      </c>
      <c r="B27" s="22" t="n">
        <f aca="false">France!$C$14</f>
        <v>4330.01412</v>
      </c>
      <c r="C27" s="22" t="n">
        <f aca="false">Germany!$C$14</f>
        <v>3636.23652</v>
      </c>
      <c r="D27" s="22" t="n">
        <f aca="false">SUM(B27:C27)</f>
        <v>7966.25064</v>
      </c>
    </row>
    <row r="28" customFormat="false" ht="15" hidden="false" customHeight="false" outlineLevel="0" collapsed="false">
      <c r="A28" s="20" t="s">
        <v>15</v>
      </c>
      <c r="B28" s="23" t="n">
        <f aca="false">France!$C$15</f>
        <v>0.137199085680391</v>
      </c>
      <c r="C28" s="23" t="n">
        <f aca="false">Germany!$C$15</f>
        <v>0.126250847867208</v>
      </c>
      <c r="D28" s="23" t="n">
        <f aca="false">IFERROR(D27/D24,0)</f>
        <v>0.131975121997768</v>
      </c>
    </row>
    <row r="29" customFormat="false" ht="15" hidden="false" customHeight="false" outlineLevel="0" collapsed="false">
      <c r="A29" s="20" t="s">
        <v>16</v>
      </c>
      <c r="B29" s="23" t="n">
        <f aca="false">France!$C$16</f>
        <v>0.133</v>
      </c>
      <c r="C29" s="23" t="n">
        <f aca="false">Germany!$C$16</f>
        <v>0.133</v>
      </c>
      <c r="D29" s="23" t="n">
        <f aca="false">B29</f>
        <v>0.133</v>
      </c>
    </row>
    <row r="30" customFormat="false" ht="15" hidden="false" customHeight="false" outlineLevel="0" collapsed="false">
      <c r="A30" s="20" t="s">
        <v>17</v>
      </c>
      <c r="B30" s="24" t="n">
        <f aca="false">France!$C$17</f>
        <v>0.419908568039115</v>
      </c>
      <c r="C30" s="24" t="n">
        <f aca="false">Germany!$C$17</f>
        <v>-0.674915213279229</v>
      </c>
      <c r="D30" s="24" t="n">
        <f aca="false">(D28-D29)*100</f>
        <v>-0.102487800223189</v>
      </c>
    </row>
    <row r="31" customFormat="false" ht="15" hidden="false" customHeight="false" outlineLevel="0" collapsed="false">
      <c r="A31" s="20" t="s">
        <v>18</v>
      </c>
      <c r="B31" s="25" t="str">
        <f aca="false">France!$C$18</f>
        <v>Meets supplied guardrail</v>
      </c>
      <c r="C31" s="25" t="str">
        <f aca="false">Germany!$C$18</f>
        <v>Below supplied guardrail</v>
      </c>
      <c r="D31" s="25" t="str">
        <f aca="false">IF(D28&gt;=D29,"Meets supplied guardrail","Below supplied guardrail")</f>
        <v>Below supplied guardrail</v>
      </c>
    </row>
    <row r="32" customFormat="false" ht="15" hidden="false" customHeight="false" outlineLevel="0" collapsed="false">
      <c r="A32" s="20" t="s">
        <v>20</v>
      </c>
      <c r="B32" s="24" t="n">
        <f aca="false">(B28-B15)*100</f>
        <v>-0.360406775971253</v>
      </c>
      <c r="C32" s="24" t="n">
        <f aca="false">(C28-C15)*100</f>
        <v>0</v>
      </c>
      <c r="D32" s="24" t="n">
        <f aca="false">(D28-D15)*100</f>
        <v>-0.151450056735955</v>
      </c>
    </row>
    <row r="35" customFormat="false" ht="25.5" hidden="false" customHeight="true" outlineLevel="0" collapsed="false">
      <c r="A35" s="26" t="str">
        <f aca="false">IF(D15&gt;=D16,"Selected scenario conclusion: The proposed rebate is commercially defensible against the supplied guardrail on the selected calendar-date-inclusive basis.","Selected scenario conclusion: The proposed rebate is below the supplied guardrail on the selected calendar-date-inclusive basis and is not commercially defensible on that basis.")</f>
        <v>Selected scenario conclusion: The proposed rebate is commercially defensible against the supplied guardrail on the selected calendar-date-inclusive basis.</v>
      </c>
      <c r="B35" s="26"/>
      <c r="C35" s="26"/>
      <c r="D35" s="26"/>
    </row>
    <row r="36" customFormat="false" ht="25.5" hidden="false" customHeight="true" outlineLevel="0" collapsed="false">
      <c r="A36" s="26"/>
      <c r="B36" s="26"/>
      <c r="C36" s="26"/>
      <c r="D36" s="26"/>
    </row>
    <row r="38" customFormat="false" ht="25.5" hidden="false" customHeight="true" outlineLevel="0" collapsed="false">
      <c r="A38" s="27" t="s">
        <v>21</v>
      </c>
      <c r="B38" s="27"/>
      <c r="C38" s="27"/>
      <c r="D38" s="27"/>
    </row>
  </sheetData>
  <mergeCells count="8">
    <mergeCell ref="A1:D1"/>
    <mergeCell ref="A2:D2"/>
    <mergeCell ref="A4:D4"/>
    <mergeCell ref="A5:D5"/>
    <mergeCell ref="A7:D7"/>
    <mergeCell ref="A21:D21"/>
    <mergeCell ref="A35:D36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AA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2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25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22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24"/>
    <col collapsed="false" customWidth="true" hidden="false" outlineLevel="0" max="16" min="16" style="0" width="22"/>
    <col collapsed="false" customWidth="true" hidden="false" outlineLevel="0" max="17" min="17" style="0" width="11"/>
    <col collapsed="false" customWidth="true" hidden="false" outlineLevel="0" max="18" min="18" style="0" width="19"/>
    <col collapsed="false" customWidth="true" hidden="false" outlineLevel="0" max="19" min="19" style="0" width="20"/>
    <col collapsed="false" customWidth="true" hidden="false" outlineLevel="0" max="21" min="20" style="0" width="18"/>
    <col collapsed="false" customWidth="true" hidden="false" outlineLevel="0" max="22" min="22" style="0" width="22"/>
    <col collapsed="false" customWidth="true" hidden="false" outlineLevel="0" max="23" min="23" style="0" width="24"/>
    <col collapsed="false" customWidth="true" hidden="false" outlineLevel="0" max="25" min="24" style="0" width="18"/>
    <col collapsed="false" customWidth="true" hidden="false" outlineLevel="0" max="26" min="26" style="0" width="35"/>
    <col collapsed="false" customWidth="true" hidden="false" outlineLevel="0" max="27" min="27" style="0" width="19"/>
  </cols>
  <sheetData>
    <row r="1" customFormat="false" ht="24.75" hidden="false" customHeight="true" outlineLevel="0" collapsed="false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customFormat="false" ht="18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5" hidden="false" customHeight="false" outlineLevel="0" collapsed="false">
      <c r="A3" s="29" t="s">
        <v>24</v>
      </c>
      <c r="B3" s="30" t="n">
        <f aca="false">'Source Copy'!$D$7</f>
        <v>46445</v>
      </c>
      <c r="C3" s="31"/>
      <c r="D3" s="29" t="s">
        <v>25</v>
      </c>
      <c r="E3" s="32" t="n">
        <f aca="false">'Source Copy'!$D$6</f>
        <v>0.0735</v>
      </c>
      <c r="F3" s="31"/>
      <c r="G3" s="29" t="s">
        <v>26</v>
      </c>
      <c r="H3" s="32" t="n">
        <f aca="false">'Source Copy'!$F$6</f>
        <v>0.133</v>
      </c>
      <c r="I3" s="31"/>
      <c r="J3" s="29" t="s">
        <v>27</v>
      </c>
      <c r="K3" s="31" t="str">
        <f aca="false">'Source Copy'!$B$7</f>
        <v>EUR 0.01 per individual unit</v>
      </c>
    </row>
    <row r="4" customFormat="false" ht="30" hidden="false" customHeight="true" outlineLevel="0" collapsed="false">
      <c r="A4" s="33" t="s">
        <v>28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7" customFormat="false" ht="15" hidden="false" customHeight="false" outlineLevel="0" collapsed="false">
      <c r="A7" s="34" t="s">
        <v>29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customFormat="false" ht="15" hidden="false" customHeight="false" outlineLevel="0" collapsed="false">
      <c r="A8" s="35" t="s">
        <v>5</v>
      </c>
      <c r="B8" s="35" t="s">
        <v>30</v>
      </c>
      <c r="C8" s="35" t="s">
        <v>31</v>
      </c>
      <c r="D8" s="35" t="s">
        <v>32</v>
      </c>
    </row>
    <row r="9" customFormat="false" ht="20.85" hidden="false" customHeight="false" outlineLevel="0" collapsed="false">
      <c r="A9" s="7" t="s">
        <v>33</v>
      </c>
      <c r="B9" s="36" t="n">
        <f aca="false">COUNTIF($X$23:$X$32,"Include")</f>
        <v>9</v>
      </c>
      <c r="C9" s="37" t="n">
        <f aca="false">COUNTIF($Y$23:$Y$32,"Include")</f>
        <v>8</v>
      </c>
      <c r="D9" s="38" t="s">
        <v>34</v>
      </c>
    </row>
    <row r="10" customFormat="false" ht="20.85" hidden="false" customHeight="false" outlineLevel="0" collapsed="false">
      <c r="A10" s="7" t="s">
        <v>10</v>
      </c>
      <c r="B10" s="39" t="n">
        <f aca="false">SUMIF($X$23:$X$32,"Include",$R$23:$R$32)</f>
        <v>1208</v>
      </c>
      <c r="C10" s="40" t="n">
        <f aca="false">SUMIF($Y$23:$Y$32,"Include",$R$23:$R$32)</f>
        <v>1304</v>
      </c>
      <c r="D10" s="38" t="s">
        <v>35</v>
      </c>
    </row>
    <row r="11" customFormat="false" ht="20.85" hidden="false" customHeight="false" outlineLevel="0" collapsed="false">
      <c r="A11" s="7" t="s">
        <v>11</v>
      </c>
      <c r="B11" s="41" t="n">
        <f aca="false">SUMIF($X$23:$X$32,"Include",$S$23:$S$32)</f>
        <v>28507.28</v>
      </c>
      <c r="C11" s="42" t="n">
        <f aca="false">SUMIF($Y$23:$Y$32,"Include",$S$23:$S$32)</f>
        <v>31560.08</v>
      </c>
      <c r="D11" s="38" t="s">
        <v>36</v>
      </c>
    </row>
    <row r="12" customFormat="false" ht="20.85" hidden="false" customHeight="false" outlineLevel="0" collapsed="false">
      <c r="A12" s="7" t="s">
        <v>12</v>
      </c>
      <c r="B12" s="41" t="n">
        <f aca="false">SUMIF($X$23:$X$32,"Include",$T$23:$T$32)</f>
        <v>22398.08</v>
      </c>
      <c r="C12" s="42" t="n">
        <f aca="false">SUMIF($Y$23:$Y$32,"Include",$T$23:$T$32)</f>
        <v>24910.4</v>
      </c>
      <c r="D12" s="38" t="s">
        <v>37</v>
      </c>
    </row>
    <row r="13" customFormat="false" ht="20.85" hidden="false" customHeight="false" outlineLevel="0" collapsed="false">
      <c r="A13" s="7" t="s">
        <v>13</v>
      </c>
      <c r="B13" s="41" t="n">
        <f aca="false">SUMIF($X$23:$X$32,"Include",$U$23:$U$32)</f>
        <v>2095.28508</v>
      </c>
      <c r="C13" s="42" t="n">
        <f aca="false">SUMIF($Y$23:$Y$32,"Include",$U$23:$U$32)</f>
        <v>2319.66588</v>
      </c>
      <c r="D13" s="38" t="s">
        <v>38</v>
      </c>
    </row>
    <row r="14" customFormat="false" ht="22.35" hidden="false" customHeight="false" outlineLevel="0" collapsed="false">
      <c r="A14" s="7" t="s">
        <v>14</v>
      </c>
      <c r="B14" s="41" t="n">
        <f aca="false">SUMIF($X$23:$X$32,"Include",$V$23:$V$32)</f>
        <v>4013.91492</v>
      </c>
      <c r="C14" s="42" t="n">
        <f aca="false">SUMIF($Y$23:$Y$32,"Include",$V$23:$V$32)</f>
        <v>4330.01412</v>
      </c>
      <c r="D14" s="38" t="s">
        <v>39</v>
      </c>
    </row>
    <row r="15" customFormat="false" ht="22.35" hidden="false" customHeight="false" outlineLevel="0" collapsed="false">
      <c r="A15" s="7" t="s">
        <v>15</v>
      </c>
      <c r="B15" s="43" t="n">
        <f aca="false">IFERROR(B14/B11,0)</f>
        <v>0.140803153440104</v>
      </c>
      <c r="C15" s="44" t="n">
        <f aca="false">IFERROR(C14/C11,0)</f>
        <v>0.137199085680391</v>
      </c>
      <c r="D15" s="38" t="s">
        <v>40</v>
      </c>
    </row>
    <row r="16" customFormat="false" ht="22.35" hidden="false" customHeight="false" outlineLevel="0" collapsed="false">
      <c r="A16" s="7" t="s">
        <v>16</v>
      </c>
      <c r="B16" s="43" t="n">
        <f aca="false">$H$3</f>
        <v>0.133</v>
      </c>
      <c r="C16" s="44" t="n">
        <f aca="false">$H$3</f>
        <v>0.133</v>
      </c>
      <c r="D16" s="38" t="s">
        <v>41</v>
      </c>
    </row>
    <row r="17" customFormat="false" ht="22.35" hidden="false" customHeight="false" outlineLevel="0" collapsed="false">
      <c r="A17" s="7" t="s">
        <v>17</v>
      </c>
      <c r="B17" s="45" t="n">
        <f aca="false">(B15-B16)*100</f>
        <v>0.780315344010368</v>
      </c>
      <c r="C17" s="46" t="n">
        <f aca="false">(C15-C16)*100</f>
        <v>0.419908568039115</v>
      </c>
      <c r="D17" s="38" t="s">
        <v>42</v>
      </c>
    </row>
    <row r="18" customFormat="false" ht="28.35" hidden="false" customHeight="false" outlineLevel="0" collapsed="false">
      <c r="A18" s="7" t="s">
        <v>18</v>
      </c>
      <c r="B18" s="36" t="str">
        <f aca="false">IF(B15&gt;=B16,"Meets supplied guardrail","Below supplied guardrail")</f>
        <v>Meets supplied guardrail</v>
      </c>
      <c r="C18" s="37" t="str">
        <f aca="false">IF(C15&gt;=C16,"Meets supplied guardrail","Below supplied guardrail")</f>
        <v>Meets supplied guardrail</v>
      </c>
      <c r="D18" s="38" t="s">
        <v>43</v>
      </c>
    </row>
    <row r="20" customFormat="false" ht="15" hidden="false" customHeight="true" outlineLevel="0" collapsed="false">
      <c r="A20" s="47" t="s">
        <v>44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2" customFormat="false" ht="43.5" hidden="false" customHeight="true" outlineLevel="0" collapsed="false">
      <c r="A22" s="35" t="s">
        <v>45</v>
      </c>
      <c r="B22" s="35" t="s">
        <v>46</v>
      </c>
      <c r="C22" s="35" t="s">
        <v>47</v>
      </c>
      <c r="D22" s="35" t="s">
        <v>48</v>
      </c>
      <c r="E22" s="35" t="s">
        <v>49</v>
      </c>
      <c r="F22" s="35" t="s">
        <v>50</v>
      </c>
      <c r="G22" s="35" t="s">
        <v>51</v>
      </c>
      <c r="H22" s="35" t="s">
        <v>52</v>
      </c>
      <c r="I22" s="35" t="s">
        <v>53</v>
      </c>
      <c r="J22" s="35" t="s">
        <v>54</v>
      </c>
      <c r="K22" s="35" t="s">
        <v>55</v>
      </c>
      <c r="L22" s="35" t="s">
        <v>56</v>
      </c>
      <c r="M22" s="35" t="s">
        <v>57</v>
      </c>
      <c r="N22" s="35" t="s">
        <v>58</v>
      </c>
      <c r="O22" s="35" t="s">
        <v>59</v>
      </c>
      <c r="P22" s="35" t="s">
        <v>60</v>
      </c>
      <c r="Q22" s="35" t="s">
        <v>61</v>
      </c>
      <c r="R22" s="35" t="s">
        <v>62</v>
      </c>
      <c r="S22" s="35" t="s">
        <v>63</v>
      </c>
      <c r="T22" s="35" t="s">
        <v>64</v>
      </c>
      <c r="U22" s="35" t="s">
        <v>65</v>
      </c>
      <c r="V22" s="35" t="s">
        <v>66</v>
      </c>
      <c r="W22" s="35" t="s">
        <v>67</v>
      </c>
      <c r="X22" s="35" t="s">
        <v>68</v>
      </c>
      <c r="Y22" s="35" t="s">
        <v>69</v>
      </c>
      <c r="Z22" s="35" t="s">
        <v>70</v>
      </c>
      <c r="AA22" s="35" t="s">
        <v>71</v>
      </c>
    </row>
    <row r="23" customFormat="false" ht="28.35" hidden="false" customHeight="false" outlineLevel="0" collapsed="false">
      <c r="A23" s="48" t="str">
        <f aca="false">'Source Copy'!$A$19</f>
        <v>WHR-FR-001</v>
      </c>
      <c r="B23" s="48" t="str">
        <f aca="false">'Source Copy'!$B$19</f>
        <v>LA-FR</v>
      </c>
      <c r="C23" s="49" t="str">
        <f aca="false">UPPER(TRIM(B23))</f>
        <v>LA-FR</v>
      </c>
      <c r="D23" s="49" t="str">
        <f aca="false">IFERROR(INDEX('Source Copy'!$B$12:$B$15,MATCH(C23,'Source Copy'!$A$12:$A$15,0)),"Unmapped")</f>
        <v>France</v>
      </c>
      <c r="E23" s="48" t="str">
        <f aca="false">'Source Copy'!$C$19</f>
        <v>04/03/2026 08:15</v>
      </c>
      <c r="F23" s="50" t="n">
        <v>46085.34375</v>
      </c>
      <c r="G23" s="49" t="s">
        <v>72</v>
      </c>
      <c r="H23" s="48" t="str">
        <f aca="false">'Source Copy'!$D$19</f>
        <v>Sale</v>
      </c>
      <c r="I23" s="48" t="str">
        <f aca="false">'Source Copy'!$E$19</f>
        <v>QH-AR-10</v>
      </c>
      <c r="J23" s="48" t="str">
        <f aca="false">'Source Copy'!$J$19</f>
        <v>FR-61084</v>
      </c>
      <c r="K23" s="51" t="n">
        <f aca="false">'Source Copy'!$F$19</f>
        <v>12</v>
      </c>
      <c r="L23" s="51" t="n">
        <f aca="false">'Source Copy'!$G$19</f>
        <v>24</v>
      </c>
      <c r="M23" s="52" t="n">
        <f aca="false">K23*L23</f>
        <v>288</v>
      </c>
      <c r="N23" s="53" t="n">
        <f aca="false">'Source Copy'!$H$19</f>
        <v>23.47</v>
      </c>
      <c r="O23" s="54" t="n">
        <f aca="false">ROUND(N23,2)</f>
        <v>23.47</v>
      </c>
      <c r="P23" s="55" t="n">
        <f aca="false">'Source Copy'!$I$19</f>
        <v>18.15</v>
      </c>
      <c r="Q23" s="49" t="n">
        <f aca="false">IF(H23="Return",-1,1)</f>
        <v>1</v>
      </c>
      <c r="R23" s="52" t="n">
        <f aca="false">M23*Q23</f>
        <v>288</v>
      </c>
      <c r="S23" s="56" t="n">
        <f aca="false">R23*O23</f>
        <v>6759.36</v>
      </c>
      <c r="T23" s="56" t="n">
        <f aca="false">R23*P23</f>
        <v>5227.2</v>
      </c>
      <c r="U23" s="56" t="n">
        <f aca="false">S23*$E$3</f>
        <v>496.81296</v>
      </c>
      <c r="V23" s="56" t="n">
        <f aca="false">S23-T23-U23</f>
        <v>1035.34704</v>
      </c>
      <c r="W23" s="49" t="str">
        <f aca="false">IF(F23&lt;DATE(YEAR($B$3),MONTH($B$3),DAY($B$3)),"Before snapshot date",IF(F23&gt;DATE(YEAR($B$3),MONTH($B$3),DAY($B$3)),"After cutoff",IF(AND(H23="Return",F23=DATE(YEAR($B$3),MONTH($B$3),DAY($B$3))),"Exact-midnight return","Snapshot-date record")))</f>
        <v>Before snapshot date</v>
      </c>
      <c r="X23" s="57" t="str">
        <f aca="false">IF(OR(W23="Before snapshot date",W23="Exact-midnight return"),"Include","Exclude")</f>
        <v>Include</v>
      </c>
      <c r="Y23" s="58" t="str">
        <f aca="false">IF(W23="Before snapshot date","Include","Exclude")</f>
        <v>Include</v>
      </c>
      <c r="Z23" s="49" t="str">
        <f aca="false">IF(W23="After cutoff","Excluded in both: after cutoff",IF(W23="Exact-midnight return","Selected include / alternate exclude","Included in both scenarios"))</f>
        <v>Included in both scenarios</v>
      </c>
      <c r="AA23" s="49" t="s">
        <v>73</v>
      </c>
    </row>
    <row r="24" customFormat="false" ht="15" hidden="false" customHeight="false" outlineLevel="0" collapsed="false">
      <c r="A24" s="48" t="str">
        <f aca="false">'Source Copy'!$A$20</f>
        <v>WHR-FR-002</v>
      </c>
      <c r="B24" s="48" t="str">
        <f aca="false">'Source Copy'!$B$20</f>
        <v>la-fr </v>
      </c>
      <c r="C24" s="49" t="str">
        <f aca="false">UPPER(TRIM(B24))</f>
        <v>LA-FR</v>
      </c>
      <c r="D24" s="49" t="str">
        <f aca="false">IFERROR(INDEX('Source Copy'!$B$12:$B$15,MATCH(C24,'Source Copy'!$A$12:$A$15,0)),"Unmapped")</f>
        <v>France</v>
      </c>
      <c r="E24" s="48" t="str">
        <f aca="false">'Source Copy'!$C$20</f>
        <v>2026-11-18T09:40:00Z</v>
      </c>
      <c r="F24" s="50" t="n">
        <v>46344.4027777778</v>
      </c>
      <c r="G24" s="49" t="s">
        <v>74</v>
      </c>
      <c r="H24" s="48" t="str">
        <f aca="false">'Source Copy'!$D$20</f>
        <v>Sale</v>
      </c>
      <c r="I24" s="48" t="str">
        <f aca="false">'Source Copy'!$E$20</f>
        <v>QH-AR-10</v>
      </c>
      <c r="J24" s="48" t="str">
        <f aca="false">'Source Copy'!$J$20</f>
        <v>FR-61084</v>
      </c>
      <c r="K24" s="51" t="n">
        <f aca="false">'Source Copy'!$F$20</f>
        <v>8</v>
      </c>
      <c r="L24" s="51" t="n">
        <f aca="false">'Source Copy'!$G$20</f>
        <v>24</v>
      </c>
      <c r="M24" s="52" t="n">
        <f aca="false">K24*L24</f>
        <v>192</v>
      </c>
      <c r="N24" s="53" t="n">
        <f aca="false">'Source Copy'!$H$20</f>
        <v>23.4700003</v>
      </c>
      <c r="O24" s="54" t="n">
        <f aca="false">ROUND(N24,2)</f>
        <v>23.47</v>
      </c>
      <c r="P24" s="55" t="n">
        <f aca="false">'Source Copy'!$I$20</f>
        <v>18.15</v>
      </c>
      <c r="Q24" s="49" t="n">
        <f aca="false">IF(H24="Return",-1,1)</f>
        <v>1</v>
      </c>
      <c r="R24" s="52" t="n">
        <f aca="false">M24*Q24</f>
        <v>192</v>
      </c>
      <c r="S24" s="56" t="n">
        <f aca="false">R24*O24</f>
        <v>4506.24</v>
      </c>
      <c r="T24" s="56" t="n">
        <f aca="false">R24*P24</f>
        <v>3484.8</v>
      </c>
      <c r="U24" s="56" t="n">
        <f aca="false">S24*$E$3</f>
        <v>331.20864</v>
      </c>
      <c r="V24" s="56" t="n">
        <f aca="false">S24-T24-U24</f>
        <v>690.23136</v>
      </c>
      <c r="W24" s="49" t="str">
        <f aca="false">IF(F24&lt;DATE(YEAR($B$3),MONTH($B$3),DAY($B$3)),"Before snapshot date",IF(F24&gt;DATE(YEAR($B$3),MONTH($B$3),DAY($B$3)),"After cutoff",IF(AND(H24="Return",F24=DATE(YEAR($B$3),MONTH($B$3),DAY($B$3))),"Exact-midnight return","Snapshot-date record")))</f>
        <v>Before snapshot date</v>
      </c>
      <c r="X24" s="57" t="str">
        <f aca="false">IF(OR(W24="Before snapshot date",W24="Exact-midnight return"),"Include","Exclude")</f>
        <v>Include</v>
      </c>
      <c r="Y24" s="58" t="str">
        <f aca="false">IF(W24="Before snapshot date","Include","Exclude")</f>
        <v>Include</v>
      </c>
      <c r="Z24" s="49" t="str">
        <f aca="false">IF(W24="After cutoff","Excluded in both: after cutoff",IF(W24="Exact-midnight return","Selected include / alternate exclude","Included in both scenarios"))</f>
        <v>Included in both scenarios</v>
      </c>
      <c r="AA24" s="49" t="s">
        <v>75</v>
      </c>
    </row>
    <row r="25" customFormat="false" ht="15" hidden="false" customHeight="false" outlineLevel="0" collapsed="false">
      <c r="A25" s="48" t="str">
        <f aca="false">'Source Copy'!$A$21</f>
        <v>WHR-FR-003</v>
      </c>
      <c r="B25" s="48" t="str">
        <f aca="false">'Source Copy'!$B$21</f>
        <v> MV-FR</v>
      </c>
      <c r="C25" s="49" t="str">
        <f aca="false">UPPER(TRIM(B25))</f>
        <v>MV-FR</v>
      </c>
      <c r="D25" s="49" t="str">
        <f aca="false">IFERROR(INDEX('Source Copy'!$B$12:$B$15,MATCH(C25,'Source Copy'!$A$12:$A$15,0)),"Unmapped")</f>
        <v>France</v>
      </c>
      <c r="E25" s="48" t="str">
        <f aca="false">'Source Copy'!$C$21</f>
        <v>2026-12-05T14:05:00Z</v>
      </c>
      <c r="F25" s="50" t="n">
        <v>46361.5868055556</v>
      </c>
      <c r="G25" s="49" t="s">
        <v>74</v>
      </c>
      <c r="H25" s="48" t="str">
        <f aca="false">'Source Copy'!$D$21</f>
        <v>Sale</v>
      </c>
      <c r="I25" s="48" t="str">
        <f aca="false">'Source Copy'!$E$21</f>
        <v>QH-PL-60</v>
      </c>
      <c r="J25" s="48" t="str">
        <f aca="false">'Source Copy'!$J$21</f>
        <v>FR-61088</v>
      </c>
      <c r="K25" s="51" t="n">
        <f aca="false">'Source Copy'!$F$21</f>
        <v>15</v>
      </c>
      <c r="L25" s="51" t="n">
        <f aca="false">'Source Copy'!$G$21</f>
        <v>12</v>
      </c>
      <c r="M25" s="52" t="n">
        <f aca="false">K25*L25</f>
        <v>180</v>
      </c>
      <c r="N25" s="53" t="n">
        <f aca="false">'Source Copy'!$H$21</f>
        <v>31.8</v>
      </c>
      <c r="O25" s="54" t="n">
        <f aca="false">ROUND(N25,2)</f>
        <v>31.8</v>
      </c>
      <c r="P25" s="55" t="n">
        <f aca="false">'Source Copy'!$I$21</f>
        <v>26.17</v>
      </c>
      <c r="Q25" s="49" t="n">
        <f aca="false">IF(H25="Return",-1,1)</f>
        <v>1</v>
      </c>
      <c r="R25" s="52" t="n">
        <f aca="false">M25*Q25</f>
        <v>180</v>
      </c>
      <c r="S25" s="56" t="n">
        <f aca="false">R25*O25</f>
        <v>5724</v>
      </c>
      <c r="T25" s="56" t="n">
        <f aca="false">R25*P25</f>
        <v>4710.6</v>
      </c>
      <c r="U25" s="56" t="n">
        <f aca="false">S25*$E$3</f>
        <v>420.714</v>
      </c>
      <c r="V25" s="56" t="n">
        <f aca="false">S25-T25-U25</f>
        <v>592.686</v>
      </c>
      <c r="W25" s="49" t="str">
        <f aca="false">IF(F25&lt;DATE(YEAR($B$3),MONTH($B$3),DAY($B$3)),"Before snapshot date",IF(F25&gt;DATE(YEAR($B$3),MONTH($B$3),DAY($B$3)),"After cutoff",IF(AND(H25="Return",F25=DATE(YEAR($B$3),MONTH($B$3),DAY($B$3))),"Exact-midnight return","Snapshot-date record")))</f>
        <v>Before snapshot date</v>
      </c>
      <c r="X25" s="57" t="str">
        <f aca="false">IF(OR(W25="Before snapshot date",W25="Exact-midnight return"),"Include","Exclude")</f>
        <v>Include</v>
      </c>
      <c r="Y25" s="58" t="str">
        <f aca="false">IF(W25="Before snapshot date","Include","Exclude")</f>
        <v>Include</v>
      </c>
      <c r="Z25" s="49" t="str">
        <f aca="false">IF(W25="After cutoff","Excluded in both: after cutoff",IF(W25="Exact-midnight return","Selected include / alternate exclude","Included in both scenarios"))</f>
        <v>Included in both scenarios</v>
      </c>
      <c r="AA25" s="49" t="s">
        <v>76</v>
      </c>
    </row>
    <row r="26" customFormat="false" ht="15" hidden="false" customHeight="false" outlineLevel="0" collapsed="false">
      <c r="A26" s="48" t="str">
        <f aca="false">'Source Copy'!$A$22</f>
        <v>WHR-FR-004</v>
      </c>
      <c r="B26" s="48" t="str">
        <f aca="false">'Source Copy'!$B$22</f>
        <v>mv-fr</v>
      </c>
      <c r="C26" s="49" t="str">
        <f aca="false">UPPER(TRIM(B26))</f>
        <v>MV-FR</v>
      </c>
      <c r="D26" s="49" t="str">
        <f aca="false">IFERROR(INDEX('Source Copy'!$B$12:$B$15,MATCH(C26,'Source Copy'!$A$12:$A$15,0)),"Unmapped")</f>
        <v>France</v>
      </c>
      <c r="E26" s="48" t="str">
        <f aca="false">'Source Copy'!$C$22</f>
        <v>2027-01-11T11:25:00Z</v>
      </c>
      <c r="F26" s="50" t="n">
        <v>46398.4756944445</v>
      </c>
      <c r="G26" s="49" t="s">
        <v>74</v>
      </c>
      <c r="H26" s="48" t="str">
        <f aca="false">'Source Copy'!$D$22</f>
        <v>Return</v>
      </c>
      <c r="I26" s="48" t="str">
        <f aca="false">'Source Copy'!$E$22</f>
        <v>QH-PL-60</v>
      </c>
      <c r="J26" s="48" t="str">
        <f aca="false">'Source Copy'!$J$22</f>
        <v>FR-RMA-121</v>
      </c>
      <c r="K26" s="51" t="n">
        <f aca="false">'Source Copy'!$F$22</f>
        <v>2</v>
      </c>
      <c r="L26" s="51" t="n">
        <f aca="false">'Source Copy'!$G$22</f>
        <v>12</v>
      </c>
      <c r="M26" s="52" t="n">
        <f aca="false">K26*L26</f>
        <v>24</v>
      </c>
      <c r="N26" s="53" t="n">
        <f aca="false">'Source Copy'!$H$22</f>
        <v>31.8</v>
      </c>
      <c r="O26" s="54" t="n">
        <f aca="false">ROUND(N26,2)</f>
        <v>31.8</v>
      </c>
      <c r="P26" s="55" t="n">
        <f aca="false">'Source Copy'!$I$22</f>
        <v>26.17</v>
      </c>
      <c r="Q26" s="49" t="n">
        <f aca="false">IF(H26="Return",-1,1)</f>
        <v>-1</v>
      </c>
      <c r="R26" s="52" t="n">
        <f aca="false">M26*Q26</f>
        <v>-24</v>
      </c>
      <c r="S26" s="56" t="n">
        <f aca="false">R26*O26</f>
        <v>-763.2</v>
      </c>
      <c r="T26" s="56" t="n">
        <f aca="false">R26*P26</f>
        <v>-628.08</v>
      </c>
      <c r="U26" s="56" t="n">
        <f aca="false">S26*$E$3</f>
        <v>-56.0952</v>
      </c>
      <c r="V26" s="56" t="n">
        <f aca="false">S26-T26-U26</f>
        <v>-79.0248</v>
      </c>
      <c r="W26" s="49" t="str">
        <f aca="false">IF(F26&lt;DATE(YEAR($B$3),MONTH($B$3),DAY($B$3)),"Before snapshot date",IF(F26&gt;DATE(YEAR($B$3),MONTH($B$3),DAY($B$3)),"After cutoff",IF(AND(H26="Return",F26=DATE(YEAR($B$3),MONTH($B$3),DAY($B$3))),"Exact-midnight return","Snapshot-date record")))</f>
        <v>Before snapshot date</v>
      </c>
      <c r="X26" s="57" t="str">
        <f aca="false">IF(OR(W26="Before snapshot date",W26="Exact-midnight return"),"Include","Exclude")</f>
        <v>Include</v>
      </c>
      <c r="Y26" s="58" t="str">
        <f aca="false">IF(W26="Before snapshot date","Include","Exclude")</f>
        <v>Include</v>
      </c>
      <c r="Z26" s="49" t="str">
        <f aca="false">IF(W26="After cutoff","Excluded in both: after cutoff",IF(W26="Exact-midnight return","Selected include / alternate exclude","Included in both scenarios"))</f>
        <v>Included in both scenarios</v>
      </c>
      <c r="AA26" s="49" t="s">
        <v>77</v>
      </c>
    </row>
    <row r="27" customFormat="false" ht="15" hidden="false" customHeight="false" outlineLevel="0" collapsed="false">
      <c r="A27" s="48" t="str">
        <f aca="false">'Source Copy'!$A$23</f>
        <v>WHR-FR-005</v>
      </c>
      <c r="B27" s="48" t="str">
        <f aca="false">'Source Copy'!$B$23</f>
        <v>LA-FR</v>
      </c>
      <c r="C27" s="49" t="str">
        <f aca="false">UPPER(TRIM(B27))</f>
        <v>LA-FR</v>
      </c>
      <c r="D27" s="49" t="str">
        <f aca="false">IFERROR(INDEX('Source Copy'!$B$12:$B$15,MATCH(C27,'Source Copy'!$A$12:$A$15,0)),"Unmapped")</f>
        <v>France</v>
      </c>
      <c r="E27" s="48" t="str">
        <f aca="false">'Source Copy'!$C$23</f>
        <v>2027-02-08T08:10:00Z</v>
      </c>
      <c r="F27" s="50" t="n">
        <v>46426.3402777778</v>
      </c>
      <c r="G27" s="49" t="s">
        <v>74</v>
      </c>
      <c r="H27" s="48" t="str">
        <f aca="false">'Source Copy'!$D$23</f>
        <v>Sale</v>
      </c>
      <c r="I27" s="48" t="str">
        <f aca="false">'Source Copy'!$E$23</f>
        <v>QH-AR-10</v>
      </c>
      <c r="J27" s="48" t="str">
        <f aca="false">'Source Copy'!$J$23</f>
        <v>FR-61115</v>
      </c>
      <c r="K27" s="51" t="n">
        <f aca="false">'Source Copy'!$F$23</f>
        <v>10</v>
      </c>
      <c r="L27" s="51" t="n">
        <f aca="false">'Source Copy'!$G$23</f>
        <v>24</v>
      </c>
      <c r="M27" s="52" t="n">
        <f aca="false">K27*L27</f>
        <v>240</v>
      </c>
      <c r="N27" s="53" t="n">
        <f aca="false">'Source Copy'!$H$23</f>
        <v>23.47</v>
      </c>
      <c r="O27" s="54" t="n">
        <f aca="false">ROUND(N27,2)</f>
        <v>23.47</v>
      </c>
      <c r="P27" s="55" t="n">
        <f aca="false">'Source Copy'!$I$23</f>
        <v>18.15</v>
      </c>
      <c r="Q27" s="49" t="n">
        <f aca="false">IF(H27="Return",-1,1)</f>
        <v>1</v>
      </c>
      <c r="R27" s="52" t="n">
        <f aca="false">M27*Q27</f>
        <v>240</v>
      </c>
      <c r="S27" s="56" t="n">
        <f aca="false">R27*O27</f>
        <v>5632.8</v>
      </c>
      <c r="T27" s="56" t="n">
        <f aca="false">R27*P27</f>
        <v>4356</v>
      </c>
      <c r="U27" s="56" t="n">
        <f aca="false">S27*$E$3</f>
        <v>414.0108</v>
      </c>
      <c r="V27" s="56" t="n">
        <f aca="false">S27-T27-U27</f>
        <v>862.789199999999</v>
      </c>
      <c r="W27" s="49" t="str">
        <f aca="false">IF(F27&lt;DATE(YEAR($B$3),MONTH($B$3),DAY($B$3)),"Before snapshot date",IF(F27&gt;DATE(YEAR($B$3),MONTH($B$3),DAY($B$3)),"After cutoff",IF(AND(H27="Return",F27=DATE(YEAR($B$3),MONTH($B$3),DAY($B$3))),"Exact-midnight return","Snapshot-date record")))</f>
        <v>Before snapshot date</v>
      </c>
      <c r="X27" s="57" t="str">
        <f aca="false">IF(OR(W27="Before snapshot date",W27="Exact-midnight return"),"Include","Exclude")</f>
        <v>Include</v>
      </c>
      <c r="Y27" s="58" t="str">
        <f aca="false">IF(W27="Before snapshot date","Include","Exclude")</f>
        <v>Include</v>
      </c>
      <c r="Z27" s="49" t="str">
        <f aca="false">IF(W27="After cutoff","Excluded in both: after cutoff",IF(W27="Exact-midnight return","Selected include / alternate exclude","Included in both scenarios"))</f>
        <v>Included in both scenarios</v>
      </c>
      <c r="AA27" s="49" t="s">
        <v>78</v>
      </c>
    </row>
    <row r="28" customFormat="false" ht="15" hidden="false" customHeight="false" outlineLevel="0" collapsed="false">
      <c r="A28" s="48" t="str">
        <f aca="false">'Source Copy'!$A$24</f>
        <v>WHR-FR-006</v>
      </c>
      <c r="B28" s="48" t="str">
        <f aca="false">'Source Copy'!$B$24</f>
        <v>la-fr </v>
      </c>
      <c r="C28" s="49" t="str">
        <f aca="false">UPPER(TRIM(B28))</f>
        <v>LA-FR</v>
      </c>
      <c r="D28" s="49" t="str">
        <f aca="false">IFERROR(INDEX('Source Copy'!$B$12:$B$15,MATCH(C28,'Source Copy'!$A$12:$A$15,0)),"Unmapped")</f>
        <v>France</v>
      </c>
      <c r="E28" s="48" t="str">
        <f aca="false">'Source Copy'!$C$24</f>
        <v>2027-02-20T15:20:00Z</v>
      </c>
      <c r="F28" s="50" t="n">
        <v>46438.6388888889</v>
      </c>
      <c r="G28" s="49" t="s">
        <v>74</v>
      </c>
      <c r="H28" s="48" t="str">
        <f aca="false">'Source Copy'!$D$24</f>
        <v>Sale</v>
      </c>
      <c r="I28" s="48" t="str">
        <f aca="false">'Source Copy'!$E$24</f>
        <v>QH-AR-10</v>
      </c>
      <c r="J28" s="48" t="str">
        <f aca="false">'Source Copy'!$J$24</f>
        <v>FR-61120</v>
      </c>
      <c r="K28" s="51" t="n">
        <f aca="false">'Source Copy'!$F$24</f>
        <v>6</v>
      </c>
      <c r="L28" s="51" t="n">
        <f aca="false">'Source Copy'!$G$24</f>
        <v>24</v>
      </c>
      <c r="M28" s="52" t="n">
        <f aca="false">K28*L28</f>
        <v>144</v>
      </c>
      <c r="N28" s="53" t="n">
        <f aca="false">'Source Copy'!$H$24</f>
        <v>23.4700003</v>
      </c>
      <c r="O28" s="54" t="n">
        <f aca="false">ROUND(N28,2)</f>
        <v>23.47</v>
      </c>
      <c r="P28" s="55" t="n">
        <f aca="false">'Source Copy'!$I$24</f>
        <v>18.15</v>
      </c>
      <c r="Q28" s="49" t="n">
        <f aca="false">IF(H28="Return",-1,1)</f>
        <v>1</v>
      </c>
      <c r="R28" s="52" t="n">
        <f aca="false">M28*Q28</f>
        <v>144</v>
      </c>
      <c r="S28" s="56" t="n">
        <f aca="false">R28*O28</f>
        <v>3379.68</v>
      </c>
      <c r="T28" s="56" t="n">
        <f aca="false">R28*P28</f>
        <v>2613.6</v>
      </c>
      <c r="U28" s="56" t="n">
        <f aca="false">S28*$E$3</f>
        <v>248.40648</v>
      </c>
      <c r="V28" s="56" t="n">
        <f aca="false">S28-T28-U28</f>
        <v>517.67352</v>
      </c>
      <c r="W28" s="49" t="str">
        <f aca="false">IF(F28&lt;DATE(YEAR($B$3),MONTH($B$3),DAY($B$3)),"Before snapshot date",IF(F28&gt;DATE(YEAR($B$3),MONTH($B$3),DAY($B$3)),"After cutoff",IF(AND(H28="Return",F28=DATE(YEAR($B$3),MONTH($B$3),DAY($B$3))),"Exact-midnight return","Snapshot-date record")))</f>
        <v>Before snapshot date</v>
      </c>
      <c r="X28" s="57" t="str">
        <f aca="false">IF(OR(W28="Before snapshot date",W28="Exact-midnight return"),"Include","Exclude")</f>
        <v>Include</v>
      </c>
      <c r="Y28" s="58" t="str">
        <f aca="false">IF(W28="Before snapshot date","Include","Exclude")</f>
        <v>Include</v>
      </c>
      <c r="Z28" s="49" t="str">
        <f aca="false">IF(W28="After cutoff","Excluded in both: after cutoff",IF(W28="Exact-midnight return","Selected include / alternate exclude","Included in both scenarios"))</f>
        <v>Included in both scenarios</v>
      </c>
      <c r="AA28" s="49" t="s">
        <v>79</v>
      </c>
    </row>
    <row r="29" customFormat="false" ht="15" hidden="false" customHeight="false" outlineLevel="0" collapsed="false">
      <c r="A29" s="48" t="str">
        <f aca="false">'Source Copy'!$A$25</f>
        <v>WHR-FR-007</v>
      </c>
      <c r="B29" s="48" t="str">
        <f aca="false">'Source Copy'!$B$25</f>
        <v>MV-FR</v>
      </c>
      <c r="C29" s="49" t="str">
        <f aca="false">UPPER(TRIM(B29))</f>
        <v>MV-FR</v>
      </c>
      <c r="D29" s="49" t="str">
        <f aca="false">IFERROR(INDEX('Source Copy'!$B$12:$B$15,MATCH(C29,'Source Copy'!$A$12:$A$15,0)),"Unmapped")</f>
        <v>France</v>
      </c>
      <c r="E29" s="48" t="str">
        <f aca="false">'Source Copy'!$C$25</f>
        <v>2027-02-26T16:15:00Z</v>
      </c>
      <c r="F29" s="50" t="n">
        <v>46444.6770833333</v>
      </c>
      <c r="G29" s="49" t="s">
        <v>74</v>
      </c>
      <c r="H29" s="48" t="str">
        <f aca="false">'Source Copy'!$D$25</f>
        <v>Sale</v>
      </c>
      <c r="I29" s="48" t="str">
        <f aca="false">'Source Copy'!$E$25</f>
        <v>QH-PL-60</v>
      </c>
      <c r="J29" s="48" t="str">
        <f aca="false">'Source Copy'!$J$25</f>
        <v>FR-61127</v>
      </c>
      <c r="K29" s="51" t="n">
        <f aca="false">'Source Copy'!$F$25</f>
        <v>7</v>
      </c>
      <c r="L29" s="51" t="n">
        <f aca="false">'Source Copy'!$G$25</f>
        <v>12</v>
      </c>
      <c r="M29" s="52" t="n">
        <f aca="false">K29*L29</f>
        <v>84</v>
      </c>
      <c r="N29" s="53" t="n">
        <f aca="false">'Source Copy'!$H$25</f>
        <v>31.8</v>
      </c>
      <c r="O29" s="54" t="n">
        <f aca="false">ROUND(N29,2)</f>
        <v>31.8</v>
      </c>
      <c r="P29" s="55" t="n">
        <f aca="false">'Source Copy'!$I$25</f>
        <v>26.17</v>
      </c>
      <c r="Q29" s="49" t="n">
        <f aca="false">IF(H29="Return",-1,1)</f>
        <v>1</v>
      </c>
      <c r="R29" s="52" t="n">
        <f aca="false">M29*Q29</f>
        <v>84</v>
      </c>
      <c r="S29" s="56" t="n">
        <f aca="false">R29*O29</f>
        <v>2671.2</v>
      </c>
      <c r="T29" s="56" t="n">
        <f aca="false">R29*P29</f>
        <v>2198.28</v>
      </c>
      <c r="U29" s="56" t="n">
        <f aca="false">S29*$E$3</f>
        <v>196.3332</v>
      </c>
      <c r="V29" s="56" t="n">
        <f aca="false">S29-T29-U29</f>
        <v>276.5868</v>
      </c>
      <c r="W29" s="49" t="str">
        <f aca="false">IF(F29&lt;DATE(YEAR($B$3),MONTH($B$3),DAY($B$3)),"Before snapshot date",IF(F29&gt;DATE(YEAR($B$3),MONTH($B$3),DAY($B$3)),"After cutoff",IF(AND(H29="Return",F29=DATE(YEAR($B$3),MONTH($B$3),DAY($B$3))),"Exact-midnight return","Snapshot-date record")))</f>
        <v>Before snapshot date</v>
      </c>
      <c r="X29" s="57" t="str">
        <f aca="false">IF(OR(W29="Before snapshot date",W29="Exact-midnight return"),"Include","Exclude")</f>
        <v>Include</v>
      </c>
      <c r="Y29" s="58" t="str">
        <f aca="false">IF(W29="Before snapshot date","Include","Exclude")</f>
        <v>Include</v>
      </c>
      <c r="Z29" s="49" t="str">
        <f aca="false">IF(W29="After cutoff","Excluded in both: after cutoff",IF(W29="Exact-midnight return","Selected include / alternate exclude","Included in both scenarios"))</f>
        <v>Included in both scenarios</v>
      </c>
      <c r="AA29" s="49" t="s">
        <v>80</v>
      </c>
    </row>
    <row r="30" customFormat="false" ht="15" hidden="false" customHeight="false" outlineLevel="0" collapsed="false">
      <c r="A30" s="48" t="str">
        <f aca="false">'Source Copy'!$A$26</f>
        <v>WHR-FR-008</v>
      </c>
      <c r="B30" s="48" t="str">
        <f aca="false">'Source Copy'!$B$26</f>
        <v>mv-fr </v>
      </c>
      <c r="C30" s="49" t="str">
        <f aca="false">UPPER(TRIM(B30))</f>
        <v>MV-FR</v>
      </c>
      <c r="D30" s="49" t="str">
        <f aca="false">IFERROR(INDEX('Source Copy'!$B$12:$B$15,MATCH(C30,'Source Copy'!$A$12:$A$15,0)),"Unmapped")</f>
        <v>France</v>
      </c>
      <c r="E30" s="48" t="str">
        <f aca="false">'Source Copy'!$C$26</f>
        <v>2027-02-27T00:00:00Z</v>
      </c>
      <c r="F30" s="50" t="n">
        <v>46445</v>
      </c>
      <c r="G30" s="49" t="s">
        <v>74</v>
      </c>
      <c r="H30" s="48" t="str">
        <f aca="false">'Source Copy'!$D$26</f>
        <v>Return</v>
      </c>
      <c r="I30" s="48" t="str">
        <f aca="false">'Source Copy'!$E$26</f>
        <v>QH-PL-60</v>
      </c>
      <c r="J30" s="48" t="str">
        <f aca="false">'Source Copy'!$J$26</f>
        <v>FR-RMA-131</v>
      </c>
      <c r="K30" s="51" t="n">
        <f aca="false">'Source Copy'!$F$26</f>
        <v>8</v>
      </c>
      <c r="L30" s="51" t="n">
        <f aca="false">'Source Copy'!$G$26</f>
        <v>12</v>
      </c>
      <c r="M30" s="52" t="n">
        <f aca="false">K30*L30</f>
        <v>96</v>
      </c>
      <c r="N30" s="53" t="n">
        <f aca="false">'Source Copy'!$H$26</f>
        <v>31.8</v>
      </c>
      <c r="O30" s="54" t="n">
        <f aca="false">ROUND(N30,2)</f>
        <v>31.8</v>
      </c>
      <c r="P30" s="55" t="n">
        <f aca="false">'Source Copy'!$I$26</f>
        <v>26.17</v>
      </c>
      <c r="Q30" s="49" t="n">
        <f aca="false">IF(H30="Return",-1,1)</f>
        <v>-1</v>
      </c>
      <c r="R30" s="52" t="n">
        <f aca="false">M30*Q30</f>
        <v>-96</v>
      </c>
      <c r="S30" s="56" t="n">
        <f aca="false">R30*O30</f>
        <v>-3052.8</v>
      </c>
      <c r="T30" s="56" t="n">
        <f aca="false">R30*P30</f>
        <v>-2512.32</v>
      </c>
      <c r="U30" s="56" t="n">
        <f aca="false">S30*$E$3</f>
        <v>-224.3808</v>
      </c>
      <c r="V30" s="56" t="n">
        <f aca="false">S30-T30-U30</f>
        <v>-316.0992</v>
      </c>
      <c r="W30" s="49" t="str">
        <f aca="false">IF(F30&lt;DATE(YEAR($B$3),MONTH($B$3),DAY($B$3)),"Before snapshot date",IF(F30&gt;DATE(YEAR($B$3),MONTH($B$3),DAY($B$3)),"After cutoff",IF(AND(H30="Return",F30=DATE(YEAR($B$3),MONTH($B$3),DAY($B$3))),"Exact-midnight return","Snapshot-date record")))</f>
        <v>Exact-midnight return</v>
      </c>
      <c r="X30" s="57" t="str">
        <f aca="false">IF(OR(W30="Before snapshot date",W30="Exact-midnight return"),"Include","Exclude")</f>
        <v>Include</v>
      </c>
      <c r="Y30" s="58" t="str">
        <f aca="false">IF(W30="Before snapshot date","Include","Exclude")</f>
        <v>Exclude</v>
      </c>
      <c r="Z30" s="49" t="str">
        <f aca="false">IF(W30="After cutoff","Excluded in both: after cutoff",IF(W30="Exact-midnight return","Selected include / alternate exclude","Included in both scenarios"))</f>
        <v>Selected include / alternate exclude</v>
      </c>
      <c r="AA30" s="49" t="s">
        <v>81</v>
      </c>
    </row>
    <row r="31" customFormat="false" ht="15" hidden="false" customHeight="false" outlineLevel="0" collapsed="false">
      <c r="A31" s="59" t="str">
        <f aca="false">'Source Copy'!$A$27</f>
        <v>WHR-FR-009</v>
      </c>
      <c r="B31" s="59" t="str">
        <f aca="false">'Source Copy'!$B$27</f>
        <v>LA-FR</v>
      </c>
      <c r="C31" s="59" t="str">
        <f aca="false">UPPER(TRIM(B31))</f>
        <v>LA-FR</v>
      </c>
      <c r="D31" s="59" t="str">
        <f aca="false">IFERROR(INDEX('Source Copy'!$B$12:$B$15,MATCH(C31,'Source Copy'!$A$12:$A$15,0)),"Unmapped")</f>
        <v>France</v>
      </c>
      <c r="E31" s="59" t="str">
        <f aca="false">'Source Copy'!$C$27</f>
        <v>2027-03-01T10:00:00Z</v>
      </c>
      <c r="F31" s="60" t="n">
        <v>46447.4166666667</v>
      </c>
      <c r="G31" s="59" t="s">
        <v>74</v>
      </c>
      <c r="H31" s="59" t="str">
        <f aca="false">'Source Copy'!$D$27</f>
        <v>Sale</v>
      </c>
      <c r="I31" s="59" t="str">
        <f aca="false">'Source Copy'!$E$27</f>
        <v>QH-AR-10</v>
      </c>
      <c r="J31" s="59" t="str">
        <f aca="false">'Source Copy'!$J$27</f>
        <v>FR-61144</v>
      </c>
      <c r="K31" s="61" t="n">
        <f aca="false">'Source Copy'!$F$27</f>
        <v>9</v>
      </c>
      <c r="L31" s="61" t="n">
        <f aca="false">'Source Copy'!$G$27</f>
        <v>24</v>
      </c>
      <c r="M31" s="61" t="n">
        <f aca="false">K31*L31</f>
        <v>216</v>
      </c>
      <c r="N31" s="62" t="n">
        <f aca="false">'Source Copy'!$H$27</f>
        <v>23.47</v>
      </c>
      <c r="O31" s="63" t="n">
        <f aca="false">ROUND(N31,2)</f>
        <v>23.47</v>
      </c>
      <c r="P31" s="63" t="n">
        <f aca="false">'Source Copy'!$I$27</f>
        <v>18.15</v>
      </c>
      <c r="Q31" s="59" t="n">
        <f aca="false">IF(H31="Return",-1,1)</f>
        <v>1</v>
      </c>
      <c r="R31" s="61" t="n">
        <f aca="false">M31*Q31</f>
        <v>216</v>
      </c>
      <c r="S31" s="64" t="n">
        <f aca="false">R31*O31</f>
        <v>5069.52</v>
      </c>
      <c r="T31" s="64" t="n">
        <f aca="false">R31*P31</f>
        <v>3920.4</v>
      </c>
      <c r="U31" s="64" t="n">
        <f aca="false">S31*$E$3</f>
        <v>372.60972</v>
      </c>
      <c r="V31" s="64" t="n">
        <f aca="false">S31-T31-U31</f>
        <v>776.51028</v>
      </c>
      <c r="W31" s="59" t="str">
        <f aca="false">IF(F31&lt;DATE(YEAR($B$3),MONTH($B$3),DAY($B$3)),"Before snapshot date",IF(F31&gt;DATE(YEAR($B$3),MONTH($B$3),DAY($B$3)),"After cutoff",IF(AND(H31="Return",F31=DATE(YEAR($B$3),MONTH($B$3),DAY($B$3))),"Exact-midnight return","Snapshot-date record")))</f>
        <v>After cutoff</v>
      </c>
      <c r="X31" s="59" t="str">
        <f aca="false">IF(OR(W31="Before snapshot date",W31="Exact-midnight return"),"Include","Exclude")</f>
        <v>Exclude</v>
      </c>
      <c r="Y31" s="59" t="str">
        <f aca="false">IF(W31="Before snapshot date","Include","Exclude")</f>
        <v>Exclude</v>
      </c>
      <c r="Z31" s="59" t="str">
        <f aca="false">IF(W31="After cutoff","Excluded in both: after cutoff",IF(W31="Exact-midnight return","Selected include / alternate exclude","Included in both scenarios"))</f>
        <v>Excluded in both: after cutoff</v>
      </c>
      <c r="AA31" s="59" t="s">
        <v>82</v>
      </c>
    </row>
    <row r="32" customFormat="false" ht="15" hidden="false" customHeight="false" outlineLevel="0" collapsed="false">
      <c r="A32" s="48" t="str">
        <f aca="false">'Source Copy'!$A$28</f>
        <v>WHR-FR-010</v>
      </c>
      <c r="B32" s="48" t="str">
        <f aca="false">'Source Copy'!$B$28</f>
        <v> la-fr</v>
      </c>
      <c r="C32" s="49" t="str">
        <f aca="false">UPPER(TRIM(B32))</f>
        <v>LA-FR</v>
      </c>
      <c r="D32" s="49" t="str">
        <f aca="false">IFERROR(INDEX('Source Copy'!$B$12:$B$15,MATCH(C32,'Source Copy'!$A$12:$A$15,0)),"Unmapped")</f>
        <v>France</v>
      </c>
      <c r="E32" s="48" t="str">
        <f aca="false">'Source Copy'!$C$28</f>
        <v>2027-02-14T13:45:00Z</v>
      </c>
      <c r="F32" s="50" t="n">
        <v>46432.5729166667</v>
      </c>
      <c r="G32" s="49" t="s">
        <v>74</v>
      </c>
      <c r="H32" s="48" t="str">
        <f aca="false">'Source Copy'!$D$28</f>
        <v>Sale</v>
      </c>
      <c r="I32" s="48" t="str">
        <f aca="false">'Source Copy'!$E$28</f>
        <v>QH-MT-05</v>
      </c>
      <c r="J32" s="48" t="str">
        <f aca="false">'Source Copy'!$J$28</f>
        <v>FR-61118</v>
      </c>
      <c r="K32" s="51" t="n">
        <f aca="false">'Source Copy'!$F$28</f>
        <v>20</v>
      </c>
      <c r="L32" s="51" t="n">
        <f aca="false">'Source Copy'!$G$28</f>
        <v>10</v>
      </c>
      <c r="M32" s="52" t="n">
        <f aca="false">K32*L32</f>
        <v>200</v>
      </c>
      <c r="N32" s="53" t="n">
        <f aca="false">'Source Copy'!$H$28</f>
        <v>18.25</v>
      </c>
      <c r="O32" s="54" t="n">
        <f aca="false">ROUND(N32,2)</f>
        <v>18.25</v>
      </c>
      <c r="P32" s="55" t="n">
        <f aca="false">'Source Copy'!$I$28</f>
        <v>14.74</v>
      </c>
      <c r="Q32" s="49" t="n">
        <f aca="false">IF(H32="Return",-1,1)</f>
        <v>1</v>
      </c>
      <c r="R32" s="52" t="n">
        <f aca="false">M32*Q32</f>
        <v>200</v>
      </c>
      <c r="S32" s="56" t="n">
        <f aca="false">R32*O32</f>
        <v>3650</v>
      </c>
      <c r="T32" s="56" t="n">
        <f aca="false">R32*P32</f>
        <v>2948</v>
      </c>
      <c r="U32" s="56" t="n">
        <f aca="false">S32*$E$3</f>
        <v>268.275</v>
      </c>
      <c r="V32" s="56" t="n">
        <f aca="false">S32-T32-U32</f>
        <v>433.725</v>
      </c>
      <c r="W32" s="49" t="str">
        <f aca="false">IF(F32&lt;DATE(YEAR($B$3),MONTH($B$3),DAY($B$3)),"Before snapshot date",IF(F32&gt;DATE(YEAR($B$3),MONTH($B$3),DAY($B$3)),"After cutoff",IF(AND(H32="Return",F32=DATE(YEAR($B$3),MONTH($B$3),DAY($B$3))),"Exact-midnight return","Snapshot-date record")))</f>
        <v>Before snapshot date</v>
      </c>
      <c r="X32" s="57" t="str">
        <f aca="false">IF(OR(W32="Before snapshot date",W32="Exact-midnight return"),"Include","Exclude")</f>
        <v>Include</v>
      </c>
      <c r="Y32" s="58" t="str">
        <f aca="false">IF(W32="Before snapshot date","Include","Exclude")</f>
        <v>Include</v>
      </c>
      <c r="Z32" s="49" t="str">
        <f aca="false">IF(W32="After cutoff","Excluded in both: after cutoff",IF(W32="Exact-midnight return","Selected include / alternate exclude","Included in both scenarios"))</f>
        <v>Included in both scenarios</v>
      </c>
      <c r="AA32" s="49" t="s">
        <v>83</v>
      </c>
    </row>
  </sheetData>
  <autoFilter ref="A22:AA32"/>
  <mergeCells count="6">
    <mergeCell ref="A1:AA1"/>
    <mergeCell ref="A2:AA2"/>
    <mergeCell ref="A4:AA4"/>
    <mergeCell ref="A5:AA5"/>
    <mergeCell ref="A7:AA7"/>
    <mergeCell ref="A20:AA20"/>
  </mergeCells>
  <conditionalFormatting sqref="X23:Y32">
    <cfRule type="expression" priority="2" aboveAverage="0" equalAverage="0" bottom="0" percent="0" rank="0" text="" dxfId="10">
      <formula>X23="Include"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3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55A"/>
    <pageSetUpPr fitToPage="true"/>
  </sheetPr>
  <dimension ref="A1:AA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2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25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22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24"/>
    <col collapsed="false" customWidth="true" hidden="false" outlineLevel="0" max="16" min="16" style="0" width="22"/>
    <col collapsed="false" customWidth="true" hidden="false" outlineLevel="0" max="17" min="17" style="0" width="11"/>
    <col collapsed="false" customWidth="true" hidden="false" outlineLevel="0" max="18" min="18" style="0" width="19"/>
    <col collapsed="false" customWidth="true" hidden="false" outlineLevel="0" max="19" min="19" style="0" width="20"/>
    <col collapsed="false" customWidth="true" hidden="false" outlineLevel="0" max="21" min="20" style="0" width="18"/>
    <col collapsed="false" customWidth="true" hidden="false" outlineLevel="0" max="22" min="22" style="0" width="22"/>
    <col collapsed="false" customWidth="true" hidden="false" outlineLevel="0" max="23" min="23" style="0" width="24"/>
    <col collapsed="false" customWidth="true" hidden="false" outlineLevel="0" max="25" min="24" style="0" width="18"/>
    <col collapsed="false" customWidth="true" hidden="false" outlineLevel="0" max="26" min="26" style="0" width="35"/>
    <col collapsed="false" customWidth="true" hidden="false" outlineLevel="0" max="27" min="27" style="0" width="19"/>
  </cols>
  <sheetData>
    <row r="1" customFormat="false" ht="24.75" hidden="false" customHeight="true" outlineLevel="0" collapsed="false">
      <c r="A1" s="65" t="s">
        <v>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customFormat="false" ht="18" hidden="false" customHeight="true" outlineLevel="0" collapsed="false">
      <c r="A2" s="66" t="s">
        <v>85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customFormat="false" ht="15" hidden="false" customHeight="false" outlineLevel="0" collapsed="false">
      <c r="A3" s="29" t="s">
        <v>24</v>
      </c>
      <c r="B3" s="30" t="n">
        <f aca="false">'Source Copy'!$D$7</f>
        <v>46445</v>
      </c>
      <c r="C3" s="31"/>
      <c r="D3" s="29" t="s">
        <v>25</v>
      </c>
      <c r="E3" s="32" t="n">
        <f aca="false">'Source Copy'!$D$6</f>
        <v>0.0735</v>
      </c>
      <c r="F3" s="31"/>
      <c r="G3" s="29" t="s">
        <v>26</v>
      </c>
      <c r="H3" s="32" t="n">
        <f aca="false">'Source Copy'!$F$6</f>
        <v>0.133</v>
      </c>
      <c r="I3" s="31"/>
      <c r="J3" s="29" t="s">
        <v>27</v>
      </c>
      <c r="K3" s="31" t="str">
        <f aca="false">'Source Copy'!$B$7</f>
        <v>EUR 0.01 per individual unit</v>
      </c>
    </row>
    <row r="4" customFormat="false" ht="30" hidden="false" customHeight="true" outlineLevel="0" collapsed="false">
      <c r="A4" s="33" t="s">
        <v>28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7" customFormat="false" ht="15" hidden="false" customHeight="false" outlineLevel="0" collapsed="false">
      <c r="A7" s="67" t="s">
        <v>29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customFormat="false" ht="15" hidden="false" customHeight="false" outlineLevel="0" collapsed="false">
      <c r="A8" s="68" t="s">
        <v>5</v>
      </c>
      <c r="B8" s="68" t="s">
        <v>30</v>
      </c>
      <c r="C8" s="68" t="s">
        <v>31</v>
      </c>
      <c r="D8" s="68" t="s">
        <v>32</v>
      </c>
    </row>
    <row r="9" customFormat="false" ht="20.85" hidden="false" customHeight="false" outlineLevel="0" collapsed="false">
      <c r="A9" s="7" t="s">
        <v>33</v>
      </c>
      <c r="B9" s="36" t="n">
        <f aca="false">COUNTIF($X$23:$X$32,"Include")</f>
        <v>8</v>
      </c>
      <c r="C9" s="37" t="n">
        <f aca="false">COUNTIF($Y$23:$Y$32,"Include")</f>
        <v>8</v>
      </c>
      <c r="D9" s="38" t="s">
        <v>34</v>
      </c>
    </row>
    <row r="10" customFormat="false" ht="20.85" hidden="false" customHeight="false" outlineLevel="0" collapsed="false">
      <c r="A10" s="7" t="s">
        <v>10</v>
      </c>
      <c r="B10" s="39" t="n">
        <f aca="false">SUMIF($X$23:$X$32,"Include",$R$23:$R$32)</f>
        <v>1140</v>
      </c>
      <c r="C10" s="40" t="n">
        <f aca="false">SUMIF($Y$23:$Y$32,"Include",$R$23:$R$32)</f>
        <v>1140</v>
      </c>
      <c r="D10" s="38" t="s">
        <v>35</v>
      </c>
    </row>
    <row r="11" customFormat="false" ht="20.85" hidden="false" customHeight="false" outlineLevel="0" collapsed="false">
      <c r="A11" s="7" t="s">
        <v>11</v>
      </c>
      <c r="B11" s="41" t="n">
        <f aca="false">SUMIF($X$23:$X$32,"Include",$S$23:$S$32)</f>
        <v>28801.68</v>
      </c>
      <c r="C11" s="42" t="n">
        <f aca="false">SUMIF($Y$23:$Y$32,"Include",$S$23:$S$32)</f>
        <v>28801.68</v>
      </c>
      <c r="D11" s="38" t="s">
        <v>36</v>
      </c>
    </row>
    <row r="12" customFormat="false" ht="20.85" hidden="false" customHeight="false" outlineLevel="0" collapsed="false">
      <c r="A12" s="7" t="s">
        <v>12</v>
      </c>
      <c r="B12" s="41" t="n">
        <f aca="false">SUMIF($X$23:$X$32,"Include",$T$23:$T$32)</f>
        <v>23048.52</v>
      </c>
      <c r="C12" s="42" t="n">
        <f aca="false">SUMIF($Y$23:$Y$32,"Include",$T$23:$T$32)</f>
        <v>23048.52</v>
      </c>
      <c r="D12" s="38" t="s">
        <v>37</v>
      </c>
    </row>
    <row r="13" customFormat="false" ht="20.85" hidden="false" customHeight="false" outlineLevel="0" collapsed="false">
      <c r="A13" s="7" t="s">
        <v>13</v>
      </c>
      <c r="B13" s="41" t="n">
        <f aca="false">SUMIF($X$23:$X$32,"Include",$U$23:$U$32)</f>
        <v>2116.92348</v>
      </c>
      <c r="C13" s="42" t="n">
        <f aca="false">SUMIF($Y$23:$Y$32,"Include",$U$23:$U$32)</f>
        <v>2116.92348</v>
      </c>
      <c r="D13" s="38" t="s">
        <v>38</v>
      </c>
    </row>
    <row r="14" customFormat="false" ht="22.35" hidden="false" customHeight="false" outlineLevel="0" collapsed="false">
      <c r="A14" s="7" t="s">
        <v>14</v>
      </c>
      <c r="B14" s="41" t="n">
        <f aca="false">SUMIF($X$23:$X$32,"Include",$V$23:$V$32)</f>
        <v>3636.23652</v>
      </c>
      <c r="C14" s="42" t="n">
        <f aca="false">SUMIF($Y$23:$Y$32,"Include",$V$23:$V$32)</f>
        <v>3636.23652</v>
      </c>
      <c r="D14" s="38" t="s">
        <v>39</v>
      </c>
    </row>
    <row r="15" customFormat="false" ht="22.35" hidden="false" customHeight="false" outlineLevel="0" collapsed="false">
      <c r="A15" s="7" t="s">
        <v>15</v>
      </c>
      <c r="B15" s="43" t="n">
        <f aca="false">IFERROR(B14/B11,0)</f>
        <v>0.126250847867208</v>
      </c>
      <c r="C15" s="44" t="n">
        <f aca="false">IFERROR(C14/C11,0)</f>
        <v>0.126250847867208</v>
      </c>
      <c r="D15" s="38" t="s">
        <v>40</v>
      </c>
    </row>
    <row r="16" customFormat="false" ht="22.35" hidden="false" customHeight="false" outlineLevel="0" collapsed="false">
      <c r="A16" s="7" t="s">
        <v>16</v>
      </c>
      <c r="B16" s="43" t="n">
        <f aca="false">$H$3</f>
        <v>0.133</v>
      </c>
      <c r="C16" s="44" t="n">
        <f aca="false">$H$3</f>
        <v>0.133</v>
      </c>
      <c r="D16" s="38" t="s">
        <v>41</v>
      </c>
    </row>
    <row r="17" customFormat="false" ht="22.35" hidden="false" customHeight="false" outlineLevel="0" collapsed="false">
      <c r="A17" s="7" t="s">
        <v>17</v>
      </c>
      <c r="B17" s="45" t="n">
        <f aca="false">(B15-B16)*100</f>
        <v>-0.674915213279229</v>
      </c>
      <c r="C17" s="46" t="n">
        <f aca="false">(C15-C16)*100</f>
        <v>-0.674915213279229</v>
      </c>
      <c r="D17" s="38" t="s">
        <v>42</v>
      </c>
    </row>
    <row r="18" customFormat="false" ht="28.35" hidden="false" customHeight="false" outlineLevel="0" collapsed="false">
      <c r="A18" s="7" t="s">
        <v>18</v>
      </c>
      <c r="B18" s="36" t="str">
        <f aca="false">IF(B15&gt;=B16,"Meets supplied guardrail","Below supplied guardrail")</f>
        <v>Below supplied guardrail</v>
      </c>
      <c r="C18" s="37" t="str">
        <f aca="false">IF(C15&gt;=C16,"Meets supplied guardrail","Below supplied guardrail")</f>
        <v>Below supplied guardrail</v>
      </c>
      <c r="D18" s="38" t="s">
        <v>43</v>
      </c>
    </row>
    <row r="20" customFormat="false" ht="15" hidden="false" customHeight="true" outlineLevel="0" collapsed="false">
      <c r="A20" s="47" t="s">
        <v>44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2" customFormat="false" ht="43.5" hidden="false" customHeight="true" outlineLevel="0" collapsed="false">
      <c r="A22" s="68" t="s">
        <v>45</v>
      </c>
      <c r="B22" s="68" t="s">
        <v>46</v>
      </c>
      <c r="C22" s="68" t="s">
        <v>47</v>
      </c>
      <c r="D22" s="68" t="s">
        <v>48</v>
      </c>
      <c r="E22" s="68" t="s">
        <v>49</v>
      </c>
      <c r="F22" s="68" t="s">
        <v>50</v>
      </c>
      <c r="G22" s="68" t="s">
        <v>51</v>
      </c>
      <c r="H22" s="68" t="s">
        <v>52</v>
      </c>
      <c r="I22" s="68" t="s">
        <v>53</v>
      </c>
      <c r="J22" s="68" t="s">
        <v>54</v>
      </c>
      <c r="K22" s="68" t="s">
        <v>55</v>
      </c>
      <c r="L22" s="68" t="s">
        <v>56</v>
      </c>
      <c r="M22" s="68" t="s">
        <v>57</v>
      </c>
      <c r="N22" s="68" t="s">
        <v>58</v>
      </c>
      <c r="O22" s="68" t="s">
        <v>59</v>
      </c>
      <c r="P22" s="68" t="s">
        <v>60</v>
      </c>
      <c r="Q22" s="68" t="s">
        <v>61</v>
      </c>
      <c r="R22" s="68" t="s">
        <v>62</v>
      </c>
      <c r="S22" s="68" t="s">
        <v>63</v>
      </c>
      <c r="T22" s="68" t="s">
        <v>64</v>
      </c>
      <c r="U22" s="68" t="s">
        <v>65</v>
      </c>
      <c r="V22" s="68" t="s">
        <v>66</v>
      </c>
      <c r="W22" s="68" t="s">
        <v>67</v>
      </c>
      <c r="X22" s="68" t="s">
        <v>68</v>
      </c>
      <c r="Y22" s="68" t="s">
        <v>69</v>
      </c>
      <c r="Z22" s="68" t="s">
        <v>70</v>
      </c>
      <c r="AA22" s="68" t="s">
        <v>71</v>
      </c>
    </row>
    <row r="23" customFormat="false" ht="15" hidden="false" customHeight="false" outlineLevel="0" collapsed="false">
      <c r="A23" s="48" t="str">
        <f aca="false">'Source Copy'!$A$29</f>
        <v>WHR-DE-001</v>
      </c>
      <c r="B23" s="48" t="str">
        <f aca="false">'Source Copy'!$B$29</f>
        <v>BR-DE</v>
      </c>
      <c r="C23" s="49" t="str">
        <f aca="false">UPPER(TRIM(B23))</f>
        <v>BR-DE</v>
      </c>
      <c r="D23" s="49" t="str">
        <f aca="false">IFERROR(INDEX('Source Copy'!$B$12:$B$15,MATCH(C23,'Source Copy'!$A$12:$A$15,0)),"Unmapped")</f>
        <v>Germany</v>
      </c>
      <c r="E23" s="48" t="str">
        <f aca="false">'Source Copy'!$C$29</f>
        <v>2026-10-10T07:30:00Z</v>
      </c>
      <c r="F23" s="50" t="n">
        <v>46305.3125</v>
      </c>
      <c r="G23" s="49" t="s">
        <v>74</v>
      </c>
      <c r="H23" s="48" t="str">
        <f aca="false">'Source Copy'!$D$29</f>
        <v>Sale</v>
      </c>
      <c r="I23" s="48" t="str">
        <f aca="false">'Source Copy'!$E$29</f>
        <v>QH-AR-10</v>
      </c>
      <c r="J23" s="48" t="str">
        <f aca="false">'Source Copy'!$J$29</f>
        <v>DE-44091</v>
      </c>
      <c r="K23" s="51" t="n">
        <f aca="false">'Source Copy'!$F$29</f>
        <v>10</v>
      </c>
      <c r="L23" s="51" t="n">
        <f aca="false">'Source Copy'!$G$29</f>
        <v>24</v>
      </c>
      <c r="M23" s="52" t="n">
        <f aca="false">K23*L23</f>
        <v>240</v>
      </c>
      <c r="N23" s="53" t="n">
        <f aca="false">'Source Copy'!$H$29</f>
        <v>23.47</v>
      </c>
      <c r="O23" s="54" t="n">
        <f aca="false">ROUND(N23,2)</f>
        <v>23.47</v>
      </c>
      <c r="P23" s="55" t="n">
        <f aca="false">'Source Copy'!$I$29</f>
        <v>18.15</v>
      </c>
      <c r="Q23" s="49" t="n">
        <f aca="false">IF(H23="Return",-1,1)</f>
        <v>1</v>
      </c>
      <c r="R23" s="52" t="n">
        <f aca="false">M23*Q23</f>
        <v>240</v>
      </c>
      <c r="S23" s="56" t="n">
        <f aca="false">R23*O23</f>
        <v>5632.8</v>
      </c>
      <c r="T23" s="56" t="n">
        <f aca="false">R23*P23</f>
        <v>4356</v>
      </c>
      <c r="U23" s="56" t="n">
        <f aca="false">S23*$E$3</f>
        <v>414.0108</v>
      </c>
      <c r="V23" s="56" t="n">
        <f aca="false">S23-T23-U23</f>
        <v>862.789199999999</v>
      </c>
      <c r="W23" s="49" t="str">
        <f aca="false">IF(F23&lt;DATE(YEAR($B$3),MONTH($B$3),DAY($B$3)),"Before snapshot date",IF(F23&gt;DATE(YEAR($B$3),MONTH($B$3),DAY($B$3)),"After cutoff",IF(AND(H23="Return",F23=DATE(YEAR($B$3),MONTH($B$3),DAY($B$3))),"Exact-midnight return","Snapshot-date record")))</f>
        <v>Before snapshot date</v>
      </c>
      <c r="X23" s="57" t="str">
        <f aca="false">IF(OR(W23="Before snapshot date",W23="Exact-midnight return"),"Include","Exclude")</f>
        <v>Include</v>
      </c>
      <c r="Y23" s="58" t="str">
        <f aca="false">IF(W23="Before snapshot date","Include","Exclude")</f>
        <v>Include</v>
      </c>
      <c r="Z23" s="49" t="str">
        <f aca="false">IF(W23="After cutoff","Excluded in both: after cutoff",IF(W23="Exact-midnight return","Selected include / alternate exclude","Included in both scenarios"))</f>
        <v>Included in both scenarios</v>
      </c>
      <c r="AA23" s="49" t="s">
        <v>86</v>
      </c>
    </row>
    <row r="24" customFormat="false" ht="15" hidden="false" customHeight="false" outlineLevel="0" collapsed="false">
      <c r="A24" s="48" t="str">
        <f aca="false">'Source Copy'!$A$30</f>
        <v>WHR-DE-002</v>
      </c>
      <c r="B24" s="48" t="str">
        <f aca="false">'Source Copy'!$B$30</f>
        <v>br-de </v>
      </c>
      <c r="C24" s="49" t="str">
        <f aca="false">UPPER(TRIM(B24))</f>
        <v>BR-DE</v>
      </c>
      <c r="D24" s="49" t="str">
        <f aca="false">IFERROR(INDEX('Source Copy'!$B$12:$B$15,MATCH(C24,'Source Copy'!$A$12:$A$15,0)),"Unmapped")</f>
        <v>Germany</v>
      </c>
      <c r="E24" s="48" t="str">
        <f aca="false">'Source Copy'!$C$30</f>
        <v>2026-11-26T10:45:00Z</v>
      </c>
      <c r="F24" s="50" t="n">
        <v>46352.4479166667</v>
      </c>
      <c r="G24" s="49" t="s">
        <v>74</v>
      </c>
      <c r="H24" s="48" t="str">
        <f aca="false">'Source Copy'!$D$30</f>
        <v>Sale</v>
      </c>
      <c r="I24" s="48" t="str">
        <f aca="false">'Source Copy'!$E$30</f>
        <v>QH-AR-10</v>
      </c>
      <c r="J24" s="48" t="str">
        <f aca="false">'Source Copy'!$J$30</f>
        <v>DE-44092</v>
      </c>
      <c r="K24" s="51" t="n">
        <f aca="false">'Source Copy'!$F$30</f>
        <v>7</v>
      </c>
      <c r="L24" s="51" t="n">
        <f aca="false">'Source Copy'!$G$30</f>
        <v>24</v>
      </c>
      <c r="M24" s="52" t="n">
        <f aca="false">K24*L24</f>
        <v>168</v>
      </c>
      <c r="N24" s="53" t="n">
        <f aca="false">'Source Copy'!$H$30</f>
        <v>23.4700003</v>
      </c>
      <c r="O24" s="54" t="n">
        <f aca="false">ROUND(N24,2)</f>
        <v>23.47</v>
      </c>
      <c r="P24" s="55" t="n">
        <f aca="false">'Source Copy'!$I$30</f>
        <v>18.15</v>
      </c>
      <c r="Q24" s="49" t="n">
        <f aca="false">IF(H24="Return",-1,1)</f>
        <v>1</v>
      </c>
      <c r="R24" s="52" t="n">
        <f aca="false">M24*Q24</f>
        <v>168</v>
      </c>
      <c r="S24" s="56" t="n">
        <f aca="false">R24*O24</f>
        <v>3942.96</v>
      </c>
      <c r="T24" s="56" t="n">
        <f aca="false">R24*P24</f>
        <v>3049.2</v>
      </c>
      <c r="U24" s="56" t="n">
        <f aca="false">S24*$E$3</f>
        <v>289.80756</v>
      </c>
      <c r="V24" s="56" t="n">
        <f aca="false">S24-T24-U24</f>
        <v>603.95244</v>
      </c>
      <c r="W24" s="49" t="str">
        <f aca="false">IF(F24&lt;DATE(YEAR($B$3),MONTH($B$3),DAY($B$3)),"Before snapshot date",IF(F24&gt;DATE(YEAR($B$3),MONTH($B$3),DAY($B$3)),"After cutoff",IF(AND(H24="Return",F24=DATE(YEAR($B$3),MONTH($B$3),DAY($B$3))),"Exact-midnight return","Snapshot-date record")))</f>
        <v>Before snapshot date</v>
      </c>
      <c r="X24" s="57" t="str">
        <f aca="false">IF(OR(W24="Before snapshot date",W24="Exact-midnight return"),"Include","Exclude")</f>
        <v>Include</v>
      </c>
      <c r="Y24" s="58" t="str">
        <f aca="false">IF(W24="Before snapshot date","Include","Exclude")</f>
        <v>Include</v>
      </c>
      <c r="Z24" s="49" t="str">
        <f aca="false">IF(W24="After cutoff","Excluded in both: after cutoff",IF(W24="Exact-midnight return","Selected include / alternate exclude","Included in both scenarios"))</f>
        <v>Included in both scenarios</v>
      </c>
      <c r="AA24" s="49" t="s">
        <v>87</v>
      </c>
    </row>
    <row r="25" customFormat="false" ht="15" hidden="false" customHeight="false" outlineLevel="0" collapsed="false">
      <c r="A25" s="48" t="str">
        <f aca="false">'Source Copy'!$A$31</f>
        <v>WHR-DE-003</v>
      </c>
      <c r="B25" s="48" t="str">
        <f aca="false">'Source Copy'!$B$31</f>
        <v>KS-DE</v>
      </c>
      <c r="C25" s="49" t="str">
        <f aca="false">UPPER(TRIM(B25))</f>
        <v>KS-DE</v>
      </c>
      <c r="D25" s="49" t="str">
        <f aca="false">IFERROR(INDEX('Source Copy'!$B$12:$B$15,MATCH(C25,'Source Copy'!$A$12:$A$15,0)),"Unmapped")</f>
        <v>Germany</v>
      </c>
      <c r="E25" s="48" t="str">
        <f aca="false">'Source Copy'!$C$31</f>
        <v>2026-12-22T12:00:00Z</v>
      </c>
      <c r="F25" s="50" t="n">
        <v>46378.5</v>
      </c>
      <c r="G25" s="49" t="s">
        <v>74</v>
      </c>
      <c r="H25" s="48" t="str">
        <f aca="false">'Source Copy'!$D$31</f>
        <v>Sale</v>
      </c>
      <c r="I25" s="48" t="str">
        <f aca="false">'Source Copy'!$E$31</f>
        <v>QH-PL-60</v>
      </c>
      <c r="J25" s="48" t="str">
        <f aca="false">'Source Copy'!$J$31</f>
        <v>DE-44110</v>
      </c>
      <c r="K25" s="51" t="n">
        <f aca="false">'Source Copy'!$F$31</f>
        <v>18</v>
      </c>
      <c r="L25" s="51" t="n">
        <f aca="false">'Source Copy'!$G$31</f>
        <v>12</v>
      </c>
      <c r="M25" s="52" t="n">
        <f aca="false">K25*L25</f>
        <v>216</v>
      </c>
      <c r="N25" s="53" t="n">
        <f aca="false">'Source Copy'!$H$31</f>
        <v>31.8</v>
      </c>
      <c r="O25" s="54" t="n">
        <f aca="false">ROUND(N25,2)</f>
        <v>31.8</v>
      </c>
      <c r="P25" s="55" t="n">
        <f aca="false">'Source Copy'!$I$31</f>
        <v>26.17</v>
      </c>
      <c r="Q25" s="49" t="n">
        <f aca="false">IF(H25="Return",-1,1)</f>
        <v>1</v>
      </c>
      <c r="R25" s="52" t="n">
        <f aca="false">M25*Q25</f>
        <v>216</v>
      </c>
      <c r="S25" s="56" t="n">
        <f aca="false">R25*O25</f>
        <v>6868.8</v>
      </c>
      <c r="T25" s="56" t="n">
        <f aca="false">R25*P25</f>
        <v>5652.72</v>
      </c>
      <c r="U25" s="56" t="n">
        <f aca="false">S25*$E$3</f>
        <v>504.8568</v>
      </c>
      <c r="V25" s="56" t="n">
        <f aca="false">S25-T25-U25</f>
        <v>711.2232</v>
      </c>
      <c r="W25" s="49" t="str">
        <f aca="false">IF(F25&lt;DATE(YEAR($B$3),MONTH($B$3),DAY($B$3)),"Before snapshot date",IF(F25&gt;DATE(YEAR($B$3),MONTH($B$3),DAY($B$3)),"After cutoff",IF(AND(H25="Return",F25=DATE(YEAR($B$3),MONTH($B$3),DAY($B$3))),"Exact-midnight return","Snapshot-date record")))</f>
        <v>Before snapshot date</v>
      </c>
      <c r="X25" s="57" t="str">
        <f aca="false">IF(OR(W25="Before snapshot date",W25="Exact-midnight return"),"Include","Exclude")</f>
        <v>Include</v>
      </c>
      <c r="Y25" s="58" t="str">
        <f aca="false">IF(W25="Before snapshot date","Include","Exclude")</f>
        <v>Include</v>
      </c>
      <c r="Z25" s="49" t="str">
        <f aca="false">IF(W25="After cutoff","Excluded in both: after cutoff",IF(W25="Exact-midnight return","Selected include / alternate exclude","Included in both scenarios"))</f>
        <v>Included in both scenarios</v>
      </c>
      <c r="AA25" s="49" t="s">
        <v>88</v>
      </c>
    </row>
    <row r="26" customFormat="false" ht="15" hidden="false" customHeight="false" outlineLevel="0" collapsed="false">
      <c r="A26" s="48" t="str">
        <f aca="false">'Source Copy'!$A$32</f>
        <v>WHR-DE-004</v>
      </c>
      <c r="B26" s="48" t="str">
        <f aca="false">'Source Copy'!$B$32</f>
        <v>ks-de</v>
      </c>
      <c r="C26" s="49" t="str">
        <f aca="false">UPPER(TRIM(B26))</f>
        <v>KS-DE</v>
      </c>
      <c r="D26" s="49" t="str">
        <f aca="false">IFERROR(INDEX('Source Copy'!$B$12:$B$15,MATCH(C26,'Source Copy'!$A$12:$A$15,0)),"Unmapped")</f>
        <v>Germany</v>
      </c>
      <c r="E26" s="48" t="str">
        <f aca="false">'Source Copy'!$C$32</f>
        <v>2027-01-18T09:50:00Z</v>
      </c>
      <c r="F26" s="50" t="n">
        <v>46405.4097222222</v>
      </c>
      <c r="G26" s="49" t="s">
        <v>74</v>
      </c>
      <c r="H26" s="48" t="str">
        <f aca="false">'Source Copy'!$D$32</f>
        <v>Return</v>
      </c>
      <c r="I26" s="48" t="str">
        <f aca="false">'Source Copy'!$E$32</f>
        <v>QH-PL-60</v>
      </c>
      <c r="J26" s="48" t="str">
        <f aca="false">'Source Copy'!$J$32</f>
        <v>DE-RMA-061</v>
      </c>
      <c r="K26" s="51" t="n">
        <f aca="false">'Source Copy'!$F$32</f>
        <v>3</v>
      </c>
      <c r="L26" s="51" t="n">
        <f aca="false">'Source Copy'!$G$32</f>
        <v>12</v>
      </c>
      <c r="M26" s="52" t="n">
        <f aca="false">K26*L26</f>
        <v>36</v>
      </c>
      <c r="N26" s="53" t="n">
        <f aca="false">'Source Copy'!$H$32</f>
        <v>31.8</v>
      </c>
      <c r="O26" s="54" t="n">
        <f aca="false">ROUND(N26,2)</f>
        <v>31.8</v>
      </c>
      <c r="P26" s="55" t="n">
        <f aca="false">'Source Copy'!$I$32</f>
        <v>26.17</v>
      </c>
      <c r="Q26" s="49" t="n">
        <f aca="false">IF(H26="Return",-1,1)</f>
        <v>-1</v>
      </c>
      <c r="R26" s="52" t="n">
        <f aca="false">M26*Q26</f>
        <v>-36</v>
      </c>
      <c r="S26" s="56" t="n">
        <f aca="false">R26*O26</f>
        <v>-1144.8</v>
      </c>
      <c r="T26" s="56" t="n">
        <f aca="false">R26*P26</f>
        <v>-942.12</v>
      </c>
      <c r="U26" s="56" t="n">
        <f aca="false">S26*$E$3</f>
        <v>-84.1428</v>
      </c>
      <c r="V26" s="56" t="n">
        <f aca="false">S26-T26-U26</f>
        <v>-118.5372</v>
      </c>
      <c r="W26" s="49" t="str">
        <f aca="false">IF(F26&lt;DATE(YEAR($B$3),MONTH($B$3),DAY($B$3)),"Before snapshot date",IF(F26&gt;DATE(YEAR($B$3),MONTH($B$3),DAY($B$3)),"After cutoff",IF(AND(H26="Return",F26=DATE(YEAR($B$3),MONTH($B$3),DAY($B$3))),"Exact-midnight return","Snapshot-date record")))</f>
        <v>Before snapshot date</v>
      </c>
      <c r="X26" s="57" t="str">
        <f aca="false">IF(OR(W26="Before snapshot date",W26="Exact-midnight return"),"Include","Exclude")</f>
        <v>Include</v>
      </c>
      <c r="Y26" s="58" t="str">
        <f aca="false">IF(W26="Before snapshot date","Include","Exclude")</f>
        <v>Include</v>
      </c>
      <c r="Z26" s="49" t="str">
        <f aca="false">IF(W26="After cutoff","Excluded in both: after cutoff",IF(W26="Exact-midnight return","Selected include / alternate exclude","Included in both scenarios"))</f>
        <v>Included in both scenarios</v>
      </c>
      <c r="AA26" s="49" t="s">
        <v>89</v>
      </c>
    </row>
    <row r="27" customFormat="false" ht="15" hidden="false" customHeight="false" outlineLevel="0" collapsed="false">
      <c r="A27" s="48" t="str">
        <f aca="false">'Source Copy'!$A$33</f>
        <v>WHR-DE-005</v>
      </c>
      <c r="B27" s="48" t="str">
        <f aca="false">'Source Copy'!$B$33</f>
        <v>br-de</v>
      </c>
      <c r="C27" s="49" t="str">
        <f aca="false">UPPER(TRIM(B27))</f>
        <v>BR-DE</v>
      </c>
      <c r="D27" s="49" t="str">
        <f aca="false">IFERROR(INDEX('Source Copy'!$B$12:$B$15,MATCH(C27,'Source Copy'!$A$12:$A$15,0)),"Unmapped")</f>
        <v>Germany</v>
      </c>
      <c r="E27" s="48" t="str">
        <f aca="false">'Source Copy'!$C$33</f>
        <v>2027-02-05T17:25:00Z</v>
      </c>
      <c r="F27" s="50" t="n">
        <v>46423.7256944445</v>
      </c>
      <c r="G27" s="49" t="s">
        <v>74</v>
      </c>
      <c r="H27" s="48" t="str">
        <f aca="false">'Source Copy'!$D$33</f>
        <v>Sale</v>
      </c>
      <c r="I27" s="48" t="str">
        <f aca="false">'Source Copy'!$E$33</f>
        <v>QH-MT-05</v>
      </c>
      <c r="J27" s="48" t="str">
        <f aca="false">'Source Copy'!$J$33</f>
        <v>DE-44133</v>
      </c>
      <c r="K27" s="51" t="n">
        <f aca="false">'Source Copy'!$F$33</f>
        <v>24</v>
      </c>
      <c r="L27" s="51" t="n">
        <f aca="false">'Source Copy'!$G$33</f>
        <v>10</v>
      </c>
      <c r="M27" s="52" t="n">
        <f aca="false">K27*L27</f>
        <v>240</v>
      </c>
      <c r="N27" s="53" t="n">
        <f aca="false">'Source Copy'!$H$33</f>
        <v>18.25</v>
      </c>
      <c r="O27" s="54" t="n">
        <f aca="false">ROUND(N27,2)</f>
        <v>18.25</v>
      </c>
      <c r="P27" s="55" t="n">
        <f aca="false">'Source Copy'!$I$33</f>
        <v>14.74</v>
      </c>
      <c r="Q27" s="49" t="n">
        <f aca="false">IF(H27="Return",-1,1)</f>
        <v>1</v>
      </c>
      <c r="R27" s="52" t="n">
        <f aca="false">M27*Q27</f>
        <v>240</v>
      </c>
      <c r="S27" s="56" t="n">
        <f aca="false">R27*O27</f>
        <v>4380</v>
      </c>
      <c r="T27" s="56" t="n">
        <f aca="false">R27*P27</f>
        <v>3537.6</v>
      </c>
      <c r="U27" s="56" t="n">
        <f aca="false">S27*$E$3</f>
        <v>321.93</v>
      </c>
      <c r="V27" s="56" t="n">
        <f aca="false">S27-T27-U27</f>
        <v>520.47</v>
      </c>
      <c r="W27" s="49" t="str">
        <f aca="false">IF(F27&lt;DATE(YEAR($B$3),MONTH($B$3),DAY($B$3)),"Before snapshot date",IF(F27&gt;DATE(YEAR($B$3),MONTH($B$3),DAY($B$3)),"After cutoff",IF(AND(H27="Return",F27=DATE(YEAR($B$3),MONTH($B$3),DAY($B$3))),"Exact-midnight return","Snapshot-date record")))</f>
        <v>Before snapshot date</v>
      </c>
      <c r="X27" s="57" t="str">
        <f aca="false">IF(OR(W27="Before snapshot date",W27="Exact-midnight return"),"Include","Exclude")</f>
        <v>Include</v>
      </c>
      <c r="Y27" s="58" t="str">
        <f aca="false">IF(W27="Before snapshot date","Include","Exclude")</f>
        <v>Include</v>
      </c>
      <c r="Z27" s="49" t="str">
        <f aca="false">IF(W27="After cutoff","Excluded in both: after cutoff",IF(W27="Exact-midnight return","Selected include / alternate exclude","Included in both scenarios"))</f>
        <v>Included in both scenarios</v>
      </c>
      <c r="AA27" s="49" t="s">
        <v>90</v>
      </c>
    </row>
    <row r="28" customFormat="false" ht="15" hidden="false" customHeight="false" outlineLevel="0" collapsed="false">
      <c r="A28" s="48" t="str">
        <f aca="false">'Source Copy'!$A$34</f>
        <v>WHR-DE-006</v>
      </c>
      <c r="B28" s="48" t="str">
        <f aca="false">'Source Copy'!$B$34</f>
        <v>KS-DE </v>
      </c>
      <c r="C28" s="49" t="str">
        <f aca="false">UPPER(TRIM(B28))</f>
        <v>KS-DE</v>
      </c>
      <c r="D28" s="49" t="str">
        <f aca="false">IFERROR(INDEX('Source Copy'!$B$12:$B$15,MATCH(C28,'Source Copy'!$A$12:$A$15,0)),"Unmapped")</f>
        <v>Germany</v>
      </c>
      <c r="E28" s="48" t="str">
        <f aca="false">'Source Copy'!$C$34</f>
        <v>2027-02-23T10:15:00Z</v>
      </c>
      <c r="F28" s="50" t="n">
        <v>46441.4270833333</v>
      </c>
      <c r="G28" s="49" t="s">
        <v>74</v>
      </c>
      <c r="H28" s="48" t="str">
        <f aca="false">'Source Copy'!$D$34</f>
        <v>Sale</v>
      </c>
      <c r="I28" s="48" t="str">
        <f aca="false">'Source Copy'!$E$34</f>
        <v>QH-PL-60</v>
      </c>
      <c r="J28" s="48" t="str">
        <f aca="false">'Source Copy'!$J$34</f>
        <v>DE-44138</v>
      </c>
      <c r="K28" s="51" t="n">
        <f aca="false">'Source Copy'!$F$34</f>
        <v>8</v>
      </c>
      <c r="L28" s="51" t="n">
        <f aca="false">'Source Copy'!$G$34</f>
        <v>12</v>
      </c>
      <c r="M28" s="52" t="n">
        <f aca="false">K28*L28</f>
        <v>96</v>
      </c>
      <c r="N28" s="53" t="n">
        <f aca="false">'Source Copy'!$H$34</f>
        <v>31.8</v>
      </c>
      <c r="O28" s="54" t="n">
        <f aca="false">ROUND(N28,2)</f>
        <v>31.8</v>
      </c>
      <c r="P28" s="55" t="n">
        <f aca="false">'Source Copy'!$I$34</f>
        <v>26.17</v>
      </c>
      <c r="Q28" s="49" t="n">
        <f aca="false">IF(H28="Return",-1,1)</f>
        <v>1</v>
      </c>
      <c r="R28" s="52" t="n">
        <f aca="false">M28*Q28</f>
        <v>96</v>
      </c>
      <c r="S28" s="56" t="n">
        <f aca="false">R28*O28</f>
        <v>3052.8</v>
      </c>
      <c r="T28" s="56" t="n">
        <f aca="false">R28*P28</f>
        <v>2512.32</v>
      </c>
      <c r="U28" s="56" t="n">
        <f aca="false">S28*$E$3</f>
        <v>224.3808</v>
      </c>
      <c r="V28" s="56" t="n">
        <f aca="false">S28-T28-U28</f>
        <v>316.0992</v>
      </c>
      <c r="W28" s="49" t="str">
        <f aca="false">IF(F28&lt;DATE(YEAR($B$3),MONTH($B$3),DAY($B$3)),"Before snapshot date",IF(F28&gt;DATE(YEAR($B$3),MONTH($B$3),DAY($B$3)),"After cutoff",IF(AND(H28="Return",F28=DATE(YEAR($B$3),MONTH($B$3),DAY($B$3))),"Exact-midnight return","Snapshot-date record")))</f>
        <v>Before snapshot date</v>
      </c>
      <c r="X28" s="57" t="str">
        <f aca="false">IF(OR(W28="Before snapshot date",W28="Exact-midnight return"),"Include","Exclude")</f>
        <v>Include</v>
      </c>
      <c r="Y28" s="58" t="str">
        <f aca="false">IF(W28="Before snapshot date","Include","Exclude")</f>
        <v>Include</v>
      </c>
      <c r="Z28" s="49" t="str">
        <f aca="false">IF(W28="After cutoff","Excluded in both: after cutoff",IF(W28="Exact-midnight return","Selected include / alternate exclude","Included in both scenarios"))</f>
        <v>Included in both scenarios</v>
      </c>
      <c r="AA28" s="49" t="s">
        <v>91</v>
      </c>
    </row>
    <row r="29" customFormat="false" ht="15" hidden="false" customHeight="false" outlineLevel="0" collapsed="false">
      <c r="A29" s="48" t="str">
        <f aca="false">'Source Copy'!$A$35</f>
        <v>WHR-DE-007</v>
      </c>
      <c r="B29" s="48" t="str">
        <f aca="false">'Source Copy'!$B$35</f>
        <v>BR-DE</v>
      </c>
      <c r="C29" s="49" t="str">
        <f aca="false">UPPER(TRIM(B29))</f>
        <v>BR-DE</v>
      </c>
      <c r="D29" s="49" t="str">
        <f aca="false">IFERROR(INDEX('Source Copy'!$B$12:$B$15,MATCH(C29,'Source Copy'!$A$12:$A$15,0)),"Unmapped")</f>
        <v>Germany</v>
      </c>
      <c r="E29" s="48" t="str">
        <f aca="false">'Source Copy'!$C$35</f>
        <v>2027-02-26T22:59:00Z</v>
      </c>
      <c r="F29" s="50" t="n">
        <v>46444.9576388889</v>
      </c>
      <c r="G29" s="49" t="s">
        <v>74</v>
      </c>
      <c r="H29" s="48" t="str">
        <f aca="false">'Source Copy'!$D$35</f>
        <v>Sale</v>
      </c>
      <c r="I29" s="48" t="str">
        <f aca="false">'Source Copy'!$E$35</f>
        <v>QH-AR-10</v>
      </c>
      <c r="J29" s="48" t="str">
        <f aca="false">'Source Copy'!$J$35</f>
        <v>DE-44140</v>
      </c>
      <c r="K29" s="51" t="n">
        <f aca="false">'Source Copy'!$F$35</f>
        <v>4</v>
      </c>
      <c r="L29" s="51" t="n">
        <f aca="false">'Source Copy'!$G$35</f>
        <v>24</v>
      </c>
      <c r="M29" s="52" t="n">
        <f aca="false">K29*L29</f>
        <v>96</v>
      </c>
      <c r="N29" s="53" t="n">
        <f aca="false">'Source Copy'!$H$35</f>
        <v>23.47</v>
      </c>
      <c r="O29" s="54" t="n">
        <f aca="false">ROUND(N29,2)</f>
        <v>23.47</v>
      </c>
      <c r="P29" s="55" t="n">
        <f aca="false">'Source Copy'!$I$35</f>
        <v>18.15</v>
      </c>
      <c r="Q29" s="49" t="n">
        <f aca="false">IF(H29="Return",-1,1)</f>
        <v>1</v>
      </c>
      <c r="R29" s="52" t="n">
        <f aca="false">M29*Q29</f>
        <v>96</v>
      </c>
      <c r="S29" s="56" t="n">
        <f aca="false">R29*O29</f>
        <v>2253.12</v>
      </c>
      <c r="T29" s="56" t="n">
        <f aca="false">R29*P29</f>
        <v>1742.4</v>
      </c>
      <c r="U29" s="56" t="n">
        <f aca="false">S29*$E$3</f>
        <v>165.60432</v>
      </c>
      <c r="V29" s="56" t="n">
        <f aca="false">S29-T29-U29</f>
        <v>345.11568</v>
      </c>
      <c r="W29" s="49" t="str">
        <f aca="false">IF(F29&lt;DATE(YEAR($B$3),MONTH($B$3),DAY($B$3)),"Before snapshot date",IF(F29&gt;DATE(YEAR($B$3),MONTH($B$3),DAY($B$3)),"After cutoff",IF(AND(H29="Return",F29=DATE(YEAR($B$3),MONTH($B$3),DAY($B$3))),"Exact-midnight return","Snapshot-date record")))</f>
        <v>Before snapshot date</v>
      </c>
      <c r="X29" s="57" t="str">
        <f aca="false">IF(OR(W29="Before snapshot date",W29="Exact-midnight return"),"Include","Exclude")</f>
        <v>Include</v>
      </c>
      <c r="Y29" s="58" t="str">
        <f aca="false">IF(W29="Before snapshot date","Include","Exclude")</f>
        <v>Include</v>
      </c>
      <c r="Z29" s="49" t="str">
        <f aca="false">IF(W29="After cutoff","Excluded in both: after cutoff",IF(W29="Exact-midnight return","Selected include / alternate exclude","Included in both scenarios"))</f>
        <v>Included in both scenarios</v>
      </c>
      <c r="AA29" s="49" t="s">
        <v>92</v>
      </c>
    </row>
    <row r="30" customFormat="false" ht="15" hidden="false" customHeight="false" outlineLevel="0" collapsed="false">
      <c r="A30" s="59" t="str">
        <f aca="false">'Source Copy'!$A$36</f>
        <v>WHR-DE-008</v>
      </c>
      <c r="B30" s="59" t="str">
        <f aca="false">'Source Copy'!$B$36</f>
        <v>ks-de </v>
      </c>
      <c r="C30" s="59" t="str">
        <f aca="false">UPPER(TRIM(B30))</f>
        <v>KS-DE</v>
      </c>
      <c r="D30" s="59" t="str">
        <f aca="false">IFERROR(INDEX('Source Copy'!$B$12:$B$15,MATCH(C30,'Source Copy'!$A$12:$A$15,0)),"Unmapped")</f>
        <v>Germany</v>
      </c>
      <c r="E30" s="59" t="str">
        <f aca="false">'Source Copy'!$C$36</f>
        <v>2027-02-28T01:05:00Z</v>
      </c>
      <c r="F30" s="60" t="n">
        <v>46446.0451388889</v>
      </c>
      <c r="G30" s="59" t="s">
        <v>74</v>
      </c>
      <c r="H30" s="59" t="str">
        <f aca="false">'Source Copy'!$D$36</f>
        <v>Return</v>
      </c>
      <c r="I30" s="59" t="str">
        <f aca="false">'Source Copy'!$E$36</f>
        <v>QH-MT-05</v>
      </c>
      <c r="J30" s="59" t="str">
        <f aca="false">'Source Copy'!$J$36</f>
        <v>DE-RMA-068</v>
      </c>
      <c r="K30" s="61" t="n">
        <f aca="false">'Source Copy'!$F$36</f>
        <v>4</v>
      </c>
      <c r="L30" s="61" t="n">
        <f aca="false">'Source Copy'!$G$36</f>
        <v>10</v>
      </c>
      <c r="M30" s="61" t="n">
        <f aca="false">K30*L30</f>
        <v>40</v>
      </c>
      <c r="N30" s="62" t="n">
        <f aca="false">'Source Copy'!$H$36</f>
        <v>18.25</v>
      </c>
      <c r="O30" s="63" t="n">
        <f aca="false">ROUND(N30,2)</f>
        <v>18.25</v>
      </c>
      <c r="P30" s="63" t="n">
        <f aca="false">'Source Copy'!$I$36</f>
        <v>14.74</v>
      </c>
      <c r="Q30" s="59" t="n">
        <f aca="false">IF(H30="Return",-1,1)</f>
        <v>-1</v>
      </c>
      <c r="R30" s="61" t="n">
        <f aca="false">M30*Q30</f>
        <v>-40</v>
      </c>
      <c r="S30" s="64" t="n">
        <f aca="false">R30*O30</f>
        <v>-730</v>
      </c>
      <c r="T30" s="64" t="n">
        <f aca="false">R30*P30</f>
        <v>-589.6</v>
      </c>
      <c r="U30" s="64" t="n">
        <f aca="false">S30*$E$3</f>
        <v>-53.655</v>
      </c>
      <c r="V30" s="64" t="n">
        <f aca="false">S30-T30-U30</f>
        <v>-86.745</v>
      </c>
      <c r="W30" s="59" t="str">
        <f aca="false">IF(F30&lt;DATE(YEAR($B$3),MONTH($B$3),DAY($B$3)),"Before snapshot date",IF(F30&gt;DATE(YEAR($B$3),MONTH($B$3),DAY($B$3)),"After cutoff",IF(AND(H30="Return",F30=DATE(YEAR($B$3),MONTH($B$3),DAY($B$3))),"Exact-midnight return","Snapshot-date record")))</f>
        <v>After cutoff</v>
      </c>
      <c r="X30" s="59" t="str">
        <f aca="false">IF(OR(W30="Before snapshot date",W30="Exact-midnight return"),"Include","Exclude")</f>
        <v>Exclude</v>
      </c>
      <c r="Y30" s="59" t="str">
        <f aca="false">IF(W30="Before snapshot date","Include","Exclude")</f>
        <v>Exclude</v>
      </c>
      <c r="Z30" s="59" t="str">
        <f aca="false">IF(W30="After cutoff","Excluded in both: after cutoff",IF(W30="Exact-midnight return","Selected include / alternate exclude","Included in both scenarios"))</f>
        <v>Excluded in both: after cutoff</v>
      </c>
      <c r="AA30" s="59" t="s">
        <v>93</v>
      </c>
    </row>
    <row r="31" customFormat="false" ht="15" hidden="false" customHeight="false" outlineLevel="0" collapsed="false">
      <c r="A31" s="59" t="str">
        <f aca="false">'Source Copy'!$A$37</f>
        <v>WHR-DE-009</v>
      </c>
      <c r="B31" s="59" t="str">
        <f aca="false">'Source Copy'!$B$37</f>
        <v>BR-DE </v>
      </c>
      <c r="C31" s="59" t="str">
        <f aca="false">UPPER(TRIM(B31))</f>
        <v>BR-DE</v>
      </c>
      <c r="D31" s="59" t="str">
        <f aca="false">IFERROR(INDEX('Source Copy'!$B$12:$B$15,MATCH(C31,'Source Copy'!$A$12:$A$15,0)),"Unmapped")</f>
        <v>Germany</v>
      </c>
      <c r="E31" s="59" t="str">
        <f aca="false">'Source Copy'!$C$37</f>
        <v>2027-03-02T06:45:00Z</v>
      </c>
      <c r="F31" s="60" t="n">
        <v>46448.28125</v>
      </c>
      <c r="G31" s="59" t="s">
        <v>74</v>
      </c>
      <c r="H31" s="59" t="str">
        <f aca="false">'Source Copy'!$D$37</f>
        <v>Sale</v>
      </c>
      <c r="I31" s="59" t="str">
        <f aca="false">'Source Copy'!$E$37</f>
        <v>QH-AR-10</v>
      </c>
      <c r="J31" s="59" t="str">
        <f aca="false">'Source Copy'!$J$37</f>
        <v>DE-44152</v>
      </c>
      <c r="K31" s="61" t="n">
        <f aca="false">'Source Copy'!$F$37</f>
        <v>9</v>
      </c>
      <c r="L31" s="61" t="n">
        <f aca="false">'Source Copy'!$G$37</f>
        <v>24</v>
      </c>
      <c r="M31" s="61" t="n">
        <f aca="false">K31*L31</f>
        <v>216</v>
      </c>
      <c r="N31" s="62" t="n">
        <f aca="false">'Source Copy'!$H$37</f>
        <v>23.47</v>
      </c>
      <c r="O31" s="63" t="n">
        <f aca="false">ROUND(N31,2)</f>
        <v>23.47</v>
      </c>
      <c r="P31" s="63" t="n">
        <f aca="false">'Source Copy'!$I$37</f>
        <v>18.15</v>
      </c>
      <c r="Q31" s="59" t="n">
        <f aca="false">IF(H31="Return",-1,1)</f>
        <v>1</v>
      </c>
      <c r="R31" s="61" t="n">
        <f aca="false">M31*Q31</f>
        <v>216</v>
      </c>
      <c r="S31" s="64" t="n">
        <f aca="false">R31*O31</f>
        <v>5069.52</v>
      </c>
      <c r="T31" s="64" t="n">
        <f aca="false">R31*P31</f>
        <v>3920.4</v>
      </c>
      <c r="U31" s="64" t="n">
        <f aca="false">S31*$E$3</f>
        <v>372.60972</v>
      </c>
      <c r="V31" s="64" t="n">
        <f aca="false">S31-T31-U31</f>
        <v>776.51028</v>
      </c>
      <c r="W31" s="59" t="str">
        <f aca="false">IF(F31&lt;DATE(YEAR($B$3),MONTH($B$3),DAY($B$3)),"Before snapshot date",IF(F31&gt;DATE(YEAR($B$3),MONTH($B$3),DAY($B$3)),"After cutoff",IF(AND(H31="Return",F31=DATE(YEAR($B$3),MONTH($B$3),DAY($B$3))),"Exact-midnight return","Snapshot-date record")))</f>
        <v>After cutoff</v>
      </c>
      <c r="X31" s="59" t="str">
        <f aca="false">IF(OR(W31="Before snapshot date",W31="Exact-midnight return"),"Include","Exclude")</f>
        <v>Exclude</v>
      </c>
      <c r="Y31" s="59" t="str">
        <f aca="false">IF(W31="Before snapshot date","Include","Exclude")</f>
        <v>Exclude</v>
      </c>
      <c r="Z31" s="59" t="str">
        <f aca="false">IF(W31="After cutoff","Excluded in both: after cutoff",IF(W31="Exact-midnight return","Selected include / alternate exclude","Included in both scenarios"))</f>
        <v>Excluded in both: after cutoff</v>
      </c>
      <c r="AA31" s="59" t="s">
        <v>94</v>
      </c>
    </row>
    <row r="32" customFormat="false" ht="15" hidden="false" customHeight="false" outlineLevel="0" collapsed="false">
      <c r="A32" s="48" t="str">
        <f aca="false">'Source Copy'!$A$38</f>
        <v>WHR-DE-010</v>
      </c>
      <c r="B32" s="48" t="str">
        <f aca="false">'Source Copy'!$B$38</f>
        <v>KS-DE</v>
      </c>
      <c r="C32" s="49" t="str">
        <f aca="false">UPPER(TRIM(B32))</f>
        <v>KS-DE</v>
      </c>
      <c r="D32" s="49" t="str">
        <f aca="false">IFERROR(INDEX('Source Copy'!$B$12:$B$15,MATCH(C32,'Source Copy'!$A$12:$A$15,0)),"Unmapped")</f>
        <v>Germany</v>
      </c>
      <c r="E32" s="48" t="str">
        <f aca="false">'Source Copy'!$C$38</f>
        <v>2027-02-12T11:10:00Z</v>
      </c>
      <c r="F32" s="50" t="n">
        <v>46430.4652777778</v>
      </c>
      <c r="G32" s="49" t="s">
        <v>74</v>
      </c>
      <c r="H32" s="48" t="str">
        <f aca="false">'Source Copy'!$D$38</f>
        <v>Sale</v>
      </c>
      <c r="I32" s="48" t="str">
        <f aca="false">'Source Copy'!$E$38</f>
        <v>QH-PL-60</v>
      </c>
      <c r="J32" s="48" t="str">
        <f aca="false">'Source Copy'!$J$38</f>
        <v>DE-44135</v>
      </c>
      <c r="K32" s="51" t="n">
        <f aca="false">'Source Copy'!$F$38</f>
        <v>10</v>
      </c>
      <c r="L32" s="51" t="n">
        <f aca="false">'Source Copy'!$G$38</f>
        <v>12</v>
      </c>
      <c r="M32" s="52" t="n">
        <f aca="false">K32*L32</f>
        <v>120</v>
      </c>
      <c r="N32" s="53" t="n">
        <f aca="false">'Source Copy'!$H$38</f>
        <v>31.8</v>
      </c>
      <c r="O32" s="54" t="n">
        <f aca="false">ROUND(N32,2)</f>
        <v>31.8</v>
      </c>
      <c r="P32" s="55" t="n">
        <f aca="false">'Source Copy'!$I$38</f>
        <v>26.17</v>
      </c>
      <c r="Q32" s="49" t="n">
        <f aca="false">IF(H32="Return",-1,1)</f>
        <v>1</v>
      </c>
      <c r="R32" s="52" t="n">
        <f aca="false">M32*Q32</f>
        <v>120</v>
      </c>
      <c r="S32" s="56" t="n">
        <f aca="false">R32*O32</f>
        <v>3816</v>
      </c>
      <c r="T32" s="56" t="n">
        <f aca="false">R32*P32</f>
        <v>3140.4</v>
      </c>
      <c r="U32" s="56" t="n">
        <f aca="false">S32*$E$3</f>
        <v>280.476</v>
      </c>
      <c r="V32" s="56" t="n">
        <f aca="false">S32-T32-U32</f>
        <v>395.124</v>
      </c>
      <c r="W32" s="49" t="str">
        <f aca="false">IF(F32&lt;DATE(YEAR($B$3),MONTH($B$3),DAY($B$3)),"Before snapshot date",IF(F32&gt;DATE(YEAR($B$3),MONTH($B$3),DAY($B$3)),"After cutoff",IF(AND(H32="Return",F32=DATE(YEAR($B$3),MONTH($B$3),DAY($B$3))),"Exact-midnight return","Snapshot-date record")))</f>
        <v>Before snapshot date</v>
      </c>
      <c r="X32" s="57" t="str">
        <f aca="false">IF(OR(W32="Before snapshot date",W32="Exact-midnight return"),"Include","Exclude")</f>
        <v>Include</v>
      </c>
      <c r="Y32" s="58" t="str">
        <f aca="false">IF(W32="Before snapshot date","Include","Exclude")</f>
        <v>Include</v>
      </c>
      <c r="Z32" s="49" t="str">
        <f aca="false">IF(W32="After cutoff","Excluded in both: after cutoff",IF(W32="Exact-midnight return","Selected include / alternate exclude","Included in both scenarios"))</f>
        <v>Included in both scenarios</v>
      </c>
      <c r="AA32" s="49" t="s">
        <v>95</v>
      </c>
    </row>
  </sheetData>
  <autoFilter ref="A22:AA32"/>
  <mergeCells count="6">
    <mergeCell ref="A1:AA1"/>
    <mergeCell ref="A2:AA2"/>
    <mergeCell ref="A4:AA4"/>
    <mergeCell ref="A5:AA5"/>
    <mergeCell ref="A7:AA7"/>
    <mergeCell ref="A20:AA20"/>
  </mergeCells>
  <conditionalFormatting sqref="X23:Y32">
    <cfRule type="expression" priority="2" aboveAverage="0" equalAverage="0" bottom="0" percent="0" rank="0" text="" dxfId="10">
      <formula>X23="Include"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3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1BD"/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9"/>
    <col collapsed="false" customWidth="true" hidden="false" outlineLevel="0" max="3" min="3" style="0" width="46"/>
    <col collapsed="false" customWidth="true" hidden="false" outlineLevel="0" max="4" min="4" style="0" width="100"/>
  </cols>
  <sheetData>
    <row r="1" customFormat="false" ht="19.7" hidden="false" customHeight="false" outlineLevel="0" collapsed="false">
      <c r="A1" s="1" t="s">
        <v>96</v>
      </c>
      <c r="B1" s="1"/>
      <c r="C1" s="1"/>
      <c r="D1" s="1"/>
    </row>
    <row r="2" customFormat="false" ht="15" hidden="false" customHeight="false" outlineLevel="0" collapsed="false">
      <c r="A2" s="2" t="s">
        <v>97</v>
      </c>
      <c r="B2" s="2"/>
      <c r="C2" s="2"/>
      <c r="D2" s="2"/>
    </row>
    <row r="4" customFormat="false" ht="15" hidden="false" customHeight="false" outlineLevel="0" collapsed="false">
      <c r="A4" s="69" t="s">
        <v>98</v>
      </c>
      <c r="B4" s="69"/>
      <c r="C4" s="69"/>
      <c r="D4" s="69"/>
    </row>
    <row r="5" customFormat="false" ht="15" hidden="false" customHeight="false" outlineLevel="0" collapsed="false">
      <c r="A5" s="6" t="s">
        <v>99</v>
      </c>
      <c r="B5" s="6" t="s">
        <v>100</v>
      </c>
      <c r="C5" s="6" t="s">
        <v>101</v>
      </c>
      <c r="D5" s="6" t="s">
        <v>102</v>
      </c>
    </row>
    <row r="6" customFormat="false" ht="54.75" hidden="false" customHeight="true" outlineLevel="0" collapsed="false">
      <c r="A6" s="70" t="s">
        <v>103</v>
      </c>
      <c r="B6" s="71" t="s">
        <v>104</v>
      </c>
      <c r="C6" s="72" t="s">
        <v>105</v>
      </c>
      <c r="D6" s="72" t="s">
        <v>106</v>
      </c>
    </row>
    <row r="7" customFormat="false" ht="54.75" hidden="false" customHeight="true" outlineLevel="0" collapsed="false">
      <c r="A7" s="70" t="s">
        <v>107</v>
      </c>
      <c r="B7" s="71" t="s">
        <v>104</v>
      </c>
      <c r="C7" s="72" t="s">
        <v>108</v>
      </c>
      <c r="D7" s="72" t="s">
        <v>109</v>
      </c>
    </row>
    <row r="8" customFormat="false" ht="54.75" hidden="false" customHeight="true" outlineLevel="0" collapsed="false">
      <c r="A8" s="70" t="s">
        <v>110</v>
      </c>
      <c r="B8" s="73" t="s">
        <v>111</v>
      </c>
      <c r="C8" s="72" t="s">
        <v>112</v>
      </c>
      <c r="D8" s="72" t="s">
        <v>113</v>
      </c>
    </row>
    <row r="9" customFormat="false" ht="67.5" hidden="false" customHeight="true" outlineLevel="0" collapsed="false">
      <c r="A9" s="70" t="s">
        <v>114</v>
      </c>
      <c r="B9" s="73" t="s">
        <v>115</v>
      </c>
      <c r="C9" s="72" t="s">
        <v>116</v>
      </c>
      <c r="D9" s="72" t="s">
        <v>117</v>
      </c>
    </row>
    <row r="10" customFormat="false" ht="67.5" hidden="false" customHeight="true" outlineLevel="0" collapsed="false">
      <c r="A10" s="70" t="s">
        <v>118</v>
      </c>
      <c r="B10" s="73" t="s">
        <v>119</v>
      </c>
      <c r="C10" s="72" t="s">
        <v>120</v>
      </c>
      <c r="D10" s="72" t="s">
        <v>121</v>
      </c>
    </row>
    <row r="11" customFormat="false" ht="54.75" hidden="false" customHeight="true" outlineLevel="0" collapsed="false">
      <c r="A11" s="70" t="s">
        <v>122</v>
      </c>
      <c r="B11" s="73" t="s">
        <v>123</v>
      </c>
      <c r="C11" s="72" t="s">
        <v>124</v>
      </c>
      <c r="D11" s="72" t="s">
        <v>125</v>
      </c>
    </row>
    <row r="12" customFormat="false" ht="54.75" hidden="false" customHeight="true" outlineLevel="0" collapsed="false">
      <c r="A12" s="70" t="s">
        <v>126</v>
      </c>
      <c r="B12" s="73" t="s">
        <v>127</v>
      </c>
      <c r="C12" s="72" t="s">
        <v>128</v>
      </c>
      <c r="D12" s="72" t="s">
        <v>129</v>
      </c>
    </row>
    <row r="13" customFormat="false" ht="54.75" hidden="false" customHeight="true" outlineLevel="0" collapsed="false">
      <c r="A13" s="70" t="s">
        <v>130</v>
      </c>
      <c r="B13" s="74" t="s">
        <v>131</v>
      </c>
      <c r="C13" s="72" t="s">
        <v>132</v>
      </c>
      <c r="D13" s="72" t="s">
        <v>133</v>
      </c>
    </row>
    <row r="14" customFormat="false" ht="54.75" hidden="false" customHeight="true" outlineLevel="0" collapsed="false">
      <c r="A14" s="70" t="s">
        <v>134</v>
      </c>
      <c r="B14" s="74" t="s">
        <v>131</v>
      </c>
      <c r="C14" s="72" t="s">
        <v>135</v>
      </c>
      <c r="D14" s="72" t="s">
        <v>136</v>
      </c>
    </row>
    <row r="15" customFormat="false" ht="54.75" hidden="false" customHeight="true" outlineLevel="0" collapsed="false">
      <c r="A15" s="70" t="s">
        <v>137</v>
      </c>
      <c r="B15" s="74" t="s">
        <v>131</v>
      </c>
      <c r="C15" s="72" t="s">
        <v>138</v>
      </c>
      <c r="D15" s="72" t="s">
        <v>139</v>
      </c>
    </row>
    <row r="16" customFormat="false" ht="54.75" hidden="false" customHeight="true" outlineLevel="0" collapsed="false">
      <c r="A16" s="70" t="s">
        <v>140</v>
      </c>
      <c r="B16" s="75" t="s">
        <v>141</v>
      </c>
      <c r="C16" s="72" t="s">
        <v>142</v>
      </c>
      <c r="D16" s="72" t="s">
        <v>143</v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  <col collapsed="false" customWidth="true" hidden="false" outlineLevel="0" max="3" min="3" style="0" width="49"/>
    <col collapsed="false" customWidth="true" hidden="false" outlineLevel="0" max="4" min="4" style="0" width="58"/>
    <col collapsed="false" customWidth="true" hidden="false" outlineLevel="0" max="5" min="5" style="0" width="6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76" t="s">
        <v>144</v>
      </c>
      <c r="B1" s="76"/>
      <c r="C1" s="76"/>
      <c r="D1" s="76"/>
      <c r="E1" s="76"/>
      <c r="F1" s="76"/>
    </row>
    <row r="2" customFormat="false" ht="15" hidden="false" customHeight="false" outlineLevel="0" collapsed="false">
      <c r="A2" s="77" t="s">
        <v>145</v>
      </c>
      <c r="B2" s="77"/>
      <c r="C2" s="77"/>
      <c r="D2" s="77"/>
      <c r="E2" s="77"/>
      <c r="F2" s="77"/>
    </row>
    <row r="4" customFormat="false" ht="15" hidden="false" customHeight="false" outlineLevel="0" collapsed="false">
      <c r="A4" s="18" t="s">
        <v>146</v>
      </c>
      <c r="B4" s="18"/>
      <c r="C4" s="18"/>
      <c r="D4" s="18"/>
      <c r="E4" s="18"/>
      <c r="F4" s="18"/>
    </row>
    <row r="5" customFormat="false" ht="15" hidden="false" customHeight="false" outlineLevel="0" collapsed="false">
      <c r="A5" s="19" t="s">
        <v>147</v>
      </c>
      <c r="B5" s="19" t="s">
        <v>148</v>
      </c>
      <c r="C5" s="19" t="s">
        <v>149</v>
      </c>
      <c r="D5" s="19" t="s">
        <v>150</v>
      </c>
      <c r="E5" s="19" t="s">
        <v>151</v>
      </c>
      <c r="F5" s="19" t="s">
        <v>152</v>
      </c>
    </row>
    <row r="6" customFormat="false" ht="81.75" hidden="false" customHeight="true" outlineLevel="0" collapsed="false">
      <c r="A6" s="78" t="s">
        <v>153</v>
      </c>
      <c r="B6" s="70" t="s">
        <v>154</v>
      </c>
      <c r="C6" s="72" t="s">
        <v>155</v>
      </c>
      <c r="D6" s="72" t="s">
        <v>156</v>
      </c>
      <c r="E6" s="72" t="s">
        <v>157</v>
      </c>
      <c r="F6" s="72" t="s">
        <v>158</v>
      </c>
    </row>
    <row r="7" customFormat="false" ht="81.75" hidden="false" customHeight="true" outlineLevel="0" collapsed="false">
      <c r="A7" s="78" t="s">
        <v>159</v>
      </c>
      <c r="B7" s="70" t="s">
        <v>160</v>
      </c>
      <c r="C7" s="72" t="s">
        <v>161</v>
      </c>
      <c r="D7" s="72" t="s">
        <v>162</v>
      </c>
      <c r="E7" s="72" t="s">
        <v>116</v>
      </c>
      <c r="F7" s="72" t="s">
        <v>163</v>
      </c>
    </row>
    <row r="8" customFormat="false" ht="81.75" hidden="false" customHeight="true" outlineLevel="0" collapsed="false">
      <c r="A8" s="78" t="s">
        <v>164</v>
      </c>
      <c r="B8" s="70" t="s">
        <v>165</v>
      </c>
      <c r="C8" s="72" t="s">
        <v>166</v>
      </c>
      <c r="D8" s="72" t="s">
        <v>167</v>
      </c>
      <c r="E8" s="72" t="s">
        <v>168</v>
      </c>
      <c r="F8" s="72" t="s">
        <v>169</v>
      </c>
    </row>
    <row r="9" customFormat="false" ht="81.75" hidden="false" customHeight="true" outlineLevel="0" collapsed="false">
      <c r="A9" s="78" t="s">
        <v>170</v>
      </c>
      <c r="B9" s="70" t="s">
        <v>171</v>
      </c>
      <c r="C9" s="72" t="s">
        <v>172</v>
      </c>
      <c r="D9" s="72" t="s">
        <v>173</v>
      </c>
      <c r="E9" s="72" t="s">
        <v>174</v>
      </c>
      <c r="F9" s="72" t="s">
        <v>175</v>
      </c>
    </row>
    <row r="10" customFormat="false" ht="81.75" hidden="false" customHeight="true" outlineLevel="0" collapsed="false">
      <c r="A10" s="78" t="s">
        <v>176</v>
      </c>
      <c r="B10" s="70" t="s">
        <v>177</v>
      </c>
      <c r="C10" s="72" t="s">
        <v>178</v>
      </c>
      <c r="D10" s="72" t="s">
        <v>179</v>
      </c>
      <c r="E10" s="72" t="s">
        <v>180</v>
      </c>
      <c r="F10" s="72" t="s">
        <v>181</v>
      </c>
    </row>
    <row r="11" customFormat="false" ht="81.75" hidden="false" customHeight="true" outlineLevel="0" collapsed="false">
      <c r="A11" s="78" t="s">
        <v>182</v>
      </c>
      <c r="B11" s="70" t="s">
        <v>183</v>
      </c>
      <c r="C11" s="72" t="s">
        <v>184</v>
      </c>
      <c r="D11" s="72" t="s">
        <v>185</v>
      </c>
      <c r="E11" s="72" t="s">
        <v>186</v>
      </c>
      <c r="F11" s="72" t="s">
        <v>187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7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69" t="s">
        <v>189</v>
      </c>
      <c r="B4" s="69"/>
      <c r="C4" s="69"/>
      <c r="D4" s="69"/>
      <c r="E4" s="69"/>
      <c r="F4" s="69"/>
      <c r="H4" s="69" t="s">
        <v>190</v>
      </c>
      <c r="I4" s="69"/>
      <c r="J4" s="69"/>
      <c r="K4" s="69"/>
      <c r="L4" s="69"/>
    </row>
    <row r="5" customFormat="false" ht="15" hidden="false" customHeight="false" outlineLevel="0" collapsed="false">
      <c r="A5" s="79" t="s">
        <v>191</v>
      </c>
      <c r="B5" s="80" t="s">
        <v>192</v>
      </c>
      <c r="C5" s="79" t="s">
        <v>193</v>
      </c>
      <c r="D5" s="81" t="n">
        <v>46449</v>
      </c>
      <c r="E5" s="79" t="s">
        <v>194</v>
      </c>
      <c r="F5" s="80" t="s">
        <v>195</v>
      </c>
      <c r="H5" s="79" t="s">
        <v>196</v>
      </c>
      <c r="I5" s="80" t="s">
        <v>197</v>
      </c>
    </row>
    <row r="6" customFormat="false" ht="22.35" hidden="false" customHeight="false" outlineLevel="0" collapsed="false">
      <c r="A6" s="79" t="s">
        <v>198</v>
      </c>
      <c r="B6" s="80" t="s">
        <v>199</v>
      </c>
      <c r="C6" s="79" t="s">
        <v>25</v>
      </c>
      <c r="D6" s="82" t="n">
        <v>0.0735</v>
      </c>
      <c r="E6" s="79" t="s">
        <v>200</v>
      </c>
      <c r="F6" s="82" t="n">
        <v>0.133</v>
      </c>
      <c r="H6" s="79" t="s">
        <v>201</v>
      </c>
      <c r="I6" s="80" t="s">
        <v>202</v>
      </c>
    </row>
    <row r="7" customFormat="false" ht="22.35" hidden="false" customHeight="false" outlineLevel="0" collapsed="false">
      <c r="A7" s="79" t="s">
        <v>27</v>
      </c>
      <c r="B7" s="80" t="s">
        <v>203</v>
      </c>
      <c r="C7" s="79" t="s">
        <v>204</v>
      </c>
      <c r="D7" s="81" t="n">
        <v>46445</v>
      </c>
      <c r="E7" s="79" t="s">
        <v>205</v>
      </c>
      <c r="F7" s="80" t="s">
        <v>206</v>
      </c>
      <c r="H7" s="79" t="s">
        <v>207</v>
      </c>
      <c r="I7" s="80" t="s">
        <v>208</v>
      </c>
    </row>
    <row r="8" customFormat="false" ht="15" hidden="false" customHeight="false" outlineLevel="0" collapsed="false">
      <c r="A8" s="31"/>
      <c r="B8" s="31"/>
      <c r="C8" s="31"/>
      <c r="D8" s="31"/>
      <c r="E8" s="31"/>
      <c r="F8" s="31"/>
      <c r="H8" s="79" t="s">
        <v>209</v>
      </c>
      <c r="I8" s="80" t="s">
        <v>210</v>
      </c>
    </row>
    <row r="9" customFormat="false" ht="15" hidden="false" customHeight="false" outlineLevel="0" collapsed="false">
      <c r="A9" s="31"/>
      <c r="B9" s="31"/>
      <c r="C9" s="31"/>
      <c r="D9" s="31"/>
      <c r="E9" s="31"/>
      <c r="F9" s="31"/>
      <c r="H9" s="79" t="s">
        <v>211</v>
      </c>
      <c r="I9" s="82" t="n">
        <v>0.141</v>
      </c>
    </row>
    <row r="10" customFormat="false" ht="15" hidden="false" customHeight="false" outlineLevel="0" collapsed="false">
      <c r="A10" s="83" t="s">
        <v>212</v>
      </c>
      <c r="B10" s="83"/>
      <c r="C10" s="83"/>
      <c r="D10" s="83"/>
      <c r="E10" s="31"/>
      <c r="F10" s="31"/>
      <c r="H10" s="79" t="s">
        <v>213</v>
      </c>
      <c r="I10" s="82" t="n">
        <v>0.128</v>
      </c>
    </row>
    <row r="11" customFormat="false" ht="15" hidden="false" customHeight="false" outlineLevel="0" collapsed="false">
      <c r="A11" s="84" t="s">
        <v>214</v>
      </c>
      <c r="B11" s="84" t="s">
        <v>215</v>
      </c>
      <c r="C11" s="84" t="s">
        <v>216</v>
      </c>
      <c r="D11" s="84" t="s">
        <v>217</v>
      </c>
      <c r="E11" s="31"/>
      <c r="F11" s="31"/>
      <c r="H11" s="79" t="s">
        <v>218</v>
      </c>
      <c r="I11" s="82" t="n">
        <v>0.135</v>
      </c>
    </row>
    <row r="12" customFormat="false" ht="15" hidden="false" customHeight="false" outlineLevel="0" collapsed="false">
      <c r="A12" s="85" t="s">
        <v>219</v>
      </c>
      <c r="B12" s="85" t="s">
        <v>6</v>
      </c>
      <c r="C12" s="85" t="s">
        <v>220</v>
      </c>
      <c r="D12" s="85" t="s">
        <v>221</v>
      </c>
      <c r="E12" s="31"/>
      <c r="F12" s="31"/>
      <c r="H12" s="79" t="s">
        <v>222</v>
      </c>
      <c r="I12" s="80" t="s">
        <v>223</v>
      </c>
    </row>
    <row r="13" customFormat="false" ht="15" hidden="false" customHeight="false" outlineLevel="0" collapsed="false">
      <c r="A13" s="72" t="s">
        <v>224</v>
      </c>
      <c r="B13" s="72" t="s">
        <v>6</v>
      </c>
      <c r="C13" s="72" t="s">
        <v>225</v>
      </c>
      <c r="D13" s="72" t="s">
        <v>226</v>
      </c>
    </row>
    <row r="14" customFormat="false" ht="15" hidden="false" customHeight="false" outlineLevel="0" collapsed="false">
      <c r="A14" s="85" t="s">
        <v>227</v>
      </c>
      <c r="B14" s="85" t="s">
        <v>7</v>
      </c>
      <c r="C14" s="85" t="s">
        <v>228</v>
      </c>
      <c r="D14" s="85" t="s">
        <v>229</v>
      </c>
    </row>
    <row r="15" customFormat="false" ht="15" hidden="false" customHeight="false" outlineLevel="0" collapsed="false">
      <c r="A15" s="72" t="s">
        <v>230</v>
      </c>
      <c r="B15" s="72" t="s">
        <v>7</v>
      </c>
      <c r="C15" s="72" t="s">
        <v>231</v>
      </c>
      <c r="D15" s="72" t="s">
        <v>232</v>
      </c>
    </row>
    <row r="17" customFormat="false" ht="15" hidden="false" customHeight="false" outlineLevel="0" collapsed="false">
      <c r="A17" s="69" t="s">
        <v>233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</row>
    <row r="18" customFormat="false" ht="30.75" hidden="false" customHeight="true" outlineLevel="0" collapsed="false">
      <c r="A18" s="6" t="s">
        <v>234</v>
      </c>
      <c r="B18" s="6" t="s">
        <v>214</v>
      </c>
      <c r="C18" s="6" t="s">
        <v>235</v>
      </c>
      <c r="D18" s="6" t="s">
        <v>236</v>
      </c>
      <c r="E18" s="6" t="s">
        <v>237</v>
      </c>
      <c r="F18" s="6" t="s">
        <v>208</v>
      </c>
      <c r="G18" s="6" t="s">
        <v>238</v>
      </c>
      <c r="H18" s="6" t="s">
        <v>239</v>
      </c>
      <c r="I18" s="6" t="s">
        <v>240</v>
      </c>
      <c r="J18" s="6" t="s">
        <v>241</v>
      </c>
      <c r="K18" s="6" t="s">
        <v>242</v>
      </c>
      <c r="L18" s="6" t="s">
        <v>243</v>
      </c>
    </row>
    <row r="19" customFormat="false" ht="15" hidden="false" customHeight="false" outlineLevel="0" collapsed="false">
      <c r="A19" s="86" t="s">
        <v>244</v>
      </c>
      <c r="B19" s="86" t="s">
        <v>219</v>
      </c>
      <c r="C19" s="87" t="s">
        <v>245</v>
      </c>
      <c r="D19" s="86" t="s">
        <v>246</v>
      </c>
      <c r="E19" s="86" t="s">
        <v>247</v>
      </c>
      <c r="F19" s="88" t="n">
        <v>12</v>
      </c>
      <c r="G19" s="88" t="n">
        <v>24</v>
      </c>
      <c r="H19" s="89" t="n">
        <v>23.47</v>
      </c>
      <c r="I19" s="90" t="n">
        <v>18.15</v>
      </c>
      <c r="J19" s="86" t="s">
        <v>248</v>
      </c>
      <c r="K19" s="86" t="s">
        <v>249</v>
      </c>
      <c r="L19" s="86"/>
    </row>
    <row r="20" customFormat="false" ht="15" hidden="false" customHeight="false" outlineLevel="0" collapsed="false">
      <c r="A20" s="91" t="s">
        <v>250</v>
      </c>
      <c r="B20" s="91" t="s">
        <v>251</v>
      </c>
      <c r="C20" s="92" t="s">
        <v>252</v>
      </c>
      <c r="D20" s="91" t="s">
        <v>246</v>
      </c>
      <c r="E20" s="91" t="s">
        <v>247</v>
      </c>
      <c r="F20" s="93" t="n">
        <v>8</v>
      </c>
      <c r="G20" s="93" t="n">
        <v>24</v>
      </c>
      <c r="H20" s="94" t="n">
        <v>23.4700003</v>
      </c>
      <c r="I20" s="95" t="n">
        <v>18.15</v>
      </c>
      <c r="J20" s="91" t="s">
        <v>248</v>
      </c>
      <c r="K20" s="91" t="s">
        <v>249</v>
      </c>
      <c r="L20" s="91" t="s">
        <v>253</v>
      </c>
    </row>
    <row r="21" customFormat="false" ht="15" hidden="false" customHeight="false" outlineLevel="0" collapsed="false">
      <c r="A21" s="86" t="s">
        <v>254</v>
      </c>
      <c r="B21" s="86" t="s">
        <v>255</v>
      </c>
      <c r="C21" s="87" t="s">
        <v>256</v>
      </c>
      <c r="D21" s="86" t="s">
        <v>246</v>
      </c>
      <c r="E21" s="86" t="s">
        <v>257</v>
      </c>
      <c r="F21" s="88" t="n">
        <v>15</v>
      </c>
      <c r="G21" s="88" t="n">
        <v>12</v>
      </c>
      <c r="H21" s="89" t="n">
        <v>31.8</v>
      </c>
      <c r="I21" s="90" t="n">
        <v>26.17</v>
      </c>
      <c r="J21" s="86" t="s">
        <v>258</v>
      </c>
      <c r="K21" s="86" t="s">
        <v>259</v>
      </c>
      <c r="L21" s="86"/>
    </row>
    <row r="22" customFormat="false" ht="15" hidden="false" customHeight="false" outlineLevel="0" collapsed="false">
      <c r="A22" s="91" t="s">
        <v>260</v>
      </c>
      <c r="B22" s="91" t="s">
        <v>261</v>
      </c>
      <c r="C22" s="92" t="s">
        <v>262</v>
      </c>
      <c r="D22" s="91" t="s">
        <v>263</v>
      </c>
      <c r="E22" s="91" t="s">
        <v>257</v>
      </c>
      <c r="F22" s="93" t="n">
        <v>2</v>
      </c>
      <c r="G22" s="93" t="n">
        <v>12</v>
      </c>
      <c r="H22" s="94" t="n">
        <v>31.8</v>
      </c>
      <c r="I22" s="95" t="n">
        <v>26.17</v>
      </c>
      <c r="J22" s="91" t="s">
        <v>264</v>
      </c>
      <c r="K22" s="91" t="s">
        <v>259</v>
      </c>
      <c r="L22" s="91" t="s">
        <v>265</v>
      </c>
    </row>
    <row r="23" customFormat="false" ht="15" hidden="false" customHeight="false" outlineLevel="0" collapsed="false">
      <c r="A23" s="86" t="s">
        <v>266</v>
      </c>
      <c r="B23" s="86" t="s">
        <v>219</v>
      </c>
      <c r="C23" s="87" t="s">
        <v>267</v>
      </c>
      <c r="D23" s="86" t="s">
        <v>246</v>
      </c>
      <c r="E23" s="86" t="s">
        <v>247</v>
      </c>
      <c r="F23" s="88" t="n">
        <v>10</v>
      </c>
      <c r="G23" s="88" t="n">
        <v>24</v>
      </c>
      <c r="H23" s="89" t="n">
        <v>23.47</v>
      </c>
      <c r="I23" s="90" t="n">
        <v>18.15</v>
      </c>
      <c r="J23" s="86" t="s">
        <v>268</v>
      </c>
      <c r="K23" s="86" t="s">
        <v>249</v>
      </c>
      <c r="L23" s="86"/>
    </row>
    <row r="24" customFormat="false" ht="15" hidden="false" customHeight="false" outlineLevel="0" collapsed="false">
      <c r="A24" s="91" t="s">
        <v>269</v>
      </c>
      <c r="B24" s="91" t="s">
        <v>251</v>
      </c>
      <c r="C24" s="92" t="s">
        <v>270</v>
      </c>
      <c r="D24" s="91" t="s">
        <v>246</v>
      </c>
      <c r="E24" s="91" t="s">
        <v>247</v>
      </c>
      <c r="F24" s="93" t="n">
        <v>6</v>
      </c>
      <c r="G24" s="93" t="n">
        <v>24</v>
      </c>
      <c r="H24" s="94" t="n">
        <v>23.4700003</v>
      </c>
      <c r="I24" s="95" t="n">
        <v>18.15</v>
      </c>
      <c r="J24" s="91" t="s">
        <v>271</v>
      </c>
      <c r="K24" s="91" t="s">
        <v>249</v>
      </c>
      <c r="L24" s="91"/>
    </row>
    <row r="25" customFormat="false" ht="15" hidden="false" customHeight="false" outlineLevel="0" collapsed="false">
      <c r="A25" s="86" t="s">
        <v>272</v>
      </c>
      <c r="B25" s="86" t="s">
        <v>224</v>
      </c>
      <c r="C25" s="87" t="s">
        <v>273</v>
      </c>
      <c r="D25" s="86" t="s">
        <v>246</v>
      </c>
      <c r="E25" s="86" t="s">
        <v>257</v>
      </c>
      <c r="F25" s="88" t="n">
        <v>7</v>
      </c>
      <c r="G25" s="88" t="n">
        <v>12</v>
      </c>
      <c r="H25" s="89" t="n">
        <v>31.8</v>
      </c>
      <c r="I25" s="90" t="n">
        <v>26.17</v>
      </c>
      <c r="J25" s="86" t="s">
        <v>274</v>
      </c>
      <c r="K25" s="86" t="s">
        <v>259</v>
      </c>
      <c r="L25" s="86"/>
    </row>
    <row r="26" customFormat="false" ht="15" hidden="false" customHeight="false" outlineLevel="0" collapsed="false">
      <c r="A26" s="91" t="s">
        <v>275</v>
      </c>
      <c r="B26" s="91" t="s">
        <v>276</v>
      </c>
      <c r="C26" s="92" t="s">
        <v>277</v>
      </c>
      <c r="D26" s="91" t="s">
        <v>263</v>
      </c>
      <c r="E26" s="91" t="s">
        <v>257</v>
      </c>
      <c r="F26" s="93" t="n">
        <v>8</v>
      </c>
      <c r="G26" s="93" t="n">
        <v>12</v>
      </c>
      <c r="H26" s="94" t="n">
        <v>31.8</v>
      </c>
      <c r="I26" s="95" t="n">
        <v>26.17</v>
      </c>
      <c r="J26" s="91" t="s">
        <v>278</v>
      </c>
      <c r="K26" s="91" t="s">
        <v>259</v>
      </c>
      <c r="L26" s="91"/>
    </row>
    <row r="27" customFormat="false" ht="15" hidden="false" customHeight="false" outlineLevel="0" collapsed="false">
      <c r="A27" s="86" t="s">
        <v>279</v>
      </c>
      <c r="B27" s="86" t="s">
        <v>219</v>
      </c>
      <c r="C27" s="87" t="s">
        <v>280</v>
      </c>
      <c r="D27" s="86" t="s">
        <v>246</v>
      </c>
      <c r="E27" s="86" t="s">
        <v>247</v>
      </c>
      <c r="F27" s="88" t="n">
        <v>9</v>
      </c>
      <c r="G27" s="88" t="n">
        <v>24</v>
      </c>
      <c r="H27" s="89" t="n">
        <v>23.47</v>
      </c>
      <c r="I27" s="90" t="n">
        <v>18.15</v>
      </c>
      <c r="J27" s="86" t="s">
        <v>281</v>
      </c>
      <c r="K27" s="86" t="s">
        <v>249</v>
      </c>
      <c r="L27" s="86" t="s">
        <v>282</v>
      </c>
    </row>
    <row r="28" customFormat="false" ht="15" hidden="false" customHeight="false" outlineLevel="0" collapsed="false">
      <c r="A28" s="91" t="s">
        <v>283</v>
      </c>
      <c r="B28" s="91" t="s">
        <v>284</v>
      </c>
      <c r="C28" s="92" t="s">
        <v>285</v>
      </c>
      <c r="D28" s="91" t="s">
        <v>246</v>
      </c>
      <c r="E28" s="91" t="s">
        <v>286</v>
      </c>
      <c r="F28" s="93" t="n">
        <v>20</v>
      </c>
      <c r="G28" s="93" t="n">
        <v>10</v>
      </c>
      <c r="H28" s="94" t="n">
        <v>18.25</v>
      </c>
      <c r="I28" s="95" t="n">
        <v>14.74</v>
      </c>
      <c r="J28" s="91" t="s">
        <v>287</v>
      </c>
      <c r="K28" s="91" t="s">
        <v>288</v>
      </c>
      <c r="L28" s="91"/>
    </row>
    <row r="29" customFormat="false" ht="15" hidden="false" customHeight="false" outlineLevel="0" collapsed="false">
      <c r="A29" s="86" t="s">
        <v>289</v>
      </c>
      <c r="B29" s="86" t="s">
        <v>227</v>
      </c>
      <c r="C29" s="87" t="s">
        <v>290</v>
      </c>
      <c r="D29" s="86" t="s">
        <v>246</v>
      </c>
      <c r="E29" s="86" t="s">
        <v>247</v>
      </c>
      <c r="F29" s="88" t="n">
        <v>10</v>
      </c>
      <c r="G29" s="88" t="n">
        <v>24</v>
      </c>
      <c r="H29" s="89" t="n">
        <v>23.47</v>
      </c>
      <c r="I29" s="90" t="n">
        <v>18.15</v>
      </c>
      <c r="J29" s="86" t="s">
        <v>291</v>
      </c>
      <c r="K29" s="86" t="s">
        <v>292</v>
      </c>
      <c r="L29" s="86"/>
    </row>
    <row r="30" customFormat="false" ht="15" hidden="false" customHeight="false" outlineLevel="0" collapsed="false">
      <c r="A30" s="91" t="s">
        <v>293</v>
      </c>
      <c r="B30" s="91" t="s">
        <v>294</v>
      </c>
      <c r="C30" s="92" t="s">
        <v>295</v>
      </c>
      <c r="D30" s="91" t="s">
        <v>246</v>
      </c>
      <c r="E30" s="91" t="s">
        <v>247</v>
      </c>
      <c r="F30" s="93" t="n">
        <v>7</v>
      </c>
      <c r="G30" s="93" t="n">
        <v>24</v>
      </c>
      <c r="H30" s="94" t="n">
        <v>23.4700003</v>
      </c>
      <c r="I30" s="95" t="n">
        <v>18.15</v>
      </c>
      <c r="J30" s="91" t="s">
        <v>296</v>
      </c>
      <c r="K30" s="91" t="s">
        <v>292</v>
      </c>
      <c r="L30" s="91"/>
    </row>
    <row r="31" customFormat="false" ht="15" hidden="false" customHeight="false" outlineLevel="0" collapsed="false">
      <c r="A31" s="86" t="s">
        <v>297</v>
      </c>
      <c r="B31" s="86" t="s">
        <v>230</v>
      </c>
      <c r="C31" s="87" t="s">
        <v>298</v>
      </c>
      <c r="D31" s="86" t="s">
        <v>246</v>
      </c>
      <c r="E31" s="86" t="s">
        <v>257</v>
      </c>
      <c r="F31" s="88" t="n">
        <v>18</v>
      </c>
      <c r="G31" s="88" t="n">
        <v>12</v>
      </c>
      <c r="H31" s="89" t="n">
        <v>31.8</v>
      </c>
      <c r="I31" s="90" t="n">
        <v>26.17</v>
      </c>
      <c r="J31" s="86" t="s">
        <v>299</v>
      </c>
      <c r="K31" s="86" t="s">
        <v>300</v>
      </c>
      <c r="L31" s="86"/>
    </row>
    <row r="32" customFormat="false" ht="15" hidden="false" customHeight="false" outlineLevel="0" collapsed="false">
      <c r="A32" s="91" t="s">
        <v>301</v>
      </c>
      <c r="B32" s="91" t="s">
        <v>302</v>
      </c>
      <c r="C32" s="92" t="s">
        <v>303</v>
      </c>
      <c r="D32" s="91" t="s">
        <v>263</v>
      </c>
      <c r="E32" s="91" t="s">
        <v>257</v>
      </c>
      <c r="F32" s="93" t="n">
        <v>3</v>
      </c>
      <c r="G32" s="93" t="n">
        <v>12</v>
      </c>
      <c r="H32" s="94" t="n">
        <v>31.8</v>
      </c>
      <c r="I32" s="95" t="n">
        <v>26.17</v>
      </c>
      <c r="J32" s="91" t="s">
        <v>304</v>
      </c>
      <c r="K32" s="91" t="s">
        <v>300</v>
      </c>
      <c r="L32" s="91"/>
    </row>
    <row r="33" customFormat="false" ht="15" hidden="false" customHeight="false" outlineLevel="0" collapsed="false">
      <c r="A33" s="86" t="s">
        <v>305</v>
      </c>
      <c r="B33" s="86" t="s">
        <v>306</v>
      </c>
      <c r="C33" s="87" t="s">
        <v>307</v>
      </c>
      <c r="D33" s="86" t="s">
        <v>246</v>
      </c>
      <c r="E33" s="86" t="s">
        <v>286</v>
      </c>
      <c r="F33" s="88" t="n">
        <v>24</v>
      </c>
      <c r="G33" s="88" t="n">
        <v>10</v>
      </c>
      <c r="H33" s="89" t="n">
        <v>18.25</v>
      </c>
      <c r="I33" s="90" t="n">
        <v>14.74</v>
      </c>
      <c r="J33" s="86" t="s">
        <v>308</v>
      </c>
      <c r="K33" s="86" t="s">
        <v>292</v>
      </c>
      <c r="L33" s="86"/>
    </row>
    <row r="34" customFormat="false" ht="15" hidden="false" customHeight="false" outlineLevel="0" collapsed="false">
      <c r="A34" s="91" t="s">
        <v>309</v>
      </c>
      <c r="B34" s="91" t="s">
        <v>310</v>
      </c>
      <c r="C34" s="92" t="s">
        <v>311</v>
      </c>
      <c r="D34" s="91" t="s">
        <v>246</v>
      </c>
      <c r="E34" s="91" t="s">
        <v>257</v>
      </c>
      <c r="F34" s="93" t="n">
        <v>8</v>
      </c>
      <c r="G34" s="93" t="n">
        <v>12</v>
      </c>
      <c r="H34" s="94" t="n">
        <v>31.8</v>
      </c>
      <c r="I34" s="95" t="n">
        <v>26.17</v>
      </c>
      <c r="J34" s="91" t="s">
        <v>312</v>
      </c>
      <c r="K34" s="91" t="s">
        <v>300</v>
      </c>
      <c r="L34" s="91"/>
    </row>
    <row r="35" customFormat="false" ht="15" hidden="false" customHeight="false" outlineLevel="0" collapsed="false">
      <c r="A35" s="86" t="s">
        <v>313</v>
      </c>
      <c r="B35" s="86" t="s">
        <v>227</v>
      </c>
      <c r="C35" s="87" t="s">
        <v>314</v>
      </c>
      <c r="D35" s="86" t="s">
        <v>246</v>
      </c>
      <c r="E35" s="86" t="s">
        <v>247</v>
      </c>
      <c r="F35" s="88" t="n">
        <v>4</v>
      </c>
      <c r="G35" s="88" t="n">
        <v>24</v>
      </c>
      <c r="H35" s="89" t="n">
        <v>23.47</v>
      </c>
      <c r="I35" s="90" t="n">
        <v>18.15</v>
      </c>
      <c r="J35" s="86" t="s">
        <v>315</v>
      </c>
      <c r="K35" s="86" t="s">
        <v>292</v>
      </c>
      <c r="L35" s="86"/>
    </row>
    <row r="36" customFormat="false" ht="15" hidden="false" customHeight="false" outlineLevel="0" collapsed="false">
      <c r="A36" s="91" t="s">
        <v>316</v>
      </c>
      <c r="B36" s="91" t="s">
        <v>317</v>
      </c>
      <c r="C36" s="92" t="s">
        <v>318</v>
      </c>
      <c r="D36" s="91" t="s">
        <v>263</v>
      </c>
      <c r="E36" s="91" t="s">
        <v>286</v>
      </c>
      <c r="F36" s="93" t="n">
        <v>4</v>
      </c>
      <c r="G36" s="93" t="n">
        <v>10</v>
      </c>
      <c r="H36" s="94" t="n">
        <v>18.25</v>
      </c>
      <c r="I36" s="95" t="n">
        <v>14.74</v>
      </c>
      <c r="J36" s="91" t="s">
        <v>319</v>
      </c>
      <c r="K36" s="91" t="s">
        <v>300</v>
      </c>
      <c r="L36" s="91"/>
    </row>
    <row r="37" customFormat="false" ht="15" hidden="false" customHeight="false" outlineLevel="0" collapsed="false">
      <c r="A37" s="86" t="s">
        <v>320</v>
      </c>
      <c r="B37" s="86" t="s">
        <v>321</v>
      </c>
      <c r="C37" s="87" t="s">
        <v>322</v>
      </c>
      <c r="D37" s="86" t="s">
        <v>246</v>
      </c>
      <c r="E37" s="86" t="s">
        <v>247</v>
      </c>
      <c r="F37" s="88" t="n">
        <v>9</v>
      </c>
      <c r="G37" s="88" t="n">
        <v>24</v>
      </c>
      <c r="H37" s="89" t="n">
        <v>23.47</v>
      </c>
      <c r="I37" s="90" t="n">
        <v>18.15</v>
      </c>
      <c r="J37" s="86" t="s">
        <v>323</v>
      </c>
      <c r="K37" s="86" t="s">
        <v>292</v>
      </c>
      <c r="L37" s="86" t="s">
        <v>282</v>
      </c>
    </row>
    <row r="38" customFormat="false" ht="15" hidden="false" customHeight="false" outlineLevel="0" collapsed="false">
      <c r="A38" s="91" t="s">
        <v>324</v>
      </c>
      <c r="B38" s="91" t="s">
        <v>230</v>
      </c>
      <c r="C38" s="92" t="s">
        <v>325</v>
      </c>
      <c r="D38" s="91" t="s">
        <v>246</v>
      </c>
      <c r="E38" s="91" t="s">
        <v>257</v>
      </c>
      <c r="F38" s="93" t="n">
        <v>10</v>
      </c>
      <c r="G38" s="93" t="n">
        <v>12</v>
      </c>
      <c r="H38" s="94" t="n">
        <v>31.8</v>
      </c>
      <c r="I38" s="95" t="n">
        <v>26.17</v>
      </c>
      <c r="J38" s="91" t="s">
        <v>326</v>
      </c>
      <c r="K38" s="91" t="s">
        <v>300</v>
      </c>
      <c r="L38" s="91"/>
    </row>
    <row r="40" customFormat="false" ht="15" hidden="false" customHeight="false" outlineLevel="0" collapsed="false">
      <c r="A40" s="96" t="s">
        <v>327</v>
      </c>
      <c r="B40" s="97" t="s">
        <v>328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</row>
    <row r="41" customFormat="false" ht="15" hidden="false" customHeight="false" outlineLevel="0" collapsed="false">
      <c r="A41" s="96" t="s">
        <v>243</v>
      </c>
      <c r="B41" s="97" t="s">
        <v>329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</row>
  </sheetData>
  <autoFilter ref="A18:L38"/>
  <mergeCells count="8">
    <mergeCell ref="A1:L1"/>
    <mergeCell ref="A2:L2"/>
    <mergeCell ref="A4:F4"/>
    <mergeCell ref="H4:L4"/>
    <mergeCell ref="A10:D10"/>
    <mergeCell ref="A17:L17"/>
    <mergeCell ref="B40:L40"/>
    <mergeCell ref="B41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2026-08-16T15:39:55Z</dcterms:created>
  <dc:creator>Quillhaven Solutions</dc:creator>
  <dc:description>Source-linked corrected rebate analysis with selected and alternate midnight-return treatment.</dc:description>
  <dc:language>en-US</dc:language>
  <cp:lastModifiedBy/>
  <dcterms:modified xsi:type="dcterms:W3CDTF">2026-08-16T15:39:55Z</dcterms:modified>
  <cp:revision>0</cp:revision>
  <dc:subject>France and Germany rebate guardrail analysis</dc:subject>
  <dc:title>Willowmere Components Corrected Wholesale Rebate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