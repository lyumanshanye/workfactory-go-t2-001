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comparison" sheetId="1" state="visible" r:id="rId1"/>
    <sheet xmlns:r="http://schemas.openxmlformats.org/officeDocument/2006/relationships" name="Source index" sheetId="2" state="visible" r:id="rId2"/>
  </sheets>
  <definedNames>
    <definedName name="_xlnm._FilterDatabase" localSheetId="0" hidden="1">'Panel comparison'!$A$4:$M$9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£#,##0"/>
  </numFmts>
  <fonts count="7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666666"/>
    </font>
    <font>
      <b val="1"/>
      <color rgb="00FFFFFF"/>
    </font>
    <font>
      <b val="1"/>
      <color rgb="001F4E78"/>
      <sz val="12"/>
    </font>
    <font>
      <b val="1"/>
      <color rgb="009C0006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34" customWidth="1" min="7" max="7"/>
    <col width="34" customWidth="1" min="8" max="8"/>
    <col width="20" customWidth="1" min="9" max="9"/>
    <col width="40" customWidth="1" min="10" max="10"/>
    <col width="42" customWidth="1" min="11" max="11"/>
    <col width="48" customWidth="1" min="12" max="12"/>
    <col width="42" customWidth="1" min="13" max="13"/>
  </cols>
  <sheetData>
    <row r="1">
      <c r="A1" s="1" t="inlineStr">
        <is>
          <t>Tessington Heritage Archive — digitisation vendor comparison</t>
        </is>
      </c>
    </row>
    <row r="2">
      <c r="A2" s="2" t="inlineStr">
        <is>
          <t>Decision cut-off: 30 June 2025 | Scope: 1,400 tapes | Currency: GBP (£) | Source: vendor_evidence_packet.xlsx</t>
        </is>
      </c>
    </row>
    <row r="4">
      <c r="A4" s="3" t="inlineStr">
        <is>
          <t>Candidate</t>
        </is>
      </c>
      <c r="B4" s="3" t="inlineStr">
        <is>
          <t>Full-format capability</t>
        </is>
      </c>
      <c r="C4" s="3" t="inlineStr">
        <is>
          <t>U-matic evidence</t>
        </is>
      </c>
      <c r="D4" s="3" t="inlineStr">
        <is>
          <t>DAT evidence</t>
        </is>
      </c>
      <c r="E4" s="3" t="inlineStr">
        <is>
          <t>Open reel 3.75 ips</t>
        </is>
      </c>
      <c r="F4" s="3" t="inlineStr">
        <is>
          <t>Open reel 7.5 ips</t>
        </is>
      </c>
      <c r="G4" s="3" t="inlineStr">
        <is>
          <t>Evidence confidence / dates</t>
        </is>
      </c>
      <c r="H4" s="3" t="inlineStr">
        <is>
          <t>Rate basis shown</t>
        </is>
      </c>
      <c r="I4" s="3" t="inlineStr">
        <is>
          <t>Estimated collection cost (£)</t>
        </is>
      </c>
      <c r="J4" s="3" t="inlineStr">
        <is>
          <t>Turnaround (scope + qualifier)</t>
        </is>
      </c>
      <c r="K4" s="3" t="inlineStr">
        <is>
          <t>Output / handover</t>
        </is>
      </c>
      <c r="L4" s="3" t="inlineStr">
        <is>
          <t>Material limitations / unresolved risks</t>
        </is>
      </c>
      <c r="M4" s="3" t="inlineStr">
        <is>
          <t>Decision / source trail</t>
        </is>
      </c>
    </row>
    <row r="5" ht="118" customHeight="1">
      <c r="A5" s="4" t="inlineStr">
        <is>
          <t>Thistledown Studios</t>
        </is>
      </c>
      <c r="B5" s="4" t="inlineStr">
        <is>
          <t>YES — current evidence for all required formats/speeds</t>
        </is>
      </c>
      <c r="C5" s="4" t="inlineStr">
        <is>
          <t>Supported — E01, 2025-06-18</t>
        </is>
      </c>
      <c r="D5" s="4" t="inlineStr">
        <is>
          <t>Supported — E02, 2025-06-18</t>
        </is>
      </c>
      <c r="E5" s="4" t="inlineStr">
        <is>
          <t>Supported — E03, 2025-06-18</t>
        </is>
      </c>
      <c r="F5" s="4" t="inlineStr">
        <is>
          <t>Supported — E04, 2025-06-18</t>
        </is>
      </c>
      <c r="G5" s="4" t="inlineStr">
        <is>
          <t>High: dated operations email 2025-06-18; quote 2025-06-24</t>
        </is>
      </c>
      <c r="H5" s="4" t="inlineStr">
        <is>
          <t>Published E05 vs quote E06; estimate uses newer quote</t>
        </is>
      </c>
      <c r="I5" s="5">
        <f>400*24+300*19+350*30+350*35</f>
        <v/>
      </c>
      <c r="J5" s="4" t="inlineStr">
        <is>
          <t>10 weeks for up to 1,500 tapes from receipt; condition dependent (E06)</t>
        </is>
      </c>
      <c r="K5" s="4" t="inlineStr">
        <is>
          <t>BWF WAV 24-bit/96 kHz; 1080p H.264 access copy; CSV metadata; checksum manifest</t>
        </is>
      </c>
      <c r="L5" s="4" t="inlineStr">
        <is>
          <t>Quote £24/£19/£30/£35 conflicts with sheet £22/£18/£28/£32; no test transfer; severe mould/baking excluded</t>
        </is>
      </c>
      <c r="M5" s="4" t="inlineStr">
        <is>
          <t>RECOMMEND — E01–E06; cost calc below</t>
        </is>
      </c>
    </row>
    <row r="6" ht="118" customHeight="1">
      <c r="A6" s="4" t="inlineStr">
        <is>
          <t>Northmere Transfer Co</t>
        </is>
      </c>
      <c r="B6" s="4" t="inlineStr">
        <is>
          <t>YES — current statement covers all required formats/speeds</t>
        </is>
      </c>
      <c r="C6" s="4" t="inlineStr">
        <is>
          <t>Supported statement — E19, 2025-06-12</t>
        </is>
      </c>
      <c r="D6" s="4" t="inlineStr">
        <is>
          <t>Supported statement — E19, 2025-06-12</t>
        </is>
      </c>
      <c r="E6" s="4" t="inlineStr">
        <is>
          <t>Supported statement — E19, 2025-06-12</t>
        </is>
      </c>
      <c r="F6" s="4" t="inlineStr">
        <is>
          <t>Supported statement — E19, 2025-06-12</t>
        </is>
      </c>
      <c r="G6" s="4" t="inlineStr">
        <is>
          <t>Medium: dated email 2025-06-12; no serials/test; price E20 2025-05-01</t>
        </is>
      </c>
      <c r="H6" s="4" t="inlineStr">
        <is>
          <t>Published E20; no quotation</t>
        </is>
      </c>
      <c r="I6" s="5">
        <f>400*21+300*17+350*27+350*31</f>
        <v/>
      </c>
      <c r="J6" s="4" t="inlineStr">
        <is>
          <t>Approx. 14 weeks for 1,400 mixed tapes; queue dependent (E19)</t>
        </is>
      </c>
      <c r="K6" s="4" t="inlineStr">
        <is>
          <t>24-bit WAV; FFV1 Matroska video; CSV manifest; checksum</t>
        </is>
      </c>
      <c r="L6" s="4" t="inlineStr">
        <is>
          <t>No capacity reservation or guaranteed date; no independent test; mould/baking exclusions</t>
        </is>
      </c>
      <c r="M6" s="4" t="inlineStr">
        <is>
          <t>INCLUDE WITH RESERVATION — E19–E20</t>
        </is>
      </c>
    </row>
    <row r="7" ht="118" customHeight="1">
      <c r="A7" s="4" t="inlineStr">
        <is>
          <t>Thornbury Health Network</t>
        </is>
      </c>
      <c r="B7" s="4" t="inlineStr">
        <is>
          <t>NO — 7.5 ips is advertising only</t>
        </is>
      </c>
      <c r="C7" s="4" t="inlineStr">
        <is>
          <t>Current/partner statement — E07, 2025-05-30</t>
        </is>
      </c>
      <c r="D7" s="4" t="inlineStr">
        <is>
          <t>Current statement — E08, 2025-05-30</t>
        </is>
      </c>
      <c r="E7" s="4" t="inlineStr">
        <is>
          <t>Current statement — E09, 2025-05-30</t>
        </is>
      </c>
      <c r="F7" s="4" t="inlineStr">
        <is>
          <t>Advertising only — E10, 2025-05-30</t>
        </is>
      </c>
      <c r="G7" s="4" t="inlineStr">
        <is>
          <t>Low/medium: 3 current statements, one advertisement; 7.5 unverified</t>
        </is>
      </c>
      <c r="H7" s="4" t="inlineStr">
        <is>
          <t>Published E11; 7.5 rate rests on advertisement</t>
        </is>
      </c>
      <c r="I7" s="5">
        <f>400*20+300*16+350*26+350*30</f>
        <v/>
      </c>
      <c r="J7" s="4" t="inlineStr">
        <is>
          <t>Indicative 12 weeks for 1,400 tapes; capacity not reserved (E07–E09)</t>
        </is>
      </c>
      <c r="K7" s="4" t="inlineStr">
        <is>
          <t>16-bit WAV; MP4; basic CSV; metadata unspecified</t>
        </is>
      </c>
      <c r="L7" s="4" t="inlineStr">
        <is>
          <t>Partner dependency; no 7.5 operational proof; no whole-collection commitment</t>
        </is>
      </c>
      <c r="M7" s="4" t="inlineStr">
        <is>
          <t>EXCLUDE FROM FULL-COLLECTION CAPABILITY — E07–E11</t>
        </is>
      </c>
    </row>
    <row r="8" ht="118" customHeight="1">
      <c r="A8" s="4" t="inlineStr">
        <is>
          <t>Fenwick Signal Bureau</t>
        </is>
      </c>
      <c r="B8" s="4" t="inlineStr">
        <is>
          <t>NO — no U-matic evidence</t>
        </is>
      </c>
      <c r="C8" s="4" t="inlineStr">
        <is>
          <t>No evidence; E18 omits U-matic</t>
        </is>
      </c>
      <c r="D8" s="4" t="inlineStr">
        <is>
          <t>Contingent “can source” claim — E17, 2025-06-10</t>
        </is>
      </c>
      <c r="E8" s="4" t="inlineStr">
        <is>
          <t>Supported — E16, 2025-06-10</t>
        </is>
      </c>
      <c r="F8" s="4" t="inlineStr">
        <is>
          <t>Supported — E16, 2025-06-10</t>
        </is>
      </c>
      <c r="G8" s="4" t="inlineStr">
        <is>
          <t>Medium for reels; low for DAT; absent for U-matic</t>
        </is>
      </c>
      <c r="H8" s="4" t="inlineStr">
        <is>
          <t>Published E18 for reels/DAT; no U-matic rate</t>
        </is>
      </c>
      <c r="I8" s="5">
        <f>300*17+350*25+350*29</f>
        <v/>
      </c>
      <c r="J8" s="4" t="inlineStr">
        <is>
          <t>8 weeks for 1,400 reels only; no mixed-collection timing (E16)</t>
        </is>
      </c>
      <c r="K8" s="4" t="inlineStr">
        <is>
          <t>BWF WAV 24-bit/96 kHz; cue sheet</t>
        </is>
      </c>
      <c r="L8" s="4" t="inlineStr">
        <is>
          <t>Missing U-matic transport and price; DAT deck contingent/unverified</t>
        </is>
      </c>
      <c r="M8" s="4" t="inlineStr">
        <is>
          <t>EXCLUDE — E16–E18</t>
        </is>
      </c>
    </row>
    <row r="9" ht="118" customHeight="1">
      <c r="A9" s="4" t="inlineStr">
        <is>
          <t>Amberline Media</t>
        </is>
      </c>
      <c r="B9" s="4" t="inlineStr">
        <is>
          <t>NO — stale/partial evidence</t>
        </is>
      </c>
      <c r="C9" s="4" t="inlineStr">
        <is>
          <t>Historical E12 (2023) names VO-9800; sold Nov 2024 per E13</t>
        </is>
      </c>
      <c r="D9" s="4" t="inlineStr">
        <is>
          <t>Advertising only — E15, 2025-06-01</t>
        </is>
      </c>
      <c r="E9" s="4" t="inlineStr">
        <is>
          <t>Unresolved; A80 retained but maintenance not supplied (E14)</t>
        </is>
      </c>
      <c r="F9" s="4" t="inlineStr">
        <is>
          <t>Historical E12 only; current access unresolved</t>
        </is>
      </c>
      <c r="G9" s="4" t="inlineStr">
        <is>
          <t>Low: 2023 case study contradicted/qualified by 2025 equipment note</t>
        </is>
      </c>
      <c r="H9" s="4" t="inlineStr">
        <is>
          <t>No current comparable rate; case study not a quote</t>
        </is>
      </c>
      <c r="I9" s="5">
        <f>0</f>
        <v/>
      </c>
      <c r="J9" s="4" t="inlineStr">
        <is>
          <t>8 weeks for 600 items in 2023 case study; not current/scale-comparable</t>
        </is>
      </c>
      <c r="K9" s="4" t="inlineStr">
        <is>
          <t>Case study: 24-bit WAV, ProRes, EBUCore XML; current specs unknown</t>
        </is>
      </c>
      <c r="L9" s="4" t="inlineStr">
        <is>
          <t>Named U-matic machine sold; 3.75 ips and DAT current access unresolved; “6–10 weeks” advertisement lacks batch basis</t>
        </is>
      </c>
      <c r="M9" s="4" t="inlineStr">
        <is>
          <t>EXCLUDE — E12–E15</t>
        </is>
      </c>
    </row>
    <row r="11">
      <c r="A11" s="6" t="inlineStr">
        <is>
          <t>Estimate basis — 1,400-tape mix</t>
        </is>
      </c>
    </row>
    <row r="12">
      <c r="A12" s="3" t="inlineStr">
        <is>
          <t>Format / speed</t>
        </is>
      </c>
      <c r="B12" s="3" t="inlineStr">
        <is>
          <t>Tapes</t>
        </is>
      </c>
      <c r="C12" s="3" t="inlineStr">
        <is>
          <t>Thistledown quote (£/tape)</t>
        </is>
      </c>
      <c r="D12" s="3" t="inlineStr">
        <is>
          <t>Extended (£)</t>
        </is>
      </c>
      <c r="E12" s="3" t="inlineStr">
        <is>
          <t>Thistledown published (£/tape)</t>
        </is>
      </c>
      <c r="F12" s="3" t="inlineStr">
        <is>
          <t>Extended (£)</t>
        </is>
      </c>
    </row>
    <row r="13">
      <c r="A13" t="inlineStr">
        <is>
          <t>U-matic</t>
        </is>
      </c>
      <c r="B13" t="n">
        <v>400</v>
      </c>
      <c r="C13" s="7" t="n">
        <v>24</v>
      </c>
      <c r="D13" s="7">
        <f>B13*C13</f>
        <v/>
      </c>
      <c r="E13" s="7" t="n">
        <v>22</v>
      </c>
      <c r="F13" s="7">
        <f>B13*E13</f>
        <v/>
      </c>
    </row>
    <row r="14">
      <c r="A14" t="inlineStr">
        <is>
          <t>DAT</t>
        </is>
      </c>
      <c r="B14" t="n">
        <v>300</v>
      </c>
      <c r="C14" s="7" t="n">
        <v>19</v>
      </c>
      <c r="D14" s="7">
        <f>B14*C14</f>
        <v/>
      </c>
      <c r="E14" s="7" t="n">
        <v>18</v>
      </c>
      <c r="F14" s="7">
        <f>B14*E14</f>
        <v/>
      </c>
    </row>
    <row r="15">
      <c r="A15" t="inlineStr">
        <is>
          <t>1/4-inch open reel — 3.75 ips</t>
        </is>
      </c>
      <c r="B15" t="n">
        <v>350</v>
      </c>
      <c r="C15" s="7" t="n">
        <v>30</v>
      </c>
      <c r="D15" s="7">
        <f>B15*C15</f>
        <v/>
      </c>
      <c r="E15" s="7" t="n">
        <v>28</v>
      </c>
      <c r="F15" s="7">
        <f>B15*E15</f>
        <v/>
      </c>
    </row>
    <row r="16">
      <c r="A16" t="inlineStr">
        <is>
          <t>1/4-inch open reel — 7.5 ips</t>
        </is>
      </c>
      <c r="B16" t="n">
        <v>350</v>
      </c>
      <c r="C16" s="7" t="n">
        <v>35</v>
      </c>
      <c r="D16" s="7">
        <f>B16*C16</f>
        <v/>
      </c>
      <c r="E16" s="7" t="n">
        <v>32</v>
      </c>
      <c r="F16" s="7">
        <f>B16*E16</f>
        <v/>
      </c>
    </row>
    <row r="17">
      <c r="A17" t="inlineStr">
        <is>
          <t>TOTAL</t>
        </is>
      </c>
      <c r="B17">
        <f>SUM(B13:B16)</f>
        <v/>
      </c>
      <c r="C17" s="7" t="inlineStr"/>
      <c r="D17" s="7">
        <f>SUM(D13:D16)</f>
        <v/>
      </c>
      <c r="E17" s="7" t="inlineStr"/>
      <c r="F17" s="7">
        <f>SUM(F13:F16)</f>
        <v/>
      </c>
    </row>
    <row r="19">
      <c r="A19" s="8" t="inlineStr">
        <is>
          <t>Selected estimate: Thistledown quotation E06 = £38,050 (newer, scope-specific; published E05 comparison = £35,200). Formula is visible above.</t>
        </is>
      </c>
    </row>
    <row r="20">
      <c r="A20" s="2" t="inlineStr">
        <is>
          <t>Fallback method: where fresh tests/confirmations are unavailable, use the strongest dated evidence available as an interim panel basis; it does not prove performance on every tape or reserve capacity.</t>
        </is>
      </c>
    </row>
  </sheetData>
  <autoFilter ref="A4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Source index and assessment conventions</t>
        </is>
      </c>
    </row>
    <row r="3">
      <c r="A3" s="3" t="inlineStr">
        <is>
          <t>Label</t>
        </is>
      </c>
      <c r="B3" s="3" t="inlineStr">
        <is>
          <t>Meaning / use</t>
        </is>
      </c>
    </row>
    <row r="4" ht="35" customHeight="1">
      <c r="A4" s="4" t="inlineStr">
        <is>
          <t>Supported/current</t>
        </is>
      </c>
      <c r="B4" s="4" t="inlineStr">
        <is>
          <t>Dated operational confirmation in packet; treated as current only at 30 June 2025.</t>
        </is>
      </c>
    </row>
    <row r="5" ht="35" customHeight="1">
      <c r="A5" s="4" t="inlineStr">
        <is>
          <t>Advertising only</t>
        </is>
      </c>
      <c r="B5" s="4" t="inlineStr">
        <is>
          <t>Marketing statement without dated operational confirmation; recorded but not sufficient for full capability.</t>
        </is>
      </c>
    </row>
    <row r="6" ht="35" customHeight="1">
      <c r="A6" s="4" t="inlineStr">
        <is>
          <t>Historical</t>
        </is>
      </c>
      <c r="B6" s="4" t="inlineStr">
        <is>
          <t>Older case study; not equivalent to current access, especially where equipment later sold.</t>
        </is>
      </c>
    </row>
    <row r="7" ht="35" customHeight="1">
      <c r="A7" s="4" t="inlineStr">
        <is>
          <t>Unresolved/contingent</t>
        </is>
      </c>
      <c r="B7" s="4" t="inlineStr">
        <is>
          <t>Claim depends on sourcing, maintenance, partner, or missing detail; remains a risk.</t>
        </is>
      </c>
    </row>
    <row r="8" ht="35" customHeight="1">
      <c r="A8" s="4" t="inlineStr">
        <is>
          <t>E01–E21</t>
        </is>
      </c>
      <c r="B8" s="4" t="inlineStr">
        <is>
          <t>Entry IDs map directly to rows in references/vendor_evidence_packet.xlsx.</t>
        </is>
      </c>
    </row>
    <row r="9" ht="35" customHeight="1">
      <c r="A9" s="4" t="inlineStr">
        <is>
          <t>Cost formula</t>
        </is>
      </c>
      <c r="B9" s="4" t="inlineStr">
        <is>
          <t>Scope mix: 400 U-matic + 300 DAT + 350 reels at 3.75 ips + 350 reels at 7.5 ips = 1,400.</t>
        </is>
      </c>
    </row>
    <row r="10" ht="35" customHeight="1">
      <c r="A10" s="4" t="inlineStr">
        <is>
          <t>Estimate selection</t>
        </is>
      </c>
      <c r="B10" s="4" t="inlineStr">
        <is>
          <t>Thistledown E06 quotation selected because it is newer and scope-specific; E05 published sheet retained for comparison.</t>
        </is>
      </c>
    </row>
    <row r="11" ht="35" customHeight="1">
      <c r="A11" s="4" t="inlineStr">
        <is>
          <t>Jurisdiction/date</t>
        </is>
      </c>
      <c r="B11" s="4" t="inlineStr">
        <is>
          <t>England procurement context; evidence cut-off 30 June 2025; deadline 20 September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2026-08-20T18:46:47Z</dcterms:created>
  <dcterms:modified xmlns:dcterms="http://purl.org/dc/terms/" xmlns:xsi="http://www.w3.org/2001/XMLSchema-instance" xsi:type="dcterms:W3CDTF">2026-08-20T18:46:47Z</dcterms:modified>
</cp:coreProperties>
</file>