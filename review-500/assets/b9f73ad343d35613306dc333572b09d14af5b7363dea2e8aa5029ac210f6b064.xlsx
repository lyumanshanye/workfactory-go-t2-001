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7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Brindlemere Cooperative | Site budget chargeback inputs</t>
        </is>
      </c>
    </row>
    <row r="2">
      <c r="A2" t="inlineStr">
        <is>
          <t>Exported 20 Aug 2026  |  planning year 2026-27  |  amounts in USD unless noted</t>
        </is>
      </c>
    </row>
    <row r="4">
      <c r="A4" s="1" t="inlineStr">
        <is>
          <t>District allocation inputs</t>
        </is>
      </c>
    </row>
    <row r="5">
      <c r="A5" t="inlineStr">
        <is>
          <t>District utility pool</t>
        </is>
      </c>
      <c r="B5" s="2" t="n">
        <v>186400</v>
      </c>
      <c r="C5" t="inlineStr">
        <is>
          <t>USD / planning year</t>
        </is>
      </c>
    </row>
    <row r="6">
      <c r="A6" t="inlineStr">
        <is>
          <t>District chargeable area</t>
        </is>
      </c>
      <c r="B6" s="2" t="n">
        <v>412500</v>
      </c>
      <c r="C6" t="inlineStr">
        <is>
          <t>square feet</t>
        </is>
      </c>
    </row>
    <row r="7">
      <c r="A7" t="inlineStr">
        <is>
          <t>Shared-services rate</t>
        </is>
      </c>
      <c r="B7" s="2" t="n">
        <v>0.42</v>
      </c>
      <c r="C7" t="inlineStr">
        <is>
          <t>USD / square foot</t>
        </is>
      </c>
    </row>
    <row r="8">
      <c r="A8" t="inlineStr">
        <is>
          <t>Custodial rate</t>
        </is>
      </c>
      <c r="B8" s="2" t="n">
        <v>24.7500000001</v>
      </c>
      <c r="C8" t="inlineStr">
        <is>
          <t>USD / hour (source precision retained)</t>
        </is>
      </c>
    </row>
    <row r="9">
      <c r="A9" t="inlineStr">
        <is>
          <t>True-up period</t>
        </is>
      </c>
      <c r="B9" s="2" t="inlineStr">
        <is>
          <t>2025-26 close</t>
        </is>
      </c>
      <c r="C9" t="inlineStr">
        <is>
          <t>prior-year close</t>
        </is>
      </c>
    </row>
    <row r="12">
      <c r="A12" s="1" t="inlineStr">
        <is>
          <t>Site inputs and calculated source relationships</t>
        </is>
      </c>
    </row>
    <row r="13">
      <c r="A13" s="3" t="inlineStr">
        <is>
          <t>Site ID</t>
        </is>
      </c>
      <c r="B13" s="3" t="inlineStr">
        <is>
          <t>Site name</t>
        </is>
      </c>
      <c r="C13" s="3" t="inlineStr">
        <is>
          <t>Chargeable area (sq ft)</t>
        </is>
      </c>
      <c r="D13" s="3" t="inlineStr">
        <is>
          <t>Utility basis</t>
        </is>
      </c>
      <c r="E13" s="3" t="inlineStr">
        <is>
          <t>Custodial time (hours)</t>
        </is>
      </c>
      <c r="F13" s="3" t="inlineStr">
        <is>
          <t>Prior-year true-up (USD)</t>
        </is>
      </c>
      <c r="G13" s="3" t="inlineStr">
        <is>
          <t>Source residual check</t>
        </is>
      </c>
    </row>
    <row r="14">
      <c r="A14" t="inlineStr">
        <is>
          <t>BR-01</t>
        </is>
      </c>
      <c r="B14" t="inlineStr">
        <is>
          <t>Brindlemere Elementary</t>
        </is>
      </c>
      <c r="C14" s="4" t="n">
        <v>48250</v>
      </c>
      <c r="D14" t="inlineStr">
        <is>
          <t>District pool / district area</t>
        </is>
      </c>
      <c r="E14" s="2" t="n">
        <v>1842.5</v>
      </c>
      <c r="F14" s="5" t="n">
        <v>1250</v>
      </c>
      <c r="G14">
        <f>#REF!</f>
        <v/>
      </c>
    </row>
    <row r="15">
      <c r="A15" t="inlineStr">
        <is>
          <t>NG-02</t>
        </is>
      </c>
      <c r="B15" t="inlineStr">
        <is>
          <t>Northgale Media Center</t>
        </is>
      </c>
      <c r="C15" s="4" t="n">
        <v>36750</v>
      </c>
      <c r="D15" t="inlineStr">
        <is>
          <t>District pool / district area</t>
        </is>
      </c>
      <c r="E15" s="2" t="n">
        <v>990</v>
      </c>
      <c r="F15" s="5" t="n">
        <v>-600</v>
      </c>
    </row>
    <row r="16">
      <c r="A16" t="inlineStr">
        <is>
          <t>QU-03</t>
        </is>
      </c>
      <c r="B16" t="inlineStr">
        <is>
          <t>Quillhaven Advisory School</t>
        </is>
      </c>
      <c r="C16" s="4" t="n">
        <v>55800</v>
      </c>
      <c r="D16" t="inlineStr">
        <is>
          <t>District pool / district area</t>
        </is>
      </c>
      <c r="E16" s="2" t="n">
        <v>2210</v>
      </c>
      <c r="F16" s="5" t="n">
        <v>850</v>
      </c>
    </row>
    <row r="17">
      <c r="A17" t="inlineStr">
        <is>
          <t>LM-04</t>
        </is>
      </c>
      <c r="B17" t="inlineStr">
        <is>
          <t>Larkspur Middle</t>
        </is>
      </c>
      <c r="C17" s="4" t="n">
        <v>72100</v>
      </c>
      <c r="D17" t="inlineStr">
        <is>
          <t>District pool / district area</t>
        </is>
      </c>
      <c r="E17" s="2" t="n">
        <v>3055.25</v>
      </c>
      <c r="F17" s="5" t="n">
        <v>0</v>
      </c>
    </row>
    <row r="18">
      <c r="A18" t="inlineStr">
        <is>
          <t>CR-05</t>
        </is>
      </c>
      <c r="B18" t="inlineStr">
        <is>
          <t>Cedar Run High</t>
        </is>
      </c>
      <c r="C18" s="4" t="n">
        <v>63400</v>
      </c>
      <c r="D18" t="inlineStr">
        <is>
          <t>District pool / district area</t>
        </is>
      </c>
      <c r="E18" s="2" t="n">
        <v>2780</v>
      </c>
      <c r="F18" s="5" t="n">
        <v>1425</v>
      </c>
    </row>
    <row r="19">
      <c r="A19" t="inlineStr">
        <is>
          <t>MS-00</t>
        </is>
      </c>
      <c r="B19" t="inlineStr">
        <is>
          <t>Moorstone Storage Annex</t>
        </is>
      </c>
      <c r="C19" s="4" t="n">
        <v>0</v>
      </c>
      <c r="D19" t="inlineStr">
        <is>
          <t>No chargeable area</t>
        </is>
      </c>
      <c r="E19" s="2" t="n">
        <v>0</v>
      </c>
      <c r="F19" s="5" t="n">
        <v>0</v>
      </c>
    </row>
    <row r="22">
      <c r="A22" s="1" t="inlineStr">
        <is>
          <t>Jurisdiction-specific submission requirements</t>
        </is>
      </c>
    </row>
    <row r="23">
      <c r="A23" s="6" t="inlineStr">
        <is>
          <t>Jurisdiction</t>
        </is>
      </c>
      <c r="B23" s="6" t="inlineStr">
        <is>
          <t>Applies when</t>
        </is>
      </c>
      <c r="C23" s="6" t="inlineStr">
        <is>
          <t>Required submission items</t>
        </is>
      </c>
      <c r="D23" s="6" t="inlineStr">
        <is>
          <t>Source note</t>
        </is>
      </c>
      <c r="E23" s="6" t="n"/>
      <c r="F23" s="6" t="n"/>
      <c r="G23" s="6" t="n"/>
    </row>
    <row r="24">
      <c r="A24" t="inlineStr">
        <is>
          <t>Northgale Media</t>
        </is>
      </c>
      <c r="B24" t="inlineStr">
        <is>
          <t>Site is administered under Northgale Media jurisdiction</t>
        </is>
      </c>
      <c r="C24" t="inlineStr">
        <is>
          <t>Site budget workbook; utility allocation; custodial hours and rate; prior-year true-up; coordinator sign-off</t>
        </is>
      </c>
      <c r="D24" t="inlineStr">
        <is>
          <t>Northgale requirement set</t>
        </is>
      </c>
    </row>
    <row r="25">
      <c r="A25" t="inlineStr">
        <is>
          <t>Quillhaven Advisory</t>
        </is>
      </c>
      <c r="B25" t="inlineStr">
        <is>
          <t>Site is administered under Quillhaven Advisory jurisdiction</t>
        </is>
      </c>
      <c r="C25" t="inlineStr">
        <is>
          <t>Site budget workbook; utility allocation; shared-services charge; custodial hours and rate; prior-year true-up</t>
        </is>
      </c>
      <c r="D25" t="inlineStr">
        <is>
          <t>Quillhaven requirement set</t>
        </is>
      </c>
    </row>
    <row r="28">
      <c r="A28" s="1" t="inlineStr">
        <is>
          <t>Notes</t>
        </is>
      </c>
    </row>
    <row r="29">
      <c r="A29" t="inlineStr">
        <is>
          <t>Use the district area total as the utility denominator. A zero denominator requires professional judgment; the export does not prescribe one.</t>
        </is>
      </c>
    </row>
    <row r="30">
      <c r="A30" t="inlineStr">
        <is>
          <t>True-up sign: positive adds to the current-year submission; negative reduces it.</t>
        </is>
      </c>
    </row>
    <row r="31">
      <c r="A31" t="inlineStr">
        <is>
          <t>Shared-services rate is applied per chargeable square foot.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2026-08-20T19:21:56Z</dcterms:created>
  <dcterms:modified xmlns:dcterms="http://purl.org/dc/terms/" xmlns:xsi="http://www.w3.org/2001/XMLSchema-instance" xsi:type="dcterms:W3CDTF">2026-08-20T19:21:56Z</dcterms:modified>
</cp:coreProperties>
</file>