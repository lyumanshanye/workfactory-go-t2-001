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factsheet" sheetId="1" state="visible" r:id="rId1"/>
  </sheets>
  <definedNames>
    <definedName name="_xlnm.Print_Area" localSheetId="0">'Q2 factsheet'!$A$1:$F$25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-0.0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b val="1"/>
    </font>
    <font>
      <i val="1"/>
      <color rgb="005B6573"/>
      <sz val="8"/>
    </font>
    <font>
      <b val="1"/>
      <color rgb="0017365D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1" customWidth="1" min="4" max="4"/>
    <col width="21" customWidth="1" min="5" max="5"/>
    <col width="19" customWidth="1" min="6" max="6"/>
  </cols>
  <sheetData>
    <row r="1" ht="27" customHeight="1">
      <c r="A1" s="1" t="inlineStr">
        <is>
          <t>Ashcombe Provisions | Global Credit Strategy</t>
        </is>
      </c>
    </row>
    <row r="3">
      <c r="A3" t="inlineStr">
        <is>
          <t>Quarter ended</t>
        </is>
      </c>
      <c r="B3" t="inlineStr">
        <is>
          <t>30 June 2026</t>
        </is>
      </c>
    </row>
    <row r="4">
      <c r="A4" s="2" t="inlineStr">
        <is>
          <t>Portfolio Performance</t>
        </is>
      </c>
      <c r="B4" t="inlineStr">
        <is>
          <t>Rendement du portefeuille</t>
        </is>
      </c>
    </row>
    <row r="5">
      <c r="A5" t="inlineStr">
        <is>
          <t>Portfolio Return</t>
        </is>
      </c>
      <c r="B5" t="inlineStr">
        <is>
          <t>Rendement du portefeuille</t>
        </is>
      </c>
      <c r="C5" s="3" t="n">
        <v>0.0248</v>
      </c>
    </row>
    <row r="6">
      <c r="A6" t="inlineStr">
        <is>
          <t>Benchmark Return</t>
        </is>
      </c>
      <c r="B6" t="inlineStr">
        <is>
          <t>Rendement de l’indice de référence</t>
        </is>
      </c>
      <c r="C6" s="3" t="n">
        <v>0.0219</v>
      </c>
    </row>
    <row r="7">
      <c r="A7" t="inlineStr">
        <is>
          <t>Active Return</t>
        </is>
      </c>
      <c r="B7" t="inlineStr">
        <is>
          <t>Rendement actif</t>
        </is>
      </c>
      <c r="C7" s="3">
        <f>C5-C6</f>
        <v/>
      </c>
    </row>
    <row r="9">
      <c r="A9" s="2" t="inlineStr">
        <is>
          <t>Sector Attribution</t>
        </is>
      </c>
      <c r="B9" t="inlineStr">
        <is>
          <t>Attribution sectorielle</t>
        </is>
      </c>
    </row>
    <row r="10" ht="32" customHeight="1">
      <c r="A10" s="4" t="inlineStr">
        <is>
          <t>Sector</t>
        </is>
      </c>
      <c r="B10" s="4" t="inlineStr">
        <is>
          <t>Portfolio Weight</t>
        </is>
      </c>
      <c r="C10" s="4" t="inlineStr">
        <is>
          <t>Benchmark Weight</t>
        </is>
      </c>
      <c r="D10" s="4" t="inlineStr">
        <is>
          <t>Portfolio Contribution</t>
        </is>
      </c>
      <c r="E10" s="4" t="inlineStr">
        <is>
          <t>Benchmark Contribution</t>
        </is>
      </c>
      <c r="F10" s="4" t="inlineStr">
        <is>
          <t>Active Contribution</t>
        </is>
      </c>
    </row>
    <row r="11">
      <c r="A11" s="5" t="inlineStr">
        <is>
          <t>Financials</t>
        </is>
      </c>
      <c r="B11" s="6" t="n">
        <v>0.285</v>
      </c>
      <c r="C11" s="6" t="n">
        <v>0.27</v>
      </c>
      <c r="D11" s="6" t="n">
        <v>0.0077</v>
      </c>
      <c r="E11" s="6" t="n">
        <v>0.0064</v>
      </c>
      <c r="F11" s="6">
        <f>D11-E11</f>
        <v/>
      </c>
    </row>
    <row r="12">
      <c r="A12" s="5" t="inlineStr">
        <is>
          <t>Industrials</t>
        </is>
      </c>
      <c r="B12" s="6" t="n">
        <v>0.18</v>
      </c>
      <c r="C12" s="6" t="n">
        <v>0.185</v>
      </c>
      <c r="D12" s="6" t="n">
        <v>0.0052</v>
      </c>
      <c r="E12" s="6" t="n">
        <v>0.0046</v>
      </c>
      <c r="F12" s="6">
        <f>D12-E12</f>
        <v/>
      </c>
    </row>
    <row r="13">
      <c r="A13" s="5" t="inlineStr">
        <is>
          <t>Utilities</t>
        </is>
      </c>
      <c r="B13" s="6" t="n">
        <v>0.135</v>
      </c>
      <c r="C13" s="6" t="n">
        <v>0.13</v>
      </c>
      <c r="D13" s="6" t="n">
        <v>0.0038</v>
      </c>
      <c r="E13" s="6" t="n">
        <v>0.0032</v>
      </c>
      <c r="F13" s="6">
        <f>D13-E13</f>
        <v/>
      </c>
    </row>
    <row r="14">
      <c r="A14" s="5" t="inlineStr">
        <is>
          <t>Energy</t>
        </is>
      </c>
      <c r="B14" s="6" t="n">
        <v>0.105</v>
      </c>
      <c r="C14" s="6" t="n">
        <v>0.11</v>
      </c>
      <c r="D14" s="6" t="n">
        <v>0.0025</v>
      </c>
      <c r="E14" s="6" t="n">
        <v>0.0021</v>
      </c>
      <c r="F14" s="6">
        <f>D14-E14</f>
        <v/>
      </c>
    </row>
    <row r="15">
      <c r="A15" s="5" t="inlineStr">
        <is>
          <t>Communication Services</t>
        </is>
      </c>
      <c r="B15" s="6" t="n">
        <v>0.165</v>
      </c>
      <c r="C15" s="6" t="n">
        <v>0.17</v>
      </c>
      <c r="D15" s="6" t="n">
        <v>0.0036</v>
      </c>
      <c r="E15" s="6" t="n">
        <v>0.0031</v>
      </c>
      <c r="F15" s="6">
        <f>D15-E15</f>
        <v/>
      </c>
    </row>
    <row r="16">
      <c r="A16" s="5" t="inlineStr">
        <is>
          <t>Real Estate</t>
        </is>
      </c>
      <c r="B16" s="6" t="n">
        <v>0.13</v>
      </c>
      <c r="C16" s="6" t="n">
        <v>0.135</v>
      </c>
      <c r="D16" s="6" t="n">
        <v>0.002</v>
      </c>
      <c r="E16" s="6" t="n">
        <v>0.0025</v>
      </c>
      <c r="F16" s="6">
        <f>D16-E16</f>
        <v/>
      </c>
    </row>
    <row r="17">
      <c r="A17" s="7" t="inlineStr">
        <is>
          <t>Total</t>
        </is>
      </c>
      <c r="B17" s="8">
        <f>SUM(B11:B16)</f>
        <v/>
      </c>
      <c r="C17" s="8">
        <f>SUM(C11:C16)</f>
        <v/>
      </c>
      <c r="D17" s="8">
        <f>SUM(D11:D16)</f>
        <v/>
      </c>
      <c r="E17" s="8">
        <f>SUM(E11:E16)</f>
        <v/>
      </c>
      <c r="F17" s="8">
        <f>SUM(F11:F16)</f>
        <v/>
      </c>
    </row>
    <row r="20">
      <c r="A20" s="9" t="inlineStr">
        <is>
          <t>Commentary / Commentaire</t>
        </is>
      </c>
    </row>
    <row r="21"/>
    <row r="22"/>
    <row r="24">
      <c r="A24" s="10" t="inlineStr">
        <is>
          <t>For institutional distribution only. Past performance is not indicative of future results.
Destiné uniquement à la distribution institutionnelle. Les rendements passés ne sont pas indicatifs des résultats futurs.</t>
        </is>
      </c>
    </row>
    <row r="25"/>
    <row r="28">
      <c r="A28" t="inlineStr">
        <is>
          <t>Sector list</t>
        </is>
      </c>
    </row>
    <row r="29">
      <c r="A29" t="inlineStr">
        <is>
          <t>Communication Services</t>
        </is>
      </c>
    </row>
    <row r="30">
      <c r="A30" t="inlineStr">
        <is>
          <t>Consumer Discretionary</t>
        </is>
      </c>
    </row>
    <row r="31">
      <c r="A31" t="inlineStr">
        <is>
          <t>Consumer Staples</t>
        </is>
      </c>
    </row>
    <row r="32">
      <c r="A32" t="inlineStr">
        <is>
          <t>Energy</t>
        </is>
      </c>
    </row>
    <row r="33">
      <c r="A33" t="inlineStr">
        <is>
          <t>Financials</t>
        </is>
      </c>
    </row>
    <row r="34">
      <c r="A34" t="inlineStr">
        <is>
          <t>Health Care</t>
        </is>
      </c>
    </row>
    <row r="35">
      <c r="A35" t="inlineStr">
        <is>
          <t>Industrials</t>
        </is>
      </c>
    </row>
    <row r="36">
      <c r="A36" t="inlineStr">
        <is>
          <t>Information Technology</t>
        </is>
      </c>
    </row>
    <row r="37">
      <c r="A37" t="inlineStr">
        <is>
          <t>Materials</t>
        </is>
      </c>
    </row>
    <row r="38">
      <c r="A38" t="inlineStr">
        <is>
          <t>Real Estate</t>
        </is>
      </c>
    </row>
    <row r="39">
      <c r="A39" t="inlineStr">
        <is>
          <t>Utilities</t>
        </is>
      </c>
    </row>
  </sheetData>
  <mergeCells count="3">
    <mergeCell ref="A1:F1"/>
    <mergeCell ref="A20:F22"/>
    <mergeCell ref="A24:F25"/>
  </mergeCells>
  <dataValidations count="1">
    <dataValidation sqref="A11:A16" showDropDown="0" showInputMessage="0" showErrorMessage="0" allowBlank="1" type="list">
      <formula1>$A$29:$A$39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&amp;CAshcombe Provisions | Q2 2026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2026-08-24T21:51:33Z</dcterms:created>
  <dcterms:modified xmlns:dcterms="http://purl.org/dc/terms/" xmlns:xsi="http://www.w3.org/2001/XMLSchema-instance" xsi:type="dcterms:W3CDTF">2026-08-24T21:51:33Z</dcterms:modified>
</cp:coreProperties>
</file>