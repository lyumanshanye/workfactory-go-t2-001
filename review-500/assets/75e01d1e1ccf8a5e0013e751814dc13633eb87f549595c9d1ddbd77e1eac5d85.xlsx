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ource Data" sheetId="2" state="visible" r:id="rId4"/>
    <sheet name="Reconciliation" sheetId="3" state="visible" r:id="rId5"/>
    <sheet name="Forecast" sheetId="4" state="visible" r:id="rId6"/>
    <sheet name="Friday Run Sheet" sheetId="5" state="visible" r:id="rId7"/>
    <sheet name="Change Log" sheetId="6" state="visible" r:id="rId8"/>
  </sheets>
  <definedNames>
    <definedName function="false" hidden="false" localSheetId="4" name="_xlnm.Print_Area" vbProcedure="false">'Friday Run Sheet'!$A$1:$M$24</definedName>
    <definedName function="false" hidden="false" name="AdHoc_April_Cases" vbProcedure="false">Forecast!$B$4</definedName>
    <definedName function="false" hidden="false" name="Cancellation_Reading" vbProcedure="false">Reconciliation!$C$3</definedName>
    <definedName function="false" hidden="false" name="Normal_Max_Cases" vbProcedure="false">Forecast!$B$5</definedName>
    <definedName function="false" hidden="false" name="RunSheet_Value" vbProcedure="false">'Friday Run Sheet'!$H$15</definedName>
    <definedName function="false" hidden="false" name="Selected_Scenario" vbProcedure="false">Forecast!$B$3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<sst xmlns="http://schemas.openxmlformats.org/spreadsheetml/2006/main" count="510" uniqueCount="266">
  <si>
    <t xml:space="preserve">Ashcombe Council Frozen Call-off Model</t>
  </si>
  <si>
    <t xml:space="preserve">Authorized commercial model for Pembroke Supply | source cutoff 28 February 2027</t>
  </si>
  <si>
    <t xml:space="preserve">Operating use</t>
  </si>
  <si>
    <t xml:space="preserve">Use Reconciliation to authorize the cancellation reading; choose Base or Downside on Forecast; enter an additional April call-off only when authorized.</t>
  </si>
  <si>
    <t xml:space="preserve">Cell cue</t>
  </si>
  <si>
    <t xml:space="preserve">Amber = user control or future entry | Blue/grey = sourced or calculated | Friday Run Sheet manual fields begin blank.</t>
  </si>
  <si>
    <t xml:space="preserve">Commercial review</t>
  </si>
  <si>
    <t xml:space="preserve">Cecilia Asante</t>
  </si>
  <si>
    <t xml:space="preserve">Dispatch handoff</t>
  </si>
  <si>
    <t xml:space="preserve">Ludmila Havlicek</t>
  </si>
  <si>
    <t xml:space="preserve">Reusable owner</t>
  </si>
  <si>
    <t xml:space="preserve">Dmitri Radulescu</t>
  </si>
  <si>
    <t xml:space="preserve">Control</t>
  </si>
  <si>
    <t xml:space="preserve">Location</t>
  </si>
  <si>
    <t xml:space="preserve">Purpose</t>
  </si>
  <si>
    <t xml:space="preserve">Cancellation reading</t>
  </si>
  <si>
    <t xml:space="preserve">Reconciliation!C3</t>
  </si>
  <si>
    <t xml:space="preserve">Sets cancellation allocation, contract price and April timing treatment</t>
  </si>
  <si>
    <t xml:space="preserve">Selected scenario</t>
  </si>
  <si>
    <t xml:space="preserve">Forecast!B3</t>
  </si>
  <si>
    <t xml:space="preserve">Drives frontline cases, value and selected commercial output</t>
  </si>
  <si>
    <t xml:space="preserve">Additional April cases</t>
  </si>
  <si>
    <t xml:space="preserve">Forecast!B4</t>
  </si>
  <si>
    <t xml:space="preserve">Blank provision; accepts authorized non-negative whole cases</t>
  </si>
  <si>
    <t xml:space="preserve">Reconciled Call-off Source Data</t>
  </si>
  <si>
    <t xml:space="preserve">Cleaned source values retain raw labels and source-row lineage. Formula columns calculate only accepted commercial contribution.</t>
  </si>
  <si>
    <t xml:space="preserve">Contract price reference</t>
  </si>
  <si>
    <t xml:space="preserve">Frozen cost reference - 28 Feb</t>
  </si>
  <si>
    <t xml:space="preserve">SKU</t>
  </si>
  <si>
    <t xml:space="preserve">v1 through 28-Feb</t>
  </si>
  <si>
    <t xml:space="preserve">v2 from 1-Mar</t>
  </si>
  <si>
    <t xml:space="preserve">Cost GBP/case</t>
  </si>
  <si>
    <t xml:space="preserve">Source Row ID</t>
  </si>
  <si>
    <t xml:space="preserve">Client</t>
  </si>
  <si>
    <t xml:space="preserve">Jurisdiction</t>
  </si>
  <si>
    <t xml:space="preserve">Depot</t>
  </si>
  <si>
    <t xml:space="preserve">Product</t>
  </si>
  <si>
    <t xml:space="preserve">Order ID</t>
  </si>
  <si>
    <t xml:space="preserve">Order Date</t>
  </si>
  <si>
    <t xml:space="preserve">Scheduled Date</t>
  </si>
  <si>
    <t xml:space="preserve">Contract Version</t>
  </si>
  <si>
    <t xml:space="preserve">Status</t>
  </si>
  <si>
    <t xml:space="preserve">Cases</t>
  </si>
  <si>
    <t xml:space="preserve">Unit Price GBP</t>
  </si>
  <si>
    <t xml:space="preserve">Data Quality Note</t>
  </si>
  <si>
    <t xml:space="preserve">Source Lineage</t>
  </si>
  <si>
    <t xml:space="preserve">Include in Analysis</t>
  </si>
  <si>
    <t xml:space="preserve">Analysis Date</t>
  </si>
  <si>
    <t xml:space="preserve">Signed Cases</t>
  </si>
  <si>
    <t xml:space="preserve">Market Cost GBP</t>
  </si>
  <si>
    <t xml:space="preserve">Line Sales GBP</t>
  </si>
  <si>
    <t xml:space="preserve">Line Margin GBP</t>
  </si>
  <si>
    <t xml:space="preserve">Period</t>
  </si>
  <si>
    <t xml:space="preserve">Raw Client Label</t>
  </si>
  <si>
    <t xml:space="preserve">Raw Product Label</t>
  </si>
  <si>
    <t xml:space="preserve">Raw Order Date</t>
  </si>
  <si>
    <t xml:space="preserve">Raw Scheduled Date</t>
  </si>
  <si>
    <t xml:space="preserve">Raw Cases</t>
  </si>
  <si>
    <t xml:space="preserve">FSD-COD-5</t>
  </si>
  <si>
    <t xml:space="preserve">R-1001</t>
  </si>
  <si>
    <t xml:space="preserve">Ashcombe Council</t>
  </si>
  <si>
    <t xml:space="preserve">England</t>
  </si>
  <si>
    <t xml:space="preserve">Midlands Hub</t>
  </si>
  <si>
    <t xml:space="preserve">North Atlantic Cod Portions 5kg</t>
  </si>
  <si>
    <t xml:space="preserve">ACO-270129-01</t>
  </si>
  <si>
    <t xml:space="preserve">Delivered</t>
  </si>
  <si>
    <t xml:space="preserve">Product label normalised</t>
  </si>
  <si>
    <t xml:space="preserve">Yes</t>
  </si>
  <si>
    <t xml:space="preserve">N Atlantic Cod Portions 5kg</t>
  </si>
  <si>
    <t xml:space="preserve">FSD-SAL-10</t>
  </si>
  <si>
    <t xml:space="preserve">R-1002</t>
  </si>
  <si>
    <t xml:space="preserve">Wales</t>
  </si>
  <si>
    <t xml:space="preserve">Newport Crossdock</t>
  </si>
  <si>
    <t xml:space="preserve">Atlantic Salmon Portions 10kg</t>
  </si>
  <si>
    <t xml:space="preserve">ACO-270131-02</t>
  </si>
  <si>
    <t xml:space="preserve">Product label normalised; Order date parsed; Scheduled date parsed; Cases parsed</t>
  </si>
  <si>
    <t xml:space="preserve">Atlantic salmon portions 10kg</t>
  </si>
  <si>
    <t xml:space="preserve">31/01/2027</t>
  </si>
  <si>
    <t xml:space="preserve">2027/02/08</t>
  </si>
  <si>
    <t xml:space="preserve">80 cs</t>
  </si>
  <si>
    <t xml:space="preserve">FSD-PEA-2</t>
  </si>
  <si>
    <t xml:space="preserve">R-1003</t>
  </si>
  <si>
    <t xml:space="preserve">Product label normalised; Order date parsed; Scheduled date parsed; Cases parsed; Migration copy of R-1002; Excluded from commercial totals</t>
  </si>
  <si>
    <t xml:space="preserve">R-1002; R-1003</t>
  </si>
  <si>
    <t xml:space="preserve">No - migration copy</t>
  </si>
  <si>
    <t xml:space="preserve">R-1004</t>
  </si>
  <si>
    <t xml:space="preserve">Garden Peas 2kg</t>
  </si>
  <si>
    <t xml:space="preserve">ACO-270201-03</t>
  </si>
  <si>
    <t xml:space="preserve">Client label normalised; Product label normalised; Order date parsed; Scheduled date parsed</t>
  </si>
  <si>
    <t xml:space="preserve">ASHCOMBE COUNCIL</t>
  </si>
  <si>
    <t xml:space="preserve">Garden peas 2 KG</t>
  </si>
  <si>
    <t xml:space="preserve">2027-02-01</t>
  </si>
  <si>
    <t xml:space="preserve">2027-02-12</t>
  </si>
  <si>
    <t xml:space="preserve">R-1005</t>
  </si>
  <si>
    <t xml:space="preserve">ACO-270202-04</t>
  </si>
  <si>
    <t xml:space="preserve">Client label normalised; Product label normalised; Order date parsed; Cases parsed</t>
  </si>
  <si>
    <t xml:space="preserve">Ashcombe Cncl</t>
  </si>
  <si>
    <t xml:space="preserve">COD PORTIONS - 5 KG</t>
  </si>
  <si>
    <t xml:space="preserve">02-02-27</t>
  </si>
  <si>
    <t xml:space="preserve">60CASE</t>
  </si>
  <si>
    <t xml:space="preserve">R-1006</t>
  </si>
  <si>
    <t xml:space="preserve">ACO-270204-05</t>
  </si>
  <si>
    <t xml:space="preserve">Client label normalised; Product label normalised; Scheduled date parsed</t>
  </si>
  <si>
    <t xml:space="preserve">Ashcombe Council </t>
  </si>
  <si>
    <t xml:space="preserve">Atlantic Salmon 10kg</t>
  </si>
  <si>
    <t xml:space="preserve">20-Feb-27</t>
  </si>
  <si>
    <t xml:space="preserve">R-1007</t>
  </si>
  <si>
    <t xml:space="preserve">ACO-270208-06</t>
  </si>
  <si>
    <t xml:space="preserve">Client label normalised; Product label normalised; Order date parsed; Scheduled date parsed; Cases parsed</t>
  </si>
  <si>
    <t xml:space="preserve">ASHCOMBE Council</t>
  </si>
  <si>
    <t xml:space="preserve">GARDEN PEAS 2kg</t>
  </si>
  <si>
    <t xml:space="preserve">20270208</t>
  </si>
  <si>
    <t xml:space="preserve">28.02.2027</t>
  </si>
  <si>
    <t xml:space="preserve">45 cases</t>
  </si>
  <si>
    <t xml:space="preserve">R-1008</t>
  </si>
  <si>
    <t xml:space="preserve">ACO-270215-07</t>
  </si>
  <si>
    <t xml:space="preserve">Product label normalised; Scheduled date parsed</t>
  </si>
  <si>
    <t xml:space="preserve">Cod portions 5kg</t>
  </si>
  <si>
    <t xml:space="preserve">03.03.2027</t>
  </si>
  <si>
    <t xml:space="preserve">R-1009</t>
  </si>
  <si>
    <t xml:space="preserve">ACO-270216-08</t>
  </si>
  <si>
    <t xml:space="preserve">Product label normalised; Order date parsed; Cases parsed</t>
  </si>
  <si>
    <t xml:space="preserve">N. Atlantic cod 5kg</t>
  </si>
  <si>
    <t xml:space="preserve">16/02/2027</t>
  </si>
  <si>
    <t xml:space="preserve">90 cases</t>
  </si>
  <si>
    <t xml:space="preserve">R-1010</t>
  </si>
  <si>
    <t xml:space="preserve">ACO-270218-09</t>
  </si>
  <si>
    <t xml:space="preserve">Atlantic salmon portions 10 kg</t>
  </si>
  <si>
    <t xml:space="preserve">10-Mar-2027</t>
  </si>
  <si>
    <t xml:space="preserve">R-1011</t>
  </si>
  <si>
    <t xml:space="preserve">ACO-270219-10</t>
  </si>
  <si>
    <t xml:space="preserve">ATLANTIC SALMON 10KG</t>
  </si>
  <si>
    <t xml:space="preserve">19-Feb-27</t>
  </si>
  <si>
    <t xml:space="preserve">17/03/2027</t>
  </si>
  <si>
    <t xml:space="preserve">65CS</t>
  </si>
  <si>
    <t xml:space="preserve">R-1012</t>
  </si>
  <si>
    <t xml:space="preserve">ACO-270220-11</t>
  </si>
  <si>
    <t xml:space="preserve">Garden peas 2kg</t>
  </si>
  <si>
    <t xml:space="preserve">R-1013</t>
  </si>
  <si>
    <t xml:space="preserve">Product label normalised; Migration copy of R-1012; Excluded from commercial totals</t>
  </si>
  <si>
    <t xml:space="preserve">R-1012; R-1013</t>
  </si>
  <si>
    <t xml:space="preserve">R-1014</t>
  </si>
  <si>
    <t xml:space="preserve">ACO-270221-12</t>
  </si>
  <si>
    <t xml:space="preserve">Garden Peas 2 KG</t>
  </si>
  <si>
    <t xml:space="preserve">21/02/2027</t>
  </si>
  <si>
    <t xml:space="preserve">24.03.2027</t>
  </si>
  <si>
    <t xml:space="preserve">R-1015</t>
  </si>
  <si>
    <t xml:space="preserve">INT-270222</t>
  </si>
  <si>
    <t xml:space="preserve">Internal sample</t>
  </si>
  <si>
    <t xml:space="preserve">Product label normalised; Cases parsed; Excluded from commercial totals</t>
  </si>
  <si>
    <t xml:space="preserve">No - internal sample</t>
  </si>
  <si>
    <t xml:space="preserve">Cod Portions 5kg</t>
  </si>
  <si>
    <t xml:space="preserve">6 cs</t>
  </si>
  <si>
    <t xml:space="preserve">R-1016</t>
  </si>
  <si>
    <t xml:space="preserve">FRH-LAM-10</t>
  </si>
  <si>
    <t xml:space="preserve">Fresh lamb portions 10kg</t>
  </si>
  <si>
    <t xml:space="preserve">ACO-270223-13</t>
  </si>
  <si>
    <t xml:space="preserve">Excluded from commercial totals</t>
  </si>
  <si>
    <t xml:space="preserve">No - non-frozen</t>
  </si>
  <si>
    <t xml:space="preserve">R-1017</t>
  </si>
  <si>
    <t xml:space="preserve">Breckland Borough</t>
  </si>
  <si>
    <t xml:space="preserve">BBC-270224-01</t>
  </si>
  <si>
    <t xml:space="preserve">Product label normalised; Excluded from commercial totals</t>
  </si>
  <si>
    <t xml:space="preserve">No - other client</t>
  </si>
  <si>
    <t xml:space="preserve">R-1018</t>
  </si>
  <si>
    <t xml:space="preserve">ACO-270225-14</t>
  </si>
  <si>
    <t xml:space="preserve">Product label normalised; Order date parsed</t>
  </si>
  <si>
    <t xml:space="preserve">25/02/2027</t>
  </si>
  <si>
    <t xml:space="preserve">R-1019</t>
  </si>
  <si>
    <t xml:space="preserve">ACO-270226-15</t>
  </si>
  <si>
    <t xml:space="preserve">Product label normalised; Scheduled date parsed; Cases parsed</t>
  </si>
  <si>
    <t xml:space="preserve">COD portions 5 KG</t>
  </si>
  <si>
    <t xml:space="preserve">26.03.2027</t>
  </si>
  <si>
    <t xml:space="preserve">40.00*</t>
  </si>
  <si>
    <t xml:space="preserve">R-1020</t>
  </si>
  <si>
    <t xml:space="preserve">ACO-270227-16</t>
  </si>
  <si>
    <t xml:space="preserve">R-1021</t>
  </si>
  <si>
    <t xml:space="preserve">ACO-270220-17</t>
  </si>
  <si>
    <t xml:space="preserve">Cancelled</t>
  </si>
  <si>
    <t xml:space="preserve">20/02/27</t>
  </si>
  <si>
    <t xml:space="preserve">31-Mar-2027</t>
  </si>
  <si>
    <t xml:space="preserve">70 cs</t>
  </si>
  <si>
    <t xml:space="preserve">February to March Reconciliation</t>
  </si>
  <si>
    <t xml:space="preserve">Authorized cancellation treatment</t>
  </si>
  <si>
    <t xml:space="preserve">Scheduled-delivery / one-week shift</t>
  </si>
  <si>
    <t xml:space="preserve">Commercial rationale</t>
  </si>
  <si>
    <t xml:space="preserve">Metric</t>
  </si>
  <si>
    <t xml:space="preserve">February 2027</t>
  </si>
  <si>
    <t xml:space="preserve">March 2027</t>
  </si>
  <si>
    <t xml:space="preserve">Absolute variance</t>
  </si>
  <si>
    <t xml:space="preserve">Variance %</t>
  </si>
  <si>
    <t xml:space="preserve">Volume (cases)</t>
  </si>
  <si>
    <t xml:space="preserve">Sales value (GBP)</t>
  </si>
  <si>
    <t xml:space="preserve">Margin (GBP)</t>
  </si>
  <si>
    <t xml:space="preserve">Material-change narrative</t>
  </si>
  <si>
    <t xml:space="preserve">Source cutoff</t>
  </si>
  <si>
    <t xml:space="preserve">28 February 2027</t>
  </si>
  <si>
    <t xml:space="preserve">Contract reference</t>
  </si>
  <si>
    <t xml:space="preserve">PS-AC-FRZ v1 / v2</t>
  </si>
  <si>
    <t xml:space="preserve">April Commercial Projection</t>
  </si>
  <si>
    <t xml:space="preserve">Selected frontline scenario</t>
  </si>
  <si>
    <t xml:space="preserve">Base</t>
  </si>
  <si>
    <t xml:space="preserve">Sourced April assumptions</t>
  </si>
  <si>
    <t xml:space="preserve">Additional April call-off (cases)</t>
  </si>
  <si>
    <t xml:space="preserve">Base volume factor</t>
  </si>
  <si>
    <t xml:space="preserve">Normal planning threshold</t>
  </si>
  <si>
    <t xml:space="preserve">Downside volume factor</t>
  </si>
  <si>
    <t xml:space="preserve">Base cost adjustment</t>
  </si>
  <si>
    <t xml:space="preserve">Dispatch plan date</t>
  </si>
  <si>
    <t xml:space="preserve">Downside cost adjustment</t>
  </si>
  <si>
    <t xml:space="preserve">28-Feb-2027</t>
  </si>
  <si>
    <t xml:space="preserve">March delivered basis</t>
  </si>
  <si>
    <t xml:space="preserve">Timing shift cases</t>
  </si>
  <si>
    <t xml:space="preserve">April unit price</t>
  </si>
  <si>
    <t xml:space="preserve">Base cases</t>
  </si>
  <si>
    <t xml:space="preserve">Base sales</t>
  </si>
  <si>
    <t xml:space="preserve">Base cost</t>
  </si>
  <si>
    <t xml:space="preserve">Base margin</t>
  </si>
  <si>
    <t xml:space="preserve">Downside cases</t>
  </si>
  <si>
    <t xml:space="preserve">Downside sales</t>
  </si>
  <si>
    <t xml:space="preserve">Downside cost</t>
  </si>
  <si>
    <t xml:space="preserve">Downside margin</t>
  </si>
  <si>
    <t xml:space="preserve">Selected cases</t>
  </si>
  <si>
    <t xml:space="preserve">Selected sales</t>
  </si>
  <si>
    <t xml:space="preserve">Selected cost</t>
  </si>
  <si>
    <t xml:space="preserve">Selected margin</t>
  </si>
  <si>
    <t xml:space="preserve">TOTAL</t>
  </si>
  <si>
    <t xml:space="preserve">Selected scenario output</t>
  </si>
  <si>
    <t xml:space="preserve">Cost (GBP)</t>
  </si>
  <si>
    <t xml:space="preserve">Dispatch allocation - selected scenario</t>
  </si>
  <si>
    <t xml:space="preserve">Allocation %</t>
  </si>
  <si>
    <t xml:space="preserve">Unit price GBP</t>
  </si>
  <si>
    <t xml:space="preserve">Planned value GBP</t>
  </si>
  <si>
    <t xml:space="preserve">Allocation total</t>
  </si>
  <si>
    <t xml:space="preserve">Ashcombe Council - Friday Dispatch Run Sheet</t>
  </si>
  <si>
    <t xml:space="preserve">April plan - use the selected commercial scenario; complete the blank shift fields at the depot.</t>
  </si>
  <si>
    <t xml:space="preserve">Source snapshot</t>
  </si>
  <si>
    <t xml:space="preserve">Run-sheet value</t>
  </si>
  <si>
    <t xml:space="preserve">Scenario cases</t>
  </si>
  <si>
    <t xml:space="preserve">Line</t>
  </si>
  <si>
    <t xml:space="preserve">Scheduled date</t>
  </si>
  <si>
    <t xml:space="preserve">Planned cases</t>
  </si>
  <si>
    <t xml:space="preserve">Unit GBP</t>
  </si>
  <si>
    <t xml:space="preserve">Planned GBP</t>
  </si>
  <si>
    <t xml:space="preserve">Label pack</t>
  </si>
  <si>
    <t xml:space="preserve">Actual cases</t>
  </si>
  <si>
    <t xml:space="preserve">Picker</t>
  </si>
  <si>
    <t xml:space="preserve">Exception note</t>
  </si>
  <si>
    <t xml:space="preserve">Complete actual cases, choose a status, add picker initials and record a short exception. Use Held for any line that cannot dispatch and state why.</t>
  </si>
  <si>
    <t xml:space="preserve">Status: Not started | Picking | Loaded | Held
Labels: EN = England English pack; CY/EN = Wales bilingual pack.
Amber cells are blank shift-completion fields.</t>
  </si>
  <si>
    <t xml:space="preserve">Commercial approval - Cecilia Asante: ____________________    Dispatch handoff - Ludmila Havlicek: ____________________</t>
  </si>
  <si>
    <t xml:space="preserve">Change Log</t>
  </si>
  <si>
    <t xml:space="preserve">Revision date</t>
  </si>
  <si>
    <t xml:space="preserve">Role</t>
  </si>
  <si>
    <t xml:space="preserve">Authorized by</t>
  </si>
  <si>
    <t xml:space="preserve">Areas changed</t>
  </si>
  <si>
    <t xml:space="preserve">Record</t>
  </si>
  <si>
    <t xml:space="preserve">Model analyst</t>
  </si>
  <si>
    <t xml:space="preserve">Pending</t>
  </si>
  <si>
    <t xml:space="preserve">Draft layout and controls</t>
  </si>
  <si>
    <t xml:space="preserve">Initial draft issued</t>
  </si>
  <si>
    <t xml:space="preserve">09-Mar-2027</t>
  </si>
  <si>
    <t xml:space="preserve">Sales Manager</t>
  </si>
  <si>
    <t xml:space="preserve">Hana Boateng</t>
  </si>
  <si>
    <t xml:space="preserve">Reconciled duplicate, normalised and out-of-scope rows; completed February-March formulas, April scenarios, live controls, England/Wales run sheet, protections and validations.</t>
  </si>
  <si>
    <t xml:space="preserve">Authorized revision for dispatch review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</si>
</sst>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£#,##0.00"/>
    <numFmt numFmtId="166" formatCode="\£#,##0.000"/>
    <numFmt numFmtId="167" formatCode="dd\-mmm\-yyyy"/>
    <numFmt numFmtId="168" formatCode="0.00"/>
    <numFmt numFmtId="169" formatCode="\£#,##0.00;[RED]&quot;-£&quot;#,##0.00"/>
    <numFmt numFmtId="170" formatCode="yyyy\-mm\-dd\ h:mm:ss"/>
    <numFmt numFmtId="171" formatCode="General"/>
    <numFmt numFmtId="172" formatCode="0.00;[RED]\-0.00"/>
    <numFmt numFmtId="173" formatCode="0.0%;[RED]\-0.0%"/>
    <numFmt numFmtId="174" formatCode="0.00\x"/>
    <numFmt numFmtId="175" formatCode="0"/>
    <numFmt numFmtId="176" formatCode="0.0%"/>
    <numFmt numFmtId="177" formatCode="dddd\ d\ mmm\ yyyy"/>
    <numFmt numFmtId="178" formatCode="0%"/>
    <numFmt numFmtId="179" formatCode="\£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ptos Display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8.5"/>
      <color rgb="FFFFFFFF"/>
      <name val="Aptos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EAF2F8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7365D"/>
      </top>
      <bottom style="medium">
        <color rgb="FF17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9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75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alloffs" displayName="tblCalloffs" ref="A5:AA26" headerRowCount="1" totalsRowCount="0" totalsRowShown="0">
  <autoFilter ref="A5:AA26"/>
  <tableColumns count="27">
    <tableColumn id="1" name="Source Row ID"/>
    <tableColumn id="2" name="Client"/>
    <tableColumn id="3" name="Jurisdiction"/>
    <tableColumn id="4" name="Depot"/>
    <tableColumn id="5" name="SKU"/>
    <tableColumn id="6" name="Product"/>
    <tableColumn id="7" name="Order ID"/>
    <tableColumn id="8" name="Order Date"/>
    <tableColumn id="9" name="Scheduled Date"/>
    <tableColumn id="10" name="Contract Version"/>
    <tableColumn id="11" name="Status"/>
    <tableColumn id="12" name="Cases"/>
    <tableColumn id="13" name="Unit Price GBP"/>
    <tableColumn id="14" name="Data Quality Note"/>
    <tableColumn id="15" name="Source Lineage"/>
    <tableColumn id="16" name="Include in Analysis"/>
    <tableColumn id="17" name="Analysis Date"/>
    <tableColumn id="18" name="Signed Cases"/>
    <tableColumn id="19" name="Market Cost GBP"/>
    <tableColumn id="20" name="Line Sales GBP"/>
    <tableColumn id="21" name="Line Margin GBP"/>
    <tableColumn id="22" name="Period"/>
    <tableColumn id="23" name="Raw Client Label"/>
    <tableColumn id="24" name="Raw Product Label"/>
    <tableColumn id="25" name="Raw Order Date"/>
    <tableColumn id="26" name="Raw Scheduled Date"/>
    <tableColumn id="27" name="Raw Cas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5"/>
    <col collapsed="false" customWidth="true" hidden="false" outlineLevel="0" max="3" min="3" style="0" width="68"/>
    <col collapsed="false" customWidth="true" hidden="false" outlineLevel="0" max="9" min="4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A5" s="3" t="s">
        <v>2</v>
      </c>
      <c r="B5" s="4" t="s">
        <v>3</v>
      </c>
      <c r="C5" s="4"/>
      <c r="D5" s="4"/>
      <c r="E5" s="4"/>
      <c r="F5" s="4"/>
      <c r="G5" s="4"/>
      <c r="H5" s="4"/>
      <c r="I5" s="4"/>
    </row>
    <row r="7" customFormat="false" ht="15" hidden="false" customHeight="true" outlineLevel="0" collapsed="false">
      <c r="A7" s="0" t="s">
        <v>4</v>
      </c>
      <c r="B7" s="4" t="s">
        <v>5</v>
      </c>
      <c r="C7" s="4"/>
      <c r="D7" s="4"/>
      <c r="E7" s="4"/>
      <c r="F7" s="4"/>
      <c r="G7" s="4"/>
      <c r="H7" s="4"/>
      <c r="I7" s="4"/>
    </row>
    <row r="9" customFormat="false" ht="15" hidden="false" customHeight="false" outlineLevel="0" collapsed="false">
      <c r="A9" s="0" t="s">
        <v>6</v>
      </c>
      <c r="B9" s="0" t="s">
        <v>7</v>
      </c>
    </row>
    <row r="10" customFormat="false" ht="15" hidden="false" customHeight="false" outlineLevel="0" collapsed="false">
      <c r="A10" s="0" t="s">
        <v>8</v>
      </c>
      <c r="B10" s="0" t="s">
        <v>9</v>
      </c>
    </row>
    <row r="11" customFormat="false" ht="15" hidden="false" customHeight="false" outlineLevel="0" collapsed="false">
      <c r="A11" s="0" t="s">
        <v>10</v>
      </c>
      <c r="B11" s="0" t="s">
        <v>11</v>
      </c>
    </row>
    <row r="13" customFormat="false" ht="15" hidden="false" customHeight="false" outlineLevel="0" collapsed="false">
      <c r="A13" s="5" t="s">
        <v>12</v>
      </c>
      <c r="B13" s="5" t="s">
        <v>13</v>
      </c>
      <c r="C13" s="5" t="s">
        <v>14</v>
      </c>
    </row>
    <row r="14" customFormat="false" ht="15" hidden="false" customHeight="false" outlineLevel="0" collapsed="false">
      <c r="A14" s="6" t="s">
        <v>15</v>
      </c>
      <c r="B14" s="6" t="s">
        <v>16</v>
      </c>
      <c r="C14" s="6" t="s">
        <v>17</v>
      </c>
    </row>
    <row r="15" customFormat="false" ht="15" hidden="false" customHeight="false" outlineLevel="0" collapsed="false">
      <c r="A15" s="6" t="s">
        <v>18</v>
      </c>
      <c r="B15" s="6" t="s">
        <v>19</v>
      </c>
      <c r="C15" s="6" t="s">
        <v>20</v>
      </c>
    </row>
    <row r="16" customFormat="false" ht="15" hidden="false" customHeight="false" outlineLevel="0" collapsed="false">
      <c r="A16" s="6" t="s">
        <v>21</v>
      </c>
      <c r="B16" s="6" t="s">
        <v>22</v>
      </c>
      <c r="C16" s="6" t="s">
        <v>23</v>
      </c>
    </row>
  </sheetData>
  <sheetProtection sheet="true" formatCells="false" formatColumns="false" formatRows="false" insertColumns="false" insertRows="false" deleteColumns="false" deleteRows="false" sort="false" autoFilter="false" selectUnlockedCells="true"/>
  <mergeCells count="4">
    <mergeCell ref="A1:I1"/>
    <mergeCell ref="A3:I3"/>
    <mergeCell ref="B5:I5"/>
    <mergeCell ref="B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29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4" min="14" style="0" width="40"/>
    <col collapsed="false" customWidth="true" hidden="false" outlineLevel="0" max="15" min="15" style="0" width="19"/>
    <col collapsed="false" customWidth="true" hidden="false" outlineLevel="0" max="16" min="16" style="0" width="20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20" min="19" style="0" width="15"/>
    <col collapsed="false" customWidth="true" hidden="false" outlineLevel="0" max="21" min="21" style="0" width="16"/>
    <col collapsed="false" customWidth="true" hidden="false" outlineLevel="0" max="22" min="22" style="0" width="13"/>
    <col collapsed="false" customWidth="true" hidden="false" outlineLevel="0" max="23" min="23" style="0" width="22"/>
    <col collapsed="false" customWidth="true" hidden="false" outlineLevel="0" max="24" min="24" style="0" width="31"/>
    <col collapsed="false" customWidth="true" hidden="false" outlineLevel="0" max="25" min="25" style="0" width="17"/>
    <col collapsed="false" customWidth="true" hidden="false" outlineLevel="0" max="26" min="26" style="0" width="19"/>
    <col collapsed="false" customWidth="true" hidden="false" outlineLevel="0" max="28" min="27" style="0" width="15"/>
    <col collapsed="false" customWidth="true" hidden="false" outlineLevel="0" max="29" min="29" style="0" width="17"/>
    <col collapsed="false" customWidth="true" hidden="false" outlineLevel="0" max="30" min="30" style="0" width="15"/>
    <col collapsed="false" customWidth="true" hidden="false" outlineLevel="0" max="31" min="31" style="0" width="3"/>
    <col collapsed="false" customWidth="true" hidden="false" outlineLevel="0" max="32" min="32" style="0" width="15"/>
    <col collapsed="false" customWidth="true" hidden="false" outlineLevel="0" max="33" min="33" style="0" width="17"/>
  </cols>
  <sheetData>
    <row r="1" customFormat="false" ht="24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customFormat="false" ht="15" hidden="false" customHeight="false" outlineLevel="0" collapsed="false">
      <c r="A3" s="2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B3" s="3" t="s">
        <v>26</v>
      </c>
      <c r="AF3" s="3" t="s">
        <v>27</v>
      </c>
    </row>
    <row r="4" customFormat="false" ht="15" hidden="false" customHeight="false" outlineLevel="0" collapsed="false">
      <c r="AB4" s="7" t="s">
        <v>28</v>
      </c>
      <c r="AC4" s="7" t="s">
        <v>29</v>
      </c>
      <c r="AD4" s="7" t="s">
        <v>30</v>
      </c>
      <c r="AF4" s="7" t="s">
        <v>28</v>
      </c>
      <c r="AG4" s="7" t="s">
        <v>31</v>
      </c>
    </row>
    <row r="5" customFormat="false" ht="34.5" hidden="false" customHeight="true" outlineLevel="0" collapsed="false">
      <c r="A5" s="7" t="s">
        <v>32</v>
      </c>
      <c r="B5" s="7" t="s">
        <v>33</v>
      </c>
      <c r="C5" s="7" t="s">
        <v>34</v>
      </c>
      <c r="D5" s="7" t="s">
        <v>35</v>
      </c>
      <c r="E5" s="7" t="s">
        <v>28</v>
      </c>
      <c r="F5" s="7" t="s">
        <v>36</v>
      </c>
      <c r="G5" s="7" t="s">
        <v>37</v>
      </c>
      <c r="H5" s="7" t="s">
        <v>38</v>
      </c>
      <c r="I5" s="7" t="s">
        <v>39</v>
      </c>
      <c r="J5" s="7" t="s">
        <v>40</v>
      </c>
      <c r="K5" s="7" t="s">
        <v>41</v>
      </c>
      <c r="L5" s="7" t="s">
        <v>42</v>
      </c>
      <c r="M5" s="7" t="s">
        <v>43</v>
      </c>
      <c r="N5" s="7" t="s">
        <v>44</v>
      </c>
      <c r="O5" s="7" t="s">
        <v>45</v>
      </c>
      <c r="P5" s="7" t="s">
        <v>46</v>
      </c>
      <c r="Q5" s="7" t="s">
        <v>47</v>
      </c>
      <c r="R5" s="7" t="s">
        <v>48</v>
      </c>
      <c r="S5" s="7" t="s">
        <v>49</v>
      </c>
      <c r="T5" s="7" t="s">
        <v>50</v>
      </c>
      <c r="U5" s="7" t="s">
        <v>51</v>
      </c>
      <c r="V5" s="7" t="s">
        <v>52</v>
      </c>
      <c r="W5" s="7" t="s">
        <v>53</v>
      </c>
      <c r="X5" s="7" t="s">
        <v>54</v>
      </c>
      <c r="Y5" s="7" t="s">
        <v>55</v>
      </c>
      <c r="Z5" s="7" t="s">
        <v>56</v>
      </c>
      <c r="AA5" s="7" t="s">
        <v>57</v>
      </c>
      <c r="AB5" s="8" t="s">
        <v>58</v>
      </c>
      <c r="AC5" s="9" t="n">
        <v>72.35</v>
      </c>
      <c r="AD5" s="9" t="n">
        <v>75.1</v>
      </c>
      <c r="AF5" s="8" t="s">
        <v>58</v>
      </c>
      <c r="AG5" s="10" t="n">
        <v>49.375</v>
      </c>
    </row>
    <row r="6" customFormat="false" ht="15" hidden="false" customHeight="false" outlineLevel="0" collapsed="false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58</v>
      </c>
      <c r="F6" s="11" t="s">
        <v>63</v>
      </c>
      <c r="G6" s="11" t="s">
        <v>64</v>
      </c>
      <c r="H6" s="12" t="n">
        <v>46416</v>
      </c>
      <c r="I6" s="12" t="n">
        <v>46423</v>
      </c>
      <c r="J6" s="11" t="str">
        <f aca="false">IF($P6="Yes",IF($Q6&lt;DATE(2027,3,1),"PS-AC-FRZ v1","PS-AC-FRZ v2"),"")</f>
        <v>PS-AC-FRZ v1</v>
      </c>
      <c r="K6" s="11" t="s">
        <v>65</v>
      </c>
      <c r="L6" s="13" t="n">
        <v>120</v>
      </c>
      <c r="M6" s="14" t="n">
        <f aca="false">IF($P6="Yes",IF($Q6&lt;DATE(2027,3,1),SUMIF($AB$5:$AB$7,$E6,$AC$5:$AC$7),SUMIF($AB$5:$AB$7,$E6,$AD$5:$AD$7)),"")</f>
        <v>72.35</v>
      </c>
      <c r="N6" s="11" t="s">
        <v>66</v>
      </c>
      <c r="O6" s="11" t="s">
        <v>59</v>
      </c>
      <c r="P6" s="11" t="s">
        <v>67</v>
      </c>
      <c r="Q6" s="12" t="n">
        <f aca="false">IF($P6="Yes",IF($K6="Cancelled",IF(Cancellation_Reading="Order-date / lost demand",$H6,$I6),$I6),"")</f>
        <v>46423</v>
      </c>
      <c r="R6" s="13" t="n">
        <f aca="false">IF($P6="Yes",IF($K6="Cancelled",-$L6,$L6),0)</f>
        <v>120</v>
      </c>
      <c r="S6" s="14" t="n">
        <f aca="false">IF($P6="Yes",SUMIF($AF$5:$AF$7,$E6,$AG$5:$AG$7),"")</f>
        <v>49.375</v>
      </c>
      <c r="T6" s="14" t="n">
        <f aca="false">IF($P6="Yes",$R6*$M6,0)</f>
        <v>8682</v>
      </c>
      <c r="U6" s="14" t="n">
        <f aca="false">IF($P6="Yes",$T6-($R6*$S6),0)</f>
        <v>2757</v>
      </c>
      <c r="V6" s="11" t="str">
        <f aca="false">IF($P6="Yes",TEXT($Q6,"mmm-yyyy"),"")</f>
        <v>Feb-2027</v>
      </c>
      <c r="W6" s="11" t="s">
        <v>60</v>
      </c>
      <c r="X6" s="11" t="s">
        <v>68</v>
      </c>
      <c r="Y6" s="15" t="n">
        <v>46416</v>
      </c>
      <c r="Z6" s="15" t="n">
        <v>46423</v>
      </c>
      <c r="AA6" s="11" t="n">
        <v>120</v>
      </c>
      <c r="AB6" s="8" t="s">
        <v>69</v>
      </c>
      <c r="AC6" s="9" t="n">
        <v>64.8</v>
      </c>
      <c r="AD6" s="9" t="n">
        <v>66.25</v>
      </c>
      <c r="AF6" s="8" t="s">
        <v>69</v>
      </c>
      <c r="AG6" s="10" t="n">
        <v>44.625</v>
      </c>
    </row>
    <row r="7" customFormat="false" ht="28.35" hidden="false" customHeight="false" outlineLevel="0" collapsed="false">
      <c r="A7" s="11" t="s">
        <v>70</v>
      </c>
      <c r="B7" s="11" t="s">
        <v>60</v>
      </c>
      <c r="C7" s="11" t="s">
        <v>71</v>
      </c>
      <c r="D7" s="11" t="s">
        <v>72</v>
      </c>
      <c r="E7" s="11" t="s">
        <v>69</v>
      </c>
      <c r="F7" s="11" t="s">
        <v>73</v>
      </c>
      <c r="G7" s="11" t="s">
        <v>74</v>
      </c>
      <c r="H7" s="12" t="n">
        <v>46418</v>
      </c>
      <c r="I7" s="12" t="n">
        <v>46426</v>
      </c>
      <c r="J7" s="11" t="str">
        <f aca="false">IF($P7="Yes",IF($Q7&lt;DATE(2027,3,1),"PS-AC-FRZ v1","PS-AC-FRZ v2"),"")</f>
        <v>PS-AC-FRZ v1</v>
      </c>
      <c r="K7" s="11" t="s">
        <v>65</v>
      </c>
      <c r="L7" s="13" t="n">
        <v>80</v>
      </c>
      <c r="M7" s="14" t="n">
        <f aca="false">IF($P7="Yes",IF($Q7&lt;DATE(2027,3,1),SUMIF($AB$5:$AB$7,$E7,$AC$5:$AC$7),SUMIF($AB$5:$AB$7,$E7,$AD$5:$AD$7)),"")</f>
        <v>64.8</v>
      </c>
      <c r="N7" s="11" t="s">
        <v>75</v>
      </c>
      <c r="O7" s="11" t="s">
        <v>70</v>
      </c>
      <c r="P7" s="11" t="s">
        <v>67</v>
      </c>
      <c r="Q7" s="12" t="n">
        <f aca="false">IF($P7="Yes",IF($K7="Cancelled",IF(Cancellation_Reading="Order-date / lost demand",$H7,$I7),$I7),"")</f>
        <v>46426</v>
      </c>
      <c r="R7" s="13" t="n">
        <f aca="false">IF($P7="Yes",IF($K7="Cancelled",-$L7,$L7),0)</f>
        <v>80</v>
      </c>
      <c r="S7" s="14" t="n">
        <f aca="false">IF($P7="Yes",SUMIF($AF$5:$AF$7,$E7,$AG$5:$AG$7),"")</f>
        <v>44.625</v>
      </c>
      <c r="T7" s="14" t="n">
        <f aca="false">IF($P7="Yes",$R7*$M7,0)</f>
        <v>5184</v>
      </c>
      <c r="U7" s="14" t="n">
        <f aca="false">IF($P7="Yes",$T7-($R7*$S7),0)</f>
        <v>1614</v>
      </c>
      <c r="V7" s="11" t="str">
        <f aca="false">IF($P7="Yes",TEXT($Q7,"mmm-yyyy"),"")</f>
        <v>Feb-2027</v>
      </c>
      <c r="W7" s="11" t="s">
        <v>60</v>
      </c>
      <c r="X7" s="11" t="s">
        <v>76</v>
      </c>
      <c r="Y7" s="11" t="s">
        <v>77</v>
      </c>
      <c r="Z7" s="11" t="s">
        <v>78</v>
      </c>
      <c r="AA7" s="11" t="s">
        <v>79</v>
      </c>
      <c r="AB7" s="8" t="s">
        <v>80</v>
      </c>
      <c r="AC7" s="9" t="n">
        <v>27.45</v>
      </c>
      <c r="AD7" s="9" t="n">
        <v>28.15</v>
      </c>
      <c r="AF7" s="8" t="s">
        <v>80</v>
      </c>
      <c r="AG7" s="10" t="n">
        <v>17.825</v>
      </c>
    </row>
    <row r="8" customFormat="false" ht="55.2" hidden="false" customHeight="false" outlineLevel="0" collapsed="false">
      <c r="A8" s="11" t="s">
        <v>81</v>
      </c>
      <c r="B8" s="11" t="s">
        <v>60</v>
      </c>
      <c r="C8" s="11" t="s">
        <v>71</v>
      </c>
      <c r="D8" s="11" t="s">
        <v>72</v>
      </c>
      <c r="E8" s="11" t="s">
        <v>69</v>
      </c>
      <c r="F8" s="11" t="s">
        <v>73</v>
      </c>
      <c r="G8" s="11" t="s">
        <v>74</v>
      </c>
      <c r="H8" s="12" t="n">
        <v>46418</v>
      </c>
      <c r="I8" s="12" t="n">
        <v>46426</v>
      </c>
      <c r="J8" s="11" t="str">
        <f aca="false">IF($P8="Yes",IF($Q8&lt;DATE(2027,3,1),"PS-AC-FRZ v1","PS-AC-FRZ v2"),"")</f>
        <v/>
      </c>
      <c r="K8" s="11" t="s">
        <v>65</v>
      </c>
      <c r="L8" s="13" t="n">
        <v>80</v>
      </c>
      <c r="M8" s="14" t="str">
        <f aca="false">IF($P8="Yes",IF($Q8&lt;DATE(2027,3,1),SUMIF($AB$5:$AB$7,$E8,$AC$5:$AC$7),SUMIF($AB$5:$AB$7,$E8,$AD$5:$AD$7)),"")</f>
        <v/>
      </c>
      <c r="N8" s="11" t="s">
        <v>82</v>
      </c>
      <c r="O8" s="11" t="s">
        <v>83</v>
      </c>
      <c r="P8" s="11" t="s">
        <v>84</v>
      </c>
      <c r="Q8" s="12" t="str">
        <f aca="false">IF($P8="Yes",IF($K8="Cancelled",IF(Cancellation_Reading="Order-date / lost demand",$H8,$I8),$I8),"")</f>
        <v/>
      </c>
      <c r="R8" s="13" t="n">
        <f aca="false">IF($P8="Yes",IF($K8="Cancelled",-$L8,$L8),0)</f>
        <v>0</v>
      </c>
      <c r="S8" s="14" t="str">
        <f aca="false">IF($P8="Yes",SUMIF($AF$5:$AF$7,$E8,$AG$5:$AG$7),"")</f>
        <v/>
      </c>
      <c r="T8" s="14" t="n">
        <f aca="false">IF($P8="Yes",$R8*$M8,0)</f>
        <v>0</v>
      </c>
      <c r="U8" s="14" t="n">
        <f aca="false">IF($P8="Yes",$T8-($R8*$S8),0)</f>
        <v>0</v>
      </c>
      <c r="V8" s="11" t="str">
        <f aca="false">IF($P8="Yes",TEXT($Q8,"mmm-yyyy"),"")</f>
        <v/>
      </c>
      <c r="W8" s="11" t="s">
        <v>60</v>
      </c>
      <c r="X8" s="11" t="s">
        <v>76</v>
      </c>
      <c r="Y8" s="11" t="s">
        <v>77</v>
      </c>
      <c r="Z8" s="11" t="s">
        <v>78</v>
      </c>
      <c r="AA8" s="11" t="s">
        <v>79</v>
      </c>
    </row>
    <row r="9" customFormat="false" ht="41.75" hidden="false" customHeight="false" outlineLevel="0" collapsed="false">
      <c r="A9" s="11" t="s">
        <v>85</v>
      </c>
      <c r="B9" s="11" t="s">
        <v>60</v>
      </c>
      <c r="C9" s="11" t="s">
        <v>61</v>
      </c>
      <c r="D9" s="11" t="s">
        <v>62</v>
      </c>
      <c r="E9" s="11" t="s">
        <v>80</v>
      </c>
      <c r="F9" s="11" t="s">
        <v>86</v>
      </c>
      <c r="G9" s="11" t="s">
        <v>87</v>
      </c>
      <c r="H9" s="12" t="n">
        <v>46419</v>
      </c>
      <c r="I9" s="12" t="n">
        <v>46430</v>
      </c>
      <c r="J9" s="11" t="str">
        <f aca="false">IF($P9="Yes",IF($Q9&lt;DATE(2027,3,1),"PS-AC-FRZ v1","PS-AC-FRZ v2"),"")</f>
        <v>PS-AC-FRZ v1</v>
      </c>
      <c r="K9" s="11" t="s">
        <v>65</v>
      </c>
      <c r="L9" s="13" t="n">
        <v>100</v>
      </c>
      <c r="M9" s="14" t="n">
        <f aca="false">IF($P9="Yes",IF($Q9&lt;DATE(2027,3,1),SUMIF($AB$5:$AB$7,$E9,$AC$5:$AC$7),SUMIF($AB$5:$AB$7,$E9,$AD$5:$AD$7)),"")</f>
        <v>27.45</v>
      </c>
      <c r="N9" s="11" t="s">
        <v>88</v>
      </c>
      <c r="O9" s="11" t="s">
        <v>85</v>
      </c>
      <c r="P9" s="11" t="s">
        <v>67</v>
      </c>
      <c r="Q9" s="12" t="n">
        <f aca="false">IF($P9="Yes",IF($K9="Cancelled",IF(Cancellation_Reading="Order-date / lost demand",$H9,$I9),$I9),"")</f>
        <v>46430</v>
      </c>
      <c r="R9" s="13" t="n">
        <f aca="false">IF($P9="Yes",IF($K9="Cancelled",-$L9,$L9),0)</f>
        <v>100</v>
      </c>
      <c r="S9" s="14" t="n">
        <f aca="false">IF($P9="Yes",SUMIF($AF$5:$AF$7,$E9,$AG$5:$AG$7),"")</f>
        <v>17.825</v>
      </c>
      <c r="T9" s="14" t="n">
        <f aca="false">IF($P9="Yes",$R9*$M9,0)</f>
        <v>2745</v>
      </c>
      <c r="U9" s="14" t="n">
        <f aca="false">IF($P9="Yes",$T9-($R9*$S9),0)</f>
        <v>962.5</v>
      </c>
      <c r="V9" s="11" t="str">
        <f aca="false">IF($P9="Yes",TEXT($Q9,"mmm-yyyy"),"")</f>
        <v>Feb-2027</v>
      </c>
      <c r="W9" s="11" t="s">
        <v>89</v>
      </c>
      <c r="X9" s="11" t="s">
        <v>90</v>
      </c>
      <c r="Y9" s="11" t="s">
        <v>91</v>
      </c>
      <c r="Z9" s="11" t="s">
        <v>92</v>
      </c>
      <c r="AA9" s="11" t="n">
        <v>100</v>
      </c>
    </row>
    <row r="10" customFormat="false" ht="28.35" hidden="false" customHeight="false" outlineLevel="0" collapsed="false">
      <c r="A10" s="11" t="s">
        <v>93</v>
      </c>
      <c r="B10" s="11" t="s">
        <v>60</v>
      </c>
      <c r="C10" s="11" t="s">
        <v>71</v>
      </c>
      <c r="D10" s="11" t="s">
        <v>72</v>
      </c>
      <c r="E10" s="11" t="s">
        <v>58</v>
      </c>
      <c r="F10" s="11" t="s">
        <v>63</v>
      </c>
      <c r="G10" s="11" t="s">
        <v>94</v>
      </c>
      <c r="H10" s="12" t="n">
        <v>46420</v>
      </c>
      <c r="I10" s="12" t="n">
        <v>46434</v>
      </c>
      <c r="J10" s="11" t="str">
        <f aca="false">IF($P10="Yes",IF($Q10&lt;DATE(2027,3,1),"PS-AC-FRZ v1","PS-AC-FRZ v2"),"")</f>
        <v>PS-AC-FRZ v1</v>
      </c>
      <c r="K10" s="11" t="s">
        <v>65</v>
      </c>
      <c r="L10" s="13" t="n">
        <v>60</v>
      </c>
      <c r="M10" s="14" t="n">
        <f aca="false">IF($P10="Yes",IF($Q10&lt;DATE(2027,3,1),SUMIF($AB$5:$AB$7,$E10,$AC$5:$AC$7),SUMIF($AB$5:$AB$7,$E10,$AD$5:$AD$7)),"")</f>
        <v>72.35</v>
      </c>
      <c r="N10" s="11" t="s">
        <v>95</v>
      </c>
      <c r="O10" s="11" t="s">
        <v>93</v>
      </c>
      <c r="P10" s="11" t="s">
        <v>67</v>
      </c>
      <c r="Q10" s="12" t="n">
        <f aca="false">IF($P10="Yes",IF($K10="Cancelled",IF(Cancellation_Reading="Order-date / lost demand",$H10,$I10),$I10),"")</f>
        <v>46434</v>
      </c>
      <c r="R10" s="13" t="n">
        <f aca="false">IF($P10="Yes",IF($K10="Cancelled",-$L10,$L10),0)</f>
        <v>60</v>
      </c>
      <c r="S10" s="14" t="n">
        <f aca="false">IF($P10="Yes",SUMIF($AF$5:$AF$7,$E10,$AG$5:$AG$7),"")</f>
        <v>49.375</v>
      </c>
      <c r="T10" s="14" t="n">
        <f aca="false">IF($P10="Yes",$R10*$M10,0)</f>
        <v>4341</v>
      </c>
      <c r="U10" s="14" t="n">
        <f aca="false">IF($P10="Yes",$T10-($R10*$S10),0)</f>
        <v>1378.5</v>
      </c>
      <c r="V10" s="11" t="str">
        <f aca="false">IF($P10="Yes",TEXT($Q10,"mmm-yyyy"),"")</f>
        <v>Feb-2027</v>
      </c>
      <c r="W10" s="11" t="s">
        <v>96</v>
      </c>
      <c r="X10" s="11" t="s">
        <v>97</v>
      </c>
      <c r="Y10" s="11" t="s">
        <v>98</v>
      </c>
      <c r="Z10" s="15" t="n">
        <v>46434</v>
      </c>
      <c r="AA10" s="11" t="s">
        <v>99</v>
      </c>
    </row>
    <row r="11" customFormat="false" ht="28.35" hidden="false" customHeight="false" outlineLevel="0" collapsed="false">
      <c r="A11" s="11" t="s">
        <v>100</v>
      </c>
      <c r="B11" s="11" t="s">
        <v>60</v>
      </c>
      <c r="C11" s="11" t="s">
        <v>61</v>
      </c>
      <c r="D11" s="11" t="s">
        <v>62</v>
      </c>
      <c r="E11" s="11" t="s">
        <v>69</v>
      </c>
      <c r="F11" s="11" t="s">
        <v>73</v>
      </c>
      <c r="G11" s="11" t="s">
        <v>101</v>
      </c>
      <c r="H11" s="12" t="n">
        <v>46422</v>
      </c>
      <c r="I11" s="12" t="n">
        <v>46438</v>
      </c>
      <c r="J11" s="11" t="str">
        <f aca="false">IF($P11="Yes",IF($Q11&lt;DATE(2027,3,1),"PS-AC-FRZ v1","PS-AC-FRZ v2"),"")</f>
        <v>PS-AC-FRZ v1</v>
      </c>
      <c r="K11" s="11" t="s">
        <v>65</v>
      </c>
      <c r="L11" s="13" t="n">
        <v>50</v>
      </c>
      <c r="M11" s="14" t="n">
        <f aca="false">IF($P11="Yes",IF($Q11&lt;DATE(2027,3,1),SUMIF($AB$5:$AB$7,$E11,$AC$5:$AC$7),SUMIF($AB$5:$AB$7,$E11,$AD$5:$AD$7)),"")</f>
        <v>64.8</v>
      </c>
      <c r="N11" s="11" t="s">
        <v>102</v>
      </c>
      <c r="O11" s="11" t="s">
        <v>100</v>
      </c>
      <c r="P11" s="11" t="s">
        <v>67</v>
      </c>
      <c r="Q11" s="12" t="n">
        <f aca="false">IF($P11="Yes",IF($K11="Cancelled",IF(Cancellation_Reading="Order-date / lost demand",$H11,$I11),$I11),"")</f>
        <v>46438</v>
      </c>
      <c r="R11" s="13" t="n">
        <f aca="false">IF($P11="Yes",IF($K11="Cancelled",-$L11,$L11),0)</f>
        <v>50</v>
      </c>
      <c r="S11" s="14" t="n">
        <f aca="false">IF($P11="Yes",SUMIF($AF$5:$AF$7,$E11,$AG$5:$AG$7),"")</f>
        <v>44.625</v>
      </c>
      <c r="T11" s="14" t="n">
        <f aca="false">IF($P11="Yes",$R11*$M11,0)</f>
        <v>3240</v>
      </c>
      <c r="U11" s="14" t="n">
        <f aca="false">IF($P11="Yes",$T11-($R11*$S11),0)</f>
        <v>1008.75</v>
      </c>
      <c r="V11" s="11" t="str">
        <f aca="false">IF($P11="Yes",TEXT($Q11,"mmm-yyyy"),"")</f>
        <v>Feb-2027</v>
      </c>
      <c r="W11" s="11" t="s">
        <v>103</v>
      </c>
      <c r="X11" s="11" t="s">
        <v>104</v>
      </c>
      <c r="Y11" s="15" t="n">
        <v>46422</v>
      </c>
      <c r="Z11" s="11" t="s">
        <v>105</v>
      </c>
      <c r="AA11" s="11" t="n">
        <v>50</v>
      </c>
    </row>
    <row r="12" customFormat="false" ht="41.75" hidden="false" customHeight="false" outlineLevel="0" collapsed="false">
      <c r="A12" s="11" t="s">
        <v>106</v>
      </c>
      <c r="B12" s="11" t="s">
        <v>60</v>
      </c>
      <c r="C12" s="11" t="s">
        <v>71</v>
      </c>
      <c r="D12" s="11" t="s">
        <v>72</v>
      </c>
      <c r="E12" s="11" t="s">
        <v>80</v>
      </c>
      <c r="F12" s="11" t="s">
        <v>86</v>
      </c>
      <c r="G12" s="11" t="s">
        <v>107</v>
      </c>
      <c r="H12" s="12" t="n">
        <v>46426</v>
      </c>
      <c r="I12" s="12" t="n">
        <v>46446</v>
      </c>
      <c r="J12" s="11" t="str">
        <f aca="false">IF($P12="Yes",IF($Q12&lt;DATE(2027,3,1),"PS-AC-FRZ v1","PS-AC-FRZ v2"),"")</f>
        <v>PS-AC-FRZ v1</v>
      </c>
      <c r="K12" s="11" t="s">
        <v>65</v>
      </c>
      <c r="L12" s="13" t="n">
        <v>45</v>
      </c>
      <c r="M12" s="14" t="n">
        <f aca="false">IF($P12="Yes",IF($Q12&lt;DATE(2027,3,1),SUMIF($AB$5:$AB$7,$E12,$AC$5:$AC$7),SUMIF($AB$5:$AB$7,$E12,$AD$5:$AD$7)),"")</f>
        <v>27.45</v>
      </c>
      <c r="N12" s="11" t="s">
        <v>108</v>
      </c>
      <c r="O12" s="11" t="s">
        <v>106</v>
      </c>
      <c r="P12" s="11" t="s">
        <v>67</v>
      </c>
      <c r="Q12" s="12" t="n">
        <f aca="false">IF($P12="Yes",IF($K12="Cancelled",IF(Cancellation_Reading="Order-date / lost demand",$H12,$I12),$I12),"")</f>
        <v>46446</v>
      </c>
      <c r="R12" s="13" t="n">
        <f aca="false">IF($P12="Yes",IF($K12="Cancelled",-$L12,$L12),0)</f>
        <v>45</v>
      </c>
      <c r="S12" s="14" t="n">
        <f aca="false">IF($P12="Yes",SUMIF($AF$5:$AF$7,$E12,$AG$5:$AG$7),"")</f>
        <v>17.825</v>
      </c>
      <c r="T12" s="14" t="n">
        <f aca="false">IF($P12="Yes",$R12*$M12,0)</f>
        <v>1235.25</v>
      </c>
      <c r="U12" s="14" t="n">
        <f aca="false">IF($P12="Yes",$T12-($R12*$S12),0)</f>
        <v>433.125</v>
      </c>
      <c r="V12" s="11" t="str">
        <f aca="false">IF($P12="Yes",TEXT($Q12,"mmm-yyyy"),"")</f>
        <v>Feb-2027</v>
      </c>
      <c r="W12" s="11" t="s">
        <v>109</v>
      </c>
      <c r="X12" s="11" t="s">
        <v>110</v>
      </c>
      <c r="Y12" s="11" t="s">
        <v>111</v>
      </c>
      <c r="Z12" s="11" t="s">
        <v>112</v>
      </c>
      <c r="AA12" s="11" t="s">
        <v>113</v>
      </c>
    </row>
    <row r="13" customFormat="false" ht="28.35" hidden="false" customHeight="false" outlineLevel="0" collapsed="false">
      <c r="A13" s="11" t="s">
        <v>114</v>
      </c>
      <c r="B13" s="11" t="s">
        <v>60</v>
      </c>
      <c r="C13" s="11" t="s">
        <v>61</v>
      </c>
      <c r="D13" s="11" t="s">
        <v>62</v>
      </c>
      <c r="E13" s="11" t="s">
        <v>58</v>
      </c>
      <c r="F13" s="11" t="s">
        <v>63</v>
      </c>
      <c r="G13" s="11" t="s">
        <v>115</v>
      </c>
      <c r="H13" s="12" t="n">
        <v>46433</v>
      </c>
      <c r="I13" s="12" t="n">
        <v>46449</v>
      </c>
      <c r="J13" s="11" t="str">
        <f aca="false">IF($P13="Yes",IF($Q13&lt;DATE(2027,3,1),"PS-AC-FRZ v1","PS-AC-FRZ v2"),"")</f>
        <v>PS-AC-FRZ v2</v>
      </c>
      <c r="K13" s="11" t="s">
        <v>65</v>
      </c>
      <c r="L13" s="13" t="n">
        <v>140</v>
      </c>
      <c r="M13" s="14" t="n">
        <f aca="false">IF($P13="Yes",IF($Q13&lt;DATE(2027,3,1),SUMIF($AB$5:$AB$7,$E13,$AC$5:$AC$7),SUMIF($AB$5:$AB$7,$E13,$AD$5:$AD$7)),"")</f>
        <v>75.1</v>
      </c>
      <c r="N13" s="11" t="s">
        <v>116</v>
      </c>
      <c r="O13" s="11" t="s">
        <v>114</v>
      </c>
      <c r="P13" s="11" t="s">
        <v>67</v>
      </c>
      <c r="Q13" s="12" t="n">
        <f aca="false">IF($P13="Yes",IF($K13="Cancelled",IF(Cancellation_Reading="Order-date / lost demand",$H13,$I13),$I13),"")</f>
        <v>46449</v>
      </c>
      <c r="R13" s="13" t="n">
        <f aca="false">IF($P13="Yes",IF($K13="Cancelled",-$L13,$L13),0)</f>
        <v>140</v>
      </c>
      <c r="S13" s="14" t="n">
        <f aca="false">IF($P13="Yes",SUMIF($AF$5:$AF$7,$E13,$AG$5:$AG$7),"")</f>
        <v>49.375</v>
      </c>
      <c r="T13" s="14" t="n">
        <f aca="false">IF($P13="Yes",$R13*$M13,0)</f>
        <v>10514</v>
      </c>
      <c r="U13" s="14" t="n">
        <f aca="false">IF($P13="Yes",$T13-($R13*$S13),0)</f>
        <v>3601.5</v>
      </c>
      <c r="V13" s="11" t="str">
        <f aca="false">IF($P13="Yes",TEXT($Q13,"mmm-yyyy"),"")</f>
        <v>Mar-2027</v>
      </c>
      <c r="W13" s="11" t="s">
        <v>60</v>
      </c>
      <c r="X13" s="11" t="s">
        <v>117</v>
      </c>
      <c r="Y13" s="15" t="n">
        <v>46433</v>
      </c>
      <c r="Z13" s="11" t="s">
        <v>118</v>
      </c>
      <c r="AA13" s="11" t="n">
        <v>140</v>
      </c>
    </row>
    <row r="14" customFormat="false" ht="28.35" hidden="false" customHeight="false" outlineLevel="0" collapsed="false">
      <c r="A14" s="11" t="s">
        <v>119</v>
      </c>
      <c r="B14" s="11" t="s">
        <v>60</v>
      </c>
      <c r="C14" s="11" t="s">
        <v>71</v>
      </c>
      <c r="D14" s="11" t="s">
        <v>72</v>
      </c>
      <c r="E14" s="11" t="s">
        <v>58</v>
      </c>
      <c r="F14" s="11" t="s">
        <v>63</v>
      </c>
      <c r="G14" s="11" t="s">
        <v>120</v>
      </c>
      <c r="H14" s="12" t="n">
        <v>46434</v>
      </c>
      <c r="I14" s="12" t="n">
        <v>46451</v>
      </c>
      <c r="J14" s="11" t="str">
        <f aca="false">IF($P14="Yes",IF($Q14&lt;DATE(2027,3,1),"PS-AC-FRZ v1","PS-AC-FRZ v2"),"")</f>
        <v>PS-AC-FRZ v2</v>
      </c>
      <c r="K14" s="11" t="s">
        <v>65</v>
      </c>
      <c r="L14" s="13" t="n">
        <v>90</v>
      </c>
      <c r="M14" s="14" t="n">
        <f aca="false">IF($P14="Yes",IF($Q14&lt;DATE(2027,3,1),SUMIF($AB$5:$AB$7,$E14,$AC$5:$AC$7),SUMIF($AB$5:$AB$7,$E14,$AD$5:$AD$7)),"")</f>
        <v>75.1</v>
      </c>
      <c r="N14" s="11" t="s">
        <v>121</v>
      </c>
      <c r="O14" s="11" t="s">
        <v>119</v>
      </c>
      <c r="P14" s="11" t="s">
        <v>67</v>
      </c>
      <c r="Q14" s="12" t="n">
        <f aca="false">IF($P14="Yes",IF($K14="Cancelled",IF(Cancellation_Reading="Order-date / lost demand",$H14,$I14),$I14),"")</f>
        <v>46451</v>
      </c>
      <c r="R14" s="13" t="n">
        <f aca="false">IF($P14="Yes",IF($K14="Cancelled",-$L14,$L14),0)</f>
        <v>90</v>
      </c>
      <c r="S14" s="14" t="n">
        <f aca="false">IF($P14="Yes",SUMIF($AF$5:$AF$7,$E14,$AG$5:$AG$7),"")</f>
        <v>49.375</v>
      </c>
      <c r="T14" s="14" t="n">
        <f aca="false">IF($P14="Yes",$R14*$M14,0)</f>
        <v>6759</v>
      </c>
      <c r="U14" s="14" t="n">
        <f aca="false">IF($P14="Yes",$T14-($R14*$S14),0)</f>
        <v>2315.25</v>
      </c>
      <c r="V14" s="11" t="str">
        <f aca="false">IF($P14="Yes",TEXT($Q14,"mmm-yyyy"),"")</f>
        <v>Mar-2027</v>
      </c>
      <c r="W14" s="11" t="s">
        <v>60</v>
      </c>
      <c r="X14" s="11" t="s">
        <v>122</v>
      </c>
      <c r="Y14" s="11" t="s">
        <v>123</v>
      </c>
      <c r="Z14" s="15" t="n">
        <v>46451</v>
      </c>
      <c r="AA14" s="11" t="s">
        <v>124</v>
      </c>
    </row>
    <row r="15" customFormat="false" ht="28.35" hidden="false" customHeight="false" outlineLevel="0" collapsed="false">
      <c r="A15" s="11" t="s">
        <v>125</v>
      </c>
      <c r="B15" s="11" t="s">
        <v>60</v>
      </c>
      <c r="C15" s="11" t="s">
        <v>61</v>
      </c>
      <c r="D15" s="11" t="s">
        <v>62</v>
      </c>
      <c r="E15" s="11" t="s">
        <v>69</v>
      </c>
      <c r="F15" s="11" t="s">
        <v>73</v>
      </c>
      <c r="G15" s="11" t="s">
        <v>126</v>
      </c>
      <c r="H15" s="12" t="n">
        <v>46436</v>
      </c>
      <c r="I15" s="12" t="n">
        <v>46456</v>
      </c>
      <c r="J15" s="11" t="str">
        <f aca="false">IF($P15="Yes",IF($Q15&lt;DATE(2027,3,1),"PS-AC-FRZ v1","PS-AC-FRZ v2"),"")</f>
        <v>PS-AC-FRZ v2</v>
      </c>
      <c r="K15" s="11" t="s">
        <v>65</v>
      </c>
      <c r="L15" s="13" t="n">
        <v>75</v>
      </c>
      <c r="M15" s="14" t="n">
        <f aca="false">IF($P15="Yes",IF($Q15&lt;DATE(2027,3,1),SUMIF($AB$5:$AB$7,$E15,$AC$5:$AC$7),SUMIF($AB$5:$AB$7,$E15,$AD$5:$AD$7)),"")</f>
        <v>66.25</v>
      </c>
      <c r="N15" s="11" t="s">
        <v>116</v>
      </c>
      <c r="O15" s="11" t="s">
        <v>125</v>
      </c>
      <c r="P15" s="11" t="s">
        <v>67</v>
      </c>
      <c r="Q15" s="12" t="n">
        <f aca="false">IF($P15="Yes",IF($K15="Cancelled",IF(Cancellation_Reading="Order-date / lost demand",$H15,$I15),$I15),"")</f>
        <v>46456</v>
      </c>
      <c r="R15" s="13" t="n">
        <f aca="false">IF($P15="Yes",IF($K15="Cancelled",-$L15,$L15),0)</f>
        <v>75</v>
      </c>
      <c r="S15" s="14" t="n">
        <f aca="false">IF($P15="Yes",SUMIF($AF$5:$AF$7,$E15,$AG$5:$AG$7),"")</f>
        <v>44.625</v>
      </c>
      <c r="T15" s="14" t="n">
        <f aca="false">IF($P15="Yes",$R15*$M15,0)</f>
        <v>4968.75</v>
      </c>
      <c r="U15" s="14" t="n">
        <f aca="false">IF($P15="Yes",$T15-($R15*$S15),0)</f>
        <v>1621.875</v>
      </c>
      <c r="V15" s="11" t="str">
        <f aca="false">IF($P15="Yes",TEXT($Q15,"mmm-yyyy"),"")</f>
        <v>Mar-2027</v>
      </c>
      <c r="W15" s="11" t="s">
        <v>60</v>
      </c>
      <c r="X15" s="11" t="s">
        <v>127</v>
      </c>
      <c r="Y15" s="15" t="n">
        <v>46436</v>
      </c>
      <c r="Z15" s="11" t="s">
        <v>128</v>
      </c>
      <c r="AA15" s="11" t="n">
        <v>75</v>
      </c>
    </row>
    <row r="16" customFormat="false" ht="41.75" hidden="false" customHeight="false" outlineLevel="0" collapsed="false">
      <c r="A16" s="11" t="s">
        <v>129</v>
      </c>
      <c r="B16" s="11" t="s">
        <v>60</v>
      </c>
      <c r="C16" s="11" t="s">
        <v>71</v>
      </c>
      <c r="D16" s="11" t="s">
        <v>72</v>
      </c>
      <c r="E16" s="11" t="s">
        <v>69</v>
      </c>
      <c r="F16" s="11" t="s">
        <v>73</v>
      </c>
      <c r="G16" s="11" t="s">
        <v>130</v>
      </c>
      <c r="H16" s="12" t="n">
        <v>46437</v>
      </c>
      <c r="I16" s="12" t="n">
        <v>46463</v>
      </c>
      <c r="J16" s="11" t="str">
        <f aca="false">IF($P16="Yes",IF($Q16&lt;DATE(2027,3,1),"PS-AC-FRZ v1","PS-AC-FRZ v2"),"")</f>
        <v>PS-AC-FRZ v2</v>
      </c>
      <c r="K16" s="11" t="s">
        <v>65</v>
      </c>
      <c r="L16" s="13" t="n">
        <v>65</v>
      </c>
      <c r="M16" s="14" t="n">
        <f aca="false">IF($P16="Yes",IF($Q16&lt;DATE(2027,3,1),SUMIF($AB$5:$AB$7,$E16,$AC$5:$AC$7),SUMIF($AB$5:$AB$7,$E16,$AD$5:$AD$7)),"")</f>
        <v>66.25</v>
      </c>
      <c r="N16" s="11" t="s">
        <v>108</v>
      </c>
      <c r="O16" s="11" t="s">
        <v>129</v>
      </c>
      <c r="P16" s="11" t="s">
        <v>67</v>
      </c>
      <c r="Q16" s="12" t="n">
        <f aca="false">IF($P16="Yes",IF($K16="Cancelled",IF(Cancellation_Reading="Order-date / lost demand",$H16,$I16),$I16),"")</f>
        <v>46463</v>
      </c>
      <c r="R16" s="13" t="n">
        <f aca="false">IF($P16="Yes",IF($K16="Cancelled",-$L16,$L16),0)</f>
        <v>65</v>
      </c>
      <c r="S16" s="14" t="n">
        <f aca="false">IF($P16="Yes",SUMIF($AF$5:$AF$7,$E16,$AG$5:$AG$7),"")</f>
        <v>44.625</v>
      </c>
      <c r="T16" s="14" t="n">
        <f aca="false">IF($P16="Yes",$R16*$M16,0)</f>
        <v>4306.25</v>
      </c>
      <c r="U16" s="14" t="n">
        <f aca="false">IF($P16="Yes",$T16-($R16*$S16),0)</f>
        <v>1405.625</v>
      </c>
      <c r="V16" s="11" t="str">
        <f aca="false">IF($P16="Yes",TEXT($Q16,"mmm-yyyy"),"")</f>
        <v>Mar-2027</v>
      </c>
      <c r="W16" s="11" t="s">
        <v>96</v>
      </c>
      <c r="X16" s="11" t="s">
        <v>131</v>
      </c>
      <c r="Y16" s="11" t="s">
        <v>132</v>
      </c>
      <c r="Z16" s="11" t="s">
        <v>133</v>
      </c>
      <c r="AA16" s="11" t="s">
        <v>134</v>
      </c>
    </row>
    <row r="17" customFormat="false" ht="15" hidden="false" customHeight="false" outlineLevel="0" collapsed="false">
      <c r="A17" s="11" t="s">
        <v>135</v>
      </c>
      <c r="B17" s="11" t="s">
        <v>60</v>
      </c>
      <c r="C17" s="11" t="s">
        <v>61</v>
      </c>
      <c r="D17" s="11" t="s">
        <v>62</v>
      </c>
      <c r="E17" s="11" t="s">
        <v>80</v>
      </c>
      <c r="F17" s="11" t="s">
        <v>86</v>
      </c>
      <c r="G17" s="11" t="s">
        <v>136</v>
      </c>
      <c r="H17" s="12" t="n">
        <v>46438</v>
      </c>
      <c r="I17" s="12" t="n">
        <v>46466</v>
      </c>
      <c r="J17" s="11" t="str">
        <f aca="false">IF($P17="Yes",IF($Q17&lt;DATE(2027,3,1),"PS-AC-FRZ v1","PS-AC-FRZ v2"),"")</f>
        <v>PS-AC-FRZ v2</v>
      </c>
      <c r="K17" s="11" t="s">
        <v>65</v>
      </c>
      <c r="L17" s="13" t="n">
        <v>120</v>
      </c>
      <c r="M17" s="14" t="n">
        <f aca="false">IF($P17="Yes",IF($Q17&lt;DATE(2027,3,1),SUMIF($AB$5:$AB$7,$E17,$AC$5:$AC$7),SUMIF($AB$5:$AB$7,$E17,$AD$5:$AD$7)),"")</f>
        <v>28.15</v>
      </c>
      <c r="N17" s="11" t="s">
        <v>66</v>
      </c>
      <c r="O17" s="11" t="s">
        <v>135</v>
      </c>
      <c r="P17" s="11" t="s">
        <v>67</v>
      </c>
      <c r="Q17" s="12" t="n">
        <f aca="false">IF($P17="Yes",IF($K17="Cancelled",IF(Cancellation_Reading="Order-date / lost demand",$H17,$I17),$I17),"")</f>
        <v>46466</v>
      </c>
      <c r="R17" s="13" t="n">
        <f aca="false">IF($P17="Yes",IF($K17="Cancelled",-$L17,$L17),0)</f>
        <v>120</v>
      </c>
      <c r="S17" s="14" t="n">
        <f aca="false">IF($P17="Yes",SUMIF($AF$5:$AF$7,$E17,$AG$5:$AG$7),"")</f>
        <v>17.825</v>
      </c>
      <c r="T17" s="14" t="n">
        <f aca="false">IF($P17="Yes",$R17*$M17,0)</f>
        <v>3378</v>
      </c>
      <c r="U17" s="14" t="n">
        <f aca="false">IF($P17="Yes",$T17-($R17*$S17),0)</f>
        <v>1239</v>
      </c>
      <c r="V17" s="11" t="str">
        <f aca="false">IF($P17="Yes",TEXT($Q17,"mmm-yyyy"),"")</f>
        <v>Mar-2027</v>
      </c>
      <c r="W17" s="11" t="s">
        <v>60</v>
      </c>
      <c r="X17" s="11" t="s">
        <v>137</v>
      </c>
      <c r="Y17" s="15" t="n">
        <v>46438</v>
      </c>
      <c r="Z17" s="15" t="n">
        <v>46466</v>
      </c>
      <c r="AA17" s="11" t="n">
        <v>120</v>
      </c>
    </row>
    <row r="18" customFormat="false" ht="28.35" hidden="false" customHeight="false" outlineLevel="0" collapsed="false">
      <c r="A18" s="11" t="s">
        <v>138</v>
      </c>
      <c r="B18" s="11" t="s">
        <v>60</v>
      </c>
      <c r="C18" s="11" t="s">
        <v>61</v>
      </c>
      <c r="D18" s="11" t="s">
        <v>62</v>
      </c>
      <c r="E18" s="11" t="s">
        <v>80</v>
      </c>
      <c r="F18" s="11" t="s">
        <v>86</v>
      </c>
      <c r="G18" s="11" t="s">
        <v>136</v>
      </c>
      <c r="H18" s="12" t="n">
        <v>46438</v>
      </c>
      <c r="I18" s="12" t="n">
        <v>46466</v>
      </c>
      <c r="J18" s="11" t="str">
        <f aca="false">IF($P18="Yes",IF($Q18&lt;DATE(2027,3,1),"PS-AC-FRZ v1","PS-AC-FRZ v2"),"")</f>
        <v/>
      </c>
      <c r="K18" s="11" t="s">
        <v>65</v>
      </c>
      <c r="L18" s="13" t="n">
        <v>120</v>
      </c>
      <c r="M18" s="14" t="str">
        <f aca="false">IF($P18="Yes",IF($Q18&lt;DATE(2027,3,1),SUMIF($AB$5:$AB$7,$E18,$AC$5:$AC$7),SUMIF($AB$5:$AB$7,$E18,$AD$5:$AD$7)),"")</f>
        <v/>
      </c>
      <c r="N18" s="11" t="s">
        <v>139</v>
      </c>
      <c r="O18" s="11" t="s">
        <v>140</v>
      </c>
      <c r="P18" s="11" t="s">
        <v>84</v>
      </c>
      <c r="Q18" s="12" t="str">
        <f aca="false">IF($P18="Yes",IF($K18="Cancelled",IF(Cancellation_Reading="Order-date / lost demand",$H18,$I18),$I18),"")</f>
        <v/>
      </c>
      <c r="R18" s="13" t="n">
        <f aca="false">IF($P18="Yes",IF($K18="Cancelled",-$L18,$L18),0)</f>
        <v>0</v>
      </c>
      <c r="S18" s="14" t="str">
        <f aca="false">IF($P18="Yes",SUMIF($AF$5:$AF$7,$E18,$AG$5:$AG$7),"")</f>
        <v/>
      </c>
      <c r="T18" s="14" t="n">
        <f aca="false">IF($P18="Yes",$R18*$M18,0)</f>
        <v>0</v>
      </c>
      <c r="U18" s="14" t="n">
        <f aca="false">IF($P18="Yes",$T18-($R18*$S18),0)</f>
        <v>0</v>
      </c>
      <c r="V18" s="11" t="str">
        <f aca="false">IF($P18="Yes",TEXT($Q18,"mmm-yyyy"),"")</f>
        <v/>
      </c>
      <c r="W18" s="11" t="s">
        <v>60</v>
      </c>
      <c r="X18" s="11" t="s">
        <v>137</v>
      </c>
      <c r="Y18" s="15" t="n">
        <v>46438</v>
      </c>
      <c r="Z18" s="15" t="n">
        <v>46466</v>
      </c>
      <c r="AA18" s="11" t="n">
        <v>120</v>
      </c>
    </row>
    <row r="19" customFormat="false" ht="41.75" hidden="false" customHeight="false" outlineLevel="0" collapsed="false">
      <c r="A19" s="11" t="s">
        <v>141</v>
      </c>
      <c r="B19" s="11" t="s">
        <v>60</v>
      </c>
      <c r="C19" s="11" t="s">
        <v>71</v>
      </c>
      <c r="D19" s="11" t="s">
        <v>72</v>
      </c>
      <c r="E19" s="11" t="s">
        <v>80</v>
      </c>
      <c r="F19" s="11" t="s">
        <v>86</v>
      </c>
      <c r="G19" s="11" t="s">
        <v>142</v>
      </c>
      <c r="H19" s="12" t="n">
        <v>46439</v>
      </c>
      <c r="I19" s="12" t="n">
        <v>46470</v>
      </c>
      <c r="J19" s="11" t="str">
        <f aca="false">IF($P19="Yes",IF($Q19&lt;DATE(2027,3,1),"PS-AC-FRZ v1","PS-AC-FRZ v2"),"")</f>
        <v>PS-AC-FRZ v2</v>
      </c>
      <c r="K19" s="11" t="s">
        <v>65</v>
      </c>
      <c r="L19" s="13" t="n">
        <v>80</v>
      </c>
      <c r="M19" s="14" t="n">
        <f aca="false">IF($P19="Yes",IF($Q19&lt;DATE(2027,3,1),SUMIF($AB$5:$AB$7,$E19,$AC$5:$AC$7),SUMIF($AB$5:$AB$7,$E19,$AD$5:$AD$7)),"")</f>
        <v>28.15</v>
      </c>
      <c r="N19" s="11" t="s">
        <v>88</v>
      </c>
      <c r="O19" s="11" t="s">
        <v>141</v>
      </c>
      <c r="P19" s="11" t="s">
        <v>67</v>
      </c>
      <c r="Q19" s="12" t="n">
        <f aca="false">IF($P19="Yes",IF($K19="Cancelled",IF(Cancellation_Reading="Order-date / lost demand",$H19,$I19),$I19),"")</f>
        <v>46470</v>
      </c>
      <c r="R19" s="13" t="n">
        <f aca="false">IF($P19="Yes",IF($K19="Cancelled",-$L19,$L19),0)</f>
        <v>80</v>
      </c>
      <c r="S19" s="14" t="n">
        <f aca="false">IF($P19="Yes",SUMIF($AF$5:$AF$7,$E19,$AG$5:$AG$7),"")</f>
        <v>17.825</v>
      </c>
      <c r="T19" s="14" t="n">
        <f aca="false">IF($P19="Yes",$R19*$M19,0)</f>
        <v>2252</v>
      </c>
      <c r="U19" s="14" t="n">
        <f aca="false">IF($P19="Yes",$T19-($R19*$S19),0)</f>
        <v>826</v>
      </c>
      <c r="V19" s="11" t="str">
        <f aca="false">IF($P19="Yes",TEXT($Q19,"mmm-yyyy"),"")</f>
        <v>Mar-2027</v>
      </c>
      <c r="W19" s="11" t="s">
        <v>89</v>
      </c>
      <c r="X19" s="11" t="s">
        <v>143</v>
      </c>
      <c r="Y19" s="11" t="s">
        <v>144</v>
      </c>
      <c r="Z19" s="11" t="s">
        <v>145</v>
      </c>
      <c r="AA19" s="11" t="n">
        <v>80</v>
      </c>
    </row>
    <row r="20" customFormat="false" ht="28.35" hidden="false" customHeight="false" outlineLevel="0" collapsed="false">
      <c r="A20" s="11" t="s">
        <v>146</v>
      </c>
      <c r="B20" s="11" t="s">
        <v>60</v>
      </c>
      <c r="C20" s="11" t="s">
        <v>61</v>
      </c>
      <c r="D20" s="11" t="s">
        <v>62</v>
      </c>
      <c r="E20" s="11" t="s">
        <v>58</v>
      </c>
      <c r="F20" s="11" t="s">
        <v>63</v>
      </c>
      <c r="G20" s="11" t="s">
        <v>147</v>
      </c>
      <c r="H20" s="12" t="n">
        <v>46440</v>
      </c>
      <c r="I20" s="12" t="n">
        <v>46441</v>
      </c>
      <c r="J20" s="11" t="str">
        <f aca="false">IF($P20="Yes",IF($Q20&lt;DATE(2027,3,1),"PS-AC-FRZ v1","PS-AC-FRZ v2"),"")</f>
        <v/>
      </c>
      <c r="K20" s="11" t="s">
        <v>148</v>
      </c>
      <c r="L20" s="13" t="n">
        <v>6</v>
      </c>
      <c r="M20" s="14" t="str">
        <f aca="false">IF($P20="Yes",IF($Q20&lt;DATE(2027,3,1),SUMIF($AB$5:$AB$7,$E20,$AC$5:$AC$7),SUMIF($AB$5:$AB$7,$E20,$AD$5:$AD$7)),"")</f>
        <v/>
      </c>
      <c r="N20" s="11" t="s">
        <v>149</v>
      </c>
      <c r="O20" s="11" t="s">
        <v>146</v>
      </c>
      <c r="P20" s="11" t="s">
        <v>150</v>
      </c>
      <c r="Q20" s="12" t="str">
        <f aca="false">IF($P20="Yes",IF($K20="Cancelled",IF(Cancellation_Reading="Order-date / lost demand",$H20,$I20),$I20),"")</f>
        <v/>
      </c>
      <c r="R20" s="13" t="n">
        <f aca="false">IF($P20="Yes",IF($K20="Cancelled",-$L20,$L20),0)</f>
        <v>0</v>
      </c>
      <c r="S20" s="14" t="str">
        <f aca="false">IF($P20="Yes",SUMIF($AF$5:$AF$7,$E20,$AG$5:$AG$7),"")</f>
        <v/>
      </c>
      <c r="T20" s="14" t="n">
        <f aca="false">IF($P20="Yes",$R20*$M20,0)</f>
        <v>0</v>
      </c>
      <c r="U20" s="14" t="n">
        <f aca="false">IF($P20="Yes",$T20-($R20*$S20),0)</f>
        <v>0</v>
      </c>
      <c r="V20" s="11" t="str">
        <f aca="false">IF($P20="Yes",TEXT($Q20,"mmm-yyyy"),"")</f>
        <v/>
      </c>
      <c r="W20" s="11" t="s">
        <v>60</v>
      </c>
      <c r="X20" s="11" t="s">
        <v>151</v>
      </c>
      <c r="Y20" s="15" t="n">
        <v>46440</v>
      </c>
      <c r="Z20" s="15" t="n">
        <v>46441</v>
      </c>
      <c r="AA20" s="11" t="s">
        <v>152</v>
      </c>
    </row>
    <row r="21" customFormat="false" ht="15" hidden="false" customHeight="false" outlineLevel="0" collapsed="false">
      <c r="A21" s="11" t="s">
        <v>153</v>
      </c>
      <c r="B21" s="11" t="s">
        <v>60</v>
      </c>
      <c r="C21" s="11" t="s">
        <v>71</v>
      </c>
      <c r="D21" s="11" t="s">
        <v>72</v>
      </c>
      <c r="E21" s="11" t="s">
        <v>154</v>
      </c>
      <c r="F21" s="11" t="s">
        <v>155</v>
      </c>
      <c r="G21" s="11" t="s">
        <v>156</v>
      </c>
      <c r="H21" s="12" t="n">
        <v>46441</v>
      </c>
      <c r="I21" s="12" t="n">
        <v>46468</v>
      </c>
      <c r="J21" s="11" t="str">
        <f aca="false">IF($P21="Yes",IF($Q21&lt;DATE(2027,3,1),"PS-AC-FRZ v1","PS-AC-FRZ v2"),"")</f>
        <v/>
      </c>
      <c r="K21" s="11" t="s">
        <v>65</v>
      </c>
      <c r="L21" s="13" t="n">
        <v>20</v>
      </c>
      <c r="M21" s="14" t="str">
        <f aca="false">IF($P21="Yes",IF($Q21&lt;DATE(2027,3,1),SUMIF($AB$5:$AB$7,$E21,$AC$5:$AC$7),SUMIF($AB$5:$AB$7,$E21,$AD$5:$AD$7)),"")</f>
        <v/>
      </c>
      <c r="N21" s="11" t="s">
        <v>157</v>
      </c>
      <c r="O21" s="11" t="s">
        <v>153</v>
      </c>
      <c r="P21" s="11" t="s">
        <v>158</v>
      </c>
      <c r="Q21" s="12" t="str">
        <f aca="false">IF($P21="Yes",IF($K21="Cancelled",IF(Cancellation_Reading="Order-date / lost demand",$H21,$I21),$I21),"")</f>
        <v/>
      </c>
      <c r="R21" s="13" t="n">
        <f aca="false">IF($P21="Yes",IF($K21="Cancelled",-$L21,$L21),0)</f>
        <v>0</v>
      </c>
      <c r="S21" s="14" t="str">
        <f aca="false">IF($P21="Yes",SUMIF($AF$5:$AF$7,$E21,$AG$5:$AG$7),"")</f>
        <v/>
      </c>
      <c r="T21" s="14" t="n">
        <f aca="false">IF($P21="Yes",$R21*$M21,0)</f>
        <v>0</v>
      </c>
      <c r="U21" s="14" t="n">
        <f aca="false">IF($P21="Yes",$T21-($R21*$S21),0)</f>
        <v>0</v>
      </c>
      <c r="V21" s="11" t="str">
        <f aca="false">IF($P21="Yes",TEXT($Q21,"mmm-yyyy"),"")</f>
        <v/>
      </c>
      <c r="W21" s="11" t="s">
        <v>60</v>
      </c>
      <c r="X21" s="11" t="s">
        <v>155</v>
      </c>
      <c r="Y21" s="15" t="n">
        <v>46441</v>
      </c>
      <c r="Z21" s="15" t="n">
        <v>46468</v>
      </c>
      <c r="AA21" s="11" t="n">
        <v>20</v>
      </c>
    </row>
    <row r="22" customFormat="false" ht="28.35" hidden="false" customHeight="false" outlineLevel="0" collapsed="false">
      <c r="A22" s="11" t="s">
        <v>159</v>
      </c>
      <c r="B22" s="11" t="s">
        <v>160</v>
      </c>
      <c r="C22" s="11" t="s">
        <v>61</v>
      </c>
      <c r="D22" s="11" t="s">
        <v>62</v>
      </c>
      <c r="E22" s="11" t="s">
        <v>58</v>
      </c>
      <c r="F22" s="11" t="s">
        <v>63</v>
      </c>
      <c r="G22" s="11" t="s">
        <v>161</v>
      </c>
      <c r="H22" s="12" t="n">
        <v>46442</v>
      </c>
      <c r="I22" s="12" t="n">
        <v>46458</v>
      </c>
      <c r="J22" s="11" t="str">
        <f aca="false">IF($P22="Yes",IF($Q22&lt;DATE(2027,3,1),"PS-AC-FRZ v1","PS-AC-FRZ v2"),"")</f>
        <v/>
      </c>
      <c r="K22" s="11" t="s">
        <v>65</v>
      </c>
      <c r="L22" s="13" t="n">
        <v>70</v>
      </c>
      <c r="M22" s="14" t="str">
        <f aca="false">IF($P22="Yes",IF($Q22&lt;DATE(2027,3,1),SUMIF($AB$5:$AB$7,$E22,$AC$5:$AC$7),SUMIF($AB$5:$AB$7,$E22,$AD$5:$AD$7)),"")</f>
        <v/>
      </c>
      <c r="N22" s="11" t="s">
        <v>162</v>
      </c>
      <c r="O22" s="11" t="s">
        <v>159</v>
      </c>
      <c r="P22" s="11" t="s">
        <v>163</v>
      </c>
      <c r="Q22" s="12" t="str">
        <f aca="false">IF($P22="Yes",IF($K22="Cancelled",IF(Cancellation_Reading="Order-date / lost demand",$H22,$I22),$I22),"")</f>
        <v/>
      </c>
      <c r="R22" s="13" t="n">
        <f aca="false">IF($P22="Yes",IF($K22="Cancelled",-$L22,$L22),0)</f>
        <v>0</v>
      </c>
      <c r="S22" s="14" t="str">
        <f aca="false">IF($P22="Yes",SUMIF($AF$5:$AF$7,$E22,$AG$5:$AG$7),"")</f>
        <v/>
      </c>
      <c r="T22" s="14" t="n">
        <f aca="false">IF($P22="Yes",$R22*$M22,0)</f>
        <v>0</v>
      </c>
      <c r="U22" s="14" t="n">
        <f aca="false">IF($P22="Yes",$T22-($R22*$S22),0)</f>
        <v>0</v>
      </c>
      <c r="V22" s="11" t="str">
        <f aca="false">IF($P22="Yes",TEXT($Q22,"mmm-yyyy"),"")</f>
        <v/>
      </c>
      <c r="W22" s="11" t="s">
        <v>160</v>
      </c>
      <c r="X22" s="11" t="s">
        <v>68</v>
      </c>
      <c r="Y22" s="15" t="n">
        <v>46442</v>
      </c>
      <c r="Z22" s="15" t="n">
        <v>46458</v>
      </c>
      <c r="AA22" s="11" t="n">
        <v>70</v>
      </c>
    </row>
    <row r="23" customFormat="false" ht="15" hidden="false" customHeight="false" outlineLevel="0" collapsed="false">
      <c r="A23" s="11" t="s">
        <v>164</v>
      </c>
      <c r="B23" s="11" t="s">
        <v>60</v>
      </c>
      <c r="C23" s="11" t="s">
        <v>61</v>
      </c>
      <c r="D23" s="11" t="s">
        <v>62</v>
      </c>
      <c r="E23" s="11" t="s">
        <v>69</v>
      </c>
      <c r="F23" s="11" t="s">
        <v>73</v>
      </c>
      <c r="G23" s="11" t="s">
        <v>165</v>
      </c>
      <c r="H23" s="12" t="n">
        <v>46443</v>
      </c>
      <c r="I23" s="12" t="n">
        <v>46464</v>
      </c>
      <c r="J23" s="11" t="str">
        <f aca="false">IF($P23="Yes",IF($Q23&lt;DATE(2027,3,1),"PS-AC-FRZ v1","PS-AC-FRZ v2"),"")</f>
        <v>PS-AC-FRZ v2</v>
      </c>
      <c r="K23" s="11" t="s">
        <v>65</v>
      </c>
      <c r="L23" s="13" t="n">
        <v>55</v>
      </c>
      <c r="M23" s="14" t="n">
        <f aca="false">IF($P23="Yes",IF($Q23&lt;DATE(2027,3,1),SUMIF($AB$5:$AB$7,$E23,$AC$5:$AC$7),SUMIF($AB$5:$AB$7,$E23,$AD$5:$AD$7)),"")</f>
        <v>66.25</v>
      </c>
      <c r="N23" s="11" t="s">
        <v>166</v>
      </c>
      <c r="O23" s="11" t="s">
        <v>164</v>
      </c>
      <c r="P23" s="11" t="s">
        <v>67</v>
      </c>
      <c r="Q23" s="12" t="n">
        <f aca="false">IF($P23="Yes",IF($K23="Cancelled",IF(Cancellation_Reading="Order-date / lost demand",$H23,$I23),$I23),"")</f>
        <v>46464</v>
      </c>
      <c r="R23" s="13" t="n">
        <f aca="false">IF($P23="Yes",IF($K23="Cancelled",-$L23,$L23),0)</f>
        <v>55</v>
      </c>
      <c r="S23" s="14" t="n">
        <f aca="false">IF($P23="Yes",SUMIF($AF$5:$AF$7,$E23,$AG$5:$AG$7),"")</f>
        <v>44.625</v>
      </c>
      <c r="T23" s="14" t="n">
        <f aca="false">IF($P23="Yes",$R23*$M23,0)</f>
        <v>3643.75</v>
      </c>
      <c r="U23" s="14" t="n">
        <f aca="false">IF($P23="Yes",$T23-($R23*$S23),0)</f>
        <v>1189.375</v>
      </c>
      <c r="V23" s="11" t="str">
        <f aca="false">IF($P23="Yes",TEXT($Q23,"mmm-yyyy"),"")</f>
        <v>Mar-2027</v>
      </c>
      <c r="W23" s="11" t="s">
        <v>60</v>
      </c>
      <c r="X23" s="11" t="s">
        <v>76</v>
      </c>
      <c r="Y23" s="11" t="s">
        <v>167</v>
      </c>
      <c r="Z23" s="15" t="n">
        <v>46464</v>
      </c>
      <c r="AA23" s="11" t="n">
        <v>55</v>
      </c>
    </row>
    <row r="24" customFormat="false" ht="28.35" hidden="false" customHeight="false" outlineLevel="0" collapsed="false">
      <c r="A24" s="11" t="s">
        <v>168</v>
      </c>
      <c r="B24" s="11" t="s">
        <v>60</v>
      </c>
      <c r="C24" s="11" t="s">
        <v>71</v>
      </c>
      <c r="D24" s="11" t="s">
        <v>72</v>
      </c>
      <c r="E24" s="11" t="s">
        <v>58</v>
      </c>
      <c r="F24" s="11" t="s">
        <v>63</v>
      </c>
      <c r="G24" s="11" t="s">
        <v>169</v>
      </c>
      <c r="H24" s="12" t="n">
        <v>46444</v>
      </c>
      <c r="I24" s="12" t="n">
        <v>46472</v>
      </c>
      <c r="J24" s="11" t="str">
        <f aca="false">IF($P24="Yes",IF($Q24&lt;DATE(2027,3,1),"PS-AC-FRZ v1","PS-AC-FRZ v2"),"")</f>
        <v>PS-AC-FRZ v2</v>
      </c>
      <c r="K24" s="11" t="s">
        <v>65</v>
      </c>
      <c r="L24" s="13" t="n">
        <v>40</v>
      </c>
      <c r="M24" s="14" t="n">
        <f aca="false">IF($P24="Yes",IF($Q24&lt;DATE(2027,3,1),SUMIF($AB$5:$AB$7,$E24,$AC$5:$AC$7),SUMIF($AB$5:$AB$7,$E24,$AD$5:$AD$7)),"")</f>
        <v>75.1</v>
      </c>
      <c r="N24" s="11" t="s">
        <v>170</v>
      </c>
      <c r="O24" s="11" t="s">
        <v>168</v>
      </c>
      <c r="P24" s="11" t="s">
        <v>67</v>
      </c>
      <c r="Q24" s="12" t="n">
        <f aca="false">IF($P24="Yes",IF($K24="Cancelled",IF(Cancellation_Reading="Order-date / lost demand",$H24,$I24),$I24),"")</f>
        <v>46472</v>
      </c>
      <c r="R24" s="13" t="n">
        <f aca="false">IF($P24="Yes",IF($K24="Cancelled",-$L24,$L24),0)</f>
        <v>40</v>
      </c>
      <c r="S24" s="14" t="n">
        <f aca="false">IF($P24="Yes",SUMIF($AF$5:$AF$7,$E24,$AG$5:$AG$7),"")</f>
        <v>49.375</v>
      </c>
      <c r="T24" s="14" t="n">
        <f aca="false">IF($P24="Yes",$R24*$M24,0)</f>
        <v>3004</v>
      </c>
      <c r="U24" s="14" t="n">
        <f aca="false">IF($P24="Yes",$T24-($R24*$S24),0)</f>
        <v>1029</v>
      </c>
      <c r="V24" s="11" t="str">
        <f aca="false">IF($P24="Yes",TEXT($Q24,"mmm-yyyy"),"")</f>
        <v>Mar-2027</v>
      </c>
      <c r="W24" s="11" t="s">
        <v>60</v>
      </c>
      <c r="X24" s="11" t="s">
        <v>171</v>
      </c>
      <c r="Y24" s="15" t="n">
        <v>46444</v>
      </c>
      <c r="Z24" s="11" t="s">
        <v>172</v>
      </c>
      <c r="AA24" s="11" t="s">
        <v>173</v>
      </c>
    </row>
    <row r="25" customFormat="false" ht="15" hidden="false" customHeight="false" outlineLevel="0" collapsed="false">
      <c r="A25" s="11" t="s">
        <v>174</v>
      </c>
      <c r="B25" s="11" t="s">
        <v>60</v>
      </c>
      <c r="C25" s="11" t="s">
        <v>61</v>
      </c>
      <c r="D25" s="11" t="s">
        <v>62</v>
      </c>
      <c r="E25" s="11" t="s">
        <v>80</v>
      </c>
      <c r="F25" s="11" t="s">
        <v>86</v>
      </c>
      <c r="G25" s="11" t="s">
        <v>175</v>
      </c>
      <c r="H25" s="12" t="n">
        <v>46445</v>
      </c>
      <c r="I25" s="12" t="n">
        <v>46474</v>
      </c>
      <c r="J25" s="11" t="str">
        <f aca="false">IF($P25="Yes",IF($Q25&lt;DATE(2027,3,1),"PS-AC-FRZ v1","PS-AC-FRZ v2"),"")</f>
        <v>PS-AC-FRZ v2</v>
      </c>
      <c r="K25" s="11" t="s">
        <v>65</v>
      </c>
      <c r="L25" s="13" t="n">
        <v>35</v>
      </c>
      <c r="M25" s="14" t="n">
        <f aca="false">IF($P25="Yes",IF($Q25&lt;DATE(2027,3,1),SUMIF($AB$5:$AB$7,$E25,$AC$5:$AC$7),SUMIF($AB$5:$AB$7,$E25,$AD$5:$AD$7)),"")</f>
        <v>28.15</v>
      </c>
      <c r="N25" s="11" t="s">
        <v>66</v>
      </c>
      <c r="O25" s="11" t="s">
        <v>174</v>
      </c>
      <c r="P25" s="11" t="s">
        <v>67</v>
      </c>
      <c r="Q25" s="12" t="n">
        <f aca="false">IF($P25="Yes",IF($K25="Cancelled",IF(Cancellation_Reading="Order-date / lost demand",$H25,$I25),$I25),"")</f>
        <v>46474</v>
      </c>
      <c r="R25" s="13" t="n">
        <f aca="false">IF($P25="Yes",IF($K25="Cancelled",-$L25,$L25),0)</f>
        <v>35</v>
      </c>
      <c r="S25" s="14" t="n">
        <f aca="false">IF($P25="Yes",SUMIF($AF$5:$AF$7,$E25,$AG$5:$AG$7),"")</f>
        <v>17.825</v>
      </c>
      <c r="T25" s="14" t="n">
        <f aca="false">IF($P25="Yes",$R25*$M25,0)</f>
        <v>985.25</v>
      </c>
      <c r="U25" s="14" t="n">
        <f aca="false">IF($P25="Yes",$T25-($R25*$S25),0)</f>
        <v>361.375</v>
      </c>
      <c r="V25" s="11" t="str">
        <f aca="false">IF($P25="Yes",TEXT($Q25,"mmm-yyyy"),"")</f>
        <v>Mar-2027</v>
      </c>
      <c r="W25" s="11" t="s">
        <v>60</v>
      </c>
      <c r="X25" s="11" t="s">
        <v>137</v>
      </c>
      <c r="Y25" s="15" t="n">
        <v>46445</v>
      </c>
      <c r="Z25" s="15" t="n">
        <v>46474</v>
      </c>
      <c r="AA25" s="11" t="n">
        <v>35</v>
      </c>
    </row>
    <row r="26" customFormat="false" ht="28.35" hidden="false" customHeight="false" outlineLevel="0" collapsed="false">
      <c r="A26" s="11" t="s">
        <v>176</v>
      </c>
      <c r="B26" s="11" t="s">
        <v>60</v>
      </c>
      <c r="C26" s="11" t="s">
        <v>61</v>
      </c>
      <c r="D26" s="11" t="s">
        <v>62</v>
      </c>
      <c r="E26" s="11" t="s">
        <v>58</v>
      </c>
      <c r="F26" s="11" t="s">
        <v>63</v>
      </c>
      <c r="G26" s="11" t="s">
        <v>177</v>
      </c>
      <c r="H26" s="12" t="n">
        <v>46438</v>
      </c>
      <c r="I26" s="12" t="n">
        <v>46477</v>
      </c>
      <c r="J26" s="11" t="str">
        <f aca="false">IF($P26="Yes",IF($Q26&lt;DATE(2027,3,1),"PS-AC-FRZ v1","PS-AC-FRZ v2"),"")</f>
        <v>PS-AC-FRZ v2</v>
      </c>
      <c r="K26" s="11" t="s">
        <v>178</v>
      </c>
      <c r="L26" s="13" t="n">
        <v>70</v>
      </c>
      <c r="M26" s="14" t="n">
        <f aca="false">IF($P26="Yes",IF($Q26&lt;DATE(2027,3,1),SUMIF($AB$5:$AB$7,$E26,$AC$5:$AC$7),SUMIF($AB$5:$AB$7,$E26,$AD$5:$AD$7)),"")</f>
        <v>75.1</v>
      </c>
      <c r="N26" s="11" t="s">
        <v>75</v>
      </c>
      <c r="O26" s="11" t="s">
        <v>176</v>
      </c>
      <c r="P26" s="11" t="s">
        <v>67</v>
      </c>
      <c r="Q26" s="12" t="n">
        <f aca="false">IF($P26="Yes",IF($K26="Cancelled",IF(Cancellation_Reading="Order-date / lost demand",$H26,$I26),$I26),"")</f>
        <v>46477</v>
      </c>
      <c r="R26" s="13" t="n">
        <f aca="false">IF($P26="Yes",IF($K26="Cancelled",-$L26,$L26),0)</f>
        <v>-70</v>
      </c>
      <c r="S26" s="14" t="n">
        <f aca="false">IF($P26="Yes",SUMIF($AF$5:$AF$7,$E26,$AG$5:$AG$7),"")</f>
        <v>49.375</v>
      </c>
      <c r="T26" s="14" t="n">
        <f aca="false">IF($P26="Yes",$R26*$M26,0)</f>
        <v>-5257</v>
      </c>
      <c r="U26" s="14" t="n">
        <f aca="false">IF($P26="Yes",$T26-($R26*$S26),0)</f>
        <v>-1800.75</v>
      </c>
      <c r="V26" s="11" t="str">
        <f aca="false">IF($P26="Yes",TEXT($Q26,"mmm-yyyy"),"")</f>
        <v>Mar-2027</v>
      </c>
      <c r="W26" s="11" t="s">
        <v>60</v>
      </c>
      <c r="X26" s="11" t="s">
        <v>68</v>
      </c>
      <c r="Y26" s="11" t="s">
        <v>179</v>
      </c>
      <c r="Z26" s="11" t="s">
        <v>180</v>
      </c>
      <c r="AA26" s="11" t="s">
        <v>181</v>
      </c>
    </row>
  </sheetData>
  <sheetProtection sheet="true" formatCells="false" formatColumns="false" formatRows="false" insertColumns="false" insertRows="false" deleteColumns="false" deleteRows="false" sort="false" autoFilter="false" selectUnlockedCells="true"/>
  <mergeCells count="2">
    <mergeCell ref="A1:AG1"/>
    <mergeCell ref="A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8" min="6" style="0" width="13"/>
  </cols>
  <sheetData>
    <row r="1" customFormat="false" ht="24.7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6" t="s">
        <v>183</v>
      </c>
      <c r="B3" s="8" t="s">
        <v>15</v>
      </c>
      <c r="C3" s="17" t="s">
        <v>184</v>
      </c>
    </row>
    <row r="5" customFormat="false" ht="24" hidden="false" customHeight="true" outlineLevel="0" collapsed="false">
      <c r="B5" s="16" t="s">
        <v>185</v>
      </c>
      <c r="C5" s="18" t="str">
        <f aca="false">IF(Cancellation_Reading="Scheduled-delivery / one-week shift","Scheduled delivery on 31 March falls in PS-AC-FRZ v2. The 26 February wording says the requirement was revised one week later, so the 70-case cancellation is removed from March at v2 and carried into April as timing; demand is not treated as lost.","The 20 February order falls in PS-AC-FRZ v1. With no replacement call-off at cut-off, the 70-case cancellation is recorded against February as lost demand; no April volume is added.")</f>
        <v>Scheduled delivery on 31 March falls in PS-AC-FRZ v2. The 26 February wording says the requirement was revised one week later, so the 70-case cancellation is removed from March at v2 and carried into April as timing; demand is not treated as lost.</v>
      </c>
      <c r="D5" s="18"/>
      <c r="E5" s="18"/>
      <c r="F5" s="18"/>
      <c r="G5" s="18"/>
      <c r="H5" s="18"/>
    </row>
    <row r="6" customFormat="false" ht="24" hidden="false" customHeight="true" outlineLevel="0" collapsed="false">
      <c r="C6" s="18"/>
      <c r="D6" s="18"/>
      <c r="E6" s="18"/>
      <c r="F6" s="18"/>
      <c r="G6" s="18"/>
      <c r="H6" s="18"/>
    </row>
    <row r="7" customFormat="false" ht="24" hidden="false" customHeight="true" outlineLevel="0" collapsed="false">
      <c r="C7" s="18"/>
      <c r="D7" s="18"/>
      <c r="E7" s="18"/>
      <c r="F7" s="18"/>
      <c r="G7" s="18"/>
      <c r="H7" s="18"/>
    </row>
    <row r="10" customFormat="false" ht="15" hidden="false" customHeight="false" outlineLevel="0" collapsed="false">
      <c r="A10" s="7" t="s">
        <v>186</v>
      </c>
      <c r="B10" s="7" t="s">
        <v>187</v>
      </c>
      <c r="C10" s="7" t="s">
        <v>188</v>
      </c>
      <c r="D10" s="7" t="s">
        <v>189</v>
      </c>
      <c r="E10" s="7" t="s">
        <v>190</v>
      </c>
    </row>
    <row r="11" customFormat="false" ht="15" hidden="false" customHeight="false" outlineLevel="0" collapsed="false">
      <c r="A11" s="19" t="s">
        <v>191</v>
      </c>
      <c r="B11" s="20" t="n">
        <f aca="false">SUMIFS('Source Data'!$R$6:$R$26,'Source Data'!$Q$6:$Q$26,"&gt;="&amp;DATE(2027,2,1),'Source Data'!$Q$6:$Q$26,"&lt;"&amp;DATE(2027,3,1))</f>
        <v>455</v>
      </c>
      <c r="C11" s="20" t="n">
        <f aca="false">SUMIFS('Source Data'!$R$6:$R$26,'Source Data'!$Q$6:$Q$26,"&gt;="&amp;DATE(2027,3,1),'Source Data'!$Q$6:$Q$26,"&lt;"&amp;DATE(2027,4,1))</f>
        <v>630</v>
      </c>
      <c r="D11" s="20" t="n">
        <f aca="false">C11-B11</f>
        <v>175</v>
      </c>
      <c r="E11" s="21" t="n">
        <f aca="false">IFERROR(D11/B11,0)</f>
        <v>0.384615384615385</v>
      </c>
    </row>
    <row r="12" customFormat="false" ht="15" hidden="false" customHeight="false" outlineLevel="0" collapsed="false">
      <c r="A12" s="19" t="s">
        <v>192</v>
      </c>
      <c r="B12" s="22" t="n">
        <f aca="false">SUMIFS('Source Data'!$T$6:$T$26,'Source Data'!$Q$6:$Q$26,"&gt;="&amp;DATE(2027,2,1),'Source Data'!$Q$6:$Q$26,"&lt;"&amp;DATE(2027,3,1))</f>
        <v>25427.25</v>
      </c>
      <c r="C12" s="22" t="n">
        <f aca="false">SUMIFS('Source Data'!$T$6:$T$26,'Source Data'!$Q$6:$Q$26,"&gt;="&amp;DATE(2027,3,1),'Source Data'!$Q$6:$Q$26,"&lt;"&amp;DATE(2027,4,1))</f>
        <v>34554</v>
      </c>
      <c r="D12" s="22" t="n">
        <f aca="false">C12-B12</f>
        <v>9126.75</v>
      </c>
      <c r="E12" s="21" t="n">
        <f aca="false">IFERROR(D12/B12,0)</f>
        <v>0.358935787393446</v>
      </c>
    </row>
    <row r="13" customFormat="false" ht="15" hidden="false" customHeight="false" outlineLevel="0" collapsed="false">
      <c r="A13" s="19" t="s">
        <v>193</v>
      </c>
      <c r="B13" s="22" t="n">
        <f aca="false">SUMIFS('Source Data'!$U$6:$U$26,'Source Data'!$Q$6:$Q$26,"&gt;="&amp;DATE(2027,2,1),'Source Data'!$Q$6:$Q$26,"&lt;"&amp;DATE(2027,3,1))</f>
        <v>8153.875</v>
      </c>
      <c r="C13" s="22" t="n">
        <f aca="false">SUMIFS('Source Data'!$U$6:$U$26,'Source Data'!$Q$6:$Q$26,"&gt;="&amp;DATE(2027,3,1),'Source Data'!$Q$6:$Q$26,"&lt;"&amp;DATE(2027,4,1))</f>
        <v>11788.25</v>
      </c>
      <c r="D13" s="22" t="n">
        <f aca="false">C13-B13</f>
        <v>3634.375</v>
      </c>
      <c r="E13" s="21" t="n">
        <f aca="false">IFERROR(D13/B13,0)</f>
        <v>0.445723658996489</v>
      </c>
    </row>
    <row r="16" customFormat="false" ht="15" hidden="false" customHeight="false" outlineLevel="0" collapsed="false">
      <c r="A16" s="16" t="s">
        <v>194</v>
      </c>
      <c r="B16" s="18" t="str">
        <f aca="false">IF(Cancellation_Reading="Scheduled-delivery / one-week shift","March is "&amp;TEXT(D11,"0.0")&amp;" cases and "&amp;TEXT(D13,"£#,##0")&amp;" margin versus February. The selected scheduled-delivery reading includes the 70-case Cod cancellation at v2 in March and carries that supported quantity into April. The remaining scheduled frozen line mix drives the comparison; no further demand or market cause is inferred.","March is "&amp;TEXT(D11,"0.0")&amp;" cases and "&amp;TEXT(D13,"£#,##0")&amp;" margin versus February. The selected order-date reading records the 70-case Cod cancellation in February at v1 as lost demand and adds no April replacement. The remaining scheduled frozen line mix drives the comparison; no further demand or market cause is inferred.")</f>
        <v>March is 175.0 cases and £3,634 margin versus February. The selected scheduled-delivery reading includes the 70-case Cod cancellation at v2 in March and carries that supported quantity into April. The remaining scheduled frozen line mix drives the comparison; no further demand or market cause is inferred.</v>
      </c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B17" s="18"/>
      <c r="C17" s="18"/>
      <c r="D17" s="18"/>
      <c r="E17" s="18"/>
      <c r="F17" s="18"/>
      <c r="G17" s="18"/>
      <c r="H17" s="18"/>
    </row>
    <row r="18" customFormat="false" ht="15" hidden="false" customHeight="false" outlineLevel="0" collapsed="false">
      <c r="B18" s="18"/>
      <c r="C18" s="18"/>
      <c r="D18" s="18"/>
      <c r="E18" s="18"/>
      <c r="F18" s="18"/>
      <c r="G18" s="18"/>
      <c r="H18" s="18"/>
    </row>
    <row r="19" customFormat="false" ht="15" hidden="false" customHeight="false" outlineLevel="0" collapsed="false">
      <c r="B19" s="18"/>
      <c r="C19" s="18"/>
      <c r="D19" s="18"/>
      <c r="E19" s="18"/>
      <c r="F19" s="18"/>
      <c r="G19" s="18"/>
      <c r="H19" s="18"/>
    </row>
    <row r="21" customFormat="false" ht="15" hidden="false" customHeight="false" outlineLevel="0" collapsed="false">
      <c r="A21" s="0" t="s">
        <v>195</v>
      </c>
      <c r="B21" s="0" t="s">
        <v>196</v>
      </c>
      <c r="D21" s="0" t="s">
        <v>197</v>
      </c>
      <c r="E21" s="0" t="s">
        <v>198</v>
      </c>
    </row>
  </sheetData>
  <sheetProtection sheet="true" formatCells="false" formatColumns="false" formatRows="false" insertColumns="false" insertRows="false" deleteColumns="false" deleteRows="false" sort="false" autoFilter="false" selectUnlockedCells="true"/>
  <mergeCells count="3">
    <mergeCell ref="A1:H1"/>
    <mergeCell ref="C5:H7"/>
    <mergeCell ref="B16:H19"/>
  </mergeCells>
  <dataValidations count="1">
    <dataValidation allowBlank="false" errorStyle="stop" operator="between" showDropDown="false" showErrorMessage="false" showInputMessage="false" sqref="C3" type="list">
      <formula1>"Order-date / lost demand,Scheduled-delivery / one-week shift"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"/>
    <col collapsed="false" customWidth="true" hidden="false" outlineLevel="0" max="4" min="3" style="0" width="15"/>
    <col collapsed="false" customWidth="true" hidden="false" outlineLevel="0" max="6" min="5" style="0" width="14"/>
    <col collapsed="false" customWidth="true" hidden="false" outlineLevel="0" max="8" min="7" style="0" width="15"/>
    <col collapsed="false" customWidth="true" hidden="false" outlineLevel="0" max="10" min="9" style="0" width="16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6" min="15" style="0" width="16"/>
    <col collapsed="false" customWidth="true" hidden="false" outlineLevel="0" max="17" min="17" style="0" width="17"/>
  </cols>
  <sheetData>
    <row r="1" customFormat="false" ht="24.75" hidden="false" customHeight="true" outlineLevel="0" collapsed="false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16" t="s">
        <v>200</v>
      </c>
      <c r="B3" s="17" t="s">
        <v>201</v>
      </c>
      <c r="J3" s="3" t="s">
        <v>202</v>
      </c>
    </row>
    <row r="4" customFormat="false" ht="15" hidden="false" customHeight="false" outlineLevel="0" collapsed="false">
      <c r="A4" s="0" t="s">
        <v>203</v>
      </c>
      <c r="B4" s="23"/>
      <c r="J4" s="24" t="s">
        <v>204</v>
      </c>
      <c r="K4" s="25" t="n">
        <v>1.06</v>
      </c>
    </row>
    <row r="5" customFormat="false" ht="15" hidden="false" customHeight="false" outlineLevel="0" collapsed="false">
      <c r="A5" s="0" t="s">
        <v>205</v>
      </c>
      <c r="B5" s="26" t="n">
        <f aca="false">K8</f>
        <v>260</v>
      </c>
      <c r="J5" s="24" t="s">
        <v>206</v>
      </c>
      <c r="K5" s="25" t="n">
        <v>0.86</v>
      </c>
    </row>
    <row r="6" customFormat="false" ht="15" hidden="false" customHeight="false" outlineLevel="0" collapsed="false">
      <c r="J6" s="24" t="s">
        <v>207</v>
      </c>
      <c r="K6" s="27" t="n">
        <v>0</v>
      </c>
    </row>
    <row r="7" customFormat="false" ht="15" hidden="false" customHeight="false" outlineLevel="0" collapsed="false">
      <c r="A7" s="0" t="s">
        <v>208</v>
      </c>
      <c r="B7" s="28" t="n">
        <f aca="false">DATE(2027,4,9)</f>
        <v>46486</v>
      </c>
      <c r="J7" s="24" t="s">
        <v>209</v>
      </c>
      <c r="K7" s="27" t="n">
        <v>0.035</v>
      </c>
    </row>
    <row r="8" customFormat="false" ht="15" hidden="false" customHeight="false" outlineLevel="0" collapsed="false">
      <c r="J8" s="24" t="s">
        <v>205</v>
      </c>
      <c r="K8" s="29" t="n">
        <v>260</v>
      </c>
    </row>
    <row r="9" customFormat="false" ht="15" hidden="false" customHeight="false" outlineLevel="0" collapsed="false">
      <c r="J9" s="24" t="s">
        <v>195</v>
      </c>
      <c r="K9" s="24" t="s">
        <v>210</v>
      </c>
    </row>
    <row r="11" customFormat="false" ht="37.5" hidden="false" customHeight="true" outlineLevel="0" collapsed="false">
      <c r="A11" s="7" t="s">
        <v>28</v>
      </c>
      <c r="B11" s="7" t="s">
        <v>36</v>
      </c>
      <c r="C11" s="7" t="s">
        <v>211</v>
      </c>
      <c r="D11" s="7" t="s">
        <v>212</v>
      </c>
      <c r="E11" s="7" t="s">
        <v>213</v>
      </c>
      <c r="F11" s="7" t="s">
        <v>214</v>
      </c>
      <c r="G11" s="7" t="s">
        <v>215</v>
      </c>
      <c r="H11" s="7" t="s">
        <v>216</v>
      </c>
      <c r="I11" s="7" t="s">
        <v>217</v>
      </c>
      <c r="J11" s="7" t="s">
        <v>218</v>
      </c>
      <c r="K11" s="7" t="s">
        <v>219</v>
      </c>
      <c r="L11" s="7" t="s">
        <v>220</v>
      </c>
      <c r="M11" s="7" t="s">
        <v>221</v>
      </c>
      <c r="N11" s="7" t="s">
        <v>222</v>
      </c>
      <c r="O11" s="7" t="s">
        <v>223</v>
      </c>
      <c r="P11" s="7" t="s">
        <v>224</v>
      </c>
      <c r="Q11" s="7" t="s">
        <v>225</v>
      </c>
    </row>
    <row r="12" customFormat="false" ht="15" hidden="false" customHeight="false" outlineLevel="0" collapsed="false">
      <c r="A12" s="6" t="s">
        <v>58</v>
      </c>
      <c r="B12" s="6" t="s">
        <v>63</v>
      </c>
      <c r="C12" s="30" t="n">
        <f aca="false">SUMIFS('Source Data'!$L$6:$L$26,'Source Data'!$E$6:$E$26,$A12,'Source Data'!$P$6:$P$26,"Yes",'Source Data'!$K$6:$K$26,"Delivered",'Source Data'!$I$6:$I$26,"&gt;="&amp;DATE(2027,3,1),'Source Data'!$I$6:$I$26,"&lt;"&amp;DATE(2027,4,1))</f>
        <v>270</v>
      </c>
      <c r="D12" s="30" t="n">
        <f aca="false">IF(Cancellation_Reading="Scheduled-delivery / one-week shift",SUMIFS('Source Data'!$L$6:$L$26,'Source Data'!$E$6:$E$26,$A12,'Source Data'!$P$6:$P$26,"Yes",'Source Data'!$K$6:$K$26,"Cancelled"),0)</f>
        <v>70</v>
      </c>
      <c r="E12" s="31" t="n">
        <f aca="false">SUMIF('Source Data'!$AB$5:$AB$7,$A12,'Source Data'!$AD$5:$AD$7)</f>
        <v>75.1</v>
      </c>
      <c r="F12" s="30" t="n">
        <f aca="false">C12*$K$4+D12+IF($B$4="",0,$B$4)*IFERROR(C12/SUM($C$12:$C$14),0)</f>
        <v>356.2</v>
      </c>
      <c r="G12" s="31" t="n">
        <f aca="false">F12*E12</f>
        <v>26750.62</v>
      </c>
      <c r="H12" s="31" t="n">
        <f aca="false">F12*SUMIF('Source Data'!$AF$5:$AF$7,$A12,'Source Data'!$AG$5:$AG$7)*(1+$K$6)</f>
        <v>17587.375</v>
      </c>
      <c r="I12" s="31" t="n">
        <f aca="false">G12-H12</f>
        <v>9163.245</v>
      </c>
      <c r="J12" s="30" t="n">
        <f aca="false">C12*$K$5+D12+IF($B$4="",0,$B$4)*IFERROR(C12/SUM($C$12:$C$14),0)</f>
        <v>302.2</v>
      </c>
      <c r="K12" s="31" t="n">
        <f aca="false">J12*E12</f>
        <v>22695.22</v>
      </c>
      <c r="L12" s="31" t="n">
        <f aca="false">J12*SUMIF('Source Data'!$AF$5:$AF$7,$A12,'Source Data'!$AG$5:$AG$7)*(1+$K$7)</f>
        <v>15443.364375</v>
      </c>
      <c r="M12" s="31" t="n">
        <f aca="false">K12-L12</f>
        <v>7251.855625</v>
      </c>
      <c r="N12" s="30" t="n">
        <f aca="false">IF(Selected_Scenario="Base",F12,J12)</f>
        <v>356.2</v>
      </c>
      <c r="O12" s="31" t="n">
        <f aca="false">IF(Selected_Scenario="Base",G12,K12)</f>
        <v>26750.62</v>
      </c>
      <c r="P12" s="31" t="n">
        <f aca="false">IF(Selected_Scenario="Base",H12,L12)</f>
        <v>17587.375</v>
      </c>
      <c r="Q12" s="31" t="n">
        <f aca="false">IF(Selected_Scenario="Base",I12,M12)</f>
        <v>9163.245</v>
      </c>
    </row>
    <row r="13" customFormat="false" ht="15" hidden="false" customHeight="false" outlineLevel="0" collapsed="false">
      <c r="A13" s="6" t="s">
        <v>69</v>
      </c>
      <c r="B13" s="6" t="s">
        <v>73</v>
      </c>
      <c r="C13" s="30" t="n">
        <f aca="false">SUMIFS('Source Data'!$L$6:$L$26,'Source Data'!$E$6:$E$26,$A13,'Source Data'!$P$6:$P$26,"Yes",'Source Data'!$K$6:$K$26,"Delivered",'Source Data'!$I$6:$I$26,"&gt;="&amp;DATE(2027,3,1),'Source Data'!$I$6:$I$26,"&lt;"&amp;DATE(2027,4,1))</f>
        <v>195</v>
      </c>
      <c r="D13" s="30" t="n">
        <f aca="false">IF(Cancellation_Reading="Scheduled-delivery / one-week shift",SUMIFS('Source Data'!$L$6:$L$26,'Source Data'!$E$6:$E$26,$A13,'Source Data'!$P$6:$P$26,"Yes",'Source Data'!$K$6:$K$26,"Cancelled"),0)</f>
        <v>0</v>
      </c>
      <c r="E13" s="31" t="n">
        <f aca="false">SUMIF('Source Data'!$AB$5:$AB$7,$A13,'Source Data'!$AD$5:$AD$7)</f>
        <v>66.25</v>
      </c>
      <c r="F13" s="30" t="n">
        <f aca="false">C13*$K$4+D13+IF($B$4="",0,$B$4)*IFERROR(C13/SUM($C$12:$C$14),0)</f>
        <v>206.7</v>
      </c>
      <c r="G13" s="31" t="n">
        <f aca="false">F13*E13</f>
        <v>13693.875</v>
      </c>
      <c r="H13" s="31" t="n">
        <f aca="false">F13*SUMIF('Source Data'!$AF$5:$AF$7,$A13,'Source Data'!$AG$5:$AG$7)*(1+$K$6)</f>
        <v>9223.9875</v>
      </c>
      <c r="I13" s="31" t="n">
        <f aca="false">G13-H13</f>
        <v>4469.8875</v>
      </c>
      <c r="J13" s="30" t="n">
        <f aca="false">C13*$K$5+D13+IF($B$4="",0,$B$4)*IFERROR(C13/SUM($C$12:$C$14),0)</f>
        <v>167.7</v>
      </c>
      <c r="K13" s="31" t="n">
        <f aca="false">J13*E13</f>
        <v>11110.125</v>
      </c>
      <c r="L13" s="31" t="n">
        <f aca="false">J13*SUMIF('Source Data'!$AF$5:$AF$7,$A13,'Source Data'!$AG$5:$AG$7)*(1+$K$7)</f>
        <v>7745.5389375</v>
      </c>
      <c r="M13" s="31" t="n">
        <f aca="false">K13-L13</f>
        <v>3364.5860625</v>
      </c>
      <c r="N13" s="30" t="n">
        <f aca="false">IF(Selected_Scenario="Base",F13,J13)</f>
        <v>206.7</v>
      </c>
      <c r="O13" s="31" t="n">
        <f aca="false">IF(Selected_Scenario="Base",G13,K13)</f>
        <v>13693.875</v>
      </c>
      <c r="P13" s="31" t="n">
        <f aca="false">IF(Selected_Scenario="Base",H13,L13)</f>
        <v>9223.9875</v>
      </c>
      <c r="Q13" s="31" t="n">
        <f aca="false">IF(Selected_Scenario="Base",I13,M13)</f>
        <v>4469.8875</v>
      </c>
    </row>
    <row r="14" customFormat="false" ht="15" hidden="false" customHeight="false" outlineLevel="0" collapsed="false">
      <c r="A14" s="6" t="s">
        <v>80</v>
      </c>
      <c r="B14" s="6" t="s">
        <v>86</v>
      </c>
      <c r="C14" s="30" t="n">
        <f aca="false">SUMIFS('Source Data'!$L$6:$L$26,'Source Data'!$E$6:$E$26,$A14,'Source Data'!$P$6:$P$26,"Yes",'Source Data'!$K$6:$K$26,"Delivered",'Source Data'!$I$6:$I$26,"&gt;="&amp;DATE(2027,3,1),'Source Data'!$I$6:$I$26,"&lt;"&amp;DATE(2027,4,1))</f>
        <v>235</v>
      </c>
      <c r="D14" s="30" t="n">
        <f aca="false">IF(Cancellation_Reading="Scheduled-delivery / one-week shift",SUMIFS('Source Data'!$L$6:$L$26,'Source Data'!$E$6:$E$26,$A14,'Source Data'!$P$6:$P$26,"Yes",'Source Data'!$K$6:$K$26,"Cancelled"),0)</f>
        <v>0</v>
      </c>
      <c r="E14" s="31" t="n">
        <f aca="false">SUMIF('Source Data'!$AB$5:$AB$7,$A14,'Source Data'!$AD$5:$AD$7)</f>
        <v>28.15</v>
      </c>
      <c r="F14" s="30" t="n">
        <f aca="false">C14*$K$4+D14+IF($B$4="",0,$B$4)*IFERROR(C14/SUM($C$12:$C$14),0)</f>
        <v>249.1</v>
      </c>
      <c r="G14" s="31" t="n">
        <f aca="false">F14*E14</f>
        <v>7012.165</v>
      </c>
      <c r="H14" s="31" t="n">
        <f aca="false">F14*SUMIF('Source Data'!$AF$5:$AF$7,$A14,'Source Data'!$AG$5:$AG$7)*(1+$K$6)</f>
        <v>4440.2075</v>
      </c>
      <c r="I14" s="31" t="n">
        <f aca="false">G14-H14</f>
        <v>2571.9575</v>
      </c>
      <c r="J14" s="30" t="n">
        <f aca="false">C14*$K$5+D14+IF($B$4="",0,$B$4)*IFERROR(C14/SUM($C$12:$C$14),0)</f>
        <v>202.1</v>
      </c>
      <c r="K14" s="31" t="n">
        <f aca="false">J14*E14</f>
        <v>5689.115</v>
      </c>
      <c r="L14" s="31" t="n">
        <f aca="false">J14*SUMIF('Source Data'!$AF$5:$AF$7,$A14,'Source Data'!$AG$5:$AG$7)*(1+$K$7)</f>
        <v>3728.5176375</v>
      </c>
      <c r="M14" s="31" t="n">
        <f aca="false">K14-L14</f>
        <v>1960.5973625</v>
      </c>
      <c r="N14" s="30" t="n">
        <f aca="false">IF(Selected_Scenario="Base",F14,J14)</f>
        <v>249.1</v>
      </c>
      <c r="O14" s="31" t="n">
        <f aca="false">IF(Selected_Scenario="Base",G14,K14)</f>
        <v>7012.165</v>
      </c>
      <c r="P14" s="31" t="n">
        <f aca="false">IF(Selected_Scenario="Base",H14,L14)</f>
        <v>4440.2075</v>
      </c>
      <c r="Q14" s="31" t="n">
        <f aca="false">IF(Selected_Scenario="Base",I14,M14)</f>
        <v>2571.9575</v>
      </c>
    </row>
    <row r="15" customFormat="false" ht="15" hidden="false" customHeight="false" outlineLevel="0" collapsed="false">
      <c r="A15" s="32" t="s">
        <v>226</v>
      </c>
      <c r="B15" s="32"/>
      <c r="C15" s="33" t="n">
        <f aca="false">SUM(C12:C14)</f>
        <v>700</v>
      </c>
      <c r="D15" s="33" t="n">
        <f aca="false">SUM(D12:D14)</f>
        <v>70</v>
      </c>
      <c r="E15" s="32"/>
      <c r="F15" s="33" t="n">
        <f aca="false">SUM(F12:F14)</f>
        <v>812</v>
      </c>
      <c r="G15" s="34" t="n">
        <f aca="false">SUM(G12:G14)</f>
        <v>47456.66</v>
      </c>
      <c r="H15" s="34" t="n">
        <f aca="false">SUM(H12:H14)</f>
        <v>31251.57</v>
      </c>
      <c r="I15" s="34" t="n">
        <f aca="false">SUM(I12:I14)</f>
        <v>16205.09</v>
      </c>
      <c r="J15" s="33" t="n">
        <f aca="false">SUM(J12:J14)</f>
        <v>672</v>
      </c>
      <c r="K15" s="34" t="n">
        <f aca="false">SUM(K12:K14)</f>
        <v>39494.46</v>
      </c>
      <c r="L15" s="34" t="n">
        <f aca="false">SUM(L12:L14)</f>
        <v>26917.42095</v>
      </c>
      <c r="M15" s="34" t="n">
        <f aca="false">SUM(M12:M14)</f>
        <v>12577.03905</v>
      </c>
      <c r="N15" s="33" t="n">
        <f aca="false">SUM(N12:N14)</f>
        <v>812</v>
      </c>
      <c r="O15" s="34" t="n">
        <f aca="false">SUM(O12:O14)</f>
        <v>47456.66</v>
      </c>
      <c r="P15" s="34" t="n">
        <f aca="false">SUM(P12:P14)</f>
        <v>31251.57</v>
      </c>
      <c r="Q15" s="34" t="n">
        <f aca="false">SUM(Q12:Q14)</f>
        <v>16205.09</v>
      </c>
    </row>
    <row r="18" customFormat="false" ht="15" hidden="false" customHeight="false" outlineLevel="0" collapsed="false">
      <c r="A18" s="0" t="s">
        <v>227</v>
      </c>
      <c r="B18" s="35" t="str">
        <f aca="false">Selected_Scenario</f>
        <v>Base</v>
      </c>
    </row>
    <row r="19" customFormat="false" ht="15" hidden="false" customHeight="false" outlineLevel="0" collapsed="false">
      <c r="A19" s="36" t="s">
        <v>191</v>
      </c>
      <c r="B19" s="37" t="n">
        <f aca="false">N15</f>
        <v>812</v>
      </c>
    </row>
    <row r="20" customFormat="false" ht="15" hidden="false" customHeight="false" outlineLevel="0" collapsed="false">
      <c r="A20" s="36" t="s">
        <v>192</v>
      </c>
      <c r="B20" s="38" t="n">
        <f aca="false">O15</f>
        <v>47456.66</v>
      </c>
    </row>
    <row r="21" customFormat="false" ht="15" hidden="false" customHeight="false" outlineLevel="0" collapsed="false">
      <c r="A21" s="36" t="s">
        <v>228</v>
      </c>
      <c r="B21" s="38" t="n">
        <f aca="false">P15</f>
        <v>31251.57</v>
      </c>
    </row>
    <row r="22" customFormat="false" ht="15" hidden="false" customHeight="false" outlineLevel="0" collapsed="false">
      <c r="A22" s="36" t="s">
        <v>193</v>
      </c>
      <c r="B22" s="38" t="n">
        <f aca="false">Q15</f>
        <v>16205.09</v>
      </c>
    </row>
    <row r="25" customFormat="false" ht="15" hidden="false" customHeight="false" outlineLevel="0" collapsed="false">
      <c r="A25" s="3" t="s">
        <v>229</v>
      </c>
    </row>
    <row r="26" customFormat="false" ht="15" hidden="false" customHeight="false" outlineLevel="0" collapsed="false">
      <c r="A26" s="7" t="s">
        <v>28</v>
      </c>
      <c r="B26" s="7" t="s">
        <v>36</v>
      </c>
      <c r="C26" s="7" t="s">
        <v>35</v>
      </c>
      <c r="D26" s="7" t="s">
        <v>34</v>
      </c>
      <c r="E26" s="7" t="s">
        <v>230</v>
      </c>
      <c r="F26" s="7" t="s">
        <v>222</v>
      </c>
      <c r="G26" s="7" t="s">
        <v>231</v>
      </c>
      <c r="H26" s="7" t="s">
        <v>232</v>
      </c>
    </row>
    <row r="27" customFormat="false" ht="15" hidden="false" customHeight="false" outlineLevel="0" collapsed="false">
      <c r="A27" s="6" t="s">
        <v>58</v>
      </c>
      <c r="B27" s="6" t="s">
        <v>63</v>
      </c>
      <c r="C27" s="6" t="s">
        <v>62</v>
      </c>
      <c r="D27" s="6" t="s">
        <v>61</v>
      </c>
      <c r="E27" s="39" t="n">
        <v>0.6</v>
      </c>
      <c r="F27" s="30" t="n">
        <f aca="false">SUMIF($A$12:$A$14,$A27,$N$12:$N$14)*$E27</f>
        <v>213.72</v>
      </c>
      <c r="G27" s="40" t="n">
        <f aca="false">SUMIF($A$12:$A$14,$A27,$E$12:$E$14)</f>
        <v>75.1</v>
      </c>
      <c r="H27" s="40" t="n">
        <f aca="false">F27*G27</f>
        <v>16050.372</v>
      </c>
    </row>
    <row r="28" customFormat="false" ht="28.35" hidden="false" customHeight="false" outlineLevel="0" collapsed="false">
      <c r="A28" s="6" t="s">
        <v>58</v>
      </c>
      <c r="B28" s="6" t="s">
        <v>63</v>
      </c>
      <c r="C28" s="6" t="s">
        <v>72</v>
      </c>
      <c r="D28" s="6" t="s">
        <v>71</v>
      </c>
      <c r="E28" s="39" t="n">
        <v>0.4</v>
      </c>
      <c r="F28" s="30" t="n">
        <f aca="false">SUMIF($A$12:$A$14,$A28,$N$12:$N$14)*$E28</f>
        <v>142.48</v>
      </c>
      <c r="G28" s="40" t="n">
        <f aca="false">SUMIF($A$12:$A$14,$A28,$E$12:$E$14)</f>
        <v>75.1</v>
      </c>
      <c r="H28" s="40" t="n">
        <f aca="false">F28*G28</f>
        <v>10700.248</v>
      </c>
    </row>
    <row r="29" customFormat="false" ht="15" hidden="false" customHeight="false" outlineLevel="0" collapsed="false">
      <c r="A29" s="6" t="s">
        <v>69</v>
      </c>
      <c r="B29" s="6" t="s">
        <v>73</v>
      </c>
      <c r="C29" s="6" t="s">
        <v>62</v>
      </c>
      <c r="D29" s="6" t="s">
        <v>61</v>
      </c>
      <c r="E29" s="39" t="n">
        <v>0.55</v>
      </c>
      <c r="F29" s="30" t="n">
        <f aca="false">SUMIF($A$12:$A$14,$A29,$N$12:$N$14)*$E29</f>
        <v>113.685</v>
      </c>
      <c r="G29" s="40" t="n">
        <f aca="false">SUMIF($A$12:$A$14,$A29,$E$12:$E$14)</f>
        <v>66.25</v>
      </c>
      <c r="H29" s="40" t="n">
        <f aca="false">F29*G29</f>
        <v>7531.63125</v>
      </c>
    </row>
    <row r="30" customFormat="false" ht="28.35" hidden="false" customHeight="false" outlineLevel="0" collapsed="false">
      <c r="A30" s="6" t="s">
        <v>69</v>
      </c>
      <c r="B30" s="6" t="s">
        <v>73</v>
      </c>
      <c r="C30" s="6" t="s">
        <v>72</v>
      </c>
      <c r="D30" s="6" t="s">
        <v>71</v>
      </c>
      <c r="E30" s="39" t="n">
        <v>0.45</v>
      </c>
      <c r="F30" s="30" t="n">
        <f aca="false">SUMIF($A$12:$A$14,$A30,$N$12:$N$14)*$E30</f>
        <v>93.015</v>
      </c>
      <c r="G30" s="40" t="n">
        <f aca="false">SUMIF($A$12:$A$14,$A30,$E$12:$E$14)</f>
        <v>66.25</v>
      </c>
      <c r="H30" s="40" t="n">
        <f aca="false">F30*G30</f>
        <v>6162.24375</v>
      </c>
    </row>
    <row r="31" customFormat="false" ht="15" hidden="false" customHeight="false" outlineLevel="0" collapsed="false">
      <c r="A31" s="6" t="s">
        <v>80</v>
      </c>
      <c r="B31" s="6" t="s">
        <v>86</v>
      </c>
      <c r="C31" s="6" t="s">
        <v>62</v>
      </c>
      <c r="D31" s="6" t="s">
        <v>61</v>
      </c>
      <c r="E31" s="39" t="n">
        <v>0.65</v>
      </c>
      <c r="F31" s="30" t="n">
        <f aca="false">SUMIF($A$12:$A$14,$A31,$N$12:$N$14)*$E31</f>
        <v>161.915</v>
      </c>
      <c r="G31" s="40" t="n">
        <f aca="false">SUMIF($A$12:$A$14,$A31,$E$12:$E$14)</f>
        <v>28.15</v>
      </c>
      <c r="H31" s="40" t="n">
        <f aca="false">F31*G31</f>
        <v>4557.90725</v>
      </c>
    </row>
    <row r="32" customFormat="false" ht="28.35" hidden="false" customHeight="false" outlineLevel="0" collapsed="false">
      <c r="A32" s="6" t="s">
        <v>80</v>
      </c>
      <c r="B32" s="6" t="s">
        <v>86</v>
      </c>
      <c r="C32" s="6" t="s">
        <v>72</v>
      </c>
      <c r="D32" s="6" t="s">
        <v>71</v>
      </c>
      <c r="E32" s="39" t="n">
        <v>0.35</v>
      </c>
      <c r="F32" s="30" t="n">
        <f aca="false">SUMIF($A$12:$A$14,$A32,$N$12:$N$14)*$E32</f>
        <v>87.185</v>
      </c>
      <c r="G32" s="40" t="n">
        <f aca="false">SUMIF($A$12:$A$14,$A32,$E$12:$E$14)</f>
        <v>28.15</v>
      </c>
      <c r="H32" s="40" t="n">
        <f aca="false">F32*G32</f>
        <v>2454.25775</v>
      </c>
    </row>
    <row r="33" customFormat="false" ht="15" hidden="false" customHeight="false" outlineLevel="0" collapsed="false">
      <c r="A33" s="41" t="s">
        <v>233</v>
      </c>
      <c r="B33" s="41"/>
      <c r="C33" s="41"/>
      <c r="D33" s="41"/>
      <c r="E33" s="41"/>
      <c r="F33" s="42" t="n">
        <f aca="false">SUM(F27:F32)</f>
        <v>812</v>
      </c>
      <c r="G33" s="41"/>
      <c r="H33" s="43" t="n">
        <f aca="false">SUM(H27:H32)</f>
        <v>47456.66</v>
      </c>
    </row>
  </sheetData>
  <sheetProtection sheet="true" formatCells="false" formatColumns="false" formatRows="false" insertColumns="false" insertRows="false" deleteColumns="false" deleteRows="false" sort="false" autoFilter="false" selectUnlockedCells="true"/>
  <mergeCells count="1">
    <mergeCell ref="A1:Q1"/>
  </mergeCells>
  <conditionalFormatting sqref="B4">
    <cfRule type="expression" priority="2" aboveAverage="0" equalAverage="0" bottom="0" percent="0" rank="0" text="" dxfId="5">
      <formula>AND(B4&lt;&gt;"",B4&gt;Normal_Max_Cases)</formula>
    </cfRule>
  </conditionalFormatting>
  <conditionalFormatting sqref="F27:F32">
    <cfRule type="expression" priority="3" aboveAverage="0" equalAverage="0" bottom="0" percent="0" rank="0" text="" dxfId="5">
      <formula>F27&gt;Normal_Max_Cases</formula>
    </cfRule>
  </conditionalFormatting>
  <dataValidations count="2">
    <dataValidation allowBlank="false" errorStyle="stop" operator="between" showDropDown="false" showErrorMessage="false" showInputMessage="false" sqref="B3" type="list">
      <formula1>"Base,Downside"</formula1>
      <formula2>0</formula2>
    </dataValidation>
    <dataValidation allowBlank="true" error="Enter a non-negative whole-case quantity." errorStyle="stop" errorTitle="Whole cases required" operator="greaterThanOrEqual" showDropDown="false" showErrorMessage="false" showInputMessage="false" sqref="B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9"/>
    <col collapsed="false" customWidth="true" hidden="false" outlineLevel="0" max="13" min="13" style="0" width="20"/>
  </cols>
  <sheetData>
    <row r="1" customFormat="false" ht="24.75" hidden="false" customHeight="true" outlineLevel="0" collapsed="false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44" t="s">
        <v>235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4" customFormat="false" ht="18" hidden="false" customHeight="true" outlineLevel="0" collapsed="false">
      <c r="A4" s="0" t="s">
        <v>18</v>
      </c>
      <c r="B4" s="35" t="str">
        <f aca="false">Forecast!$B$3</f>
        <v>Base</v>
      </c>
      <c r="D4" s="8" t="s">
        <v>236</v>
      </c>
      <c r="E4" s="8" t="s">
        <v>210</v>
      </c>
      <c r="G4" s="8" t="s">
        <v>237</v>
      </c>
      <c r="H4" s="45" t="n">
        <f aca="false">H15</f>
        <v>47456.66</v>
      </c>
      <c r="J4" s="8" t="s">
        <v>238</v>
      </c>
      <c r="K4" s="46" t="n">
        <f aca="false">F15</f>
        <v>812</v>
      </c>
    </row>
    <row r="8" customFormat="false" ht="31.5" hidden="false" customHeight="true" outlineLevel="0" collapsed="false">
      <c r="A8" s="7" t="s">
        <v>239</v>
      </c>
      <c r="B8" s="7" t="s">
        <v>34</v>
      </c>
      <c r="C8" s="7" t="s">
        <v>35</v>
      </c>
      <c r="D8" s="7" t="s">
        <v>240</v>
      </c>
      <c r="E8" s="7" t="s">
        <v>28</v>
      </c>
      <c r="F8" s="7" t="s">
        <v>241</v>
      </c>
      <c r="G8" s="7" t="s">
        <v>242</v>
      </c>
      <c r="H8" s="7" t="s">
        <v>243</v>
      </c>
      <c r="I8" s="7" t="s">
        <v>244</v>
      </c>
      <c r="J8" s="7" t="s">
        <v>245</v>
      </c>
      <c r="K8" s="7" t="s">
        <v>41</v>
      </c>
      <c r="L8" s="7" t="s">
        <v>246</v>
      </c>
      <c r="M8" s="7" t="s">
        <v>247</v>
      </c>
    </row>
    <row r="9" customFormat="false" ht="15" hidden="false" customHeight="false" outlineLevel="0" collapsed="false">
      <c r="A9" s="6" t="n">
        <f aca="false">ROW()-8</f>
        <v>1</v>
      </c>
      <c r="B9" s="6" t="str">
        <f aca="false">Forecast!$D$27</f>
        <v>England</v>
      </c>
      <c r="C9" s="6" t="str">
        <f aca="false">Forecast!$C$27</f>
        <v>Midlands Hub</v>
      </c>
      <c r="D9" s="47" t="n">
        <f aca="false">Forecast!$B$7</f>
        <v>46486</v>
      </c>
      <c r="E9" s="6" t="str">
        <f aca="false">Forecast!$A$27</f>
        <v>FSD-COD-5</v>
      </c>
      <c r="F9" s="48" t="n">
        <f aca="false">Forecast!$F$27</f>
        <v>213.72</v>
      </c>
      <c r="G9" s="40" t="n">
        <f aca="false">Forecast!$G$27</f>
        <v>75.1</v>
      </c>
      <c r="H9" s="49" t="n">
        <f aca="false">Forecast!$H$27</f>
        <v>16050.372</v>
      </c>
      <c r="I9" s="6" t="str">
        <f aca="false">IF(B9="Wales","CY/EN","EN")</f>
        <v>EN</v>
      </c>
      <c r="J9" s="50"/>
      <c r="K9" s="50"/>
      <c r="L9" s="50"/>
      <c r="M9" s="50"/>
    </row>
    <row r="10" customFormat="false" ht="15" hidden="false" customHeight="false" outlineLevel="0" collapsed="false">
      <c r="A10" s="6" t="n">
        <f aca="false">ROW()-8</f>
        <v>2</v>
      </c>
      <c r="B10" s="6" t="str">
        <f aca="false">Forecast!$D$28</f>
        <v>Wales</v>
      </c>
      <c r="C10" s="6" t="str">
        <f aca="false">Forecast!$C$28</f>
        <v>Newport Crossdock</v>
      </c>
      <c r="D10" s="47" t="n">
        <f aca="false">Forecast!$B$7</f>
        <v>46486</v>
      </c>
      <c r="E10" s="6" t="str">
        <f aca="false">Forecast!$A$28</f>
        <v>FSD-COD-5</v>
      </c>
      <c r="F10" s="48" t="n">
        <f aca="false">Forecast!$F$28</f>
        <v>142.48</v>
      </c>
      <c r="G10" s="40" t="n">
        <f aca="false">Forecast!$G$28</f>
        <v>75.1</v>
      </c>
      <c r="H10" s="49" t="n">
        <f aca="false">Forecast!$H$28</f>
        <v>10700.248</v>
      </c>
      <c r="I10" s="6" t="str">
        <f aca="false">IF(B10="Wales","CY/EN","EN")</f>
        <v>CY/EN</v>
      </c>
      <c r="J10" s="50"/>
      <c r="K10" s="50"/>
      <c r="L10" s="50"/>
      <c r="M10" s="50"/>
    </row>
    <row r="11" customFormat="false" ht="15" hidden="false" customHeight="false" outlineLevel="0" collapsed="false">
      <c r="A11" s="6" t="n">
        <f aca="false">ROW()-8</f>
        <v>3</v>
      </c>
      <c r="B11" s="6" t="str">
        <f aca="false">Forecast!$D$29</f>
        <v>England</v>
      </c>
      <c r="C11" s="6" t="str">
        <f aca="false">Forecast!$C$29</f>
        <v>Midlands Hub</v>
      </c>
      <c r="D11" s="47" t="n">
        <f aca="false">Forecast!$B$7</f>
        <v>46486</v>
      </c>
      <c r="E11" s="6" t="str">
        <f aca="false">Forecast!$A$29</f>
        <v>FSD-SAL-10</v>
      </c>
      <c r="F11" s="48" t="n">
        <f aca="false">Forecast!$F$29</f>
        <v>113.685</v>
      </c>
      <c r="G11" s="40" t="n">
        <f aca="false">Forecast!$G$29</f>
        <v>66.25</v>
      </c>
      <c r="H11" s="49" t="n">
        <f aca="false">Forecast!$H$29</f>
        <v>7531.63125</v>
      </c>
      <c r="I11" s="6" t="str">
        <f aca="false">IF(B11="Wales","CY/EN","EN")</f>
        <v>EN</v>
      </c>
      <c r="J11" s="50"/>
      <c r="K11" s="50"/>
      <c r="L11" s="50"/>
      <c r="M11" s="50"/>
    </row>
    <row r="12" customFormat="false" ht="15" hidden="false" customHeight="false" outlineLevel="0" collapsed="false">
      <c r="A12" s="6" t="n">
        <f aca="false">ROW()-8</f>
        <v>4</v>
      </c>
      <c r="B12" s="6" t="str">
        <f aca="false">Forecast!$D$30</f>
        <v>Wales</v>
      </c>
      <c r="C12" s="6" t="str">
        <f aca="false">Forecast!$C$30</f>
        <v>Newport Crossdock</v>
      </c>
      <c r="D12" s="47" t="n">
        <f aca="false">Forecast!$B$7</f>
        <v>46486</v>
      </c>
      <c r="E12" s="6" t="str">
        <f aca="false">Forecast!$A$30</f>
        <v>FSD-SAL-10</v>
      </c>
      <c r="F12" s="48" t="n">
        <f aca="false">Forecast!$F$30</f>
        <v>93.015</v>
      </c>
      <c r="G12" s="40" t="n">
        <f aca="false">Forecast!$G$30</f>
        <v>66.25</v>
      </c>
      <c r="H12" s="49" t="n">
        <f aca="false">Forecast!$H$30</f>
        <v>6162.24375</v>
      </c>
      <c r="I12" s="6" t="str">
        <f aca="false">IF(B12="Wales","CY/EN","EN")</f>
        <v>CY/EN</v>
      </c>
      <c r="J12" s="50"/>
      <c r="K12" s="50"/>
      <c r="L12" s="50"/>
      <c r="M12" s="50"/>
    </row>
    <row r="13" customFormat="false" ht="15" hidden="false" customHeight="false" outlineLevel="0" collapsed="false">
      <c r="A13" s="6" t="n">
        <f aca="false">ROW()-8</f>
        <v>5</v>
      </c>
      <c r="B13" s="6" t="str">
        <f aca="false">Forecast!$D$31</f>
        <v>England</v>
      </c>
      <c r="C13" s="6" t="str">
        <f aca="false">Forecast!$C$31</f>
        <v>Midlands Hub</v>
      </c>
      <c r="D13" s="47" t="n">
        <f aca="false">Forecast!$B$7</f>
        <v>46486</v>
      </c>
      <c r="E13" s="6" t="str">
        <f aca="false">Forecast!$A$31</f>
        <v>FSD-PEA-2</v>
      </c>
      <c r="F13" s="48" t="n">
        <f aca="false">Forecast!$F$31</f>
        <v>161.915</v>
      </c>
      <c r="G13" s="40" t="n">
        <f aca="false">Forecast!$G$31</f>
        <v>28.15</v>
      </c>
      <c r="H13" s="49" t="n">
        <f aca="false">Forecast!$H$31</f>
        <v>4557.90725</v>
      </c>
      <c r="I13" s="6" t="str">
        <f aca="false">IF(B13="Wales","CY/EN","EN")</f>
        <v>EN</v>
      </c>
      <c r="J13" s="50"/>
      <c r="K13" s="50"/>
      <c r="L13" s="50"/>
      <c r="M13" s="50"/>
    </row>
    <row r="14" customFormat="false" ht="15" hidden="false" customHeight="false" outlineLevel="0" collapsed="false">
      <c r="A14" s="6" t="n">
        <f aca="false">ROW()-8</f>
        <v>6</v>
      </c>
      <c r="B14" s="6" t="str">
        <f aca="false">Forecast!$D$32</f>
        <v>Wales</v>
      </c>
      <c r="C14" s="6" t="str">
        <f aca="false">Forecast!$C$32</f>
        <v>Newport Crossdock</v>
      </c>
      <c r="D14" s="47" t="n">
        <f aca="false">Forecast!$B$7</f>
        <v>46486</v>
      </c>
      <c r="E14" s="6" t="str">
        <f aca="false">Forecast!$A$32</f>
        <v>FSD-PEA-2</v>
      </c>
      <c r="F14" s="48" t="n">
        <f aca="false">Forecast!$F$32</f>
        <v>87.185</v>
      </c>
      <c r="G14" s="40" t="n">
        <f aca="false">Forecast!$G$32</f>
        <v>28.15</v>
      </c>
      <c r="H14" s="49" t="n">
        <f aca="false">Forecast!$H$32</f>
        <v>2454.25775</v>
      </c>
      <c r="I14" s="6" t="str">
        <f aca="false">IF(B14="Wales","CY/EN","EN")</f>
        <v>CY/EN</v>
      </c>
      <c r="J14" s="50"/>
      <c r="K14" s="50"/>
      <c r="L14" s="50"/>
      <c r="M14" s="50"/>
    </row>
    <row r="15" customFormat="false" ht="18" hidden="false" customHeight="true" outlineLevel="0" collapsed="false">
      <c r="A15" s="32" t="s">
        <v>226</v>
      </c>
      <c r="B15" s="32"/>
      <c r="C15" s="32"/>
      <c r="D15" s="32"/>
      <c r="E15" s="32"/>
      <c r="F15" s="51" t="n">
        <f aca="false">SUM(F9:F14)</f>
        <v>812</v>
      </c>
      <c r="G15" s="32"/>
      <c r="H15" s="52" t="n">
        <f aca="false">SUM(H9:H14)</f>
        <v>47456.66</v>
      </c>
      <c r="I15" s="32"/>
      <c r="J15" s="32"/>
      <c r="K15" s="32"/>
      <c r="L15" s="32"/>
      <c r="M15" s="32"/>
    </row>
    <row r="18" customFormat="false" ht="21.75" hidden="false" customHeight="true" outlineLevel="0" collapsed="false">
      <c r="A18" s="53" t="s">
        <v>248</v>
      </c>
      <c r="B18" s="53"/>
      <c r="C18" s="53"/>
      <c r="D18" s="53"/>
      <c r="E18" s="53"/>
      <c r="F18" s="53"/>
      <c r="G18" s="53"/>
      <c r="H18" s="18" t="s">
        <v>249</v>
      </c>
      <c r="I18" s="18"/>
      <c r="J18" s="18"/>
      <c r="K18" s="18"/>
      <c r="L18" s="18"/>
      <c r="M18" s="18"/>
    </row>
    <row r="19" customFormat="false" ht="21.75" hidden="false" customHeight="true" outlineLevel="0" collapsed="false">
      <c r="A19" s="53"/>
      <c r="B19" s="53"/>
      <c r="C19" s="53"/>
      <c r="D19" s="53"/>
      <c r="E19" s="53"/>
      <c r="F19" s="53"/>
      <c r="G19" s="53"/>
      <c r="H19" s="18"/>
      <c r="I19" s="18"/>
      <c r="J19" s="18"/>
      <c r="K19" s="18"/>
      <c r="L19" s="18"/>
      <c r="M19" s="18"/>
    </row>
    <row r="20" customFormat="false" ht="21.75" hidden="false" customHeight="true" outlineLevel="0" collapsed="false">
      <c r="A20" s="53"/>
      <c r="B20" s="53"/>
      <c r="C20" s="53"/>
      <c r="D20" s="53"/>
      <c r="E20" s="53"/>
      <c r="F20" s="53"/>
      <c r="G20" s="53"/>
      <c r="H20" s="18"/>
      <c r="I20" s="18"/>
      <c r="J20" s="18"/>
      <c r="K20" s="18"/>
      <c r="L20" s="18"/>
      <c r="M20" s="18"/>
    </row>
    <row r="23" customFormat="false" ht="21.75" hidden="false" customHeight="true" outlineLevel="0" collapsed="false">
      <c r="A23" s="54" t="s">
        <v>250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customFormat="false" ht="21.75" hidden="false" customHeight="true" outlineLevel="0" collapsed="false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</row>
  </sheetData>
  <sheetProtection sheet="true" formatCells="false" formatColumns="false" formatRows="false" insertColumns="false" insertRows="false" deleteColumns="false" deleteRows="false" sort="false" autoFilter="false" selectUnlockedCells="true"/>
  <mergeCells count="6">
    <mergeCell ref="A1:M1"/>
    <mergeCell ref="A2:M2"/>
    <mergeCell ref="A15:E15"/>
    <mergeCell ref="A18:G20"/>
    <mergeCell ref="H18:M20"/>
    <mergeCell ref="A23:M24"/>
  </mergeCells>
  <conditionalFormatting sqref="F9:F14">
    <cfRule type="expression" priority="2" aboveAverage="0" equalAverage="0" bottom="0" percent="0" rank="0" text="" dxfId="5">
      <formula>F9&gt;Normal_Max_Cases</formula>
    </cfRule>
  </conditionalFormatting>
  <dataValidations count="2">
    <dataValidation allowBlank="true" errorStyle="stop" operator="between" showDropDown="false" showErrorMessage="false" showInputMessage="false" sqref="K9:K14" type="list">
      <formula1>"Not started,Picking,Loaded,Held"</formula1>
      <formula2>0</formula2>
    </dataValidation>
    <dataValidation allowBlank="true" errorStyle="stop" operator="greaterThanOrEqual" showDropDown="false" showErrorMessage="false" showInputMessage="false" sqref="J9:J14" type="whole">
      <formula1>0</formula1>
      <formula2>0</formula2>
    </dataValidation>
  </dataValidations>
  <printOptions headings="false" gridLines="false" gridLinesSet="true" horizontalCentered="fals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5" min="5" style="0" width="72"/>
    <col collapsed="false" customWidth="true" hidden="false" outlineLevel="0" max="6" min="6" style="0" width="16"/>
    <col collapsed="false" customWidth="true" hidden="false" outlineLevel="0" max="7" min="7" style="0" width="36"/>
  </cols>
  <sheetData>
    <row r="1" customFormat="false" ht="24.75" hidden="false" customHeight="true" outlineLevel="0" collapsed="false">
      <c r="A1" s="1" t="s">
        <v>251</v>
      </c>
      <c r="B1" s="1"/>
      <c r="C1" s="1"/>
      <c r="D1" s="1"/>
      <c r="E1" s="1"/>
      <c r="F1" s="1"/>
      <c r="G1" s="1"/>
    </row>
    <row r="4" customFormat="false" ht="15" hidden="false" customHeight="false" outlineLevel="0" collapsed="false">
      <c r="A4" s="5" t="s">
        <v>252</v>
      </c>
      <c r="B4" s="5" t="s">
        <v>253</v>
      </c>
      <c r="C4" s="5" t="s">
        <v>254</v>
      </c>
      <c r="D4" s="5" t="s">
        <v>15</v>
      </c>
      <c r="E4" s="5" t="s">
        <v>255</v>
      </c>
      <c r="F4" s="5" t="s">
        <v>195</v>
      </c>
      <c r="G4" s="5" t="s">
        <v>256</v>
      </c>
    </row>
    <row r="5" customFormat="false" ht="15" hidden="false" customHeight="false" outlineLevel="0" collapsed="false">
      <c r="A5" s="6" t="s">
        <v>210</v>
      </c>
      <c r="B5" s="6" t="s">
        <v>257</v>
      </c>
      <c r="C5" s="6" t="s">
        <v>258</v>
      </c>
      <c r="D5" s="6" t="s">
        <v>258</v>
      </c>
      <c r="E5" s="6" t="s">
        <v>259</v>
      </c>
      <c r="F5" s="6" t="s">
        <v>210</v>
      </c>
      <c r="G5" s="6" t="s">
        <v>260</v>
      </c>
    </row>
    <row r="6" customFormat="false" ht="48" hidden="false" customHeight="true" outlineLevel="0" collapsed="false">
      <c r="A6" s="6" t="s">
        <v>261</v>
      </c>
      <c r="B6" s="6" t="s">
        <v>262</v>
      </c>
      <c r="C6" s="6" t="s">
        <v>263</v>
      </c>
      <c r="D6" s="6" t="s">
        <v>184</v>
      </c>
      <c r="E6" s="6" t="s">
        <v>264</v>
      </c>
      <c r="F6" s="6" t="s">
        <v>210</v>
      </c>
      <c r="G6" s="6" t="s">
        <v>265</v>
      </c>
    </row>
  </sheetData>
  <sheetProtection sheet="true" formatCells="false" formatColumns="false" formatRows="false" insertColumns="false" insertRows="false" deleteColumns="false" deleteRows="false" sort="false" autoFilter="false" selectUnlockedCells="true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2026-08-16T15:13:58Z</dcterms:created>
  <dc:creator>openpyxl</dc:creator>
  <dc:description/>
  <dc:language>en-US</dc:language>
  <cp:lastModifiedBy/>
  <dcterms:modified xsi:type="dcterms:W3CDTF">2026-08-16T15:20:56Z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