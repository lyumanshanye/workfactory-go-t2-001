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ntry" sheetId="2" state="visible" r:id="rId2"/>
    <sheet xmlns:r="http://schemas.openxmlformats.org/officeDocument/2006/relationships" name="Calculation" sheetId="3" state="visible" r:id="rId3"/>
    <sheet xmlns:r="http://schemas.openxmlformats.org/officeDocument/2006/relationships" name="Clause Map" sheetId="4" state="visible" r:id="rId4"/>
    <sheet xmlns:r="http://schemas.openxmlformats.org/officeDocument/2006/relationships" name="Keyed Checks" sheetId="5" state="visible" r:id="rId5"/>
  </sheets>
  <definedNames>
    <definedName name="Allowance_Table">'Clause Map'!$F$4:$J$7</definedName>
    <definedName name="Shipment_Statuses">'Clause Map'!$L$4:$L$5</definedName>
    <definedName name="Backorder_Statuses">'Clause Map'!$M$4:$M$5</definedName>
    <definedName name="Drop_Ship_Treatments">'Clause Map'!$N$4:$N$5</definedName>
    <definedName name="Shipping_States">'Clause Map'!$O$4:$O$9</definedName>
    <definedName name="Charge_Categories">'Clause Map'!$P$4:$P$6</definedName>
    <definedName name="Category_Clauses">'Clause Map'!$P$4:$Q$6</definedName>
    <definedName name="_xlnm._FilterDatabase" localSheetId="1" hidden="1">'Entry'!$A$3:$S$53</definedName>
    <definedName name="_xlnm._FilterDatabase" localSheetId="2" hidden="1">'Calculation'!$A$3:$J$53</definedName>
    <definedName name="_xlnm.Print_Titles" localSheetId="2">'Calculation'!$3:$3</definedName>
    <definedName name="_xlnm.Print_Area" localSheetId="2">'Calculation'!$A$1:$J$57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m/d/yy"/>
    <numFmt numFmtId="165" formatCode="$#,##0.00"/>
    <numFmt numFmtId="166" formatCode="$#,##0.00;[Red]$#,##0.00;@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E2F0D9"/>
      </patternFill>
    </fill>
    <fill>
      <patternFill patternType="solid">
        <fgColor rgb="00EAF3F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0" borderId="0" pivotButton="0" quotePrefix="0" xfId="0"/>
    <xf numFmtId="0" fontId="0" fillId="4" borderId="1" applyProtection="1" pivotButton="0" quotePrefix="0" xfId="0">
      <protection locked="0" hidden="0"/>
    </xf>
    <xf numFmtId="164" fontId="0" fillId="4" borderId="1" applyProtection="1" pivotButton="0" quotePrefix="0" xfId="0">
      <protection locked="0" hidden="0"/>
    </xf>
    <xf numFmtId="3" fontId="0" fillId="4" borderId="1" applyProtection="1" pivotButton="0" quotePrefix="0" xfId="0">
      <protection locked="0" hidden="0"/>
    </xf>
    <xf numFmtId="165" fontId="0" fillId="4" borderId="1" applyProtection="1" pivotButton="0" quotePrefix="0" xfId="0">
      <protection locked="0" hidden="0"/>
    </xf>
    <xf numFmtId="0" fontId="0" fillId="5" borderId="1" pivotButton="0" quotePrefix="0" xfId="0"/>
    <xf numFmtId="3" fontId="0" fillId="5" borderId="1" pivotButton="0" quotePrefix="0" xfId="0"/>
    <xf numFmtId="166" fontId="0" fillId="5" borderId="1" pivotButton="0" quotePrefix="0" xfId="0"/>
    <xf numFmtId="165" fontId="0" fillId="5" borderId="1" pivotButton="0" quotePrefix="0" xfId="0"/>
    <xf numFmtId="0" fontId="2" fillId="2" borderId="0" pivotButton="0" quotePrefix="0" xfId="0"/>
    <xf numFmtId="165" fontId="2" fillId="2" borderId="0" pivotButton="0" quotePrefix="0" xfId="0"/>
    <xf numFmtId="0" fontId="0" fillId="8" borderId="0" applyAlignment="1" pivotButton="0" quotePrefix="0" xfId="0">
      <alignment wrapText="1"/>
    </xf>
    <xf numFmtId="0" fontId="0" fillId="3" borderId="0" pivotButton="0" quotePrefix="0" xfId="0"/>
    <xf numFmtId="0" fontId="2" fillId="3" borderId="0" applyAlignment="1" pivotButton="0" quotePrefix="0" xfId="0">
      <alignment horizontal="center" wrapText="1"/>
    </xf>
    <xf numFmtId="165" fontId="0" fillId="0" borderId="0" pivotButton="0" quotePrefix="0" xfId="0"/>
    <xf numFmtId="0" fontId="0" fillId="0" borderId="1" applyAlignment="1" pivotButton="0" quotePrefix="0" xfId="0">
      <alignment vertical="top" wrapText="1"/>
    </xf>
    <xf numFmtId="164" fontId="0" fillId="4" borderId="1" applyProtection="1" pivotButton="0" quotePrefix="0" xfId="0">
      <protection locked="0" hidden="0"/>
    </xf>
    <xf numFmtId="165" fontId="0" fillId="4" borderId="1" applyProtection="1" pivotButton="0" quotePrefix="0" xfId="0">
      <protection locked="0" hidden="0"/>
    </xf>
    <xf numFmtId="165" fontId="0" fillId="5" borderId="1" pivotButton="0" quotePrefix="0" xfId="0"/>
    <xf numFmtId="165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10" customWidth="1" min="2" max="2"/>
  </cols>
  <sheetData>
    <row r="1" ht="26" customHeight="1">
      <c r="A1" s="1" t="inlineStr">
        <is>
          <t>Monthly Chargeback Template — Calderfield Chambers</t>
        </is>
      </c>
    </row>
    <row r="3">
      <c r="A3" t="inlineStr">
        <is>
          <t>Purpose</t>
        </is>
      </c>
      <c r="B3" t="inlineStr">
        <is>
          <t>Enter one shipment line on Entry, then print Calculation for Ines Marchetti’s review.</t>
        </is>
      </c>
    </row>
    <row r="5">
      <c r="A5" t="inlineStr">
        <is>
          <t>1</t>
        </is>
      </c>
      <c r="B5" t="inlineStr">
        <is>
          <t>Type or paste the shipment facts into the pale-green cells on Entry. Use dropdowns for controlled fields.</t>
        </is>
      </c>
    </row>
    <row r="6">
      <c r="A6" t="inlineStr">
        <is>
          <t>2</t>
        </is>
      </c>
      <c r="B6" t="inlineStr">
        <is>
          <t>Do not type on Calculation: blue cells are protected formulas. Review status, coverage, amount, and clause ID together.</t>
        </is>
      </c>
    </row>
    <row r="7">
      <c r="A7" t="inlineStr">
        <is>
          <t>3</t>
        </is>
      </c>
      <c r="B7" t="inlineStr">
        <is>
          <t>Resolve Missing Required Fact from the shipment record. Escalate Uncovered—Review; it intentionally has no calculated charge.</t>
        </is>
      </c>
    </row>
    <row r="8">
      <c r="A8" t="inlineStr">
        <is>
          <t>4</t>
        </is>
      </c>
      <c r="B8" t="inlineStr">
        <is>
          <t>Print the Calculation sheet after checking the final total and all exception rows.</t>
        </is>
      </c>
    </row>
    <row r="10" ht="34" customHeight="1">
      <c r="A10" s="2" t="inlineStr">
        <is>
          <t>Legend</t>
        </is>
      </c>
      <c r="B10" s="2" t="inlineStr">
        <is>
          <t>Meaning</t>
        </is>
      </c>
    </row>
    <row r="11">
      <c r="A11" s="3" t="inlineStr">
        <is>
          <t>Pale green</t>
        </is>
      </c>
      <c r="B11" t="inlineStr">
        <is>
          <t>Editable Entry cell</t>
        </is>
      </c>
    </row>
    <row r="12">
      <c r="A12" s="4" t="inlineStr">
        <is>
          <t>Pale blue</t>
        </is>
      </c>
      <c r="B12" t="inlineStr">
        <is>
          <t>Formula-driven / protected review cell</t>
        </is>
      </c>
    </row>
    <row r="13">
      <c r="A13" s="5" t="inlineStr">
        <is>
          <t>Yellow</t>
        </is>
      </c>
      <c r="B13" t="inlineStr">
        <is>
          <t>Missing Required Fact — complete the shipment record; no zero is assumed</t>
        </is>
      </c>
    </row>
    <row r="14">
      <c r="A14" s="6" t="inlineStr">
        <is>
          <t>Red</t>
        </is>
      </c>
      <c r="B14" t="inlineStr">
        <is>
          <t>Uncovered—Review — freight basis is outside the allowance table; obtain controller direction</t>
        </is>
      </c>
    </row>
    <row r="15">
      <c r="A15" t="inlineStr">
        <is>
          <t>White</t>
        </is>
      </c>
      <c r="B15" t="inlineStr">
        <is>
          <t>$0.00 can be a valid calculated outcome only after all facts are present</t>
        </is>
      </c>
    </row>
    <row r="18">
      <c r="A18" t="inlineStr">
        <is>
          <t>Reference</t>
        </is>
      </c>
      <c r="B18" t="inlineStr">
        <is>
          <t>Rules are traceable on Clause Map; reviewer test cases, rationale, and score points are on Keyed Checks.</t>
        </is>
      </c>
    </row>
  </sheetData>
  <mergeCells count="1">
    <mergeCell ref="A1:G1"/>
  </mergeCells>
  <pageMargins left="0.75" right="0.75" top="1" bottom="1" header="0.5" footer="0.5"/>
  <headerFooter>
    <oddHeader/>
    <oddFooter>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3" customWidth="1" min="4" max="4"/>
    <col width="13" customWidth="1" min="5" max="5"/>
    <col width="14" customWidth="1" min="6" max="6"/>
    <col width="16" customWidth="1" min="7" max="7"/>
    <col width="12" customWidth="1" min="8" max="8"/>
    <col width="12" customWidth="1" min="9" max="9"/>
    <col width="20" customWidth="1" min="10" max="10"/>
    <col width="20" customWidth="1" min="11" max="11"/>
    <col width="13" customWidth="1" min="12" max="12"/>
    <col width="19" customWidth="1" min="13" max="13"/>
    <col width="25" customWidth="1" min="14" max="14"/>
    <col width="13" customWidth="1" min="15" max="15"/>
    <col width="14" customWidth="1" min="16" max="16"/>
    <col width="15" customWidth="1" min="17" max="17"/>
    <col width="32" customWidth="1" min="18" max="18"/>
    <col width="20" customWidth="1" min="19" max="19"/>
  </cols>
  <sheetData>
    <row r="1" ht="26" customHeight="1">
      <c r="A1" s="1" t="inlineStr">
        <is>
          <t>Entry — one shipment line at a time</t>
        </is>
      </c>
    </row>
    <row r="2">
      <c r="A2" s="7" t="inlineStr">
        <is>
          <t>Pale-green cells are inputs. Dropdown fields must use the stated value. Leave a line fully blank until it is ready to enter.</t>
        </is>
      </c>
    </row>
    <row r="3" ht="34" customHeight="1">
      <c r="A3" s="2" t="inlineStr">
        <is>
          <t>Line No.</t>
        </is>
      </c>
      <c r="B3" s="2" t="inlineStr">
        <is>
          <t>Shipment ID</t>
        </is>
      </c>
      <c r="C3" s="2" t="inlineStr">
        <is>
          <t>Cust ID</t>
        </is>
      </c>
      <c r="D3" s="2" t="inlineStr">
        <is>
          <t>customer_name</t>
        </is>
      </c>
      <c r="E3" s="2" t="inlineStr">
        <is>
          <t>Shipment Date</t>
        </is>
      </c>
      <c r="F3" s="2" t="inlineStr">
        <is>
          <t>SKU</t>
        </is>
      </c>
      <c r="G3" s="2" t="inlineStr">
        <is>
          <t>Shipment status</t>
        </is>
      </c>
      <c r="H3" s="2" t="inlineStr">
        <is>
          <t>Qty Ordered</t>
        </is>
      </c>
      <c r="I3" s="2" t="inlineStr">
        <is>
          <t>Qty Shipped</t>
        </is>
      </c>
      <c r="J3" s="2" t="inlineStr">
        <is>
          <t>Same-cycle Backorder Qty</t>
        </is>
      </c>
      <c r="K3" s="2" t="inlineStr">
        <is>
          <t>Backorder status</t>
        </is>
      </c>
      <c r="L3" s="2" t="inlineStr">
        <is>
          <t>Unit Price</t>
        </is>
      </c>
      <c r="M3" s="2" t="inlineStr">
        <is>
          <t>Unit Order Multiple</t>
        </is>
      </c>
      <c r="N3" s="2" t="inlineStr">
        <is>
          <t>Drop-ship state treatment</t>
        </is>
      </c>
      <c r="O3" s="2" t="inlineStr">
        <is>
          <t>Origin State</t>
        </is>
      </c>
      <c r="P3" s="2" t="inlineStr">
        <is>
          <t>Shipping State</t>
        </is>
      </c>
      <c r="Q3" s="2" t="inlineStr">
        <is>
          <t>Freight Basis</t>
        </is>
      </c>
      <c r="R3" s="2" t="inlineStr">
        <is>
          <t>Charge Category</t>
        </is>
      </c>
      <c r="S3" s="2" t="inlineStr">
        <is>
          <t>Entered Charge Amount</t>
        </is>
      </c>
    </row>
    <row r="4">
      <c r="A4" s="8" t="n"/>
      <c r="B4" s="8" t="n"/>
      <c r="C4" s="8" t="n"/>
      <c r="D4" s="8" t="n"/>
      <c r="E4" s="23" t="n"/>
      <c r="F4" s="8" t="n"/>
      <c r="G4" s="8" t="n"/>
      <c r="H4" s="10" t="n"/>
      <c r="I4" s="10" t="n"/>
      <c r="J4" s="10" t="n"/>
      <c r="K4" s="8" t="n"/>
      <c r="L4" s="24" t="n"/>
      <c r="M4" s="10" t="n"/>
      <c r="N4" s="8" t="n"/>
      <c r="O4" s="8" t="n"/>
      <c r="P4" s="8" t="n"/>
      <c r="Q4" s="24" t="n"/>
      <c r="R4" s="8" t="n"/>
      <c r="S4" s="24" t="n"/>
    </row>
    <row r="5">
      <c r="A5" s="8" t="n"/>
      <c r="B5" s="8" t="n"/>
      <c r="C5" s="8" t="n"/>
      <c r="D5" s="8" t="n"/>
      <c r="E5" s="23" t="n"/>
      <c r="F5" s="8" t="n"/>
      <c r="G5" s="8" t="n"/>
      <c r="H5" s="10" t="n"/>
      <c r="I5" s="10" t="n"/>
      <c r="J5" s="10" t="n"/>
      <c r="K5" s="8" t="n"/>
      <c r="L5" s="24" t="n"/>
      <c r="M5" s="10" t="n"/>
      <c r="N5" s="8" t="n"/>
      <c r="O5" s="8" t="n"/>
      <c r="P5" s="8" t="n"/>
      <c r="Q5" s="24" t="n"/>
      <c r="R5" s="8" t="n"/>
      <c r="S5" s="24" t="n"/>
    </row>
    <row r="6">
      <c r="A6" s="8" t="n"/>
      <c r="B6" s="8" t="n"/>
      <c r="C6" s="8" t="n"/>
      <c r="D6" s="8" t="n"/>
      <c r="E6" s="23" t="n"/>
      <c r="F6" s="8" t="n"/>
      <c r="G6" s="8" t="n"/>
      <c r="H6" s="10" t="n"/>
      <c r="I6" s="10" t="n"/>
      <c r="J6" s="10" t="n"/>
      <c r="K6" s="8" t="n"/>
      <c r="L6" s="24" t="n"/>
      <c r="M6" s="10" t="n"/>
      <c r="N6" s="8" t="n"/>
      <c r="O6" s="8" t="n"/>
      <c r="P6" s="8" t="n"/>
      <c r="Q6" s="24" t="n"/>
      <c r="R6" s="8" t="n"/>
      <c r="S6" s="24" t="n"/>
    </row>
    <row r="7">
      <c r="A7" s="8" t="n"/>
      <c r="B7" s="8" t="n"/>
      <c r="C7" s="8" t="n"/>
      <c r="D7" s="8" t="n"/>
      <c r="E7" s="23" t="n"/>
      <c r="F7" s="8" t="n"/>
      <c r="G7" s="8" t="n"/>
      <c r="H7" s="10" t="n"/>
      <c r="I7" s="10" t="n"/>
      <c r="J7" s="10" t="n"/>
      <c r="K7" s="8" t="n"/>
      <c r="L7" s="24" t="n"/>
      <c r="M7" s="10" t="n"/>
      <c r="N7" s="8" t="n"/>
      <c r="O7" s="8" t="n"/>
      <c r="P7" s="8" t="n"/>
      <c r="Q7" s="24" t="n"/>
      <c r="R7" s="8" t="n"/>
      <c r="S7" s="24" t="n"/>
    </row>
    <row r="8">
      <c r="A8" s="8" t="n"/>
      <c r="B8" s="8" t="n"/>
      <c r="C8" s="8" t="n"/>
      <c r="D8" s="8" t="n"/>
      <c r="E8" s="23" t="n"/>
      <c r="F8" s="8" t="n"/>
      <c r="G8" s="8" t="n"/>
      <c r="H8" s="10" t="n"/>
      <c r="I8" s="10" t="n"/>
      <c r="J8" s="10" t="n"/>
      <c r="K8" s="8" t="n"/>
      <c r="L8" s="24" t="n"/>
      <c r="M8" s="10" t="n"/>
      <c r="N8" s="8" t="n"/>
      <c r="O8" s="8" t="n"/>
      <c r="P8" s="8" t="n"/>
      <c r="Q8" s="24" t="n"/>
      <c r="R8" s="8" t="n"/>
      <c r="S8" s="24" t="n"/>
    </row>
    <row r="9">
      <c r="A9" s="8" t="n"/>
      <c r="B9" s="8" t="n"/>
      <c r="C9" s="8" t="n"/>
      <c r="D9" s="8" t="n"/>
      <c r="E9" s="23" t="n"/>
      <c r="F9" s="8" t="n"/>
      <c r="G9" s="8" t="n"/>
      <c r="H9" s="10" t="n"/>
      <c r="I9" s="10" t="n"/>
      <c r="J9" s="10" t="n"/>
      <c r="K9" s="8" t="n"/>
      <c r="L9" s="24" t="n"/>
      <c r="M9" s="10" t="n"/>
      <c r="N9" s="8" t="n"/>
      <c r="O9" s="8" t="n"/>
      <c r="P9" s="8" t="n"/>
      <c r="Q9" s="24" t="n"/>
      <c r="R9" s="8" t="n"/>
      <c r="S9" s="24" t="n"/>
    </row>
    <row r="10">
      <c r="A10" s="8" t="n"/>
      <c r="B10" s="8" t="n"/>
      <c r="C10" s="8" t="n"/>
      <c r="D10" s="8" t="n"/>
      <c r="E10" s="23" t="n"/>
      <c r="F10" s="8" t="n"/>
      <c r="G10" s="8" t="n"/>
      <c r="H10" s="10" t="n"/>
      <c r="I10" s="10" t="n"/>
      <c r="J10" s="10" t="n"/>
      <c r="K10" s="8" t="n"/>
      <c r="L10" s="24" t="n"/>
      <c r="M10" s="10" t="n"/>
      <c r="N10" s="8" t="n"/>
      <c r="O10" s="8" t="n"/>
      <c r="P10" s="8" t="n"/>
      <c r="Q10" s="24" t="n"/>
      <c r="R10" s="8" t="n"/>
      <c r="S10" s="24" t="n"/>
    </row>
    <row r="11">
      <c r="A11" s="8" t="n"/>
      <c r="B11" s="8" t="n"/>
      <c r="C11" s="8" t="n"/>
      <c r="D11" s="8" t="n"/>
      <c r="E11" s="23" t="n"/>
      <c r="F11" s="8" t="n"/>
      <c r="G11" s="8" t="n"/>
      <c r="H11" s="10" t="n"/>
      <c r="I11" s="10" t="n"/>
      <c r="J11" s="10" t="n"/>
      <c r="K11" s="8" t="n"/>
      <c r="L11" s="24" t="n"/>
      <c r="M11" s="10" t="n"/>
      <c r="N11" s="8" t="n"/>
      <c r="O11" s="8" t="n"/>
      <c r="P11" s="8" t="n"/>
      <c r="Q11" s="24" t="n"/>
      <c r="R11" s="8" t="n"/>
      <c r="S11" s="24" t="n"/>
    </row>
    <row r="12">
      <c r="A12" s="8" t="n"/>
      <c r="B12" s="8" t="n"/>
      <c r="C12" s="8" t="n"/>
      <c r="D12" s="8" t="n"/>
      <c r="E12" s="23" t="n"/>
      <c r="F12" s="8" t="n"/>
      <c r="G12" s="8" t="n"/>
      <c r="H12" s="10" t="n"/>
      <c r="I12" s="10" t="n"/>
      <c r="J12" s="10" t="n"/>
      <c r="K12" s="8" t="n"/>
      <c r="L12" s="24" t="n"/>
      <c r="M12" s="10" t="n"/>
      <c r="N12" s="8" t="n"/>
      <c r="O12" s="8" t="n"/>
      <c r="P12" s="8" t="n"/>
      <c r="Q12" s="24" t="n"/>
      <c r="R12" s="8" t="n"/>
      <c r="S12" s="24" t="n"/>
    </row>
    <row r="13">
      <c r="A13" s="8" t="n"/>
      <c r="B13" s="8" t="n"/>
      <c r="C13" s="8" t="n"/>
      <c r="D13" s="8" t="n"/>
      <c r="E13" s="23" t="n"/>
      <c r="F13" s="8" t="n"/>
      <c r="G13" s="8" t="n"/>
      <c r="H13" s="10" t="n"/>
      <c r="I13" s="10" t="n"/>
      <c r="J13" s="10" t="n"/>
      <c r="K13" s="8" t="n"/>
      <c r="L13" s="24" t="n"/>
      <c r="M13" s="10" t="n"/>
      <c r="N13" s="8" t="n"/>
      <c r="O13" s="8" t="n"/>
      <c r="P13" s="8" t="n"/>
      <c r="Q13" s="24" t="n"/>
      <c r="R13" s="8" t="n"/>
      <c r="S13" s="24" t="n"/>
    </row>
    <row r="14">
      <c r="A14" s="8" t="n"/>
      <c r="B14" s="8" t="n"/>
      <c r="C14" s="8" t="n"/>
      <c r="D14" s="8" t="n"/>
      <c r="E14" s="23" t="n"/>
      <c r="F14" s="8" t="n"/>
      <c r="G14" s="8" t="n"/>
      <c r="H14" s="10" t="n"/>
      <c r="I14" s="10" t="n"/>
      <c r="J14" s="10" t="n"/>
      <c r="K14" s="8" t="n"/>
      <c r="L14" s="24" t="n"/>
      <c r="M14" s="10" t="n"/>
      <c r="N14" s="8" t="n"/>
      <c r="O14" s="8" t="n"/>
      <c r="P14" s="8" t="n"/>
      <c r="Q14" s="24" t="n"/>
      <c r="R14" s="8" t="n"/>
      <c r="S14" s="24" t="n"/>
    </row>
    <row r="15">
      <c r="A15" s="8" t="n"/>
      <c r="B15" s="8" t="n"/>
      <c r="C15" s="8" t="n"/>
      <c r="D15" s="8" t="n"/>
      <c r="E15" s="23" t="n"/>
      <c r="F15" s="8" t="n"/>
      <c r="G15" s="8" t="n"/>
      <c r="H15" s="10" t="n"/>
      <c r="I15" s="10" t="n"/>
      <c r="J15" s="10" t="n"/>
      <c r="K15" s="8" t="n"/>
      <c r="L15" s="24" t="n"/>
      <c r="M15" s="10" t="n"/>
      <c r="N15" s="8" t="n"/>
      <c r="O15" s="8" t="n"/>
      <c r="P15" s="8" t="n"/>
      <c r="Q15" s="24" t="n"/>
      <c r="R15" s="8" t="n"/>
      <c r="S15" s="24" t="n"/>
    </row>
    <row r="16">
      <c r="A16" s="8" t="n"/>
      <c r="B16" s="8" t="n"/>
      <c r="C16" s="8" t="n"/>
      <c r="D16" s="8" t="n"/>
      <c r="E16" s="23" t="n"/>
      <c r="F16" s="8" t="n"/>
      <c r="G16" s="8" t="n"/>
      <c r="H16" s="10" t="n"/>
      <c r="I16" s="10" t="n"/>
      <c r="J16" s="10" t="n"/>
      <c r="K16" s="8" t="n"/>
      <c r="L16" s="24" t="n"/>
      <c r="M16" s="10" t="n"/>
      <c r="N16" s="8" t="n"/>
      <c r="O16" s="8" t="n"/>
      <c r="P16" s="8" t="n"/>
      <c r="Q16" s="24" t="n"/>
      <c r="R16" s="8" t="n"/>
      <c r="S16" s="24" t="n"/>
    </row>
    <row r="17">
      <c r="A17" s="8" t="n"/>
      <c r="B17" s="8" t="n"/>
      <c r="C17" s="8" t="n"/>
      <c r="D17" s="8" t="n"/>
      <c r="E17" s="23" t="n"/>
      <c r="F17" s="8" t="n"/>
      <c r="G17" s="8" t="n"/>
      <c r="H17" s="10" t="n"/>
      <c r="I17" s="10" t="n"/>
      <c r="J17" s="10" t="n"/>
      <c r="K17" s="8" t="n"/>
      <c r="L17" s="24" t="n"/>
      <c r="M17" s="10" t="n"/>
      <c r="N17" s="8" t="n"/>
      <c r="O17" s="8" t="n"/>
      <c r="P17" s="8" t="n"/>
      <c r="Q17" s="24" t="n"/>
      <c r="R17" s="8" t="n"/>
      <c r="S17" s="24" t="n"/>
    </row>
    <row r="18">
      <c r="A18" s="8" t="n"/>
      <c r="B18" s="8" t="n"/>
      <c r="C18" s="8" t="n"/>
      <c r="D18" s="8" t="n"/>
      <c r="E18" s="23" t="n"/>
      <c r="F18" s="8" t="n"/>
      <c r="G18" s="8" t="n"/>
      <c r="H18" s="10" t="n"/>
      <c r="I18" s="10" t="n"/>
      <c r="J18" s="10" t="n"/>
      <c r="K18" s="8" t="n"/>
      <c r="L18" s="24" t="n"/>
      <c r="M18" s="10" t="n"/>
      <c r="N18" s="8" t="n"/>
      <c r="O18" s="8" t="n"/>
      <c r="P18" s="8" t="n"/>
      <c r="Q18" s="24" t="n"/>
      <c r="R18" s="8" t="n"/>
      <c r="S18" s="24" t="n"/>
    </row>
    <row r="19">
      <c r="A19" s="8" t="n"/>
      <c r="B19" s="8" t="n"/>
      <c r="C19" s="8" t="n"/>
      <c r="D19" s="8" t="n"/>
      <c r="E19" s="23" t="n"/>
      <c r="F19" s="8" t="n"/>
      <c r="G19" s="8" t="n"/>
      <c r="H19" s="10" t="n"/>
      <c r="I19" s="10" t="n"/>
      <c r="J19" s="10" t="n"/>
      <c r="K19" s="8" t="n"/>
      <c r="L19" s="24" t="n"/>
      <c r="M19" s="10" t="n"/>
      <c r="N19" s="8" t="n"/>
      <c r="O19" s="8" t="n"/>
      <c r="P19" s="8" t="n"/>
      <c r="Q19" s="24" t="n"/>
      <c r="R19" s="8" t="n"/>
      <c r="S19" s="24" t="n"/>
    </row>
    <row r="20">
      <c r="A20" s="8" t="n"/>
      <c r="B20" s="8" t="n"/>
      <c r="C20" s="8" t="n"/>
      <c r="D20" s="8" t="n"/>
      <c r="E20" s="23" t="n"/>
      <c r="F20" s="8" t="n"/>
      <c r="G20" s="8" t="n"/>
      <c r="H20" s="10" t="n"/>
      <c r="I20" s="10" t="n"/>
      <c r="J20" s="10" t="n"/>
      <c r="K20" s="8" t="n"/>
      <c r="L20" s="24" t="n"/>
      <c r="M20" s="10" t="n"/>
      <c r="N20" s="8" t="n"/>
      <c r="O20" s="8" t="n"/>
      <c r="P20" s="8" t="n"/>
      <c r="Q20" s="24" t="n"/>
      <c r="R20" s="8" t="n"/>
      <c r="S20" s="24" t="n"/>
    </row>
    <row r="21">
      <c r="A21" s="8" t="n"/>
      <c r="B21" s="8" t="n"/>
      <c r="C21" s="8" t="n"/>
      <c r="D21" s="8" t="n"/>
      <c r="E21" s="23" t="n"/>
      <c r="F21" s="8" t="n"/>
      <c r="G21" s="8" t="n"/>
      <c r="H21" s="10" t="n"/>
      <c r="I21" s="10" t="n"/>
      <c r="J21" s="10" t="n"/>
      <c r="K21" s="8" t="n"/>
      <c r="L21" s="24" t="n"/>
      <c r="M21" s="10" t="n"/>
      <c r="N21" s="8" t="n"/>
      <c r="O21" s="8" t="n"/>
      <c r="P21" s="8" t="n"/>
      <c r="Q21" s="24" t="n"/>
      <c r="R21" s="8" t="n"/>
      <c r="S21" s="24" t="n"/>
    </row>
    <row r="22">
      <c r="A22" s="8" t="n"/>
      <c r="B22" s="8" t="n"/>
      <c r="C22" s="8" t="n"/>
      <c r="D22" s="8" t="n"/>
      <c r="E22" s="23" t="n"/>
      <c r="F22" s="8" t="n"/>
      <c r="G22" s="8" t="n"/>
      <c r="H22" s="10" t="n"/>
      <c r="I22" s="10" t="n"/>
      <c r="J22" s="10" t="n"/>
      <c r="K22" s="8" t="n"/>
      <c r="L22" s="24" t="n"/>
      <c r="M22" s="10" t="n"/>
      <c r="N22" s="8" t="n"/>
      <c r="O22" s="8" t="n"/>
      <c r="P22" s="8" t="n"/>
      <c r="Q22" s="24" t="n"/>
      <c r="R22" s="8" t="n"/>
      <c r="S22" s="24" t="n"/>
    </row>
    <row r="23">
      <c r="A23" s="8" t="n"/>
      <c r="B23" s="8" t="n"/>
      <c r="C23" s="8" t="n"/>
      <c r="D23" s="8" t="n"/>
      <c r="E23" s="23" t="n"/>
      <c r="F23" s="8" t="n"/>
      <c r="G23" s="8" t="n"/>
      <c r="H23" s="10" t="n"/>
      <c r="I23" s="10" t="n"/>
      <c r="J23" s="10" t="n"/>
      <c r="K23" s="8" t="n"/>
      <c r="L23" s="24" t="n"/>
      <c r="M23" s="10" t="n"/>
      <c r="N23" s="8" t="n"/>
      <c r="O23" s="8" t="n"/>
      <c r="P23" s="8" t="n"/>
      <c r="Q23" s="24" t="n"/>
      <c r="R23" s="8" t="n"/>
      <c r="S23" s="24" t="n"/>
    </row>
    <row r="24">
      <c r="A24" s="8" t="n"/>
      <c r="B24" s="8" t="n"/>
      <c r="C24" s="8" t="n"/>
      <c r="D24" s="8" t="n"/>
      <c r="E24" s="23" t="n"/>
      <c r="F24" s="8" t="n"/>
      <c r="G24" s="8" t="n"/>
      <c r="H24" s="10" t="n"/>
      <c r="I24" s="10" t="n"/>
      <c r="J24" s="10" t="n"/>
      <c r="K24" s="8" t="n"/>
      <c r="L24" s="24" t="n"/>
      <c r="M24" s="10" t="n"/>
      <c r="N24" s="8" t="n"/>
      <c r="O24" s="8" t="n"/>
      <c r="P24" s="8" t="n"/>
      <c r="Q24" s="24" t="n"/>
      <c r="R24" s="8" t="n"/>
      <c r="S24" s="24" t="n"/>
    </row>
    <row r="25">
      <c r="A25" s="8" t="n"/>
      <c r="B25" s="8" t="n"/>
      <c r="C25" s="8" t="n"/>
      <c r="D25" s="8" t="n"/>
      <c r="E25" s="23" t="n"/>
      <c r="F25" s="8" t="n"/>
      <c r="G25" s="8" t="n"/>
      <c r="H25" s="10" t="n"/>
      <c r="I25" s="10" t="n"/>
      <c r="J25" s="10" t="n"/>
      <c r="K25" s="8" t="n"/>
      <c r="L25" s="24" t="n"/>
      <c r="M25" s="10" t="n"/>
      <c r="N25" s="8" t="n"/>
      <c r="O25" s="8" t="n"/>
      <c r="P25" s="8" t="n"/>
      <c r="Q25" s="24" t="n"/>
      <c r="R25" s="8" t="n"/>
      <c r="S25" s="24" t="n"/>
    </row>
    <row r="26">
      <c r="A26" s="8" t="n"/>
      <c r="B26" s="8" t="n"/>
      <c r="C26" s="8" t="n"/>
      <c r="D26" s="8" t="n"/>
      <c r="E26" s="23" t="n"/>
      <c r="F26" s="8" t="n"/>
      <c r="G26" s="8" t="n"/>
      <c r="H26" s="10" t="n"/>
      <c r="I26" s="10" t="n"/>
      <c r="J26" s="10" t="n"/>
      <c r="K26" s="8" t="n"/>
      <c r="L26" s="24" t="n"/>
      <c r="M26" s="10" t="n"/>
      <c r="N26" s="8" t="n"/>
      <c r="O26" s="8" t="n"/>
      <c r="P26" s="8" t="n"/>
      <c r="Q26" s="24" t="n"/>
      <c r="R26" s="8" t="n"/>
      <c r="S26" s="24" t="n"/>
    </row>
    <row r="27">
      <c r="A27" s="8" t="n"/>
      <c r="B27" s="8" t="n"/>
      <c r="C27" s="8" t="n"/>
      <c r="D27" s="8" t="n"/>
      <c r="E27" s="23" t="n"/>
      <c r="F27" s="8" t="n"/>
      <c r="G27" s="8" t="n"/>
      <c r="H27" s="10" t="n"/>
      <c r="I27" s="10" t="n"/>
      <c r="J27" s="10" t="n"/>
      <c r="K27" s="8" t="n"/>
      <c r="L27" s="24" t="n"/>
      <c r="M27" s="10" t="n"/>
      <c r="N27" s="8" t="n"/>
      <c r="O27" s="8" t="n"/>
      <c r="P27" s="8" t="n"/>
      <c r="Q27" s="24" t="n"/>
      <c r="R27" s="8" t="n"/>
      <c r="S27" s="24" t="n"/>
    </row>
    <row r="28">
      <c r="A28" s="8" t="n"/>
      <c r="B28" s="8" t="n"/>
      <c r="C28" s="8" t="n"/>
      <c r="D28" s="8" t="n"/>
      <c r="E28" s="23" t="n"/>
      <c r="F28" s="8" t="n"/>
      <c r="G28" s="8" t="n"/>
      <c r="H28" s="10" t="n"/>
      <c r="I28" s="10" t="n"/>
      <c r="J28" s="10" t="n"/>
      <c r="K28" s="8" t="n"/>
      <c r="L28" s="24" t="n"/>
      <c r="M28" s="10" t="n"/>
      <c r="N28" s="8" t="n"/>
      <c r="O28" s="8" t="n"/>
      <c r="P28" s="8" t="n"/>
      <c r="Q28" s="24" t="n"/>
      <c r="R28" s="8" t="n"/>
      <c r="S28" s="24" t="n"/>
    </row>
    <row r="29">
      <c r="A29" s="8" t="n"/>
      <c r="B29" s="8" t="n"/>
      <c r="C29" s="8" t="n"/>
      <c r="D29" s="8" t="n"/>
      <c r="E29" s="23" t="n"/>
      <c r="F29" s="8" t="n"/>
      <c r="G29" s="8" t="n"/>
      <c r="H29" s="10" t="n"/>
      <c r="I29" s="10" t="n"/>
      <c r="J29" s="10" t="n"/>
      <c r="K29" s="8" t="n"/>
      <c r="L29" s="24" t="n"/>
      <c r="M29" s="10" t="n"/>
      <c r="N29" s="8" t="n"/>
      <c r="O29" s="8" t="n"/>
      <c r="P29" s="8" t="n"/>
      <c r="Q29" s="24" t="n"/>
      <c r="R29" s="8" t="n"/>
      <c r="S29" s="24" t="n"/>
    </row>
    <row r="30">
      <c r="A30" s="8" t="n"/>
      <c r="B30" s="8" t="n"/>
      <c r="C30" s="8" t="n"/>
      <c r="D30" s="8" t="n"/>
      <c r="E30" s="23" t="n"/>
      <c r="F30" s="8" t="n"/>
      <c r="G30" s="8" t="n"/>
      <c r="H30" s="10" t="n"/>
      <c r="I30" s="10" t="n"/>
      <c r="J30" s="10" t="n"/>
      <c r="K30" s="8" t="n"/>
      <c r="L30" s="24" t="n"/>
      <c r="M30" s="10" t="n"/>
      <c r="N30" s="8" t="n"/>
      <c r="O30" s="8" t="n"/>
      <c r="P30" s="8" t="n"/>
      <c r="Q30" s="24" t="n"/>
      <c r="R30" s="8" t="n"/>
      <c r="S30" s="24" t="n"/>
    </row>
    <row r="31">
      <c r="A31" s="8" t="n"/>
      <c r="B31" s="8" t="n"/>
      <c r="C31" s="8" t="n"/>
      <c r="D31" s="8" t="n"/>
      <c r="E31" s="23" t="n"/>
      <c r="F31" s="8" t="n"/>
      <c r="G31" s="8" t="n"/>
      <c r="H31" s="10" t="n"/>
      <c r="I31" s="10" t="n"/>
      <c r="J31" s="10" t="n"/>
      <c r="K31" s="8" t="n"/>
      <c r="L31" s="24" t="n"/>
      <c r="M31" s="10" t="n"/>
      <c r="N31" s="8" t="n"/>
      <c r="O31" s="8" t="n"/>
      <c r="P31" s="8" t="n"/>
      <c r="Q31" s="24" t="n"/>
      <c r="R31" s="8" t="n"/>
      <c r="S31" s="24" t="n"/>
    </row>
    <row r="32">
      <c r="A32" s="8" t="n"/>
      <c r="B32" s="8" t="n"/>
      <c r="C32" s="8" t="n"/>
      <c r="D32" s="8" t="n"/>
      <c r="E32" s="23" t="n"/>
      <c r="F32" s="8" t="n"/>
      <c r="G32" s="8" t="n"/>
      <c r="H32" s="10" t="n"/>
      <c r="I32" s="10" t="n"/>
      <c r="J32" s="10" t="n"/>
      <c r="K32" s="8" t="n"/>
      <c r="L32" s="24" t="n"/>
      <c r="M32" s="10" t="n"/>
      <c r="N32" s="8" t="n"/>
      <c r="O32" s="8" t="n"/>
      <c r="P32" s="8" t="n"/>
      <c r="Q32" s="24" t="n"/>
      <c r="R32" s="8" t="n"/>
      <c r="S32" s="24" t="n"/>
    </row>
    <row r="33">
      <c r="A33" s="8" t="n"/>
      <c r="B33" s="8" t="n"/>
      <c r="C33" s="8" t="n"/>
      <c r="D33" s="8" t="n"/>
      <c r="E33" s="23" t="n"/>
      <c r="F33" s="8" t="n"/>
      <c r="G33" s="8" t="n"/>
      <c r="H33" s="10" t="n"/>
      <c r="I33" s="10" t="n"/>
      <c r="J33" s="10" t="n"/>
      <c r="K33" s="8" t="n"/>
      <c r="L33" s="24" t="n"/>
      <c r="M33" s="10" t="n"/>
      <c r="N33" s="8" t="n"/>
      <c r="O33" s="8" t="n"/>
      <c r="P33" s="8" t="n"/>
      <c r="Q33" s="24" t="n"/>
      <c r="R33" s="8" t="n"/>
      <c r="S33" s="24" t="n"/>
    </row>
    <row r="34">
      <c r="A34" s="8" t="n"/>
      <c r="B34" s="8" t="n"/>
      <c r="C34" s="8" t="n"/>
      <c r="D34" s="8" t="n"/>
      <c r="E34" s="23" t="n"/>
      <c r="F34" s="8" t="n"/>
      <c r="G34" s="8" t="n"/>
      <c r="H34" s="10" t="n"/>
      <c r="I34" s="10" t="n"/>
      <c r="J34" s="10" t="n"/>
      <c r="K34" s="8" t="n"/>
      <c r="L34" s="24" t="n"/>
      <c r="M34" s="10" t="n"/>
      <c r="N34" s="8" t="n"/>
      <c r="O34" s="8" t="n"/>
      <c r="P34" s="8" t="n"/>
      <c r="Q34" s="24" t="n"/>
      <c r="R34" s="8" t="n"/>
      <c r="S34" s="24" t="n"/>
    </row>
    <row r="35">
      <c r="A35" s="8" t="n"/>
      <c r="B35" s="8" t="n"/>
      <c r="C35" s="8" t="n"/>
      <c r="D35" s="8" t="n"/>
      <c r="E35" s="23" t="n"/>
      <c r="F35" s="8" t="n"/>
      <c r="G35" s="8" t="n"/>
      <c r="H35" s="10" t="n"/>
      <c r="I35" s="10" t="n"/>
      <c r="J35" s="10" t="n"/>
      <c r="K35" s="8" t="n"/>
      <c r="L35" s="24" t="n"/>
      <c r="M35" s="10" t="n"/>
      <c r="N35" s="8" t="n"/>
      <c r="O35" s="8" t="n"/>
      <c r="P35" s="8" t="n"/>
      <c r="Q35" s="24" t="n"/>
      <c r="R35" s="8" t="n"/>
      <c r="S35" s="24" t="n"/>
    </row>
    <row r="36">
      <c r="A36" s="8" t="n"/>
      <c r="B36" s="8" t="n"/>
      <c r="C36" s="8" t="n"/>
      <c r="D36" s="8" t="n"/>
      <c r="E36" s="23" t="n"/>
      <c r="F36" s="8" t="n"/>
      <c r="G36" s="8" t="n"/>
      <c r="H36" s="10" t="n"/>
      <c r="I36" s="10" t="n"/>
      <c r="J36" s="10" t="n"/>
      <c r="K36" s="8" t="n"/>
      <c r="L36" s="24" t="n"/>
      <c r="M36" s="10" t="n"/>
      <c r="N36" s="8" t="n"/>
      <c r="O36" s="8" t="n"/>
      <c r="P36" s="8" t="n"/>
      <c r="Q36" s="24" t="n"/>
      <c r="R36" s="8" t="n"/>
      <c r="S36" s="24" t="n"/>
    </row>
    <row r="37">
      <c r="A37" s="8" t="n"/>
      <c r="B37" s="8" t="n"/>
      <c r="C37" s="8" t="n"/>
      <c r="D37" s="8" t="n"/>
      <c r="E37" s="23" t="n"/>
      <c r="F37" s="8" t="n"/>
      <c r="G37" s="8" t="n"/>
      <c r="H37" s="10" t="n"/>
      <c r="I37" s="10" t="n"/>
      <c r="J37" s="10" t="n"/>
      <c r="K37" s="8" t="n"/>
      <c r="L37" s="24" t="n"/>
      <c r="M37" s="10" t="n"/>
      <c r="N37" s="8" t="n"/>
      <c r="O37" s="8" t="n"/>
      <c r="P37" s="8" t="n"/>
      <c r="Q37" s="24" t="n"/>
      <c r="R37" s="8" t="n"/>
      <c r="S37" s="24" t="n"/>
    </row>
    <row r="38">
      <c r="A38" s="8" t="n"/>
      <c r="B38" s="8" t="n"/>
      <c r="C38" s="8" t="n"/>
      <c r="D38" s="8" t="n"/>
      <c r="E38" s="23" t="n"/>
      <c r="F38" s="8" t="n"/>
      <c r="G38" s="8" t="n"/>
      <c r="H38" s="10" t="n"/>
      <c r="I38" s="10" t="n"/>
      <c r="J38" s="10" t="n"/>
      <c r="K38" s="8" t="n"/>
      <c r="L38" s="24" t="n"/>
      <c r="M38" s="10" t="n"/>
      <c r="N38" s="8" t="n"/>
      <c r="O38" s="8" t="n"/>
      <c r="P38" s="8" t="n"/>
      <c r="Q38" s="24" t="n"/>
      <c r="R38" s="8" t="n"/>
      <c r="S38" s="24" t="n"/>
    </row>
    <row r="39">
      <c r="A39" s="8" t="n"/>
      <c r="B39" s="8" t="n"/>
      <c r="C39" s="8" t="n"/>
      <c r="D39" s="8" t="n"/>
      <c r="E39" s="23" t="n"/>
      <c r="F39" s="8" t="n"/>
      <c r="G39" s="8" t="n"/>
      <c r="H39" s="10" t="n"/>
      <c r="I39" s="10" t="n"/>
      <c r="J39" s="10" t="n"/>
      <c r="K39" s="8" t="n"/>
      <c r="L39" s="24" t="n"/>
      <c r="M39" s="10" t="n"/>
      <c r="N39" s="8" t="n"/>
      <c r="O39" s="8" t="n"/>
      <c r="P39" s="8" t="n"/>
      <c r="Q39" s="24" t="n"/>
      <c r="R39" s="8" t="n"/>
      <c r="S39" s="24" t="n"/>
    </row>
    <row r="40">
      <c r="A40" s="8" t="n"/>
      <c r="B40" s="8" t="n"/>
      <c r="C40" s="8" t="n"/>
      <c r="D40" s="8" t="n"/>
      <c r="E40" s="23" t="n"/>
      <c r="F40" s="8" t="n"/>
      <c r="G40" s="8" t="n"/>
      <c r="H40" s="10" t="n"/>
      <c r="I40" s="10" t="n"/>
      <c r="J40" s="10" t="n"/>
      <c r="K40" s="8" t="n"/>
      <c r="L40" s="24" t="n"/>
      <c r="M40" s="10" t="n"/>
      <c r="N40" s="8" t="n"/>
      <c r="O40" s="8" t="n"/>
      <c r="P40" s="8" t="n"/>
      <c r="Q40" s="24" t="n"/>
      <c r="R40" s="8" t="n"/>
      <c r="S40" s="24" t="n"/>
    </row>
    <row r="41">
      <c r="A41" s="8" t="n"/>
      <c r="B41" s="8" t="n"/>
      <c r="C41" s="8" t="n"/>
      <c r="D41" s="8" t="n"/>
      <c r="E41" s="23" t="n"/>
      <c r="F41" s="8" t="n"/>
      <c r="G41" s="8" t="n"/>
      <c r="H41" s="10" t="n"/>
      <c r="I41" s="10" t="n"/>
      <c r="J41" s="10" t="n"/>
      <c r="K41" s="8" t="n"/>
      <c r="L41" s="24" t="n"/>
      <c r="M41" s="10" t="n"/>
      <c r="N41" s="8" t="n"/>
      <c r="O41" s="8" t="n"/>
      <c r="P41" s="8" t="n"/>
      <c r="Q41" s="24" t="n"/>
      <c r="R41" s="8" t="n"/>
      <c r="S41" s="24" t="n"/>
    </row>
    <row r="42">
      <c r="A42" s="8" t="n"/>
      <c r="B42" s="8" t="n"/>
      <c r="C42" s="8" t="n"/>
      <c r="D42" s="8" t="n"/>
      <c r="E42" s="23" t="n"/>
      <c r="F42" s="8" t="n"/>
      <c r="G42" s="8" t="n"/>
      <c r="H42" s="10" t="n"/>
      <c r="I42" s="10" t="n"/>
      <c r="J42" s="10" t="n"/>
      <c r="K42" s="8" t="n"/>
      <c r="L42" s="24" t="n"/>
      <c r="M42" s="10" t="n"/>
      <c r="N42" s="8" t="n"/>
      <c r="O42" s="8" t="n"/>
      <c r="P42" s="8" t="n"/>
      <c r="Q42" s="24" t="n"/>
      <c r="R42" s="8" t="n"/>
      <c r="S42" s="24" t="n"/>
    </row>
    <row r="43">
      <c r="A43" s="8" t="n"/>
      <c r="B43" s="8" t="n"/>
      <c r="C43" s="8" t="n"/>
      <c r="D43" s="8" t="n"/>
      <c r="E43" s="23" t="n"/>
      <c r="F43" s="8" t="n"/>
      <c r="G43" s="8" t="n"/>
      <c r="H43" s="10" t="n"/>
      <c r="I43" s="10" t="n"/>
      <c r="J43" s="10" t="n"/>
      <c r="K43" s="8" t="n"/>
      <c r="L43" s="24" t="n"/>
      <c r="M43" s="10" t="n"/>
      <c r="N43" s="8" t="n"/>
      <c r="O43" s="8" t="n"/>
      <c r="P43" s="8" t="n"/>
      <c r="Q43" s="24" t="n"/>
      <c r="R43" s="8" t="n"/>
      <c r="S43" s="24" t="n"/>
    </row>
    <row r="44">
      <c r="A44" s="8" t="n"/>
      <c r="B44" s="8" t="n"/>
      <c r="C44" s="8" t="n"/>
      <c r="D44" s="8" t="n"/>
      <c r="E44" s="23" t="n"/>
      <c r="F44" s="8" t="n"/>
      <c r="G44" s="8" t="n"/>
      <c r="H44" s="10" t="n"/>
      <c r="I44" s="10" t="n"/>
      <c r="J44" s="10" t="n"/>
      <c r="K44" s="8" t="n"/>
      <c r="L44" s="24" t="n"/>
      <c r="M44" s="10" t="n"/>
      <c r="N44" s="8" t="n"/>
      <c r="O44" s="8" t="n"/>
      <c r="P44" s="8" t="n"/>
      <c r="Q44" s="24" t="n"/>
      <c r="R44" s="8" t="n"/>
      <c r="S44" s="24" t="n"/>
    </row>
    <row r="45">
      <c r="A45" s="8" t="n"/>
      <c r="B45" s="8" t="n"/>
      <c r="C45" s="8" t="n"/>
      <c r="D45" s="8" t="n"/>
      <c r="E45" s="23" t="n"/>
      <c r="F45" s="8" t="n"/>
      <c r="G45" s="8" t="n"/>
      <c r="H45" s="10" t="n"/>
      <c r="I45" s="10" t="n"/>
      <c r="J45" s="10" t="n"/>
      <c r="K45" s="8" t="n"/>
      <c r="L45" s="24" t="n"/>
      <c r="M45" s="10" t="n"/>
      <c r="N45" s="8" t="n"/>
      <c r="O45" s="8" t="n"/>
      <c r="P45" s="8" t="n"/>
      <c r="Q45" s="24" t="n"/>
      <c r="R45" s="8" t="n"/>
      <c r="S45" s="24" t="n"/>
    </row>
    <row r="46">
      <c r="A46" s="8" t="n"/>
      <c r="B46" s="8" t="n"/>
      <c r="C46" s="8" t="n"/>
      <c r="D46" s="8" t="n"/>
      <c r="E46" s="23" t="n"/>
      <c r="F46" s="8" t="n"/>
      <c r="G46" s="8" t="n"/>
      <c r="H46" s="10" t="n"/>
      <c r="I46" s="10" t="n"/>
      <c r="J46" s="10" t="n"/>
      <c r="K46" s="8" t="n"/>
      <c r="L46" s="24" t="n"/>
      <c r="M46" s="10" t="n"/>
      <c r="N46" s="8" t="n"/>
      <c r="O46" s="8" t="n"/>
      <c r="P46" s="8" t="n"/>
      <c r="Q46" s="24" t="n"/>
      <c r="R46" s="8" t="n"/>
      <c r="S46" s="24" t="n"/>
    </row>
    <row r="47">
      <c r="A47" s="8" t="n"/>
      <c r="B47" s="8" t="n"/>
      <c r="C47" s="8" t="n"/>
      <c r="D47" s="8" t="n"/>
      <c r="E47" s="23" t="n"/>
      <c r="F47" s="8" t="n"/>
      <c r="G47" s="8" t="n"/>
      <c r="H47" s="10" t="n"/>
      <c r="I47" s="10" t="n"/>
      <c r="J47" s="10" t="n"/>
      <c r="K47" s="8" t="n"/>
      <c r="L47" s="24" t="n"/>
      <c r="M47" s="10" t="n"/>
      <c r="N47" s="8" t="n"/>
      <c r="O47" s="8" t="n"/>
      <c r="P47" s="8" t="n"/>
      <c r="Q47" s="24" t="n"/>
      <c r="R47" s="8" t="n"/>
      <c r="S47" s="24" t="n"/>
    </row>
    <row r="48">
      <c r="A48" s="8" t="n"/>
      <c r="B48" s="8" t="n"/>
      <c r="C48" s="8" t="n"/>
      <c r="D48" s="8" t="n"/>
      <c r="E48" s="23" t="n"/>
      <c r="F48" s="8" t="n"/>
      <c r="G48" s="8" t="n"/>
      <c r="H48" s="10" t="n"/>
      <c r="I48" s="10" t="n"/>
      <c r="J48" s="10" t="n"/>
      <c r="K48" s="8" t="n"/>
      <c r="L48" s="24" t="n"/>
      <c r="M48" s="10" t="n"/>
      <c r="N48" s="8" t="n"/>
      <c r="O48" s="8" t="n"/>
      <c r="P48" s="8" t="n"/>
      <c r="Q48" s="24" t="n"/>
      <c r="R48" s="8" t="n"/>
      <c r="S48" s="24" t="n"/>
    </row>
    <row r="49">
      <c r="A49" s="8" t="n"/>
      <c r="B49" s="8" t="n"/>
      <c r="C49" s="8" t="n"/>
      <c r="D49" s="8" t="n"/>
      <c r="E49" s="23" t="n"/>
      <c r="F49" s="8" t="n"/>
      <c r="G49" s="8" t="n"/>
      <c r="H49" s="10" t="n"/>
      <c r="I49" s="10" t="n"/>
      <c r="J49" s="10" t="n"/>
      <c r="K49" s="8" t="n"/>
      <c r="L49" s="24" t="n"/>
      <c r="M49" s="10" t="n"/>
      <c r="N49" s="8" t="n"/>
      <c r="O49" s="8" t="n"/>
      <c r="P49" s="8" t="n"/>
      <c r="Q49" s="24" t="n"/>
      <c r="R49" s="8" t="n"/>
      <c r="S49" s="24" t="n"/>
    </row>
    <row r="50">
      <c r="A50" s="8" t="n"/>
      <c r="B50" s="8" t="n"/>
      <c r="C50" s="8" t="n"/>
      <c r="D50" s="8" t="n"/>
      <c r="E50" s="23" t="n"/>
      <c r="F50" s="8" t="n"/>
      <c r="G50" s="8" t="n"/>
      <c r="H50" s="10" t="n"/>
      <c r="I50" s="10" t="n"/>
      <c r="J50" s="10" t="n"/>
      <c r="K50" s="8" t="n"/>
      <c r="L50" s="24" t="n"/>
      <c r="M50" s="10" t="n"/>
      <c r="N50" s="8" t="n"/>
      <c r="O50" s="8" t="n"/>
      <c r="P50" s="8" t="n"/>
      <c r="Q50" s="24" t="n"/>
      <c r="R50" s="8" t="n"/>
      <c r="S50" s="24" t="n"/>
    </row>
    <row r="51">
      <c r="A51" s="8" t="n"/>
      <c r="B51" s="8" t="n"/>
      <c r="C51" s="8" t="n"/>
      <c r="D51" s="8" t="n"/>
      <c r="E51" s="23" t="n"/>
      <c r="F51" s="8" t="n"/>
      <c r="G51" s="8" t="n"/>
      <c r="H51" s="10" t="n"/>
      <c r="I51" s="10" t="n"/>
      <c r="J51" s="10" t="n"/>
      <c r="K51" s="8" t="n"/>
      <c r="L51" s="24" t="n"/>
      <c r="M51" s="10" t="n"/>
      <c r="N51" s="8" t="n"/>
      <c r="O51" s="8" t="n"/>
      <c r="P51" s="8" t="n"/>
      <c r="Q51" s="24" t="n"/>
      <c r="R51" s="8" t="n"/>
      <c r="S51" s="24" t="n"/>
    </row>
    <row r="52">
      <c r="A52" s="8" t="n"/>
      <c r="B52" s="8" t="n"/>
      <c r="C52" s="8" t="n"/>
      <c r="D52" s="8" t="n"/>
      <c r="E52" s="23" t="n"/>
      <c r="F52" s="8" t="n"/>
      <c r="G52" s="8" t="n"/>
      <c r="H52" s="10" t="n"/>
      <c r="I52" s="10" t="n"/>
      <c r="J52" s="10" t="n"/>
      <c r="K52" s="8" t="n"/>
      <c r="L52" s="24" t="n"/>
      <c r="M52" s="10" t="n"/>
      <c r="N52" s="8" t="n"/>
      <c r="O52" s="8" t="n"/>
      <c r="P52" s="8" t="n"/>
      <c r="Q52" s="24" t="n"/>
      <c r="R52" s="8" t="n"/>
      <c r="S52" s="24" t="n"/>
    </row>
    <row r="53">
      <c r="A53" s="8" t="n"/>
      <c r="B53" s="8" t="n"/>
      <c r="C53" s="8" t="n"/>
      <c r="D53" s="8" t="n"/>
      <c r="E53" s="23" t="n"/>
      <c r="F53" s="8" t="n"/>
      <c r="G53" s="8" t="n"/>
      <c r="H53" s="10" t="n"/>
      <c r="I53" s="10" t="n"/>
      <c r="J53" s="10" t="n"/>
      <c r="K53" s="8" t="n"/>
      <c r="L53" s="24" t="n"/>
      <c r="M53" s="10" t="n"/>
      <c r="N53" s="8" t="n"/>
      <c r="O53" s="8" t="n"/>
      <c r="P53" s="8" t="n"/>
      <c r="Q53" s="24" t="n"/>
      <c r="R53" s="8" t="n"/>
      <c r="S53" s="24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autoFilter ref="A3:S53"/>
  <mergeCells count="2">
    <mergeCell ref="A2:S2"/>
    <mergeCell ref="A1:S1"/>
  </mergeCells>
  <dataValidations count="5">
    <dataValidation sqref="G4:G53" showDropDown="0" showInputMessage="1" showErrorMessage="1" allowBlank="1" errorTitle="Controlled entry" error="Select a listed value from the dropdown." promptTitle="Controlled field" prompt="Use the supplied vocabulary." type="list">
      <formula1>=Shipment_Statuses</formula1>
    </dataValidation>
    <dataValidation sqref="K4:K53" showDropDown="0" showInputMessage="1" showErrorMessage="1" allowBlank="1" errorTitle="Controlled entry" error="Select a listed value from the dropdown." promptTitle="Controlled field" prompt="Use the supplied vocabulary." type="list">
      <formula1>=Backorder_Statuses</formula1>
    </dataValidation>
    <dataValidation sqref="N4:N53" showDropDown="0" showInputMessage="1" showErrorMessage="1" allowBlank="1" errorTitle="Controlled entry" error="Select a listed value from the dropdown." promptTitle="Controlled field" prompt="Use the supplied vocabulary." type="list">
      <formula1>=Drop_Ship_Treatments</formula1>
    </dataValidation>
    <dataValidation sqref="O4:P53" showDropDown="0" showInputMessage="1" showErrorMessage="1" allowBlank="1" errorTitle="Controlled entry" error="Select a listed value from the dropdown." promptTitle="Controlled field" prompt="Use the supplied vocabulary." type="list">
      <formula1>=Shipping_States</formula1>
    </dataValidation>
    <dataValidation sqref="R4:R53" showDropDown="0" showInputMessage="1" showErrorMessage="1" allowBlank="1" errorTitle="Controlled entry" error="Select a listed value from the dropdown." promptTitle="Controlled field" prompt="Use the supplied vocabulary." type="list">
      <formula1>=Charge_Categories</formula1>
    </dataValidation>
  </dataValidations>
  <pageMargins left="0.75" right="0.75" top="1" bottom="1" header="0.5" footer="0.5"/>
  <headerFooter>
    <oddHeader/>
    <oddFooter>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2" customWidth="1" min="3" max="3"/>
    <col width="17" customWidth="1" min="4" max="4"/>
    <col width="22" customWidth="1" min="5" max="5"/>
    <col width="16" customWidth="1" min="6" max="6"/>
    <col width="14" customWidth="1" min="7" max="7"/>
    <col width="26" customWidth="1" min="8" max="8"/>
    <col width="18" customWidth="1" min="9" max="9"/>
    <col width="25" customWidth="1" min="10" max="10"/>
  </cols>
  <sheetData>
    <row r="1" ht="26" customHeight="1">
      <c r="A1" s="1" t="inlineStr">
        <is>
          <t>Calculation — review and print</t>
        </is>
      </c>
    </row>
    <row r="2">
      <c r="A2" s="7" t="inlineStr">
        <is>
          <t>Formula cells are protected. Yellow = complete missing facts; red = uncovered allowance basis; review the clause ID beside each result.</t>
        </is>
      </c>
    </row>
    <row r="3" ht="34" customHeight="1">
      <c r="A3" s="2" t="inlineStr">
        <is>
          <t>Line No.</t>
        </is>
      </c>
      <c r="B3" s="2" t="inlineStr">
        <is>
          <t>Shipment ID</t>
        </is>
      </c>
      <c r="C3" s="2" t="inlineStr">
        <is>
          <t>Review status</t>
        </is>
      </c>
      <c r="D3" s="2" t="inlineStr">
        <is>
          <t>Short-shipped Qty</t>
        </is>
      </c>
      <c r="E3" s="2" t="inlineStr">
        <is>
          <t>Same-cycle Backorder Qty</t>
        </is>
      </c>
      <c r="F3" s="2" t="inlineStr">
        <is>
          <t>Chargeable Qty</t>
        </is>
      </c>
      <c r="G3" s="2" t="inlineStr">
        <is>
          <t>Rounded Qty</t>
        </is>
      </c>
      <c r="H3" s="2" t="inlineStr">
        <is>
          <t>Allowance / coverage</t>
        </is>
      </c>
      <c r="I3" s="2" t="inlineStr">
        <is>
          <t>Chargeback amount</t>
        </is>
      </c>
      <c r="J3" s="2" t="inlineStr">
        <is>
          <t>Clause ID</t>
        </is>
      </c>
    </row>
    <row r="4">
      <c r="A4" s="12">
        <f>IF(COUNTA(Entry!$B4:$S4)=0,"",Entry!$A4)</f>
        <v/>
      </c>
      <c r="B4" s="12">
        <f>IF(COUNTA(Entry!$B4:$S4)=0,"",Entry!$B4)</f>
        <v/>
      </c>
      <c r="C4" s="12">
        <f>IF(COUNTA(Entry!$B4:$S4)=0,"",IF(OR(Entry!$B4="",Entry!$C4="",Entry!$D4="",Entry!$E4="",Entry!$F4="",Entry!$G4="",Entry!$H4="",Entry!$I4="",Entry!$J4="",Entry!$K4="",Entry!$L4="",Entry!$M4="",Entry!$N4="",Entry!$O4="",Entry!$P4="",Entry!$Q4="",Entry!$R4="",AND(OR(Entry!$R4="Freight Allowance Chargeback",Entry!$R4="Illinois Shipping Chargeback"),Entry!$S4="")),"MISSING REQUIRED FACT","READY"))</f>
        <v/>
      </c>
      <c r="D4" s="13">
        <f>IF($C4&lt;&gt;"READY","",MAX(Entry!$H4-Entry!$I4-IF(Entry!$K4="Fulfilled Same Cycle",Entry!$J4,0),0))</f>
        <v/>
      </c>
      <c r="E4" s="13">
        <f>IF($C4&lt;&gt;"READY","",IF(Entry!$K4="Fulfilled Same Cycle",Entry!$J4,0))</f>
        <v/>
      </c>
      <c r="F4" s="13">
        <f>IF($C4&lt;&gt;"READY","",$D4)</f>
        <v/>
      </c>
      <c r="G4" s="13">
        <f>IF($C4&lt;&gt;"READY","",CEILING($F4/Entry!$M4,1)*Entry!$M4)</f>
        <v/>
      </c>
      <c r="H4" s="14">
        <f>IF($C4&lt;&gt;"READY","",IF(Entry!$R4="Order Accuracy Chargeback","N/A — order accuracy",IF(OR(Entry!$Q4&lt;MIN(INDEX(Allowance_Table,0,1)),Entry!$Q4&gt;MAX(INDEX(Allowance_Table,0,2))),"UNCOVERED—REVIEW",INDEX(Allowance_Table,MATCH(Entry!$Q4,INDEX(Allowance_Table,0,1),1),3))))</f>
        <v/>
      </c>
      <c r="I4" s="25">
        <f>IF($C4&lt;&gt;"READY","",IF($H4="UNCOVERED—REVIEW","",IF(Entry!$R4="Order Accuracy Chargeback",$G4*Entry!$L4,IF(Entry!$R4="Freight Allowance Chargeback",MAX(Entry!$S4-$H4,0),IF(Entry!$R4="Illinois Shipping Chargeback",IF(Entry!$P4="IL",Entry!$S4,0),"")))))</f>
        <v/>
      </c>
      <c r="J4" s="12">
        <f>IF($C4&lt;&gt;"READY","",IF($H4="UNCOVERED—REVIEW","CB-07",INDEX(Category_Clauses,MATCH(Entry!$R4,INDEX(Category_Clauses,0,1),0),2)))</f>
        <v/>
      </c>
    </row>
    <row r="5">
      <c r="A5" s="12">
        <f>IF(COUNTA(Entry!$B5:$S5)=0,"",Entry!$A5)</f>
        <v/>
      </c>
      <c r="B5" s="12">
        <f>IF(COUNTA(Entry!$B5:$S5)=0,"",Entry!$B5)</f>
        <v/>
      </c>
      <c r="C5" s="12">
        <f>IF(COUNTA(Entry!$B5:$S5)=0,"",IF(OR(Entry!$B5="",Entry!$C5="",Entry!$D5="",Entry!$E5="",Entry!$F5="",Entry!$G5="",Entry!$H5="",Entry!$I5="",Entry!$J5="",Entry!$K5="",Entry!$L5="",Entry!$M5="",Entry!$N5="",Entry!$O5="",Entry!$P5="",Entry!$Q5="",Entry!$R5="",AND(OR(Entry!$R5="Freight Allowance Chargeback",Entry!$R5="Illinois Shipping Chargeback"),Entry!$S5="")),"MISSING REQUIRED FACT","READY"))</f>
        <v/>
      </c>
      <c r="D5" s="13">
        <f>IF($C5&lt;&gt;"READY","",MAX(Entry!$H5-Entry!$I5-IF(Entry!$K5="Fulfilled Same Cycle",Entry!$J5,0),0))</f>
        <v/>
      </c>
      <c r="E5" s="13">
        <f>IF($C5&lt;&gt;"READY","",IF(Entry!$K5="Fulfilled Same Cycle",Entry!$J5,0))</f>
        <v/>
      </c>
      <c r="F5" s="13">
        <f>IF($C5&lt;&gt;"READY","",$D5)</f>
        <v/>
      </c>
      <c r="G5" s="13">
        <f>IF($C5&lt;&gt;"READY","",CEILING($F5/Entry!$M5,1)*Entry!$M5)</f>
        <v/>
      </c>
      <c r="H5" s="14">
        <f>IF($C5&lt;&gt;"READY","",IF(Entry!$R5="Order Accuracy Chargeback","N/A — order accuracy",IF(OR(Entry!$Q5&lt;MIN(INDEX(Allowance_Table,0,1)),Entry!$Q5&gt;MAX(INDEX(Allowance_Table,0,2))),"UNCOVERED—REVIEW",INDEX(Allowance_Table,MATCH(Entry!$Q5,INDEX(Allowance_Table,0,1),1),3))))</f>
        <v/>
      </c>
      <c r="I5" s="25">
        <f>IF($C5&lt;&gt;"READY","",IF($H5="UNCOVERED—REVIEW","",IF(Entry!$R5="Order Accuracy Chargeback",$G5*Entry!$L5,IF(Entry!$R5="Freight Allowance Chargeback",MAX(Entry!$S5-$H5,0),IF(Entry!$R5="Illinois Shipping Chargeback",IF(Entry!$P5="IL",Entry!$S5,0),"")))))</f>
        <v/>
      </c>
      <c r="J5" s="12">
        <f>IF($C5&lt;&gt;"READY","",IF($H5="UNCOVERED—REVIEW","CB-07",INDEX(Category_Clauses,MATCH(Entry!$R5,INDEX(Category_Clauses,0,1),0),2)))</f>
        <v/>
      </c>
    </row>
    <row r="6">
      <c r="A6" s="12">
        <f>IF(COUNTA(Entry!$B6:$S6)=0,"",Entry!$A6)</f>
        <v/>
      </c>
      <c r="B6" s="12">
        <f>IF(COUNTA(Entry!$B6:$S6)=0,"",Entry!$B6)</f>
        <v/>
      </c>
      <c r="C6" s="12">
        <f>IF(COUNTA(Entry!$B6:$S6)=0,"",IF(OR(Entry!$B6="",Entry!$C6="",Entry!$D6="",Entry!$E6="",Entry!$F6="",Entry!$G6="",Entry!$H6="",Entry!$I6="",Entry!$J6="",Entry!$K6="",Entry!$L6="",Entry!$M6="",Entry!$N6="",Entry!$O6="",Entry!$P6="",Entry!$Q6="",Entry!$R6="",AND(OR(Entry!$R6="Freight Allowance Chargeback",Entry!$R6="Illinois Shipping Chargeback"),Entry!$S6="")),"MISSING REQUIRED FACT","READY"))</f>
        <v/>
      </c>
      <c r="D6" s="13">
        <f>IF($C6&lt;&gt;"READY","",MAX(Entry!$H6-Entry!$I6-IF(Entry!$K6="Fulfilled Same Cycle",Entry!$J6,0),0))</f>
        <v/>
      </c>
      <c r="E6" s="13">
        <f>IF($C6&lt;&gt;"READY","",IF(Entry!$K6="Fulfilled Same Cycle",Entry!$J6,0))</f>
        <v/>
      </c>
      <c r="F6" s="13">
        <f>IF($C6&lt;&gt;"READY","",$D6)</f>
        <v/>
      </c>
      <c r="G6" s="13">
        <f>IF($C6&lt;&gt;"READY","",CEILING($F6/Entry!$M6,1)*Entry!$M6)</f>
        <v/>
      </c>
      <c r="H6" s="14">
        <f>IF($C6&lt;&gt;"READY","",IF(Entry!$R6="Order Accuracy Chargeback","N/A — order accuracy",IF(OR(Entry!$Q6&lt;MIN(INDEX(Allowance_Table,0,1)),Entry!$Q6&gt;MAX(INDEX(Allowance_Table,0,2))),"UNCOVERED—REVIEW",INDEX(Allowance_Table,MATCH(Entry!$Q6,INDEX(Allowance_Table,0,1),1),3))))</f>
        <v/>
      </c>
      <c r="I6" s="25">
        <f>IF($C6&lt;&gt;"READY","",IF($H6="UNCOVERED—REVIEW","",IF(Entry!$R6="Order Accuracy Chargeback",$G6*Entry!$L6,IF(Entry!$R6="Freight Allowance Chargeback",MAX(Entry!$S6-$H6,0),IF(Entry!$R6="Illinois Shipping Chargeback",IF(Entry!$P6="IL",Entry!$S6,0),"")))))</f>
        <v/>
      </c>
      <c r="J6" s="12">
        <f>IF($C6&lt;&gt;"READY","",IF($H6="UNCOVERED—REVIEW","CB-07",INDEX(Category_Clauses,MATCH(Entry!$R6,INDEX(Category_Clauses,0,1),0),2)))</f>
        <v/>
      </c>
    </row>
    <row r="7">
      <c r="A7" s="12">
        <f>IF(COUNTA(Entry!$B7:$S7)=0,"",Entry!$A7)</f>
        <v/>
      </c>
      <c r="B7" s="12">
        <f>IF(COUNTA(Entry!$B7:$S7)=0,"",Entry!$B7)</f>
        <v/>
      </c>
      <c r="C7" s="12">
        <f>IF(COUNTA(Entry!$B7:$S7)=0,"",IF(OR(Entry!$B7="",Entry!$C7="",Entry!$D7="",Entry!$E7="",Entry!$F7="",Entry!$G7="",Entry!$H7="",Entry!$I7="",Entry!$J7="",Entry!$K7="",Entry!$L7="",Entry!$M7="",Entry!$N7="",Entry!$O7="",Entry!$P7="",Entry!$Q7="",Entry!$R7="",AND(OR(Entry!$R7="Freight Allowance Chargeback",Entry!$R7="Illinois Shipping Chargeback"),Entry!$S7="")),"MISSING REQUIRED FACT","READY"))</f>
        <v/>
      </c>
      <c r="D7" s="13">
        <f>IF($C7&lt;&gt;"READY","",MAX(Entry!$H7-Entry!$I7-IF(Entry!$K7="Fulfilled Same Cycle",Entry!$J7,0),0))</f>
        <v/>
      </c>
      <c r="E7" s="13">
        <f>IF($C7&lt;&gt;"READY","",IF(Entry!$K7="Fulfilled Same Cycle",Entry!$J7,0))</f>
        <v/>
      </c>
      <c r="F7" s="13">
        <f>IF($C7&lt;&gt;"READY","",$D7)</f>
        <v/>
      </c>
      <c r="G7" s="13">
        <f>IF($C7&lt;&gt;"READY","",CEILING($F7/Entry!$M7,1)*Entry!$M7)</f>
        <v/>
      </c>
      <c r="H7" s="14">
        <f>IF($C7&lt;&gt;"READY","",IF(Entry!$R7="Order Accuracy Chargeback","N/A — order accuracy",IF(OR(Entry!$Q7&lt;MIN(INDEX(Allowance_Table,0,1)),Entry!$Q7&gt;MAX(INDEX(Allowance_Table,0,2))),"UNCOVERED—REVIEW",INDEX(Allowance_Table,MATCH(Entry!$Q7,INDEX(Allowance_Table,0,1),1),3))))</f>
        <v/>
      </c>
      <c r="I7" s="25">
        <f>IF($C7&lt;&gt;"READY","",IF($H7="UNCOVERED—REVIEW","",IF(Entry!$R7="Order Accuracy Chargeback",$G7*Entry!$L7,IF(Entry!$R7="Freight Allowance Chargeback",MAX(Entry!$S7-$H7,0),IF(Entry!$R7="Illinois Shipping Chargeback",IF(Entry!$P7="IL",Entry!$S7,0),"")))))</f>
        <v/>
      </c>
      <c r="J7" s="12">
        <f>IF($C7&lt;&gt;"READY","",IF($H7="UNCOVERED—REVIEW","CB-07",INDEX(Category_Clauses,MATCH(Entry!$R7,INDEX(Category_Clauses,0,1),0),2)))</f>
        <v/>
      </c>
    </row>
    <row r="8">
      <c r="A8" s="12">
        <f>IF(COUNTA(Entry!$B8:$S8)=0,"",Entry!$A8)</f>
        <v/>
      </c>
      <c r="B8" s="12">
        <f>IF(COUNTA(Entry!$B8:$S8)=0,"",Entry!$B8)</f>
        <v/>
      </c>
      <c r="C8" s="12">
        <f>IF(COUNTA(Entry!$B8:$S8)=0,"",IF(OR(Entry!$B8="",Entry!$C8="",Entry!$D8="",Entry!$E8="",Entry!$F8="",Entry!$G8="",Entry!$H8="",Entry!$I8="",Entry!$J8="",Entry!$K8="",Entry!$L8="",Entry!$M8="",Entry!$N8="",Entry!$O8="",Entry!$P8="",Entry!$Q8="",Entry!$R8="",AND(OR(Entry!$R8="Freight Allowance Chargeback",Entry!$R8="Illinois Shipping Chargeback"),Entry!$S8="")),"MISSING REQUIRED FACT","READY"))</f>
        <v/>
      </c>
      <c r="D8" s="13">
        <f>IF($C8&lt;&gt;"READY","",MAX(Entry!$H8-Entry!$I8-IF(Entry!$K8="Fulfilled Same Cycle",Entry!$J8,0),0))</f>
        <v/>
      </c>
      <c r="E8" s="13">
        <f>IF($C8&lt;&gt;"READY","",IF(Entry!$K8="Fulfilled Same Cycle",Entry!$J8,0))</f>
        <v/>
      </c>
      <c r="F8" s="13">
        <f>IF($C8&lt;&gt;"READY","",$D8)</f>
        <v/>
      </c>
      <c r="G8" s="13">
        <f>IF($C8&lt;&gt;"READY","",CEILING($F8/Entry!$M8,1)*Entry!$M8)</f>
        <v/>
      </c>
      <c r="H8" s="14">
        <f>IF($C8&lt;&gt;"READY","",IF(Entry!$R8="Order Accuracy Chargeback","N/A — order accuracy",IF(OR(Entry!$Q8&lt;MIN(INDEX(Allowance_Table,0,1)),Entry!$Q8&gt;MAX(INDEX(Allowance_Table,0,2))),"UNCOVERED—REVIEW",INDEX(Allowance_Table,MATCH(Entry!$Q8,INDEX(Allowance_Table,0,1),1),3))))</f>
        <v/>
      </c>
      <c r="I8" s="25">
        <f>IF($C8&lt;&gt;"READY","",IF($H8="UNCOVERED—REVIEW","",IF(Entry!$R8="Order Accuracy Chargeback",$G8*Entry!$L8,IF(Entry!$R8="Freight Allowance Chargeback",MAX(Entry!$S8-$H8,0),IF(Entry!$R8="Illinois Shipping Chargeback",IF(Entry!$P8="IL",Entry!$S8,0),"")))))</f>
        <v/>
      </c>
      <c r="J8" s="12">
        <f>IF($C8&lt;&gt;"READY","",IF($H8="UNCOVERED—REVIEW","CB-07",INDEX(Category_Clauses,MATCH(Entry!$R8,INDEX(Category_Clauses,0,1),0),2)))</f>
        <v/>
      </c>
    </row>
    <row r="9">
      <c r="A9" s="12">
        <f>IF(COUNTA(Entry!$B9:$S9)=0,"",Entry!$A9)</f>
        <v/>
      </c>
      <c r="B9" s="12">
        <f>IF(COUNTA(Entry!$B9:$S9)=0,"",Entry!$B9)</f>
        <v/>
      </c>
      <c r="C9" s="12">
        <f>IF(COUNTA(Entry!$B9:$S9)=0,"",IF(OR(Entry!$B9="",Entry!$C9="",Entry!$D9="",Entry!$E9="",Entry!$F9="",Entry!$G9="",Entry!$H9="",Entry!$I9="",Entry!$J9="",Entry!$K9="",Entry!$L9="",Entry!$M9="",Entry!$N9="",Entry!$O9="",Entry!$P9="",Entry!$Q9="",Entry!$R9="",AND(OR(Entry!$R9="Freight Allowance Chargeback",Entry!$R9="Illinois Shipping Chargeback"),Entry!$S9="")),"MISSING REQUIRED FACT","READY"))</f>
        <v/>
      </c>
      <c r="D9" s="13">
        <f>IF($C9&lt;&gt;"READY","",MAX(Entry!$H9-Entry!$I9-IF(Entry!$K9="Fulfilled Same Cycle",Entry!$J9,0),0))</f>
        <v/>
      </c>
      <c r="E9" s="13">
        <f>IF($C9&lt;&gt;"READY","",IF(Entry!$K9="Fulfilled Same Cycle",Entry!$J9,0))</f>
        <v/>
      </c>
      <c r="F9" s="13">
        <f>IF($C9&lt;&gt;"READY","",$D9)</f>
        <v/>
      </c>
      <c r="G9" s="13">
        <f>IF($C9&lt;&gt;"READY","",CEILING($F9/Entry!$M9,1)*Entry!$M9)</f>
        <v/>
      </c>
      <c r="H9" s="14">
        <f>IF($C9&lt;&gt;"READY","",IF(Entry!$R9="Order Accuracy Chargeback","N/A — order accuracy",IF(OR(Entry!$Q9&lt;MIN(INDEX(Allowance_Table,0,1)),Entry!$Q9&gt;MAX(INDEX(Allowance_Table,0,2))),"UNCOVERED—REVIEW",INDEX(Allowance_Table,MATCH(Entry!$Q9,INDEX(Allowance_Table,0,1),1),3))))</f>
        <v/>
      </c>
      <c r="I9" s="25">
        <f>IF($C9&lt;&gt;"READY","",IF($H9="UNCOVERED—REVIEW","",IF(Entry!$R9="Order Accuracy Chargeback",$G9*Entry!$L9,IF(Entry!$R9="Freight Allowance Chargeback",MAX(Entry!$S9-$H9,0),IF(Entry!$R9="Illinois Shipping Chargeback",IF(Entry!$P9="IL",Entry!$S9,0),"")))))</f>
        <v/>
      </c>
      <c r="J9" s="12">
        <f>IF($C9&lt;&gt;"READY","",IF($H9="UNCOVERED—REVIEW","CB-07",INDEX(Category_Clauses,MATCH(Entry!$R9,INDEX(Category_Clauses,0,1),0),2)))</f>
        <v/>
      </c>
    </row>
    <row r="10">
      <c r="A10" s="12">
        <f>IF(COUNTA(Entry!$B10:$S10)=0,"",Entry!$A10)</f>
        <v/>
      </c>
      <c r="B10" s="12">
        <f>IF(COUNTA(Entry!$B10:$S10)=0,"",Entry!$B10)</f>
        <v/>
      </c>
      <c r="C10" s="12">
        <f>IF(COUNTA(Entry!$B10:$S10)=0,"",IF(OR(Entry!$B10="",Entry!$C10="",Entry!$D10="",Entry!$E10="",Entry!$F10="",Entry!$G10="",Entry!$H10="",Entry!$I10="",Entry!$J10="",Entry!$K10="",Entry!$L10="",Entry!$M10="",Entry!$N10="",Entry!$O10="",Entry!$P10="",Entry!$Q10="",Entry!$R10="",AND(OR(Entry!$R10="Freight Allowance Chargeback",Entry!$R10="Illinois Shipping Chargeback"),Entry!$S10="")),"MISSING REQUIRED FACT","READY"))</f>
        <v/>
      </c>
      <c r="D10" s="13">
        <f>IF($C10&lt;&gt;"READY","",MAX(Entry!$H10-Entry!$I10-IF(Entry!$K10="Fulfilled Same Cycle",Entry!$J10,0),0))</f>
        <v/>
      </c>
      <c r="E10" s="13">
        <f>IF($C10&lt;&gt;"READY","",IF(Entry!$K10="Fulfilled Same Cycle",Entry!$J10,0))</f>
        <v/>
      </c>
      <c r="F10" s="13">
        <f>IF($C10&lt;&gt;"READY","",$D10)</f>
        <v/>
      </c>
      <c r="G10" s="13">
        <f>IF($C10&lt;&gt;"READY","",CEILING($F10/Entry!$M10,1)*Entry!$M10)</f>
        <v/>
      </c>
      <c r="H10" s="14">
        <f>IF($C10&lt;&gt;"READY","",IF(Entry!$R10="Order Accuracy Chargeback","N/A — order accuracy",IF(OR(Entry!$Q10&lt;MIN(INDEX(Allowance_Table,0,1)),Entry!$Q10&gt;MAX(INDEX(Allowance_Table,0,2))),"UNCOVERED—REVIEW",INDEX(Allowance_Table,MATCH(Entry!$Q10,INDEX(Allowance_Table,0,1),1),3))))</f>
        <v/>
      </c>
      <c r="I10" s="25">
        <f>IF($C10&lt;&gt;"READY","",IF($H10="UNCOVERED—REVIEW","",IF(Entry!$R10="Order Accuracy Chargeback",$G10*Entry!$L10,IF(Entry!$R10="Freight Allowance Chargeback",MAX(Entry!$S10-$H10,0),IF(Entry!$R10="Illinois Shipping Chargeback",IF(Entry!$P10="IL",Entry!$S10,0),"")))))</f>
        <v/>
      </c>
      <c r="J10" s="12">
        <f>IF($C10&lt;&gt;"READY","",IF($H10="UNCOVERED—REVIEW","CB-07",INDEX(Category_Clauses,MATCH(Entry!$R10,INDEX(Category_Clauses,0,1),0),2)))</f>
        <v/>
      </c>
    </row>
    <row r="11">
      <c r="A11" s="12">
        <f>IF(COUNTA(Entry!$B11:$S11)=0,"",Entry!$A11)</f>
        <v/>
      </c>
      <c r="B11" s="12">
        <f>IF(COUNTA(Entry!$B11:$S11)=0,"",Entry!$B11)</f>
        <v/>
      </c>
      <c r="C11" s="12">
        <f>IF(COUNTA(Entry!$B11:$S11)=0,"",IF(OR(Entry!$B11="",Entry!$C11="",Entry!$D11="",Entry!$E11="",Entry!$F11="",Entry!$G11="",Entry!$H11="",Entry!$I11="",Entry!$J11="",Entry!$K11="",Entry!$L11="",Entry!$M11="",Entry!$N11="",Entry!$O11="",Entry!$P11="",Entry!$Q11="",Entry!$R11="",AND(OR(Entry!$R11="Freight Allowance Chargeback",Entry!$R11="Illinois Shipping Chargeback"),Entry!$S11="")),"MISSING REQUIRED FACT","READY"))</f>
        <v/>
      </c>
      <c r="D11" s="13">
        <f>IF($C11&lt;&gt;"READY","",MAX(Entry!$H11-Entry!$I11-IF(Entry!$K11="Fulfilled Same Cycle",Entry!$J11,0),0))</f>
        <v/>
      </c>
      <c r="E11" s="13">
        <f>IF($C11&lt;&gt;"READY","",IF(Entry!$K11="Fulfilled Same Cycle",Entry!$J11,0))</f>
        <v/>
      </c>
      <c r="F11" s="13">
        <f>IF($C11&lt;&gt;"READY","",$D11)</f>
        <v/>
      </c>
      <c r="G11" s="13">
        <f>IF($C11&lt;&gt;"READY","",CEILING($F11/Entry!$M11,1)*Entry!$M11)</f>
        <v/>
      </c>
      <c r="H11" s="14">
        <f>IF($C11&lt;&gt;"READY","",IF(Entry!$R11="Order Accuracy Chargeback","N/A — order accuracy",IF(OR(Entry!$Q11&lt;MIN(INDEX(Allowance_Table,0,1)),Entry!$Q11&gt;MAX(INDEX(Allowance_Table,0,2))),"UNCOVERED—REVIEW",INDEX(Allowance_Table,MATCH(Entry!$Q11,INDEX(Allowance_Table,0,1),1),3))))</f>
        <v/>
      </c>
      <c r="I11" s="25">
        <f>IF($C11&lt;&gt;"READY","",IF($H11="UNCOVERED—REVIEW","",IF(Entry!$R11="Order Accuracy Chargeback",$G11*Entry!$L11,IF(Entry!$R11="Freight Allowance Chargeback",MAX(Entry!$S11-$H11,0),IF(Entry!$R11="Illinois Shipping Chargeback",IF(Entry!$P11="IL",Entry!$S11,0),"")))))</f>
        <v/>
      </c>
      <c r="J11" s="12">
        <f>IF($C11&lt;&gt;"READY","",IF($H11="UNCOVERED—REVIEW","CB-07",INDEX(Category_Clauses,MATCH(Entry!$R11,INDEX(Category_Clauses,0,1),0),2)))</f>
        <v/>
      </c>
    </row>
    <row r="12">
      <c r="A12" s="12">
        <f>IF(COUNTA(Entry!$B12:$S12)=0,"",Entry!$A12)</f>
        <v/>
      </c>
      <c r="B12" s="12">
        <f>IF(COUNTA(Entry!$B12:$S12)=0,"",Entry!$B12)</f>
        <v/>
      </c>
      <c r="C12" s="12">
        <f>IF(COUNTA(Entry!$B12:$S12)=0,"",IF(OR(Entry!$B12="",Entry!$C12="",Entry!$D12="",Entry!$E12="",Entry!$F12="",Entry!$G12="",Entry!$H12="",Entry!$I12="",Entry!$J12="",Entry!$K12="",Entry!$L12="",Entry!$M12="",Entry!$N12="",Entry!$O12="",Entry!$P12="",Entry!$Q12="",Entry!$R12="",AND(OR(Entry!$R12="Freight Allowance Chargeback",Entry!$R12="Illinois Shipping Chargeback"),Entry!$S12="")),"MISSING REQUIRED FACT","READY"))</f>
        <v/>
      </c>
      <c r="D12" s="13">
        <f>IF($C12&lt;&gt;"READY","",MAX(Entry!$H12-Entry!$I12-IF(Entry!$K12="Fulfilled Same Cycle",Entry!$J12,0),0))</f>
        <v/>
      </c>
      <c r="E12" s="13">
        <f>IF($C12&lt;&gt;"READY","",IF(Entry!$K12="Fulfilled Same Cycle",Entry!$J12,0))</f>
        <v/>
      </c>
      <c r="F12" s="13">
        <f>IF($C12&lt;&gt;"READY","",$D12)</f>
        <v/>
      </c>
      <c r="G12" s="13">
        <f>IF($C12&lt;&gt;"READY","",CEILING($F12/Entry!$M12,1)*Entry!$M12)</f>
        <v/>
      </c>
      <c r="H12" s="14">
        <f>IF($C12&lt;&gt;"READY","",IF(Entry!$R12="Order Accuracy Chargeback","N/A — order accuracy",IF(OR(Entry!$Q12&lt;MIN(INDEX(Allowance_Table,0,1)),Entry!$Q12&gt;MAX(INDEX(Allowance_Table,0,2))),"UNCOVERED—REVIEW",INDEX(Allowance_Table,MATCH(Entry!$Q12,INDEX(Allowance_Table,0,1),1),3))))</f>
        <v/>
      </c>
      <c r="I12" s="25">
        <f>IF($C12&lt;&gt;"READY","",IF($H12="UNCOVERED—REVIEW","",IF(Entry!$R12="Order Accuracy Chargeback",$G12*Entry!$L12,IF(Entry!$R12="Freight Allowance Chargeback",MAX(Entry!$S12-$H12,0),IF(Entry!$R12="Illinois Shipping Chargeback",IF(Entry!$P12="IL",Entry!$S12,0),"")))))</f>
        <v/>
      </c>
      <c r="J12" s="12">
        <f>IF($C12&lt;&gt;"READY","",IF($H12="UNCOVERED—REVIEW","CB-07",INDEX(Category_Clauses,MATCH(Entry!$R12,INDEX(Category_Clauses,0,1),0),2)))</f>
        <v/>
      </c>
    </row>
    <row r="13">
      <c r="A13" s="12">
        <f>IF(COUNTA(Entry!$B13:$S13)=0,"",Entry!$A13)</f>
        <v/>
      </c>
      <c r="B13" s="12">
        <f>IF(COUNTA(Entry!$B13:$S13)=0,"",Entry!$B13)</f>
        <v/>
      </c>
      <c r="C13" s="12">
        <f>IF(COUNTA(Entry!$B13:$S13)=0,"",IF(OR(Entry!$B13="",Entry!$C13="",Entry!$D13="",Entry!$E13="",Entry!$F13="",Entry!$G13="",Entry!$H13="",Entry!$I13="",Entry!$J13="",Entry!$K13="",Entry!$L13="",Entry!$M13="",Entry!$N13="",Entry!$O13="",Entry!$P13="",Entry!$Q13="",Entry!$R13="",AND(OR(Entry!$R13="Freight Allowance Chargeback",Entry!$R13="Illinois Shipping Chargeback"),Entry!$S13="")),"MISSING REQUIRED FACT","READY"))</f>
        <v/>
      </c>
      <c r="D13" s="13">
        <f>IF($C13&lt;&gt;"READY","",MAX(Entry!$H13-Entry!$I13-IF(Entry!$K13="Fulfilled Same Cycle",Entry!$J13,0),0))</f>
        <v/>
      </c>
      <c r="E13" s="13">
        <f>IF($C13&lt;&gt;"READY","",IF(Entry!$K13="Fulfilled Same Cycle",Entry!$J13,0))</f>
        <v/>
      </c>
      <c r="F13" s="13">
        <f>IF($C13&lt;&gt;"READY","",$D13)</f>
        <v/>
      </c>
      <c r="G13" s="13">
        <f>IF($C13&lt;&gt;"READY","",CEILING($F13/Entry!$M13,1)*Entry!$M13)</f>
        <v/>
      </c>
      <c r="H13" s="14">
        <f>IF($C13&lt;&gt;"READY","",IF(Entry!$R13="Order Accuracy Chargeback","N/A — order accuracy",IF(OR(Entry!$Q13&lt;MIN(INDEX(Allowance_Table,0,1)),Entry!$Q13&gt;MAX(INDEX(Allowance_Table,0,2))),"UNCOVERED—REVIEW",INDEX(Allowance_Table,MATCH(Entry!$Q13,INDEX(Allowance_Table,0,1),1),3))))</f>
        <v/>
      </c>
      <c r="I13" s="25">
        <f>IF($C13&lt;&gt;"READY","",IF($H13="UNCOVERED—REVIEW","",IF(Entry!$R13="Order Accuracy Chargeback",$G13*Entry!$L13,IF(Entry!$R13="Freight Allowance Chargeback",MAX(Entry!$S13-$H13,0),IF(Entry!$R13="Illinois Shipping Chargeback",IF(Entry!$P13="IL",Entry!$S13,0),"")))))</f>
        <v/>
      </c>
      <c r="J13" s="12">
        <f>IF($C13&lt;&gt;"READY","",IF($H13="UNCOVERED—REVIEW","CB-07",INDEX(Category_Clauses,MATCH(Entry!$R13,INDEX(Category_Clauses,0,1),0),2)))</f>
        <v/>
      </c>
    </row>
    <row r="14">
      <c r="A14" s="12">
        <f>IF(COUNTA(Entry!$B14:$S14)=0,"",Entry!$A14)</f>
        <v/>
      </c>
      <c r="B14" s="12">
        <f>IF(COUNTA(Entry!$B14:$S14)=0,"",Entry!$B14)</f>
        <v/>
      </c>
      <c r="C14" s="12">
        <f>IF(COUNTA(Entry!$B14:$S14)=0,"",IF(OR(Entry!$B14="",Entry!$C14="",Entry!$D14="",Entry!$E14="",Entry!$F14="",Entry!$G14="",Entry!$H14="",Entry!$I14="",Entry!$J14="",Entry!$K14="",Entry!$L14="",Entry!$M14="",Entry!$N14="",Entry!$O14="",Entry!$P14="",Entry!$Q14="",Entry!$R14="",AND(OR(Entry!$R14="Freight Allowance Chargeback",Entry!$R14="Illinois Shipping Chargeback"),Entry!$S14="")),"MISSING REQUIRED FACT","READY"))</f>
        <v/>
      </c>
      <c r="D14" s="13">
        <f>IF($C14&lt;&gt;"READY","",MAX(Entry!$H14-Entry!$I14-IF(Entry!$K14="Fulfilled Same Cycle",Entry!$J14,0),0))</f>
        <v/>
      </c>
      <c r="E14" s="13">
        <f>IF($C14&lt;&gt;"READY","",IF(Entry!$K14="Fulfilled Same Cycle",Entry!$J14,0))</f>
        <v/>
      </c>
      <c r="F14" s="13">
        <f>IF($C14&lt;&gt;"READY","",$D14)</f>
        <v/>
      </c>
      <c r="G14" s="13">
        <f>IF($C14&lt;&gt;"READY","",CEILING($F14/Entry!$M14,1)*Entry!$M14)</f>
        <v/>
      </c>
      <c r="H14" s="14">
        <f>IF($C14&lt;&gt;"READY","",IF(Entry!$R14="Order Accuracy Chargeback","N/A — order accuracy",IF(OR(Entry!$Q14&lt;MIN(INDEX(Allowance_Table,0,1)),Entry!$Q14&gt;MAX(INDEX(Allowance_Table,0,2))),"UNCOVERED—REVIEW",INDEX(Allowance_Table,MATCH(Entry!$Q14,INDEX(Allowance_Table,0,1),1),3))))</f>
        <v/>
      </c>
      <c r="I14" s="25">
        <f>IF($C14&lt;&gt;"READY","",IF($H14="UNCOVERED—REVIEW","",IF(Entry!$R14="Order Accuracy Chargeback",$G14*Entry!$L14,IF(Entry!$R14="Freight Allowance Chargeback",MAX(Entry!$S14-$H14,0),IF(Entry!$R14="Illinois Shipping Chargeback",IF(Entry!$P14="IL",Entry!$S14,0),"")))))</f>
        <v/>
      </c>
      <c r="J14" s="12">
        <f>IF($C14&lt;&gt;"READY","",IF($H14="UNCOVERED—REVIEW","CB-07",INDEX(Category_Clauses,MATCH(Entry!$R14,INDEX(Category_Clauses,0,1),0),2)))</f>
        <v/>
      </c>
    </row>
    <row r="15">
      <c r="A15" s="12">
        <f>IF(COUNTA(Entry!$B15:$S15)=0,"",Entry!$A15)</f>
        <v/>
      </c>
      <c r="B15" s="12">
        <f>IF(COUNTA(Entry!$B15:$S15)=0,"",Entry!$B15)</f>
        <v/>
      </c>
      <c r="C15" s="12">
        <f>IF(COUNTA(Entry!$B15:$S15)=0,"",IF(OR(Entry!$B15="",Entry!$C15="",Entry!$D15="",Entry!$E15="",Entry!$F15="",Entry!$G15="",Entry!$H15="",Entry!$I15="",Entry!$J15="",Entry!$K15="",Entry!$L15="",Entry!$M15="",Entry!$N15="",Entry!$O15="",Entry!$P15="",Entry!$Q15="",Entry!$R15="",AND(OR(Entry!$R15="Freight Allowance Chargeback",Entry!$R15="Illinois Shipping Chargeback"),Entry!$S15="")),"MISSING REQUIRED FACT","READY"))</f>
        <v/>
      </c>
      <c r="D15" s="13">
        <f>IF($C15&lt;&gt;"READY","",MAX(Entry!$H15-Entry!$I15-IF(Entry!$K15="Fulfilled Same Cycle",Entry!$J15,0),0))</f>
        <v/>
      </c>
      <c r="E15" s="13">
        <f>IF($C15&lt;&gt;"READY","",IF(Entry!$K15="Fulfilled Same Cycle",Entry!$J15,0))</f>
        <v/>
      </c>
      <c r="F15" s="13">
        <f>IF($C15&lt;&gt;"READY","",$D15)</f>
        <v/>
      </c>
      <c r="G15" s="13">
        <f>IF($C15&lt;&gt;"READY","",CEILING($F15/Entry!$M15,1)*Entry!$M15)</f>
        <v/>
      </c>
      <c r="H15" s="14">
        <f>IF($C15&lt;&gt;"READY","",IF(Entry!$R15="Order Accuracy Chargeback","N/A — order accuracy",IF(OR(Entry!$Q15&lt;MIN(INDEX(Allowance_Table,0,1)),Entry!$Q15&gt;MAX(INDEX(Allowance_Table,0,2))),"UNCOVERED—REVIEW",INDEX(Allowance_Table,MATCH(Entry!$Q15,INDEX(Allowance_Table,0,1),1),3))))</f>
        <v/>
      </c>
      <c r="I15" s="25">
        <f>IF($C15&lt;&gt;"READY","",IF($H15="UNCOVERED—REVIEW","",IF(Entry!$R15="Order Accuracy Chargeback",$G15*Entry!$L15,IF(Entry!$R15="Freight Allowance Chargeback",MAX(Entry!$S15-$H15,0),IF(Entry!$R15="Illinois Shipping Chargeback",IF(Entry!$P15="IL",Entry!$S15,0),"")))))</f>
        <v/>
      </c>
      <c r="J15" s="12">
        <f>IF($C15&lt;&gt;"READY","",IF($H15="UNCOVERED—REVIEW","CB-07",INDEX(Category_Clauses,MATCH(Entry!$R15,INDEX(Category_Clauses,0,1),0),2)))</f>
        <v/>
      </c>
    </row>
    <row r="16">
      <c r="A16" s="12">
        <f>IF(COUNTA(Entry!$B16:$S16)=0,"",Entry!$A16)</f>
        <v/>
      </c>
      <c r="B16" s="12">
        <f>IF(COUNTA(Entry!$B16:$S16)=0,"",Entry!$B16)</f>
        <v/>
      </c>
      <c r="C16" s="12">
        <f>IF(COUNTA(Entry!$B16:$S16)=0,"",IF(OR(Entry!$B16="",Entry!$C16="",Entry!$D16="",Entry!$E16="",Entry!$F16="",Entry!$G16="",Entry!$H16="",Entry!$I16="",Entry!$J16="",Entry!$K16="",Entry!$L16="",Entry!$M16="",Entry!$N16="",Entry!$O16="",Entry!$P16="",Entry!$Q16="",Entry!$R16="",AND(OR(Entry!$R16="Freight Allowance Chargeback",Entry!$R16="Illinois Shipping Chargeback"),Entry!$S16="")),"MISSING REQUIRED FACT","READY"))</f>
        <v/>
      </c>
      <c r="D16" s="13">
        <f>IF($C16&lt;&gt;"READY","",MAX(Entry!$H16-Entry!$I16-IF(Entry!$K16="Fulfilled Same Cycle",Entry!$J16,0),0))</f>
        <v/>
      </c>
      <c r="E16" s="13">
        <f>IF($C16&lt;&gt;"READY","",IF(Entry!$K16="Fulfilled Same Cycle",Entry!$J16,0))</f>
        <v/>
      </c>
      <c r="F16" s="13">
        <f>IF($C16&lt;&gt;"READY","",$D16)</f>
        <v/>
      </c>
      <c r="G16" s="13">
        <f>IF($C16&lt;&gt;"READY","",CEILING($F16/Entry!$M16,1)*Entry!$M16)</f>
        <v/>
      </c>
      <c r="H16" s="14">
        <f>IF($C16&lt;&gt;"READY","",IF(Entry!$R16="Order Accuracy Chargeback","N/A — order accuracy",IF(OR(Entry!$Q16&lt;MIN(INDEX(Allowance_Table,0,1)),Entry!$Q16&gt;MAX(INDEX(Allowance_Table,0,2))),"UNCOVERED—REVIEW",INDEX(Allowance_Table,MATCH(Entry!$Q16,INDEX(Allowance_Table,0,1),1),3))))</f>
        <v/>
      </c>
      <c r="I16" s="25">
        <f>IF($C16&lt;&gt;"READY","",IF($H16="UNCOVERED—REVIEW","",IF(Entry!$R16="Order Accuracy Chargeback",$G16*Entry!$L16,IF(Entry!$R16="Freight Allowance Chargeback",MAX(Entry!$S16-$H16,0),IF(Entry!$R16="Illinois Shipping Chargeback",IF(Entry!$P16="IL",Entry!$S16,0),"")))))</f>
        <v/>
      </c>
      <c r="J16" s="12">
        <f>IF($C16&lt;&gt;"READY","",IF($H16="UNCOVERED—REVIEW","CB-07",INDEX(Category_Clauses,MATCH(Entry!$R16,INDEX(Category_Clauses,0,1),0),2)))</f>
        <v/>
      </c>
    </row>
    <row r="17">
      <c r="A17" s="12">
        <f>IF(COUNTA(Entry!$B17:$S17)=0,"",Entry!$A17)</f>
        <v/>
      </c>
      <c r="B17" s="12">
        <f>IF(COUNTA(Entry!$B17:$S17)=0,"",Entry!$B17)</f>
        <v/>
      </c>
      <c r="C17" s="12">
        <f>IF(COUNTA(Entry!$B17:$S17)=0,"",IF(OR(Entry!$B17="",Entry!$C17="",Entry!$D17="",Entry!$E17="",Entry!$F17="",Entry!$G17="",Entry!$H17="",Entry!$I17="",Entry!$J17="",Entry!$K17="",Entry!$L17="",Entry!$M17="",Entry!$N17="",Entry!$O17="",Entry!$P17="",Entry!$Q17="",Entry!$R17="",AND(OR(Entry!$R17="Freight Allowance Chargeback",Entry!$R17="Illinois Shipping Chargeback"),Entry!$S17="")),"MISSING REQUIRED FACT","READY"))</f>
        <v/>
      </c>
      <c r="D17" s="13">
        <f>IF($C17&lt;&gt;"READY","",MAX(Entry!$H17-Entry!$I17-IF(Entry!$K17="Fulfilled Same Cycle",Entry!$J17,0),0))</f>
        <v/>
      </c>
      <c r="E17" s="13">
        <f>IF($C17&lt;&gt;"READY","",IF(Entry!$K17="Fulfilled Same Cycle",Entry!$J17,0))</f>
        <v/>
      </c>
      <c r="F17" s="13">
        <f>IF($C17&lt;&gt;"READY","",$D17)</f>
        <v/>
      </c>
      <c r="G17" s="13">
        <f>IF($C17&lt;&gt;"READY","",CEILING($F17/Entry!$M17,1)*Entry!$M17)</f>
        <v/>
      </c>
      <c r="H17" s="14">
        <f>IF($C17&lt;&gt;"READY","",IF(Entry!$R17="Order Accuracy Chargeback","N/A — order accuracy",IF(OR(Entry!$Q17&lt;MIN(INDEX(Allowance_Table,0,1)),Entry!$Q17&gt;MAX(INDEX(Allowance_Table,0,2))),"UNCOVERED—REVIEW",INDEX(Allowance_Table,MATCH(Entry!$Q17,INDEX(Allowance_Table,0,1),1),3))))</f>
        <v/>
      </c>
      <c r="I17" s="25">
        <f>IF($C17&lt;&gt;"READY","",IF($H17="UNCOVERED—REVIEW","",IF(Entry!$R17="Order Accuracy Chargeback",$G17*Entry!$L17,IF(Entry!$R17="Freight Allowance Chargeback",MAX(Entry!$S17-$H17,0),IF(Entry!$R17="Illinois Shipping Chargeback",IF(Entry!$P17="IL",Entry!$S17,0),"")))))</f>
        <v/>
      </c>
      <c r="J17" s="12">
        <f>IF($C17&lt;&gt;"READY","",IF($H17="UNCOVERED—REVIEW","CB-07",INDEX(Category_Clauses,MATCH(Entry!$R17,INDEX(Category_Clauses,0,1),0),2)))</f>
        <v/>
      </c>
    </row>
    <row r="18">
      <c r="A18" s="12">
        <f>IF(COUNTA(Entry!$B18:$S18)=0,"",Entry!$A18)</f>
        <v/>
      </c>
      <c r="B18" s="12">
        <f>IF(COUNTA(Entry!$B18:$S18)=0,"",Entry!$B18)</f>
        <v/>
      </c>
      <c r="C18" s="12">
        <f>IF(COUNTA(Entry!$B18:$S18)=0,"",IF(OR(Entry!$B18="",Entry!$C18="",Entry!$D18="",Entry!$E18="",Entry!$F18="",Entry!$G18="",Entry!$H18="",Entry!$I18="",Entry!$J18="",Entry!$K18="",Entry!$L18="",Entry!$M18="",Entry!$N18="",Entry!$O18="",Entry!$P18="",Entry!$Q18="",Entry!$R18="",AND(OR(Entry!$R18="Freight Allowance Chargeback",Entry!$R18="Illinois Shipping Chargeback"),Entry!$S18="")),"MISSING REQUIRED FACT","READY"))</f>
        <v/>
      </c>
      <c r="D18" s="13">
        <f>IF($C18&lt;&gt;"READY","",MAX(Entry!$H18-Entry!$I18-IF(Entry!$K18="Fulfilled Same Cycle",Entry!$J18,0),0))</f>
        <v/>
      </c>
      <c r="E18" s="13">
        <f>IF($C18&lt;&gt;"READY","",IF(Entry!$K18="Fulfilled Same Cycle",Entry!$J18,0))</f>
        <v/>
      </c>
      <c r="F18" s="13">
        <f>IF($C18&lt;&gt;"READY","",$D18)</f>
        <v/>
      </c>
      <c r="G18" s="13">
        <f>IF($C18&lt;&gt;"READY","",CEILING($F18/Entry!$M18,1)*Entry!$M18)</f>
        <v/>
      </c>
      <c r="H18" s="14">
        <f>IF($C18&lt;&gt;"READY","",IF(Entry!$R18="Order Accuracy Chargeback","N/A — order accuracy",IF(OR(Entry!$Q18&lt;MIN(INDEX(Allowance_Table,0,1)),Entry!$Q18&gt;MAX(INDEX(Allowance_Table,0,2))),"UNCOVERED—REVIEW",INDEX(Allowance_Table,MATCH(Entry!$Q18,INDEX(Allowance_Table,0,1),1),3))))</f>
        <v/>
      </c>
      <c r="I18" s="25">
        <f>IF($C18&lt;&gt;"READY","",IF($H18="UNCOVERED—REVIEW","",IF(Entry!$R18="Order Accuracy Chargeback",$G18*Entry!$L18,IF(Entry!$R18="Freight Allowance Chargeback",MAX(Entry!$S18-$H18,0),IF(Entry!$R18="Illinois Shipping Chargeback",IF(Entry!$P18="IL",Entry!$S18,0),"")))))</f>
        <v/>
      </c>
      <c r="J18" s="12">
        <f>IF($C18&lt;&gt;"READY","",IF($H18="UNCOVERED—REVIEW","CB-07",INDEX(Category_Clauses,MATCH(Entry!$R18,INDEX(Category_Clauses,0,1),0),2)))</f>
        <v/>
      </c>
    </row>
    <row r="19">
      <c r="A19" s="12">
        <f>IF(COUNTA(Entry!$B19:$S19)=0,"",Entry!$A19)</f>
        <v/>
      </c>
      <c r="B19" s="12">
        <f>IF(COUNTA(Entry!$B19:$S19)=0,"",Entry!$B19)</f>
        <v/>
      </c>
      <c r="C19" s="12">
        <f>IF(COUNTA(Entry!$B19:$S19)=0,"",IF(OR(Entry!$B19="",Entry!$C19="",Entry!$D19="",Entry!$E19="",Entry!$F19="",Entry!$G19="",Entry!$H19="",Entry!$I19="",Entry!$J19="",Entry!$K19="",Entry!$L19="",Entry!$M19="",Entry!$N19="",Entry!$O19="",Entry!$P19="",Entry!$Q19="",Entry!$R19="",AND(OR(Entry!$R19="Freight Allowance Chargeback",Entry!$R19="Illinois Shipping Chargeback"),Entry!$S19="")),"MISSING REQUIRED FACT","READY"))</f>
        <v/>
      </c>
      <c r="D19" s="13">
        <f>IF($C19&lt;&gt;"READY","",MAX(Entry!$H19-Entry!$I19-IF(Entry!$K19="Fulfilled Same Cycle",Entry!$J19,0),0))</f>
        <v/>
      </c>
      <c r="E19" s="13">
        <f>IF($C19&lt;&gt;"READY","",IF(Entry!$K19="Fulfilled Same Cycle",Entry!$J19,0))</f>
        <v/>
      </c>
      <c r="F19" s="13">
        <f>IF($C19&lt;&gt;"READY","",$D19)</f>
        <v/>
      </c>
      <c r="G19" s="13">
        <f>IF($C19&lt;&gt;"READY","",CEILING($F19/Entry!$M19,1)*Entry!$M19)</f>
        <v/>
      </c>
      <c r="H19" s="14">
        <f>IF($C19&lt;&gt;"READY","",IF(Entry!$R19="Order Accuracy Chargeback","N/A — order accuracy",IF(OR(Entry!$Q19&lt;MIN(INDEX(Allowance_Table,0,1)),Entry!$Q19&gt;MAX(INDEX(Allowance_Table,0,2))),"UNCOVERED—REVIEW",INDEX(Allowance_Table,MATCH(Entry!$Q19,INDEX(Allowance_Table,0,1),1),3))))</f>
        <v/>
      </c>
      <c r="I19" s="25">
        <f>IF($C19&lt;&gt;"READY","",IF($H19="UNCOVERED—REVIEW","",IF(Entry!$R19="Order Accuracy Chargeback",$G19*Entry!$L19,IF(Entry!$R19="Freight Allowance Chargeback",MAX(Entry!$S19-$H19,0),IF(Entry!$R19="Illinois Shipping Chargeback",IF(Entry!$P19="IL",Entry!$S19,0),"")))))</f>
        <v/>
      </c>
      <c r="J19" s="12">
        <f>IF($C19&lt;&gt;"READY","",IF($H19="UNCOVERED—REVIEW","CB-07",INDEX(Category_Clauses,MATCH(Entry!$R19,INDEX(Category_Clauses,0,1),0),2)))</f>
        <v/>
      </c>
    </row>
    <row r="20">
      <c r="A20" s="12">
        <f>IF(COUNTA(Entry!$B20:$S20)=0,"",Entry!$A20)</f>
        <v/>
      </c>
      <c r="B20" s="12">
        <f>IF(COUNTA(Entry!$B20:$S20)=0,"",Entry!$B20)</f>
        <v/>
      </c>
      <c r="C20" s="12">
        <f>IF(COUNTA(Entry!$B20:$S20)=0,"",IF(OR(Entry!$B20="",Entry!$C20="",Entry!$D20="",Entry!$E20="",Entry!$F20="",Entry!$G20="",Entry!$H20="",Entry!$I20="",Entry!$J20="",Entry!$K20="",Entry!$L20="",Entry!$M20="",Entry!$N20="",Entry!$O20="",Entry!$P20="",Entry!$Q20="",Entry!$R20="",AND(OR(Entry!$R20="Freight Allowance Chargeback",Entry!$R20="Illinois Shipping Chargeback"),Entry!$S20="")),"MISSING REQUIRED FACT","READY"))</f>
        <v/>
      </c>
      <c r="D20" s="13">
        <f>IF($C20&lt;&gt;"READY","",MAX(Entry!$H20-Entry!$I20-IF(Entry!$K20="Fulfilled Same Cycle",Entry!$J20,0),0))</f>
        <v/>
      </c>
      <c r="E20" s="13">
        <f>IF($C20&lt;&gt;"READY","",IF(Entry!$K20="Fulfilled Same Cycle",Entry!$J20,0))</f>
        <v/>
      </c>
      <c r="F20" s="13">
        <f>IF($C20&lt;&gt;"READY","",$D20)</f>
        <v/>
      </c>
      <c r="G20" s="13">
        <f>IF($C20&lt;&gt;"READY","",CEILING($F20/Entry!$M20,1)*Entry!$M20)</f>
        <v/>
      </c>
      <c r="H20" s="14">
        <f>IF($C20&lt;&gt;"READY","",IF(Entry!$R20="Order Accuracy Chargeback","N/A — order accuracy",IF(OR(Entry!$Q20&lt;MIN(INDEX(Allowance_Table,0,1)),Entry!$Q20&gt;MAX(INDEX(Allowance_Table,0,2))),"UNCOVERED—REVIEW",INDEX(Allowance_Table,MATCH(Entry!$Q20,INDEX(Allowance_Table,0,1),1),3))))</f>
        <v/>
      </c>
      <c r="I20" s="25">
        <f>IF($C20&lt;&gt;"READY","",IF($H20="UNCOVERED—REVIEW","",IF(Entry!$R20="Order Accuracy Chargeback",$G20*Entry!$L20,IF(Entry!$R20="Freight Allowance Chargeback",MAX(Entry!$S20-$H20,0),IF(Entry!$R20="Illinois Shipping Chargeback",IF(Entry!$P20="IL",Entry!$S20,0),"")))))</f>
        <v/>
      </c>
      <c r="J20" s="12">
        <f>IF($C20&lt;&gt;"READY","",IF($H20="UNCOVERED—REVIEW","CB-07",INDEX(Category_Clauses,MATCH(Entry!$R20,INDEX(Category_Clauses,0,1),0),2)))</f>
        <v/>
      </c>
    </row>
    <row r="21">
      <c r="A21" s="12">
        <f>IF(COUNTA(Entry!$B21:$S21)=0,"",Entry!$A21)</f>
        <v/>
      </c>
      <c r="B21" s="12">
        <f>IF(COUNTA(Entry!$B21:$S21)=0,"",Entry!$B21)</f>
        <v/>
      </c>
      <c r="C21" s="12">
        <f>IF(COUNTA(Entry!$B21:$S21)=0,"",IF(OR(Entry!$B21="",Entry!$C21="",Entry!$D21="",Entry!$E21="",Entry!$F21="",Entry!$G21="",Entry!$H21="",Entry!$I21="",Entry!$J21="",Entry!$K21="",Entry!$L21="",Entry!$M21="",Entry!$N21="",Entry!$O21="",Entry!$P21="",Entry!$Q21="",Entry!$R21="",AND(OR(Entry!$R21="Freight Allowance Chargeback",Entry!$R21="Illinois Shipping Chargeback"),Entry!$S21="")),"MISSING REQUIRED FACT","READY"))</f>
        <v/>
      </c>
      <c r="D21" s="13">
        <f>IF($C21&lt;&gt;"READY","",MAX(Entry!$H21-Entry!$I21-IF(Entry!$K21="Fulfilled Same Cycle",Entry!$J21,0),0))</f>
        <v/>
      </c>
      <c r="E21" s="13">
        <f>IF($C21&lt;&gt;"READY","",IF(Entry!$K21="Fulfilled Same Cycle",Entry!$J21,0))</f>
        <v/>
      </c>
      <c r="F21" s="13">
        <f>IF($C21&lt;&gt;"READY","",$D21)</f>
        <v/>
      </c>
      <c r="G21" s="13">
        <f>IF($C21&lt;&gt;"READY","",CEILING($F21/Entry!$M21,1)*Entry!$M21)</f>
        <v/>
      </c>
      <c r="H21" s="14">
        <f>IF($C21&lt;&gt;"READY","",IF(Entry!$R21="Order Accuracy Chargeback","N/A — order accuracy",IF(OR(Entry!$Q21&lt;MIN(INDEX(Allowance_Table,0,1)),Entry!$Q21&gt;MAX(INDEX(Allowance_Table,0,2))),"UNCOVERED—REVIEW",INDEX(Allowance_Table,MATCH(Entry!$Q21,INDEX(Allowance_Table,0,1),1),3))))</f>
        <v/>
      </c>
      <c r="I21" s="25">
        <f>IF($C21&lt;&gt;"READY","",IF($H21="UNCOVERED—REVIEW","",IF(Entry!$R21="Order Accuracy Chargeback",$G21*Entry!$L21,IF(Entry!$R21="Freight Allowance Chargeback",MAX(Entry!$S21-$H21,0),IF(Entry!$R21="Illinois Shipping Chargeback",IF(Entry!$P21="IL",Entry!$S21,0),"")))))</f>
        <v/>
      </c>
      <c r="J21" s="12">
        <f>IF($C21&lt;&gt;"READY","",IF($H21="UNCOVERED—REVIEW","CB-07",INDEX(Category_Clauses,MATCH(Entry!$R21,INDEX(Category_Clauses,0,1),0),2)))</f>
        <v/>
      </c>
    </row>
    <row r="22">
      <c r="A22" s="12">
        <f>IF(COUNTA(Entry!$B22:$S22)=0,"",Entry!$A22)</f>
        <v/>
      </c>
      <c r="B22" s="12">
        <f>IF(COUNTA(Entry!$B22:$S22)=0,"",Entry!$B22)</f>
        <v/>
      </c>
      <c r="C22" s="12">
        <f>IF(COUNTA(Entry!$B22:$S22)=0,"",IF(OR(Entry!$B22="",Entry!$C22="",Entry!$D22="",Entry!$E22="",Entry!$F22="",Entry!$G22="",Entry!$H22="",Entry!$I22="",Entry!$J22="",Entry!$K22="",Entry!$L22="",Entry!$M22="",Entry!$N22="",Entry!$O22="",Entry!$P22="",Entry!$Q22="",Entry!$R22="",AND(OR(Entry!$R22="Freight Allowance Chargeback",Entry!$R22="Illinois Shipping Chargeback"),Entry!$S22="")),"MISSING REQUIRED FACT","READY"))</f>
        <v/>
      </c>
      <c r="D22" s="13">
        <f>IF($C22&lt;&gt;"READY","",MAX(Entry!$H22-Entry!$I22-IF(Entry!$K22="Fulfilled Same Cycle",Entry!$J22,0),0))</f>
        <v/>
      </c>
      <c r="E22" s="13">
        <f>IF($C22&lt;&gt;"READY","",IF(Entry!$K22="Fulfilled Same Cycle",Entry!$J22,0))</f>
        <v/>
      </c>
      <c r="F22" s="13">
        <f>IF($C22&lt;&gt;"READY","",$D22)</f>
        <v/>
      </c>
      <c r="G22" s="13">
        <f>IF($C22&lt;&gt;"READY","",CEILING($F22/Entry!$M22,1)*Entry!$M22)</f>
        <v/>
      </c>
      <c r="H22" s="14">
        <f>IF($C22&lt;&gt;"READY","",IF(Entry!$R22="Order Accuracy Chargeback","N/A — order accuracy",IF(OR(Entry!$Q22&lt;MIN(INDEX(Allowance_Table,0,1)),Entry!$Q22&gt;MAX(INDEX(Allowance_Table,0,2))),"UNCOVERED—REVIEW",INDEX(Allowance_Table,MATCH(Entry!$Q22,INDEX(Allowance_Table,0,1),1),3))))</f>
        <v/>
      </c>
      <c r="I22" s="25">
        <f>IF($C22&lt;&gt;"READY","",IF($H22="UNCOVERED—REVIEW","",IF(Entry!$R22="Order Accuracy Chargeback",$G22*Entry!$L22,IF(Entry!$R22="Freight Allowance Chargeback",MAX(Entry!$S22-$H22,0),IF(Entry!$R22="Illinois Shipping Chargeback",IF(Entry!$P22="IL",Entry!$S22,0),"")))))</f>
        <v/>
      </c>
      <c r="J22" s="12">
        <f>IF($C22&lt;&gt;"READY","",IF($H22="UNCOVERED—REVIEW","CB-07",INDEX(Category_Clauses,MATCH(Entry!$R22,INDEX(Category_Clauses,0,1),0),2)))</f>
        <v/>
      </c>
    </row>
    <row r="23">
      <c r="A23" s="12">
        <f>IF(COUNTA(Entry!$B23:$S23)=0,"",Entry!$A23)</f>
        <v/>
      </c>
      <c r="B23" s="12">
        <f>IF(COUNTA(Entry!$B23:$S23)=0,"",Entry!$B23)</f>
        <v/>
      </c>
      <c r="C23" s="12">
        <f>IF(COUNTA(Entry!$B23:$S23)=0,"",IF(OR(Entry!$B23="",Entry!$C23="",Entry!$D23="",Entry!$E23="",Entry!$F23="",Entry!$G23="",Entry!$H23="",Entry!$I23="",Entry!$J23="",Entry!$K23="",Entry!$L23="",Entry!$M23="",Entry!$N23="",Entry!$O23="",Entry!$P23="",Entry!$Q23="",Entry!$R23="",AND(OR(Entry!$R23="Freight Allowance Chargeback",Entry!$R23="Illinois Shipping Chargeback"),Entry!$S23="")),"MISSING REQUIRED FACT","READY"))</f>
        <v/>
      </c>
      <c r="D23" s="13">
        <f>IF($C23&lt;&gt;"READY","",MAX(Entry!$H23-Entry!$I23-IF(Entry!$K23="Fulfilled Same Cycle",Entry!$J23,0),0))</f>
        <v/>
      </c>
      <c r="E23" s="13">
        <f>IF($C23&lt;&gt;"READY","",IF(Entry!$K23="Fulfilled Same Cycle",Entry!$J23,0))</f>
        <v/>
      </c>
      <c r="F23" s="13">
        <f>IF($C23&lt;&gt;"READY","",$D23)</f>
        <v/>
      </c>
      <c r="G23" s="13">
        <f>IF($C23&lt;&gt;"READY","",CEILING($F23/Entry!$M23,1)*Entry!$M23)</f>
        <v/>
      </c>
      <c r="H23" s="14">
        <f>IF($C23&lt;&gt;"READY","",IF(Entry!$R23="Order Accuracy Chargeback","N/A — order accuracy",IF(OR(Entry!$Q23&lt;MIN(INDEX(Allowance_Table,0,1)),Entry!$Q23&gt;MAX(INDEX(Allowance_Table,0,2))),"UNCOVERED—REVIEW",INDEX(Allowance_Table,MATCH(Entry!$Q23,INDEX(Allowance_Table,0,1),1),3))))</f>
        <v/>
      </c>
      <c r="I23" s="25">
        <f>IF($C23&lt;&gt;"READY","",IF($H23="UNCOVERED—REVIEW","",IF(Entry!$R23="Order Accuracy Chargeback",$G23*Entry!$L23,IF(Entry!$R23="Freight Allowance Chargeback",MAX(Entry!$S23-$H23,0),IF(Entry!$R23="Illinois Shipping Chargeback",IF(Entry!$P23="IL",Entry!$S23,0),"")))))</f>
        <v/>
      </c>
      <c r="J23" s="12">
        <f>IF($C23&lt;&gt;"READY","",IF($H23="UNCOVERED—REVIEW","CB-07",INDEX(Category_Clauses,MATCH(Entry!$R23,INDEX(Category_Clauses,0,1),0),2)))</f>
        <v/>
      </c>
    </row>
    <row r="24">
      <c r="A24" s="12">
        <f>IF(COUNTA(Entry!$B24:$S24)=0,"",Entry!$A24)</f>
        <v/>
      </c>
      <c r="B24" s="12">
        <f>IF(COUNTA(Entry!$B24:$S24)=0,"",Entry!$B24)</f>
        <v/>
      </c>
      <c r="C24" s="12">
        <f>IF(COUNTA(Entry!$B24:$S24)=0,"",IF(OR(Entry!$B24="",Entry!$C24="",Entry!$D24="",Entry!$E24="",Entry!$F24="",Entry!$G24="",Entry!$H24="",Entry!$I24="",Entry!$J24="",Entry!$K24="",Entry!$L24="",Entry!$M24="",Entry!$N24="",Entry!$O24="",Entry!$P24="",Entry!$Q24="",Entry!$R24="",AND(OR(Entry!$R24="Freight Allowance Chargeback",Entry!$R24="Illinois Shipping Chargeback"),Entry!$S24="")),"MISSING REQUIRED FACT","READY"))</f>
        <v/>
      </c>
      <c r="D24" s="13">
        <f>IF($C24&lt;&gt;"READY","",MAX(Entry!$H24-Entry!$I24-IF(Entry!$K24="Fulfilled Same Cycle",Entry!$J24,0),0))</f>
        <v/>
      </c>
      <c r="E24" s="13">
        <f>IF($C24&lt;&gt;"READY","",IF(Entry!$K24="Fulfilled Same Cycle",Entry!$J24,0))</f>
        <v/>
      </c>
      <c r="F24" s="13">
        <f>IF($C24&lt;&gt;"READY","",$D24)</f>
        <v/>
      </c>
      <c r="G24" s="13">
        <f>IF($C24&lt;&gt;"READY","",CEILING($F24/Entry!$M24,1)*Entry!$M24)</f>
        <v/>
      </c>
      <c r="H24" s="14">
        <f>IF($C24&lt;&gt;"READY","",IF(Entry!$R24="Order Accuracy Chargeback","N/A — order accuracy",IF(OR(Entry!$Q24&lt;MIN(INDEX(Allowance_Table,0,1)),Entry!$Q24&gt;MAX(INDEX(Allowance_Table,0,2))),"UNCOVERED—REVIEW",INDEX(Allowance_Table,MATCH(Entry!$Q24,INDEX(Allowance_Table,0,1),1),3))))</f>
        <v/>
      </c>
      <c r="I24" s="25">
        <f>IF($C24&lt;&gt;"READY","",IF($H24="UNCOVERED—REVIEW","",IF(Entry!$R24="Order Accuracy Chargeback",$G24*Entry!$L24,IF(Entry!$R24="Freight Allowance Chargeback",MAX(Entry!$S24-$H24,0),IF(Entry!$R24="Illinois Shipping Chargeback",IF(Entry!$P24="IL",Entry!$S24,0),"")))))</f>
        <v/>
      </c>
      <c r="J24" s="12">
        <f>IF($C24&lt;&gt;"READY","",IF($H24="UNCOVERED—REVIEW","CB-07",INDEX(Category_Clauses,MATCH(Entry!$R24,INDEX(Category_Clauses,0,1),0),2)))</f>
        <v/>
      </c>
    </row>
    <row r="25">
      <c r="A25" s="12">
        <f>IF(COUNTA(Entry!$B25:$S25)=0,"",Entry!$A25)</f>
        <v/>
      </c>
      <c r="B25" s="12">
        <f>IF(COUNTA(Entry!$B25:$S25)=0,"",Entry!$B25)</f>
        <v/>
      </c>
      <c r="C25" s="12">
        <f>IF(COUNTA(Entry!$B25:$S25)=0,"",IF(OR(Entry!$B25="",Entry!$C25="",Entry!$D25="",Entry!$E25="",Entry!$F25="",Entry!$G25="",Entry!$H25="",Entry!$I25="",Entry!$J25="",Entry!$K25="",Entry!$L25="",Entry!$M25="",Entry!$N25="",Entry!$O25="",Entry!$P25="",Entry!$Q25="",Entry!$R25="",AND(OR(Entry!$R25="Freight Allowance Chargeback",Entry!$R25="Illinois Shipping Chargeback"),Entry!$S25="")),"MISSING REQUIRED FACT","READY"))</f>
        <v/>
      </c>
      <c r="D25" s="13">
        <f>IF($C25&lt;&gt;"READY","",MAX(Entry!$H25-Entry!$I25-IF(Entry!$K25="Fulfilled Same Cycle",Entry!$J25,0),0))</f>
        <v/>
      </c>
      <c r="E25" s="13">
        <f>IF($C25&lt;&gt;"READY","",IF(Entry!$K25="Fulfilled Same Cycle",Entry!$J25,0))</f>
        <v/>
      </c>
      <c r="F25" s="13">
        <f>IF($C25&lt;&gt;"READY","",$D25)</f>
        <v/>
      </c>
      <c r="G25" s="13">
        <f>IF($C25&lt;&gt;"READY","",CEILING($F25/Entry!$M25,1)*Entry!$M25)</f>
        <v/>
      </c>
      <c r="H25" s="14">
        <f>IF($C25&lt;&gt;"READY","",IF(Entry!$R25="Order Accuracy Chargeback","N/A — order accuracy",IF(OR(Entry!$Q25&lt;MIN(INDEX(Allowance_Table,0,1)),Entry!$Q25&gt;MAX(INDEX(Allowance_Table,0,2))),"UNCOVERED—REVIEW",INDEX(Allowance_Table,MATCH(Entry!$Q25,INDEX(Allowance_Table,0,1),1),3))))</f>
        <v/>
      </c>
      <c r="I25" s="25">
        <f>IF($C25&lt;&gt;"READY","",IF($H25="UNCOVERED—REVIEW","",IF(Entry!$R25="Order Accuracy Chargeback",$G25*Entry!$L25,IF(Entry!$R25="Freight Allowance Chargeback",MAX(Entry!$S25-$H25,0),IF(Entry!$R25="Illinois Shipping Chargeback",IF(Entry!$P25="IL",Entry!$S25,0),"")))))</f>
        <v/>
      </c>
      <c r="J25" s="12">
        <f>IF($C25&lt;&gt;"READY","",IF($H25="UNCOVERED—REVIEW","CB-07",INDEX(Category_Clauses,MATCH(Entry!$R25,INDEX(Category_Clauses,0,1),0),2)))</f>
        <v/>
      </c>
    </row>
    <row r="26">
      <c r="A26" s="12">
        <f>IF(COUNTA(Entry!$B26:$S26)=0,"",Entry!$A26)</f>
        <v/>
      </c>
      <c r="B26" s="12">
        <f>IF(COUNTA(Entry!$B26:$S26)=0,"",Entry!$B26)</f>
        <v/>
      </c>
      <c r="C26" s="12">
        <f>IF(COUNTA(Entry!$B26:$S26)=0,"",IF(OR(Entry!$B26="",Entry!$C26="",Entry!$D26="",Entry!$E26="",Entry!$F26="",Entry!$G26="",Entry!$H26="",Entry!$I26="",Entry!$J26="",Entry!$K26="",Entry!$L26="",Entry!$M26="",Entry!$N26="",Entry!$O26="",Entry!$P26="",Entry!$Q26="",Entry!$R26="",AND(OR(Entry!$R26="Freight Allowance Chargeback",Entry!$R26="Illinois Shipping Chargeback"),Entry!$S26="")),"MISSING REQUIRED FACT","READY"))</f>
        <v/>
      </c>
      <c r="D26" s="13">
        <f>IF($C26&lt;&gt;"READY","",MAX(Entry!$H26-Entry!$I26-IF(Entry!$K26="Fulfilled Same Cycle",Entry!$J26,0),0))</f>
        <v/>
      </c>
      <c r="E26" s="13">
        <f>IF($C26&lt;&gt;"READY","",IF(Entry!$K26="Fulfilled Same Cycle",Entry!$J26,0))</f>
        <v/>
      </c>
      <c r="F26" s="13">
        <f>IF($C26&lt;&gt;"READY","",$D26)</f>
        <v/>
      </c>
      <c r="G26" s="13">
        <f>IF($C26&lt;&gt;"READY","",CEILING($F26/Entry!$M26,1)*Entry!$M26)</f>
        <v/>
      </c>
      <c r="H26" s="14">
        <f>IF($C26&lt;&gt;"READY","",IF(Entry!$R26="Order Accuracy Chargeback","N/A — order accuracy",IF(OR(Entry!$Q26&lt;MIN(INDEX(Allowance_Table,0,1)),Entry!$Q26&gt;MAX(INDEX(Allowance_Table,0,2))),"UNCOVERED—REVIEW",INDEX(Allowance_Table,MATCH(Entry!$Q26,INDEX(Allowance_Table,0,1),1),3))))</f>
        <v/>
      </c>
      <c r="I26" s="25">
        <f>IF($C26&lt;&gt;"READY","",IF($H26="UNCOVERED—REVIEW","",IF(Entry!$R26="Order Accuracy Chargeback",$G26*Entry!$L26,IF(Entry!$R26="Freight Allowance Chargeback",MAX(Entry!$S26-$H26,0),IF(Entry!$R26="Illinois Shipping Chargeback",IF(Entry!$P26="IL",Entry!$S26,0),"")))))</f>
        <v/>
      </c>
      <c r="J26" s="12">
        <f>IF($C26&lt;&gt;"READY","",IF($H26="UNCOVERED—REVIEW","CB-07",INDEX(Category_Clauses,MATCH(Entry!$R26,INDEX(Category_Clauses,0,1),0),2)))</f>
        <v/>
      </c>
    </row>
    <row r="27">
      <c r="A27" s="12">
        <f>IF(COUNTA(Entry!$B27:$S27)=0,"",Entry!$A27)</f>
        <v/>
      </c>
      <c r="B27" s="12">
        <f>IF(COUNTA(Entry!$B27:$S27)=0,"",Entry!$B27)</f>
        <v/>
      </c>
      <c r="C27" s="12">
        <f>IF(COUNTA(Entry!$B27:$S27)=0,"",IF(OR(Entry!$B27="",Entry!$C27="",Entry!$D27="",Entry!$E27="",Entry!$F27="",Entry!$G27="",Entry!$H27="",Entry!$I27="",Entry!$J27="",Entry!$K27="",Entry!$L27="",Entry!$M27="",Entry!$N27="",Entry!$O27="",Entry!$P27="",Entry!$Q27="",Entry!$R27="",AND(OR(Entry!$R27="Freight Allowance Chargeback",Entry!$R27="Illinois Shipping Chargeback"),Entry!$S27="")),"MISSING REQUIRED FACT","READY"))</f>
        <v/>
      </c>
      <c r="D27" s="13">
        <f>IF($C27&lt;&gt;"READY","",MAX(Entry!$H27-Entry!$I27-IF(Entry!$K27="Fulfilled Same Cycle",Entry!$J27,0),0))</f>
        <v/>
      </c>
      <c r="E27" s="13">
        <f>IF($C27&lt;&gt;"READY","",IF(Entry!$K27="Fulfilled Same Cycle",Entry!$J27,0))</f>
        <v/>
      </c>
      <c r="F27" s="13">
        <f>IF($C27&lt;&gt;"READY","",$D27)</f>
        <v/>
      </c>
      <c r="G27" s="13">
        <f>IF($C27&lt;&gt;"READY","",CEILING($F27/Entry!$M27,1)*Entry!$M27)</f>
        <v/>
      </c>
      <c r="H27" s="14">
        <f>IF($C27&lt;&gt;"READY","",IF(Entry!$R27="Order Accuracy Chargeback","N/A — order accuracy",IF(OR(Entry!$Q27&lt;MIN(INDEX(Allowance_Table,0,1)),Entry!$Q27&gt;MAX(INDEX(Allowance_Table,0,2))),"UNCOVERED—REVIEW",INDEX(Allowance_Table,MATCH(Entry!$Q27,INDEX(Allowance_Table,0,1),1),3))))</f>
        <v/>
      </c>
      <c r="I27" s="25">
        <f>IF($C27&lt;&gt;"READY","",IF($H27="UNCOVERED—REVIEW","",IF(Entry!$R27="Order Accuracy Chargeback",$G27*Entry!$L27,IF(Entry!$R27="Freight Allowance Chargeback",MAX(Entry!$S27-$H27,0),IF(Entry!$R27="Illinois Shipping Chargeback",IF(Entry!$P27="IL",Entry!$S27,0),"")))))</f>
        <v/>
      </c>
      <c r="J27" s="12">
        <f>IF($C27&lt;&gt;"READY","",IF($H27="UNCOVERED—REVIEW","CB-07",INDEX(Category_Clauses,MATCH(Entry!$R27,INDEX(Category_Clauses,0,1),0),2)))</f>
        <v/>
      </c>
    </row>
    <row r="28">
      <c r="A28" s="12">
        <f>IF(COUNTA(Entry!$B28:$S28)=0,"",Entry!$A28)</f>
        <v/>
      </c>
      <c r="B28" s="12">
        <f>IF(COUNTA(Entry!$B28:$S28)=0,"",Entry!$B28)</f>
        <v/>
      </c>
      <c r="C28" s="12">
        <f>IF(COUNTA(Entry!$B28:$S28)=0,"",IF(OR(Entry!$B28="",Entry!$C28="",Entry!$D28="",Entry!$E28="",Entry!$F28="",Entry!$G28="",Entry!$H28="",Entry!$I28="",Entry!$J28="",Entry!$K28="",Entry!$L28="",Entry!$M28="",Entry!$N28="",Entry!$O28="",Entry!$P28="",Entry!$Q28="",Entry!$R28="",AND(OR(Entry!$R28="Freight Allowance Chargeback",Entry!$R28="Illinois Shipping Chargeback"),Entry!$S28="")),"MISSING REQUIRED FACT","READY"))</f>
        <v/>
      </c>
      <c r="D28" s="13">
        <f>IF($C28&lt;&gt;"READY","",MAX(Entry!$H28-Entry!$I28-IF(Entry!$K28="Fulfilled Same Cycle",Entry!$J28,0),0))</f>
        <v/>
      </c>
      <c r="E28" s="13">
        <f>IF($C28&lt;&gt;"READY","",IF(Entry!$K28="Fulfilled Same Cycle",Entry!$J28,0))</f>
        <v/>
      </c>
      <c r="F28" s="13">
        <f>IF($C28&lt;&gt;"READY","",$D28)</f>
        <v/>
      </c>
      <c r="G28" s="13">
        <f>IF($C28&lt;&gt;"READY","",CEILING($F28/Entry!$M28,1)*Entry!$M28)</f>
        <v/>
      </c>
      <c r="H28" s="14">
        <f>IF($C28&lt;&gt;"READY","",IF(Entry!$R28="Order Accuracy Chargeback","N/A — order accuracy",IF(OR(Entry!$Q28&lt;MIN(INDEX(Allowance_Table,0,1)),Entry!$Q28&gt;MAX(INDEX(Allowance_Table,0,2))),"UNCOVERED—REVIEW",INDEX(Allowance_Table,MATCH(Entry!$Q28,INDEX(Allowance_Table,0,1),1),3))))</f>
        <v/>
      </c>
      <c r="I28" s="25">
        <f>IF($C28&lt;&gt;"READY","",IF($H28="UNCOVERED—REVIEW","",IF(Entry!$R28="Order Accuracy Chargeback",$G28*Entry!$L28,IF(Entry!$R28="Freight Allowance Chargeback",MAX(Entry!$S28-$H28,0),IF(Entry!$R28="Illinois Shipping Chargeback",IF(Entry!$P28="IL",Entry!$S28,0),"")))))</f>
        <v/>
      </c>
      <c r="J28" s="12">
        <f>IF($C28&lt;&gt;"READY","",IF($H28="UNCOVERED—REVIEW","CB-07",INDEX(Category_Clauses,MATCH(Entry!$R28,INDEX(Category_Clauses,0,1),0),2)))</f>
        <v/>
      </c>
    </row>
    <row r="29">
      <c r="A29" s="12">
        <f>IF(COUNTA(Entry!$B29:$S29)=0,"",Entry!$A29)</f>
        <v/>
      </c>
      <c r="B29" s="12">
        <f>IF(COUNTA(Entry!$B29:$S29)=0,"",Entry!$B29)</f>
        <v/>
      </c>
      <c r="C29" s="12">
        <f>IF(COUNTA(Entry!$B29:$S29)=0,"",IF(OR(Entry!$B29="",Entry!$C29="",Entry!$D29="",Entry!$E29="",Entry!$F29="",Entry!$G29="",Entry!$H29="",Entry!$I29="",Entry!$J29="",Entry!$K29="",Entry!$L29="",Entry!$M29="",Entry!$N29="",Entry!$O29="",Entry!$P29="",Entry!$Q29="",Entry!$R29="",AND(OR(Entry!$R29="Freight Allowance Chargeback",Entry!$R29="Illinois Shipping Chargeback"),Entry!$S29="")),"MISSING REQUIRED FACT","READY"))</f>
        <v/>
      </c>
      <c r="D29" s="13">
        <f>IF($C29&lt;&gt;"READY","",MAX(Entry!$H29-Entry!$I29-IF(Entry!$K29="Fulfilled Same Cycle",Entry!$J29,0),0))</f>
        <v/>
      </c>
      <c r="E29" s="13">
        <f>IF($C29&lt;&gt;"READY","",IF(Entry!$K29="Fulfilled Same Cycle",Entry!$J29,0))</f>
        <v/>
      </c>
      <c r="F29" s="13">
        <f>IF($C29&lt;&gt;"READY","",$D29)</f>
        <v/>
      </c>
      <c r="G29" s="13">
        <f>IF($C29&lt;&gt;"READY","",CEILING($F29/Entry!$M29,1)*Entry!$M29)</f>
        <v/>
      </c>
      <c r="H29" s="14">
        <f>IF($C29&lt;&gt;"READY","",IF(Entry!$R29="Order Accuracy Chargeback","N/A — order accuracy",IF(OR(Entry!$Q29&lt;MIN(INDEX(Allowance_Table,0,1)),Entry!$Q29&gt;MAX(INDEX(Allowance_Table,0,2))),"UNCOVERED—REVIEW",INDEX(Allowance_Table,MATCH(Entry!$Q29,INDEX(Allowance_Table,0,1),1),3))))</f>
        <v/>
      </c>
      <c r="I29" s="25">
        <f>IF($C29&lt;&gt;"READY","",IF($H29="UNCOVERED—REVIEW","",IF(Entry!$R29="Order Accuracy Chargeback",$G29*Entry!$L29,IF(Entry!$R29="Freight Allowance Chargeback",MAX(Entry!$S29-$H29,0),IF(Entry!$R29="Illinois Shipping Chargeback",IF(Entry!$P29="IL",Entry!$S29,0),"")))))</f>
        <v/>
      </c>
      <c r="J29" s="12">
        <f>IF($C29&lt;&gt;"READY","",IF($H29="UNCOVERED—REVIEW","CB-07",INDEX(Category_Clauses,MATCH(Entry!$R29,INDEX(Category_Clauses,0,1),0),2)))</f>
        <v/>
      </c>
    </row>
    <row r="30">
      <c r="A30" s="12">
        <f>IF(COUNTA(Entry!$B30:$S30)=0,"",Entry!$A30)</f>
        <v/>
      </c>
      <c r="B30" s="12">
        <f>IF(COUNTA(Entry!$B30:$S30)=0,"",Entry!$B30)</f>
        <v/>
      </c>
      <c r="C30" s="12">
        <f>IF(COUNTA(Entry!$B30:$S30)=0,"",IF(OR(Entry!$B30="",Entry!$C30="",Entry!$D30="",Entry!$E30="",Entry!$F30="",Entry!$G30="",Entry!$H30="",Entry!$I30="",Entry!$J30="",Entry!$K30="",Entry!$L30="",Entry!$M30="",Entry!$N30="",Entry!$O30="",Entry!$P30="",Entry!$Q30="",Entry!$R30="",AND(OR(Entry!$R30="Freight Allowance Chargeback",Entry!$R30="Illinois Shipping Chargeback"),Entry!$S30="")),"MISSING REQUIRED FACT","READY"))</f>
        <v/>
      </c>
      <c r="D30" s="13">
        <f>IF($C30&lt;&gt;"READY","",MAX(Entry!$H30-Entry!$I30-IF(Entry!$K30="Fulfilled Same Cycle",Entry!$J30,0),0))</f>
        <v/>
      </c>
      <c r="E30" s="13">
        <f>IF($C30&lt;&gt;"READY","",IF(Entry!$K30="Fulfilled Same Cycle",Entry!$J30,0))</f>
        <v/>
      </c>
      <c r="F30" s="13">
        <f>IF($C30&lt;&gt;"READY","",$D30)</f>
        <v/>
      </c>
      <c r="G30" s="13">
        <f>IF($C30&lt;&gt;"READY","",CEILING($F30/Entry!$M30,1)*Entry!$M30)</f>
        <v/>
      </c>
      <c r="H30" s="14">
        <f>IF($C30&lt;&gt;"READY","",IF(Entry!$R30="Order Accuracy Chargeback","N/A — order accuracy",IF(OR(Entry!$Q30&lt;MIN(INDEX(Allowance_Table,0,1)),Entry!$Q30&gt;MAX(INDEX(Allowance_Table,0,2))),"UNCOVERED—REVIEW",INDEX(Allowance_Table,MATCH(Entry!$Q30,INDEX(Allowance_Table,0,1),1),3))))</f>
        <v/>
      </c>
      <c r="I30" s="25">
        <f>IF($C30&lt;&gt;"READY","",IF($H30="UNCOVERED—REVIEW","",IF(Entry!$R30="Order Accuracy Chargeback",$G30*Entry!$L30,IF(Entry!$R30="Freight Allowance Chargeback",MAX(Entry!$S30-$H30,0),IF(Entry!$R30="Illinois Shipping Chargeback",IF(Entry!$P30="IL",Entry!$S30,0),"")))))</f>
        <v/>
      </c>
      <c r="J30" s="12">
        <f>IF($C30&lt;&gt;"READY","",IF($H30="UNCOVERED—REVIEW","CB-07",INDEX(Category_Clauses,MATCH(Entry!$R30,INDEX(Category_Clauses,0,1),0),2)))</f>
        <v/>
      </c>
    </row>
    <row r="31">
      <c r="A31" s="12">
        <f>IF(COUNTA(Entry!$B31:$S31)=0,"",Entry!$A31)</f>
        <v/>
      </c>
      <c r="B31" s="12">
        <f>IF(COUNTA(Entry!$B31:$S31)=0,"",Entry!$B31)</f>
        <v/>
      </c>
      <c r="C31" s="12">
        <f>IF(COUNTA(Entry!$B31:$S31)=0,"",IF(OR(Entry!$B31="",Entry!$C31="",Entry!$D31="",Entry!$E31="",Entry!$F31="",Entry!$G31="",Entry!$H31="",Entry!$I31="",Entry!$J31="",Entry!$K31="",Entry!$L31="",Entry!$M31="",Entry!$N31="",Entry!$O31="",Entry!$P31="",Entry!$Q31="",Entry!$R31="",AND(OR(Entry!$R31="Freight Allowance Chargeback",Entry!$R31="Illinois Shipping Chargeback"),Entry!$S31="")),"MISSING REQUIRED FACT","READY"))</f>
        <v/>
      </c>
      <c r="D31" s="13">
        <f>IF($C31&lt;&gt;"READY","",MAX(Entry!$H31-Entry!$I31-IF(Entry!$K31="Fulfilled Same Cycle",Entry!$J31,0),0))</f>
        <v/>
      </c>
      <c r="E31" s="13">
        <f>IF($C31&lt;&gt;"READY","",IF(Entry!$K31="Fulfilled Same Cycle",Entry!$J31,0))</f>
        <v/>
      </c>
      <c r="F31" s="13">
        <f>IF($C31&lt;&gt;"READY","",$D31)</f>
        <v/>
      </c>
      <c r="G31" s="13">
        <f>IF($C31&lt;&gt;"READY","",CEILING($F31/Entry!$M31,1)*Entry!$M31)</f>
        <v/>
      </c>
      <c r="H31" s="14">
        <f>IF($C31&lt;&gt;"READY","",IF(Entry!$R31="Order Accuracy Chargeback","N/A — order accuracy",IF(OR(Entry!$Q31&lt;MIN(INDEX(Allowance_Table,0,1)),Entry!$Q31&gt;MAX(INDEX(Allowance_Table,0,2))),"UNCOVERED—REVIEW",INDEX(Allowance_Table,MATCH(Entry!$Q31,INDEX(Allowance_Table,0,1),1),3))))</f>
        <v/>
      </c>
      <c r="I31" s="25">
        <f>IF($C31&lt;&gt;"READY","",IF($H31="UNCOVERED—REVIEW","",IF(Entry!$R31="Order Accuracy Chargeback",$G31*Entry!$L31,IF(Entry!$R31="Freight Allowance Chargeback",MAX(Entry!$S31-$H31,0),IF(Entry!$R31="Illinois Shipping Chargeback",IF(Entry!$P31="IL",Entry!$S31,0),"")))))</f>
        <v/>
      </c>
      <c r="J31" s="12">
        <f>IF($C31&lt;&gt;"READY","",IF($H31="UNCOVERED—REVIEW","CB-07",INDEX(Category_Clauses,MATCH(Entry!$R31,INDEX(Category_Clauses,0,1),0),2)))</f>
        <v/>
      </c>
    </row>
    <row r="32">
      <c r="A32" s="12">
        <f>IF(COUNTA(Entry!$B32:$S32)=0,"",Entry!$A32)</f>
        <v/>
      </c>
      <c r="B32" s="12">
        <f>IF(COUNTA(Entry!$B32:$S32)=0,"",Entry!$B32)</f>
        <v/>
      </c>
      <c r="C32" s="12">
        <f>IF(COUNTA(Entry!$B32:$S32)=0,"",IF(OR(Entry!$B32="",Entry!$C32="",Entry!$D32="",Entry!$E32="",Entry!$F32="",Entry!$G32="",Entry!$H32="",Entry!$I32="",Entry!$J32="",Entry!$K32="",Entry!$L32="",Entry!$M32="",Entry!$N32="",Entry!$O32="",Entry!$P32="",Entry!$Q32="",Entry!$R32="",AND(OR(Entry!$R32="Freight Allowance Chargeback",Entry!$R32="Illinois Shipping Chargeback"),Entry!$S32="")),"MISSING REQUIRED FACT","READY"))</f>
        <v/>
      </c>
      <c r="D32" s="13">
        <f>IF($C32&lt;&gt;"READY","",MAX(Entry!$H32-Entry!$I32-IF(Entry!$K32="Fulfilled Same Cycle",Entry!$J32,0),0))</f>
        <v/>
      </c>
      <c r="E32" s="13">
        <f>IF($C32&lt;&gt;"READY","",IF(Entry!$K32="Fulfilled Same Cycle",Entry!$J32,0))</f>
        <v/>
      </c>
      <c r="F32" s="13">
        <f>IF($C32&lt;&gt;"READY","",$D32)</f>
        <v/>
      </c>
      <c r="G32" s="13">
        <f>IF($C32&lt;&gt;"READY","",CEILING($F32/Entry!$M32,1)*Entry!$M32)</f>
        <v/>
      </c>
      <c r="H32" s="14">
        <f>IF($C32&lt;&gt;"READY","",IF(Entry!$R32="Order Accuracy Chargeback","N/A — order accuracy",IF(OR(Entry!$Q32&lt;MIN(INDEX(Allowance_Table,0,1)),Entry!$Q32&gt;MAX(INDEX(Allowance_Table,0,2))),"UNCOVERED—REVIEW",INDEX(Allowance_Table,MATCH(Entry!$Q32,INDEX(Allowance_Table,0,1),1),3))))</f>
        <v/>
      </c>
      <c r="I32" s="25">
        <f>IF($C32&lt;&gt;"READY","",IF($H32="UNCOVERED—REVIEW","",IF(Entry!$R32="Order Accuracy Chargeback",$G32*Entry!$L32,IF(Entry!$R32="Freight Allowance Chargeback",MAX(Entry!$S32-$H32,0),IF(Entry!$R32="Illinois Shipping Chargeback",IF(Entry!$P32="IL",Entry!$S32,0),"")))))</f>
        <v/>
      </c>
      <c r="J32" s="12">
        <f>IF($C32&lt;&gt;"READY","",IF($H32="UNCOVERED—REVIEW","CB-07",INDEX(Category_Clauses,MATCH(Entry!$R32,INDEX(Category_Clauses,0,1),0),2)))</f>
        <v/>
      </c>
    </row>
    <row r="33">
      <c r="A33" s="12">
        <f>IF(COUNTA(Entry!$B33:$S33)=0,"",Entry!$A33)</f>
        <v/>
      </c>
      <c r="B33" s="12">
        <f>IF(COUNTA(Entry!$B33:$S33)=0,"",Entry!$B33)</f>
        <v/>
      </c>
      <c r="C33" s="12">
        <f>IF(COUNTA(Entry!$B33:$S33)=0,"",IF(OR(Entry!$B33="",Entry!$C33="",Entry!$D33="",Entry!$E33="",Entry!$F33="",Entry!$G33="",Entry!$H33="",Entry!$I33="",Entry!$J33="",Entry!$K33="",Entry!$L33="",Entry!$M33="",Entry!$N33="",Entry!$O33="",Entry!$P33="",Entry!$Q33="",Entry!$R33="",AND(OR(Entry!$R33="Freight Allowance Chargeback",Entry!$R33="Illinois Shipping Chargeback"),Entry!$S33="")),"MISSING REQUIRED FACT","READY"))</f>
        <v/>
      </c>
      <c r="D33" s="13">
        <f>IF($C33&lt;&gt;"READY","",MAX(Entry!$H33-Entry!$I33-IF(Entry!$K33="Fulfilled Same Cycle",Entry!$J33,0),0))</f>
        <v/>
      </c>
      <c r="E33" s="13">
        <f>IF($C33&lt;&gt;"READY","",IF(Entry!$K33="Fulfilled Same Cycle",Entry!$J33,0))</f>
        <v/>
      </c>
      <c r="F33" s="13">
        <f>IF($C33&lt;&gt;"READY","",$D33)</f>
        <v/>
      </c>
      <c r="G33" s="13">
        <f>IF($C33&lt;&gt;"READY","",CEILING($F33/Entry!$M33,1)*Entry!$M33)</f>
        <v/>
      </c>
      <c r="H33" s="14">
        <f>IF($C33&lt;&gt;"READY","",IF(Entry!$R33="Order Accuracy Chargeback","N/A — order accuracy",IF(OR(Entry!$Q33&lt;MIN(INDEX(Allowance_Table,0,1)),Entry!$Q33&gt;MAX(INDEX(Allowance_Table,0,2))),"UNCOVERED—REVIEW",INDEX(Allowance_Table,MATCH(Entry!$Q33,INDEX(Allowance_Table,0,1),1),3))))</f>
        <v/>
      </c>
      <c r="I33" s="25">
        <f>IF($C33&lt;&gt;"READY","",IF($H33="UNCOVERED—REVIEW","",IF(Entry!$R33="Order Accuracy Chargeback",$G33*Entry!$L33,IF(Entry!$R33="Freight Allowance Chargeback",MAX(Entry!$S33-$H33,0),IF(Entry!$R33="Illinois Shipping Chargeback",IF(Entry!$P33="IL",Entry!$S33,0),"")))))</f>
        <v/>
      </c>
      <c r="J33" s="12">
        <f>IF($C33&lt;&gt;"READY","",IF($H33="UNCOVERED—REVIEW","CB-07",INDEX(Category_Clauses,MATCH(Entry!$R33,INDEX(Category_Clauses,0,1),0),2)))</f>
        <v/>
      </c>
    </row>
    <row r="34">
      <c r="A34" s="12">
        <f>IF(COUNTA(Entry!$B34:$S34)=0,"",Entry!$A34)</f>
        <v/>
      </c>
      <c r="B34" s="12">
        <f>IF(COUNTA(Entry!$B34:$S34)=0,"",Entry!$B34)</f>
        <v/>
      </c>
      <c r="C34" s="12">
        <f>IF(COUNTA(Entry!$B34:$S34)=0,"",IF(OR(Entry!$B34="",Entry!$C34="",Entry!$D34="",Entry!$E34="",Entry!$F34="",Entry!$G34="",Entry!$H34="",Entry!$I34="",Entry!$J34="",Entry!$K34="",Entry!$L34="",Entry!$M34="",Entry!$N34="",Entry!$O34="",Entry!$P34="",Entry!$Q34="",Entry!$R34="",AND(OR(Entry!$R34="Freight Allowance Chargeback",Entry!$R34="Illinois Shipping Chargeback"),Entry!$S34="")),"MISSING REQUIRED FACT","READY"))</f>
        <v/>
      </c>
      <c r="D34" s="13">
        <f>IF($C34&lt;&gt;"READY","",MAX(Entry!$H34-Entry!$I34-IF(Entry!$K34="Fulfilled Same Cycle",Entry!$J34,0),0))</f>
        <v/>
      </c>
      <c r="E34" s="13">
        <f>IF($C34&lt;&gt;"READY","",IF(Entry!$K34="Fulfilled Same Cycle",Entry!$J34,0))</f>
        <v/>
      </c>
      <c r="F34" s="13">
        <f>IF($C34&lt;&gt;"READY","",$D34)</f>
        <v/>
      </c>
      <c r="G34" s="13">
        <f>IF($C34&lt;&gt;"READY","",CEILING($F34/Entry!$M34,1)*Entry!$M34)</f>
        <v/>
      </c>
      <c r="H34" s="14">
        <f>IF($C34&lt;&gt;"READY","",IF(Entry!$R34="Order Accuracy Chargeback","N/A — order accuracy",IF(OR(Entry!$Q34&lt;MIN(INDEX(Allowance_Table,0,1)),Entry!$Q34&gt;MAX(INDEX(Allowance_Table,0,2))),"UNCOVERED—REVIEW",INDEX(Allowance_Table,MATCH(Entry!$Q34,INDEX(Allowance_Table,0,1),1),3))))</f>
        <v/>
      </c>
      <c r="I34" s="25">
        <f>IF($C34&lt;&gt;"READY","",IF($H34="UNCOVERED—REVIEW","",IF(Entry!$R34="Order Accuracy Chargeback",$G34*Entry!$L34,IF(Entry!$R34="Freight Allowance Chargeback",MAX(Entry!$S34-$H34,0),IF(Entry!$R34="Illinois Shipping Chargeback",IF(Entry!$P34="IL",Entry!$S34,0),"")))))</f>
        <v/>
      </c>
      <c r="J34" s="12">
        <f>IF($C34&lt;&gt;"READY","",IF($H34="UNCOVERED—REVIEW","CB-07",INDEX(Category_Clauses,MATCH(Entry!$R34,INDEX(Category_Clauses,0,1),0),2)))</f>
        <v/>
      </c>
    </row>
    <row r="35">
      <c r="A35" s="12">
        <f>IF(COUNTA(Entry!$B35:$S35)=0,"",Entry!$A35)</f>
        <v/>
      </c>
      <c r="B35" s="12">
        <f>IF(COUNTA(Entry!$B35:$S35)=0,"",Entry!$B35)</f>
        <v/>
      </c>
      <c r="C35" s="12">
        <f>IF(COUNTA(Entry!$B35:$S35)=0,"",IF(OR(Entry!$B35="",Entry!$C35="",Entry!$D35="",Entry!$E35="",Entry!$F35="",Entry!$G35="",Entry!$H35="",Entry!$I35="",Entry!$J35="",Entry!$K35="",Entry!$L35="",Entry!$M35="",Entry!$N35="",Entry!$O35="",Entry!$P35="",Entry!$Q35="",Entry!$R35="",AND(OR(Entry!$R35="Freight Allowance Chargeback",Entry!$R35="Illinois Shipping Chargeback"),Entry!$S35="")),"MISSING REQUIRED FACT","READY"))</f>
        <v/>
      </c>
      <c r="D35" s="13">
        <f>IF($C35&lt;&gt;"READY","",MAX(Entry!$H35-Entry!$I35-IF(Entry!$K35="Fulfilled Same Cycle",Entry!$J35,0),0))</f>
        <v/>
      </c>
      <c r="E35" s="13">
        <f>IF($C35&lt;&gt;"READY","",IF(Entry!$K35="Fulfilled Same Cycle",Entry!$J35,0))</f>
        <v/>
      </c>
      <c r="F35" s="13">
        <f>IF($C35&lt;&gt;"READY","",$D35)</f>
        <v/>
      </c>
      <c r="G35" s="13">
        <f>IF($C35&lt;&gt;"READY","",CEILING($F35/Entry!$M35,1)*Entry!$M35)</f>
        <v/>
      </c>
      <c r="H35" s="14">
        <f>IF($C35&lt;&gt;"READY","",IF(Entry!$R35="Order Accuracy Chargeback","N/A — order accuracy",IF(OR(Entry!$Q35&lt;MIN(INDEX(Allowance_Table,0,1)),Entry!$Q35&gt;MAX(INDEX(Allowance_Table,0,2))),"UNCOVERED—REVIEW",INDEX(Allowance_Table,MATCH(Entry!$Q35,INDEX(Allowance_Table,0,1),1),3))))</f>
        <v/>
      </c>
      <c r="I35" s="25">
        <f>IF($C35&lt;&gt;"READY","",IF($H35="UNCOVERED—REVIEW","",IF(Entry!$R35="Order Accuracy Chargeback",$G35*Entry!$L35,IF(Entry!$R35="Freight Allowance Chargeback",MAX(Entry!$S35-$H35,0),IF(Entry!$R35="Illinois Shipping Chargeback",IF(Entry!$P35="IL",Entry!$S35,0),"")))))</f>
        <v/>
      </c>
      <c r="J35" s="12">
        <f>IF($C35&lt;&gt;"READY","",IF($H35="UNCOVERED—REVIEW","CB-07",INDEX(Category_Clauses,MATCH(Entry!$R35,INDEX(Category_Clauses,0,1),0),2)))</f>
        <v/>
      </c>
    </row>
    <row r="36">
      <c r="A36" s="12">
        <f>IF(COUNTA(Entry!$B36:$S36)=0,"",Entry!$A36)</f>
        <v/>
      </c>
      <c r="B36" s="12">
        <f>IF(COUNTA(Entry!$B36:$S36)=0,"",Entry!$B36)</f>
        <v/>
      </c>
      <c r="C36" s="12">
        <f>IF(COUNTA(Entry!$B36:$S36)=0,"",IF(OR(Entry!$B36="",Entry!$C36="",Entry!$D36="",Entry!$E36="",Entry!$F36="",Entry!$G36="",Entry!$H36="",Entry!$I36="",Entry!$J36="",Entry!$K36="",Entry!$L36="",Entry!$M36="",Entry!$N36="",Entry!$O36="",Entry!$P36="",Entry!$Q36="",Entry!$R36="",AND(OR(Entry!$R36="Freight Allowance Chargeback",Entry!$R36="Illinois Shipping Chargeback"),Entry!$S36="")),"MISSING REQUIRED FACT","READY"))</f>
        <v/>
      </c>
      <c r="D36" s="13">
        <f>IF($C36&lt;&gt;"READY","",MAX(Entry!$H36-Entry!$I36-IF(Entry!$K36="Fulfilled Same Cycle",Entry!$J36,0),0))</f>
        <v/>
      </c>
      <c r="E36" s="13">
        <f>IF($C36&lt;&gt;"READY","",IF(Entry!$K36="Fulfilled Same Cycle",Entry!$J36,0))</f>
        <v/>
      </c>
      <c r="F36" s="13">
        <f>IF($C36&lt;&gt;"READY","",$D36)</f>
        <v/>
      </c>
      <c r="G36" s="13">
        <f>IF($C36&lt;&gt;"READY","",CEILING($F36/Entry!$M36,1)*Entry!$M36)</f>
        <v/>
      </c>
      <c r="H36" s="14">
        <f>IF($C36&lt;&gt;"READY","",IF(Entry!$R36="Order Accuracy Chargeback","N/A — order accuracy",IF(OR(Entry!$Q36&lt;MIN(INDEX(Allowance_Table,0,1)),Entry!$Q36&gt;MAX(INDEX(Allowance_Table,0,2))),"UNCOVERED—REVIEW",INDEX(Allowance_Table,MATCH(Entry!$Q36,INDEX(Allowance_Table,0,1),1),3))))</f>
        <v/>
      </c>
      <c r="I36" s="25">
        <f>IF($C36&lt;&gt;"READY","",IF($H36="UNCOVERED—REVIEW","",IF(Entry!$R36="Order Accuracy Chargeback",$G36*Entry!$L36,IF(Entry!$R36="Freight Allowance Chargeback",MAX(Entry!$S36-$H36,0),IF(Entry!$R36="Illinois Shipping Chargeback",IF(Entry!$P36="IL",Entry!$S36,0),"")))))</f>
        <v/>
      </c>
      <c r="J36" s="12">
        <f>IF($C36&lt;&gt;"READY","",IF($H36="UNCOVERED—REVIEW","CB-07",INDEX(Category_Clauses,MATCH(Entry!$R36,INDEX(Category_Clauses,0,1),0),2)))</f>
        <v/>
      </c>
    </row>
    <row r="37">
      <c r="A37" s="12">
        <f>IF(COUNTA(Entry!$B37:$S37)=0,"",Entry!$A37)</f>
        <v/>
      </c>
      <c r="B37" s="12">
        <f>IF(COUNTA(Entry!$B37:$S37)=0,"",Entry!$B37)</f>
        <v/>
      </c>
      <c r="C37" s="12">
        <f>IF(COUNTA(Entry!$B37:$S37)=0,"",IF(OR(Entry!$B37="",Entry!$C37="",Entry!$D37="",Entry!$E37="",Entry!$F37="",Entry!$G37="",Entry!$H37="",Entry!$I37="",Entry!$J37="",Entry!$K37="",Entry!$L37="",Entry!$M37="",Entry!$N37="",Entry!$O37="",Entry!$P37="",Entry!$Q37="",Entry!$R37="",AND(OR(Entry!$R37="Freight Allowance Chargeback",Entry!$R37="Illinois Shipping Chargeback"),Entry!$S37="")),"MISSING REQUIRED FACT","READY"))</f>
        <v/>
      </c>
      <c r="D37" s="13">
        <f>IF($C37&lt;&gt;"READY","",MAX(Entry!$H37-Entry!$I37-IF(Entry!$K37="Fulfilled Same Cycle",Entry!$J37,0),0))</f>
        <v/>
      </c>
      <c r="E37" s="13">
        <f>IF($C37&lt;&gt;"READY","",IF(Entry!$K37="Fulfilled Same Cycle",Entry!$J37,0))</f>
        <v/>
      </c>
      <c r="F37" s="13">
        <f>IF($C37&lt;&gt;"READY","",$D37)</f>
        <v/>
      </c>
      <c r="G37" s="13">
        <f>IF($C37&lt;&gt;"READY","",CEILING($F37/Entry!$M37,1)*Entry!$M37)</f>
        <v/>
      </c>
      <c r="H37" s="14">
        <f>IF($C37&lt;&gt;"READY","",IF(Entry!$R37="Order Accuracy Chargeback","N/A — order accuracy",IF(OR(Entry!$Q37&lt;MIN(INDEX(Allowance_Table,0,1)),Entry!$Q37&gt;MAX(INDEX(Allowance_Table,0,2))),"UNCOVERED—REVIEW",INDEX(Allowance_Table,MATCH(Entry!$Q37,INDEX(Allowance_Table,0,1),1),3))))</f>
        <v/>
      </c>
      <c r="I37" s="25">
        <f>IF($C37&lt;&gt;"READY","",IF($H37="UNCOVERED—REVIEW","",IF(Entry!$R37="Order Accuracy Chargeback",$G37*Entry!$L37,IF(Entry!$R37="Freight Allowance Chargeback",MAX(Entry!$S37-$H37,0),IF(Entry!$R37="Illinois Shipping Chargeback",IF(Entry!$P37="IL",Entry!$S37,0),"")))))</f>
        <v/>
      </c>
      <c r="J37" s="12">
        <f>IF($C37&lt;&gt;"READY","",IF($H37="UNCOVERED—REVIEW","CB-07",INDEX(Category_Clauses,MATCH(Entry!$R37,INDEX(Category_Clauses,0,1),0),2)))</f>
        <v/>
      </c>
    </row>
    <row r="38">
      <c r="A38" s="12">
        <f>IF(COUNTA(Entry!$B38:$S38)=0,"",Entry!$A38)</f>
        <v/>
      </c>
      <c r="B38" s="12">
        <f>IF(COUNTA(Entry!$B38:$S38)=0,"",Entry!$B38)</f>
        <v/>
      </c>
      <c r="C38" s="12">
        <f>IF(COUNTA(Entry!$B38:$S38)=0,"",IF(OR(Entry!$B38="",Entry!$C38="",Entry!$D38="",Entry!$E38="",Entry!$F38="",Entry!$G38="",Entry!$H38="",Entry!$I38="",Entry!$J38="",Entry!$K38="",Entry!$L38="",Entry!$M38="",Entry!$N38="",Entry!$O38="",Entry!$P38="",Entry!$Q38="",Entry!$R38="",AND(OR(Entry!$R38="Freight Allowance Chargeback",Entry!$R38="Illinois Shipping Chargeback"),Entry!$S38="")),"MISSING REQUIRED FACT","READY"))</f>
        <v/>
      </c>
      <c r="D38" s="13">
        <f>IF($C38&lt;&gt;"READY","",MAX(Entry!$H38-Entry!$I38-IF(Entry!$K38="Fulfilled Same Cycle",Entry!$J38,0),0))</f>
        <v/>
      </c>
      <c r="E38" s="13">
        <f>IF($C38&lt;&gt;"READY","",IF(Entry!$K38="Fulfilled Same Cycle",Entry!$J38,0))</f>
        <v/>
      </c>
      <c r="F38" s="13">
        <f>IF($C38&lt;&gt;"READY","",$D38)</f>
        <v/>
      </c>
      <c r="G38" s="13">
        <f>IF($C38&lt;&gt;"READY","",CEILING($F38/Entry!$M38,1)*Entry!$M38)</f>
        <v/>
      </c>
      <c r="H38" s="14">
        <f>IF($C38&lt;&gt;"READY","",IF(Entry!$R38="Order Accuracy Chargeback","N/A — order accuracy",IF(OR(Entry!$Q38&lt;MIN(INDEX(Allowance_Table,0,1)),Entry!$Q38&gt;MAX(INDEX(Allowance_Table,0,2))),"UNCOVERED—REVIEW",INDEX(Allowance_Table,MATCH(Entry!$Q38,INDEX(Allowance_Table,0,1),1),3))))</f>
        <v/>
      </c>
      <c r="I38" s="25">
        <f>IF($C38&lt;&gt;"READY","",IF($H38="UNCOVERED—REVIEW","",IF(Entry!$R38="Order Accuracy Chargeback",$G38*Entry!$L38,IF(Entry!$R38="Freight Allowance Chargeback",MAX(Entry!$S38-$H38,0),IF(Entry!$R38="Illinois Shipping Chargeback",IF(Entry!$P38="IL",Entry!$S38,0),"")))))</f>
        <v/>
      </c>
      <c r="J38" s="12">
        <f>IF($C38&lt;&gt;"READY","",IF($H38="UNCOVERED—REVIEW","CB-07",INDEX(Category_Clauses,MATCH(Entry!$R38,INDEX(Category_Clauses,0,1),0),2)))</f>
        <v/>
      </c>
    </row>
    <row r="39">
      <c r="A39" s="12">
        <f>IF(COUNTA(Entry!$B39:$S39)=0,"",Entry!$A39)</f>
        <v/>
      </c>
      <c r="B39" s="12">
        <f>IF(COUNTA(Entry!$B39:$S39)=0,"",Entry!$B39)</f>
        <v/>
      </c>
      <c r="C39" s="12">
        <f>IF(COUNTA(Entry!$B39:$S39)=0,"",IF(OR(Entry!$B39="",Entry!$C39="",Entry!$D39="",Entry!$E39="",Entry!$F39="",Entry!$G39="",Entry!$H39="",Entry!$I39="",Entry!$J39="",Entry!$K39="",Entry!$L39="",Entry!$M39="",Entry!$N39="",Entry!$O39="",Entry!$P39="",Entry!$Q39="",Entry!$R39="",AND(OR(Entry!$R39="Freight Allowance Chargeback",Entry!$R39="Illinois Shipping Chargeback"),Entry!$S39="")),"MISSING REQUIRED FACT","READY"))</f>
        <v/>
      </c>
      <c r="D39" s="13">
        <f>IF($C39&lt;&gt;"READY","",MAX(Entry!$H39-Entry!$I39-IF(Entry!$K39="Fulfilled Same Cycle",Entry!$J39,0),0))</f>
        <v/>
      </c>
      <c r="E39" s="13">
        <f>IF($C39&lt;&gt;"READY","",IF(Entry!$K39="Fulfilled Same Cycle",Entry!$J39,0))</f>
        <v/>
      </c>
      <c r="F39" s="13">
        <f>IF($C39&lt;&gt;"READY","",$D39)</f>
        <v/>
      </c>
      <c r="G39" s="13">
        <f>IF($C39&lt;&gt;"READY","",CEILING($F39/Entry!$M39,1)*Entry!$M39)</f>
        <v/>
      </c>
      <c r="H39" s="14">
        <f>IF($C39&lt;&gt;"READY","",IF(Entry!$R39="Order Accuracy Chargeback","N/A — order accuracy",IF(OR(Entry!$Q39&lt;MIN(INDEX(Allowance_Table,0,1)),Entry!$Q39&gt;MAX(INDEX(Allowance_Table,0,2))),"UNCOVERED—REVIEW",INDEX(Allowance_Table,MATCH(Entry!$Q39,INDEX(Allowance_Table,0,1),1),3))))</f>
        <v/>
      </c>
      <c r="I39" s="25">
        <f>IF($C39&lt;&gt;"READY","",IF($H39="UNCOVERED—REVIEW","",IF(Entry!$R39="Order Accuracy Chargeback",$G39*Entry!$L39,IF(Entry!$R39="Freight Allowance Chargeback",MAX(Entry!$S39-$H39,0),IF(Entry!$R39="Illinois Shipping Chargeback",IF(Entry!$P39="IL",Entry!$S39,0),"")))))</f>
        <v/>
      </c>
      <c r="J39" s="12">
        <f>IF($C39&lt;&gt;"READY","",IF($H39="UNCOVERED—REVIEW","CB-07",INDEX(Category_Clauses,MATCH(Entry!$R39,INDEX(Category_Clauses,0,1),0),2)))</f>
        <v/>
      </c>
    </row>
    <row r="40">
      <c r="A40" s="12">
        <f>IF(COUNTA(Entry!$B40:$S40)=0,"",Entry!$A40)</f>
        <v/>
      </c>
      <c r="B40" s="12">
        <f>IF(COUNTA(Entry!$B40:$S40)=0,"",Entry!$B40)</f>
        <v/>
      </c>
      <c r="C40" s="12">
        <f>IF(COUNTA(Entry!$B40:$S40)=0,"",IF(OR(Entry!$B40="",Entry!$C40="",Entry!$D40="",Entry!$E40="",Entry!$F40="",Entry!$G40="",Entry!$H40="",Entry!$I40="",Entry!$J40="",Entry!$K40="",Entry!$L40="",Entry!$M40="",Entry!$N40="",Entry!$O40="",Entry!$P40="",Entry!$Q40="",Entry!$R40="",AND(OR(Entry!$R40="Freight Allowance Chargeback",Entry!$R40="Illinois Shipping Chargeback"),Entry!$S40="")),"MISSING REQUIRED FACT","READY"))</f>
        <v/>
      </c>
      <c r="D40" s="13">
        <f>IF($C40&lt;&gt;"READY","",MAX(Entry!$H40-Entry!$I40-IF(Entry!$K40="Fulfilled Same Cycle",Entry!$J40,0),0))</f>
        <v/>
      </c>
      <c r="E40" s="13">
        <f>IF($C40&lt;&gt;"READY","",IF(Entry!$K40="Fulfilled Same Cycle",Entry!$J40,0))</f>
        <v/>
      </c>
      <c r="F40" s="13">
        <f>IF($C40&lt;&gt;"READY","",$D40)</f>
        <v/>
      </c>
      <c r="G40" s="13">
        <f>IF($C40&lt;&gt;"READY","",CEILING($F40/Entry!$M40,1)*Entry!$M40)</f>
        <v/>
      </c>
      <c r="H40" s="14">
        <f>IF($C40&lt;&gt;"READY","",IF(Entry!$R40="Order Accuracy Chargeback","N/A — order accuracy",IF(OR(Entry!$Q40&lt;MIN(INDEX(Allowance_Table,0,1)),Entry!$Q40&gt;MAX(INDEX(Allowance_Table,0,2))),"UNCOVERED—REVIEW",INDEX(Allowance_Table,MATCH(Entry!$Q40,INDEX(Allowance_Table,0,1),1),3))))</f>
        <v/>
      </c>
      <c r="I40" s="25">
        <f>IF($C40&lt;&gt;"READY","",IF($H40="UNCOVERED—REVIEW","",IF(Entry!$R40="Order Accuracy Chargeback",$G40*Entry!$L40,IF(Entry!$R40="Freight Allowance Chargeback",MAX(Entry!$S40-$H40,0),IF(Entry!$R40="Illinois Shipping Chargeback",IF(Entry!$P40="IL",Entry!$S40,0),"")))))</f>
        <v/>
      </c>
      <c r="J40" s="12">
        <f>IF($C40&lt;&gt;"READY","",IF($H40="UNCOVERED—REVIEW","CB-07",INDEX(Category_Clauses,MATCH(Entry!$R40,INDEX(Category_Clauses,0,1),0),2)))</f>
        <v/>
      </c>
    </row>
    <row r="41">
      <c r="A41" s="12">
        <f>IF(COUNTA(Entry!$B41:$S41)=0,"",Entry!$A41)</f>
        <v/>
      </c>
      <c r="B41" s="12">
        <f>IF(COUNTA(Entry!$B41:$S41)=0,"",Entry!$B41)</f>
        <v/>
      </c>
      <c r="C41" s="12">
        <f>IF(COUNTA(Entry!$B41:$S41)=0,"",IF(OR(Entry!$B41="",Entry!$C41="",Entry!$D41="",Entry!$E41="",Entry!$F41="",Entry!$G41="",Entry!$H41="",Entry!$I41="",Entry!$J41="",Entry!$K41="",Entry!$L41="",Entry!$M41="",Entry!$N41="",Entry!$O41="",Entry!$P41="",Entry!$Q41="",Entry!$R41="",AND(OR(Entry!$R41="Freight Allowance Chargeback",Entry!$R41="Illinois Shipping Chargeback"),Entry!$S41="")),"MISSING REQUIRED FACT","READY"))</f>
        <v/>
      </c>
      <c r="D41" s="13">
        <f>IF($C41&lt;&gt;"READY","",MAX(Entry!$H41-Entry!$I41-IF(Entry!$K41="Fulfilled Same Cycle",Entry!$J41,0),0))</f>
        <v/>
      </c>
      <c r="E41" s="13">
        <f>IF($C41&lt;&gt;"READY","",IF(Entry!$K41="Fulfilled Same Cycle",Entry!$J41,0))</f>
        <v/>
      </c>
      <c r="F41" s="13">
        <f>IF($C41&lt;&gt;"READY","",$D41)</f>
        <v/>
      </c>
      <c r="G41" s="13">
        <f>IF($C41&lt;&gt;"READY","",CEILING($F41/Entry!$M41,1)*Entry!$M41)</f>
        <v/>
      </c>
      <c r="H41" s="14">
        <f>IF($C41&lt;&gt;"READY","",IF(Entry!$R41="Order Accuracy Chargeback","N/A — order accuracy",IF(OR(Entry!$Q41&lt;MIN(INDEX(Allowance_Table,0,1)),Entry!$Q41&gt;MAX(INDEX(Allowance_Table,0,2))),"UNCOVERED—REVIEW",INDEX(Allowance_Table,MATCH(Entry!$Q41,INDEX(Allowance_Table,0,1),1),3))))</f>
        <v/>
      </c>
      <c r="I41" s="25">
        <f>IF($C41&lt;&gt;"READY","",IF($H41="UNCOVERED—REVIEW","",IF(Entry!$R41="Order Accuracy Chargeback",$G41*Entry!$L41,IF(Entry!$R41="Freight Allowance Chargeback",MAX(Entry!$S41-$H41,0),IF(Entry!$R41="Illinois Shipping Chargeback",IF(Entry!$P41="IL",Entry!$S41,0),"")))))</f>
        <v/>
      </c>
      <c r="J41" s="12">
        <f>IF($C41&lt;&gt;"READY","",IF($H41="UNCOVERED—REVIEW","CB-07",INDEX(Category_Clauses,MATCH(Entry!$R41,INDEX(Category_Clauses,0,1),0),2)))</f>
        <v/>
      </c>
    </row>
    <row r="42">
      <c r="A42" s="12">
        <f>IF(COUNTA(Entry!$B42:$S42)=0,"",Entry!$A42)</f>
        <v/>
      </c>
      <c r="B42" s="12">
        <f>IF(COUNTA(Entry!$B42:$S42)=0,"",Entry!$B42)</f>
        <v/>
      </c>
      <c r="C42" s="12">
        <f>IF(COUNTA(Entry!$B42:$S42)=0,"",IF(OR(Entry!$B42="",Entry!$C42="",Entry!$D42="",Entry!$E42="",Entry!$F42="",Entry!$G42="",Entry!$H42="",Entry!$I42="",Entry!$J42="",Entry!$K42="",Entry!$L42="",Entry!$M42="",Entry!$N42="",Entry!$O42="",Entry!$P42="",Entry!$Q42="",Entry!$R42="",AND(OR(Entry!$R42="Freight Allowance Chargeback",Entry!$R42="Illinois Shipping Chargeback"),Entry!$S42="")),"MISSING REQUIRED FACT","READY"))</f>
        <v/>
      </c>
      <c r="D42" s="13">
        <f>IF($C42&lt;&gt;"READY","",MAX(Entry!$H42-Entry!$I42-IF(Entry!$K42="Fulfilled Same Cycle",Entry!$J42,0),0))</f>
        <v/>
      </c>
      <c r="E42" s="13">
        <f>IF($C42&lt;&gt;"READY","",IF(Entry!$K42="Fulfilled Same Cycle",Entry!$J42,0))</f>
        <v/>
      </c>
      <c r="F42" s="13">
        <f>IF($C42&lt;&gt;"READY","",$D42)</f>
        <v/>
      </c>
      <c r="G42" s="13">
        <f>IF($C42&lt;&gt;"READY","",CEILING($F42/Entry!$M42,1)*Entry!$M42)</f>
        <v/>
      </c>
      <c r="H42" s="14">
        <f>IF($C42&lt;&gt;"READY","",IF(Entry!$R42="Order Accuracy Chargeback","N/A — order accuracy",IF(OR(Entry!$Q42&lt;MIN(INDEX(Allowance_Table,0,1)),Entry!$Q42&gt;MAX(INDEX(Allowance_Table,0,2))),"UNCOVERED—REVIEW",INDEX(Allowance_Table,MATCH(Entry!$Q42,INDEX(Allowance_Table,0,1),1),3))))</f>
        <v/>
      </c>
      <c r="I42" s="25">
        <f>IF($C42&lt;&gt;"READY","",IF($H42="UNCOVERED—REVIEW","",IF(Entry!$R42="Order Accuracy Chargeback",$G42*Entry!$L42,IF(Entry!$R42="Freight Allowance Chargeback",MAX(Entry!$S42-$H42,0),IF(Entry!$R42="Illinois Shipping Chargeback",IF(Entry!$P42="IL",Entry!$S42,0),"")))))</f>
        <v/>
      </c>
      <c r="J42" s="12">
        <f>IF($C42&lt;&gt;"READY","",IF($H42="UNCOVERED—REVIEW","CB-07",INDEX(Category_Clauses,MATCH(Entry!$R42,INDEX(Category_Clauses,0,1),0),2)))</f>
        <v/>
      </c>
    </row>
    <row r="43">
      <c r="A43" s="12">
        <f>IF(COUNTA(Entry!$B43:$S43)=0,"",Entry!$A43)</f>
        <v/>
      </c>
      <c r="B43" s="12">
        <f>IF(COUNTA(Entry!$B43:$S43)=0,"",Entry!$B43)</f>
        <v/>
      </c>
      <c r="C43" s="12">
        <f>IF(COUNTA(Entry!$B43:$S43)=0,"",IF(OR(Entry!$B43="",Entry!$C43="",Entry!$D43="",Entry!$E43="",Entry!$F43="",Entry!$G43="",Entry!$H43="",Entry!$I43="",Entry!$J43="",Entry!$K43="",Entry!$L43="",Entry!$M43="",Entry!$N43="",Entry!$O43="",Entry!$P43="",Entry!$Q43="",Entry!$R43="",AND(OR(Entry!$R43="Freight Allowance Chargeback",Entry!$R43="Illinois Shipping Chargeback"),Entry!$S43="")),"MISSING REQUIRED FACT","READY"))</f>
        <v/>
      </c>
      <c r="D43" s="13">
        <f>IF($C43&lt;&gt;"READY","",MAX(Entry!$H43-Entry!$I43-IF(Entry!$K43="Fulfilled Same Cycle",Entry!$J43,0),0))</f>
        <v/>
      </c>
      <c r="E43" s="13">
        <f>IF($C43&lt;&gt;"READY","",IF(Entry!$K43="Fulfilled Same Cycle",Entry!$J43,0))</f>
        <v/>
      </c>
      <c r="F43" s="13">
        <f>IF($C43&lt;&gt;"READY","",$D43)</f>
        <v/>
      </c>
      <c r="G43" s="13">
        <f>IF($C43&lt;&gt;"READY","",CEILING($F43/Entry!$M43,1)*Entry!$M43)</f>
        <v/>
      </c>
      <c r="H43" s="14">
        <f>IF($C43&lt;&gt;"READY","",IF(Entry!$R43="Order Accuracy Chargeback","N/A — order accuracy",IF(OR(Entry!$Q43&lt;MIN(INDEX(Allowance_Table,0,1)),Entry!$Q43&gt;MAX(INDEX(Allowance_Table,0,2))),"UNCOVERED—REVIEW",INDEX(Allowance_Table,MATCH(Entry!$Q43,INDEX(Allowance_Table,0,1),1),3))))</f>
        <v/>
      </c>
      <c r="I43" s="25">
        <f>IF($C43&lt;&gt;"READY","",IF($H43="UNCOVERED—REVIEW","",IF(Entry!$R43="Order Accuracy Chargeback",$G43*Entry!$L43,IF(Entry!$R43="Freight Allowance Chargeback",MAX(Entry!$S43-$H43,0),IF(Entry!$R43="Illinois Shipping Chargeback",IF(Entry!$P43="IL",Entry!$S43,0),"")))))</f>
        <v/>
      </c>
      <c r="J43" s="12">
        <f>IF($C43&lt;&gt;"READY","",IF($H43="UNCOVERED—REVIEW","CB-07",INDEX(Category_Clauses,MATCH(Entry!$R43,INDEX(Category_Clauses,0,1),0),2)))</f>
        <v/>
      </c>
    </row>
    <row r="44">
      <c r="A44" s="12">
        <f>IF(COUNTA(Entry!$B44:$S44)=0,"",Entry!$A44)</f>
        <v/>
      </c>
      <c r="B44" s="12">
        <f>IF(COUNTA(Entry!$B44:$S44)=0,"",Entry!$B44)</f>
        <v/>
      </c>
      <c r="C44" s="12">
        <f>IF(COUNTA(Entry!$B44:$S44)=0,"",IF(OR(Entry!$B44="",Entry!$C44="",Entry!$D44="",Entry!$E44="",Entry!$F44="",Entry!$G44="",Entry!$H44="",Entry!$I44="",Entry!$J44="",Entry!$K44="",Entry!$L44="",Entry!$M44="",Entry!$N44="",Entry!$O44="",Entry!$P44="",Entry!$Q44="",Entry!$R44="",AND(OR(Entry!$R44="Freight Allowance Chargeback",Entry!$R44="Illinois Shipping Chargeback"),Entry!$S44="")),"MISSING REQUIRED FACT","READY"))</f>
        <v/>
      </c>
      <c r="D44" s="13">
        <f>IF($C44&lt;&gt;"READY","",MAX(Entry!$H44-Entry!$I44-IF(Entry!$K44="Fulfilled Same Cycle",Entry!$J44,0),0))</f>
        <v/>
      </c>
      <c r="E44" s="13">
        <f>IF($C44&lt;&gt;"READY","",IF(Entry!$K44="Fulfilled Same Cycle",Entry!$J44,0))</f>
        <v/>
      </c>
      <c r="F44" s="13">
        <f>IF($C44&lt;&gt;"READY","",$D44)</f>
        <v/>
      </c>
      <c r="G44" s="13">
        <f>IF($C44&lt;&gt;"READY","",CEILING($F44/Entry!$M44,1)*Entry!$M44)</f>
        <v/>
      </c>
      <c r="H44" s="14">
        <f>IF($C44&lt;&gt;"READY","",IF(Entry!$R44="Order Accuracy Chargeback","N/A — order accuracy",IF(OR(Entry!$Q44&lt;MIN(INDEX(Allowance_Table,0,1)),Entry!$Q44&gt;MAX(INDEX(Allowance_Table,0,2))),"UNCOVERED—REVIEW",INDEX(Allowance_Table,MATCH(Entry!$Q44,INDEX(Allowance_Table,0,1),1),3))))</f>
        <v/>
      </c>
      <c r="I44" s="25">
        <f>IF($C44&lt;&gt;"READY","",IF($H44="UNCOVERED—REVIEW","",IF(Entry!$R44="Order Accuracy Chargeback",$G44*Entry!$L44,IF(Entry!$R44="Freight Allowance Chargeback",MAX(Entry!$S44-$H44,0),IF(Entry!$R44="Illinois Shipping Chargeback",IF(Entry!$P44="IL",Entry!$S44,0),"")))))</f>
        <v/>
      </c>
      <c r="J44" s="12">
        <f>IF($C44&lt;&gt;"READY","",IF($H44="UNCOVERED—REVIEW","CB-07",INDEX(Category_Clauses,MATCH(Entry!$R44,INDEX(Category_Clauses,0,1),0),2)))</f>
        <v/>
      </c>
    </row>
    <row r="45">
      <c r="A45" s="12">
        <f>IF(COUNTA(Entry!$B45:$S45)=0,"",Entry!$A45)</f>
        <v/>
      </c>
      <c r="B45" s="12">
        <f>IF(COUNTA(Entry!$B45:$S45)=0,"",Entry!$B45)</f>
        <v/>
      </c>
      <c r="C45" s="12">
        <f>IF(COUNTA(Entry!$B45:$S45)=0,"",IF(OR(Entry!$B45="",Entry!$C45="",Entry!$D45="",Entry!$E45="",Entry!$F45="",Entry!$G45="",Entry!$H45="",Entry!$I45="",Entry!$J45="",Entry!$K45="",Entry!$L45="",Entry!$M45="",Entry!$N45="",Entry!$O45="",Entry!$P45="",Entry!$Q45="",Entry!$R45="",AND(OR(Entry!$R45="Freight Allowance Chargeback",Entry!$R45="Illinois Shipping Chargeback"),Entry!$S45="")),"MISSING REQUIRED FACT","READY"))</f>
        <v/>
      </c>
      <c r="D45" s="13">
        <f>IF($C45&lt;&gt;"READY","",MAX(Entry!$H45-Entry!$I45-IF(Entry!$K45="Fulfilled Same Cycle",Entry!$J45,0),0))</f>
        <v/>
      </c>
      <c r="E45" s="13">
        <f>IF($C45&lt;&gt;"READY","",IF(Entry!$K45="Fulfilled Same Cycle",Entry!$J45,0))</f>
        <v/>
      </c>
      <c r="F45" s="13">
        <f>IF($C45&lt;&gt;"READY","",$D45)</f>
        <v/>
      </c>
      <c r="G45" s="13">
        <f>IF($C45&lt;&gt;"READY","",CEILING($F45/Entry!$M45,1)*Entry!$M45)</f>
        <v/>
      </c>
      <c r="H45" s="14">
        <f>IF($C45&lt;&gt;"READY","",IF(Entry!$R45="Order Accuracy Chargeback","N/A — order accuracy",IF(OR(Entry!$Q45&lt;MIN(INDEX(Allowance_Table,0,1)),Entry!$Q45&gt;MAX(INDEX(Allowance_Table,0,2))),"UNCOVERED—REVIEW",INDEX(Allowance_Table,MATCH(Entry!$Q45,INDEX(Allowance_Table,0,1),1),3))))</f>
        <v/>
      </c>
      <c r="I45" s="25">
        <f>IF($C45&lt;&gt;"READY","",IF($H45="UNCOVERED—REVIEW","",IF(Entry!$R45="Order Accuracy Chargeback",$G45*Entry!$L45,IF(Entry!$R45="Freight Allowance Chargeback",MAX(Entry!$S45-$H45,0),IF(Entry!$R45="Illinois Shipping Chargeback",IF(Entry!$P45="IL",Entry!$S45,0),"")))))</f>
        <v/>
      </c>
      <c r="J45" s="12">
        <f>IF($C45&lt;&gt;"READY","",IF($H45="UNCOVERED—REVIEW","CB-07",INDEX(Category_Clauses,MATCH(Entry!$R45,INDEX(Category_Clauses,0,1),0),2)))</f>
        <v/>
      </c>
    </row>
    <row r="46">
      <c r="A46" s="12">
        <f>IF(COUNTA(Entry!$B46:$S46)=0,"",Entry!$A46)</f>
        <v/>
      </c>
      <c r="B46" s="12">
        <f>IF(COUNTA(Entry!$B46:$S46)=0,"",Entry!$B46)</f>
        <v/>
      </c>
      <c r="C46" s="12">
        <f>IF(COUNTA(Entry!$B46:$S46)=0,"",IF(OR(Entry!$B46="",Entry!$C46="",Entry!$D46="",Entry!$E46="",Entry!$F46="",Entry!$G46="",Entry!$H46="",Entry!$I46="",Entry!$J46="",Entry!$K46="",Entry!$L46="",Entry!$M46="",Entry!$N46="",Entry!$O46="",Entry!$P46="",Entry!$Q46="",Entry!$R46="",AND(OR(Entry!$R46="Freight Allowance Chargeback",Entry!$R46="Illinois Shipping Chargeback"),Entry!$S46="")),"MISSING REQUIRED FACT","READY"))</f>
        <v/>
      </c>
      <c r="D46" s="13">
        <f>IF($C46&lt;&gt;"READY","",MAX(Entry!$H46-Entry!$I46-IF(Entry!$K46="Fulfilled Same Cycle",Entry!$J46,0),0))</f>
        <v/>
      </c>
      <c r="E46" s="13">
        <f>IF($C46&lt;&gt;"READY","",IF(Entry!$K46="Fulfilled Same Cycle",Entry!$J46,0))</f>
        <v/>
      </c>
      <c r="F46" s="13">
        <f>IF($C46&lt;&gt;"READY","",$D46)</f>
        <v/>
      </c>
      <c r="G46" s="13">
        <f>IF($C46&lt;&gt;"READY","",CEILING($F46/Entry!$M46,1)*Entry!$M46)</f>
        <v/>
      </c>
      <c r="H46" s="14">
        <f>IF($C46&lt;&gt;"READY","",IF(Entry!$R46="Order Accuracy Chargeback","N/A — order accuracy",IF(OR(Entry!$Q46&lt;MIN(INDEX(Allowance_Table,0,1)),Entry!$Q46&gt;MAX(INDEX(Allowance_Table,0,2))),"UNCOVERED—REVIEW",INDEX(Allowance_Table,MATCH(Entry!$Q46,INDEX(Allowance_Table,0,1),1),3))))</f>
        <v/>
      </c>
      <c r="I46" s="25">
        <f>IF($C46&lt;&gt;"READY","",IF($H46="UNCOVERED—REVIEW","",IF(Entry!$R46="Order Accuracy Chargeback",$G46*Entry!$L46,IF(Entry!$R46="Freight Allowance Chargeback",MAX(Entry!$S46-$H46,0),IF(Entry!$R46="Illinois Shipping Chargeback",IF(Entry!$P46="IL",Entry!$S46,0),"")))))</f>
        <v/>
      </c>
      <c r="J46" s="12">
        <f>IF($C46&lt;&gt;"READY","",IF($H46="UNCOVERED—REVIEW","CB-07",INDEX(Category_Clauses,MATCH(Entry!$R46,INDEX(Category_Clauses,0,1),0),2)))</f>
        <v/>
      </c>
    </row>
    <row r="47">
      <c r="A47" s="12">
        <f>IF(COUNTA(Entry!$B47:$S47)=0,"",Entry!$A47)</f>
        <v/>
      </c>
      <c r="B47" s="12">
        <f>IF(COUNTA(Entry!$B47:$S47)=0,"",Entry!$B47)</f>
        <v/>
      </c>
      <c r="C47" s="12">
        <f>IF(COUNTA(Entry!$B47:$S47)=0,"",IF(OR(Entry!$B47="",Entry!$C47="",Entry!$D47="",Entry!$E47="",Entry!$F47="",Entry!$G47="",Entry!$H47="",Entry!$I47="",Entry!$J47="",Entry!$K47="",Entry!$L47="",Entry!$M47="",Entry!$N47="",Entry!$O47="",Entry!$P47="",Entry!$Q47="",Entry!$R47="",AND(OR(Entry!$R47="Freight Allowance Chargeback",Entry!$R47="Illinois Shipping Chargeback"),Entry!$S47="")),"MISSING REQUIRED FACT","READY"))</f>
        <v/>
      </c>
      <c r="D47" s="13">
        <f>IF($C47&lt;&gt;"READY","",MAX(Entry!$H47-Entry!$I47-IF(Entry!$K47="Fulfilled Same Cycle",Entry!$J47,0),0))</f>
        <v/>
      </c>
      <c r="E47" s="13">
        <f>IF($C47&lt;&gt;"READY","",IF(Entry!$K47="Fulfilled Same Cycle",Entry!$J47,0))</f>
        <v/>
      </c>
      <c r="F47" s="13">
        <f>IF($C47&lt;&gt;"READY","",$D47)</f>
        <v/>
      </c>
      <c r="G47" s="13">
        <f>IF($C47&lt;&gt;"READY","",CEILING($F47/Entry!$M47,1)*Entry!$M47)</f>
        <v/>
      </c>
      <c r="H47" s="14">
        <f>IF($C47&lt;&gt;"READY","",IF(Entry!$R47="Order Accuracy Chargeback","N/A — order accuracy",IF(OR(Entry!$Q47&lt;MIN(INDEX(Allowance_Table,0,1)),Entry!$Q47&gt;MAX(INDEX(Allowance_Table,0,2))),"UNCOVERED—REVIEW",INDEX(Allowance_Table,MATCH(Entry!$Q47,INDEX(Allowance_Table,0,1),1),3))))</f>
        <v/>
      </c>
      <c r="I47" s="25">
        <f>IF($C47&lt;&gt;"READY","",IF($H47="UNCOVERED—REVIEW","",IF(Entry!$R47="Order Accuracy Chargeback",$G47*Entry!$L47,IF(Entry!$R47="Freight Allowance Chargeback",MAX(Entry!$S47-$H47,0),IF(Entry!$R47="Illinois Shipping Chargeback",IF(Entry!$P47="IL",Entry!$S47,0),"")))))</f>
        <v/>
      </c>
      <c r="J47" s="12">
        <f>IF($C47&lt;&gt;"READY","",IF($H47="UNCOVERED—REVIEW","CB-07",INDEX(Category_Clauses,MATCH(Entry!$R47,INDEX(Category_Clauses,0,1),0),2)))</f>
        <v/>
      </c>
    </row>
    <row r="48">
      <c r="A48" s="12">
        <f>IF(COUNTA(Entry!$B48:$S48)=0,"",Entry!$A48)</f>
        <v/>
      </c>
      <c r="B48" s="12">
        <f>IF(COUNTA(Entry!$B48:$S48)=0,"",Entry!$B48)</f>
        <v/>
      </c>
      <c r="C48" s="12">
        <f>IF(COUNTA(Entry!$B48:$S48)=0,"",IF(OR(Entry!$B48="",Entry!$C48="",Entry!$D48="",Entry!$E48="",Entry!$F48="",Entry!$G48="",Entry!$H48="",Entry!$I48="",Entry!$J48="",Entry!$K48="",Entry!$L48="",Entry!$M48="",Entry!$N48="",Entry!$O48="",Entry!$P48="",Entry!$Q48="",Entry!$R48="",AND(OR(Entry!$R48="Freight Allowance Chargeback",Entry!$R48="Illinois Shipping Chargeback"),Entry!$S48="")),"MISSING REQUIRED FACT","READY"))</f>
        <v/>
      </c>
      <c r="D48" s="13">
        <f>IF($C48&lt;&gt;"READY","",MAX(Entry!$H48-Entry!$I48-IF(Entry!$K48="Fulfilled Same Cycle",Entry!$J48,0),0))</f>
        <v/>
      </c>
      <c r="E48" s="13">
        <f>IF($C48&lt;&gt;"READY","",IF(Entry!$K48="Fulfilled Same Cycle",Entry!$J48,0))</f>
        <v/>
      </c>
      <c r="F48" s="13">
        <f>IF($C48&lt;&gt;"READY","",$D48)</f>
        <v/>
      </c>
      <c r="G48" s="13">
        <f>IF($C48&lt;&gt;"READY","",CEILING($F48/Entry!$M48,1)*Entry!$M48)</f>
        <v/>
      </c>
      <c r="H48" s="14">
        <f>IF($C48&lt;&gt;"READY","",IF(Entry!$R48="Order Accuracy Chargeback","N/A — order accuracy",IF(OR(Entry!$Q48&lt;MIN(INDEX(Allowance_Table,0,1)),Entry!$Q48&gt;MAX(INDEX(Allowance_Table,0,2))),"UNCOVERED—REVIEW",INDEX(Allowance_Table,MATCH(Entry!$Q48,INDEX(Allowance_Table,0,1),1),3))))</f>
        <v/>
      </c>
      <c r="I48" s="25">
        <f>IF($C48&lt;&gt;"READY","",IF($H48="UNCOVERED—REVIEW","",IF(Entry!$R48="Order Accuracy Chargeback",$G48*Entry!$L48,IF(Entry!$R48="Freight Allowance Chargeback",MAX(Entry!$S48-$H48,0),IF(Entry!$R48="Illinois Shipping Chargeback",IF(Entry!$P48="IL",Entry!$S48,0),"")))))</f>
        <v/>
      </c>
      <c r="J48" s="12">
        <f>IF($C48&lt;&gt;"READY","",IF($H48="UNCOVERED—REVIEW","CB-07",INDEX(Category_Clauses,MATCH(Entry!$R48,INDEX(Category_Clauses,0,1),0),2)))</f>
        <v/>
      </c>
    </row>
    <row r="49">
      <c r="A49" s="12">
        <f>IF(COUNTA(Entry!$B49:$S49)=0,"",Entry!$A49)</f>
        <v/>
      </c>
      <c r="B49" s="12">
        <f>IF(COUNTA(Entry!$B49:$S49)=0,"",Entry!$B49)</f>
        <v/>
      </c>
      <c r="C49" s="12">
        <f>IF(COUNTA(Entry!$B49:$S49)=0,"",IF(OR(Entry!$B49="",Entry!$C49="",Entry!$D49="",Entry!$E49="",Entry!$F49="",Entry!$G49="",Entry!$H49="",Entry!$I49="",Entry!$J49="",Entry!$K49="",Entry!$L49="",Entry!$M49="",Entry!$N49="",Entry!$O49="",Entry!$P49="",Entry!$Q49="",Entry!$R49="",AND(OR(Entry!$R49="Freight Allowance Chargeback",Entry!$R49="Illinois Shipping Chargeback"),Entry!$S49="")),"MISSING REQUIRED FACT","READY"))</f>
        <v/>
      </c>
      <c r="D49" s="13">
        <f>IF($C49&lt;&gt;"READY","",MAX(Entry!$H49-Entry!$I49-IF(Entry!$K49="Fulfilled Same Cycle",Entry!$J49,0),0))</f>
        <v/>
      </c>
      <c r="E49" s="13">
        <f>IF($C49&lt;&gt;"READY","",IF(Entry!$K49="Fulfilled Same Cycle",Entry!$J49,0))</f>
        <v/>
      </c>
      <c r="F49" s="13">
        <f>IF($C49&lt;&gt;"READY","",$D49)</f>
        <v/>
      </c>
      <c r="G49" s="13">
        <f>IF($C49&lt;&gt;"READY","",CEILING($F49/Entry!$M49,1)*Entry!$M49)</f>
        <v/>
      </c>
      <c r="H49" s="14">
        <f>IF($C49&lt;&gt;"READY","",IF(Entry!$R49="Order Accuracy Chargeback","N/A — order accuracy",IF(OR(Entry!$Q49&lt;MIN(INDEX(Allowance_Table,0,1)),Entry!$Q49&gt;MAX(INDEX(Allowance_Table,0,2))),"UNCOVERED—REVIEW",INDEX(Allowance_Table,MATCH(Entry!$Q49,INDEX(Allowance_Table,0,1),1),3))))</f>
        <v/>
      </c>
      <c r="I49" s="25">
        <f>IF($C49&lt;&gt;"READY","",IF($H49="UNCOVERED—REVIEW","",IF(Entry!$R49="Order Accuracy Chargeback",$G49*Entry!$L49,IF(Entry!$R49="Freight Allowance Chargeback",MAX(Entry!$S49-$H49,0),IF(Entry!$R49="Illinois Shipping Chargeback",IF(Entry!$P49="IL",Entry!$S49,0),"")))))</f>
        <v/>
      </c>
      <c r="J49" s="12">
        <f>IF($C49&lt;&gt;"READY","",IF($H49="UNCOVERED—REVIEW","CB-07",INDEX(Category_Clauses,MATCH(Entry!$R49,INDEX(Category_Clauses,0,1),0),2)))</f>
        <v/>
      </c>
    </row>
    <row r="50">
      <c r="A50" s="12">
        <f>IF(COUNTA(Entry!$B50:$S50)=0,"",Entry!$A50)</f>
        <v/>
      </c>
      <c r="B50" s="12">
        <f>IF(COUNTA(Entry!$B50:$S50)=0,"",Entry!$B50)</f>
        <v/>
      </c>
      <c r="C50" s="12">
        <f>IF(COUNTA(Entry!$B50:$S50)=0,"",IF(OR(Entry!$B50="",Entry!$C50="",Entry!$D50="",Entry!$E50="",Entry!$F50="",Entry!$G50="",Entry!$H50="",Entry!$I50="",Entry!$J50="",Entry!$K50="",Entry!$L50="",Entry!$M50="",Entry!$N50="",Entry!$O50="",Entry!$P50="",Entry!$Q50="",Entry!$R50="",AND(OR(Entry!$R50="Freight Allowance Chargeback",Entry!$R50="Illinois Shipping Chargeback"),Entry!$S50="")),"MISSING REQUIRED FACT","READY"))</f>
        <v/>
      </c>
      <c r="D50" s="13">
        <f>IF($C50&lt;&gt;"READY","",MAX(Entry!$H50-Entry!$I50-IF(Entry!$K50="Fulfilled Same Cycle",Entry!$J50,0),0))</f>
        <v/>
      </c>
      <c r="E50" s="13">
        <f>IF($C50&lt;&gt;"READY","",IF(Entry!$K50="Fulfilled Same Cycle",Entry!$J50,0))</f>
        <v/>
      </c>
      <c r="F50" s="13">
        <f>IF($C50&lt;&gt;"READY","",$D50)</f>
        <v/>
      </c>
      <c r="G50" s="13">
        <f>IF($C50&lt;&gt;"READY","",CEILING($F50/Entry!$M50,1)*Entry!$M50)</f>
        <v/>
      </c>
      <c r="H50" s="14">
        <f>IF($C50&lt;&gt;"READY","",IF(Entry!$R50="Order Accuracy Chargeback","N/A — order accuracy",IF(OR(Entry!$Q50&lt;MIN(INDEX(Allowance_Table,0,1)),Entry!$Q50&gt;MAX(INDEX(Allowance_Table,0,2))),"UNCOVERED—REVIEW",INDEX(Allowance_Table,MATCH(Entry!$Q50,INDEX(Allowance_Table,0,1),1),3))))</f>
        <v/>
      </c>
      <c r="I50" s="25">
        <f>IF($C50&lt;&gt;"READY","",IF($H50="UNCOVERED—REVIEW","",IF(Entry!$R50="Order Accuracy Chargeback",$G50*Entry!$L50,IF(Entry!$R50="Freight Allowance Chargeback",MAX(Entry!$S50-$H50,0),IF(Entry!$R50="Illinois Shipping Chargeback",IF(Entry!$P50="IL",Entry!$S50,0),"")))))</f>
        <v/>
      </c>
      <c r="J50" s="12">
        <f>IF($C50&lt;&gt;"READY","",IF($H50="UNCOVERED—REVIEW","CB-07",INDEX(Category_Clauses,MATCH(Entry!$R50,INDEX(Category_Clauses,0,1),0),2)))</f>
        <v/>
      </c>
    </row>
    <row r="51">
      <c r="A51" s="12">
        <f>IF(COUNTA(Entry!$B51:$S51)=0,"",Entry!$A51)</f>
        <v/>
      </c>
      <c r="B51" s="12">
        <f>IF(COUNTA(Entry!$B51:$S51)=0,"",Entry!$B51)</f>
        <v/>
      </c>
      <c r="C51" s="12">
        <f>IF(COUNTA(Entry!$B51:$S51)=0,"",IF(OR(Entry!$B51="",Entry!$C51="",Entry!$D51="",Entry!$E51="",Entry!$F51="",Entry!$G51="",Entry!$H51="",Entry!$I51="",Entry!$J51="",Entry!$K51="",Entry!$L51="",Entry!$M51="",Entry!$N51="",Entry!$O51="",Entry!$P51="",Entry!$Q51="",Entry!$R51="",AND(OR(Entry!$R51="Freight Allowance Chargeback",Entry!$R51="Illinois Shipping Chargeback"),Entry!$S51="")),"MISSING REQUIRED FACT","READY"))</f>
        <v/>
      </c>
      <c r="D51" s="13">
        <f>IF($C51&lt;&gt;"READY","",MAX(Entry!$H51-Entry!$I51-IF(Entry!$K51="Fulfilled Same Cycle",Entry!$J51,0),0))</f>
        <v/>
      </c>
      <c r="E51" s="13">
        <f>IF($C51&lt;&gt;"READY","",IF(Entry!$K51="Fulfilled Same Cycle",Entry!$J51,0))</f>
        <v/>
      </c>
      <c r="F51" s="13">
        <f>IF($C51&lt;&gt;"READY","",$D51)</f>
        <v/>
      </c>
      <c r="G51" s="13">
        <f>IF($C51&lt;&gt;"READY","",CEILING($F51/Entry!$M51,1)*Entry!$M51)</f>
        <v/>
      </c>
      <c r="H51" s="14">
        <f>IF($C51&lt;&gt;"READY","",IF(Entry!$R51="Order Accuracy Chargeback","N/A — order accuracy",IF(OR(Entry!$Q51&lt;MIN(INDEX(Allowance_Table,0,1)),Entry!$Q51&gt;MAX(INDEX(Allowance_Table,0,2))),"UNCOVERED—REVIEW",INDEX(Allowance_Table,MATCH(Entry!$Q51,INDEX(Allowance_Table,0,1),1),3))))</f>
        <v/>
      </c>
      <c r="I51" s="25">
        <f>IF($C51&lt;&gt;"READY","",IF($H51="UNCOVERED—REVIEW","",IF(Entry!$R51="Order Accuracy Chargeback",$G51*Entry!$L51,IF(Entry!$R51="Freight Allowance Chargeback",MAX(Entry!$S51-$H51,0),IF(Entry!$R51="Illinois Shipping Chargeback",IF(Entry!$P51="IL",Entry!$S51,0),"")))))</f>
        <v/>
      </c>
      <c r="J51" s="12">
        <f>IF($C51&lt;&gt;"READY","",IF($H51="UNCOVERED—REVIEW","CB-07",INDEX(Category_Clauses,MATCH(Entry!$R51,INDEX(Category_Clauses,0,1),0),2)))</f>
        <v/>
      </c>
    </row>
    <row r="52">
      <c r="A52" s="12">
        <f>IF(COUNTA(Entry!$B52:$S52)=0,"",Entry!$A52)</f>
        <v/>
      </c>
      <c r="B52" s="12">
        <f>IF(COUNTA(Entry!$B52:$S52)=0,"",Entry!$B52)</f>
        <v/>
      </c>
      <c r="C52" s="12">
        <f>IF(COUNTA(Entry!$B52:$S52)=0,"",IF(OR(Entry!$B52="",Entry!$C52="",Entry!$D52="",Entry!$E52="",Entry!$F52="",Entry!$G52="",Entry!$H52="",Entry!$I52="",Entry!$J52="",Entry!$K52="",Entry!$L52="",Entry!$M52="",Entry!$N52="",Entry!$O52="",Entry!$P52="",Entry!$Q52="",Entry!$R52="",AND(OR(Entry!$R52="Freight Allowance Chargeback",Entry!$R52="Illinois Shipping Chargeback"),Entry!$S52="")),"MISSING REQUIRED FACT","READY"))</f>
        <v/>
      </c>
      <c r="D52" s="13">
        <f>IF($C52&lt;&gt;"READY","",MAX(Entry!$H52-Entry!$I52-IF(Entry!$K52="Fulfilled Same Cycle",Entry!$J52,0),0))</f>
        <v/>
      </c>
      <c r="E52" s="13">
        <f>IF($C52&lt;&gt;"READY","",IF(Entry!$K52="Fulfilled Same Cycle",Entry!$J52,0))</f>
        <v/>
      </c>
      <c r="F52" s="13">
        <f>IF($C52&lt;&gt;"READY","",$D52)</f>
        <v/>
      </c>
      <c r="G52" s="13">
        <f>IF($C52&lt;&gt;"READY","",CEILING($F52/Entry!$M52,1)*Entry!$M52)</f>
        <v/>
      </c>
      <c r="H52" s="14">
        <f>IF($C52&lt;&gt;"READY","",IF(Entry!$R52="Order Accuracy Chargeback","N/A — order accuracy",IF(OR(Entry!$Q52&lt;MIN(INDEX(Allowance_Table,0,1)),Entry!$Q52&gt;MAX(INDEX(Allowance_Table,0,2))),"UNCOVERED—REVIEW",INDEX(Allowance_Table,MATCH(Entry!$Q52,INDEX(Allowance_Table,0,1),1),3))))</f>
        <v/>
      </c>
      <c r="I52" s="25">
        <f>IF($C52&lt;&gt;"READY","",IF($H52="UNCOVERED—REVIEW","",IF(Entry!$R52="Order Accuracy Chargeback",$G52*Entry!$L52,IF(Entry!$R52="Freight Allowance Chargeback",MAX(Entry!$S52-$H52,0),IF(Entry!$R52="Illinois Shipping Chargeback",IF(Entry!$P52="IL",Entry!$S52,0),"")))))</f>
        <v/>
      </c>
      <c r="J52" s="12">
        <f>IF($C52&lt;&gt;"READY","",IF($H52="UNCOVERED—REVIEW","CB-07",INDEX(Category_Clauses,MATCH(Entry!$R52,INDEX(Category_Clauses,0,1),0),2)))</f>
        <v/>
      </c>
    </row>
    <row r="53">
      <c r="A53" s="12">
        <f>IF(COUNTA(Entry!$B53:$S53)=0,"",Entry!$A53)</f>
        <v/>
      </c>
      <c r="B53" s="12">
        <f>IF(COUNTA(Entry!$B53:$S53)=0,"",Entry!$B53)</f>
        <v/>
      </c>
      <c r="C53" s="12">
        <f>IF(COUNTA(Entry!$B53:$S53)=0,"",IF(OR(Entry!$B53="",Entry!$C53="",Entry!$D53="",Entry!$E53="",Entry!$F53="",Entry!$G53="",Entry!$H53="",Entry!$I53="",Entry!$J53="",Entry!$K53="",Entry!$L53="",Entry!$M53="",Entry!$N53="",Entry!$O53="",Entry!$P53="",Entry!$Q53="",Entry!$R53="",AND(OR(Entry!$R53="Freight Allowance Chargeback",Entry!$R53="Illinois Shipping Chargeback"),Entry!$S53="")),"MISSING REQUIRED FACT","READY"))</f>
        <v/>
      </c>
      <c r="D53" s="13">
        <f>IF($C53&lt;&gt;"READY","",MAX(Entry!$H53-Entry!$I53-IF(Entry!$K53="Fulfilled Same Cycle",Entry!$J53,0),0))</f>
        <v/>
      </c>
      <c r="E53" s="13">
        <f>IF($C53&lt;&gt;"READY","",IF(Entry!$K53="Fulfilled Same Cycle",Entry!$J53,0))</f>
        <v/>
      </c>
      <c r="F53" s="13">
        <f>IF($C53&lt;&gt;"READY","",$D53)</f>
        <v/>
      </c>
      <c r="G53" s="13">
        <f>IF($C53&lt;&gt;"READY","",CEILING($F53/Entry!$M53,1)*Entry!$M53)</f>
        <v/>
      </c>
      <c r="H53" s="14">
        <f>IF($C53&lt;&gt;"READY","",IF(Entry!$R53="Order Accuracy Chargeback","N/A — order accuracy",IF(OR(Entry!$Q53&lt;MIN(INDEX(Allowance_Table,0,1)),Entry!$Q53&gt;MAX(INDEX(Allowance_Table,0,2))),"UNCOVERED—REVIEW",INDEX(Allowance_Table,MATCH(Entry!$Q53,INDEX(Allowance_Table,0,1),1),3))))</f>
        <v/>
      </c>
      <c r="I53" s="25">
        <f>IF($C53&lt;&gt;"READY","",IF($H53="UNCOVERED—REVIEW","",IF(Entry!$R53="Order Accuracy Chargeback",$G53*Entry!$L53,IF(Entry!$R53="Freight Allowance Chargeback",MAX(Entry!$S53-$H53,0),IF(Entry!$R53="Illinois Shipping Chargeback",IF(Entry!$P53="IL",Entry!$S53,0),"")))))</f>
        <v/>
      </c>
      <c r="J53" s="12">
        <f>IF($C53&lt;&gt;"READY","",IF($H53="UNCOVERED—REVIEW","CB-07",INDEX(Category_Clauses,MATCH(Entry!$R53,INDEX(Category_Clauses,0,1),0),2)))</f>
        <v/>
      </c>
    </row>
    <row r="55">
      <c r="H55" s="16" t="inlineStr">
        <is>
          <t>Final chargeback total</t>
        </is>
      </c>
      <c r="I55" s="26">
        <f>SUM(I4:I53)</f>
        <v/>
      </c>
    </row>
    <row r="57" ht="30" customHeight="1">
      <c r="A57" s="18" t="inlineStr">
        <is>
          <t>Print legend: READY = all facts present; MISSING REQUIRED FACT = complete Entry; UNCOVERED—REVIEW = basis is outside the contract table, so no charge is calculated.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autoFilter ref="A3:J53"/>
  <mergeCells count="3">
    <mergeCell ref="A1:J1"/>
    <mergeCell ref="A57:J57"/>
    <mergeCell ref="A2:J2"/>
  </mergeCells>
  <conditionalFormatting sqref="C4:J53">
    <cfRule type="expression" priority="1" dxfId="0">
      <formula>$C4="MISSING REQUIRED FACT"</formula>
    </cfRule>
    <cfRule type="expression" priority="2" dxfId="1">
      <formula>$H4="UNCOVERED—REVIEW"</formula>
    </cfRule>
  </conditionalFormatting>
  <pageMargins left="0.25" right="0.25" top="0.4" bottom="0.4" header="0.5" footer="0.5"/>
  <pageSetup orientation="landscape" fitToHeight="0" fitToWidth="1"/>
  <headerFooter>
    <oddHeader/>
    <oddFooter>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28" customWidth="1" min="3" max="3"/>
    <col width="18" customWidth="1" min="6" max="6"/>
    <col width="18" customWidth="1" min="7" max="7"/>
    <col width="14" customWidth="1" min="8" max="8"/>
    <col width="52" customWidth="1" min="9" max="9"/>
    <col width="13" customWidth="1" min="10" max="10"/>
    <col width="18" customWidth="1" min="12" max="12"/>
    <col width="21" customWidth="1" min="13" max="13"/>
    <col width="25" customWidth="1" min="14" max="14"/>
    <col width="14" customWidth="1" min="15" max="15"/>
    <col width="34" customWidth="1" min="16" max="16"/>
    <col width="25" customWidth="1" min="17" max="17"/>
  </cols>
  <sheetData>
    <row r="1" ht="26" customHeight="1">
      <c r="A1" s="1" t="inlineStr">
        <is>
          <t>Clause Map &amp; validation support</t>
        </is>
      </c>
    </row>
    <row r="3" ht="34" customHeight="1">
      <c r="A3" s="2" t="inlineStr">
        <is>
          <t>Clause ID</t>
        </is>
      </c>
      <c r="B3" s="2" t="inlineStr">
        <is>
          <t>Plain-language control</t>
        </is>
      </c>
      <c r="C3" s="2" t="inlineStr">
        <is>
          <t>Source reference</t>
        </is>
      </c>
      <c r="D3" s="19" t="n"/>
      <c r="E3" s="19" t="n"/>
      <c r="F3" s="20" t="inlineStr">
        <is>
          <t>Allowance Minimum</t>
        </is>
      </c>
      <c r="G3" s="20" t="inlineStr">
        <is>
          <t>Allowance Maximum</t>
        </is>
      </c>
      <c r="H3" s="20" t="inlineStr">
        <is>
          <t>Allowance</t>
        </is>
      </c>
      <c r="I3" s="20" t="inlineStr">
        <is>
          <t>Permitted charge category</t>
        </is>
      </c>
      <c r="J3" s="20" t="inlineStr">
        <is>
          <t>Clause ID</t>
        </is>
      </c>
      <c r="K3" s="19" t="n"/>
      <c r="L3" s="20" t="inlineStr">
        <is>
          <t>Shipment statuses</t>
        </is>
      </c>
      <c r="M3" s="20" t="inlineStr">
        <is>
          <t>Backorder statuses</t>
        </is>
      </c>
      <c r="N3" s="20" t="inlineStr">
        <is>
          <t>Drop-ship state treatment</t>
        </is>
      </c>
      <c r="O3" s="20" t="inlineStr">
        <is>
          <t>Shipping states</t>
        </is>
      </c>
      <c r="P3" s="20" t="inlineStr">
        <is>
          <t>Charge categories</t>
        </is>
      </c>
      <c r="Q3" s="20" t="inlineStr">
        <is>
          <t>Primary clause ID</t>
        </is>
      </c>
    </row>
    <row r="4">
      <c r="A4" t="inlineStr">
        <is>
          <t>CB-01</t>
        </is>
      </c>
      <c r="B4" t="inlineStr">
        <is>
          <t>Permitted monthly charge categories; result shows clause ID</t>
        </is>
      </c>
      <c r="C4" t="inlineStr">
        <is>
          <t>Contract CB-01</t>
        </is>
      </c>
      <c r="F4" s="27" t="n">
        <v>0</v>
      </c>
      <c r="G4" s="27" t="n">
        <v>499.99</v>
      </c>
      <c r="H4" s="27" t="n">
        <v>20</v>
      </c>
      <c r="I4" t="inlineStr">
        <is>
          <t>Freight Allowance Chargeback; Illinois Shipping Chargeback</t>
        </is>
      </c>
      <c r="J4" t="inlineStr">
        <is>
          <t>CB-05</t>
        </is>
      </c>
      <c r="L4" t="inlineStr">
        <is>
          <t>Accurate</t>
        </is>
      </c>
      <c r="M4" t="inlineStr">
        <is>
          <t>No Backorder</t>
        </is>
      </c>
      <c r="N4" t="inlineStr">
        <is>
          <t>Single-state</t>
        </is>
      </c>
      <c r="O4" t="inlineStr">
        <is>
          <t>IL</t>
        </is>
      </c>
      <c r="P4" t="inlineStr">
        <is>
          <t>Order Accuracy Chargeback</t>
        </is>
      </c>
      <c r="Q4" t="inlineStr">
        <is>
          <t>CB-01 / CB-02 / CB-06</t>
        </is>
      </c>
    </row>
    <row r="5">
      <c r="A5" t="inlineStr">
        <is>
          <t>CB-02</t>
        </is>
      </c>
      <c r="B5" t="inlineStr">
        <is>
          <t>Short shipment excludes fulfilled same-cycle backorder</t>
        </is>
      </c>
      <c r="C5" t="inlineStr">
        <is>
          <t>Contract CB-02</t>
        </is>
      </c>
      <c r="F5" s="27" t="n">
        <v>500</v>
      </c>
      <c r="G5" s="27" t="n">
        <v>1499.99</v>
      </c>
      <c r="H5" s="27" t="n">
        <v>45</v>
      </c>
      <c r="I5" t="inlineStr">
        <is>
          <t>Freight Allowance Chargeback; Illinois Shipping Chargeback</t>
        </is>
      </c>
      <c r="J5" t="inlineStr">
        <is>
          <t>CB-05</t>
        </is>
      </c>
      <c r="L5" t="inlineStr">
        <is>
          <t>Short Shipped</t>
        </is>
      </c>
      <c r="M5" t="inlineStr">
        <is>
          <t>Fulfilled Same Cycle</t>
        </is>
      </c>
      <c r="N5" t="inlineStr">
        <is>
          <t>Split-state Drop-ship</t>
        </is>
      </c>
      <c r="O5" t="inlineStr">
        <is>
          <t>IN</t>
        </is>
      </c>
      <c r="P5" t="inlineStr">
        <is>
          <t>Freight Allowance Chargeback</t>
        </is>
      </c>
      <c r="Q5" t="inlineStr">
        <is>
          <t>CB-05</t>
        </is>
      </c>
    </row>
    <row r="6">
      <c r="A6" t="inlineStr">
        <is>
          <t>CB-03</t>
        </is>
      </c>
      <c r="B6" t="inlineStr">
        <is>
          <t>Report same-cycle backorder separately; not chargeable</t>
        </is>
      </c>
      <c r="C6" t="inlineStr">
        <is>
          <t>Contract CB-03</t>
        </is>
      </c>
      <c r="F6" s="27" t="n">
        <v>1500</v>
      </c>
      <c r="G6" s="27" t="n">
        <v>2999.99</v>
      </c>
      <c r="H6" s="27" t="n">
        <v>85</v>
      </c>
      <c r="I6" t="inlineStr">
        <is>
          <t>Freight Allowance Chargeback; Illinois Shipping Chargeback</t>
        </is>
      </c>
      <c r="J6" t="inlineStr">
        <is>
          <t>CB-05</t>
        </is>
      </c>
      <c r="O6" t="inlineStr">
        <is>
          <t>MO</t>
        </is>
      </c>
      <c r="P6" t="inlineStr">
        <is>
          <t>Illinois Shipping Chargeback</t>
        </is>
      </c>
      <c r="Q6" t="inlineStr">
        <is>
          <t>CB-08</t>
        </is>
      </c>
    </row>
    <row r="7">
      <c r="A7" t="inlineStr">
        <is>
          <t>CB-04</t>
        </is>
      </c>
      <c r="B7" t="inlineStr">
        <is>
          <t>Shipping State controls split-state drop-ship decisions</t>
        </is>
      </c>
      <c r="C7" t="inlineStr">
        <is>
          <t>Contract CB-04</t>
        </is>
      </c>
      <c r="F7" s="27" t="n">
        <v>3000</v>
      </c>
      <c r="G7" s="27" t="n">
        <v>5000</v>
      </c>
      <c r="H7" s="27" t="n">
        <v>125</v>
      </c>
      <c r="I7" t="inlineStr">
        <is>
          <t>Freight Allowance Chargeback; Illinois Shipping Chargeback</t>
        </is>
      </c>
      <c r="J7" t="inlineStr">
        <is>
          <t>CB-05</t>
        </is>
      </c>
      <c r="O7" t="inlineStr">
        <is>
          <t>OH</t>
        </is>
      </c>
    </row>
    <row r="8">
      <c r="A8" t="inlineStr">
        <is>
          <t>CB-05</t>
        </is>
      </c>
      <c r="B8" t="inlineStr">
        <is>
          <t>Freight allowance band and excess calculation</t>
        </is>
      </c>
      <c r="C8" t="inlineStr">
        <is>
          <t>Contract CB-05 / allowance table</t>
        </is>
      </c>
      <c r="O8" t="inlineStr">
        <is>
          <t>PA</t>
        </is>
      </c>
    </row>
    <row r="9">
      <c r="A9" t="inlineStr">
        <is>
          <t>CB-06</t>
        </is>
      </c>
      <c r="B9" t="inlineStr">
        <is>
          <t>Round chargeable short quantity up to unit multiple</t>
        </is>
      </c>
      <c r="C9" t="inlineStr">
        <is>
          <t>Contract CB-06</t>
        </is>
      </c>
      <c r="O9" t="inlineStr">
        <is>
          <t>WI</t>
        </is>
      </c>
    </row>
    <row r="10">
      <c r="A10" t="inlineStr">
        <is>
          <t>CB-07</t>
        </is>
      </c>
      <c r="B10" t="inlineStr">
        <is>
          <t>Outside allowance band: exception, no calculated charge</t>
        </is>
      </c>
      <c r="C10" t="inlineStr">
        <is>
          <t>Contract CB-07</t>
        </is>
      </c>
    </row>
    <row r="11">
      <c r="A11" t="inlineStr">
        <is>
          <t>CB-08</t>
        </is>
      </c>
      <c r="B11" t="inlineStr">
        <is>
          <t>Illinois charge uses Shipping State</t>
        </is>
      </c>
      <c r="C11" t="inlineStr">
        <is>
          <t>Contract CB-08</t>
        </is>
      </c>
    </row>
    <row r="12">
      <c r="A12" t="inlineStr">
        <is>
          <t>CB-09</t>
        </is>
      </c>
      <c r="B12" t="inlineStr">
        <is>
          <t>Missing facts remain exceptions, never inferred as zero</t>
        </is>
      </c>
      <c r="C12" t="inlineStr">
        <is>
          <t>Contract CB-09</t>
        </is>
      </c>
    </row>
  </sheetData>
  <mergeCells count="1">
    <mergeCell ref="A1:Q1"/>
  </mergeCells>
  <pageMargins left="0.75" right="0.75" top="1" bottom="1" header="0.5" footer="0.5"/>
  <headerFooter>
    <oddHeader/>
    <oddFooter>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25" customWidth="1" min="3" max="3"/>
    <col width="34" customWidth="1" min="4" max="4"/>
    <col width="27" customWidth="1" min="5" max="5"/>
    <col width="22" customWidth="1" min="6" max="6"/>
    <col width="44" customWidth="1" min="7" max="7"/>
    <col width="44" customWidth="1" min="8" max="8"/>
    <col width="10" customWidth="1" min="9" max="9"/>
  </cols>
  <sheetData>
    <row r="1" ht="26" customHeight="1">
      <c r="A1" s="1" t="inlineStr">
        <is>
          <t>Keyed Checks — controller review answer key</t>
        </is>
      </c>
    </row>
    <row r="2">
      <c r="A2" s="7" t="inlineStr">
        <is>
          <t>Use these cases only to verify a copy of the template. Score 1 point per row only when the stated outcome, amount/relationship, and clause ID all agree.</t>
        </is>
      </c>
    </row>
    <row r="3" ht="34" customHeight="1">
      <c r="A3" s="2" t="inlineStr">
        <is>
          <t>Scenario</t>
        </is>
      </c>
      <c r="B3" s="2" t="inlineStr">
        <is>
          <t>Key inputs</t>
        </is>
      </c>
      <c r="C3" s="2" t="inlineStr">
        <is>
          <t>Expected result</t>
        </is>
      </c>
      <c r="D3" s="2" t="inlineStr">
        <is>
          <t>Expected amount / relationship</t>
        </is>
      </c>
      <c r="E3" s="2" t="inlineStr">
        <is>
          <t>Expected coverage</t>
        </is>
      </c>
      <c r="F3" s="2" t="inlineStr">
        <is>
          <t>Expected clause ID</t>
        </is>
      </c>
      <c r="G3" s="2" t="inlineStr">
        <is>
          <t>Rationale</t>
        </is>
      </c>
      <c r="H3" s="2" t="inlineStr">
        <is>
          <t>Scoring instruction</t>
        </is>
      </c>
      <c r="I3" s="2" t="inlineStr">
        <is>
          <t>Points</t>
        </is>
      </c>
    </row>
    <row r="4" ht="62" customHeight="1">
      <c r="A4" s="22" t="inlineStr">
        <is>
          <t>Ordinary accurate line</t>
        </is>
      </c>
      <c r="B4" s="22" t="inlineStr">
        <is>
          <t>Accurate; ordered 40; shipped 40; no same-cycle backorder; multiple 10; Order Accuracy Chargeback</t>
        </is>
      </c>
      <c r="C4" s="22" t="inlineStr">
        <is>
          <t>No short shipment</t>
        </is>
      </c>
      <c r="D4" s="22" t="inlineStr">
        <is>
          <t>Rounded qty 0; chargeback $0.00</t>
        </is>
      </c>
      <c r="E4" s="22" t="inlineStr">
        <is>
          <t>N/A — order accuracy</t>
        </is>
      </c>
      <c r="F4" s="22" t="inlineStr">
        <is>
          <t>CB-01 / CB-02 / CB-06</t>
        </is>
      </c>
      <c r="G4" s="22" t="inlineStr">
        <is>
          <t>Complete facts can validly produce zero because no shortage remains.</t>
        </is>
      </c>
      <c r="H4" s="22" t="inlineStr">
        <is>
          <t>Pass only if zero is formula-derived, not blank or manually typed.</t>
        </is>
      </c>
      <c r="I4" s="22" t="n">
        <v>1</v>
      </c>
    </row>
    <row r="5" ht="62" customHeight="1">
      <c r="A5" s="22" t="inlineStr">
        <is>
          <t>Short shipment + same-cycle backorder</t>
        </is>
      </c>
      <c r="B5" s="22" t="inlineStr">
        <is>
          <t>Short Shipped; ordered 100; shipped 70; same-cycle backorder 20; Fulfilled Same Cycle; multiple 12; unit price $25</t>
        </is>
      </c>
      <c r="C5" s="22" t="inlineStr">
        <is>
          <t>Separate quantities</t>
        </is>
      </c>
      <c r="D5" s="22" t="inlineStr">
        <is>
          <t>Short = 10; backorder = 20; rounded qty 12; chargeback $300.00</t>
        </is>
      </c>
      <c r="E5" s="22" t="inlineStr">
        <is>
          <t>N/A — order accuracy</t>
        </is>
      </c>
      <c r="F5" s="22" t="inlineStr">
        <is>
          <t>CB-01 / CB-02 / CB-06</t>
        </is>
      </c>
      <c r="G5" s="22" t="inlineStr">
        <is>
          <t>The fulfilled 20 is excluded from the remaining short 10, then the short rounds up.</t>
        </is>
      </c>
      <c r="H5" s="22" t="inlineStr">
        <is>
          <t>Pass only if short and backorder remain separately visible.</t>
        </is>
      </c>
      <c r="I5" s="22" t="n">
        <v>1</v>
      </c>
    </row>
    <row r="6" ht="62" customHeight="1">
      <c r="A6" s="22" t="inlineStr">
        <is>
          <t>Split-state drop-ship</t>
        </is>
      </c>
      <c r="B6" s="22" t="inlineStr">
        <is>
          <t>Split-state Drop-ship; Origin WI; Shipping State IL; Illinois Shipping Chargeback; entered charge $18; basis $1,600</t>
        </is>
      </c>
      <c r="C6" s="22" t="inlineStr">
        <is>
          <t>Illinois eligible</t>
        </is>
      </c>
      <c r="D6" s="22" t="inlineStr">
        <is>
          <t>Chargeback $18.00</t>
        </is>
      </c>
      <c r="E6" s="22" t="inlineStr">
        <is>
          <t>Covered; $85.00 allowance band is identifiable</t>
        </is>
      </c>
      <c r="F6" s="22" t="inlineStr">
        <is>
          <t>CB-08</t>
        </is>
      </c>
      <c r="G6" s="22" t="inlineStr">
        <is>
          <t>Destination Shipping State controls for the split-state record.</t>
        </is>
      </c>
      <c r="H6" s="22" t="inlineStr">
        <is>
          <t>Pass only if IL decision uses Shipping State, not Origin State.</t>
        </is>
      </c>
      <c r="I6" s="22" t="n">
        <v>1</v>
      </c>
    </row>
    <row r="7" ht="62" customHeight="1">
      <c r="A7" s="22" t="inlineStr">
        <is>
          <t>Freight allowance</t>
        </is>
      </c>
      <c r="B7" s="22" t="inlineStr">
        <is>
          <t>Single-state; Freight Basis $1,600; Freight Allowance Chargeback; entered charge $122</t>
        </is>
      </c>
      <c r="C7" s="22" t="inlineStr">
        <is>
          <t>Allowance excess</t>
        </is>
      </c>
      <c r="D7" s="22" t="inlineStr">
        <is>
          <t>122 - 85 = $37.00</t>
        </is>
      </c>
      <c r="E7" s="22" t="inlineStr">
        <is>
          <t>Covered; $85.00</t>
        </is>
      </c>
      <c r="F7" s="22" t="inlineStr">
        <is>
          <t>CB-05</t>
        </is>
      </c>
      <c r="G7" s="22" t="inlineStr">
        <is>
          <t>The basis falls in the $1,500–$2,999.99 band.</t>
        </is>
      </c>
      <c r="H7" s="22" t="inlineStr">
        <is>
          <t>Pass only if allowance comes from the allowance table lookup.</t>
        </is>
      </c>
      <c r="I7" s="22" t="n">
        <v>1</v>
      </c>
    </row>
    <row r="8" ht="62" customHeight="1">
      <c r="A8" s="22" t="inlineStr">
        <is>
          <t>Unit-order multiple</t>
        </is>
      </c>
      <c r="B8" s="22" t="inlineStr">
        <is>
          <t>Short Shipped; ordered 87; shipped 65; no backorder; multiple 12; unit price $18</t>
        </is>
      </c>
      <c r="C8" s="22" t="inlineStr">
        <is>
          <t>Round upward</t>
        </is>
      </c>
      <c r="D8" s="22" t="inlineStr">
        <is>
          <t>Short 22; rounded 24; chargeback $432.00</t>
        </is>
      </c>
      <c r="E8" s="22" t="inlineStr">
        <is>
          <t>N/A — order accuracy</t>
        </is>
      </c>
      <c r="F8" s="22" t="inlineStr">
        <is>
          <t>CB-06</t>
        </is>
      </c>
      <c r="G8" s="22" t="inlineStr">
        <is>
          <t>A non-whole multiple rounds up before valuation.</t>
        </is>
      </c>
      <c r="H8" s="22" t="inlineStr">
        <is>
          <t>Pass only if the rounded quantity is formula-driven.</t>
        </is>
      </c>
      <c r="I8" s="22" t="n">
        <v>1</v>
      </c>
    </row>
    <row r="9" ht="62" customHeight="1">
      <c r="A9" s="22" t="inlineStr">
        <is>
          <t>Illinois single-state</t>
        </is>
      </c>
      <c r="B9" s="22" t="inlineStr">
        <is>
          <t>Shipping State IL; Illinois Shipping Chargeback; entered charge $22; basis $720</t>
        </is>
      </c>
      <c r="C9" s="22" t="inlineStr">
        <is>
          <t>Illinois eligible</t>
        </is>
      </c>
      <c r="D9" s="22" t="inlineStr">
        <is>
          <t>Chargeback $22.00</t>
        </is>
      </c>
      <c r="E9" s="22" t="inlineStr">
        <is>
          <t>Covered; $45.00 allowance band is identifiable</t>
        </is>
      </c>
      <c r="F9" s="22" t="inlineStr">
        <is>
          <t>CB-08</t>
        </is>
      </c>
      <c r="G9" s="22" t="inlineStr">
        <is>
          <t>Illinois eligibility uses the shipping destination.</t>
        </is>
      </c>
      <c r="H9" s="22" t="inlineStr">
        <is>
          <t>Pass only if the category is formula-tested against IL.</t>
        </is>
      </c>
      <c r="I9" s="22" t="n">
        <v>1</v>
      </c>
    </row>
    <row r="10" ht="62" customHeight="1">
      <c r="A10" s="22" t="inlineStr">
        <is>
          <t>Outside allowance band</t>
        </is>
      </c>
      <c r="B10" s="22" t="inlineStr">
        <is>
          <t>Freight Basis $6,400; Freight Allowance Chargeback; entered charge $190</t>
        </is>
      </c>
      <c r="C10" s="22" t="inlineStr">
        <is>
          <t>Exception, no amount</t>
        </is>
      </c>
      <c r="D10" s="22" t="inlineStr">
        <is>
          <t>Chargeback remains blank; do not calculate $65.00</t>
        </is>
      </c>
      <c r="E10" s="22" t="inlineStr">
        <is>
          <t>UNCOVERED—REVIEW</t>
        </is>
      </c>
      <c r="F10" s="22" t="inlineStr">
        <is>
          <t>CB-07</t>
        </is>
      </c>
      <c r="G10" s="22" t="inlineStr">
        <is>
          <t>The maximum table basis is $5,000.00.</t>
        </is>
      </c>
      <c r="H10" s="22" t="inlineStr">
        <is>
          <t>Pass only if an uncovered status is visible and amount is not silently calculated.</t>
        </is>
      </c>
      <c r="I10" s="22" t="n">
        <v>1</v>
      </c>
    </row>
  </sheetData>
  <mergeCells count="2">
    <mergeCell ref="A1:I1"/>
    <mergeCell ref="A2:I2"/>
  </mergeCells>
  <pageMargins left="0.75" right="0.75" top="1" bottom="1" header="0.5" footer="0.5"/>
  <pageSetup orientation="landscape" fitToWidth="1"/>
  <headerFooter>
    <oddHeader/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2026-08-20T19:05:40Z</dcterms:created>
  <dcterms:modified xmlns:dcterms="http://purl.org/dc/terms/" xmlns:xsi="http://www.w3.org/2001/XMLSchema-instance" xsi:type="dcterms:W3CDTF">2026-08-20T19:05:41Z</dcterms:modified>
</cp:coreProperties>
</file>