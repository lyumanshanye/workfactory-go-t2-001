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Scenario Calc" sheetId="2" state="visible" r:id="rId2"/>
  </sheets>
  <definedNames>
    <definedName name="_xlnm._FilterDatabase" localSheetId="0" hidden="1">'Evidence Register'!$A$5:$P$21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17282"/>
    </font>
    <font>
      <color rgb="0017324D"/>
      <sz val="9"/>
    </font>
    <font>
      <b val="1"/>
      <color rgb="00FFFFFF"/>
    </font>
    <font>
      <color rgb="0017212B"/>
      <sz val="9"/>
    </font>
    <font>
      <b val="1"/>
      <color rgb="00FFFFFF"/>
      <sz val="15"/>
    </font>
    <font>
      <sz val="9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1F5"/>
      </patternFill>
    </fill>
    <fill>
      <patternFill patternType="solid">
        <fgColor rgb="001F5A85"/>
      </patternFill>
    </fill>
    <fill>
      <patternFill patternType="solid">
        <fgColor rgb="00E2F0D9"/>
      </patternFill>
    </fill>
    <fill>
      <patternFill patternType="solid">
        <fgColor rgb="00FDE9E7"/>
      </patternFill>
    </fill>
    <fill>
      <patternFill patternType="solid">
        <fgColor rgb="00FFF2CC"/>
      </patternFill>
    </fill>
    <fill>
      <patternFill patternType="solid">
        <fgColor rgb="001C7C7D"/>
      </patternFill>
    </fill>
  </fills>
  <borders count="2">
    <border>
      <left/>
      <right/>
      <top/>
      <bottom/>
      <diagonal/>
    </border>
    <border>
      <bottom style="hair">
        <color rgb="00C7D1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8" borderId="1" applyAlignment="1" pivotButton="0" quotePrefix="0" xfId="0">
      <alignment vertical="center" wrapText="1"/>
    </xf>
    <xf numFmtId="0" fontId="4" fillId="2" borderId="0" pivotButton="0" quotePrefix="0" xfId="0"/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Marchbank</author>
  </authors>
  <commentList>
    <comment ref="D14" authorId="0" shapeId="0">
      <text>
        <t>Raw disputed figure was not supplied; this is intentionally not backfilled from the scenarios.</t>
      </text>
    </comment>
  </commentList>
</comments>
</file>

<file path=xl/tables/table1.xml><?xml version="1.0" encoding="utf-8"?>
<table xmlns="http://schemas.openxmlformats.org/spreadsheetml/2006/main" id="1" name="EvidenceRegister" displayName="EvidenceRegister" ref="A5:P21" headerRowCount="1">
  <autoFilter ref="A5:P21"/>
  <tableColumns count="16">
    <tableColumn id="1" name="Claim ID"/>
    <tableColumn id="2" name="Material type"/>
    <tableColumn id="3" name="Jurisdiction"/>
    <tableColumn id="4" name="Subject / raw claim"/>
    <tableColumn id="5" name="Source family"/>
    <tableColumn id="6" name="Source date"/>
    <tableColumn id="7" name="Extract / original claim"/>
    <tableColumn id="8" name="Applicability / scope"/>
    <tableColumn id="9" name="Normalized interpretation / figure"/>
    <tableColumn id="10" name="Status label"/>
    <tableColumn id="11" name="Frozen snapshot / availability"/>
    <tableColumn id="12" name="Locator / reproducible pinpoint"/>
    <tableColumn id="13" name="Analyst basis / transformation"/>
    <tableColumn id="14" name="Deck refs"/>
    <tableColumn id="15" name="Illustrative?"/>
    <tableColumn id="16" name="Shared fig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34" customWidth="1" min="4" max="4"/>
    <col width="29" customWidth="1" min="5" max="5"/>
    <col width="14" customWidth="1" min="6" max="6"/>
    <col width="45" customWidth="1" min="7" max="7"/>
    <col width="40" customWidth="1" min="8" max="8"/>
    <col width="51" customWidth="1" min="9" max="9"/>
    <col width="26" customWidth="1" min="10" max="10"/>
    <col width="31" customWidth="1" min="11" max="11"/>
    <col width="39" customWidth="1" min="12" max="12"/>
    <col width="43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Marchbank Consortium | Evidence register</t>
        </is>
      </c>
    </row>
    <row r="2">
      <c r="A2" s="2" t="inlineStr">
        <is>
          <t>Frozen date: 30 June 2024  |  Prepared for regulator / auditor / compliance reviewer  |  Editable peer-review register</t>
        </is>
      </c>
    </row>
    <row r="3" ht="31" customHeight="1">
      <c r="A3" s="3" t="inlineStr">
        <is>
          <t>Status legend: Source-supported = identified primary law/guidance; Official guidance = nonbinding; Unresolved = unavailable/unverified; Illustrative = author-defined projection; Professional interpretation = classification.</t>
        </is>
      </c>
    </row>
    <row r="5">
      <c r="A5" s="4" t="inlineStr">
        <is>
          <t>Claim ID</t>
        </is>
      </c>
      <c r="B5" s="4" t="inlineStr">
        <is>
          <t>Material type</t>
        </is>
      </c>
      <c r="C5" s="4" t="inlineStr">
        <is>
          <t>Jurisdiction</t>
        </is>
      </c>
      <c r="D5" s="4" t="inlineStr">
        <is>
          <t>Subject / raw claim</t>
        </is>
      </c>
      <c r="E5" s="4" t="inlineStr">
        <is>
          <t>Source family</t>
        </is>
      </c>
      <c r="F5" s="4" t="inlineStr">
        <is>
          <t>Source date</t>
        </is>
      </c>
      <c r="G5" s="4" t="inlineStr">
        <is>
          <t>Extract / original claim</t>
        </is>
      </c>
      <c r="H5" s="4" t="inlineStr">
        <is>
          <t>Applicability / scope</t>
        </is>
      </c>
      <c r="I5" s="4" t="inlineStr">
        <is>
          <t>Normalized interpretation / figure</t>
        </is>
      </c>
      <c r="J5" s="4" t="inlineStr">
        <is>
          <t>Status label</t>
        </is>
      </c>
      <c r="K5" s="4" t="inlineStr">
        <is>
          <t>Frozen snapshot / availability</t>
        </is>
      </c>
      <c r="L5" s="4" t="inlineStr">
        <is>
          <t>Locator / reproducible pinpoint</t>
        </is>
      </c>
      <c r="M5" s="4" t="inlineStr">
        <is>
          <t>Analyst basis / transformation</t>
        </is>
      </c>
      <c r="N5" s="4" t="inlineStr">
        <is>
          <t>Deck refs</t>
        </is>
      </c>
      <c r="O5" s="4" t="inlineStr">
        <is>
          <t>Illustrative?</t>
        </is>
      </c>
      <c r="P5" s="4" t="inlineStr">
        <is>
          <t>Shared figure</t>
        </is>
      </c>
    </row>
    <row r="6" ht="72" customHeight="1">
      <c r="A6" s="5" t="inlineStr">
        <is>
          <t>C-CA-01</t>
        </is>
      </c>
      <c r="B6" s="5" t="inlineStr">
        <is>
          <t>Source-supported requirement</t>
        </is>
      </c>
      <c r="C6" s="5" t="inlineStr">
        <is>
          <t>California</t>
        </is>
      </c>
      <c r="D6" s="5" t="inlineStr">
        <is>
          <t>SB 253 — Climate Corporate Data Accountability Act</t>
        </is>
      </c>
      <c r="E6" s="5" t="inlineStr">
        <is>
          <t>California statute / primary law</t>
        </is>
      </c>
      <c r="F6" s="5" t="inlineStr">
        <is>
          <t>7 Oct 2023</t>
        </is>
      </c>
      <c r="G6" s="5" t="inlineStr">
        <is>
          <t>Enacted 7 Oct 2023; statutory reporting begins in 2026.</t>
        </is>
      </c>
      <c r="H6" s="5" t="inlineStr">
        <is>
          <t>US business entity doing business in California with total annual revenues over US$1 billion; covered entity condition must be tested.</t>
        </is>
      </c>
      <c r="I6" s="5" t="inlineStr">
        <is>
          <t>Annual Scope 1, Scope 2 and Scope 3 GHG-emissions disclosure; statutory implementation details were not independently validated for this handoff.</t>
        </is>
      </c>
      <c r="J6" s="6" t="inlineStr">
        <is>
          <t>Binding obligation—enacted; future operative reporting</t>
        </is>
      </c>
      <c r="K6" s="5" t="inlineStr">
        <is>
          <t>Available identified source; no frozen external snapshot supplied</t>
        </is>
      </c>
      <c r="L6" s="5" t="inlineStr">
        <is>
          <t>California Health &amp; Safety Code §38532(a), (b), (c); Stats. 2023, ch. 365</t>
        </is>
      </c>
      <c r="M6" s="5" t="inlineStr">
        <is>
          <t>Source-supported statutory summary; not entity-specific applicability.</t>
        </is>
      </c>
      <c r="N6" s="5" t="inlineStr">
        <is>
          <t>S3; S5; S9</t>
        </is>
      </c>
      <c r="O6" s="5" t="inlineStr">
        <is>
          <t>No</t>
        </is>
      </c>
      <c r="P6" s="5" t="n"/>
    </row>
    <row r="7" ht="72" customHeight="1">
      <c r="A7" s="5" t="inlineStr">
        <is>
          <t>C-CA-02</t>
        </is>
      </c>
      <c r="B7" s="5" t="inlineStr">
        <is>
          <t>Source-supported requirement</t>
        </is>
      </c>
      <c r="C7" s="5" t="inlineStr">
        <is>
          <t>California</t>
        </is>
      </c>
      <c r="D7" s="5" t="inlineStr">
        <is>
          <t>SB 261 — Climate-Related Financial Risk Act</t>
        </is>
      </c>
      <c r="E7" s="5" t="inlineStr">
        <is>
          <t>California statute / primary law</t>
        </is>
      </c>
      <c r="F7" s="5" t="inlineStr">
        <is>
          <t>7 Oct 2023</t>
        </is>
      </c>
      <c r="G7" s="5" t="inlineStr">
        <is>
          <t>Enacted 7 Oct 2023; first climate-related financial risk reports due on or before 1 Jan 2026.</t>
        </is>
      </c>
      <c r="H7" s="5" t="inlineStr">
        <is>
          <t>US corporation, partnership, LLC or other business entity with total annual revenues over US$500 million doing business in California; statutory exemptions/coverage require entity-specific review.</t>
        </is>
      </c>
      <c r="I7" s="5" t="inlineStr">
        <is>
          <t>Biennial climate-related financial risk report, using TCFD recommendations or an equivalent reporting requirement.</t>
        </is>
      </c>
      <c r="J7" s="6" t="inlineStr">
        <is>
          <t>Binding obligation—enacted; future operative reporting</t>
        </is>
      </c>
      <c r="K7" s="5" t="inlineStr">
        <is>
          <t>Available identified source; no frozen external snapshot supplied</t>
        </is>
      </c>
      <c r="L7" s="5" t="inlineStr">
        <is>
          <t>California Health &amp; Safety Code §38533(a), (b); Stats. 2023, ch. 363</t>
        </is>
      </c>
      <c r="M7" s="5" t="inlineStr">
        <is>
          <t>Source-supported statutory summary; not entity-specific applicability.</t>
        </is>
      </c>
      <c r="N7" s="5" t="inlineStr">
        <is>
          <t>S3; S5; S9</t>
        </is>
      </c>
      <c r="O7" s="5" t="inlineStr">
        <is>
          <t>No</t>
        </is>
      </c>
      <c r="P7" s="5" t="n"/>
    </row>
    <row r="8" ht="72" customHeight="1">
      <c r="A8" s="5" t="inlineStr">
        <is>
          <t>C-CA-03</t>
        </is>
      </c>
      <c r="B8" s="5" t="inlineStr">
        <is>
          <t>Source-supported requirement</t>
        </is>
      </c>
      <c r="C8" s="5" t="inlineStr">
        <is>
          <t>California</t>
        </is>
      </c>
      <c r="D8" s="5" t="inlineStr">
        <is>
          <t>SB 253 assurance clause</t>
        </is>
      </c>
      <c r="E8" s="5" t="inlineStr">
        <is>
          <t>California statute / primary law</t>
        </is>
      </c>
      <c r="F8" s="5" t="inlineStr">
        <is>
          <t>7 Oct 2023</t>
        </is>
      </c>
      <c r="G8" s="5" t="inlineStr">
        <is>
          <t>Statute addresses third-party assurance separately from the disclosure subject.</t>
        </is>
      </c>
      <c r="H8" s="5" t="inlineStr">
        <is>
          <t>Only if SB 253 applies; assurance timing and scope are statutory/regulatory implementation matters.</t>
        </is>
      </c>
      <c r="I8" s="5" t="inlineStr">
        <is>
          <t>Assurance is not treated as proof that an entity has an established disclosure obligation or reported result.</t>
        </is>
      </c>
      <c r="J8" s="6" t="inlineStr">
        <is>
          <t>Binding clause within enacted statute; implementation detail not independently validated</t>
        </is>
      </c>
      <c r="K8" s="5" t="inlineStr">
        <is>
          <t>Available identified source; no frozen external snapshot supplied</t>
        </is>
      </c>
      <c r="L8" s="5" t="inlineStr">
        <is>
          <t>California Health &amp; Safety Code §38532(a)(4)(E) (assurance provisions)</t>
        </is>
      </c>
      <c r="M8" s="5" t="inlineStr">
        <is>
          <t>Disclosure / assurance distinction retained.</t>
        </is>
      </c>
      <c r="N8" s="5" t="inlineStr">
        <is>
          <t>S3; S5</t>
        </is>
      </c>
      <c r="O8" s="5" t="inlineStr">
        <is>
          <t>No</t>
        </is>
      </c>
      <c r="P8" s="5" t="n"/>
    </row>
    <row r="9" ht="72" customHeight="1">
      <c r="A9" s="5" t="inlineStr">
        <is>
          <t>C-ON-01</t>
        </is>
      </c>
      <c r="B9" s="5" t="inlineStr">
        <is>
          <t>Source-supported requirement</t>
        </is>
      </c>
      <c r="C9" s="5" t="inlineStr">
        <is>
          <t>Ontario</t>
        </is>
      </c>
      <c r="D9" s="5" t="inlineStr">
        <is>
          <t>Ontario climate-specific disclosure rule status</t>
        </is>
      </c>
      <c r="E9" s="5" t="inlineStr">
        <is>
          <t>Ontario securities-law framework / official proposal</t>
        </is>
      </c>
      <c r="F9" s="5" t="inlineStr">
        <is>
          <t>18 Oct 2021</t>
        </is>
      </c>
      <c r="G9" s="5" t="inlineStr">
        <is>
          <t>CSA proposed NI 51-107 Disclosure of Climate-related Matters; proposal was not an Ontario-wide climate-specific rule in force at the frozen date.</t>
        </is>
      </c>
      <c r="H9" s="5" t="inlineStr">
        <is>
          <t>Proposal would have applied to reporting issuers, subject to stated exclusions and transition provisions; it is not used as an operative obligation.</t>
        </is>
      </c>
      <c r="I9" s="5" t="inlineStr">
        <is>
          <t>Proposed climate disclosure framework (TCFD-aligned approach) only; no California-equivalent province-wide mandatory regime is asserted.</t>
        </is>
      </c>
      <c r="J9" s="5" t="inlineStr">
        <is>
          <t>Proposal—not binding / not in force at frozen date</t>
        </is>
      </c>
      <c r="K9" s="5" t="inlineStr">
        <is>
          <t>Available identified source; no frozen external snapshot supplied</t>
        </is>
      </c>
      <c r="L9" s="5" t="inlineStr">
        <is>
          <t>CSA Notice and Request for Comment 51-107, pp. 1–4 and proposed NI 51-107, Part 1</t>
        </is>
      </c>
      <c r="M9" s="5" t="inlineStr">
        <is>
          <t>Proposal retained as context, not converted to mandatory language.</t>
        </is>
      </c>
      <c r="N9" s="5" t="inlineStr">
        <is>
          <t>S4; S5; S9</t>
        </is>
      </c>
      <c r="O9" s="5" t="inlineStr">
        <is>
          <t>No</t>
        </is>
      </c>
      <c r="P9" s="5" t="n"/>
    </row>
    <row r="10" ht="72" customHeight="1">
      <c r="A10" s="5" t="inlineStr">
        <is>
          <t>C-ON-02</t>
        </is>
      </c>
      <c r="B10" s="5" t="inlineStr">
        <is>
          <t>Official guidance</t>
        </is>
      </c>
      <c r="C10" s="5" t="inlineStr">
        <is>
          <t>Ontario</t>
        </is>
      </c>
      <c r="D10" s="5" t="inlineStr">
        <is>
          <t>OSC Staff Notice 51-358 Reporting of Climate Change-related Risks</t>
        </is>
      </c>
      <c r="E10" s="5" t="inlineStr">
        <is>
          <t>Ontario Securities Commission staff notice / official guidance</t>
        </is>
      </c>
      <c r="F10" s="5" t="inlineStr">
        <is>
          <t>1 Aug 2019</t>
        </is>
      </c>
      <c r="G10" s="5" t="inlineStr">
        <is>
          <t>Staff notice provides disclosure guidance on material climate-change-related risks for reporting issuers.</t>
        </is>
      </c>
      <c r="H10" s="5" t="inlineStr">
        <is>
          <t>Ontario reporting issuers; materiality and issuer facts matter.</t>
        </is>
      </c>
      <c r="I10" s="5" t="inlineStr">
        <is>
          <t>Guidance is distinguished from a climate-specific statute or rule.</t>
        </is>
      </c>
      <c r="J10" s="7" t="inlineStr">
        <is>
          <t>Official guidance—not binding climate-specific obligation</t>
        </is>
      </c>
      <c r="K10" s="5" t="inlineStr">
        <is>
          <t>Available identified source; no frozen external snapshot supplied</t>
        </is>
      </c>
      <c r="L10" s="5" t="inlineStr">
        <is>
          <t>OSC Staff Notice 51-358, Executive Summary and Part 3</t>
        </is>
      </c>
      <c r="M10" s="5" t="inlineStr">
        <is>
          <t>Contextual guidance only; no entity-specific filing conclusion.</t>
        </is>
      </c>
      <c r="N10" s="5" t="inlineStr">
        <is>
          <t>S4; S5; S9</t>
        </is>
      </c>
      <c r="O10" s="5" t="inlineStr">
        <is>
          <t>No</t>
        </is>
      </c>
      <c r="P10" s="5" t="n"/>
    </row>
    <row r="11" ht="72" customHeight="1">
      <c r="A11" s="5" t="inlineStr">
        <is>
          <t>C-ON-03</t>
        </is>
      </c>
      <c r="B11" s="5" t="inlineStr">
        <is>
          <t>Source-supported requirement</t>
        </is>
      </c>
      <c r="C11" s="5" t="inlineStr">
        <is>
          <t>Ontario</t>
        </is>
      </c>
      <c r="D11" s="5" t="inlineStr">
        <is>
          <t>Existing continuous disclosure framework</t>
        </is>
      </c>
      <c r="E11" s="5" t="inlineStr">
        <is>
          <t>Ontario securities-law framework / official instrument</t>
        </is>
      </c>
      <c r="F11" s="5" t="inlineStr">
        <is>
          <t>30 Jun 2024</t>
        </is>
      </c>
      <c r="G11" s="5" t="inlineStr">
        <is>
          <t>Ontario reporting issuers remain subject to general continuous-disclosure obligations, including material information/risk disclosure as applicable.</t>
        </is>
      </c>
      <c r="H11" s="5" t="inlineStr">
        <is>
          <t>Reporting-issuer status and materiality are required facts; neither was supplied for named entities.</t>
        </is>
      </c>
      <c r="I11" s="5" t="inlineStr">
        <is>
          <t>General framework is not counted as a climate-specific California-equivalent obligation.</t>
        </is>
      </c>
      <c r="J11" s="6" t="inlineStr">
        <is>
          <t>Binding general framework; climate-specific application unresolved</t>
        </is>
      </c>
      <c r="K11" s="5" t="inlineStr">
        <is>
          <t>Available identified source; no frozen external snapshot supplied</t>
        </is>
      </c>
      <c r="L11" s="5" t="inlineStr">
        <is>
          <t>National Instrument 51-102, Part 5 and Form 51-102F1, Item 1.5</t>
        </is>
      </c>
      <c r="M11" s="5" t="inlineStr">
        <is>
          <t>General obligation separated from climate-specific proposal/guidance.</t>
        </is>
      </c>
      <c r="N11" s="5" t="inlineStr">
        <is>
          <t>S4; S5; S9</t>
        </is>
      </c>
      <c r="O11" s="5" t="inlineStr">
        <is>
          <t>No</t>
        </is>
      </c>
      <c r="P11" s="5" t="n"/>
    </row>
    <row r="12" ht="72" customHeight="1">
      <c r="A12" s="5" t="inlineStr">
        <is>
          <t>C-LIM-01</t>
        </is>
      </c>
      <c r="B12" s="5" t="inlineStr">
        <is>
          <t>Unresolved / limitation</t>
        </is>
      </c>
      <c r="C12" s="5" t="inlineStr">
        <is>
          <t>All</t>
        </is>
      </c>
      <c r="D12" s="5" t="inlineStr">
        <is>
          <t>Missing Marchbank mixed-format working files</t>
        </is>
      </c>
      <c r="E12" s="5" t="inlineStr">
        <is>
          <t>Internal source pack—unavailable</t>
        </is>
      </c>
      <c r="F12" s="5" t="inlineStr">
        <is>
          <t>30 Jun 2024</t>
        </is>
      </c>
      <c r="G12" s="5" t="inlineStr">
        <is>
          <t>Draft, working files and frozen external snapshot were not included in this handoff.</t>
        </is>
      </c>
      <c r="H12" s="5" t="inlineStr">
        <is>
          <t>All entity, period, source, and calculation claims that depend on missing materials.</t>
        </is>
      </c>
      <c r="I12" s="5" t="inlineStr">
        <is>
          <t>No missing file is represented as inspected, reconciled or complete.</t>
        </is>
      </c>
      <c r="J12" s="8" t="inlineStr">
        <is>
          <t>Unresolved—source unavailable</t>
        </is>
      </c>
      <c r="K12" s="5" t="inlineStr">
        <is>
          <t>Not available in handoff</t>
        </is>
      </c>
      <c r="L12" s="5" t="inlineStr">
        <is>
          <t>Handoff statement; no locator inside absent pack</t>
        </is>
      </c>
      <c r="M12" s="5" t="inlineStr">
        <is>
          <t>Limits reported evidence and contested figures.</t>
        </is>
      </c>
      <c r="N12" s="5" t="inlineStr">
        <is>
          <t>S2; S6; S9</t>
        </is>
      </c>
      <c r="O12" s="5" t="inlineStr">
        <is>
          <t>No</t>
        </is>
      </c>
      <c r="P12" s="5" t="n"/>
    </row>
    <row r="13" ht="72" customHeight="1">
      <c r="A13" s="5" t="inlineStr">
        <is>
          <t>C-LIM-02</t>
        </is>
      </c>
      <c r="B13" s="5" t="inlineStr">
        <is>
          <t>Unresolved / limitation</t>
        </is>
      </c>
      <c r="C13" s="5" t="inlineStr">
        <is>
          <t>All</t>
        </is>
      </c>
      <c r="D13" s="5" t="inlineStr">
        <is>
          <t>Normal legal source-validation service</t>
        </is>
      </c>
      <c r="E13" s="5" t="inlineStr">
        <is>
          <t>Validation service—unavailable</t>
        </is>
      </c>
      <c r="F13" s="5" t="inlineStr">
        <is>
          <t>30 Jun 2024</t>
        </is>
      </c>
      <c r="G13" s="5" t="inlineStr">
        <is>
          <t>Legal research service is unavailable; normal source-validation cannot be completed before Friday.</t>
        </is>
      </c>
      <c r="H13" s="5" t="inlineStr">
        <is>
          <t>All legal propositions beyond identified stable source trail; entity-specific coverage and implementation detail.</t>
        </is>
      </c>
      <c r="I13" s="5" t="inlineStr">
        <is>
          <t>Identified primary-law/guidance trail is a bounded fallback, not completed validation.</t>
        </is>
      </c>
      <c r="J13" s="8" t="inlineStr">
        <is>
          <t>Provisional—validation unavailable</t>
        </is>
      </c>
      <c r="K13" s="5" t="inlineStr">
        <is>
          <t>Not available in handoff</t>
        </is>
      </c>
      <c r="L13" s="5" t="inlineStr">
        <is>
          <t>Handoff statement; service unavailable</t>
        </is>
      </c>
      <c r="M13" s="5" t="inlineStr">
        <is>
          <t>Only source-supported high-level propositions are included.</t>
        </is>
      </c>
      <c r="N13" s="5" t="inlineStr">
        <is>
          <t>S2; S9</t>
        </is>
      </c>
      <c r="O13" s="5" t="inlineStr">
        <is>
          <t>No</t>
        </is>
      </c>
      <c r="P13" s="5" t="n"/>
    </row>
    <row r="14" ht="72" customHeight="1">
      <c r="A14" s="5" t="inlineStr">
        <is>
          <t>C-DIS-01</t>
        </is>
      </c>
      <c r="B14" s="5" t="inlineStr">
        <is>
          <t>Disputed claim</t>
        </is>
      </c>
      <c r="C14" s="5" t="inlineStr">
        <is>
          <t>All</t>
        </is>
      </c>
      <c r="D14" s="5" t="inlineStr">
        <is>
          <t>Marchbank projected compliance figure</t>
        </is>
      </c>
      <c r="E14" s="5" t="inlineStr">
        <is>
          <t>Internal claim—unavailable</t>
        </is>
      </c>
      <c r="F14" s="5" t="inlineStr">
        <is>
          <t>Unknown</t>
        </is>
      </c>
      <c r="G14" s="5" t="inlineStr">
        <is>
          <t>Handoff reports that a Marchbank projected compliance figure exists; raw figure, unit, period and calculation are not in supplied materials.</t>
        </is>
      </c>
      <c r="H14" s="5" t="inlineStr">
        <is>
          <t>Underlying draft and working files.</t>
        </is>
      </c>
      <c r="I14" s="5" t="inlineStr">
        <is>
          <t>Original claim is preserved as “figure not supplied”; it is not normalized into a result.</t>
        </is>
      </c>
      <c r="J14" s="8" t="inlineStr">
        <is>
          <t>Unresolved—raw claim unavailable</t>
        </is>
      </c>
      <c r="K14" s="5" t="inlineStr">
        <is>
          <t>Not available in handoff</t>
        </is>
      </c>
      <c r="L14" s="5" t="inlineStr">
        <is>
          <t>Handoff statement; absent draft prevents pinpoint</t>
        </is>
      </c>
      <c r="M14" s="5" t="inlineStr">
        <is>
          <t>No winner selected; cannot compare values or denominators.</t>
        </is>
      </c>
      <c r="N14" s="5" t="inlineStr">
        <is>
          <t>S6; S9</t>
        </is>
      </c>
      <c r="O14" s="5" t="inlineStr">
        <is>
          <t>No</t>
        </is>
      </c>
      <c r="P14" s="5" t="n"/>
    </row>
    <row r="15" ht="72" customHeight="1">
      <c r="A15" s="5" t="inlineStr">
        <is>
          <t>C-DIS-02</t>
        </is>
      </c>
      <c r="B15" s="5" t="inlineStr">
        <is>
          <t>Disputed claim</t>
        </is>
      </c>
      <c r="C15" s="5" t="inlineStr">
        <is>
          <t>All</t>
        </is>
      </c>
      <c r="D15" s="5" t="inlineStr">
        <is>
          <t>Junipergate Alliance dispute</t>
        </is>
      </c>
      <c r="E15" s="5" t="inlineStr">
        <is>
          <t>External/internal dispute claim—unavailable</t>
        </is>
      </c>
      <c r="F15" s="5" t="inlineStr">
        <is>
          <t>Unknown</t>
        </is>
      </c>
      <c r="G15" s="5" t="inlineStr">
        <is>
          <t>Junipergate Alliance disputed Marchbank’s projected compliance figure; its competing figure or basis was not supplied.</t>
        </is>
      </c>
      <c r="H15" s="5" t="inlineStr">
        <is>
          <t>Underlying Junipergate communication and Marchbank projection.</t>
        </is>
      </c>
      <c r="I15" s="5" t="inlineStr">
        <is>
          <t>Competing position preserved as “disputes; replacement figure/basis not supplied”.</t>
        </is>
      </c>
      <c r="J15" s="8" t="inlineStr">
        <is>
          <t>Unresolved—competing claim unavailable</t>
        </is>
      </c>
      <c r="K15" s="5" t="inlineStr">
        <is>
          <t>Not available in handoff</t>
        </is>
      </c>
      <c r="L15" s="5" t="inlineStr">
        <is>
          <t>Handoff statement; absent communication prevents pinpoint</t>
        </is>
      </c>
      <c r="M15" s="5" t="inlineStr">
        <is>
          <t>Disagreement remains visible; no reconciliation or winner.</t>
        </is>
      </c>
      <c r="N15" s="5" t="inlineStr">
        <is>
          <t>S6; S9</t>
        </is>
      </c>
      <c r="O15" s="5" t="inlineStr">
        <is>
          <t>No</t>
        </is>
      </c>
      <c r="P15" s="5" t="n"/>
    </row>
    <row r="16" ht="72" customHeight="1">
      <c r="A16" s="5" t="inlineStr">
        <is>
          <t>C-NORM-01</t>
        </is>
      </c>
      <c r="B16" s="5" t="inlineStr">
        <is>
          <t>Professional interpretation</t>
        </is>
      </c>
      <c r="C16" s="5" t="inlineStr">
        <is>
          <t>All</t>
        </is>
      </c>
      <c r="D16" s="5" t="inlineStr">
        <is>
          <t>Dispute normalization boundary</t>
        </is>
      </c>
      <c r="E16" s="5" t="inlineStr">
        <is>
          <t>Journalistic classification</t>
        </is>
      </c>
      <c r="F16" s="5" t="inlineStr">
        <is>
          <t>30 Jun 2024</t>
        </is>
      </c>
      <c r="G16" s="5" t="inlineStr">
        <is>
          <t>Raw positions remain unavailable; normalization cannot change an absent amount into a confirmed figure.</t>
        </is>
      </c>
      <c r="H16" s="5" t="inlineStr">
        <is>
          <t>C-DIS-01 and C-DIS-02.</t>
        </is>
      </c>
      <c r="I16" s="5" t="inlineStr">
        <is>
          <t>Normalized label = “unresolved disputed projection”; raw labels retained; transformation basis = insufficient source materials.</t>
        </is>
      </c>
      <c r="J16" s="5" t="inlineStr">
        <is>
          <t>Professional interpretation—bounded</t>
        </is>
      </c>
      <c r="K16" s="5" t="inlineStr">
        <is>
          <t>Derived from C-DIS-01 / C-DIS-02</t>
        </is>
      </c>
      <c r="L16" s="5" t="inlineStr">
        <is>
          <t>Register rows C-DIS-01–02</t>
        </is>
      </c>
      <c r="M16" s="5" t="inlineStr">
        <is>
          <t>Preserves disagreement without manufacturing certainty.</t>
        </is>
      </c>
      <c r="N16" s="5" t="inlineStr">
        <is>
          <t>S6; S9</t>
        </is>
      </c>
      <c r="O16" s="5" t="inlineStr">
        <is>
          <t>No</t>
        </is>
      </c>
      <c r="P16" s="5" t="n"/>
    </row>
    <row r="17" ht="72" customHeight="1">
      <c r="A17" s="5" t="inlineStr">
        <is>
          <t>C-ASS-01</t>
        </is>
      </c>
      <c r="B17" s="5" t="inlineStr">
        <is>
          <t>Illustrative assumption</t>
        </is>
      </c>
      <c r="C17" s="5" t="inlineStr">
        <is>
          <t>All</t>
        </is>
      </c>
      <c r="D17" s="5" t="inlineStr">
        <is>
          <t>Illustrative entity scope</t>
        </is>
      </c>
      <c r="E17" s="5" t="inlineStr">
        <is>
          <t>Author-defined scenario input</t>
        </is>
      </c>
      <c r="F17" s="5" t="inlineStr">
        <is>
          <t>30 Jun 2024</t>
        </is>
      </c>
      <c r="G17" s="5" t="inlineStr">
        <is>
          <t>Crownridge Manufacturing and Eldergrove School District are illustrative names only.</t>
        </is>
      </c>
      <c r="H17" s="5" t="inlineStr">
        <is>
          <t>Four entity–jurisdiction slots shown in Scenario Calc; no revenue, business activity, reporting-issuer status, filings or operational results are asserted.</t>
        </is>
      </c>
      <c r="I17" s="5" t="inlineStr">
        <is>
          <t>Neither entity is classified as actually covered or excluded; “conditional” means scenario-only screen.</t>
        </is>
      </c>
      <c r="J17" s="9" t="inlineStr">
        <is>
          <t>Illustrative—not reported fact</t>
        </is>
      </c>
      <c r="K17" s="5" t="inlineStr">
        <is>
          <t>Created for transparent projection</t>
        </is>
      </c>
      <c r="L17" s="5" t="inlineStr">
        <is>
          <t>Scenario Calc rows 5–8</t>
        </is>
      </c>
      <c r="M17" s="5" t="inlineStr">
        <is>
          <t>Names support examples; no operational facts invented.</t>
        </is>
      </c>
      <c r="N17" s="5" t="inlineStr">
        <is>
          <t>S7; S8</t>
        </is>
      </c>
      <c r="O17" s="5" t="inlineStr">
        <is>
          <t>No</t>
        </is>
      </c>
      <c r="P17" s="5" t="n"/>
    </row>
    <row r="18" ht="72" customHeight="1">
      <c r="A18" s="5" t="inlineStr">
        <is>
          <t>C-ASS-02</t>
        </is>
      </c>
      <c r="B18" s="5" t="inlineStr">
        <is>
          <t>Illustrative assumption</t>
        </is>
      </c>
      <c r="C18" s="5" t="inlineStr">
        <is>
          <t>California</t>
        </is>
      </c>
      <c r="D18" s="5" t="inlineStr">
        <is>
          <t>Effective-date boundary treatment</t>
        </is>
      </c>
      <c r="E18" s="5" t="inlineStr">
        <is>
          <t>Author-defined scenario input</t>
        </is>
      </c>
      <c r="F18" s="5" t="inlineStr">
        <is>
          <t>30 Jun 2024</t>
        </is>
      </c>
      <c r="G18" s="5" t="inlineStr">
        <is>
          <t>Crownridge / California illustrative period is 1 Jul 2025–30 Jun 2026 and crosses the 2026 statutory reporting commencement year.</t>
        </is>
      </c>
      <c r="H18" s="5" t="inlineStr">
        <is>
          <t>No supplied evidence establishes how this illustrative period maps to a California operative obligation or regulatory implementation.</t>
        </is>
      </c>
      <c r="I18" s="5" t="inlineStr">
        <is>
          <t>Scenario A retains it as conditional for comparability; Scenario B withholds it from included entries.</t>
        </is>
      </c>
      <c r="J18" s="9" t="inlineStr">
        <is>
          <t>Illustrative + unresolved applicability</t>
        </is>
      </c>
      <c r="K18" s="5" t="inlineStr">
        <is>
          <t>Created for transparent projection</t>
        </is>
      </c>
      <c r="L18" s="5" t="inlineStr">
        <is>
          <t>Scenario Calc row 5; C-CA-01 / C-CA-02</t>
        </is>
      </c>
      <c r="M18" s="5" t="inlineStr">
        <is>
          <t>No applicability assertion is made for the straddling period.</t>
        </is>
      </c>
      <c r="N18" s="5" t="inlineStr">
        <is>
          <t>S7; S8; S9</t>
        </is>
      </c>
      <c r="O18" s="5" t="inlineStr">
        <is>
          <t>No</t>
        </is>
      </c>
      <c r="P18" s="5" t="n"/>
    </row>
    <row r="19" ht="72" customHeight="1">
      <c r="A19" s="5" t="inlineStr">
        <is>
          <t>C-SCN-A</t>
        </is>
      </c>
      <c r="B19" s="5" t="inlineStr">
        <is>
          <t>Illustrative projection</t>
        </is>
      </c>
      <c r="C19" s="5" t="inlineStr">
        <is>
          <t>All</t>
        </is>
      </c>
      <c r="D19" s="5" t="inlineStr">
        <is>
          <t>Scenario A — Comparable conditional screen</t>
        </is>
      </c>
      <c r="E19" s="5" t="inlineStr">
        <is>
          <t>Scenario formula</t>
        </is>
      </c>
      <c r="F19" s="5" t="inlineStr">
        <is>
          <t>30 Jun 2024</t>
        </is>
      </c>
      <c r="G19" s="5" t="inlineStr">
        <is>
          <t>Four illustrative entity–jurisdiction periods are displayed, including one California straddling period.</t>
        </is>
      </c>
      <c r="H19" s="5" t="inlineStr">
        <is>
          <t>All four slots; California topic multiplier 2; Ontario contextual multiplier 1.</t>
        </is>
      </c>
      <c r="I19" s="5" t="inlineStr">
        <is>
          <t>6 conditional illustrative review entries = 2 California slots × 2 + 2 Ontario slots × 1.</t>
        </is>
      </c>
      <c r="J19" s="9" t="inlineStr">
        <is>
          <t>Illustrative projection—conditional</t>
        </is>
      </c>
      <c r="K19" s="5" t="inlineStr">
        <is>
          <t>Created from visible inputs / formulas</t>
        </is>
      </c>
      <c r="L19" s="5" t="inlineStr">
        <is>
          <t>Scenario Calc B5:H8; output row 12</t>
        </is>
      </c>
      <c r="M19" s="5" t="inlineStr">
        <is>
          <t>Comparability preserved; output does not establish applicability.</t>
        </is>
      </c>
      <c r="N19" s="5" t="inlineStr">
        <is>
          <t>S7; S8</t>
        </is>
      </c>
      <c r="O19" s="5" t="inlineStr">
        <is>
          <t>6</t>
        </is>
      </c>
      <c r="P19" s="5" t="n"/>
    </row>
    <row r="20" ht="72" customHeight="1">
      <c r="A20" s="5" t="inlineStr">
        <is>
          <t>C-SCN-B</t>
        </is>
      </c>
      <c r="B20" s="5" t="inlineStr">
        <is>
          <t>Illustrative projection</t>
        </is>
      </c>
      <c r="C20" s="5" t="inlineStr">
        <is>
          <t>All</t>
        </is>
      </c>
      <c r="D20" s="5" t="inlineStr">
        <is>
          <t>Scenario B — Effective-date bounded screen</t>
        </is>
      </c>
      <c r="E20" s="5" t="inlineStr">
        <is>
          <t>Scenario formula</t>
        </is>
      </c>
      <c r="F20" s="5" t="inlineStr">
        <is>
          <t>30 Jun 2024</t>
        </is>
      </c>
      <c r="G20" s="5" t="inlineStr">
        <is>
          <t>The straddling Crownridge / California slot is withheld from included entries.</t>
        </is>
      </c>
      <c r="H20" s="5" t="inlineStr">
        <is>
          <t>Three included slots; California topic multiplier 2; Ontario contextual multiplier 1.</t>
        </is>
      </c>
      <c r="I20" s="5" t="inlineStr">
        <is>
          <t>4 included illustrative review entries = 1 California slot × 2 + 2 Ontario slots × 1; 1 slot withheld.</t>
        </is>
      </c>
      <c r="J20" s="9" t="inlineStr">
        <is>
          <t>Illustrative projection—bounded</t>
        </is>
      </c>
      <c r="K20" s="5" t="inlineStr">
        <is>
          <t>Created from visible inputs / formulas</t>
        </is>
      </c>
      <c r="L20" s="5" t="inlineStr">
        <is>
          <t>Scenario Calc B5:H8; output row 13</t>
        </is>
      </c>
      <c r="M20" s="5" t="inlineStr">
        <is>
          <t>Avoids an unsupported applicability assertion; reduces included count by 2 entries and comparable slots from 4 to 3.</t>
        </is>
      </c>
      <c r="N20" s="5" t="inlineStr">
        <is>
          <t>S7; S8; S9</t>
        </is>
      </c>
      <c r="O20" s="5" t="inlineStr">
        <is>
          <t>4</t>
        </is>
      </c>
      <c r="P20" s="5" t="n"/>
    </row>
    <row r="21" ht="72" customHeight="1">
      <c r="A21" s="5" t="inlineStr">
        <is>
          <t>C-PUB-01</t>
        </is>
      </c>
      <c r="B21" s="5" t="inlineStr">
        <is>
          <t>Professional interpretation</t>
        </is>
      </c>
      <c r="C21" s="5" t="inlineStr">
        <is>
          <t>All</t>
        </is>
      </c>
      <c r="D21" s="5" t="inlineStr">
        <is>
          <t>Bounded publication status</t>
        </is>
      </c>
      <c r="E21" s="5" t="inlineStr">
        <is>
          <t>Journalistic classification</t>
        </is>
      </c>
      <c r="F21" s="5" t="inlineStr">
        <is>
          <t>30 Jun 2024</t>
        </is>
      </c>
      <c r="G21" s="5" t="inlineStr">
        <is>
          <t>Single status: bounded and qualified.</t>
        </is>
      </c>
      <c r="H21" s="5" t="inlineStr">
        <is>
          <t>Only claims with source-supported or explicitly illustrative/unresolved status.</t>
        </is>
      </c>
      <c r="I21" s="5" t="inlineStr">
        <is>
          <t>Supportable: high-level CA statute status/timing and Ontario proposal/guidance/general-framework distinction. Withheld/qualified: named-entity coverage, straddling-period applicability, missing-projector figures, implementation detail, and observed compliance outcomes.</t>
        </is>
      </c>
      <c r="J21" s="5" t="inlineStr">
        <is>
          <t>Publication boundary—bounded and qualified</t>
        </is>
      </c>
      <c r="K21" s="5" t="inlineStr">
        <is>
          <t>Derived from listed records</t>
        </is>
      </c>
      <c r="L21" s="5" t="inlineStr">
        <is>
          <t>C-CA-01–03; C-ON-01–03; C-LIM-01–02; C-DIS-01–02; C-ASS-02</t>
        </is>
      </c>
      <c r="M21" s="5" t="inlineStr">
        <is>
          <t>A factual classification; no recommended action or legal advice.</t>
        </is>
      </c>
      <c r="N21" s="5" t="inlineStr">
        <is>
          <t>S9</t>
        </is>
      </c>
      <c r="O21" s="5" t="inlineStr">
        <is>
          <t>No</t>
        </is>
      </c>
      <c r="P21" s="5" t="n"/>
    </row>
  </sheetData>
  <autoFilter ref="A5:P21"/>
  <mergeCells count="3">
    <mergeCell ref="A1:P1"/>
    <mergeCell ref="A3:P3"/>
    <mergeCell ref="A2:P2"/>
  </mergeCells>
  <pageMargins left="0.75" right="0.75" top="1" bottom="1" header="0.5" footer="0.5"/>
  <pageSetup fitToHeight="0" fitToWidth="1"/>
  <headerFooter>
    <oddHeader/>
    <oddFooter>&amp;CMarchbank evidence register | frozen at 30 June 2024 |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8" customWidth="1" min="3" max="3"/>
    <col width="24" customWidth="1" min="4" max="4"/>
    <col width="29" customWidth="1" min="5" max="5"/>
    <col width="18" customWidth="1" min="6" max="6"/>
    <col width="19" customWidth="1" min="7" max="7"/>
    <col width="19" customWidth="1" min="8" max="8"/>
    <col width="13" customWidth="1" min="9" max="9"/>
    <col width="13" customWidth="1" min="10" max="10"/>
  </cols>
  <sheetData>
    <row r="1" ht="28" customHeight="1">
      <c r="A1" s="10" t="inlineStr">
        <is>
          <t>Illustrative scenario calculation — not observed compliance results</t>
        </is>
      </c>
    </row>
    <row r="2" ht="31" customHeight="1">
      <c r="A2" s="11" t="inlineStr">
        <is>
          <t>Frozen date: 30 June 2024. All inputs are author-defined illustrations; entity names do not establish revenue, activity, issuer status, filings or coverage.</t>
        </is>
      </c>
    </row>
    <row r="3" ht="34" customHeight="1">
      <c r="A3" s="3" t="inlineStr">
        <is>
          <t>Calculation logic: California multiplier = two statutory disclosure topics (SB 253 / SB 261); Ontario multiplier = one contextual climate-disclosure review topic (proposal/guidance/general framework). Counts are review entries, not requirements, filings or compliance outcomes.</t>
        </is>
      </c>
    </row>
    <row r="5">
      <c r="A5" s="12" t="inlineStr">
        <is>
          <t>Slot</t>
        </is>
      </c>
      <c r="B5" s="12" t="inlineStr">
        <is>
          <t>Illustrative entity</t>
        </is>
      </c>
      <c r="C5" s="12" t="inlineStr">
        <is>
          <t>Jurisdiction</t>
        </is>
      </c>
      <c r="D5" s="12" t="inlineStr">
        <is>
          <t>Illustrative reporting period</t>
        </is>
      </c>
      <c r="E5" s="12" t="inlineStr">
        <is>
          <t>Boundary flag</t>
        </is>
      </c>
      <c r="F5" s="12" t="inlineStr">
        <is>
          <t>Topic multiplier</t>
        </is>
      </c>
      <c r="G5" s="12" t="inlineStr">
        <is>
          <t>Scenario A include?</t>
        </is>
      </c>
      <c r="H5" s="12" t="inlineStr">
        <is>
          <t>Scenario B include?</t>
        </is>
      </c>
      <c r="I5" s="12" t="inlineStr">
        <is>
          <t>A entries</t>
        </is>
      </c>
      <c r="J5" s="12" t="inlineStr">
        <is>
          <t>B entries</t>
        </is>
      </c>
    </row>
    <row r="6" ht="40" customHeight="1">
      <c r="A6" s="13" t="inlineStr">
        <is>
          <t>SLOT-01</t>
        </is>
      </c>
      <c r="B6" s="13" t="inlineStr">
        <is>
          <t>Crownridge Manufacturing</t>
        </is>
      </c>
      <c r="C6" s="13" t="inlineStr">
        <is>
          <t>California</t>
        </is>
      </c>
      <c r="D6" s="13" t="inlineStr">
        <is>
          <t>1 Jul 2025–30 Jun 2026</t>
        </is>
      </c>
      <c r="E6" s="13" t="inlineStr">
        <is>
          <t>STRADDLES 2026 commencement year</t>
        </is>
      </c>
      <c r="F6" s="13" t="n">
        <v>2</v>
      </c>
      <c r="G6" s="13" t="n">
        <v>1</v>
      </c>
      <c r="H6" s="13" t="n">
        <v>0</v>
      </c>
      <c r="I6" s="14">
        <f>F6*G6</f>
        <v/>
      </c>
      <c r="J6" s="14">
        <f>F6*H6</f>
        <v/>
      </c>
    </row>
    <row r="7" ht="40" customHeight="1">
      <c r="A7" s="13" t="inlineStr">
        <is>
          <t>SLOT-02</t>
        </is>
      </c>
      <c r="B7" s="13" t="inlineStr">
        <is>
          <t>Crownridge Manufacturing</t>
        </is>
      </c>
      <c r="C7" s="13" t="inlineStr">
        <is>
          <t>Ontario</t>
        </is>
      </c>
      <c r="D7" s="13" t="inlineStr">
        <is>
          <t>1 Jul 2025–30 Jun 2026</t>
        </is>
      </c>
      <c r="E7" s="13" t="inlineStr">
        <is>
          <t>No climate-specific operative rule asserted</t>
        </is>
      </c>
      <c r="F7" s="13" t="n">
        <v>1</v>
      </c>
      <c r="G7" s="13" t="n">
        <v>1</v>
      </c>
      <c r="H7" s="13" t="n">
        <v>1</v>
      </c>
      <c r="I7" s="14">
        <f>F7*G7</f>
        <v/>
      </c>
      <c r="J7" s="14">
        <f>F7*H7</f>
        <v/>
      </c>
    </row>
    <row r="8" ht="40" customHeight="1">
      <c r="A8" s="13" t="inlineStr">
        <is>
          <t>SLOT-03</t>
        </is>
      </c>
      <c r="B8" s="13" t="inlineStr">
        <is>
          <t>Eldergrove School District</t>
        </is>
      </c>
      <c r="C8" s="13" t="inlineStr">
        <is>
          <t>California</t>
        </is>
      </c>
      <c r="D8" s="13" t="inlineStr">
        <is>
          <t>1 Jan 2026–31 Dec 2026</t>
        </is>
      </c>
      <c r="E8" s="13" t="inlineStr">
        <is>
          <t>Illustrative; entity coverage unresolved</t>
        </is>
      </c>
      <c r="F8" s="13" t="n">
        <v>2</v>
      </c>
      <c r="G8" s="13" t="n">
        <v>1</v>
      </c>
      <c r="H8" s="13" t="n">
        <v>1</v>
      </c>
      <c r="I8" s="14">
        <f>F8*G8</f>
        <v/>
      </c>
      <c r="J8" s="14">
        <f>F8*H8</f>
        <v/>
      </c>
    </row>
    <row r="9" ht="40" customHeight="1">
      <c r="A9" s="13" t="inlineStr">
        <is>
          <t>SLOT-04</t>
        </is>
      </c>
      <c r="B9" s="13" t="inlineStr">
        <is>
          <t>Eldergrove School District</t>
        </is>
      </c>
      <c r="C9" s="13" t="inlineStr">
        <is>
          <t>Ontario</t>
        </is>
      </c>
      <c r="D9" s="13" t="inlineStr">
        <is>
          <t>1 Jan 2026–31 Dec 2026</t>
        </is>
      </c>
      <c r="E9" s="13" t="inlineStr">
        <is>
          <t>No climate-specific operative rule asserted</t>
        </is>
      </c>
      <c r="F9" s="13" t="n">
        <v>1</v>
      </c>
      <c r="G9" s="13" t="n">
        <v>1</v>
      </c>
      <c r="H9" s="13" t="n">
        <v>1</v>
      </c>
      <c r="I9" s="14">
        <f>F9*G9</f>
        <v/>
      </c>
      <c r="J9" s="14">
        <f>F9*H9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6" t="inlineStr">
        <is>
          <t>Output ID</t>
        </is>
      </c>
      <c r="B11" s="16" t="inlineStr">
        <is>
          <t>Scenario</t>
        </is>
      </c>
      <c r="C11" s="16" t="inlineStr">
        <is>
          <t>Formula / output</t>
        </is>
      </c>
      <c r="D11" s="16" t="inlineStr">
        <is>
          <t>Unit</t>
        </is>
      </c>
      <c r="E11" s="16" t="inlineStr">
        <is>
          <t>Period</t>
        </is>
      </c>
      <c r="F11" s="16" t="inlineStr">
        <is>
          <t>Population / denominator</t>
        </is>
      </c>
      <c r="G11" s="16" t="inlineStr">
        <is>
          <t>Status</t>
        </is>
      </c>
      <c r="H11" s="16" t="inlineStr">
        <is>
          <t>Deck refs</t>
        </is>
      </c>
      <c r="I11" s="15" t="n"/>
      <c r="J11" s="15" t="n"/>
    </row>
    <row r="12" ht="45" customHeight="1">
      <c r="A12" s="13" t="inlineStr">
        <is>
          <t>C-SCN-A</t>
        </is>
      </c>
      <c r="B12" s="13" t="inlineStr">
        <is>
          <t>Scenario A — Comparable conditional screen</t>
        </is>
      </c>
      <c r="C12" s="13">
        <f>SUM(I6:I9)</f>
        <v/>
      </c>
      <c r="D12" s="13" t="inlineStr">
        <is>
          <t>illustrative review entries</t>
        </is>
      </c>
      <c r="E12" s="13" t="inlineStr">
        <is>
          <t>Periods shown in rows 6–9</t>
        </is>
      </c>
      <c r="F12" s="13" t="inlineStr">
        <is>
          <t>4 entity–jurisdiction slots; 2 CA × 2 topics + 2 ON × 1 topic</t>
        </is>
      </c>
      <c r="G12" s="13" t="inlineStr">
        <is>
          <t>Illustrative projection—conditional</t>
        </is>
      </c>
      <c r="H12" s="13" t="inlineStr">
        <is>
          <t>S7; S8</t>
        </is>
      </c>
      <c r="I12" s="15" t="n"/>
      <c r="J12" s="15" t="n"/>
    </row>
    <row r="13" ht="45" customHeight="1">
      <c r="A13" s="13" t="inlineStr">
        <is>
          <t>C-SCN-B</t>
        </is>
      </c>
      <c r="B13" s="13" t="inlineStr">
        <is>
          <t>Scenario B — Effective-date bounded screen</t>
        </is>
      </c>
      <c r="C13" s="13">
        <f>SUM(J6:J9)</f>
        <v/>
      </c>
      <c r="D13" s="13" t="inlineStr">
        <is>
          <t>included illustrative review entries</t>
        </is>
      </c>
      <c r="E13" s="13" t="inlineStr">
        <is>
          <t>Periods shown in rows 6–9</t>
        </is>
      </c>
      <c r="F13" s="13" t="inlineStr">
        <is>
          <t>3 included slots; SLOT-01 withheld; 1 CA × 2 topics + 2 ON × 1 topic</t>
        </is>
      </c>
      <c r="G13" s="13" t="inlineStr">
        <is>
          <t>Illustrative projection—bounded</t>
        </is>
      </c>
      <c r="H13" s="13" t="inlineStr">
        <is>
          <t>S7; S8; S9</t>
        </is>
      </c>
      <c r="I13" s="15" t="n"/>
      <c r="J13" s="15" t="n"/>
    </row>
    <row r="14" ht="45" customHeight="1">
      <c r="A14" s="13" t="inlineStr">
        <is>
          <t>C-DELTA</t>
        </is>
      </c>
      <c r="B14" s="13" t="inlineStr">
        <is>
          <t>Difference caused by boundary treatment</t>
        </is>
      </c>
      <c r="C14" s="13">
        <f>C12-C13</f>
        <v/>
      </c>
      <c r="D14" s="13" t="inlineStr">
        <is>
          <t>entries withheld</t>
        </is>
      </c>
      <c r="E14" s="13" t="inlineStr">
        <is>
          <t>Periods shown in rows 6–9</t>
        </is>
      </c>
      <c r="F14" s="13" t="inlineStr">
        <is>
          <t>SLOT-01 only; 1 California slot × 2 topics</t>
        </is>
      </c>
      <c r="G14" s="13" t="inlineStr">
        <is>
          <t>Illustrative projection—boundary effect</t>
        </is>
      </c>
      <c r="H14" s="13" t="inlineStr">
        <is>
          <t>S8; S9</t>
        </is>
      </c>
      <c r="I14" s="15" t="n"/>
      <c r="J14" s="15" t="n"/>
    </row>
    <row r="16" ht="44" customHeight="1">
      <c r="A16" s="17" t="inlineStr">
        <is>
          <t>Edge-case treatment</t>
        </is>
      </c>
      <c r="B16" s="18" t="inlineStr">
        <is>
          <t>Comparable 4-slot display conflicts with unsupported applicability for SLOT-01, whose illustrative period straddles the 2026 California commencement year. Selected published boundary: withhold SLOT-01 from included entries; retain Scenario A only as conditional illustration. Effect: 6 conditional entries → 4 included entries; comparable slots 4 → 3.</t>
        </is>
      </c>
    </row>
  </sheetData>
  <mergeCells count="4">
    <mergeCell ref="B16:J16"/>
    <mergeCell ref="A1:J1"/>
    <mergeCell ref="A3:J3"/>
    <mergeCell ref="A2:J2"/>
  </mergeCells>
  <pageMargins left="0.75" right="0.75" top="1" bottom="1" header="0.5" footer="0.5"/>
  <headerFooter>
    <oddHeader/>
    <oddFooter>&amp;CIllustrative calculation | no source pack inspected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2026-08-17T07:51:29Z</dcterms:created>
  <dcterms:modified xmlns:dcterms="http://purl.org/dc/terms/" xmlns:xsi="http://www.w3.org/2001/XMLSchema-instance" xsi:type="dcterms:W3CDTF">2026-08-17T07:51:29Z</dcterms:modified>
</cp:coreProperties>
</file>