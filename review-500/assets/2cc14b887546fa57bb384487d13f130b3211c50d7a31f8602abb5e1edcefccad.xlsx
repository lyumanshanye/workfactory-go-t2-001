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tudies" sheetId="1" state="visible" r:id="rId1"/>
  </sheets>
  <definedNames>
    <definedName name="_xlnm.Print_Titles" localSheetId="0">'Time Studies'!$5:$5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i val="1"/>
      <color rgb="005B6573"/>
      <sz val="9"/>
    </font>
    <font>
      <b val="1"/>
      <color rgb="001F4E78"/>
    </font>
    <font>
      <color rgb="005B6573"/>
    </font>
    <font>
      <name val="Aptos"/>
      <b val="1"/>
      <color rgb="00FFFFFF"/>
      <sz val="9"/>
    </font>
    <font>
      <name val="Aptos"/>
      <color rgb="001F2937"/>
      <sz val="9"/>
    </font>
    <font>
      <b val="1"/>
      <color rgb="005B6573"/>
      <sz val="9"/>
    </font>
    <font>
      <color rgb="001F2937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2" fontId="8" fillId="0" borderId="1" pivotButton="0" quotePrefix="0" xfId="0"/>
    <xf numFmtId="0" fontId="6" fillId="0" borderId="1" applyAlignment="1" pivotButton="0" quotePrefix="0" xfId="0">
      <alignment vertical="center" wrapText="1"/>
    </xf>
    <xf numFmtId="2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InternalStudy" displayName="tblInternalStudy" ref="A5:H15" headerRowCount="1">
  <autoFilter ref="A5:H15"/>
  <tableColumns count="8">
    <tableColumn id="1" name="Record ID"/>
    <tableColumn id="2" name="Timestamp"/>
    <tableColumn id="3" name="Phase"/>
    <tableColumn id="4" name="Index Time (s)"/>
    <tableColumn id="5" name="Peak Duration (ms)"/>
    <tableColumn id="6" name="Measured Clearance (mm)"/>
    <tableColumn id="7" name="Dimensional Deviation (mm)"/>
    <tableColumn id="8" name="Operator 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5" customWidth="1" min="4" max="4"/>
    <col width="18" customWidth="1" min="5" max="5"/>
    <col width="23" customWidth="1" min="6" max="6"/>
    <col width="25" customWidth="1" min="7" max="7"/>
    <col width="24" customWidth="1" min="8" max="8"/>
    <col width="20" customWidth="1" min="10" max="10"/>
    <col width="14" customWidth="1" min="11" max="11"/>
  </cols>
  <sheetData>
    <row r="1" ht="26" customHeight="1">
      <c r="A1" s="1" t="inlineStr">
        <is>
          <t>Lampwick Instruments - Internal time studies</t>
        </is>
      </c>
    </row>
    <row r="2">
      <c r="A2" s="2" t="inlineStr">
        <is>
          <t>Cell: Latchford retrofit | Study cut 29 October 2025 | row-level record extract</t>
        </is>
      </c>
    </row>
    <row r="4">
      <c r="A4" s="3" t="inlineStr">
        <is>
          <t>Record grain</t>
        </is>
      </c>
      <c r="B4" s="4" t="inlineStr">
        <is>
          <t>One row per observed index or dimensional reading; blank clearance means no reading was captured.</t>
        </is>
      </c>
      <c r="J4" s="3" t="inlineStr">
        <is>
          <t>Study summary</t>
        </is>
      </c>
    </row>
    <row r="5">
      <c r="A5" s="5" t="inlineStr">
        <is>
          <t>Record ID</t>
        </is>
      </c>
      <c r="B5" s="5" t="inlineStr">
        <is>
          <t>Timestamp</t>
        </is>
      </c>
      <c r="C5" s="5" t="inlineStr">
        <is>
          <t>Phase</t>
        </is>
      </c>
      <c r="D5" s="5" t="inlineStr">
        <is>
          <t>Index Time (s)</t>
        </is>
      </c>
      <c r="E5" s="5" t="inlineStr">
        <is>
          <t>Peak Duration (ms)</t>
        </is>
      </c>
      <c r="F5" s="5" t="inlineStr">
        <is>
          <t>Measured Clearance (mm)</t>
        </is>
      </c>
      <c r="G5" s="5" t="inlineStr">
        <is>
          <t>Dimensional Deviation (mm)</t>
        </is>
      </c>
      <c r="H5" s="5" t="inlineStr">
        <is>
          <t>Operator Note</t>
        </is>
      </c>
      <c r="J5" s="6" t="inlineStr">
        <is>
          <t>Steady count</t>
        </is>
      </c>
      <c r="K5" s="7">
        <f>COUNTIF(C6:C15,"STEADY")</f>
        <v/>
      </c>
    </row>
    <row r="6">
      <c r="A6" s="8" t="inlineStr">
        <is>
          <t>ITS-001</t>
        </is>
      </c>
      <c r="B6" s="8" t="inlineStr">
        <is>
          <t>2025-10-29 08:14:02</t>
        </is>
      </c>
      <c r="C6" s="8" t="inlineStr">
        <is>
          <t>STEADY</t>
        </is>
      </c>
      <c r="D6" s="9" t="n">
        <v>1.08</v>
      </c>
      <c r="E6" s="9" t="n"/>
      <c r="F6" s="9" t="n">
        <v>7.35</v>
      </c>
      <c r="G6" s="9" t="n">
        <v>0.06</v>
      </c>
      <c r="H6" s="8" t="inlineStr">
        <is>
          <t>steady run</t>
        </is>
      </c>
      <c r="J6" s="6" t="inlineStr">
        <is>
          <t>Steady mean (s)</t>
        </is>
      </c>
      <c r="K6" s="7">
        <f>AVERAGEIF(C6:C15,"STEADY",D6:D15)</f>
        <v/>
      </c>
    </row>
    <row r="7">
      <c r="A7" s="8" t="inlineStr">
        <is>
          <t>ITS-002</t>
        </is>
      </c>
      <c r="B7" s="8" t="inlineStr">
        <is>
          <t>2025-10-29 08:14:12</t>
        </is>
      </c>
      <c r="C7" s="8" t="inlineStr">
        <is>
          <t>STEADY</t>
        </is>
      </c>
      <c r="D7" s="9" t="n">
        <v>1.1</v>
      </c>
      <c r="E7" s="9" t="n"/>
      <c r="F7" s="9" t="n">
        <v>7.3</v>
      </c>
      <c r="G7" s="9" t="n">
        <v>-0.04</v>
      </c>
      <c r="H7" s="8" t="inlineStr">
        <is>
          <t>steady run</t>
        </is>
      </c>
      <c r="J7" s="6" t="inlineStr">
        <is>
          <t>Steady maximum (s)</t>
        </is>
      </c>
      <c r="K7" s="7">
        <f>MAXIFS(D6:D15,C6:C15,"STEADY")</f>
        <v/>
      </c>
    </row>
    <row r="8">
      <c r="A8" s="8" t="inlineStr">
        <is>
          <t>ITS-003</t>
        </is>
      </c>
      <c r="B8" s="8" t="inlineStr">
        <is>
          <t>2025-10-29 08:14:22</t>
        </is>
      </c>
      <c r="C8" s="8" t="inlineStr">
        <is>
          <t>STEADY</t>
        </is>
      </c>
      <c r="D8" s="9" t="n">
        <v>1.12</v>
      </c>
      <c r="E8" s="9" t="n"/>
      <c r="F8" s="9" t="n">
        <v>7.25</v>
      </c>
      <c r="G8" s="9" t="n">
        <v>0.08</v>
      </c>
      <c r="H8" s="8" t="inlineStr">
        <is>
          <t>steady run</t>
        </is>
      </c>
      <c r="J8" s="6" t="inlineStr">
        <is>
          <t>Peak records</t>
        </is>
      </c>
      <c r="K8" s="7">
        <f>COUNTIF(C6:C15,"INDEX PEAK")</f>
        <v/>
      </c>
    </row>
    <row r="9">
      <c r="A9" s="8" t="inlineStr">
        <is>
          <t>ITS-004</t>
        </is>
      </c>
      <c r="B9" s="8" t="inlineStr">
        <is>
          <t>2025-10-29 08:14:32</t>
        </is>
      </c>
      <c r="C9" s="8" t="inlineStr">
        <is>
          <t>STEADY</t>
        </is>
      </c>
      <c r="D9" s="9" t="n">
        <v>1.09</v>
      </c>
      <c r="E9" s="9" t="n"/>
      <c r="F9" s="9" t="n">
        <v>7.28</v>
      </c>
      <c r="G9" s="9" t="n">
        <v>-0.02</v>
      </c>
      <c r="H9" s="8" t="inlineStr">
        <is>
          <t>steady run</t>
        </is>
      </c>
    </row>
    <row r="10">
      <c r="A10" s="8" t="inlineStr">
        <is>
          <t>ITS-005</t>
        </is>
      </c>
      <c r="B10" s="8" t="inlineStr">
        <is>
          <t>2025-10-29 08:14:42</t>
        </is>
      </c>
      <c r="C10" s="8" t="inlineStr">
        <is>
          <t>STEADY</t>
        </is>
      </c>
      <c r="D10" s="9" t="n">
        <v>1.11</v>
      </c>
      <c r="E10" s="9" t="n"/>
      <c r="F10" s="9" t="n">
        <v>7.22</v>
      </c>
      <c r="G10" s="9" t="n">
        <v>0.11</v>
      </c>
      <c r="H10" s="8" t="inlineStr">
        <is>
          <t>steady run</t>
        </is>
      </c>
    </row>
    <row r="11">
      <c r="A11" s="8" t="inlineStr">
        <is>
          <t>ITS-006</t>
        </is>
      </c>
      <c r="B11" s="8" t="inlineStr">
        <is>
          <t>2025-10-29 08:14:52</t>
        </is>
      </c>
      <c r="C11" s="8" t="inlineStr">
        <is>
          <t>SETUP</t>
        </is>
      </c>
      <c r="D11" s="9" t="n">
        <v>1.3</v>
      </c>
      <c r="E11" s="9" t="n"/>
      <c r="F11" s="9" t="n">
        <v>7.2</v>
      </c>
      <c r="G11" s="9" t="n">
        <v>0.16</v>
      </c>
      <c r="H11" s="8" t="inlineStr">
        <is>
          <t>fixture settling</t>
        </is>
      </c>
    </row>
    <row r="12">
      <c r="A12" s="8" t="inlineStr">
        <is>
          <t>ITS-007</t>
        </is>
      </c>
      <c r="B12" s="8" t="inlineStr">
        <is>
          <t>2025-10-29 08:15:02</t>
        </is>
      </c>
      <c r="C12" s="8" t="inlineStr">
        <is>
          <t>INDEX PEAK</t>
        </is>
      </c>
      <c r="D12" s="9" t="n">
        <v>1.38</v>
      </c>
      <c r="E12" s="9" t="n">
        <v>120</v>
      </c>
      <c r="F12" s="9" t="n">
        <v>7.18</v>
      </c>
      <c r="G12" s="9" t="n">
        <v>0.14</v>
      </c>
      <c r="H12" s="8" t="inlineStr">
        <is>
          <t>brief index excursion</t>
        </is>
      </c>
    </row>
    <row r="13">
      <c r="A13" s="8" t="inlineStr">
        <is>
          <t>ITS-008</t>
        </is>
      </c>
      <c r="B13" s="8" t="inlineStr">
        <is>
          <t>2025-10-29 08:15:12</t>
        </is>
      </c>
      <c r="C13" s="8" t="inlineStr">
        <is>
          <t>STEADY</t>
        </is>
      </c>
      <c r="D13" s="9" t="n">
        <v>1.1</v>
      </c>
      <c r="E13" s="9" t="n"/>
      <c r="F13" s="9" t="n"/>
      <c r="G13" s="9" t="n"/>
      <c r="H13" s="8" t="inlineStr">
        <is>
          <t>clearance not observed</t>
        </is>
      </c>
    </row>
    <row r="14">
      <c r="A14" s="8" t="inlineStr">
        <is>
          <t>ITS-009</t>
        </is>
      </c>
      <c r="B14" s="8" t="inlineStr">
        <is>
          <t>2025-10-29 08:15:22</t>
        </is>
      </c>
      <c r="C14" s="8" t="inlineStr">
        <is>
          <t>STEADY</t>
        </is>
      </c>
      <c r="D14" s="9" t="n">
        <v>1.13</v>
      </c>
      <c r="E14" s="9" t="n"/>
      <c r="F14" s="9" t="n">
        <v>7.24</v>
      </c>
      <c r="G14" s="9" t="n">
        <v>0.07000000000000001</v>
      </c>
      <c r="H14" s="8" t="inlineStr">
        <is>
          <t>steady run</t>
        </is>
      </c>
    </row>
    <row r="15">
      <c r="A15" s="8" t="inlineStr">
        <is>
          <t>ITS-010</t>
        </is>
      </c>
      <c r="B15" s="8" t="inlineStr">
        <is>
          <t>2025-10-29 08:15:32</t>
        </is>
      </c>
      <c r="C15" s="8" t="inlineStr">
        <is>
          <t>INDEX PEAK</t>
        </is>
      </c>
      <c r="D15" s="9" t="n">
        <v>1.42</v>
      </c>
      <c r="E15" s="9" t="n">
        <v>90</v>
      </c>
      <c r="F15" s="9" t="n">
        <v>7.16</v>
      </c>
      <c r="G15" s="9" t="n">
        <v>0.15</v>
      </c>
      <c r="H15" s="8" t="inlineStr">
        <is>
          <t>brief index excursion</t>
        </is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2026-08-16T15:35:01Z</dcterms:created>
  <dcterms:modified xmlns:dcterms="http://purl.org/dc/terms/" xmlns:xsi="http://www.w3.org/2001/XMLSchema-instance" xsi:type="dcterms:W3CDTF">2026-08-16T15:35:01Z</dcterms:modified>
</cp:coreProperties>
</file>