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case state" sheetId="1" state="visible" r:id="rId1"/>
    <sheet xmlns:r="http://schemas.openxmlformats.org/officeDocument/2006/relationships" name="Subsequent events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Workpad" sheetId="4" state="visible" r:id="rId4"/>
  </sheets>
  <definedNames>
    <definedName name="_xlnm._FilterDatabase" localSheetId="0" hidden="1">'Opening case state'!$A$4:$K$12</definedName>
    <definedName name="_xlnm._FilterDatabase" localSheetId="1" hidden="1">'Subsequent events'!$A$4:$I$13</definedName>
    <definedName name="_xlnm._FilterDatabase" localSheetId="2" hidden="1">'Evidence register'!$A$4:$E$24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7365D"/>
      <sz val="14"/>
    </font>
    <font>
      <i val="1"/>
      <color rgb="00666666"/>
    </font>
    <font>
      <b val="1"/>
      <color rgb="00FFFFFF"/>
    </font>
    <font>
      <i val="1"/>
      <color rgb="00777777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peningCases" displayName="OpeningCases" ref="A4:K12" headerRowCount="1">
  <autoFilter ref="A4:K12"/>
  <tableColumns count="11">
    <tableColumn id="1" name="Source-visit key"/>
    <tableColumn id="2" name="Visit / txn ref"/>
    <tableColumn id="3" name="Visit date"/>
    <tableColumn id="4" name="jurisdiction"/>
    <tableColumn id="5" name="customer_name"/>
    <tableColumn id="6" name="Site"/>
    <tableColumn id="7" name="Curr"/>
    <tableColumn id="8" name="Opening discrepancy"/>
    <tableColumn id="9" name="Opening status"/>
    <tableColumn id="10" name="Evidence ID"/>
    <tableColumn id="11" name="Retired ref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seEvents" displayName="CaseEvents" ref="A4:I13" headerRowCount="1">
  <autoFilter ref="A4:I13"/>
  <tableColumns count="9">
    <tableColumn id="1" name="Event ID"/>
    <tableColumn id="2" name="Source-visit key"/>
    <tableColumn id="3" name="Event date"/>
    <tableColumn id="4" name="Sequence"/>
    <tableColumn id="5" name="Event type"/>
    <tableColumn id="6" name="Amount change"/>
    <tableColumn id="7" name="New status"/>
    <tableColumn id="8" name="Evidence ID"/>
    <tableColumn id="9" name="Event detai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videnceRegister" displayName="EvidenceRegister" ref="A4:E24" headerRowCount="1">
  <autoFilter ref="A4:E24"/>
  <tableColumns count="5">
    <tableColumn id="1" name="Evidence ID"/>
    <tableColumn id="2" name="Material type"/>
    <tableColumn id="3" name="Record date"/>
    <tableColumn id="4" name="Description / extract"/>
    <tableColumn id="5" name="Source-visit ke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21" customWidth="1" min="4" max="4"/>
    <col width="23" customWidth="1" min="5" max="5"/>
    <col width="23" customWidth="1" min="6" max="6"/>
    <col width="8" customWidth="1" min="7" max="7"/>
    <col width="19" customWidth="1" min="8" max="8"/>
    <col width="19" customWidth="1" min="9" max="9"/>
    <col width="16" customWidth="1" min="10" max="10"/>
    <col width="13" customWidth="1" min="11" max="11"/>
  </cols>
  <sheetData>
    <row r="1">
      <c r="A1" s="1" t="inlineStr">
        <is>
          <t>Fernhollow Terminals | case export</t>
        </is>
      </c>
    </row>
    <row r="2">
      <c r="A2" s="2" t="inlineStr">
        <is>
          <t>Elmsworth Cooperative  •  export run 11 May 2026 08:40 UTC</t>
        </is>
      </c>
    </row>
    <row r="4">
      <c r="A4" s="3" t="inlineStr">
        <is>
          <t>Source-visit key</t>
        </is>
      </c>
      <c r="B4" s="3" t="inlineStr">
        <is>
          <t>Visit / txn ref</t>
        </is>
      </c>
      <c r="C4" s="3" t="inlineStr">
        <is>
          <t>Visit date</t>
        </is>
      </c>
      <c r="D4" s="3" t="inlineStr">
        <is>
          <t>jurisdiction</t>
        </is>
      </c>
      <c r="E4" s="3" t="inlineStr">
        <is>
          <t>customer_name</t>
        </is>
      </c>
      <c r="F4" s="3" t="inlineStr">
        <is>
          <t>Site</t>
        </is>
      </c>
      <c r="G4" s="3" t="inlineStr">
        <is>
          <t>Curr</t>
        </is>
      </c>
      <c r="H4" s="3" t="inlineStr">
        <is>
          <t>Opening discrepancy</t>
        </is>
      </c>
      <c r="I4" s="3" t="inlineStr">
        <is>
          <t>Opening status</t>
        </is>
      </c>
      <c r="J4" s="3" t="inlineStr">
        <is>
          <t>Evidence ID</t>
        </is>
      </c>
      <c r="K4" s="3" t="inlineStr">
        <is>
          <t>Retired ref</t>
        </is>
      </c>
    </row>
    <row r="5">
      <c r="A5" t="inlineStr">
        <is>
          <t>SVK-2401</t>
        </is>
      </c>
      <c r="B5" t="inlineStr">
        <is>
          <t>FT-88431</t>
        </is>
      </c>
      <c r="C5" t="inlineStr">
        <is>
          <t>04/14/2026</t>
        </is>
      </c>
      <c r="D5" t="inlineStr">
        <is>
          <t>Narthaven Republic</t>
        </is>
      </c>
      <c r="E5" t="inlineStr">
        <is>
          <t>Elmsworth Cooperative</t>
        </is>
      </c>
      <c r="F5" t="inlineStr">
        <is>
          <t>Port Fern retail kiosk</t>
        </is>
      </c>
      <c r="G5" t="inlineStr">
        <is>
          <t>USD</t>
        </is>
      </c>
      <c r="H5" s="4" t="n">
        <v>1480</v>
      </c>
      <c r="I5" t="inlineStr">
        <is>
          <t>Under review</t>
        </is>
      </c>
      <c r="J5" t="inlineStr">
        <is>
          <t>EVD-TX-01</t>
        </is>
      </c>
      <c r="K5" t="inlineStr">
        <is>
          <t>M-17</t>
        </is>
      </c>
    </row>
    <row r="6">
      <c r="A6" t="inlineStr">
        <is>
          <t>SVK-2402</t>
        </is>
      </c>
      <c r="B6" t="inlineStr">
        <is>
          <t>FT-88444</t>
        </is>
      </c>
      <c r="C6" t="inlineStr">
        <is>
          <t>04/16/2026</t>
        </is>
      </c>
      <c r="D6" t="inlineStr">
        <is>
          <t>Narthaven Republic</t>
        </is>
      </c>
      <c r="E6" t="inlineStr">
        <is>
          <t>Elmsworth Cooperative</t>
        </is>
      </c>
      <c r="F6" t="inlineStr">
        <is>
          <t>Port Fern retail kiosk</t>
        </is>
      </c>
      <c r="G6" t="inlineStr">
        <is>
          <t>USD</t>
        </is>
      </c>
      <c r="H6" s="4" t="n">
        <v>930</v>
      </c>
      <c r="I6" t="inlineStr">
        <is>
          <t>Open</t>
        </is>
      </c>
      <c r="J6" t="inlineStr">
        <is>
          <t>EVD-TX-02</t>
        </is>
      </c>
      <c r="K6" t="inlineStr">
        <is>
          <t>M-22</t>
        </is>
      </c>
    </row>
    <row r="7">
      <c r="A7" t="inlineStr">
        <is>
          <t>SVK-2403</t>
        </is>
      </c>
      <c r="B7" t="inlineStr">
        <is>
          <t>FT-88452</t>
        </is>
      </c>
      <c r="C7" t="inlineStr">
        <is>
          <t>04/18/2026</t>
        </is>
      </c>
      <c r="D7" t="inlineStr">
        <is>
          <t>Narthaven Republic</t>
        </is>
      </c>
      <c r="E7" t="inlineStr">
        <is>
          <t>Elmsworth Cooperative</t>
        </is>
      </c>
      <c r="F7" t="inlineStr">
        <is>
          <t>Northridge terminal shop</t>
        </is>
      </c>
      <c r="G7" t="inlineStr">
        <is>
          <t>USD</t>
        </is>
      </c>
      <c r="H7" s="4" t="n">
        <v>810</v>
      </c>
      <c r="I7" t="inlineStr">
        <is>
          <t>Open</t>
        </is>
      </c>
      <c r="J7" t="inlineStr">
        <is>
          <t>EVD-TX-03</t>
        </is>
      </c>
      <c r="K7" t="inlineStr">
        <is>
          <t>M-18</t>
        </is>
      </c>
    </row>
    <row r="8">
      <c r="A8" t="inlineStr">
        <is>
          <t>SVK-2404</t>
        </is>
      </c>
      <c r="B8" t="inlineStr">
        <is>
          <t>FT-88469</t>
        </is>
      </c>
      <c r="C8" t="inlineStr">
        <is>
          <t>04/21/2026</t>
        </is>
      </c>
      <c r="D8" t="inlineStr">
        <is>
          <t>Eldermark Province</t>
        </is>
      </c>
      <c r="E8" t="inlineStr">
        <is>
          <t>Elmsworth Cooperative</t>
        </is>
      </c>
      <c r="F8" t="inlineStr">
        <is>
          <t>East Gate retail bay</t>
        </is>
      </c>
      <c r="G8" t="inlineStr">
        <is>
          <t>USD</t>
        </is>
      </c>
      <c r="H8" s="4" t="n">
        <v>1260</v>
      </c>
      <c r="I8" t="inlineStr">
        <is>
          <t>Under review</t>
        </is>
      </c>
      <c r="J8" t="inlineStr">
        <is>
          <t>EVD-TX-04</t>
        </is>
      </c>
      <c r="K8" t="inlineStr">
        <is>
          <t>M-31</t>
        </is>
      </c>
    </row>
    <row r="9">
      <c r="A9" t="inlineStr">
        <is>
          <t>SVK-2404</t>
        </is>
      </c>
      <c r="B9" t="inlineStr">
        <is>
          <t>FT-88469</t>
        </is>
      </c>
      <c r="C9" t="inlineStr">
        <is>
          <t>04/21/2026</t>
        </is>
      </c>
      <c r="D9" t="inlineStr">
        <is>
          <t>Eldermark Province</t>
        </is>
      </c>
      <c r="E9" t="inlineStr">
        <is>
          <t>Elmsworth Cooperative</t>
        </is>
      </c>
      <c r="F9" t="inlineStr">
        <is>
          <t>East Gate retail bay</t>
        </is>
      </c>
      <c r="G9" t="inlineStr">
        <is>
          <t>USD</t>
        </is>
      </c>
      <c r="H9" s="4" t="n">
        <v>1260</v>
      </c>
      <c r="I9" t="inlineStr">
        <is>
          <t>Under review</t>
        </is>
      </c>
      <c r="J9" t="inlineStr">
        <is>
          <t>EVD-TX-05</t>
        </is>
      </c>
      <c r="K9" t="inlineStr">
        <is>
          <t>M-09</t>
        </is>
      </c>
    </row>
    <row r="10">
      <c r="A10" t="inlineStr">
        <is>
          <t>SVK-2405</t>
        </is>
      </c>
      <c r="B10" t="inlineStr">
        <is>
          <t>FT-88473</t>
        </is>
      </c>
      <c r="C10" t="inlineStr">
        <is>
          <t>04/22/2026</t>
        </is>
      </c>
      <c r="D10" t="inlineStr">
        <is>
          <t>Eldermark Province</t>
        </is>
      </c>
      <c r="E10" t="inlineStr">
        <is>
          <t>Elmsworth Cooperative</t>
        </is>
      </c>
      <c r="F10" t="inlineStr">
        <is>
          <t>East Gate retail bay</t>
        </is>
      </c>
      <c r="G10" t="inlineStr">
        <is>
          <t>USD</t>
        </is>
      </c>
      <c r="H10" s="4" t="n">
        <v>640</v>
      </c>
      <c r="I10" t="inlineStr">
        <is>
          <t>Open</t>
        </is>
      </c>
      <c r="J10" t="inlineStr">
        <is>
          <t>EVD-TX-06</t>
        </is>
      </c>
      <c r="K10" t="inlineStr">
        <is>
          <t>M-33</t>
        </is>
      </c>
    </row>
    <row r="11">
      <c r="A11" t="inlineStr">
        <is>
          <t>SVK-2406</t>
        </is>
      </c>
      <c r="B11" t="inlineStr">
        <is>
          <t>FT-88488</t>
        </is>
      </c>
      <c r="C11" t="inlineStr">
        <is>
          <t>04/25/2026</t>
        </is>
      </c>
      <c r="D11" t="inlineStr">
        <is>
          <t>Eldermark Province</t>
        </is>
      </c>
      <c r="E11" t="inlineStr">
        <is>
          <t>Elmsworth Cooperative</t>
        </is>
      </c>
      <c r="F11" t="inlineStr">
        <is>
          <t>Riverline concessions</t>
        </is>
      </c>
      <c r="G11" t="inlineStr">
        <is>
          <t>USD</t>
        </is>
      </c>
      <c r="H11" s="4" t="n">
        <v>1050</v>
      </c>
      <c r="I11" t="inlineStr">
        <is>
          <t>Under review</t>
        </is>
      </c>
      <c r="J11" t="inlineStr">
        <is>
          <t>EVD-TX-07</t>
        </is>
      </c>
      <c r="K11" t="inlineStr">
        <is>
          <t>M-28</t>
        </is>
      </c>
    </row>
    <row r="12">
      <c r="A12" t="inlineStr">
        <is>
          <t>SVK-2407</t>
        </is>
      </c>
      <c r="B12" t="inlineStr">
        <is>
          <t>FT-88501</t>
        </is>
      </c>
      <c r="C12" t="inlineStr">
        <is>
          <t>04/28/2026</t>
        </is>
      </c>
      <c r="D12" t="inlineStr">
        <is>
          <t>Eldermark Province</t>
        </is>
      </c>
      <c r="E12" t="inlineStr">
        <is>
          <t>Elmsworth Cooperative</t>
        </is>
      </c>
      <c r="F12" t="inlineStr">
        <is>
          <t>Riverline concessions</t>
        </is>
      </c>
      <c r="G12" t="inlineStr">
        <is>
          <t>USD</t>
        </is>
      </c>
      <c r="H12" s="4" t="n">
        <v>480</v>
      </c>
      <c r="I12" t="inlineStr">
        <is>
          <t>Open</t>
        </is>
      </c>
      <c r="J12" t="inlineStr">
        <is>
          <t>EVD-TX-08</t>
        </is>
      </c>
      <c r="K12" t="inlineStr">
        <is>
          <t>M-36</t>
        </is>
      </c>
    </row>
    <row r="15">
      <c r="A15" s="5" t="inlineStr">
        <is>
          <t>Import batch: FH-Retail-0511</t>
        </is>
      </c>
    </row>
  </sheetData>
  <autoFilter ref="A4:K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0" customWidth="1" min="4" max="4"/>
    <col width="19" customWidth="1" min="5" max="5"/>
    <col width="16" customWidth="1" min="6" max="6"/>
    <col width="20" customWidth="1" min="7" max="7"/>
    <col width="16" customWidth="1" min="8" max="8"/>
    <col width="44" customWidth="1" min="9" max="9"/>
  </cols>
  <sheetData>
    <row r="1">
      <c r="A1" s="1" t="inlineStr">
        <is>
          <t>Case events after opening export</t>
        </is>
      </c>
    </row>
    <row r="2">
      <c r="A2" s="2" t="inlineStr">
        <is>
          <t>Event order is shown in the sequence column.</t>
        </is>
      </c>
    </row>
    <row r="4">
      <c r="A4" s="3" t="inlineStr">
        <is>
          <t>Event ID</t>
        </is>
      </c>
      <c r="B4" s="3" t="inlineStr">
        <is>
          <t>Source-visit key</t>
        </is>
      </c>
      <c r="C4" s="3" t="inlineStr">
        <is>
          <t>Event date</t>
        </is>
      </c>
      <c r="D4" s="3" t="inlineStr">
        <is>
          <t>Sequence</t>
        </is>
      </c>
      <c r="E4" s="3" t="inlineStr">
        <is>
          <t>Event type</t>
        </is>
      </c>
      <c r="F4" s="3" t="inlineStr">
        <is>
          <t>Amount change</t>
        </is>
      </c>
      <c r="G4" s="3" t="inlineStr">
        <is>
          <t>New status</t>
        </is>
      </c>
      <c r="H4" s="3" t="inlineStr">
        <is>
          <t>Evidence ID</t>
        </is>
      </c>
      <c r="I4" s="3" t="inlineStr">
        <is>
          <t>Event detail</t>
        </is>
      </c>
    </row>
    <row r="5">
      <c r="A5" t="inlineStr">
        <is>
          <t>EV-301</t>
        </is>
      </c>
      <c r="B5" t="inlineStr">
        <is>
          <t>SVK-2401</t>
        </is>
      </c>
      <c r="C5" t="inlineStr">
        <is>
          <t>05/01/2026</t>
        </is>
      </c>
      <c r="D5" t="n">
        <v>1</v>
      </c>
      <c r="E5" t="inlineStr">
        <is>
          <t>Amount adjustment</t>
        </is>
      </c>
      <c r="F5" s="4" t="n">
        <v>120</v>
      </c>
      <c r="G5" t="inlineStr"/>
      <c r="H5" t="inlineStr">
        <is>
          <t>EVD-TX-09</t>
        </is>
      </c>
      <c r="I5" t="inlineStr">
        <is>
          <t>Supplier short-count revision received</t>
        </is>
      </c>
    </row>
    <row r="6">
      <c r="A6" t="inlineStr">
        <is>
          <t>EV-302</t>
        </is>
      </c>
      <c r="B6" t="inlineStr">
        <is>
          <t>SVK-2402</t>
        </is>
      </c>
      <c r="C6" t="inlineStr">
        <is>
          <t>05/02/2026</t>
        </is>
      </c>
      <c r="D6" t="n">
        <v>1</v>
      </c>
      <c r="E6" t="inlineStr">
        <is>
          <t>Amount adjustment</t>
        </is>
      </c>
      <c r="F6" s="4" t="n">
        <v>-930</v>
      </c>
      <c r="G6" t="inlineStr"/>
      <c r="H6" t="inlineStr">
        <is>
          <t>EVD-TX-10</t>
        </is>
      </c>
      <c r="I6" t="inlineStr">
        <is>
          <t>Card-settlement variance reversed</t>
        </is>
      </c>
    </row>
    <row r="7">
      <c r="A7" t="inlineStr">
        <is>
          <t>EV-303</t>
        </is>
      </c>
      <c r="B7" t="inlineStr">
        <is>
          <t>SVK-2402</t>
        </is>
      </c>
      <c r="C7" t="inlineStr">
        <is>
          <t>05/03/2026</t>
        </is>
      </c>
      <c r="D7" t="n">
        <v>2</v>
      </c>
      <c r="E7" t="inlineStr">
        <is>
          <t>Status update</t>
        </is>
      </c>
      <c r="F7" s="4" t="inlineStr"/>
      <c r="G7" t="inlineStr">
        <is>
          <t>Closed - resolved</t>
        </is>
      </c>
      <c r="H7" t="inlineStr">
        <is>
          <t>EVD-MSG-02</t>
        </is>
      </c>
      <c r="I7" t="inlineStr">
        <is>
          <t>Store manager confirms settlement correction</t>
        </is>
      </c>
    </row>
    <row r="8">
      <c r="A8" t="inlineStr">
        <is>
          <t>EV-304</t>
        </is>
      </c>
      <c r="B8" t="inlineStr">
        <is>
          <t>SVK-2403</t>
        </is>
      </c>
      <c r="C8" t="inlineStr">
        <is>
          <t>05/04/2026</t>
        </is>
      </c>
      <c r="D8" t="n">
        <v>1</v>
      </c>
      <c r="E8" t="inlineStr">
        <is>
          <t>Status update</t>
        </is>
      </c>
      <c r="F8" s="4" t="inlineStr"/>
      <c r="G8" t="inlineStr">
        <is>
          <t>Escalated</t>
        </is>
      </c>
      <c r="H8" t="inlineStr">
        <is>
          <t>EVD-INT-01</t>
        </is>
      </c>
      <c r="I8" t="inlineStr">
        <is>
          <t>Interview note placed in case file</t>
        </is>
      </c>
    </row>
    <row r="9">
      <c r="A9" t="inlineStr">
        <is>
          <t>EV-305</t>
        </is>
      </c>
      <c r="B9" t="inlineStr">
        <is>
          <t>SVK-2404</t>
        </is>
      </c>
      <c r="C9" t="inlineStr">
        <is>
          <t>05/05/2026</t>
        </is>
      </c>
      <c r="D9" t="n">
        <v>1</v>
      </c>
      <c r="E9" t="inlineStr">
        <is>
          <t>Amount adjustment</t>
        </is>
      </c>
      <c r="F9" s="4" t="n">
        <v>-50</v>
      </c>
      <c r="G9" t="inlineStr"/>
      <c r="H9" t="inlineStr">
        <is>
          <t>EVD-TX-11</t>
        </is>
      </c>
      <c r="I9" t="inlineStr">
        <is>
          <t>Corrected tax treatment on till exception</t>
        </is>
      </c>
    </row>
    <row r="10">
      <c r="A10" t="inlineStr">
        <is>
          <t>EV-306</t>
        </is>
      </c>
      <c r="B10" t="inlineStr">
        <is>
          <t>SVK-2405</t>
        </is>
      </c>
      <c r="C10" t="inlineStr">
        <is>
          <t>05/06/2026</t>
        </is>
      </c>
      <c r="D10" t="n">
        <v>1</v>
      </c>
      <c r="E10" t="inlineStr">
        <is>
          <t>Amount adjustment</t>
        </is>
      </c>
      <c r="F10" s="4" t="n">
        <v>-640</v>
      </c>
      <c r="G10" t="inlineStr"/>
      <c r="H10" t="inlineStr">
        <is>
          <t>EVD-TX-12</t>
        </is>
      </c>
      <c r="I10" t="inlineStr">
        <is>
          <t>Void matched to original retail entry</t>
        </is>
      </c>
    </row>
    <row r="11">
      <c r="A11" t="inlineStr">
        <is>
          <t>EV-307</t>
        </is>
      </c>
      <c r="B11" t="inlineStr">
        <is>
          <t>SVK-2405</t>
        </is>
      </c>
      <c r="C11" t="inlineStr">
        <is>
          <t>05/07/2026</t>
        </is>
      </c>
      <c r="D11" t="n">
        <v>2</v>
      </c>
      <c r="E11" t="inlineStr">
        <is>
          <t>Status update</t>
        </is>
      </c>
      <c r="F11" s="4" t="inlineStr"/>
      <c r="G11" t="inlineStr">
        <is>
          <t>Withdrawn</t>
        </is>
      </c>
      <c r="H11" t="inlineStr">
        <is>
          <t>EVD-MSG-04</t>
        </is>
      </c>
      <c r="I11" t="inlineStr">
        <is>
          <t>Cooperative reports duplicate submission withdrawn</t>
        </is>
      </c>
    </row>
    <row r="12">
      <c r="A12" t="inlineStr">
        <is>
          <t>EV-308</t>
        </is>
      </c>
      <c r="B12" t="inlineStr">
        <is>
          <t>SVK-2406</t>
        </is>
      </c>
      <c r="C12" t="inlineStr">
        <is>
          <t>05/08/2026</t>
        </is>
      </c>
      <c r="D12" t="n">
        <v>1</v>
      </c>
      <c r="E12" t="inlineStr">
        <is>
          <t>Amount adjustment</t>
        </is>
      </c>
      <c r="F12" s="4" t="n">
        <v>360</v>
      </c>
      <c r="G12" t="inlineStr"/>
      <c r="H12" t="inlineStr">
        <is>
          <t>EVD-TX-13</t>
        </is>
      </c>
      <c r="I12" t="inlineStr">
        <is>
          <t>Late delivery reconciliation adds line item</t>
        </is>
      </c>
    </row>
    <row r="13">
      <c r="A13" t="inlineStr">
        <is>
          <t>EV-309</t>
        </is>
      </c>
      <c r="B13" t="inlineStr">
        <is>
          <t>SVK-2406</t>
        </is>
      </c>
      <c r="C13" t="inlineStr">
        <is>
          <t>05/09/2026</t>
        </is>
      </c>
      <c r="D13" t="n">
        <v>2</v>
      </c>
      <c r="E13" t="inlineStr">
        <is>
          <t>Status update</t>
        </is>
      </c>
      <c r="F13" s="4" t="inlineStr"/>
      <c r="G13" t="inlineStr">
        <is>
          <t>Under review</t>
        </is>
      </c>
      <c r="H13" t="inlineStr">
        <is>
          <t>EVD-INT-02</t>
        </is>
      </c>
      <c r="I13" t="inlineStr">
        <is>
          <t>Interview note retained</t>
        </is>
      </c>
    </row>
  </sheetData>
  <autoFilter ref="A4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94" customWidth="1" min="4" max="4"/>
    <col width="17" customWidth="1" min="5" max="5"/>
  </cols>
  <sheetData>
    <row r="1">
      <c r="A1" s="1" t="inlineStr">
        <is>
          <t>Linked material received with case export</t>
        </is>
      </c>
    </row>
    <row r="2">
      <c r="A2" s="2" t="inlineStr">
        <is>
          <t>Record descriptions retained from source packets.</t>
        </is>
      </c>
    </row>
    <row r="4">
      <c r="A4" s="3" t="inlineStr">
        <is>
          <t>Evidence ID</t>
        </is>
      </c>
      <c r="B4" s="3" t="inlineStr">
        <is>
          <t>Material type</t>
        </is>
      </c>
      <c r="C4" s="3" t="inlineStr">
        <is>
          <t>Record date</t>
        </is>
      </c>
      <c r="D4" s="3" t="inlineStr">
        <is>
          <t>Description / extract</t>
        </is>
      </c>
      <c r="E4" s="3" t="inlineStr">
        <is>
          <t>Source-visit key</t>
        </is>
      </c>
    </row>
    <row r="5" ht="30" customHeight="1">
      <c r="A5" t="inlineStr">
        <is>
          <t>EVD-TX-01</t>
        </is>
      </c>
      <c r="B5" t="inlineStr">
        <is>
          <t>Transaction record</t>
        </is>
      </c>
      <c r="C5" t="inlineStr">
        <is>
          <t>04/14/2026</t>
        </is>
      </c>
      <c r="D5" s="6" t="inlineStr">
        <is>
          <t>Till close FT-88431, Port Fern retail kiosk: discrepancy recorded at USD 1,480.</t>
        </is>
      </c>
      <c r="E5" t="inlineStr">
        <is>
          <t>SVK-2401</t>
        </is>
      </c>
    </row>
    <row r="6" ht="30" customHeight="1">
      <c r="A6" t="inlineStr">
        <is>
          <t>EVD-MSG-01</t>
        </is>
      </c>
      <c r="B6" t="inlineStr">
        <is>
          <t>Message</t>
        </is>
      </c>
      <c r="C6" t="inlineStr">
        <is>
          <t>04/15/2026</t>
        </is>
      </c>
      <c r="D6" s="6" t="inlineStr">
        <is>
          <t>Message from L. Morven, Elmsworth operations: count was still being checked after the Port Fern close.</t>
        </is>
      </c>
      <c r="E6" t="inlineStr">
        <is>
          <t>SVK-2401</t>
        </is>
      </c>
    </row>
    <row r="7" ht="30" customHeight="1">
      <c r="A7" t="inlineStr">
        <is>
          <t>EVD-TX-02</t>
        </is>
      </c>
      <c r="B7" t="inlineStr">
        <is>
          <t>Transaction record</t>
        </is>
      </c>
      <c r="C7" t="inlineStr">
        <is>
          <t>04/16/2026</t>
        </is>
      </c>
      <c r="D7" s="6" t="inlineStr">
        <is>
          <t>Till close FT-88444, Port Fern retail kiosk: discrepancy recorded at USD 930.</t>
        </is>
      </c>
      <c r="E7" t="inlineStr">
        <is>
          <t>SVK-2402</t>
        </is>
      </c>
    </row>
    <row r="8" ht="30" customHeight="1">
      <c r="A8" t="inlineStr">
        <is>
          <t>EVD-TX-03</t>
        </is>
      </c>
      <c r="B8" t="inlineStr">
        <is>
          <t>Transaction record</t>
        </is>
      </c>
      <c r="C8" t="inlineStr">
        <is>
          <t>04/18/2026</t>
        </is>
      </c>
      <c r="D8" s="6" t="inlineStr">
        <is>
          <t>Till close FT-88452, Northridge terminal shop: discrepancy recorded at USD 810.</t>
        </is>
      </c>
      <c r="E8" t="inlineStr">
        <is>
          <t>SVK-2403</t>
        </is>
      </c>
    </row>
    <row r="9" ht="30" customHeight="1">
      <c r="A9" t="inlineStr">
        <is>
          <t>EVD-INT-01</t>
        </is>
      </c>
      <c r="B9" t="inlineStr">
        <is>
          <t>Interview note</t>
        </is>
      </c>
      <c r="C9" t="inlineStr">
        <is>
          <t>05/04/2026</t>
        </is>
      </c>
      <c r="D9" s="6" t="inlineStr">
        <is>
          <t>Interview note: A. Bell stated that the Northridge receipt packet had been sent for a second check.</t>
        </is>
      </c>
      <c r="E9" t="inlineStr">
        <is>
          <t>SVK-2403</t>
        </is>
      </c>
    </row>
    <row r="10" ht="30" customHeight="1">
      <c r="A10" t="inlineStr">
        <is>
          <t>EVD-TX-04</t>
        </is>
      </c>
      <c r="B10" t="inlineStr">
        <is>
          <t>Transaction record</t>
        </is>
      </c>
      <c r="C10" t="inlineStr">
        <is>
          <t>04/21/2026</t>
        </is>
      </c>
      <c r="D10" s="6" t="inlineStr">
        <is>
          <t>Till close FT-88469, East Gate retail bay: discrepancy recorded at USD 1,260.</t>
        </is>
      </c>
      <c r="E10" t="inlineStr">
        <is>
          <t>SVK-2404</t>
        </is>
      </c>
    </row>
    <row r="11" ht="30" customHeight="1">
      <c r="A11" t="inlineStr">
        <is>
          <t>EVD-TX-05</t>
        </is>
      </c>
      <c r="B11" t="inlineStr">
        <is>
          <t>Transaction record</t>
        </is>
      </c>
      <c r="C11" t="inlineStr">
        <is>
          <t>04/21/2026</t>
        </is>
      </c>
      <c r="D11" s="6" t="inlineStr">
        <is>
          <t>Settlement extract for FT-88469 carries the same visit reference and recorded discrepancy of USD 1,260.</t>
        </is>
      </c>
      <c r="E11" t="inlineStr">
        <is>
          <t>SVK-2404</t>
        </is>
      </c>
    </row>
    <row r="12" ht="30" customHeight="1">
      <c r="A12" t="inlineStr">
        <is>
          <t>EVD-MSG-03</t>
        </is>
      </c>
      <c r="B12" t="inlineStr">
        <is>
          <t>Message</t>
        </is>
      </c>
      <c r="C12" t="inlineStr">
        <is>
          <t>04/23/2026</t>
        </is>
      </c>
      <c r="D12" s="6" t="inlineStr">
        <is>
          <t>Message from K. Riss, Elmsworth finance: East Gate tax coding is being reviewed.</t>
        </is>
      </c>
      <c r="E12" t="inlineStr">
        <is>
          <t>SVK-2404</t>
        </is>
      </c>
    </row>
    <row r="13" ht="30" customHeight="1">
      <c r="A13" t="inlineStr">
        <is>
          <t>EVD-TX-06</t>
        </is>
      </c>
      <c r="B13" t="inlineStr">
        <is>
          <t>Transaction record</t>
        </is>
      </c>
      <c r="C13" t="inlineStr">
        <is>
          <t>04/22/2026</t>
        </is>
      </c>
      <c r="D13" s="6" t="inlineStr">
        <is>
          <t>Till close FT-88473, East Gate retail bay: discrepancy recorded at USD 640.</t>
        </is>
      </c>
      <c r="E13" t="inlineStr">
        <is>
          <t>SVK-2405</t>
        </is>
      </c>
    </row>
    <row r="14" ht="30" customHeight="1">
      <c r="A14" t="inlineStr">
        <is>
          <t>EVD-TX-07</t>
        </is>
      </c>
      <c r="B14" t="inlineStr">
        <is>
          <t>Transaction record</t>
        </is>
      </c>
      <c r="C14" t="inlineStr">
        <is>
          <t>04/25/2026</t>
        </is>
      </c>
      <c r="D14" s="6" t="inlineStr">
        <is>
          <t>Till close FT-88488, Riverline concessions: discrepancy recorded at USD 1,050.</t>
        </is>
      </c>
      <c r="E14" t="inlineStr">
        <is>
          <t>SVK-2406</t>
        </is>
      </c>
    </row>
    <row r="15" ht="30" customHeight="1">
      <c r="A15" t="inlineStr">
        <is>
          <t>EVD-INT-02</t>
        </is>
      </c>
      <c r="B15" t="inlineStr">
        <is>
          <t>Interview note</t>
        </is>
      </c>
      <c r="C15" t="inlineStr">
        <is>
          <t>05/09/2026</t>
        </is>
      </c>
      <c r="D15" s="6" t="inlineStr">
        <is>
          <t>Interview note: S. Paret described a late delivery line that was not in the first close packet.</t>
        </is>
      </c>
      <c r="E15" t="inlineStr">
        <is>
          <t>SVK-2406</t>
        </is>
      </c>
    </row>
    <row r="16" ht="30" customHeight="1">
      <c r="A16" t="inlineStr">
        <is>
          <t>EVD-TX-08</t>
        </is>
      </c>
      <c r="B16" t="inlineStr">
        <is>
          <t>Transaction record</t>
        </is>
      </c>
      <c r="C16" t="inlineStr">
        <is>
          <t>04/28/2026</t>
        </is>
      </c>
      <c r="D16" s="6" t="inlineStr">
        <is>
          <t>Till close FT-88501, Riverline concessions: discrepancy recorded at USD 480.</t>
        </is>
      </c>
      <c r="E16" t="inlineStr">
        <is>
          <t>SVK-2407</t>
        </is>
      </c>
    </row>
    <row r="17" ht="30" customHeight="1">
      <c r="A17" t="inlineStr">
        <is>
          <t>EVD-STK-01</t>
        </is>
      </c>
      <c r="B17" t="inlineStr">
        <is>
          <t>Stakeholder feedback</t>
        </is>
      </c>
      <c r="C17" t="inlineStr">
        <is>
          <t>04/29/2026</t>
        </is>
      </c>
      <c r="D17" s="6" t="inlineStr">
        <is>
          <t>Terminal concessions lead noted a pending count check for the Riverline FT-88501 close.</t>
        </is>
      </c>
      <c r="E17" t="inlineStr">
        <is>
          <t>SVK-2407</t>
        </is>
      </c>
    </row>
    <row r="18" ht="30" customHeight="1">
      <c r="A18" t="inlineStr">
        <is>
          <t>EVD-TX-09</t>
        </is>
      </c>
      <c r="B18" t="inlineStr">
        <is>
          <t>Transaction record</t>
        </is>
      </c>
      <c r="C18" t="inlineStr">
        <is>
          <t>05/01/2026</t>
        </is>
      </c>
      <c r="D18" s="6" t="inlineStr">
        <is>
          <t>Supplier short-count revision for FT-88431 adds USD 120 to the recorded discrepancy.</t>
        </is>
      </c>
      <c r="E18" t="inlineStr">
        <is>
          <t>SVK-2401</t>
        </is>
      </c>
    </row>
    <row r="19" ht="30" customHeight="1">
      <c r="A19" t="inlineStr">
        <is>
          <t>EVD-TX-10</t>
        </is>
      </c>
      <c r="B19" t="inlineStr">
        <is>
          <t>Transaction record</t>
        </is>
      </c>
      <c r="C19" t="inlineStr">
        <is>
          <t>05/02/2026</t>
        </is>
      </c>
      <c r="D19" s="6" t="inlineStr">
        <is>
          <t>Card-settlement correction for FT-88444 reverses USD 930 of the recorded discrepancy.</t>
        </is>
      </c>
      <c r="E19" t="inlineStr">
        <is>
          <t>SVK-2402</t>
        </is>
      </c>
    </row>
    <row r="20" ht="30" customHeight="1">
      <c r="A20" t="inlineStr">
        <is>
          <t>EVD-MSG-02</t>
        </is>
      </c>
      <c r="B20" t="inlineStr">
        <is>
          <t>Message</t>
        </is>
      </c>
      <c r="C20" t="inlineStr">
        <is>
          <t>05/03/2026</t>
        </is>
      </c>
      <c r="D20" s="6" t="inlineStr">
        <is>
          <t>Store manager message: FT-88444 settlement correction is complete.</t>
        </is>
      </c>
      <c r="E20" t="inlineStr">
        <is>
          <t>SVK-2402</t>
        </is>
      </c>
    </row>
    <row r="21" ht="30" customHeight="1">
      <c r="A21" t="inlineStr">
        <is>
          <t>EVD-TX-11</t>
        </is>
      </c>
      <c r="B21" t="inlineStr">
        <is>
          <t>Transaction record</t>
        </is>
      </c>
      <c r="C21" t="inlineStr">
        <is>
          <t>05/05/2026</t>
        </is>
      </c>
      <c r="D21" s="6" t="inlineStr">
        <is>
          <t>Corrected tax treatment for FT-88469 reduces the recorded discrepancy by USD 50.</t>
        </is>
      </c>
      <c r="E21" t="inlineStr">
        <is>
          <t>SVK-2404</t>
        </is>
      </c>
    </row>
    <row r="22" ht="30" customHeight="1">
      <c r="A22" t="inlineStr">
        <is>
          <t>EVD-TX-12</t>
        </is>
      </c>
      <c r="B22" t="inlineStr">
        <is>
          <t>Transaction record</t>
        </is>
      </c>
      <c r="C22" t="inlineStr">
        <is>
          <t>05/06/2026</t>
        </is>
      </c>
      <c r="D22" s="6" t="inlineStr">
        <is>
          <t>Void record matched to FT-88473 reverses USD 640 of the recorded discrepancy.</t>
        </is>
      </c>
      <c r="E22" t="inlineStr">
        <is>
          <t>SVK-2405</t>
        </is>
      </c>
    </row>
    <row r="23" ht="30" customHeight="1">
      <c r="A23" t="inlineStr">
        <is>
          <t>EVD-MSG-04</t>
        </is>
      </c>
      <c r="B23" t="inlineStr">
        <is>
          <t>Message</t>
        </is>
      </c>
      <c r="C23" t="inlineStr">
        <is>
          <t>05/07/2026</t>
        </is>
      </c>
      <c r="D23" s="6" t="inlineStr">
        <is>
          <t>Cooperative message: the FT-88473 submission is withdrawn as a duplicate.</t>
        </is>
      </c>
      <c r="E23" t="inlineStr">
        <is>
          <t>SVK-2405</t>
        </is>
      </c>
    </row>
    <row r="24" ht="30" customHeight="1">
      <c r="A24" t="inlineStr">
        <is>
          <t>EVD-TX-13</t>
        </is>
      </c>
      <c r="B24" t="inlineStr">
        <is>
          <t>Transaction record</t>
        </is>
      </c>
      <c r="C24" t="inlineStr">
        <is>
          <t>05/08/2026</t>
        </is>
      </c>
      <c r="D24" s="6" t="inlineStr">
        <is>
          <t>Late delivery reconciliation for FT-88488 adds USD 360 to the recorded discrepancy.</t>
        </is>
      </c>
      <c r="E24" t="inlineStr">
        <is>
          <t>SVK-2406</t>
        </is>
      </c>
    </row>
  </sheetData>
  <autoFilter ref="A4:E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Analyst workpad</t>
        </is>
      </c>
    </row>
    <row r="3">
      <c r="A3" t="inlineStr">
        <is>
          <t>Queue total</t>
        </is>
      </c>
      <c r="B3">
        <f>SUM(#REF!)</f>
        <v/>
      </c>
    </row>
    <row r="5">
      <c r="A5" s="5" t="inlineStr">
        <is>
          <t>Last saved from old reconciliation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2026-08-17T08:21:33Z</dcterms:created>
  <dcterms:modified xmlns:dcterms="http://purl.org/dc/terms/" xmlns:xsi="http://www.w3.org/2001/XMLSchema-instance" xsi:type="dcterms:W3CDTF">2026-08-17T08:21:33Z</dcterms:modified>
</cp:coreProperties>
</file>