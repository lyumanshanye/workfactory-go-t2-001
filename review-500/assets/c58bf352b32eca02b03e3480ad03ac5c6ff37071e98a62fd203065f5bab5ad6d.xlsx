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onciliation" sheetId="1" state="visible" r:id="rId3"/>
    <sheet name="Claim Options" sheetId="2" state="visible" r:id="rId4"/>
    <sheet name="Method &amp; Sources" sheetId="3" state="visible" r:id="rId5"/>
  </sheets>
  <definedNames>
    <definedName function="false" hidden="true" localSheetId="0" name="_xlnm._FilterDatabase" vbProcedure="false">Reconciliation!$A$9:$R$17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<sst xmlns="http://schemas.openxmlformats.org/spreadsheetml/2006/main" count="174" uniqueCount="125">
  <si>
    <t xml:space="preserve">Marlowe Engineering | Tuesday Shipment Reconciliation</t>
  </si>
  <si>
    <t xml:space="preserve">Review basis</t>
  </si>
  <si>
    <t xml:space="preserve">Physical assemblies; selected comparison is adjusted received less billed quantity.</t>
  </si>
  <si>
    <t xml:space="preserve">Manifest shipped</t>
  </si>
  <si>
    <t xml:space="preserve">Receipt − billed</t>
  </si>
  <si>
    <t xml:space="preserve">Decision posture</t>
  </si>
  <si>
    <t xml:space="preserve">Conservative supported rate; no double recovery.</t>
  </si>
  <si>
    <t xml:space="preserve">Recommended claim</t>
  </si>
  <si>
    <t xml:space="preserve">Standard inventory shortfall recovery (Option B)</t>
  </si>
  <si>
    <t xml:space="preserve">Adjusted received</t>
  </si>
  <si>
    <t xml:space="preserve">Manifest value</t>
  </si>
  <si>
    <t xml:space="preserve">Recommended amount</t>
  </si>
  <si>
    <t xml:space="preserve">Billed</t>
  </si>
  <si>
    <t xml:space="preserve">Billed value</t>
  </si>
  <si>
    <t xml:space="preserve">Reconciliation detail — source facts are transcribed; yellow cells show an explicit review treatment.</t>
  </si>
  <si>
    <t xml:space="preserve">Record ID</t>
  </si>
  <si>
    <t xml:space="preserve">SKU</t>
  </si>
  <si>
    <t xml:space="preserve">Item / identifying detail</t>
  </si>
  <si>
    <t xml:space="preserve">Dispatch evidence</t>
  </si>
  <si>
    <t xml:space="preserve">Shipment qty
assemblies</t>
  </si>
  <si>
    <t xml:space="preserve">Receiving observation
assemblies</t>
  </si>
  <si>
    <t xml:space="preserve">Adjusted receipt
assemblies</t>
  </si>
  <si>
    <t xml:space="preserve">Billed qty
assemblies</t>
  </si>
  <si>
    <t xml:space="preserve">Selected comparator
assemblies</t>
  </si>
  <si>
    <t xml:space="preserve">Receipt − billed
assemblies</t>
  </si>
  <si>
    <t xml:space="preserve">Variance
ratio</t>
  </si>
  <si>
    <t xml:space="preserve">Finding</t>
  </si>
  <si>
    <t xml:space="preserve">Invoice rate
USD / assembly</t>
  </si>
  <si>
    <t xml:space="preserve">Standard rate
USD / assembly</t>
  </si>
  <si>
    <t xml:space="preserve">Invoice correction
USD</t>
  </si>
  <si>
    <t xml:space="preserve">Option B eligible
assemblies</t>
  </si>
  <si>
    <t xml:space="preserve">Option B value
USD</t>
  </si>
  <si>
    <t xml:space="preserve">Record-level treatment &amp; source lineage</t>
  </si>
  <si>
    <t xml:space="preserve">TR-01</t>
  </si>
  <si>
    <t xml:space="preserve">IP-100</t>
  </si>
  <si>
    <t xml:space="preserve">IP-100 Base Pump Assembly</t>
  </si>
  <si>
    <t xml:space="preserve">4 carton(s) × 2</t>
  </si>
  <si>
    <t xml:space="preserve">Confirmed physical shortage</t>
  </si>
  <si>
    <t xml:space="preserve">Convert stated unit to physical assemblies. Packet: Tuesday dispatch!row 8; Three sealed cartons counted at dock; all carton seals intact. | Terms: rate card IP-100</t>
  </si>
  <si>
    <t xml:space="preserve">TR-02</t>
  </si>
  <si>
    <t xml:space="preserve">IP-220</t>
  </si>
  <si>
    <t xml:space="preserve">IP-220 Extended Pump Assembly</t>
  </si>
  <si>
    <t xml:space="preserve">5 assemblies</t>
  </si>
  <si>
    <t xml:space="preserve">Reconciled — no exception</t>
  </si>
  <si>
    <t xml:space="preserve">Convert stated unit to physical assemblies. Packet: Tuesday dispatch!row 9; Dock and invoice agree. | Terms: rate card IP-220</t>
  </si>
  <si>
    <t xml:space="preserve">TR-03</t>
  </si>
  <si>
    <t xml:space="preserve">IP-330</t>
  </si>
  <si>
    <t xml:space="preserve">IP-330 Pediatric Pump Assembly</t>
  </si>
  <si>
    <t xml:space="preserve">2 carton(s) × 3</t>
  </si>
  <si>
    <t xml:space="preserve">Note confirms receiving count is already physical assemblies; no carton conversion. Packet: Tuesday dispatch!row 10; Second carton opened: 2 complete assemblies on floor plus 3 in the sealed carton. Receiving entry is an individual count, not cartons. | Terms: rate card IP-330</t>
  </si>
  <si>
    <t xml:space="preserve">TR-04</t>
  </si>
  <si>
    <t xml:space="preserve">IP-410</t>
  </si>
  <si>
    <t xml:space="preserve">IP-410 Sterile Pump Assembly</t>
  </si>
  <si>
    <t xml:space="preserve">1 carton(s) × 4</t>
  </si>
  <si>
    <t xml:space="preserve">EDGE CASE selected: use observed 3 complete assemblies; carton label is not treated as full receipt. Packet: Tuesday dispatch!row 11; Broken seal. Carton label says 4; dock count recorded 3 complete assemblies and one foam void. Vendor photo calls it a partial carton. | Terms: rate card IP-410</t>
  </si>
  <si>
    <t xml:space="preserve">TR-05</t>
  </si>
  <si>
    <t xml:space="preserve">IP-520</t>
  </si>
  <si>
    <t xml:space="preserve">IP-520 High-Flow Pump Assembly</t>
  </si>
  <si>
    <t xml:space="preserve">7 assemblies</t>
  </si>
  <si>
    <t xml:space="preserve">Note overrides carried-forward receiving count: use 6 handheld-scan assemblies. Packet: Tuesday dispatch!row 12; Receiving count of 7 was carried forward from the manifest. Handheld scan log completed after count shows 6 assemblies received; use six for disposition. | Terms: rate card IP-520</t>
  </si>
  <si>
    <t xml:space="preserve">TR-06</t>
  </si>
  <si>
    <t xml:space="preserve">IP-610</t>
  </si>
  <si>
    <t xml:space="preserve">IP-610 Dual Channel Assembly</t>
  </si>
  <si>
    <t xml:space="preserve">1 carton(s) × 2</t>
  </si>
  <si>
    <t xml:space="preserve">Billed overcharge; no physical shortage</t>
  </si>
  <si>
    <t xml:space="preserve">Convert stated unit to physical assemblies. Packet: Tuesday dispatch!row 13; Carton label and manifest both support 2 assemblies. Invoice bills 3; no third assembly appears on dock record. | Terms: rate card IP-610</t>
  </si>
  <si>
    <t xml:space="preserve">TR-07</t>
  </si>
  <si>
    <t xml:space="preserve">AD-700</t>
  </si>
  <si>
    <t xml:space="preserve">Dock Adapter</t>
  </si>
  <si>
    <t xml:space="preserve">0 assemblies</t>
  </si>
  <si>
    <t xml:space="preserve">Excluded service-return observation</t>
  </si>
  <si>
    <t xml:space="preserve">Note excludes service-return adapter from outbound shipment; retained only as an observed receiving item. Packet: Tuesday dispatch!row 14; Loose adapter is a service-return unit found with the Tuesday unload. Retain in receiving log but exclude it from this outbound shipment and invoice review. | Terms: rate card AD-700</t>
  </si>
  <si>
    <t xml:space="preserve">In-scope totals</t>
  </si>
  <si>
    <t xml:space="preserve">N/A</t>
  </si>
  <si>
    <t xml:space="preserve">Aggregate receipt − billed</t>
  </si>
  <si>
    <t xml:space="preserve">TR-07 is displayed but excluded by its source note; totals do not use the historical subtotal in the packet.</t>
  </si>
  <si>
    <t xml:space="preserve">Claim Options | Supplied terms compared</t>
  </si>
  <si>
    <t xml:space="preserve">Option A — Invoice correction</t>
  </si>
  <si>
    <t xml:space="preserve">At invoice unit price; includes charge-only invoice difference where source evidence supports it.</t>
  </si>
  <si>
    <t xml:space="preserve">Option B — Standard inventory shortfall recovery</t>
  </si>
  <si>
    <t xml:space="preserve">Approved lower standard rate; confirmed physical shortages only; selected.</t>
  </si>
  <si>
    <t xml:space="preserve">Recommended claim amount</t>
  </si>
  <si>
    <t xml:space="preserve">Claim path</t>
  </si>
  <si>
    <t xml:space="preserve">Claimable basis</t>
  </si>
  <si>
    <t xml:space="preserve">Eligible qty
assemblies</t>
  </si>
  <si>
    <t xml:space="preserve">Rate
USD / assembly</t>
  </si>
  <si>
    <t xml:space="preserve">Line value
USD</t>
  </si>
  <si>
    <t xml:space="preserve">Terms basis / limitation</t>
  </si>
  <si>
    <t xml:space="preserve">Billed qty exceeds adjusted receipt</t>
  </si>
  <si>
    <t xml:space="preserve">Terms: invoice unit price from packet; supported billed/receipt difference.</t>
  </si>
  <si>
    <t xml:space="preserve">Option A total</t>
  </si>
  <si>
    <t xml:space="preserve">Do not combine with Option B for the same physical assembly.</t>
  </si>
  <si>
    <t xml:space="preserve">Option B — Standard inventory</t>
  </si>
  <si>
    <t xml:space="preserve">Confirmed physical shipment shortfall</t>
  </si>
  <si>
    <t xml:space="preserve">Terms: approved standard rate; physical shortage only.</t>
  </si>
  <si>
    <t xml:space="preserve">Option B total (selected)</t>
  </si>
  <si>
    <t xml:space="preserve">Selected: lower supplied standard rates; charge-only IP-610 excluded.</t>
  </si>
  <si>
    <t xml:space="preserve">Recommendation rationale</t>
  </si>
  <si>
    <t xml:space="preserve">Select Option B at $12,000.00 for the five confirmed missing physical assemblies. The terms do not establish remedy precedence. This uses the lower supported standard rate and does not stack remedies. TR-06's $2,990 invoice-only overcharge remains a Billing correction item, not part of the inventory-shortfall claim.</t>
  </si>
  <si>
    <t xml:space="preserve">Edge case and alternative</t>
  </si>
  <si>
    <t xml:space="preserve">TR-04 is valued as 3 received physical assemblies because the dock record names three complete assemblies. A whole-carton reading would treat 4 received; it would remove $4,850 from Option B and $4,980 from Option A.</t>
  </si>
  <si>
    <t xml:space="preserve">Method &amp; Sources | Reproducible review record</t>
  </si>
  <si>
    <t xml:space="preserve">Label</t>
  </si>
  <si>
    <t xml:space="preserve">Topic</t>
  </si>
  <si>
    <t xml:space="preserve">Method / source reference</t>
  </si>
  <si>
    <t xml:space="preserve">Source fact</t>
  </si>
  <si>
    <t xml:space="preserve">Operative data</t>
  </si>
  <si>
    <t xml:space="preserve">The live table is Tuesday dispatch!F7:T14 in tuesday_shipment_packet.xlsx. Record IDs TR-01 through TR-07 are all displayed in Reconciliation; the prior-Friday historical billing subtotal is context only and is not used.</t>
  </si>
  <si>
    <t xml:space="preserve">Unit basis</t>
  </si>
  <si>
    <t xml:space="preserve">Carton quantities are converted once: cartons shipped or received × the record's Pack / carton. Physical assemblies entered as such are not converted. All headline quantities use physical assemblies.</t>
  </si>
  <si>
    <t xml:space="preserve">Notes applied</t>
  </si>
  <si>
    <t xml:space="preserve">TR-03 receiving observation is already a physical count; TR-05 uses six handheld scans instead of the carried-forward seven; TR-06 label/manifest supports two assemblies; TR-07 is a service return and is excluded from outbound totals.</t>
  </si>
  <si>
    <t xml:space="preserve">Analyst judgment</t>
  </si>
  <si>
    <t xml:space="preserve">Edge case — TR-04</t>
  </si>
  <si>
    <t xml:space="preserve">Selected physical-count reading: use the dock's three complete assemblies, rather than treating one broken-seal carton labelled four as a full receipt. This creates one confirmed assembly shortfall. The alternative whole-carton reading is shown on Claim Options and changes both option totals.</t>
  </si>
  <si>
    <t xml:space="preserve">Convention</t>
  </si>
  <si>
    <t xml:space="preserve">Zero denominator — TR-07</t>
  </si>
  <si>
    <t xml:space="preserve">When selected comparator/billed quantity is zero, display discrepancy ratio as N/A (not 0% and not an error). TR-07's adjusted shipment receipt is zero after the service-return exclusion; it has no rate and no claim treatment.</t>
  </si>
  <si>
    <t xml:space="preserve">Rates and alternatives</t>
  </si>
  <si>
    <t xml:space="preserve">Invoice correction rates are normalized from Unit rate as printed in the packet. Standard rates and terms come from claim_terms_and_rate_card.docx. IP-610 has no standard rate; its standard valuation is explicitly not applicable, not zero.</t>
  </si>
  <si>
    <t xml:space="preserve">Recommendation</t>
  </si>
  <si>
    <t xml:space="preserve">Terms do not establish precedence. Option B is selected because it uses the lower supported standard rates for confirmed physical shortages and avoids combining remedies. The charge-only IP-610 invoice difference is surfaced to Billing but is not added to the inventory-shortfall claim.</t>
  </si>
  <si>
    <t xml:space="preserve">Calculation</t>
  </si>
  <si>
    <t xml:space="preserve">Aggregation</t>
  </si>
  <si>
    <t xml:space="preserve">Manifest value = shipped physical assemblies × invoice rate. Billing variance = adjusted received − billed quantity. Option A = sum(invoice correction quantities × invoice rates). Option B = sum(confirmed physical shortage quantities × approved standard rates).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</si>
</sst>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&quot; assemblies&quot;"/>
    <numFmt numFmtId="166" formatCode="\$#,##0.00"/>
    <numFmt numFmtId="167" formatCode="0.0%;[RED]\-0.0%;&quot;N/A&quot;"/>
    <numFmt numFmtId="168" formatCode="\$#,##0.00;[RED]&quot;-$&quot;#,##0.00;\–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b val="true"/>
      <sz val="9"/>
      <name val="Aptos"/>
      <family val="0"/>
      <charset val="1"/>
    </font>
    <font>
      <sz val="9"/>
      <name val="Aptos"/>
      <family val="0"/>
      <charset val="1"/>
    </font>
    <font>
      <b val="true"/>
      <sz val="10"/>
      <color rgb="FF17365D"/>
      <name val="Aptos"/>
      <family val="0"/>
      <charset val="1"/>
    </font>
    <font>
      <b val="true"/>
      <sz val="9"/>
      <color rgb="FFFFFFFF"/>
      <name val="Aptos"/>
      <family val="0"/>
      <charset val="1"/>
    </font>
    <font>
      <sz val="8.5"/>
      <name val="Aptos"/>
      <family val="0"/>
      <charset val="1"/>
    </font>
    <font>
      <b val="true"/>
      <sz val="11"/>
      <name val="Aptos"/>
      <family val="0"/>
      <charset val="1"/>
    </font>
    <font>
      <sz val="8.7"/>
      <name val="Aptos"/>
      <family val="0"/>
      <charset val="1"/>
    </font>
    <font>
      <b val="true"/>
      <sz val="8.7"/>
      <name val="Apto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AF2F8"/>
        <bgColor rgb="FFEDEDED"/>
      </patternFill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AF2F8"/>
      </patternFill>
    </fill>
    <fill>
      <patternFill patternType="solid">
        <fgColor rgb="FFE2F0D9"/>
        <bgColor rgb="FFEDEDED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B7C9D6"/>
      </bottom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2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27"/>
    <col collapsed="false" customWidth="true" hidden="false" outlineLevel="0" max="14" min="13" style="0" width="14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6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customFormat="false" ht="24" hidden="false" customHeight="true" outlineLevel="0" collapsed="false">
      <c r="A3" s="2" t="s">
        <v>1</v>
      </c>
      <c r="B3" s="3" t="s">
        <v>2</v>
      </c>
      <c r="C3" s="3"/>
      <c r="D3" s="2" t="s">
        <v>3</v>
      </c>
      <c r="E3" s="4" t="n">
        <f aca="false">SUM(E10:E16)</f>
        <v>32</v>
      </c>
      <c r="F3" s="3"/>
      <c r="G3" s="2" t="s">
        <v>4</v>
      </c>
      <c r="H3" s="4" t="n">
        <f aca="false">SUM(J10:J16)</f>
        <v>-6</v>
      </c>
      <c r="I3" s="3"/>
      <c r="J3" s="2" t="s">
        <v>5</v>
      </c>
      <c r="K3" s="5" t="s">
        <v>6</v>
      </c>
      <c r="L3" s="5"/>
      <c r="M3" s="5"/>
      <c r="N3" s="5"/>
      <c r="O3" s="5"/>
      <c r="P3" s="5"/>
      <c r="Q3" s="5"/>
    </row>
    <row r="4" customFormat="false" ht="24" hidden="false" customHeight="true" outlineLevel="0" collapsed="false">
      <c r="A4" s="2" t="s">
        <v>7</v>
      </c>
      <c r="B4" s="3" t="s">
        <v>8</v>
      </c>
      <c r="C4" s="3"/>
      <c r="D4" s="2" t="s">
        <v>9</v>
      </c>
      <c r="E4" s="4" t="n">
        <f aca="false">SUM(G10:G16)</f>
        <v>27</v>
      </c>
      <c r="F4" s="3"/>
      <c r="G4" s="2" t="s">
        <v>10</v>
      </c>
      <c r="H4" s="6" t="n">
        <f aca="false">SUMPRODUCT(E10:E16,M10:M16)</f>
        <v>80002.5</v>
      </c>
      <c r="I4" s="3"/>
      <c r="J4" s="2"/>
      <c r="K4" s="3"/>
      <c r="L4" s="3"/>
      <c r="M4" s="3"/>
      <c r="N4" s="3"/>
      <c r="O4" s="3"/>
      <c r="P4" s="3"/>
      <c r="Q4" s="3"/>
    </row>
    <row r="5" customFormat="false" ht="24" hidden="false" customHeight="true" outlineLevel="0" collapsed="false">
      <c r="A5" s="2" t="s">
        <v>11</v>
      </c>
      <c r="B5" s="6" t="n">
        <f aca="false">'Claim Options'!B5</f>
        <v>12000</v>
      </c>
      <c r="C5" s="3"/>
      <c r="D5" s="2" t="s">
        <v>12</v>
      </c>
      <c r="E5" s="4" t="n">
        <f aca="false">SUM(I10:I16)</f>
        <v>33</v>
      </c>
      <c r="F5" s="3"/>
      <c r="G5" s="2" t="s">
        <v>13</v>
      </c>
      <c r="H5" s="6" t="n">
        <f aca="false">SUMPRODUCT(I10:I16,M10:M16)</f>
        <v>82992.5</v>
      </c>
      <c r="I5" s="3"/>
      <c r="J5" s="2"/>
      <c r="K5" s="3"/>
      <c r="L5" s="3"/>
      <c r="M5" s="3"/>
      <c r="N5" s="3"/>
      <c r="O5" s="3"/>
      <c r="P5" s="3"/>
      <c r="Q5" s="3"/>
    </row>
    <row r="7" customFormat="false" ht="15" hidden="false" customHeight="false" outlineLevel="0" collapsed="false">
      <c r="A7" s="7" t="s">
        <v>14</v>
      </c>
    </row>
    <row r="9" customFormat="false" ht="36" hidden="false" customHeight="true" outlineLevel="0" collapsed="false">
      <c r="A9" s="8" t="s">
        <v>15</v>
      </c>
      <c r="B9" s="8" t="s">
        <v>16</v>
      </c>
      <c r="C9" s="8" t="s">
        <v>17</v>
      </c>
      <c r="D9" s="8" t="s">
        <v>18</v>
      </c>
      <c r="E9" s="8" t="s">
        <v>19</v>
      </c>
      <c r="F9" s="8" t="s">
        <v>20</v>
      </c>
      <c r="G9" s="8" t="s">
        <v>21</v>
      </c>
      <c r="H9" s="8" t="s">
        <v>22</v>
      </c>
      <c r="I9" s="8" t="s">
        <v>23</v>
      </c>
      <c r="J9" s="8" t="s">
        <v>24</v>
      </c>
      <c r="K9" s="8" t="s">
        <v>25</v>
      </c>
      <c r="L9" s="8" t="s">
        <v>26</v>
      </c>
      <c r="M9" s="8" t="s">
        <v>27</v>
      </c>
      <c r="N9" s="8" t="s">
        <v>28</v>
      </c>
      <c r="O9" s="8" t="s">
        <v>29</v>
      </c>
      <c r="P9" s="8" t="s">
        <v>30</v>
      </c>
      <c r="Q9" s="8" t="s">
        <v>31</v>
      </c>
      <c r="R9" s="8" t="s">
        <v>32</v>
      </c>
    </row>
    <row r="10" customFormat="false" ht="42" hidden="false" customHeight="true" outlineLevel="0" collapsed="false">
      <c r="A10" s="9" t="s">
        <v>33</v>
      </c>
      <c r="B10" s="9" t="s">
        <v>34</v>
      </c>
      <c r="C10" s="9" t="s">
        <v>35</v>
      </c>
      <c r="D10" s="9" t="s">
        <v>36</v>
      </c>
      <c r="E10" s="10" t="n">
        <v>8</v>
      </c>
      <c r="F10" s="10" t="n">
        <v>6</v>
      </c>
      <c r="G10" s="10" t="n">
        <v>6</v>
      </c>
      <c r="H10" s="10" t="n">
        <v>8</v>
      </c>
      <c r="I10" s="10" t="n">
        <v>8</v>
      </c>
      <c r="J10" s="10" t="n">
        <f aca="false">G10-I10</f>
        <v>-2</v>
      </c>
      <c r="K10" s="11" t="n">
        <f aca="false">IF(I10=0,"N/A",J10/I10)</f>
        <v>-0.25</v>
      </c>
      <c r="L10" s="9" t="s">
        <v>37</v>
      </c>
      <c r="M10" s="12" t="n">
        <v>1250</v>
      </c>
      <c r="N10" s="12" t="n">
        <v>1180</v>
      </c>
      <c r="O10" s="12" t="n">
        <v>2500</v>
      </c>
      <c r="P10" s="10" t="n">
        <v>2</v>
      </c>
      <c r="Q10" s="12" t="n">
        <v>2360</v>
      </c>
      <c r="R10" s="9" t="s">
        <v>38</v>
      </c>
    </row>
    <row r="11" customFormat="false" ht="42" hidden="false" customHeight="true" outlineLevel="0" collapsed="false">
      <c r="A11" s="9" t="s">
        <v>39</v>
      </c>
      <c r="B11" s="9" t="s">
        <v>40</v>
      </c>
      <c r="C11" s="9" t="s">
        <v>41</v>
      </c>
      <c r="D11" s="9" t="s">
        <v>42</v>
      </c>
      <c r="E11" s="10" t="n">
        <v>5</v>
      </c>
      <c r="F11" s="10" t="n">
        <v>5</v>
      </c>
      <c r="G11" s="10" t="n">
        <v>5</v>
      </c>
      <c r="H11" s="10" t="n">
        <v>5</v>
      </c>
      <c r="I11" s="10" t="n">
        <v>5</v>
      </c>
      <c r="J11" s="10" t="n">
        <f aca="false">G11-I11</f>
        <v>0</v>
      </c>
      <c r="K11" s="11" t="n">
        <f aca="false">IF(I11=0,"N/A",J11/I11)</f>
        <v>0</v>
      </c>
      <c r="L11" s="9" t="s">
        <v>43</v>
      </c>
      <c r="M11" s="12" t="n">
        <v>2475.5</v>
      </c>
      <c r="N11" s="12" t="n">
        <v>2350</v>
      </c>
      <c r="O11" s="12" t="n">
        <v>0</v>
      </c>
      <c r="P11" s="10" t="n">
        <v>0</v>
      </c>
      <c r="Q11" s="12" t="n">
        <v>0</v>
      </c>
      <c r="R11" s="9" t="s">
        <v>44</v>
      </c>
    </row>
    <row r="12" customFormat="false" ht="57.75" hidden="false" customHeight="true" outlineLevel="0" collapsed="false">
      <c r="A12" s="9" t="s">
        <v>45</v>
      </c>
      <c r="B12" s="9" t="s">
        <v>46</v>
      </c>
      <c r="C12" s="9" t="s">
        <v>47</v>
      </c>
      <c r="D12" s="9" t="s">
        <v>48</v>
      </c>
      <c r="E12" s="10" t="n">
        <v>6</v>
      </c>
      <c r="F12" s="10" t="n">
        <v>5</v>
      </c>
      <c r="G12" s="13" t="n">
        <v>5</v>
      </c>
      <c r="H12" s="10" t="n">
        <v>6</v>
      </c>
      <c r="I12" s="10" t="n">
        <v>6</v>
      </c>
      <c r="J12" s="10" t="n">
        <f aca="false">G12-I12</f>
        <v>-1</v>
      </c>
      <c r="K12" s="11" t="n">
        <f aca="false">IF(I12=0,"N/A",J12/I12)</f>
        <v>-0.166666666666667</v>
      </c>
      <c r="L12" s="9" t="s">
        <v>37</v>
      </c>
      <c r="M12" s="12" t="n">
        <v>3100</v>
      </c>
      <c r="N12" s="12" t="n">
        <v>2980</v>
      </c>
      <c r="O12" s="12" t="n">
        <v>3100</v>
      </c>
      <c r="P12" s="10" t="n">
        <v>1</v>
      </c>
      <c r="Q12" s="12" t="n">
        <v>2980</v>
      </c>
      <c r="R12" s="14" t="s">
        <v>49</v>
      </c>
    </row>
    <row r="13" customFormat="false" ht="57.75" hidden="false" customHeight="true" outlineLevel="0" collapsed="false">
      <c r="A13" s="9" t="s">
        <v>50</v>
      </c>
      <c r="B13" s="9" t="s">
        <v>51</v>
      </c>
      <c r="C13" s="9" t="s">
        <v>52</v>
      </c>
      <c r="D13" s="9" t="s">
        <v>53</v>
      </c>
      <c r="E13" s="10" t="n">
        <v>4</v>
      </c>
      <c r="F13" s="10" t="n">
        <v>4</v>
      </c>
      <c r="G13" s="13" t="n">
        <v>3</v>
      </c>
      <c r="H13" s="10" t="n">
        <v>4</v>
      </c>
      <c r="I13" s="10" t="n">
        <v>4</v>
      </c>
      <c r="J13" s="10" t="n">
        <f aca="false">G13-I13</f>
        <v>-1</v>
      </c>
      <c r="K13" s="11" t="n">
        <f aca="false">IF(I13=0,"N/A",J13/I13)</f>
        <v>-0.25</v>
      </c>
      <c r="L13" s="9" t="s">
        <v>37</v>
      </c>
      <c r="M13" s="12" t="n">
        <v>4980</v>
      </c>
      <c r="N13" s="12" t="n">
        <v>4850</v>
      </c>
      <c r="O13" s="12" t="n">
        <v>4980</v>
      </c>
      <c r="P13" s="10" t="n">
        <v>1</v>
      </c>
      <c r="Q13" s="12" t="n">
        <v>4850</v>
      </c>
      <c r="R13" s="14" t="s">
        <v>54</v>
      </c>
    </row>
    <row r="14" customFormat="false" ht="57.75" hidden="false" customHeight="true" outlineLevel="0" collapsed="false">
      <c r="A14" s="9" t="s">
        <v>55</v>
      </c>
      <c r="B14" s="9" t="s">
        <v>56</v>
      </c>
      <c r="C14" s="9" t="s">
        <v>57</v>
      </c>
      <c r="D14" s="9" t="s">
        <v>58</v>
      </c>
      <c r="E14" s="10" t="n">
        <v>7</v>
      </c>
      <c r="F14" s="10" t="n">
        <v>7</v>
      </c>
      <c r="G14" s="13" t="n">
        <v>6</v>
      </c>
      <c r="H14" s="10" t="n">
        <v>7</v>
      </c>
      <c r="I14" s="10" t="n">
        <v>7</v>
      </c>
      <c r="J14" s="10" t="n">
        <f aca="false">G14-I14</f>
        <v>-1</v>
      </c>
      <c r="K14" s="11" t="n">
        <f aca="false">IF(I14=0,"N/A",J14/I14)</f>
        <v>-0.142857142857143</v>
      </c>
      <c r="L14" s="9" t="s">
        <v>37</v>
      </c>
      <c r="M14" s="12" t="n">
        <v>1875</v>
      </c>
      <c r="N14" s="12" t="n">
        <v>1810</v>
      </c>
      <c r="O14" s="12" t="n">
        <v>1875</v>
      </c>
      <c r="P14" s="10" t="n">
        <v>1</v>
      </c>
      <c r="Q14" s="12" t="n">
        <v>1810</v>
      </c>
      <c r="R14" s="14" t="s">
        <v>59</v>
      </c>
    </row>
    <row r="15" customFormat="false" ht="42" hidden="false" customHeight="true" outlineLevel="0" collapsed="false">
      <c r="A15" s="9" t="s">
        <v>60</v>
      </c>
      <c r="B15" s="9" t="s">
        <v>61</v>
      </c>
      <c r="C15" s="9" t="s">
        <v>62</v>
      </c>
      <c r="D15" s="9" t="s">
        <v>63</v>
      </c>
      <c r="E15" s="10" t="n">
        <v>2</v>
      </c>
      <c r="F15" s="10" t="n">
        <v>2</v>
      </c>
      <c r="G15" s="10" t="n">
        <v>2</v>
      </c>
      <c r="H15" s="10" t="n">
        <v>3</v>
      </c>
      <c r="I15" s="10" t="n">
        <v>3</v>
      </c>
      <c r="J15" s="10" t="n">
        <f aca="false">G15-I15</f>
        <v>-1</v>
      </c>
      <c r="K15" s="11" t="n">
        <f aca="false">IF(I15=0,"N/A",J15/I15)</f>
        <v>-0.333333333333333</v>
      </c>
      <c r="L15" s="9" t="s">
        <v>64</v>
      </c>
      <c r="M15" s="12" t="n">
        <v>2990</v>
      </c>
      <c r="N15" s="12"/>
      <c r="O15" s="12" t="n">
        <v>2990</v>
      </c>
      <c r="P15" s="10" t="n">
        <v>0</v>
      </c>
      <c r="Q15" s="12"/>
      <c r="R15" s="9" t="s">
        <v>65</v>
      </c>
    </row>
    <row r="16" customFormat="false" ht="57.75" hidden="false" customHeight="true" outlineLevel="0" collapsed="false">
      <c r="A16" s="15" t="s">
        <v>66</v>
      </c>
      <c r="B16" s="15" t="s">
        <v>67</v>
      </c>
      <c r="C16" s="15" t="s">
        <v>68</v>
      </c>
      <c r="D16" s="15" t="s">
        <v>69</v>
      </c>
      <c r="E16" s="16" t="n">
        <v>0</v>
      </c>
      <c r="F16" s="16" t="n">
        <v>1</v>
      </c>
      <c r="G16" s="16" t="n">
        <v>0</v>
      </c>
      <c r="H16" s="16" t="n">
        <v>0</v>
      </c>
      <c r="I16" s="16" t="n">
        <v>0</v>
      </c>
      <c r="J16" s="16" t="n">
        <f aca="false">G16-I16</f>
        <v>0</v>
      </c>
      <c r="K16" s="17" t="str">
        <f aca="false">IF(I16=0,"N/A",J16/I16)</f>
        <v>N/A</v>
      </c>
      <c r="L16" s="15" t="s">
        <v>70</v>
      </c>
      <c r="M16" s="18"/>
      <c r="N16" s="18"/>
      <c r="O16" s="18"/>
      <c r="P16" s="16" t="n">
        <v>0</v>
      </c>
      <c r="Q16" s="18"/>
      <c r="R16" s="15" t="s">
        <v>71</v>
      </c>
    </row>
    <row r="17" customFormat="false" ht="42" hidden="false" customHeight="true" outlineLevel="0" collapsed="false">
      <c r="A17" s="19" t="s">
        <v>72</v>
      </c>
      <c r="B17" s="19"/>
      <c r="C17" s="19"/>
      <c r="D17" s="19"/>
      <c r="E17" s="20" t="n">
        <f aca="false">SUM(E10:E16)</f>
        <v>32</v>
      </c>
      <c r="F17" s="20" t="n">
        <f aca="false">SUM(F10:F16)</f>
        <v>30</v>
      </c>
      <c r="G17" s="20" t="n">
        <f aca="false">SUM(G10:G16)</f>
        <v>27</v>
      </c>
      <c r="H17" s="20" t="n">
        <f aca="false">SUM(H10:H16)</f>
        <v>33</v>
      </c>
      <c r="I17" s="20" t="n">
        <f aca="false">SUM(I10:I16)</f>
        <v>33</v>
      </c>
      <c r="J17" s="20" t="n">
        <f aca="false">SUM(J10:J16)</f>
        <v>-6</v>
      </c>
      <c r="K17" s="21" t="s">
        <v>73</v>
      </c>
      <c r="L17" s="19" t="s">
        <v>74</v>
      </c>
      <c r="M17" s="22" t="n">
        <f aca="false">SUM(M10:M16)</f>
        <v>16670.5</v>
      </c>
      <c r="N17" s="22"/>
      <c r="O17" s="22" t="n">
        <f aca="false">SUM(O10:O16)</f>
        <v>15445</v>
      </c>
      <c r="P17" s="20" t="n">
        <f aca="false">SUM(P10:P16)</f>
        <v>5</v>
      </c>
      <c r="Q17" s="22" t="n">
        <f aca="false">SUM(Q10:Q16)</f>
        <v>12000</v>
      </c>
      <c r="R17" s="19" t="s">
        <v>75</v>
      </c>
    </row>
  </sheetData>
  <autoFilter ref="A9:R17"/>
  <mergeCells count="2">
    <mergeCell ref="A1:R1"/>
    <mergeCell ref="K3:Q3"/>
  </mergeCells>
  <printOptions headings="false" gridLines="false" gridLinesSet="true" horizontalCentered="false" verticalCentered="false"/>
  <pageMargins left="0.75" right="0.75" top="1" bottom="1" header="0.511811023622047" footer="0.5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&amp;CMarlowe Engineering | Reconciliation |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31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55"/>
  </cols>
  <sheetData>
    <row r="1" customFormat="false" ht="27.7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</row>
    <row r="3" customFormat="false" ht="24.75" hidden="false" customHeight="true" outlineLevel="0" collapsed="false">
      <c r="A3" s="23" t="s">
        <v>77</v>
      </c>
      <c r="B3" s="24" t="s">
        <v>78</v>
      </c>
      <c r="C3" s="24"/>
      <c r="D3" s="24"/>
      <c r="E3" s="24"/>
      <c r="F3" s="24"/>
      <c r="G3" s="24"/>
      <c r="H3" s="24"/>
    </row>
    <row r="4" customFormat="false" ht="24.75" hidden="false" customHeight="true" outlineLevel="0" collapsed="false">
      <c r="A4" s="23" t="s">
        <v>79</v>
      </c>
      <c r="B4" s="24" t="s">
        <v>80</v>
      </c>
      <c r="C4" s="24"/>
      <c r="D4" s="24"/>
      <c r="E4" s="24"/>
      <c r="F4" s="24"/>
      <c r="G4" s="24"/>
      <c r="H4" s="24"/>
    </row>
    <row r="5" customFormat="false" ht="15" hidden="false" customHeight="false" outlineLevel="0" collapsed="false">
      <c r="A5" s="23" t="s">
        <v>81</v>
      </c>
      <c r="B5" s="25" t="n">
        <f aca="false">SUM(G15:G18)</f>
        <v>12000</v>
      </c>
    </row>
    <row r="8" customFormat="false" ht="31.5" hidden="false" customHeight="true" outlineLevel="0" collapsed="false">
      <c r="A8" s="8" t="s">
        <v>82</v>
      </c>
      <c r="B8" s="8" t="s">
        <v>15</v>
      </c>
      <c r="C8" s="8" t="s">
        <v>16</v>
      </c>
      <c r="D8" s="8" t="s">
        <v>83</v>
      </c>
      <c r="E8" s="8" t="s">
        <v>84</v>
      </c>
      <c r="F8" s="8" t="s">
        <v>85</v>
      </c>
      <c r="G8" s="8" t="s">
        <v>86</v>
      </c>
      <c r="H8" s="8" t="s">
        <v>87</v>
      </c>
    </row>
    <row r="9" customFormat="false" ht="27.75" hidden="false" customHeight="true" outlineLevel="0" collapsed="false">
      <c r="A9" s="26" t="s">
        <v>77</v>
      </c>
      <c r="B9" s="26" t="s">
        <v>33</v>
      </c>
      <c r="C9" s="26" t="s">
        <v>34</v>
      </c>
      <c r="D9" s="26" t="s">
        <v>88</v>
      </c>
      <c r="E9" s="27" t="n">
        <v>2</v>
      </c>
      <c r="F9" s="28" t="n">
        <v>1250</v>
      </c>
      <c r="G9" s="28" t="n">
        <v>2500</v>
      </c>
      <c r="H9" s="26" t="s">
        <v>89</v>
      </c>
    </row>
    <row r="10" customFormat="false" ht="27.75" hidden="false" customHeight="true" outlineLevel="0" collapsed="false">
      <c r="A10" s="26" t="s">
        <v>77</v>
      </c>
      <c r="B10" s="26" t="s">
        <v>45</v>
      </c>
      <c r="C10" s="26" t="s">
        <v>46</v>
      </c>
      <c r="D10" s="26" t="s">
        <v>88</v>
      </c>
      <c r="E10" s="27" t="n">
        <v>1</v>
      </c>
      <c r="F10" s="28" t="n">
        <v>3100</v>
      </c>
      <c r="G10" s="28" t="n">
        <v>3100</v>
      </c>
      <c r="H10" s="26" t="s">
        <v>89</v>
      </c>
    </row>
    <row r="11" customFormat="false" ht="27.75" hidden="false" customHeight="true" outlineLevel="0" collapsed="false">
      <c r="A11" s="26" t="s">
        <v>77</v>
      </c>
      <c r="B11" s="26" t="s">
        <v>50</v>
      </c>
      <c r="C11" s="26" t="s">
        <v>51</v>
      </c>
      <c r="D11" s="26" t="s">
        <v>88</v>
      </c>
      <c r="E11" s="27" t="n">
        <v>1</v>
      </c>
      <c r="F11" s="28" t="n">
        <v>4980</v>
      </c>
      <c r="G11" s="28" t="n">
        <v>4980</v>
      </c>
      <c r="H11" s="26" t="s">
        <v>89</v>
      </c>
    </row>
    <row r="12" customFormat="false" ht="27.75" hidden="false" customHeight="true" outlineLevel="0" collapsed="false">
      <c r="A12" s="26" t="s">
        <v>77</v>
      </c>
      <c r="B12" s="26" t="s">
        <v>55</v>
      </c>
      <c r="C12" s="26" t="s">
        <v>56</v>
      </c>
      <c r="D12" s="26" t="s">
        <v>88</v>
      </c>
      <c r="E12" s="27" t="n">
        <v>1</v>
      </c>
      <c r="F12" s="28" t="n">
        <v>1875</v>
      </c>
      <c r="G12" s="28" t="n">
        <v>1875</v>
      </c>
      <c r="H12" s="26" t="s">
        <v>89</v>
      </c>
    </row>
    <row r="13" customFormat="false" ht="27.75" hidden="false" customHeight="true" outlineLevel="0" collapsed="false">
      <c r="A13" s="26" t="s">
        <v>77</v>
      </c>
      <c r="B13" s="26" t="s">
        <v>60</v>
      </c>
      <c r="C13" s="26" t="s">
        <v>61</v>
      </c>
      <c r="D13" s="26" t="s">
        <v>88</v>
      </c>
      <c r="E13" s="27" t="n">
        <v>1</v>
      </c>
      <c r="F13" s="28" t="n">
        <v>2990</v>
      </c>
      <c r="G13" s="28" t="n">
        <v>2990</v>
      </c>
      <c r="H13" s="26" t="s">
        <v>89</v>
      </c>
    </row>
    <row r="14" customFormat="false" ht="27.75" hidden="false" customHeight="true" outlineLevel="0" collapsed="false">
      <c r="A14" s="29" t="s">
        <v>90</v>
      </c>
      <c r="B14" s="29"/>
      <c r="C14" s="29"/>
      <c r="D14" s="29"/>
      <c r="E14" s="30"/>
      <c r="F14" s="31"/>
      <c r="G14" s="31" t="n">
        <f aca="false">SUM(G9:G13)</f>
        <v>15445</v>
      </c>
      <c r="H14" s="29" t="s">
        <v>91</v>
      </c>
    </row>
    <row r="15" customFormat="false" ht="27.75" hidden="false" customHeight="true" outlineLevel="0" collapsed="false">
      <c r="A15" s="26" t="s">
        <v>92</v>
      </c>
      <c r="B15" s="26" t="s">
        <v>33</v>
      </c>
      <c r="C15" s="26" t="s">
        <v>34</v>
      </c>
      <c r="D15" s="26" t="s">
        <v>93</v>
      </c>
      <c r="E15" s="27" t="n">
        <v>2</v>
      </c>
      <c r="F15" s="28" t="n">
        <v>1180</v>
      </c>
      <c r="G15" s="28" t="n">
        <v>2360</v>
      </c>
      <c r="H15" s="26" t="s">
        <v>94</v>
      </c>
    </row>
    <row r="16" customFormat="false" ht="27.75" hidden="false" customHeight="true" outlineLevel="0" collapsed="false">
      <c r="A16" s="26" t="s">
        <v>92</v>
      </c>
      <c r="B16" s="26" t="s">
        <v>45</v>
      </c>
      <c r="C16" s="26" t="s">
        <v>46</v>
      </c>
      <c r="D16" s="26" t="s">
        <v>93</v>
      </c>
      <c r="E16" s="27" t="n">
        <v>1</v>
      </c>
      <c r="F16" s="28" t="n">
        <v>2980</v>
      </c>
      <c r="G16" s="28" t="n">
        <v>2980</v>
      </c>
      <c r="H16" s="26" t="s">
        <v>94</v>
      </c>
    </row>
    <row r="17" customFormat="false" ht="27.75" hidden="false" customHeight="true" outlineLevel="0" collapsed="false">
      <c r="A17" s="26" t="s">
        <v>92</v>
      </c>
      <c r="B17" s="26" t="s">
        <v>50</v>
      </c>
      <c r="C17" s="26" t="s">
        <v>51</v>
      </c>
      <c r="D17" s="26" t="s">
        <v>93</v>
      </c>
      <c r="E17" s="27" t="n">
        <v>1</v>
      </c>
      <c r="F17" s="28" t="n">
        <v>4850</v>
      </c>
      <c r="G17" s="28" t="n">
        <v>4850</v>
      </c>
      <c r="H17" s="26" t="s">
        <v>94</v>
      </c>
    </row>
    <row r="18" customFormat="false" ht="27.75" hidden="false" customHeight="true" outlineLevel="0" collapsed="false">
      <c r="A18" s="26" t="s">
        <v>92</v>
      </c>
      <c r="B18" s="26" t="s">
        <v>55</v>
      </c>
      <c r="C18" s="26" t="s">
        <v>56</v>
      </c>
      <c r="D18" s="26" t="s">
        <v>93</v>
      </c>
      <c r="E18" s="27" t="n">
        <v>1</v>
      </c>
      <c r="F18" s="28" t="n">
        <v>1810</v>
      </c>
      <c r="G18" s="28" t="n">
        <v>1810</v>
      </c>
      <c r="H18" s="26" t="s">
        <v>94</v>
      </c>
    </row>
    <row r="19" customFormat="false" ht="27.75" hidden="false" customHeight="true" outlineLevel="0" collapsed="false">
      <c r="A19" s="32" t="s">
        <v>95</v>
      </c>
      <c r="B19" s="32"/>
      <c r="C19" s="32"/>
      <c r="D19" s="32"/>
      <c r="E19" s="33"/>
      <c r="F19" s="34"/>
      <c r="G19" s="34" t="n">
        <f aca="false">SUM(G15:G18)</f>
        <v>12000</v>
      </c>
      <c r="H19" s="32" t="s">
        <v>96</v>
      </c>
    </row>
    <row r="22" customFormat="false" ht="15" hidden="false" customHeight="false" outlineLevel="0" collapsed="false">
      <c r="A22" s="7" t="s">
        <v>97</v>
      </c>
    </row>
    <row r="23" customFormat="false" ht="15" hidden="false" customHeight="true" outlineLevel="0" collapsed="false">
      <c r="A23" s="35" t="s">
        <v>98</v>
      </c>
      <c r="B23" s="35"/>
      <c r="C23" s="35"/>
      <c r="D23" s="35"/>
      <c r="E23" s="35"/>
      <c r="F23" s="35"/>
      <c r="G23" s="35"/>
      <c r="H23" s="35"/>
    </row>
    <row r="24" customFormat="false" ht="15" hidden="false" customHeight="false" outlineLevel="0" collapsed="false">
      <c r="A24" s="35"/>
      <c r="B24" s="35"/>
      <c r="C24" s="35"/>
      <c r="D24" s="35"/>
      <c r="E24" s="35"/>
      <c r="F24" s="35"/>
      <c r="G24" s="35"/>
      <c r="H24" s="35"/>
    </row>
    <row r="25" customFormat="false" ht="15" hidden="false" customHeight="false" outlineLevel="0" collapsed="false">
      <c r="A25" s="7" t="s">
        <v>99</v>
      </c>
    </row>
    <row r="26" customFormat="false" ht="15" hidden="false" customHeight="true" outlineLevel="0" collapsed="false">
      <c r="A26" s="35" t="s">
        <v>100</v>
      </c>
      <c r="B26" s="35"/>
      <c r="C26" s="35"/>
      <c r="D26" s="35"/>
      <c r="E26" s="35"/>
      <c r="F26" s="35"/>
      <c r="G26" s="35"/>
      <c r="H26" s="35"/>
    </row>
    <row r="27" customFormat="false" ht="15" hidden="false" customHeight="false" outlineLevel="0" collapsed="false">
      <c r="A27" s="35"/>
      <c r="B27" s="35"/>
      <c r="C27" s="35"/>
      <c r="D27" s="35"/>
      <c r="E27" s="35"/>
      <c r="F27" s="35"/>
      <c r="G27" s="35"/>
      <c r="H27" s="35"/>
    </row>
  </sheetData>
  <mergeCells count="5">
    <mergeCell ref="A1:H1"/>
    <mergeCell ref="B3:H3"/>
    <mergeCell ref="B4:H4"/>
    <mergeCell ref="A23:H24"/>
    <mergeCell ref="A26:H27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&amp;CMarlowe Engineering | Claim Options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8"/>
    <col collapsed="false" customWidth="true" hidden="false" outlineLevel="0" max="3" min="3" style="0" width="125"/>
  </cols>
  <sheetData>
    <row r="1" customFormat="false" ht="27.75" hidden="false" customHeight="true" outlineLevel="0" collapsed="false">
      <c r="A1" s="1" t="s">
        <v>101</v>
      </c>
      <c r="B1" s="1"/>
      <c r="C1" s="1"/>
      <c r="D1" s="1"/>
      <c r="E1" s="1"/>
      <c r="F1" s="1"/>
    </row>
    <row r="4" customFormat="false" ht="27" hidden="false" customHeight="true" outlineLevel="0" collapsed="false">
      <c r="A4" s="8" t="s">
        <v>102</v>
      </c>
      <c r="B4" s="8" t="s">
        <v>103</v>
      </c>
      <c r="C4" s="8" t="s">
        <v>104</v>
      </c>
      <c r="D4" s="8"/>
      <c r="E4" s="8"/>
      <c r="F4" s="8"/>
    </row>
    <row r="5" customFormat="false" ht="42.75" hidden="false" customHeight="true" outlineLevel="0" collapsed="false">
      <c r="A5" s="36" t="s">
        <v>105</v>
      </c>
      <c r="B5" s="37" t="s">
        <v>106</v>
      </c>
      <c r="C5" s="37" t="s">
        <v>107</v>
      </c>
    </row>
    <row r="6" customFormat="false" ht="42.75" hidden="false" customHeight="true" outlineLevel="0" collapsed="false">
      <c r="A6" s="36" t="s">
        <v>105</v>
      </c>
      <c r="B6" s="37" t="s">
        <v>108</v>
      </c>
      <c r="C6" s="37" t="s">
        <v>109</v>
      </c>
    </row>
    <row r="7" customFormat="false" ht="54" hidden="false" customHeight="true" outlineLevel="0" collapsed="false">
      <c r="A7" s="36" t="s">
        <v>105</v>
      </c>
      <c r="B7" s="37" t="s">
        <v>110</v>
      </c>
      <c r="C7" s="37" t="s">
        <v>111</v>
      </c>
    </row>
    <row r="8" customFormat="false" ht="54" hidden="false" customHeight="true" outlineLevel="0" collapsed="false">
      <c r="A8" s="38" t="s">
        <v>112</v>
      </c>
      <c r="B8" s="39" t="s">
        <v>113</v>
      </c>
      <c r="C8" s="39" t="s">
        <v>114</v>
      </c>
    </row>
    <row r="9" customFormat="false" ht="54" hidden="false" customHeight="true" outlineLevel="0" collapsed="false">
      <c r="A9" s="40" t="s">
        <v>115</v>
      </c>
      <c r="B9" s="41" t="s">
        <v>116</v>
      </c>
      <c r="C9" s="41" t="s">
        <v>117</v>
      </c>
    </row>
    <row r="10" customFormat="false" ht="54" hidden="false" customHeight="true" outlineLevel="0" collapsed="false">
      <c r="A10" s="36" t="s">
        <v>105</v>
      </c>
      <c r="B10" s="37" t="s">
        <v>118</v>
      </c>
      <c r="C10" s="37" t="s">
        <v>119</v>
      </c>
    </row>
    <row r="11" customFormat="false" ht="54" hidden="false" customHeight="true" outlineLevel="0" collapsed="false">
      <c r="A11" s="38" t="s">
        <v>112</v>
      </c>
      <c r="B11" s="39" t="s">
        <v>120</v>
      </c>
      <c r="C11" s="39" t="s">
        <v>121</v>
      </c>
    </row>
    <row r="12" customFormat="false" ht="42.75" hidden="false" customHeight="true" outlineLevel="0" collapsed="false">
      <c r="A12" s="36" t="s">
        <v>122</v>
      </c>
      <c r="B12" s="37" t="s">
        <v>123</v>
      </c>
      <c r="C12" s="37" t="s">
        <v>124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&amp;CMarlowe Engineering | Method Sources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2026-08-17T08:26:28Z</dcterms:created>
  <dc:creator>openpyxl</dc:creator>
  <dc:description/>
  <dc:language>en-US</dc:language>
  <cp:lastModifiedBy/>
  <dcterms:modified xsi:type="dcterms:W3CDTF">2026-08-17T08:26:28Z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