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Executive Decision" sheetId="1" state="visible" r:id="rId3"/>
    <sheet name="Calculation &amp; Evidence" sheetId="2" state="visible" r:id="rId4"/>
    <sheet name="Jurisdiction Compare" sheetId="3" state="visible" r:id="rId5"/>
    <sheet name="Method &amp; Limitations" sheetId="4" state="visible" r:id="rId6"/>
    <sheet name="Source - Deal Terms" sheetId="5" state="visible" r:id="rId7"/>
    <sheet name="Source - Exchange Economics" sheetId="6" state="visible" r:id="rId8"/>
    <sheet name="Source - Servicer History" sheetId="7" state="visible" r:id="rId9"/>
    <sheet name="Source - Jurisdictions" sheetId="8" state="visible" r:id="rId10"/>
    <sheet name="Source - Correspondence"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<sst xmlns="http://schemas.openxmlformats.org/spreadsheetml/2006/main" count="315" uniqueCount="216">
  <si>
    <t xml:space="preserve">HALSTEAD ROW CAPITAL | ASSUMPTION RECOMMENDATION</t>
  </si>
  <si>
    <t xml:space="preserve">Prepared by Ottavia Renner for Hedda Crowther and Kaia Moravec | IC review 3:00 p.m. tomorrow</t>
  </si>
  <si>
    <t xml:space="preserve">DECISION</t>
  </si>
  <si>
    <t xml:space="preserve">REQUOTE THE DEAL unless the buyer accepts an exchange-protection condition tied to written servicer consent.</t>
  </si>
  <si>
    <t xml:space="preserve">Decision item</t>
  </si>
  <si>
    <t xml:space="preserve">Readout</t>
  </si>
  <si>
    <t xml:space="preserve">Property</t>
  </si>
  <si>
    <t xml:space="preserve">96,000-square-foot distribution building</t>
  </si>
  <si>
    <t xml:space="preserve">Buyer structure</t>
  </si>
  <si>
    <t xml:space="preserve">Assume existing CMBS loan; no refinance</t>
  </si>
  <si>
    <t xml:space="preserve">Exchange status</t>
  </si>
  <si>
    <t xml:space="preserve">Day 31 on 18-Aug-2026; deadline 19-Sep-2026</t>
  </si>
  <si>
    <t xml:space="preserve">Reconciled history</t>
  </si>
  <si>
    <t xml:space="preserve">7 consent-by-deadline / 11 individual cases</t>
  </si>
  <si>
    <t xml:space="preserve">Consent probability</t>
  </si>
  <si>
    <t xml:space="preserve">Recognized-gain exposure if exchange fails</t>
  </si>
  <si>
    <t xml:space="preserve">Probability-weighted downside (36.4% failure × $4.85m)</t>
  </si>
  <si>
    <t xml:space="preserve">Decision lens</t>
  </si>
  <si>
    <t xml:space="preserve">Exchange protection: a 36.4% modeled failure chance is material against the seller exposure.</t>
  </si>
  <si>
    <t xml:space="preserve">Rationale</t>
  </si>
  <si>
    <t xml:space="preserve">The reconciled 11-case history yields 7 timely consents (63.6%), so modeled failure is 4/11 (36.4%). Applied to the supplied recognized-gain exposure, expected downside is $1.764m. Because the seller is already day 31, use an exchange-protection lens: requote or condition the offer on written consent before the 19-Sep deadline.</t>
  </si>
  <si>
    <t xml:space="preserve">NEXT ACTION</t>
  </si>
  <si>
    <t xml:space="preserve">Ottavia Renner: obtain written servicer consent package from Milena Ferreira and deliver the Sunderly Authority transfer package by 05-Sep-2026 (at least 10 business days before deadline); request Quillhaven Trading Company complete its assumption certificate and disclosure acknowledgment by 04-Sep-2026 (15 calendar days before closing milestone). Requote immediately if either milestone is missed.</t>
  </si>
  <si>
    <t xml:space="preserve">CALCULATION &amp; EVIDENCE</t>
  </si>
  <si>
    <t xml:space="preserve">Observed source facts, reconciled classifications, and derived figures</t>
  </si>
  <si>
    <t xml:space="preserve">Case ID</t>
  </si>
  <si>
    <t xml:space="preserve">Packet</t>
  </si>
  <si>
    <t xml:space="preserve">Cases in packet</t>
  </si>
  <si>
    <t xml:space="preserve">Source outcome</t>
  </si>
  <si>
    <t xml:space="preserve">Completion date</t>
  </si>
  <si>
    <t xml:space="preserve">Notes override / treatment</t>
  </si>
  <si>
    <t xml:space="preserve">In scope?</t>
  </si>
  <si>
    <t xml:space="preserve">Consent by 19-Sep-2026?</t>
  </si>
  <si>
    <t xml:space="preserve">C-001</t>
  </si>
  <si>
    <t xml:space="preserve">PK-101</t>
  </si>
  <si>
    <t xml:space="preserve">Approved</t>
  </si>
  <si>
    <t xml:space="preserve">None</t>
  </si>
  <si>
    <t xml:space="preserve">Yes</t>
  </si>
  <si>
    <t xml:space="preserve">C-002</t>
  </si>
  <si>
    <t xml:space="preserve">C-003</t>
  </si>
  <si>
    <t xml:space="preserve">PK-102</t>
  </si>
  <si>
    <t xml:space="preserve">Withdrawn</t>
  </si>
  <si>
    <t xml:space="preserve">Withdrawn outcome; no consent</t>
  </si>
  <si>
    <t xml:space="preserve">No</t>
  </si>
  <si>
    <t xml:space="preserve">C-004</t>
  </si>
  <si>
    <t xml:space="preserve">PK-103</t>
  </si>
  <si>
    <t xml:space="preserve">Note controls: conditional approval withdrawn 15-Jul</t>
  </si>
  <si>
    <t xml:space="preserve">C-005</t>
  </si>
  <si>
    <t xml:space="preserve">C-006</t>
  </si>
  <si>
    <t xml:space="preserve">PK-104</t>
  </si>
  <si>
    <t xml:space="preserve">Duplicate upload reconciled to one case</t>
  </si>
  <si>
    <t xml:space="preserve">C-007</t>
  </si>
  <si>
    <t xml:space="preserve">PK-105</t>
  </si>
  <si>
    <t xml:space="preserve">C-008</t>
  </si>
  <si>
    <t xml:space="preserve">C-009</t>
  </si>
  <si>
    <t xml:space="preserve">PK-106</t>
  </si>
  <si>
    <t xml:space="preserve">C-010</t>
  </si>
  <si>
    <t xml:space="preserve">PK-107</t>
  </si>
  <si>
    <t xml:space="preserve">Late completion; after deadline</t>
  </si>
  <si>
    <t xml:space="preserve">C-011</t>
  </si>
  <si>
    <t xml:space="preserve">PK-108</t>
  </si>
  <si>
    <t xml:space="preserve">Cancelled</t>
  </si>
  <si>
    <t xml:space="preserve">Cancelled; no consent</t>
  </si>
  <si>
    <t xml:space="preserve">Derived metric</t>
  </si>
  <si>
    <t xml:space="preserve">Formula / source relationship</t>
  </si>
  <si>
    <t xml:space="preserve">Result</t>
  </si>
  <si>
    <t xml:space="preserve">Reconciled individual cases</t>
  </si>
  <si>
    <t xml:space="preserve">Count unique Case ID in scope; duplicate C-006 counted once</t>
  </si>
  <si>
    <t xml:space="preserve">Timely consents</t>
  </si>
  <si>
    <t xml:space="preserve">Count rows marked Yes in final column</t>
  </si>
  <si>
    <t xml:space="preserve">Consent-by-deadline probability</t>
  </si>
  <si>
    <t xml:space="preserve">Timely consents / reconciled cases</t>
  </si>
  <si>
    <t xml:space="preserve">Modeled failure probability</t>
  </si>
  <si>
    <t xml:space="preserve">1 - consent probability</t>
  </si>
  <si>
    <t xml:space="preserve">Exchange Economics source; consequence, not property value or loan balance</t>
  </si>
  <si>
    <t xml:space="preserve">Probability-weighted downside</t>
  </si>
  <si>
    <t xml:space="preserve">Failure probability × recognized-gain exposure</t>
  </si>
  <si>
    <t xml:space="preserve">JURISDICTION COMPARISON</t>
  </si>
  <si>
    <t xml:space="preserve">Supplied requirements only; transaction implications are analyst judgments.</t>
  </si>
  <si>
    <t xml:space="preserve">Jurisdiction / party</t>
  </si>
  <si>
    <t xml:space="preserve">Observed requirement</t>
  </si>
  <si>
    <t xml:space="preserve">Source timing</t>
  </si>
  <si>
    <t xml:space="preserve">Analyst transaction implication</t>
  </si>
  <si>
    <t xml:space="preserve">Sunderly Authority</t>
  </si>
  <si>
    <t xml:space="preserve">Written servicer consent included with transfer submission; closing notice accompanies deed filing.</t>
  </si>
  <si>
    <t xml:space="preserve">Consent package at least 10 business days before closing.</t>
  </si>
  <si>
    <t xml:space="preserve">Consent must be obtained before the 19-Sep exchange deadline; missing package can block scheduled transfer.</t>
  </si>
  <si>
    <t xml:space="preserve">Quillhaven Trading Company</t>
  </si>
  <si>
    <t xml:space="preserve">Signed assumption certificate and lender disclosure acknowledgment.</t>
  </si>
  <si>
    <t xml:space="preserve">Due 15 calendar days before closing.</t>
  </si>
  <si>
    <t xml:space="preserve">Buyer paperwork is an earlier gating item; require delivery before pursuing final consent.</t>
  </si>
  <si>
    <t xml:space="preserve">Unresolved</t>
  </si>
  <si>
    <t xml:space="preserve">Source does not state legal or tax requirements beyond these entries.</t>
  </si>
  <si>
    <t xml:space="preserve">No external requirements modeled; confirm with transaction counsel if facts change.</t>
  </si>
  <si>
    <t xml:space="preserve">METHOD &amp; LIMITATIONS</t>
  </si>
  <si>
    <t xml:space="preserve">How the recommendation was derived and where the record is limited</t>
  </si>
  <si>
    <t xml:space="preserve">Topic</t>
  </si>
  <si>
    <t xml:space="preserve">Disclosure</t>
  </si>
  <si>
    <t xml:space="preserve">Source boundary</t>
  </si>
  <si>
    <t xml:space="preserve">Halstead_Row_assumption_packet.xlsx is the complete source of truth. No live rates, market data, internet research, tax opinions, or invented facts used.</t>
  </si>
  <si>
    <t xml:space="preserve">Unit interpretation</t>
  </si>
  <si>
    <t xml:space="preserve">The packet / bundle field is a submission container. The model counts individual Case IDs; PK-101 contains three individual cases and packet counts never replace the 11-case denominator.</t>
  </si>
  <si>
    <t xml:space="preserve">Duplicate reconciliation</t>
  </si>
  <si>
    <t xml:space="preserve">Rows sharing the same Case ID represent one individual case when correspondence identifies a duplicate upload. C-006 appears twice in source history and is counted once.</t>
  </si>
  <si>
    <t xml:space="preserve">Free-text overrides</t>
  </si>
  <si>
    <t xml:space="preserve">Where Notes explicitly conflict with a main column, Notes control. C-004 is classified withdrawn because the note says conditional approval was withdrawn on 15-Jul-2026.</t>
  </si>
  <si>
    <t xml:space="preserve">Retired helper field</t>
  </si>
  <si>
    <t xml:space="preserve">The source Retired helper: by deadline? column is stale and not authoritative. Dated completion dates, outcomes, duplicate treatment, and note overrides control the probability.</t>
  </si>
  <si>
    <t xml:space="preserve">Probability</t>
  </si>
  <si>
    <t xml:space="preserve">7 timely consents / 11 reconciled in-scope individual cases = 63.6%; numerator includes only completed consent on or before 19-Sep-2026. C-010 completed after deadline; withdrawn/cancelled cases are failures.</t>
  </si>
  <si>
    <t xml:space="preserve">Downside</t>
  </si>
  <si>
    <t xml:space="preserve">Recognized-gain exposure if exchange fails is $4,850,000 from Exchange Economics. It is a consequence of a failed exchange, not property value or loan balance. Expected downside = 36.4% failure probability × $4.85m = $1,763,636.</t>
  </si>
  <si>
    <t xml:space="preserve">Exchange protection is selected because the seller is day 31 and the source states a material recognized-gain consequence. Requote unless consent is secured or the buyer accepts a consent condition.</t>
  </si>
  <si>
    <t xml:space="preserve">Limitations</t>
  </si>
  <si>
    <t xml:space="preserve">History sample is thin (11 cases) and cannot establish a statistically robust population estimate. Jurisdiction content is supplied comparison material only; unresolved legal, tax, financing, and market questions remain blank.</t>
  </si>
  <si>
    <t xml:space="preserve">Traceability</t>
  </si>
  <si>
    <t xml:space="preserve">Source tabs reproduce the packet groups without overwriting observed values. Calculations cite source sheet names and retain source counterparties Halstead Row Capital, Sunderly Authority, Quillhaven Trading Company, Milena Ferreira, and Esperanza Havlicek.</t>
  </si>
  <si>
    <t xml:space="preserve">Halstead Row Capital | Executed Deal Terms</t>
  </si>
  <si>
    <t xml:space="preserve">Source packet - signed terms; values are observed facts.</t>
  </si>
  <si>
    <t xml:space="preserve">Field</t>
  </si>
  <si>
    <t xml:space="preserve">Value</t>
  </si>
  <si>
    <t xml:space="preserve">Source note</t>
  </si>
  <si>
    <t xml:space="preserve">Owner / broker</t>
  </si>
  <si>
    <t xml:space="preserve">Ottavia Renner</t>
  </si>
  <si>
    <t xml:space="preserve">Halstead Row Capital transaction broker</t>
  </si>
  <si>
    <t xml:space="preserve">Seller decision sponsors</t>
  </si>
  <si>
    <t xml:space="preserve">Hedda Crowther; Kaia Moravec</t>
  </si>
  <si>
    <t xml:space="preserve">Investment committee stakeholders</t>
  </si>
  <si>
    <t xml:space="preserve">Distribution building</t>
  </si>
  <si>
    <t xml:space="preserve">Executed term sheet</t>
  </si>
  <si>
    <t xml:space="preserve">Property size (sq ft)</t>
  </si>
  <si>
    <t xml:space="preserve">Assume existing CMBS loan</t>
  </si>
  <si>
    <t xml:space="preserve">Buyer offer condition; refinance is not proposed</t>
  </si>
  <si>
    <t xml:space="preserve">Exchange clock start</t>
  </si>
  <si>
    <t xml:space="preserve">1031 exchange start date in packet</t>
  </si>
  <si>
    <t xml:space="preserve">Current status date</t>
  </si>
  <si>
    <t xml:space="preserve">Day 31 of exchange window</t>
  </si>
  <si>
    <t xml:space="preserve">Elapsed exchange days</t>
  </si>
  <si>
    <t xml:space="preserve">As stated in correspondence</t>
  </si>
  <si>
    <t xml:space="preserve">Exchange deadline</t>
  </si>
  <si>
    <t xml:space="preserve">Consent and closing milestone supplied for this review</t>
  </si>
  <si>
    <t xml:space="preserve">Purchase price</t>
  </si>
  <si>
    <t xml:space="preserve">Signed offer economics</t>
  </si>
  <si>
    <t xml:space="preserve">Existing CMBS loan balance</t>
  </si>
  <si>
    <t xml:space="preserve">Loan statement included in signed terms</t>
  </si>
  <si>
    <t xml:space="preserve">Counterparty</t>
  </si>
  <si>
    <t xml:space="preserve">Buyer named in offer</t>
  </si>
  <si>
    <t xml:space="preserve">Jurisdiction authority</t>
  </si>
  <si>
    <t xml:space="preserve">Authority named in requirements and correspondence</t>
  </si>
  <si>
    <t xml:space="preserve">1031 Exchange Economics</t>
  </si>
  <si>
    <t xml:space="preserve">Source packet - seller exposure if exchange fails.</t>
  </si>
  <si>
    <t xml:space="preserve">Metric</t>
  </si>
  <si>
    <t xml:space="preserve">Amount / value</t>
  </si>
  <si>
    <t xml:space="preserve">Definition</t>
  </si>
  <si>
    <t xml:space="preserve">Sale proceeds / relinquished value</t>
  </si>
  <si>
    <t xml:space="preserve">Signed deal economics</t>
  </si>
  <si>
    <t xml:space="preserve">Replacement property value</t>
  </si>
  <si>
    <t xml:space="preserve">Identified replacement asset in packet</t>
  </si>
  <si>
    <t xml:space="preserve">Debt assumed by buyer</t>
  </si>
  <si>
    <t xml:space="preserve">Exchange-qualified reinvestment</t>
  </si>
  <si>
    <t xml:space="preserve">Source calculation</t>
  </si>
  <si>
    <t xml:space="preserve">Recognized gain if exchange fails</t>
  </si>
  <si>
    <t xml:space="preserve">Seller tax exposure stated by source; consequence of blown exchange</t>
  </si>
  <si>
    <t xml:space="preserve">Exchange failure downside basis</t>
  </si>
  <si>
    <t xml:space="preserve">Use recognized-gain exposure for decision comparison</t>
  </si>
  <si>
    <t xml:space="preserve">Servicer Assumption History</t>
  </si>
  <si>
    <t xml:space="preserve">Source packet - recent submissions; packet fields are not individual-case counts.</t>
  </si>
  <si>
    <t xml:space="preserve">History row</t>
  </si>
  <si>
    <t xml:space="preserve">Packet / bundle</t>
  </si>
  <si>
    <t xml:space="preserve">Main outcome</t>
  </si>
  <si>
    <t xml:space="preserve">Main completion date</t>
  </si>
  <si>
    <t xml:space="preserve">Notes / exception</t>
  </si>
  <si>
    <t xml:space="preserve">Retired helper: by deadline?</t>
  </si>
  <si>
    <t xml:space="preserve">Applicant withdrew before consent.</t>
  </si>
  <si>
    <t xml:space="preserve">Approval was conditional, then withdrawn 2026-07-15; treat as withdrawn.</t>
  </si>
  <si>
    <t xml:space="preserve">Duplicate upload of row 6; retain one individual case.</t>
  </si>
  <si>
    <t xml:space="preserve">Completed after the supplied deadline.</t>
  </si>
  <si>
    <t xml:space="preserve">Cancelled by sponsor; no consent.</t>
  </si>
  <si>
    <t xml:space="preserve">Supplied Jurisdiction Requirements</t>
  </si>
  <si>
    <t xml:space="preserve">Source packet - comparison supplied by transaction team; not external legal research.</t>
  </si>
  <si>
    <t xml:space="preserve">Named jurisdiction / party</t>
  </si>
  <si>
    <t xml:space="preserve">Requirement in packet</t>
  </si>
  <si>
    <t xml:space="preserve">Timing / evidence</t>
  </si>
  <si>
    <t xml:space="preserve">Transaction relevance</t>
  </si>
  <si>
    <t xml:space="preserve">Written servicer consent must be included with transfer submission.</t>
  </si>
  <si>
    <t xml:space="preserve">Submit consent package at least 10 business days before closing.</t>
  </si>
  <si>
    <t xml:space="preserve">Missing consent package can prevent scheduled transfer.</t>
  </si>
  <si>
    <t xml:space="preserve">Buyer must deliver signed assumption certificate and lender disclosure acknowledgment.</t>
  </si>
  <si>
    <t xml:space="preserve">Documents due 15 calendar days before closing.</t>
  </si>
  <si>
    <t xml:space="preserve">Buyer document lag compresses the remaining consent window.</t>
  </si>
  <si>
    <t xml:space="preserve">Closing notice to authority accompanies deed transfer filing.</t>
  </si>
  <si>
    <t xml:space="preserve">Notice filed before closing; source does not specify additional days.</t>
  </si>
  <si>
    <t xml:space="preserve">Coordinate notice with consent and closing package.</t>
  </si>
  <si>
    <t xml:space="preserve">Packet requests no additional authority filing beyond lender and disclosure documents.</t>
  </si>
  <si>
    <t xml:space="preserve">As stated in supplied comparison.</t>
  </si>
  <si>
    <t xml:space="preserve">No extra filing is modeled; unresolved if facts change.</t>
  </si>
  <si>
    <t xml:space="preserve">Correspondence &amp; Interview Notes</t>
  </si>
  <si>
    <t xml:space="preserve">Source packet - participant context and exceptions.</t>
  </si>
  <si>
    <t xml:space="preserve">Date</t>
  </si>
  <si>
    <t xml:space="preserve">From / to</t>
  </si>
  <si>
    <t xml:space="preserve">Subject</t>
  </si>
  <si>
    <t xml:space="preserve">Text</t>
  </si>
  <si>
    <t xml:space="preserve">Ottavia Renner -&gt; Hedda Crowther</t>
  </si>
  <si>
    <t xml:space="preserve">IC timing</t>
  </si>
  <si>
    <t xml:space="preserve">Seller is day 31; consent must be in hand before the 19-Sep exchange deadline.</t>
  </si>
  <si>
    <t xml:space="preserve">Milena Ferreira (servicer) -&gt; Ottavia Renner</t>
  </si>
  <si>
    <t xml:space="preserve">Recent history clarification</t>
  </si>
  <si>
    <t xml:space="preserve">Rows with the same case ID are duplicate uploads, not separate assumptions. Packet PK-101 contains three individual cases.</t>
  </si>
  <si>
    <t xml:space="preserve">Esperanza Havlicek -&gt; Ottavia Renner</t>
  </si>
  <si>
    <t xml:space="preserve">C-004 exception</t>
  </si>
  <si>
    <t xml:space="preserve">C-004 conditional approval was withdrawn on 15-Jul; status should be withdrawn.</t>
  </si>
  <si>
    <t xml:space="preserve">Kaia Moravec -&gt; Ottavia Renner</t>
  </si>
  <si>
    <t xml:space="preserve">Please show the dollar exposure if the exchange fails so we can decide whether to requote.</t>
  </si>
  <si>
    <t xml:space="preserve">Hedda Crowther -&gt; Ottavia Renner</t>
  </si>
  <si>
    <t xml:space="preserve">Counterparty path</t>
  </si>
  <si>
    <t xml:space="preserve">Quillhaven Trading Company remains buyer; Sunderly Authority is the named authority for the transfer.</t>
  </si>
</sst>
</file>

<file path=xl/styles.xml><?xml version="1.0" encoding="utf-8"?>
<styleSheet xmlns="http://schemas.openxmlformats.org/spreadsheetml/2006/main">
  <numFmts count="5">
    <numFmt numFmtId="164" formatCode="General"/>
    <numFmt numFmtId="165" formatCode="0.0%"/>
    <numFmt numFmtId="166" formatCode="\$#,##0"/>
    <numFmt numFmtId="167" formatCode="yyyy\-mm\-dd"/>
    <numFmt numFmtId="168" formatCode="#,##0"/>
  </numFmts>
  <fonts count="10">
    <font>
      <sz val="11"/>
      <color theme="1"/>
      <name val="Calibri"/>
      <family val="2"/>
      <charset val="1"/>
    </font>
    <font>
      <sz val="10"/>
      <name val="Arial"/>
      <family val="0"/>
    </font>
    <font>
      <sz val="10"/>
      <name val="Arial"/>
      <family val="0"/>
    </font>
    <font>
      <sz val="10"/>
      <name val="Arial"/>
      <family val="0"/>
    </font>
    <font>
      <b val="true"/>
      <sz val="16"/>
      <color rgb="FFFFFFFF"/>
      <name val="Cambria"/>
      <family val="0"/>
      <charset val="1"/>
    </font>
    <font>
      <i val="true"/>
      <sz val="11"/>
      <color rgb="FF666666"/>
      <name val="Cambria"/>
      <family val="0"/>
      <charset val="1"/>
    </font>
    <font>
      <b val="true"/>
      <sz val="14"/>
      <color rgb="FFFFFFFF"/>
      <name val="Cambria"/>
      <family val="0"/>
      <charset val="1"/>
    </font>
    <font>
      <b val="true"/>
      <sz val="13"/>
      <color rgb="FFC00000"/>
      <name val="Cambria"/>
      <family val="0"/>
      <charset val="1"/>
    </font>
    <font>
      <b val="true"/>
      <sz val="11"/>
      <color rgb="FFFFFFFF"/>
      <name val="Cambria"/>
      <family val="0"/>
      <charset val="1"/>
    </font>
    <font>
      <b val="true"/>
      <sz val="11"/>
      <color rgb="FF17365D"/>
      <name val="Cambria"/>
      <family val="0"/>
      <charset val="1"/>
    </font>
  </fonts>
  <fills count="4">
    <fill>
      <patternFill patternType="none"/>
    </fill>
    <fill>
      <patternFill patternType="gray125"/>
    </fill>
    <fill>
      <patternFill patternType="solid">
        <fgColor rgb="FF17365D"/>
        <bgColor rgb="FF333333"/>
      </patternFill>
    </fill>
    <fill>
      <patternFill patternType="solid">
        <fgColor rgb="FFC00000"/>
        <bgColor rgb="FF800000"/>
      </patternFill>
    </fill>
  </fills>
  <borders count="2">
    <border diagonalUp="false" diagonalDown="false">
      <left/>
      <right/>
      <top/>
      <bottom/>
      <diagonal/>
    </border>
    <border diagonalUp="false" diagonalDown="false">
      <left/>
      <right/>
      <top/>
      <bottom style="thin">
        <color rgb="FFB7C9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3"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7" fontId="0" fillId="0" borderId="0" xfId="0" applyFont="fals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8"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C9D6"/>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7365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35"/>
    <col collapsed="false" customWidth="true" hidden="false" outlineLevel="0" max="8" min="3" style="0" width="15"/>
  </cols>
  <sheetData>
    <row r="1" customFormat="false" ht="20.1" hidden="false" customHeight="true" outlineLevel="0" collapsed="false">
      <c r="A1" s="1" t="s">
        <v>0</v>
      </c>
      <c r="B1" s="1"/>
      <c r="C1" s="1"/>
      <c r="D1" s="1"/>
      <c r="E1" s="1"/>
      <c r="F1" s="1"/>
      <c r="G1" s="1"/>
      <c r="H1" s="1"/>
    </row>
    <row r="2" customFormat="false" ht="15" hidden="false" customHeight="true" outlineLevel="0" collapsed="false">
      <c r="A2" s="2" t="s">
        <v>1</v>
      </c>
      <c r="B2" s="2"/>
      <c r="C2" s="2"/>
      <c r="D2" s="2"/>
      <c r="E2" s="2"/>
      <c r="F2" s="2"/>
      <c r="G2" s="2"/>
      <c r="H2" s="2"/>
    </row>
    <row r="3" customFormat="false" ht="15" hidden="false" customHeight="false" outlineLevel="0" collapsed="false">
      <c r="A3" s="3"/>
      <c r="B3" s="3"/>
      <c r="C3" s="3"/>
      <c r="D3" s="3"/>
      <c r="E3" s="3"/>
      <c r="F3" s="3"/>
      <c r="G3" s="3"/>
      <c r="H3" s="3"/>
    </row>
    <row r="4" customFormat="false" ht="17.9" hidden="false" customHeight="true" outlineLevel="0" collapsed="false">
      <c r="A4" s="4" t="s">
        <v>2</v>
      </c>
      <c r="B4" s="4"/>
      <c r="C4" s="4"/>
      <c r="D4" s="4"/>
      <c r="E4" s="4"/>
      <c r="F4" s="4"/>
      <c r="G4" s="4"/>
      <c r="H4" s="4"/>
    </row>
    <row r="5" customFormat="false" ht="31.5" hidden="false" customHeight="true" outlineLevel="0" collapsed="false">
      <c r="A5" s="5" t="s">
        <v>3</v>
      </c>
      <c r="B5" s="5"/>
      <c r="C5" s="5"/>
      <c r="D5" s="5"/>
      <c r="E5" s="5"/>
      <c r="F5" s="5"/>
      <c r="G5" s="5"/>
      <c r="H5" s="5"/>
    </row>
    <row r="6" customFormat="false" ht="15" hidden="false" customHeight="false" outlineLevel="0" collapsed="false">
      <c r="A6" s="3"/>
      <c r="B6" s="3"/>
      <c r="C6" s="3"/>
      <c r="D6" s="3"/>
      <c r="E6" s="3"/>
      <c r="F6" s="3"/>
      <c r="G6" s="3"/>
      <c r="H6" s="3"/>
    </row>
    <row r="7" customFormat="false" ht="15" hidden="false" customHeight="false" outlineLevel="0" collapsed="false">
      <c r="A7" s="3"/>
      <c r="B7" s="3"/>
      <c r="C7" s="3"/>
      <c r="D7" s="3"/>
      <c r="E7" s="3"/>
      <c r="F7" s="3"/>
      <c r="G7" s="3"/>
      <c r="H7" s="3"/>
    </row>
    <row r="8" customFormat="false" ht="15" hidden="false" customHeight="false" outlineLevel="0" collapsed="false">
      <c r="A8" s="6" t="s">
        <v>4</v>
      </c>
      <c r="B8" s="6" t="s">
        <v>5</v>
      </c>
      <c r="C8" s="3"/>
      <c r="D8" s="3"/>
      <c r="E8" s="3"/>
      <c r="F8" s="3"/>
      <c r="G8" s="3"/>
      <c r="H8" s="3"/>
    </row>
    <row r="9" customFormat="false" ht="15" hidden="false" customHeight="false" outlineLevel="0" collapsed="false">
      <c r="A9" s="7" t="s">
        <v>6</v>
      </c>
      <c r="B9" s="3" t="s">
        <v>7</v>
      </c>
      <c r="C9" s="3"/>
      <c r="D9" s="3"/>
      <c r="E9" s="3"/>
      <c r="F9" s="3"/>
      <c r="G9" s="3"/>
      <c r="H9" s="3"/>
    </row>
    <row r="10" customFormat="false" ht="15" hidden="false" customHeight="false" outlineLevel="0" collapsed="false">
      <c r="A10" s="7" t="s">
        <v>8</v>
      </c>
      <c r="B10" s="3" t="s">
        <v>9</v>
      </c>
      <c r="C10" s="3"/>
      <c r="D10" s="3"/>
      <c r="E10" s="3"/>
      <c r="F10" s="3"/>
      <c r="G10" s="3"/>
      <c r="H10" s="3"/>
    </row>
    <row r="11" customFormat="false" ht="28.35" hidden="false" customHeight="false" outlineLevel="0" collapsed="false">
      <c r="A11" s="7" t="s">
        <v>10</v>
      </c>
      <c r="B11" s="3" t="s">
        <v>11</v>
      </c>
      <c r="C11" s="3"/>
      <c r="D11" s="3"/>
      <c r="E11" s="3"/>
      <c r="F11" s="3"/>
      <c r="G11" s="3"/>
      <c r="H11" s="3"/>
    </row>
    <row r="12" customFormat="false" ht="28.35" hidden="false" customHeight="false" outlineLevel="0" collapsed="false">
      <c r="A12" s="7" t="s">
        <v>12</v>
      </c>
      <c r="B12" s="3" t="s">
        <v>13</v>
      </c>
      <c r="C12" s="3"/>
      <c r="D12" s="3"/>
      <c r="E12" s="3"/>
      <c r="F12" s="3"/>
      <c r="G12" s="3"/>
      <c r="H12" s="3"/>
    </row>
    <row r="13" customFormat="false" ht="15" hidden="false" customHeight="false" outlineLevel="0" collapsed="false">
      <c r="A13" s="7" t="s">
        <v>14</v>
      </c>
      <c r="B13" s="8" t="n">
        <v>0.636363636</v>
      </c>
      <c r="C13" s="3"/>
      <c r="D13" s="3"/>
      <c r="E13" s="3"/>
      <c r="F13" s="3"/>
      <c r="G13" s="3"/>
      <c r="H13" s="3"/>
    </row>
    <row r="14" customFormat="false" ht="28.35" hidden="false" customHeight="false" outlineLevel="0" collapsed="false">
      <c r="A14" s="7" t="s">
        <v>15</v>
      </c>
      <c r="B14" s="9" t="n">
        <v>4850000</v>
      </c>
      <c r="C14" s="3"/>
      <c r="D14" s="3"/>
      <c r="E14" s="3"/>
      <c r="F14" s="3"/>
      <c r="G14" s="3"/>
      <c r="H14" s="3"/>
    </row>
    <row r="15" customFormat="false" ht="28.35" hidden="false" customHeight="false" outlineLevel="0" collapsed="false">
      <c r="A15" s="7" t="s">
        <v>16</v>
      </c>
      <c r="B15" s="9" t="n">
        <v>1763636.36</v>
      </c>
      <c r="C15" s="3"/>
      <c r="D15" s="3"/>
      <c r="E15" s="3"/>
      <c r="F15" s="3"/>
      <c r="G15" s="3"/>
      <c r="H15" s="3"/>
    </row>
    <row r="16" customFormat="false" ht="41.75" hidden="false" customHeight="false" outlineLevel="0" collapsed="false">
      <c r="A16" s="7" t="s">
        <v>17</v>
      </c>
      <c r="B16" s="3" t="s">
        <v>18</v>
      </c>
      <c r="C16" s="3"/>
      <c r="D16" s="3"/>
      <c r="E16" s="3"/>
      <c r="F16" s="3"/>
      <c r="G16" s="3"/>
      <c r="H16" s="3"/>
    </row>
    <row r="17" customFormat="false" ht="15" hidden="false" customHeight="false" outlineLevel="0" collapsed="false">
      <c r="A17" s="3"/>
      <c r="B17" s="3"/>
      <c r="C17" s="3"/>
      <c r="D17" s="3"/>
      <c r="E17" s="3"/>
      <c r="F17" s="3"/>
      <c r="G17" s="3"/>
      <c r="H17" s="3"/>
    </row>
    <row r="18" customFormat="false" ht="15" hidden="false" customHeight="false" outlineLevel="0" collapsed="false">
      <c r="A18" s="7" t="s">
        <v>19</v>
      </c>
      <c r="B18" s="3"/>
      <c r="C18" s="3"/>
      <c r="D18" s="3"/>
      <c r="E18" s="3"/>
      <c r="F18" s="3"/>
      <c r="G18" s="3"/>
      <c r="H18" s="3"/>
    </row>
    <row r="19" customFormat="false" ht="31.5" hidden="false" customHeight="true" outlineLevel="0" collapsed="false">
      <c r="A19" s="10" t="s">
        <v>20</v>
      </c>
      <c r="B19" s="10"/>
      <c r="C19" s="10"/>
      <c r="D19" s="10"/>
      <c r="E19" s="10"/>
      <c r="F19" s="10"/>
      <c r="G19" s="10"/>
      <c r="H19" s="10"/>
    </row>
    <row r="20" customFormat="false" ht="15" hidden="false" customHeight="false" outlineLevel="0" collapsed="false">
      <c r="A20" s="10"/>
      <c r="B20" s="10"/>
      <c r="C20" s="10"/>
      <c r="D20" s="10"/>
      <c r="E20" s="10"/>
      <c r="F20" s="10"/>
      <c r="G20" s="10"/>
      <c r="H20" s="10"/>
    </row>
    <row r="21" customFormat="false" ht="15" hidden="false" customHeight="false" outlineLevel="0" collapsed="false">
      <c r="A21" s="3"/>
      <c r="B21" s="3"/>
      <c r="C21" s="3"/>
      <c r="D21" s="3"/>
      <c r="E21" s="3"/>
      <c r="F21" s="3"/>
      <c r="G21" s="3"/>
      <c r="H21" s="3"/>
    </row>
    <row r="22" customFormat="false" ht="15" hidden="false" customHeight="false" outlineLevel="0" collapsed="false">
      <c r="A22" s="7" t="s">
        <v>21</v>
      </c>
      <c r="B22" s="3"/>
      <c r="C22" s="3"/>
      <c r="D22" s="3"/>
      <c r="E22" s="3"/>
      <c r="F22" s="3"/>
      <c r="G22" s="3"/>
      <c r="H22" s="3"/>
    </row>
    <row r="23" customFormat="false" ht="31.5" hidden="false" customHeight="true" outlineLevel="0" collapsed="false">
      <c r="A23" s="10" t="s">
        <v>22</v>
      </c>
      <c r="B23" s="10"/>
      <c r="C23" s="10"/>
      <c r="D23" s="10"/>
      <c r="E23" s="10"/>
      <c r="F23" s="10"/>
      <c r="G23" s="10"/>
      <c r="H23" s="10"/>
    </row>
    <row r="24" customFormat="false" ht="15" hidden="false" customHeight="false" outlineLevel="0" collapsed="false">
      <c r="A24" s="10"/>
      <c r="B24" s="10"/>
      <c r="C24" s="10"/>
      <c r="D24" s="10"/>
      <c r="E24" s="10"/>
      <c r="F24" s="10"/>
      <c r="G24" s="10"/>
      <c r="H24" s="10"/>
    </row>
  </sheetData>
  <mergeCells count="6">
    <mergeCell ref="A1:H1"/>
    <mergeCell ref="A2:H2"/>
    <mergeCell ref="A4:H4"/>
    <mergeCell ref="A5:H5"/>
    <mergeCell ref="A19:H20"/>
    <mergeCell ref="A23:H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14"/>
    <col collapsed="false" customWidth="true" hidden="false" outlineLevel="0" max="3" min="3" style="0" width="16"/>
    <col collapsed="false" customWidth="true" hidden="false" outlineLevel="0" max="5" min="4" style="0" width="18"/>
    <col collapsed="false" customWidth="true" hidden="false" outlineLevel="0" max="6" min="6" style="0" width="50"/>
    <col collapsed="false" customWidth="true" hidden="false" outlineLevel="0" max="7" min="7" style="0" width="12"/>
    <col collapsed="false" customWidth="true" hidden="false" outlineLevel="0" max="8" min="8" style="0" width="26"/>
  </cols>
  <sheetData>
    <row r="1" customFormat="false" ht="20.1" hidden="false" customHeight="true" outlineLevel="0" collapsed="false">
      <c r="A1" s="1" t="s">
        <v>23</v>
      </c>
      <c r="B1" s="1"/>
      <c r="C1" s="1"/>
      <c r="D1" s="1"/>
      <c r="E1" s="1"/>
      <c r="F1" s="1"/>
      <c r="G1" s="1"/>
      <c r="H1" s="1"/>
    </row>
    <row r="2" customFormat="false" ht="15" hidden="false" customHeight="true" outlineLevel="0" collapsed="false">
      <c r="A2" s="2" t="s">
        <v>24</v>
      </c>
      <c r="B2" s="2"/>
      <c r="C2" s="2"/>
      <c r="D2" s="2"/>
      <c r="E2" s="2"/>
      <c r="F2" s="2"/>
      <c r="G2" s="2"/>
      <c r="H2" s="2"/>
    </row>
    <row r="3" customFormat="false" ht="15" hidden="false" customHeight="false" outlineLevel="0" collapsed="false">
      <c r="A3" s="3"/>
      <c r="B3" s="3"/>
      <c r="C3" s="3"/>
      <c r="D3" s="3"/>
      <c r="E3" s="3"/>
      <c r="F3" s="3"/>
      <c r="G3" s="3"/>
      <c r="H3" s="3"/>
    </row>
    <row r="4" customFormat="false" ht="15" hidden="false" customHeight="false" outlineLevel="0" collapsed="false">
      <c r="A4" s="6" t="s">
        <v>25</v>
      </c>
      <c r="B4" s="6" t="s">
        <v>26</v>
      </c>
      <c r="C4" s="6" t="s">
        <v>27</v>
      </c>
      <c r="D4" s="6" t="s">
        <v>28</v>
      </c>
      <c r="E4" s="6" t="s">
        <v>29</v>
      </c>
      <c r="F4" s="6" t="s">
        <v>30</v>
      </c>
      <c r="G4" s="6" t="s">
        <v>31</v>
      </c>
      <c r="H4" s="6" t="s">
        <v>32</v>
      </c>
    </row>
    <row r="5" customFormat="false" ht="15" hidden="false" customHeight="false" outlineLevel="0" collapsed="false">
      <c r="A5" s="3" t="s">
        <v>33</v>
      </c>
      <c r="B5" s="3" t="s">
        <v>34</v>
      </c>
      <c r="C5" s="3" t="n">
        <v>3</v>
      </c>
      <c r="D5" s="3" t="s">
        <v>35</v>
      </c>
      <c r="E5" s="11" t="n">
        <v>46153</v>
      </c>
      <c r="F5" s="3" t="s">
        <v>36</v>
      </c>
      <c r="G5" s="3" t="s">
        <v>37</v>
      </c>
      <c r="H5" s="3" t="s">
        <v>37</v>
      </c>
    </row>
    <row r="6" customFormat="false" ht="15" hidden="false" customHeight="false" outlineLevel="0" collapsed="false">
      <c r="A6" s="3" t="s">
        <v>38</v>
      </c>
      <c r="B6" s="3" t="s">
        <v>34</v>
      </c>
      <c r="C6" s="3" t="n">
        <v>3</v>
      </c>
      <c r="D6" s="3" t="s">
        <v>35</v>
      </c>
      <c r="E6" s="11" t="n">
        <v>46176</v>
      </c>
      <c r="F6" s="3" t="s">
        <v>36</v>
      </c>
      <c r="G6" s="3" t="s">
        <v>37</v>
      </c>
      <c r="H6" s="3" t="s">
        <v>37</v>
      </c>
    </row>
    <row r="7" customFormat="false" ht="15" hidden="false" customHeight="false" outlineLevel="0" collapsed="false">
      <c r="A7" s="3" t="s">
        <v>39</v>
      </c>
      <c r="B7" s="3" t="s">
        <v>40</v>
      </c>
      <c r="C7" s="3" t="n">
        <v>1</v>
      </c>
      <c r="D7" s="3" t="s">
        <v>41</v>
      </c>
      <c r="E7" s="11" t="n">
        <v>46195</v>
      </c>
      <c r="F7" s="3" t="s">
        <v>42</v>
      </c>
      <c r="G7" s="3" t="s">
        <v>37</v>
      </c>
      <c r="H7" s="3" t="s">
        <v>43</v>
      </c>
    </row>
    <row r="8" customFormat="false" ht="15" hidden="false" customHeight="false" outlineLevel="0" collapsed="false">
      <c r="A8" s="3" t="s">
        <v>44</v>
      </c>
      <c r="B8" s="3" t="s">
        <v>45</v>
      </c>
      <c r="C8" s="3" t="n">
        <v>2</v>
      </c>
      <c r="D8" s="3" t="s">
        <v>35</v>
      </c>
      <c r="E8" s="11" t="n">
        <v>46212</v>
      </c>
      <c r="F8" s="3" t="s">
        <v>46</v>
      </c>
      <c r="G8" s="3" t="s">
        <v>37</v>
      </c>
      <c r="H8" s="3" t="s">
        <v>43</v>
      </c>
    </row>
    <row r="9" customFormat="false" ht="15" hidden="false" customHeight="false" outlineLevel="0" collapsed="false">
      <c r="A9" s="3" t="s">
        <v>47</v>
      </c>
      <c r="B9" s="3" t="s">
        <v>45</v>
      </c>
      <c r="C9" s="3" t="n">
        <v>2</v>
      </c>
      <c r="D9" s="3" t="s">
        <v>35</v>
      </c>
      <c r="E9" s="11" t="n">
        <v>46221</v>
      </c>
      <c r="F9" s="3" t="s">
        <v>36</v>
      </c>
      <c r="G9" s="3" t="s">
        <v>37</v>
      </c>
      <c r="H9" s="3" t="s">
        <v>37</v>
      </c>
    </row>
    <row r="10" customFormat="false" ht="15" hidden="false" customHeight="false" outlineLevel="0" collapsed="false">
      <c r="A10" s="3" t="s">
        <v>48</v>
      </c>
      <c r="B10" s="3" t="s">
        <v>49</v>
      </c>
      <c r="C10" s="3" t="n">
        <v>1</v>
      </c>
      <c r="D10" s="3" t="s">
        <v>35</v>
      </c>
      <c r="E10" s="11" t="n">
        <v>46223</v>
      </c>
      <c r="F10" s="3" t="s">
        <v>50</v>
      </c>
      <c r="G10" s="3" t="s">
        <v>37</v>
      </c>
      <c r="H10" s="3" t="s">
        <v>37</v>
      </c>
    </row>
    <row r="11" customFormat="false" ht="15" hidden="false" customHeight="false" outlineLevel="0" collapsed="false">
      <c r="A11" s="3" t="s">
        <v>51</v>
      </c>
      <c r="B11" s="3" t="s">
        <v>52</v>
      </c>
      <c r="C11" s="3" t="n">
        <v>2</v>
      </c>
      <c r="D11" s="3" t="s">
        <v>35</v>
      </c>
      <c r="E11" s="11" t="n">
        <v>46235</v>
      </c>
      <c r="F11" s="3" t="s">
        <v>36</v>
      </c>
      <c r="G11" s="3" t="s">
        <v>37</v>
      </c>
      <c r="H11" s="3" t="s">
        <v>37</v>
      </c>
    </row>
    <row r="12" customFormat="false" ht="15" hidden="false" customHeight="false" outlineLevel="0" collapsed="false">
      <c r="A12" s="3" t="s">
        <v>53</v>
      </c>
      <c r="B12" s="3" t="s">
        <v>52</v>
      </c>
      <c r="C12" s="3" t="n">
        <v>2</v>
      </c>
      <c r="D12" s="3" t="s">
        <v>35</v>
      </c>
      <c r="E12" s="11" t="n">
        <v>46250</v>
      </c>
      <c r="F12" s="3" t="s">
        <v>36</v>
      </c>
      <c r="G12" s="3" t="s">
        <v>37</v>
      </c>
      <c r="H12" s="3" t="s">
        <v>37</v>
      </c>
    </row>
    <row r="13" customFormat="false" ht="15" hidden="false" customHeight="false" outlineLevel="0" collapsed="false">
      <c r="A13" s="3" t="s">
        <v>54</v>
      </c>
      <c r="B13" s="3" t="s">
        <v>55</v>
      </c>
      <c r="C13" s="3" t="n">
        <v>1</v>
      </c>
      <c r="D13" s="3" t="s">
        <v>35</v>
      </c>
      <c r="E13" s="11" t="n">
        <v>46266</v>
      </c>
      <c r="F13" s="3" t="s">
        <v>36</v>
      </c>
      <c r="G13" s="3" t="s">
        <v>37</v>
      </c>
      <c r="H13" s="3" t="s">
        <v>37</v>
      </c>
    </row>
    <row r="14" customFormat="false" ht="15" hidden="false" customHeight="false" outlineLevel="0" collapsed="false">
      <c r="A14" s="3" t="s">
        <v>56</v>
      </c>
      <c r="B14" s="3" t="s">
        <v>57</v>
      </c>
      <c r="C14" s="3" t="n">
        <v>1</v>
      </c>
      <c r="D14" s="3" t="s">
        <v>35</v>
      </c>
      <c r="E14" s="11" t="n">
        <v>46297</v>
      </c>
      <c r="F14" s="3" t="s">
        <v>58</v>
      </c>
      <c r="G14" s="3" t="s">
        <v>37</v>
      </c>
      <c r="H14" s="3" t="s">
        <v>43</v>
      </c>
    </row>
    <row r="15" customFormat="false" ht="15" hidden="false" customHeight="false" outlineLevel="0" collapsed="false">
      <c r="A15" s="3" t="s">
        <v>59</v>
      </c>
      <c r="B15" s="3" t="s">
        <v>60</v>
      </c>
      <c r="C15" s="3" t="n">
        <v>1</v>
      </c>
      <c r="D15" s="3" t="s">
        <v>61</v>
      </c>
      <c r="E15" s="11" t="n">
        <v>46239</v>
      </c>
      <c r="F15" s="3" t="s">
        <v>62</v>
      </c>
      <c r="G15" s="3" t="s">
        <v>37</v>
      </c>
      <c r="H15" s="3" t="s">
        <v>43</v>
      </c>
    </row>
    <row r="16" customFormat="false" ht="15" hidden="false" customHeight="false" outlineLevel="0" collapsed="false">
      <c r="A16" s="3"/>
      <c r="B16" s="3"/>
      <c r="C16" s="3"/>
      <c r="D16" s="3"/>
      <c r="E16" s="3"/>
      <c r="F16" s="3"/>
      <c r="G16" s="3"/>
      <c r="H16" s="3"/>
    </row>
    <row r="17" customFormat="false" ht="15" hidden="false" customHeight="false" outlineLevel="0" collapsed="false">
      <c r="A17" s="3"/>
      <c r="B17" s="3"/>
      <c r="C17" s="3"/>
      <c r="D17" s="3"/>
      <c r="E17" s="3"/>
      <c r="F17" s="3"/>
      <c r="G17" s="3"/>
      <c r="H17" s="3"/>
    </row>
    <row r="18" customFormat="false" ht="41.75" hidden="false" customHeight="false" outlineLevel="0" collapsed="false">
      <c r="A18" s="6" t="s">
        <v>63</v>
      </c>
      <c r="B18" s="6" t="s">
        <v>64</v>
      </c>
      <c r="C18" s="6" t="s">
        <v>65</v>
      </c>
      <c r="D18" s="3"/>
      <c r="E18" s="3"/>
      <c r="F18" s="3"/>
      <c r="G18" s="3"/>
      <c r="H18" s="3"/>
    </row>
    <row r="19" customFormat="false" ht="68.65" hidden="false" customHeight="false" outlineLevel="0" collapsed="false">
      <c r="A19" s="7" t="s">
        <v>66</v>
      </c>
      <c r="B19" s="3" t="s">
        <v>67</v>
      </c>
      <c r="C19" s="3" t="n">
        <v>11</v>
      </c>
      <c r="D19" s="3"/>
      <c r="E19" s="3"/>
      <c r="F19" s="3"/>
      <c r="G19" s="3"/>
      <c r="H19" s="3"/>
    </row>
    <row r="20" customFormat="false" ht="41.75" hidden="false" customHeight="false" outlineLevel="0" collapsed="false">
      <c r="A20" s="7" t="s">
        <v>68</v>
      </c>
      <c r="B20" s="3" t="s">
        <v>69</v>
      </c>
      <c r="C20" s="3" t="n">
        <v>7</v>
      </c>
      <c r="D20" s="3"/>
      <c r="E20" s="3"/>
      <c r="F20" s="3"/>
      <c r="G20" s="3"/>
      <c r="H20" s="3"/>
    </row>
    <row r="21" customFormat="false" ht="41.75" hidden="false" customHeight="false" outlineLevel="0" collapsed="false">
      <c r="A21" s="7" t="s">
        <v>70</v>
      </c>
      <c r="B21" s="3" t="s">
        <v>71</v>
      </c>
      <c r="C21" s="8" t="n">
        <f aca="false">C20/C19</f>
        <v>0.636363636363636</v>
      </c>
      <c r="D21" s="3"/>
      <c r="E21" s="3"/>
      <c r="F21" s="3"/>
      <c r="G21" s="3"/>
      <c r="H21" s="3"/>
    </row>
    <row r="22" customFormat="false" ht="41.75" hidden="false" customHeight="false" outlineLevel="0" collapsed="false">
      <c r="A22" s="7" t="s">
        <v>72</v>
      </c>
      <c r="B22" s="3" t="s">
        <v>73</v>
      </c>
      <c r="C22" s="8" t="n">
        <f aca="false">1-C21</f>
        <v>0.363636363636364</v>
      </c>
      <c r="D22" s="3"/>
      <c r="E22" s="3"/>
      <c r="F22" s="3"/>
      <c r="G22" s="3"/>
      <c r="H22" s="3"/>
    </row>
    <row r="23" customFormat="false" ht="95.5" hidden="false" customHeight="false" outlineLevel="0" collapsed="false">
      <c r="A23" s="7" t="s">
        <v>15</v>
      </c>
      <c r="B23" s="3" t="s">
        <v>74</v>
      </c>
      <c r="C23" s="9" t="n">
        <v>4850000</v>
      </c>
      <c r="D23" s="3"/>
      <c r="E23" s="3"/>
      <c r="F23" s="3"/>
      <c r="G23" s="3"/>
      <c r="H23" s="3"/>
    </row>
    <row r="24" customFormat="false" ht="55.2" hidden="false" customHeight="false" outlineLevel="0" collapsed="false">
      <c r="A24" s="7" t="s">
        <v>75</v>
      </c>
      <c r="B24" s="3" t="s">
        <v>76</v>
      </c>
      <c r="C24" s="9" t="n">
        <f aca="false">C22*C23</f>
        <v>1763636.36363636</v>
      </c>
      <c r="D24" s="3"/>
      <c r="E24" s="3"/>
      <c r="F24" s="3"/>
      <c r="G24" s="3"/>
      <c r="H24" s="3"/>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7"/>
    <col collapsed="false" customWidth="true" hidden="false" outlineLevel="0" max="2" min="2" style="0" width="60"/>
    <col collapsed="false" customWidth="true" hidden="false" outlineLevel="0" max="3" min="3" style="0" width="34"/>
    <col collapsed="false" customWidth="true" hidden="false" outlineLevel="0" max="4" min="4" style="0" width="64"/>
  </cols>
  <sheetData>
    <row r="1" customFormat="false" ht="20.1" hidden="false" customHeight="true" outlineLevel="0" collapsed="false">
      <c r="A1" s="1" t="s">
        <v>77</v>
      </c>
      <c r="B1" s="1"/>
      <c r="C1" s="1"/>
      <c r="D1" s="1"/>
      <c r="E1" s="1"/>
      <c r="F1" s="1"/>
      <c r="G1" s="1"/>
      <c r="H1" s="1"/>
    </row>
    <row r="2" customFormat="false" ht="15" hidden="false" customHeight="true" outlineLevel="0" collapsed="false">
      <c r="A2" s="2" t="s">
        <v>78</v>
      </c>
      <c r="B2" s="2"/>
      <c r="C2" s="2"/>
      <c r="D2" s="2"/>
      <c r="E2" s="2"/>
      <c r="F2" s="2"/>
      <c r="G2" s="2"/>
      <c r="H2" s="2"/>
    </row>
    <row r="3" customFormat="false" ht="15" hidden="false" customHeight="false" outlineLevel="0" collapsed="false">
      <c r="A3" s="3"/>
      <c r="B3" s="3"/>
      <c r="C3" s="3"/>
      <c r="D3" s="3"/>
      <c r="E3" s="3"/>
      <c r="F3" s="3"/>
      <c r="G3" s="3"/>
      <c r="H3" s="3"/>
    </row>
    <row r="4" customFormat="false" ht="15" hidden="false" customHeight="false" outlineLevel="0" collapsed="false">
      <c r="A4" s="6" t="s">
        <v>79</v>
      </c>
      <c r="B4" s="6" t="s">
        <v>80</v>
      </c>
      <c r="C4" s="6" t="s">
        <v>81</v>
      </c>
      <c r="D4" s="6" t="s">
        <v>82</v>
      </c>
      <c r="E4" s="3"/>
      <c r="F4" s="3"/>
      <c r="G4" s="3"/>
      <c r="H4" s="3"/>
    </row>
    <row r="5" customFormat="false" ht="28.35" hidden="false" customHeight="false" outlineLevel="0" collapsed="false">
      <c r="A5" s="3" t="s">
        <v>83</v>
      </c>
      <c r="B5" s="3" t="s">
        <v>84</v>
      </c>
      <c r="C5" s="3" t="s">
        <v>85</v>
      </c>
      <c r="D5" s="3" t="s">
        <v>86</v>
      </c>
      <c r="E5" s="3"/>
      <c r="F5" s="3"/>
      <c r="G5" s="3"/>
      <c r="H5" s="3"/>
    </row>
    <row r="6" customFormat="false" ht="28.35" hidden="false" customHeight="false" outlineLevel="0" collapsed="false">
      <c r="A6" s="3" t="s">
        <v>87</v>
      </c>
      <c r="B6" s="3" t="s">
        <v>88</v>
      </c>
      <c r="C6" s="3" t="s">
        <v>89</v>
      </c>
      <c r="D6" s="3" t="s">
        <v>90</v>
      </c>
      <c r="E6" s="3"/>
      <c r="F6" s="3"/>
      <c r="G6" s="3"/>
      <c r="H6" s="3"/>
    </row>
    <row r="7" customFormat="false" ht="28.35" hidden="false" customHeight="false" outlineLevel="0" collapsed="false">
      <c r="A7" s="3" t="s">
        <v>91</v>
      </c>
      <c r="B7" s="3" t="s">
        <v>92</v>
      </c>
      <c r="C7" s="3"/>
      <c r="D7" s="3" t="s">
        <v>93</v>
      </c>
      <c r="E7" s="3"/>
      <c r="F7" s="3"/>
      <c r="G7" s="3"/>
      <c r="H7" s="3"/>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5"/>
    <col collapsed="false" customWidth="true" hidden="false" outlineLevel="0" max="2" min="2" style="0" width="110"/>
  </cols>
  <sheetData>
    <row r="1" customFormat="false" ht="20.1" hidden="false" customHeight="true" outlineLevel="0" collapsed="false">
      <c r="A1" s="1" t="s">
        <v>94</v>
      </c>
      <c r="B1" s="1"/>
      <c r="C1" s="1"/>
      <c r="D1" s="1"/>
      <c r="E1" s="1"/>
      <c r="F1" s="1"/>
      <c r="G1" s="1"/>
      <c r="H1" s="1"/>
    </row>
    <row r="2" customFormat="false" ht="15" hidden="false" customHeight="true" outlineLevel="0" collapsed="false">
      <c r="A2" s="2" t="s">
        <v>95</v>
      </c>
      <c r="B2" s="2"/>
      <c r="C2" s="2"/>
      <c r="D2" s="2"/>
      <c r="E2" s="2"/>
      <c r="F2" s="2"/>
      <c r="G2" s="2"/>
      <c r="H2" s="2"/>
    </row>
    <row r="3" customFormat="false" ht="15" hidden="false" customHeight="false" outlineLevel="0" collapsed="false">
      <c r="A3" s="3"/>
      <c r="B3" s="3"/>
      <c r="C3" s="3"/>
      <c r="D3" s="3"/>
      <c r="E3" s="3"/>
      <c r="F3" s="3"/>
      <c r="G3" s="3"/>
      <c r="H3" s="3"/>
    </row>
    <row r="4" customFormat="false" ht="15" hidden="false" customHeight="false" outlineLevel="0" collapsed="false">
      <c r="A4" s="6" t="s">
        <v>96</v>
      </c>
      <c r="B4" s="6" t="s">
        <v>97</v>
      </c>
      <c r="C4" s="3"/>
      <c r="D4" s="3"/>
      <c r="E4" s="3"/>
      <c r="F4" s="3"/>
      <c r="G4" s="3"/>
      <c r="H4" s="3"/>
    </row>
    <row r="5" customFormat="false" ht="28.35" hidden="false" customHeight="false" outlineLevel="0" collapsed="false">
      <c r="A5" s="3" t="s">
        <v>98</v>
      </c>
      <c r="B5" s="3" t="s">
        <v>99</v>
      </c>
      <c r="C5" s="3"/>
      <c r="D5" s="3"/>
      <c r="E5" s="3"/>
      <c r="F5" s="3"/>
      <c r="G5" s="3"/>
      <c r="H5" s="3"/>
    </row>
    <row r="6" customFormat="false" ht="28.35" hidden="false" customHeight="false" outlineLevel="0" collapsed="false">
      <c r="A6" s="3" t="s">
        <v>100</v>
      </c>
      <c r="B6" s="3" t="s">
        <v>101</v>
      </c>
      <c r="C6" s="3"/>
      <c r="D6" s="3"/>
      <c r="E6" s="3"/>
      <c r="F6" s="3"/>
      <c r="G6" s="3"/>
      <c r="H6" s="3"/>
    </row>
    <row r="7" customFormat="false" ht="28.35" hidden="false" customHeight="false" outlineLevel="0" collapsed="false">
      <c r="A7" s="3" t="s">
        <v>102</v>
      </c>
      <c r="B7" s="3" t="s">
        <v>103</v>
      </c>
      <c r="C7" s="3"/>
      <c r="D7" s="3"/>
      <c r="E7" s="3"/>
      <c r="F7" s="3"/>
      <c r="G7" s="3"/>
      <c r="H7" s="3"/>
    </row>
    <row r="8" customFormat="false" ht="28.35" hidden="false" customHeight="false" outlineLevel="0" collapsed="false">
      <c r="A8" s="3" t="s">
        <v>104</v>
      </c>
      <c r="B8" s="3" t="s">
        <v>105</v>
      </c>
      <c r="C8" s="3"/>
      <c r="D8" s="3"/>
      <c r="E8" s="3"/>
      <c r="F8" s="3"/>
      <c r="G8" s="3"/>
      <c r="H8" s="3"/>
    </row>
    <row r="9" customFormat="false" ht="28.35" hidden="false" customHeight="false" outlineLevel="0" collapsed="false">
      <c r="A9" s="3" t="s">
        <v>106</v>
      </c>
      <c r="B9" s="3" t="s">
        <v>107</v>
      </c>
      <c r="C9" s="3"/>
      <c r="D9" s="3"/>
      <c r="E9" s="3"/>
      <c r="F9" s="3"/>
      <c r="G9" s="3"/>
      <c r="H9" s="3"/>
    </row>
    <row r="10" customFormat="false" ht="28.35" hidden="false" customHeight="false" outlineLevel="0" collapsed="false">
      <c r="A10" s="3" t="s">
        <v>108</v>
      </c>
      <c r="B10" s="3" t="s">
        <v>109</v>
      </c>
      <c r="C10" s="3"/>
      <c r="D10" s="3"/>
      <c r="E10" s="3"/>
      <c r="F10" s="3"/>
      <c r="G10" s="3"/>
      <c r="H10" s="3"/>
    </row>
    <row r="11" customFormat="false" ht="28.35" hidden="false" customHeight="false" outlineLevel="0" collapsed="false">
      <c r="A11" s="3" t="s">
        <v>110</v>
      </c>
      <c r="B11" s="3" t="s">
        <v>111</v>
      </c>
      <c r="C11" s="3"/>
      <c r="D11" s="3"/>
      <c r="E11" s="3"/>
      <c r="F11" s="3"/>
      <c r="G11" s="3"/>
      <c r="H11" s="3"/>
    </row>
    <row r="12" customFormat="false" ht="28.35" hidden="false" customHeight="false" outlineLevel="0" collapsed="false">
      <c r="A12" s="3" t="s">
        <v>17</v>
      </c>
      <c r="B12" s="3" t="s">
        <v>112</v>
      </c>
      <c r="C12" s="3"/>
      <c r="D12" s="3"/>
      <c r="E12" s="3"/>
      <c r="F12" s="3"/>
      <c r="G12" s="3"/>
      <c r="H12" s="3"/>
    </row>
    <row r="13" customFormat="false" ht="28.35" hidden="false" customHeight="false" outlineLevel="0" collapsed="false">
      <c r="A13" s="3" t="s">
        <v>113</v>
      </c>
      <c r="B13" s="3" t="s">
        <v>114</v>
      </c>
      <c r="C13" s="3"/>
      <c r="D13" s="3"/>
      <c r="E13" s="3"/>
      <c r="F13" s="3"/>
      <c r="G13" s="3"/>
      <c r="H13" s="3"/>
    </row>
    <row r="14" customFormat="false" ht="41.75" hidden="false" customHeight="false" outlineLevel="0" collapsed="false">
      <c r="A14" s="3" t="s">
        <v>115</v>
      </c>
      <c r="B14" s="3" t="s">
        <v>116</v>
      </c>
      <c r="C14" s="3"/>
      <c r="D14" s="3"/>
      <c r="E14" s="3"/>
      <c r="F14" s="3"/>
      <c r="G14" s="3"/>
      <c r="H14" s="3"/>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28"/>
    <col collapsed="false" customWidth="true" hidden="false" outlineLevel="0" max="3" min="3" style="0" width="55"/>
  </cols>
  <sheetData>
    <row r="1" customFormat="false" ht="57.45" hidden="false" customHeight="false" outlineLevel="0" collapsed="false">
      <c r="A1" s="12" t="s">
        <v>117</v>
      </c>
      <c r="B1" s="3"/>
      <c r="C1" s="3"/>
      <c r="D1" s="3"/>
      <c r="E1" s="3"/>
      <c r="F1" s="3"/>
      <c r="G1" s="3"/>
      <c r="H1" s="3"/>
    </row>
    <row r="2" customFormat="false" ht="28.35" hidden="false" customHeight="false" outlineLevel="0" collapsed="false">
      <c r="A2" s="13" t="s">
        <v>118</v>
      </c>
      <c r="B2" s="3"/>
      <c r="C2" s="3"/>
      <c r="D2" s="3"/>
      <c r="E2" s="3"/>
      <c r="F2" s="3"/>
      <c r="G2" s="3"/>
      <c r="H2" s="3"/>
    </row>
    <row r="3" customFormat="false" ht="15" hidden="false" customHeight="false" outlineLevel="0" collapsed="false">
      <c r="A3" s="3"/>
      <c r="B3" s="3"/>
      <c r="C3" s="3"/>
      <c r="D3" s="3"/>
      <c r="E3" s="3"/>
      <c r="F3" s="3"/>
      <c r="G3" s="3"/>
      <c r="H3" s="3"/>
    </row>
    <row r="4" customFormat="false" ht="17.9" hidden="false" customHeight="false" outlineLevel="0" collapsed="false">
      <c r="A4" s="14" t="s">
        <v>119</v>
      </c>
      <c r="B4" s="14" t="s">
        <v>120</v>
      </c>
      <c r="C4" s="14" t="s">
        <v>121</v>
      </c>
      <c r="D4" s="3"/>
      <c r="E4" s="3"/>
      <c r="F4" s="3"/>
      <c r="G4" s="3"/>
      <c r="H4" s="3"/>
    </row>
    <row r="5" customFormat="false" ht="15" hidden="false" customHeight="false" outlineLevel="0" collapsed="false">
      <c r="A5" s="3" t="s">
        <v>122</v>
      </c>
      <c r="B5" s="3" t="s">
        <v>123</v>
      </c>
      <c r="C5" s="3" t="s">
        <v>124</v>
      </c>
      <c r="D5" s="3"/>
      <c r="E5" s="3"/>
      <c r="F5" s="3"/>
      <c r="G5" s="3"/>
      <c r="H5" s="3"/>
    </row>
    <row r="6" customFormat="false" ht="15" hidden="false" customHeight="false" outlineLevel="0" collapsed="false">
      <c r="A6" s="3" t="s">
        <v>125</v>
      </c>
      <c r="B6" s="3" t="s">
        <v>126</v>
      </c>
      <c r="C6" s="3" t="s">
        <v>127</v>
      </c>
      <c r="D6" s="3"/>
      <c r="E6" s="3"/>
      <c r="F6" s="3"/>
      <c r="G6" s="3"/>
      <c r="H6" s="3"/>
    </row>
    <row r="7" customFormat="false" ht="15" hidden="false" customHeight="false" outlineLevel="0" collapsed="false">
      <c r="A7" s="3" t="s">
        <v>6</v>
      </c>
      <c r="B7" s="8" t="s">
        <v>128</v>
      </c>
      <c r="C7" s="3" t="s">
        <v>129</v>
      </c>
      <c r="D7" s="3"/>
      <c r="E7" s="3"/>
      <c r="F7" s="3"/>
      <c r="G7" s="3"/>
      <c r="H7" s="3"/>
    </row>
    <row r="8" customFormat="false" ht="15" hidden="false" customHeight="false" outlineLevel="0" collapsed="false">
      <c r="A8" s="3" t="s">
        <v>130</v>
      </c>
      <c r="B8" s="8" t="n">
        <v>96000</v>
      </c>
      <c r="C8" s="3" t="s">
        <v>129</v>
      </c>
      <c r="D8" s="3"/>
      <c r="E8" s="3"/>
      <c r="F8" s="3"/>
      <c r="G8" s="3"/>
      <c r="H8" s="3"/>
    </row>
    <row r="9" customFormat="false" ht="15" hidden="false" customHeight="false" outlineLevel="0" collapsed="false">
      <c r="A9" s="3" t="s">
        <v>8</v>
      </c>
      <c r="B9" s="15" t="s">
        <v>131</v>
      </c>
      <c r="C9" s="3" t="s">
        <v>132</v>
      </c>
      <c r="D9" s="3"/>
      <c r="E9" s="3"/>
      <c r="F9" s="3"/>
      <c r="G9" s="3"/>
      <c r="H9" s="3"/>
    </row>
    <row r="10" customFormat="false" ht="15" hidden="false" customHeight="false" outlineLevel="0" collapsed="false">
      <c r="A10" s="3" t="s">
        <v>133</v>
      </c>
      <c r="B10" s="8" t="n">
        <v>46221</v>
      </c>
      <c r="C10" s="3" t="s">
        <v>134</v>
      </c>
      <c r="D10" s="3"/>
      <c r="E10" s="3"/>
      <c r="F10" s="3"/>
      <c r="G10" s="3"/>
      <c r="H10" s="3"/>
    </row>
    <row r="11" customFormat="false" ht="15" hidden="false" customHeight="false" outlineLevel="0" collapsed="false">
      <c r="A11" s="3" t="s">
        <v>135</v>
      </c>
      <c r="B11" s="8" t="n">
        <v>46252</v>
      </c>
      <c r="C11" s="3" t="s">
        <v>136</v>
      </c>
      <c r="D11" s="3"/>
      <c r="E11" s="3"/>
      <c r="F11" s="3"/>
      <c r="G11" s="3"/>
      <c r="H11" s="3"/>
    </row>
    <row r="12" customFormat="false" ht="15" hidden="false" customHeight="false" outlineLevel="0" collapsed="false">
      <c r="A12" s="3" t="s">
        <v>137</v>
      </c>
      <c r="B12" s="15" t="n">
        <v>31</v>
      </c>
      <c r="C12" s="3" t="s">
        <v>138</v>
      </c>
      <c r="D12" s="3"/>
      <c r="E12" s="3"/>
      <c r="F12" s="3"/>
      <c r="G12" s="3"/>
      <c r="H12" s="3"/>
    </row>
    <row r="13" customFormat="false" ht="15" hidden="false" customHeight="false" outlineLevel="0" collapsed="false">
      <c r="A13" s="3" t="s">
        <v>139</v>
      </c>
      <c r="B13" s="15" t="n">
        <v>46284</v>
      </c>
      <c r="C13" s="3" t="s">
        <v>140</v>
      </c>
      <c r="D13" s="3"/>
      <c r="E13" s="3"/>
      <c r="F13" s="3"/>
      <c r="G13" s="3"/>
      <c r="H13" s="3"/>
    </row>
    <row r="14" customFormat="false" ht="15" hidden="false" customHeight="false" outlineLevel="0" collapsed="false">
      <c r="A14" s="3" t="s">
        <v>141</v>
      </c>
      <c r="B14" s="3" t="n">
        <v>38500000</v>
      </c>
      <c r="C14" s="3" t="s">
        <v>142</v>
      </c>
      <c r="D14" s="3"/>
      <c r="E14" s="3"/>
      <c r="F14" s="3"/>
      <c r="G14" s="3"/>
      <c r="H14" s="3"/>
    </row>
    <row r="15" customFormat="false" ht="15" hidden="false" customHeight="false" outlineLevel="0" collapsed="false">
      <c r="A15" s="3" t="s">
        <v>143</v>
      </c>
      <c r="B15" s="3" t="n">
        <v>24750000</v>
      </c>
      <c r="C15" s="3" t="s">
        <v>144</v>
      </c>
      <c r="D15" s="3"/>
      <c r="E15" s="3"/>
      <c r="F15" s="3"/>
      <c r="G15" s="3"/>
      <c r="H15" s="3"/>
    </row>
    <row r="16" customFormat="false" ht="15" hidden="false" customHeight="false" outlineLevel="0" collapsed="false">
      <c r="A16" s="3" t="s">
        <v>145</v>
      </c>
      <c r="B16" s="3" t="s">
        <v>87</v>
      </c>
      <c r="C16" s="3" t="s">
        <v>146</v>
      </c>
      <c r="D16" s="3"/>
      <c r="E16" s="3"/>
      <c r="F16" s="3"/>
      <c r="G16" s="3"/>
      <c r="H16" s="3"/>
    </row>
    <row r="17" customFormat="false" ht="15" hidden="false" customHeight="false" outlineLevel="0" collapsed="false">
      <c r="A17" s="3" t="s">
        <v>147</v>
      </c>
      <c r="B17" s="3" t="s">
        <v>83</v>
      </c>
      <c r="C17" s="3" t="s">
        <v>148</v>
      </c>
      <c r="D17" s="3"/>
      <c r="E17" s="3"/>
      <c r="F17" s="3"/>
      <c r="G17" s="3"/>
      <c r="H17"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22"/>
    <col collapsed="false" customWidth="true" hidden="false" outlineLevel="0" max="3" min="3" style="0" width="68"/>
  </cols>
  <sheetData>
    <row r="1" customFormat="false" ht="38.8" hidden="false" customHeight="false" outlineLevel="0" collapsed="false">
      <c r="A1" s="12" t="s">
        <v>149</v>
      </c>
      <c r="B1" s="3"/>
      <c r="C1" s="3"/>
      <c r="D1" s="3"/>
      <c r="E1" s="3"/>
      <c r="F1" s="3"/>
      <c r="G1" s="3"/>
      <c r="H1" s="3"/>
    </row>
    <row r="2" customFormat="false" ht="28.35" hidden="false" customHeight="false" outlineLevel="0" collapsed="false">
      <c r="A2" s="13" t="s">
        <v>150</v>
      </c>
      <c r="B2" s="3"/>
      <c r="C2" s="3"/>
      <c r="D2" s="3"/>
      <c r="E2" s="3"/>
      <c r="F2" s="3"/>
      <c r="G2" s="3"/>
      <c r="H2" s="3"/>
    </row>
    <row r="3" customFormat="false" ht="15" hidden="false" customHeight="false" outlineLevel="0" collapsed="false">
      <c r="A3" s="3"/>
      <c r="B3" s="3"/>
      <c r="C3" s="3"/>
      <c r="D3" s="3"/>
      <c r="E3" s="3"/>
      <c r="F3" s="3"/>
      <c r="G3" s="3"/>
      <c r="H3" s="3"/>
    </row>
    <row r="4" customFormat="false" ht="17.9" hidden="false" customHeight="false" outlineLevel="0" collapsed="false">
      <c r="A4" s="14" t="s">
        <v>151</v>
      </c>
      <c r="B4" s="14" t="s">
        <v>152</v>
      </c>
      <c r="C4" s="14" t="s">
        <v>153</v>
      </c>
      <c r="D4" s="3"/>
      <c r="E4" s="3"/>
      <c r="F4" s="3"/>
      <c r="G4" s="3"/>
      <c r="H4" s="3"/>
    </row>
    <row r="5" customFormat="false" ht="15" hidden="false" customHeight="false" outlineLevel="0" collapsed="false">
      <c r="A5" s="3" t="s">
        <v>154</v>
      </c>
      <c r="B5" s="9" t="n">
        <v>38500000</v>
      </c>
      <c r="C5" s="3" t="s">
        <v>155</v>
      </c>
      <c r="D5" s="3"/>
      <c r="E5" s="3"/>
      <c r="F5" s="3"/>
      <c r="G5" s="3"/>
      <c r="H5" s="3"/>
    </row>
    <row r="6" customFormat="false" ht="15" hidden="false" customHeight="false" outlineLevel="0" collapsed="false">
      <c r="A6" s="3" t="s">
        <v>156</v>
      </c>
      <c r="B6" s="9" t="n">
        <v>33650000</v>
      </c>
      <c r="C6" s="3" t="s">
        <v>157</v>
      </c>
      <c r="D6" s="3"/>
      <c r="E6" s="3"/>
      <c r="F6" s="3"/>
      <c r="G6" s="3"/>
      <c r="H6" s="3"/>
    </row>
    <row r="7" customFormat="false" ht="15" hidden="false" customHeight="false" outlineLevel="0" collapsed="false">
      <c r="A7" s="3" t="s">
        <v>158</v>
      </c>
      <c r="B7" s="9" t="n">
        <v>24750000</v>
      </c>
      <c r="C7" s="3" t="s">
        <v>143</v>
      </c>
      <c r="D7" s="3"/>
      <c r="E7" s="3"/>
      <c r="F7" s="3"/>
      <c r="G7" s="3"/>
      <c r="H7" s="3"/>
    </row>
    <row r="8" customFormat="false" ht="15" hidden="false" customHeight="false" outlineLevel="0" collapsed="false">
      <c r="A8" s="3" t="s">
        <v>159</v>
      </c>
      <c r="B8" s="9" t="n">
        <v>33650000</v>
      </c>
      <c r="C8" s="3" t="s">
        <v>160</v>
      </c>
      <c r="D8" s="3"/>
      <c r="E8" s="3"/>
      <c r="F8" s="3"/>
      <c r="G8" s="3"/>
      <c r="H8" s="3"/>
    </row>
    <row r="9" customFormat="false" ht="15" hidden="false" customHeight="false" outlineLevel="0" collapsed="false">
      <c r="A9" s="3" t="s">
        <v>161</v>
      </c>
      <c r="B9" s="9" t="n">
        <v>4850000</v>
      </c>
      <c r="C9" s="3" t="s">
        <v>162</v>
      </c>
      <c r="D9" s="3"/>
      <c r="E9" s="3"/>
      <c r="F9" s="3"/>
      <c r="G9" s="3"/>
      <c r="H9" s="3"/>
    </row>
    <row r="10" customFormat="false" ht="15" hidden="false" customHeight="false" outlineLevel="0" collapsed="false">
      <c r="A10" s="3" t="s">
        <v>163</v>
      </c>
      <c r="B10" s="9" t="n">
        <v>4850000</v>
      </c>
      <c r="C10" s="3" t="s">
        <v>164</v>
      </c>
      <c r="D10" s="3"/>
      <c r="E10" s="3"/>
      <c r="F10" s="3"/>
      <c r="G10" s="3"/>
      <c r="H10"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12"/>
    <col collapsed="false" customWidth="true" hidden="false" outlineLevel="0" max="4" min="3" style="0" width="16"/>
    <col collapsed="false" customWidth="true" hidden="false" outlineLevel="0" max="5" min="5" style="0" width="18"/>
    <col collapsed="false" customWidth="true" hidden="false" outlineLevel="0" max="6" min="6" style="0" width="20"/>
    <col collapsed="false" customWidth="true" hidden="false" outlineLevel="0" max="7" min="7" style="0" width="60"/>
    <col collapsed="false" customWidth="true" hidden="false" outlineLevel="0" max="8" min="8" style="0" width="28"/>
  </cols>
  <sheetData>
    <row r="1" customFormat="false" ht="76.1" hidden="false" customHeight="false" outlineLevel="0" collapsed="false">
      <c r="A1" s="12" t="s">
        <v>165</v>
      </c>
      <c r="B1" s="3"/>
      <c r="C1" s="3"/>
      <c r="D1" s="3"/>
      <c r="E1" s="3"/>
      <c r="F1" s="3"/>
      <c r="G1" s="3"/>
      <c r="H1" s="3"/>
    </row>
    <row r="2" customFormat="false" ht="108.95" hidden="false" customHeight="false" outlineLevel="0" collapsed="false">
      <c r="A2" s="13" t="s">
        <v>166</v>
      </c>
      <c r="B2" s="3"/>
      <c r="C2" s="3"/>
      <c r="D2" s="3"/>
      <c r="E2" s="3"/>
      <c r="F2" s="3"/>
      <c r="G2" s="3"/>
      <c r="H2" s="3"/>
    </row>
    <row r="3" customFormat="false" ht="15" hidden="false" customHeight="false" outlineLevel="0" collapsed="false">
      <c r="A3" s="3"/>
      <c r="B3" s="3"/>
      <c r="C3" s="3"/>
      <c r="D3" s="3"/>
      <c r="E3" s="3"/>
      <c r="F3" s="3"/>
      <c r="G3" s="3"/>
      <c r="H3" s="3"/>
    </row>
    <row r="4" customFormat="false" ht="34.3" hidden="false" customHeight="false" outlineLevel="0" collapsed="false">
      <c r="A4" s="14" t="s">
        <v>167</v>
      </c>
      <c r="B4" s="14" t="s">
        <v>25</v>
      </c>
      <c r="C4" s="14" t="s">
        <v>168</v>
      </c>
      <c r="D4" s="14" t="s">
        <v>27</v>
      </c>
      <c r="E4" s="14" t="s">
        <v>169</v>
      </c>
      <c r="F4" s="14" t="s">
        <v>170</v>
      </c>
      <c r="G4" s="14" t="s">
        <v>171</v>
      </c>
      <c r="H4" s="14" t="s">
        <v>172</v>
      </c>
    </row>
    <row r="5" customFormat="false" ht="15" hidden="false" customHeight="false" outlineLevel="0" collapsed="false">
      <c r="A5" s="3" t="n">
        <v>1</v>
      </c>
      <c r="B5" s="3" t="s">
        <v>33</v>
      </c>
      <c r="C5" s="3" t="s">
        <v>34</v>
      </c>
      <c r="D5" s="3" t="n">
        <v>3</v>
      </c>
      <c r="E5" s="3" t="s">
        <v>35</v>
      </c>
      <c r="F5" s="8" t="n">
        <v>46153</v>
      </c>
      <c r="G5" s="3"/>
      <c r="H5" s="3" t="s">
        <v>37</v>
      </c>
    </row>
    <row r="6" customFormat="false" ht="15" hidden="false" customHeight="false" outlineLevel="0" collapsed="false">
      <c r="A6" s="3" t="n">
        <v>2</v>
      </c>
      <c r="B6" s="3" t="s">
        <v>38</v>
      </c>
      <c r="C6" s="3" t="s">
        <v>34</v>
      </c>
      <c r="D6" s="3" t="n">
        <v>3</v>
      </c>
      <c r="E6" s="3" t="s">
        <v>35</v>
      </c>
      <c r="F6" s="8" t="n">
        <v>46176</v>
      </c>
      <c r="G6" s="3"/>
      <c r="H6" s="3" t="s">
        <v>37</v>
      </c>
    </row>
    <row r="7" customFormat="false" ht="15" hidden="false" customHeight="false" outlineLevel="0" collapsed="false">
      <c r="A7" s="3" t="n">
        <v>3</v>
      </c>
      <c r="B7" s="3" t="s">
        <v>39</v>
      </c>
      <c r="C7" s="3" t="s">
        <v>40</v>
      </c>
      <c r="D7" s="3" t="n">
        <v>1</v>
      </c>
      <c r="E7" s="3" t="s">
        <v>41</v>
      </c>
      <c r="F7" s="8" t="n">
        <v>46195</v>
      </c>
      <c r="G7" s="3" t="s">
        <v>173</v>
      </c>
      <c r="H7" s="3" t="s">
        <v>43</v>
      </c>
    </row>
    <row r="8" customFormat="false" ht="28.35" hidden="false" customHeight="false" outlineLevel="0" collapsed="false">
      <c r="A8" s="3" t="n">
        <v>4</v>
      </c>
      <c r="B8" s="3" t="s">
        <v>44</v>
      </c>
      <c r="C8" s="3" t="s">
        <v>45</v>
      </c>
      <c r="D8" s="3" t="n">
        <v>2</v>
      </c>
      <c r="E8" s="3" t="s">
        <v>35</v>
      </c>
      <c r="F8" s="8" t="n">
        <v>46212</v>
      </c>
      <c r="G8" s="3" t="s">
        <v>174</v>
      </c>
      <c r="H8" s="3" t="s">
        <v>37</v>
      </c>
    </row>
    <row r="9" customFormat="false" ht="15" hidden="false" customHeight="false" outlineLevel="0" collapsed="false">
      <c r="A9" s="3" t="n">
        <v>5</v>
      </c>
      <c r="B9" s="3" t="s">
        <v>47</v>
      </c>
      <c r="C9" s="3" t="s">
        <v>45</v>
      </c>
      <c r="D9" s="3" t="n">
        <v>2</v>
      </c>
      <c r="E9" s="3" t="s">
        <v>35</v>
      </c>
      <c r="F9" s="8" t="n">
        <v>46221</v>
      </c>
      <c r="G9" s="3"/>
      <c r="H9" s="3" t="s">
        <v>37</v>
      </c>
    </row>
    <row r="10" customFormat="false" ht="15" hidden="false" customHeight="false" outlineLevel="0" collapsed="false">
      <c r="A10" s="3" t="n">
        <v>6</v>
      </c>
      <c r="B10" s="3" t="s">
        <v>48</v>
      </c>
      <c r="C10" s="3" t="s">
        <v>49</v>
      </c>
      <c r="D10" s="3" t="n">
        <v>1</v>
      </c>
      <c r="E10" s="3" t="s">
        <v>35</v>
      </c>
      <c r="F10" s="8" t="n">
        <v>46223</v>
      </c>
      <c r="G10" s="3"/>
      <c r="H10" s="3" t="s">
        <v>37</v>
      </c>
    </row>
    <row r="11" customFormat="false" ht="15" hidden="false" customHeight="false" outlineLevel="0" collapsed="false">
      <c r="A11" s="3" t="n">
        <v>7</v>
      </c>
      <c r="B11" s="3" t="s">
        <v>48</v>
      </c>
      <c r="C11" s="3" t="s">
        <v>49</v>
      </c>
      <c r="D11" s="3" t="n">
        <v>1</v>
      </c>
      <c r="E11" s="3" t="s">
        <v>35</v>
      </c>
      <c r="F11" s="8" t="n">
        <v>46223</v>
      </c>
      <c r="G11" s="3" t="s">
        <v>175</v>
      </c>
      <c r="H11" s="3" t="s">
        <v>37</v>
      </c>
    </row>
    <row r="12" customFormat="false" ht="15" hidden="false" customHeight="false" outlineLevel="0" collapsed="false">
      <c r="A12" s="3" t="n">
        <v>8</v>
      </c>
      <c r="B12" s="3" t="s">
        <v>51</v>
      </c>
      <c r="C12" s="3" t="s">
        <v>52</v>
      </c>
      <c r="D12" s="3" t="n">
        <v>2</v>
      </c>
      <c r="E12" s="3" t="s">
        <v>35</v>
      </c>
      <c r="F12" s="8" t="n">
        <v>46235</v>
      </c>
      <c r="G12" s="3"/>
      <c r="H12" s="3" t="s">
        <v>37</v>
      </c>
    </row>
    <row r="13" customFormat="false" ht="15" hidden="false" customHeight="false" outlineLevel="0" collapsed="false">
      <c r="A13" s="3" t="n">
        <v>9</v>
      </c>
      <c r="B13" s="3" t="s">
        <v>53</v>
      </c>
      <c r="C13" s="3" t="s">
        <v>52</v>
      </c>
      <c r="D13" s="3" t="n">
        <v>2</v>
      </c>
      <c r="E13" s="3" t="s">
        <v>35</v>
      </c>
      <c r="F13" s="8" t="n">
        <v>46250</v>
      </c>
      <c r="G13" s="3"/>
      <c r="H13" s="3" t="s">
        <v>37</v>
      </c>
    </row>
    <row r="14" customFormat="false" ht="15" hidden="false" customHeight="false" outlineLevel="0" collapsed="false">
      <c r="A14" s="3" t="n">
        <v>10</v>
      </c>
      <c r="B14" s="3" t="s">
        <v>54</v>
      </c>
      <c r="C14" s="3" t="s">
        <v>55</v>
      </c>
      <c r="D14" s="3" t="n">
        <v>1</v>
      </c>
      <c r="E14" s="3" t="s">
        <v>35</v>
      </c>
      <c r="F14" s="8" t="n">
        <v>46266</v>
      </c>
      <c r="G14" s="3"/>
      <c r="H14" s="3" t="s">
        <v>43</v>
      </c>
    </row>
    <row r="15" customFormat="false" ht="15" hidden="false" customHeight="false" outlineLevel="0" collapsed="false">
      <c r="A15" s="3" t="n">
        <v>11</v>
      </c>
      <c r="B15" s="3" t="s">
        <v>56</v>
      </c>
      <c r="C15" s="3" t="s">
        <v>57</v>
      </c>
      <c r="D15" s="3" t="n">
        <v>1</v>
      </c>
      <c r="E15" s="3" t="s">
        <v>35</v>
      </c>
      <c r="F15" s="8" t="n">
        <v>46297</v>
      </c>
      <c r="G15" s="3" t="s">
        <v>176</v>
      </c>
      <c r="H15" s="3" t="s">
        <v>37</v>
      </c>
    </row>
    <row r="16" customFormat="false" ht="15" hidden="false" customHeight="false" outlineLevel="0" collapsed="false">
      <c r="A16" s="3" t="n">
        <v>12</v>
      </c>
      <c r="B16" s="3" t="s">
        <v>59</v>
      </c>
      <c r="C16" s="3" t="s">
        <v>60</v>
      </c>
      <c r="D16" s="3" t="n">
        <v>1</v>
      </c>
      <c r="E16" s="3" t="s">
        <v>61</v>
      </c>
      <c r="F16" s="8" t="n">
        <v>46239</v>
      </c>
      <c r="G16" s="3" t="s">
        <v>177</v>
      </c>
      <c r="H16" s="3"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7"/>
    <col collapsed="false" customWidth="true" hidden="false" outlineLevel="0" max="2" min="2" style="0" width="62"/>
    <col collapsed="false" customWidth="true" hidden="false" outlineLevel="0" max="3" min="3" style="0" width="34"/>
    <col collapsed="false" customWidth="true" hidden="false" outlineLevel="0" max="4" min="4" style="0" width="60"/>
  </cols>
  <sheetData>
    <row r="1" customFormat="false" ht="57.45" hidden="false" customHeight="false" outlineLevel="0" collapsed="false">
      <c r="A1" s="12" t="s">
        <v>178</v>
      </c>
      <c r="B1" s="3"/>
      <c r="C1" s="3"/>
      <c r="D1" s="3"/>
      <c r="E1" s="3"/>
      <c r="F1" s="3"/>
      <c r="G1" s="3"/>
      <c r="H1" s="3"/>
    </row>
    <row r="2" customFormat="false" ht="41.75" hidden="false" customHeight="false" outlineLevel="0" collapsed="false">
      <c r="A2" s="13" t="s">
        <v>179</v>
      </c>
      <c r="B2" s="3"/>
      <c r="C2" s="3"/>
      <c r="D2" s="3"/>
      <c r="E2" s="3"/>
      <c r="F2" s="3"/>
      <c r="G2" s="3"/>
      <c r="H2" s="3"/>
    </row>
    <row r="3" customFormat="false" ht="15" hidden="false" customHeight="false" outlineLevel="0" collapsed="false">
      <c r="A3" s="3"/>
      <c r="B3" s="3"/>
      <c r="C3" s="3"/>
      <c r="D3" s="3"/>
      <c r="E3" s="3"/>
      <c r="F3" s="3"/>
      <c r="G3" s="3"/>
      <c r="H3" s="3"/>
    </row>
    <row r="4" customFormat="false" ht="34.3" hidden="false" customHeight="false" outlineLevel="0" collapsed="false">
      <c r="A4" s="14" t="s">
        <v>180</v>
      </c>
      <c r="B4" s="14" t="s">
        <v>181</v>
      </c>
      <c r="C4" s="14" t="s">
        <v>182</v>
      </c>
      <c r="D4" s="14" t="s">
        <v>183</v>
      </c>
      <c r="E4" s="3"/>
      <c r="F4" s="3"/>
      <c r="G4" s="3"/>
      <c r="H4" s="3"/>
    </row>
    <row r="5" customFormat="false" ht="28.35" hidden="false" customHeight="false" outlineLevel="0" collapsed="false">
      <c r="A5" s="3" t="s">
        <v>83</v>
      </c>
      <c r="B5" s="3" t="s">
        <v>184</v>
      </c>
      <c r="C5" s="3" t="s">
        <v>185</v>
      </c>
      <c r="D5" s="3" t="s">
        <v>186</v>
      </c>
      <c r="E5" s="3"/>
      <c r="F5" s="3"/>
      <c r="G5" s="3"/>
      <c r="H5" s="3"/>
    </row>
    <row r="6" customFormat="false" ht="28.35" hidden="false" customHeight="false" outlineLevel="0" collapsed="false">
      <c r="A6" s="3" t="s">
        <v>87</v>
      </c>
      <c r="B6" s="3" t="s">
        <v>187</v>
      </c>
      <c r="C6" s="3" t="s">
        <v>188</v>
      </c>
      <c r="D6" s="3" t="s">
        <v>189</v>
      </c>
      <c r="E6" s="3"/>
      <c r="F6" s="3"/>
      <c r="G6" s="3"/>
      <c r="H6" s="3"/>
    </row>
    <row r="7" customFormat="false" ht="28.35" hidden="false" customHeight="false" outlineLevel="0" collapsed="false">
      <c r="A7" s="3" t="s">
        <v>83</v>
      </c>
      <c r="B7" s="3" t="s">
        <v>190</v>
      </c>
      <c r="C7" s="3" t="s">
        <v>191</v>
      </c>
      <c r="D7" s="3" t="s">
        <v>192</v>
      </c>
      <c r="E7" s="3"/>
      <c r="F7" s="3"/>
      <c r="G7" s="3"/>
      <c r="H7" s="3"/>
    </row>
    <row r="8" customFormat="false" ht="28.35" hidden="false" customHeight="false" outlineLevel="0" collapsed="false">
      <c r="A8" s="3" t="s">
        <v>87</v>
      </c>
      <c r="B8" s="3" t="s">
        <v>193</v>
      </c>
      <c r="C8" s="3" t="s">
        <v>194</v>
      </c>
      <c r="D8" s="3" t="s">
        <v>195</v>
      </c>
      <c r="E8" s="3"/>
      <c r="F8" s="3"/>
      <c r="G8" s="3"/>
      <c r="H8"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34"/>
    <col collapsed="false" customWidth="true" hidden="false" outlineLevel="0" max="3" min="3" style="0" width="25"/>
    <col collapsed="false" customWidth="true" hidden="false" outlineLevel="0" max="4" min="4" style="0" width="95"/>
  </cols>
  <sheetData>
    <row r="1" customFormat="false" ht="76.1" hidden="false" customHeight="false" outlineLevel="0" collapsed="false">
      <c r="A1" s="12" t="s">
        <v>196</v>
      </c>
      <c r="B1" s="3"/>
      <c r="C1" s="3"/>
      <c r="D1" s="3"/>
      <c r="E1" s="3"/>
      <c r="F1" s="3"/>
      <c r="G1" s="3"/>
      <c r="H1" s="3"/>
    </row>
    <row r="2" customFormat="false" ht="55.2" hidden="false" customHeight="false" outlineLevel="0" collapsed="false">
      <c r="A2" s="13" t="s">
        <v>197</v>
      </c>
      <c r="B2" s="3"/>
      <c r="C2" s="3"/>
      <c r="D2" s="3"/>
      <c r="E2" s="3"/>
      <c r="F2" s="3"/>
      <c r="G2" s="3"/>
      <c r="H2" s="3"/>
    </row>
    <row r="3" customFormat="false" ht="15" hidden="false" customHeight="false" outlineLevel="0" collapsed="false">
      <c r="A3" s="3"/>
      <c r="B3" s="3"/>
      <c r="C3" s="3"/>
      <c r="D3" s="3"/>
      <c r="E3" s="3"/>
      <c r="F3" s="3"/>
      <c r="G3" s="3"/>
      <c r="H3" s="3"/>
    </row>
    <row r="4" customFormat="false" ht="17.9" hidden="false" customHeight="false" outlineLevel="0" collapsed="false">
      <c r="A4" s="14" t="s">
        <v>198</v>
      </c>
      <c r="B4" s="14" t="s">
        <v>199</v>
      </c>
      <c r="C4" s="14" t="s">
        <v>200</v>
      </c>
      <c r="D4" s="14" t="s">
        <v>201</v>
      </c>
      <c r="E4" s="3"/>
      <c r="F4" s="3"/>
      <c r="G4" s="3"/>
      <c r="H4" s="3"/>
    </row>
    <row r="5" customFormat="false" ht="15" hidden="false" customHeight="false" outlineLevel="0" collapsed="false">
      <c r="A5" s="8" t="n">
        <v>46252</v>
      </c>
      <c r="B5" s="3" t="s">
        <v>202</v>
      </c>
      <c r="C5" s="3" t="s">
        <v>203</v>
      </c>
      <c r="D5" s="3" t="s">
        <v>204</v>
      </c>
      <c r="E5" s="3"/>
      <c r="F5" s="3"/>
      <c r="G5" s="3"/>
      <c r="H5" s="3"/>
    </row>
    <row r="6" customFormat="false" ht="28.35" hidden="false" customHeight="false" outlineLevel="0" collapsed="false">
      <c r="A6" s="8" t="n">
        <v>46251</v>
      </c>
      <c r="B6" s="3" t="s">
        <v>205</v>
      </c>
      <c r="C6" s="3" t="s">
        <v>206</v>
      </c>
      <c r="D6" s="3" t="s">
        <v>207</v>
      </c>
      <c r="E6" s="3"/>
      <c r="F6" s="3"/>
      <c r="G6" s="3"/>
      <c r="H6" s="3"/>
    </row>
    <row r="7" customFormat="false" ht="15" hidden="false" customHeight="false" outlineLevel="0" collapsed="false">
      <c r="A7" s="8" t="n">
        <v>46251</v>
      </c>
      <c r="B7" s="3" t="s">
        <v>208</v>
      </c>
      <c r="C7" s="3" t="s">
        <v>209</v>
      </c>
      <c r="D7" s="3" t="s">
        <v>210</v>
      </c>
      <c r="E7" s="3"/>
      <c r="F7" s="3"/>
      <c r="G7" s="3"/>
      <c r="H7" s="3"/>
    </row>
    <row r="8" customFormat="false" ht="15" hidden="false" customHeight="false" outlineLevel="0" collapsed="false">
      <c r="A8" s="8" t="n">
        <v>46250</v>
      </c>
      <c r="B8" s="3" t="s">
        <v>211</v>
      </c>
      <c r="C8" s="3" t="s">
        <v>17</v>
      </c>
      <c r="D8" s="3" t="s">
        <v>212</v>
      </c>
      <c r="E8" s="3"/>
      <c r="F8" s="3"/>
      <c r="G8" s="3"/>
      <c r="H8" s="3"/>
    </row>
    <row r="9" customFormat="false" ht="15" hidden="false" customHeight="false" outlineLevel="0" collapsed="false">
      <c r="A9" s="8" t="n">
        <v>46249</v>
      </c>
      <c r="B9" s="3" t="s">
        <v>213</v>
      </c>
      <c r="C9" s="3" t="s">
        <v>214</v>
      </c>
      <c r="D9" s="3" t="s">
        <v>215</v>
      </c>
      <c r="E9" s="3"/>
      <c r="F9" s="3"/>
      <c r="G9" s="3"/>
      <c r="H9"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2026-08-20T19:33:41Z</dcterms:created>
  <dc:creator>openpyxl</dc:creator>
  <dc:description/>
  <dc:language>en-US</dc:language>
  <cp:lastModifiedBy/>
  <dcterms:modified xsi:type="dcterms:W3CDTF">2026-08-20T19:33:41Z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