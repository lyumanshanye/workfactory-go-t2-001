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_State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asonality" sheetId="3" state="visible" r:id="rId3"/>
    <sheet xmlns:r="http://schemas.openxmlformats.org/officeDocument/2006/relationships" name="Events_Calendar" sheetId="4" state="visible" r:id="rId4"/>
    <sheet xmlns:r="http://schemas.openxmlformats.org/officeDocument/2006/relationships" name="Provider_Rates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Costs_Revenue" sheetId="7" state="visible" r:id="rId7"/>
    <sheet xmlns:r="http://schemas.openxmlformats.org/officeDocument/2006/relationships" name="Prior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 mmm yyyy"/>
    <numFmt numFmtId="166" formatCode="0.00x"/>
    <numFmt numFmtId="167" formatCode="£0.0000000000"/>
    <numFmt numFmtId="168" formatCode="£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  <col width="32" customWidth="1" min="4" max="4"/>
  </cols>
  <sheetData>
    <row r="1">
      <c r="A1" s="1" t="inlineStr">
        <is>
          <t>Coppice Lane Urgent Care planning pack | England controls as at 31 July 2026</t>
        </is>
      </c>
      <c r="B1" s="1" t="n"/>
      <c r="C1" s="1" t="n"/>
      <c r="D1" s="1" t="n"/>
    </row>
    <row r="3">
      <c r="A3" s="2" t="inlineStr">
        <is>
          <t>Field</t>
        </is>
      </c>
      <c r="B3" s="2" t="inlineStr">
        <is>
          <t>Value</t>
        </is>
      </c>
      <c r="C3" s="2" t="inlineStr">
        <is>
          <t>Units / note</t>
        </is>
      </c>
      <c r="D3" s="2" t="inlineStr">
        <is>
          <t>Source reference</t>
        </is>
      </c>
    </row>
    <row r="4">
      <c r="A4" t="inlineStr">
        <is>
          <t>Opening date</t>
        </is>
      </c>
      <c r="B4" s="3" t="n">
        <v>46280</v>
      </c>
      <c r="C4" t="inlineStr">
        <is>
          <t>date</t>
        </is>
      </c>
      <c r="D4" t="inlineStr">
        <is>
          <t>Opening operating position</t>
        </is>
      </c>
    </row>
    <row r="5">
      <c r="A5" t="inlineStr">
        <is>
          <t>Mature weekly demand base</t>
        </is>
      </c>
      <c r="B5" t="n">
        <v>420</v>
      </c>
      <c r="C5" t="inlineStr">
        <is>
          <t>visits/week</t>
        </is>
      </c>
      <c r="D5" t="inlineStr">
        <is>
          <t>Demand assumptions</t>
        </is>
      </c>
    </row>
    <row r="6">
      <c r="A6" t="inlineStr">
        <is>
          <t>Opening ramp low</t>
        </is>
      </c>
      <c r="B6" s="4" t="n">
        <v>0.18</v>
      </c>
      <c r="C6" t="inlineStr">
        <is>
          <t>share of mature demand</t>
        </is>
      </c>
      <c r="D6" t="inlineStr">
        <is>
          <t>Scenario assumptions</t>
        </is>
      </c>
    </row>
    <row r="7">
      <c r="A7" t="inlineStr">
        <is>
          <t>Opening ramp central</t>
        </is>
      </c>
      <c r="B7" s="4" t="n">
        <v>0.22</v>
      </c>
      <c r="C7" t="inlineStr">
        <is>
          <t>share of mature demand</t>
        </is>
      </c>
      <c r="D7" t="inlineStr">
        <is>
          <t>Scenario assumptions</t>
        </is>
      </c>
    </row>
    <row r="8">
      <c r="A8" t="inlineStr">
        <is>
          <t>Opening ramp high</t>
        </is>
      </c>
      <c r="B8" s="4" t="n">
        <v>0.26</v>
      </c>
      <c r="C8" t="inlineStr">
        <is>
          <t>share of mature demand</t>
        </is>
      </c>
      <c r="D8" t="inlineStr">
        <is>
          <t>Scenario assumptions</t>
        </is>
      </c>
    </row>
    <row r="9">
      <c r="A9" t="inlineStr">
        <is>
          <t>Normal day sessions</t>
        </is>
      </c>
      <c r="B9" t="n">
        <v>5</v>
      </c>
      <c r="C9" t="inlineStr">
        <is>
          <t>sessions/week</t>
        </is>
      </c>
      <c r="D9" t="inlineStr">
        <is>
          <t>Operating calendar (Monday-Friday)</t>
        </is>
      </c>
    </row>
    <row r="10">
      <c r="A10" t="inlineStr">
        <is>
          <t>Normal evening sessions</t>
        </is>
      </c>
      <c r="B10" t="n">
        <v>5</v>
      </c>
      <c r="C10" t="inlineStr">
        <is>
          <t>sessions/week</t>
        </is>
      </c>
      <c r="D10" t="inlineStr">
        <is>
          <t>Operating calendar</t>
        </is>
      </c>
    </row>
    <row r="11">
      <c r="A11" t="inlineStr">
        <is>
          <t>Opening week day sessions</t>
        </is>
      </c>
      <c r="B11" t="n">
        <v>4</v>
      </c>
      <c r="C11" t="inlineStr">
        <is>
          <t>sessions</t>
        </is>
      </c>
      <c r="D11" t="inlineStr">
        <is>
          <t>Opening date and calendar</t>
        </is>
      </c>
    </row>
    <row r="12">
      <c r="A12" t="inlineStr">
        <is>
          <t>Opening week evening sessions</t>
        </is>
      </c>
      <c r="B12" t="n">
        <v>4</v>
      </c>
      <c r="C12" t="inlineStr">
        <is>
          <t>sessions</t>
        </is>
      </c>
      <c r="D12" t="inlineStr">
        <is>
          <t>Opening date and calendar</t>
        </is>
      </c>
    </row>
    <row r="13">
      <c r="A13" t="inlineStr">
        <is>
          <t>Day hours/session</t>
        </is>
      </c>
      <c r="B13" t="n">
        <v>8</v>
      </c>
      <c r="C13" t="inlineStr">
        <is>
          <t>hours</t>
        </is>
      </c>
      <c r="D13" t="inlineStr">
        <is>
          <t>Provider schedule</t>
        </is>
      </c>
    </row>
    <row r="14">
      <c r="A14" t="inlineStr">
        <is>
          <t>Evening hours/session</t>
        </is>
      </c>
      <c r="B14" t="n">
        <v>4</v>
      </c>
      <c r="C14" t="inlineStr">
        <is>
          <t>hours</t>
        </is>
      </c>
      <c r="D14" t="inlineStr">
        <is>
          <t>Provider schedule</t>
        </is>
      </c>
    </row>
    <row r="15">
      <c r="A15" t="inlineStr">
        <is>
          <t>Day throughput</t>
        </is>
      </c>
      <c r="B15" t="n">
        <v>10</v>
      </c>
      <c r="C15" t="inlineStr">
        <is>
          <t>visits/hour</t>
        </is>
      </c>
      <c r="D15" t="inlineStr">
        <is>
          <t>Capacity assumptions</t>
        </is>
      </c>
    </row>
    <row r="16">
      <c r="A16" t="inlineStr">
        <is>
          <t>Evening throughput</t>
        </is>
      </c>
      <c r="B16" t="n">
        <v>8</v>
      </c>
      <c r="C16" t="inlineStr">
        <is>
          <t>visits/hour</t>
        </is>
      </c>
      <c r="D16" t="inlineStr">
        <is>
          <t>Capacity assumptions</t>
        </is>
      </c>
    </row>
    <row r="17">
      <c r="A17" t="inlineStr">
        <is>
          <t>Second-provider overlap factor</t>
        </is>
      </c>
      <c r="B17" s="4" t="n">
        <v>0.75</v>
      </c>
      <c r="C17" t="inlineStr">
        <is>
          <t>fraction of evening capacity</t>
        </is>
      </c>
      <c r="D17" t="inlineStr">
        <is>
          <t>Capacity assumptions</t>
        </is>
      </c>
    </row>
    <row r="18">
      <c r="A18" t="inlineStr">
        <is>
          <t>Funding per visit</t>
        </is>
      </c>
      <c r="B18" t="n">
        <v>32</v>
      </c>
      <c r="C18" t="inlineStr">
        <is>
          <t>GBP/visit</t>
        </is>
      </c>
      <c r="D18" t="inlineStr">
        <is>
          <t>Revenue assumptions</t>
        </is>
      </c>
    </row>
    <row r="19">
      <c r="A19" t="inlineStr">
        <is>
          <t>Normal weekly rent</t>
        </is>
      </c>
      <c r="B19" t="n">
        <v>1200</v>
      </c>
      <c r="C19" t="inlineStr">
        <is>
          <t>GBP/week</t>
        </is>
      </c>
      <c r="D19" t="inlineStr">
        <is>
          <t>Operating costs</t>
        </is>
      </c>
    </row>
    <row r="20">
      <c r="A20" t="inlineStr">
        <is>
          <t>Normal weekly utilities</t>
        </is>
      </c>
      <c r="B20" t="n">
        <v>180</v>
      </c>
      <c r="C20" t="inlineStr">
        <is>
          <t>GBP/week</t>
        </is>
      </c>
      <c r="D20" t="inlineStr">
        <is>
          <t>Operating costs</t>
        </is>
      </c>
    </row>
    <row r="21">
      <c r="A21" t="inlineStr">
        <is>
          <t>Opening cost</t>
        </is>
      </c>
      <c r="B21" t="n">
        <v>3500</v>
      </c>
      <c r="C21" t="inlineStr">
        <is>
          <t>GBP once</t>
        </is>
      </c>
      <c r="D21" t="inlineStr">
        <is>
          <t>Opening costs</t>
        </is>
      </c>
    </row>
    <row r="22">
      <c r="A22" t="inlineStr">
        <is>
          <t>Outreach event cost</t>
        </is>
      </c>
      <c r="B22" t="n">
        <v>600</v>
      </c>
      <c r="C22" t="inlineStr">
        <is>
          <t>GBP/event</t>
        </is>
      </c>
      <c r="D22" t="inlineStr">
        <is>
          <t>Event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6" customWidth="1" min="5" max="5"/>
    <col width="28" customWidth="1" min="6" max="6"/>
  </cols>
  <sheetData>
    <row r="1">
      <c r="A1" s="1" t="inlineStr">
        <is>
          <t>Scenario progression parameters</t>
        </is>
      </c>
      <c r="B1" s="1" t="n"/>
      <c r="C1" s="1" t="n"/>
      <c r="D1" s="1" t="n"/>
      <c r="E1" s="1" t="n"/>
      <c r="F1" s="1" t="n"/>
    </row>
    <row r="3">
      <c r="A3" s="2" t="inlineStr">
        <is>
          <t>Scenario</t>
        </is>
      </c>
      <c r="B3" s="2" t="inlineStr">
        <is>
          <t>Weekly increment</t>
        </is>
      </c>
      <c r="C3" s="2" t="inlineStr">
        <is>
          <t>Retention</t>
        </is>
      </c>
      <c r="D3" s="2" t="inlineStr">
        <is>
          <t>Mature cap</t>
        </is>
      </c>
      <c r="E3" s="2" t="inlineStr">
        <is>
          <t>Evening share</t>
        </is>
      </c>
      <c r="F3" s="2" t="inlineStr">
        <is>
          <t>Event multiplier note</t>
        </is>
      </c>
    </row>
    <row r="4">
      <c r="A4" t="inlineStr">
        <is>
          <t>Low</t>
        </is>
      </c>
      <c r="B4" s="4" t="n">
        <v>0.05</v>
      </c>
      <c r="C4" s="4" t="n">
        <v>0.97</v>
      </c>
      <c r="D4" s="4" t="n">
        <v>0.8</v>
      </c>
      <c r="E4" s="4" t="n">
        <v>0.24</v>
      </c>
      <c r="F4" t="inlineStr">
        <is>
          <t>supported event multipliers</t>
        </is>
      </c>
    </row>
    <row r="5">
      <c r="A5" t="inlineStr">
        <is>
          <t>Central</t>
        </is>
      </c>
      <c r="B5" s="4" t="n">
        <v>0.07000000000000001</v>
      </c>
      <c r="C5" s="4" t="n">
        <v>0.98</v>
      </c>
      <c r="D5" s="4" t="n">
        <v>0.95</v>
      </c>
      <c r="E5" s="4" t="n">
        <v>0.28</v>
      </c>
      <c r="F5" t="inlineStr">
        <is>
          <t>supported event multipliers</t>
        </is>
      </c>
    </row>
    <row r="6">
      <c r="A6" t="inlineStr">
        <is>
          <t>High</t>
        </is>
      </c>
      <c r="B6" s="4" t="n">
        <v>0.09</v>
      </c>
      <c r="C6" s="4" t="n">
        <v>0.99</v>
      </c>
      <c r="D6" s="4" t="n">
        <v>1</v>
      </c>
      <c r="E6" s="4" t="n">
        <v>0.32</v>
      </c>
      <c r="F6" t="inlineStr">
        <is>
          <t>supported event multipliers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4" customWidth="1" min="4" max="4"/>
  </cols>
  <sheetData>
    <row r="1">
      <c r="A1" s="1" t="inlineStr">
        <is>
          <t>Calendar-indexed respiratory season factors</t>
        </is>
      </c>
      <c r="B1" s="1" t="n"/>
      <c r="C1" s="1" t="n"/>
      <c r="D1" s="1" t="n"/>
    </row>
    <row r="3">
      <c r="A3" s="2" t="inlineStr">
        <is>
          <t>Period start</t>
        </is>
      </c>
      <c r="B3" s="2" t="inlineStr">
        <is>
          <t>Period end</t>
        </is>
      </c>
      <c r="C3" s="2" t="inlineStr">
        <is>
          <t>Factor</t>
        </is>
      </c>
      <c r="D3" s="2" t="inlineStr">
        <is>
          <t>Description</t>
        </is>
      </c>
    </row>
    <row r="4">
      <c r="A4" s="3" t="n">
        <v>46280</v>
      </c>
      <c r="B4" s="3" t="n">
        <v>46310</v>
      </c>
      <c r="C4" s="5" t="n">
        <v>1</v>
      </c>
      <c r="D4" t="inlineStr">
        <is>
          <t>opening shoulder</t>
        </is>
      </c>
    </row>
    <row r="5">
      <c r="A5" s="3" t="n">
        <v>46311</v>
      </c>
      <c r="B5" s="3" t="n">
        <v>46341</v>
      </c>
      <c r="C5" s="5" t="n">
        <v>1.25</v>
      </c>
      <c r="D5" t="inlineStr">
        <is>
          <t>respiratory rise</t>
        </is>
      </c>
    </row>
    <row r="6">
      <c r="A6" s="3" t="n">
        <v>46342</v>
      </c>
      <c r="B6" s="3" t="n">
        <v>46402</v>
      </c>
      <c r="C6" s="5" t="n">
        <v>1.4</v>
      </c>
      <c r="D6" t="inlineStr">
        <is>
          <t>respiratory peak</t>
        </is>
      </c>
    </row>
    <row r="7">
      <c r="A7" s="3" t="n">
        <v>46403</v>
      </c>
      <c r="B7" s="3" t="n">
        <v>46433</v>
      </c>
      <c r="C7" s="5" t="n">
        <v>1.2</v>
      </c>
      <c r="D7" t="inlineStr">
        <is>
          <t>late respiratory</t>
        </is>
      </c>
    </row>
    <row r="8">
      <c r="A8" s="3" t="n">
        <v>46434</v>
      </c>
      <c r="B8" s="3" t="n">
        <v>46477</v>
      </c>
      <c r="C8" s="5" t="n">
        <v>1</v>
      </c>
      <c r="D8" t="inlineStr">
        <is>
          <t>non-peak normalized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16" customWidth="1" min="4" max="4"/>
    <col width="22" customWidth="1" min="5" max="5"/>
    <col width="24" customWidth="1" min="6" max="6"/>
  </cols>
  <sheetData>
    <row r="1">
      <c r="A1" s="1" t="inlineStr">
        <is>
          <t>Dated events and operating exceptions</t>
        </is>
      </c>
      <c r="B1" s="1" t="n"/>
      <c r="C1" s="1" t="n"/>
      <c r="D1" s="1" t="n"/>
      <c r="E1" s="1" t="n"/>
      <c r="F1" s="1" t="n"/>
    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Description</t>
        </is>
      </c>
      <c r="D3" s="2" t="inlineStr">
        <is>
          <t>Demand effect</t>
        </is>
      </c>
      <c r="E3" s="2" t="inlineStr">
        <is>
          <t>Availability adjustment</t>
        </is>
      </c>
      <c r="F3" s="2" t="inlineStr">
        <is>
          <t>Source note</t>
        </is>
      </c>
    </row>
    <row r="4">
      <c r="A4" s="3" t="n">
        <v>46305</v>
      </c>
      <c r="B4" t="inlineStr">
        <is>
          <t>Event</t>
        </is>
      </c>
      <c r="C4" t="inlineStr">
        <is>
          <t>Community respiratory outreach</t>
        </is>
      </c>
      <c r="D4" s="5" t="n">
        <v>1.1</v>
      </c>
      <c r="E4" s="5" t="n">
        <v>1</v>
      </c>
      <c r="F4" t="inlineStr">
        <is>
          <t>effect supplied</t>
        </is>
      </c>
    </row>
    <row r="5">
      <c r="A5" s="3" t="n">
        <v>46326</v>
      </c>
      <c r="B5" t="inlineStr">
        <is>
          <t>Event</t>
        </is>
      </c>
      <c r="C5" t="inlineStr">
        <is>
          <t>Health fair pop-up</t>
        </is>
      </c>
      <c r="D5" s="5" t="n">
        <v>1.05</v>
      </c>
      <c r="E5" s="5" t="n">
        <v>1</v>
      </c>
      <c r="F5" t="inlineStr">
        <is>
          <t>effect supplied</t>
        </is>
      </c>
    </row>
    <row r="6">
      <c r="A6" s="3" t="n">
        <v>46333</v>
      </c>
      <c r="B6" t="inlineStr">
        <is>
          <t>Event</t>
        </is>
      </c>
      <c r="C6" t="inlineStr">
        <is>
          <t>School partnership outreach</t>
        </is>
      </c>
      <c r="D6" s="5" t="n"/>
      <c r="E6" s="5" t="n">
        <v>1</v>
      </c>
      <c r="F6" t="inlineStr">
        <is>
          <t>effect unavailable</t>
        </is>
      </c>
    </row>
    <row r="7">
      <c r="A7" s="3" t="n">
        <v>46380</v>
      </c>
      <c r="B7" t="inlineStr">
        <is>
          <t>Reduced session</t>
        </is>
      </c>
      <c r="C7" t="inlineStr">
        <is>
          <t>Christmas Eve evening session closed</t>
        </is>
      </c>
      <c r="D7" s="5" t="n">
        <v>1</v>
      </c>
      <c r="E7" s="5" t="n">
        <v>0.5</v>
      </c>
      <c r="F7" t="inlineStr">
        <is>
          <t>evening only</t>
        </is>
      </c>
    </row>
    <row r="8">
      <c r="A8" s="3" t="n">
        <v>46381</v>
      </c>
      <c r="B8" t="inlineStr">
        <is>
          <t>Closure</t>
        </is>
      </c>
      <c r="C8" t="inlineStr">
        <is>
          <t>Christmas Day closed</t>
        </is>
      </c>
      <c r="D8" s="5" t="n">
        <v>1</v>
      </c>
      <c r="E8" s="5" t="n">
        <v>0</v>
      </c>
      <c r="F8" t="inlineStr">
        <is>
          <t>full 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20" customWidth="1" min="5" max="5"/>
    <col width="14" customWidth="1" min="6" max="6"/>
    <col width="30" customWidth="1" min="7" max="7"/>
  </cols>
  <sheetData>
    <row r="1">
      <c r="A1" s="1" t="inlineStr">
        <is>
          <t>Provider capacity and cost records</t>
        </is>
      </c>
      <c r="B1" s="1" t="n"/>
      <c r="C1" s="1" t="n"/>
      <c r="D1" s="1" t="n"/>
      <c r="E1" s="1" t="n"/>
      <c r="F1" s="1" t="n"/>
      <c r="G1" s="1" t="n"/>
    </row>
    <row r="3">
      <c r="A3" s="2" t="inlineStr">
        <is>
          <t>Service key</t>
        </is>
      </c>
      <c r="B3" s="2" t="inlineStr">
        <is>
          <t>Shift</t>
        </is>
      </c>
      <c r="C3" s="2" t="inlineStr">
        <is>
          <t>Paid hours/session</t>
        </is>
      </c>
      <c r="D3" s="2" t="inlineStr">
        <is>
          <t>Throughput visits/hour</t>
        </is>
      </c>
      <c r="E3" s="2" t="inlineStr">
        <is>
          <t>Unit rate GBP/hour</t>
        </is>
      </c>
      <c r="F3" s="2" t="inlineStr">
        <is>
          <t>Incremental?</t>
        </is>
      </c>
      <c r="G3" s="2" t="inlineStr">
        <is>
          <t>Source note</t>
        </is>
      </c>
    </row>
    <row r="4">
      <c r="A4" t="inlineStr">
        <is>
          <t>DAY-A</t>
        </is>
      </c>
      <c r="B4" t="inlineStr">
        <is>
          <t>Day</t>
        </is>
      </c>
      <c r="C4" t="n">
        <v>8</v>
      </c>
      <c r="D4" t="n">
        <v>10</v>
      </c>
      <c r="E4" s="6" t="n">
        <v>187.63</v>
      </c>
      <c r="F4" t="inlineStr">
        <is>
          <t>No</t>
        </is>
      </c>
      <c r="G4" t="inlineStr">
        <is>
          <t>provider schedule</t>
        </is>
      </c>
    </row>
    <row r="5">
      <c r="A5" t="inlineStr">
        <is>
          <t xml:space="preserve">evening-a </t>
        </is>
      </c>
      <c r="B5" t="inlineStr">
        <is>
          <t>Evening</t>
        </is>
      </c>
      <c r="C5" t="n">
        <v>4</v>
      </c>
      <c r="D5" t="n">
        <v>8</v>
      </c>
      <c r="E5" s="6" t="n">
        <v>187.6300000004</v>
      </c>
      <c r="F5" t="inlineStr">
        <is>
          <t>No</t>
        </is>
      </c>
      <c r="G5" t="inlineStr">
        <is>
          <t>case/space variant; noisy rate</t>
        </is>
      </c>
    </row>
    <row r="6">
      <c r="A6" t="inlineStr">
        <is>
          <t>EVENING-A</t>
        </is>
      </c>
      <c r="B6" t="inlineStr">
        <is>
          <t>Evening</t>
        </is>
      </c>
      <c r="C6" t="n">
        <v>4</v>
      </c>
      <c r="D6" t="n">
        <v>8</v>
      </c>
      <c r="E6" s="6" t="n">
        <v>187.63</v>
      </c>
      <c r="F6" t="inlineStr">
        <is>
          <t>Yes</t>
        </is>
      </c>
      <c r="G6" t="inlineStr">
        <is>
          <t>second-provider incremental shift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58" customWidth="1" min="4" max="4"/>
  </cols>
  <sheetData>
    <row r="1">
      <c r="A1" s="1" t="inlineStr">
        <is>
          <t>Service and financial controls | England | as at 31 July 2026</t>
        </is>
      </c>
      <c r="B1" s="1" t="n"/>
      <c r="C1" s="1" t="n"/>
      <c r="D1" s="1" t="n"/>
    </row>
    <row r="3">
      <c r="A3" s="2" t="inlineStr">
        <is>
          <t>Control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Interpretation</t>
        </is>
      </c>
    </row>
    <row r="4">
      <c r="A4" t="inlineStr">
        <is>
          <t>First-provider service capacity trigger</t>
        </is>
      </c>
      <c r="B4" s="4" t="n">
        <v>0.85</v>
      </c>
      <c r="C4" t="inlineStr">
        <is>
          <t>share of first-provider capacity</t>
        </is>
      </c>
      <c r="D4" t="inlineStr">
        <is>
          <t>add when mapped effective demand is above 85% capacity</t>
        </is>
      </c>
    </row>
    <row r="5">
      <c r="A5" t="inlineStr">
        <is>
          <t>Second-shift contribution floor</t>
        </is>
      </c>
      <c r="B5" s="7" t="n">
        <v>3752.6</v>
      </c>
      <c r="C5" t="inlineStr">
        <is>
          <t>GBP/week</t>
        </is>
      </c>
      <c r="D5" t="inlineStr">
        <is>
          <t>incremental contribution must cover weekly second-provider payroll</t>
        </is>
      </c>
    </row>
    <row r="6">
      <c r="A6" t="inlineStr">
        <is>
          <t>Evening viability floor</t>
        </is>
      </c>
      <c r="B6" t="n">
        <v>40</v>
      </c>
      <c r="C6" t="inlineStr">
        <is>
          <t>evening visits/week</t>
        </is>
      </c>
      <c r="D6" t="inlineStr">
        <is>
          <t>cut boundary is below this effective-week evening activity</t>
        </is>
      </c>
    </row>
    <row r="7">
      <c r="A7" t="inlineStr">
        <is>
          <t>Access floor</t>
        </is>
      </c>
      <c r="B7" t="n">
        <v>20</v>
      </c>
      <c r="C7" t="inlineStr">
        <is>
          <t>evening visits/week</t>
        </is>
      </c>
      <c r="D7" t="inlineStr">
        <is>
          <t>retain minimum access floor</t>
        </is>
      </c>
    </row>
    <row r="8">
      <c r="A8" t="inlineStr">
        <is>
          <t>Consecutive low observations</t>
        </is>
      </c>
      <c r="B8" t="n">
        <v>2</v>
      </c>
      <c r="C8" t="inlineStr">
        <is>
          <t>decision weeks</t>
        </is>
      </c>
      <c r="D8" t="inlineStr">
        <is>
          <t>required before a cut can be classified</t>
        </is>
      </c>
    </row>
    <row r="9">
      <c r="A9" t="inlineStr">
        <is>
          <t>Lead time</t>
        </is>
      </c>
      <c r="B9" t="n">
        <v>6</v>
      </c>
      <c r="C9" t="inlineStr">
        <is>
          <t>weeks</t>
        </is>
      </c>
      <c r="D9" t="inlineStr">
        <is>
          <t>decision to effective staffing change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2" customWidth="1" min="4" max="4"/>
  </cols>
  <sheetData>
    <row r="1">
      <c r="A1" s="1" t="inlineStr">
        <is>
          <t>Recurring and event-linked cost rules</t>
        </is>
      </c>
      <c r="B1" s="1" t="n"/>
      <c r="C1" s="1" t="n"/>
      <c r="D1" s="1" t="n"/>
    </row>
    <row r="3">
      <c r="A3" s="2" t="inlineStr">
        <is>
          <t>Cost item</t>
        </is>
      </c>
      <c r="B3" s="2" t="inlineStr">
        <is>
          <t>Amount GBP</t>
        </is>
      </c>
      <c r="C3" s="2" t="inlineStr">
        <is>
          <t>Timing</t>
        </is>
      </c>
      <c r="D3" s="2" t="inlineStr">
        <is>
          <t>Notes</t>
        </is>
      </c>
    </row>
    <row r="4">
      <c r="A4" t="inlineStr">
        <is>
          <t>Rent</t>
        </is>
      </c>
      <c r="B4" s="7" t="n">
        <v>1200</v>
      </c>
      <c r="C4" t="inlineStr">
        <is>
          <t>weekly</t>
        </is>
      </c>
      <c r="D4" t="inlineStr">
        <is>
          <t>normal operating week</t>
        </is>
      </c>
    </row>
    <row r="5">
      <c r="A5" t="inlineStr">
        <is>
          <t>Utilities</t>
        </is>
      </c>
      <c r="B5" s="7" t="n">
        <v>180</v>
      </c>
      <c r="C5" t="inlineStr">
        <is>
          <t>weekly</t>
        </is>
      </c>
      <c r="D5" t="inlineStr">
        <is>
          <t>normal operating week</t>
        </is>
      </c>
    </row>
    <row r="6">
      <c r="A6" t="inlineStr">
        <is>
          <t>Opening setup</t>
        </is>
      </c>
      <c r="B6" s="7" t="n">
        <v>3500</v>
      </c>
      <c r="C6" t="inlineStr">
        <is>
          <t>week 1 only</t>
        </is>
      </c>
      <c r="D6" t="inlineStr">
        <is>
          <t>opening-only</t>
        </is>
      </c>
    </row>
    <row r="7">
      <c r="A7" t="inlineStr">
        <is>
          <t>Outreach event</t>
        </is>
      </c>
      <c r="B7" s="7" t="n">
        <v>600</v>
      </c>
      <c r="C7" t="inlineStr">
        <is>
          <t>event date week</t>
        </is>
      </c>
      <c r="D7" t="inlineStr">
        <is>
          <t>only supported outreach events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64" customWidth="1" min="3" max="3"/>
  </cols>
  <sheetData>
    <row r="1">
      <c r="A1" s="1" t="inlineStr">
        <is>
          <t>Prior analyst summary (not used for forecast)</t>
        </is>
      </c>
      <c r="B1" s="1" t="n"/>
      <c r="C1" s="1" t="n"/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Demand subtotal</t>
        </is>
      </c>
      <c r="B4">
        <f>SUM(Opening_State!B5:B5)+#REF!</f>
        <v/>
      </c>
      <c r="C4" t="inlineStr">
        <is>
          <t>Residual error in old summary; detailed records remain 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2026-08-25T00:32:34Z</dcterms:created>
  <dcterms:modified xmlns:dcterms="http://purl.org/dc/terms/" xmlns:xsi="http://www.w3.org/2001/XMLSchema-instance" xsi:type="dcterms:W3CDTF">2026-08-25T00:32:34Z</dcterms:modified>
</cp:coreProperties>
</file>