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uty Schedule" sheetId="1" state="visible" r:id="rId3"/>
    <sheet name="Weekly Controls" sheetId="2" state="visible" r:id="rId4"/>
  </sheets>
  <definedNames>
    <definedName function="false" hidden="false" localSheetId="0" name="_xlnm.Print_Titles" vbProcedure="false">'Duty Schedule'!$1:$4</definedName>
    <definedName function="false" hidden="true" localSheetId="0" name="_xlnm._FilterDatabase" vbProcedure="false">'Duty Schedule'!$A$4:$L$200</definedName>
    <definedName function="false" hidden="true" localSheetId="1" name="_xlnm._FilterDatabase" vbProcedure="false">'Weekly Controls'!$A$4:$G$60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<sst xmlns="http://schemas.openxmlformats.org/spreadsheetml/2006/main" count="1382" uniqueCount="72">
  <si>
    <t xml:space="preserve">Ballantyne Market Co-op | interim meat &amp; seafood duty schedule</t>
  </si>
  <si>
    <t xml:space="preserve">Coverage: 06 Jul 2026 - 11 Oct 2026 (14 operational weeks)</t>
  </si>
  <si>
    <t xml:space="preserve">Prepared for 24 Jun board meeting</t>
  </si>
  <si>
    <t xml:space="preserve">Operational Week</t>
  </si>
  <si>
    <t xml:space="preserve">Duty ID</t>
  </si>
  <si>
    <t xml:space="preserve">Duty</t>
  </si>
  <si>
    <t xml:space="preserve">Workflow</t>
  </si>
  <si>
    <t xml:space="preserve">Owner</t>
  </si>
  <si>
    <t xml:space="preserve">Start</t>
  </si>
  <si>
    <t xml:space="preserve">Finish</t>
  </si>
  <si>
    <t xml:space="preserve">Hours</t>
  </si>
  <si>
    <t xml:space="preserve">Predecessor</t>
  </si>
  <si>
    <t xml:space="preserve">Handoff Evidence</t>
  </si>
  <si>
    <t xml:space="preserve">Backup or Escalation</t>
  </si>
  <si>
    <t xml:space="preserve">Compliance Status</t>
  </si>
  <si>
    <t xml:space="preserve">ORD_FORECAST</t>
  </si>
  <si>
    <t xml:space="preserve">Demand forecast</t>
  </si>
  <si>
    <t xml:space="preserve">Ordering</t>
  </si>
  <si>
    <t xml:space="preserve">Marisol Reyes</t>
  </si>
  <si>
    <t xml:space="preserve">Forecast workbook</t>
  </si>
  <si>
    <t xml:space="preserve">Amara Draganov</t>
  </si>
  <si>
    <t xml:space="preserve">ORD_DRAFT</t>
  </si>
  <si>
    <t xml:space="preserve">Purchase-order draft</t>
  </si>
  <si>
    <t xml:space="preserve">Draft PO</t>
  </si>
  <si>
    <t xml:space="preserve">ORD_HACCP</t>
  </si>
  <si>
    <t xml:space="preserve">HACCP order review</t>
  </si>
  <si>
    <t xml:space="preserve">Emeric Novak</t>
  </si>
  <si>
    <t xml:space="preserve">HACCP initials</t>
  </si>
  <si>
    <t xml:space="preserve">NO QUALIFIED BACKUP — GM ESCALATION</t>
  </si>
  <si>
    <t xml:space="preserve">ORD_RELEASE</t>
  </si>
  <si>
    <t xml:space="preserve">Vendor order release</t>
  </si>
  <si>
    <t xml:space="preserve">Vendor release confirmation</t>
  </si>
  <si>
    <t xml:space="preserve">RCV_VERIFY</t>
  </si>
  <si>
    <t xml:space="preserve">Delivery verification</t>
  </si>
  <si>
    <t xml:space="preserve">Receiving</t>
  </si>
  <si>
    <t xml:space="preserve">Yusuf Gasparyan</t>
  </si>
  <si>
    <t xml:space="preserve">Receiving log</t>
  </si>
  <si>
    <t xml:space="preserve">RCV_DISPOSITION</t>
  </si>
  <si>
    <t xml:space="preserve">HACCP disposition</t>
  </si>
  <si>
    <t xml:space="preserve">Disposition entry</t>
  </si>
  <si>
    <t xml:space="preserve">RCV_TRACE</t>
  </si>
  <si>
    <t xml:space="preserve">Lot traceability closeout</t>
  </si>
  <si>
    <t xml:space="preserve">PROD_PLAN</t>
  </si>
  <si>
    <t xml:space="preserve">Production cut plan</t>
  </si>
  <si>
    <t xml:space="preserve">Production training</t>
  </si>
  <si>
    <t xml:space="preserve">Cut plan</t>
  </si>
  <si>
    <t xml:space="preserve">PROD_DEMO</t>
  </si>
  <si>
    <t xml:space="preserve">Closing-crew demonstration</t>
  </si>
  <si>
    <t xml:space="preserve">Crew demonstration acknowledgment</t>
  </si>
  <si>
    <t xml:space="preserve">PROD_RECORD</t>
  </si>
  <si>
    <t xml:space="preserve">Competency record</t>
  </si>
  <si>
    <t xml:space="preserve">INV_COUNT</t>
  </si>
  <si>
    <t xml:space="preserve">Cycle count</t>
  </si>
  <si>
    <t xml:space="preserve">Inventory</t>
  </si>
  <si>
    <t xml:space="preserve">Count sheet</t>
  </si>
  <si>
    <t xml:space="preserve">INV_VARIANCE</t>
  </si>
  <si>
    <t xml:space="preserve">Variance review</t>
  </si>
  <si>
    <t xml:space="preserve">Variance log</t>
  </si>
  <si>
    <t xml:space="preserve">INV_SHRINK</t>
  </si>
  <si>
    <t xml:space="preserve">Shrink brief</t>
  </si>
  <si>
    <t xml:space="preserve">Shrink brief acknowledgment</t>
  </si>
  <si>
    <t xml:space="preserve">SAN_VERIFY</t>
  </si>
  <si>
    <t xml:space="preserve">Sanitation verification</t>
  </si>
  <si>
    <t xml:space="preserve">Sanitation</t>
  </si>
  <si>
    <t xml:space="preserve">Sanitation verification log</t>
  </si>
  <si>
    <t xml:space="preserve">Weekly Hours by Owner and compliance controls</t>
  </si>
  <si>
    <t xml:space="preserve">Formula controls recalculate from Duty Schedule; capacities from current people extract.</t>
  </si>
  <si>
    <t xml:space="preserve">Weekly Hours by Owner</t>
  </si>
  <si>
    <t xml:space="preserve">Interim cap</t>
  </si>
  <si>
    <t xml:space="preserve">Hours Status</t>
  </si>
  <si>
    <t xml:space="preserve">Timing Status</t>
  </si>
  <si>
    <t xml:space="preserve">Weekly Control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</si>
</sst>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dd\-mmm\-yyyy\ hh:mm"/>
    <numFmt numFmtId="166" formatCode="0.00"/>
    <numFmt numFmtId="167" formatCode="dd\-m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ptos Display"/>
      <family val="0"/>
      <charset val="1"/>
    </font>
    <font>
      <b val="true"/>
      <sz val="10"/>
      <color rgb="FFFFFFFF"/>
      <name val="Aptos"/>
      <family val="0"/>
      <charset val="1"/>
    </font>
    <font>
      <sz val="9"/>
      <color rgb="FF23323D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54A"/>
        <bgColor rgb="FF23323D"/>
      </patternFill>
    </fill>
    <fill>
      <patternFill patternType="solid">
        <fgColor rgb="FF007C83"/>
        <bgColor rgb="FF008080"/>
      </patternFill>
    </fill>
    <fill>
      <patternFill patternType="solid">
        <fgColor rgb="FFF6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7D1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7C83"/>
          <bgColor rgb="FF000000"/>
        </patternFill>
      </fill>
    </dxf>
    <dxf>
      <fill>
        <patternFill patternType="solid">
          <fgColor rgb="FFF6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3323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F4EA"/>
          <bgColor rgb="FF000000"/>
        </patternFill>
      </fill>
    </dxf>
    <dxf>
      <fill>
        <patternFill>
          <bgColor rgb="FFFCE8E6"/>
        </patternFill>
      </fill>
    </dxf>
    <dxf>
      <fill>
        <patternFill>
          <bgColor rgb="FFE5F4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C83"/>
      <rgbColor rgb="FFC0C0C0"/>
      <rgbColor rgb="FF808080"/>
      <rgbColor rgb="FF9999FF"/>
      <rgbColor rgb="FF993366"/>
      <rgbColor rgb="FFF6F8FA"/>
      <rgbColor rgb="FFE5F4EA"/>
      <rgbColor rgb="FF660066"/>
      <rgbColor rgb="FFFF8080"/>
      <rgbColor rgb="FF0066CC"/>
      <rgbColor rgb="FFC7D1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54A"/>
      <rgbColor rgb="FF339966"/>
      <rgbColor rgb="FF003300"/>
      <rgbColor rgb="FF333300"/>
      <rgbColor rgb="FF993300"/>
      <rgbColor rgb="FF993366"/>
      <rgbColor rgb="FF333399"/>
      <rgbColor rgb="FF2332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29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7" min="6" style="0" width="20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31"/>
    <col collapsed="false" customWidth="true" hidden="false" outlineLevel="0" max="11" min="11" style="0" width="34"/>
    <col collapsed="false" customWidth="true" hidden="false" outlineLevel="0" max="12" min="12" style="0" width="18"/>
  </cols>
  <sheetData>
    <row r="1" customFormat="false" ht="2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0" t="s">
        <v>1</v>
      </c>
      <c r="H2" s="0" t="s">
        <v>2</v>
      </c>
    </row>
    <row r="4" customFormat="false" ht="27.75" hidden="false" customHeight="tru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</row>
    <row r="5" customFormat="false" ht="27.75" hidden="false" customHeight="true" outlineLevel="0" collapsed="false">
      <c r="A5" s="3" t="n">
        <v>46209</v>
      </c>
      <c r="B5" s="4" t="s">
        <v>15</v>
      </c>
      <c r="C5" s="5" t="s">
        <v>16</v>
      </c>
      <c r="D5" s="5" t="s">
        <v>17</v>
      </c>
      <c r="E5" s="5" t="s">
        <v>18</v>
      </c>
      <c r="F5" s="3" t="n">
        <v>46209.3333333333</v>
      </c>
      <c r="G5" s="3" t="n">
        <v>46209.4166666667</v>
      </c>
      <c r="H5" s="6" t="n">
        <f aca="false">ROUND((G5-F5)*24,2)</f>
        <v>2</v>
      </c>
      <c r="I5" s="5"/>
      <c r="J5" s="5" t="s">
        <v>19</v>
      </c>
      <c r="K5" s="5" t="s">
        <v>20</v>
      </c>
      <c r="L5" s="5" t="str">
        <f aca="false">IF(AND(F5&gt;=DATE(2026,7,6)+TIME(8,0,0),G5&lt;=DATE(2026,7,6)+TIME(10,0,0),ABS(H5-2)&lt;0.001,TRUE()),"COMPLIANT","EXCEPTION")</f>
        <v>COMPLIANT</v>
      </c>
    </row>
    <row r="6" customFormat="false" ht="27.75" hidden="false" customHeight="true" outlineLevel="0" collapsed="false">
      <c r="A6" s="7" t="n">
        <v>46209</v>
      </c>
      <c r="B6" s="8" t="s">
        <v>21</v>
      </c>
      <c r="C6" s="9" t="s">
        <v>22</v>
      </c>
      <c r="D6" s="9" t="s">
        <v>17</v>
      </c>
      <c r="E6" s="9" t="s">
        <v>18</v>
      </c>
      <c r="F6" s="7" t="n">
        <v>46209.4166666667</v>
      </c>
      <c r="G6" s="7" t="n">
        <v>46209.5416666667</v>
      </c>
      <c r="H6" s="10" t="n">
        <f aca="false">ROUND((G6-F6)*24,2)</f>
        <v>3</v>
      </c>
      <c r="I6" s="9" t="s">
        <v>15</v>
      </c>
      <c r="J6" s="9" t="s">
        <v>23</v>
      </c>
      <c r="K6" s="9" t="s">
        <v>20</v>
      </c>
      <c r="L6" s="9" t="str">
        <f aca="false">IF(AND(F6&gt;=DATE(2026,7,6)+TIME(10,0,0),G6&lt;=DATE(2026,7,6)+TIME(13,0,0),ABS(H6-3)&lt;0.001,AND(F6&gt;=G5,F6-G5&lt;=TIME(0,30,0))),"COMPLIANT","EXCEPTION")</f>
        <v>COMPLIANT</v>
      </c>
    </row>
    <row r="7" customFormat="false" ht="27.75" hidden="false" customHeight="true" outlineLevel="0" collapsed="false">
      <c r="A7" s="3" t="n">
        <v>46209</v>
      </c>
      <c r="B7" s="4" t="s">
        <v>24</v>
      </c>
      <c r="C7" s="5" t="s">
        <v>25</v>
      </c>
      <c r="D7" s="5" t="s">
        <v>17</v>
      </c>
      <c r="E7" s="5" t="s">
        <v>26</v>
      </c>
      <c r="F7" s="3" t="n">
        <v>46209.5416666667</v>
      </c>
      <c r="G7" s="3" t="n">
        <v>46209.5833333333</v>
      </c>
      <c r="H7" s="6" t="n">
        <f aca="false">ROUND((G7-F7)*24,2)</f>
        <v>1</v>
      </c>
      <c r="I7" s="5" t="s">
        <v>21</v>
      </c>
      <c r="J7" s="5" t="s">
        <v>27</v>
      </c>
      <c r="K7" s="5" t="s">
        <v>28</v>
      </c>
      <c r="L7" s="5" t="str">
        <f aca="false">IF(AND(F7&gt;=DATE(2026,7,6)+TIME(13,0,0),G7&lt;=DATE(2026,7,6)+TIME(14,0,0),ABS(H7-1)&lt;0.001,AND(F7&gt;=G6,F7-G6&lt;=TIME(0,30,0))),"COMPLIANT","EXCEPTION")</f>
        <v>COMPLIANT</v>
      </c>
    </row>
    <row r="8" customFormat="false" ht="27.75" hidden="false" customHeight="true" outlineLevel="0" collapsed="false">
      <c r="A8" s="7" t="n">
        <v>46209</v>
      </c>
      <c r="B8" s="8" t="s">
        <v>29</v>
      </c>
      <c r="C8" s="9" t="s">
        <v>30</v>
      </c>
      <c r="D8" s="9" t="s">
        <v>17</v>
      </c>
      <c r="E8" s="9" t="s">
        <v>18</v>
      </c>
      <c r="F8" s="7" t="n">
        <v>46209.5833333333</v>
      </c>
      <c r="G8" s="7" t="n">
        <v>46209.625</v>
      </c>
      <c r="H8" s="10" t="n">
        <f aca="false">ROUND((G8-F8)*24,2)</f>
        <v>1</v>
      </c>
      <c r="I8" s="9" t="s">
        <v>24</v>
      </c>
      <c r="J8" s="9" t="s">
        <v>31</v>
      </c>
      <c r="K8" s="9" t="s">
        <v>28</v>
      </c>
      <c r="L8" s="9" t="str">
        <f aca="false">IF(AND(F8&gt;=DATE(2026,7,6)+TIME(14,0,0),G8&lt;=DATE(2026,7,6)+TIME(15,0,0),ABS(H8-1)&lt;0.001,AND(F8&gt;=G7,F8-G7&lt;=TIME(0,30,0))),"COMPLIANT","EXCEPTION")</f>
        <v>COMPLIANT</v>
      </c>
    </row>
    <row r="9" customFormat="false" ht="27.75" hidden="false" customHeight="true" outlineLevel="0" collapsed="false">
      <c r="A9" s="3" t="n">
        <v>46209</v>
      </c>
      <c r="B9" s="4" t="s">
        <v>32</v>
      </c>
      <c r="C9" s="5" t="s">
        <v>33</v>
      </c>
      <c r="D9" s="5" t="s">
        <v>34</v>
      </c>
      <c r="E9" s="5" t="s">
        <v>35</v>
      </c>
      <c r="F9" s="3" t="n">
        <v>46212.25</v>
      </c>
      <c r="G9" s="3" t="n">
        <v>46212.3333333333</v>
      </c>
      <c r="H9" s="6" t="n">
        <f aca="false">ROUND((G9-F9)*24,2)</f>
        <v>2</v>
      </c>
      <c r="I9" s="5"/>
      <c r="J9" s="5" t="s">
        <v>36</v>
      </c>
      <c r="K9" s="5" t="s">
        <v>26</v>
      </c>
      <c r="L9" s="5" t="str">
        <f aca="false">IF(AND(F9&gt;=DATE(2026,7,9)+TIME(6,0,0),G9&lt;=DATE(2026,7,9)+TIME(8,0,0),ABS(H9-2)&lt;0.001,TRUE()),"COMPLIANT","EXCEPTION")</f>
        <v>COMPLIANT</v>
      </c>
    </row>
    <row r="10" customFormat="false" ht="27.75" hidden="false" customHeight="true" outlineLevel="0" collapsed="false">
      <c r="A10" s="7" t="n">
        <v>46209</v>
      </c>
      <c r="B10" s="8" t="s">
        <v>37</v>
      </c>
      <c r="C10" s="9" t="s">
        <v>38</v>
      </c>
      <c r="D10" s="9" t="s">
        <v>34</v>
      </c>
      <c r="E10" s="9" t="s">
        <v>26</v>
      </c>
      <c r="F10" s="7" t="n">
        <v>46212.3333333333</v>
      </c>
      <c r="G10" s="7" t="n">
        <v>46212.375</v>
      </c>
      <c r="H10" s="10" t="n">
        <f aca="false">ROUND((G10-F10)*24,2)</f>
        <v>1</v>
      </c>
      <c r="I10" s="9" t="s">
        <v>32</v>
      </c>
      <c r="J10" s="9" t="s">
        <v>39</v>
      </c>
      <c r="K10" s="9" t="s">
        <v>28</v>
      </c>
      <c r="L10" s="9" t="str">
        <f aca="false">IF(AND(F10&gt;=DATE(2026,7,9)+TIME(8,0,0),G10&lt;=DATE(2026,7,9)+TIME(9,0,0),ABS(H10-1)&lt;0.001,AND(F10&gt;=G9,F10-G9&lt;=TIME(0,30,0))),"COMPLIANT","EXCEPTION")</f>
        <v>COMPLIANT</v>
      </c>
    </row>
    <row r="11" customFormat="false" ht="27.75" hidden="false" customHeight="true" outlineLevel="0" collapsed="false">
      <c r="A11" s="3" t="n">
        <v>46209</v>
      </c>
      <c r="B11" s="4" t="s">
        <v>40</v>
      </c>
      <c r="C11" s="5" t="s">
        <v>41</v>
      </c>
      <c r="D11" s="5" t="s">
        <v>34</v>
      </c>
      <c r="E11" s="5" t="s">
        <v>26</v>
      </c>
      <c r="F11" s="3" t="n">
        <v>46212.375</v>
      </c>
      <c r="G11" s="3" t="n">
        <v>46212.4166666667</v>
      </c>
      <c r="H11" s="6" t="n">
        <f aca="false">ROUND((G11-F11)*24,2)</f>
        <v>1</v>
      </c>
      <c r="I11" s="5" t="s">
        <v>37</v>
      </c>
      <c r="J11" s="5" t="s">
        <v>41</v>
      </c>
      <c r="K11" s="5" t="s">
        <v>28</v>
      </c>
      <c r="L11" s="5" t="str">
        <f aca="false">IF(AND(F11&gt;=DATE(2026,7,9)+TIME(9,0,0),G11&lt;=DATE(2026,7,9)+TIME(10,0,0),ABS(H11-1)&lt;0.001,AND(F11&gt;=G10,F11-G10&lt;=TIME(0,30,0))),"COMPLIANT","EXCEPTION")</f>
        <v>COMPLIANT</v>
      </c>
    </row>
    <row r="12" customFormat="false" ht="27.75" hidden="false" customHeight="true" outlineLevel="0" collapsed="false">
      <c r="A12" s="7" t="n">
        <v>46209</v>
      </c>
      <c r="B12" s="8" t="s">
        <v>42</v>
      </c>
      <c r="C12" s="9" t="s">
        <v>43</v>
      </c>
      <c r="D12" s="9" t="s">
        <v>44</v>
      </c>
      <c r="E12" s="9" t="s">
        <v>20</v>
      </c>
      <c r="F12" s="7" t="n">
        <v>46210.2916666667</v>
      </c>
      <c r="G12" s="7" t="n">
        <v>46210.4166666667</v>
      </c>
      <c r="H12" s="10" t="n">
        <f aca="false">ROUND((G12-F12)*24,2)</f>
        <v>3</v>
      </c>
      <c r="I12" s="9"/>
      <c r="J12" s="9" t="s">
        <v>45</v>
      </c>
      <c r="K12" s="9" t="s">
        <v>28</v>
      </c>
      <c r="L12" s="9" t="str">
        <f aca="false">IF(AND(F12&gt;=DATE(2026,7,7)+TIME(7,0,0),G12&lt;=DATE(2026,7,7)+TIME(10,0,0),ABS(H12-3)&lt;0.001,TRUE()),"COMPLIANT","EXCEPTION")</f>
        <v>COMPLIANT</v>
      </c>
    </row>
    <row r="13" customFormat="false" ht="27.75" hidden="false" customHeight="true" outlineLevel="0" collapsed="false">
      <c r="A13" s="3" t="n">
        <v>46209</v>
      </c>
      <c r="B13" s="4" t="s">
        <v>46</v>
      </c>
      <c r="C13" s="5" t="s">
        <v>47</v>
      </c>
      <c r="D13" s="5" t="s">
        <v>44</v>
      </c>
      <c r="E13" s="5" t="s">
        <v>20</v>
      </c>
      <c r="F13" s="3" t="n">
        <v>46210.4166666667</v>
      </c>
      <c r="G13" s="3" t="n">
        <v>46210.4583333333</v>
      </c>
      <c r="H13" s="6" t="n">
        <f aca="false">ROUND((G13-F13)*24,2)</f>
        <v>1</v>
      </c>
      <c r="I13" s="5" t="s">
        <v>42</v>
      </c>
      <c r="J13" s="5" t="s">
        <v>48</v>
      </c>
      <c r="K13" s="5" t="s">
        <v>28</v>
      </c>
      <c r="L13" s="5" t="str">
        <f aca="false">IF(AND(F13&gt;=DATE(2026,7,7)+TIME(10,0,0),G13&lt;=DATE(2026,7,7)+TIME(11,0,0),ABS(H13-1)&lt;0.001,AND(F13&gt;=G12,F13-G12&lt;=TIME(0,30,0))),"COMPLIANT","EXCEPTION")</f>
        <v>COMPLIANT</v>
      </c>
    </row>
    <row r="14" customFormat="false" ht="27.75" hidden="false" customHeight="true" outlineLevel="0" collapsed="false">
      <c r="A14" s="7" t="n">
        <v>46209</v>
      </c>
      <c r="B14" s="8" t="s">
        <v>49</v>
      </c>
      <c r="C14" s="9" t="s">
        <v>50</v>
      </c>
      <c r="D14" s="9" t="s">
        <v>44</v>
      </c>
      <c r="E14" s="9" t="s">
        <v>20</v>
      </c>
      <c r="F14" s="7" t="n">
        <v>46210.4583333333</v>
      </c>
      <c r="G14" s="7" t="n">
        <v>46210.5</v>
      </c>
      <c r="H14" s="10" t="n">
        <f aca="false">ROUND((G14-F14)*24,2)</f>
        <v>1</v>
      </c>
      <c r="I14" s="9" t="s">
        <v>46</v>
      </c>
      <c r="J14" s="9" t="s">
        <v>50</v>
      </c>
      <c r="K14" s="9" t="s">
        <v>28</v>
      </c>
      <c r="L14" s="9" t="str">
        <f aca="false">IF(AND(F14&gt;=DATE(2026,7,7)+TIME(11,0,0),G14&lt;=DATE(2026,7,7)+TIME(12,0,0),ABS(H14-1)&lt;0.001,AND(F14&gt;=G13,F14-G13&lt;=TIME(0,30,0))),"COMPLIANT","EXCEPTION")</f>
        <v>COMPLIANT</v>
      </c>
    </row>
    <row r="15" customFormat="false" ht="27.75" hidden="false" customHeight="true" outlineLevel="0" collapsed="false">
      <c r="A15" s="3" t="n">
        <v>46209</v>
      </c>
      <c r="B15" s="4" t="s">
        <v>51</v>
      </c>
      <c r="C15" s="5" t="s">
        <v>52</v>
      </c>
      <c r="D15" s="5" t="s">
        <v>53</v>
      </c>
      <c r="E15" s="5" t="s">
        <v>35</v>
      </c>
      <c r="F15" s="3" t="n">
        <v>46211.2916666667</v>
      </c>
      <c r="G15" s="3" t="n">
        <v>46211.4166666667</v>
      </c>
      <c r="H15" s="6" t="n">
        <f aca="false">ROUND((G15-F15)*24,2)</f>
        <v>3</v>
      </c>
      <c r="I15" s="5"/>
      <c r="J15" s="5" t="s">
        <v>54</v>
      </c>
      <c r="K15" s="5" t="s">
        <v>18</v>
      </c>
      <c r="L15" s="5" t="str">
        <f aca="false">IF(AND(F15&gt;=DATE(2026,7,8)+TIME(7,0,0),G15&lt;=DATE(2026,7,8)+TIME(10,0,0),ABS(H15-3)&lt;0.001,TRUE()),"COMPLIANT","EXCEPTION")</f>
        <v>COMPLIANT</v>
      </c>
    </row>
    <row r="16" customFormat="false" ht="27.75" hidden="false" customHeight="true" outlineLevel="0" collapsed="false">
      <c r="A16" s="7" t="n">
        <v>46209</v>
      </c>
      <c r="B16" s="8" t="s">
        <v>55</v>
      </c>
      <c r="C16" s="9" t="s">
        <v>56</v>
      </c>
      <c r="D16" s="9" t="s">
        <v>53</v>
      </c>
      <c r="E16" s="9" t="s">
        <v>35</v>
      </c>
      <c r="F16" s="7" t="n">
        <v>46211.4166666667</v>
      </c>
      <c r="G16" s="7" t="n">
        <v>46211.5</v>
      </c>
      <c r="H16" s="10" t="n">
        <f aca="false">ROUND((G16-F16)*24,2)</f>
        <v>2</v>
      </c>
      <c r="I16" s="9" t="s">
        <v>51</v>
      </c>
      <c r="J16" s="9" t="s">
        <v>57</v>
      </c>
      <c r="K16" s="9" t="s">
        <v>18</v>
      </c>
      <c r="L16" s="9" t="str">
        <f aca="false">IF(AND(F16&gt;=DATE(2026,7,8)+TIME(10,0,0),G16&lt;=DATE(2026,7,8)+TIME(12,0,0),ABS(H16-2)&lt;0.001,AND(F16&gt;=G15,F16-G15&lt;=TIME(0,30,0))),"COMPLIANT","EXCEPTION")</f>
        <v>COMPLIANT</v>
      </c>
    </row>
    <row r="17" customFormat="false" ht="27.75" hidden="false" customHeight="true" outlineLevel="0" collapsed="false">
      <c r="A17" s="3" t="n">
        <v>46209</v>
      </c>
      <c r="B17" s="4" t="s">
        <v>58</v>
      </c>
      <c r="C17" s="5" t="s">
        <v>59</v>
      </c>
      <c r="D17" s="5" t="s">
        <v>53</v>
      </c>
      <c r="E17" s="5" t="s">
        <v>35</v>
      </c>
      <c r="F17" s="3" t="n">
        <v>46211.5</v>
      </c>
      <c r="G17" s="3" t="n">
        <v>46211.5416666667</v>
      </c>
      <c r="H17" s="6" t="n">
        <f aca="false">ROUND((G17-F17)*24,2)</f>
        <v>1</v>
      </c>
      <c r="I17" s="5" t="s">
        <v>55</v>
      </c>
      <c r="J17" s="5" t="s">
        <v>60</v>
      </c>
      <c r="K17" s="5" t="s">
        <v>18</v>
      </c>
      <c r="L17" s="5" t="str">
        <f aca="false">IF(AND(F17&gt;=DATE(2026,7,8)+TIME(12,0,0),G17&lt;=DATE(2026,7,8)+TIME(13,0,0),ABS(H17-1)&lt;0.001,AND(F17&gt;=G16,F17-G16&lt;=TIME(0,30,0))),"COMPLIANT","EXCEPTION")</f>
        <v>COMPLIANT</v>
      </c>
    </row>
    <row r="18" customFormat="false" ht="27.75" hidden="false" customHeight="true" outlineLevel="0" collapsed="false">
      <c r="A18" s="7" t="n">
        <v>46209</v>
      </c>
      <c r="B18" s="8" t="s">
        <v>61</v>
      </c>
      <c r="C18" s="9" t="s">
        <v>62</v>
      </c>
      <c r="D18" s="9" t="s">
        <v>63</v>
      </c>
      <c r="E18" s="9" t="s">
        <v>26</v>
      </c>
      <c r="F18" s="7" t="n">
        <v>46213.625</v>
      </c>
      <c r="G18" s="7" t="n">
        <v>46213.7083333333</v>
      </c>
      <c r="H18" s="10" t="n">
        <f aca="false">ROUND((G18-F18)*24,2)</f>
        <v>2</v>
      </c>
      <c r="I18" s="9"/>
      <c r="J18" s="9" t="s">
        <v>64</v>
      </c>
      <c r="K18" s="9" t="s">
        <v>28</v>
      </c>
      <c r="L18" s="9" t="str">
        <f aca="false">IF(AND(F18&gt;=DATE(2026,7,10)+TIME(15,0,0),G18&lt;=DATE(2026,7,10)+TIME(17,0,0),ABS(H18-2)&lt;0.001,TRUE()),"COMPLIANT","EXCEPTION")</f>
        <v>COMPLIANT</v>
      </c>
    </row>
    <row r="19" customFormat="false" ht="27.75" hidden="false" customHeight="true" outlineLevel="0" collapsed="false">
      <c r="A19" s="3" t="n">
        <v>46216</v>
      </c>
      <c r="B19" s="4" t="s">
        <v>15</v>
      </c>
      <c r="C19" s="5" t="s">
        <v>16</v>
      </c>
      <c r="D19" s="5" t="s">
        <v>17</v>
      </c>
      <c r="E19" s="5" t="s">
        <v>18</v>
      </c>
      <c r="F19" s="3" t="n">
        <v>46216.3333333333</v>
      </c>
      <c r="G19" s="3" t="n">
        <v>46216.4166666667</v>
      </c>
      <c r="H19" s="6" t="n">
        <f aca="false">ROUND((G19-F19)*24,2)</f>
        <v>2</v>
      </c>
      <c r="I19" s="5"/>
      <c r="J19" s="5" t="s">
        <v>19</v>
      </c>
      <c r="K19" s="5" t="s">
        <v>20</v>
      </c>
      <c r="L19" s="5" t="str">
        <f aca="false">IF(AND(F19&gt;=DATE(2026,7,13)+TIME(8,0,0),G19&lt;=DATE(2026,7,13)+TIME(10,0,0),ABS(H19-2)&lt;0.001,TRUE()),"COMPLIANT","EXCEPTION")</f>
        <v>COMPLIANT</v>
      </c>
    </row>
    <row r="20" customFormat="false" ht="27.75" hidden="false" customHeight="true" outlineLevel="0" collapsed="false">
      <c r="A20" s="7" t="n">
        <v>46216</v>
      </c>
      <c r="B20" s="8" t="s">
        <v>21</v>
      </c>
      <c r="C20" s="9" t="s">
        <v>22</v>
      </c>
      <c r="D20" s="9" t="s">
        <v>17</v>
      </c>
      <c r="E20" s="9" t="s">
        <v>18</v>
      </c>
      <c r="F20" s="7" t="n">
        <v>46216.4166666667</v>
      </c>
      <c r="G20" s="7" t="n">
        <v>46216.5416666667</v>
      </c>
      <c r="H20" s="10" t="n">
        <f aca="false">ROUND((G20-F20)*24,2)</f>
        <v>3</v>
      </c>
      <c r="I20" s="9" t="s">
        <v>15</v>
      </c>
      <c r="J20" s="9" t="s">
        <v>23</v>
      </c>
      <c r="K20" s="9" t="s">
        <v>20</v>
      </c>
      <c r="L20" s="9" t="str">
        <f aca="false">IF(AND(F20&gt;=DATE(2026,7,13)+TIME(10,0,0),G20&lt;=DATE(2026,7,13)+TIME(13,0,0),ABS(H20-3)&lt;0.001,AND(F20&gt;=G19,F20-G19&lt;=TIME(0,30,0))),"COMPLIANT","EXCEPTION")</f>
        <v>COMPLIANT</v>
      </c>
    </row>
    <row r="21" customFormat="false" ht="27.75" hidden="false" customHeight="true" outlineLevel="0" collapsed="false">
      <c r="A21" s="3" t="n">
        <v>46216</v>
      </c>
      <c r="B21" s="4" t="s">
        <v>24</v>
      </c>
      <c r="C21" s="5" t="s">
        <v>25</v>
      </c>
      <c r="D21" s="5" t="s">
        <v>17</v>
      </c>
      <c r="E21" s="5" t="s">
        <v>26</v>
      </c>
      <c r="F21" s="3" t="n">
        <v>46216.5416666667</v>
      </c>
      <c r="G21" s="3" t="n">
        <v>46216.5833333333</v>
      </c>
      <c r="H21" s="6" t="n">
        <f aca="false">ROUND((G21-F21)*24,2)</f>
        <v>1</v>
      </c>
      <c r="I21" s="5" t="s">
        <v>21</v>
      </c>
      <c r="J21" s="5" t="s">
        <v>27</v>
      </c>
      <c r="K21" s="5" t="s">
        <v>28</v>
      </c>
      <c r="L21" s="5" t="str">
        <f aca="false">IF(AND(F21&gt;=DATE(2026,7,13)+TIME(13,0,0),G21&lt;=DATE(2026,7,13)+TIME(14,0,0),ABS(H21-1)&lt;0.001,AND(F21&gt;=G20,F21-G20&lt;=TIME(0,30,0))),"COMPLIANT","EXCEPTION")</f>
        <v>COMPLIANT</v>
      </c>
    </row>
    <row r="22" customFormat="false" ht="27.75" hidden="false" customHeight="true" outlineLevel="0" collapsed="false">
      <c r="A22" s="7" t="n">
        <v>46216</v>
      </c>
      <c r="B22" s="8" t="s">
        <v>29</v>
      </c>
      <c r="C22" s="9" t="s">
        <v>30</v>
      </c>
      <c r="D22" s="9" t="s">
        <v>17</v>
      </c>
      <c r="E22" s="9" t="s">
        <v>18</v>
      </c>
      <c r="F22" s="7" t="n">
        <v>46216.5833333333</v>
      </c>
      <c r="G22" s="7" t="n">
        <v>46216.625</v>
      </c>
      <c r="H22" s="10" t="n">
        <f aca="false">ROUND((G22-F22)*24,2)</f>
        <v>1</v>
      </c>
      <c r="I22" s="9" t="s">
        <v>24</v>
      </c>
      <c r="J22" s="9" t="s">
        <v>31</v>
      </c>
      <c r="K22" s="9" t="s">
        <v>28</v>
      </c>
      <c r="L22" s="9" t="str">
        <f aca="false">IF(AND(F22&gt;=DATE(2026,7,13)+TIME(14,0,0),G22&lt;=DATE(2026,7,13)+TIME(15,0,0),ABS(H22-1)&lt;0.001,AND(F22&gt;=G21,F22-G21&lt;=TIME(0,30,0))),"COMPLIANT","EXCEPTION")</f>
        <v>COMPLIANT</v>
      </c>
    </row>
    <row r="23" customFormat="false" ht="27.75" hidden="false" customHeight="true" outlineLevel="0" collapsed="false">
      <c r="A23" s="3" t="n">
        <v>46216</v>
      </c>
      <c r="B23" s="4" t="s">
        <v>32</v>
      </c>
      <c r="C23" s="5" t="s">
        <v>33</v>
      </c>
      <c r="D23" s="5" t="s">
        <v>34</v>
      </c>
      <c r="E23" s="5" t="s">
        <v>35</v>
      </c>
      <c r="F23" s="3" t="n">
        <v>46219.25</v>
      </c>
      <c r="G23" s="3" t="n">
        <v>46219.3333333333</v>
      </c>
      <c r="H23" s="6" t="n">
        <f aca="false">ROUND((G23-F23)*24,2)</f>
        <v>2</v>
      </c>
      <c r="I23" s="5"/>
      <c r="J23" s="5" t="s">
        <v>36</v>
      </c>
      <c r="K23" s="5" t="s">
        <v>26</v>
      </c>
      <c r="L23" s="5" t="str">
        <f aca="false">IF(AND(F23&gt;=DATE(2026,7,16)+TIME(6,0,0),G23&lt;=DATE(2026,7,16)+TIME(8,0,0),ABS(H23-2)&lt;0.001,TRUE()),"COMPLIANT","EXCEPTION")</f>
        <v>COMPLIANT</v>
      </c>
    </row>
    <row r="24" customFormat="false" ht="27.75" hidden="false" customHeight="true" outlineLevel="0" collapsed="false">
      <c r="A24" s="7" t="n">
        <v>46216</v>
      </c>
      <c r="B24" s="8" t="s">
        <v>37</v>
      </c>
      <c r="C24" s="9" t="s">
        <v>38</v>
      </c>
      <c r="D24" s="9" t="s">
        <v>34</v>
      </c>
      <c r="E24" s="9" t="s">
        <v>26</v>
      </c>
      <c r="F24" s="7" t="n">
        <v>46219.3333333333</v>
      </c>
      <c r="G24" s="7" t="n">
        <v>46219.375</v>
      </c>
      <c r="H24" s="10" t="n">
        <f aca="false">ROUND((G24-F24)*24,2)</f>
        <v>1</v>
      </c>
      <c r="I24" s="9" t="s">
        <v>32</v>
      </c>
      <c r="J24" s="9" t="s">
        <v>39</v>
      </c>
      <c r="K24" s="9" t="s">
        <v>28</v>
      </c>
      <c r="L24" s="9" t="str">
        <f aca="false">IF(AND(F24&gt;=DATE(2026,7,16)+TIME(8,0,0),G24&lt;=DATE(2026,7,16)+TIME(9,0,0),ABS(H24-1)&lt;0.001,AND(F24&gt;=G23,F24-G23&lt;=TIME(0,30,0))),"COMPLIANT","EXCEPTION")</f>
        <v>COMPLIANT</v>
      </c>
    </row>
    <row r="25" customFormat="false" ht="27.75" hidden="false" customHeight="true" outlineLevel="0" collapsed="false">
      <c r="A25" s="3" t="n">
        <v>46216</v>
      </c>
      <c r="B25" s="4" t="s">
        <v>40</v>
      </c>
      <c r="C25" s="5" t="s">
        <v>41</v>
      </c>
      <c r="D25" s="5" t="s">
        <v>34</v>
      </c>
      <c r="E25" s="5" t="s">
        <v>26</v>
      </c>
      <c r="F25" s="3" t="n">
        <v>46219.375</v>
      </c>
      <c r="G25" s="3" t="n">
        <v>46219.4166666667</v>
      </c>
      <c r="H25" s="6" t="n">
        <f aca="false">ROUND((G25-F25)*24,2)</f>
        <v>1</v>
      </c>
      <c r="I25" s="5" t="s">
        <v>37</v>
      </c>
      <c r="J25" s="5" t="s">
        <v>41</v>
      </c>
      <c r="K25" s="5" t="s">
        <v>28</v>
      </c>
      <c r="L25" s="5" t="str">
        <f aca="false">IF(AND(F25&gt;=DATE(2026,7,16)+TIME(9,0,0),G25&lt;=DATE(2026,7,16)+TIME(10,0,0),ABS(H25-1)&lt;0.001,AND(F25&gt;=G24,F25-G24&lt;=TIME(0,30,0))),"COMPLIANT","EXCEPTION")</f>
        <v>COMPLIANT</v>
      </c>
    </row>
    <row r="26" customFormat="false" ht="27.75" hidden="false" customHeight="true" outlineLevel="0" collapsed="false">
      <c r="A26" s="7" t="n">
        <v>46216</v>
      </c>
      <c r="B26" s="8" t="s">
        <v>42</v>
      </c>
      <c r="C26" s="9" t="s">
        <v>43</v>
      </c>
      <c r="D26" s="9" t="s">
        <v>44</v>
      </c>
      <c r="E26" s="9" t="s">
        <v>20</v>
      </c>
      <c r="F26" s="7" t="n">
        <v>46217.2916666667</v>
      </c>
      <c r="G26" s="7" t="n">
        <v>46217.4166666667</v>
      </c>
      <c r="H26" s="10" t="n">
        <f aca="false">ROUND((G26-F26)*24,2)</f>
        <v>3</v>
      </c>
      <c r="I26" s="9"/>
      <c r="J26" s="9" t="s">
        <v>45</v>
      </c>
      <c r="K26" s="9" t="s">
        <v>28</v>
      </c>
      <c r="L26" s="9" t="str">
        <f aca="false">IF(AND(F26&gt;=DATE(2026,7,14)+TIME(7,0,0),G26&lt;=DATE(2026,7,14)+TIME(10,0,0),ABS(H26-3)&lt;0.001,TRUE()),"COMPLIANT","EXCEPTION")</f>
        <v>COMPLIANT</v>
      </c>
    </row>
    <row r="27" customFormat="false" ht="27.75" hidden="false" customHeight="true" outlineLevel="0" collapsed="false">
      <c r="A27" s="3" t="n">
        <v>46216</v>
      </c>
      <c r="B27" s="4" t="s">
        <v>46</v>
      </c>
      <c r="C27" s="5" t="s">
        <v>47</v>
      </c>
      <c r="D27" s="5" t="s">
        <v>44</v>
      </c>
      <c r="E27" s="5" t="s">
        <v>20</v>
      </c>
      <c r="F27" s="3" t="n">
        <v>46217.4166666667</v>
      </c>
      <c r="G27" s="3" t="n">
        <v>46217.4583333333</v>
      </c>
      <c r="H27" s="6" t="n">
        <f aca="false">ROUND((G27-F27)*24,2)</f>
        <v>1</v>
      </c>
      <c r="I27" s="5" t="s">
        <v>42</v>
      </c>
      <c r="J27" s="5" t="s">
        <v>48</v>
      </c>
      <c r="K27" s="5" t="s">
        <v>28</v>
      </c>
      <c r="L27" s="5" t="str">
        <f aca="false">IF(AND(F27&gt;=DATE(2026,7,14)+TIME(10,0,0),G27&lt;=DATE(2026,7,14)+TIME(11,0,0),ABS(H27-1)&lt;0.001,AND(F27&gt;=G26,F27-G26&lt;=TIME(0,30,0))),"COMPLIANT","EXCEPTION")</f>
        <v>COMPLIANT</v>
      </c>
    </row>
    <row r="28" customFormat="false" ht="27.75" hidden="false" customHeight="true" outlineLevel="0" collapsed="false">
      <c r="A28" s="7" t="n">
        <v>46216</v>
      </c>
      <c r="B28" s="8" t="s">
        <v>49</v>
      </c>
      <c r="C28" s="9" t="s">
        <v>50</v>
      </c>
      <c r="D28" s="9" t="s">
        <v>44</v>
      </c>
      <c r="E28" s="9" t="s">
        <v>20</v>
      </c>
      <c r="F28" s="7" t="n">
        <v>46217.4583333333</v>
      </c>
      <c r="G28" s="7" t="n">
        <v>46217.5</v>
      </c>
      <c r="H28" s="10" t="n">
        <f aca="false">ROUND((G28-F28)*24,2)</f>
        <v>1</v>
      </c>
      <c r="I28" s="9" t="s">
        <v>46</v>
      </c>
      <c r="J28" s="9" t="s">
        <v>50</v>
      </c>
      <c r="K28" s="9" t="s">
        <v>28</v>
      </c>
      <c r="L28" s="9" t="str">
        <f aca="false">IF(AND(F28&gt;=DATE(2026,7,14)+TIME(11,0,0),G28&lt;=DATE(2026,7,14)+TIME(12,0,0),ABS(H28-1)&lt;0.001,AND(F28&gt;=G27,F28-G27&lt;=TIME(0,30,0))),"COMPLIANT","EXCEPTION")</f>
        <v>COMPLIANT</v>
      </c>
    </row>
    <row r="29" customFormat="false" ht="27.75" hidden="false" customHeight="true" outlineLevel="0" collapsed="false">
      <c r="A29" s="3" t="n">
        <v>46216</v>
      </c>
      <c r="B29" s="4" t="s">
        <v>51</v>
      </c>
      <c r="C29" s="5" t="s">
        <v>52</v>
      </c>
      <c r="D29" s="5" t="s">
        <v>53</v>
      </c>
      <c r="E29" s="5" t="s">
        <v>35</v>
      </c>
      <c r="F29" s="3" t="n">
        <v>46218.2916666667</v>
      </c>
      <c r="G29" s="3" t="n">
        <v>46218.4166666667</v>
      </c>
      <c r="H29" s="6" t="n">
        <f aca="false">ROUND((G29-F29)*24,2)</f>
        <v>3</v>
      </c>
      <c r="I29" s="5"/>
      <c r="J29" s="5" t="s">
        <v>54</v>
      </c>
      <c r="K29" s="5" t="s">
        <v>18</v>
      </c>
      <c r="L29" s="5" t="str">
        <f aca="false">IF(AND(F29&gt;=DATE(2026,7,15)+TIME(7,0,0),G29&lt;=DATE(2026,7,15)+TIME(10,0,0),ABS(H29-3)&lt;0.001,TRUE()),"COMPLIANT","EXCEPTION")</f>
        <v>COMPLIANT</v>
      </c>
    </row>
    <row r="30" customFormat="false" ht="27.75" hidden="false" customHeight="true" outlineLevel="0" collapsed="false">
      <c r="A30" s="7" t="n">
        <v>46216</v>
      </c>
      <c r="B30" s="8" t="s">
        <v>55</v>
      </c>
      <c r="C30" s="9" t="s">
        <v>56</v>
      </c>
      <c r="D30" s="9" t="s">
        <v>53</v>
      </c>
      <c r="E30" s="9" t="s">
        <v>35</v>
      </c>
      <c r="F30" s="7" t="n">
        <v>46218.4166666667</v>
      </c>
      <c r="G30" s="7" t="n">
        <v>46218.5</v>
      </c>
      <c r="H30" s="10" t="n">
        <f aca="false">ROUND((G30-F30)*24,2)</f>
        <v>2</v>
      </c>
      <c r="I30" s="9" t="s">
        <v>51</v>
      </c>
      <c r="J30" s="9" t="s">
        <v>57</v>
      </c>
      <c r="K30" s="9" t="s">
        <v>18</v>
      </c>
      <c r="L30" s="9" t="str">
        <f aca="false">IF(AND(F30&gt;=DATE(2026,7,15)+TIME(10,0,0),G30&lt;=DATE(2026,7,15)+TIME(12,0,0),ABS(H30-2)&lt;0.001,AND(F30&gt;=G29,F30-G29&lt;=TIME(0,30,0))),"COMPLIANT","EXCEPTION")</f>
        <v>COMPLIANT</v>
      </c>
    </row>
    <row r="31" customFormat="false" ht="27.75" hidden="false" customHeight="true" outlineLevel="0" collapsed="false">
      <c r="A31" s="3" t="n">
        <v>46216</v>
      </c>
      <c r="B31" s="4" t="s">
        <v>58</v>
      </c>
      <c r="C31" s="5" t="s">
        <v>59</v>
      </c>
      <c r="D31" s="5" t="s">
        <v>53</v>
      </c>
      <c r="E31" s="5" t="s">
        <v>35</v>
      </c>
      <c r="F31" s="3" t="n">
        <v>46218.5</v>
      </c>
      <c r="G31" s="3" t="n">
        <v>46218.5416666667</v>
      </c>
      <c r="H31" s="6" t="n">
        <f aca="false">ROUND((G31-F31)*24,2)</f>
        <v>1</v>
      </c>
      <c r="I31" s="5" t="s">
        <v>55</v>
      </c>
      <c r="J31" s="5" t="s">
        <v>60</v>
      </c>
      <c r="K31" s="5" t="s">
        <v>18</v>
      </c>
      <c r="L31" s="5" t="str">
        <f aca="false">IF(AND(F31&gt;=DATE(2026,7,15)+TIME(12,0,0),G31&lt;=DATE(2026,7,15)+TIME(13,0,0),ABS(H31-1)&lt;0.001,AND(F31&gt;=G30,F31-G30&lt;=TIME(0,30,0))),"COMPLIANT","EXCEPTION")</f>
        <v>COMPLIANT</v>
      </c>
    </row>
    <row r="32" customFormat="false" ht="27.75" hidden="false" customHeight="true" outlineLevel="0" collapsed="false">
      <c r="A32" s="7" t="n">
        <v>46216</v>
      </c>
      <c r="B32" s="8" t="s">
        <v>61</v>
      </c>
      <c r="C32" s="9" t="s">
        <v>62</v>
      </c>
      <c r="D32" s="9" t="s">
        <v>63</v>
      </c>
      <c r="E32" s="9" t="s">
        <v>26</v>
      </c>
      <c r="F32" s="7" t="n">
        <v>46220.625</v>
      </c>
      <c r="G32" s="7" t="n">
        <v>46220.7083333333</v>
      </c>
      <c r="H32" s="10" t="n">
        <f aca="false">ROUND((G32-F32)*24,2)</f>
        <v>2</v>
      </c>
      <c r="I32" s="9"/>
      <c r="J32" s="9" t="s">
        <v>64</v>
      </c>
      <c r="K32" s="9" t="s">
        <v>28</v>
      </c>
      <c r="L32" s="9" t="str">
        <f aca="false">IF(AND(F32&gt;=DATE(2026,7,17)+TIME(15,0,0),G32&lt;=DATE(2026,7,17)+TIME(17,0,0),ABS(H32-2)&lt;0.001,TRUE()),"COMPLIANT","EXCEPTION")</f>
        <v>COMPLIANT</v>
      </c>
    </row>
    <row r="33" customFormat="false" ht="27.75" hidden="false" customHeight="true" outlineLevel="0" collapsed="false">
      <c r="A33" s="3" t="n">
        <v>46223</v>
      </c>
      <c r="B33" s="4" t="s">
        <v>15</v>
      </c>
      <c r="C33" s="5" t="s">
        <v>16</v>
      </c>
      <c r="D33" s="5" t="s">
        <v>17</v>
      </c>
      <c r="E33" s="5" t="s">
        <v>18</v>
      </c>
      <c r="F33" s="3" t="n">
        <v>46223.3333333333</v>
      </c>
      <c r="G33" s="3" t="n">
        <v>46223.4166666667</v>
      </c>
      <c r="H33" s="6" t="n">
        <f aca="false">ROUND((G33-F33)*24,2)</f>
        <v>2</v>
      </c>
      <c r="I33" s="5"/>
      <c r="J33" s="5" t="s">
        <v>19</v>
      </c>
      <c r="K33" s="5" t="s">
        <v>20</v>
      </c>
      <c r="L33" s="5" t="str">
        <f aca="false">IF(AND(F33&gt;=DATE(2026,7,20)+TIME(8,0,0),G33&lt;=DATE(2026,7,20)+TIME(10,0,0),ABS(H33-2)&lt;0.001,TRUE()),"COMPLIANT","EXCEPTION")</f>
        <v>COMPLIANT</v>
      </c>
    </row>
    <row r="34" customFormat="false" ht="27.75" hidden="false" customHeight="true" outlineLevel="0" collapsed="false">
      <c r="A34" s="7" t="n">
        <v>46223</v>
      </c>
      <c r="B34" s="8" t="s">
        <v>21</v>
      </c>
      <c r="C34" s="9" t="s">
        <v>22</v>
      </c>
      <c r="D34" s="9" t="s">
        <v>17</v>
      </c>
      <c r="E34" s="9" t="s">
        <v>18</v>
      </c>
      <c r="F34" s="7" t="n">
        <v>46223.4166666667</v>
      </c>
      <c r="G34" s="7" t="n">
        <v>46223.5416666667</v>
      </c>
      <c r="H34" s="10" t="n">
        <f aca="false">ROUND((G34-F34)*24,2)</f>
        <v>3</v>
      </c>
      <c r="I34" s="9" t="s">
        <v>15</v>
      </c>
      <c r="J34" s="9" t="s">
        <v>23</v>
      </c>
      <c r="K34" s="9" t="s">
        <v>20</v>
      </c>
      <c r="L34" s="9" t="str">
        <f aca="false">IF(AND(F34&gt;=DATE(2026,7,20)+TIME(10,0,0),G34&lt;=DATE(2026,7,20)+TIME(13,0,0),ABS(H34-3)&lt;0.001,AND(F34&gt;=G33,F34-G33&lt;=TIME(0,30,0))),"COMPLIANT","EXCEPTION")</f>
        <v>COMPLIANT</v>
      </c>
    </row>
    <row r="35" customFormat="false" ht="27.75" hidden="false" customHeight="true" outlineLevel="0" collapsed="false">
      <c r="A35" s="3" t="n">
        <v>46223</v>
      </c>
      <c r="B35" s="4" t="s">
        <v>24</v>
      </c>
      <c r="C35" s="5" t="s">
        <v>25</v>
      </c>
      <c r="D35" s="5" t="s">
        <v>17</v>
      </c>
      <c r="E35" s="5" t="s">
        <v>26</v>
      </c>
      <c r="F35" s="3" t="n">
        <v>46223.5416666667</v>
      </c>
      <c r="G35" s="3" t="n">
        <v>46223.5833333333</v>
      </c>
      <c r="H35" s="6" t="n">
        <f aca="false">ROUND((G35-F35)*24,2)</f>
        <v>1</v>
      </c>
      <c r="I35" s="5" t="s">
        <v>21</v>
      </c>
      <c r="J35" s="5" t="s">
        <v>27</v>
      </c>
      <c r="K35" s="5" t="s">
        <v>28</v>
      </c>
      <c r="L35" s="5" t="str">
        <f aca="false">IF(AND(F35&gt;=DATE(2026,7,20)+TIME(13,0,0),G35&lt;=DATE(2026,7,20)+TIME(14,0,0),ABS(H35-1)&lt;0.001,AND(F35&gt;=G34,F35-G34&lt;=TIME(0,30,0))),"COMPLIANT","EXCEPTION")</f>
        <v>COMPLIANT</v>
      </c>
    </row>
    <row r="36" customFormat="false" ht="27.75" hidden="false" customHeight="true" outlineLevel="0" collapsed="false">
      <c r="A36" s="7" t="n">
        <v>46223</v>
      </c>
      <c r="B36" s="8" t="s">
        <v>29</v>
      </c>
      <c r="C36" s="9" t="s">
        <v>30</v>
      </c>
      <c r="D36" s="9" t="s">
        <v>17</v>
      </c>
      <c r="E36" s="9" t="s">
        <v>18</v>
      </c>
      <c r="F36" s="7" t="n">
        <v>46223.5833333333</v>
      </c>
      <c r="G36" s="7" t="n">
        <v>46223.625</v>
      </c>
      <c r="H36" s="10" t="n">
        <f aca="false">ROUND((G36-F36)*24,2)</f>
        <v>1</v>
      </c>
      <c r="I36" s="9" t="s">
        <v>24</v>
      </c>
      <c r="J36" s="9" t="s">
        <v>31</v>
      </c>
      <c r="K36" s="9" t="s">
        <v>28</v>
      </c>
      <c r="L36" s="9" t="str">
        <f aca="false">IF(AND(F36&gt;=DATE(2026,7,20)+TIME(14,0,0),G36&lt;=DATE(2026,7,20)+TIME(15,0,0),ABS(H36-1)&lt;0.001,AND(F36&gt;=G35,F36-G35&lt;=TIME(0,30,0))),"COMPLIANT","EXCEPTION")</f>
        <v>COMPLIANT</v>
      </c>
    </row>
    <row r="37" customFormat="false" ht="27.75" hidden="false" customHeight="true" outlineLevel="0" collapsed="false">
      <c r="A37" s="3" t="n">
        <v>46223</v>
      </c>
      <c r="B37" s="4" t="s">
        <v>32</v>
      </c>
      <c r="C37" s="5" t="s">
        <v>33</v>
      </c>
      <c r="D37" s="5" t="s">
        <v>34</v>
      </c>
      <c r="E37" s="5" t="s">
        <v>35</v>
      </c>
      <c r="F37" s="3" t="n">
        <v>46226.25</v>
      </c>
      <c r="G37" s="3" t="n">
        <v>46226.3333333333</v>
      </c>
      <c r="H37" s="6" t="n">
        <f aca="false">ROUND((G37-F37)*24,2)</f>
        <v>2</v>
      </c>
      <c r="I37" s="5"/>
      <c r="J37" s="5" t="s">
        <v>36</v>
      </c>
      <c r="K37" s="5" t="s">
        <v>26</v>
      </c>
      <c r="L37" s="5" t="str">
        <f aca="false">IF(AND(F37&gt;=DATE(2026,7,23)+TIME(6,0,0),G37&lt;=DATE(2026,7,23)+TIME(8,0,0),ABS(H37-2)&lt;0.001,TRUE()),"COMPLIANT","EXCEPTION")</f>
        <v>COMPLIANT</v>
      </c>
    </row>
    <row r="38" customFormat="false" ht="27.75" hidden="false" customHeight="true" outlineLevel="0" collapsed="false">
      <c r="A38" s="7" t="n">
        <v>46223</v>
      </c>
      <c r="B38" s="8" t="s">
        <v>37</v>
      </c>
      <c r="C38" s="9" t="s">
        <v>38</v>
      </c>
      <c r="D38" s="9" t="s">
        <v>34</v>
      </c>
      <c r="E38" s="9" t="s">
        <v>26</v>
      </c>
      <c r="F38" s="7" t="n">
        <v>46226.3333333333</v>
      </c>
      <c r="G38" s="7" t="n">
        <v>46226.375</v>
      </c>
      <c r="H38" s="10" t="n">
        <f aca="false">ROUND((G38-F38)*24,2)</f>
        <v>1</v>
      </c>
      <c r="I38" s="9" t="s">
        <v>32</v>
      </c>
      <c r="J38" s="9" t="s">
        <v>39</v>
      </c>
      <c r="K38" s="9" t="s">
        <v>28</v>
      </c>
      <c r="L38" s="9" t="str">
        <f aca="false">IF(AND(F38&gt;=DATE(2026,7,23)+TIME(8,0,0),G38&lt;=DATE(2026,7,23)+TIME(9,0,0),ABS(H38-1)&lt;0.001,AND(F38&gt;=G37,F38-G37&lt;=TIME(0,30,0))),"COMPLIANT","EXCEPTION")</f>
        <v>COMPLIANT</v>
      </c>
    </row>
    <row r="39" customFormat="false" ht="27.75" hidden="false" customHeight="true" outlineLevel="0" collapsed="false">
      <c r="A39" s="3" t="n">
        <v>46223</v>
      </c>
      <c r="B39" s="4" t="s">
        <v>40</v>
      </c>
      <c r="C39" s="5" t="s">
        <v>41</v>
      </c>
      <c r="D39" s="5" t="s">
        <v>34</v>
      </c>
      <c r="E39" s="5" t="s">
        <v>26</v>
      </c>
      <c r="F39" s="3" t="n">
        <v>46226.375</v>
      </c>
      <c r="G39" s="3" t="n">
        <v>46226.4166666667</v>
      </c>
      <c r="H39" s="6" t="n">
        <f aca="false">ROUND((G39-F39)*24,2)</f>
        <v>1</v>
      </c>
      <c r="I39" s="5" t="s">
        <v>37</v>
      </c>
      <c r="J39" s="5" t="s">
        <v>41</v>
      </c>
      <c r="K39" s="5" t="s">
        <v>28</v>
      </c>
      <c r="L39" s="5" t="str">
        <f aca="false">IF(AND(F39&gt;=DATE(2026,7,23)+TIME(9,0,0),G39&lt;=DATE(2026,7,23)+TIME(10,0,0),ABS(H39-1)&lt;0.001,AND(F39&gt;=G38,F39-G38&lt;=TIME(0,30,0))),"COMPLIANT","EXCEPTION")</f>
        <v>COMPLIANT</v>
      </c>
    </row>
    <row r="40" customFormat="false" ht="27.75" hidden="false" customHeight="true" outlineLevel="0" collapsed="false">
      <c r="A40" s="7" t="n">
        <v>46223</v>
      </c>
      <c r="B40" s="8" t="s">
        <v>42</v>
      </c>
      <c r="C40" s="9" t="s">
        <v>43</v>
      </c>
      <c r="D40" s="9" t="s">
        <v>44</v>
      </c>
      <c r="E40" s="9" t="s">
        <v>20</v>
      </c>
      <c r="F40" s="7" t="n">
        <v>46224.2916666667</v>
      </c>
      <c r="G40" s="7" t="n">
        <v>46224.4166666667</v>
      </c>
      <c r="H40" s="10" t="n">
        <f aca="false">ROUND((G40-F40)*24,2)</f>
        <v>3</v>
      </c>
      <c r="I40" s="9"/>
      <c r="J40" s="9" t="s">
        <v>45</v>
      </c>
      <c r="K40" s="9" t="s">
        <v>28</v>
      </c>
      <c r="L40" s="9" t="str">
        <f aca="false">IF(AND(F40&gt;=DATE(2026,7,21)+TIME(7,0,0),G40&lt;=DATE(2026,7,21)+TIME(10,0,0),ABS(H40-3)&lt;0.001,TRUE()),"COMPLIANT","EXCEPTION")</f>
        <v>COMPLIANT</v>
      </c>
    </row>
    <row r="41" customFormat="false" ht="27.75" hidden="false" customHeight="true" outlineLevel="0" collapsed="false">
      <c r="A41" s="3" t="n">
        <v>46223</v>
      </c>
      <c r="B41" s="4" t="s">
        <v>46</v>
      </c>
      <c r="C41" s="5" t="s">
        <v>47</v>
      </c>
      <c r="D41" s="5" t="s">
        <v>44</v>
      </c>
      <c r="E41" s="5" t="s">
        <v>20</v>
      </c>
      <c r="F41" s="3" t="n">
        <v>46224.4166666667</v>
      </c>
      <c r="G41" s="3" t="n">
        <v>46224.4583333333</v>
      </c>
      <c r="H41" s="6" t="n">
        <f aca="false">ROUND((G41-F41)*24,2)</f>
        <v>1</v>
      </c>
      <c r="I41" s="5" t="s">
        <v>42</v>
      </c>
      <c r="J41" s="5" t="s">
        <v>48</v>
      </c>
      <c r="K41" s="5" t="s">
        <v>28</v>
      </c>
      <c r="L41" s="5" t="str">
        <f aca="false">IF(AND(F41&gt;=DATE(2026,7,21)+TIME(10,0,0),G41&lt;=DATE(2026,7,21)+TIME(11,0,0),ABS(H41-1)&lt;0.001,AND(F41&gt;=G40,F41-G40&lt;=TIME(0,30,0))),"COMPLIANT","EXCEPTION")</f>
        <v>COMPLIANT</v>
      </c>
    </row>
    <row r="42" customFormat="false" ht="27.75" hidden="false" customHeight="true" outlineLevel="0" collapsed="false">
      <c r="A42" s="7" t="n">
        <v>46223</v>
      </c>
      <c r="B42" s="8" t="s">
        <v>49</v>
      </c>
      <c r="C42" s="9" t="s">
        <v>50</v>
      </c>
      <c r="D42" s="9" t="s">
        <v>44</v>
      </c>
      <c r="E42" s="9" t="s">
        <v>20</v>
      </c>
      <c r="F42" s="7" t="n">
        <v>46224.4583333333</v>
      </c>
      <c r="G42" s="7" t="n">
        <v>46224.5</v>
      </c>
      <c r="H42" s="10" t="n">
        <f aca="false">ROUND((G42-F42)*24,2)</f>
        <v>1</v>
      </c>
      <c r="I42" s="9" t="s">
        <v>46</v>
      </c>
      <c r="J42" s="9" t="s">
        <v>50</v>
      </c>
      <c r="K42" s="9" t="s">
        <v>28</v>
      </c>
      <c r="L42" s="9" t="str">
        <f aca="false">IF(AND(F42&gt;=DATE(2026,7,21)+TIME(11,0,0),G42&lt;=DATE(2026,7,21)+TIME(12,0,0),ABS(H42-1)&lt;0.001,AND(F42&gt;=G41,F42-G41&lt;=TIME(0,30,0))),"COMPLIANT","EXCEPTION")</f>
        <v>COMPLIANT</v>
      </c>
    </row>
    <row r="43" customFormat="false" ht="27.75" hidden="false" customHeight="true" outlineLevel="0" collapsed="false">
      <c r="A43" s="3" t="n">
        <v>46223</v>
      </c>
      <c r="B43" s="4" t="s">
        <v>51</v>
      </c>
      <c r="C43" s="5" t="s">
        <v>52</v>
      </c>
      <c r="D43" s="5" t="s">
        <v>53</v>
      </c>
      <c r="E43" s="5" t="s">
        <v>35</v>
      </c>
      <c r="F43" s="3" t="n">
        <v>46225.2916666667</v>
      </c>
      <c r="G43" s="3" t="n">
        <v>46225.4166666667</v>
      </c>
      <c r="H43" s="6" t="n">
        <f aca="false">ROUND((G43-F43)*24,2)</f>
        <v>3</v>
      </c>
      <c r="I43" s="5"/>
      <c r="J43" s="5" t="s">
        <v>54</v>
      </c>
      <c r="K43" s="5" t="s">
        <v>18</v>
      </c>
      <c r="L43" s="5" t="str">
        <f aca="false">IF(AND(F43&gt;=DATE(2026,7,22)+TIME(7,0,0),G43&lt;=DATE(2026,7,22)+TIME(10,0,0),ABS(H43-3)&lt;0.001,TRUE()),"COMPLIANT","EXCEPTION")</f>
        <v>COMPLIANT</v>
      </c>
    </row>
    <row r="44" customFormat="false" ht="27.75" hidden="false" customHeight="true" outlineLevel="0" collapsed="false">
      <c r="A44" s="7" t="n">
        <v>46223</v>
      </c>
      <c r="B44" s="8" t="s">
        <v>55</v>
      </c>
      <c r="C44" s="9" t="s">
        <v>56</v>
      </c>
      <c r="D44" s="9" t="s">
        <v>53</v>
      </c>
      <c r="E44" s="9" t="s">
        <v>35</v>
      </c>
      <c r="F44" s="7" t="n">
        <v>46225.4166666667</v>
      </c>
      <c r="G44" s="7" t="n">
        <v>46225.5</v>
      </c>
      <c r="H44" s="10" t="n">
        <f aca="false">ROUND((G44-F44)*24,2)</f>
        <v>2</v>
      </c>
      <c r="I44" s="9" t="s">
        <v>51</v>
      </c>
      <c r="J44" s="9" t="s">
        <v>57</v>
      </c>
      <c r="K44" s="9" t="s">
        <v>18</v>
      </c>
      <c r="L44" s="9" t="str">
        <f aca="false">IF(AND(F44&gt;=DATE(2026,7,22)+TIME(10,0,0),G44&lt;=DATE(2026,7,22)+TIME(12,0,0),ABS(H44-2)&lt;0.001,AND(F44&gt;=G43,F44-G43&lt;=TIME(0,30,0))),"COMPLIANT","EXCEPTION")</f>
        <v>COMPLIANT</v>
      </c>
    </row>
    <row r="45" customFormat="false" ht="27.75" hidden="false" customHeight="true" outlineLevel="0" collapsed="false">
      <c r="A45" s="3" t="n">
        <v>46223</v>
      </c>
      <c r="B45" s="4" t="s">
        <v>58</v>
      </c>
      <c r="C45" s="5" t="s">
        <v>59</v>
      </c>
      <c r="D45" s="5" t="s">
        <v>53</v>
      </c>
      <c r="E45" s="5" t="s">
        <v>35</v>
      </c>
      <c r="F45" s="3" t="n">
        <v>46225.5</v>
      </c>
      <c r="G45" s="3" t="n">
        <v>46225.5416666667</v>
      </c>
      <c r="H45" s="6" t="n">
        <f aca="false">ROUND((G45-F45)*24,2)</f>
        <v>1</v>
      </c>
      <c r="I45" s="5" t="s">
        <v>55</v>
      </c>
      <c r="J45" s="5" t="s">
        <v>60</v>
      </c>
      <c r="K45" s="5" t="s">
        <v>18</v>
      </c>
      <c r="L45" s="5" t="str">
        <f aca="false">IF(AND(F45&gt;=DATE(2026,7,22)+TIME(12,0,0),G45&lt;=DATE(2026,7,22)+TIME(13,0,0),ABS(H45-1)&lt;0.001,AND(F45&gt;=G44,F45-G44&lt;=TIME(0,30,0))),"COMPLIANT","EXCEPTION")</f>
        <v>COMPLIANT</v>
      </c>
    </row>
    <row r="46" customFormat="false" ht="27.75" hidden="false" customHeight="true" outlineLevel="0" collapsed="false">
      <c r="A46" s="7" t="n">
        <v>46223</v>
      </c>
      <c r="B46" s="8" t="s">
        <v>61</v>
      </c>
      <c r="C46" s="9" t="s">
        <v>62</v>
      </c>
      <c r="D46" s="9" t="s">
        <v>63</v>
      </c>
      <c r="E46" s="9" t="s">
        <v>26</v>
      </c>
      <c r="F46" s="7" t="n">
        <v>46227.625</v>
      </c>
      <c r="G46" s="7" t="n">
        <v>46227.7083333333</v>
      </c>
      <c r="H46" s="10" t="n">
        <f aca="false">ROUND((G46-F46)*24,2)</f>
        <v>2</v>
      </c>
      <c r="I46" s="9"/>
      <c r="J46" s="9" t="s">
        <v>64</v>
      </c>
      <c r="K46" s="9" t="s">
        <v>28</v>
      </c>
      <c r="L46" s="9" t="str">
        <f aca="false">IF(AND(F46&gt;=DATE(2026,7,24)+TIME(15,0,0),G46&lt;=DATE(2026,7,24)+TIME(17,0,0),ABS(H46-2)&lt;0.001,TRUE()),"COMPLIANT","EXCEPTION")</f>
        <v>COMPLIANT</v>
      </c>
    </row>
    <row r="47" customFormat="false" ht="27.75" hidden="false" customHeight="true" outlineLevel="0" collapsed="false">
      <c r="A47" s="3" t="n">
        <v>46230</v>
      </c>
      <c r="B47" s="4" t="s">
        <v>15</v>
      </c>
      <c r="C47" s="5" t="s">
        <v>16</v>
      </c>
      <c r="D47" s="5" t="s">
        <v>17</v>
      </c>
      <c r="E47" s="5" t="s">
        <v>18</v>
      </c>
      <c r="F47" s="3" t="n">
        <v>46230.3333333333</v>
      </c>
      <c r="G47" s="3" t="n">
        <v>46230.4166666667</v>
      </c>
      <c r="H47" s="6" t="n">
        <f aca="false">ROUND((G47-F47)*24,2)</f>
        <v>2</v>
      </c>
      <c r="I47" s="5"/>
      <c r="J47" s="5" t="s">
        <v>19</v>
      </c>
      <c r="K47" s="5" t="s">
        <v>20</v>
      </c>
      <c r="L47" s="5" t="str">
        <f aca="false">IF(AND(F47&gt;=DATE(2026,7,27)+TIME(8,0,0),G47&lt;=DATE(2026,7,27)+TIME(10,0,0),ABS(H47-2)&lt;0.001,TRUE()),"COMPLIANT","EXCEPTION")</f>
        <v>COMPLIANT</v>
      </c>
    </row>
    <row r="48" customFormat="false" ht="27.75" hidden="false" customHeight="true" outlineLevel="0" collapsed="false">
      <c r="A48" s="7" t="n">
        <v>46230</v>
      </c>
      <c r="B48" s="8" t="s">
        <v>21</v>
      </c>
      <c r="C48" s="9" t="s">
        <v>22</v>
      </c>
      <c r="D48" s="9" t="s">
        <v>17</v>
      </c>
      <c r="E48" s="9" t="s">
        <v>18</v>
      </c>
      <c r="F48" s="7" t="n">
        <v>46230.4166666667</v>
      </c>
      <c r="G48" s="7" t="n">
        <v>46230.5416666667</v>
      </c>
      <c r="H48" s="10" t="n">
        <f aca="false">ROUND((G48-F48)*24,2)</f>
        <v>3</v>
      </c>
      <c r="I48" s="9" t="s">
        <v>15</v>
      </c>
      <c r="J48" s="9" t="s">
        <v>23</v>
      </c>
      <c r="K48" s="9" t="s">
        <v>20</v>
      </c>
      <c r="L48" s="9" t="str">
        <f aca="false">IF(AND(F48&gt;=DATE(2026,7,27)+TIME(10,0,0),G48&lt;=DATE(2026,7,27)+TIME(13,0,0),ABS(H48-3)&lt;0.001,AND(F48&gt;=G47,F48-G47&lt;=TIME(0,30,0))),"COMPLIANT","EXCEPTION")</f>
        <v>COMPLIANT</v>
      </c>
    </row>
    <row r="49" customFormat="false" ht="27.75" hidden="false" customHeight="true" outlineLevel="0" collapsed="false">
      <c r="A49" s="3" t="n">
        <v>46230</v>
      </c>
      <c r="B49" s="4" t="s">
        <v>24</v>
      </c>
      <c r="C49" s="5" t="s">
        <v>25</v>
      </c>
      <c r="D49" s="5" t="s">
        <v>17</v>
      </c>
      <c r="E49" s="5" t="s">
        <v>26</v>
      </c>
      <c r="F49" s="3" t="n">
        <v>46230.5416666667</v>
      </c>
      <c r="G49" s="3" t="n">
        <v>46230.5833333333</v>
      </c>
      <c r="H49" s="6" t="n">
        <f aca="false">ROUND((G49-F49)*24,2)</f>
        <v>1</v>
      </c>
      <c r="I49" s="5" t="s">
        <v>21</v>
      </c>
      <c r="J49" s="5" t="s">
        <v>27</v>
      </c>
      <c r="K49" s="5" t="s">
        <v>28</v>
      </c>
      <c r="L49" s="5" t="str">
        <f aca="false">IF(AND(F49&gt;=DATE(2026,7,27)+TIME(13,0,0),G49&lt;=DATE(2026,7,27)+TIME(14,0,0),ABS(H49-1)&lt;0.001,AND(F49&gt;=G48,F49-G48&lt;=TIME(0,30,0))),"COMPLIANT","EXCEPTION")</f>
        <v>COMPLIANT</v>
      </c>
    </row>
    <row r="50" customFormat="false" ht="27.75" hidden="false" customHeight="true" outlineLevel="0" collapsed="false">
      <c r="A50" s="7" t="n">
        <v>46230</v>
      </c>
      <c r="B50" s="8" t="s">
        <v>29</v>
      </c>
      <c r="C50" s="9" t="s">
        <v>30</v>
      </c>
      <c r="D50" s="9" t="s">
        <v>17</v>
      </c>
      <c r="E50" s="9" t="s">
        <v>18</v>
      </c>
      <c r="F50" s="7" t="n">
        <v>46230.5833333333</v>
      </c>
      <c r="G50" s="7" t="n">
        <v>46230.625</v>
      </c>
      <c r="H50" s="10" t="n">
        <f aca="false">ROUND((G50-F50)*24,2)</f>
        <v>1</v>
      </c>
      <c r="I50" s="9" t="s">
        <v>24</v>
      </c>
      <c r="J50" s="9" t="s">
        <v>31</v>
      </c>
      <c r="K50" s="9" t="s">
        <v>28</v>
      </c>
      <c r="L50" s="9" t="str">
        <f aca="false">IF(AND(F50&gt;=DATE(2026,7,27)+TIME(14,0,0),G50&lt;=DATE(2026,7,27)+TIME(15,0,0),ABS(H50-1)&lt;0.001,AND(F50&gt;=G49,F50-G49&lt;=TIME(0,30,0))),"COMPLIANT","EXCEPTION")</f>
        <v>COMPLIANT</v>
      </c>
    </row>
    <row r="51" customFormat="false" ht="27.75" hidden="false" customHeight="true" outlineLevel="0" collapsed="false">
      <c r="A51" s="3" t="n">
        <v>46230</v>
      </c>
      <c r="B51" s="4" t="s">
        <v>32</v>
      </c>
      <c r="C51" s="5" t="s">
        <v>33</v>
      </c>
      <c r="D51" s="5" t="s">
        <v>34</v>
      </c>
      <c r="E51" s="5" t="s">
        <v>35</v>
      </c>
      <c r="F51" s="3" t="n">
        <v>46233.25</v>
      </c>
      <c r="G51" s="3" t="n">
        <v>46233.3333333333</v>
      </c>
      <c r="H51" s="6" t="n">
        <f aca="false">ROUND((G51-F51)*24,2)</f>
        <v>2</v>
      </c>
      <c r="I51" s="5"/>
      <c r="J51" s="5" t="s">
        <v>36</v>
      </c>
      <c r="K51" s="5" t="s">
        <v>26</v>
      </c>
      <c r="L51" s="5" t="str">
        <f aca="false">IF(AND(F51&gt;=DATE(2026,7,30)+TIME(6,0,0),G51&lt;=DATE(2026,7,30)+TIME(8,0,0),ABS(H51-2)&lt;0.001,TRUE()),"COMPLIANT","EXCEPTION")</f>
        <v>COMPLIANT</v>
      </c>
    </row>
    <row r="52" customFormat="false" ht="27.75" hidden="false" customHeight="true" outlineLevel="0" collapsed="false">
      <c r="A52" s="7" t="n">
        <v>46230</v>
      </c>
      <c r="B52" s="8" t="s">
        <v>37</v>
      </c>
      <c r="C52" s="9" t="s">
        <v>38</v>
      </c>
      <c r="D52" s="9" t="s">
        <v>34</v>
      </c>
      <c r="E52" s="9" t="s">
        <v>26</v>
      </c>
      <c r="F52" s="7" t="n">
        <v>46233.3333333333</v>
      </c>
      <c r="G52" s="7" t="n">
        <v>46233.375</v>
      </c>
      <c r="H52" s="10" t="n">
        <f aca="false">ROUND((G52-F52)*24,2)</f>
        <v>1</v>
      </c>
      <c r="I52" s="9" t="s">
        <v>32</v>
      </c>
      <c r="J52" s="9" t="s">
        <v>39</v>
      </c>
      <c r="K52" s="9" t="s">
        <v>28</v>
      </c>
      <c r="L52" s="9" t="str">
        <f aca="false">IF(AND(F52&gt;=DATE(2026,7,30)+TIME(8,0,0),G52&lt;=DATE(2026,7,30)+TIME(9,0,0),ABS(H52-1)&lt;0.001,AND(F52&gt;=G51,F52-G51&lt;=TIME(0,30,0))),"COMPLIANT","EXCEPTION")</f>
        <v>COMPLIANT</v>
      </c>
    </row>
    <row r="53" customFormat="false" ht="27.75" hidden="false" customHeight="true" outlineLevel="0" collapsed="false">
      <c r="A53" s="3" t="n">
        <v>46230</v>
      </c>
      <c r="B53" s="4" t="s">
        <v>40</v>
      </c>
      <c r="C53" s="5" t="s">
        <v>41</v>
      </c>
      <c r="D53" s="5" t="s">
        <v>34</v>
      </c>
      <c r="E53" s="5" t="s">
        <v>26</v>
      </c>
      <c r="F53" s="3" t="n">
        <v>46233.375</v>
      </c>
      <c r="G53" s="3" t="n">
        <v>46233.4166666667</v>
      </c>
      <c r="H53" s="6" t="n">
        <f aca="false">ROUND((G53-F53)*24,2)</f>
        <v>1</v>
      </c>
      <c r="I53" s="5" t="s">
        <v>37</v>
      </c>
      <c r="J53" s="5" t="s">
        <v>41</v>
      </c>
      <c r="K53" s="5" t="s">
        <v>28</v>
      </c>
      <c r="L53" s="5" t="str">
        <f aca="false">IF(AND(F53&gt;=DATE(2026,7,30)+TIME(9,0,0),G53&lt;=DATE(2026,7,30)+TIME(10,0,0),ABS(H53-1)&lt;0.001,AND(F53&gt;=G52,F53-G52&lt;=TIME(0,30,0))),"COMPLIANT","EXCEPTION")</f>
        <v>COMPLIANT</v>
      </c>
    </row>
    <row r="54" customFormat="false" ht="27.75" hidden="false" customHeight="true" outlineLevel="0" collapsed="false">
      <c r="A54" s="7" t="n">
        <v>46230</v>
      </c>
      <c r="B54" s="8" t="s">
        <v>42</v>
      </c>
      <c r="C54" s="9" t="s">
        <v>43</v>
      </c>
      <c r="D54" s="9" t="s">
        <v>44</v>
      </c>
      <c r="E54" s="9" t="s">
        <v>20</v>
      </c>
      <c r="F54" s="7" t="n">
        <v>46231.2916666667</v>
      </c>
      <c r="G54" s="7" t="n">
        <v>46231.4166666667</v>
      </c>
      <c r="H54" s="10" t="n">
        <f aca="false">ROUND((G54-F54)*24,2)</f>
        <v>3</v>
      </c>
      <c r="I54" s="9"/>
      <c r="J54" s="9" t="s">
        <v>45</v>
      </c>
      <c r="K54" s="9" t="s">
        <v>28</v>
      </c>
      <c r="L54" s="9" t="str">
        <f aca="false">IF(AND(F54&gt;=DATE(2026,7,28)+TIME(7,0,0),G54&lt;=DATE(2026,7,28)+TIME(10,0,0),ABS(H54-3)&lt;0.001,TRUE()),"COMPLIANT","EXCEPTION")</f>
        <v>COMPLIANT</v>
      </c>
    </row>
    <row r="55" customFormat="false" ht="27.75" hidden="false" customHeight="true" outlineLevel="0" collapsed="false">
      <c r="A55" s="3" t="n">
        <v>46230</v>
      </c>
      <c r="B55" s="4" t="s">
        <v>46</v>
      </c>
      <c r="C55" s="5" t="s">
        <v>47</v>
      </c>
      <c r="D55" s="5" t="s">
        <v>44</v>
      </c>
      <c r="E55" s="5" t="s">
        <v>20</v>
      </c>
      <c r="F55" s="3" t="n">
        <v>46231.4166666667</v>
      </c>
      <c r="G55" s="3" t="n">
        <v>46231.4583333333</v>
      </c>
      <c r="H55" s="6" t="n">
        <f aca="false">ROUND((G55-F55)*24,2)</f>
        <v>1</v>
      </c>
      <c r="I55" s="5" t="s">
        <v>42</v>
      </c>
      <c r="J55" s="5" t="s">
        <v>48</v>
      </c>
      <c r="K55" s="5" t="s">
        <v>28</v>
      </c>
      <c r="L55" s="5" t="str">
        <f aca="false">IF(AND(F55&gt;=DATE(2026,7,28)+TIME(10,0,0),G55&lt;=DATE(2026,7,28)+TIME(11,0,0),ABS(H55-1)&lt;0.001,AND(F55&gt;=G54,F55-G54&lt;=TIME(0,30,0))),"COMPLIANT","EXCEPTION")</f>
        <v>COMPLIANT</v>
      </c>
    </row>
    <row r="56" customFormat="false" ht="27.75" hidden="false" customHeight="true" outlineLevel="0" collapsed="false">
      <c r="A56" s="7" t="n">
        <v>46230</v>
      </c>
      <c r="B56" s="8" t="s">
        <v>49</v>
      </c>
      <c r="C56" s="9" t="s">
        <v>50</v>
      </c>
      <c r="D56" s="9" t="s">
        <v>44</v>
      </c>
      <c r="E56" s="9" t="s">
        <v>20</v>
      </c>
      <c r="F56" s="7" t="n">
        <v>46231.4583333333</v>
      </c>
      <c r="G56" s="7" t="n">
        <v>46231.5</v>
      </c>
      <c r="H56" s="10" t="n">
        <f aca="false">ROUND((G56-F56)*24,2)</f>
        <v>1</v>
      </c>
      <c r="I56" s="9" t="s">
        <v>46</v>
      </c>
      <c r="J56" s="9" t="s">
        <v>50</v>
      </c>
      <c r="K56" s="9" t="s">
        <v>28</v>
      </c>
      <c r="L56" s="9" t="str">
        <f aca="false">IF(AND(F56&gt;=DATE(2026,7,28)+TIME(11,0,0),G56&lt;=DATE(2026,7,28)+TIME(12,0,0),ABS(H56-1)&lt;0.001,AND(F56&gt;=G55,F56-G55&lt;=TIME(0,30,0))),"COMPLIANT","EXCEPTION")</f>
        <v>COMPLIANT</v>
      </c>
    </row>
    <row r="57" customFormat="false" ht="27.75" hidden="false" customHeight="true" outlineLevel="0" collapsed="false">
      <c r="A57" s="3" t="n">
        <v>46230</v>
      </c>
      <c r="B57" s="4" t="s">
        <v>51</v>
      </c>
      <c r="C57" s="5" t="s">
        <v>52</v>
      </c>
      <c r="D57" s="5" t="s">
        <v>53</v>
      </c>
      <c r="E57" s="5" t="s">
        <v>35</v>
      </c>
      <c r="F57" s="3" t="n">
        <v>46232.2916666667</v>
      </c>
      <c r="G57" s="3" t="n">
        <v>46232.4166666667</v>
      </c>
      <c r="H57" s="6" t="n">
        <f aca="false">ROUND((G57-F57)*24,2)</f>
        <v>3</v>
      </c>
      <c r="I57" s="5"/>
      <c r="J57" s="5" t="s">
        <v>54</v>
      </c>
      <c r="K57" s="5" t="s">
        <v>18</v>
      </c>
      <c r="L57" s="5" t="str">
        <f aca="false">IF(AND(F57&gt;=DATE(2026,7,29)+TIME(7,0,0),G57&lt;=DATE(2026,7,29)+TIME(10,0,0),ABS(H57-3)&lt;0.001,TRUE()),"COMPLIANT","EXCEPTION")</f>
        <v>COMPLIANT</v>
      </c>
    </row>
    <row r="58" customFormat="false" ht="27.75" hidden="false" customHeight="true" outlineLevel="0" collapsed="false">
      <c r="A58" s="7" t="n">
        <v>46230</v>
      </c>
      <c r="B58" s="8" t="s">
        <v>55</v>
      </c>
      <c r="C58" s="9" t="s">
        <v>56</v>
      </c>
      <c r="D58" s="9" t="s">
        <v>53</v>
      </c>
      <c r="E58" s="9" t="s">
        <v>35</v>
      </c>
      <c r="F58" s="7" t="n">
        <v>46232.4166666667</v>
      </c>
      <c r="G58" s="7" t="n">
        <v>46232.5</v>
      </c>
      <c r="H58" s="10" t="n">
        <f aca="false">ROUND((G58-F58)*24,2)</f>
        <v>2</v>
      </c>
      <c r="I58" s="9" t="s">
        <v>51</v>
      </c>
      <c r="J58" s="9" t="s">
        <v>57</v>
      </c>
      <c r="K58" s="9" t="s">
        <v>18</v>
      </c>
      <c r="L58" s="9" t="str">
        <f aca="false">IF(AND(F58&gt;=DATE(2026,7,29)+TIME(10,0,0),G58&lt;=DATE(2026,7,29)+TIME(12,0,0),ABS(H58-2)&lt;0.001,AND(F58&gt;=G57,F58-G57&lt;=TIME(0,30,0))),"COMPLIANT","EXCEPTION")</f>
        <v>COMPLIANT</v>
      </c>
    </row>
    <row r="59" customFormat="false" ht="27.75" hidden="false" customHeight="true" outlineLevel="0" collapsed="false">
      <c r="A59" s="3" t="n">
        <v>46230</v>
      </c>
      <c r="B59" s="4" t="s">
        <v>58</v>
      </c>
      <c r="C59" s="5" t="s">
        <v>59</v>
      </c>
      <c r="D59" s="5" t="s">
        <v>53</v>
      </c>
      <c r="E59" s="5" t="s">
        <v>35</v>
      </c>
      <c r="F59" s="3" t="n">
        <v>46232.5</v>
      </c>
      <c r="G59" s="3" t="n">
        <v>46232.5416666667</v>
      </c>
      <c r="H59" s="6" t="n">
        <f aca="false">ROUND((G59-F59)*24,2)</f>
        <v>1</v>
      </c>
      <c r="I59" s="5" t="s">
        <v>55</v>
      </c>
      <c r="J59" s="5" t="s">
        <v>60</v>
      </c>
      <c r="K59" s="5" t="s">
        <v>18</v>
      </c>
      <c r="L59" s="5" t="str">
        <f aca="false">IF(AND(F59&gt;=DATE(2026,7,29)+TIME(12,0,0),G59&lt;=DATE(2026,7,29)+TIME(13,0,0),ABS(H59-1)&lt;0.001,AND(F59&gt;=G58,F59-G58&lt;=TIME(0,30,0))),"COMPLIANT","EXCEPTION")</f>
        <v>COMPLIANT</v>
      </c>
    </row>
    <row r="60" customFormat="false" ht="27.75" hidden="false" customHeight="true" outlineLevel="0" collapsed="false">
      <c r="A60" s="7" t="n">
        <v>46230</v>
      </c>
      <c r="B60" s="8" t="s">
        <v>61</v>
      </c>
      <c r="C60" s="9" t="s">
        <v>62</v>
      </c>
      <c r="D60" s="9" t="s">
        <v>63</v>
      </c>
      <c r="E60" s="9" t="s">
        <v>26</v>
      </c>
      <c r="F60" s="7" t="n">
        <v>46234.625</v>
      </c>
      <c r="G60" s="7" t="n">
        <v>46234.7083333333</v>
      </c>
      <c r="H60" s="10" t="n">
        <f aca="false">ROUND((G60-F60)*24,2)</f>
        <v>2</v>
      </c>
      <c r="I60" s="9"/>
      <c r="J60" s="9" t="s">
        <v>64</v>
      </c>
      <c r="K60" s="9" t="s">
        <v>28</v>
      </c>
      <c r="L60" s="9" t="str">
        <f aca="false">IF(AND(F60&gt;=DATE(2026,7,31)+TIME(15,0,0),G60&lt;=DATE(2026,7,31)+TIME(17,0,0),ABS(H60-2)&lt;0.001,TRUE()),"COMPLIANT","EXCEPTION")</f>
        <v>COMPLIANT</v>
      </c>
    </row>
    <row r="61" customFormat="false" ht="27.75" hidden="false" customHeight="true" outlineLevel="0" collapsed="false">
      <c r="A61" s="3" t="n">
        <v>46237</v>
      </c>
      <c r="B61" s="4" t="s">
        <v>15</v>
      </c>
      <c r="C61" s="5" t="s">
        <v>16</v>
      </c>
      <c r="D61" s="5" t="s">
        <v>17</v>
      </c>
      <c r="E61" s="5" t="s">
        <v>18</v>
      </c>
      <c r="F61" s="3" t="n">
        <v>46237.3333333333</v>
      </c>
      <c r="G61" s="3" t="n">
        <v>46237.4166666667</v>
      </c>
      <c r="H61" s="6" t="n">
        <f aca="false">ROUND((G61-F61)*24,2)</f>
        <v>2</v>
      </c>
      <c r="I61" s="5"/>
      <c r="J61" s="5" t="s">
        <v>19</v>
      </c>
      <c r="K61" s="5" t="s">
        <v>20</v>
      </c>
      <c r="L61" s="5" t="str">
        <f aca="false">IF(AND(F61&gt;=DATE(2026,8,3)+TIME(8,0,0),G61&lt;=DATE(2026,8,3)+TIME(10,0,0),ABS(H61-2)&lt;0.001,TRUE()),"COMPLIANT","EXCEPTION")</f>
        <v>COMPLIANT</v>
      </c>
    </row>
    <row r="62" customFormat="false" ht="27.75" hidden="false" customHeight="true" outlineLevel="0" collapsed="false">
      <c r="A62" s="7" t="n">
        <v>46237</v>
      </c>
      <c r="B62" s="8" t="s">
        <v>21</v>
      </c>
      <c r="C62" s="9" t="s">
        <v>22</v>
      </c>
      <c r="D62" s="9" t="s">
        <v>17</v>
      </c>
      <c r="E62" s="9" t="s">
        <v>18</v>
      </c>
      <c r="F62" s="7" t="n">
        <v>46237.4166666667</v>
      </c>
      <c r="G62" s="7" t="n">
        <v>46237.5416666667</v>
      </c>
      <c r="H62" s="10" t="n">
        <f aca="false">ROUND((G62-F62)*24,2)</f>
        <v>3</v>
      </c>
      <c r="I62" s="9" t="s">
        <v>15</v>
      </c>
      <c r="J62" s="9" t="s">
        <v>23</v>
      </c>
      <c r="K62" s="9" t="s">
        <v>20</v>
      </c>
      <c r="L62" s="9" t="str">
        <f aca="false">IF(AND(F62&gt;=DATE(2026,8,3)+TIME(10,0,0),G62&lt;=DATE(2026,8,3)+TIME(13,0,0),ABS(H62-3)&lt;0.001,AND(F62&gt;=G61,F62-G61&lt;=TIME(0,30,0))),"COMPLIANT","EXCEPTION")</f>
        <v>COMPLIANT</v>
      </c>
    </row>
    <row r="63" customFormat="false" ht="27.75" hidden="false" customHeight="true" outlineLevel="0" collapsed="false">
      <c r="A63" s="3" t="n">
        <v>46237</v>
      </c>
      <c r="B63" s="4" t="s">
        <v>24</v>
      </c>
      <c r="C63" s="5" t="s">
        <v>25</v>
      </c>
      <c r="D63" s="5" t="s">
        <v>17</v>
      </c>
      <c r="E63" s="5" t="s">
        <v>26</v>
      </c>
      <c r="F63" s="3" t="n">
        <v>46237.5416666667</v>
      </c>
      <c r="G63" s="3" t="n">
        <v>46237.5833333333</v>
      </c>
      <c r="H63" s="6" t="n">
        <f aca="false">ROUND((G63-F63)*24,2)</f>
        <v>1</v>
      </c>
      <c r="I63" s="5" t="s">
        <v>21</v>
      </c>
      <c r="J63" s="5" t="s">
        <v>27</v>
      </c>
      <c r="K63" s="5" t="s">
        <v>28</v>
      </c>
      <c r="L63" s="5" t="str">
        <f aca="false">IF(AND(F63&gt;=DATE(2026,8,3)+TIME(13,0,0),G63&lt;=DATE(2026,8,3)+TIME(14,0,0),ABS(H63-1)&lt;0.001,AND(F63&gt;=G62,F63-G62&lt;=TIME(0,30,0))),"COMPLIANT","EXCEPTION")</f>
        <v>COMPLIANT</v>
      </c>
    </row>
    <row r="64" customFormat="false" ht="27.75" hidden="false" customHeight="true" outlineLevel="0" collapsed="false">
      <c r="A64" s="7" t="n">
        <v>46237</v>
      </c>
      <c r="B64" s="8" t="s">
        <v>29</v>
      </c>
      <c r="C64" s="9" t="s">
        <v>30</v>
      </c>
      <c r="D64" s="9" t="s">
        <v>17</v>
      </c>
      <c r="E64" s="9" t="s">
        <v>18</v>
      </c>
      <c r="F64" s="7" t="n">
        <v>46237.5833333333</v>
      </c>
      <c r="G64" s="7" t="n">
        <v>46237.625</v>
      </c>
      <c r="H64" s="10" t="n">
        <f aca="false">ROUND((G64-F64)*24,2)</f>
        <v>1</v>
      </c>
      <c r="I64" s="9" t="s">
        <v>24</v>
      </c>
      <c r="J64" s="9" t="s">
        <v>31</v>
      </c>
      <c r="K64" s="9" t="s">
        <v>28</v>
      </c>
      <c r="L64" s="9" t="str">
        <f aca="false">IF(AND(F64&gt;=DATE(2026,8,3)+TIME(14,0,0),G64&lt;=DATE(2026,8,3)+TIME(15,0,0),ABS(H64-1)&lt;0.001,AND(F64&gt;=G63,F64-G63&lt;=TIME(0,30,0))),"COMPLIANT","EXCEPTION")</f>
        <v>COMPLIANT</v>
      </c>
    </row>
    <row r="65" customFormat="false" ht="27.75" hidden="false" customHeight="true" outlineLevel="0" collapsed="false">
      <c r="A65" s="3" t="n">
        <v>46237</v>
      </c>
      <c r="B65" s="4" t="s">
        <v>32</v>
      </c>
      <c r="C65" s="5" t="s">
        <v>33</v>
      </c>
      <c r="D65" s="5" t="s">
        <v>34</v>
      </c>
      <c r="E65" s="5" t="s">
        <v>35</v>
      </c>
      <c r="F65" s="3" t="n">
        <v>46240.25</v>
      </c>
      <c r="G65" s="3" t="n">
        <v>46240.3333333333</v>
      </c>
      <c r="H65" s="6" t="n">
        <f aca="false">ROUND((G65-F65)*24,2)</f>
        <v>2</v>
      </c>
      <c r="I65" s="5"/>
      <c r="J65" s="5" t="s">
        <v>36</v>
      </c>
      <c r="K65" s="5" t="s">
        <v>26</v>
      </c>
      <c r="L65" s="5" t="str">
        <f aca="false">IF(AND(F65&gt;=DATE(2026,8,6)+TIME(6,0,0),G65&lt;=DATE(2026,8,6)+TIME(8,0,0),ABS(H65-2)&lt;0.001,TRUE()),"COMPLIANT","EXCEPTION")</f>
        <v>COMPLIANT</v>
      </c>
    </row>
    <row r="66" customFormat="false" ht="27.75" hidden="false" customHeight="true" outlineLevel="0" collapsed="false">
      <c r="A66" s="7" t="n">
        <v>46237</v>
      </c>
      <c r="B66" s="8" t="s">
        <v>37</v>
      </c>
      <c r="C66" s="9" t="s">
        <v>38</v>
      </c>
      <c r="D66" s="9" t="s">
        <v>34</v>
      </c>
      <c r="E66" s="9" t="s">
        <v>26</v>
      </c>
      <c r="F66" s="7" t="n">
        <v>46240.3333333333</v>
      </c>
      <c r="G66" s="7" t="n">
        <v>46240.375</v>
      </c>
      <c r="H66" s="10" t="n">
        <f aca="false">ROUND((G66-F66)*24,2)</f>
        <v>1</v>
      </c>
      <c r="I66" s="9" t="s">
        <v>32</v>
      </c>
      <c r="J66" s="9" t="s">
        <v>39</v>
      </c>
      <c r="K66" s="9" t="s">
        <v>28</v>
      </c>
      <c r="L66" s="9" t="str">
        <f aca="false">IF(AND(F66&gt;=DATE(2026,8,6)+TIME(8,0,0),G66&lt;=DATE(2026,8,6)+TIME(9,0,0),ABS(H66-1)&lt;0.001,AND(F66&gt;=G65,F66-G65&lt;=TIME(0,30,0))),"COMPLIANT","EXCEPTION")</f>
        <v>COMPLIANT</v>
      </c>
    </row>
    <row r="67" customFormat="false" ht="27.75" hidden="false" customHeight="true" outlineLevel="0" collapsed="false">
      <c r="A67" s="3" t="n">
        <v>46237</v>
      </c>
      <c r="B67" s="4" t="s">
        <v>40</v>
      </c>
      <c r="C67" s="5" t="s">
        <v>41</v>
      </c>
      <c r="D67" s="5" t="s">
        <v>34</v>
      </c>
      <c r="E67" s="5" t="s">
        <v>26</v>
      </c>
      <c r="F67" s="3" t="n">
        <v>46240.375</v>
      </c>
      <c r="G67" s="3" t="n">
        <v>46240.4166666667</v>
      </c>
      <c r="H67" s="6" t="n">
        <f aca="false">ROUND((G67-F67)*24,2)</f>
        <v>1</v>
      </c>
      <c r="I67" s="5" t="s">
        <v>37</v>
      </c>
      <c r="J67" s="5" t="s">
        <v>41</v>
      </c>
      <c r="K67" s="5" t="s">
        <v>28</v>
      </c>
      <c r="L67" s="5" t="str">
        <f aca="false">IF(AND(F67&gt;=DATE(2026,8,6)+TIME(9,0,0),G67&lt;=DATE(2026,8,6)+TIME(10,0,0),ABS(H67-1)&lt;0.001,AND(F67&gt;=G66,F67-G66&lt;=TIME(0,30,0))),"COMPLIANT","EXCEPTION")</f>
        <v>COMPLIANT</v>
      </c>
    </row>
    <row r="68" customFormat="false" ht="27.75" hidden="false" customHeight="true" outlineLevel="0" collapsed="false">
      <c r="A68" s="7" t="n">
        <v>46237</v>
      </c>
      <c r="B68" s="8" t="s">
        <v>42</v>
      </c>
      <c r="C68" s="9" t="s">
        <v>43</v>
      </c>
      <c r="D68" s="9" t="s">
        <v>44</v>
      </c>
      <c r="E68" s="9" t="s">
        <v>20</v>
      </c>
      <c r="F68" s="7" t="n">
        <v>46238.2916666667</v>
      </c>
      <c r="G68" s="7" t="n">
        <v>46238.4166666667</v>
      </c>
      <c r="H68" s="10" t="n">
        <f aca="false">ROUND((G68-F68)*24,2)</f>
        <v>3</v>
      </c>
      <c r="I68" s="9"/>
      <c r="J68" s="9" t="s">
        <v>45</v>
      </c>
      <c r="K68" s="9" t="s">
        <v>28</v>
      </c>
      <c r="L68" s="9" t="str">
        <f aca="false">IF(AND(F68&gt;=DATE(2026,8,4)+TIME(7,0,0),G68&lt;=DATE(2026,8,4)+TIME(10,0,0),ABS(H68-3)&lt;0.001,TRUE()),"COMPLIANT","EXCEPTION")</f>
        <v>COMPLIANT</v>
      </c>
    </row>
    <row r="69" customFormat="false" ht="27.75" hidden="false" customHeight="true" outlineLevel="0" collapsed="false">
      <c r="A69" s="3" t="n">
        <v>46237</v>
      </c>
      <c r="B69" s="4" t="s">
        <v>46</v>
      </c>
      <c r="C69" s="5" t="s">
        <v>47</v>
      </c>
      <c r="D69" s="5" t="s">
        <v>44</v>
      </c>
      <c r="E69" s="5" t="s">
        <v>20</v>
      </c>
      <c r="F69" s="3" t="n">
        <v>46238.4166666667</v>
      </c>
      <c r="G69" s="3" t="n">
        <v>46238.4583333333</v>
      </c>
      <c r="H69" s="6" t="n">
        <f aca="false">ROUND((G69-F69)*24,2)</f>
        <v>1</v>
      </c>
      <c r="I69" s="5" t="s">
        <v>42</v>
      </c>
      <c r="J69" s="5" t="s">
        <v>48</v>
      </c>
      <c r="K69" s="5" t="s">
        <v>28</v>
      </c>
      <c r="L69" s="5" t="str">
        <f aca="false">IF(AND(F69&gt;=DATE(2026,8,4)+TIME(10,0,0),G69&lt;=DATE(2026,8,4)+TIME(11,0,0),ABS(H69-1)&lt;0.001,AND(F69&gt;=G68,F69-G68&lt;=TIME(0,30,0))),"COMPLIANT","EXCEPTION")</f>
        <v>COMPLIANT</v>
      </c>
    </row>
    <row r="70" customFormat="false" ht="27.75" hidden="false" customHeight="true" outlineLevel="0" collapsed="false">
      <c r="A70" s="7" t="n">
        <v>46237</v>
      </c>
      <c r="B70" s="8" t="s">
        <v>49</v>
      </c>
      <c r="C70" s="9" t="s">
        <v>50</v>
      </c>
      <c r="D70" s="9" t="s">
        <v>44</v>
      </c>
      <c r="E70" s="9" t="s">
        <v>20</v>
      </c>
      <c r="F70" s="7" t="n">
        <v>46238.4583333333</v>
      </c>
      <c r="G70" s="7" t="n">
        <v>46238.5</v>
      </c>
      <c r="H70" s="10" t="n">
        <f aca="false">ROUND((G70-F70)*24,2)</f>
        <v>1</v>
      </c>
      <c r="I70" s="9" t="s">
        <v>46</v>
      </c>
      <c r="J70" s="9" t="s">
        <v>50</v>
      </c>
      <c r="K70" s="9" t="s">
        <v>28</v>
      </c>
      <c r="L70" s="9" t="str">
        <f aca="false">IF(AND(F70&gt;=DATE(2026,8,4)+TIME(11,0,0),G70&lt;=DATE(2026,8,4)+TIME(12,0,0),ABS(H70-1)&lt;0.001,AND(F70&gt;=G69,F70-G69&lt;=TIME(0,30,0))),"COMPLIANT","EXCEPTION")</f>
        <v>COMPLIANT</v>
      </c>
    </row>
    <row r="71" customFormat="false" ht="27.75" hidden="false" customHeight="true" outlineLevel="0" collapsed="false">
      <c r="A71" s="3" t="n">
        <v>46237</v>
      </c>
      <c r="B71" s="4" t="s">
        <v>51</v>
      </c>
      <c r="C71" s="5" t="s">
        <v>52</v>
      </c>
      <c r="D71" s="5" t="s">
        <v>53</v>
      </c>
      <c r="E71" s="5" t="s">
        <v>35</v>
      </c>
      <c r="F71" s="3" t="n">
        <v>46239.2916666667</v>
      </c>
      <c r="G71" s="3" t="n">
        <v>46239.4166666667</v>
      </c>
      <c r="H71" s="6" t="n">
        <f aca="false">ROUND((G71-F71)*24,2)</f>
        <v>3</v>
      </c>
      <c r="I71" s="5"/>
      <c r="J71" s="5" t="s">
        <v>54</v>
      </c>
      <c r="K71" s="5" t="s">
        <v>18</v>
      </c>
      <c r="L71" s="5" t="str">
        <f aca="false">IF(AND(F71&gt;=DATE(2026,8,5)+TIME(7,0,0),G71&lt;=DATE(2026,8,5)+TIME(10,0,0),ABS(H71-3)&lt;0.001,TRUE()),"COMPLIANT","EXCEPTION")</f>
        <v>COMPLIANT</v>
      </c>
    </row>
    <row r="72" customFormat="false" ht="27.75" hidden="false" customHeight="true" outlineLevel="0" collapsed="false">
      <c r="A72" s="7" t="n">
        <v>46237</v>
      </c>
      <c r="B72" s="8" t="s">
        <v>55</v>
      </c>
      <c r="C72" s="9" t="s">
        <v>56</v>
      </c>
      <c r="D72" s="9" t="s">
        <v>53</v>
      </c>
      <c r="E72" s="9" t="s">
        <v>35</v>
      </c>
      <c r="F72" s="7" t="n">
        <v>46239.4166666667</v>
      </c>
      <c r="G72" s="7" t="n">
        <v>46239.5</v>
      </c>
      <c r="H72" s="10" t="n">
        <f aca="false">ROUND((G72-F72)*24,2)</f>
        <v>2</v>
      </c>
      <c r="I72" s="9" t="s">
        <v>51</v>
      </c>
      <c r="J72" s="9" t="s">
        <v>57</v>
      </c>
      <c r="K72" s="9" t="s">
        <v>18</v>
      </c>
      <c r="L72" s="9" t="str">
        <f aca="false">IF(AND(F72&gt;=DATE(2026,8,5)+TIME(10,0,0),G72&lt;=DATE(2026,8,5)+TIME(12,0,0),ABS(H72-2)&lt;0.001,AND(F72&gt;=G71,F72-G71&lt;=TIME(0,30,0))),"COMPLIANT","EXCEPTION")</f>
        <v>COMPLIANT</v>
      </c>
    </row>
    <row r="73" customFormat="false" ht="27.75" hidden="false" customHeight="true" outlineLevel="0" collapsed="false">
      <c r="A73" s="3" t="n">
        <v>46237</v>
      </c>
      <c r="B73" s="4" t="s">
        <v>58</v>
      </c>
      <c r="C73" s="5" t="s">
        <v>59</v>
      </c>
      <c r="D73" s="5" t="s">
        <v>53</v>
      </c>
      <c r="E73" s="5" t="s">
        <v>35</v>
      </c>
      <c r="F73" s="3" t="n">
        <v>46239.5</v>
      </c>
      <c r="G73" s="3" t="n">
        <v>46239.5416666667</v>
      </c>
      <c r="H73" s="6" t="n">
        <f aca="false">ROUND((G73-F73)*24,2)</f>
        <v>1</v>
      </c>
      <c r="I73" s="5" t="s">
        <v>55</v>
      </c>
      <c r="J73" s="5" t="s">
        <v>60</v>
      </c>
      <c r="K73" s="5" t="s">
        <v>18</v>
      </c>
      <c r="L73" s="5" t="str">
        <f aca="false">IF(AND(F73&gt;=DATE(2026,8,5)+TIME(12,0,0),G73&lt;=DATE(2026,8,5)+TIME(13,0,0),ABS(H73-1)&lt;0.001,AND(F73&gt;=G72,F73-G72&lt;=TIME(0,30,0))),"COMPLIANT","EXCEPTION")</f>
        <v>COMPLIANT</v>
      </c>
    </row>
    <row r="74" customFormat="false" ht="27.75" hidden="false" customHeight="true" outlineLevel="0" collapsed="false">
      <c r="A74" s="7" t="n">
        <v>46237</v>
      </c>
      <c r="B74" s="8" t="s">
        <v>61</v>
      </c>
      <c r="C74" s="9" t="s">
        <v>62</v>
      </c>
      <c r="D74" s="9" t="s">
        <v>63</v>
      </c>
      <c r="E74" s="9" t="s">
        <v>26</v>
      </c>
      <c r="F74" s="7" t="n">
        <v>46241.625</v>
      </c>
      <c r="G74" s="7" t="n">
        <v>46241.7083333333</v>
      </c>
      <c r="H74" s="10" t="n">
        <f aca="false">ROUND((G74-F74)*24,2)</f>
        <v>2</v>
      </c>
      <c r="I74" s="9"/>
      <c r="J74" s="9" t="s">
        <v>64</v>
      </c>
      <c r="K74" s="9" t="s">
        <v>28</v>
      </c>
      <c r="L74" s="9" t="str">
        <f aca="false">IF(AND(F74&gt;=DATE(2026,8,7)+TIME(15,0,0),G74&lt;=DATE(2026,8,7)+TIME(17,0,0),ABS(H74-2)&lt;0.001,TRUE()),"COMPLIANT","EXCEPTION")</f>
        <v>COMPLIANT</v>
      </c>
    </row>
    <row r="75" customFormat="false" ht="27.75" hidden="false" customHeight="true" outlineLevel="0" collapsed="false">
      <c r="A75" s="3" t="n">
        <v>46244</v>
      </c>
      <c r="B75" s="4" t="s">
        <v>15</v>
      </c>
      <c r="C75" s="5" t="s">
        <v>16</v>
      </c>
      <c r="D75" s="5" t="s">
        <v>17</v>
      </c>
      <c r="E75" s="5" t="s">
        <v>18</v>
      </c>
      <c r="F75" s="3" t="n">
        <v>46244.3333333333</v>
      </c>
      <c r="G75" s="3" t="n">
        <v>46244.4166666667</v>
      </c>
      <c r="H75" s="6" t="n">
        <f aca="false">ROUND((G75-F75)*24,2)</f>
        <v>2</v>
      </c>
      <c r="I75" s="5"/>
      <c r="J75" s="5" t="s">
        <v>19</v>
      </c>
      <c r="K75" s="5" t="s">
        <v>20</v>
      </c>
      <c r="L75" s="5" t="str">
        <f aca="false">IF(AND(F75&gt;=DATE(2026,8,10)+TIME(8,0,0),G75&lt;=DATE(2026,8,10)+TIME(10,0,0),ABS(H75-2)&lt;0.001,TRUE()),"COMPLIANT","EXCEPTION")</f>
        <v>COMPLIANT</v>
      </c>
    </row>
    <row r="76" customFormat="false" ht="27.75" hidden="false" customHeight="true" outlineLevel="0" collapsed="false">
      <c r="A76" s="7" t="n">
        <v>46244</v>
      </c>
      <c r="B76" s="8" t="s">
        <v>21</v>
      </c>
      <c r="C76" s="9" t="s">
        <v>22</v>
      </c>
      <c r="D76" s="9" t="s">
        <v>17</v>
      </c>
      <c r="E76" s="9" t="s">
        <v>18</v>
      </c>
      <c r="F76" s="7" t="n">
        <v>46244.4166666667</v>
      </c>
      <c r="G76" s="7" t="n">
        <v>46244.5416666667</v>
      </c>
      <c r="H76" s="10" t="n">
        <f aca="false">ROUND((G76-F76)*24,2)</f>
        <v>3</v>
      </c>
      <c r="I76" s="9" t="s">
        <v>15</v>
      </c>
      <c r="J76" s="9" t="s">
        <v>23</v>
      </c>
      <c r="K76" s="9" t="s">
        <v>20</v>
      </c>
      <c r="L76" s="9" t="str">
        <f aca="false">IF(AND(F76&gt;=DATE(2026,8,10)+TIME(10,0,0),G76&lt;=DATE(2026,8,10)+TIME(13,0,0),ABS(H76-3)&lt;0.001,AND(F76&gt;=G75,F76-G75&lt;=TIME(0,30,0))),"COMPLIANT","EXCEPTION")</f>
        <v>COMPLIANT</v>
      </c>
    </row>
    <row r="77" customFormat="false" ht="27.75" hidden="false" customHeight="true" outlineLevel="0" collapsed="false">
      <c r="A77" s="3" t="n">
        <v>46244</v>
      </c>
      <c r="B77" s="4" t="s">
        <v>24</v>
      </c>
      <c r="C77" s="5" t="s">
        <v>25</v>
      </c>
      <c r="D77" s="5" t="s">
        <v>17</v>
      </c>
      <c r="E77" s="5" t="s">
        <v>26</v>
      </c>
      <c r="F77" s="3" t="n">
        <v>46244.5416666667</v>
      </c>
      <c r="G77" s="3" t="n">
        <v>46244.5833333333</v>
      </c>
      <c r="H77" s="6" t="n">
        <f aca="false">ROUND((G77-F77)*24,2)</f>
        <v>1</v>
      </c>
      <c r="I77" s="5" t="s">
        <v>21</v>
      </c>
      <c r="J77" s="5" t="s">
        <v>27</v>
      </c>
      <c r="K77" s="5" t="s">
        <v>28</v>
      </c>
      <c r="L77" s="5" t="str">
        <f aca="false">IF(AND(F77&gt;=DATE(2026,8,10)+TIME(13,0,0),G77&lt;=DATE(2026,8,10)+TIME(14,0,0),ABS(H77-1)&lt;0.001,AND(F77&gt;=G76,F77-G76&lt;=TIME(0,30,0))),"COMPLIANT","EXCEPTION")</f>
        <v>COMPLIANT</v>
      </c>
    </row>
    <row r="78" customFormat="false" ht="27.75" hidden="false" customHeight="true" outlineLevel="0" collapsed="false">
      <c r="A78" s="7" t="n">
        <v>46244</v>
      </c>
      <c r="B78" s="8" t="s">
        <v>29</v>
      </c>
      <c r="C78" s="9" t="s">
        <v>30</v>
      </c>
      <c r="D78" s="9" t="s">
        <v>17</v>
      </c>
      <c r="E78" s="9" t="s">
        <v>18</v>
      </c>
      <c r="F78" s="7" t="n">
        <v>46244.5833333333</v>
      </c>
      <c r="G78" s="7" t="n">
        <v>46244.625</v>
      </c>
      <c r="H78" s="10" t="n">
        <f aca="false">ROUND((G78-F78)*24,2)</f>
        <v>1</v>
      </c>
      <c r="I78" s="9" t="s">
        <v>24</v>
      </c>
      <c r="J78" s="9" t="s">
        <v>31</v>
      </c>
      <c r="K78" s="9" t="s">
        <v>28</v>
      </c>
      <c r="L78" s="9" t="str">
        <f aca="false">IF(AND(F78&gt;=DATE(2026,8,10)+TIME(14,0,0),G78&lt;=DATE(2026,8,10)+TIME(15,0,0),ABS(H78-1)&lt;0.001,AND(F78&gt;=G77,F78-G77&lt;=TIME(0,30,0))),"COMPLIANT","EXCEPTION")</f>
        <v>COMPLIANT</v>
      </c>
    </row>
    <row r="79" customFormat="false" ht="27.75" hidden="false" customHeight="true" outlineLevel="0" collapsed="false">
      <c r="A79" s="3" t="n">
        <v>46244</v>
      </c>
      <c r="B79" s="4" t="s">
        <v>32</v>
      </c>
      <c r="C79" s="5" t="s">
        <v>33</v>
      </c>
      <c r="D79" s="5" t="s">
        <v>34</v>
      </c>
      <c r="E79" s="5" t="s">
        <v>35</v>
      </c>
      <c r="F79" s="3" t="n">
        <v>46247.25</v>
      </c>
      <c r="G79" s="3" t="n">
        <v>46247.3333333333</v>
      </c>
      <c r="H79" s="6" t="n">
        <f aca="false">ROUND((G79-F79)*24,2)</f>
        <v>2</v>
      </c>
      <c r="I79" s="5"/>
      <c r="J79" s="5" t="s">
        <v>36</v>
      </c>
      <c r="K79" s="5" t="s">
        <v>26</v>
      </c>
      <c r="L79" s="5" t="str">
        <f aca="false">IF(AND(F79&gt;=DATE(2026,8,13)+TIME(6,0,0),G79&lt;=DATE(2026,8,13)+TIME(8,0,0),ABS(H79-2)&lt;0.001,TRUE()),"COMPLIANT","EXCEPTION")</f>
        <v>COMPLIANT</v>
      </c>
    </row>
    <row r="80" customFormat="false" ht="27.75" hidden="false" customHeight="true" outlineLevel="0" collapsed="false">
      <c r="A80" s="7" t="n">
        <v>46244</v>
      </c>
      <c r="B80" s="8" t="s">
        <v>37</v>
      </c>
      <c r="C80" s="9" t="s">
        <v>38</v>
      </c>
      <c r="D80" s="9" t="s">
        <v>34</v>
      </c>
      <c r="E80" s="9" t="s">
        <v>26</v>
      </c>
      <c r="F80" s="7" t="n">
        <v>46247.3333333333</v>
      </c>
      <c r="G80" s="7" t="n">
        <v>46247.375</v>
      </c>
      <c r="H80" s="10" t="n">
        <f aca="false">ROUND((G80-F80)*24,2)</f>
        <v>1</v>
      </c>
      <c r="I80" s="9" t="s">
        <v>32</v>
      </c>
      <c r="J80" s="9" t="s">
        <v>39</v>
      </c>
      <c r="K80" s="9" t="s">
        <v>28</v>
      </c>
      <c r="L80" s="9" t="str">
        <f aca="false">IF(AND(F80&gt;=DATE(2026,8,13)+TIME(8,0,0),G80&lt;=DATE(2026,8,13)+TIME(9,0,0),ABS(H80-1)&lt;0.001,AND(F80&gt;=G79,F80-G79&lt;=TIME(0,30,0))),"COMPLIANT","EXCEPTION")</f>
        <v>COMPLIANT</v>
      </c>
    </row>
    <row r="81" customFormat="false" ht="27.75" hidden="false" customHeight="true" outlineLevel="0" collapsed="false">
      <c r="A81" s="3" t="n">
        <v>46244</v>
      </c>
      <c r="B81" s="4" t="s">
        <v>40</v>
      </c>
      <c r="C81" s="5" t="s">
        <v>41</v>
      </c>
      <c r="D81" s="5" t="s">
        <v>34</v>
      </c>
      <c r="E81" s="5" t="s">
        <v>26</v>
      </c>
      <c r="F81" s="3" t="n">
        <v>46247.375</v>
      </c>
      <c r="G81" s="3" t="n">
        <v>46247.4166666667</v>
      </c>
      <c r="H81" s="6" t="n">
        <f aca="false">ROUND((G81-F81)*24,2)</f>
        <v>1</v>
      </c>
      <c r="I81" s="5" t="s">
        <v>37</v>
      </c>
      <c r="J81" s="5" t="s">
        <v>41</v>
      </c>
      <c r="K81" s="5" t="s">
        <v>28</v>
      </c>
      <c r="L81" s="5" t="str">
        <f aca="false">IF(AND(F81&gt;=DATE(2026,8,13)+TIME(9,0,0),G81&lt;=DATE(2026,8,13)+TIME(10,0,0),ABS(H81-1)&lt;0.001,AND(F81&gt;=G80,F81-G80&lt;=TIME(0,30,0))),"COMPLIANT","EXCEPTION")</f>
        <v>COMPLIANT</v>
      </c>
    </row>
    <row r="82" customFormat="false" ht="27.75" hidden="false" customHeight="true" outlineLevel="0" collapsed="false">
      <c r="A82" s="7" t="n">
        <v>46244</v>
      </c>
      <c r="B82" s="8" t="s">
        <v>42</v>
      </c>
      <c r="C82" s="9" t="s">
        <v>43</v>
      </c>
      <c r="D82" s="9" t="s">
        <v>44</v>
      </c>
      <c r="E82" s="9" t="s">
        <v>20</v>
      </c>
      <c r="F82" s="7" t="n">
        <v>46245.2916666667</v>
      </c>
      <c r="G82" s="7" t="n">
        <v>46245.4166666667</v>
      </c>
      <c r="H82" s="10" t="n">
        <f aca="false">ROUND((G82-F82)*24,2)</f>
        <v>3</v>
      </c>
      <c r="I82" s="9"/>
      <c r="J82" s="9" t="s">
        <v>45</v>
      </c>
      <c r="K82" s="9" t="s">
        <v>28</v>
      </c>
      <c r="L82" s="9" t="str">
        <f aca="false">IF(AND(F82&gt;=DATE(2026,8,11)+TIME(7,0,0),G82&lt;=DATE(2026,8,11)+TIME(10,0,0),ABS(H82-3)&lt;0.001,TRUE()),"COMPLIANT","EXCEPTION")</f>
        <v>COMPLIANT</v>
      </c>
    </row>
    <row r="83" customFormat="false" ht="27.75" hidden="false" customHeight="true" outlineLevel="0" collapsed="false">
      <c r="A83" s="3" t="n">
        <v>46244</v>
      </c>
      <c r="B83" s="4" t="s">
        <v>46</v>
      </c>
      <c r="C83" s="5" t="s">
        <v>47</v>
      </c>
      <c r="D83" s="5" t="s">
        <v>44</v>
      </c>
      <c r="E83" s="5" t="s">
        <v>20</v>
      </c>
      <c r="F83" s="3" t="n">
        <v>46245.4166666667</v>
      </c>
      <c r="G83" s="3" t="n">
        <v>46245.4583333333</v>
      </c>
      <c r="H83" s="6" t="n">
        <f aca="false">ROUND((G83-F83)*24,2)</f>
        <v>1</v>
      </c>
      <c r="I83" s="5" t="s">
        <v>42</v>
      </c>
      <c r="J83" s="5" t="s">
        <v>48</v>
      </c>
      <c r="K83" s="5" t="s">
        <v>28</v>
      </c>
      <c r="L83" s="5" t="str">
        <f aca="false">IF(AND(F83&gt;=DATE(2026,8,11)+TIME(10,0,0),G83&lt;=DATE(2026,8,11)+TIME(11,0,0),ABS(H83-1)&lt;0.001,AND(F83&gt;=G82,F83-G82&lt;=TIME(0,30,0))),"COMPLIANT","EXCEPTION")</f>
        <v>COMPLIANT</v>
      </c>
    </row>
    <row r="84" customFormat="false" ht="27.75" hidden="false" customHeight="true" outlineLevel="0" collapsed="false">
      <c r="A84" s="7" t="n">
        <v>46244</v>
      </c>
      <c r="B84" s="8" t="s">
        <v>49</v>
      </c>
      <c r="C84" s="9" t="s">
        <v>50</v>
      </c>
      <c r="D84" s="9" t="s">
        <v>44</v>
      </c>
      <c r="E84" s="9" t="s">
        <v>20</v>
      </c>
      <c r="F84" s="7" t="n">
        <v>46245.4583333333</v>
      </c>
      <c r="G84" s="7" t="n">
        <v>46245.5</v>
      </c>
      <c r="H84" s="10" t="n">
        <f aca="false">ROUND((G84-F84)*24,2)</f>
        <v>1</v>
      </c>
      <c r="I84" s="9" t="s">
        <v>46</v>
      </c>
      <c r="J84" s="9" t="s">
        <v>50</v>
      </c>
      <c r="K84" s="9" t="s">
        <v>28</v>
      </c>
      <c r="L84" s="9" t="str">
        <f aca="false">IF(AND(F84&gt;=DATE(2026,8,11)+TIME(11,0,0),G84&lt;=DATE(2026,8,11)+TIME(12,0,0),ABS(H84-1)&lt;0.001,AND(F84&gt;=G83,F84-G83&lt;=TIME(0,30,0))),"COMPLIANT","EXCEPTION")</f>
        <v>COMPLIANT</v>
      </c>
    </row>
    <row r="85" customFormat="false" ht="27.75" hidden="false" customHeight="true" outlineLevel="0" collapsed="false">
      <c r="A85" s="3" t="n">
        <v>46244</v>
      </c>
      <c r="B85" s="4" t="s">
        <v>51</v>
      </c>
      <c r="C85" s="5" t="s">
        <v>52</v>
      </c>
      <c r="D85" s="5" t="s">
        <v>53</v>
      </c>
      <c r="E85" s="5" t="s">
        <v>35</v>
      </c>
      <c r="F85" s="3" t="n">
        <v>46246.2916666667</v>
      </c>
      <c r="G85" s="3" t="n">
        <v>46246.4166666667</v>
      </c>
      <c r="H85" s="6" t="n">
        <f aca="false">ROUND((G85-F85)*24,2)</f>
        <v>3</v>
      </c>
      <c r="I85" s="5"/>
      <c r="J85" s="5" t="s">
        <v>54</v>
      </c>
      <c r="K85" s="5" t="s">
        <v>18</v>
      </c>
      <c r="L85" s="5" t="str">
        <f aca="false">IF(AND(F85&gt;=DATE(2026,8,12)+TIME(7,0,0),G85&lt;=DATE(2026,8,12)+TIME(10,0,0),ABS(H85-3)&lt;0.001,TRUE()),"COMPLIANT","EXCEPTION")</f>
        <v>COMPLIANT</v>
      </c>
    </row>
    <row r="86" customFormat="false" ht="27.75" hidden="false" customHeight="true" outlineLevel="0" collapsed="false">
      <c r="A86" s="7" t="n">
        <v>46244</v>
      </c>
      <c r="B86" s="8" t="s">
        <v>55</v>
      </c>
      <c r="C86" s="9" t="s">
        <v>56</v>
      </c>
      <c r="D86" s="9" t="s">
        <v>53</v>
      </c>
      <c r="E86" s="9" t="s">
        <v>35</v>
      </c>
      <c r="F86" s="7" t="n">
        <v>46246.4166666667</v>
      </c>
      <c r="G86" s="7" t="n">
        <v>46246.5</v>
      </c>
      <c r="H86" s="10" t="n">
        <f aca="false">ROUND((G86-F86)*24,2)</f>
        <v>2</v>
      </c>
      <c r="I86" s="9" t="s">
        <v>51</v>
      </c>
      <c r="J86" s="9" t="s">
        <v>57</v>
      </c>
      <c r="K86" s="9" t="s">
        <v>18</v>
      </c>
      <c r="L86" s="9" t="str">
        <f aca="false">IF(AND(F86&gt;=DATE(2026,8,12)+TIME(10,0,0),G86&lt;=DATE(2026,8,12)+TIME(12,0,0),ABS(H86-2)&lt;0.001,AND(F86&gt;=G85,F86-G85&lt;=TIME(0,30,0))),"COMPLIANT","EXCEPTION")</f>
        <v>COMPLIANT</v>
      </c>
    </row>
    <row r="87" customFormat="false" ht="27.75" hidden="false" customHeight="true" outlineLevel="0" collapsed="false">
      <c r="A87" s="3" t="n">
        <v>46244</v>
      </c>
      <c r="B87" s="4" t="s">
        <v>58</v>
      </c>
      <c r="C87" s="5" t="s">
        <v>59</v>
      </c>
      <c r="D87" s="5" t="s">
        <v>53</v>
      </c>
      <c r="E87" s="5" t="s">
        <v>35</v>
      </c>
      <c r="F87" s="3" t="n">
        <v>46246.5</v>
      </c>
      <c r="G87" s="3" t="n">
        <v>46246.5416666667</v>
      </c>
      <c r="H87" s="6" t="n">
        <f aca="false">ROUND((G87-F87)*24,2)</f>
        <v>1</v>
      </c>
      <c r="I87" s="5" t="s">
        <v>55</v>
      </c>
      <c r="J87" s="5" t="s">
        <v>60</v>
      </c>
      <c r="K87" s="5" t="s">
        <v>18</v>
      </c>
      <c r="L87" s="5" t="str">
        <f aca="false">IF(AND(F87&gt;=DATE(2026,8,12)+TIME(12,0,0),G87&lt;=DATE(2026,8,12)+TIME(13,0,0),ABS(H87-1)&lt;0.001,AND(F87&gt;=G86,F87-G86&lt;=TIME(0,30,0))),"COMPLIANT","EXCEPTION")</f>
        <v>COMPLIANT</v>
      </c>
    </row>
    <row r="88" customFormat="false" ht="27.75" hidden="false" customHeight="true" outlineLevel="0" collapsed="false">
      <c r="A88" s="7" t="n">
        <v>46244</v>
      </c>
      <c r="B88" s="8" t="s">
        <v>61</v>
      </c>
      <c r="C88" s="9" t="s">
        <v>62</v>
      </c>
      <c r="D88" s="9" t="s">
        <v>63</v>
      </c>
      <c r="E88" s="9" t="s">
        <v>26</v>
      </c>
      <c r="F88" s="7" t="n">
        <v>46248.625</v>
      </c>
      <c r="G88" s="7" t="n">
        <v>46248.7083333333</v>
      </c>
      <c r="H88" s="10" t="n">
        <f aca="false">ROUND((G88-F88)*24,2)</f>
        <v>2</v>
      </c>
      <c r="I88" s="9"/>
      <c r="J88" s="9" t="s">
        <v>64</v>
      </c>
      <c r="K88" s="9" t="s">
        <v>28</v>
      </c>
      <c r="L88" s="9" t="str">
        <f aca="false">IF(AND(F88&gt;=DATE(2026,8,14)+TIME(15,0,0),G88&lt;=DATE(2026,8,14)+TIME(17,0,0),ABS(H88-2)&lt;0.001,TRUE()),"COMPLIANT","EXCEPTION")</f>
        <v>COMPLIANT</v>
      </c>
    </row>
    <row r="89" customFormat="false" ht="27.75" hidden="false" customHeight="true" outlineLevel="0" collapsed="false">
      <c r="A89" s="3" t="n">
        <v>46251</v>
      </c>
      <c r="B89" s="4" t="s">
        <v>15</v>
      </c>
      <c r="C89" s="5" t="s">
        <v>16</v>
      </c>
      <c r="D89" s="5" t="s">
        <v>17</v>
      </c>
      <c r="E89" s="5" t="s">
        <v>18</v>
      </c>
      <c r="F89" s="3" t="n">
        <v>46251.3333333333</v>
      </c>
      <c r="G89" s="3" t="n">
        <v>46251.4166666667</v>
      </c>
      <c r="H89" s="6" t="n">
        <f aca="false">ROUND((G89-F89)*24,2)</f>
        <v>2</v>
      </c>
      <c r="I89" s="5"/>
      <c r="J89" s="5" t="s">
        <v>19</v>
      </c>
      <c r="K89" s="5" t="s">
        <v>20</v>
      </c>
      <c r="L89" s="5" t="str">
        <f aca="false">IF(AND(F89&gt;=DATE(2026,8,17)+TIME(8,0,0),G89&lt;=DATE(2026,8,17)+TIME(10,0,0),ABS(H89-2)&lt;0.001,TRUE()),"COMPLIANT","EXCEPTION")</f>
        <v>COMPLIANT</v>
      </c>
    </row>
    <row r="90" customFormat="false" ht="27.75" hidden="false" customHeight="true" outlineLevel="0" collapsed="false">
      <c r="A90" s="7" t="n">
        <v>46251</v>
      </c>
      <c r="B90" s="8" t="s">
        <v>21</v>
      </c>
      <c r="C90" s="9" t="s">
        <v>22</v>
      </c>
      <c r="D90" s="9" t="s">
        <v>17</v>
      </c>
      <c r="E90" s="9" t="s">
        <v>18</v>
      </c>
      <c r="F90" s="7" t="n">
        <v>46251.4166666667</v>
      </c>
      <c r="G90" s="7" t="n">
        <v>46251.5416666667</v>
      </c>
      <c r="H90" s="10" t="n">
        <f aca="false">ROUND((G90-F90)*24,2)</f>
        <v>3</v>
      </c>
      <c r="I90" s="9" t="s">
        <v>15</v>
      </c>
      <c r="J90" s="9" t="s">
        <v>23</v>
      </c>
      <c r="K90" s="9" t="s">
        <v>20</v>
      </c>
      <c r="L90" s="9" t="str">
        <f aca="false">IF(AND(F90&gt;=DATE(2026,8,17)+TIME(10,0,0),G90&lt;=DATE(2026,8,17)+TIME(13,0,0),ABS(H90-3)&lt;0.001,AND(F90&gt;=G89,F90-G89&lt;=TIME(0,30,0))),"COMPLIANT","EXCEPTION")</f>
        <v>COMPLIANT</v>
      </c>
    </row>
    <row r="91" customFormat="false" ht="27.75" hidden="false" customHeight="true" outlineLevel="0" collapsed="false">
      <c r="A91" s="3" t="n">
        <v>46251</v>
      </c>
      <c r="B91" s="4" t="s">
        <v>24</v>
      </c>
      <c r="C91" s="5" t="s">
        <v>25</v>
      </c>
      <c r="D91" s="5" t="s">
        <v>17</v>
      </c>
      <c r="E91" s="5" t="s">
        <v>26</v>
      </c>
      <c r="F91" s="3" t="n">
        <v>46251.5416666667</v>
      </c>
      <c r="G91" s="3" t="n">
        <v>46251.5833333333</v>
      </c>
      <c r="H91" s="6" t="n">
        <f aca="false">ROUND((G91-F91)*24,2)</f>
        <v>1</v>
      </c>
      <c r="I91" s="5" t="s">
        <v>21</v>
      </c>
      <c r="J91" s="5" t="s">
        <v>27</v>
      </c>
      <c r="K91" s="5" t="s">
        <v>28</v>
      </c>
      <c r="L91" s="5" t="str">
        <f aca="false">IF(AND(F91&gt;=DATE(2026,8,17)+TIME(13,0,0),G91&lt;=DATE(2026,8,17)+TIME(14,0,0),ABS(H91-1)&lt;0.001,AND(F91&gt;=G90,F91-G90&lt;=TIME(0,30,0))),"COMPLIANT","EXCEPTION")</f>
        <v>COMPLIANT</v>
      </c>
    </row>
    <row r="92" customFormat="false" ht="27.75" hidden="false" customHeight="true" outlineLevel="0" collapsed="false">
      <c r="A92" s="7" t="n">
        <v>46251</v>
      </c>
      <c r="B92" s="8" t="s">
        <v>29</v>
      </c>
      <c r="C92" s="9" t="s">
        <v>30</v>
      </c>
      <c r="D92" s="9" t="s">
        <v>17</v>
      </c>
      <c r="E92" s="9" t="s">
        <v>18</v>
      </c>
      <c r="F92" s="7" t="n">
        <v>46251.5833333333</v>
      </c>
      <c r="G92" s="7" t="n">
        <v>46251.625</v>
      </c>
      <c r="H92" s="10" t="n">
        <f aca="false">ROUND((G92-F92)*24,2)</f>
        <v>1</v>
      </c>
      <c r="I92" s="9" t="s">
        <v>24</v>
      </c>
      <c r="J92" s="9" t="s">
        <v>31</v>
      </c>
      <c r="K92" s="9" t="s">
        <v>28</v>
      </c>
      <c r="L92" s="9" t="str">
        <f aca="false">IF(AND(F92&gt;=DATE(2026,8,17)+TIME(14,0,0),G92&lt;=DATE(2026,8,17)+TIME(15,0,0),ABS(H92-1)&lt;0.001,AND(F92&gt;=G91,F92-G91&lt;=TIME(0,30,0))),"COMPLIANT","EXCEPTION")</f>
        <v>COMPLIANT</v>
      </c>
    </row>
    <row r="93" customFormat="false" ht="27.75" hidden="false" customHeight="true" outlineLevel="0" collapsed="false">
      <c r="A93" s="3" t="n">
        <v>46251</v>
      </c>
      <c r="B93" s="4" t="s">
        <v>32</v>
      </c>
      <c r="C93" s="5" t="s">
        <v>33</v>
      </c>
      <c r="D93" s="5" t="s">
        <v>34</v>
      </c>
      <c r="E93" s="5" t="s">
        <v>35</v>
      </c>
      <c r="F93" s="3" t="n">
        <v>46254.25</v>
      </c>
      <c r="G93" s="3" t="n">
        <v>46254.3333333333</v>
      </c>
      <c r="H93" s="6" t="n">
        <f aca="false">ROUND((G93-F93)*24,2)</f>
        <v>2</v>
      </c>
      <c r="I93" s="5"/>
      <c r="J93" s="5" t="s">
        <v>36</v>
      </c>
      <c r="K93" s="5" t="s">
        <v>26</v>
      </c>
      <c r="L93" s="5" t="str">
        <f aca="false">IF(AND(F93&gt;=DATE(2026,8,20)+TIME(6,0,0),G93&lt;=DATE(2026,8,20)+TIME(8,0,0),ABS(H93-2)&lt;0.001,TRUE()),"COMPLIANT","EXCEPTION")</f>
        <v>COMPLIANT</v>
      </c>
    </row>
    <row r="94" customFormat="false" ht="27.75" hidden="false" customHeight="true" outlineLevel="0" collapsed="false">
      <c r="A94" s="7" t="n">
        <v>46251</v>
      </c>
      <c r="B94" s="8" t="s">
        <v>37</v>
      </c>
      <c r="C94" s="9" t="s">
        <v>38</v>
      </c>
      <c r="D94" s="9" t="s">
        <v>34</v>
      </c>
      <c r="E94" s="9" t="s">
        <v>26</v>
      </c>
      <c r="F94" s="7" t="n">
        <v>46254.3333333333</v>
      </c>
      <c r="G94" s="7" t="n">
        <v>46254.375</v>
      </c>
      <c r="H94" s="10" t="n">
        <f aca="false">ROUND((G94-F94)*24,2)</f>
        <v>1</v>
      </c>
      <c r="I94" s="9" t="s">
        <v>32</v>
      </c>
      <c r="J94" s="9" t="s">
        <v>39</v>
      </c>
      <c r="K94" s="9" t="s">
        <v>28</v>
      </c>
      <c r="L94" s="9" t="str">
        <f aca="false">IF(AND(F94&gt;=DATE(2026,8,20)+TIME(8,0,0),G94&lt;=DATE(2026,8,20)+TIME(9,0,0),ABS(H94-1)&lt;0.001,AND(F94&gt;=G93,F94-G93&lt;=TIME(0,30,0))),"COMPLIANT","EXCEPTION")</f>
        <v>COMPLIANT</v>
      </c>
    </row>
    <row r="95" customFormat="false" ht="27.75" hidden="false" customHeight="true" outlineLevel="0" collapsed="false">
      <c r="A95" s="3" t="n">
        <v>46251</v>
      </c>
      <c r="B95" s="4" t="s">
        <v>40</v>
      </c>
      <c r="C95" s="5" t="s">
        <v>41</v>
      </c>
      <c r="D95" s="5" t="s">
        <v>34</v>
      </c>
      <c r="E95" s="5" t="s">
        <v>26</v>
      </c>
      <c r="F95" s="3" t="n">
        <v>46254.375</v>
      </c>
      <c r="G95" s="3" t="n">
        <v>46254.4166666667</v>
      </c>
      <c r="H95" s="6" t="n">
        <f aca="false">ROUND((G95-F95)*24,2)</f>
        <v>1</v>
      </c>
      <c r="I95" s="5" t="s">
        <v>37</v>
      </c>
      <c r="J95" s="5" t="s">
        <v>41</v>
      </c>
      <c r="K95" s="5" t="s">
        <v>28</v>
      </c>
      <c r="L95" s="5" t="str">
        <f aca="false">IF(AND(F95&gt;=DATE(2026,8,20)+TIME(9,0,0),G95&lt;=DATE(2026,8,20)+TIME(10,0,0),ABS(H95-1)&lt;0.001,AND(F95&gt;=G94,F95-G94&lt;=TIME(0,30,0))),"COMPLIANT","EXCEPTION")</f>
        <v>COMPLIANT</v>
      </c>
    </row>
    <row r="96" customFormat="false" ht="27.75" hidden="false" customHeight="true" outlineLevel="0" collapsed="false">
      <c r="A96" s="7" t="n">
        <v>46251</v>
      </c>
      <c r="B96" s="8" t="s">
        <v>42</v>
      </c>
      <c r="C96" s="9" t="s">
        <v>43</v>
      </c>
      <c r="D96" s="9" t="s">
        <v>44</v>
      </c>
      <c r="E96" s="9" t="s">
        <v>20</v>
      </c>
      <c r="F96" s="7" t="n">
        <v>46252.2916666667</v>
      </c>
      <c r="G96" s="7" t="n">
        <v>46252.4166666667</v>
      </c>
      <c r="H96" s="10" t="n">
        <f aca="false">ROUND((G96-F96)*24,2)</f>
        <v>3</v>
      </c>
      <c r="I96" s="9"/>
      <c r="J96" s="9" t="s">
        <v>45</v>
      </c>
      <c r="K96" s="9" t="s">
        <v>28</v>
      </c>
      <c r="L96" s="9" t="str">
        <f aca="false">IF(AND(F96&gt;=DATE(2026,8,18)+TIME(7,0,0),G96&lt;=DATE(2026,8,18)+TIME(10,0,0),ABS(H96-3)&lt;0.001,TRUE()),"COMPLIANT","EXCEPTION")</f>
        <v>COMPLIANT</v>
      </c>
    </row>
    <row r="97" customFormat="false" ht="27.75" hidden="false" customHeight="true" outlineLevel="0" collapsed="false">
      <c r="A97" s="3" t="n">
        <v>46251</v>
      </c>
      <c r="B97" s="4" t="s">
        <v>46</v>
      </c>
      <c r="C97" s="5" t="s">
        <v>47</v>
      </c>
      <c r="D97" s="5" t="s">
        <v>44</v>
      </c>
      <c r="E97" s="5" t="s">
        <v>20</v>
      </c>
      <c r="F97" s="3" t="n">
        <v>46252.4166666667</v>
      </c>
      <c r="G97" s="3" t="n">
        <v>46252.4583333333</v>
      </c>
      <c r="H97" s="6" t="n">
        <f aca="false">ROUND((G97-F97)*24,2)</f>
        <v>1</v>
      </c>
      <c r="I97" s="5" t="s">
        <v>42</v>
      </c>
      <c r="J97" s="5" t="s">
        <v>48</v>
      </c>
      <c r="K97" s="5" t="s">
        <v>28</v>
      </c>
      <c r="L97" s="5" t="str">
        <f aca="false">IF(AND(F97&gt;=DATE(2026,8,18)+TIME(10,0,0),G97&lt;=DATE(2026,8,18)+TIME(11,0,0),ABS(H97-1)&lt;0.001,AND(F97&gt;=G96,F97-G96&lt;=TIME(0,30,0))),"COMPLIANT","EXCEPTION")</f>
        <v>COMPLIANT</v>
      </c>
    </row>
    <row r="98" customFormat="false" ht="27.75" hidden="false" customHeight="true" outlineLevel="0" collapsed="false">
      <c r="A98" s="7" t="n">
        <v>46251</v>
      </c>
      <c r="B98" s="8" t="s">
        <v>49</v>
      </c>
      <c r="C98" s="9" t="s">
        <v>50</v>
      </c>
      <c r="D98" s="9" t="s">
        <v>44</v>
      </c>
      <c r="E98" s="9" t="s">
        <v>20</v>
      </c>
      <c r="F98" s="7" t="n">
        <v>46252.4583333333</v>
      </c>
      <c r="G98" s="7" t="n">
        <v>46252.5</v>
      </c>
      <c r="H98" s="10" t="n">
        <f aca="false">ROUND((G98-F98)*24,2)</f>
        <v>1</v>
      </c>
      <c r="I98" s="9" t="s">
        <v>46</v>
      </c>
      <c r="J98" s="9" t="s">
        <v>50</v>
      </c>
      <c r="K98" s="9" t="s">
        <v>28</v>
      </c>
      <c r="L98" s="9" t="str">
        <f aca="false">IF(AND(F98&gt;=DATE(2026,8,18)+TIME(11,0,0),G98&lt;=DATE(2026,8,18)+TIME(12,0,0),ABS(H98-1)&lt;0.001,AND(F98&gt;=G97,F98-G97&lt;=TIME(0,30,0))),"COMPLIANT","EXCEPTION")</f>
        <v>COMPLIANT</v>
      </c>
    </row>
    <row r="99" customFormat="false" ht="27.75" hidden="false" customHeight="true" outlineLevel="0" collapsed="false">
      <c r="A99" s="3" t="n">
        <v>46251</v>
      </c>
      <c r="B99" s="4" t="s">
        <v>51</v>
      </c>
      <c r="C99" s="5" t="s">
        <v>52</v>
      </c>
      <c r="D99" s="5" t="s">
        <v>53</v>
      </c>
      <c r="E99" s="5" t="s">
        <v>35</v>
      </c>
      <c r="F99" s="3" t="n">
        <v>46253.2916666667</v>
      </c>
      <c r="G99" s="3" t="n">
        <v>46253.4166666667</v>
      </c>
      <c r="H99" s="6" t="n">
        <f aca="false">ROUND((G99-F99)*24,2)</f>
        <v>3</v>
      </c>
      <c r="I99" s="5"/>
      <c r="J99" s="5" t="s">
        <v>54</v>
      </c>
      <c r="K99" s="5" t="s">
        <v>18</v>
      </c>
      <c r="L99" s="5" t="str">
        <f aca="false">IF(AND(F99&gt;=DATE(2026,8,19)+TIME(7,0,0),G99&lt;=DATE(2026,8,19)+TIME(10,0,0),ABS(H99-3)&lt;0.001,TRUE()),"COMPLIANT","EXCEPTION")</f>
        <v>COMPLIANT</v>
      </c>
    </row>
    <row r="100" customFormat="false" ht="27.75" hidden="false" customHeight="true" outlineLevel="0" collapsed="false">
      <c r="A100" s="7" t="n">
        <v>46251</v>
      </c>
      <c r="B100" s="8" t="s">
        <v>55</v>
      </c>
      <c r="C100" s="9" t="s">
        <v>56</v>
      </c>
      <c r="D100" s="9" t="s">
        <v>53</v>
      </c>
      <c r="E100" s="9" t="s">
        <v>35</v>
      </c>
      <c r="F100" s="7" t="n">
        <v>46253.4166666667</v>
      </c>
      <c r="G100" s="7" t="n">
        <v>46253.5</v>
      </c>
      <c r="H100" s="10" t="n">
        <f aca="false">ROUND((G100-F100)*24,2)</f>
        <v>2</v>
      </c>
      <c r="I100" s="9" t="s">
        <v>51</v>
      </c>
      <c r="J100" s="9" t="s">
        <v>57</v>
      </c>
      <c r="K100" s="9" t="s">
        <v>18</v>
      </c>
      <c r="L100" s="9" t="str">
        <f aca="false">IF(AND(F100&gt;=DATE(2026,8,19)+TIME(10,0,0),G100&lt;=DATE(2026,8,19)+TIME(12,0,0),ABS(H100-2)&lt;0.001,AND(F100&gt;=G99,F100-G99&lt;=TIME(0,30,0))),"COMPLIANT","EXCEPTION")</f>
        <v>COMPLIANT</v>
      </c>
    </row>
    <row r="101" customFormat="false" ht="27.75" hidden="false" customHeight="true" outlineLevel="0" collapsed="false">
      <c r="A101" s="3" t="n">
        <v>46251</v>
      </c>
      <c r="B101" s="4" t="s">
        <v>58</v>
      </c>
      <c r="C101" s="5" t="s">
        <v>59</v>
      </c>
      <c r="D101" s="5" t="s">
        <v>53</v>
      </c>
      <c r="E101" s="5" t="s">
        <v>35</v>
      </c>
      <c r="F101" s="3" t="n">
        <v>46253.5</v>
      </c>
      <c r="G101" s="3" t="n">
        <v>46253.5416666667</v>
      </c>
      <c r="H101" s="6" t="n">
        <f aca="false">ROUND((G101-F101)*24,2)</f>
        <v>1</v>
      </c>
      <c r="I101" s="5" t="s">
        <v>55</v>
      </c>
      <c r="J101" s="5" t="s">
        <v>60</v>
      </c>
      <c r="K101" s="5" t="s">
        <v>18</v>
      </c>
      <c r="L101" s="5" t="str">
        <f aca="false">IF(AND(F101&gt;=DATE(2026,8,19)+TIME(12,0,0),G101&lt;=DATE(2026,8,19)+TIME(13,0,0),ABS(H101-1)&lt;0.001,AND(F101&gt;=G100,F101-G100&lt;=TIME(0,30,0))),"COMPLIANT","EXCEPTION")</f>
        <v>COMPLIANT</v>
      </c>
    </row>
    <row r="102" customFormat="false" ht="27.75" hidden="false" customHeight="true" outlineLevel="0" collapsed="false">
      <c r="A102" s="7" t="n">
        <v>46251</v>
      </c>
      <c r="B102" s="8" t="s">
        <v>61</v>
      </c>
      <c r="C102" s="9" t="s">
        <v>62</v>
      </c>
      <c r="D102" s="9" t="s">
        <v>63</v>
      </c>
      <c r="E102" s="9" t="s">
        <v>26</v>
      </c>
      <c r="F102" s="7" t="n">
        <v>46255.625</v>
      </c>
      <c r="G102" s="7" t="n">
        <v>46255.7083333333</v>
      </c>
      <c r="H102" s="10" t="n">
        <f aca="false">ROUND((G102-F102)*24,2)</f>
        <v>2</v>
      </c>
      <c r="I102" s="9"/>
      <c r="J102" s="9" t="s">
        <v>64</v>
      </c>
      <c r="K102" s="9" t="s">
        <v>28</v>
      </c>
      <c r="L102" s="9" t="str">
        <f aca="false">IF(AND(F102&gt;=DATE(2026,8,21)+TIME(15,0,0),G102&lt;=DATE(2026,8,21)+TIME(17,0,0),ABS(H102-2)&lt;0.001,TRUE()),"COMPLIANT","EXCEPTION")</f>
        <v>COMPLIANT</v>
      </c>
    </row>
    <row r="103" customFormat="false" ht="27.75" hidden="false" customHeight="true" outlineLevel="0" collapsed="false">
      <c r="A103" s="3" t="n">
        <v>46258</v>
      </c>
      <c r="B103" s="4" t="s">
        <v>15</v>
      </c>
      <c r="C103" s="5" t="s">
        <v>16</v>
      </c>
      <c r="D103" s="5" t="s">
        <v>17</v>
      </c>
      <c r="E103" s="5" t="s">
        <v>18</v>
      </c>
      <c r="F103" s="3" t="n">
        <v>46258.3333333333</v>
      </c>
      <c r="G103" s="3" t="n">
        <v>46258.4166666667</v>
      </c>
      <c r="H103" s="6" t="n">
        <f aca="false">ROUND((G103-F103)*24,2)</f>
        <v>2</v>
      </c>
      <c r="I103" s="5"/>
      <c r="J103" s="5" t="s">
        <v>19</v>
      </c>
      <c r="K103" s="5" t="s">
        <v>20</v>
      </c>
      <c r="L103" s="5" t="str">
        <f aca="false">IF(AND(F103&gt;=DATE(2026,8,24)+TIME(8,0,0),G103&lt;=DATE(2026,8,24)+TIME(10,0,0),ABS(H103-2)&lt;0.001,TRUE()),"COMPLIANT","EXCEPTION")</f>
        <v>COMPLIANT</v>
      </c>
    </row>
    <row r="104" customFormat="false" ht="27.75" hidden="false" customHeight="true" outlineLevel="0" collapsed="false">
      <c r="A104" s="7" t="n">
        <v>46258</v>
      </c>
      <c r="B104" s="8" t="s">
        <v>21</v>
      </c>
      <c r="C104" s="9" t="s">
        <v>22</v>
      </c>
      <c r="D104" s="9" t="s">
        <v>17</v>
      </c>
      <c r="E104" s="9" t="s">
        <v>18</v>
      </c>
      <c r="F104" s="7" t="n">
        <v>46258.4166666667</v>
      </c>
      <c r="G104" s="7" t="n">
        <v>46258.5416666667</v>
      </c>
      <c r="H104" s="10" t="n">
        <f aca="false">ROUND((G104-F104)*24,2)</f>
        <v>3</v>
      </c>
      <c r="I104" s="9" t="s">
        <v>15</v>
      </c>
      <c r="J104" s="9" t="s">
        <v>23</v>
      </c>
      <c r="K104" s="9" t="s">
        <v>20</v>
      </c>
      <c r="L104" s="9" t="str">
        <f aca="false">IF(AND(F104&gt;=DATE(2026,8,24)+TIME(10,0,0),G104&lt;=DATE(2026,8,24)+TIME(13,0,0),ABS(H104-3)&lt;0.001,AND(F104&gt;=G103,F104-G103&lt;=TIME(0,30,0))),"COMPLIANT","EXCEPTION")</f>
        <v>COMPLIANT</v>
      </c>
    </row>
    <row r="105" customFormat="false" ht="27.75" hidden="false" customHeight="true" outlineLevel="0" collapsed="false">
      <c r="A105" s="3" t="n">
        <v>46258</v>
      </c>
      <c r="B105" s="4" t="s">
        <v>24</v>
      </c>
      <c r="C105" s="5" t="s">
        <v>25</v>
      </c>
      <c r="D105" s="5" t="s">
        <v>17</v>
      </c>
      <c r="E105" s="5" t="s">
        <v>26</v>
      </c>
      <c r="F105" s="3" t="n">
        <v>46258.5416666667</v>
      </c>
      <c r="G105" s="3" t="n">
        <v>46258.5833333333</v>
      </c>
      <c r="H105" s="6" t="n">
        <f aca="false">ROUND((G105-F105)*24,2)</f>
        <v>1</v>
      </c>
      <c r="I105" s="5" t="s">
        <v>21</v>
      </c>
      <c r="J105" s="5" t="s">
        <v>27</v>
      </c>
      <c r="K105" s="5" t="s">
        <v>28</v>
      </c>
      <c r="L105" s="5" t="str">
        <f aca="false">IF(AND(F105&gt;=DATE(2026,8,24)+TIME(13,0,0),G105&lt;=DATE(2026,8,24)+TIME(14,0,0),ABS(H105-1)&lt;0.001,AND(F105&gt;=G104,F105-G104&lt;=TIME(0,30,0))),"COMPLIANT","EXCEPTION")</f>
        <v>COMPLIANT</v>
      </c>
    </row>
    <row r="106" customFormat="false" ht="27.75" hidden="false" customHeight="true" outlineLevel="0" collapsed="false">
      <c r="A106" s="7" t="n">
        <v>46258</v>
      </c>
      <c r="B106" s="8" t="s">
        <v>29</v>
      </c>
      <c r="C106" s="9" t="s">
        <v>30</v>
      </c>
      <c r="D106" s="9" t="s">
        <v>17</v>
      </c>
      <c r="E106" s="9" t="s">
        <v>18</v>
      </c>
      <c r="F106" s="7" t="n">
        <v>46258.5833333333</v>
      </c>
      <c r="G106" s="7" t="n">
        <v>46258.625</v>
      </c>
      <c r="H106" s="10" t="n">
        <f aca="false">ROUND((G106-F106)*24,2)</f>
        <v>1</v>
      </c>
      <c r="I106" s="9" t="s">
        <v>24</v>
      </c>
      <c r="J106" s="9" t="s">
        <v>31</v>
      </c>
      <c r="K106" s="9" t="s">
        <v>28</v>
      </c>
      <c r="L106" s="9" t="str">
        <f aca="false">IF(AND(F106&gt;=DATE(2026,8,24)+TIME(14,0,0),G106&lt;=DATE(2026,8,24)+TIME(15,0,0),ABS(H106-1)&lt;0.001,AND(F106&gt;=G105,F106-G105&lt;=TIME(0,30,0))),"COMPLIANT","EXCEPTION")</f>
        <v>COMPLIANT</v>
      </c>
    </row>
    <row r="107" customFormat="false" ht="27.75" hidden="false" customHeight="true" outlineLevel="0" collapsed="false">
      <c r="A107" s="3" t="n">
        <v>46258</v>
      </c>
      <c r="B107" s="4" t="s">
        <v>32</v>
      </c>
      <c r="C107" s="5" t="s">
        <v>33</v>
      </c>
      <c r="D107" s="5" t="s">
        <v>34</v>
      </c>
      <c r="E107" s="5" t="s">
        <v>35</v>
      </c>
      <c r="F107" s="3" t="n">
        <v>46261.25</v>
      </c>
      <c r="G107" s="3" t="n">
        <v>46261.3333333333</v>
      </c>
      <c r="H107" s="6" t="n">
        <f aca="false">ROUND((G107-F107)*24,2)</f>
        <v>2</v>
      </c>
      <c r="I107" s="5"/>
      <c r="J107" s="5" t="s">
        <v>36</v>
      </c>
      <c r="K107" s="5" t="s">
        <v>26</v>
      </c>
      <c r="L107" s="5" t="str">
        <f aca="false">IF(AND(F107&gt;=DATE(2026,8,27)+TIME(6,0,0),G107&lt;=DATE(2026,8,27)+TIME(8,0,0),ABS(H107-2)&lt;0.001,TRUE()),"COMPLIANT","EXCEPTION")</f>
        <v>COMPLIANT</v>
      </c>
    </row>
    <row r="108" customFormat="false" ht="27.75" hidden="false" customHeight="true" outlineLevel="0" collapsed="false">
      <c r="A108" s="7" t="n">
        <v>46258</v>
      </c>
      <c r="B108" s="8" t="s">
        <v>37</v>
      </c>
      <c r="C108" s="9" t="s">
        <v>38</v>
      </c>
      <c r="D108" s="9" t="s">
        <v>34</v>
      </c>
      <c r="E108" s="9" t="s">
        <v>26</v>
      </c>
      <c r="F108" s="7" t="n">
        <v>46261.3333333333</v>
      </c>
      <c r="G108" s="7" t="n">
        <v>46261.375</v>
      </c>
      <c r="H108" s="10" t="n">
        <f aca="false">ROUND((G108-F108)*24,2)</f>
        <v>1</v>
      </c>
      <c r="I108" s="9" t="s">
        <v>32</v>
      </c>
      <c r="J108" s="9" t="s">
        <v>39</v>
      </c>
      <c r="K108" s="9" t="s">
        <v>28</v>
      </c>
      <c r="L108" s="9" t="str">
        <f aca="false">IF(AND(F108&gt;=DATE(2026,8,27)+TIME(8,0,0),G108&lt;=DATE(2026,8,27)+TIME(9,0,0),ABS(H108-1)&lt;0.001,AND(F108&gt;=G107,F108-G107&lt;=TIME(0,30,0))),"COMPLIANT","EXCEPTION")</f>
        <v>COMPLIANT</v>
      </c>
    </row>
    <row r="109" customFormat="false" ht="27.75" hidden="false" customHeight="true" outlineLevel="0" collapsed="false">
      <c r="A109" s="3" t="n">
        <v>46258</v>
      </c>
      <c r="B109" s="4" t="s">
        <v>40</v>
      </c>
      <c r="C109" s="5" t="s">
        <v>41</v>
      </c>
      <c r="D109" s="5" t="s">
        <v>34</v>
      </c>
      <c r="E109" s="5" t="s">
        <v>26</v>
      </c>
      <c r="F109" s="3" t="n">
        <v>46261.375</v>
      </c>
      <c r="G109" s="3" t="n">
        <v>46261.4166666667</v>
      </c>
      <c r="H109" s="6" t="n">
        <f aca="false">ROUND((G109-F109)*24,2)</f>
        <v>1</v>
      </c>
      <c r="I109" s="5" t="s">
        <v>37</v>
      </c>
      <c r="J109" s="5" t="s">
        <v>41</v>
      </c>
      <c r="K109" s="5" t="s">
        <v>28</v>
      </c>
      <c r="L109" s="5" t="str">
        <f aca="false">IF(AND(F109&gt;=DATE(2026,8,27)+TIME(9,0,0),G109&lt;=DATE(2026,8,27)+TIME(10,0,0),ABS(H109-1)&lt;0.001,AND(F109&gt;=G108,F109-G108&lt;=TIME(0,30,0))),"COMPLIANT","EXCEPTION")</f>
        <v>COMPLIANT</v>
      </c>
    </row>
    <row r="110" customFormat="false" ht="27.75" hidden="false" customHeight="true" outlineLevel="0" collapsed="false">
      <c r="A110" s="7" t="n">
        <v>46258</v>
      </c>
      <c r="B110" s="8" t="s">
        <v>42</v>
      </c>
      <c r="C110" s="9" t="s">
        <v>43</v>
      </c>
      <c r="D110" s="9" t="s">
        <v>44</v>
      </c>
      <c r="E110" s="9" t="s">
        <v>20</v>
      </c>
      <c r="F110" s="7" t="n">
        <v>46259.2916666667</v>
      </c>
      <c r="G110" s="7" t="n">
        <v>46259.4166666667</v>
      </c>
      <c r="H110" s="10" t="n">
        <f aca="false">ROUND((G110-F110)*24,2)</f>
        <v>3</v>
      </c>
      <c r="I110" s="9"/>
      <c r="J110" s="9" t="s">
        <v>45</v>
      </c>
      <c r="K110" s="9" t="s">
        <v>28</v>
      </c>
      <c r="L110" s="9" t="str">
        <f aca="false">IF(AND(F110&gt;=DATE(2026,8,25)+TIME(7,0,0),G110&lt;=DATE(2026,8,25)+TIME(10,0,0),ABS(H110-3)&lt;0.001,TRUE()),"COMPLIANT","EXCEPTION")</f>
        <v>COMPLIANT</v>
      </c>
    </row>
    <row r="111" customFormat="false" ht="27.75" hidden="false" customHeight="true" outlineLevel="0" collapsed="false">
      <c r="A111" s="3" t="n">
        <v>46258</v>
      </c>
      <c r="B111" s="4" t="s">
        <v>46</v>
      </c>
      <c r="C111" s="5" t="s">
        <v>47</v>
      </c>
      <c r="D111" s="5" t="s">
        <v>44</v>
      </c>
      <c r="E111" s="5" t="s">
        <v>20</v>
      </c>
      <c r="F111" s="3" t="n">
        <v>46259.4166666667</v>
      </c>
      <c r="G111" s="3" t="n">
        <v>46259.4583333333</v>
      </c>
      <c r="H111" s="6" t="n">
        <f aca="false">ROUND((G111-F111)*24,2)</f>
        <v>1</v>
      </c>
      <c r="I111" s="5" t="s">
        <v>42</v>
      </c>
      <c r="J111" s="5" t="s">
        <v>48</v>
      </c>
      <c r="K111" s="5" t="s">
        <v>28</v>
      </c>
      <c r="L111" s="5" t="str">
        <f aca="false">IF(AND(F111&gt;=DATE(2026,8,25)+TIME(10,0,0),G111&lt;=DATE(2026,8,25)+TIME(11,0,0),ABS(H111-1)&lt;0.001,AND(F111&gt;=G110,F111-G110&lt;=TIME(0,30,0))),"COMPLIANT","EXCEPTION")</f>
        <v>COMPLIANT</v>
      </c>
    </row>
    <row r="112" customFormat="false" ht="27.75" hidden="false" customHeight="true" outlineLevel="0" collapsed="false">
      <c r="A112" s="7" t="n">
        <v>46258</v>
      </c>
      <c r="B112" s="8" t="s">
        <v>49</v>
      </c>
      <c r="C112" s="9" t="s">
        <v>50</v>
      </c>
      <c r="D112" s="9" t="s">
        <v>44</v>
      </c>
      <c r="E112" s="9" t="s">
        <v>20</v>
      </c>
      <c r="F112" s="7" t="n">
        <v>46259.4583333333</v>
      </c>
      <c r="G112" s="7" t="n">
        <v>46259.5</v>
      </c>
      <c r="H112" s="10" t="n">
        <f aca="false">ROUND((G112-F112)*24,2)</f>
        <v>1</v>
      </c>
      <c r="I112" s="9" t="s">
        <v>46</v>
      </c>
      <c r="J112" s="9" t="s">
        <v>50</v>
      </c>
      <c r="K112" s="9" t="s">
        <v>28</v>
      </c>
      <c r="L112" s="9" t="str">
        <f aca="false">IF(AND(F112&gt;=DATE(2026,8,25)+TIME(11,0,0),G112&lt;=DATE(2026,8,25)+TIME(12,0,0),ABS(H112-1)&lt;0.001,AND(F112&gt;=G111,F112-G111&lt;=TIME(0,30,0))),"COMPLIANT","EXCEPTION")</f>
        <v>COMPLIANT</v>
      </c>
    </row>
    <row r="113" customFormat="false" ht="27.75" hidden="false" customHeight="true" outlineLevel="0" collapsed="false">
      <c r="A113" s="3" t="n">
        <v>46258</v>
      </c>
      <c r="B113" s="4" t="s">
        <v>51</v>
      </c>
      <c r="C113" s="5" t="s">
        <v>52</v>
      </c>
      <c r="D113" s="5" t="s">
        <v>53</v>
      </c>
      <c r="E113" s="5" t="s">
        <v>35</v>
      </c>
      <c r="F113" s="3" t="n">
        <v>46260.2916666667</v>
      </c>
      <c r="G113" s="3" t="n">
        <v>46260.4166666667</v>
      </c>
      <c r="H113" s="6" t="n">
        <f aca="false">ROUND((G113-F113)*24,2)</f>
        <v>3</v>
      </c>
      <c r="I113" s="5"/>
      <c r="J113" s="5" t="s">
        <v>54</v>
      </c>
      <c r="K113" s="5" t="s">
        <v>18</v>
      </c>
      <c r="L113" s="5" t="str">
        <f aca="false">IF(AND(F113&gt;=DATE(2026,8,26)+TIME(7,0,0),G113&lt;=DATE(2026,8,26)+TIME(10,0,0),ABS(H113-3)&lt;0.001,TRUE()),"COMPLIANT","EXCEPTION")</f>
        <v>COMPLIANT</v>
      </c>
    </row>
    <row r="114" customFormat="false" ht="27.75" hidden="false" customHeight="true" outlineLevel="0" collapsed="false">
      <c r="A114" s="7" t="n">
        <v>46258</v>
      </c>
      <c r="B114" s="8" t="s">
        <v>55</v>
      </c>
      <c r="C114" s="9" t="s">
        <v>56</v>
      </c>
      <c r="D114" s="9" t="s">
        <v>53</v>
      </c>
      <c r="E114" s="9" t="s">
        <v>35</v>
      </c>
      <c r="F114" s="7" t="n">
        <v>46260.4166666667</v>
      </c>
      <c r="G114" s="7" t="n">
        <v>46260.5</v>
      </c>
      <c r="H114" s="10" t="n">
        <f aca="false">ROUND((G114-F114)*24,2)</f>
        <v>2</v>
      </c>
      <c r="I114" s="9" t="s">
        <v>51</v>
      </c>
      <c r="J114" s="9" t="s">
        <v>57</v>
      </c>
      <c r="K114" s="9" t="s">
        <v>18</v>
      </c>
      <c r="L114" s="9" t="str">
        <f aca="false">IF(AND(F114&gt;=DATE(2026,8,26)+TIME(10,0,0),G114&lt;=DATE(2026,8,26)+TIME(12,0,0),ABS(H114-2)&lt;0.001,AND(F114&gt;=G113,F114-G113&lt;=TIME(0,30,0))),"COMPLIANT","EXCEPTION")</f>
        <v>COMPLIANT</v>
      </c>
    </row>
    <row r="115" customFormat="false" ht="27.75" hidden="false" customHeight="true" outlineLevel="0" collapsed="false">
      <c r="A115" s="3" t="n">
        <v>46258</v>
      </c>
      <c r="B115" s="4" t="s">
        <v>58</v>
      </c>
      <c r="C115" s="5" t="s">
        <v>59</v>
      </c>
      <c r="D115" s="5" t="s">
        <v>53</v>
      </c>
      <c r="E115" s="5" t="s">
        <v>35</v>
      </c>
      <c r="F115" s="3" t="n">
        <v>46260.5</v>
      </c>
      <c r="G115" s="3" t="n">
        <v>46260.5416666667</v>
      </c>
      <c r="H115" s="6" t="n">
        <f aca="false">ROUND((G115-F115)*24,2)</f>
        <v>1</v>
      </c>
      <c r="I115" s="5" t="s">
        <v>55</v>
      </c>
      <c r="J115" s="5" t="s">
        <v>60</v>
      </c>
      <c r="K115" s="5" t="s">
        <v>18</v>
      </c>
      <c r="L115" s="5" t="str">
        <f aca="false">IF(AND(F115&gt;=DATE(2026,8,26)+TIME(12,0,0),G115&lt;=DATE(2026,8,26)+TIME(13,0,0),ABS(H115-1)&lt;0.001,AND(F115&gt;=G114,F115-G114&lt;=TIME(0,30,0))),"COMPLIANT","EXCEPTION")</f>
        <v>COMPLIANT</v>
      </c>
    </row>
    <row r="116" customFormat="false" ht="27.75" hidden="false" customHeight="true" outlineLevel="0" collapsed="false">
      <c r="A116" s="7" t="n">
        <v>46258</v>
      </c>
      <c r="B116" s="8" t="s">
        <v>61</v>
      </c>
      <c r="C116" s="9" t="s">
        <v>62</v>
      </c>
      <c r="D116" s="9" t="s">
        <v>63</v>
      </c>
      <c r="E116" s="9" t="s">
        <v>26</v>
      </c>
      <c r="F116" s="7" t="n">
        <v>46262.625</v>
      </c>
      <c r="G116" s="7" t="n">
        <v>46262.7083333333</v>
      </c>
      <c r="H116" s="10" t="n">
        <f aca="false">ROUND((G116-F116)*24,2)</f>
        <v>2</v>
      </c>
      <c r="I116" s="9"/>
      <c r="J116" s="9" t="s">
        <v>64</v>
      </c>
      <c r="K116" s="9" t="s">
        <v>28</v>
      </c>
      <c r="L116" s="9" t="str">
        <f aca="false">IF(AND(F116&gt;=DATE(2026,8,28)+TIME(15,0,0),G116&lt;=DATE(2026,8,28)+TIME(17,0,0),ABS(H116-2)&lt;0.001,TRUE()),"COMPLIANT","EXCEPTION")</f>
        <v>COMPLIANT</v>
      </c>
    </row>
    <row r="117" customFormat="false" ht="27.75" hidden="false" customHeight="true" outlineLevel="0" collapsed="false">
      <c r="A117" s="3" t="n">
        <v>46265</v>
      </c>
      <c r="B117" s="4" t="s">
        <v>15</v>
      </c>
      <c r="C117" s="5" t="s">
        <v>16</v>
      </c>
      <c r="D117" s="5" t="s">
        <v>17</v>
      </c>
      <c r="E117" s="5" t="s">
        <v>18</v>
      </c>
      <c r="F117" s="3" t="n">
        <v>46265.3333333333</v>
      </c>
      <c r="G117" s="3" t="n">
        <v>46265.4166666667</v>
      </c>
      <c r="H117" s="6" t="n">
        <f aca="false">ROUND((G117-F117)*24,2)</f>
        <v>2</v>
      </c>
      <c r="I117" s="5"/>
      <c r="J117" s="5" t="s">
        <v>19</v>
      </c>
      <c r="K117" s="5" t="s">
        <v>20</v>
      </c>
      <c r="L117" s="5" t="str">
        <f aca="false">IF(AND(F117&gt;=DATE(2026,8,31)+TIME(8,0,0),G117&lt;=DATE(2026,8,31)+TIME(10,0,0),ABS(H117-2)&lt;0.001,TRUE()),"COMPLIANT","EXCEPTION")</f>
        <v>COMPLIANT</v>
      </c>
    </row>
    <row r="118" customFormat="false" ht="27.75" hidden="false" customHeight="true" outlineLevel="0" collapsed="false">
      <c r="A118" s="7" t="n">
        <v>46265</v>
      </c>
      <c r="B118" s="8" t="s">
        <v>21</v>
      </c>
      <c r="C118" s="9" t="s">
        <v>22</v>
      </c>
      <c r="D118" s="9" t="s">
        <v>17</v>
      </c>
      <c r="E118" s="9" t="s">
        <v>18</v>
      </c>
      <c r="F118" s="7" t="n">
        <v>46265.4166666667</v>
      </c>
      <c r="G118" s="7" t="n">
        <v>46265.5416666667</v>
      </c>
      <c r="H118" s="10" t="n">
        <f aca="false">ROUND((G118-F118)*24,2)</f>
        <v>3</v>
      </c>
      <c r="I118" s="9" t="s">
        <v>15</v>
      </c>
      <c r="J118" s="9" t="s">
        <v>23</v>
      </c>
      <c r="K118" s="9" t="s">
        <v>20</v>
      </c>
      <c r="L118" s="9" t="str">
        <f aca="false">IF(AND(F118&gt;=DATE(2026,8,31)+TIME(10,0,0),G118&lt;=DATE(2026,8,31)+TIME(13,0,0),ABS(H118-3)&lt;0.001,AND(F118&gt;=G117,F118-G117&lt;=TIME(0,30,0))),"COMPLIANT","EXCEPTION")</f>
        <v>COMPLIANT</v>
      </c>
    </row>
    <row r="119" customFormat="false" ht="27.75" hidden="false" customHeight="true" outlineLevel="0" collapsed="false">
      <c r="A119" s="3" t="n">
        <v>46265</v>
      </c>
      <c r="B119" s="4" t="s">
        <v>24</v>
      </c>
      <c r="C119" s="5" t="s">
        <v>25</v>
      </c>
      <c r="D119" s="5" t="s">
        <v>17</v>
      </c>
      <c r="E119" s="5" t="s">
        <v>26</v>
      </c>
      <c r="F119" s="3" t="n">
        <v>46265.5416666667</v>
      </c>
      <c r="G119" s="3" t="n">
        <v>46265.5833333333</v>
      </c>
      <c r="H119" s="6" t="n">
        <f aca="false">ROUND((G119-F119)*24,2)</f>
        <v>1</v>
      </c>
      <c r="I119" s="5" t="s">
        <v>21</v>
      </c>
      <c r="J119" s="5" t="s">
        <v>27</v>
      </c>
      <c r="K119" s="5" t="s">
        <v>28</v>
      </c>
      <c r="L119" s="5" t="str">
        <f aca="false">IF(AND(F119&gt;=DATE(2026,8,31)+TIME(13,0,0),G119&lt;=DATE(2026,8,31)+TIME(14,0,0),ABS(H119-1)&lt;0.001,AND(F119&gt;=G118,F119-G118&lt;=TIME(0,30,0))),"COMPLIANT","EXCEPTION")</f>
        <v>COMPLIANT</v>
      </c>
    </row>
    <row r="120" customFormat="false" ht="27.75" hidden="false" customHeight="true" outlineLevel="0" collapsed="false">
      <c r="A120" s="7" t="n">
        <v>46265</v>
      </c>
      <c r="B120" s="8" t="s">
        <v>29</v>
      </c>
      <c r="C120" s="9" t="s">
        <v>30</v>
      </c>
      <c r="D120" s="9" t="s">
        <v>17</v>
      </c>
      <c r="E120" s="9" t="s">
        <v>18</v>
      </c>
      <c r="F120" s="7" t="n">
        <v>46265.5833333333</v>
      </c>
      <c r="G120" s="7" t="n">
        <v>46265.625</v>
      </c>
      <c r="H120" s="10" t="n">
        <f aca="false">ROUND((G120-F120)*24,2)</f>
        <v>1</v>
      </c>
      <c r="I120" s="9" t="s">
        <v>24</v>
      </c>
      <c r="J120" s="9" t="s">
        <v>31</v>
      </c>
      <c r="K120" s="9" t="s">
        <v>28</v>
      </c>
      <c r="L120" s="9" t="str">
        <f aca="false">IF(AND(F120&gt;=DATE(2026,8,31)+TIME(14,0,0),G120&lt;=DATE(2026,8,31)+TIME(15,0,0),ABS(H120-1)&lt;0.001,AND(F120&gt;=G119,F120-G119&lt;=TIME(0,30,0))),"COMPLIANT","EXCEPTION")</f>
        <v>COMPLIANT</v>
      </c>
    </row>
    <row r="121" customFormat="false" ht="27.75" hidden="false" customHeight="true" outlineLevel="0" collapsed="false">
      <c r="A121" s="3" t="n">
        <v>46265</v>
      </c>
      <c r="B121" s="4" t="s">
        <v>32</v>
      </c>
      <c r="C121" s="5" t="s">
        <v>33</v>
      </c>
      <c r="D121" s="5" t="s">
        <v>34</v>
      </c>
      <c r="E121" s="5" t="s">
        <v>35</v>
      </c>
      <c r="F121" s="3" t="n">
        <v>46268.25</v>
      </c>
      <c r="G121" s="3" t="n">
        <v>46268.3333333333</v>
      </c>
      <c r="H121" s="6" t="n">
        <f aca="false">ROUND((G121-F121)*24,2)</f>
        <v>2</v>
      </c>
      <c r="I121" s="5"/>
      <c r="J121" s="5" t="s">
        <v>36</v>
      </c>
      <c r="K121" s="5" t="s">
        <v>26</v>
      </c>
      <c r="L121" s="5" t="str">
        <f aca="false">IF(AND(F121&gt;=DATE(2026,9,3)+TIME(6,0,0),G121&lt;=DATE(2026,9,3)+TIME(8,0,0),ABS(H121-2)&lt;0.001,TRUE()),"COMPLIANT","EXCEPTION")</f>
        <v>COMPLIANT</v>
      </c>
    </row>
    <row r="122" customFormat="false" ht="27.75" hidden="false" customHeight="true" outlineLevel="0" collapsed="false">
      <c r="A122" s="7" t="n">
        <v>46265</v>
      </c>
      <c r="B122" s="8" t="s">
        <v>37</v>
      </c>
      <c r="C122" s="9" t="s">
        <v>38</v>
      </c>
      <c r="D122" s="9" t="s">
        <v>34</v>
      </c>
      <c r="E122" s="9" t="s">
        <v>26</v>
      </c>
      <c r="F122" s="7" t="n">
        <v>46268.3333333333</v>
      </c>
      <c r="G122" s="7" t="n">
        <v>46268.375</v>
      </c>
      <c r="H122" s="10" t="n">
        <f aca="false">ROUND((G122-F122)*24,2)</f>
        <v>1</v>
      </c>
      <c r="I122" s="9" t="s">
        <v>32</v>
      </c>
      <c r="J122" s="9" t="s">
        <v>39</v>
      </c>
      <c r="K122" s="9" t="s">
        <v>28</v>
      </c>
      <c r="L122" s="9" t="str">
        <f aca="false">IF(AND(F122&gt;=DATE(2026,9,3)+TIME(8,0,0),G122&lt;=DATE(2026,9,3)+TIME(9,0,0),ABS(H122-1)&lt;0.001,AND(F122&gt;=G121,F122-G121&lt;=TIME(0,30,0))),"COMPLIANT","EXCEPTION")</f>
        <v>COMPLIANT</v>
      </c>
    </row>
    <row r="123" customFormat="false" ht="27.75" hidden="false" customHeight="true" outlineLevel="0" collapsed="false">
      <c r="A123" s="3" t="n">
        <v>46265</v>
      </c>
      <c r="B123" s="4" t="s">
        <v>40</v>
      </c>
      <c r="C123" s="5" t="s">
        <v>41</v>
      </c>
      <c r="D123" s="5" t="s">
        <v>34</v>
      </c>
      <c r="E123" s="5" t="s">
        <v>26</v>
      </c>
      <c r="F123" s="3" t="n">
        <v>46268.375</v>
      </c>
      <c r="G123" s="3" t="n">
        <v>46268.4166666667</v>
      </c>
      <c r="H123" s="6" t="n">
        <f aca="false">ROUND((G123-F123)*24,2)</f>
        <v>1</v>
      </c>
      <c r="I123" s="5" t="s">
        <v>37</v>
      </c>
      <c r="J123" s="5" t="s">
        <v>41</v>
      </c>
      <c r="K123" s="5" t="s">
        <v>28</v>
      </c>
      <c r="L123" s="5" t="str">
        <f aca="false">IF(AND(F123&gt;=DATE(2026,9,3)+TIME(9,0,0),G123&lt;=DATE(2026,9,3)+TIME(10,0,0),ABS(H123-1)&lt;0.001,AND(F123&gt;=G122,F123-G122&lt;=TIME(0,30,0))),"COMPLIANT","EXCEPTION")</f>
        <v>COMPLIANT</v>
      </c>
    </row>
    <row r="124" customFormat="false" ht="27.75" hidden="false" customHeight="true" outlineLevel="0" collapsed="false">
      <c r="A124" s="7" t="n">
        <v>46265</v>
      </c>
      <c r="B124" s="8" t="s">
        <v>42</v>
      </c>
      <c r="C124" s="9" t="s">
        <v>43</v>
      </c>
      <c r="D124" s="9" t="s">
        <v>44</v>
      </c>
      <c r="E124" s="9" t="s">
        <v>20</v>
      </c>
      <c r="F124" s="7" t="n">
        <v>46266.2916666667</v>
      </c>
      <c r="G124" s="7" t="n">
        <v>46266.4166666667</v>
      </c>
      <c r="H124" s="10" t="n">
        <f aca="false">ROUND((G124-F124)*24,2)</f>
        <v>3</v>
      </c>
      <c r="I124" s="9"/>
      <c r="J124" s="9" t="s">
        <v>45</v>
      </c>
      <c r="K124" s="9" t="s">
        <v>28</v>
      </c>
      <c r="L124" s="9" t="str">
        <f aca="false">IF(AND(F124&gt;=DATE(2026,9,1)+TIME(7,0,0),G124&lt;=DATE(2026,9,1)+TIME(10,0,0),ABS(H124-3)&lt;0.001,TRUE()),"COMPLIANT","EXCEPTION")</f>
        <v>COMPLIANT</v>
      </c>
    </row>
    <row r="125" customFormat="false" ht="27.75" hidden="false" customHeight="true" outlineLevel="0" collapsed="false">
      <c r="A125" s="3" t="n">
        <v>46265</v>
      </c>
      <c r="B125" s="4" t="s">
        <v>46</v>
      </c>
      <c r="C125" s="5" t="s">
        <v>47</v>
      </c>
      <c r="D125" s="5" t="s">
        <v>44</v>
      </c>
      <c r="E125" s="5" t="s">
        <v>20</v>
      </c>
      <c r="F125" s="3" t="n">
        <v>46266.4166666667</v>
      </c>
      <c r="G125" s="3" t="n">
        <v>46266.4583333333</v>
      </c>
      <c r="H125" s="6" t="n">
        <f aca="false">ROUND((G125-F125)*24,2)</f>
        <v>1</v>
      </c>
      <c r="I125" s="5" t="s">
        <v>42</v>
      </c>
      <c r="J125" s="5" t="s">
        <v>48</v>
      </c>
      <c r="K125" s="5" t="s">
        <v>28</v>
      </c>
      <c r="L125" s="5" t="str">
        <f aca="false">IF(AND(F125&gt;=DATE(2026,9,1)+TIME(10,0,0),G125&lt;=DATE(2026,9,1)+TIME(11,0,0),ABS(H125-1)&lt;0.001,AND(F125&gt;=G124,F125-G124&lt;=TIME(0,30,0))),"COMPLIANT","EXCEPTION")</f>
        <v>COMPLIANT</v>
      </c>
    </row>
    <row r="126" customFormat="false" ht="27.75" hidden="false" customHeight="true" outlineLevel="0" collapsed="false">
      <c r="A126" s="7" t="n">
        <v>46265</v>
      </c>
      <c r="B126" s="8" t="s">
        <v>49</v>
      </c>
      <c r="C126" s="9" t="s">
        <v>50</v>
      </c>
      <c r="D126" s="9" t="s">
        <v>44</v>
      </c>
      <c r="E126" s="9" t="s">
        <v>20</v>
      </c>
      <c r="F126" s="7" t="n">
        <v>46266.4583333333</v>
      </c>
      <c r="G126" s="7" t="n">
        <v>46266.5</v>
      </c>
      <c r="H126" s="10" t="n">
        <f aca="false">ROUND((G126-F126)*24,2)</f>
        <v>1</v>
      </c>
      <c r="I126" s="9" t="s">
        <v>46</v>
      </c>
      <c r="J126" s="9" t="s">
        <v>50</v>
      </c>
      <c r="K126" s="9" t="s">
        <v>28</v>
      </c>
      <c r="L126" s="9" t="str">
        <f aca="false">IF(AND(F126&gt;=DATE(2026,9,1)+TIME(11,0,0),G126&lt;=DATE(2026,9,1)+TIME(12,0,0),ABS(H126-1)&lt;0.001,AND(F126&gt;=G125,F126-G125&lt;=TIME(0,30,0))),"COMPLIANT","EXCEPTION")</f>
        <v>COMPLIANT</v>
      </c>
    </row>
    <row r="127" customFormat="false" ht="27.75" hidden="false" customHeight="true" outlineLevel="0" collapsed="false">
      <c r="A127" s="3" t="n">
        <v>46265</v>
      </c>
      <c r="B127" s="4" t="s">
        <v>51</v>
      </c>
      <c r="C127" s="5" t="s">
        <v>52</v>
      </c>
      <c r="D127" s="5" t="s">
        <v>53</v>
      </c>
      <c r="E127" s="5" t="s">
        <v>35</v>
      </c>
      <c r="F127" s="3" t="n">
        <v>46267.2916666667</v>
      </c>
      <c r="G127" s="3" t="n">
        <v>46267.4166666667</v>
      </c>
      <c r="H127" s="6" t="n">
        <f aca="false">ROUND((G127-F127)*24,2)</f>
        <v>3</v>
      </c>
      <c r="I127" s="5"/>
      <c r="J127" s="5" t="s">
        <v>54</v>
      </c>
      <c r="K127" s="5" t="s">
        <v>18</v>
      </c>
      <c r="L127" s="5" t="str">
        <f aca="false">IF(AND(F127&gt;=DATE(2026,9,2)+TIME(7,0,0),G127&lt;=DATE(2026,9,2)+TIME(10,0,0),ABS(H127-3)&lt;0.001,TRUE()),"COMPLIANT","EXCEPTION")</f>
        <v>COMPLIANT</v>
      </c>
    </row>
    <row r="128" customFormat="false" ht="27.75" hidden="false" customHeight="true" outlineLevel="0" collapsed="false">
      <c r="A128" s="7" t="n">
        <v>46265</v>
      </c>
      <c r="B128" s="8" t="s">
        <v>55</v>
      </c>
      <c r="C128" s="9" t="s">
        <v>56</v>
      </c>
      <c r="D128" s="9" t="s">
        <v>53</v>
      </c>
      <c r="E128" s="9" t="s">
        <v>35</v>
      </c>
      <c r="F128" s="7" t="n">
        <v>46267.4166666667</v>
      </c>
      <c r="G128" s="7" t="n">
        <v>46267.5</v>
      </c>
      <c r="H128" s="10" t="n">
        <f aca="false">ROUND((G128-F128)*24,2)</f>
        <v>2</v>
      </c>
      <c r="I128" s="9" t="s">
        <v>51</v>
      </c>
      <c r="J128" s="9" t="s">
        <v>57</v>
      </c>
      <c r="K128" s="9" t="s">
        <v>18</v>
      </c>
      <c r="L128" s="9" t="str">
        <f aca="false">IF(AND(F128&gt;=DATE(2026,9,2)+TIME(10,0,0),G128&lt;=DATE(2026,9,2)+TIME(12,0,0),ABS(H128-2)&lt;0.001,AND(F128&gt;=G127,F128-G127&lt;=TIME(0,30,0))),"COMPLIANT","EXCEPTION")</f>
        <v>COMPLIANT</v>
      </c>
    </row>
    <row r="129" customFormat="false" ht="27.75" hidden="false" customHeight="true" outlineLevel="0" collapsed="false">
      <c r="A129" s="3" t="n">
        <v>46265</v>
      </c>
      <c r="B129" s="4" t="s">
        <v>58</v>
      </c>
      <c r="C129" s="5" t="s">
        <v>59</v>
      </c>
      <c r="D129" s="5" t="s">
        <v>53</v>
      </c>
      <c r="E129" s="5" t="s">
        <v>35</v>
      </c>
      <c r="F129" s="3" t="n">
        <v>46267.5</v>
      </c>
      <c r="G129" s="3" t="n">
        <v>46267.5416666667</v>
      </c>
      <c r="H129" s="6" t="n">
        <f aca="false">ROUND((G129-F129)*24,2)</f>
        <v>1</v>
      </c>
      <c r="I129" s="5" t="s">
        <v>55</v>
      </c>
      <c r="J129" s="5" t="s">
        <v>60</v>
      </c>
      <c r="K129" s="5" t="s">
        <v>18</v>
      </c>
      <c r="L129" s="5" t="str">
        <f aca="false">IF(AND(F129&gt;=DATE(2026,9,2)+TIME(12,0,0),G129&lt;=DATE(2026,9,2)+TIME(13,0,0),ABS(H129-1)&lt;0.001,AND(F129&gt;=G128,F129-G128&lt;=TIME(0,30,0))),"COMPLIANT","EXCEPTION")</f>
        <v>COMPLIANT</v>
      </c>
    </row>
    <row r="130" customFormat="false" ht="27.75" hidden="false" customHeight="true" outlineLevel="0" collapsed="false">
      <c r="A130" s="7" t="n">
        <v>46265</v>
      </c>
      <c r="B130" s="8" t="s">
        <v>61</v>
      </c>
      <c r="C130" s="9" t="s">
        <v>62</v>
      </c>
      <c r="D130" s="9" t="s">
        <v>63</v>
      </c>
      <c r="E130" s="9" t="s">
        <v>26</v>
      </c>
      <c r="F130" s="7" t="n">
        <v>46269.625</v>
      </c>
      <c r="G130" s="7" t="n">
        <v>46269.7083333333</v>
      </c>
      <c r="H130" s="10" t="n">
        <f aca="false">ROUND((G130-F130)*24,2)</f>
        <v>2</v>
      </c>
      <c r="I130" s="9"/>
      <c r="J130" s="9" t="s">
        <v>64</v>
      </c>
      <c r="K130" s="9" t="s">
        <v>28</v>
      </c>
      <c r="L130" s="9" t="str">
        <f aca="false">IF(AND(F130&gt;=DATE(2026,9,4)+TIME(15,0,0),G130&lt;=DATE(2026,9,4)+TIME(17,0,0),ABS(H130-2)&lt;0.001,TRUE()),"COMPLIANT","EXCEPTION")</f>
        <v>COMPLIANT</v>
      </c>
    </row>
    <row r="131" customFormat="false" ht="27.75" hidden="false" customHeight="true" outlineLevel="0" collapsed="false">
      <c r="A131" s="3" t="n">
        <v>46272</v>
      </c>
      <c r="B131" s="4" t="s">
        <v>15</v>
      </c>
      <c r="C131" s="5" t="s">
        <v>16</v>
      </c>
      <c r="D131" s="5" t="s">
        <v>17</v>
      </c>
      <c r="E131" s="5" t="s">
        <v>18</v>
      </c>
      <c r="F131" s="3" t="n">
        <v>46273.5</v>
      </c>
      <c r="G131" s="3" t="n">
        <v>46273.5833333333</v>
      </c>
      <c r="H131" s="6" t="n">
        <f aca="false">ROUND((G131-F131)*24,2)</f>
        <v>2</v>
      </c>
      <c r="I131" s="5"/>
      <c r="J131" s="5" t="s">
        <v>19</v>
      </c>
      <c r="K131" s="5" t="s">
        <v>20</v>
      </c>
      <c r="L131" s="5" t="str">
        <f aca="false">IF(AND(F131&gt;=DATE(2026,9,8)+TIME(12,0,0),G131&lt;=DATE(2026,9,8)+TIME(14,0,0),ABS(H131-2)&lt;0.001,TRUE()),"COMPLIANT","EXCEPTION")</f>
        <v>COMPLIANT</v>
      </c>
    </row>
    <row r="132" customFormat="false" ht="27.75" hidden="false" customHeight="true" outlineLevel="0" collapsed="false">
      <c r="A132" s="7" t="n">
        <v>46272</v>
      </c>
      <c r="B132" s="8" t="s">
        <v>21</v>
      </c>
      <c r="C132" s="9" t="s">
        <v>22</v>
      </c>
      <c r="D132" s="9" t="s">
        <v>17</v>
      </c>
      <c r="E132" s="9" t="s">
        <v>18</v>
      </c>
      <c r="F132" s="7" t="n">
        <v>46273.5833333333</v>
      </c>
      <c r="G132" s="7" t="n">
        <v>46273.7083333333</v>
      </c>
      <c r="H132" s="10" t="n">
        <f aca="false">ROUND((G132-F132)*24,2)</f>
        <v>3</v>
      </c>
      <c r="I132" s="9" t="s">
        <v>15</v>
      </c>
      <c r="J132" s="9" t="s">
        <v>23</v>
      </c>
      <c r="K132" s="9" t="s">
        <v>20</v>
      </c>
      <c r="L132" s="9" t="str">
        <f aca="false">IF(AND(F132&gt;=DATE(2026,9,8)+TIME(14,0,0),G132&lt;=DATE(2026,9,8)+TIME(17,0,0),ABS(H132-3)&lt;0.001,AND(F132&gt;=G131,F132-G131&lt;=TIME(0,30,0))),"COMPLIANT","EXCEPTION")</f>
        <v>COMPLIANT</v>
      </c>
    </row>
    <row r="133" customFormat="false" ht="27.75" hidden="false" customHeight="true" outlineLevel="0" collapsed="false">
      <c r="A133" s="3" t="n">
        <v>46272</v>
      </c>
      <c r="B133" s="4" t="s">
        <v>24</v>
      </c>
      <c r="C133" s="5" t="s">
        <v>25</v>
      </c>
      <c r="D133" s="5" t="s">
        <v>17</v>
      </c>
      <c r="E133" s="5" t="s">
        <v>26</v>
      </c>
      <c r="F133" s="3" t="n">
        <v>46273.7083333333</v>
      </c>
      <c r="G133" s="3" t="n">
        <v>46273.75</v>
      </c>
      <c r="H133" s="6" t="n">
        <f aca="false">ROUND((G133-F133)*24,2)</f>
        <v>1</v>
      </c>
      <c r="I133" s="5" t="s">
        <v>21</v>
      </c>
      <c r="J133" s="5" t="s">
        <v>27</v>
      </c>
      <c r="K133" s="5" t="s">
        <v>28</v>
      </c>
      <c r="L133" s="5" t="str">
        <f aca="false">IF(AND(F133&gt;=DATE(2026,9,8)+TIME(17,0,0),G133&lt;=DATE(2026,9,8)+TIME(18,0,0),ABS(H133-1)&lt;0.001,AND(F133&gt;=G132,F133-G132&lt;=TIME(0,30,0))),"COMPLIANT","EXCEPTION")</f>
        <v>COMPLIANT</v>
      </c>
    </row>
    <row r="134" customFormat="false" ht="27.75" hidden="false" customHeight="true" outlineLevel="0" collapsed="false">
      <c r="A134" s="7" t="n">
        <v>46272</v>
      </c>
      <c r="B134" s="8" t="s">
        <v>29</v>
      </c>
      <c r="C134" s="9" t="s">
        <v>30</v>
      </c>
      <c r="D134" s="9" t="s">
        <v>17</v>
      </c>
      <c r="E134" s="9" t="s">
        <v>18</v>
      </c>
      <c r="F134" s="7" t="n">
        <v>46273.75</v>
      </c>
      <c r="G134" s="7" t="n">
        <v>46273.7916666667</v>
      </c>
      <c r="H134" s="10" t="n">
        <f aca="false">ROUND((G134-F134)*24,2)</f>
        <v>1</v>
      </c>
      <c r="I134" s="9" t="s">
        <v>24</v>
      </c>
      <c r="J134" s="9" t="s">
        <v>31</v>
      </c>
      <c r="K134" s="9" t="s">
        <v>28</v>
      </c>
      <c r="L134" s="9" t="str">
        <f aca="false">IF(AND(F134&gt;=DATE(2026,9,8)+TIME(18,0,0),G134&lt;=DATE(2026,9,8)+TIME(19,0,0),ABS(H134-1)&lt;0.001,AND(F134&gt;=G133,F134-G133&lt;=TIME(0,30,0))),"COMPLIANT","EXCEPTION")</f>
        <v>COMPLIANT</v>
      </c>
    </row>
    <row r="135" customFormat="false" ht="27.75" hidden="false" customHeight="true" outlineLevel="0" collapsed="false">
      <c r="A135" s="3" t="n">
        <v>46272</v>
      </c>
      <c r="B135" s="4" t="s">
        <v>32</v>
      </c>
      <c r="C135" s="5" t="s">
        <v>33</v>
      </c>
      <c r="D135" s="5" t="s">
        <v>34</v>
      </c>
      <c r="E135" s="5" t="s">
        <v>35</v>
      </c>
      <c r="F135" s="3" t="n">
        <v>46276.25</v>
      </c>
      <c r="G135" s="3" t="n">
        <v>46276.3333333333</v>
      </c>
      <c r="H135" s="6" t="n">
        <f aca="false">ROUND((G135-F135)*24,2)</f>
        <v>2</v>
      </c>
      <c r="I135" s="5"/>
      <c r="J135" s="5" t="s">
        <v>36</v>
      </c>
      <c r="K135" s="5" t="s">
        <v>26</v>
      </c>
      <c r="L135" s="5" t="str">
        <f aca="false">IF(AND(F135&gt;=DATE(2026,9,11)+TIME(6,0,0),G135&lt;=DATE(2026,9,11)+TIME(8,0,0),ABS(H135-2)&lt;0.001,TRUE()),"COMPLIANT","EXCEPTION")</f>
        <v>COMPLIANT</v>
      </c>
    </row>
    <row r="136" customFormat="false" ht="27.75" hidden="false" customHeight="true" outlineLevel="0" collapsed="false">
      <c r="A136" s="7" t="n">
        <v>46272</v>
      </c>
      <c r="B136" s="8" t="s">
        <v>37</v>
      </c>
      <c r="C136" s="9" t="s">
        <v>38</v>
      </c>
      <c r="D136" s="9" t="s">
        <v>34</v>
      </c>
      <c r="E136" s="9" t="s">
        <v>26</v>
      </c>
      <c r="F136" s="7" t="n">
        <v>46276.3333333333</v>
      </c>
      <c r="G136" s="7" t="n">
        <v>46276.375</v>
      </c>
      <c r="H136" s="10" t="n">
        <f aca="false">ROUND((G136-F136)*24,2)</f>
        <v>1</v>
      </c>
      <c r="I136" s="9" t="s">
        <v>32</v>
      </c>
      <c r="J136" s="9" t="s">
        <v>39</v>
      </c>
      <c r="K136" s="9" t="s">
        <v>28</v>
      </c>
      <c r="L136" s="9" t="str">
        <f aca="false">IF(AND(F136&gt;=DATE(2026,9,11)+TIME(8,0,0),G136&lt;=DATE(2026,9,11)+TIME(9,0,0),ABS(H136-1)&lt;0.001,AND(F136&gt;=G135,F136-G135&lt;=TIME(0,30,0))),"COMPLIANT","EXCEPTION")</f>
        <v>COMPLIANT</v>
      </c>
    </row>
    <row r="137" customFormat="false" ht="27.75" hidden="false" customHeight="true" outlineLevel="0" collapsed="false">
      <c r="A137" s="3" t="n">
        <v>46272</v>
      </c>
      <c r="B137" s="4" t="s">
        <v>40</v>
      </c>
      <c r="C137" s="5" t="s">
        <v>41</v>
      </c>
      <c r="D137" s="5" t="s">
        <v>34</v>
      </c>
      <c r="E137" s="5" t="s">
        <v>26</v>
      </c>
      <c r="F137" s="3" t="n">
        <v>46276.375</v>
      </c>
      <c r="G137" s="3" t="n">
        <v>46276.4166666667</v>
      </c>
      <c r="H137" s="6" t="n">
        <f aca="false">ROUND((G137-F137)*24,2)</f>
        <v>1</v>
      </c>
      <c r="I137" s="5" t="s">
        <v>37</v>
      </c>
      <c r="J137" s="5" t="s">
        <v>41</v>
      </c>
      <c r="K137" s="5" t="s">
        <v>28</v>
      </c>
      <c r="L137" s="5" t="str">
        <f aca="false">IF(AND(F137&gt;=DATE(2026,9,11)+TIME(9,0,0),G137&lt;=DATE(2026,9,11)+TIME(10,0,0),ABS(H137-1)&lt;0.001,AND(F137&gt;=G136,F137-G136&lt;=TIME(0,30,0))),"COMPLIANT","EXCEPTION")</f>
        <v>COMPLIANT</v>
      </c>
    </row>
    <row r="138" customFormat="false" ht="27.75" hidden="false" customHeight="true" outlineLevel="0" collapsed="false">
      <c r="A138" s="7" t="n">
        <v>46272</v>
      </c>
      <c r="B138" s="8" t="s">
        <v>42</v>
      </c>
      <c r="C138" s="9" t="s">
        <v>43</v>
      </c>
      <c r="D138" s="9" t="s">
        <v>44</v>
      </c>
      <c r="E138" s="9" t="s">
        <v>20</v>
      </c>
      <c r="F138" s="7" t="n">
        <v>46274.5625</v>
      </c>
      <c r="G138" s="7" t="n">
        <v>46274.6875</v>
      </c>
      <c r="H138" s="10" t="n">
        <f aca="false">ROUND((G138-F138)*24,2)</f>
        <v>3</v>
      </c>
      <c r="I138" s="9"/>
      <c r="J138" s="9" t="s">
        <v>45</v>
      </c>
      <c r="K138" s="9" t="s">
        <v>28</v>
      </c>
      <c r="L138" s="9" t="str">
        <f aca="false">IF(AND(F138&gt;=DATE(2026,9,9)+TIME(13,30,0),G138&lt;=DATE(2026,9,9)+TIME(16,30,0),ABS(H138-3)&lt;0.001,TRUE()),"COMPLIANT","EXCEPTION")</f>
        <v>COMPLIANT</v>
      </c>
    </row>
    <row r="139" customFormat="false" ht="27.75" hidden="false" customHeight="true" outlineLevel="0" collapsed="false">
      <c r="A139" s="3" t="n">
        <v>46272</v>
      </c>
      <c r="B139" s="4" t="s">
        <v>46</v>
      </c>
      <c r="C139" s="5" t="s">
        <v>47</v>
      </c>
      <c r="D139" s="5" t="s">
        <v>44</v>
      </c>
      <c r="E139" s="5" t="s">
        <v>20</v>
      </c>
      <c r="F139" s="3" t="n">
        <v>46274.6875</v>
      </c>
      <c r="G139" s="3" t="n">
        <v>46274.7291666667</v>
      </c>
      <c r="H139" s="6" t="n">
        <f aca="false">ROUND((G139-F139)*24,2)</f>
        <v>1</v>
      </c>
      <c r="I139" s="5" t="s">
        <v>42</v>
      </c>
      <c r="J139" s="5" t="s">
        <v>48</v>
      </c>
      <c r="K139" s="5" t="s">
        <v>28</v>
      </c>
      <c r="L139" s="5" t="str">
        <f aca="false">IF(AND(F139&gt;=DATE(2026,9,9)+TIME(16,30,0),G139&lt;=DATE(2026,9,9)+TIME(17,30,0),ABS(H139-1)&lt;0.001,AND(F139&gt;=G138,F139-G138&lt;=TIME(0,30,0))),"COMPLIANT","EXCEPTION")</f>
        <v>COMPLIANT</v>
      </c>
    </row>
    <row r="140" customFormat="false" ht="27.75" hidden="false" customHeight="true" outlineLevel="0" collapsed="false">
      <c r="A140" s="7" t="n">
        <v>46272</v>
      </c>
      <c r="B140" s="8" t="s">
        <v>49</v>
      </c>
      <c r="C140" s="9" t="s">
        <v>50</v>
      </c>
      <c r="D140" s="9" t="s">
        <v>44</v>
      </c>
      <c r="E140" s="9" t="s">
        <v>20</v>
      </c>
      <c r="F140" s="7" t="n">
        <v>46274.7291666667</v>
      </c>
      <c r="G140" s="7" t="n">
        <v>46274.7708333333</v>
      </c>
      <c r="H140" s="10" t="n">
        <f aca="false">ROUND((G140-F140)*24,2)</f>
        <v>1</v>
      </c>
      <c r="I140" s="9" t="s">
        <v>46</v>
      </c>
      <c r="J140" s="9" t="s">
        <v>50</v>
      </c>
      <c r="K140" s="9" t="s">
        <v>28</v>
      </c>
      <c r="L140" s="9" t="str">
        <f aca="false">IF(AND(F140&gt;=DATE(2026,9,9)+TIME(17,30,0),G140&lt;=DATE(2026,9,9)+TIME(18,30,0),ABS(H140-1)&lt;0.001,AND(F140&gt;=G139,F140-G139&lt;=TIME(0,30,0))),"COMPLIANT","EXCEPTION")</f>
        <v>COMPLIANT</v>
      </c>
    </row>
    <row r="141" customFormat="false" ht="27.75" hidden="false" customHeight="true" outlineLevel="0" collapsed="false">
      <c r="A141" s="3" t="n">
        <v>46272</v>
      </c>
      <c r="B141" s="4" t="s">
        <v>51</v>
      </c>
      <c r="C141" s="5" t="s">
        <v>52</v>
      </c>
      <c r="D141" s="5" t="s">
        <v>53</v>
      </c>
      <c r="E141" s="5" t="s">
        <v>35</v>
      </c>
      <c r="F141" s="3" t="n">
        <v>46275.4375</v>
      </c>
      <c r="G141" s="3" t="n">
        <v>46275.5625</v>
      </c>
      <c r="H141" s="6" t="n">
        <f aca="false">ROUND((G141-F141)*24,2)</f>
        <v>3</v>
      </c>
      <c r="I141" s="5"/>
      <c r="J141" s="5" t="s">
        <v>54</v>
      </c>
      <c r="K141" s="5" t="s">
        <v>18</v>
      </c>
      <c r="L141" s="5" t="str">
        <f aca="false">IF(AND(F141&gt;=DATE(2026,9,10)+TIME(10,30,0),G141&lt;=DATE(2026,9,10)+TIME(13,30,0),ABS(H141-3)&lt;0.001,TRUE()),"COMPLIANT","EXCEPTION")</f>
        <v>COMPLIANT</v>
      </c>
    </row>
    <row r="142" customFormat="false" ht="27.75" hidden="false" customHeight="true" outlineLevel="0" collapsed="false">
      <c r="A142" s="7" t="n">
        <v>46272</v>
      </c>
      <c r="B142" s="8" t="s">
        <v>55</v>
      </c>
      <c r="C142" s="9" t="s">
        <v>56</v>
      </c>
      <c r="D142" s="9" t="s">
        <v>53</v>
      </c>
      <c r="E142" s="9" t="s">
        <v>35</v>
      </c>
      <c r="F142" s="7" t="n">
        <v>46275.5625</v>
      </c>
      <c r="G142" s="7" t="n">
        <v>46275.6458333333</v>
      </c>
      <c r="H142" s="10" t="n">
        <f aca="false">ROUND((G142-F142)*24,2)</f>
        <v>2</v>
      </c>
      <c r="I142" s="9" t="s">
        <v>51</v>
      </c>
      <c r="J142" s="9" t="s">
        <v>57</v>
      </c>
      <c r="K142" s="9" t="s">
        <v>18</v>
      </c>
      <c r="L142" s="9" t="str">
        <f aca="false">IF(AND(F142&gt;=DATE(2026,9,10)+TIME(13,30,0),G142&lt;=DATE(2026,9,10)+TIME(15,30,0),ABS(H142-2)&lt;0.001,AND(F142&gt;=G141,F142-G141&lt;=TIME(0,30,0))),"COMPLIANT","EXCEPTION")</f>
        <v>COMPLIANT</v>
      </c>
    </row>
    <row r="143" customFormat="false" ht="27.75" hidden="false" customHeight="true" outlineLevel="0" collapsed="false">
      <c r="A143" s="3" t="n">
        <v>46272</v>
      </c>
      <c r="B143" s="4" t="s">
        <v>58</v>
      </c>
      <c r="C143" s="5" t="s">
        <v>59</v>
      </c>
      <c r="D143" s="5" t="s">
        <v>53</v>
      </c>
      <c r="E143" s="5" t="s">
        <v>35</v>
      </c>
      <c r="F143" s="3" t="n">
        <v>46275.6458333333</v>
      </c>
      <c r="G143" s="3" t="n">
        <v>46275.6875</v>
      </c>
      <c r="H143" s="6" t="n">
        <f aca="false">ROUND((G143-F143)*24,2)</f>
        <v>1</v>
      </c>
      <c r="I143" s="5" t="s">
        <v>55</v>
      </c>
      <c r="J143" s="5" t="s">
        <v>60</v>
      </c>
      <c r="K143" s="5" t="s">
        <v>18</v>
      </c>
      <c r="L143" s="5" t="str">
        <f aca="false">IF(AND(F143&gt;=DATE(2026,9,10)+TIME(15,30,0),G143&lt;=DATE(2026,9,10)+TIME(16,30,0),ABS(H143-1)&lt;0.001,AND(F143&gt;=G142,F143-G142&lt;=TIME(0,30,0))),"COMPLIANT","EXCEPTION")</f>
        <v>COMPLIANT</v>
      </c>
    </row>
    <row r="144" customFormat="false" ht="27.75" hidden="false" customHeight="true" outlineLevel="0" collapsed="false">
      <c r="A144" s="7" t="n">
        <v>46272</v>
      </c>
      <c r="B144" s="8" t="s">
        <v>61</v>
      </c>
      <c r="C144" s="9" t="s">
        <v>62</v>
      </c>
      <c r="D144" s="9" t="s">
        <v>63</v>
      </c>
      <c r="E144" s="9" t="s">
        <v>26</v>
      </c>
      <c r="F144" s="7" t="n">
        <v>46276.7291666667</v>
      </c>
      <c r="G144" s="7" t="n">
        <v>46276.8125</v>
      </c>
      <c r="H144" s="10" t="n">
        <f aca="false">ROUND((G144-F144)*24,2)</f>
        <v>2</v>
      </c>
      <c r="I144" s="9"/>
      <c r="J144" s="9" t="s">
        <v>64</v>
      </c>
      <c r="K144" s="9" t="s">
        <v>28</v>
      </c>
      <c r="L144" s="9" t="str">
        <f aca="false">IF(AND(F144&gt;=DATE(2026,9,11)+TIME(17,30,0),G144&lt;=DATE(2026,9,11)+TIME(19,30,0),ABS(H144-2)&lt;0.001,TRUE()),"COMPLIANT","EXCEPTION")</f>
        <v>COMPLIANT</v>
      </c>
    </row>
    <row r="145" customFormat="false" ht="27.75" hidden="false" customHeight="true" outlineLevel="0" collapsed="false">
      <c r="A145" s="3" t="n">
        <v>46279</v>
      </c>
      <c r="B145" s="4" t="s">
        <v>15</v>
      </c>
      <c r="C145" s="5" t="s">
        <v>16</v>
      </c>
      <c r="D145" s="5" t="s">
        <v>17</v>
      </c>
      <c r="E145" s="5" t="s">
        <v>18</v>
      </c>
      <c r="F145" s="3" t="n">
        <v>46279.3333333333</v>
      </c>
      <c r="G145" s="3" t="n">
        <v>46279.4166666667</v>
      </c>
      <c r="H145" s="6" t="n">
        <f aca="false">ROUND((G145-F145)*24,2)</f>
        <v>2</v>
      </c>
      <c r="I145" s="5"/>
      <c r="J145" s="5" t="s">
        <v>19</v>
      </c>
      <c r="K145" s="5" t="s">
        <v>20</v>
      </c>
      <c r="L145" s="5" t="str">
        <f aca="false">IF(AND(F145&gt;=DATE(2026,9,14)+TIME(8,0,0),G145&lt;=DATE(2026,9,14)+TIME(10,0,0),ABS(H145-2)&lt;0.001,TRUE()),"COMPLIANT","EXCEPTION")</f>
        <v>COMPLIANT</v>
      </c>
    </row>
    <row r="146" customFormat="false" ht="27.75" hidden="false" customHeight="true" outlineLevel="0" collapsed="false">
      <c r="A146" s="7" t="n">
        <v>46279</v>
      </c>
      <c r="B146" s="8" t="s">
        <v>21</v>
      </c>
      <c r="C146" s="9" t="s">
        <v>22</v>
      </c>
      <c r="D146" s="9" t="s">
        <v>17</v>
      </c>
      <c r="E146" s="9" t="s">
        <v>18</v>
      </c>
      <c r="F146" s="7" t="n">
        <v>46279.4166666667</v>
      </c>
      <c r="G146" s="7" t="n">
        <v>46279.5416666667</v>
      </c>
      <c r="H146" s="10" t="n">
        <f aca="false">ROUND((G146-F146)*24,2)</f>
        <v>3</v>
      </c>
      <c r="I146" s="9" t="s">
        <v>15</v>
      </c>
      <c r="J146" s="9" t="s">
        <v>23</v>
      </c>
      <c r="K146" s="9" t="s">
        <v>20</v>
      </c>
      <c r="L146" s="9" t="str">
        <f aca="false">IF(AND(F146&gt;=DATE(2026,9,14)+TIME(10,0,0),G146&lt;=DATE(2026,9,14)+TIME(13,0,0),ABS(H146-3)&lt;0.001,AND(F146&gt;=G145,F146-G145&lt;=TIME(0,30,0))),"COMPLIANT","EXCEPTION")</f>
        <v>COMPLIANT</v>
      </c>
    </row>
    <row r="147" customFormat="false" ht="27.75" hidden="false" customHeight="true" outlineLevel="0" collapsed="false">
      <c r="A147" s="3" t="n">
        <v>46279</v>
      </c>
      <c r="B147" s="4" t="s">
        <v>24</v>
      </c>
      <c r="C147" s="5" t="s">
        <v>25</v>
      </c>
      <c r="D147" s="5" t="s">
        <v>17</v>
      </c>
      <c r="E147" s="5" t="s">
        <v>26</v>
      </c>
      <c r="F147" s="3" t="n">
        <v>46279.5416666667</v>
      </c>
      <c r="G147" s="3" t="n">
        <v>46279.5833333333</v>
      </c>
      <c r="H147" s="6" t="n">
        <f aca="false">ROUND((G147-F147)*24,2)</f>
        <v>1</v>
      </c>
      <c r="I147" s="5" t="s">
        <v>21</v>
      </c>
      <c r="J147" s="5" t="s">
        <v>27</v>
      </c>
      <c r="K147" s="5" t="s">
        <v>28</v>
      </c>
      <c r="L147" s="5" t="str">
        <f aca="false">IF(AND(F147&gt;=DATE(2026,9,14)+TIME(13,0,0),G147&lt;=DATE(2026,9,14)+TIME(14,0,0),ABS(H147-1)&lt;0.001,AND(F147&gt;=G146,F147-G146&lt;=TIME(0,30,0))),"COMPLIANT","EXCEPTION")</f>
        <v>COMPLIANT</v>
      </c>
    </row>
    <row r="148" customFormat="false" ht="27.75" hidden="false" customHeight="true" outlineLevel="0" collapsed="false">
      <c r="A148" s="7" t="n">
        <v>46279</v>
      </c>
      <c r="B148" s="8" t="s">
        <v>29</v>
      </c>
      <c r="C148" s="9" t="s">
        <v>30</v>
      </c>
      <c r="D148" s="9" t="s">
        <v>17</v>
      </c>
      <c r="E148" s="9" t="s">
        <v>18</v>
      </c>
      <c r="F148" s="7" t="n">
        <v>46279.5833333333</v>
      </c>
      <c r="G148" s="7" t="n">
        <v>46279.625</v>
      </c>
      <c r="H148" s="10" t="n">
        <f aca="false">ROUND((G148-F148)*24,2)</f>
        <v>1</v>
      </c>
      <c r="I148" s="9" t="s">
        <v>24</v>
      </c>
      <c r="J148" s="9" t="s">
        <v>31</v>
      </c>
      <c r="K148" s="9" t="s">
        <v>28</v>
      </c>
      <c r="L148" s="9" t="str">
        <f aca="false">IF(AND(F148&gt;=DATE(2026,9,14)+TIME(14,0,0),G148&lt;=DATE(2026,9,14)+TIME(15,0,0),ABS(H148-1)&lt;0.001,AND(F148&gt;=G147,F148-G147&lt;=TIME(0,30,0))),"COMPLIANT","EXCEPTION")</f>
        <v>COMPLIANT</v>
      </c>
    </row>
    <row r="149" customFormat="false" ht="27.75" hidden="false" customHeight="true" outlineLevel="0" collapsed="false">
      <c r="A149" s="3" t="n">
        <v>46279</v>
      </c>
      <c r="B149" s="4" t="s">
        <v>32</v>
      </c>
      <c r="C149" s="5" t="s">
        <v>33</v>
      </c>
      <c r="D149" s="5" t="s">
        <v>34</v>
      </c>
      <c r="E149" s="5" t="s">
        <v>35</v>
      </c>
      <c r="F149" s="3" t="n">
        <v>46282.25</v>
      </c>
      <c r="G149" s="3" t="n">
        <v>46282.3333333333</v>
      </c>
      <c r="H149" s="6" t="n">
        <f aca="false">ROUND((G149-F149)*24,2)</f>
        <v>2</v>
      </c>
      <c r="I149" s="5"/>
      <c r="J149" s="5" t="s">
        <v>36</v>
      </c>
      <c r="K149" s="5" t="s">
        <v>26</v>
      </c>
      <c r="L149" s="5" t="str">
        <f aca="false">IF(AND(F149&gt;=DATE(2026,9,17)+TIME(6,0,0),G149&lt;=DATE(2026,9,17)+TIME(8,0,0),ABS(H149-2)&lt;0.001,TRUE()),"COMPLIANT","EXCEPTION")</f>
        <v>COMPLIANT</v>
      </c>
    </row>
    <row r="150" customFormat="false" ht="27.75" hidden="false" customHeight="true" outlineLevel="0" collapsed="false">
      <c r="A150" s="7" t="n">
        <v>46279</v>
      </c>
      <c r="B150" s="8" t="s">
        <v>37</v>
      </c>
      <c r="C150" s="9" t="s">
        <v>38</v>
      </c>
      <c r="D150" s="9" t="s">
        <v>34</v>
      </c>
      <c r="E150" s="9" t="s">
        <v>26</v>
      </c>
      <c r="F150" s="7" t="n">
        <v>46282.3333333333</v>
      </c>
      <c r="G150" s="7" t="n">
        <v>46282.375</v>
      </c>
      <c r="H150" s="10" t="n">
        <f aca="false">ROUND((G150-F150)*24,2)</f>
        <v>1</v>
      </c>
      <c r="I150" s="9" t="s">
        <v>32</v>
      </c>
      <c r="J150" s="9" t="s">
        <v>39</v>
      </c>
      <c r="K150" s="9" t="s">
        <v>28</v>
      </c>
      <c r="L150" s="9" t="str">
        <f aca="false">IF(AND(F150&gt;=DATE(2026,9,17)+TIME(8,0,0),G150&lt;=DATE(2026,9,17)+TIME(9,0,0),ABS(H150-1)&lt;0.001,AND(F150&gt;=G149,F150-G149&lt;=TIME(0,30,0))),"COMPLIANT","EXCEPTION")</f>
        <v>COMPLIANT</v>
      </c>
    </row>
    <row r="151" customFormat="false" ht="27.75" hidden="false" customHeight="true" outlineLevel="0" collapsed="false">
      <c r="A151" s="3" t="n">
        <v>46279</v>
      </c>
      <c r="B151" s="4" t="s">
        <v>40</v>
      </c>
      <c r="C151" s="5" t="s">
        <v>41</v>
      </c>
      <c r="D151" s="5" t="s">
        <v>34</v>
      </c>
      <c r="E151" s="5" t="s">
        <v>26</v>
      </c>
      <c r="F151" s="3" t="n">
        <v>46282.375</v>
      </c>
      <c r="G151" s="3" t="n">
        <v>46282.4166666667</v>
      </c>
      <c r="H151" s="6" t="n">
        <f aca="false">ROUND((G151-F151)*24,2)</f>
        <v>1</v>
      </c>
      <c r="I151" s="5" t="s">
        <v>37</v>
      </c>
      <c r="J151" s="5" t="s">
        <v>41</v>
      </c>
      <c r="K151" s="5" t="s">
        <v>28</v>
      </c>
      <c r="L151" s="5" t="str">
        <f aca="false">IF(AND(F151&gt;=DATE(2026,9,17)+TIME(9,0,0),G151&lt;=DATE(2026,9,17)+TIME(10,0,0),ABS(H151-1)&lt;0.001,AND(F151&gt;=G150,F151-G150&lt;=TIME(0,30,0))),"COMPLIANT","EXCEPTION")</f>
        <v>COMPLIANT</v>
      </c>
    </row>
    <row r="152" customFormat="false" ht="27.75" hidden="false" customHeight="true" outlineLevel="0" collapsed="false">
      <c r="A152" s="7" t="n">
        <v>46279</v>
      </c>
      <c r="B152" s="8" t="s">
        <v>42</v>
      </c>
      <c r="C152" s="9" t="s">
        <v>43</v>
      </c>
      <c r="D152" s="9" t="s">
        <v>44</v>
      </c>
      <c r="E152" s="9" t="s">
        <v>20</v>
      </c>
      <c r="F152" s="7" t="n">
        <v>46280.2916666667</v>
      </c>
      <c r="G152" s="7" t="n">
        <v>46280.4166666667</v>
      </c>
      <c r="H152" s="10" t="n">
        <f aca="false">ROUND((G152-F152)*24,2)</f>
        <v>3</v>
      </c>
      <c r="I152" s="9"/>
      <c r="J152" s="9" t="s">
        <v>45</v>
      </c>
      <c r="K152" s="9" t="s">
        <v>28</v>
      </c>
      <c r="L152" s="9" t="str">
        <f aca="false">IF(AND(F152&gt;=DATE(2026,9,15)+TIME(7,0,0),G152&lt;=DATE(2026,9,15)+TIME(10,0,0),ABS(H152-3)&lt;0.001,TRUE()),"COMPLIANT","EXCEPTION")</f>
        <v>COMPLIANT</v>
      </c>
    </row>
    <row r="153" customFormat="false" ht="27.75" hidden="false" customHeight="true" outlineLevel="0" collapsed="false">
      <c r="A153" s="3" t="n">
        <v>46279</v>
      </c>
      <c r="B153" s="4" t="s">
        <v>46</v>
      </c>
      <c r="C153" s="5" t="s">
        <v>47</v>
      </c>
      <c r="D153" s="5" t="s">
        <v>44</v>
      </c>
      <c r="E153" s="5" t="s">
        <v>20</v>
      </c>
      <c r="F153" s="3" t="n">
        <v>46280.4166666667</v>
      </c>
      <c r="G153" s="3" t="n">
        <v>46280.4583333333</v>
      </c>
      <c r="H153" s="6" t="n">
        <f aca="false">ROUND((G153-F153)*24,2)</f>
        <v>1</v>
      </c>
      <c r="I153" s="5" t="s">
        <v>42</v>
      </c>
      <c r="J153" s="5" t="s">
        <v>48</v>
      </c>
      <c r="K153" s="5" t="s">
        <v>28</v>
      </c>
      <c r="L153" s="5" t="str">
        <f aca="false">IF(AND(F153&gt;=DATE(2026,9,15)+TIME(10,0,0),G153&lt;=DATE(2026,9,15)+TIME(11,0,0),ABS(H153-1)&lt;0.001,AND(F153&gt;=G152,F153-G152&lt;=TIME(0,30,0))),"COMPLIANT","EXCEPTION")</f>
        <v>COMPLIANT</v>
      </c>
    </row>
    <row r="154" customFormat="false" ht="27.75" hidden="false" customHeight="true" outlineLevel="0" collapsed="false">
      <c r="A154" s="7" t="n">
        <v>46279</v>
      </c>
      <c r="B154" s="8" t="s">
        <v>49</v>
      </c>
      <c r="C154" s="9" t="s">
        <v>50</v>
      </c>
      <c r="D154" s="9" t="s">
        <v>44</v>
      </c>
      <c r="E154" s="9" t="s">
        <v>20</v>
      </c>
      <c r="F154" s="7" t="n">
        <v>46280.4583333333</v>
      </c>
      <c r="G154" s="7" t="n">
        <v>46280.5</v>
      </c>
      <c r="H154" s="10" t="n">
        <f aca="false">ROUND((G154-F154)*24,2)</f>
        <v>1</v>
      </c>
      <c r="I154" s="9" t="s">
        <v>46</v>
      </c>
      <c r="J154" s="9" t="s">
        <v>50</v>
      </c>
      <c r="K154" s="9" t="s">
        <v>28</v>
      </c>
      <c r="L154" s="9" t="str">
        <f aca="false">IF(AND(F154&gt;=DATE(2026,9,15)+TIME(11,0,0),G154&lt;=DATE(2026,9,15)+TIME(12,0,0),ABS(H154-1)&lt;0.001,AND(F154&gt;=G153,F154-G153&lt;=TIME(0,30,0))),"COMPLIANT","EXCEPTION")</f>
        <v>COMPLIANT</v>
      </c>
    </row>
    <row r="155" customFormat="false" ht="27.75" hidden="false" customHeight="true" outlineLevel="0" collapsed="false">
      <c r="A155" s="3" t="n">
        <v>46279</v>
      </c>
      <c r="B155" s="4" t="s">
        <v>51</v>
      </c>
      <c r="C155" s="5" t="s">
        <v>52</v>
      </c>
      <c r="D155" s="5" t="s">
        <v>53</v>
      </c>
      <c r="E155" s="5" t="s">
        <v>35</v>
      </c>
      <c r="F155" s="3" t="n">
        <v>46281.2916666667</v>
      </c>
      <c r="G155" s="3" t="n">
        <v>46281.4166666667</v>
      </c>
      <c r="H155" s="6" t="n">
        <f aca="false">ROUND((G155-F155)*24,2)</f>
        <v>3</v>
      </c>
      <c r="I155" s="5"/>
      <c r="J155" s="5" t="s">
        <v>54</v>
      </c>
      <c r="K155" s="5" t="s">
        <v>18</v>
      </c>
      <c r="L155" s="5" t="str">
        <f aca="false">IF(AND(F155&gt;=DATE(2026,9,16)+TIME(7,0,0),G155&lt;=DATE(2026,9,16)+TIME(10,0,0),ABS(H155-3)&lt;0.001,TRUE()),"COMPLIANT","EXCEPTION")</f>
        <v>COMPLIANT</v>
      </c>
    </row>
    <row r="156" customFormat="false" ht="27.75" hidden="false" customHeight="true" outlineLevel="0" collapsed="false">
      <c r="A156" s="7" t="n">
        <v>46279</v>
      </c>
      <c r="B156" s="8" t="s">
        <v>55</v>
      </c>
      <c r="C156" s="9" t="s">
        <v>56</v>
      </c>
      <c r="D156" s="9" t="s">
        <v>53</v>
      </c>
      <c r="E156" s="9" t="s">
        <v>35</v>
      </c>
      <c r="F156" s="7" t="n">
        <v>46281.4166666667</v>
      </c>
      <c r="G156" s="7" t="n">
        <v>46281.5</v>
      </c>
      <c r="H156" s="10" t="n">
        <f aca="false">ROUND((G156-F156)*24,2)</f>
        <v>2</v>
      </c>
      <c r="I156" s="9" t="s">
        <v>51</v>
      </c>
      <c r="J156" s="9" t="s">
        <v>57</v>
      </c>
      <c r="K156" s="9" t="s">
        <v>18</v>
      </c>
      <c r="L156" s="9" t="str">
        <f aca="false">IF(AND(F156&gt;=DATE(2026,9,16)+TIME(10,0,0),G156&lt;=DATE(2026,9,16)+TIME(12,0,0),ABS(H156-2)&lt;0.001,AND(F156&gt;=G155,F156-G155&lt;=TIME(0,30,0))),"COMPLIANT","EXCEPTION")</f>
        <v>COMPLIANT</v>
      </c>
    </row>
    <row r="157" customFormat="false" ht="27.75" hidden="false" customHeight="true" outlineLevel="0" collapsed="false">
      <c r="A157" s="3" t="n">
        <v>46279</v>
      </c>
      <c r="B157" s="4" t="s">
        <v>58</v>
      </c>
      <c r="C157" s="5" t="s">
        <v>59</v>
      </c>
      <c r="D157" s="5" t="s">
        <v>53</v>
      </c>
      <c r="E157" s="5" t="s">
        <v>35</v>
      </c>
      <c r="F157" s="3" t="n">
        <v>46281.5</v>
      </c>
      <c r="G157" s="3" t="n">
        <v>46281.5416666667</v>
      </c>
      <c r="H157" s="6" t="n">
        <f aca="false">ROUND((G157-F157)*24,2)</f>
        <v>1</v>
      </c>
      <c r="I157" s="5" t="s">
        <v>55</v>
      </c>
      <c r="J157" s="5" t="s">
        <v>60</v>
      </c>
      <c r="K157" s="5" t="s">
        <v>18</v>
      </c>
      <c r="L157" s="5" t="str">
        <f aca="false">IF(AND(F157&gt;=DATE(2026,9,16)+TIME(12,0,0),G157&lt;=DATE(2026,9,16)+TIME(13,0,0),ABS(H157-1)&lt;0.001,AND(F157&gt;=G156,F157-G156&lt;=TIME(0,30,0))),"COMPLIANT","EXCEPTION")</f>
        <v>COMPLIANT</v>
      </c>
    </row>
    <row r="158" customFormat="false" ht="27.75" hidden="false" customHeight="true" outlineLevel="0" collapsed="false">
      <c r="A158" s="7" t="n">
        <v>46279</v>
      </c>
      <c r="B158" s="8" t="s">
        <v>61</v>
      </c>
      <c r="C158" s="9" t="s">
        <v>62</v>
      </c>
      <c r="D158" s="9" t="s">
        <v>63</v>
      </c>
      <c r="E158" s="9" t="s">
        <v>26</v>
      </c>
      <c r="F158" s="7" t="n">
        <v>46283.625</v>
      </c>
      <c r="G158" s="7" t="n">
        <v>46283.7083333333</v>
      </c>
      <c r="H158" s="10" t="n">
        <f aca="false">ROUND((G158-F158)*24,2)</f>
        <v>2</v>
      </c>
      <c r="I158" s="9"/>
      <c r="J158" s="9" t="s">
        <v>64</v>
      </c>
      <c r="K158" s="9" t="s">
        <v>28</v>
      </c>
      <c r="L158" s="9" t="str">
        <f aca="false">IF(AND(F158&gt;=DATE(2026,9,18)+TIME(15,0,0),G158&lt;=DATE(2026,9,18)+TIME(17,0,0),ABS(H158-2)&lt;0.001,TRUE()),"COMPLIANT","EXCEPTION")</f>
        <v>COMPLIANT</v>
      </c>
    </row>
    <row r="159" customFormat="false" ht="27.75" hidden="false" customHeight="true" outlineLevel="0" collapsed="false">
      <c r="A159" s="3" t="n">
        <v>46286</v>
      </c>
      <c r="B159" s="4" t="s">
        <v>15</v>
      </c>
      <c r="C159" s="5" t="s">
        <v>16</v>
      </c>
      <c r="D159" s="5" t="s">
        <v>17</v>
      </c>
      <c r="E159" s="5" t="s">
        <v>18</v>
      </c>
      <c r="F159" s="3" t="n">
        <v>46286.3333333333</v>
      </c>
      <c r="G159" s="3" t="n">
        <v>46286.4166666667</v>
      </c>
      <c r="H159" s="6" t="n">
        <f aca="false">ROUND((G159-F159)*24,2)</f>
        <v>2</v>
      </c>
      <c r="I159" s="5"/>
      <c r="J159" s="5" t="s">
        <v>19</v>
      </c>
      <c r="K159" s="5" t="s">
        <v>20</v>
      </c>
      <c r="L159" s="5" t="str">
        <f aca="false">IF(AND(F159&gt;=DATE(2026,9,21)+TIME(8,0,0),G159&lt;=DATE(2026,9,21)+TIME(10,0,0),ABS(H159-2)&lt;0.001,TRUE()),"COMPLIANT","EXCEPTION")</f>
        <v>COMPLIANT</v>
      </c>
    </row>
    <row r="160" customFormat="false" ht="27.75" hidden="false" customHeight="true" outlineLevel="0" collapsed="false">
      <c r="A160" s="7" t="n">
        <v>46286</v>
      </c>
      <c r="B160" s="8" t="s">
        <v>21</v>
      </c>
      <c r="C160" s="9" t="s">
        <v>22</v>
      </c>
      <c r="D160" s="9" t="s">
        <v>17</v>
      </c>
      <c r="E160" s="9" t="s">
        <v>18</v>
      </c>
      <c r="F160" s="7" t="n">
        <v>46286.4166666667</v>
      </c>
      <c r="G160" s="7" t="n">
        <v>46286.5416666667</v>
      </c>
      <c r="H160" s="10" t="n">
        <f aca="false">ROUND((G160-F160)*24,2)</f>
        <v>3</v>
      </c>
      <c r="I160" s="9" t="s">
        <v>15</v>
      </c>
      <c r="J160" s="9" t="s">
        <v>23</v>
      </c>
      <c r="K160" s="9" t="s">
        <v>20</v>
      </c>
      <c r="L160" s="9" t="str">
        <f aca="false">IF(AND(F160&gt;=DATE(2026,9,21)+TIME(10,0,0),G160&lt;=DATE(2026,9,21)+TIME(13,0,0),ABS(H160-3)&lt;0.001,AND(F160&gt;=G159,F160-G159&lt;=TIME(0,30,0))),"COMPLIANT","EXCEPTION")</f>
        <v>COMPLIANT</v>
      </c>
    </row>
    <row r="161" customFormat="false" ht="27.75" hidden="false" customHeight="true" outlineLevel="0" collapsed="false">
      <c r="A161" s="3" t="n">
        <v>46286</v>
      </c>
      <c r="B161" s="4" t="s">
        <v>24</v>
      </c>
      <c r="C161" s="5" t="s">
        <v>25</v>
      </c>
      <c r="D161" s="5" t="s">
        <v>17</v>
      </c>
      <c r="E161" s="5" t="s">
        <v>26</v>
      </c>
      <c r="F161" s="3" t="n">
        <v>46286.5416666667</v>
      </c>
      <c r="G161" s="3" t="n">
        <v>46286.5833333333</v>
      </c>
      <c r="H161" s="6" t="n">
        <f aca="false">ROUND((G161-F161)*24,2)</f>
        <v>1</v>
      </c>
      <c r="I161" s="5" t="s">
        <v>21</v>
      </c>
      <c r="J161" s="5" t="s">
        <v>27</v>
      </c>
      <c r="K161" s="5" t="s">
        <v>28</v>
      </c>
      <c r="L161" s="5" t="str">
        <f aca="false">IF(AND(F161&gt;=DATE(2026,9,21)+TIME(13,0,0),G161&lt;=DATE(2026,9,21)+TIME(14,0,0),ABS(H161-1)&lt;0.001,AND(F161&gt;=G160,F161-G160&lt;=TIME(0,30,0))),"COMPLIANT","EXCEPTION")</f>
        <v>COMPLIANT</v>
      </c>
    </row>
    <row r="162" customFormat="false" ht="27.75" hidden="false" customHeight="true" outlineLevel="0" collapsed="false">
      <c r="A162" s="7" t="n">
        <v>46286</v>
      </c>
      <c r="B162" s="8" t="s">
        <v>29</v>
      </c>
      <c r="C162" s="9" t="s">
        <v>30</v>
      </c>
      <c r="D162" s="9" t="s">
        <v>17</v>
      </c>
      <c r="E162" s="9" t="s">
        <v>18</v>
      </c>
      <c r="F162" s="7" t="n">
        <v>46286.5833333333</v>
      </c>
      <c r="G162" s="7" t="n">
        <v>46286.625</v>
      </c>
      <c r="H162" s="10" t="n">
        <f aca="false">ROUND((G162-F162)*24,2)</f>
        <v>1</v>
      </c>
      <c r="I162" s="9" t="s">
        <v>24</v>
      </c>
      <c r="J162" s="9" t="s">
        <v>31</v>
      </c>
      <c r="K162" s="9" t="s">
        <v>28</v>
      </c>
      <c r="L162" s="9" t="str">
        <f aca="false">IF(AND(F162&gt;=DATE(2026,9,21)+TIME(14,0,0),G162&lt;=DATE(2026,9,21)+TIME(15,0,0),ABS(H162-1)&lt;0.001,AND(F162&gt;=G161,F162-G161&lt;=TIME(0,30,0))),"COMPLIANT","EXCEPTION")</f>
        <v>COMPLIANT</v>
      </c>
    </row>
    <row r="163" customFormat="false" ht="27.75" hidden="false" customHeight="true" outlineLevel="0" collapsed="false">
      <c r="A163" s="3" t="n">
        <v>46286</v>
      </c>
      <c r="B163" s="4" t="s">
        <v>32</v>
      </c>
      <c r="C163" s="5" t="s">
        <v>33</v>
      </c>
      <c r="D163" s="5" t="s">
        <v>34</v>
      </c>
      <c r="E163" s="5" t="s">
        <v>35</v>
      </c>
      <c r="F163" s="3" t="n">
        <v>46289.25</v>
      </c>
      <c r="G163" s="3" t="n">
        <v>46289.3333333333</v>
      </c>
      <c r="H163" s="6" t="n">
        <f aca="false">ROUND((G163-F163)*24,2)</f>
        <v>2</v>
      </c>
      <c r="I163" s="5"/>
      <c r="J163" s="5" t="s">
        <v>36</v>
      </c>
      <c r="K163" s="5" t="s">
        <v>26</v>
      </c>
      <c r="L163" s="5" t="str">
        <f aca="false">IF(AND(F163&gt;=DATE(2026,9,24)+TIME(6,0,0),G163&lt;=DATE(2026,9,24)+TIME(8,0,0),ABS(H163-2)&lt;0.001,TRUE()),"COMPLIANT","EXCEPTION")</f>
        <v>COMPLIANT</v>
      </c>
    </row>
    <row r="164" customFormat="false" ht="27.75" hidden="false" customHeight="true" outlineLevel="0" collapsed="false">
      <c r="A164" s="7" t="n">
        <v>46286</v>
      </c>
      <c r="B164" s="8" t="s">
        <v>37</v>
      </c>
      <c r="C164" s="9" t="s">
        <v>38</v>
      </c>
      <c r="D164" s="9" t="s">
        <v>34</v>
      </c>
      <c r="E164" s="9" t="s">
        <v>26</v>
      </c>
      <c r="F164" s="7" t="n">
        <v>46289.3333333333</v>
      </c>
      <c r="G164" s="7" t="n">
        <v>46289.375</v>
      </c>
      <c r="H164" s="10" t="n">
        <f aca="false">ROUND((G164-F164)*24,2)</f>
        <v>1</v>
      </c>
      <c r="I164" s="9" t="s">
        <v>32</v>
      </c>
      <c r="J164" s="9" t="s">
        <v>39</v>
      </c>
      <c r="K164" s="9" t="s">
        <v>28</v>
      </c>
      <c r="L164" s="9" t="str">
        <f aca="false">IF(AND(F164&gt;=DATE(2026,9,24)+TIME(8,0,0),G164&lt;=DATE(2026,9,24)+TIME(9,0,0),ABS(H164-1)&lt;0.001,AND(F164&gt;=G163,F164-G163&lt;=TIME(0,30,0))),"COMPLIANT","EXCEPTION")</f>
        <v>COMPLIANT</v>
      </c>
    </row>
    <row r="165" customFormat="false" ht="27.75" hidden="false" customHeight="true" outlineLevel="0" collapsed="false">
      <c r="A165" s="3" t="n">
        <v>46286</v>
      </c>
      <c r="B165" s="4" t="s">
        <v>40</v>
      </c>
      <c r="C165" s="5" t="s">
        <v>41</v>
      </c>
      <c r="D165" s="5" t="s">
        <v>34</v>
      </c>
      <c r="E165" s="5" t="s">
        <v>26</v>
      </c>
      <c r="F165" s="3" t="n">
        <v>46289.375</v>
      </c>
      <c r="G165" s="3" t="n">
        <v>46289.4166666667</v>
      </c>
      <c r="H165" s="6" t="n">
        <f aca="false">ROUND((G165-F165)*24,2)</f>
        <v>1</v>
      </c>
      <c r="I165" s="5" t="s">
        <v>37</v>
      </c>
      <c r="J165" s="5" t="s">
        <v>41</v>
      </c>
      <c r="K165" s="5" t="s">
        <v>28</v>
      </c>
      <c r="L165" s="5" t="str">
        <f aca="false">IF(AND(F165&gt;=DATE(2026,9,24)+TIME(9,0,0),G165&lt;=DATE(2026,9,24)+TIME(10,0,0),ABS(H165-1)&lt;0.001,AND(F165&gt;=G164,F165-G164&lt;=TIME(0,30,0))),"COMPLIANT","EXCEPTION")</f>
        <v>COMPLIANT</v>
      </c>
    </row>
    <row r="166" customFormat="false" ht="27.75" hidden="false" customHeight="true" outlineLevel="0" collapsed="false">
      <c r="A166" s="7" t="n">
        <v>46286</v>
      </c>
      <c r="B166" s="8" t="s">
        <v>42</v>
      </c>
      <c r="C166" s="9" t="s">
        <v>43</v>
      </c>
      <c r="D166" s="9" t="s">
        <v>44</v>
      </c>
      <c r="E166" s="9" t="s">
        <v>20</v>
      </c>
      <c r="F166" s="7" t="n">
        <v>46287.2916666667</v>
      </c>
      <c r="G166" s="7" t="n">
        <v>46287.4166666667</v>
      </c>
      <c r="H166" s="10" t="n">
        <f aca="false">ROUND((G166-F166)*24,2)</f>
        <v>3</v>
      </c>
      <c r="I166" s="9"/>
      <c r="J166" s="9" t="s">
        <v>45</v>
      </c>
      <c r="K166" s="9" t="s">
        <v>28</v>
      </c>
      <c r="L166" s="9" t="str">
        <f aca="false">IF(AND(F166&gt;=DATE(2026,9,22)+TIME(7,0,0),G166&lt;=DATE(2026,9,22)+TIME(10,0,0),ABS(H166-3)&lt;0.001,TRUE()),"COMPLIANT","EXCEPTION")</f>
        <v>COMPLIANT</v>
      </c>
    </row>
    <row r="167" customFormat="false" ht="27.75" hidden="false" customHeight="true" outlineLevel="0" collapsed="false">
      <c r="A167" s="3" t="n">
        <v>46286</v>
      </c>
      <c r="B167" s="4" t="s">
        <v>46</v>
      </c>
      <c r="C167" s="5" t="s">
        <v>47</v>
      </c>
      <c r="D167" s="5" t="s">
        <v>44</v>
      </c>
      <c r="E167" s="5" t="s">
        <v>20</v>
      </c>
      <c r="F167" s="3" t="n">
        <v>46287.4166666667</v>
      </c>
      <c r="G167" s="3" t="n">
        <v>46287.4583333333</v>
      </c>
      <c r="H167" s="6" t="n">
        <f aca="false">ROUND((G167-F167)*24,2)</f>
        <v>1</v>
      </c>
      <c r="I167" s="5" t="s">
        <v>42</v>
      </c>
      <c r="J167" s="5" t="s">
        <v>48</v>
      </c>
      <c r="K167" s="5" t="s">
        <v>28</v>
      </c>
      <c r="L167" s="5" t="str">
        <f aca="false">IF(AND(F167&gt;=DATE(2026,9,22)+TIME(10,0,0),G167&lt;=DATE(2026,9,22)+TIME(11,0,0),ABS(H167-1)&lt;0.001,AND(F167&gt;=G166,F167-G166&lt;=TIME(0,30,0))),"COMPLIANT","EXCEPTION")</f>
        <v>COMPLIANT</v>
      </c>
    </row>
    <row r="168" customFormat="false" ht="27.75" hidden="false" customHeight="true" outlineLevel="0" collapsed="false">
      <c r="A168" s="7" t="n">
        <v>46286</v>
      </c>
      <c r="B168" s="8" t="s">
        <v>49</v>
      </c>
      <c r="C168" s="9" t="s">
        <v>50</v>
      </c>
      <c r="D168" s="9" t="s">
        <v>44</v>
      </c>
      <c r="E168" s="9" t="s">
        <v>20</v>
      </c>
      <c r="F168" s="7" t="n">
        <v>46287.4583333333</v>
      </c>
      <c r="G168" s="7" t="n">
        <v>46287.5</v>
      </c>
      <c r="H168" s="10" t="n">
        <f aca="false">ROUND((G168-F168)*24,2)</f>
        <v>1</v>
      </c>
      <c r="I168" s="9" t="s">
        <v>46</v>
      </c>
      <c r="J168" s="9" t="s">
        <v>50</v>
      </c>
      <c r="K168" s="9" t="s">
        <v>28</v>
      </c>
      <c r="L168" s="9" t="str">
        <f aca="false">IF(AND(F168&gt;=DATE(2026,9,22)+TIME(11,0,0),G168&lt;=DATE(2026,9,22)+TIME(12,0,0),ABS(H168-1)&lt;0.001,AND(F168&gt;=G167,F168-G167&lt;=TIME(0,30,0))),"COMPLIANT","EXCEPTION")</f>
        <v>COMPLIANT</v>
      </c>
    </row>
    <row r="169" customFormat="false" ht="27.75" hidden="false" customHeight="true" outlineLevel="0" collapsed="false">
      <c r="A169" s="3" t="n">
        <v>46286</v>
      </c>
      <c r="B169" s="4" t="s">
        <v>51</v>
      </c>
      <c r="C169" s="5" t="s">
        <v>52</v>
      </c>
      <c r="D169" s="5" t="s">
        <v>53</v>
      </c>
      <c r="E169" s="5" t="s">
        <v>35</v>
      </c>
      <c r="F169" s="3" t="n">
        <v>46288.2916666667</v>
      </c>
      <c r="G169" s="3" t="n">
        <v>46288.4166666667</v>
      </c>
      <c r="H169" s="6" t="n">
        <f aca="false">ROUND((G169-F169)*24,2)</f>
        <v>3</v>
      </c>
      <c r="I169" s="5"/>
      <c r="J169" s="5" t="s">
        <v>54</v>
      </c>
      <c r="K169" s="5" t="s">
        <v>18</v>
      </c>
      <c r="L169" s="5" t="str">
        <f aca="false">IF(AND(F169&gt;=DATE(2026,9,23)+TIME(7,0,0),G169&lt;=DATE(2026,9,23)+TIME(10,0,0),ABS(H169-3)&lt;0.001,TRUE()),"COMPLIANT","EXCEPTION")</f>
        <v>COMPLIANT</v>
      </c>
    </row>
    <row r="170" customFormat="false" ht="27.75" hidden="false" customHeight="true" outlineLevel="0" collapsed="false">
      <c r="A170" s="7" t="n">
        <v>46286</v>
      </c>
      <c r="B170" s="8" t="s">
        <v>55</v>
      </c>
      <c r="C170" s="9" t="s">
        <v>56</v>
      </c>
      <c r="D170" s="9" t="s">
        <v>53</v>
      </c>
      <c r="E170" s="9" t="s">
        <v>35</v>
      </c>
      <c r="F170" s="7" t="n">
        <v>46288.4166666667</v>
      </c>
      <c r="G170" s="7" t="n">
        <v>46288.5</v>
      </c>
      <c r="H170" s="10" t="n">
        <f aca="false">ROUND((G170-F170)*24,2)</f>
        <v>2</v>
      </c>
      <c r="I170" s="9" t="s">
        <v>51</v>
      </c>
      <c r="J170" s="9" t="s">
        <v>57</v>
      </c>
      <c r="K170" s="9" t="s">
        <v>18</v>
      </c>
      <c r="L170" s="9" t="str">
        <f aca="false">IF(AND(F170&gt;=DATE(2026,9,23)+TIME(10,0,0),G170&lt;=DATE(2026,9,23)+TIME(12,0,0),ABS(H170-2)&lt;0.001,AND(F170&gt;=G169,F170-G169&lt;=TIME(0,30,0))),"COMPLIANT","EXCEPTION")</f>
        <v>COMPLIANT</v>
      </c>
    </row>
    <row r="171" customFormat="false" ht="27.75" hidden="false" customHeight="true" outlineLevel="0" collapsed="false">
      <c r="A171" s="3" t="n">
        <v>46286</v>
      </c>
      <c r="B171" s="4" t="s">
        <v>58</v>
      </c>
      <c r="C171" s="5" t="s">
        <v>59</v>
      </c>
      <c r="D171" s="5" t="s">
        <v>53</v>
      </c>
      <c r="E171" s="5" t="s">
        <v>35</v>
      </c>
      <c r="F171" s="3" t="n">
        <v>46288.5</v>
      </c>
      <c r="G171" s="3" t="n">
        <v>46288.5416666667</v>
      </c>
      <c r="H171" s="6" t="n">
        <f aca="false">ROUND((G171-F171)*24,2)</f>
        <v>1</v>
      </c>
      <c r="I171" s="5" t="s">
        <v>55</v>
      </c>
      <c r="J171" s="5" t="s">
        <v>60</v>
      </c>
      <c r="K171" s="5" t="s">
        <v>18</v>
      </c>
      <c r="L171" s="5" t="str">
        <f aca="false">IF(AND(F171&gt;=DATE(2026,9,23)+TIME(12,0,0),G171&lt;=DATE(2026,9,23)+TIME(13,0,0),ABS(H171-1)&lt;0.001,AND(F171&gt;=G170,F171-G170&lt;=TIME(0,30,0))),"COMPLIANT","EXCEPTION")</f>
        <v>COMPLIANT</v>
      </c>
    </row>
    <row r="172" customFormat="false" ht="27.75" hidden="false" customHeight="true" outlineLevel="0" collapsed="false">
      <c r="A172" s="7" t="n">
        <v>46286</v>
      </c>
      <c r="B172" s="8" t="s">
        <v>61</v>
      </c>
      <c r="C172" s="9" t="s">
        <v>62</v>
      </c>
      <c r="D172" s="9" t="s">
        <v>63</v>
      </c>
      <c r="E172" s="9" t="s">
        <v>26</v>
      </c>
      <c r="F172" s="7" t="n">
        <v>46290.625</v>
      </c>
      <c r="G172" s="7" t="n">
        <v>46290.7083333333</v>
      </c>
      <c r="H172" s="10" t="n">
        <f aca="false">ROUND((G172-F172)*24,2)</f>
        <v>2</v>
      </c>
      <c r="I172" s="9"/>
      <c r="J172" s="9" t="s">
        <v>64</v>
      </c>
      <c r="K172" s="9" t="s">
        <v>28</v>
      </c>
      <c r="L172" s="9" t="str">
        <f aca="false">IF(AND(F172&gt;=DATE(2026,9,25)+TIME(15,0,0),G172&lt;=DATE(2026,9,25)+TIME(17,0,0),ABS(H172-2)&lt;0.001,TRUE()),"COMPLIANT","EXCEPTION")</f>
        <v>COMPLIANT</v>
      </c>
    </row>
    <row r="173" customFormat="false" ht="27.75" hidden="false" customHeight="true" outlineLevel="0" collapsed="false">
      <c r="A173" s="3" t="n">
        <v>46293</v>
      </c>
      <c r="B173" s="4" t="s">
        <v>15</v>
      </c>
      <c r="C173" s="5" t="s">
        <v>16</v>
      </c>
      <c r="D173" s="5" t="s">
        <v>17</v>
      </c>
      <c r="E173" s="5" t="s">
        <v>18</v>
      </c>
      <c r="F173" s="3" t="n">
        <v>46293.3333333333</v>
      </c>
      <c r="G173" s="3" t="n">
        <v>46293.4166666667</v>
      </c>
      <c r="H173" s="6" t="n">
        <f aca="false">ROUND((G173-F173)*24,2)</f>
        <v>2</v>
      </c>
      <c r="I173" s="5"/>
      <c r="J173" s="5" t="s">
        <v>19</v>
      </c>
      <c r="K173" s="5" t="s">
        <v>20</v>
      </c>
      <c r="L173" s="5" t="str">
        <f aca="false">IF(AND(F173&gt;=DATE(2026,9,28)+TIME(8,0,0),G173&lt;=DATE(2026,9,28)+TIME(10,0,0),ABS(H173-2)&lt;0.001,TRUE()),"COMPLIANT","EXCEPTION")</f>
        <v>COMPLIANT</v>
      </c>
    </row>
    <row r="174" customFormat="false" ht="27.75" hidden="false" customHeight="true" outlineLevel="0" collapsed="false">
      <c r="A174" s="7" t="n">
        <v>46293</v>
      </c>
      <c r="B174" s="8" t="s">
        <v>21</v>
      </c>
      <c r="C174" s="9" t="s">
        <v>22</v>
      </c>
      <c r="D174" s="9" t="s">
        <v>17</v>
      </c>
      <c r="E174" s="9" t="s">
        <v>18</v>
      </c>
      <c r="F174" s="7" t="n">
        <v>46293.4166666667</v>
      </c>
      <c r="G174" s="7" t="n">
        <v>46293.5416666667</v>
      </c>
      <c r="H174" s="10" t="n">
        <f aca="false">ROUND((G174-F174)*24,2)</f>
        <v>3</v>
      </c>
      <c r="I174" s="9" t="s">
        <v>15</v>
      </c>
      <c r="J174" s="9" t="s">
        <v>23</v>
      </c>
      <c r="K174" s="9" t="s">
        <v>20</v>
      </c>
      <c r="L174" s="9" t="str">
        <f aca="false">IF(AND(F174&gt;=DATE(2026,9,28)+TIME(10,0,0),G174&lt;=DATE(2026,9,28)+TIME(13,0,0),ABS(H174-3)&lt;0.001,AND(F174&gt;=G173,F174-G173&lt;=TIME(0,30,0))),"COMPLIANT","EXCEPTION")</f>
        <v>COMPLIANT</v>
      </c>
    </row>
    <row r="175" customFormat="false" ht="27.75" hidden="false" customHeight="true" outlineLevel="0" collapsed="false">
      <c r="A175" s="3" t="n">
        <v>46293</v>
      </c>
      <c r="B175" s="4" t="s">
        <v>24</v>
      </c>
      <c r="C175" s="5" t="s">
        <v>25</v>
      </c>
      <c r="D175" s="5" t="s">
        <v>17</v>
      </c>
      <c r="E175" s="5" t="s">
        <v>26</v>
      </c>
      <c r="F175" s="3" t="n">
        <v>46293.5416666667</v>
      </c>
      <c r="G175" s="3" t="n">
        <v>46293.5833333333</v>
      </c>
      <c r="H175" s="6" t="n">
        <f aca="false">ROUND((G175-F175)*24,2)</f>
        <v>1</v>
      </c>
      <c r="I175" s="5" t="s">
        <v>21</v>
      </c>
      <c r="J175" s="5" t="s">
        <v>27</v>
      </c>
      <c r="K175" s="5" t="s">
        <v>28</v>
      </c>
      <c r="L175" s="5" t="str">
        <f aca="false">IF(AND(F175&gt;=DATE(2026,9,28)+TIME(13,0,0),G175&lt;=DATE(2026,9,28)+TIME(14,0,0),ABS(H175-1)&lt;0.001,AND(F175&gt;=G174,F175-G174&lt;=TIME(0,30,0))),"COMPLIANT","EXCEPTION")</f>
        <v>COMPLIANT</v>
      </c>
    </row>
    <row r="176" customFormat="false" ht="27.75" hidden="false" customHeight="true" outlineLevel="0" collapsed="false">
      <c r="A176" s="7" t="n">
        <v>46293</v>
      </c>
      <c r="B176" s="8" t="s">
        <v>29</v>
      </c>
      <c r="C176" s="9" t="s">
        <v>30</v>
      </c>
      <c r="D176" s="9" t="s">
        <v>17</v>
      </c>
      <c r="E176" s="9" t="s">
        <v>18</v>
      </c>
      <c r="F176" s="7" t="n">
        <v>46293.5833333333</v>
      </c>
      <c r="G176" s="7" t="n">
        <v>46293.625</v>
      </c>
      <c r="H176" s="10" t="n">
        <f aca="false">ROUND((G176-F176)*24,2)</f>
        <v>1</v>
      </c>
      <c r="I176" s="9" t="s">
        <v>24</v>
      </c>
      <c r="J176" s="9" t="s">
        <v>31</v>
      </c>
      <c r="K176" s="9" t="s">
        <v>28</v>
      </c>
      <c r="L176" s="9" t="str">
        <f aca="false">IF(AND(F176&gt;=DATE(2026,9,28)+TIME(14,0,0),G176&lt;=DATE(2026,9,28)+TIME(15,0,0),ABS(H176-1)&lt;0.001,AND(F176&gt;=G175,F176-G175&lt;=TIME(0,30,0))),"COMPLIANT","EXCEPTION")</f>
        <v>COMPLIANT</v>
      </c>
    </row>
    <row r="177" customFormat="false" ht="27.75" hidden="false" customHeight="true" outlineLevel="0" collapsed="false">
      <c r="A177" s="3" t="n">
        <v>46293</v>
      </c>
      <c r="B177" s="4" t="s">
        <v>32</v>
      </c>
      <c r="C177" s="5" t="s">
        <v>33</v>
      </c>
      <c r="D177" s="5" t="s">
        <v>34</v>
      </c>
      <c r="E177" s="5" t="s">
        <v>35</v>
      </c>
      <c r="F177" s="3" t="n">
        <v>46296.25</v>
      </c>
      <c r="G177" s="3" t="n">
        <v>46296.3333333333</v>
      </c>
      <c r="H177" s="6" t="n">
        <f aca="false">ROUND((G177-F177)*24,2)</f>
        <v>2</v>
      </c>
      <c r="I177" s="5"/>
      <c r="J177" s="5" t="s">
        <v>36</v>
      </c>
      <c r="K177" s="5" t="s">
        <v>26</v>
      </c>
      <c r="L177" s="5" t="str">
        <f aca="false">IF(AND(F177&gt;=DATE(2026,10,1)+TIME(6,0,0),G177&lt;=DATE(2026,10,1)+TIME(8,0,0),ABS(H177-2)&lt;0.001,TRUE()),"COMPLIANT","EXCEPTION")</f>
        <v>COMPLIANT</v>
      </c>
    </row>
    <row r="178" customFormat="false" ht="27.75" hidden="false" customHeight="true" outlineLevel="0" collapsed="false">
      <c r="A178" s="7" t="n">
        <v>46293</v>
      </c>
      <c r="B178" s="8" t="s">
        <v>37</v>
      </c>
      <c r="C178" s="9" t="s">
        <v>38</v>
      </c>
      <c r="D178" s="9" t="s">
        <v>34</v>
      </c>
      <c r="E178" s="9" t="s">
        <v>26</v>
      </c>
      <c r="F178" s="7" t="n">
        <v>46296.3333333333</v>
      </c>
      <c r="G178" s="7" t="n">
        <v>46296.375</v>
      </c>
      <c r="H178" s="10" t="n">
        <f aca="false">ROUND((G178-F178)*24,2)</f>
        <v>1</v>
      </c>
      <c r="I178" s="9" t="s">
        <v>32</v>
      </c>
      <c r="J178" s="9" t="s">
        <v>39</v>
      </c>
      <c r="K178" s="9" t="s">
        <v>28</v>
      </c>
      <c r="L178" s="9" t="str">
        <f aca="false">IF(AND(F178&gt;=DATE(2026,10,1)+TIME(8,0,0),G178&lt;=DATE(2026,10,1)+TIME(9,0,0),ABS(H178-1)&lt;0.001,AND(F178&gt;=G177,F178-G177&lt;=TIME(0,30,0))),"COMPLIANT","EXCEPTION")</f>
        <v>COMPLIANT</v>
      </c>
    </row>
    <row r="179" customFormat="false" ht="27.75" hidden="false" customHeight="true" outlineLevel="0" collapsed="false">
      <c r="A179" s="3" t="n">
        <v>46293</v>
      </c>
      <c r="B179" s="4" t="s">
        <v>40</v>
      </c>
      <c r="C179" s="5" t="s">
        <v>41</v>
      </c>
      <c r="D179" s="5" t="s">
        <v>34</v>
      </c>
      <c r="E179" s="5" t="s">
        <v>26</v>
      </c>
      <c r="F179" s="3" t="n">
        <v>46296.375</v>
      </c>
      <c r="G179" s="3" t="n">
        <v>46296.4166666667</v>
      </c>
      <c r="H179" s="6" t="n">
        <f aca="false">ROUND((G179-F179)*24,2)</f>
        <v>1</v>
      </c>
      <c r="I179" s="5" t="s">
        <v>37</v>
      </c>
      <c r="J179" s="5" t="s">
        <v>41</v>
      </c>
      <c r="K179" s="5" t="s">
        <v>28</v>
      </c>
      <c r="L179" s="5" t="str">
        <f aca="false">IF(AND(F179&gt;=DATE(2026,10,1)+TIME(9,0,0),G179&lt;=DATE(2026,10,1)+TIME(10,0,0),ABS(H179-1)&lt;0.001,AND(F179&gt;=G178,F179-G178&lt;=TIME(0,30,0))),"COMPLIANT","EXCEPTION")</f>
        <v>COMPLIANT</v>
      </c>
    </row>
    <row r="180" customFormat="false" ht="27.75" hidden="false" customHeight="true" outlineLevel="0" collapsed="false">
      <c r="A180" s="7" t="n">
        <v>46293</v>
      </c>
      <c r="B180" s="8" t="s">
        <v>42</v>
      </c>
      <c r="C180" s="9" t="s">
        <v>43</v>
      </c>
      <c r="D180" s="9" t="s">
        <v>44</v>
      </c>
      <c r="E180" s="9" t="s">
        <v>20</v>
      </c>
      <c r="F180" s="7" t="n">
        <v>46294.2916666667</v>
      </c>
      <c r="G180" s="7" t="n">
        <v>46294.4166666667</v>
      </c>
      <c r="H180" s="10" t="n">
        <f aca="false">ROUND((G180-F180)*24,2)</f>
        <v>3</v>
      </c>
      <c r="I180" s="9"/>
      <c r="J180" s="9" t="s">
        <v>45</v>
      </c>
      <c r="K180" s="9" t="s">
        <v>28</v>
      </c>
      <c r="L180" s="9" t="str">
        <f aca="false">IF(AND(F180&gt;=DATE(2026,9,29)+TIME(7,0,0),G180&lt;=DATE(2026,9,29)+TIME(10,0,0),ABS(H180-3)&lt;0.001,TRUE()),"COMPLIANT","EXCEPTION")</f>
        <v>COMPLIANT</v>
      </c>
    </row>
    <row r="181" customFormat="false" ht="27.75" hidden="false" customHeight="true" outlineLevel="0" collapsed="false">
      <c r="A181" s="3" t="n">
        <v>46293</v>
      </c>
      <c r="B181" s="4" t="s">
        <v>46</v>
      </c>
      <c r="C181" s="5" t="s">
        <v>47</v>
      </c>
      <c r="D181" s="5" t="s">
        <v>44</v>
      </c>
      <c r="E181" s="5" t="s">
        <v>20</v>
      </c>
      <c r="F181" s="3" t="n">
        <v>46294.4166666667</v>
      </c>
      <c r="G181" s="3" t="n">
        <v>46294.4583333333</v>
      </c>
      <c r="H181" s="6" t="n">
        <f aca="false">ROUND((G181-F181)*24,2)</f>
        <v>1</v>
      </c>
      <c r="I181" s="5" t="s">
        <v>42</v>
      </c>
      <c r="J181" s="5" t="s">
        <v>48</v>
      </c>
      <c r="K181" s="5" t="s">
        <v>28</v>
      </c>
      <c r="L181" s="5" t="str">
        <f aca="false">IF(AND(F181&gt;=DATE(2026,9,29)+TIME(10,0,0),G181&lt;=DATE(2026,9,29)+TIME(11,0,0),ABS(H181-1)&lt;0.001,AND(F181&gt;=G180,F181-G180&lt;=TIME(0,30,0))),"COMPLIANT","EXCEPTION")</f>
        <v>COMPLIANT</v>
      </c>
    </row>
    <row r="182" customFormat="false" ht="27.75" hidden="false" customHeight="true" outlineLevel="0" collapsed="false">
      <c r="A182" s="7" t="n">
        <v>46293</v>
      </c>
      <c r="B182" s="8" t="s">
        <v>49</v>
      </c>
      <c r="C182" s="9" t="s">
        <v>50</v>
      </c>
      <c r="D182" s="9" t="s">
        <v>44</v>
      </c>
      <c r="E182" s="9" t="s">
        <v>20</v>
      </c>
      <c r="F182" s="7" t="n">
        <v>46294.4583333333</v>
      </c>
      <c r="G182" s="7" t="n">
        <v>46294.5</v>
      </c>
      <c r="H182" s="10" t="n">
        <f aca="false">ROUND((G182-F182)*24,2)</f>
        <v>1</v>
      </c>
      <c r="I182" s="9" t="s">
        <v>46</v>
      </c>
      <c r="J182" s="9" t="s">
        <v>50</v>
      </c>
      <c r="K182" s="9" t="s">
        <v>28</v>
      </c>
      <c r="L182" s="9" t="str">
        <f aca="false">IF(AND(F182&gt;=DATE(2026,9,29)+TIME(11,0,0),G182&lt;=DATE(2026,9,29)+TIME(12,0,0),ABS(H182-1)&lt;0.001,AND(F182&gt;=G181,F182-G181&lt;=TIME(0,30,0))),"COMPLIANT","EXCEPTION")</f>
        <v>COMPLIANT</v>
      </c>
    </row>
    <row r="183" customFormat="false" ht="27.75" hidden="false" customHeight="true" outlineLevel="0" collapsed="false">
      <c r="A183" s="3" t="n">
        <v>46293</v>
      </c>
      <c r="B183" s="4" t="s">
        <v>51</v>
      </c>
      <c r="C183" s="5" t="s">
        <v>52</v>
      </c>
      <c r="D183" s="5" t="s">
        <v>53</v>
      </c>
      <c r="E183" s="5" t="s">
        <v>35</v>
      </c>
      <c r="F183" s="3" t="n">
        <v>46295.2916666667</v>
      </c>
      <c r="G183" s="3" t="n">
        <v>46295.4166666667</v>
      </c>
      <c r="H183" s="6" t="n">
        <f aca="false">ROUND((G183-F183)*24,2)</f>
        <v>3</v>
      </c>
      <c r="I183" s="5"/>
      <c r="J183" s="5" t="s">
        <v>54</v>
      </c>
      <c r="K183" s="5" t="s">
        <v>18</v>
      </c>
      <c r="L183" s="5" t="str">
        <f aca="false">IF(AND(F183&gt;=DATE(2026,9,30)+TIME(7,0,0),G183&lt;=DATE(2026,9,30)+TIME(10,0,0),ABS(H183-3)&lt;0.001,TRUE()),"COMPLIANT","EXCEPTION")</f>
        <v>COMPLIANT</v>
      </c>
    </row>
    <row r="184" customFormat="false" ht="27.75" hidden="false" customHeight="true" outlineLevel="0" collapsed="false">
      <c r="A184" s="7" t="n">
        <v>46293</v>
      </c>
      <c r="B184" s="8" t="s">
        <v>55</v>
      </c>
      <c r="C184" s="9" t="s">
        <v>56</v>
      </c>
      <c r="D184" s="9" t="s">
        <v>53</v>
      </c>
      <c r="E184" s="9" t="s">
        <v>35</v>
      </c>
      <c r="F184" s="7" t="n">
        <v>46295.4166666667</v>
      </c>
      <c r="G184" s="7" t="n">
        <v>46295.5</v>
      </c>
      <c r="H184" s="10" t="n">
        <f aca="false">ROUND((G184-F184)*24,2)</f>
        <v>2</v>
      </c>
      <c r="I184" s="9" t="s">
        <v>51</v>
      </c>
      <c r="J184" s="9" t="s">
        <v>57</v>
      </c>
      <c r="K184" s="9" t="s">
        <v>18</v>
      </c>
      <c r="L184" s="9" t="str">
        <f aca="false">IF(AND(F184&gt;=DATE(2026,9,30)+TIME(10,0,0),G184&lt;=DATE(2026,9,30)+TIME(12,0,0),ABS(H184-2)&lt;0.001,AND(F184&gt;=G183,F184-G183&lt;=TIME(0,30,0))),"COMPLIANT","EXCEPTION")</f>
        <v>COMPLIANT</v>
      </c>
    </row>
    <row r="185" customFormat="false" ht="27.75" hidden="false" customHeight="true" outlineLevel="0" collapsed="false">
      <c r="A185" s="3" t="n">
        <v>46293</v>
      </c>
      <c r="B185" s="4" t="s">
        <v>58</v>
      </c>
      <c r="C185" s="5" t="s">
        <v>59</v>
      </c>
      <c r="D185" s="5" t="s">
        <v>53</v>
      </c>
      <c r="E185" s="5" t="s">
        <v>35</v>
      </c>
      <c r="F185" s="3" t="n">
        <v>46295.5</v>
      </c>
      <c r="G185" s="3" t="n">
        <v>46295.5416666667</v>
      </c>
      <c r="H185" s="6" t="n">
        <f aca="false">ROUND((G185-F185)*24,2)</f>
        <v>1</v>
      </c>
      <c r="I185" s="5" t="s">
        <v>55</v>
      </c>
      <c r="J185" s="5" t="s">
        <v>60</v>
      </c>
      <c r="K185" s="5" t="s">
        <v>18</v>
      </c>
      <c r="L185" s="5" t="str">
        <f aca="false">IF(AND(F185&gt;=DATE(2026,9,30)+TIME(12,0,0),G185&lt;=DATE(2026,9,30)+TIME(13,0,0),ABS(H185-1)&lt;0.001,AND(F185&gt;=G184,F185-G184&lt;=TIME(0,30,0))),"COMPLIANT","EXCEPTION")</f>
        <v>COMPLIANT</v>
      </c>
    </row>
    <row r="186" customFormat="false" ht="27.75" hidden="false" customHeight="true" outlineLevel="0" collapsed="false">
      <c r="A186" s="7" t="n">
        <v>46293</v>
      </c>
      <c r="B186" s="8" t="s">
        <v>61</v>
      </c>
      <c r="C186" s="9" t="s">
        <v>62</v>
      </c>
      <c r="D186" s="9" t="s">
        <v>63</v>
      </c>
      <c r="E186" s="9" t="s">
        <v>26</v>
      </c>
      <c r="F186" s="7" t="n">
        <v>46297.625</v>
      </c>
      <c r="G186" s="7" t="n">
        <v>46297.7083333333</v>
      </c>
      <c r="H186" s="10" t="n">
        <f aca="false">ROUND((G186-F186)*24,2)</f>
        <v>2</v>
      </c>
      <c r="I186" s="9"/>
      <c r="J186" s="9" t="s">
        <v>64</v>
      </c>
      <c r="K186" s="9" t="s">
        <v>28</v>
      </c>
      <c r="L186" s="9" t="str">
        <f aca="false">IF(AND(F186&gt;=DATE(2026,10,2)+TIME(15,0,0),G186&lt;=DATE(2026,10,2)+TIME(17,0,0),ABS(H186-2)&lt;0.001,TRUE()),"COMPLIANT","EXCEPTION")</f>
        <v>COMPLIANT</v>
      </c>
    </row>
    <row r="187" customFormat="false" ht="27.75" hidden="false" customHeight="true" outlineLevel="0" collapsed="false">
      <c r="A187" s="3" t="n">
        <v>46300</v>
      </c>
      <c r="B187" s="4" t="s">
        <v>15</v>
      </c>
      <c r="C187" s="5" t="s">
        <v>16</v>
      </c>
      <c r="D187" s="5" t="s">
        <v>17</v>
      </c>
      <c r="E187" s="5" t="s">
        <v>18</v>
      </c>
      <c r="F187" s="3" t="n">
        <v>46300.3333333333</v>
      </c>
      <c r="G187" s="3" t="n">
        <v>46300.4166666667</v>
      </c>
      <c r="H187" s="6" t="n">
        <f aca="false">ROUND((G187-F187)*24,2)</f>
        <v>2</v>
      </c>
      <c r="I187" s="5"/>
      <c r="J187" s="5" t="s">
        <v>19</v>
      </c>
      <c r="K187" s="5" t="s">
        <v>20</v>
      </c>
      <c r="L187" s="5" t="str">
        <f aca="false">IF(AND(F187&gt;=DATE(2026,10,5)+TIME(8,0,0),G187&lt;=DATE(2026,10,5)+TIME(10,0,0),ABS(H187-2)&lt;0.001,TRUE()),"COMPLIANT","EXCEPTION")</f>
        <v>COMPLIANT</v>
      </c>
    </row>
    <row r="188" customFormat="false" ht="27.75" hidden="false" customHeight="true" outlineLevel="0" collapsed="false">
      <c r="A188" s="7" t="n">
        <v>46300</v>
      </c>
      <c r="B188" s="8" t="s">
        <v>21</v>
      </c>
      <c r="C188" s="9" t="s">
        <v>22</v>
      </c>
      <c r="D188" s="9" t="s">
        <v>17</v>
      </c>
      <c r="E188" s="9" t="s">
        <v>18</v>
      </c>
      <c r="F188" s="7" t="n">
        <v>46300.4166666667</v>
      </c>
      <c r="G188" s="7" t="n">
        <v>46300.5416666667</v>
      </c>
      <c r="H188" s="10" t="n">
        <f aca="false">ROUND((G188-F188)*24,2)</f>
        <v>3</v>
      </c>
      <c r="I188" s="9" t="s">
        <v>15</v>
      </c>
      <c r="J188" s="9" t="s">
        <v>23</v>
      </c>
      <c r="K188" s="9" t="s">
        <v>20</v>
      </c>
      <c r="L188" s="9" t="str">
        <f aca="false">IF(AND(F188&gt;=DATE(2026,10,5)+TIME(10,0,0),G188&lt;=DATE(2026,10,5)+TIME(13,0,0),ABS(H188-3)&lt;0.001,AND(F188&gt;=G187,F188-G187&lt;=TIME(0,30,0))),"COMPLIANT","EXCEPTION")</f>
        <v>COMPLIANT</v>
      </c>
    </row>
    <row r="189" customFormat="false" ht="27.75" hidden="false" customHeight="true" outlineLevel="0" collapsed="false">
      <c r="A189" s="3" t="n">
        <v>46300</v>
      </c>
      <c r="B189" s="4" t="s">
        <v>24</v>
      </c>
      <c r="C189" s="5" t="s">
        <v>25</v>
      </c>
      <c r="D189" s="5" t="s">
        <v>17</v>
      </c>
      <c r="E189" s="5" t="s">
        <v>26</v>
      </c>
      <c r="F189" s="3" t="n">
        <v>46300.5416666667</v>
      </c>
      <c r="G189" s="3" t="n">
        <v>46300.5833333333</v>
      </c>
      <c r="H189" s="6" t="n">
        <f aca="false">ROUND((G189-F189)*24,2)</f>
        <v>1</v>
      </c>
      <c r="I189" s="5" t="s">
        <v>21</v>
      </c>
      <c r="J189" s="5" t="s">
        <v>27</v>
      </c>
      <c r="K189" s="5" t="s">
        <v>28</v>
      </c>
      <c r="L189" s="5" t="str">
        <f aca="false">IF(AND(F189&gt;=DATE(2026,10,5)+TIME(13,0,0),G189&lt;=DATE(2026,10,5)+TIME(14,0,0),ABS(H189-1)&lt;0.001,AND(F189&gt;=G188,F189-G188&lt;=TIME(0,30,0))),"COMPLIANT","EXCEPTION")</f>
        <v>COMPLIANT</v>
      </c>
    </row>
    <row r="190" customFormat="false" ht="27.75" hidden="false" customHeight="true" outlineLevel="0" collapsed="false">
      <c r="A190" s="7" t="n">
        <v>46300</v>
      </c>
      <c r="B190" s="8" t="s">
        <v>29</v>
      </c>
      <c r="C190" s="9" t="s">
        <v>30</v>
      </c>
      <c r="D190" s="9" t="s">
        <v>17</v>
      </c>
      <c r="E190" s="9" t="s">
        <v>18</v>
      </c>
      <c r="F190" s="7" t="n">
        <v>46300.5833333333</v>
      </c>
      <c r="G190" s="7" t="n">
        <v>46300.625</v>
      </c>
      <c r="H190" s="10" t="n">
        <f aca="false">ROUND((G190-F190)*24,2)</f>
        <v>1</v>
      </c>
      <c r="I190" s="9" t="s">
        <v>24</v>
      </c>
      <c r="J190" s="9" t="s">
        <v>31</v>
      </c>
      <c r="K190" s="9" t="s">
        <v>28</v>
      </c>
      <c r="L190" s="9" t="str">
        <f aca="false">IF(AND(F190&gt;=DATE(2026,10,5)+TIME(14,0,0),G190&lt;=DATE(2026,10,5)+TIME(15,0,0),ABS(H190-1)&lt;0.001,AND(F190&gt;=G189,F190-G189&lt;=TIME(0,30,0))),"COMPLIANT","EXCEPTION")</f>
        <v>COMPLIANT</v>
      </c>
    </row>
    <row r="191" customFormat="false" ht="27.75" hidden="false" customHeight="true" outlineLevel="0" collapsed="false">
      <c r="A191" s="3" t="n">
        <v>46300</v>
      </c>
      <c r="B191" s="4" t="s">
        <v>32</v>
      </c>
      <c r="C191" s="5" t="s">
        <v>33</v>
      </c>
      <c r="D191" s="5" t="s">
        <v>34</v>
      </c>
      <c r="E191" s="5" t="s">
        <v>35</v>
      </c>
      <c r="F191" s="3" t="n">
        <v>46303.25</v>
      </c>
      <c r="G191" s="3" t="n">
        <v>46303.3333333333</v>
      </c>
      <c r="H191" s="6" t="n">
        <f aca="false">ROUND((G191-F191)*24,2)</f>
        <v>2</v>
      </c>
      <c r="I191" s="5"/>
      <c r="J191" s="5" t="s">
        <v>36</v>
      </c>
      <c r="K191" s="5" t="s">
        <v>26</v>
      </c>
      <c r="L191" s="5" t="str">
        <f aca="false">IF(AND(F191&gt;=DATE(2026,10,8)+TIME(6,0,0),G191&lt;=DATE(2026,10,8)+TIME(8,0,0),ABS(H191-2)&lt;0.001,TRUE()),"COMPLIANT","EXCEPTION")</f>
        <v>COMPLIANT</v>
      </c>
    </row>
    <row r="192" customFormat="false" ht="27.75" hidden="false" customHeight="true" outlineLevel="0" collapsed="false">
      <c r="A192" s="7" t="n">
        <v>46300</v>
      </c>
      <c r="B192" s="8" t="s">
        <v>37</v>
      </c>
      <c r="C192" s="9" t="s">
        <v>38</v>
      </c>
      <c r="D192" s="9" t="s">
        <v>34</v>
      </c>
      <c r="E192" s="9" t="s">
        <v>26</v>
      </c>
      <c r="F192" s="7" t="n">
        <v>46303.3333333333</v>
      </c>
      <c r="G192" s="7" t="n">
        <v>46303.375</v>
      </c>
      <c r="H192" s="10" t="n">
        <f aca="false">ROUND((G192-F192)*24,2)</f>
        <v>1</v>
      </c>
      <c r="I192" s="9" t="s">
        <v>32</v>
      </c>
      <c r="J192" s="9" t="s">
        <v>39</v>
      </c>
      <c r="K192" s="9" t="s">
        <v>28</v>
      </c>
      <c r="L192" s="9" t="str">
        <f aca="false">IF(AND(F192&gt;=DATE(2026,10,8)+TIME(8,0,0),G192&lt;=DATE(2026,10,8)+TIME(9,0,0),ABS(H192-1)&lt;0.001,AND(F192&gt;=G191,F192-G191&lt;=TIME(0,30,0))),"COMPLIANT","EXCEPTION")</f>
        <v>COMPLIANT</v>
      </c>
    </row>
    <row r="193" customFormat="false" ht="27.75" hidden="false" customHeight="true" outlineLevel="0" collapsed="false">
      <c r="A193" s="3" t="n">
        <v>46300</v>
      </c>
      <c r="B193" s="4" t="s">
        <v>40</v>
      </c>
      <c r="C193" s="5" t="s">
        <v>41</v>
      </c>
      <c r="D193" s="5" t="s">
        <v>34</v>
      </c>
      <c r="E193" s="5" t="s">
        <v>26</v>
      </c>
      <c r="F193" s="3" t="n">
        <v>46303.375</v>
      </c>
      <c r="G193" s="3" t="n">
        <v>46303.4166666667</v>
      </c>
      <c r="H193" s="6" t="n">
        <f aca="false">ROUND((G193-F193)*24,2)</f>
        <v>1</v>
      </c>
      <c r="I193" s="5" t="s">
        <v>37</v>
      </c>
      <c r="J193" s="5" t="s">
        <v>41</v>
      </c>
      <c r="K193" s="5" t="s">
        <v>28</v>
      </c>
      <c r="L193" s="5" t="str">
        <f aca="false">IF(AND(F193&gt;=DATE(2026,10,8)+TIME(9,0,0),G193&lt;=DATE(2026,10,8)+TIME(10,0,0),ABS(H193-1)&lt;0.001,AND(F193&gt;=G192,F193-G192&lt;=TIME(0,30,0))),"COMPLIANT","EXCEPTION")</f>
        <v>COMPLIANT</v>
      </c>
    </row>
    <row r="194" customFormat="false" ht="27.75" hidden="false" customHeight="true" outlineLevel="0" collapsed="false">
      <c r="A194" s="7" t="n">
        <v>46300</v>
      </c>
      <c r="B194" s="8" t="s">
        <v>42</v>
      </c>
      <c r="C194" s="9" t="s">
        <v>43</v>
      </c>
      <c r="D194" s="9" t="s">
        <v>44</v>
      </c>
      <c r="E194" s="9" t="s">
        <v>20</v>
      </c>
      <c r="F194" s="7" t="n">
        <v>46301.2916666667</v>
      </c>
      <c r="G194" s="7" t="n">
        <v>46301.4166666667</v>
      </c>
      <c r="H194" s="10" t="n">
        <f aca="false">ROUND((G194-F194)*24,2)</f>
        <v>3</v>
      </c>
      <c r="I194" s="9"/>
      <c r="J194" s="9" t="s">
        <v>45</v>
      </c>
      <c r="K194" s="9" t="s">
        <v>28</v>
      </c>
      <c r="L194" s="9" t="str">
        <f aca="false">IF(AND(F194&gt;=DATE(2026,10,6)+TIME(7,0,0),G194&lt;=DATE(2026,10,6)+TIME(10,0,0),ABS(H194-3)&lt;0.001,TRUE()),"COMPLIANT","EXCEPTION")</f>
        <v>COMPLIANT</v>
      </c>
    </row>
    <row r="195" customFormat="false" ht="27.75" hidden="false" customHeight="true" outlineLevel="0" collapsed="false">
      <c r="A195" s="3" t="n">
        <v>46300</v>
      </c>
      <c r="B195" s="4" t="s">
        <v>46</v>
      </c>
      <c r="C195" s="5" t="s">
        <v>47</v>
      </c>
      <c r="D195" s="5" t="s">
        <v>44</v>
      </c>
      <c r="E195" s="5" t="s">
        <v>20</v>
      </c>
      <c r="F195" s="3" t="n">
        <v>46301.4166666667</v>
      </c>
      <c r="G195" s="3" t="n">
        <v>46301.4583333333</v>
      </c>
      <c r="H195" s="6" t="n">
        <f aca="false">ROUND((G195-F195)*24,2)</f>
        <v>1</v>
      </c>
      <c r="I195" s="5" t="s">
        <v>42</v>
      </c>
      <c r="J195" s="5" t="s">
        <v>48</v>
      </c>
      <c r="K195" s="5" t="s">
        <v>28</v>
      </c>
      <c r="L195" s="5" t="str">
        <f aca="false">IF(AND(F195&gt;=DATE(2026,10,6)+TIME(10,0,0),G195&lt;=DATE(2026,10,6)+TIME(11,0,0),ABS(H195-1)&lt;0.001,AND(F195&gt;=G194,F195-G194&lt;=TIME(0,30,0))),"COMPLIANT","EXCEPTION")</f>
        <v>COMPLIANT</v>
      </c>
    </row>
    <row r="196" customFormat="false" ht="27.75" hidden="false" customHeight="true" outlineLevel="0" collapsed="false">
      <c r="A196" s="7" t="n">
        <v>46300</v>
      </c>
      <c r="B196" s="8" t="s">
        <v>49</v>
      </c>
      <c r="C196" s="9" t="s">
        <v>50</v>
      </c>
      <c r="D196" s="9" t="s">
        <v>44</v>
      </c>
      <c r="E196" s="9" t="s">
        <v>20</v>
      </c>
      <c r="F196" s="7" t="n">
        <v>46301.4583333333</v>
      </c>
      <c r="G196" s="7" t="n">
        <v>46301.5</v>
      </c>
      <c r="H196" s="10" t="n">
        <f aca="false">ROUND((G196-F196)*24,2)</f>
        <v>1</v>
      </c>
      <c r="I196" s="9" t="s">
        <v>46</v>
      </c>
      <c r="J196" s="9" t="s">
        <v>50</v>
      </c>
      <c r="K196" s="9" t="s">
        <v>28</v>
      </c>
      <c r="L196" s="9" t="str">
        <f aca="false">IF(AND(F196&gt;=DATE(2026,10,6)+TIME(11,0,0),G196&lt;=DATE(2026,10,6)+TIME(12,0,0),ABS(H196-1)&lt;0.001,AND(F196&gt;=G195,F196-G195&lt;=TIME(0,30,0))),"COMPLIANT","EXCEPTION")</f>
        <v>COMPLIANT</v>
      </c>
    </row>
    <row r="197" customFormat="false" ht="27.75" hidden="false" customHeight="true" outlineLevel="0" collapsed="false">
      <c r="A197" s="3" t="n">
        <v>46300</v>
      </c>
      <c r="B197" s="4" t="s">
        <v>51</v>
      </c>
      <c r="C197" s="5" t="s">
        <v>52</v>
      </c>
      <c r="D197" s="5" t="s">
        <v>53</v>
      </c>
      <c r="E197" s="5" t="s">
        <v>35</v>
      </c>
      <c r="F197" s="3" t="n">
        <v>46302.2916666667</v>
      </c>
      <c r="G197" s="3" t="n">
        <v>46302.4166666667</v>
      </c>
      <c r="H197" s="6" t="n">
        <f aca="false">ROUND((G197-F197)*24,2)</f>
        <v>3</v>
      </c>
      <c r="I197" s="5"/>
      <c r="J197" s="5" t="s">
        <v>54</v>
      </c>
      <c r="K197" s="5" t="s">
        <v>18</v>
      </c>
      <c r="L197" s="5" t="str">
        <f aca="false">IF(AND(F197&gt;=DATE(2026,10,7)+TIME(7,0,0),G197&lt;=DATE(2026,10,7)+TIME(10,0,0),ABS(H197-3)&lt;0.001,TRUE()),"COMPLIANT","EXCEPTION")</f>
        <v>COMPLIANT</v>
      </c>
    </row>
    <row r="198" customFormat="false" ht="27.75" hidden="false" customHeight="true" outlineLevel="0" collapsed="false">
      <c r="A198" s="7" t="n">
        <v>46300</v>
      </c>
      <c r="B198" s="8" t="s">
        <v>55</v>
      </c>
      <c r="C198" s="9" t="s">
        <v>56</v>
      </c>
      <c r="D198" s="9" t="s">
        <v>53</v>
      </c>
      <c r="E198" s="9" t="s">
        <v>35</v>
      </c>
      <c r="F198" s="7" t="n">
        <v>46302.4166666667</v>
      </c>
      <c r="G198" s="7" t="n">
        <v>46302.5</v>
      </c>
      <c r="H198" s="10" t="n">
        <f aca="false">ROUND((G198-F198)*24,2)</f>
        <v>2</v>
      </c>
      <c r="I198" s="9" t="s">
        <v>51</v>
      </c>
      <c r="J198" s="9" t="s">
        <v>57</v>
      </c>
      <c r="K198" s="9" t="s">
        <v>18</v>
      </c>
      <c r="L198" s="9" t="str">
        <f aca="false">IF(AND(F198&gt;=DATE(2026,10,7)+TIME(10,0,0),G198&lt;=DATE(2026,10,7)+TIME(12,0,0),ABS(H198-2)&lt;0.001,AND(F198&gt;=G197,F198-G197&lt;=TIME(0,30,0))),"COMPLIANT","EXCEPTION")</f>
        <v>COMPLIANT</v>
      </c>
    </row>
    <row r="199" customFormat="false" ht="27.75" hidden="false" customHeight="true" outlineLevel="0" collapsed="false">
      <c r="A199" s="3" t="n">
        <v>46300</v>
      </c>
      <c r="B199" s="4" t="s">
        <v>58</v>
      </c>
      <c r="C199" s="5" t="s">
        <v>59</v>
      </c>
      <c r="D199" s="5" t="s">
        <v>53</v>
      </c>
      <c r="E199" s="5" t="s">
        <v>35</v>
      </c>
      <c r="F199" s="3" t="n">
        <v>46302.5</v>
      </c>
      <c r="G199" s="3" t="n">
        <v>46302.5416666667</v>
      </c>
      <c r="H199" s="6" t="n">
        <f aca="false">ROUND((G199-F199)*24,2)</f>
        <v>1</v>
      </c>
      <c r="I199" s="5" t="s">
        <v>55</v>
      </c>
      <c r="J199" s="5" t="s">
        <v>60</v>
      </c>
      <c r="K199" s="5" t="s">
        <v>18</v>
      </c>
      <c r="L199" s="5" t="str">
        <f aca="false">IF(AND(F199&gt;=DATE(2026,10,7)+TIME(12,0,0),G199&lt;=DATE(2026,10,7)+TIME(13,0,0),ABS(H199-1)&lt;0.001,AND(F199&gt;=G198,F199-G198&lt;=TIME(0,30,0))),"COMPLIANT","EXCEPTION")</f>
        <v>COMPLIANT</v>
      </c>
    </row>
    <row r="200" customFormat="false" ht="27.75" hidden="false" customHeight="true" outlineLevel="0" collapsed="false">
      <c r="A200" s="7" t="n">
        <v>46300</v>
      </c>
      <c r="B200" s="8" t="s">
        <v>61</v>
      </c>
      <c r="C200" s="9" t="s">
        <v>62</v>
      </c>
      <c r="D200" s="9" t="s">
        <v>63</v>
      </c>
      <c r="E200" s="9" t="s">
        <v>26</v>
      </c>
      <c r="F200" s="7" t="n">
        <v>46304.625</v>
      </c>
      <c r="G200" s="7" t="n">
        <v>46304.7083333333</v>
      </c>
      <c r="H200" s="10" t="n">
        <f aca="false">ROUND((G200-F200)*24,2)</f>
        <v>2</v>
      </c>
      <c r="I200" s="9"/>
      <c r="J200" s="9" t="s">
        <v>64</v>
      </c>
      <c r="K200" s="9" t="s">
        <v>28</v>
      </c>
      <c r="L200" s="9" t="str">
        <f aca="false">IF(AND(F200&gt;=DATE(2026,10,9)+TIME(15,0,0),G200&lt;=DATE(2026,10,9)+TIME(17,0,0),ABS(H200-2)&lt;0.001,TRUE()),"COMPLIANT","EXCEPTION")</f>
        <v>COMPLIANT</v>
      </c>
    </row>
  </sheetData>
  <autoFilter ref="A4:L200"/>
  <mergeCells count="1">
    <mergeCell ref="A1:L1"/>
  </mergeCells>
  <conditionalFormatting sqref="L5:L200">
    <cfRule type="cellIs" priority="2" operator="equal" aboveAverage="0" equalAverage="0" bottom="0" percent="0" rank="0" text="" dxfId="6">
      <formula>"EXCEPTION"</formula>
    </cfRule>
    <cfRule type="cellIs" priority="3" operator="equal" aboveAverage="0" equalAverage="0" bottom="0" percent="0" rank="0" text="" dxfId="7">
      <formula>"COMPLIANT"</formula>
    </cfRule>
  </conditionalFormatting>
  <printOptions headings="false" gridLines="false" gridLinesSet="true" horizontalCentered="false" verticalCentered="false"/>
  <pageMargins left="0.2" right="0.2" top="0.35" bottom="0.3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&amp;CAmbergate Analytics export | &amp;D &amp;T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23"/>
  </cols>
  <sheetData>
    <row r="1" customFormat="false" ht="27" hidden="false" customHeight="true" outlineLevel="0" collapsed="false">
      <c r="A1" s="1" t="s">
        <v>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0" t="s">
        <v>66</v>
      </c>
    </row>
    <row r="4" customFormat="false" ht="27.75" hidden="false" customHeight="true" outlineLevel="0" collapsed="false">
      <c r="A4" s="2" t="s">
        <v>3</v>
      </c>
      <c r="B4" s="2" t="s">
        <v>7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</row>
    <row r="5" customFormat="false" ht="15" hidden="false" customHeight="false" outlineLevel="0" collapsed="false">
      <c r="A5" s="11" t="n">
        <v>46209</v>
      </c>
      <c r="B5" s="4" t="s">
        <v>26</v>
      </c>
      <c r="C5" s="12" t="n">
        <f aca="false">ROUND(SUMIFS('Duty Schedule'!$H$5:$H$200,'Duty Schedule'!$A$5:$A$200,A5,'Duty Schedule'!$E$5:$E$200,B5),2)</f>
        <v>5</v>
      </c>
      <c r="D5" s="12" t="n">
        <v>5</v>
      </c>
      <c r="E5" s="5" t="str">
        <f aca="false">IF(C5&lt;=D5,"COMPLIANT","EXCEPTION")</f>
        <v>COMPLIANT</v>
      </c>
      <c r="F5" s="4" t="str">
        <f aca="false">IF(COUNTIFS('Duty Schedule'!$A$5:$A$200,A5,'Duty Schedule'!$E$5:$E$200,B5,'Duty Schedule'!$L$5:$L$200,"EXCEPTION")=0,"COMPLIANT","EXCEPTION")</f>
        <v>COMPLIANT</v>
      </c>
      <c r="G5" s="4" t="str">
        <f aca="false">IF(AND(E5="COMPLIANT",F5="COMPLIANT"),"COMPLIANT","EXCEPTION")</f>
        <v>COMPLIANT</v>
      </c>
    </row>
    <row r="6" customFormat="false" ht="15" hidden="false" customHeight="false" outlineLevel="0" collapsed="false">
      <c r="A6" s="13" t="n">
        <v>46209</v>
      </c>
      <c r="B6" s="8" t="s">
        <v>18</v>
      </c>
      <c r="C6" s="14" t="n">
        <f aca="false">ROUND(SUMIFS('Duty Schedule'!$H$5:$H$200,'Duty Schedule'!$A$5:$A$200,A6,'Duty Schedule'!$E$5:$E$200,B6),2)</f>
        <v>6</v>
      </c>
      <c r="D6" s="14" t="n">
        <v>7</v>
      </c>
      <c r="E6" s="9" t="str">
        <f aca="false">IF(C6&lt;=D6,"COMPLIANT","EXCEPTION")</f>
        <v>COMPLIANT</v>
      </c>
      <c r="F6" s="8" t="str">
        <f aca="false">IF(COUNTIFS('Duty Schedule'!$A$5:$A$200,A6,'Duty Schedule'!$E$5:$E$200,B6,'Duty Schedule'!$L$5:$L$200,"EXCEPTION")=0,"COMPLIANT","EXCEPTION")</f>
        <v>COMPLIANT</v>
      </c>
      <c r="G6" s="8" t="str">
        <f aca="false">IF(AND(E6="COMPLIANT",F6="COMPLIANT"),"COMPLIANT","EXCEPTION")</f>
        <v>COMPLIANT</v>
      </c>
    </row>
    <row r="7" customFormat="false" ht="15" hidden="false" customHeight="false" outlineLevel="0" collapsed="false">
      <c r="A7" s="11" t="n">
        <v>46209</v>
      </c>
      <c r="B7" s="4" t="s">
        <v>20</v>
      </c>
      <c r="C7" s="12" t="n">
        <f aca="false">ROUND(SUMIFS('Duty Schedule'!$H$5:$H$200,'Duty Schedule'!$A$5:$A$200,A7,'Duty Schedule'!$E$5:$E$200,B7),2)</f>
        <v>5</v>
      </c>
      <c r="D7" s="12" t="n">
        <v>6</v>
      </c>
      <c r="E7" s="5" t="str">
        <f aca="false">IF(C7&lt;=D7,"COMPLIANT","EXCEPTION")</f>
        <v>COMPLIANT</v>
      </c>
      <c r="F7" s="4" t="str">
        <f aca="false">IF(COUNTIFS('Duty Schedule'!$A$5:$A$200,A7,'Duty Schedule'!$E$5:$E$200,B7,'Duty Schedule'!$L$5:$L$200,"EXCEPTION")=0,"COMPLIANT","EXCEPTION")</f>
        <v>COMPLIANT</v>
      </c>
      <c r="G7" s="4" t="str">
        <f aca="false">IF(AND(E7="COMPLIANT",F7="COMPLIANT"),"COMPLIANT","EXCEPTION")</f>
        <v>COMPLIANT</v>
      </c>
    </row>
    <row r="8" customFormat="false" ht="15" hidden="false" customHeight="false" outlineLevel="0" collapsed="false">
      <c r="A8" s="13" t="n">
        <v>46209</v>
      </c>
      <c r="B8" s="8" t="s">
        <v>35</v>
      </c>
      <c r="C8" s="14" t="n">
        <f aca="false">ROUND(SUMIFS('Duty Schedule'!$H$5:$H$200,'Duty Schedule'!$A$5:$A$200,A8,'Duty Schedule'!$E$5:$E$200,B8),2)</f>
        <v>8</v>
      </c>
      <c r="D8" s="14" t="n">
        <v>8</v>
      </c>
      <c r="E8" s="9" t="str">
        <f aca="false">IF(C8&lt;=D8,"COMPLIANT","EXCEPTION")</f>
        <v>COMPLIANT</v>
      </c>
      <c r="F8" s="8" t="str">
        <f aca="false">IF(COUNTIFS('Duty Schedule'!$A$5:$A$200,A8,'Duty Schedule'!$E$5:$E$200,B8,'Duty Schedule'!$L$5:$L$200,"EXCEPTION")=0,"COMPLIANT","EXCEPTION")</f>
        <v>COMPLIANT</v>
      </c>
      <c r="G8" s="8" t="str">
        <f aca="false">IF(AND(E8="COMPLIANT",F8="COMPLIANT"),"COMPLIANT","EXCEPTION")</f>
        <v>COMPLIANT</v>
      </c>
    </row>
    <row r="9" customFormat="false" ht="15" hidden="false" customHeight="false" outlineLevel="0" collapsed="false">
      <c r="A9" s="11" t="n">
        <v>46216</v>
      </c>
      <c r="B9" s="4" t="s">
        <v>26</v>
      </c>
      <c r="C9" s="12" t="n">
        <f aca="false">ROUND(SUMIFS('Duty Schedule'!$H$5:$H$200,'Duty Schedule'!$A$5:$A$200,A9,'Duty Schedule'!$E$5:$E$200,B9),2)</f>
        <v>5</v>
      </c>
      <c r="D9" s="12" t="n">
        <v>5</v>
      </c>
      <c r="E9" s="5" t="str">
        <f aca="false">IF(C9&lt;=D9,"COMPLIANT","EXCEPTION")</f>
        <v>COMPLIANT</v>
      </c>
      <c r="F9" s="4" t="str">
        <f aca="false">IF(COUNTIFS('Duty Schedule'!$A$5:$A$200,A9,'Duty Schedule'!$E$5:$E$200,B9,'Duty Schedule'!$L$5:$L$200,"EXCEPTION")=0,"COMPLIANT","EXCEPTION")</f>
        <v>COMPLIANT</v>
      </c>
      <c r="G9" s="4" t="str">
        <f aca="false">IF(AND(E9="COMPLIANT",F9="COMPLIANT"),"COMPLIANT","EXCEPTION")</f>
        <v>COMPLIANT</v>
      </c>
    </row>
    <row r="10" customFormat="false" ht="15" hidden="false" customHeight="false" outlineLevel="0" collapsed="false">
      <c r="A10" s="13" t="n">
        <v>46216</v>
      </c>
      <c r="B10" s="8" t="s">
        <v>18</v>
      </c>
      <c r="C10" s="14" t="n">
        <f aca="false">ROUND(SUMIFS('Duty Schedule'!$H$5:$H$200,'Duty Schedule'!$A$5:$A$200,A10,'Duty Schedule'!$E$5:$E$200,B10),2)</f>
        <v>6</v>
      </c>
      <c r="D10" s="14" t="n">
        <v>7</v>
      </c>
      <c r="E10" s="9" t="str">
        <f aca="false">IF(C10&lt;=D10,"COMPLIANT","EXCEPTION")</f>
        <v>COMPLIANT</v>
      </c>
      <c r="F10" s="8" t="str">
        <f aca="false">IF(COUNTIFS('Duty Schedule'!$A$5:$A$200,A10,'Duty Schedule'!$E$5:$E$200,B10,'Duty Schedule'!$L$5:$L$200,"EXCEPTION")=0,"COMPLIANT","EXCEPTION")</f>
        <v>COMPLIANT</v>
      </c>
      <c r="G10" s="8" t="str">
        <f aca="false">IF(AND(E10="COMPLIANT",F10="COMPLIANT"),"COMPLIANT","EXCEPTION")</f>
        <v>COMPLIANT</v>
      </c>
    </row>
    <row r="11" customFormat="false" ht="15" hidden="false" customHeight="false" outlineLevel="0" collapsed="false">
      <c r="A11" s="11" t="n">
        <v>46216</v>
      </c>
      <c r="B11" s="4" t="s">
        <v>20</v>
      </c>
      <c r="C11" s="12" t="n">
        <f aca="false">ROUND(SUMIFS('Duty Schedule'!$H$5:$H$200,'Duty Schedule'!$A$5:$A$200,A11,'Duty Schedule'!$E$5:$E$200,B11),2)</f>
        <v>5</v>
      </c>
      <c r="D11" s="12" t="n">
        <v>6</v>
      </c>
      <c r="E11" s="5" t="str">
        <f aca="false">IF(C11&lt;=D11,"COMPLIANT","EXCEPTION")</f>
        <v>COMPLIANT</v>
      </c>
      <c r="F11" s="4" t="str">
        <f aca="false">IF(COUNTIFS('Duty Schedule'!$A$5:$A$200,A11,'Duty Schedule'!$E$5:$E$200,B11,'Duty Schedule'!$L$5:$L$200,"EXCEPTION")=0,"COMPLIANT","EXCEPTION")</f>
        <v>COMPLIANT</v>
      </c>
      <c r="G11" s="4" t="str">
        <f aca="false">IF(AND(E11="COMPLIANT",F11="COMPLIANT"),"COMPLIANT","EXCEPTION")</f>
        <v>COMPLIANT</v>
      </c>
    </row>
    <row r="12" customFormat="false" ht="15" hidden="false" customHeight="false" outlineLevel="0" collapsed="false">
      <c r="A12" s="13" t="n">
        <v>46216</v>
      </c>
      <c r="B12" s="8" t="s">
        <v>35</v>
      </c>
      <c r="C12" s="14" t="n">
        <f aca="false">ROUND(SUMIFS('Duty Schedule'!$H$5:$H$200,'Duty Schedule'!$A$5:$A$200,A12,'Duty Schedule'!$E$5:$E$200,B12),2)</f>
        <v>8</v>
      </c>
      <c r="D12" s="14" t="n">
        <v>8</v>
      </c>
      <c r="E12" s="9" t="str">
        <f aca="false">IF(C12&lt;=D12,"COMPLIANT","EXCEPTION")</f>
        <v>COMPLIANT</v>
      </c>
      <c r="F12" s="8" t="str">
        <f aca="false">IF(COUNTIFS('Duty Schedule'!$A$5:$A$200,A12,'Duty Schedule'!$E$5:$E$200,B12,'Duty Schedule'!$L$5:$L$200,"EXCEPTION")=0,"COMPLIANT","EXCEPTION")</f>
        <v>COMPLIANT</v>
      </c>
      <c r="G12" s="8" t="str">
        <f aca="false">IF(AND(E12="COMPLIANT",F12="COMPLIANT"),"COMPLIANT","EXCEPTION")</f>
        <v>COMPLIANT</v>
      </c>
    </row>
    <row r="13" customFormat="false" ht="15" hidden="false" customHeight="false" outlineLevel="0" collapsed="false">
      <c r="A13" s="11" t="n">
        <v>46223</v>
      </c>
      <c r="B13" s="4" t="s">
        <v>26</v>
      </c>
      <c r="C13" s="12" t="n">
        <f aca="false">ROUND(SUMIFS('Duty Schedule'!$H$5:$H$200,'Duty Schedule'!$A$5:$A$200,A13,'Duty Schedule'!$E$5:$E$200,B13),2)</f>
        <v>5</v>
      </c>
      <c r="D13" s="12" t="n">
        <v>5</v>
      </c>
      <c r="E13" s="5" t="str">
        <f aca="false">IF(C13&lt;=D13,"COMPLIANT","EXCEPTION")</f>
        <v>COMPLIANT</v>
      </c>
      <c r="F13" s="4" t="str">
        <f aca="false">IF(COUNTIFS('Duty Schedule'!$A$5:$A$200,A13,'Duty Schedule'!$E$5:$E$200,B13,'Duty Schedule'!$L$5:$L$200,"EXCEPTION")=0,"COMPLIANT","EXCEPTION")</f>
        <v>COMPLIANT</v>
      </c>
      <c r="G13" s="4" t="str">
        <f aca="false">IF(AND(E13="COMPLIANT",F13="COMPLIANT"),"COMPLIANT","EXCEPTION")</f>
        <v>COMPLIANT</v>
      </c>
    </row>
    <row r="14" customFormat="false" ht="15" hidden="false" customHeight="false" outlineLevel="0" collapsed="false">
      <c r="A14" s="13" t="n">
        <v>46223</v>
      </c>
      <c r="B14" s="8" t="s">
        <v>18</v>
      </c>
      <c r="C14" s="14" t="n">
        <f aca="false">ROUND(SUMIFS('Duty Schedule'!$H$5:$H$200,'Duty Schedule'!$A$5:$A$200,A14,'Duty Schedule'!$E$5:$E$200,B14),2)</f>
        <v>6</v>
      </c>
      <c r="D14" s="14" t="n">
        <v>7</v>
      </c>
      <c r="E14" s="9" t="str">
        <f aca="false">IF(C14&lt;=D14,"COMPLIANT","EXCEPTION")</f>
        <v>COMPLIANT</v>
      </c>
      <c r="F14" s="8" t="str">
        <f aca="false">IF(COUNTIFS('Duty Schedule'!$A$5:$A$200,A14,'Duty Schedule'!$E$5:$E$200,B14,'Duty Schedule'!$L$5:$L$200,"EXCEPTION")=0,"COMPLIANT","EXCEPTION")</f>
        <v>COMPLIANT</v>
      </c>
      <c r="G14" s="8" t="str">
        <f aca="false">IF(AND(E14="COMPLIANT",F14="COMPLIANT"),"COMPLIANT","EXCEPTION")</f>
        <v>COMPLIANT</v>
      </c>
    </row>
    <row r="15" customFormat="false" ht="15" hidden="false" customHeight="false" outlineLevel="0" collapsed="false">
      <c r="A15" s="11" t="n">
        <v>46223</v>
      </c>
      <c r="B15" s="4" t="s">
        <v>20</v>
      </c>
      <c r="C15" s="12" t="n">
        <f aca="false">ROUND(SUMIFS('Duty Schedule'!$H$5:$H$200,'Duty Schedule'!$A$5:$A$200,A15,'Duty Schedule'!$E$5:$E$200,B15),2)</f>
        <v>5</v>
      </c>
      <c r="D15" s="12" t="n">
        <v>6</v>
      </c>
      <c r="E15" s="5" t="str">
        <f aca="false">IF(C15&lt;=D15,"COMPLIANT","EXCEPTION")</f>
        <v>COMPLIANT</v>
      </c>
      <c r="F15" s="4" t="str">
        <f aca="false">IF(COUNTIFS('Duty Schedule'!$A$5:$A$200,A15,'Duty Schedule'!$E$5:$E$200,B15,'Duty Schedule'!$L$5:$L$200,"EXCEPTION")=0,"COMPLIANT","EXCEPTION")</f>
        <v>COMPLIANT</v>
      </c>
      <c r="G15" s="4" t="str">
        <f aca="false">IF(AND(E15="COMPLIANT",F15="COMPLIANT"),"COMPLIANT","EXCEPTION")</f>
        <v>COMPLIANT</v>
      </c>
    </row>
    <row r="16" customFormat="false" ht="15" hidden="false" customHeight="false" outlineLevel="0" collapsed="false">
      <c r="A16" s="13" t="n">
        <v>46223</v>
      </c>
      <c r="B16" s="8" t="s">
        <v>35</v>
      </c>
      <c r="C16" s="14" t="n">
        <f aca="false">ROUND(SUMIFS('Duty Schedule'!$H$5:$H$200,'Duty Schedule'!$A$5:$A$200,A16,'Duty Schedule'!$E$5:$E$200,B16),2)</f>
        <v>8</v>
      </c>
      <c r="D16" s="14" t="n">
        <v>8</v>
      </c>
      <c r="E16" s="9" t="str">
        <f aca="false">IF(C16&lt;=D16,"COMPLIANT","EXCEPTION")</f>
        <v>COMPLIANT</v>
      </c>
      <c r="F16" s="8" t="str">
        <f aca="false">IF(COUNTIFS('Duty Schedule'!$A$5:$A$200,A16,'Duty Schedule'!$E$5:$E$200,B16,'Duty Schedule'!$L$5:$L$200,"EXCEPTION")=0,"COMPLIANT","EXCEPTION")</f>
        <v>COMPLIANT</v>
      </c>
      <c r="G16" s="8" t="str">
        <f aca="false">IF(AND(E16="COMPLIANT",F16="COMPLIANT"),"COMPLIANT","EXCEPTION")</f>
        <v>COMPLIANT</v>
      </c>
    </row>
    <row r="17" customFormat="false" ht="15" hidden="false" customHeight="false" outlineLevel="0" collapsed="false">
      <c r="A17" s="11" t="n">
        <v>46230</v>
      </c>
      <c r="B17" s="4" t="s">
        <v>26</v>
      </c>
      <c r="C17" s="12" t="n">
        <f aca="false">ROUND(SUMIFS('Duty Schedule'!$H$5:$H$200,'Duty Schedule'!$A$5:$A$200,A17,'Duty Schedule'!$E$5:$E$200,B17),2)</f>
        <v>5</v>
      </c>
      <c r="D17" s="12" t="n">
        <v>5</v>
      </c>
      <c r="E17" s="5" t="str">
        <f aca="false">IF(C17&lt;=D17,"COMPLIANT","EXCEPTION")</f>
        <v>COMPLIANT</v>
      </c>
      <c r="F17" s="4" t="str">
        <f aca="false">IF(COUNTIFS('Duty Schedule'!$A$5:$A$200,A17,'Duty Schedule'!$E$5:$E$200,B17,'Duty Schedule'!$L$5:$L$200,"EXCEPTION")=0,"COMPLIANT","EXCEPTION")</f>
        <v>COMPLIANT</v>
      </c>
      <c r="G17" s="4" t="str">
        <f aca="false">IF(AND(E17="COMPLIANT",F17="COMPLIANT"),"COMPLIANT","EXCEPTION")</f>
        <v>COMPLIANT</v>
      </c>
    </row>
    <row r="18" customFormat="false" ht="15" hidden="false" customHeight="false" outlineLevel="0" collapsed="false">
      <c r="A18" s="13" t="n">
        <v>46230</v>
      </c>
      <c r="B18" s="8" t="s">
        <v>18</v>
      </c>
      <c r="C18" s="14" t="n">
        <f aca="false">ROUND(SUMIFS('Duty Schedule'!$H$5:$H$200,'Duty Schedule'!$A$5:$A$200,A18,'Duty Schedule'!$E$5:$E$200,B18),2)</f>
        <v>6</v>
      </c>
      <c r="D18" s="14" t="n">
        <v>7</v>
      </c>
      <c r="E18" s="9" t="str">
        <f aca="false">IF(C18&lt;=D18,"COMPLIANT","EXCEPTION")</f>
        <v>COMPLIANT</v>
      </c>
      <c r="F18" s="8" t="str">
        <f aca="false">IF(COUNTIFS('Duty Schedule'!$A$5:$A$200,A18,'Duty Schedule'!$E$5:$E$200,B18,'Duty Schedule'!$L$5:$L$200,"EXCEPTION")=0,"COMPLIANT","EXCEPTION")</f>
        <v>COMPLIANT</v>
      </c>
      <c r="G18" s="8" t="str">
        <f aca="false">IF(AND(E18="COMPLIANT",F18="COMPLIANT"),"COMPLIANT","EXCEPTION")</f>
        <v>COMPLIANT</v>
      </c>
    </row>
    <row r="19" customFormat="false" ht="15" hidden="false" customHeight="false" outlineLevel="0" collapsed="false">
      <c r="A19" s="11" t="n">
        <v>46230</v>
      </c>
      <c r="B19" s="4" t="s">
        <v>20</v>
      </c>
      <c r="C19" s="12" t="n">
        <f aca="false">ROUND(SUMIFS('Duty Schedule'!$H$5:$H$200,'Duty Schedule'!$A$5:$A$200,A19,'Duty Schedule'!$E$5:$E$200,B19),2)</f>
        <v>5</v>
      </c>
      <c r="D19" s="12" t="n">
        <v>6</v>
      </c>
      <c r="E19" s="5" t="str">
        <f aca="false">IF(C19&lt;=D19,"COMPLIANT","EXCEPTION")</f>
        <v>COMPLIANT</v>
      </c>
      <c r="F19" s="4" t="str">
        <f aca="false">IF(COUNTIFS('Duty Schedule'!$A$5:$A$200,A19,'Duty Schedule'!$E$5:$E$200,B19,'Duty Schedule'!$L$5:$L$200,"EXCEPTION")=0,"COMPLIANT","EXCEPTION")</f>
        <v>COMPLIANT</v>
      </c>
      <c r="G19" s="4" t="str">
        <f aca="false">IF(AND(E19="COMPLIANT",F19="COMPLIANT"),"COMPLIANT","EXCEPTION")</f>
        <v>COMPLIANT</v>
      </c>
    </row>
    <row r="20" customFormat="false" ht="15" hidden="false" customHeight="false" outlineLevel="0" collapsed="false">
      <c r="A20" s="13" t="n">
        <v>46230</v>
      </c>
      <c r="B20" s="8" t="s">
        <v>35</v>
      </c>
      <c r="C20" s="14" t="n">
        <f aca="false">ROUND(SUMIFS('Duty Schedule'!$H$5:$H$200,'Duty Schedule'!$A$5:$A$200,A20,'Duty Schedule'!$E$5:$E$200,B20),2)</f>
        <v>8</v>
      </c>
      <c r="D20" s="14" t="n">
        <v>8</v>
      </c>
      <c r="E20" s="9" t="str">
        <f aca="false">IF(C20&lt;=D20,"COMPLIANT","EXCEPTION")</f>
        <v>COMPLIANT</v>
      </c>
      <c r="F20" s="8" t="str">
        <f aca="false">IF(COUNTIFS('Duty Schedule'!$A$5:$A$200,A20,'Duty Schedule'!$E$5:$E$200,B20,'Duty Schedule'!$L$5:$L$200,"EXCEPTION")=0,"COMPLIANT","EXCEPTION")</f>
        <v>COMPLIANT</v>
      </c>
      <c r="G20" s="8" t="str">
        <f aca="false">IF(AND(E20="COMPLIANT",F20="COMPLIANT"),"COMPLIANT","EXCEPTION")</f>
        <v>COMPLIANT</v>
      </c>
    </row>
    <row r="21" customFormat="false" ht="15" hidden="false" customHeight="false" outlineLevel="0" collapsed="false">
      <c r="A21" s="11" t="n">
        <v>46237</v>
      </c>
      <c r="B21" s="4" t="s">
        <v>26</v>
      </c>
      <c r="C21" s="12" t="n">
        <f aca="false">ROUND(SUMIFS('Duty Schedule'!$H$5:$H$200,'Duty Schedule'!$A$5:$A$200,A21,'Duty Schedule'!$E$5:$E$200,B21),2)</f>
        <v>5</v>
      </c>
      <c r="D21" s="12" t="n">
        <v>5</v>
      </c>
      <c r="E21" s="5" t="str">
        <f aca="false">IF(C21&lt;=D21,"COMPLIANT","EXCEPTION")</f>
        <v>COMPLIANT</v>
      </c>
      <c r="F21" s="4" t="str">
        <f aca="false">IF(COUNTIFS('Duty Schedule'!$A$5:$A$200,A21,'Duty Schedule'!$E$5:$E$200,B21,'Duty Schedule'!$L$5:$L$200,"EXCEPTION")=0,"COMPLIANT","EXCEPTION")</f>
        <v>COMPLIANT</v>
      </c>
      <c r="G21" s="4" t="str">
        <f aca="false">IF(AND(E21="COMPLIANT",F21="COMPLIANT"),"COMPLIANT","EXCEPTION")</f>
        <v>COMPLIANT</v>
      </c>
    </row>
    <row r="22" customFormat="false" ht="15" hidden="false" customHeight="false" outlineLevel="0" collapsed="false">
      <c r="A22" s="13" t="n">
        <v>46237</v>
      </c>
      <c r="B22" s="8" t="s">
        <v>18</v>
      </c>
      <c r="C22" s="14" t="n">
        <f aca="false">ROUND(SUMIFS('Duty Schedule'!$H$5:$H$200,'Duty Schedule'!$A$5:$A$200,A22,'Duty Schedule'!$E$5:$E$200,B22),2)</f>
        <v>6</v>
      </c>
      <c r="D22" s="14" t="n">
        <v>7</v>
      </c>
      <c r="E22" s="9" t="str">
        <f aca="false">IF(C22&lt;=D22,"COMPLIANT","EXCEPTION")</f>
        <v>COMPLIANT</v>
      </c>
      <c r="F22" s="8" t="str">
        <f aca="false">IF(COUNTIFS('Duty Schedule'!$A$5:$A$200,A22,'Duty Schedule'!$E$5:$E$200,B22,'Duty Schedule'!$L$5:$L$200,"EXCEPTION")=0,"COMPLIANT","EXCEPTION")</f>
        <v>COMPLIANT</v>
      </c>
      <c r="G22" s="8" t="str">
        <f aca="false">IF(AND(E22="COMPLIANT",F22="COMPLIANT"),"COMPLIANT","EXCEPTION")</f>
        <v>COMPLIANT</v>
      </c>
    </row>
    <row r="23" customFormat="false" ht="15" hidden="false" customHeight="false" outlineLevel="0" collapsed="false">
      <c r="A23" s="11" t="n">
        <v>46237</v>
      </c>
      <c r="B23" s="4" t="s">
        <v>20</v>
      </c>
      <c r="C23" s="12" t="n">
        <f aca="false">ROUND(SUMIFS('Duty Schedule'!$H$5:$H$200,'Duty Schedule'!$A$5:$A$200,A23,'Duty Schedule'!$E$5:$E$200,B23),2)</f>
        <v>5</v>
      </c>
      <c r="D23" s="12" t="n">
        <v>6</v>
      </c>
      <c r="E23" s="5" t="str">
        <f aca="false">IF(C23&lt;=D23,"COMPLIANT","EXCEPTION")</f>
        <v>COMPLIANT</v>
      </c>
      <c r="F23" s="4" t="str">
        <f aca="false">IF(COUNTIFS('Duty Schedule'!$A$5:$A$200,A23,'Duty Schedule'!$E$5:$E$200,B23,'Duty Schedule'!$L$5:$L$200,"EXCEPTION")=0,"COMPLIANT","EXCEPTION")</f>
        <v>COMPLIANT</v>
      </c>
      <c r="G23" s="4" t="str">
        <f aca="false">IF(AND(E23="COMPLIANT",F23="COMPLIANT"),"COMPLIANT","EXCEPTION")</f>
        <v>COMPLIANT</v>
      </c>
    </row>
    <row r="24" customFormat="false" ht="15" hidden="false" customHeight="false" outlineLevel="0" collapsed="false">
      <c r="A24" s="13" t="n">
        <v>46237</v>
      </c>
      <c r="B24" s="8" t="s">
        <v>35</v>
      </c>
      <c r="C24" s="14" t="n">
        <f aca="false">ROUND(SUMIFS('Duty Schedule'!$H$5:$H$200,'Duty Schedule'!$A$5:$A$200,A24,'Duty Schedule'!$E$5:$E$200,B24),2)</f>
        <v>8</v>
      </c>
      <c r="D24" s="14" t="n">
        <v>8</v>
      </c>
      <c r="E24" s="9" t="str">
        <f aca="false">IF(C24&lt;=D24,"COMPLIANT","EXCEPTION")</f>
        <v>COMPLIANT</v>
      </c>
      <c r="F24" s="8" t="str">
        <f aca="false">IF(COUNTIFS('Duty Schedule'!$A$5:$A$200,A24,'Duty Schedule'!$E$5:$E$200,B24,'Duty Schedule'!$L$5:$L$200,"EXCEPTION")=0,"COMPLIANT","EXCEPTION")</f>
        <v>COMPLIANT</v>
      </c>
      <c r="G24" s="8" t="str">
        <f aca="false">IF(AND(E24="COMPLIANT",F24="COMPLIANT"),"COMPLIANT","EXCEPTION")</f>
        <v>COMPLIANT</v>
      </c>
    </row>
    <row r="25" customFormat="false" ht="15" hidden="false" customHeight="false" outlineLevel="0" collapsed="false">
      <c r="A25" s="11" t="n">
        <v>46244</v>
      </c>
      <c r="B25" s="4" t="s">
        <v>26</v>
      </c>
      <c r="C25" s="12" t="n">
        <f aca="false">ROUND(SUMIFS('Duty Schedule'!$H$5:$H$200,'Duty Schedule'!$A$5:$A$200,A25,'Duty Schedule'!$E$5:$E$200,B25),2)</f>
        <v>5</v>
      </c>
      <c r="D25" s="12" t="n">
        <v>5</v>
      </c>
      <c r="E25" s="5" t="str">
        <f aca="false">IF(C25&lt;=D25,"COMPLIANT","EXCEPTION")</f>
        <v>COMPLIANT</v>
      </c>
      <c r="F25" s="4" t="str">
        <f aca="false">IF(COUNTIFS('Duty Schedule'!$A$5:$A$200,A25,'Duty Schedule'!$E$5:$E$200,B25,'Duty Schedule'!$L$5:$L$200,"EXCEPTION")=0,"COMPLIANT","EXCEPTION")</f>
        <v>COMPLIANT</v>
      </c>
      <c r="G25" s="4" t="str">
        <f aca="false">IF(AND(E25="COMPLIANT",F25="COMPLIANT"),"COMPLIANT","EXCEPTION")</f>
        <v>COMPLIANT</v>
      </c>
    </row>
    <row r="26" customFormat="false" ht="15" hidden="false" customHeight="false" outlineLevel="0" collapsed="false">
      <c r="A26" s="13" t="n">
        <v>46244</v>
      </c>
      <c r="B26" s="8" t="s">
        <v>18</v>
      </c>
      <c r="C26" s="14" t="n">
        <f aca="false">ROUND(SUMIFS('Duty Schedule'!$H$5:$H$200,'Duty Schedule'!$A$5:$A$200,A26,'Duty Schedule'!$E$5:$E$200,B26),2)</f>
        <v>6</v>
      </c>
      <c r="D26" s="14" t="n">
        <v>7</v>
      </c>
      <c r="E26" s="9" t="str">
        <f aca="false">IF(C26&lt;=D26,"COMPLIANT","EXCEPTION")</f>
        <v>COMPLIANT</v>
      </c>
      <c r="F26" s="8" t="str">
        <f aca="false">IF(COUNTIFS('Duty Schedule'!$A$5:$A$200,A26,'Duty Schedule'!$E$5:$E$200,B26,'Duty Schedule'!$L$5:$L$200,"EXCEPTION")=0,"COMPLIANT","EXCEPTION")</f>
        <v>COMPLIANT</v>
      </c>
      <c r="G26" s="8" t="str">
        <f aca="false">IF(AND(E26="COMPLIANT",F26="COMPLIANT"),"COMPLIANT","EXCEPTION")</f>
        <v>COMPLIANT</v>
      </c>
    </row>
    <row r="27" customFormat="false" ht="15" hidden="false" customHeight="false" outlineLevel="0" collapsed="false">
      <c r="A27" s="11" t="n">
        <v>46244</v>
      </c>
      <c r="B27" s="4" t="s">
        <v>20</v>
      </c>
      <c r="C27" s="12" t="n">
        <f aca="false">ROUND(SUMIFS('Duty Schedule'!$H$5:$H$200,'Duty Schedule'!$A$5:$A$200,A27,'Duty Schedule'!$E$5:$E$200,B27),2)</f>
        <v>5</v>
      </c>
      <c r="D27" s="12" t="n">
        <v>6</v>
      </c>
      <c r="E27" s="5" t="str">
        <f aca="false">IF(C27&lt;=D27,"COMPLIANT","EXCEPTION")</f>
        <v>COMPLIANT</v>
      </c>
      <c r="F27" s="4" t="str">
        <f aca="false">IF(COUNTIFS('Duty Schedule'!$A$5:$A$200,A27,'Duty Schedule'!$E$5:$E$200,B27,'Duty Schedule'!$L$5:$L$200,"EXCEPTION")=0,"COMPLIANT","EXCEPTION")</f>
        <v>COMPLIANT</v>
      </c>
      <c r="G27" s="4" t="str">
        <f aca="false">IF(AND(E27="COMPLIANT",F27="COMPLIANT"),"COMPLIANT","EXCEPTION")</f>
        <v>COMPLIANT</v>
      </c>
    </row>
    <row r="28" customFormat="false" ht="15" hidden="false" customHeight="false" outlineLevel="0" collapsed="false">
      <c r="A28" s="13" t="n">
        <v>46244</v>
      </c>
      <c r="B28" s="8" t="s">
        <v>35</v>
      </c>
      <c r="C28" s="14" t="n">
        <f aca="false">ROUND(SUMIFS('Duty Schedule'!$H$5:$H$200,'Duty Schedule'!$A$5:$A$200,A28,'Duty Schedule'!$E$5:$E$200,B28),2)</f>
        <v>8</v>
      </c>
      <c r="D28" s="14" t="n">
        <v>8</v>
      </c>
      <c r="E28" s="9" t="str">
        <f aca="false">IF(C28&lt;=D28,"COMPLIANT","EXCEPTION")</f>
        <v>COMPLIANT</v>
      </c>
      <c r="F28" s="8" t="str">
        <f aca="false">IF(COUNTIFS('Duty Schedule'!$A$5:$A$200,A28,'Duty Schedule'!$E$5:$E$200,B28,'Duty Schedule'!$L$5:$L$200,"EXCEPTION")=0,"COMPLIANT","EXCEPTION")</f>
        <v>COMPLIANT</v>
      </c>
      <c r="G28" s="8" t="str">
        <f aca="false">IF(AND(E28="COMPLIANT",F28="COMPLIANT"),"COMPLIANT","EXCEPTION")</f>
        <v>COMPLIANT</v>
      </c>
    </row>
    <row r="29" customFormat="false" ht="15" hidden="false" customHeight="false" outlineLevel="0" collapsed="false">
      <c r="A29" s="11" t="n">
        <v>46251</v>
      </c>
      <c r="B29" s="4" t="s">
        <v>26</v>
      </c>
      <c r="C29" s="12" t="n">
        <f aca="false">ROUND(SUMIFS('Duty Schedule'!$H$5:$H$200,'Duty Schedule'!$A$5:$A$200,A29,'Duty Schedule'!$E$5:$E$200,B29),2)</f>
        <v>5</v>
      </c>
      <c r="D29" s="12" t="n">
        <v>5</v>
      </c>
      <c r="E29" s="5" t="str">
        <f aca="false">IF(C29&lt;=D29,"COMPLIANT","EXCEPTION")</f>
        <v>COMPLIANT</v>
      </c>
      <c r="F29" s="4" t="str">
        <f aca="false">IF(COUNTIFS('Duty Schedule'!$A$5:$A$200,A29,'Duty Schedule'!$E$5:$E$200,B29,'Duty Schedule'!$L$5:$L$200,"EXCEPTION")=0,"COMPLIANT","EXCEPTION")</f>
        <v>COMPLIANT</v>
      </c>
      <c r="G29" s="4" t="str">
        <f aca="false">IF(AND(E29="COMPLIANT",F29="COMPLIANT"),"COMPLIANT","EXCEPTION")</f>
        <v>COMPLIANT</v>
      </c>
    </row>
    <row r="30" customFormat="false" ht="15" hidden="false" customHeight="false" outlineLevel="0" collapsed="false">
      <c r="A30" s="13" t="n">
        <v>46251</v>
      </c>
      <c r="B30" s="8" t="s">
        <v>18</v>
      </c>
      <c r="C30" s="14" t="n">
        <f aca="false">ROUND(SUMIFS('Duty Schedule'!$H$5:$H$200,'Duty Schedule'!$A$5:$A$200,A30,'Duty Schedule'!$E$5:$E$200,B30),2)</f>
        <v>6</v>
      </c>
      <c r="D30" s="14" t="n">
        <v>7</v>
      </c>
      <c r="E30" s="9" t="str">
        <f aca="false">IF(C30&lt;=D30,"COMPLIANT","EXCEPTION")</f>
        <v>COMPLIANT</v>
      </c>
      <c r="F30" s="8" t="str">
        <f aca="false">IF(COUNTIFS('Duty Schedule'!$A$5:$A$200,A30,'Duty Schedule'!$E$5:$E$200,B30,'Duty Schedule'!$L$5:$L$200,"EXCEPTION")=0,"COMPLIANT","EXCEPTION")</f>
        <v>COMPLIANT</v>
      </c>
      <c r="G30" s="8" t="str">
        <f aca="false">IF(AND(E30="COMPLIANT",F30="COMPLIANT"),"COMPLIANT","EXCEPTION")</f>
        <v>COMPLIANT</v>
      </c>
    </row>
    <row r="31" customFormat="false" ht="15" hidden="false" customHeight="false" outlineLevel="0" collapsed="false">
      <c r="A31" s="11" t="n">
        <v>46251</v>
      </c>
      <c r="B31" s="4" t="s">
        <v>20</v>
      </c>
      <c r="C31" s="12" t="n">
        <f aca="false">ROUND(SUMIFS('Duty Schedule'!$H$5:$H$200,'Duty Schedule'!$A$5:$A$200,A31,'Duty Schedule'!$E$5:$E$200,B31),2)</f>
        <v>5</v>
      </c>
      <c r="D31" s="12" t="n">
        <v>6</v>
      </c>
      <c r="E31" s="5" t="str">
        <f aca="false">IF(C31&lt;=D31,"COMPLIANT","EXCEPTION")</f>
        <v>COMPLIANT</v>
      </c>
      <c r="F31" s="4" t="str">
        <f aca="false">IF(COUNTIFS('Duty Schedule'!$A$5:$A$200,A31,'Duty Schedule'!$E$5:$E$200,B31,'Duty Schedule'!$L$5:$L$200,"EXCEPTION")=0,"COMPLIANT","EXCEPTION")</f>
        <v>COMPLIANT</v>
      </c>
      <c r="G31" s="4" t="str">
        <f aca="false">IF(AND(E31="COMPLIANT",F31="COMPLIANT"),"COMPLIANT","EXCEPTION")</f>
        <v>COMPLIANT</v>
      </c>
    </row>
    <row r="32" customFormat="false" ht="15" hidden="false" customHeight="false" outlineLevel="0" collapsed="false">
      <c r="A32" s="13" t="n">
        <v>46251</v>
      </c>
      <c r="B32" s="8" t="s">
        <v>35</v>
      </c>
      <c r="C32" s="14" t="n">
        <f aca="false">ROUND(SUMIFS('Duty Schedule'!$H$5:$H$200,'Duty Schedule'!$A$5:$A$200,A32,'Duty Schedule'!$E$5:$E$200,B32),2)</f>
        <v>8</v>
      </c>
      <c r="D32" s="14" t="n">
        <v>8</v>
      </c>
      <c r="E32" s="9" t="str">
        <f aca="false">IF(C32&lt;=D32,"COMPLIANT","EXCEPTION")</f>
        <v>COMPLIANT</v>
      </c>
      <c r="F32" s="8" t="str">
        <f aca="false">IF(COUNTIFS('Duty Schedule'!$A$5:$A$200,A32,'Duty Schedule'!$E$5:$E$200,B32,'Duty Schedule'!$L$5:$L$200,"EXCEPTION")=0,"COMPLIANT","EXCEPTION")</f>
        <v>COMPLIANT</v>
      </c>
      <c r="G32" s="8" t="str">
        <f aca="false">IF(AND(E32="COMPLIANT",F32="COMPLIANT"),"COMPLIANT","EXCEPTION")</f>
        <v>COMPLIANT</v>
      </c>
    </row>
    <row r="33" customFormat="false" ht="15" hidden="false" customHeight="false" outlineLevel="0" collapsed="false">
      <c r="A33" s="11" t="n">
        <v>46258</v>
      </c>
      <c r="B33" s="4" t="s">
        <v>26</v>
      </c>
      <c r="C33" s="12" t="n">
        <f aca="false">ROUND(SUMIFS('Duty Schedule'!$H$5:$H$200,'Duty Schedule'!$A$5:$A$200,A33,'Duty Schedule'!$E$5:$E$200,B33),2)</f>
        <v>5</v>
      </c>
      <c r="D33" s="12" t="n">
        <v>5</v>
      </c>
      <c r="E33" s="5" t="str">
        <f aca="false">IF(C33&lt;=D33,"COMPLIANT","EXCEPTION")</f>
        <v>COMPLIANT</v>
      </c>
      <c r="F33" s="4" t="str">
        <f aca="false">IF(COUNTIFS('Duty Schedule'!$A$5:$A$200,A33,'Duty Schedule'!$E$5:$E$200,B33,'Duty Schedule'!$L$5:$L$200,"EXCEPTION")=0,"COMPLIANT","EXCEPTION")</f>
        <v>COMPLIANT</v>
      </c>
      <c r="G33" s="4" t="str">
        <f aca="false">IF(AND(E33="COMPLIANT",F33="COMPLIANT"),"COMPLIANT","EXCEPTION")</f>
        <v>COMPLIANT</v>
      </c>
    </row>
    <row r="34" customFormat="false" ht="15" hidden="false" customHeight="false" outlineLevel="0" collapsed="false">
      <c r="A34" s="13" t="n">
        <v>46258</v>
      </c>
      <c r="B34" s="8" t="s">
        <v>18</v>
      </c>
      <c r="C34" s="14" t="n">
        <f aca="false">ROUND(SUMIFS('Duty Schedule'!$H$5:$H$200,'Duty Schedule'!$A$5:$A$200,A34,'Duty Schedule'!$E$5:$E$200,B34),2)</f>
        <v>6</v>
      </c>
      <c r="D34" s="14" t="n">
        <v>7</v>
      </c>
      <c r="E34" s="9" t="str">
        <f aca="false">IF(C34&lt;=D34,"COMPLIANT","EXCEPTION")</f>
        <v>COMPLIANT</v>
      </c>
      <c r="F34" s="8" t="str">
        <f aca="false">IF(COUNTIFS('Duty Schedule'!$A$5:$A$200,A34,'Duty Schedule'!$E$5:$E$200,B34,'Duty Schedule'!$L$5:$L$200,"EXCEPTION")=0,"COMPLIANT","EXCEPTION")</f>
        <v>COMPLIANT</v>
      </c>
      <c r="G34" s="8" t="str">
        <f aca="false">IF(AND(E34="COMPLIANT",F34="COMPLIANT"),"COMPLIANT","EXCEPTION")</f>
        <v>COMPLIANT</v>
      </c>
    </row>
    <row r="35" customFormat="false" ht="15" hidden="false" customHeight="false" outlineLevel="0" collapsed="false">
      <c r="A35" s="11" t="n">
        <v>46258</v>
      </c>
      <c r="B35" s="4" t="s">
        <v>20</v>
      </c>
      <c r="C35" s="12" t="n">
        <f aca="false">ROUND(SUMIFS('Duty Schedule'!$H$5:$H$200,'Duty Schedule'!$A$5:$A$200,A35,'Duty Schedule'!$E$5:$E$200,B35),2)</f>
        <v>5</v>
      </c>
      <c r="D35" s="12" t="n">
        <v>6</v>
      </c>
      <c r="E35" s="5" t="str">
        <f aca="false">IF(C35&lt;=D35,"COMPLIANT","EXCEPTION")</f>
        <v>COMPLIANT</v>
      </c>
      <c r="F35" s="4" t="str">
        <f aca="false">IF(COUNTIFS('Duty Schedule'!$A$5:$A$200,A35,'Duty Schedule'!$E$5:$E$200,B35,'Duty Schedule'!$L$5:$L$200,"EXCEPTION")=0,"COMPLIANT","EXCEPTION")</f>
        <v>COMPLIANT</v>
      </c>
      <c r="G35" s="4" t="str">
        <f aca="false">IF(AND(E35="COMPLIANT",F35="COMPLIANT"),"COMPLIANT","EXCEPTION")</f>
        <v>COMPLIANT</v>
      </c>
    </row>
    <row r="36" customFormat="false" ht="15" hidden="false" customHeight="false" outlineLevel="0" collapsed="false">
      <c r="A36" s="13" t="n">
        <v>46258</v>
      </c>
      <c r="B36" s="8" t="s">
        <v>35</v>
      </c>
      <c r="C36" s="14" t="n">
        <f aca="false">ROUND(SUMIFS('Duty Schedule'!$H$5:$H$200,'Duty Schedule'!$A$5:$A$200,A36,'Duty Schedule'!$E$5:$E$200,B36),2)</f>
        <v>8</v>
      </c>
      <c r="D36" s="14" t="n">
        <v>8</v>
      </c>
      <c r="E36" s="9" t="str">
        <f aca="false">IF(C36&lt;=D36,"COMPLIANT","EXCEPTION")</f>
        <v>COMPLIANT</v>
      </c>
      <c r="F36" s="8" t="str">
        <f aca="false">IF(COUNTIFS('Duty Schedule'!$A$5:$A$200,A36,'Duty Schedule'!$E$5:$E$200,B36,'Duty Schedule'!$L$5:$L$200,"EXCEPTION")=0,"COMPLIANT","EXCEPTION")</f>
        <v>COMPLIANT</v>
      </c>
      <c r="G36" s="8" t="str">
        <f aca="false">IF(AND(E36="COMPLIANT",F36="COMPLIANT"),"COMPLIANT","EXCEPTION")</f>
        <v>COMPLIANT</v>
      </c>
    </row>
    <row r="37" customFormat="false" ht="15" hidden="false" customHeight="false" outlineLevel="0" collapsed="false">
      <c r="A37" s="11" t="n">
        <v>46265</v>
      </c>
      <c r="B37" s="4" t="s">
        <v>26</v>
      </c>
      <c r="C37" s="12" t="n">
        <f aca="false">ROUND(SUMIFS('Duty Schedule'!$H$5:$H$200,'Duty Schedule'!$A$5:$A$200,A37,'Duty Schedule'!$E$5:$E$200,B37),2)</f>
        <v>5</v>
      </c>
      <c r="D37" s="12" t="n">
        <v>5</v>
      </c>
      <c r="E37" s="5" t="str">
        <f aca="false">IF(C37&lt;=D37,"COMPLIANT","EXCEPTION")</f>
        <v>COMPLIANT</v>
      </c>
      <c r="F37" s="4" t="str">
        <f aca="false">IF(COUNTIFS('Duty Schedule'!$A$5:$A$200,A37,'Duty Schedule'!$E$5:$E$200,B37,'Duty Schedule'!$L$5:$L$200,"EXCEPTION")=0,"COMPLIANT","EXCEPTION")</f>
        <v>COMPLIANT</v>
      </c>
      <c r="G37" s="4" t="str">
        <f aca="false">IF(AND(E37="COMPLIANT",F37="COMPLIANT"),"COMPLIANT","EXCEPTION")</f>
        <v>COMPLIANT</v>
      </c>
    </row>
    <row r="38" customFormat="false" ht="15" hidden="false" customHeight="false" outlineLevel="0" collapsed="false">
      <c r="A38" s="13" t="n">
        <v>46265</v>
      </c>
      <c r="B38" s="8" t="s">
        <v>18</v>
      </c>
      <c r="C38" s="14" t="n">
        <f aca="false">ROUND(SUMIFS('Duty Schedule'!$H$5:$H$200,'Duty Schedule'!$A$5:$A$200,A38,'Duty Schedule'!$E$5:$E$200,B38),2)</f>
        <v>6</v>
      </c>
      <c r="D38" s="14" t="n">
        <v>7</v>
      </c>
      <c r="E38" s="9" t="str">
        <f aca="false">IF(C38&lt;=D38,"COMPLIANT","EXCEPTION")</f>
        <v>COMPLIANT</v>
      </c>
      <c r="F38" s="8" t="str">
        <f aca="false">IF(COUNTIFS('Duty Schedule'!$A$5:$A$200,A38,'Duty Schedule'!$E$5:$E$200,B38,'Duty Schedule'!$L$5:$L$200,"EXCEPTION")=0,"COMPLIANT","EXCEPTION")</f>
        <v>COMPLIANT</v>
      </c>
      <c r="G38" s="8" t="str">
        <f aca="false">IF(AND(E38="COMPLIANT",F38="COMPLIANT"),"COMPLIANT","EXCEPTION")</f>
        <v>COMPLIANT</v>
      </c>
    </row>
    <row r="39" customFormat="false" ht="15" hidden="false" customHeight="false" outlineLevel="0" collapsed="false">
      <c r="A39" s="11" t="n">
        <v>46265</v>
      </c>
      <c r="B39" s="4" t="s">
        <v>20</v>
      </c>
      <c r="C39" s="12" t="n">
        <f aca="false">ROUND(SUMIFS('Duty Schedule'!$H$5:$H$200,'Duty Schedule'!$A$5:$A$200,A39,'Duty Schedule'!$E$5:$E$200,B39),2)</f>
        <v>5</v>
      </c>
      <c r="D39" s="12" t="n">
        <v>6</v>
      </c>
      <c r="E39" s="5" t="str">
        <f aca="false">IF(C39&lt;=D39,"COMPLIANT","EXCEPTION")</f>
        <v>COMPLIANT</v>
      </c>
      <c r="F39" s="4" t="str">
        <f aca="false">IF(COUNTIFS('Duty Schedule'!$A$5:$A$200,A39,'Duty Schedule'!$E$5:$E$200,B39,'Duty Schedule'!$L$5:$L$200,"EXCEPTION")=0,"COMPLIANT","EXCEPTION")</f>
        <v>COMPLIANT</v>
      </c>
      <c r="G39" s="4" t="str">
        <f aca="false">IF(AND(E39="COMPLIANT",F39="COMPLIANT"),"COMPLIANT","EXCEPTION")</f>
        <v>COMPLIANT</v>
      </c>
    </row>
    <row r="40" customFormat="false" ht="15" hidden="false" customHeight="false" outlineLevel="0" collapsed="false">
      <c r="A40" s="13" t="n">
        <v>46265</v>
      </c>
      <c r="B40" s="8" t="s">
        <v>35</v>
      </c>
      <c r="C40" s="14" t="n">
        <f aca="false">ROUND(SUMIFS('Duty Schedule'!$H$5:$H$200,'Duty Schedule'!$A$5:$A$200,A40,'Duty Schedule'!$E$5:$E$200,B40),2)</f>
        <v>8</v>
      </c>
      <c r="D40" s="14" t="n">
        <v>8</v>
      </c>
      <c r="E40" s="9" t="str">
        <f aca="false">IF(C40&lt;=D40,"COMPLIANT","EXCEPTION")</f>
        <v>COMPLIANT</v>
      </c>
      <c r="F40" s="8" t="str">
        <f aca="false">IF(COUNTIFS('Duty Schedule'!$A$5:$A$200,A40,'Duty Schedule'!$E$5:$E$200,B40,'Duty Schedule'!$L$5:$L$200,"EXCEPTION")=0,"COMPLIANT","EXCEPTION")</f>
        <v>COMPLIANT</v>
      </c>
      <c r="G40" s="8" t="str">
        <f aca="false">IF(AND(E40="COMPLIANT",F40="COMPLIANT"),"COMPLIANT","EXCEPTION")</f>
        <v>COMPLIANT</v>
      </c>
    </row>
    <row r="41" customFormat="false" ht="15" hidden="false" customHeight="false" outlineLevel="0" collapsed="false">
      <c r="A41" s="11" t="n">
        <v>46272</v>
      </c>
      <c r="B41" s="4" t="s">
        <v>26</v>
      </c>
      <c r="C41" s="12" t="n">
        <f aca="false">ROUND(SUMIFS('Duty Schedule'!$H$5:$H$200,'Duty Schedule'!$A$5:$A$200,A41,'Duty Schedule'!$E$5:$E$200,B41),2)</f>
        <v>5</v>
      </c>
      <c r="D41" s="12" t="n">
        <v>5</v>
      </c>
      <c r="E41" s="5" t="str">
        <f aca="false">IF(C41&lt;=D41,"COMPLIANT","EXCEPTION")</f>
        <v>COMPLIANT</v>
      </c>
      <c r="F41" s="4" t="str">
        <f aca="false">IF(COUNTIFS('Duty Schedule'!$A$5:$A$200,A41,'Duty Schedule'!$E$5:$E$200,B41,'Duty Schedule'!$L$5:$L$200,"EXCEPTION")=0,"COMPLIANT","EXCEPTION")</f>
        <v>COMPLIANT</v>
      </c>
      <c r="G41" s="4" t="str">
        <f aca="false">IF(AND(E41="COMPLIANT",F41="COMPLIANT"),"COMPLIANT","EXCEPTION")</f>
        <v>COMPLIANT</v>
      </c>
    </row>
    <row r="42" customFormat="false" ht="15" hidden="false" customHeight="false" outlineLevel="0" collapsed="false">
      <c r="A42" s="13" t="n">
        <v>46272</v>
      </c>
      <c r="B42" s="8" t="s">
        <v>18</v>
      </c>
      <c r="C42" s="14" t="n">
        <f aca="false">ROUND(SUMIFS('Duty Schedule'!$H$5:$H$200,'Duty Schedule'!$A$5:$A$200,A42,'Duty Schedule'!$E$5:$E$200,B42),2)</f>
        <v>6</v>
      </c>
      <c r="D42" s="14" t="n">
        <v>7</v>
      </c>
      <c r="E42" s="9" t="str">
        <f aca="false">IF(C42&lt;=D42,"COMPLIANT","EXCEPTION")</f>
        <v>COMPLIANT</v>
      </c>
      <c r="F42" s="8" t="str">
        <f aca="false">IF(COUNTIFS('Duty Schedule'!$A$5:$A$200,A42,'Duty Schedule'!$E$5:$E$200,B42,'Duty Schedule'!$L$5:$L$200,"EXCEPTION")=0,"COMPLIANT","EXCEPTION")</f>
        <v>COMPLIANT</v>
      </c>
      <c r="G42" s="8" t="str">
        <f aca="false">IF(AND(E42="COMPLIANT",F42="COMPLIANT"),"COMPLIANT","EXCEPTION")</f>
        <v>COMPLIANT</v>
      </c>
    </row>
    <row r="43" customFormat="false" ht="15" hidden="false" customHeight="false" outlineLevel="0" collapsed="false">
      <c r="A43" s="11" t="n">
        <v>46272</v>
      </c>
      <c r="B43" s="4" t="s">
        <v>20</v>
      </c>
      <c r="C43" s="12" t="n">
        <f aca="false">ROUND(SUMIFS('Duty Schedule'!$H$5:$H$200,'Duty Schedule'!$A$5:$A$200,A43,'Duty Schedule'!$E$5:$E$200,B43),2)</f>
        <v>5</v>
      </c>
      <c r="D43" s="12" t="n">
        <v>6</v>
      </c>
      <c r="E43" s="5" t="str">
        <f aca="false">IF(C43&lt;=D43,"COMPLIANT","EXCEPTION")</f>
        <v>COMPLIANT</v>
      </c>
      <c r="F43" s="4" t="str">
        <f aca="false">IF(COUNTIFS('Duty Schedule'!$A$5:$A$200,A43,'Duty Schedule'!$E$5:$E$200,B43,'Duty Schedule'!$L$5:$L$200,"EXCEPTION")=0,"COMPLIANT","EXCEPTION")</f>
        <v>COMPLIANT</v>
      </c>
      <c r="G43" s="4" t="str">
        <f aca="false">IF(AND(E43="COMPLIANT",F43="COMPLIANT"),"COMPLIANT","EXCEPTION")</f>
        <v>COMPLIANT</v>
      </c>
    </row>
    <row r="44" customFormat="false" ht="15" hidden="false" customHeight="false" outlineLevel="0" collapsed="false">
      <c r="A44" s="13" t="n">
        <v>46272</v>
      </c>
      <c r="B44" s="8" t="s">
        <v>35</v>
      </c>
      <c r="C44" s="14" t="n">
        <f aca="false">ROUND(SUMIFS('Duty Schedule'!$H$5:$H$200,'Duty Schedule'!$A$5:$A$200,A44,'Duty Schedule'!$E$5:$E$200,B44),2)</f>
        <v>8</v>
      </c>
      <c r="D44" s="14" t="n">
        <v>8</v>
      </c>
      <c r="E44" s="9" t="str">
        <f aca="false">IF(C44&lt;=D44,"COMPLIANT","EXCEPTION")</f>
        <v>COMPLIANT</v>
      </c>
      <c r="F44" s="8" t="str">
        <f aca="false">IF(COUNTIFS('Duty Schedule'!$A$5:$A$200,A44,'Duty Schedule'!$E$5:$E$200,B44,'Duty Schedule'!$L$5:$L$200,"EXCEPTION")=0,"COMPLIANT","EXCEPTION")</f>
        <v>COMPLIANT</v>
      </c>
      <c r="G44" s="8" t="str">
        <f aca="false">IF(AND(E44="COMPLIANT",F44="COMPLIANT"),"COMPLIANT","EXCEPTION")</f>
        <v>COMPLIANT</v>
      </c>
    </row>
    <row r="45" customFormat="false" ht="15" hidden="false" customHeight="false" outlineLevel="0" collapsed="false">
      <c r="A45" s="11" t="n">
        <v>46279</v>
      </c>
      <c r="B45" s="4" t="s">
        <v>26</v>
      </c>
      <c r="C45" s="12" t="n">
        <f aca="false">ROUND(SUMIFS('Duty Schedule'!$H$5:$H$200,'Duty Schedule'!$A$5:$A$200,A45,'Duty Schedule'!$E$5:$E$200,B45),2)</f>
        <v>5</v>
      </c>
      <c r="D45" s="12" t="n">
        <v>5</v>
      </c>
      <c r="E45" s="5" t="str">
        <f aca="false">IF(C45&lt;=D45,"COMPLIANT","EXCEPTION")</f>
        <v>COMPLIANT</v>
      </c>
      <c r="F45" s="4" t="str">
        <f aca="false">IF(COUNTIFS('Duty Schedule'!$A$5:$A$200,A45,'Duty Schedule'!$E$5:$E$200,B45,'Duty Schedule'!$L$5:$L$200,"EXCEPTION")=0,"COMPLIANT","EXCEPTION")</f>
        <v>COMPLIANT</v>
      </c>
      <c r="G45" s="4" t="str">
        <f aca="false">IF(AND(E45="COMPLIANT",F45="COMPLIANT"),"COMPLIANT","EXCEPTION")</f>
        <v>COMPLIANT</v>
      </c>
    </row>
    <row r="46" customFormat="false" ht="15" hidden="false" customHeight="false" outlineLevel="0" collapsed="false">
      <c r="A46" s="13" t="n">
        <v>46279</v>
      </c>
      <c r="B46" s="8" t="s">
        <v>18</v>
      </c>
      <c r="C46" s="14" t="n">
        <f aca="false">ROUND(SUMIFS('Duty Schedule'!$H$5:$H$200,'Duty Schedule'!$A$5:$A$200,A46,'Duty Schedule'!$E$5:$E$200,B46),2)</f>
        <v>6</v>
      </c>
      <c r="D46" s="14" t="n">
        <v>7</v>
      </c>
      <c r="E46" s="9" t="str">
        <f aca="false">IF(C46&lt;=D46,"COMPLIANT","EXCEPTION")</f>
        <v>COMPLIANT</v>
      </c>
      <c r="F46" s="8" t="str">
        <f aca="false">IF(COUNTIFS('Duty Schedule'!$A$5:$A$200,A46,'Duty Schedule'!$E$5:$E$200,B46,'Duty Schedule'!$L$5:$L$200,"EXCEPTION")=0,"COMPLIANT","EXCEPTION")</f>
        <v>COMPLIANT</v>
      </c>
      <c r="G46" s="8" t="str">
        <f aca="false">IF(AND(E46="COMPLIANT",F46="COMPLIANT"),"COMPLIANT","EXCEPTION")</f>
        <v>COMPLIANT</v>
      </c>
    </row>
    <row r="47" customFormat="false" ht="15" hidden="false" customHeight="false" outlineLevel="0" collapsed="false">
      <c r="A47" s="11" t="n">
        <v>46279</v>
      </c>
      <c r="B47" s="4" t="s">
        <v>20</v>
      </c>
      <c r="C47" s="12" t="n">
        <f aca="false">ROUND(SUMIFS('Duty Schedule'!$H$5:$H$200,'Duty Schedule'!$A$5:$A$200,A47,'Duty Schedule'!$E$5:$E$200,B47),2)</f>
        <v>5</v>
      </c>
      <c r="D47" s="12" t="n">
        <v>6</v>
      </c>
      <c r="E47" s="5" t="str">
        <f aca="false">IF(C47&lt;=D47,"COMPLIANT","EXCEPTION")</f>
        <v>COMPLIANT</v>
      </c>
      <c r="F47" s="4" t="str">
        <f aca="false">IF(COUNTIFS('Duty Schedule'!$A$5:$A$200,A47,'Duty Schedule'!$E$5:$E$200,B47,'Duty Schedule'!$L$5:$L$200,"EXCEPTION")=0,"COMPLIANT","EXCEPTION")</f>
        <v>COMPLIANT</v>
      </c>
      <c r="G47" s="4" t="str">
        <f aca="false">IF(AND(E47="COMPLIANT",F47="COMPLIANT"),"COMPLIANT","EXCEPTION")</f>
        <v>COMPLIANT</v>
      </c>
    </row>
    <row r="48" customFormat="false" ht="15" hidden="false" customHeight="false" outlineLevel="0" collapsed="false">
      <c r="A48" s="13" t="n">
        <v>46279</v>
      </c>
      <c r="B48" s="8" t="s">
        <v>35</v>
      </c>
      <c r="C48" s="14" t="n">
        <f aca="false">ROUND(SUMIFS('Duty Schedule'!$H$5:$H$200,'Duty Schedule'!$A$5:$A$200,A48,'Duty Schedule'!$E$5:$E$200,B48),2)</f>
        <v>8</v>
      </c>
      <c r="D48" s="14" t="n">
        <v>8</v>
      </c>
      <c r="E48" s="9" t="str">
        <f aca="false">IF(C48&lt;=D48,"COMPLIANT","EXCEPTION")</f>
        <v>COMPLIANT</v>
      </c>
      <c r="F48" s="8" t="str">
        <f aca="false">IF(COUNTIFS('Duty Schedule'!$A$5:$A$200,A48,'Duty Schedule'!$E$5:$E$200,B48,'Duty Schedule'!$L$5:$L$200,"EXCEPTION")=0,"COMPLIANT","EXCEPTION")</f>
        <v>COMPLIANT</v>
      </c>
      <c r="G48" s="8" t="str">
        <f aca="false">IF(AND(E48="COMPLIANT",F48="COMPLIANT"),"COMPLIANT","EXCEPTION")</f>
        <v>COMPLIANT</v>
      </c>
    </row>
    <row r="49" customFormat="false" ht="15" hidden="false" customHeight="false" outlineLevel="0" collapsed="false">
      <c r="A49" s="11" t="n">
        <v>46286</v>
      </c>
      <c r="B49" s="4" t="s">
        <v>26</v>
      </c>
      <c r="C49" s="12" t="n">
        <f aca="false">ROUND(SUMIFS('Duty Schedule'!$H$5:$H$200,'Duty Schedule'!$A$5:$A$200,A49,'Duty Schedule'!$E$5:$E$200,B49),2)</f>
        <v>5</v>
      </c>
      <c r="D49" s="12" t="n">
        <v>5</v>
      </c>
      <c r="E49" s="5" t="str">
        <f aca="false">IF(C49&lt;=D49,"COMPLIANT","EXCEPTION")</f>
        <v>COMPLIANT</v>
      </c>
      <c r="F49" s="4" t="str">
        <f aca="false">IF(COUNTIFS('Duty Schedule'!$A$5:$A$200,A49,'Duty Schedule'!$E$5:$E$200,B49,'Duty Schedule'!$L$5:$L$200,"EXCEPTION")=0,"COMPLIANT","EXCEPTION")</f>
        <v>COMPLIANT</v>
      </c>
      <c r="G49" s="4" t="str">
        <f aca="false">IF(AND(E49="COMPLIANT",F49="COMPLIANT"),"COMPLIANT","EXCEPTION")</f>
        <v>COMPLIANT</v>
      </c>
    </row>
    <row r="50" customFormat="false" ht="15" hidden="false" customHeight="false" outlineLevel="0" collapsed="false">
      <c r="A50" s="13" t="n">
        <v>46286</v>
      </c>
      <c r="B50" s="8" t="s">
        <v>18</v>
      </c>
      <c r="C50" s="14" t="n">
        <f aca="false">ROUND(SUMIFS('Duty Schedule'!$H$5:$H$200,'Duty Schedule'!$A$5:$A$200,A50,'Duty Schedule'!$E$5:$E$200,B50),2)</f>
        <v>6</v>
      </c>
      <c r="D50" s="14" t="n">
        <v>7</v>
      </c>
      <c r="E50" s="9" t="str">
        <f aca="false">IF(C50&lt;=D50,"COMPLIANT","EXCEPTION")</f>
        <v>COMPLIANT</v>
      </c>
      <c r="F50" s="8" t="str">
        <f aca="false">IF(COUNTIFS('Duty Schedule'!$A$5:$A$200,A50,'Duty Schedule'!$E$5:$E$200,B50,'Duty Schedule'!$L$5:$L$200,"EXCEPTION")=0,"COMPLIANT","EXCEPTION")</f>
        <v>COMPLIANT</v>
      </c>
      <c r="G50" s="8" t="str">
        <f aca="false">IF(AND(E50="COMPLIANT",F50="COMPLIANT"),"COMPLIANT","EXCEPTION")</f>
        <v>COMPLIANT</v>
      </c>
    </row>
    <row r="51" customFormat="false" ht="15" hidden="false" customHeight="false" outlineLevel="0" collapsed="false">
      <c r="A51" s="11" t="n">
        <v>46286</v>
      </c>
      <c r="B51" s="4" t="s">
        <v>20</v>
      </c>
      <c r="C51" s="12" t="n">
        <f aca="false">ROUND(SUMIFS('Duty Schedule'!$H$5:$H$200,'Duty Schedule'!$A$5:$A$200,A51,'Duty Schedule'!$E$5:$E$200,B51),2)</f>
        <v>5</v>
      </c>
      <c r="D51" s="12" t="n">
        <v>6</v>
      </c>
      <c r="E51" s="5" t="str">
        <f aca="false">IF(C51&lt;=D51,"COMPLIANT","EXCEPTION")</f>
        <v>COMPLIANT</v>
      </c>
      <c r="F51" s="4" t="str">
        <f aca="false">IF(COUNTIFS('Duty Schedule'!$A$5:$A$200,A51,'Duty Schedule'!$E$5:$E$200,B51,'Duty Schedule'!$L$5:$L$200,"EXCEPTION")=0,"COMPLIANT","EXCEPTION")</f>
        <v>COMPLIANT</v>
      </c>
      <c r="G51" s="4" t="str">
        <f aca="false">IF(AND(E51="COMPLIANT",F51="COMPLIANT"),"COMPLIANT","EXCEPTION")</f>
        <v>COMPLIANT</v>
      </c>
    </row>
    <row r="52" customFormat="false" ht="15" hidden="false" customHeight="false" outlineLevel="0" collapsed="false">
      <c r="A52" s="13" t="n">
        <v>46286</v>
      </c>
      <c r="B52" s="8" t="s">
        <v>35</v>
      </c>
      <c r="C52" s="14" t="n">
        <f aca="false">ROUND(SUMIFS('Duty Schedule'!$H$5:$H$200,'Duty Schedule'!$A$5:$A$200,A52,'Duty Schedule'!$E$5:$E$200,B52),2)</f>
        <v>8</v>
      </c>
      <c r="D52" s="14" t="n">
        <v>8</v>
      </c>
      <c r="E52" s="9" t="str">
        <f aca="false">IF(C52&lt;=D52,"COMPLIANT","EXCEPTION")</f>
        <v>COMPLIANT</v>
      </c>
      <c r="F52" s="8" t="str">
        <f aca="false">IF(COUNTIFS('Duty Schedule'!$A$5:$A$200,A52,'Duty Schedule'!$E$5:$E$200,B52,'Duty Schedule'!$L$5:$L$200,"EXCEPTION")=0,"COMPLIANT","EXCEPTION")</f>
        <v>COMPLIANT</v>
      </c>
      <c r="G52" s="8" t="str">
        <f aca="false">IF(AND(E52="COMPLIANT",F52="COMPLIANT"),"COMPLIANT","EXCEPTION")</f>
        <v>COMPLIANT</v>
      </c>
    </row>
    <row r="53" customFormat="false" ht="15" hidden="false" customHeight="false" outlineLevel="0" collapsed="false">
      <c r="A53" s="11" t="n">
        <v>46293</v>
      </c>
      <c r="B53" s="4" t="s">
        <v>26</v>
      </c>
      <c r="C53" s="12" t="n">
        <f aca="false">ROUND(SUMIFS('Duty Schedule'!$H$5:$H$200,'Duty Schedule'!$A$5:$A$200,A53,'Duty Schedule'!$E$5:$E$200,B53),2)</f>
        <v>5</v>
      </c>
      <c r="D53" s="12" t="n">
        <v>5</v>
      </c>
      <c r="E53" s="5" t="str">
        <f aca="false">IF(C53&lt;=D53,"COMPLIANT","EXCEPTION")</f>
        <v>COMPLIANT</v>
      </c>
      <c r="F53" s="4" t="str">
        <f aca="false">IF(COUNTIFS('Duty Schedule'!$A$5:$A$200,A53,'Duty Schedule'!$E$5:$E$200,B53,'Duty Schedule'!$L$5:$L$200,"EXCEPTION")=0,"COMPLIANT","EXCEPTION")</f>
        <v>COMPLIANT</v>
      </c>
      <c r="G53" s="4" t="str">
        <f aca="false">IF(AND(E53="COMPLIANT",F53="COMPLIANT"),"COMPLIANT","EXCEPTION")</f>
        <v>COMPLIANT</v>
      </c>
    </row>
    <row r="54" customFormat="false" ht="15" hidden="false" customHeight="false" outlineLevel="0" collapsed="false">
      <c r="A54" s="13" t="n">
        <v>46293</v>
      </c>
      <c r="B54" s="8" t="s">
        <v>18</v>
      </c>
      <c r="C54" s="14" t="n">
        <f aca="false">ROUND(SUMIFS('Duty Schedule'!$H$5:$H$200,'Duty Schedule'!$A$5:$A$200,A54,'Duty Schedule'!$E$5:$E$200,B54),2)</f>
        <v>6</v>
      </c>
      <c r="D54" s="14" t="n">
        <v>7</v>
      </c>
      <c r="E54" s="9" t="str">
        <f aca="false">IF(C54&lt;=D54,"COMPLIANT","EXCEPTION")</f>
        <v>COMPLIANT</v>
      </c>
      <c r="F54" s="8" t="str">
        <f aca="false">IF(COUNTIFS('Duty Schedule'!$A$5:$A$200,A54,'Duty Schedule'!$E$5:$E$200,B54,'Duty Schedule'!$L$5:$L$200,"EXCEPTION")=0,"COMPLIANT","EXCEPTION")</f>
        <v>COMPLIANT</v>
      </c>
      <c r="G54" s="8" t="str">
        <f aca="false">IF(AND(E54="COMPLIANT",F54="COMPLIANT"),"COMPLIANT","EXCEPTION")</f>
        <v>COMPLIANT</v>
      </c>
    </row>
    <row r="55" customFormat="false" ht="15" hidden="false" customHeight="false" outlineLevel="0" collapsed="false">
      <c r="A55" s="11" t="n">
        <v>46293</v>
      </c>
      <c r="B55" s="4" t="s">
        <v>20</v>
      </c>
      <c r="C55" s="12" t="n">
        <f aca="false">ROUND(SUMIFS('Duty Schedule'!$H$5:$H$200,'Duty Schedule'!$A$5:$A$200,A55,'Duty Schedule'!$E$5:$E$200,B55),2)</f>
        <v>5</v>
      </c>
      <c r="D55" s="12" t="n">
        <v>6</v>
      </c>
      <c r="E55" s="5" t="str">
        <f aca="false">IF(C55&lt;=D55,"COMPLIANT","EXCEPTION")</f>
        <v>COMPLIANT</v>
      </c>
      <c r="F55" s="4" t="str">
        <f aca="false">IF(COUNTIFS('Duty Schedule'!$A$5:$A$200,A55,'Duty Schedule'!$E$5:$E$200,B55,'Duty Schedule'!$L$5:$L$200,"EXCEPTION")=0,"COMPLIANT","EXCEPTION")</f>
        <v>COMPLIANT</v>
      </c>
      <c r="G55" s="4" t="str">
        <f aca="false">IF(AND(E55="COMPLIANT",F55="COMPLIANT"),"COMPLIANT","EXCEPTION")</f>
        <v>COMPLIANT</v>
      </c>
    </row>
    <row r="56" customFormat="false" ht="15" hidden="false" customHeight="false" outlineLevel="0" collapsed="false">
      <c r="A56" s="13" t="n">
        <v>46293</v>
      </c>
      <c r="B56" s="8" t="s">
        <v>35</v>
      </c>
      <c r="C56" s="14" t="n">
        <f aca="false">ROUND(SUMIFS('Duty Schedule'!$H$5:$H$200,'Duty Schedule'!$A$5:$A$200,A56,'Duty Schedule'!$E$5:$E$200,B56),2)</f>
        <v>8</v>
      </c>
      <c r="D56" s="14" t="n">
        <v>8</v>
      </c>
      <c r="E56" s="9" t="str">
        <f aca="false">IF(C56&lt;=D56,"COMPLIANT","EXCEPTION")</f>
        <v>COMPLIANT</v>
      </c>
      <c r="F56" s="8" t="str">
        <f aca="false">IF(COUNTIFS('Duty Schedule'!$A$5:$A$200,A56,'Duty Schedule'!$E$5:$E$200,B56,'Duty Schedule'!$L$5:$L$200,"EXCEPTION")=0,"COMPLIANT","EXCEPTION")</f>
        <v>COMPLIANT</v>
      </c>
      <c r="G56" s="8" t="str">
        <f aca="false">IF(AND(E56="COMPLIANT",F56="COMPLIANT"),"COMPLIANT","EXCEPTION")</f>
        <v>COMPLIANT</v>
      </c>
    </row>
    <row r="57" customFormat="false" ht="15" hidden="false" customHeight="false" outlineLevel="0" collapsed="false">
      <c r="A57" s="11" t="n">
        <v>46300</v>
      </c>
      <c r="B57" s="4" t="s">
        <v>26</v>
      </c>
      <c r="C57" s="12" t="n">
        <f aca="false">ROUND(SUMIFS('Duty Schedule'!$H$5:$H$200,'Duty Schedule'!$A$5:$A$200,A57,'Duty Schedule'!$E$5:$E$200,B57),2)</f>
        <v>5</v>
      </c>
      <c r="D57" s="12" t="n">
        <v>5</v>
      </c>
      <c r="E57" s="5" t="str">
        <f aca="false">IF(C57&lt;=D57,"COMPLIANT","EXCEPTION")</f>
        <v>COMPLIANT</v>
      </c>
      <c r="F57" s="4" t="str">
        <f aca="false">IF(COUNTIFS('Duty Schedule'!$A$5:$A$200,A57,'Duty Schedule'!$E$5:$E$200,B57,'Duty Schedule'!$L$5:$L$200,"EXCEPTION")=0,"COMPLIANT","EXCEPTION")</f>
        <v>COMPLIANT</v>
      </c>
      <c r="G57" s="4" t="str">
        <f aca="false">IF(AND(E57="COMPLIANT",F57="COMPLIANT"),"COMPLIANT","EXCEPTION")</f>
        <v>COMPLIANT</v>
      </c>
    </row>
    <row r="58" customFormat="false" ht="15" hidden="false" customHeight="false" outlineLevel="0" collapsed="false">
      <c r="A58" s="13" t="n">
        <v>46300</v>
      </c>
      <c r="B58" s="8" t="s">
        <v>18</v>
      </c>
      <c r="C58" s="14" t="n">
        <f aca="false">ROUND(SUMIFS('Duty Schedule'!$H$5:$H$200,'Duty Schedule'!$A$5:$A$200,A58,'Duty Schedule'!$E$5:$E$200,B58),2)</f>
        <v>6</v>
      </c>
      <c r="D58" s="14" t="n">
        <v>7</v>
      </c>
      <c r="E58" s="9" t="str">
        <f aca="false">IF(C58&lt;=D58,"COMPLIANT","EXCEPTION")</f>
        <v>COMPLIANT</v>
      </c>
      <c r="F58" s="8" t="str">
        <f aca="false">IF(COUNTIFS('Duty Schedule'!$A$5:$A$200,A58,'Duty Schedule'!$E$5:$E$200,B58,'Duty Schedule'!$L$5:$L$200,"EXCEPTION")=0,"COMPLIANT","EXCEPTION")</f>
        <v>COMPLIANT</v>
      </c>
      <c r="G58" s="8" t="str">
        <f aca="false">IF(AND(E58="COMPLIANT",F58="COMPLIANT"),"COMPLIANT","EXCEPTION")</f>
        <v>COMPLIANT</v>
      </c>
    </row>
    <row r="59" customFormat="false" ht="15" hidden="false" customHeight="false" outlineLevel="0" collapsed="false">
      <c r="A59" s="11" t="n">
        <v>46300</v>
      </c>
      <c r="B59" s="4" t="s">
        <v>20</v>
      </c>
      <c r="C59" s="12" t="n">
        <f aca="false">ROUND(SUMIFS('Duty Schedule'!$H$5:$H$200,'Duty Schedule'!$A$5:$A$200,A59,'Duty Schedule'!$E$5:$E$200,B59),2)</f>
        <v>5</v>
      </c>
      <c r="D59" s="12" t="n">
        <v>6</v>
      </c>
      <c r="E59" s="5" t="str">
        <f aca="false">IF(C59&lt;=D59,"COMPLIANT","EXCEPTION")</f>
        <v>COMPLIANT</v>
      </c>
      <c r="F59" s="4" t="str">
        <f aca="false">IF(COUNTIFS('Duty Schedule'!$A$5:$A$200,A59,'Duty Schedule'!$E$5:$E$200,B59,'Duty Schedule'!$L$5:$L$200,"EXCEPTION")=0,"COMPLIANT","EXCEPTION")</f>
        <v>COMPLIANT</v>
      </c>
      <c r="G59" s="4" t="str">
        <f aca="false">IF(AND(E59="COMPLIANT",F59="COMPLIANT"),"COMPLIANT","EXCEPTION")</f>
        <v>COMPLIANT</v>
      </c>
    </row>
    <row r="60" customFormat="false" ht="15" hidden="false" customHeight="false" outlineLevel="0" collapsed="false">
      <c r="A60" s="13" t="n">
        <v>46300</v>
      </c>
      <c r="B60" s="8" t="s">
        <v>35</v>
      </c>
      <c r="C60" s="14" t="n">
        <f aca="false">ROUND(SUMIFS('Duty Schedule'!$H$5:$H$200,'Duty Schedule'!$A$5:$A$200,A60,'Duty Schedule'!$E$5:$E$200,B60),2)</f>
        <v>8</v>
      </c>
      <c r="D60" s="14" t="n">
        <v>8</v>
      </c>
      <c r="E60" s="9" t="str">
        <f aca="false">IF(C60&lt;=D60,"COMPLIANT","EXCEPTION")</f>
        <v>COMPLIANT</v>
      </c>
      <c r="F60" s="8" t="str">
        <f aca="false">IF(COUNTIFS('Duty Schedule'!$A$5:$A$200,A60,'Duty Schedule'!$E$5:$E$200,B60,'Duty Schedule'!$L$5:$L$200,"EXCEPTION")=0,"COMPLIANT","EXCEPTION")</f>
        <v>COMPLIANT</v>
      </c>
      <c r="G60" s="8" t="str">
        <f aca="false">IF(AND(E60="COMPLIANT",F60="COMPLIANT"),"COMPLIANT","EXCEPTION")</f>
        <v>COMPLIANT</v>
      </c>
    </row>
  </sheetData>
  <autoFilter ref="A4:G60"/>
  <mergeCells count="1">
    <mergeCell ref="A1:G1"/>
  </mergeCells>
  <conditionalFormatting sqref="E5:G60">
    <cfRule type="cellIs" priority="2" operator="equal" aboveAverage="0" equalAverage="0" bottom="0" percent="0" rank="0" text="" dxfId="6">
      <formula>"EXCEPTION"</formula>
    </cfRule>
    <cfRule type="cellIs" priority="3" operator="equal" aboveAverage="0" equalAverage="0" bottom="0" percent="0" rank="0" text="" dxfId="7">
      <formula>"COMPLIANT"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&amp;CAmbergate Analytics export | &amp;D &amp;T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2026-08-20T19:00:14Z</dcterms:created>
  <dc:creator>openpyxl</dc:creator>
  <dc:description/>
  <dc:language>en-US</dc:language>
  <cp:lastModifiedBy/>
  <dcterms:modified xsi:type="dcterms:W3CDTF">2026-08-20T19:00:14Z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