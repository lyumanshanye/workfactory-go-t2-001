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Memo" sheetId="1" state="visible" r:id="rId3"/>
    <sheet name="Comparison" sheetId="2" state="visible" r:id="rId4"/>
    <sheet name="Support" sheetId="3" state="visible" r:id="rId5"/>
  </sheets>
  <definedNames>
    <definedName function="false" hidden="false" localSheetId="1" name="_xlnm.Print_Area" vbProcedure="false">Comparison!$A$1:$J$18</definedName>
    <definedName function="false" hidden="false" localSheetId="0" name="_xlnm.Print_Area" vbProcedure="false">'Executive Memo'!$A$1:$H$12</definedName>
    <definedName function="false" hidden="false" localSheetId="2" name="_xlnm.Print_Area" vbProcedure="false">Support!$A$1:$I$78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<sst xmlns="http://schemas.openxmlformats.org/spreadsheetml/2006/main" count="338" uniqueCount="169">
  <si>
    <t xml:space="preserve">Bellhaven Manufacturing — Q3 2025 Operating Cash Placement Review</t>
  </si>
  <si>
    <t xml:space="preserve">To: Sofia Crowther, Controller | From: Noor Arriaga, Peatmoor Systems | Decision horizon: coming production quarter</t>
  </si>
  <si>
    <t xml:space="preserve">Recommendation</t>
  </si>
  <si>
    <t xml:space="preserve">Recommend the government money market fund for the coming quarter. This is a placement recommendation only; no trade instruction or provider outreach is requested.</t>
  </si>
  <si>
    <t xml:space="preserve">Why</t>
  </si>
  <si>
    <t xml:space="preserve">Government risk-adjusted quarterly income is $573,400, ranking first, versus prime $562,977 and ladder $553,673. Prime’s approved 4.51% yield leads government by 15 bps and ladder by 30 bps, but quantified current-regime exposure reverses the headline order. Government offers same-day redemption with next-business-day settlement, meeting the five-business-day payroll requirement. The ladder can meet timing only with active maturity alignment, an operational tradeoff.</t>
  </si>
  <si>
    <t xml:space="preserve">Prime exposure priced</t>
  </si>
  <si>
    <t xml:space="preserve">One payroll-week redemption is $8.640m. At the current 1.25% fee rate, one imposed-fee scenario loss is $108,000. Three imposed-fee events in 20 complete, comparable current-regime observations imply a soft 15.0% probability and $16,200 expected fee cost. A qualifying temporary restriction is separately modeled at 1.5 days × $186,000/day = $279,000 scenario loss. One qualifying gate in the same 20 observations implies a soft 5.0% probability and $13,950 expected gate cost. Total expected prime risk cost is $30,150.</t>
  </si>
  <si>
    <t xml:space="preserve">Decision sensitivity</t>
  </si>
  <si>
    <t xml:space="preserve">Risk-adjusted annualized yields are Prime 4.281%, Government 4.360%, Ladder 4.210%. Prime ceases to outperform government at a fee-event probability of 5.3%, holding the 5.0% gate assumption constant; observed fee probability is 15.0%.</t>
  </si>
  <si>
    <t xml:space="preserve">History and uncertainty</t>
  </si>
  <si>
    <t xml:space="preserve">Prime moved 4.28% → 4.45% → 4.51%; government moved 4.12% → 4.29% → 4.36% (the Q2 quote uses the supplied 429-bps rebate-adjusted override). The Q2 ladder quote is missing and excluded. The base rate excludes the pre-current incomplete observation and a provider test with no client redemption. The small, nonuniform history makes both probabilities soft decision assumptions, not robust forecasts. Scenario losses are one-event amounts; expected losses are probability-weighted costs.</t>
  </si>
  <si>
    <t xml:space="preserve">Validation before placement</t>
  </si>
  <si>
    <t xml:space="preserve">Sofia Crowther should validate the $8.640m payroll run, five-business-day access need, $186,000/day delay consequence, and 1.5-day gate assumption with Bellhaven payroll/treasury before the supplied placement deadline. Noor can then refresh the review; this memo does not claim validation has occurred.</t>
  </si>
  <si>
    <t xml:space="preserve">Prepared for internal quarterly review • Amounts rounded to nearest dollar; yields annualized.</t>
  </si>
  <si>
    <t xml:space="preserve">Q3 2025 Decision Comparison</t>
  </si>
  <si>
    <t xml:space="preserve">Placement balance $52,750,000 | 91 days / 365 | recommendation: Government fund</t>
  </si>
  <si>
    <t xml:space="preserve">Alternative</t>
  </si>
  <si>
    <t xml:space="preserve">Current yield (annualized)</t>
  </si>
  <si>
    <t xml:space="preserve">Base quarterly income ($)</t>
  </si>
  <si>
    <t xml:space="preserve">Liquidity access</t>
  </si>
  <si>
    <t xml:space="preserve">Fees / restrictions</t>
  </si>
  <si>
    <t xml:space="preserve">Expected fee cost ($)</t>
  </si>
  <si>
    <t xml:space="preserve">Expected gate cost ($)</t>
  </si>
  <si>
    <t xml:space="preserve">Risk-adjusted income ($)</t>
  </si>
  <si>
    <t xml:space="preserve">Risk-adjusted yield</t>
  </si>
  <si>
    <t xml:space="preserve">Rank</t>
  </si>
  <si>
    <t xml:space="preserve">Institutional prime money market fund</t>
  </si>
  <si>
    <t xml:space="preserve">Same day; next-business-day settlement</t>
  </si>
  <si>
    <t xml:space="preserve">1.25% fee trigger; temporary gate may apply</t>
  </si>
  <si>
    <t xml:space="preserve">Government money market fund</t>
  </si>
  <si>
    <t xml:space="preserve">No supplied fee or gate term</t>
  </si>
  <si>
    <t xml:space="preserve">Short Treasury-bill-and-repo ladder</t>
  </si>
  <si>
    <t xml:space="preserve">Maturity-aligned; active roll required</t>
  </si>
  <si>
    <t xml:space="preserve">Operational alignment tradeoff; no supplied fee</t>
  </si>
  <si>
    <t xml:space="preserve">Historical normalized yields (annualized) and change</t>
  </si>
  <si>
    <t xml:space="preserve">Q1 2025</t>
  </si>
  <si>
    <t xml:space="preserve">Q2 2025</t>
  </si>
  <si>
    <t xml:space="preserve">Q3 2025 proposed</t>
  </si>
  <si>
    <t xml:space="preserve">Q1→Q2 (bps)</t>
  </si>
  <si>
    <t xml:space="preserve">Q2→Q3 (bps)</t>
  </si>
  <si>
    <t xml:space="preserve">Prime fund</t>
  </si>
  <si>
    <t xml:space="preserve">Government fund</t>
  </si>
  <si>
    <t xml:space="preserve">Bill-and-repo ladder</t>
  </si>
  <si>
    <t xml:space="preserve">Prime spread: +15 bps vs government; +30 bps vs ladder</t>
  </si>
  <si>
    <t xml:space="preserve">Fee probability 15.0% (3/20); gate probability 5.0% (1/20). One-event losses: $108,000 fee; $279,000 gate. Expected costs shown separately above.</t>
  </si>
  <si>
    <t xml:space="preserve">Support — transparent calculations, source labels, assumptions and exclusions</t>
  </si>
  <si>
    <t xml:space="preserve">Normalized inputs</t>
  </si>
  <si>
    <t xml:space="preserve">Input</t>
  </si>
  <si>
    <t xml:space="preserve">Value</t>
  </si>
  <si>
    <t xml:space="preserve">Unit / formula</t>
  </si>
  <si>
    <t xml:space="preserve">Source label / treatment</t>
  </si>
  <si>
    <t xml:space="preserve">Placement balance</t>
  </si>
  <si>
    <t xml:space="preserve">USD</t>
  </si>
  <si>
    <t xml:space="preserve">Inputs!D34</t>
  </si>
  <si>
    <t xml:space="preserve">Payroll-week redemption</t>
  </si>
  <si>
    <t xml:space="preserve">Inputs!D35; Notes override</t>
  </si>
  <si>
    <t xml:space="preserve">Quarter days</t>
  </si>
  <si>
    <t xml:space="preserve">days</t>
  </si>
  <si>
    <t xml:space="preserve">Inputs!D39</t>
  </si>
  <si>
    <t xml:space="preserve">Day-count denominator</t>
  </si>
  <si>
    <t xml:space="preserve">Inputs!D40</t>
  </si>
  <si>
    <t xml:space="preserve">Fee rate</t>
  </si>
  <si>
    <t xml:space="preserve">decimal</t>
  </si>
  <si>
    <t xml:space="preserve">Inputs!B26 current regime</t>
  </si>
  <si>
    <t xml:space="preserve">Delay cost/day</t>
  </si>
  <si>
    <t xml:space="preserve">USD/day</t>
  </si>
  <si>
    <t xml:space="preserve">Inputs!D37</t>
  </si>
  <si>
    <t xml:space="preserve">Gate duration</t>
  </si>
  <si>
    <t xml:space="preserve">Inputs!D38</t>
  </si>
  <si>
    <t xml:space="preserve">Final normalized quotes and base income</t>
  </si>
  <si>
    <t xml:space="preserve">Period</t>
  </si>
  <si>
    <t xml:space="preserve">Final quote (bps)</t>
  </si>
  <si>
    <t xml:space="preserve">Annualized yield</t>
  </si>
  <si>
    <t xml:space="preserve">Base income formula / result</t>
  </si>
  <si>
    <t xml:space="preserve">Source / override</t>
  </si>
  <si>
    <t xml:space="preserve">Prime</t>
  </si>
  <si>
    <t xml:space="preserve">Inputs!row 6</t>
  </si>
  <si>
    <t xml:space="preserve">Government</t>
  </si>
  <si>
    <t xml:space="preserve">Inputs!row 7</t>
  </si>
  <si>
    <t xml:space="preserve">Ladder</t>
  </si>
  <si>
    <t xml:space="preserve">Inputs!row 8</t>
  </si>
  <si>
    <t xml:space="preserve">Inputs!row 9</t>
  </si>
  <si>
    <t xml:space="preserve">Inputs!row 10; note override</t>
  </si>
  <si>
    <t xml:space="preserve">Inputs!row 11; note</t>
  </si>
  <si>
    <t xml:space="preserve">Q3 2025</t>
  </si>
  <si>
    <t xml:space="preserve">approved close override</t>
  </si>
  <si>
    <t xml:space="preserve">Inputs!row 13</t>
  </si>
  <si>
    <t xml:space="preserve">Inputs!row 14</t>
  </si>
  <si>
    <t xml:space="preserve">Stress population and event classification</t>
  </si>
  <si>
    <t xml:space="preserve">Observation</t>
  </si>
  <si>
    <t xml:space="preserve">Date</t>
  </si>
  <si>
    <t xml:space="preserve">Regime</t>
  </si>
  <si>
    <t xml:space="preserve">Complete</t>
  </si>
  <si>
    <t xml:space="preserve">Client redemption</t>
  </si>
  <si>
    <t xml:space="preserve">Fee imposed</t>
  </si>
  <si>
    <t xml:space="preserve">Gate qualifying</t>
  </si>
  <si>
    <t xml:space="preserve">Included?</t>
  </si>
  <si>
    <t xml:space="preserve">Exclusion / source note</t>
  </si>
  <si>
    <t xml:space="preserve">CR-01</t>
  </si>
  <si>
    <t xml:space="preserve">Current</t>
  </si>
  <si>
    <t xml:space="preserve">Yes</t>
  </si>
  <si>
    <t xml:space="preserve">No</t>
  </si>
  <si>
    <t xml:space="preserve">Inputs!stress log</t>
  </si>
  <si>
    <t xml:space="preserve">CR-02</t>
  </si>
  <si>
    <t xml:space="preserve">CR-03</t>
  </si>
  <si>
    <t xml:space="preserve">CR-04</t>
  </si>
  <si>
    <t xml:space="preserve">CR-05</t>
  </si>
  <si>
    <t xml:space="preserve">CR-06</t>
  </si>
  <si>
    <t xml:space="preserve">CR-07</t>
  </si>
  <si>
    <t xml:space="preserve">CR-08</t>
  </si>
  <si>
    <t xml:space="preserve">CR-09</t>
  </si>
  <si>
    <t xml:space="preserve">CR-10</t>
  </si>
  <si>
    <t xml:space="preserve">CR-11</t>
  </si>
  <si>
    <t xml:space="preserve">CR-12</t>
  </si>
  <si>
    <t xml:space="preserve">CR-13</t>
  </si>
  <si>
    <t xml:space="preserve">CR-14</t>
  </si>
  <si>
    <t xml:space="preserve">CR-15</t>
  </si>
  <si>
    <t xml:space="preserve">CR-16</t>
  </si>
  <si>
    <t xml:space="preserve">CR-17</t>
  </si>
  <si>
    <t xml:space="preserve">CR-18</t>
  </si>
  <si>
    <t xml:space="preserve">CR-19</t>
  </si>
  <si>
    <t xml:space="preserve">CR-20</t>
  </si>
  <si>
    <t xml:space="preserve">CR-TEST</t>
  </si>
  <si>
    <t xml:space="preserve">Provider test with no client redemption; exclude from empirical population.</t>
  </si>
  <si>
    <t xml:space="preserve">OLD-01</t>
  </si>
  <si>
    <t xml:space="preserve">Pre-current</t>
  </si>
  <si>
    <t xml:space="preserve">Older rule; incomplete loss amount and outside current regime.</t>
  </si>
  <si>
    <t xml:space="preserve">Risk calculations</t>
  </si>
  <si>
    <t xml:space="preserve">Metric</t>
  </si>
  <si>
    <t xml:space="preserve">Formula / inputs</t>
  </si>
  <si>
    <t xml:space="preserve">Result</t>
  </si>
  <si>
    <t xml:space="preserve">Interpretation</t>
  </si>
  <si>
    <t xml:space="preserve">Eligible observations</t>
  </si>
  <si>
    <t xml:space="preserve">Complete current-regime comparable observations; excludes provider test and pre-regime</t>
  </si>
  <si>
    <t xml:space="preserve">Fee events</t>
  </si>
  <si>
    <t xml:space="preserve">Policy-defined imposed fee</t>
  </si>
  <si>
    <t xml:space="preserve">Fee probability</t>
  </si>
  <si>
    <t xml:space="preserve">Soft empirical base rate</t>
  </si>
  <si>
    <t xml:space="preserve">One-event fee loss</t>
  </si>
  <si>
    <t xml:space="preserve">Scenario loss on one payroll-week redemption</t>
  </si>
  <si>
    <t xml:space="preserve">Expected fee cost</t>
  </si>
  <si>
    <t xml:space="preserve">Probability-weighted expected cost</t>
  </si>
  <si>
    <t xml:space="preserve">Gate events</t>
  </si>
  <si>
    <t xml:space="preserve">Qualifying temporary restriction</t>
  </si>
  <si>
    <t xml:space="preserve">Gate probability</t>
  </si>
  <si>
    <t xml:space="preserve">One-event gate consequence</t>
  </si>
  <si>
    <t xml:space="preserve">Scenario loss: delay cost/day × 1.5 days</t>
  </si>
  <si>
    <t xml:space="preserve">Expected gate cost</t>
  </si>
  <si>
    <t xml:space="preserve">Prime total expected risk cost</t>
  </si>
  <si>
    <t xml:space="preserve">Expected fee + expected gate</t>
  </si>
  <si>
    <t xml:space="preserve">Prime adjusted income</t>
  </si>
  <si>
    <t xml:space="preserve">Prime base income less expected costs</t>
  </si>
  <si>
    <t xml:space="preserve">Prime adjusted yield</t>
  </si>
  <si>
    <t xml:space="preserve">Annualized yield implied by adjusted income</t>
  </si>
  <si>
    <t xml:space="preserve">Government adjusted income</t>
  </si>
  <si>
    <t xml:space="preserve">No supplied government fee/gate adjustment</t>
  </si>
  <si>
    <t xml:space="preserve">Ladder adjusted income</t>
  </si>
  <si>
    <t xml:space="preserve">No supplied ladder fee; operational tradeoff not quantified</t>
  </si>
  <si>
    <t xml:space="preserve">Fee probability break-even vs government</t>
  </si>
  <si>
    <t xml:space="preserve">Gate assumption held constant; equality with government</t>
  </si>
  <si>
    <t xml:space="preserve">Assumptions and exclusions</t>
  </si>
  <si>
    <t xml:space="preserve">Yields are whole-number basis points per provider message; normalized as bps ÷ 10,000.</t>
  </si>
  <si>
    <t xml:space="preserve">Join keys are matched after trim + case-fold; source varies PM-A7 / pm-a7 trailing space.</t>
  </si>
  <si>
    <t xml:space="preserve">Q2 ladder quote is blank and excluded from Q1→Q2 and Q2→Q3 trend; no estimate made.</t>
  </si>
  <si>
    <t xml:space="preserve">Pre-current stress observation is outside effective date and incomplete; loss amount left unestimated.</t>
  </si>
  <si>
    <t xml:space="preserve">Provider test is excluded because Notes state no client redemption, despite apparent eligible status.</t>
  </si>
  <si>
    <t xml:space="preserve">Scenario loss is the cost if one event occurs; expected cost multiplies scenario loss by empirical probability.</t>
  </si>
  <si>
    <t xml:space="preserve">No prime-specific fees/gates are assigned to government or ladder; ladder operational tradeoff has no supplied dollar amount.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</si>
</sst>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\$#,##0"/>
    <numFmt numFmtId="167" formatCode="0.00%"/>
    <numFmt numFmtId="168" formatCode="0.0&quot; bps&quot;"/>
    <numFmt numFmtId="169" formatCode="\$#,##0.00"/>
    <numFmt numFmtId="170" formatCode="0.0"/>
    <numFmt numFmtId="171" formatCode="yyyy\-mm\-dd"/>
    <numFmt numFmtId="172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8" min="3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42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54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customFormat="false" ht="54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customFormat="false" ht="54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  <c r="G7" s="4"/>
      <c r="H7" s="4"/>
    </row>
    <row r="8" customFormat="false" ht="54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  <c r="G8" s="4"/>
      <c r="H8" s="4"/>
    </row>
    <row r="9" customFormat="false" ht="42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  <c r="G9" s="4"/>
      <c r="H9" s="4"/>
    </row>
    <row r="12" customFormat="false" ht="15" hidden="false" customHeight="false" outlineLevel="0" collapsed="false">
      <c r="A12" s="5" t="s">
        <v>14</v>
      </c>
    </row>
  </sheetData>
  <mergeCells count="8">
    <mergeCell ref="A1:H1"/>
    <mergeCell ref="A2:H2"/>
    <mergeCell ref="B4:H4"/>
    <mergeCell ref="B5:H5"/>
    <mergeCell ref="B6:H6"/>
    <mergeCell ref="B7:H7"/>
    <mergeCell ref="B8:H8"/>
    <mergeCell ref="B9:H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7" min="6" style="0" width="1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8"/>
  </cols>
  <sheetData>
    <row r="1" customFormat="false" ht="19.4" hidden="false" customHeight="true" outlineLevel="0" collapsed="false">
      <c r="A1" s="6" t="s">
        <v>15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41.75" hidden="false" customHeight="false" outlineLevel="0" collapsed="false">
      <c r="A2" s="7" t="s">
        <v>16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</row>
    <row r="4" customFormat="false" ht="28.35" hidden="false" customHeight="false" outlineLevel="0" collapsed="false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</row>
    <row r="5" customFormat="false" ht="28.35" hidden="false" customHeight="false" outlineLevel="0" collapsed="false">
      <c r="A5" s="10" t="s">
        <v>27</v>
      </c>
      <c r="B5" s="11" t="n">
        <f aca="false">Support!D22</f>
        <v>0.0451</v>
      </c>
      <c r="C5" s="12" t="n">
        <f aca="false">Support!E22</f>
        <v>593126.780821918</v>
      </c>
      <c r="D5" s="10" t="s">
        <v>28</v>
      </c>
      <c r="E5" s="10" t="s">
        <v>29</v>
      </c>
      <c r="F5" s="12" t="n">
        <f aca="false">Support!C58</f>
        <v>16200</v>
      </c>
      <c r="G5" s="12" t="n">
        <f aca="false">Support!C62</f>
        <v>13950</v>
      </c>
      <c r="H5" s="12" t="n">
        <f aca="false">Support!C64</f>
        <v>562976.780821918</v>
      </c>
      <c r="I5" s="11" t="n">
        <f aca="false">Support!C65</f>
        <v>0.0428074631529608</v>
      </c>
      <c r="J5" s="10" t="n">
        <v>2</v>
      </c>
    </row>
    <row r="6" customFormat="false" ht="28.35" hidden="false" customHeight="false" outlineLevel="0" collapsed="false">
      <c r="A6" s="10" t="s">
        <v>30</v>
      </c>
      <c r="B6" s="11" t="n">
        <f aca="false">Support!D23</f>
        <v>0.0436</v>
      </c>
      <c r="C6" s="12" t="n">
        <f aca="false">Support!E23</f>
        <v>573399.726027397</v>
      </c>
      <c r="D6" s="10" t="s">
        <v>28</v>
      </c>
      <c r="E6" s="10" t="s">
        <v>31</v>
      </c>
      <c r="F6" s="12" t="n">
        <v>0</v>
      </c>
      <c r="G6" s="12" t="n">
        <v>0</v>
      </c>
      <c r="H6" s="12" t="n">
        <f aca="false">Support!C66</f>
        <v>573399.726027397</v>
      </c>
      <c r="I6" s="11" t="n">
        <f aca="false">H6/Support!$B$5*Support!$B$8/Support!$B$7</f>
        <v>0.0436</v>
      </c>
      <c r="J6" s="10" t="n">
        <v>1</v>
      </c>
    </row>
    <row r="7" customFormat="false" ht="28.35" hidden="false" customHeight="false" outlineLevel="0" collapsed="false">
      <c r="A7" s="10" t="s">
        <v>32</v>
      </c>
      <c r="B7" s="11" t="n">
        <f aca="false">Support!D24</f>
        <v>0.0421</v>
      </c>
      <c r="C7" s="12" t="n">
        <f aca="false">Support!E24</f>
        <v>553672.671232877</v>
      </c>
      <c r="D7" s="10" t="s">
        <v>33</v>
      </c>
      <c r="E7" s="10" t="s">
        <v>34</v>
      </c>
      <c r="F7" s="12" t="n">
        <v>0</v>
      </c>
      <c r="G7" s="12" t="n">
        <v>0</v>
      </c>
      <c r="H7" s="12" t="n">
        <f aca="false">Support!C67</f>
        <v>553672.671232877</v>
      </c>
      <c r="I7" s="11" t="n">
        <f aca="false">H7/Support!$B$5*Support!$B$8/Support!$B$7</f>
        <v>0.0421</v>
      </c>
      <c r="J7" s="10" t="n">
        <v>3</v>
      </c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28.35" hidden="false" customHeight="false" outlineLevel="0" collapsed="false">
      <c r="A10" s="13" t="s">
        <v>35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9" t="s">
        <v>17</v>
      </c>
      <c r="B11" s="9" t="s">
        <v>36</v>
      </c>
      <c r="C11" s="9" t="s">
        <v>37</v>
      </c>
      <c r="D11" s="9" t="s">
        <v>38</v>
      </c>
      <c r="E11" s="9" t="s">
        <v>39</v>
      </c>
      <c r="F11" s="9" t="s">
        <v>40</v>
      </c>
      <c r="G11" s="8"/>
      <c r="H11" s="8"/>
      <c r="I11" s="8"/>
      <c r="J11" s="8"/>
    </row>
    <row r="12" customFormat="false" ht="15" hidden="false" customHeight="false" outlineLevel="0" collapsed="false">
      <c r="A12" s="10" t="s">
        <v>41</v>
      </c>
      <c r="B12" s="14" t="n">
        <v>0.0428</v>
      </c>
      <c r="C12" s="14" t="n">
        <v>0.0445</v>
      </c>
      <c r="D12" s="14" t="n">
        <v>0.0451</v>
      </c>
      <c r="E12" s="15" t="n">
        <v>0.0017</v>
      </c>
      <c r="F12" s="15" t="n">
        <v>0.000600000000000003</v>
      </c>
      <c r="G12" s="8"/>
      <c r="H12" s="8"/>
      <c r="I12" s="8"/>
      <c r="J12" s="8"/>
    </row>
    <row r="13" customFormat="false" ht="15" hidden="false" customHeight="false" outlineLevel="0" collapsed="false">
      <c r="A13" s="10" t="s">
        <v>42</v>
      </c>
      <c r="B13" s="14" t="n">
        <v>0.0412</v>
      </c>
      <c r="C13" s="14" t="n">
        <v>0.0429</v>
      </c>
      <c r="D13" s="14" t="n">
        <v>0.0436</v>
      </c>
      <c r="E13" s="15" t="n">
        <v>0.0017</v>
      </c>
      <c r="F13" s="15" t="n">
        <v>0.000699999999999999</v>
      </c>
      <c r="G13" s="8"/>
      <c r="H13" s="8"/>
      <c r="I13" s="8"/>
      <c r="J13" s="8"/>
    </row>
    <row r="14" customFormat="false" ht="15" hidden="false" customHeight="false" outlineLevel="0" collapsed="false">
      <c r="A14" s="10" t="s">
        <v>43</v>
      </c>
      <c r="B14" s="14" t="n">
        <v>0.0398</v>
      </c>
      <c r="C14" s="16"/>
      <c r="D14" s="14" t="n">
        <v>0.0421</v>
      </c>
      <c r="E14" s="17"/>
      <c r="F14" s="17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true" outlineLevel="0" collapsed="false">
      <c r="A17" s="10" t="s">
        <v>44</v>
      </c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10" t="s">
        <v>45</v>
      </c>
      <c r="B18" s="10"/>
      <c r="C18" s="10"/>
      <c r="D18" s="10"/>
      <c r="E18" s="10"/>
      <c r="F18" s="10"/>
      <c r="G18" s="10"/>
      <c r="H18" s="10"/>
      <c r="I18" s="10"/>
      <c r="J18" s="10"/>
    </row>
  </sheetData>
  <mergeCells count="3">
    <mergeCell ref="A1:J1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17.9" hidden="false" customHeight="true" outlineLevel="0" collapsed="false">
      <c r="A1" s="18" t="s">
        <v>46</v>
      </c>
      <c r="B1" s="18"/>
      <c r="C1" s="18"/>
      <c r="D1" s="18"/>
      <c r="E1" s="18"/>
      <c r="F1" s="18"/>
      <c r="G1" s="18"/>
      <c r="H1" s="18"/>
      <c r="I1" s="8"/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13" t="s">
        <v>47</v>
      </c>
      <c r="B3" s="8"/>
      <c r="C3" s="8"/>
      <c r="D3" s="8"/>
      <c r="E3" s="8"/>
      <c r="F3" s="8"/>
      <c r="G3" s="8"/>
      <c r="H3" s="8"/>
      <c r="I3" s="8"/>
    </row>
    <row r="4" customFormat="false" ht="28.35" hidden="false" customHeight="false" outlineLevel="0" collapsed="false">
      <c r="A4" s="9" t="s">
        <v>48</v>
      </c>
      <c r="B4" s="9" t="s">
        <v>49</v>
      </c>
      <c r="C4" s="9" t="s">
        <v>50</v>
      </c>
      <c r="D4" s="9" t="s">
        <v>51</v>
      </c>
      <c r="E4" s="8"/>
      <c r="F4" s="8"/>
      <c r="G4" s="8"/>
      <c r="H4" s="8"/>
      <c r="I4" s="8"/>
    </row>
    <row r="5" customFormat="false" ht="15" hidden="false" customHeight="false" outlineLevel="0" collapsed="false">
      <c r="A5" s="10" t="s">
        <v>52</v>
      </c>
      <c r="B5" s="19" t="n">
        <v>52750000</v>
      </c>
      <c r="C5" s="10" t="s">
        <v>53</v>
      </c>
      <c r="D5" s="10" t="s">
        <v>54</v>
      </c>
      <c r="E5" s="8"/>
      <c r="F5" s="8"/>
      <c r="G5" s="8"/>
      <c r="H5" s="8"/>
      <c r="I5" s="8"/>
    </row>
    <row r="6" customFormat="false" ht="28.35" hidden="false" customHeight="false" outlineLevel="0" collapsed="false">
      <c r="A6" s="10" t="s">
        <v>55</v>
      </c>
      <c r="B6" s="19" t="n">
        <v>8640000</v>
      </c>
      <c r="C6" s="10" t="s">
        <v>53</v>
      </c>
      <c r="D6" s="10" t="s">
        <v>56</v>
      </c>
      <c r="E6" s="8"/>
      <c r="F6" s="8"/>
      <c r="G6" s="8"/>
      <c r="H6" s="8"/>
      <c r="I6" s="8"/>
    </row>
    <row r="7" customFormat="false" ht="15" hidden="false" customHeight="false" outlineLevel="0" collapsed="false">
      <c r="A7" s="10" t="s">
        <v>57</v>
      </c>
      <c r="B7" s="20" t="n">
        <v>91</v>
      </c>
      <c r="C7" s="10" t="s">
        <v>58</v>
      </c>
      <c r="D7" s="10" t="s">
        <v>59</v>
      </c>
      <c r="E7" s="8"/>
      <c r="F7" s="8"/>
      <c r="G7" s="8"/>
      <c r="H7" s="8"/>
      <c r="I7" s="8"/>
    </row>
    <row r="8" customFormat="false" ht="15" hidden="false" customHeight="false" outlineLevel="0" collapsed="false">
      <c r="A8" s="10" t="s">
        <v>60</v>
      </c>
      <c r="B8" s="20" t="n">
        <v>365</v>
      </c>
      <c r="C8" s="10" t="s">
        <v>58</v>
      </c>
      <c r="D8" s="10" t="s">
        <v>61</v>
      </c>
      <c r="E8" s="8"/>
      <c r="F8" s="8"/>
      <c r="G8" s="8"/>
      <c r="H8" s="8"/>
      <c r="I8" s="8"/>
    </row>
    <row r="9" customFormat="false" ht="28.35" hidden="false" customHeight="false" outlineLevel="0" collapsed="false">
      <c r="A9" s="10" t="s">
        <v>62</v>
      </c>
      <c r="B9" s="14" t="n">
        <v>0.0125</v>
      </c>
      <c r="C9" s="10" t="s">
        <v>63</v>
      </c>
      <c r="D9" s="10" t="s">
        <v>64</v>
      </c>
      <c r="E9" s="8"/>
      <c r="F9" s="8"/>
      <c r="G9" s="8"/>
      <c r="H9" s="8"/>
      <c r="I9" s="8"/>
    </row>
    <row r="10" customFormat="false" ht="15" hidden="false" customHeight="false" outlineLevel="0" collapsed="false">
      <c r="A10" s="10" t="s">
        <v>65</v>
      </c>
      <c r="B10" s="19" t="n">
        <v>186000</v>
      </c>
      <c r="C10" s="10" t="s">
        <v>66</v>
      </c>
      <c r="D10" s="10" t="s">
        <v>67</v>
      </c>
      <c r="E10" s="8"/>
      <c r="F10" s="8"/>
      <c r="G10" s="8"/>
      <c r="H10" s="8"/>
      <c r="I10" s="8"/>
    </row>
    <row r="11" customFormat="false" ht="15" hidden="false" customHeight="false" outlineLevel="0" collapsed="false">
      <c r="A11" s="10" t="s">
        <v>68</v>
      </c>
      <c r="B11" s="20" t="n">
        <v>1.5</v>
      </c>
      <c r="C11" s="10" t="s">
        <v>58</v>
      </c>
      <c r="D11" s="10" t="s">
        <v>69</v>
      </c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28.35" hidden="false" customHeight="false" outlineLevel="0" collapsed="false">
      <c r="A14" s="13" t="s">
        <v>70</v>
      </c>
      <c r="B14" s="8"/>
      <c r="C14" s="8"/>
      <c r="D14" s="8"/>
      <c r="E14" s="8"/>
      <c r="F14" s="8"/>
      <c r="G14" s="8"/>
      <c r="H14" s="8"/>
      <c r="I14" s="8"/>
    </row>
    <row r="15" customFormat="false" ht="28.35" hidden="false" customHeight="false" outlineLevel="0" collapsed="false">
      <c r="A15" s="9" t="s">
        <v>71</v>
      </c>
      <c r="B15" s="9" t="s">
        <v>17</v>
      </c>
      <c r="C15" s="9" t="s">
        <v>72</v>
      </c>
      <c r="D15" s="9" t="s">
        <v>73</v>
      </c>
      <c r="E15" s="9" t="s">
        <v>74</v>
      </c>
      <c r="F15" s="9" t="s">
        <v>75</v>
      </c>
      <c r="G15" s="8"/>
      <c r="H15" s="8"/>
      <c r="I15" s="8"/>
    </row>
    <row r="16" customFormat="false" ht="15" hidden="false" customHeight="false" outlineLevel="0" collapsed="false">
      <c r="A16" s="10" t="s">
        <v>36</v>
      </c>
      <c r="B16" s="10" t="s">
        <v>76</v>
      </c>
      <c r="C16" s="10" t="n">
        <v>428</v>
      </c>
      <c r="D16" s="14" t="n">
        <v>0.0428</v>
      </c>
      <c r="E16" s="12" t="n">
        <f aca="false">IF(D16="","",$B$5*D16*$B$7/$B$8)</f>
        <v>562878.630136986</v>
      </c>
      <c r="F16" s="10" t="s">
        <v>77</v>
      </c>
      <c r="G16" s="8"/>
      <c r="H16" s="8"/>
      <c r="I16" s="8"/>
    </row>
    <row r="17" customFormat="false" ht="15" hidden="false" customHeight="false" outlineLevel="0" collapsed="false">
      <c r="A17" s="10" t="s">
        <v>36</v>
      </c>
      <c r="B17" s="10" t="s">
        <v>78</v>
      </c>
      <c r="C17" s="10" t="n">
        <v>412</v>
      </c>
      <c r="D17" s="14" t="n">
        <v>0.0412</v>
      </c>
      <c r="E17" s="12" t="n">
        <f aca="false">IF(D17="","",$B$5*D17*$B$7/$B$8)</f>
        <v>541836.438356164</v>
      </c>
      <c r="F17" s="10" t="s">
        <v>79</v>
      </c>
      <c r="G17" s="8"/>
      <c r="H17" s="8"/>
      <c r="I17" s="8"/>
    </row>
    <row r="18" customFormat="false" ht="15" hidden="false" customHeight="false" outlineLevel="0" collapsed="false">
      <c r="A18" s="10" t="s">
        <v>36</v>
      </c>
      <c r="B18" s="10" t="s">
        <v>80</v>
      </c>
      <c r="C18" s="10" t="n">
        <v>398</v>
      </c>
      <c r="D18" s="14" t="n">
        <v>0.0398</v>
      </c>
      <c r="E18" s="12" t="n">
        <f aca="false">IF(D18="","",$B$5*D18*$B$7/$B$8)</f>
        <v>523424.520547945</v>
      </c>
      <c r="F18" s="10" t="s">
        <v>81</v>
      </c>
      <c r="G18" s="8"/>
      <c r="H18" s="8"/>
      <c r="I18" s="8"/>
    </row>
    <row r="19" customFormat="false" ht="15" hidden="false" customHeight="false" outlineLevel="0" collapsed="false">
      <c r="A19" s="10" t="s">
        <v>37</v>
      </c>
      <c r="B19" s="10" t="s">
        <v>76</v>
      </c>
      <c r="C19" s="10" t="n">
        <v>445</v>
      </c>
      <c r="D19" s="14" t="n">
        <v>0.0445</v>
      </c>
      <c r="E19" s="12" t="n">
        <f aca="false">IF(D19="","",$B$5*D19*$B$7/$B$8)</f>
        <v>585235.95890411</v>
      </c>
      <c r="F19" s="10" t="s">
        <v>82</v>
      </c>
      <c r="G19" s="8"/>
      <c r="H19" s="8"/>
      <c r="I19" s="8"/>
    </row>
    <row r="20" customFormat="false" ht="28.35" hidden="false" customHeight="false" outlineLevel="0" collapsed="false">
      <c r="A20" s="10" t="s">
        <v>37</v>
      </c>
      <c r="B20" s="10" t="s">
        <v>78</v>
      </c>
      <c r="C20" s="10" t="n">
        <v>429</v>
      </c>
      <c r="D20" s="14" t="n">
        <v>0.0429</v>
      </c>
      <c r="E20" s="12" t="n">
        <f aca="false">IF(D20="","",$B$5*D20*$B$7/$B$8)</f>
        <v>564193.767123288</v>
      </c>
      <c r="F20" s="10" t="s">
        <v>83</v>
      </c>
      <c r="G20" s="8"/>
      <c r="H20" s="8"/>
      <c r="I20" s="8"/>
    </row>
    <row r="21" customFormat="false" ht="15" hidden="false" customHeight="false" outlineLevel="0" collapsed="false">
      <c r="A21" s="10" t="s">
        <v>37</v>
      </c>
      <c r="B21" s="10" t="s">
        <v>80</v>
      </c>
      <c r="C21" s="8"/>
      <c r="D21" s="16"/>
      <c r="E21" s="12" t="str">
        <f aca="false">IF(D21="","",$B$5*D21*$B$7/$B$8)</f>
        <v/>
      </c>
      <c r="F21" s="10" t="s">
        <v>84</v>
      </c>
      <c r="G21" s="8"/>
      <c r="H21" s="8"/>
      <c r="I21" s="8"/>
    </row>
    <row r="22" customFormat="false" ht="28.35" hidden="false" customHeight="false" outlineLevel="0" collapsed="false">
      <c r="A22" s="10" t="s">
        <v>85</v>
      </c>
      <c r="B22" s="10" t="s">
        <v>76</v>
      </c>
      <c r="C22" s="10" t="n">
        <v>451</v>
      </c>
      <c r="D22" s="14" t="n">
        <v>0.0451</v>
      </c>
      <c r="E22" s="12" t="n">
        <f aca="false">IF(D22="","",$B$5*D22*$B$7/$B$8)</f>
        <v>593126.780821918</v>
      </c>
      <c r="F22" s="10" t="s">
        <v>86</v>
      </c>
      <c r="G22" s="8"/>
      <c r="H22" s="8"/>
      <c r="I22" s="8"/>
    </row>
    <row r="23" customFormat="false" ht="15" hidden="false" customHeight="false" outlineLevel="0" collapsed="false">
      <c r="A23" s="10" t="s">
        <v>85</v>
      </c>
      <c r="B23" s="10" t="s">
        <v>78</v>
      </c>
      <c r="C23" s="10" t="n">
        <v>436</v>
      </c>
      <c r="D23" s="14" t="n">
        <v>0.0436</v>
      </c>
      <c r="E23" s="12" t="n">
        <f aca="false">IF(D23="","",$B$5*D23*$B$7/$B$8)</f>
        <v>573399.726027397</v>
      </c>
      <c r="F23" s="10" t="s">
        <v>87</v>
      </c>
      <c r="G23" s="8"/>
      <c r="H23" s="8"/>
      <c r="I23" s="8"/>
    </row>
    <row r="24" customFormat="false" ht="15" hidden="false" customHeight="false" outlineLevel="0" collapsed="false">
      <c r="A24" s="10" t="s">
        <v>85</v>
      </c>
      <c r="B24" s="10" t="s">
        <v>80</v>
      </c>
      <c r="C24" s="10" t="n">
        <v>421</v>
      </c>
      <c r="D24" s="14" t="n">
        <v>0.0421</v>
      </c>
      <c r="E24" s="12" t="n">
        <f aca="false">IF(D24="","",$B$5*D24*$B$7/$B$8)</f>
        <v>553672.671232877</v>
      </c>
      <c r="F24" s="10" t="s">
        <v>88</v>
      </c>
      <c r="G24" s="8"/>
      <c r="H24" s="8"/>
      <c r="I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</row>
    <row r="27" customFormat="false" ht="28.35" hidden="false" customHeight="false" outlineLevel="0" collapsed="false">
      <c r="A27" s="13" t="s">
        <v>89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9" t="s">
        <v>90</v>
      </c>
      <c r="B28" s="9" t="s">
        <v>91</v>
      </c>
      <c r="C28" s="9" t="s">
        <v>92</v>
      </c>
      <c r="D28" s="9" t="s">
        <v>93</v>
      </c>
      <c r="E28" s="9" t="s">
        <v>94</v>
      </c>
      <c r="F28" s="9" t="s">
        <v>95</v>
      </c>
      <c r="G28" s="9" t="s">
        <v>96</v>
      </c>
      <c r="H28" s="9" t="s">
        <v>97</v>
      </c>
      <c r="I28" s="9" t="s">
        <v>98</v>
      </c>
    </row>
    <row r="29" customFormat="false" ht="15" hidden="false" customHeight="false" outlineLevel="0" collapsed="false">
      <c r="A29" s="10" t="s">
        <v>99</v>
      </c>
      <c r="B29" s="21" t="n">
        <v>45676</v>
      </c>
      <c r="C29" s="10" t="s">
        <v>100</v>
      </c>
      <c r="D29" s="10" t="s">
        <v>101</v>
      </c>
      <c r="E29" s="10" t="s">
        <v>101</v>
      </c>
      <c r="F29" s="10" t="s">
        <v>101</v>
      </c>
      <c r="G29" s="10" t="s">
        <v>102</v>
      </c>
      <c r="H29" s="10" t="s">
        <v>101</v>
      </c>
      <c r="I29" s="10" t="s">
        <v>103</v>
      </c>
    </row>
    <row r="30" customFormat="false" ht="15" hidden="false" customHeight="false" outlineLevel="0" collapsed="false">
      <c r="A30" s="10" t="s">
        <v>104</v>
      </c>
      <c r="B30" s="21" t="n">
        <v>45685</v>
      </c>
      <c r="C30" s="10" t="s">
        <v>100</v>
      </c>
      <c r="D30" s="10" t="s">
        <v>101</v>
      </c>
      <c r="E30" s="10" t="s">
        <v>101</v>
      </c>
      <c r="F30" s="10" t="s">
        <v>102</v>
      </c>
      <c r="G30" s="10" t="s">
        <v>102</v>
      </c>
      <c r="H30" s="10" t="s">
        <v>101</v>
      </c>
      <c r="I30" s="10" t="s">
        <v>103</v>
      </c>
    </row>
    <row r="31" customFormat="false" ht="15" hidden="false" customHeight="false" outlineLevel="0" collapsed="false">
      <c r="A31" s="10" t="s">
        <v>105</v>
      </c>
      <c r="B31" s="21" t="n">
        <v>45694</v>
      </c>
      <c r="C31" s="10" t="s">
        <v>100</v>
      </c>
      <c r="D31" s="10" t="s">
        <v>101</v>
      </c>
      <c r="E31" s="10" t="s">
        <v>101</v>
      </c>
      <c r="F31" s="10" t="s">
        <v>102</v>
      </c>
      <c r="G31" s="10" t="s">
        <v>102</v>
      </c>
      <c r="H31" s="10" t="s">
        <v>101</v>
      </c>
      <c r="I31" s="10" t="s">
        <v>103</v>
      </c>
    </row>
    <row r="32" customFormat="false" ht="15" hidden="false" customHeight="false" outlineLevel="0" collapsed="false">
      <c r="A32" s="10" t="s">
        <v>106</v>
      </c>
      <c r="B32" s="21" t="n">
        <v>45703</v>
      </c>
      <c r="C32" s="10" t="s">
        <v>100</v>
      </c>
      <c r="D32" s="10" t="s">
        <v>101</v>
      </c>
      <c r="E32" s="10" t="s">
        <v>101</v>
      </c>
      <c r="F32" s="10" t="s">
        <v>102</v>
      </c>
      <c r="G32" s="10" t="s">
        <v>102</v>
      </c>
      <c r="H32" s="10" t="s">
        <v>101</v>
      </c>
      <c r="I32" s="10" t="s">
        <v>103</v>
      </c>
    </row>
    <row r="33" customFormat="false" ht="15" hidden="false" customHeight="false" outlineLevel="0" collapsed="false">
      <c r="A33" s="10" t="s">
        <v>107</v>
      </c>
      <c r="B33" s="21" t="n">
        <v>45712</v>
      </c>
      <c r="C33" s="10" t="s">
        <v>100</v>
      </c>
      <c r="D33" s="10" t="s">
        <v>101</v>
      </c>
      <c r="E33" s="10" t="s">
        <v>101</v>
      </c>
      <c r="F33" s="10" t="s">
        <v>102</v>
      </c>
      <c r="G33" s="10" t="s">
        <v>102</v>
      </c>
      <c r="H33" s="10" t="s">
        <v>101</v>
      </c>
      <c r="I33" s="10" t="s">
        <v>103</v>
      </c>
    </row>
    <row r="34" customFormat="false" ht="15" hidden="false" customHeight="false" outlineLevel="0" collapsed="false">
      <c r="A34" s="10" t="s">
        <v>108</v>
      </c>
      <c r="B34" s="21" t="n">
        <v>45721</v>
      </c>
      <c r="C34" s="10" t="s">
        <v>100</v>
      </c>
      <c r="D34" s="10" t="s">
        <v>101</v>
      </c>
      <c r="E34" s="10" t="s">
        <v>101</v>
      </c>
      <c r="F34" s="10" t="s">
        <v>102</v>
      </c>
      <c r="G34" s="10" t="s">
        <v>102</v>
      </c>
      <c r="H34" s="10" t="s">
        <v>101</v>
      </c>
      <c r="I34" s="10" t="s">
        <v>103</v>
      </c>
    </row>
    <row r="35" customFormat="false" ht="15" hidden="false" customHeight="false" outlineLevel="0" collapsed="false">
      <c r="A35" s="10" t="s">
        <v>109</v>
      </c>
      <c r="B35" s="21" t="n">
        <v>45730</v>
      </c>
      <c r="C35" s="10" t="s">
        <v>100</v>
      </c>
      <c r="D35" s="10" t="s">
        <v>101</v>
      </c>
      <c r="E35" s="10" t="s">
        <v>101</v>
      </c>
      <c r="F35" s="10" t="s">
        <v>101</v>
      </c>
      <c r="G35" s="10" t="s">
        <v>101</v>
      </c>
      <c r="H35" s="10" t="s">
        <v>101</v>
      </c>
      <c r="I35" s="10" t="s">
        <v>103</v>
      </c>
    </row>
    <row r="36" customFormat="false" ht="15" hidden="false" customHeight="false" outlineLevel="0" collapsed="false">
      <c r="A36" s="10" t="s">
        <v>110</v>
      </c>
      <c r="B36" s="21" t="n">
        <v>45739</v>
      </c>
      <c r="C36" s="10" t="s">
        <v>100</v>
      </c>
      <c r="D36" s="10" t="s">
        <v>101</v>
      </c>
      <c r="E36" s="10" t="s">
        <v>101</v>
      </c>
      <c r="F36" s="10" t="s">
        <v>102</v>
      </c>
      <c r="G36" s="10" t="s">
        <v>102</v>
      </c>
      <c r="H36" s="10" t="s">
        <v>101</v>
      </c>
      <c r="I36" s="10" t="s">
        <v>103</v>
      </c>
    </row>
    <row r="37" customFormat="false" ht="15" hidden="false" customHeight="false" outlineLevel="0" collapsed="false">
      <c r="A37" s="10" t="s">
        <v>111</v>
      </c>
      <c r="B37" s="21" t="n">
        <v>45748</v>
      </c>
      <c r="C37" s="10" t="s">
        <v>100</v>
      </c>
      <c r="D37" s="10" t="s">
        <v>101</v>
      </c>
      <c r="E37" s="10" t="s">
        <v>101</v>
      </c>
      <c r="F37" s="10" t="s">
        <v>102</v>
      </c>
      <c r="G37" s="10" t="s">
        <v>102</v>
      </c>
      <c r="H37" s="10" t="s">
        <v>101</v>
      </c>
      <c r="I37" s="10" t="s">
        <v>103</v>
      </c>
    </row>
    <row r="38" customFormat="false" ht="15" hidden="false" customHeight="false" outlineLevel="0" collapsed="false">
      <c r="A38" s="10" t="s">
        <v>112</v>
      </c>
      <c r="B38" s="21" t="n">
        <v>45757</v>
      </c>
      <c r="C38" s="10" t="s">
        <v>100</v>
      </c>
      <c r="D38" s="10" t="s">
        <v>101</v>
      </c>
      <c r="E38" s="10" t="s">
        <v>101</v>
      </c>
      <c r="F38" s="10" t="s">
        <v>102</v>
      </c>
      <c r="G38" s="10" t="s">
        <v>102</v>
      </c>
      <c r="H38" s="10" t="s">
        <v>101</v>
      </c>
      <c r="I38" s="10" t="s">
        <v>103</v>
      </c>
    </row>
    <row r="39" customFormat="false" ht="15" hidden="false" customHeight="false" outlineLevel="0" collapsed="false">
      <c r="A39" s="10" t="s">
        <v>113</v>
      </c>
      <c r="B39" s="21" t="n">
        <v>45766</v>
      </c>
      <c r="C39" s="10" t="s">
        <v>100</v>
      </c>
      <c r="D39" s="10" t="s">
        <v>101</v>
      </c>
      <c r="E39" s="10" t="s">
        <v>101</v>
      </c>
      <c r="F39" s="10" t="s">
        <v>102</v>
      </c>
      <c r="G39" s="10" t="s">
        <v>102</v>
      </c>
      <c r="H39" s="10" t="s">
        <v>101</v>
      </c>
      <c r="I39" s="10" t="s">
        <v>103</v>
      </c>
    </row>
    <row r="40" customFormat="false" ht="15" hidden="false" customHeight="false" outlineLevel="0" collapsed="false">
      <c r="A40" s="10" t="s">
        <v>114</v>
      </c>
      <c r="B40" s="21" t="n">
        <v>45775</v>
      </c>
      <c r="C40" s="10" t="s">
        <v>100</v>
      </c>
      <c r="D40" s="10" t="s">
        <v>101</v>
      </c>
      <c r="E40" s="10" t="s">
        <v>101</v>
      </c>
      <c r="F40" s="10" t="s">
        <v>102</v>
      </c>
      <c r="G40" s="10" t="s">
        <v>102</v>
      </c>
      <c r="H40" s="10" t="s">
        <v>101</v>
      </c>
      <c r="I40" s="10" t="s">
        <v>103</v>
      </c>
    </row>
    <row r="41" customFormat="false" ht="15" hidden="false" customHeight="false" outlineLevel="0" collapsed="false">
      <c r="A41" s="10" t="s">
        <v>115</v>
      </c>
      <c r="B41" s="21" t="n">
        <v>45784</v>
      </c>
      <c r="C41" s="10" t="s">
        <v>100</v>
      </c>
      <c r="D41" s="10" t="s">
        <v>101</v>
      </c>
      <c r="E41" s="10" t="s">
        <v>101</v>
      </c>
      <c r="F41" s="10" t="s">
        <v>101</v>
      </c>
      <c r="G41" s="10" t="s">
        <v>102</v>
      </c>
      <c r="H41" s="10" t="s">
        <v>101</v>
      </c>
      <c r="I41" s="10" t="s">
        <v>103</v>
      </c>
    </row>
    <row r="42" customFormat="false" ht="15" hidden="false" customHeight="false" outlineLevel="0" collapsed="false">
      <c r="A42" s="10" t="s">
        <v>116</v>
      </c>
      <c r="B42" s="21" t="n">
        <v>45793</v>
      </c>
      <c r="C42" s="10" t="s">
        <v>100</v>
      </c>
      <c r="D42" s="10" t="s">
        <v>101</v>
      </c>
      <c r="E42" s="10" t="s">
        <v>101</v>
      </c>
      <c r="F42" s="10" t="s">
        <v>102</v>
      </c>
      <c r="G42" s="10" t="s">
        <v>102</v>
      </c>
      <c r="H42" s="10" t="s">
        <v>101</v>
      </c>
      <c r="I42" s="10" t="s">
        <v>103</v>
      </c>
    </row>
    <row r="43" customFormat="false" ht="15" hidden="false" customHeight="false" outlineLevel="0" collapsed="false">
      <c r="A43" s="10" t="s">
        <v>117</v>
      </c>
      <c r="B43" s="21" t="n">
        <v>45802</v>
      </c>
      <c r="C43" s="10" t="s">
        <v>100</v>
      </c>
      <c r="D43" s="10" t="s">
        <v>101</v>
      </c>
      <c r="E43" s="10" t="s">
        <v>101</v>
      </c>
      <c r="F43" s="10" t="s">
        <v>102</v>
      </c>
      <c r="G43" s="10" t="s">
        <v>102</v>
      </c>
      <c r="H43" s="10" t="s">
        <v>101</v>
      </c>
      <c r="I43" s="10" t="s">
        <v>103</v>
      </c>
    </row>
    <row r="44" customFormat="false" ht="15" hidden="false" customHeight="false" outlineLevel="0" collapsed="false">
      <c r="A44" s="10" t="s">
        <v>118</v>
      </c>
      <c r="B44" s="21" t="n">
        <v>45811</v>
      </c>
      <c r="C44" s="10" t="s">
        <v>100</v>
      </c>
      <c r="D44" s="10" t="s">
        <v>101</v>
      </c>
      <c r="E44" s="10" t="s">
        <v>101</v>
      </c>
      <c r="F44" s="10" t="s">
        <v>102</v>
      </c>
      <c r="G44" s="10" t="s">
        <v>102</v>
      </c>
      <c r="H44" s="10" t="s">
        <v>101</v>
      </c>
      <c r="I44" s="10" t="s">
        <v>103</v>
      </c>
    </row>
    <row r="45" customFormat="false" ht="15" hidden="false" customHeight="false" outlineLevel="0" collapsed="false">
      <c r="A45" s="10" t="s">
        <v>119</v>
      </c>
      <c r="B45" s="21" t="n">
        <v>45820</v>
      </c>
      <c r="C45" s="10" t="s">
        <v>100</v>
      </c>
      <c r="D45" s="10" t="s">
        <v>101</v>
      </c>
      <c r="E45" s="10" t="s">
        <v>101</v>
      </c>
      <c r="F45" s="10" t="s">
        <v>102</v>
      </c>
      <c r="G45" s="10" t="s">
        <v>102</v>
      </c>
      <c r="H45" s="10" t="s">
        <v>101</v>
      </c>
      <c r="I45" s="10" t="s">
        <v>103</v>
      </c>
    </row>
    <row r="46" customFormat="false" ht="15" hidden="false" customHeight="false" outlineLevel="0" collapsed="false">
      <c r="A46" s="10" t="s">
        <v>120</v>
      </c>
      <c r="B46" s="21" t="n">
        <v>45829</v>
      </c>
      <c r="C46" s="10" t="s">
        <v>100</v>
      </c>
      <c r="D46" s="10" t="s">
        <v>101</v>
      </c>
      <c r="E46" s="10" t="s">
        <v>101</v>
      </c>
      <c r="F46" s="10" t="s">
        <v>102</v>
      </c>
      <c r="G46" s="10" t="s">
        <v>102</v>
      </c>
      <c r="H46" s="10" t="s">
        <v>101</v>
      </c>
      <c r="I46" s="10" t="s">
        <v>103</v>
      </c>
    </row>
    <row r="47" customFormat="false" ht="15" hidden="false" customHeight="false" outlineLevel="0" collapsed="false">
      <c r="A47" s="10" t="s">
        <v>121</v>
      </c>
      <c r="B47" s="21" t="n">
        <v>45838</v>
      </c>
      <c r="C47" s="10" t="s">
        <v>100</v>
      </c>
      <c r="D47" s="10" t="s">
        <v>101</v>
      </c>
      <c r="E47" s="10" t="s">
        <v>101</v>
      </c>
      <c r="F47" s="10" t="s">
        <v>102</v>
      </c>
      <c r="G47" s="10" t="s">
        <v>102</v>
      </c>
      <c r="H47" s="10" t="s">
        <v>101</v>
      </c>
      <c r="I47" s="10" t="s">
        <v>103</v>
      </c>
    </row>
    <row r="48" customFormat="false" ht="15" hidden="false" customHeight="false" outlineLevel="0" collapsed="false">
      <c r="A48" s="10" t="s">
        <v>122</v>
      </c>
      <c r="B48" s="21" t="n">
        <v>45847</v>
      </c>
      <c r="C48" s="10" t="s">
        <v>100</v>
      </c>
      <c r="D48" s="10" t="s">
        <v>101</v>
      </c>
      <c r="E48" s="10" t="s">
        <v>101</v>
      </c>
      <c r="F48" s="10" t="s">
        <v>102</v>
      </c>
      <c r="G48" s="10" t="s">
        <v>102</v>
      </c>
      <c r="H48" s="10" t="s">
        <v>101</v>
      </c>
      <c r="I48" s="10" t="s">
        <v>103</v>
      </c>
    </row>
    <row r="49" customFormat="false" ht="28.35" hidden="false" customHeight="false" outlineLevel="0" collapsed="false">
      <c r="A49" s="10" t="s">
        <v>123</v>
      </c>
      <c r="B49" s="21" t="n">
        <v>45839</v>
      </c>
      <c r="C49" s="10" t="s">
        <v>100</v>
      </c>
      <c r="D49" s="10" t="s">
        <v>101</v>
      </c>
      <c r="E49" s="10" t="s">
        <v>101</v>
      </c>
      <c r="F49" s="10" t="s">
        <v>101</v>
      </c>
      <c r="G49" s="10" t="s">
        <v>101</v>
      </c>
      <c r="H49" s="10" t="s">
        <v>102</v>
      </c>
      <c r="I49" s="10" t="s">
        <v>124</v>
      </c>
    </row>
    <row r="50" customFormat="false" ht="15" hidden="false" customHeight="false" outlineLevel="0" collapsed="false">
      <c r="A50" s="10" t="s">
        <v>125</v>
      </c>
      <c r="B50" s="21" t="n">
        <v>45580</v>
      </c>
      <c r="C50" s="10" t="s">
        <v>126</v>
      </c>
      <c r="D50" s="10" t="s">
        <v>102</v>
      </c>
      <c r="E50" s="10" t="s">
        <v>101</v>
      </c>
      <c r="F50" s="10" t="s">
        <v>101</v>
      </c>
      <c r="G50" s="10" t="s">
        <v>102</v>
      </c>
      <c r="H50" s="10" t="s">
        <v>102</v>
      </c>
      <c r="I50" s="10" t="s">
        <v>127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</row>
    <row r="52" customFormat="false" ht="15" hidden="false" customHeight="false" outlineLevel="0" collapsed="false">
      <c r="A52" s="13" t="s">
        <v>128</v>
      </c>
      <c r="B52" s="8"/>
      <c r="C52" s="8"/>
      <c r="D52" s="8"/>
      <c r="E52" s="8"/>
      <c r="F52" s="8"/>
      <c r="G52" s="8"/>
      <c r="H52" s="8"/>
      <c r="I52" s="8"/>
    </row>
    <row r="53" customFormat="false" ht="15" hidden="false" customHeight="false" outlineLevel="0" collapsed="false">
      <c r="A53" s="9" t="s">
        <v>129</v>
      </c>
      <c r="B53" s="9" t="s">
        <v>130</v>
      </c>
      <c r="C53" s="9" t="s">
        <v>131</v>
      </c>
      <c r="D53" s="9" t="s">
        <v>132</v>
      </c>
      <c r="E53" s="8"/>
      <c r="F53" s="8"/>
      <c r="G53" s="8"/>
      <c r="H53" s="8"/>
      <c r="I53" s="8"/>
    </row>
    <row r="54" customFormat="false" ht="68.65" hidden="false" customHeight="false" outlineLevel="0" collapsed="false">
      <c r="A54" s="10" t="s">
        <v>133</v>
      </c>
      <c r="B54" s="10" t="n">
        <f aca="false">COUNTIF(H29:H50,"Yes")</f>
        <v>20</v>
      </c>
      <c r="C54" s="10" t="n">
        <f aca="false">COUNTIF(H29:H50,"Yes")</f>
        <v>20</v>
      </c>
      <c r="D54" s="10" t="s">
        <v>134</v>
      </c>
      <c r="E54" s="8"/>
      <c r="F54" s="8"/>
      <c r="G54" s="8"/>
      <c r="H54" s="8"/>
      <c r="I54" s="8"/>
    </row>
    <row r="55" customFormat="false" ht="28.35" hidden="false" customHeight="false" outlineLevel="0" collapsed="false">
      <c r="A55" s="10" t="s">
        <v>135</v>
      </c>
      <c r="B55" s="10" t="n">
        <f aca="false">COUNTIFS(H29:H50,"Yes",F29:F50,"Yes")</f>
        <v>3</v>
      </c>
      <c r="C55" s="10" t="n">
        <f aca="false">COUNTIFS(H29:H50,"Yes",F29:F50,"Yes")</f>
        <v>3</v>
      </c>
      <c r="D55" s="10" t="s">
        <v>136</v>
      </c>
      <c r="E55" s="8"/>
      <c r="F55" s="8"/>
      <c r="G55" s="8"/>
      <c r="H55" s="8"/>
      <c r="I55" s="8"/>
    </row>
    <row r="56" customFormat="false" ht="28.35" hidden="false" customHeight="false" outlineLevel="0" collapsed="false">
      <c r="A56" s="10" t="s">
        <v>137</v>
      </c>
      <c r="B56" s="10" t="n">
        <f aca="false">C55/C54</f>
        <v>0.15</v>
      </c>
      <c r="C56" s="22" t="n">
        <f aca="false">C55/C54</f>
        <v>0.15</v>
      </c>
      <c r="D56" s="10" t="s">
        <v>138</v>
      </c>
      <c r="E56" s="8"/>
      <c r="F56" s="8"/>
      <c r="G56" s="8"/>
      <c r="H56" s="8"/>
      <c r="I56" s="8"/>
    </row>
    <row r="57" customFormat="false" ht="41.75" hidden="false" customHeight="false" outlineLevel="0" collapsed="false">
      <c r="A57" s="10" t="s">
        <v>139</v>
      </c>
      <c r="B57" s="19" t="n">
        <f aca="false">B6*B9</f>
        <v>108000</v>
      </c>
      <c r="C57" s="19" t="n">
        <f aca="false">$B$6*$B$9</f>
        <v>108000</v>
      </c>
      <c r="D57" s="10" t="s">
        <v>140</v>
      </c>
      <c r="E57" s="8"/>
      <c r="F57" s="8"/>
      <c r="G57" s="8"/>
      <c r="H57" s="8"/>
      <c r="I57" s="8"/>
    </row>
    <row r="58" customFormat="false" ht="28.35" hidden="false" customHeight="false" outlineLevel="0" collapsed="false">
      <c r="A58" s="10" t="s">
        <v>141</v>
      </c>
      <c r="B58" s="19" t="n">
        <f aca="false">C56*C57</f>
        <v>16200</v>
      </c>
      <c r="C58" s="19" t="n">
        <f aca="false">C56*C57</f>
        <v>16200</v>
      </c>
      <c r="D58" s="10" t="s">
        <v>142</v>
      </c>
      <c r="E58" s="8"/>
      <c r="F58" s="8"/>
      <c r="G58" s="8"/>
      <c r="H58" s="8"/>
      <c r="I58" s="8"/>
    </row>
    <row r="59" customFormat="false" ht="28.35" hidden="false" customHeight="false" outlineLevel="0" collapsed="false">
      <c r="A59" s="10" t="s">
        <v>143</v>
      </c>
      <c r="B59" s="10" t="n">
        <f aca="false">COUNTIFS(H29:H50,"Yes",G29:G50,"Yes")</f>
        <v>1</v>
      </c>
      <c r="C59" s="10" t="n">
        <f aca="false">COUNTIFS(H29:H50,"Yes",G29:G50,"Yes")</f>
        <v>1</v>
      </c>
      <c r="D59" s="10" t="s">
        <v>144</v>
      </c>
      <c r="E59" s="8"/>
      <c r="F59" s="8"/>
      <c r="G59" s="8"/>
      <c r="H59" s="8"/>
      <c r="I59" s="8"/>
    </row>
    <row r="60" customFormat="false" ht="28.35" hidden="false" customHeight="false" outlineLevel="0" collapsed="false">
      <c r="A60" s="10" t="s">
        <v>145</v>
      </c>
      <c r="B60" s="10" t="n">
        <f aca="false">C59/C54</f>
        <v>0.05</v>
      </c>
      <c r="C60" s="22" t="n">
        <f aca="false">C59/C54</f>
        <v>0.05</v>
      </c>
      <c r="D60" s="10" t="s">
        <v>138</v>
      </c>
      <c r="E60" s="8"/>
      <c r="F60" s="8"/>
      <c r="G60" s="8"/>
      <c r="H60" s="8"/>
      <c r="I60" s="8"/>
    </row>
    <row r="61" customFormat="false" ht="28.35" hidden="false" customHeight="false" outlineLevel="0" collapsed="false">
      <c r="A61" s="10" t="s">
        <v>146</v>
      </c>
      <c r="B61" s="19" t="n">
        <f aca="false">B10*B11</f>
        <v>279000</v>
      </c>
      <c r="C61" s="19" t="n">
        <f aca="false">$B$10*$B$11</f>
        <v>279000</v>
      </c>
      <c r="D61" s="10" t="s">
        <v>147</v>
      </c>
      <c r="E61" s="8"/>
      <c r="F61" s="8"/>
      <c r="G61" s="8"/>
      <c r="H61" s="8"/>
      <c r="I61" s="8"/>
    </row>
    <row r="62" customFormat="false" ht="28.35" hidden="false" customHeight="false" outlineLevel="0" collapsed="false">
      <c r="A62" s="10" t="s">
        <v>148</v>
      </c>
      <c r="B62" s="19" t="n">
        <f aca="false">C60*C61</f>
        <v>13950</v>
      </c>
      <c r="C62" s="19" t="n">
        <f aca="false">C60*C61</f>
        <v>13950</v>
      </c>
      <c r="D62" s="10" t="s">
        <v>142</v>
      </c>
      <c r="E62" s="8"/>
      <c r="F62" s="8"/>
      <c r="G62" s="8"/>
      <c r="H62" s="8"/>
      <c r="I62" s="8"/>
    </row>
    <row r="63" customFormat="false" ht="28.35" hidden="false" customHeight="false" outlineLevel="0" collapsed="false">
      <c r="A63" s="10" t="s">
        <v>149</v>
      </c>
      <c r="B63" s="19" t="n">
        <f aca="false">C58+C62</f>
        <v>30150</v>
      </c>
      <c r="C63" s="19" t="n">
        <f aca="false">C58+C62</f>
        <v>30150</v>
      </c>
      <c r="D63" s="10" t="s">
        <v>150</v>
      </c>
      <c r="E63" s="8"/>
      <c r="F63" s="8"/>
      <c r="G63" s="8"/>
      <c r="H63" s="8"/>
      <c r="I63" s="8"/>
    </row>
    <row r="64" customFormat="false" ht="28.35" hidden="false" customHeight="false" outlineLevel="0" collapsed="false">
      <c r="A64" s="10" t="s">
        <v>151</v>
      </c>
      <c r="B64" s="12" t="n">
        <f aca="false">E22-C63</f>
        <v>562976.780821918</v>
      </c>
      <c r="C64" s="19" t="n">
        <f aca="false">E22-C63</f>
        <v>562976.780821918</v>
      </c>
      <c r="D64" s="10" t="s">
        <v>152</v>
      </c>
      <c r="E64" s="8"/>
      <c r="F64" s="8"/>
      <c r="G64" s="8"/>
      <c r="H64" s="8"/>
      <c r="I64" s="8"/>
    </row>
    <row r="65" customFormat="false" ht="41.75" hidden="false" customHeight="false" outlineLevel="0" collapsed="false">
      <c r="A65" s="10" t="s">
        <v>153</v>
      </c>
      <c r="B65" s="10" t="n">
        <f aca="false">C64/B5*B8/B7</f>
        <v>0.0428074631529608</v>
      </c>
      <c r="C65" s="22" t="n">
        <f aca="false">C64/$B$5*$B$8/$B$7</f>
        <v>0.0428074631529608</v>
      </c>
      <c r="D65" s="10" t="s">
        <v>154</v>
      </c>
      <c r="E65" s="8"/>
      <c r="F65" s="8"/>
      <c r="G65" s="8"/>
      <c r="H65" s="8"/>
      <c r="I65" s="8"/>
    </row>
    <row r="66" customFormat="false" ht="41.75" hidden="false" customHeight="false" outlineLevel="0" collapsed="false">
      <c r="A66" s="10" t="s">
        <v>155</v>
      </c>
      <c r="B66" s="12" t="n">
        <f aca="false">E23</f>
        <v>573399.726027397</v>
      </c>
      <c r="C66" s="19" t="n">
        <f aca="false">E23</f>
        <v>573399.726027397</v>
      </c>
      <c r="D66" s="10" t="s">
        <v>156</v>
      </c>
      <c r="E66" s="8"/>
      <c r="F66" s="8"/>
      <c r="G66" s="8"/>
      <c r="H66" s="8"/>
      <c r="I66" s="8"/>
    </row>
    <row r="67" customFormat="false" ht="41.75" hidden="false" customHeight="false" outlineLevel="0" collapsed="false">
      <c r="A67" s="10" t="s">
        <v>157</v>
      </c>
      <c r="B67" s="12" t="n">
        <f aca="false">E24</f>
        <v>553672.671232877</v>
      </c>
      <c r="C67" s="19" t="n">
        <f aca="false">E24</f>
        <v>553672.671232877</v>
      </c>
      <c r="D67" s="10" t="s">
        <v>158</v>
      </c>
      <c r="E67" s="8"/>
      <c r="F67" s="8"/>
      <c r="G67" s="8"/>
      <c r="H67" s="8"/>
      <c r="I67" s="8"/>
    </row>
    <row r="68" customFormat="false" ht="41.75" hidden="false" customHeight="false" outlineLevel="0" collapsed="false">
      <c r="A68" s="10" t="s">
        <v>159</v>
      </c>
      <c r="B68" s="10" t="n">
        <f aca="false">(E22-C66-C62)/C57</f>
        <v>0.053491248097413</v>
      </c>
      <c r="C68" s="19" t="n">
        <f aca="false">(E22-C66-C62)/C57</f>
        <v>0.053491248097413</v>
      </c>
      <c r="D68" s="10" t="s">
        <v>160</v>
      </c>
      <c r="E68" s="8"/>
      <c r="F68" s="8"/>
      <c r="G68" s="8"/>
      <c r="H68" s="8"/>
      <c r="I68" s="8"/>
    </row>
    <row r="69" customFormat="false" ht="15" hidden="false" customHeight="false" outlineLevel="0" collapsed="false">
      <c r="A69" s="8"/>
      <c r="B69" s="8"/>
      <c r="C69" s="23"/>
      <c r="D69" s="8"/>
      <c r="E69" s="8"/>
      <c r="F69" s="8"/>
      <c r="G69" s="8"/>
      <c r="H69" s="8"/>
      <c r="I69" s="8"/>
    </row>
    <row r="70" customFormat="false" ht="15" hidden="false" customHeight="false" outlineLevel="0" collapsed="false">
      <c r="A70" s="8"/>
      <c r="B70" s="8"/>
      <c r="C70" s="24"/>
      <c r="D70" s="8"/>
      <c r="E70" s="8"/>
      <c r="F70" s="8"/>
      <c r="G70" s="8"/>
      <c r="H70" s="8"/>
      <c r="I70" s="8"/>
    </row>
    <row r="71" customFormat="false" ht="15" hidden="false" customHeight="false" outlineLevel="0" collapsed="false">
      <c r="A71" s="13" t="s">
        <v>161</v>
      </c>
      <c r="B71" s="8"/>
      <c r="C71" s="8"/>
      <c r="D71" s="8"/>
      <c r="E71" s="8"/>
      <c r="F71" s="8"/>
      <c r="G71" s="8"/>
      <c r="H71" s="8"/>
      <c r="I71" s="8"/>
    </row>
    <row r="72" customFormat="false" ht="15" hidden="false" customHeight="true" outlineLevel="0" collapsed="false">
      <c r="A72" s="10" t="s">
        <v>162</v>
      </c>
      <c r="B72" s="10"/>
      <c r="C72" s="10"/>
      <c r="D72" s="10"/>
      <c r="E72" s="10"/>
      <c r="F72" s="10"/>
      <c r="G72" s="10"/>
      <c r="H72" s="10"/>
      <c r="I72" s="8"/>
    </row>
    <row r="73" customFormat="false" ht="15" hidden="false" customHeight="true" outlineLevel="0" collapsed="false">
      <c r="A73" s="10" t="s">
        <v>163</v>
      </c>
      <c r="B73" s="10"/>
      <c r="C73" s="10"/>
      <c r="D73" s="10"/>
      <c r="E73" s="10"/>
      <c r="F73" s="10"/>
      <c r="G73" s="10"/>
      <c r="H73" s="10"/>
      <c r="I73" s="8"/>
    </row>
    <row r="74" customFormat="false" ht="15" hidden="false" customHeight="true" outlineLevel="0" collapsed="false">
      <c r="A74" s="10" t="s">
        <v>164</v>
      </c>
      <c r="B74" s="10"/>
      <c r="C74" s="10"/>
      <c r="D74" s="10"/>
      <c r="E74" s="10"/>
      <c r="F74" s="10"/>
      <c r="G74" s="10"/>
      <c r="H74" s="10"/>
      <c r="I74" s="8"/>
    </row>
    <row r="75" customFormat="false" ht="15" hidden="false" customHeight="true" outlineLevel="0" collapsed="false">
      <c r="A75" s="10" t="s">
        <v>165</v>
      </c>
      <c r="B75" s="10"/>
      <c r="C75" s="10"/>
      <c r="D75" s="10"/>
      <c r="E75" s="10"/>
      <c r="F75" s="10"/>
      <c r="G75" s="10"/>
      <c r="H75" s="10"/>
      <c r="I75" s="8"/>
    </row>
    <row r="76" customFormat="false" ht="15" hidden="false" customHeight="true" outlineLevel="0" collapsed="false">
      <c r="A76" s="10" t="s">
        <v>166</v>
      </c>
      <c r="B76" s="10"/>
      <c r="C76" s="10"/>
      <c r="D76" s="10"/>
      <c r="E76" s="10"/>
      <c r="F76" s="10"/>
      <c r="G76" s="10"/>
      <c r="H76" s="10"/>
      <c r="I76" s="8"/>
    </row>
    <row r="77" customFormat="false" ht="15" hidden="false" customHeight="true" outlineLevel="0" collapsed="false">
      <c r="A77" s="10" t="s">
        <v>167</v>
      </c>
      <c r="B77" s="10"/>
      <c r="C77" s="10"/>
      <c r="D77" s="10"/>
      <c r="E77" s="10"/>
      <c r="F77" s="10"/>
      <c r="G77" s="10"/>
      <c r="H77" s="10"/>
      <c r="I77" s="8"/>
    </row>
    <row r="78" customFormat="false" ht="15" hidden="false" customHeight="true" outlineLevel="0" collapsed="false">
      <c r="A78" s="10" t="s">
        <v>168</v>
      </c>
      <c r="B78" s="10"/>
      <c r="C78" s="10"/>
      <c r="D78" s="10"/>
      <c r="E78" s="10"/>
      <c r="F78" s="10"/>
      <c r="G78" s="10"/>
      <c r="H78" s="10"/>
      <c r="I78" s="8"/>
    </row>
  </sheetData>
  <mergeCells count="8">
    <mergeCell ref="A1:H1"/>
    <mergeCell ref="A72:H72"/>
    <mergeCell ref="A73:H73"/>
    <mergeCell ref="A74:H74"/>
    <mergeCell ref="A75:H75"/>
    <mergeCell ref="A76:H76"/>
    <mergeCell ref="A77:H77"/>
    <mergeCell ref="A78:H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2026-08-24T21:06:52Z</dcterms:created>
  <dc:creator>openpyxl</dc:creator>
  <dc:description/>
  <dc:language>en-US</dc:language>
  <cp:lastModifiedBy/>
  <dcterms:modified xsi:type="dcterms:W3CDTF">2026-08-24T21:06:52Z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