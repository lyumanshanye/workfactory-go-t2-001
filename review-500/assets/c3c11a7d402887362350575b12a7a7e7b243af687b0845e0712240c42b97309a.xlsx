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structions" sheetId="1" state="visible" r:id="rId3"/>
    <sheet name="Source Evidence" sheetId="2" state="visible" r:id="rId4"/>
    <sheet name="Exposure Model" sheetId="3" state="visible" r:id="rId5"/>
    <sheet name="Period View" sheetId="4" state="visible" r:id="rId6"/>
    <sheet name="Executive Summary" sheetId="5" state="visible" r:id="rId7"/>
    <sheet name="Answer Key" sheetId="6" state="visible" r:id="rId8"/>
  </sheets>
  <definedNames>
    <definedName function="false" hidden="false" localSheetId="5" name="_xlnm.Print_Area" vbProcedure="false">'Answer Key'!$A$1:$H$19</definedName>
    <definedName function="false" hidden="false" localSheetId="5" name="_xlnm.Print_Titles" vbProcedure="false">'Answer Key'!$1:$4</definedName>
    <definedName function="false" hidden="false" localSheetId="4" name="_xlnm.Print_Area" vbProcedure="false">'Executive Summary'!$A$1:$H$20</definedName>
    <definedName function="false" hidden="false" localSheetId="2" name="_xlnm.Print_Titles" vbProcedure="false">'Exposure Model'!$1:$4</definedName>
    <definedName function="false" hidden="true" localSheetId="2" name="_xlnm._FilterDatabase" vbProcedure="false">'Exposure Model'!$A$4:$T$15</definedName>
    <definedName function="false" hidden="false" localSheetId="0" name="_xlnm.Print_Area" vbProcedure="false">Instructions!$A$1:$H$12</definedName>
    <definedName function="false" hidden="false" localSheetId="3" name="_xlnm.Print_Area" vbProcedure="false">'Period View'!$A$1:$H$8</definedName>
    <definedName function="false" hidden="false" localSheetId="3" name="_xlnm.Print_Titles" vbProcedure="false">'Period View'!$1:$4</definedName>
    <definedName function="false" hidden="false" localSheetId="1" name="_xlnm.Print_Titles" vbProcedure="false">'Source Evidence'!$1:$4</definedName>
    <definedName function="false" hidden="true" localSheetId="1" name="_xlnm._FilterDatabase" vbProcedure="false">'Source Evidence'!$A$4:$AD$9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<sst xmlns="http://schemas.openxmlformats.org/spreadsheetml/2006/main" count="270" uniqueCount="187">
  <si>
    <t xml:space="preserve">Saltmarch Seafood | Credit Exposure Model</t>
  </si>
  <si>
    <t xml:space="preserve">Purpose</t>
  </si>
  <si>
    <t xml:space="preserve">Operational line-level model for Controller Corinne Ashby to review Glassmere Health Network exposure before quarter close.</t>
  </si>
  <si>
    <t xml:space="preserve">How to use</t>
  </si>
  <si>
    <t xml:space="preserve">Review Source Evidence first, then Exposure Model. Blue cells are source-linked inputs; green cells are formulas; yellow cells are controlled treatments. Period View allocates exposure using the supplied 4-5-4 calendar. Executive Summary is the decision view.</t>
  </si>
  <si>
    <t xml:space="preserve">Extend / refresh</t>
  </si>
  <si>
    <t xml:space="preserve">When another source line is added, append it to Source Evidence and add a corresponding row in Exposure Model using the same formulas and controlled Treatment dropdown; extend the Excel table and Period View SUMPRODUCT ranges. Do not overwrite source values.</t>
  </si>
  <si>
    <t xml:space="preserve">Treatment legend</t>
  </si>
  <si>
    <t xml:space="preserve">Late = late-delivery remedy; Short = shortage remedy; Temperature = failed temperature remedy; Salvage = salvage-offset treatment; Excluded = evidence outside credit scope; No Credit = qualifying condition not met. Yellow status cells are selections; red fill flags zero/no-credit outcomes.</t>
  </si>
  <si>
    <t xml:space="preserve">Traceability</t>
  </si>
  <si>
    <t xml:space="preserve">Each model row retains Order Line ID, Claim Case, Lot ID, source row IDs, and clause IDs. The Answer Key contains the keyed rationale and compact review guide; use it to check treatment, quantity, rate, exposure, non-stacking, salvage, and period logic.</t>
  </si>
  <si>
    <t xml:space="preserve">Controller completion</t>
  </si>
  <si>
    <t xml:space="preserve">The reserve decision and sign-off cells on Executive Summary are intentionally blank. The adjacent label “Controller completion required” and shaded border indicate where Corinne must enter the final decision later; blank cells contain no placeholder or formula.</t>
  </si>
  <si>
    <t xml:space="preserve">Formula conventions</t>
  </si>
  <si>
    <t xml:space="preserve">Derived eligible quantity, rate, exposure, period allocation, and summary values are formula-driven. Dates and quantities come only from the supplied bundle; no external links, macros, or internet assumptions are used.</t>
  </si>
  <si>
    <t xml:space="preserve">Source Evidence | supplied saltmarch_credit_source.xlsx</t>
  </si>
  <si>
    <t xml:space="preserve">Faithful transcription of the source bundle; values below are evidence, not model outputs.</t>
  </si>
  <si>
    <t xml:space="preserve">Order Line ID</t>
  </si>
  <si>
    <t xml:space="preserve">Claim Case</t>
  </si>
  <si>
    <t xml:space="preserve">Lot ID</t>
  </si>
  <si>
    <t xml:space="preserve">Customer</t>
  </si>
  <si>
    <t xml:space="preserve">Authority</t>
  </si>
  <si>
    <t xml:space="preserve">Promised Delivery</t>
  </si>
  <si>
    <t xml:space="preserve">Actual Delivery</t>
  </si>
  <si>
    <t xml:space="preserve">Contracted Qty</t>
  </si>
  <si>
    <t xml:space="preserve">Qty Shipped</t>
  </si>
  <si>
    <t xml:space="preserve">Gross Affected Qty</t>
  </si>
  <si>
    <t xml:space="preserve">Short Qty</t>
  </si>
  <si>
    <t xml:space="preserve">Salvage Qty</t>
  </si>
  <si>
    <t xml:space="preserve">Unit Value</t>
  </si>
  <si>
    <t xml:space="preserve">Invoice Value</t>
  </si>
  <si>
    <t xml:space="preserve">Order Source Row ID</t>
  </si>
  <si>
    <t xml:space="preserve">Temp Evidence ID</t>
  </si>
  <si>
    <t xml:space="preserve">Temp Result</t>
  </si>
  <si>
    <t xml:space="preserve">Observed Temp</t>
  </si>
  <si>
    <t xml:space="preserve">Temp Threshold</t>
  </si>
  <si>
    <t xml:space="preserve">Salvage ID</t>
  </si>
  <si>
    <t xml:space="preserve">Salvage Note</t>
  </si>
  <si>
    <t xml:space="preserve">P4 Start</t>
  </si>
  <si>
    <t xml:space="preserve">P4 End</t>
  </si>
  <si>
    <t xml:space="preserve">P5 Start</t>
  </si>
  <si>
    <t xml:space="preserve">P5 End</t>
  </si>
  <si>
    <t xml:space="preserve">P6 Start</t>
  </si>
  <si>
    <t xml:space="preserve">P6 End</t>
  </si>
  <si>
    <t xml:space="preserve">Clause ID</t>
  </si>
  <si>
    <t xml:space="preserve">Clause Topic</t>
  </si>
  <si>
    <t xml:space="preserve">Clause Text</t>
  </si>
  <si>
    <t xml:space="preserve">OL-1001</t>
  </si>
  <si>
    <t xml:space="preserve">LM-01</t>
  </si>
  <si>
    <t xml:space="preserve">LT-01</t>
  </si>
  <si>
    <t xml:space="preserve">Glassmere Health Network</t>
  </si>
  <si>
    <t xml:space="preserve">Flintridge Authority</t>
  </si>
  <si>
    <t xml:space="preserve">ORD-ROW-01</t>
  </si>
  <si>
    <t xml:space="preserve">TEMP-01</t>
  </si>
  <si>
    <t xml:space="preserve">Pass</t>
  </si>
  <si>
    <t xml:space="preserve">2.8 C</t>
  </si>
  <si>
    <t xml:space="preserve">&lt;=4.0 C</t>
  </si>
  <si>
    <t xml:space="preserve">SALV-01</t>
  </si>
  <si>
    <t xml:space="preserve">No resale recorded</t>
  </si>
  <si>
    <t xml:space="preserve">C-LATE</t>
  </si>
  <si>
    <t xml:space="preserve">Late delivery</t>
  </si>
  <si>
    <t xml:space="preserve">If actual delivery is after promised delivery, credit 20% of invoice unit value for the affected quantity.</t>
  </si>
  <si>
    <t xml:space="preserve">OL-1002</t>
  </si>
  <si>
    <t xml:space="preserve">LM-02</t>
  </si>
  <si>
    <t xml:space="preserve">LT-02</t>
  </si>
  <si>
    <t xml:space="preserve">ORD-ROW-02</t>
  </si>
  <si>
    <t xml:space="preserve">TEMP-02</t>
  </si>
  <si>
    <t xml:space="preserve">3.1 C</t>
  </si>
  <si>
    <t xml:space="preserve">SALV-02</t>
  </si>
  <si>
    <t xml:space="preserve">C-SHORT</t>
  </si>
  <si>
    <t xml:space="preserve">Short shipment</t>
  </si>
  <si>
    <t xml:space="preserve">Short quantity is credited at 100% of unit value. Where late and short occur in the same claim case, use the short-shipment remedy only; do not stack credits.</t>
  </si>
  <si>
    <t xml:space="preserve">OL-1003</t>
  </si>
  <si>
    <t xml:space="preserve">LM-03</t>
  </si>
  <si>
    <t xml:space="preserve">LT-03</t>
  </si>
  <si>
    <t xml:space="preserve">ORD-ROW-03</t>
  </si>
  <si>
    <t xml:space="preserve">TEMP-03</t>
  </si>
  <si>
    <t xml:space="preserve">Fail</t>
  </si>
  <si>
    <t xml:space="preserve">7.2 C</t>
  </si>
  <si>
    <t xml:space="preserve">SALV-03</t>
  </si>
  <si>
    <t xml:space="preserve">Resold through secondary channel</t>
  </si>
  <si>
    <t xml:space="preserve">C-TEMP</t>
  </si>
  <si>
    <t xml:space="preserve">Temperature excursion</t>
  </si>
  <si>
    <t xml:space="preserve">A failed temperature result above the 4.0 C threshold permits 50% of unit value for the affected quantity that was not salvaged.</t>
  </si>
  <si>
    <t xml:space="preserve">OL-1004</t>
  </si>
  <si>
    <t xml:space="preserve">LM-04</t>
  </si>
  <si>
    <t xml:space="preserve">LT-04</t>
  </si>
  <si>
    <t xml:space="preserve">ORD-ROW-04</t>
  </si>
  <si>
    <t xml:space="preserve">TEMP-04</t>
  </si>
  <si>
    <t xml:space="preserve">3.6 C</t>
  </si>
  <si>
    <t xml:space="preserve">SALV-04</t>
  </si>
  <si>
    <t xml:space="preserve">C-SALVAGE</t>
  </si>
  <si>
    <t xml:space="preserve">Salvage offset</t>
  </si>
  <si>
    <t xml:space="preserve">Quantity resold at salvage is deducted from affected quantity before any credit; the same quantity cannot receive a second credit.</t>
  </si>
  <si>
    <t xml:space="preserve">OL-1005</t>
  </si>
  <si>
    <t xml:space="preserve">LM-05</t>
  </si>
  <si>
    <t xml:space="preserve">LT-05</t>
  </si>
  <si>
    <t xml:space="preserve">ORD-ROW-05</t>
  </si>
  <si>
    <t xml:space="preserve">TEMP-05</t>
  </si>
  <si>
    <t xml:space="preserve">3.4 C</t>
  </si>
  <si>
    <t xml:space="preserve">SALV-05</t>
  </si>
  <si>
    <t xml:space="preserve">C-EXCL</t>
  </si>
  <si>
    <t xml:space="preserve">No defect / excluded</t>
  </si>
  <si>
    <t xml:space="preserve">No credit applies where delivery and temperature evidence pass and no shortage or other qualifying defect is recorded.</t>
  </si>
  <si>
    <t xml:space="preserve">Complete contract clause register (faithful source transcription)</t>
  </si>
  <si>
    <t xml:space="preserve">Topic</t>
  </si>
  <si>
    <t xml:space="preserve">C-PERIOD</t>
  </si>
  <si>
    <t xml:space="preserve">Period assignment</t>
  </si>
  <si>
    <t xml:space="preserve">Use the supplied 4-5-4 calendar. For a claim interval crossing a boundary, allocate exposure by calendar days in each period.</t>
  </si>
  <si>
    <t xml:space="preserve">C-NONSTACK</t>
  </si>
  <si>
    <t xml:space="preserve">Non-stacking</t>
  </si>
  <si>
    <t xml:space="preserve">One credit remedy per claim case; select the most specific permitted remedy supported by evidence.</t>
  </si>
  <si>
    <t xml:space="preserve">Exposure Model | formula-driven line calculation</t>
  </si>
  <si>
    <t xml:space="preserve">Yellow = controlled treatment input | Blue = source-linked evidence | Green = calculated fields</t>
  </si>
  <si>
    <t xml:space="preserve">Actual Start</t>
  </si>
  <si>
    <t xml:space="preserve">Actual End</t>
  </si>
  <si>
    <t xml:space="preserve">Eligible Credited Qty</t>
  </si>
  <si>
    <t xml:space="preserve">Treatment</t>
  </si>
  <si>
    <t xml:space="preserve">Applicable Rate</t>
  </si>
  <si>
    <t xml:space="preserve">Monetary Basis</t>
  </si>
  <si>
    <t xml:space="preserve">Credit Exposure</t>
  </si>
  <si>
    <t xml:space="preserve">Period Assignment</t>
  </si>
  <si>
    <t xml:space="preserve">Rationale / trace</t>
  </si>
  <si>
    <t xml:space="preserve">Late</t>
  </si>
  <si>
    <t xml:space="preserve">Short</t>
  </si>
  <si>
    <t xml:space="preserve">Temperature</t>
  </si>
  <si>
    <t xml:space="preserve">Salvage</t>
  </si>
  <si>
    <t xml:space="preserve">No Credit</t>
  </si>
  <si>
    <t xml:space="preserve">Model total</t>
  </si>
  <si>
    <t xml:space="preserve">Period View | supplied 4-5-4 allocation</t>
  </si>
  <si>
    <t xml:space="preserve">Boundary line OL-1002 runs 26-Jul to 27-Jul and is allocated 1 calendar day to P4 and 1 calendar day to P5.</t>
  </si>
  <si>
    <t xml:space="preserve">Period Label</t>
  </si>
  <si>
    <t xml:space="preserve">Start Date</t>
  </si>
  <si>
    <t xml:space="preserve">End Date</t>
  </si>
  <si>
    <t xml:space="preserve">Days in Period</t>
  </si>
  <si>
    <t xml:space="preserve">Eligible Qty</t>
  </si>
  <si>
    <t xml:space="preserve">Exposure</t>
  </si>
  <si>
    <t xml:space="preserve">Boundary Allocation Note</t>
  </si>
  <si>
    <t xml:space="preserve">Source Calendar Ref</t>
  </si>
  <si>
    <t xml:space="preserve">P4</t>
  </si>
  <si>
    <t xml:space="preserve">OL-1002 split 1 day P4 / 1 day P5</t>
  </si>
  <si>
    <t xml:space="preserve">4-5-4 Calendar!4</t>
  </si>
  <si>
    <t xml:space="preserve">P5</t>
  </si>
  <si>
    <t xml:space="preserve">4-5-4 Calendar!5</t>
  </si>
  <si>
    <t xml:space="preserve">P6</t>
  </si>
  <si>
    <t xml:space="preserve">4-5-4 Calendar!6</t>
  </si>
  <si>
    <t xml:space="preserve">Total</t>
  </si>
  <si>
    <t xml:space="preserve">Executive Summary | Glassmere Health Network</t>
  </si>
  <si>
    <t xml:space="preserve">Decision scope</t>
  </si>
  <si>
    <t xml:space="preserve">Traceable reserve view for disputed seafood lots supplied under the Flintridge Authority arrangement.</t>
  </si>
  <si>
    <t xml:space="preserve">Total eligible credited quantity</t>
  </si>
  <si>
    <t xml:space="preserve">Total credit exposure</t>
  </si>
  <si>
    <t xml:space="preserve">Period View check</t>
  </si>
  <si>
    <t xml:space="preserve">Boundary line</t>
  </si>
  <si>
    <t xml:space="preserve">Boundary handling</t>
  </si>
  <si>
    <t xml:space="preserve">1 day in P4 and 1 day in P5; no stacked late credit</t>
  </si>
  <si>
    <t xml:space="preserve">Salvage handling</t>
  </si>
  <si>
    <t xml:space="preserve">SALV-03 and SALV-04 quantities deducted before credit</t>
  </si>
  <si>
    <t xml:space="preserve">Controller completion required</t>
  </si>
  <si>
    <t xml:space="preserve">Leave B14:B15 blank until review</t>
  </si>
  <si>
    <t xml:space="preserve">Final reserve decision (enter amount)</t>
  </si>
  <si>
    <t xml:space="preserve">Controller sign-off / date</t>
  </si>
  <si>
    <t xml:space="preserve">Review notes</t>
  </si>
  <si>
    <t xml:space="preserve">Exposure is calculated from line evidence and source clauses. Late and short conditions on OL-1002 use the specific short remedy only; salvage is visible and excluded from eligible quantity; the period check should agree to the model total.</t>
  </si>
  <si>
    <t xml:space="preserve">Answer Key | keyed rationale and reviewer scoring guide</t>
  </si>
  <si>
    <t xml:space="preserve">Use this tab to review whether each model row follows the supplied evidence and clause logic.</t>
  </si>
  <si>
    <t xml:space="preserve">Expected Treatment</t>
  </si>
  <si>
    <t xml:space="preserve">Expected Eligible Qty</t>
  </si>
  <si>
    <t xml:space="preserve">Expected Rate</t>
  </si>
  <si>
    <t xml:space="preserve">Expected Exposure</t>
  </si>
  <si>
    <t xml:space="preserve">Clause IDs</t>
  </si>
  <si>
    <t xml:space="preserve">Keyed rationale</t>
  </si>
  <si>
    <t xml:space="preserve">Actual delivery is after promise; apply late remedy only.</t>
  </si>
  <si>
    <t xml:space="preserve">C-SHORT; C-NONSTACK</t>
  </si>
  <si>
    <t xml:space="preserve">Late and short overlap; select short remedy and do not stack.</t>
  </si>
  <si>
    <t xml:space="preserve">C-TEMP; C-SALVAGE</t>
  </si>
  <si>
    <t xml:space="preserve">Temperature failed; deduct 10 salvaged units before 50% credit.</t>
  </si>
  <si>
    <t xml:space="preserve">20 affected shortage units less 8 salvaged units; credit remaining 12.</t>
  </si>
  <si>
    <t xml:space="preserve">Delivery and temperature pass; no qualifying credit condition.</t>
  </si>
  <si>
    <t xml:space="preserve">Reviewer scoring guide</t>
  </si>
  <si>
    <t xml:space="preserve">• 1 point per line: identifier and source row traceable.</t>
  </si>
  <si>
    <t xml:space="preserve">• 1 point per line: treatment matches evidence and Answer Key.</t>
  </si>
  <si>
    <t xml:space="preserve">• 1 point per line: eligible quantity reconciles affected, shortage, and salvage.</t>
  </si>
  <si>
    <t xml:space="preserve">• 1 point per line: rate and exposure formulas use cited clause and unit value.</t>
  </si>
  <si>
    <t xml:space="preserve">• 2 points: overlap case uses non-stacking short remedy.</t>
  </si>
  <si>
    <t xml:space="preserve">• 2 points: period totals reconcile to model and boundary split is visible.</t>
  </si>
  <si>
    <t xml:space="preserve">• 2 points: controller completion cells remain blank and clearly marked.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</si>
</sst>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#,##0.00"/>
    <numFmt numFmtId="167" formatCode="\$#,##0.00"/>
    <numFmt numFmtId="168" formatCode="0%"/>
    <numFmt numFmtId="169" formatCode="0.00%"/>
    <numFmt numFmtId="170" formatCode="@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b val="true"/>
      <sz val="11"/>
      <color rgb="FF17365D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9C0006"/>
      <name val="Cambria"/>
      <family val="0"/>
      <charset val="1"/>
    </font>
    <font>
      <i val="true"/>
      <sz val="11"/>
      <color rgb="FF9C6506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5B9BD5"/>
        <bgColor rgb="FF969696"/>
      </patternFill>
    </fill>
    <fill>
      <patternFill patternType="solid">
        <fgColor rgb="FFD9EAF7"/>
        <bgColor rgb="FFDDEBF7"/>
      </patternFill>
    </fill>
    <fill>
      <patternFill patternType="solid">
        <fgColor rgb="FFE2F0D9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D9EAF7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C9D6"/>
      </bottom>
      <diagonal/>
    </border>
    <border diagonalUp="false" diagonalDown="false">
      <left/>
      <right/>
      <top/>
      <bottom style="medium">
        <color rgb="FF9C65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0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5B9BD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AF7"/>
          <bgColor rgb="FF000000"/>
        </patternFill>
      </fill>
    </dxf>
    <dxf>
      <fill>
        <patternFill patternType="solid">
          <fgColor rgb="FF17365D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B7C9D6"/>
      <rgbColor rgb="FF808080"/>
      <rgbColor rgb="FF5B9BD5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7365D"/>
      <rgbColor rgb="FF339966"/>
      <rgbColor rgb="FF003300"/>
      <rgbColor rgb="FF333300"/>
      <rgbColor rgb="FF9C6506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blEvidence" displayName="tblEvidence" ref="A4:AD9" headerRowCount="1" totalsRowCount="0" totalsRowShown="0">
  <autoFilter ref="A4:AD9"/>
  <tableColumns count="30">
    <tableColumn id="1" name="Order Line ID"/>
    <tableColumn id="2" name="Claim Case"/>
    <tableColumn id="3" name="Lot ID"/>
    <tableColumn id="4" name="Customer"/>
    <tableColumn id="5" name="Authority"/>
    <tableColumn id="6" name="Promised Delivery"/>
    <tableColumn id="7" name="Actual Delivery"/>
    <tableColumn id="8" name="Contracted Qty"/>
    <tableColumn id="9" name="Qty Shipped"/>
    <tableColumn id="10" name="Gross Affected Qty"/>
    <tableColumn id="11" name="Short Qty"/>
    <tableColumn id="12" name="Salvage Qty"/>
    <tableColumn id="13" name="Unit Value"/>
    <tableColumn id="14" name="Invoice Value"/>
    <tableColumn id="15" name="Order Source Row ID"/>
    <tableColumn id="16" name="Temp Evidence ID"/>
    <tableColumn id="17" name="Temp Result"/>
    <tableColumn id="18" name="Observed Temp"/>
    <tableColumn id="19" name="Temp Threshold"/>
    <tableColumn id="20" name="Salvage ID"/>
    <tableColumn id="21" name="Salvage Note"/>
    <tableColumn id="22" name="P4 Start"/>
    <tableColumn id="23" name="P4 End"/>
    <tableColumn id="24" name="P5 Start"/>
    <tableColumn id="25" name="P5 End"/>
    <tableColumn id="26" name="P6 Start"/>
    <tableColumn id="27" name="P6 End"/>
    <tableColumn id="28" name="Clause ID"/>
    <tableColumn id="29" name="Clause Topic"/>
    <tableColumn id="30" name="Clause Text"/>
  </tableColumns>
</table>
</file>

<file path=xl/tables/table2.xml><?xml version="1.0" encoding="utf-8"?>
<table xmlns="http://schemas.openxmlformats.org/spreadsheetml/2006/main" id="2" name="tblExposure" displayName="tblExposure" ref="A4:T15" headerRowCount="1" totalsRowCount="0" totalsRowShown="0">
  <autoFilter ref="A4:T15"/>
  <tableColumns count="20">
    <tableColumn id="1" name="Order Line ID"/>
    <tableColumn id="2" name="Claim Case"/>
    <tableColumn id="3" name="Lot ID"/>
    <tableColumn id="4" name="Actual Start"/>
    <tableColumn id="5" name="Actual End"/>
    <tableColumn id="6" name="Gross Affected Qty"/>
    <tableColumn id="7" name="Short Qty"/>
    <tableColumn id="8" name="Salvage Qty"/>
    <tableColumn id="9" name="Eligible Credited Qty"/>
    <tableColumn id="10" name="Treatment"/>
    <tableColumn id="11" name="Applicable Rate"/>
    <tableColumn id="12" name="Unit Value"/>
    <tableColumn id="13" name="Monetary Basis"/>
    <tableColumn id="14" name="Credit Exposure"/>
    <tableColumn id="15" name="Period Assignment"/>
    <tableColumn id="16" name="Order Source Row ID"/>
    <tableColumn id="17" name="Temp Evidence ID"/>
    <tableColumn id="18" name="Salvage ID"/>
    <tableColumn id="19" name="Clause ID"/>
    <tableColumn id="20" name="Rationale / trac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8" min="3" style="0" width="18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</row>
    <row r="4" customFormat="false" ht="1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6" customFormat="false" ht="33.75" hidden="false" customHeight="true" outlineLevel="0" collapsed="false">
      <c r="A6" s="2" t="s">
        <v>3</v>
      </c>
      <c r="B6" s="4" t="s">
        <v>4</v>
      </c>
      <c r="C6" s="4"/>
      <c r="D6" s="4"/>
      <c r="E6" s="4"/>
      <c r="F6" s="4"/>
      <c r="G6" s="4"/>
      <c r="H6" s="4"/>
    </row>
    <row r="7" customFormat="false" ht="33.75" hidden="false" customHeight="true" outlineLevel="0" collapsed="false">
      <c r="A7" s="2" t="s">
        <v>5</v>
      </c>
      <c r="B7" s="4" t="s">
        <v>6</v>
      </c>
      <c r="C7" s="4"/>
      <c r="D7" s="4"/>
      <c r="E7" s="4"/>
      <c r="F7" s="4"/>
      <c r="G7" s="4"/>
      <c r="H7" s="4"/>
    </row>
    <row r="8" customFormat="false" ht="33.75" hidden="false" customHeight="true" outlineLevel="0" collapsed="false">
      <c r="A8" s="2" t="s">
        <v>7</v>
      </c>
      <c r="B8" s="4" t="s">
        <v>8</v>
      </c>
      <c r="C8" s="4"/>
      <c r="D8" s="4"/>
      <c r="E8" s="4"/>
      <c r="F8" s="4"/>
      <c r="G8" s="4"/>
      <c r="H8" s="4"/>
    </row>
    <row r="9" customFormat="false" ht="33.75" hidden="false" customHeight="true" outlineLevel="0" collapsed="false">
      <c r="A9" s="2" t="s">
        <v>9</v>
      </c>
      <c r="B9" s="4" t="s">
        <v>10</v>
      </c>
      <c r="C9" s="4"/>
      <c r="D9" s="4"/>
      <c r="E9" s="4"/>
      <c r="F9" s="4"/>
      <c r="G9" s="4"/>
      <c r="H9" s="4"/>
    </row>
    <row r="10" customFormat="false" ht="33.75" hidden="false" customHeight="true" outlineLevel="0" collapsed="false">
      <c r="A10" s="2" t="s">
        <v>11</v>
      </c>
      <c r="B10" s="4" t="s">
        <v>12</v>
      </c>
      <c r="C10" s="4"/>
      <c r="D10" s="4"/>
      <c r="E10" s="4"/>
      <c r="F10" s="4"/>
      <c r="G10" s="4"/>
      <c r="H10" s="4"/>
    </row>
    <row r="11" customFormat="false" ht="33.75" hidden="false" customHeight="true" outlineLevel="0" collapsed="false">
      <c r="A11" s="2" t="s">
        <v>13</v>
      </c>
      <c r="B11" s="4" t="s">
        <v>14</v>
      </c>
      <c r="C11" s="4"/>
      <c r="D11" s="4"/>
      <c r="E11" s="4"/>
      <c r="F11" s="4"/>
      <c r="G11" s="4"/>
      <c r="H11" s="4"/>
    </row>
  </sheetData>
  <mergeCells count="8">
    <mergeCell ref="A1:H1"/>
    <mergeCell ref="A4:H4"/>
    <mergeCell ref="B6:H6"/>
    <mergeCell ref="B7:H7"/>
    <mergeCell ref="B8:H8"/>
    <mergeCell ref="B9:H9"/>
    <mergeCell ref="B10:H10"/>
    <mergeCell ref="B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20"/>
    <col collapsed="false" customWidth="true" hidden="false" outlineLevel="0" max="7" min="6" style="0" width="15"/>
    <col collapsed="false" customWidth="true" hidden="false" outlineLevel="0" max="9" min="8" style="0" width="12"/>
    <col collapsed="false" customWidth="true" hidden="false" outlineLevel="0" max="10" min="10" style="0" width="15"/>
    <col collapsed="false" customWidth="true" hidden="false" outlineLevel="0" max="11" min="11" style="0" width="10"/>
    <col collapsed="false" customWidth="true" hidden="false" outlineLevel="0" max="13" min="12" style="0" width="11"/>
    <col collapsed="false" customWidth="true" hidden="false" outlineLevel="0" max="14" min="14" style="0" width="13"/>
    <col collapsed="false" customWidth="true" hidden="false" outlineLevel="0" max="15" min="15" style="0" width="17"/>
    <col collapsed="false" customWidth="true" hidden="false" outlineLevel="0" max="16" min="16" style="0" width="15"/>
    <col collapsed="false" customWidth="true" hidden="false" outlineLevel="0" max="17" min="17" style="0" width="12"/>
    <col collapsed="false" customWidth="true" hidden="false" outlineLevel="0" max="18" min="18" style="0" width="13"/>
    <col collapsed="false" customWidth="true" hidden="false" outlineLevel="0" max="19" min="19" style="0" width="14"/>
    <col collapsed="false" customWidth="true" hidden="false" outlineLevel="0" max="20" min="20" style="0" width="13"/>
    <col collapsed="false" customWidth="true" hidden="false" outlineLevel="0" max="21" min="21" style="0" width="30"/>
    <col collapsed="false" customWidth="true" hidden="false" outlineLevel="0" max="27" min="22" style="0" width="12"/>
    <col collapsed="false" customWidth="true" hidden="false" outlineLevel="0" max="28" min="28" style="0" width="13"/>
    <col collapsed="false" customWidth="true" hidden="false" outlineLevel="0" max="29" min="29" style="0" width="18"/>
    <col collapsed="false" customWidth="true" hidden="false" outlineLevel="0" max="30" min="30" style="0" width="72"/>
  </cols>
  <sheetData>
    <row r="1" customFormat="false" ht="19.7" hidden="false" customHeight="false" outlineLevel="0" collapsed="false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15" hidden="false" customHeight="false" outlineLevel="0" collapsed="false">
      <c r="A2" s="5" t="s">
        <v>16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4" customFormat="false" ht="28.35" hidden="false" customHeight="false" outlineLevel="0" collapsed="false">
      <c r="A4" s="6" t="s">
        <v>17</v>
      </c>
      <c r="B4" s="6" t="s">
        <v>18</v>
      </c>
      <c r="C4" s="6" t="s">
        <v>19</v>
      </c>
      <c r="D4" s="6" t="s">
        <v>20</v>
      </c>
      <c r="E4" s="6" t="s">
        <v>21</v>
      </c>
      <c r="F4" s="6" t="s">
        <v>22</v>
      </c>
      <c r="G4" s="6" t="s">
        <v>23</v>
      </c>
      <c r="H4" s="6" t="s">
        <v>24</v>
      </c>
      <c r="I4" s="6" t="s">
        <v>25</v>
      </c>
      <c r="J4" s="6" t="s">
        <v>26</v>
      </c>
      <c r="K4" s="6" t="s">
        <v>27</v>
      </c>
      <c r="L4" s="6" t="s">
        <v>28</v>
      </c>
      <c r="M4" s="6" t="s">
        <v>29</v>
      </c>
      <c r="N4" s="6" t="s">
        <v>30</v>
      </c>
      <c r="O4" s="6" t="s">
        <v>31</v>
      </c>
      <c r="P4" s="6" t="s">
        <v>32</v>
      </c>
      <c r="Q4" s="6" t="s">
        <v>33</v>
      </c>
      <c r="R4" s="6" t="s">
        <v>34</v>
      </c>
      <c r="S4" s="6" t="s">
        <v>35</v>
      </c>
      <c r="T4" s="6" t="s">
        <v>36</v>
      </c>
      <c r="U4" s="6" t="s">
        <v>37</v>
      </c>
      <c r="V4" s="6" t="s">
        <v>38</v>
      </c>
      <c r="W4" s="6" t="s">
        <v>39</v>
      </c>
      <c r="X4" s="6" t="s">
        <v>40</v>
      </c>
      <c r="Y4" s="6" t="s">
        <v>41</v>
      </c>
      <c r="Z4" s="6" t="s">
        <v>42</v>
      </c>
      <c r="AA4" s="6" t="s">
        <v>43</v>
      </c>
      <c r="AB4" s="6" t="s">
        <v>44</v>
      </c>
      <c r="AC4" s="6" t="s">
        <v>45</v>
      </c>
      <c r="AD4" s="6" t="s">
        <v>46</v>
      </c>
    </row>
    <row r="5" customFormat="false" ht="28.35" hidden="false" customHeight="false" outlineLevel="0" collapsed="false">
      <c r="A5" s="0" t="s">
        <v>47</v>
      </c>
      <c r="B5" s="0" t="s">
        <v>48</v>
      </c>
      <c r="C5" s="0" t="s">
        <v>49</v>
      </c>
      <c r="D5" s="0" t="s">
        <v>50</v>
      </c>
      <c r="E5" s="0" t="s">
        <v>51</v>
      </c>
      <c r="F5" s="7" t="n">
        <v>46227</v>
      </c>
      <c r="G5" s="7" t="n">
        <v>46231</v>
      </c>
      <c r="H5" s="8" t="n">
        <v>100</v>
      </c>
      <c r="I5" s="8" t="n">
        <v>100</v>
      </c>
      <c r="J5" s="8" t="n">
        <v>100</v>
      </c>
      <c r="K5" s="8" t="n">
        <v>0</v>
      </c>
      <c r="L5" s="8" t="n">
        <v>0</v>
      </c>
      <c r="M5" s="9" t="n">
        <v>12</v>
      </c>
      <c r="N5" s="9" t="n">
        <v>1200</v>
      </c>
      <c r="O5" s="10" t="s">
        <v>52</v>
      </c>
      <c r="P5" s="10" t="s">
        <v>53</v>
      </c>
      <c r="Q5" s="10" t="s">
        <v>54</v>
      </c>
      <c r="R5" s="10" t="s">
        <v>55</v>
      </c>
      <c r="S5" s="10" t="s">
        <v>56</v>
      </c>
      <c r="T5" s="10" t="s">
        <v>57</v>
      </c>
      <c r="U5" s="10" t="s">
        <v>58</v>
      </c>
      <c r="V5" s="7" t="n">
        <v>46202</v>
      </c>
      <c r="W5" s="7" t="n">
        <v>46229</v>
      </c>
      <c r="X5" s="7" t="n">
        <v>46230</v>
      </c>
      <c r="Y5" s="7" t="n">
        <v>46257</v>
      </c>
      <c r="Z5" s="7" t="n">
        <v>46258</v>
      </c>
      <c r="AA5" s="7" t="n">
        <v>46285</v>
      </c>
      <c r="AB5" s="10" t="s">
        <v>59</v>
      </c>
      <c r="AC5" s="10" t="s">
        <v>60</v>
      </c>
      <c r="AD5" s="11" t="s">
        <v>61</v>
      </c>
    </row>
    <row r="6" customFormat="false" ht="28.35" hidden="false" customHeight="false" outlineLevel="0" collapsed="false">
      <c r="A6" s="0" t="s">
        <v>62</v>
      </c>
      <c r="B6" s="0" t="s">
        <v>63</v>
      </c>
      <c r="C6" s="0" t="s">
        <v>64</v>
      </c>
      <c r="D6" s="0" t="s">
        <v>50</v>
      </c>
      <c r="E6" s="0" t="s">
        <v>51</v>
      </c>
      <c r="F6" s="7" t="n">
        <v>46229</v>
      </c>
      <c r="G6" s="7" t="n">
        <v>46230</v>
      </c>
      <c r="H6" s="8" t="n">
        <v>120</v>
      </c>
      <c r="I6" s="8" t="n">
        <v>105</v>
      </c>
      <c r="J6" s="8" t="n">
        <v>105</v>
      </c>
      <c r="K6" s="8" t="n">
        <v>15</v>
      </c>
      <c r="L6" s="8" t="n">
        <v>0</v>
      </c>
      <c r="M6" s="9" t="n">
        <v>15</v>
      </c>
      <c r="N6" s="9" t="n">
        <v>1575</v>
      </c>
      <c r="O6" s="10" t="s">
        <v>65</v>
      </c>
      <c r="P6" s="10" t="s">
        <v>66</v>
      </c>
      <c r="Q6" s="10" t="s">
        <v>54</v>
      </c>
      <c r="R6" s="10" t="s">
        <v>67</v>
      </c>
      <c r="S6" s="10" t="s">
        <v>56</v>
      </c>
      <c r="T6" s="10" t="s">
        <v>68</v>
      </c>
      <c r="U6" s="10" t="s">
        <v>58</v>
      </c>
      <c r="V6" s="7" t="n">
        <v>46202</v>
      </c>
      <c r="W6" s="7" t="n">
        <v>46229</v>
      </c>
      <c r="X6" s="7" t="n">
        <v>46230</v>
      </c>
      <c r="Y6" s="7" t="n">
        <v>46257</v>
      </c>
      <c r="Z6" s="7" t="n">
        <v>46258</v>
      </c>
      <c r="AA6" s="7" t="n">
        <v>46285</v>
      </c>
      <c r="AB6" s="10" t="s">
        <v>69</v>
      </c>
      <c r="AC6" s="10" t="s">
        <v>70</v>
      </c>
      <c r="AD6" s="11" t="s">
        <v>71</v>
      </c>
    </row>
    <row r="7" customFormat="false" ht="28.35" hidden="false" customHeight="false" outlineLevel="0" collapsed="false">
      <c r="A7" s="0" t="s">
        <v>72</v>
      </c>
      <c r="B7" s="0" t="s">
        <v>73</v>
      </c>
      <c r="C7" s="0" t="s">
        <v>74</v>
      </c>
      <c r="D7" s="0" t="s">
        <v>50</v>
      </c>
      <c r="E7" s="0" t="s">
        <v>51</v>
      </c>
      <c r="F7" s="7" t="n">
        <v>46239</v>
      </c>
      <c r="G7" s="7" t="n">
        <v>46240</v>
      </c>
      <c r="H7" s="8" t="n">
        <v>80</v>
      </c>
      <c r="I7" s="8" t="n">
        <v>80</v>
      </c>
      <c r="J7" s="8" t="n">
        <v>80</v>
      </c>
      <c r="K7" s="8" t="n">
        <v>0</v>
      </c>
      <c r="L7" s="8" t="n">
        <v>10</v>
      </c>
      <c r="M7" s="9" t="n">
        <v>20</v>
      </c>
      <c r="N7" s="9" t="n">
        <v>1600</v>
      </c>
      <c r="O7" s="10" t="s">
        <v>75</v>
      </c>
      <c r="P7" s="10" t="s">
        <v>76</v>
      </c>
      <c r="Q7" s="10" t="s">
        <v>77</v>
      </c>
      <c r="R7" s="10" t="s">
        <v>78</v>
      </c>
      <c r="S7" s="10" t="s">
        <v>56</v>
      </c>
      <c r="T7" s="10" t="s">
        <v>79</v>
      </c>
      <c r="U7" s="10" t="s">
        <v>80</v>
      </c>
      <c r="V7" s="7" t="n">
        <v>46202</v>
      </c>
      <c r="W7" s="7" t="n">
        <v>46229</v>
      </c>
      <c r="X7" s="7" t="n">
        <v>46230</v>
      </c>
      <c r="Y7" s="7" t="n">
        <v>46257</v>
      </c>
      <c r="Z7" s="7" t="n">
        <v>46258</v>
      </c>
      <c r="AA7" s="7" t="n">
        <v>46285</v>
      </c>
      <c r="AB7" s="10" t="s">
        <v>81</v>
      </c>
      <c r="AC7" s="10" t="s">
        <v>82</v>
      </c>
      <c r="AD7" s="11" t="s">
        <v>83</v>
      </c>
    </row>
    <row r="8" customFormat="false" ht="28.35" hidden="false" customHeight="false" outlineLevel="0" collapsed="false">
      <c r="A8" s="0" t="s">
        <v>84</v>
      </c>
      <c r="B8" s="0" t="s">
        <v>85</v>
      </c>
      <c r="C8" s="0" t="s">
        <v>86</v>
      </c>
      <c r="D8" s="0" t="s">
        <v>50</v>
      </c>
      <c r="E8" s="0" t="s">
        <v>51</v>
      </c>
      <c r="F8" s="7" t="n">
        <v>46248</v>
      </c>
      <c r="G8" s="7" t="n">
        <v>46248</v>
      </c>
      <c r="H8" s="8" t="n">
        <v>60</v>
      </c>
      <c r="I8" s="8" t="n">
        <v>40</v>
      </c>
      <c r="J8" s="8" t="n">
        <v>40</v>
      </c>
      <c r="K8" s="8" t="n">
        <v>20</v>
      </c>
      <c r="L8" s="8" t="n">
        <v>8</v>
      </c>
      <c r="M8" s="9" t="n">
        <v>18</v>
      </c>
      <c r="N8" s="9" t="n">
        <v>720</v>
      </c>
      <c r="O8" s="10" t="s">
        <v>87</v>
      </c>
      <c r="P8" s="10" t="s">
        <v>88</v>
      </c>
      <c r="Q8" s="10" t="s">
        <v>54</v>
      </c>
      <c r="R8" s="10" t="s">
        <v>89</v>
      </c>
      <c r="S8" s="10" t="s">
        <v>56</v>
      </c>
      <c r="T8" s="10" t="s">
        <v>90</v>
      </c>
      <c r="U8" s="10" t="s">
        <v>80</v>
      </c>
      <c r="V8" s="7" t="n">
        <v>46202</v>
      </c>
      <c r="W8" s="7" t="n">
        <v>46229</v>
      </c>
      <c r="X8" s="7" t="n">
        <v>46230</v>
      </c>
      <c r="Y8" s="7" t="n">
        <v>46257</v>
      </c>
      <c r="Z8" s="7" t="n">
        <v>46258</v>
      </c>
      <c r="AA8" s="7" t="n">
        <v>46285</v>
      </c>
      <c r="AB8" s="10" t="s">
        <v>91</v>
      </c>
      <c r="AC8" s="10" t="s">
        <v>92</v>
      </c>
      <c r="AD8" s="11" t="s">
        <v>93</v>
      </c>
    </row>
    <row r="9" customFormat="false" ht="28.35" hidden="false" customHeight="false" outlineLevel="0" collapsed="false">
      <c r="A9" s="0" t="s">
        <v>94</v>
      </c>
      <c r="B9" s="0" t="s">
        <v>95</v>
      </c>
      <c r="C9" s="0" t="s">
        <v>96</v>
      </c>
      <c r="D9" s="0" t="s">
        <v>50</v>
      </c>
      <c r="E9" s="0" t="s">
        <v>51</v>
      </c>
      <c r="F9" s="7" t="n">
        <v>46267</v>
      </c>
      <c r="G9" s="7" t="n">
        <v>46267</v>
      </c>
      <c r="H9" s="8" t="n">
        <v>30</v>
      </c>
      <c r="I9" s="8" t="n">
        <v>30</v>
      </c>
      <c r="J9" s="8" t="n">
        <v>30</v>
      </c>
      <c r="K9" s="8" t="n">
        <v>0</v>
      </c>
      <c r="L9" s="8" t="n">
        <v>0</v>
      </c>
      <c r="M9" s="9" t="n">
        <v>10</v>
      </c>
      <c r="N9" s="9" t="n">
        <v>300</v>
      </c>
      <c r="O9" s="10" t="s">
        <v>97</v>
      </c>
      <c r="P9" s="10" t="s">
        <v>98</v>
      </c>
      <c r="Q9" s="10" t="s">
        <v>54</v>
      </c>
      <c r="R9" s="10" t="s">
        <v>99</v>
      </c>
      <c r="S9" s="10" t="s">
        <v>56</v>
      </c>
      <c r="T9" s="10" t="s">
        <v>100</v>
      </c>
      <c r="U9" s="10" t="s">
        <v>58</v>
      </c>
      <c r="V9" s="7" t="n">
        <v>46202</v>
      </c>
      <c r="W9" s="7" t="n">
        <v>46229</v>
      </c>
      <c r="X9" s="7" t="n">
        <v>46230</v>
      </c>
      <c r="Y9" s="7" t="n">
        <v>46257</v>
      </c>
      <c r="Z9" s="7" t="n">
        <v>46258</v>
      </c>
      <c r="AA9" s="7" t="n">
        <v>46285</v>
      </c>
      <c r="AB9" s="10" t="s">
        <v>101</v>
      </c>
      <c r="AC9" s="10" t="s">
        <v>102</v>
      </c>
      <c r="AD9" s="11" t="s">
        <v>103</v>
      </c>
    </row>
    <row r="12" customFormat="false" ht="15" hidden="false" customHeight="false" outlineLevel="0" collapsed="false">
      <c r="A12" s="12" t="s">
        <v>104</v>
      </c>
      <c r="B12" s="12"/>
      <c r="C12" s="12"/>
    </row>
    <row r="13" customFormat="false" ht="28.35" hidden="false" customHeight="false" outlineLevel="0" collapsed="false">
      <c r="A13" s="6" t="s">
        <v>44</v>
      </c>
      <c r="B13" s="6" t="s">
        <v>105</v>
      </c>
      <c r="C13" s="6" t="s">
        <v>46</v>
      </c>
    </row>
    <row r="14" customFormat="false" ht="149.25" hidden="false" customHeight="false" outlineLevel="0" collapsed="false">
      <c r="A14" s="0" t="s">
        <v>59</v>
      </c>
      <c r="B14" s="0" t="s">
        <v>60</v>
      </c>
      <c r="C14" s="11" t="s">
        <v>61</v>
      </c>
    </row>
    <row r="15" customFormat="false" ht="229.85" hidden="false" customHeight="false" outlineLevel="0" collapsed="false">
      <c r="A15" s="0" t="s">
        <v>69</v>
      </c>
      <c r="B15" s="0" t="s">
        <v>70</v>
      </c>
      <c r="C15" s="11" t="s">
        <v>71</v>
      </c>
    </row>
    <row r="16" customFormat="false" ht="202.95" hidden="false" customHeight="false" outlineLevel="0" collapsed="false">
      <c r="A16" s="0" t="s">
        <v>81</v>
      </c>
      <c r="B16" s="0" t="s">
        <v>82</v>
      </c>
      <c r="C16" s="11" t="s">
        <v>83</v>
      </c>
    </row>
    <row r="17" customFormat="false" ht="202.95" hidden="false" customHeight="false" outlineLevel="0" collapsed="false">
      <c r="A17" s="0" t="s">
        <v>91</v>
      </c>
      <c r="B17" s="0" t="s">
        <v>92</v>
      </c>
      <c r="C17" s="11" t="s">
        <v>93</v>
      </c>
    </row>
    <row r="18" customFormat="false" ht="189.55" hidden="false" customHeight="false" outlineLevel="0" collapsed="false">
      <c r="A18" s="0" t="s">
        <v>101</v>
      </c>
      <c r="B18" s="0" t="s">
        <v>102</v>
      </c>
      <c r="C18" s="11" t="s">
        <v>103</v>
      </c>
    </row>
    <row r="19" customFormat="false" ht="202.95" hidden="false" customHeight="false" outlineLevel="0" collapsed="false">
      <c r="A19" s="0" t="s">
        <v>106</v>
      </c>
      <c r="B19" s="0" t="s">
        <v>107</v>
      </c>
      <c r="C19" s="11" t="s">
        <v>108</v>
      </c>
    </row>
    <row r="20" customFormat="false" ht="162.65" hidden="false" customHeight="false" outlineLevel="0" collapsed="false">
      <c r="A20" s="0" t="s">
        <v>109</v>
      </c>
      <c r="B20" s="0" t="s">
        <v>110</v>
      </c>
      <c r="C20" s="11" t="s">
        <v>111</v>
      </c>
    </row>
  </sheetData>
  <autoFilter ref="A4:AD9"/>
  <mergeCells count="3">
    <mergeCell ref="A1:AD1"/>
    <mergeCell ref="A2:AD2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5" min="4" style="0" width="13"/>
    <col collapsed="false" customWidth="true" hidden="false" outlineLevel="0" max="6" min="6" style="0" width="15"/>
    <col collapsed="false" customWidth="true" hidden="false" outlineLevel="0" max="8" min="7" style="0" width="11"/>
    <col collapsed="false" customWidth="true" hidden="false" outlineLevel="0" max="9" min="9" style="0" width="17"/>
    <col collapsed="false" customWidth="true" hidden="false" outlineLevel="0" max="11" min="10" style="0" width="14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15"/>
    <col collapsed="false" customWidth="true" hidden="false" outlineLevel="0" max="15" min="15" style="0" width="18"/>
    <col collapsed="false" customWidth="true" hidden="false" outlineLevel="0" max="16" min="16" style="0" width="17"/>
    <col collapsed="false" customWidth="true" hidden="false" outlineLevel="0" max="17" min="17" style="0" width="15"/>
    <col collapsed="false" customWidth="true" hidden="false" outlineLevel="0" max="19" min="18" style="0" width="13"/>
    <col collapsed="false" customWidth="true" hidden="false" outlineLevel="0" max="20" min="20" style="0" width="55"/>
  </cols>
  <sheetData>
    <row r="1" customFormat="false" ht="19.7" hidden="false" customHeight="false" outlineLevel="0" collapsed="false">
      <c r="A1" s="1" t="s">
        <v>112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" hidden="false" customHeight="false" outlineLevel="0" collapsed="false">
      <c r="A2" s="5" t="s">
        <v>113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4" customFormat="false" ht="28.35" hidden="false" customHeight="false" outlineLevel="0" collapsed="false">
      <c r="A4" s="6" t="s">
        <v>17</v>
      </c>
      <c r="B4" s="6" t="s">
        <v>18</v>
      </c>
      <c r="C4" s="6" t="s">
        <v>19</v>
      </c>
      <c r="D4" s="6" t="s">
        <v>114</v>
      </c>
      <c r="E4" s="6" t="s">
        <v>115</v>
      </c>
      <c r="F4" s="6" t="s">
        <v>26</v>
      </c>
      <c r="G4" s="6" t="s">
        <v>27</v>
      </c>
      <c r="H4" s="6" t="s">
        <v>28</v>
      </c>
      <c r="I4" s="6" t="s">
        <v>116</v>
      </c>
      <c r="J4" s="6" t="s">
        <v>117</v>
      </c>
      <c r="K4" s="6" t="s">
        <v>118</v>
      </c>
      <c r="L4" s="6" t="s">
        <v>29</v>
      </c>
      <c r="M4" s="6" t="s">
        <v>119</v>
      </c>
      <c r="N4" s="6" t="s">
        <v>120</v>
      </c>
      <c r="O4" s="6" t="s">
        <v>121</v>
      </c>
      <c r="P4" s="6" t="s">
        <v>31</v>
      </c>
      <c r="Q4" s="6" t="s">
        <v>32</v>
      </c>
      <c r="R4" s="6" t="s">
        <v>36</v>
      </c>
      <c r="S4" s="6" t="s">
        <v>44</v>
      </c>
      <c r="T4" s="6" t="s">
        <v>122</v>
      </c>
    </row>
    <row r="5" customFormat="false" ht="15" hidden="false" customHeight="false" outlineLevel="0" collapsed="false">
      <c r="A5" s="13" t="s">
        <v>47</v>
      </c>
      <c r="B5" s="13" t="s">
        <v>48</v>
      </c>
      <c r="C5" s="13" t="s">
        <v>49</v>
      </c>
      <c r="D5" s="14" t="n">
        <f aca="false">'Source Evidence'!F5</f>
        <v>46227</v>
      </c>
      <c r="E5" s="14" t="n">
        <f aca="false">'Source Evidence'!G5</f>
        <v>46231</v>
      </c>
      <c r="F5" s="15" t="n">
        <f aca="false">'Source Evidence'!J5</f>
        <v>100</v>
      </c>
      <c r="G5" s="15" t="n">
        <f aca="false">'Source Evidence'!K5</f>
        <v>0</v>
      </c>
      <c r="H5" s="15" t="n">
        <f aca="false">'Source Evidence'!L5</f>
        <v>0</v>
      </c>
      <c r="I5" s="16" t="n">
        <f aca="false">IF(OR(J5="Excluded",J5="No Credit"),0,IF(J5="Short",G5,MAX(0,IF(G5&gt;0,G5,F5)-IF(OR(J5="Salvage",J5="Temperature"),H5,0))))</f>
        <v>100</v>
      </c>
      <c r="J5" s="17" t="s">
        <v>123</v>
      </c>
      <c r="K5" s="18" t="n">
        <f aca="false">IF(J5="Late",20%,IF(J5="Short",100%,IF(J5="Temperature",50%,IF(J5="Salvage",100%,0%))))</f>
        <v>0.2</v>
      </c>
      <c r="L5" s="19" t="n">
        <f aca="false">'Source Evidence'!M5</f>
        <v>12</v>
      </c>
      <c r="M5" s="20" t="n">
        <f aca="false">L5</f>
        <v>12</v>
      </c>
      <c r="N5" s="20" t="n">
        <f aca="false">ROUND(I5*K5*M5,2)</f>
        <v>240</v>
      </c>
      <c r="O5" s="21" t="str">
        <f aca="false">IF(AND(D5&lt;='Source Evidence'!W5,E5&gt;='Source Evidence'!V5),"P4/P5 boundary",IF(D5&lt;='Source Evidence'!W5,"P4",IF(D5&lt;='Source Evidence'!Y5,"P5",IF(D5&lt;='Source Evidence'!AA5,"P6","Outside"))))</f>
        <v>P4/P5 boundary</v>
      </c>
      <c r="P5" s="13" t="str">
        <f aca="false">'Source Evidence'!O5</f>
        <v>ORD-ROW-01</v>
      </c>
      <c r="Q5" s="13" t="str">
        <f aca="false">'Source Evidence'!P5</f>
        <v>TEMP-01</v>
      </c>
      <c r="R5" s="13" t="str">
        <f aca="false">'Source Evidence'!T5</f>
        <v>SALV-01</v>
      </c>
      <c r="S5" s="13" t="str">
        <f aca="false">'Source Evidence'!AB5</f>
        <v>C-LATE</v>
      </c>
      <c r="T5" s="22" t="str">
        <f aca="false">IF(J5="Short","C-SHORT + C-NONSTACK: short remedy selected; late credit not stacked",IF(J5="Temperature","C-TEMP + C-SALVAGE: failed temperature, salvage deducted",IF(J5="Salvage","C-SALVAGE: salvaged quantity excluded from credit",IF(J5="Late","C-LATE: late delivery remedy","C-EXCL: no qualifying defect"))))</f>
        <v>C-LATE: late delivery remedy</v>
      </c>
    </row>
    <row r="6" customFormat="false" ht="28.35" hidden="false" customHeight="false" outlineLevel="0" collapsed="false">
      <c r="A6" s="13" t="s">
        <v>62</v>
      </c>
      <c r="B6" s="13" t="s">
        <v>63</v>
      </c>
      <c r="C6" s="13" t="s">
        <v>64</v>
      </c>
      <c r="D6" s="14" t="n">
        <f aca="false">'Source Evidence'!F6</f>
        <v>46229</v>
      </c>
      <c r="E6" s="14" t="n">
        <f aca="false">'Source Evidence'!G6</f>
        <v>46230</v>
      </c>
      <c r="F6" s="15" t="n">
        <f aca="false">'Source Evidence'!J6</f>
        <v>105</v>
      </c>
      <c r="G6" s="15" t="n">
        <f aca="false">'Source Evidence'!K6</f>
        <v>15</v>
      </c>
      <c r="H6" s="15" t="n">
        <f aca="false">'Source Evidence'!L6</f>
        <v>0</v>
      </c>
      <c r="I6" s="16" t="n">
        <f aca="false">IF(OR(J6="Excluded",J6="No Credit"),0,IF(J6="Short",G6,MAX(0,IF(G6&gt;0,G6,F6)-IF(OR(J6="Salvage",J6="Temperature"),H6,0))))</f>
        <v>15</v>
      </c>
      <c r="J6" s="17" t="s">
        <v>124</v>
      </c>
      <c r="K6" s="18" t="n">
        <f aca="false">IF(J6="Late",20%,IF(J6="Short",100%,IF(J6="Temperature",50%,IF(J6="Salvage",100%,0%))))</f>
        <v>1</v>
      </c>
      <c r="L6" s="19" t="n">
        <f aca="false">'Source Evidence'!M6</f>
        <v>15</v>
      </c>
      <c r="M6" s="20" t="n">
        <f aca="false">L6</f>
        <v>15</v>
      </c>
      <c r="N6" s="20" t="n">
        <f aca="false">ROUND(I6*K6*M6,2)</f>
        <v>225</v>
      </c>
      <c r="O6" s="21" t="str">
        <f aca="false">IF(AND(D6&lt;='Source Evidence'!W6,E6&gt;='Source Evidence'!V6),"P4/P5 boundary",IF(D6&lt;='Source Evidence'!W6,"P4",IF(D6&lt;='Source Evidence'!Y6,"P5",IF(D6&lt;='Source Evidence'!AA6,"P6","Outside"))))</f>
        <v>P4/P5 boundary</v>
      </c>
      <c r="P6" s="13" t="str">
        <f aca="false">'Source Evidence'!O6</f>
        <v>ORD-ROW-02</v>
      </c>
      <c r="Q6" s="13" t="str">
        <f aca="false">'Source Evidence'!P6</f>
        <v>TEMP-02</v>
      </c>
      <c r="R6" s="13" t="str">
        <f aca="false">'Source Evidence'!T6</f>
        <v>SALV-02</v>
      </c>
      <c r="S6" s="13" t="str">
        <f aca="false">'Source Evidence'!AB6</f>
        <v>C-SHORT</v>
      </c>
      <c r="T6" s="22" t="str">
        <f aca="false">IF(J6="Short","C-SHORT + C-NONSTACK: short remedy selected; late credit not stacked",IF(J6="Temperature","C-TEMP + C-SALVAGE: failed temperature, salvage deducted",IF(J6="Salvage","C-SALVAGE: salvaged quantity excluded from credit",IF(J6="Late","C-LATE: late delivery remedy","C-EXCL: no qualifying defect"))))</f>
        <v>C-SHORT + C-NONSTACK: short remedy selected; late credit not stacked</v>
      </c>
    </row>
    <row r="7" customFormat="false" ht="15" hidden="false" customHeight="false" outlineLevel="0" collapsed="false">
      <c r="A7" s="13" t="s">
        <v>72</v>
      </c>
      <c r="B7" s="13" t="s">
        <v>73</v>
      </c>
      <c r="C7" s="13" t="s">
        <v>74</v>
      </c>
      <c r="D7" s="14" t="n">
        <f aca="false">'Source Evidence'!F7</f>
        <v>46239</v>
      </c>
      <c r="E7" s="14" t="n">
        <f aca="false">'Source Evidence'!G7</f>
        <v>46240</v>
      </c>
      <c r="F7" s="15" t="n">
        <f aca="false">'Source Evidence'!J7</f>
        <v>80</v>
      </c>
      <c r="G7" s="15" t="n">
        <f aca="false">'Source Evidence'!K7</f>
        <v>0</v>
      </c>
      <c r="H7" s="15" t="n">
        <f aca="false">'Source Evidence'!L7</f>
        <v>10</v>
      </c>
      <c r="I7" s="16" t="n">
        <f aca="false">IF(OR(J7="Excluded",J7="No Credit"),0,IF(J7="Short",G7,MAX(0,IF(G7&gt;0,G7,F7)-IF(OR(J7="Salvage",J7="Temperature"),H7,0))))</f>
        <v>70</v>
      </c>
      <c r="J7" s="17" t="s">
        <v>125</v>
      </c>
      <c r="K7" s="18" t="n">
        <f aca="false">IF(J7="Late",20%,IF(J7="Short",100%,IF(J7="Temperature",50%,IF(J7="Salvage",100%,0%))))</f>
        <v>0.5</v>
      </c>
      <c r="L7" s="19" t="n">
        <f aca="false">'Source Evidence'!M7</f>
        <v>20</v>
      </c>
      <c r="M7" s="20" t="n">
        <f aca="false">L7</f>
        <v>20</v>
      </c>
      <c r="N7" s="20" t="n">
        <f aca="false">ROUND(I7*K7*M7,2)</f>
        <v>700</v>
      </c>
      <c r="O7" s="21" t="str">
        <f aca="false">IF(AND(D7&lt;='Source Evidence'!W7,E7&gt;='Source Evidence'!V7),"P4/P5 boundary",IF(D7&lt;='Source Evidence'!W7,"P4",IF(D7&lt;='Source Evidence'!Y7,"P5",IF(D7&lt;='Source Evidence'!AA7,"P6","Outside"))))</f>
        <v>P5</v>
      </c>
      <c r="P7" s="13" t="str">
        <f aca="false">'Source Evidence'!O7</f>
        <v>ORD-ROW-03</v>
      </c>
      <c r="Q7" s="13" t="str">
        <f aca="false">'Source Evidence'!P7</f>
        <v>TEMP-03</v>
      </c>
      <c r="R7" s="13" t="str">
        <f aca="false">'Source Evidence'!T7</f>
        <v>SALV-03</v>
      </c>
      <c r="S7" s="13" t="str">
        <f aca="false">'Source Evidence'!AB7</f>
        <v>C-TEMP</v>
      </c>
      <c r="T7" s="22" t="str">
        <f aca="false">IF(J7="Short","C-SHORT + C-NONSTACK: short remedy selected; late credit not stacked",IF(J7="Temperature","C-TEMP + C-SALVAGE: failed temperature, salvage deducted",IF(J7="Salvage","C-SALVAGE: salvaged quantity excluded from credit",IF(J7="Late","C-LATE: late delivery remedy","C-EXCL: no qualifying defect"))))</f>
        <v>C-TEMP + C-SALVAGE: failed temperature, salvage deducted</v>
      </c>
    </row>
    <row r="8" customFormat="false" ht="15" hidden="false" customHeight="false" outlineLevel="0" collapsed="false">
      <c r="A8" s="13" t="s">
        <v>84</v>
      </c>
      <c r="B8" s="13" t="s">
        <v>85</v>
      </c>
      <c r="C8" s="13" t="s">
        <v>86</v>
      </c>
      <c r="D8" s="14" t="n">
        <f aca="false">'Source Evidence'!F8</f>
        <v>46248</v>
      </c>
      <c r="E8" s="14" t="n">
        <f aca="false">'Source Evidence'!G8</f>
        <v>46248</v>
      </c>
      <c r="F8" s="15" t="n">
        <f aca="false">'Source Evidence'!J8</f>
        <v>40</v>
      </c>
      <c r="G8" s="15" t="n">
        <f aca="false">'Source Evidence'!K8</f>
        <v>20</v>
      </c>
      <c r="H8" s="15" t="n">
        <f aca="false">'Source Evidence'!L8</f>
        <v>8</v>
      </c>
      <c r="I8" s="16" t="n">
        <f aca="false">IF(OR(J8="Excluded",J8="No Credit"),0,IF(J8="Short",G8,MAX(0,IF(G8&gt;0,G8,F8)-IF(OR(J8="Salvage",J8="Temperature"),H8,0))))</f>
        <v>12</v>
      </c>
      <c r="J8" s="17" t="s">
        <v>126</v>
      </c>
      <c r="K8" s="18" t="n">
        <f aca="false">IF(J8="Late",20%,IF(J8="Short",100%,IF(J8="Temperature",50%,IF(J8="Salvage",100%,0%))))</f>
        <v>1</v>
      </c>
      <c r="L8" s="19" t="n">
        <f aca="false">'Source Evidence'!M8</f>
        <v>18</v>
      </c>
      <c r="M8" s="20" t="n">
        <f aca="false">L8</f>
        <v>18</v>
      </c>
      <c r="N8" s="20" t="n">
        <f aca="false">ROUND(I8*K8*M8,2)</f>
        <v>216</v>
      </c>
      <c r="O8" s="21" t="str">
        <f aca="false">IF(AND(D8&lt;='Source Evidence'!W8,E8&gt;='Source Evidence'!V8),"P4/P5 boundary",IF(D8&lt;='Source Evidence'!W8,"P4",IF(D8&lt;='Source Evidence'!Y8,"P5",IF(D8&lt;='Source Evidence'!AA8,"P6","Outside"))))</f>
        <v>P5</v>
      </c>
      <c r="P8" s="13" t="str">
        <f aca="false">'Source Evidence'!O8</f>
        <v>ORD-ROW-04</v>
      </c>
      <c r="Q8" s="13" t="str">
        <f aca="false">'Source Evidence'!P8</f>
        <v>TEMP-04</v>
      </c>
      <c r="R8" s="13" t="str">
        <f aca="false">'Source Evidence'!T8</f>
        <v>SALV-04</v>
      </c>
      <c r="S8" s="13" t="str">
        <f aca="false">'Source Evidence'!AB8</f>
        <v>C-SALVAGE</v>
      </c>
      <c r="T8" s="22" t="str">
        <f aca="false">IF(J8="Short","C-SHORT + C-NONSTACK: short remedy selected; late credit not stacked",IF(J8="Temperature","C-TEMP + C-SALVAGE: failed temperature, salvage deducted",IF(J8="Salvage","C-SALVAGE: salvaged quantity excluded from credit",IF(J8="Late","C-LATE: late delivery remedy","C-EXCL: no qualifying defect"))))</f>
        <v>C-SALVAGE: salvaged quantity excluded from credit</v>
      </c>
    </row>
    <row r="9" customFormat="false" ht="15" hidden="false" customHeight="false" outlineLevel="0" collapsed="false">
      <c r="A9" s="13" t="s">
        <v>94</v>
      </c>
      <c r="B9" s="13" t="s">
        <v>95</v>
      </c>
      <c r="C9" s="13" t="s">
        <v>96</v>
      </c>
      <c r="D9" s="14" t="n">
        <f aca="false">'Source Evidence'!F9</f>
        <v>46267</v>
      </c>
      <c r="E9" s="14" t="n">
        <f aca="false">'Source Evidence'!G9</f>
        <v>46267</v>
      </c>
      <c r="F9" s="15" t="n">
        <f aca="false">'Source Evidence'!J9</f>
        <v>30</v>
      </c>
      <c r="G9" s="15" t="n">
        <f aca="false">'Source Evidence'!K9</f>
        <v>0</v>
      </c>
      <c r="H9" s="15" t="n">
        <f aca="false">'Source Evidence'!L9</f>
        <v>0</v>
      </c>
      <c r="I9" s="16" t="n">
        <f aca="false">IF(OR(J9="Excluded",J9="No Credit"),0,IF(J9="Short",G9,MAX(0,IF(G9&gt;0,G9,F9)-IF(OR(J9="Salvage",J9="Temperature"),H9,0))))</f>
        <v>0</v>
      </c>
      <c r="J9" s="17" t="s">
        <v>127</v>
      </c>
      <c r="K9" s="18" t="n">
        <f aca="false">IF(J9="Late",20%,IF(J9="Short",100%,IF(J9="Temperature",50%,IF(J9="Salvage",100%,0%))))</f>
        <v>0</v>
      </c>
      <c r="L9" s="19" t="n">
        <f aca="false">'Source Evidence'!M9</f>
        <v>10</v>
      </c>
      <c r="M9" s="20" t="n">
        <f aca="false">L9</f>
        <v>10</v>
      </c>
      <c r="N9" s="20" t="n">
        <f aca="false">ROUND(I9*K9*M9,2)</f>
        <v>0</v>
      </c>
      <c r="O9" s="21" t="str">
        <f aca="false">IF(AND(D9&lt;='Source Evidence'!W9,E9&gt;='Source Evidence'!V9),"P4/P5 boundary",IF(D9&lt;='Source Evidence'!W9,"P4",IF(D9&lt;='Source Evidence'!Y9,"P5",IF(D9&lt;='Source Evidence'!AA9,"P6","Outside"))))</f>
        <v>P6</v>
      </c>
      <c r="P9" s="13" t="str">
        <f aca="false">'Source Evidence'!O9</f>
        <v>ORD-ROW-05</v>
      </c>
      <c r="Q9" s="13" t="str">
        <f aca="false">'Source Evidence'!P9</f>
        <v>TEMP-05</v>
      </c>
      <c r="R9" s="13" t="str">
        <f aca="false">'Source Evidence'!T9</f>
        <v>SALV-05</v>
      </c>
      <c r="S9" s="13" t="str">
        <f aca="false">'Source Evidence'!AB9</f>
        <v>C-EXCL</v>
      </c>
      <c r="T9" s="22" t="str">
        <f aca="false">IF(J9="Short","C-SHORT + C-NONSTACK: short remedy selected; late credit not stacked",IF(J9="Temperature","C-TEMP + C-SALVAGE: failed temperature, salvage deducted",IF(J9="Salvage","C-SALVAGE: salvaged quantity excluded from credit",IF(J9="Late","C-LATE: late delivery remedy","C-EXCL: no qualifying defect"))))</f>
        <v>C-EXCL: no qualifying defect</v>
      </c>
    </row>
    <row r="10" customFormat="false" ht="15" hidden="false" customHeight="false" outlineLevel="0" collapsed="false">
      <c r="A10" s="2" t="s">
        <v>128</v>
      </c>
      <c r="F10" s="23" t="n">
        <f aca="false">SUM(F5:F9)</f>
        <v>355</v>
      </c>
      <c r="H10" s="23" t="n">
        <f aca="false">SUM(H5:H9)</f>
        <v>18</v>
      </c>
      <c r="I10" s="23" t="n">
        <f aca="false">SUM(I5:I9)</f>
        <v>197</v>
      </c>
      <c r="M10" s="24" t="n">
        <f aca="false">SUM(M5:M9)</f>
        <v>75</v>
      </c>
      <c r="N10" s="24" t="n">
        <f aca="false">SUM(N5:N9)</f>
        <v>1381</v>
      </c>
    </row>
    <row r="11" customFormat="false" ht="15" hidden="false" customHeight="false" outlineLevel="0" collapsed="false">
      <c r="I11" s="0" t="str">
        <f aca="false">IF(A11="","",IF(OR(J11="Excluded",J11="No Credit"),0,IF(J11="Short",G11,MAX(0,IF(G11&gt;0,G11,F11)-IF(OR(J11="Salvage",J11="Temperature"),H11,0)))))</f>
        <v/>
      </c>
      <c r="J11" s="17"/>
      <c r="K11" s="25" t="n">
        <f aca="false">IF(J11="Late",20%,IF(J11="Short",100%,IF(J11="Temperature",50%,IF(J11="Salvage",100%,0%))))</f>
        <v>0</v>
      </c>
      <c r="M11" s="0" t="str">
        <f aca="false">IF(A11="","",L11)</f>
        <v/>
      </c>
      <c r="N11" s="0" t="str">
        <f aca="false">IF(A11="","",ROUND(I11*K11*M11,2))</f>
        <v/>
      </c>
      <c r="O11" s="0" t="str">
        <f aca="false">IF(A11="","","Review calendar")</f>
        <v/>
      </c>
    </row>
    <row r="12" customFormat="false" ht="15" hidden="false" customHeight="false" outlineLevel="0" collapsed="false">
      <c r="I12" s="0" t="str">
        <f aca="false">IF(A12="","",IF(OR(J12="Excluded",J12="No Credit"),0,IF(J12="Short",G12,MAX(0,IF(G12&gt;0,G12,F12)-IF(OR(J12="Salvage",J12="Temperature"),H12,0)))))</f>
        <v/>
      </c>
      <c r="J12" s="17"/>
      <c r="K12" s="25" t="n">
        <f aca="false">IF(J12="Late",20%,IF(J12="Short",100%,IF(J12="Temperature",50%,IF(J12="Salvage",100%,0%))))</f>
        <v>0</v>
      </c>
      <c r="M12" s="0" t="str">
        <f aca="false">IF(A12="","",L12)</f>
        <v/>
      </c>
      <c r="N12" s="0" t="str">
        <f aca="false">IF(A12="","",ROUND(I12*K12*M12,2))</f>
        <v/>
      </c>
      <c r="O12" s="0" t="str">
        <f aca="false">IF(A12="","","Review calendar")</f>
        <v/>
      </c>
    </row>
    <row r="13" customFormat="false" ht="15" hidden="false" customHeight="false" outlineLevel="0" collapsed="false">
      <c r="I13" s="0" t="str">
        <f aca="false">IF(A13="","",IF(OR(J13="Excluded",J13="No Credit"),0,IF(J13="Short",G13,MAX(0,IF(G13&gt;0,G13,F13)-IF(OR(J13="Salvage",J13="Temperature"),H13,0)))))</f>
        <v/>
      </c>
      <c r="J13" s="17"/>
      <c r="K13" s="25" t="n">
        <f aca="false">IF(J13="Late",20%,IF(J13="Short",100%,IF(J13="Temperature",50%,IF(J13="Salvage",100%,0%))))</f>
        <v>0</v>
      </c>
      <c r="M13" s="0" t="str">
        <f aca="false">IF(A13="","",L13)</f>
        <v/>
      </c>
      <c r="N13" s="0" t="str">
        <f aca="false">IF(A13="","",ROUND(I13*K13*M13,2))</f>
        <v/>
      </c>
      <c r="O13" s="0" t="str">
        <f aca="false">IF(A13="","","Review calendar")</f>
        <v/>
      </c>
    </row>
    <row r="14" customFormat="false" ht="15" hidden="false" customHeight="false" outlineLevel="0" collapsed="false">
      <c r="I14" s="0" t="str">
        <f aca="false">IF(A14="","",IF(OR(J14="Excluded",J14="No Credit"),0,IF(J14="Short",G14,MAX(0,IF(G14&gt;0,G14,F14)-IF(OR(J14="Salvage",J14="Temperature"),H14,0)))))</f>
        <v/>
      </c>
      <c r="J14" s="17"/>
      <c r="K14" s="25" t="n">
        <f aca="false">IF(J14="Late",20%,IF(J14="Short",100%,IF(J14="Temperature",50%,IF(J14="Salvage",100%,0%))))</f>
        <v>0</v>
      </c>
      <c r="M14" s="0" t="str">
        <f aca="false">IF(A14="","",L14)</f>
        <v/>
      </c>
      <c r="N14" s="0" t="str">
        <f aca="false">IF(A14="","",ROUND(I14*K14*M14,2))</f>
        <v/>
      </c>
      <c r="O14" s="0" t="str">
        <f aca="false">IF(A14="","","Review calendar")</f>
        <v/>
      </c>
    </row>
    <row r="15" customFormat="false" ht="15" hidden="false" customHeight="false" outlineLevel="0" collapsed="false">
      <c r="I15" s="0" t="str">
        <f aca="false">IF(A15="","",IF(OR(J15="Excluded",J15="No Credit"),0,IF(J15="Short",G15,MAX(0,IF(G15&gt;0,G15,F15)-IF(OR(J15="Salvage",J15="Temperature"),H15,0)))))</f>
        <v/>
      </c>
      <c r="J15" s="17"/>
      <c r="K15" s="25" t="n">
        <f aca="false">IF(J15="Late",20%,IF(J15="Short",100%,IF(J15="Temperature",50%,IF(J15="Salvage",100%,0%))))</f>
        <v>0</v>
      </c>
      <c r="M15" s="0" t="str">
        <f aca="false">IF(A15="","",L15)</f>
        <v/>
      </c>
      <c r="N15" s="0" t="str">
        <f aca="false">IF(A15="","",ROUND(I15*K15*M15,2))</f>
        <v/>
      </c>
      <c r="O15" s="0" t="str">
        <f aca="false">IF(A15="","","Review calendar")</f>
        <v/>
      </c>
    </row>
  </sheetData>
  <autoFilter ref="A4:T15"/>
  <mergeCells count="2">
    <mergeCell ref="A1:T1"/>
    <mergeCell ref="A2:T2"/>
  </mergeCells>
  <conditionalFormatting sqref="J5:J15">
    <cfRule type="expression" priority="2" aboveAverage="0" equalAverage="0" bottom="0" percent="0" rank="0" text="" dxfId="10">
      <formula>OR(J5="Excluded",J5="No Credit")</formula>
    </cfRule>
  </conditionalFormatting>
  <dataValidations count="1">
    <dataValidation allowBlank="true" error="Choose a listed treatment." errorStyle="stop" errorTitle="Controlled treatment" operator="between" showDropDown="false" showErrorMessage="false" showInputMessage="false" sqref="J5:J15" type="list">
      <formula1>"Late,Short,Temperature,Salvage,Excluded,No Credit"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4" min="1" style="0" width="14"/>
    <col collapsed="false" customWidth="true" hidden="false" outlineLevel="0" max="6" min="5" style="0" width="15"/>
    <col collapsed="false" customWidth="true" hidden="false" outlineLevel="0" max="7" min="7" style="0" width="38"/>
    <col collapsed="false" customWidth="true" hidden="false" outlineLevel="0" max="8" min="8" style="0" width="22"/>
  </cols>
  <sheetData>
    <row r="1" customFormat="false" ht="19.7" hidden="false" customHeight="false" outlineLevel="0" collapsed="false">
      <c r="A1" s="1" t="s">
        <v>129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5" t="s">
        <v>130</v>
      </c>
      <c r="B2" s="5"/>
      <c r="C2" s="5"/>
      <c r="D2" s="5"/>
      <c r="E2" s="5"/>
      <c r="F2" s="5"/>
      <c r="G2" s="5"/>
      <c r="H2" s="5"/>
    </row>
    <row r="4" customFormat="false" ht="15" hidden="false" customHeight="false" outlineLevel="0" collapsed="false">
      <c r="A4" s="6" t="s">
        <v>131</v>
      </c>
      <c r="B4" s="6" t="s">
        <v>132</v>
      </c>
      <c r="C4" s="6" t="s">
        <v>133</v>
      </c>
      <c r="D4" s="6" t="s">
        <v>134</v>
      </c>
      <c r="E4" s="6" t="s">
        <v>135</v>
      </c>
      <c r="F4" s="6" t="s">
        <v>136</v>
      </c>
      <c r="G4" s="6" t="s">
        <v>137</v>
      </c>
      <c r="H4" s="6" t="s">
        <v>138</v>
      </c>
    </row>
    <row r="5" customFormat="false" ht="15" hidden="false" customHeight="false" outlineLevel="0" collapsed="false">
      <c r="A5" s="0" t="s">
        <v>139</v>
      </c>
      <c r="B5" s="7" t="n">
        <v>46202</v>
      </c>
      <c r="C5" s="7" t="n">
        <v>46229</v>
      </c>
      <c r="D5" s="10" t="n">
        <f aca="false">C5-B5+1</f>
        <v>28</v>
      </c>
      <c r="E5" s="8" t="n">
        <f aca="false">SUMPRODUCT(('Exposure Model'!$D$5:$D$9&lt;=C5)*('Exposure Model'!$E$5:$E$9&gt;=B5)*'Exposure Model'!$I$5:$I$9*(((('Exposure Model'!$E$5:$E$9&lt;C5)*'Exposure Model'!$E$5:$E$9+('Exposure Model'!$E$5:$E$9&gt;=C5)*C5)-(('Exposure Model'!$D$5:$D$9&gt;B5)*'Exposure Model'!$D$5:$D$9+('Exposure Model'!$D$5:$D$9&lt;=B5)*B5)+1)/('Exposure Model'!$E$5:$E$9-'Exposure Model'!$D$5:$D$9+1)))</f>
        <v>67.5</v>
      </c>
      <c r="F5" s="9" t="n">
        <f aca="false">SUMPRODUCT(('Exposure Model'!$D$5:$D$9&lt;=C5)*('Exposure Model'!$E$5:$E$9&gt;=B5)*'Exposure Model'!$N$5:$N$9*(((('Exposure Model'!$E$5:$E$9&lt;C5)*'Exposure Model'!$E$5:$E$9+('Exposure Model'!$E$5:$E$9&gt;=C5)*C5)-(('Exposure Model'!$D$5:$D$9&gt;B5)*'Exposure Model'!$D$5:$D$9+('Exposure Model'!$D$5:$D$9&lt;=B5)*B5)+1)/('Exposure Model'!$E$5:$E$9-'Exposure Model'!$D$5:$D$9+1)))</f>
        <v>256.5</v>
      </c>
      <c r="G5" s="26" t="s">
        <v>140</v>
      </c>
      <c r="H5" s="10" t="s">
        <v>141</v>
      </c>
    </row>
    <row r="6" customFormat="false" ht="15" hidden="false" customHeight="false" outlineLevel="0" collapsed="false">
      <c r="A6" s="0" t="s">
        <v>142</v>
      </c>
      <c r="B6" s="7" t="n">
        <v>46230</v>
      </c>
      <c r="C6" s="7" t="n">
        <v>46257</v>
      </c>
      <c r="D6" s="10" t="n">
        <f aca="false">C6-B6+1</f>
        <v>28</v>
      </c>
      <c r="E6" s="8" t="n">
        <f aca="false">SUMPRODUCT(('Exposure Model'!$D$5:$D$9&lt;=C6)*('Exposure Model'!$E$5:$E$9&gt;=B6)*'Exposure Model'!$I$5:$I$9*(((('Exposure Model'!$E$5:$E$9&lt;C6)*'Exposure Model'!$E$5:$E$9+('Exposure Model'!$E$5:$E$9&gt;=C6)*C6)-(('Exposure Model'!$D$5:$D$9&gt;B6)*'Exposure Model'!$D$5:$D$9+('Exposure Model'!$D$5:$D$9&lt;=B6)*B6)+1)/('Exposure Model'!$E$5:$E$9-'Exposure Model'!$D$5:$D$9+1)))</f>
        <v>129.5</v>
      </c>
      <c r="F6" s="9" t="n">
        <f aca="false">SUMPRODUCT(('Exposure Model'!$D$5:$D$9&lt;=C6)*('Exposure Model'!$E$5:$E$9&gt;=B6)*'Exposure Model'!$N$5:$N$9*(((('Exposure Model'!$E$5:$E$9&lt;C6)*'Exposure Model'!$E$5:$E$9+('Exposure Model'!$E$5:$E$9&gt;=C6)*C6)-(('Exposure Model'!$D$5:$D$9&gt;B6)*'Exposure Model'!$D$5:$D$9+('Exposure Model'!$D$5:$D$9&lt;=B6)*B6)+1)/('Exposure Model'!$E$5:$E$9-'Exposure Model'!$D$5:$D$9+1)))</f>
        <v>1124.5</v>
      </c>
      <c r="G6" s="26" t="s">
        <v>140</v>
      </c>
      <c r="H6" s="10" t="s">
        <v>143</v>
      </c>
    </row>
    <row r="7" customFormat="false" ht="15" hidden="false" customHeight="false" outlineLevel="0" collapsed="false">
      <c r="A7" s="0" t="s">
        <v>144</v>
      </c>
      <c r="B7" s="7" t="n">
        <v>46258</v>
      </c>
      <c r="C7" s="7" t="n">
        <v>46285</v>
      </c>
      <c r="D7" s="10" t="n">
        <f aca="false">C7-B7+1</f>
        <v>28</v>
      </c>
      <c r="E7" s="8" t="n">
        <f aca="false">SUMPRODUCT(('Exposure Model'!$D$5:$D$9&lt;=C7)*('Exposure Model'!$E$5:$E$9&gt;=B7)*'Exposure Model'!$I$5:$I$9*(((('Exposure Model'!$E$5:$E$9&lt;C7)*'Exposure Model'!$E$5:$E$9+('Exposure Model'!$E$5:$E$9&gt;=C7)*C7)-(('Exposure Model'!$D$5:$D$9&gt;B7)*'Exposure Model'!$D$5:$D$9+('Exposure Model'!$D$5:$D$9&lt;=B7)*B7)+1)/('Exposure Model'!$E$5:$E$9-'Exposure Model'!$D$5:$D$9+1)))</f>
        <v>0</v>
      </c>
      <c r="F7" s="9" t="n">
        <f aca="false">SUMPRODUCT(('Exposure Model'!$D$5:$D$9&lt;=C7)*('Exposure Model'!$E$5:$E$9&gt;=B7)*'Exposure Model'!$N$5:$N$9*(((('Exposure Model'!$E$5:$E$9&lt;C7)*'Exposure Model'!$E$5:$E$9+('Exposure Model'!$E$5:$E$9&gt;=C7)*C7)-(('Exposure Model'!$D$5:$D$9&gt;B7)*'Exposure Model'!$D$5:$D$9+('Exposure Model'!$D$5:$D$9&lt;=B7)*B7)+1)/('Exposure Model'!$E$5:$E$9-'Exposure Model'!$D$5:$D$9+1)))</f>
        <v>0</v>
      </c>
      <c r="G7" s="26"/>
      <c r="H7" s="10" t="s">
        <v>145</v>
      </c>
    </row>
    <row r="8" customFormat="false" ht="15" hidden="false" customHeight="false" outlineLevel="0" collapsed="false">
      <c r="A8" s="27" t="s">
        <v>146</v>
      </c>
      <c r="E8" s="8" t="n">
        <f aca="false">SUM(E5:E7)</f>
        <v>197</v>
      </c>
      <c r="F8" s="9" t="n">
        <f aca="false">SUM(F5:F7)</f>
        <v>1381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  <col collapsed="false" customWidth="true" hidden="false" outlineLevel="0" max="8" min="3" style="0" width="18"/>
  </cols>
  <sheetData>
    <row r="1" customFormat="false" ht="19.7" hidden="false" customHeight="false" outlineLevel="0" collapsed="false">
      <c r="A1" s="1" t="s">
        <v>147</v>
      </c>
      <c r="B1" s="1"/>
      <c r="C1" s="1"/>
      <c r="D1" s="1"/>
      <c r="E1" s="1"/>
      <c r="F1" s="1"/>
      <c r="G1" s="1"/>
      <c r="H1" s="1"/>
    </row>
    <row r="3" customFormat="false" ht="15" hidden="false" customHeight="true" outlineLevel="0" collapsed="false">
      <c r="A3" s="2" t="s">
        <v>148</v>
      </c>
      <c r="B3" s="3" t="s">
        <v>149</v>
      </c>
      <c r="C3" s="3"/>
      <c r="D3" s="3"/>
      <c r="E3" s="3"/>
      <c r="F3" s="3"/>
      <c r="G3" s="3"/>
      <c r="H3" s="3"/>
    </row>
    <row r="5" customFormat="false" ht="15" hidden="false" customHeight="false" outlineLevel="0" collapsed="false">
      <c r="A5" s="2" t="s">
        <v>150</v>
      </c>
      <c r="B5" s="28" t="n">
        <f aca="false">'Exposure Model'!I10</f>
        <v>197</v>
      </c>
      <c r="C5" s="28"/>
      <c r="D5" s="28"/>
    </row>
    <row r="6" customFormat="false" ht="15" hidden="false" customHeight="false" outlineLevel="0" collapsed="false">
      <c r="A6" s="2" t="s">
        <v>151</v>
      </c>
      <c r="B6" s="29" t="n">
        <f aca="false">'Exposure Model'!N10</f>
        <v>1381</v>
      </c>
      <c r="C6" s="29"/>
      <c r="D6" s="29"/>
    </row>
    <row r="7" customFormat="false" ht="15" hidden="false" customHeight="false" outlineLevel="0" collapsed="false">
      <c r="A7" s="2" t="s">
        <v>152</v>
      </c>
      <c r="B7" s="29" t="n">
        <f aca="false">'Period View'!F8</f>
        <v>1381</v>
      </c>
      <c r="C7" s="29"/>
      <c r="D7" s="29"/>
    </row>
    <row r="8" customFormat="false" ht="15" hidden="false" customHeight="true" outlineLevel="0" collapsed="false">
      <c r="A8" s="2" t="s">
        <v>153</v>
      </c>
      <c r="B8" s="30" t="s">
        <v>62</v>
      </c>
      <c r="C8" s="30"/>
      <c r="D8" s="30"/>
    </row>
    <row r="9" customFormat="false" ht="15" hidden="false" customHeight="true" outlineLevel="0" collapsed="false">
      <c r="A9" s="2" t="s">
        <v>154</v>
      </c>
      <c r="B9" s="30" t="s">
        <v>155</v>
      </c>
      <c r="C9" s="30"/>
      <c r="D9" s="30"/>
    </row>
    <row r="10" customFormat="false" ht="15" hidden="false" customHeight="true" outlineLevel="0" collapsed="false">
      <c r="A10" s="2" t="s">
        <v>156</v>
      </c>
      <c r="B10" s="30" t="s">
        <v>157</v>
      </c>
      <c r="C10" s="30"/>
      <c r="D10" s="30"/>
    </row>
    <row r="13" customFormat="false" ht="15" hidden="false" customHeight="false" outlineLevel="0" collapsed="false">
      <c r="A13" s="31" t="s">
        <v>158</v>
      </c>
      <c r="D13" s="32" t="s">
        <v>159</v>
      </c>
      <c r="E13" s="32"/>
      <c r="F13" s="32"/>
      <c r="G13" s="32"/>
      <c r="H13" s="32"/>
    </row>
    <row r="14" customFormat="false" ht="15" hidden="false" customHeight="false" outlineLevel="0" collapsed="false">
      <c r="A14" s="0" t="s">
        <v>160</v>
      </c>
      <c r="B14" s="33"/>
    </row>
    <row r="15" customFormat="false" ht="15" hidden="false" customHeight="false" outlineLevel="0" collapsed="false">
      <c r="A15" s="0" t="s">
        <v>161</v>
      </c>
      <c r="B15" s="34"/>
    </row>
    <row r="18" customFormat="false" ht="15" hidden="false" customHeight="false" outlineLevel="0" collapsed="false">
      <c r="A18" s="2" t="s">
        <v>162</v>
      </c>
    </row>
    <row r="19" customFormat="false" ht="15" hidden="false" customHeight="true" outlineLevel="0" collapsed="false">
      <c r="A19" s="4" t="s">
        <v>163</v>
      </c>
      <c r="B19" s="4"/>
      <c r="C19" s="4"/>
      <c r="D19" s="4"/>
      <c r="E19" s="4"/>
      <c r="F19" s="4"/>
      <c r="G19" s="4"/>
      <c r="H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</row>
  </sheetData>
  <mergeCells count="10">
    <mergeCell ref="A1:H1"/>
    <mergeCell ref="B3:H3"/>
    <mergeCell ref="B5:D5"/>
    <mergeCell ref="B6:D6"/>
    <mergeCell ref="B7:D7"/>
    <mergeCell ref="B8:D8"/>
    <mergeCell ref="B9:D9"/>
    <mergeCell ref="B10:D10"/>
    <mergeCell ref="D13:H13"/>
    <mergeCell ref="A19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4" min="3" style="0" width="18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62"/>
  </cols>
  <sheetData>
    <row r="1" customFormat="false" ht="19.7" hidden="false" customHeight="false" outlineLevel="0" collapsed="false">
      <c r="A1" s="1" t="s">
        <v>164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5" t="s">
        <v>165</v>
      </c>
      <c r="B2" s="5"/>
      <c r="C2" s="5"/>
      <c r="D2" s="5"/>
      <c r="E2" s="5"/>
      <c r="F2" s="5"/>
      <c r="G2" s="5"/>
      <c r="H2" s="5"/>
    </row>
    <row r="4" customFormat="false" ht="28.35" hidden="false" customHeight="false" outlineLevel="0" collapsed="false">
      <c r="A4" s="6" t="s">
        <v>17</v>
      </c>
      <c r="B4" s="6" t="s">
        <v>19</v>
      </c>
      <c r="C4" s="6" t="s">
        <v>166</v>
      </c>
      <c r="D4" s="6" t="s">
        <v>167</v>
      </c>
      <c r="E4" s="6" t="s">
        <v>168</v>
      </c>
      <c r="F4" s="6" t="s">
        <v>169</v>
      </c>
      <c r="G4" s="6" t="s">
        <v>170</v>
      </c>
      <c r="H4" s="6" t="s">
        <v>171</v>
      </c>
    </row>
    <row r="5" customFormat="false" ht="15" hidden="false" customHeight="false" outlineLevel="0" collapsed="false">
      <c r="A5" s="0" t="s">
        <v>47</v>
      </c>
      <c r="B5" s="0" t="s">
        <v>49</v>
      </c>
      <c r="C5" s="0" t="s">
        <v>123</v>
      </c>
      <c r="D5" s="8" t="n">
        <v>100</v>
      </c>
      <c r="E5" s="35" t="n">
        <v>0.2</v>
      </c>
      <c r="F5" s="9" t="n">
        <v>240</v>
      </c>
      <c r="G5" s="10" t="s">
        <v>59</v>
      </c>
      <c r="H5" s="11" t="s">
        <v>172</v>
      </c>
    </row>
    <row r="6" customFormat="false" ht="15" hidden="false" customHeight="false" outlineLevel="0" collapsed="false">
      <c r="A6" s="0" t="s">
        <v>62</v>
      </c>
      <c r="B6" s="0" t="s">
        <v>64</v>
      </c>
      <c r="C6" s="0" t="s">
        <v>124</v>
      </c>
      <c r="D6" s="8" t="n">
        <v>15</v>
      </c>
      <c r="E6" s="35" t="n">
        <v>1</v>
      </c>
      <c r="F6" s="9" t="n">
        <v>225</v>
      </c>
      <c r="G6" s="10" t="s">
        <v>173</v>
      </c>
      <c r="H6" s="11" t="s">
        <v>174</v>
      </c>
    </row>
    <row r="7" customFormat="false" ht="15" hidden="false" customHeight="false" outlineLevel="0" collapsed="false">
      <c r="A7" s="0" t="s">
        <v>72</v>
      </c>
      <c r="B7" s="0" t="s">
        <v>74</v>
      </c>
      <c r="C7" s="0" t="s">
        <v>125</v>
      </c>
      <c r="D7" s="8" t="n">
        <v>70</v>
      </c>
      <c r="E7" s="35" t="n">
        <v>0.5</v>
      </c>
      <c r="F7" s="9" t="n">
        <v>700</v>
      </c>
      <c r="G7" s="10" t="s">
        <v>175</v>
      </c>
      <c r="H7" s="11" t="s">
        <v>176</v>
      </c>
    </row>
    <row r="8" customFormat="false" ht="15" hidden="false" customHeight="false" outlineLevel="0" collapsed="false">
      <c r="A8" s="0" t="s">
        <v>84</v>
      </c>
      <c r="B8" s="0" t="s">
        <v>86</v>
      </c>
      <c r="C8" s="0" t="s">
        <v>126</v>
      </c>
      <c r="D8" s="8" t="n">
        <v>12</v>
      </c>
      <c r="E8" s="35" t="n">
        <v>1</v>
      </c>
      <c r="F8" s="9" t="n">
        <v>216</v>
      </c>
      <c r="G8" s="10" t="s">
        <v>91</v>
      </c>
      <c r="H8" s="11" t="s">
        <v>177</v>
      </c>
    </row>
    <row r="9" customFormat="false" ht="15" hidden="false" customHeight="false" outlineLevel="0" collapsed="false">
      <c r="A9" s="0" t="s">
        <v>94</v>
      </c>
      <c r="B9" s="0" t="s">
        <v>96</v>
      </c>
      <c r="C9" s="0" t="s">
        <v>127</v>
      </c>
      <c r="D9" s="8" t="n">
        <v>0</v>
      </c>
      <c r="E9" s="35" t="n">
        <v>0</v>
      </c>
      <c r="F9" s="9" t="n">
        <v>0</v>
      </c>
      <c r="G9" s="10" t="s">
        <v>101</v>
      </c>
      <c r="H9" s="11" t="s">
        <v>178</v>
      </c>
    </row>
    <row r="12" customFormat="false" ht="28.35" hidden="false" customHeight="false" outlineLevel="0" collapsed="false">
      <c r="A12" s="6" t="s">
        <v>179</v>
      </c>
      <c r="B12" s="6"/>
      <c r="C12" s="6"/>
      <c r="D12" s="6"/>
      <c r="E12" s="6"/>
      <c r="F12" s="6"/>
      <c r="G12" s="6"/>
      <c r="H12" s="6"/>
    </row>
    <row r="13" customFormat="false" ht="15" hidden="false" customHeight="true" outlineLevel="0" collapsed="false">
      <c r="A13" s="3" t="s">
        <v>180</v>
      </c>
      <c r="B13" s="3"/>
      <c r="C13" s="3"/>
      <c r="D13" s="3"/>
      <c r="E13" s="3"/>
      <c r="F13" s="3"/>
      <c r="G13" s="3"/>
      <c r="H13" s="3"/>
    </row>
    <row r="14" customFormat="false" ht="15" hidden="false" customHeight="true" outlineLevel="0" collapsed="false">
      <c r="A14" s="3" t="s">
        <v>181</v>
      </c>
      <c r="B14" s="3"/>
      <c r="C14" s="3"/>
      <c r="D14" s="3"/>
      <c r="E14" s="3"/>
      <c r="F14" s="3"/>
      <c r="G14" s="3"/>
      <c r="H14" s="3"/>
    </row>
    <row r="15" customFormat="false" ht="15" hidden="false" customHeight="true" outlineLevel="0" collapsed="false">
      <c r="A15" s="3" t="s">
        <v>182</v>
      </c>
      <c r="B15" s="3"/>
      <c r="C15" s="3"/>
      <c r="D15" s="3"/>
      <c r="E15" s="3"/>
      <c r="F15" s="3"/>
      <c r="G15" s="3"/>
      <c r="H15" s="3"/>
    </row>
    <row r="16" customFormat="false" ht="15" hidden="false" customHeight="true" outlineLevel="0" collapsed="false">
      <c r="A16" s="3" t="s">
        <v>183</v>
      </c>
      <c r="B16" s="3"/>
      <c r="C16" s="3"/>
      <c r="D16" s="3"/>
      <c r="E16" s="3"/>
      <c r="F16" s="3"/>
      <c r="G16" s="3"/>
      <c r="H16" s="3"/>
    </row>
    <row r="17" customFormat="false" ht="15" hidden="false" customHeight="true" outlineLevel="0" collapsed="false">
      <c r="A17" s="3" t="s">
        <v>184</v>
      </c>
      <c r="B17" s="3"/>
      <c r="C17" s="3"/>
      <c r="D17" s="3"/>
      <c r="E17" s="3"/>
      <c r="F17" s="3"/>
      <c r="G17" s="3"/>
      <c r="H17" s="3"/>
    </row>
    <row r="18" customFormat="false" ht="15" hidden="false" customHeight="true" outlineLevel="0" collapsed="false">
      <c r="A18" s="3" t="s">
        <v>185</v>
      </c>
      <c r="B18" s="3"/>
      <c r="C18" s="3"/>
      <c r="D18" s="3"/>
      <c r="E18" s="3"/>
      <c r="F18" s="3"/>
      <c r="G18" s="3"/>
      <c r="H18" s="3"/>
    </row>
    <row r="19" customFormat="false" ht="15" hidden="false" customHeight="true" outlineLevel="0" collapsed="false">
      <c r="A19" s="3" t="s">
        <v>186</v>
      </c>
      <c r="B19" s="3"/>
      <c r="C19" s="3"/>
      <c r="D19" s="3"/>
      <c r="E19" s="3"/>
      <c r="F19" s="3"/>
      <c r="G19" s="3"/>
      <c r="H19" s="3"/>
    </row>
  </sheetData>
  <mergeCells count="9">
    <mergeCell ref="A1:H1"/>
    <mergeCell ref="A2:H2"/>
    <mergeCell ref="A13:H13"/>
    <mergeCell ref="A14:H14"/>
    <mergeCell ref="A15:H15"/>
    <mergeCell ref="A16:H16"/>
    <mergeCell ref="A17:H17"/>
    <mergeCell ref="A18:H18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2026-08-20T19:05:21Z</dcterms:created>
  <dc:creator>openpyxl</dc:creator>
  <dc:description/>
  <dc:language>en-US</dc:language>
  <cp:lastModifiedBy/>
  <dcterms:modified xsi:type="dcterms:W3CDTF">2026-08-20T19:05:21Z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