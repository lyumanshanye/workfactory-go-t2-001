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summary" sheetId="1" state="visible" r:id="rId1"/>
  </sheets>
  <definedNames>
    <definedName name="_xlnm._FilterDatabase" localSheetId="0" hidden="1">'Committee summary'!$B$10:$I$14</definedName>
    <definedName name="_xlnm.Print_Area" localSheetId="0">'Committee summary'!$B$2:$I$41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-mmm-yyyy"/>
  </numFmts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4546A"/>
      <sz val="10"/>
    </font>
    <font>
      <b val="1"/>
      <color rgb="00FFFFFF"/>
    </font>
    <font>
      <b val="1"/>
      <sz val="11"/>
    </font>
    <font>
      <b val="1"/>
    </font>
    <font>
      <i val="1"/>
      <color rgb="0044546A"/>
    </font>
    <font>
      <i val="1"/>
    </font>
    <font>
      <color rgb="0044546A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5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7" fillId="0" borderId="1" pivotButton="0" quotePrefix="0" xfId="0"/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3" fillId="2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1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30" customWidth="1" min="9" max="9"/>
  </cols>
  <sheetData>
    <row r="2">
      <c r="B2" s="1" t="inlineStr">
        <is>
          <t>Tulloch Foundation | Calderfield Partners private-markets sleeve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For Beatriz Anand, Tulloch Foundation investment committee chair • Q3 2026 reporting period • vote 4-Dec-2026</t>
        </is>
      </c>
      <c r="C3" s="2" t="n"/>
      <c r="D3" s="2" t="n"/>
      <c r="E3" s="2" t="n"/>
      <c r="F3" s="2" t="n"/>
      <c r="G3" s="2" t="n"/>
      <c r="H3" s="2" t="n"/>
      <c r="I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4" t="inlineStr">
        <is>
          <t>DECISION</t>
        </is>
      </c>
      <c r="C5" s="2" t="n"/>
      <c r="D5" s="2" t="n"/>
      <c r="E5" s="2" t="n"/>
      <c r="F5" s="2" t="n"/>
      <c r="G5" s="2" t="n"/>
      <c r="H5" s="2" t="n"/>
      <c r="I5" s="2" t="n"/>
    </row>
    <row r="6">
      <c r="B6" s="5" t="inlineStr">
        <is>
          <t>Vote: continue funding Calderfield capital calls or step down. Framing used: two vote scenarios (no forecast).</t>
        </is>
      </c>
      <c r="C6" s="2" t="n"/>
      <c r="D6" s="2" t="n"/>
      <c r="E6" s="2" t="n"/>
      <c r="F6" s="2" t="n"/>
      <c r="G6" s="2" t="n"/>
      <c r="H6" s="2" t="n"/>
      <c r="I6" s="2" t="n"/>
    </row>
    <row r="7" ht="30" customHeight="1">
      <c r="B7" s="6" t="inlineStr">
        <is>
          <t>2027 spending draw implication: Continue → retain capacity for source-notified calls and longer fund lives; Step down → Operations updates the draw workpaper after the instruction. No 2027 draw amount is supplied.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B9" s="4" t="inlineStr">
        <is>
          <t>POSITION REGISTER + Q3 EXTRACTS (monetary unit: $m; call notices shown separately in $000s)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B10" s="7" t="inlineStr">
        <is>
          <t>Fund / vehicle</t>
        </is>
      </c>
      <c r="C10" s="7" t="inlineStr">
        <is>
          <t>Commitment ($m)</t>
        </is>
      </c>
      <c r="D10" s="7" t="inlineStr">
        <is>
          <t>Called ($m)</t>
        </is>
      </c>
      <c r="E10" s="7" t="inlineStr">
        <is>
          <t>Distributed ($m)</t>
        </is>
      </c>
      <c r="F10" s="7" t="inlineStr">
        <is>
          <t>NAV ($m)</t>
        </is>
      </c>
      <c r="G10" s="7" t="inlineStr">
        <is>
          <t>Unfunded ($m)</t>
        </is>
      </c>
      <c r="H10" s="7" t="inlineStr">
        <is>
          <t>Status</t>
        </is>
      </c>
      <c r="I10" s="7" t="inlineStr">
        <is>
          <t>Source</t>
        </is>
      </c>
    </row>
    <row r="11">
      <c r="B11" s="6" t="inlineStr">
        <is>
          <t>Alder Ridge Growth Fund II</t>
        </is>
      </c>
      <c r="C11" s="8" t="n">
        <v>184.6</v>
      </c>
      <c r="D11" s="8" t="n">
        <v>96.3</v>
      </c>
      <c r="E11" s="8" t="n">
        <v>22.8</v>
      </c>
      <c r="F11" s="8" t="n">
        <v>121.4</v>
      </c>
      <c r="G11" s="8" t="n">
        <v>88.3</v>
      </c>
      <c r="H11" s="6" t="inlineStr">
        <is>
          <t>Confirmed</t>
        </is>
      </c>
      <c r="I11" s="6" t="inlineStr">
        <is>
          <t>Position register; Q3 extract</t>
        </is>
      </c>
    </row>
    <row r="12">
      <c r="B12" s="6" t="inlineStr">
        <is>
          <t>Briarstone Infrastructure III</t>
        </is>
      </c>
      <c r="C12" s="8" t="n">
        <v>231</v>
      </c>
      <c r="D12" s="8" t="n">
        <v>141.7</v>
      </c>
      <c r="E12" s="8" t="n">
        <v>38.6</v>
      </c>
      <c r="F12" s="8" t="n">
        <v>166.9</v>
      </c>
      <c r="G12" s="8" t="n">
        <v>89.3</v>
      </c>
      <c r="H12" s="6" t="inlineStr">
        <is>
          <t>Confirmed</t>
        </is>
      </c>
      <c r="I12" s="6" t="inlineStr">
        <is>
          <t>Position register; Q3 extract</t>
        </is>
      </c>
    </row>
    <row r="13">
      <c r="B13" s="6" t="inlineStr">
        <is>
          <t>Cedar Vale Credit Opportunities</t>
        </is>
      </c>
      <c r="C13" s="8" t="n">
        <v>157.5</v>
      </c>
      <c r="D13" s="8" t="n">
        <v>112.4</v>
      </c>
      <c r="E13" s="8" t="n">
        <v>31.2</v>
      </c>
      <c r="F13" s="8" t="n">
        <v>109.8</v>
      </c>
      <c r="G13" s="8" t="n">
        <v>45.1</v>
      </c>
      <c r="H13" s="6" t="inlineStr">
        <is>
          <t>Confirmed</t>
        </is>
      </c>
      <c r="I13" s="6" t="inlineStr">
        <is>
          <t>Position register; Q3 extract</t>
        </is>
      </c>
    </row>
    <row r="14">
      <c r="B14" s="6" t="inlineStr">
        <is>
          <t>Dunlin Ventures I</t>
        </is>
      </c>
      <c r="C14" s="8" t="n">
        <v>96.8</v>
      </c>
      <c r="D14" s="8" t="n">
        <v>52.6</v>
      </c>
      <c r="E14" s="8" t="n">
        <v>9.4</v>
      </c>
      <c r="F14" s="8" t="n">
        <v>61.7</v>
      </c>
      <c r="G14" s="8" t="n">
        <v>44.2</v>
      </c>
      <c r="H14" s="6" t="inlineStr">
        <is>
          <t>Confirmed</t>
        </is>
      </c>
      <c r="I14" s="6" t="inlineStr">
        <is>
          <t>Position register; Q3 extract</t>
        </is>
      </c>
    </row>
    <row r="15">
      <c r="B15" s="9" t="inlineStr">
        <is>
          <t>Portfolio total</t>
        </is>
      </c>
      <c r="C15" s="10">
        <f>SUM(C11:C14)</f>
        <v/>
      </c>
      <c r="D15" s="10">
        <f>SUM(D11:D14)</f>
        <v/>
      </c>
      <c r="E15" s="10">
        <f>SUM(E11:E14)</f>
        <v/>
      </c>
      <c r="F15" s="10">
        <f>SUM(F11:F14)</f>
        <v/>
      </c>
      <c r="G15" s="10">
        <f>SUM(G11:G14)</f>
        <v/>
      </c>
      <c r="H15" s="11" t="inlineStr">
        <is>
          <t>Recalculated from rows</t>
        </is>
      </c>
      <c r="I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B17" s="4" t="inlineStr">
        <is>
          <t>Q3 CALL NOTICES (call amount: $000s; notice dates as supplied)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B18" s="12" t="inlineStr">
        <is>
          <t>Calling fund</t>
        </is>
      </c>
      <c r="C18" s="12" t="inlineStr">
        <is>
          <t>Period</t>
        </is>
      </c>
      <c r="D18" s="12" t="inlineStr">
        <is>
          <t>Call amount ($000s)</t>
        </is>
      </c>
      <c r="E18" s="12" t="inlineStr">
        <is>
          <t>Notice date</t>
        </is>
      </c>
      <c r="F18" s="12" t="inlineStr">
        <is>
          <t>Source</t>
        </is>
      </c>
      <c r="G18" s="2" t="n"/>
      <c r="H18" s="2" t="n"/>
      <c r="I18" s="2" t="n"/>
    </row>
    <row r="19">
      <c r="B19" s="13" t="inlineStr">
        <is>
          <t>Alder Ridge Growth Fund II</t>
        </is>
      </c>
      <c r="C19" s="13" t="inlineStr">
        <is>
          <t>Q3</t>
        </is>
      </c>
      <c r="D19" s="14" t="n">
        <v>12.7</v>
      </c>
      <c r="E19" s="15" t="n">
        <v>46279</v>
      </c>
      <c r="F19" s="13" t="inlineStr">
        <is>
          <t>Quarterly call notices</t>
        </is>
      </c>
      <c r="G19" s="2" t="n"/>
      <c r="H19" s="2" t="n"/>
      <c r="I19" s="2" t="n"/>
    </row>
    <row r="20">
      <c r="B20" s="13" t="inlineStr">
        <is>
          <t>Briarstone Infrastructure III</t>
        </is>
      </c>
      <c r="C20" s="13" t="inlineStr">
        <is>
          <t>Q3</t>
        </is>
      </c>
      <c r="D20" s="14" t="n">
        <v>18.9</v>
      </c>
      <c r="E20" s="15" t="n">
        <v>46286</v>
      </c>
      <c r="F20" s="13" t="inlineStr">
        <is>
          <t>Quarterly call notices</t>
        </is>
      </c>
      <c r="G20" s="2" t="n"/>
      <c r="H20" s="2" t="n"/>
      <c r="I20" s="2" t="n"/>
    </row>
    <row r="21">
      <c r="B21" s="13" t="inlineStr">
        <is>
          <t>Cedar Vale Credit Opportunities</t>
        </is>
      </c>
      <c r="C21" s="13" t="inlineStr">
        <is>
          <t>Q3</t>
        </is>
      </c>
      <c r="D21" s="14" t="n">
        <v>7.6</v>
      </c>
      <c r="E21" s="15" t="n">
        <v>46293</v>
      </c>
      <c r="F21" s="13" t="inlineStr">
        <is>
          <t>Quarterly call notices</t>
        </is>
      </c>
      <c r="G21" s="2" t="n"/>
      <c r="H21" s="2" t="n"/>
      <c r="I21" s="2" t="n"/>
    </row>
    <row r="22">
      <c r="B22" s="13" t="inlineStr">
        <is>
          <t>Dunlin Ventures I</t>
        </is>
      </c>
      <c r="C22" s="13" t="inlineStr">
        <is>
          <t>Q3</t>
        </is>
      </c>
      <c r="D22" s="14" t="n">
        <v>5.3</v>
      </c>
      <c r="E22" s="15" t="n">
        <v>46295</v>
      </c>
      <c r="F22" s="13" t="inlineStr">
        <is>
          <t>Quarterly call notices</t>
        </is>
      </c>
      <c r="G22" s="2" t="n"/>
      <c r="H22" s="2" t="n"/>
      <c r="I22" s="2" t="n"/>
    </row>
    <row r="23">
      <c r="B23" s="9" t="inlineStr">
        <is>
          <t>Q3 call total</t>
        </is>
      </c>
      <c r="C23" s="2" t="n"/>
      <c r="D23" s="10">
        <f>SUM(D19:D22)</f>
        <v/>
      </c>
      <c r="E23" s="16" t="inlineStr">
        <is>
          <t>$000s</t>
        </is>
      </c>
      <c r="F23" s="2" t="n"/>
      <c r="G23" s="2" t="n"/>
      <c r="H23" s="2" t="n"/>
      <c r="I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B25" s="4" t="inlineStr">
        <is>
          <t>CONFIRMED FUND-LIFE EXTENSIONS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B26" s="12" t="inlineStr">
        <is>
          <t>Fund</t>
        </is>
      </c>
      <c r="C26" s="12" t="inlineStr">
        <is>
          <t>Original end</t>
        </is>
      </c>
      <c r="D26" s="12" t="inlineStr">
        <is>
          <t>Revised end</t>
        </is>
      </c>
      <c r="E26" s="12" t="inlineStr">
        <is>
          <t>Status</t>
        </is>
      </c>
      <c r="F26" s="12" t="inlineStr">
        <is>
          <t>Source</t>
        </is>
      </c>
      <c r="G26" s="2" t="n"/>
      <c r="H26" s="2" t="n"/>
      <c r="I26" s="2" t="n"/>
    </row>
    <row r="27">
      <c r="B27" s="13" t="inlineStr">
        <is>
          <t>Alder Ridge Growth Fund II</t>
        </is>
      </c>
      <c r="C27" s="15" t="n">
        <v>46934</v>
      </c>
      <c r="D27" s="15" t="n">
        <v>47483</v>
      </c>
      <c r="E27" s="13" t="inlineStr">
        <is>
          <t>Confirmed extension</t>
        </is>
      </c>
      <c r="F27" s="13" t="inlineStr">
        <is>
          <t>Fund-life correspondence</t>
        </is>
      </c>
      <c r="G27" s="2" t="n"/>
      <c r="H27" s="2" t="n"/>
      <c r="I27" s="2" t="n"/>
    </row>
    <row r="28">
      <c r="B28" s="13" t="inlineStr">
        <is>
          <t>Briarstone Infrastructure III</t>
        </is>
      </c>
      <c r="C28" s="15" t="n">
        <v>46660</v>
      </c>
      <c r="D28" s="15" t="n">
        <v>47118</v>
      </c>
      <c r="E28" s="13" t="inlineStr">
        <is>
          <t>Confirmed extension</t>
        </is>
      </c>
      <c r="F28" s="13" t="inlineStr">
        <is>
          <t>Fund-life correspondence</t>
        </is>
      </c>
      <c r="G28" s="2" t="n"/>
      <c r="H28" s="2" t="n"/>
      <c r="I28" s="2" t="n"/>
    </row>
    <row r="29">
      <c r="B29" s="13" t="inlineStr">
        <is>
          <t>Dunlin Ventures I</t>
        </is>
      </c>
      <c r="C29" s="15" t="n">
        <v>46387</v>
      </c>
      <c r="D29" s="15" t="n">
        <v>46568</v>
      </c>
      <c r="E29" s="13" t="inlineStr">
        <is>
          <t>Confirmed extension</t>
        </is>
      </c>
      <c r="F29" s="13" t="inlineStr">
        <is>
          <t>Fund-life correspondence</t>
        </is>
      </c>
      <c r="G29" s="2" t="n"/>
      <c r="H29" s="2" t="n"/>
      <c r="I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B31" s="4" t="inlineStr">
        <is>
          <t>LEVERAGE UPDATE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B32" s="17" t="inlineStr">
        <is>
          <t>Calderfield Partners private-markets sleeve: basis changed from committed capital to NAV-based leverage for the Q3 reporting period; reported leverage 18.4%.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8" customHeight="1">
      <c r="B34" s="18" t="inlineStr">
        <is>
          <t>NEXT ACTION • Séverine Mbaye / delivery team: confirm the post-vote call-funding instruction and update the 2027 draw workpaper; escalate any missing instruction before the next call notice.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B36" s="19" t="inlineStr">
        <is>
          <t>METHOD / TRACEABILITY NOTE</t>
        </is>
      </c>
      <c r="C36" s="2" t="n"/>
      <c r="D36" s="2" t="n"/>
      <c r="E36" s="2" t="n"/>
      <c r="F36" s="2" t="n"/>
      <c r="G36" s="2" t="n"/>
      <c r="H36" s="2" t="n"/>
      <c r="I36" s="2" t="n"/>
    </row>
    <row r="37" ht="22" customHeight="1">
      <c r="B37" s="20" t="inlineStr">
        <is>
          <t>Source: calderfield_source_pack.xlsx, labelled tables: manager position register; Q3 report extracts; quarterly call notices; fund-life correspondence; leverage update.</t>
        </is>
      </c>
      <c r="C37" s="2" t="n"/>
      <c r="D37" s="2" t="n"/>
      <c r="E37" s="2" t="n"/>
      <c r="F37" s="2" t="n"/>
      <c r="G37" s="2" t="n"/>
      <c r="H37" s="2" t="n"/>
      <c r="I37" s="2" t="n"/>
    </row>
    <row r="38" ht="22" customHeight="1">
      <c r="B38" s="20" t="inlineStr">
        <is>
          <t>Join method: normalise fund keys to uppercase and trim trailing whitespace before matching tables (e.g., “cf-briar ” = “CF-BRIAR”); one row per logical position.</t>
        </is>
      </c>
      <c r="C38" s="2" t="n"/>
      <c r="D38" s="2" t="n"/>
      <c r="E38" s="2" t="n"/>
      <c r="F38" s="2" t="n"/>
      <c r="G38" s="2" t="n"/>
      <c r="H38" s="2" t="n"/>
      <c r="I38" s="2" t="n"/>
    </row>
    <row r="39" ht="22" customHeight="1">
      <c r="B39" s="20" t="inlineStr">
        <is>
          <t>Units: position and Q3 figures remain in source $m; call notices remain in source $000s and are not converted. Totals sum displayed rows only.</t>
        </is>
      </c>
      <c r="C39" s="2" t="n"/>
      <c r="D39" s="2" t="n"/>
      <c r="E39" s="2" t="n"/>
      <c r="F39" s="2" t="n"/>
      <c r="G39" s="2" t="n"/>
      <c r="H39" s="2" t="n"/>
      <c r="I39" s="2" t="n"/>
    </row>
    <row r="40" ht="22" customHeight="1">
      <c r="B40" s="20" t="inlineStr">
        <is>
          <t>Unsupported fields: no 2027 draw amount is supplied, so none is estimated or shown. Draw framing selected: two vote scenarios, with operational consequence stated above.</t>
        </is>
      </c>
      <c r="C40" s="2" t="n"/>
      <c r="D40" s="2" t="n"/>
      <c r="E40" s="2" t="n"/>
      <c r="F40" s="2" t="n"/>
      <c r="G40" s="2" t="n"/>
      <c r="H40" s="2" t="n"/>
      <c r="I40" s="2" t="n"/>
    </row>
    <row r="41" ht="22" customHeight="1">
      <c r="B41" s="20" t="inlineStr">
        <is>
          <t>Figures are copied from source fields; unfunded is copied from the position register (not derived). Confirmed vs follow-up items are labelled explicitly.</t>
        </is>
      </c>
      <c r="C41" s="2" t="n"/>
      <c r="D41" s="2" t="n"/>
      <c r="E41" s="2" t="n"/>
      <c r="F41" s="2" t="n"/>
      <c r="G41" s="2" t="n"/>
      <c r="H41" s="2" t="n"/>
      <c r="I41" s="2" t="n"/>
    </row>
  </sheetData>
  <autoFilter ref="B10:I14"/>
  <mergeCells count="17">
    <mergeCell ref="B9:I9"/>
    <mergeCell ref="B40:I40"/>
    <mergeCell ref="B7:I7"/>
    <mergeCell ref="B25:I25"/>
    <mergeCell ref="B6:I6"/>
    <mergeCell ref="B38:I38"/>
    <mergeCell ref="B2:I2"/>
    <mergeCell ref="B34:I34"/>
    <mergeCell ref="B39:I39"/>
    <mergeCell ref="B3:I3"/>
    <mergeCell ref="B5:I5"/>
    <mergeCell ref="B36:I36"/>
    <mergeCell ref="B37:I37"/>
    <mergeCell ref="B31:I31"/>
    <mergeCell ref="B41:I41"/>
    <mergeCell ref="B32:I32"/>
    <mergeCell ref="B17:I17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2026-08-25T03:25:38Z</dcterms:created>
  <dcterms:modified xmlns:dcterms="http://purl.org/dc/terms/" xmlns:xsi="http://www.w3.org/2001/XMLSchema-instance" xsi:type="dcterms:W3CDTF">2026-08-25T03:25:38Z</dcterms:modified>
</cp:coreProperties>
</file>