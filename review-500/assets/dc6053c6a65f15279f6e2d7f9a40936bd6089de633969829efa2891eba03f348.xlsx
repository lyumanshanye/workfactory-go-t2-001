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lease pack" sheetId="1" state="visible" r:id="rId3"/>
  </sheets>
  <definedNames>
    <definedName function="false" hidden="false" localSheetId="0" name="_xlnm.Print_Area" vbProcedure="false">'Release pack'!$A$1:$H$88</definedName>
    <definedName function="false" hidden="false" name="AprJunAnyStageFailures" vbProcedure="false">'Release pack'!$B$16</definedName>
    <definedName function="false" hidden="false" name="AprJunBatches" vbProcedure="false">'Release pack'!$B$15</definedName>
    <definedName function="false" hidden="false" name="AprJunFinalRejects" vbProcedure="false">'Release pack'!$B$17</definedName>
    <definedName function="false" hidden="false" name="DecemberScheduled" vbProcedure="false">'Release pack'!$C$39</definedName>
    <definedName function="false" hidden="false" name="JulSepAnyStageFailures" vbProcedure="false">'Release pack'!$D$16</definedName>
    <definedName function="false" hidden="false" name="JulSepBatches" vbProcedure="false">'Release pack'!$D$15</definedName>
    <definedName function="false" hidden="false" name="JulSepFinalRejects" vbProcedure="false">'Release pack'!$D$17</definedName>
    <definedName function="false" hidden="false" name="JulSepMissingNotes" vbProcedure="false">'Release pack'!$D$19</definedName>
    <definedName function="false" hidden="false" name="NovemberScheduled" vbProcedure="false">'Release pack'!$C$38</definedName>
    <definedName function="false" hidden="false" name="OctoberScheduled" vbProcedure="false">'Release pack'!$C$37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5" authorId="0">
      <text>
        <r>
          <rPr>
            <sz val="10"/>
            <rFont val="DejaVu Sans"/>
            <family val="2"/>
          </rPr>
          <t xml:space="preserve">Brief input: April-June batches produced.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B16" authorId="0">
      <text>
        <r>
          <rPr>
            <sz val="10"/>
            <rFont val="DejaVu Sans"/>
            <family val="2"/>
          </rPr>
          <t xml:space="preserve">Brief input: April-June batches that failed an inspection at any stage.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B17" authorId="0">
      <text>
        <r>
          <rPr>
            <sz val="10"/>
            <rFont val="DejaVu Sans"/>
            <family val="2"/>
          </rPr>
          <t xml:space="preserve">Brief input: April-June batches finally rejected after rework and retest.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C37" authorId="0">
      <text>
        <r>
          <rPr>
            <sz val="10"/>
            <rFont val="DejaVu Sans"/>
            <family val="2"/>
          </rPr>
          <t xml:space="preserve">Brief input: scheduled October batches.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C38" authorId="0">
      <text>
        <r>
          <rPr>
            <sz val="10"/>
            <rFont val="DejaVu Sans"/>
            <family val="2"/>
          </rPr>
          <t xml:space="preserve">Brief input: scheduled November batches.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C39" authorId="0">
      <text>
        <r>
          <rPr>
            <sz val="10"/>
            <rFont val="DejaVu Sans"/>
            <family val="2"/>
          </rPr>
          <t xml:space="preserve">Brief input: scheduled December batches.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D15" authorId="0">
      <text>
        <r>
          <rPr>
            <sz val="10"/>
            <rFont val="DejaVu Sans"/>
            <family val="2"/>
          </rPr>
          <t xml:space="preserve">Brief input: July-September batches produced.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D16" authorId="0">
      <text>
        <r>
          <rPr>
            <sz val="10"/>
            <rFont val="DejaVu Sans"/>
            <family val="2"/>
          </rPr>
          <t xml:space="preserve">Brief input: July-September batches that failed an inspection at any stage.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21</xdr:rowOff>
              </xdr:to>
            </anchor>
          </commentPr>
        </mc:Choice>
        <mc:Fallback/>
      </mc:AlternateContent>
    </comment>
    <comment ref="D17" authorId="0">
      <text>
        <r>
          <rPr>
            <sz val="10"/>
            <rFont val="DejaVu Sans"/>
            <family val="2"/>
          </rPr>
          <t xml:space="preserve">Brief input: July-September batches finally rejected after rework and retest.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2</xdr:row>
                <xdr:rowOff>15</xdr:rowOff>
              </xdr:to>
            </anchor>
          </commentPr>
        </mc:Choice>
        <mc:Fallback/>
      </mc:AlternateContent>
    </comment>
    <comment ref="D19" authorId="0">
      <text>
        <r>
          <rPr>
            <sz val="10"/>
            <rFont val="DejaVu Sans"/>
            <family val="2"/>
          </rPr>
          <t xml:space="preserve">Brief input: July-September accepted batches lacking the newly introduced second-person release note.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-94</xdr:colOff>
                <xdr:row>4</xdr:row>
                <xdr:rowOff>4</xdr:rowOff>
              </xdr:to>
            </anchor>
          </commentPr>
        </mc:Choice>
        <mc:Fallback/>
      </mc:AlternateContent>
    </comment>
  </commentList>
</comments>
</file>

<file path=xl/sharedStrings.xml><?xml version="1.0" encoding="utf-8"?>
<sst xmlns="http://schemas.openxmlformats.org/spreadsheetml/2006/main" count="150" uniqueCount="138">
  <si>
    <t xml:space="preserve">HIGHMARSH SCHOOL DISTRICT  |  VALVE RELEASE PACK</t>
  </si>
  <si>
    <t xml:space="preserve">Operational briefing and review aid  |  Calderfield Logistics heating-valve assembly</t>
  </si>
  <si>
    <t xml:space="preserve">CONTROLLED BRIEFING  |  REVISED FOR DECISION REVIEW  |  JULY-SEPTEMBER ACTUALS / OCTOBER-DECEMBER PLAN</t>
  </si>
  <si>
    <t xml:space="preserve">Owner / preparer</t>
  </si>
  <si>
    <t xml:space="preserve">First-line production supervisor, Calderfield Logistics</t>
  </si>
  <si>
    <t xml:space="preserve">Prepared for</t>
  </si>
  <si>
    <t xml:space="preserve">Highmarsh legal, contracting and trustee stakeholders</t>
  </si>
  <si>
    <t xml:space="preserve">As of</t>
  </si>
  <si>
    <t xml:space="preserve">July-September actuals; next-quarter release planning</t>
  </si>
  <si>
    <t xml:space="preserve">Version / status</t>
  </si>
  <si>
    <t xml:space="preserve">v1.0  |  Controlled copy  |  Revised after returned draft</t>
  </si>
  <si>
    <t xml:space="preserve">Revision note</t>
  </si>
  <si>
    <t xml:space="preserve">Returned draft updated: rate bases and measurement stages are explicit; the two records are reconciled without collapsing them; the July-September flat run-rate forecast, 1 November control transition, selected compliance definition and one release recommendation are added. Wilhelmina Petrosyan's recorded legal position replaces Frida's review.</t>
  </si>
  <si>
    <t xml:space="preserve">Purpose / users</t>
  </si>
  <si>
    <t xml:space="preserve">Use this pack as the concise briefing and review aid for Kasper Crowther, Ivo Khouri, legal, contracting and trustees: compare the two valid measures, review the next-quarter exposure, then apply the release route below.</t>
  </si>
  <si>
    <t xml:space="preserve">Selected definition</t>
  </si>
  <si>
    <t xml:space="preserve">STATUTORY COMPLIANCE + APPLICABLE HIGHMARSH CONTROLS</t>
  </si>
  <si>
    <t xml:space="preserve">Quarter headline</t>
  </si>
  <si>
    <t xml:space="preserve">Release call</t>
  </si>
  <si>
    <t xml:space="preserve">01  |  RECORD COMPARISON</t>
  </si>
  <si>
    <t xml:space="preserve">Why the rates differ: the production record counts any batch that failed an inspection at any stage; the Highmarsh control register counts batches finally rejected after rework and retest. A reworked batch can therefore appear in the first measure and still be finally accepted.</t>
  </si>
  <si>
    <t xml:space="preserve">Measure</t>
  </si>
  <si>
    <t xml:space="preserve">Apr-Jun actual</t>
  </si>
  <si>
    <t xml:space="preserve">Rate</t>
  </si>
  <si>
    <t xml:space="preserve">Jul-Sep actual</t>
  </si>
  <si>
    <t xml:space="preserve">Batch change</t>
  </si>
  <si>
    <t xml:space="preserve">Rate change (pp)</t>
  </si>
  <si>
    <t xml:space="preserve">Reader cue</t>
  </si>
  <si>
    <t xml:space="preserve">Scheduled batches (denominator)</t>
  </si>
  <si>
    <t xml:space="preserve">n/a</t>
  </si>
  <si>
    <t xml:space="preserve">Period volume</t>
  </si>
  <si>
    <t xml:space="preserve">Production record | any-stage inspection failures</t>
  </si>
  <si>
    <t xml:space="preserve">Any stage, before final disposition</t>
  </si>
  <si>
    <t xml:space="preserve">Highmarsh control register | final rejects after rework + retest</t>
  </si>
  <si>
    <t xml:space="preserve">Final disposition after rework and retest</t>
  </si>
  <si>
    <t xml:space="preserve">Finally accepted batches</t>
  </si>
  <si>
    <t xml:space="preserve">Accepted after final disposition</t>
  </si>
  <si>
    <t xml:space="preserve">Missing second-person notes among accepted (control baseline)</t>
  </si>
  <si>
    <t xml:space="preserve">—</t>
  </si>
  <si>
    <t xml:space="preserve">Accepted-batch denominator</t>
  </si>
  <si>
    <t xml:space="preserve">Material change  |  July-September versus April-June</t>
  </si>
  <si>
    <t xml:space="preserve">Additional batches</t>
  </si>
  <si>
    <t xml:space="preserve">Relative rate change</t>
  </si>
  <si>
    <t xml:space="preserve">Interpretation</t>
  </si>
  <si>
    <t xml:space="preserve">Any-stage inspection failures</t>
  </si>
  <si>
    <t xml:space="preserve">Final rejects</t>
  </si>
  <si>
    <t xml:space="preserve">Interpretation: both measures are internally valid for their stated stage. Rework and retest can reduce the final-rejection outcome without erasing the earlier any-stage failure record. The change is observed deterioration under both measures; no causal explanation is established by the supplied facts.</t>
  </si>
  <si>
    <t xml:space="preserve">Key terms  |  plain-language reading</t>
  </si>
  <si>
    <t xml:space="preserve">Any-stage failure</t>
  </si>
  <si>
    <t xml:space="preserve">A batch that failed an inspection at any point in the process. It is not automatically a final reject.</t>
  </si>
  <si>
    <t xml:space="preserve">Final rejection</t>
  </si>
  <si>
    <t xml:space="preserve">A batch rejected after any permitted rework and retest; it remains blocked from release.</t>
  </si>
  <si>
    <t xml:space="preserve">Accepted batch</t>
  </si>
  <si>
    <t xml:space="preserve">A batch that reaches final acceptance after disposition. Release still requires the required traceability, conformity evidence and release records.</t>
  </si>
  <si>
    <t xml:space="preserve">02  |  NEXT-QUARTER FORECAST</t>
  </si>
  <si>
    <t xml:space="preserve">Forecast basis: July-September performance is used as a flat run-rate with no efficiency uplift. Scheduled counts are 180 in October, 190 in November and 190 in December (560 total). Counts are rounded to the nearest whole batch after aggregate calculation; component rates are not rounded before multiplication.</t>
  </si>
  <si>
    <t xml:space="preserve">Scheduled volume and control timing  |  editable inputs</t>
  </si>
  <si>
    <t xml:space="preserve">Month</t>
  </si>
  <si>
    <t xml:space="preserve">Forecast status</t>
  </si>
  <si>
    <t xml:space="preserve">Scheduled batches</t>
  </si>
  <si>
    <t xml:space="preserve">Evidence / timing</t>
  </si>
  <si>
    <t xml:space="preserve">October</t>
  </si>
  <si>
    <t xml:space="preserve">Forecast</t>
  </si>
  <si>
    <t xml:space="preserve">Before 1 November: the note is not yet mandatory in the Highmarsh register; signed paper or electronic evidence is accepted through 31 December.</t>
  </si>
  <si>
    <t xml:space="preserve">November</t>
  </si>
  <si>
    <t xml:space="preserve">From 1 November: the second-person note is mandatory in the Highmarsh register; signed paper or electronic evidence is accepted through 31 December.</t>
  </si>
  <si>
    <t xml:space="preserve">December</t>
  </si>
  <si>
    <t xml:space="preserve">The note remains mandatory; signed paper or electronic evidence is accepted through 31 December.</t>
  </si>
  <si>
    <t xml:space="preserve">Quarter total</t>
  </si>
  <si>
    <t xml:space="preserve">Calculated</t>
  </si>
  <si>
    <t xml:space="preserve">180 + 190 + 190 scheduled batches</t>
  </si>
  <si>
    <t xml:space="preserve">Run-rate inputs and control baseline</t>
  </si>
  <si>
    <t xml:space="preserve">Jul-Sep any-stage failure rate</t>
  </si>
  <si>
    <t xml:space="preserve">Production-record basis: 39 affected batches / 520 produced.</t>
  </si>
  <si>
    <t xml:space="preserve">Jul-Sep final-rejection rate</t>
  </si>
  <si>
    <t xml:space="preserve">Control-register basis: 26 final rejects / 520 produced.</t>
  </si>
  <si>
    <t xml:space="preserve">Accepted-batch control baseline</t>
  </si>
  <si>
    <t xml:space="preserve">14 missing notes / 494 finally accepted = approximately 2.83%.</t>
  </si>
  <si>
    <t xml:space="preserve">Forecast outcome  |  aggregate calculation</t>
  </si>
  <si>
    <t xml:space="preserve">Next-quarter scheduled batches</t>
  </si>
  <si>
    <t xml:space="preserve">Total scheduled volume used by all quarter-level formulas.</t>
  </si>
  <si>
    <t xml:space="preserve">Expected any-stage inspection failures</t>
  </si>
  <si>
    <t xml:space="preserve">Expected final rejects after rework + retest</t>
  </si>
  <si>
    <t xml:space="preserve">Statutory-only outcome: finally accepted before customer note</t>
  </si>
  <si>
    <t xml:space="preserve">The statutory outcome is scheduled volume less forecast final rejects; it is shown as an alternative, not the selected operating definition.</t>
  </si>
  <si>
    <t xml:space="preserve">November-December scheduled batches subject to note</t>
  </si>
  <si>
    <t xml:space="preserve">190 + 190 = 380; the 1 November mandatory date does not apply to October.</t>
  </si>
  <si>
    <t xml:space="preserve">Expected accepted November-December batches</t>
  </si>
  <si>
    <t xml:space="preserve">Projected missing-note cases (unrounded)</t>
  </si>
  <si>
    <t xml:space="preserve">Projected missing-note cases (rounded)</t>
  </si>
  <si>
    <t xml:space="preserve">10 projected accepted batches lack the applicable note after aggregate rounding; this is a control exception, not a product-conformity failure.</t>
  </si>
  <si>
    <t xml:space="preserve">One operative definition, one sensitivity</t>
  </si>
  <si>
    <t xml:space="preserve">Definition</t>
  </si>
  <si>
    <t xml:space="preserve">Quarter result</t>
  </si>
  <si>
    <t xml:space="preserve">Decision status</t>
  </si>
  <si>
    <t xml:space="preserve">Selected | statutory compliance + applicable Highmarsh controls</t>
  </si>
  <si>
    <t xml:space="preserve">OPERATIVE: 522 compliant batches forecast. Missing applicable second-person evidence is held pending evidence or authorised resolution.</t>
  </si>
  <si>
    <t xml:space="preserve">Alternative only | statutory compliance alone</t>
  </si>
  <si>
    <t xml:space="preserve">SENSITIVITY: 532 finally accepted batches before customer-control exceptions; not a second recommendation.</t>
  </si>
  <si>
    <t xml:space="preserve">03  |  LEGAL / CONTROL STATUS AND RELEASE ROUTE</t>
  </si>
  <si>
    <t xml:space="preserve">Scope note: this is an operational summary of Wilhelmina Petrosyan's recorded legal position for counsel and contracting validation, limited to the supplied UK/Ireland facts; it is not comprehensive legal advice.</t>
  </si>
  <si>
    <t xml:space="preserve">Jurisdiction comparison  |  common outcomes versus route</t>
  </si>
  <si>
    <t xml:space="preserve">Topic</t>
  </si>
  <si>
    <t xml:space="preserve">Recorded position</t>
  </si>
  <si>
    <t xml:space="preserve">Common minimum outcomes</t>
  </si>
  <si>
    <t xml:space="preserve">UK and Ireland both require conforming product, batch traceability, recorded final disposition and retained conformity evidence.</t>
  </si>
  <si>
    <t xml:space="preserve">United Kingdom</t>
  </si>
  <si>
    <t xml:space="preserve">Use the UK declaration and marking route. UK minimum outcomes: conforming product, batch traceability, recorded final disposition and retained conformity evidence.</t>
  </si>
  <si>
    <t xml:space="preserve">Ireland</t>
  </si>
  <si>
    <t xml:space="preserve">Use the EU Declaration and CE route. Ireland minimum outcomes: conforming product, batch traceability, recorded final disposition and retained conformity evidence.</t>
  </si>
  <si>
    <t xml:space="preserve">Independent release check</t>
  </si>
  <si>
    <t xml:space="preserve">Guidance in both jurisdictions recommends an independently documented release check. That recommendation is meaningful for control, but neither jurisdiction expressly requires Highmarsh's particular second-person note.</t>
  </si>
  <si>
    <t xml:space="preserve">Highmarsh control register</t>
  </si>
  <si>
    <t xml:space="preserve">Highmarsh makes the second-person release note mandatory from 1 November. This pack adopts applicable Highmarsh controls in its operative definition, while keeping that source distinct from statutory requirements.</t>
  </si>
  <si>
    <t xml:space="preserve">Executed supply terms</t>
  </si>
  <si>
    <t xml:space="preserve">The executed supply terms do not expressly make omission of the note a release blocker. The selected operating position still treats missing applicable evidence as a hold pending authorised resolution.</t>
  </si>
  <si>
    <t xml:space="preserve">Must / should boundary  |  practical release terms</t>
  </si>
  <si>
    <t xml:space="preserve">MUST for lawful release: product conforms; batch identity and traceability are preserved; final disposition is recorded; conformity evidence is retained; and the relevant UK declaration and marking route or Ireland EU Declaration and CE route is supported.</t>
  </si>
  <si>
    <t xml:space="preserve">SHOULD / pack operating rule: use an independently documented second-person release check. From 1 November the Highmarsh register makes the note mandatory; under the selected definition, an otherwise conforming batch without applicable evidence is held even though the note is not described here as an express statutory requirement.</t>
  </si>
  <si>
    <t xml:space="preserve">Transition evidence and reviewer treatment</t>
  </si>
  <si>
    <t xml:space="preserve">Release timing</t>
  </si>
  <si>
    <t xml:space="preserve">Register status</t>
  </si>
  <si>
    <t xml:space="preserve">Accepted evidence</t>
  </si>
  <si>
    <t xml:space="preserve">Selected-pack treatment</t>
  </si>
  <si>
    <t xml:space="preserve">Before 1 Nov</t>
  </si>
  <si>
    <t xml:space="preserve">Signed paper or electronic through 31 Dec</t>
  </si>
  <si>
    <t xml:space="preserve">The note is not yet mandatory under the register; release only when the statutory baseline and retained evidence are complete. Capture the independent check where available.</t>
  </si>
  <si>
    <t xml:space="preserve">November-December</t>
  </si>
  <si>
    <t xml:space="preserve">Mandatory from 1 Nov</t>
  </si>
  <si>
    <t xml:space="preserve">The note is applicable; hold an otherwise conforming batch missing the note until acceptable evidence or authorised resolution.</t>
  </si>
  <si>
    <t xml:space="preserve">From 1 January</t>
  </si>
  <si>
    <t xml:space="preserve">End state</t>
  </si>
  <si>
    <t xml:space="preserve">Electronic only</t>
  </si>
  <si>
    <t xml:space="preserve">Only electronic second-person evidence is accepted; a paper note does not satisfy the selected control.</t>
  </si>
  <si>
    <t xml:space="preserve">Reviewer route and release recommendation</t>
  </si>
  <si>
    <t xml:space="preserve">1. Confirm batch identity/traceability, conforming product, retained conformity evidence and recorded final disposition.  2. Apply the release date: October, 1 November-31 December, or from 1 January.  3. Check the evidence form above.  4. Final reject = blocked; missing applicable second-person evidence = held under this pack; complete evidence = eligible for release. An any-stage failure is not itself final disposition: where appropriate, use controlled rework, successful retest and recorded disposition before release.</t>
  </si>
  <si>
    <t xml:space="preserve">FINAL RELEASE RECOMMENDATION</t>
  </si>
  <si>
    <t xml:space="preserve">Calderfield Logistics  |  Highmarsh valve release pack  |  Controlled copy</t>
  </si>
</sst>
</file>

<file path=xl/styles.xml><?xml version="1.0" encoding="utf-8"?>
<styleSheet xmlns="http://schemas.openxmlformats.org/spreadsheetml/2006/main">
  <numFmts count="8">
    <numFmt numFmtId="164" formatCode="General"/>
    <numFmt numFmtId="165" formatCode="General"/>
    <numFmt numFmtId="166" formatCode="0"/>
    <numFmt numFmtId="167" formatCode="\+0;\-0;0"/>
    <numFmt numFmtId="168" formatCode="0.00%"/>
    <numFmt numFmtId="169" formatCode="\+0.00%;\-0.00%;0.00%"/>
    <numFmt numFmtId="170" formatCode="0.0%"/>
    <numFmt numFmtId="171" formatCode="0.00"/>
  </numFmts>
  <fonts count="3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DDE8EF"/>
      <name val="Arial"/>
      <family val="0"/>
      <charset val="1"/>
    </font>
    <font>
      <b val="true"/>
      <sz val="8.5"/>
      <color rgb="FFFFFFFF"/>
      <name val="Arial"/>
      <family val="0"/>
      <charset val="1"/>
    </font>
    <font>
      <b val="true"/>
      <sz val="9"/>
      <color rgb="FF596873"/>
      <name val="Arial"/>
      <family val="0"/>
      <charset val="1"/>
    </font>
    <font>
      <sz val="9"/>
      <color rgb="FF1F2D36"/>
      <name val="Arial"/>
      <family val="0"/>
      <charset val="1"/>
    </font>
    <font>
      <sz val="8.5"/>
      <color rgb="FF1F2D36"/>
      <name val="Arial"/>
      <family val="0"/>
      <charset val="1"/>
    </font>
    <font>
      <b val="true"/>
      <sz val="9"/>
      <color rgb="FF8A5A00"/>
      <name val="Arial"/>
      <family val="0"/>
      <charset val="1"/>
    </font>
    <font>
      <b val="true"/>
      <sz val="10"/>
      <color rgb="FF8A5A00"/>
      <name val="Arial"/>
      <family val="0"/>
      <charset val="1"/>
    </font>
    <font>
      <b val="true"/>
      <sz val="8.5"/>
      <color rgb="FF8A5A00"/>
      <name val="Arial"/>
      <family val="0"/>
      <charset val="1"/>
    </font>
    <font>
      <b val="true"/>
      <sz val="11"/>
      <color rgb="FFFFFFFF"/>
      <name val="Arial"/>
      <family val="0"/>
      <charset val="1"/>
    </font>
    <font>
      <sz val="8.7"/>
      <color rgb="FF1F2D36"/>
      <name val="Arial"/>
      <family val="0"/>
      <charset val="1"/>
    </font>
    <font>
      <b val="true"/>
      <sz val="9"/>
      <color rgb="FF1F2D36"/>
      <name val="Arial"/>
      <family val="0"/>
      <charset val="1"/>
    </font>
    <font>
      <sz val="9"/>
      <color rgb="FF596873"/>
      <name val="Arial"/>
      <family val="0"/>
      <charset val="1"/>
    </font>
    <font>
      <sz val="8.5"/>
      <color rgb="FF596873"/>
      <name val="Arial"/>
      <family val="0"/>
      <charset val="1"/>
    </font>
    <font>
      <b val="true"/>
      <sz val="9.5"/>
      <color rgb="FF0F6B6D"/>
      <name val="Arial"/>
      <family val="0"/>
      <charset val="1"/>
    </font>
    <font>
      <sz val="8.3"/>
      <color rgb="FF1F2D36"/>
      <name val="Arial"/>
      <family val="0"/>
      <charset val="1"/>
    </font>
    <font>
      <sz val="8.7"/>
      <color rgb="FF8A5A00"/>
      <name val="Arial"/>
      <family val="0"/>
      <charset val="1"/>
    </font>
    <font>
      <sz val="8.6"/>
      <color rgb="FF1F2D36"/>
      <name val="Arial"/>
      <family val="0"/>
      <charset val="1"/>
    </font>
    <font>
      <b val="true"/>
      <sz val="9"/>
      <color rgb="FF0F6B6D"/>
      <name val="Arial"/>
      <family val="0"/>
      <charset val="1"/>
    </font>
    <font>
      <b val="true"/>
      <sz val="8.5"/>
      <color rgb="FF0F6B6D"/>
      <name val="Arial"/>
      <family val="0"/>
      <charset val="1"/>
    </font>
    <font>
      <sz val="8.4"/>
      <color rgb="FF1F2D36"/>
      <name val="Arial"/>
      <family val="0"/>
      <charset val="1"/>
    </font>
    <font>
      <sz val="8.4"/>
      <color rgb="FF8A5A00"/>
      <name val="Arial"/>
      <family val="0"/>
      <charset val="1"/>
    </font>
    <font>
      <b val="true"/>
      <sz val="8.4"/>
      <color rgb="FF8A5A00"/>
      <name val="Arial"/>
      <family val="0"/>
      <charset val="1"/>
    </font>
    <font>
      <sz val="8.4"/>
      <color rgb="FF596873"/>
      <name val="Arial"/>
      <family val="0"/>
      <charset val="1"/>
    </font>
    <font>
      <b val="true"/>
      <sz val="8.7"/>
      <color rgb="FF0F6B6D"/>
      <name val="Arial"/>
      <family val="0"/>
      <charset val="1"/>
    </font>
    <font>
      <b val="true"/>
      <sz val="8.5"/>
      <color rgb="FF1F2D36"/>
      <name val="Arial"/>
      <family val="0"/>
      <charset val="1"/>
    </font>
    <font>
      <b val="true"/>
      <sz val="8.4"/>
      <color rgb="FF1F2D36"/>
      <name val="Arial"/>
      <family val="0"/>
      <charset val="1"/>
    </font>
    <font>
      <sz val="8.2"/>
      <color rgb="FF1F2D36"/>
      <name val="Arial"/>
      <family val="0"/>
      <charset val="1"/>
    </font>
    <font>
      <sz val="8"/>
      <color rgb="FFFFFFFF"/>
      <name val="Arial"/>
      <family val="0"/>
      <charset val="1"/>
    </font>
    <font>
      <sz val="10"/>
      <name val="DejaVu Sans"/>
      <family val="2"/>
    </font>
  </fonts>
  <fills count="11">
    <fill>
      <patternFill patternType="none"/>
    </fill>
    <fill>
      <patternFill patternType="gray125"/>
    </fill>
    <fill>
      <patternFill patternType="solid">
        <fgColor rgb="FF17324D"/>
        <bgColor rgb="FF1F2D36"/>
      </patternFill>
    </fill>
    <fill>
      <patternFill patternType="solid">
        <fgColor rgb="FF0F6B6D"/>
        <bgColor rgb="FF008080"/>
      </patternFill>
    </fill>
    <fill>
      <patternFill patternType="solid">
        <fgColor rgb="FFF5F7F8"/>
        <bgColor rgb="FFEAF2F8"/>
      </patternFill>
    </fill>
    <fill>
      <patternFill patternType="solid">
        <fgColor rgb="FFF4E4B4"/>
        <bgColor rgb="FFF8E7E5"/>
      </patternFill>
    </fill>
    <fill>
      <patternFill patternType="solid">
        <fgColor rgb="FFE6F1F0"/>
        <bgColor rgb="FFE8F3EC"/>
      </patternFill>
    </fill>
    <fill>
      <patternFill patternType="solid">
        <fgColor rgb="FF234A67"/>
        <bgColor rgb="FF17324D"/>
      </patternFill>
    </fill>
    <fill>
      <patternFill patternType="solid">
        <fgColor rgb="FFEAF2F8"/>
        <bgColor rgb="FFE6F1F0"/>
      </patternFill>
    </fill>
    <fill>
      <patternFill patternType="solid">
        <fgColor rgb="FFE8F3EC"/>
        <bgColor rgb="FFE6F1F0"/>
      </patternFill>
    </fill>
    <fill>
      <patternFill patternType="solid">
        <fgColor rgb="FFFFFFFF"/>
        <bgColor rgb="FFF5F7F8"/>
      </patternFill>
    </fill>
  </fills>
  <borders count="4">
    <border diagonalUp="false" diagonalDown="false">
      <left/>
      <right/>
      <top/>
      <bottom/>
      <diagonal/>
    </border>
    <border diagonalUp="false" diagonalDown="false">
      <left style="thin">
        <color rgb="FFE1E7EB"/>
      </left>
      <right style="thin">
        <color rgb="FFE1E7EB"/>
      </right>
      <top style="thin">
        <color rgb="FFE1E7EB"/>
      </top>
      <bottom style="thin">
        <color rgb="FFE1E7EB"/>
      </bottom>
      <diagonal/>
    </border>
    <border diagonalUp="false" diagonalDown="false">
      <left/>
      <right/>
      <top/>
      <bottom style="medium">
        <color rgb="FF17324D"/>
      </bottom>
      <diagonal/>
    </border>
    <border diagonalUp="false" diagonalDown="false">
      <left style="medium">
        <color rgb="FF17324D"/>
      </left>
      <right style="medium">
        <color rgb="FF17324D"/>
      </right>
      <top style="medium">
        <color rgb="FF17324D"/>
      </top>
      <bottom style="medium">
        <color rgb="FF1732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5" fontId="12" fillId="5" borderId="1" xfId="0" applyFont="true" applyBorder="true" applyAlignment="true" applyProtection="false">
      <alignment horizontal="left" vertical="center" textRotation="0" wrapText="true" indent="0" shrinkToFit="false"/>
      <protection locked="true" hidden="false"/>
    </xf>
    <xf numFmtId="164" fontId="13" fillId="2" borderId="2"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6" fontId="15" fillId="8" borderId="1" xfId="0" applyFont="true" applyBorder="true" applyAlignment="true" applyProtection="false">
      <alignment horizontal="right"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7" fontId="15" fillId="9" borderId="1" xfId="0" applyFont="true" applyBorder="true" applyAlignment="true" applyProtection="false">
      <alignment horizontal="right"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8" fontId="15" fillId="9" borderId="1" xfId="0" applyFont="true" applyBorder="true" applyAlignment="true" applyProtection="false">
      <alignment horizontal="right" vertical="center" textRotation="0" wrapText="true" indent="0" shrinkToFit="false"/>
      <protection locked="true" hidden="false"/>
    </xf>
    <xf numFmtId="169" fontId="15" fillId="9" borderId="1" xfId="0" applyFont="true" applyBorder="true" applyAlignment="true" applyProtection="false">
      <alignment horizontal="right" vertical="center" textRotation="0" wrapText="true" indent="0" shrinkToFit="false"/>
      <protection locked="true" hidden="false"/>
    </xf>
    <xf numFmtId="166" fontId="15" fillId="9" borderId="1" xfId="0" applyFont="true" applyBorder="true" applyAlignment="true" applyProtection="false">
      <alignment horizontal="righ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70" fontId="15" fillId="9" borderId="1" xfId="0" applyFont="true" applyBorder="true" applyAlignment="true" applyProtection="false">
      <alignment horizontal="right" vertical="center" textRotation="0" wrapText="true" indent="0" shrinkToFit="false"/>
      <protection locked="true" hidden="false"/>
    </xf>
    <xf numFmtId="165" fontId="19" fillId="9" borderId="1" xfId="0" applyFont="true" applyBorder="true" applyAlignment="true" applyProtection="false">
      <alignment horizontal="left" vertical="center" textRotation="0" wrapText="tru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21" fillId="6"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left" vertical="center" textRotation="0" wrapText="true" indent="0" shrinkToFit="false"/>
      <protection locked="true" hidden="false"/>
    </xf>
    <xf numFmtId="166" fontId="15" fillId="6" borderId="1" xfId="0" applyFont="true" applyBorder="true" applyAlignment="true" applyProtection="false">
      <alignment horizontal="right" vertical="center" textRotation="0" wrapText="tru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5" fontId="24" fillId="9"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71" fontId="15" fillId="9" borderId="1" xfId="0" applyFont="true" applyBorder="true" applyAlignment="true" applyProtection="false">
      <alignment horizontal="right" vertical="center" textRotation="0" wrapText="true" indent="0" shrinkToFit="false"/>
      <protection locked="true" hidden="false"/>
    </xf>
    <xf numFmtId="166" fontId="15" fillId="5" borderId="1" xfId="0" applyFont="true" applyBorder="true" applyAlignment="true" applyProtection="false">
      <alignment horizontal="right" vertical="center" textRotation="0" wrapText="true" indent="0" shrinkToFit="false"/>
      <protection locked="true" hidden="false"/>
    </xf>
    <xf numFmtId="164" fontId="25" fillId="5" borderId="1" xfId="0" applyFont="true" applyBorder="true" applyAlignment="true" applyProtection="false">
      <alignment horizontal="left" vertical="center" textRotation="0" wrapText="true" indent="0" shrinkToFit="false"/>
      <protection locked="true" hidden="false"/>
    </xf>
    <xf numFmtId="164" fontId="26" fillId="5" borderId="1" xfId="0" applyFont="true" applyBorder="true" applyAlignment="true" applyProtection="false">
      <alignment horizontal="left" vertical="center" textRotation="0" wrapText="true" indent="0" shrinkToFit="false"/>
      <protection locked="true" hidden="false"/>
    </xf>
    <xf numFmtId="166" fontId="15" fillId="4" borderId="1" xfId="0" applyFont="true" applyBorder="true" applyAlignment="true" applyProtection="false">
      <alignment horizontal="right" vertical="center" textRotation="0" wrapText="true" indent="0" shrinkToFit="false"/>
      <protection locked="true" hidden="false"/>
    </xf>
    <xf numFmtId="164" fontId="27" fillId="4" borderId="1" xfId="0" applyFont="true" applyBorder="true" applyAlignment="true" applyProtection="false">
      <alignment horizontal="left" vertical="center" textRotation="0" wrapText="true" indent="0" shrinkToFit="false"/>
      <protection locked="true" hidden="false"/>
    </xf>
    <xf numFmtId="165" fontId="28"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29" fillId="4" borderId="1" xfId="0" applyFont="true" applyBorder="true" applyAlignment="true" applyProtection="false">
      <alignment horizontal="left" vertical="center" textRotation="0" wrapText="true" indent="0" shrinkToFit="false"/>
      <protection locked="true" hidden="false"/>
    </xf>
    <xf numFmtId="164" fontId="24" fillId="10" borderId="1" xfId="0" applyFont="true" applyBorder="true" applyAlignment="true" applyProtection="false">
      <alignment horizontal="left" vertical="center" textRotation="0" wrapText="true" indent="0" shrinkToFit="false"/>
      <protection locked="true" hidden="false"/>
    </xf>
    <xf numFmtId="164" fontId="29" fillId="9"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30" fillId="4" borderId="1" xfId="0" applyFont="true" applyBorder="true" applyAlignment="true" applyProtection="false">
      <alignment horizontal="left" vertical="center" textRotation="0" wrapText="true" indent="0" shrinkToFit="false"/>
      <protection locked="true" hidden="false"/>
    </xf>
    <xf numFmtId="164" fontId="31" fillId="8" borderId="1" xfId="0" applyFont="true" applyBorder="true" applyAlignment="true" applyProtection="false">
      <alignment horizontal="left" vertical="center" textRotation="0" wrapText="true" indent="0" shrinkToFit="false"/>
      <protection locked="true" hidden="false"/>
    </xf>
    <xf numFmtId="164" fontId="31" fillId="10" borderId="1" xfId="0" applyFont="true" applyBorder="true" applyAlignment="true" applyProtection="false">
      <alignment horizontal="left" vertical="center" textRotation="0" wrapText="true" indent="0" shrinkToFit="false"/>
      <protection locked="true" hidden="false"/>
    </xf>
    <xf numFmtId="164" fontId="31" fillId="4" borderId="1" xfId="0" applyFont="true" applyBorder="true" applyAlignment="true" applyProtection="false">
      <alignment horizontal="left" vertical="center" textRotation="0" wrapText="true" indent="0" shrinkToFit="false"/>
      <protection locked="true" hidden="false"/>
    </xf>
    <xf numFmtId="165" fontId="10" fillId="5" borderId="3" xfId="0" applyFont="true" applyBorder="true" applyAlignment="true" applyProtection="false">
      <alignment horizontal="left" vertical="center" textRotation="0" wrapText="true" indent="0" shrinkToFit="false"/>
      <protection locked="true" hidden="false"/>
    </xf>
    <xf numFmtId="164" fontId="32" fillId="2"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E7E5"/>
        </patternFill>
      </fill>
    </dxf>
    <dxf>
      <fill>
        <patternFill>
          <bgColor rgb="FFF4E4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F6B6D"/>
      <rgbColor rgb="FFEAF2F8"/>
      <rgbColor rgb="FF808080"/>
      <rgbColor rgb="FF9999FF"/>
      <rgbColor rgb="FF993366"/>
      <rgbColor rgb="FFF5F7F8"/>
      <rgbColor rgb="FFE6F1F0"/>
      <rgbColor rgb="FF660066"/>
      <rgbColor rgb="FFFF8080"/>
      <rgbColor rgb="FF0066CC"/>
      <rgbColor rgb="FFE1E7EB"/>
      <rgbColor rgb="FF000080"/>
      <rgbColor rgb="FFFF00FF"/>
      <rgbColor rgb="FFFFFF00"/>
      <rgbColor rgb="FF00FFFF"/>
      <rgbColor rgb="FF800080"/>
      <rgbColor rgb="FF800000"/>
      <rgbColor rgb="FF008080"/>
      <rgbColor rgb="FF0000FF"/>
      <rgbColor rgb="FF00CCFF"/>
      <rgbColor rgb="FFE8F3EC"/>
      <rgbColor rgb="FFDDE8EF"/>
      <rgbColor rgb="FFF8E7E5"/>
      <rgbColor rgb="FF99CCFF"/>
      <rgbColor rgb="FFFF99CC"/>
      <rgbColor rgb="FFCC99FF"/>
      <rgbColor rgb="FFF4E4B4"/>
      <rgbColor rgb="FF3366FF"/>
      <rgbColor rgb="FF33CCCC"/>
      <rgbColor rgb="FF99CC00"/>
      <rgbColor rgb="FFFFCC00"/>
      <rgbColor rgb="FFFF9900"/>
      <rgbColor rgb="FFFF6600"/>
      <rgbColor rgb="FF596873"/>
      <rgbColor rgb="FF969696"/>
      <rgbColor rgb="FF17324D"/>
      <rgbColor rgb="FF339966"/>
      <rgbColor rgb="FF003300"/>
      <rgbColor rgb="FF333300"/>
      <rgbColor rgb="FF993300"/>
      <rgbColor rgb="FF993366"/>
      <rgbColor rgb="FF234A67"/>
      <rgbColor rgb="FF1F2D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6" min="6" style="0" width="16"/>
    <col collapsed="false" customWidth="true" hidden="false" outlineLevel="0" max="7" min="7" style="0" width="17"/>
    <col collapsed="false" customWidth="true" hidden="false" outlineLevel="0" max="8" min="8" style="0" width="19"/>
  </cols>
  <sheetData>
    <row r="1" customFormat="false" ht="30"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3" customFormat="false" ht="18" hidden="false" customHeight="true" outlineLevel="0" collapsed="false">
      <c r="A3" s="3" t="s">
        <v>2</v>
      </c>
      <c r="B3" s="3"/>
      <c r="C3" s="3"/>
      <c r="D3" s="3"/>
      <c r="E3" s="3"/>
      <c r="F3" s="3"/>
      <c r="G3" s="3"/>
      <c r="H3" s="3"/>
    </row>
    <row r="4" customFormat="false" ht="18" hidden="false" customHeight="true" outlineLevel="0" collapsed="false"/>
    <row r="5" customFormat="false" ht="18" hidden="false" customHeight="true" outlineLevel="0" collapsed="false">
      <c r="A5" s="4" t="s">
        <v>3</v>
      </c>
      <c r="B5" s="5" t="s">
        <v>4</v>
      </c>
      <c r="C5" s="5"/>
      <c r="D5" s="4" t="s">
        <v>5</v>
      </c>
      <c r="E5" s="5" t="s">
        <v>6</v>
      </c>
      <c r="F5" s="5"/>
      <c r="G5" s="5"/>
      <c r="H5" s="5"/>
    </row>
    <row r="6" customFormat="false" ht="18" hidden="false" customHeight="true" outlineLevel="0" collapsed="false">
      <c r="A6" s="4" t="s">
        <v>7</v>
      </c>
      <c r="B6" s="5" t="s">
        <v>8</v>
      </c>
      <c r="C6" s="5"/>
      <c r="D6" s="4" t="s">
        <v>9</v>
      </c>
      <c r="E6" s="5" t="s">
        <v>10</v>
      </c>
      <c r="F6" s="5"/>
      <c r="G6" s="5"/>
      <c r="H6" s="5"/>
    </row>
    <row r="7" customFormat="false" ht="37.5" hidden="false" customHeight="true" outlineLevel="0" collapsed="false">
      <c r="A7" s="4" t="s">
        <v>11</v>
      </c>
      <c r="B7" s="6" t="s">
        <v>12</v>
      </c>
      <c r="C7" s="6"/>
      <c r="D7" s="6"/>
      <c r="E7" s="6"/>
      <c r="F7" s="6"/>
      <c r="G7" s="6"/>
      <c r="H7" s="6"/>
    </row>
    <row r="8" customFormat="false" ht="31.5" hidden="false" customHeight="true" outlineLevel="0" collapsed="false">
      <c r="A8" s="4" t="s">
        <v>13</v>
      </c>
      <c r="B8" s="6" t="s">
        <v>14</v>
      </c>
      <c r="C8" s="6"/>
      <c r="D8" s="6"/>
      <c r="E8" s="6"/>
      <c r="F8" s="6"/>
      <c r="G8" s="6"/>
      <c r="H8" s="6"/>
    </row>
    <row r="9" customFormat="false" ht="24" hidden="false" customHeight="true" outlineLevel="0" collapsed="false">
      <c r="A9" s="7" t="s">
        <v>15</v>
      </c>
      <c r="B9" s="7" t="s">
        <v>16</v>
      </c>
      <c r="C9" s="7"/>
      <c r="D9" s="7"/>
      <c r="E9" s="7" t="s">
        <v>17</v>
      </c>
      <c r="F9" s="8" t="str">
        <f aca="false">TEXT(B59,"0")&amp;" compliant batches (selected definition)"</f>
        <v>522 compliant batches (selected definition)</v>
      </c>
      <c r="G9" s="8"/>
      <c r="H9" s="8"/>
    </row>
    <row r="10" customFormat="false" ht="33.75" hidden="false" customHeight="true" outlineLevel="0" collapsed="false">
      <c r="A10" s="7" t="s">
        <v>18</v>
      </c>
      <c r="B10" s="9" t="str">
        <f aca="false">TEXT(B59,"0")&amp;" is the operative forecast. Release only conforming batches with traceability, retained conformity evidence, recorded final disposition and date-appropriate second-person evidence; hold final rejects and the "&amp;TEXT(B55,"0")&amp;" projected control exceptions until resolved."</f>
        <v>522 is the operative forecast. Release only conforming batches with traceability, retained conformity evidence, recorded final disposition and date-appropriate second-person evidence; hold final rejects and the 10 projected control exceptions until resolved.</v>
      </c>
      <c r="C10" s="9"/>
      <c r="D10" s="9"/>
      <c r="E10" s="9"/>
      <c r="F10" s="9"/>
      <c r="G10" s="9"/>
      <c r="H10" s="9"/>
    </row>
    <row r="11" customFormat="false" ht="18" hidden="false" customHeight="true" outlineLevel="0" collapsed="false"/>
    <row r="12" customFormat="false" ht="21.75" hidden="false" customHeight="true" outlineLevel="0" collapsed="false">
      <c r="A12" s="10" t="s">
        <v>19</v>
      </c>
      <c r="B12" s="10"/>
      <c r="C12" s="10"/>
      <c r="D12" s="10"/>
      <c r="E12" s="10"/>
      <c r="F12" s="10"/>
      <c r="G12" s="10"/>
      <c r="H12" s="10"/>
    </row>
    <row r="13" customFormat="false" ht="36" hidden="false" customHeight="true" outlineLevel="0" collapsed="false">
      <c r="A13" s="11" t="s">
        <v>20</v>
      </c>
      <c r="B13" s="11"/>
      <c r="C13" s="11"/>
      <c r="D13" s="11"/>
      <c r="E13" s="11"/>
      <c r="F13" s="11"/>
      <c r="G13" s="11"/>
      <c r="H13" s="11"/>
    </row>
    <row r="14" customFormat="false" ht="27.75" hidden="false" customHeight="true" outlineLevel="0" collapsed="false">
      <c r="A14" s="12" t="s">
        <v>21</v>
      </c>
      <c r="B14" s="12" t="s">
        <v>22</v>
      </c>
      <c r="C14" s="12" t="s">
        <v>23</v>
      </c>
      <c r="D14" s="12" t="s">
        <v>24</v>
      </c>
      <c r="E14" s="12" t="s">
        <v>23</v>
      </c>
      <c r="F14" s="12" t="s">
        <v>25</v>
      </c>
      <c r="G14" s="12" t="s">
        <v>26</v>
      </c>
      <c r="H14" s="12" t="s">
        <v>27</v>
      </c>
    </row>
    <row r="15" customFormat="false" ht="18" hidden="false" customHeight="true" outlineLevel="0" collapsed="false">
      <c r="A15" s="13" t="s">
        <v>28</v>
      </c>
      <c r="B15" s="14" t="n">
        <v>480</v>
      </c>
      <c r="C15" s="15" t="s">
        <v>29</v>
      </c>
      <c r="D15" s="14" t="n">
        <v>520</v>
      </c>
      <c r="E15" s="15" t="s">
        <v>29</v>
      </c>
      <c r="F15" s="16" t="n">
        <f aca="false">D15-B15</f>
        <v>40</v>
      </c>
      <c r="G15" s="15" t="s">
        <v>29</v>
      </c>
      <c r="H15" s="17" t="s">
        <v>30</v>
      </c>
    </row>
    <row r="16" customFormat="false" ht="18" hidden="false" customHeight="true" outlineLevel="0" collapsed="false">
      <c r="A16" s="18" t="s">
        <v>31</v>
      </c>
      <c r="B16" s="14" t="n">
        <v>24</v>
      </c>
      <c r="C16" s="19" t="n">
        <f aca="false">B16/B15</f>
        <v>0.05</v>
      </c>
      <c r="D16" s="14" t="n">
        <v>39</v>
      </c>
      <c r="E16" s="19" t="n">
        <f aca="false">D16/D15</f>
        <v>0.075</v>
      </c>
      <c r="F16" s="16" t="n">
        <f aca="false">D16-B16</f>
        <v>15</v>
      </c>
      <c r="G16" s="20" t="n">
        <f aca="false">E16-C16</f>
        <v>0.025</v>
      </c>
      <c r="H16" s="17" t="s">
        <v>32</v>
      </c>
    </row>
    <row r="17" customFormat="false" ht="18" hidden="false" customHeight="true" outlineLevel="0" collapsed="false">
      <c r="A17" s="18" t="s">
        <v>33</v>
      </c>
      <c r="B17" s="14" t="n">
        <v>18</v>
      </c>
      <c r="C17" s="19" t="n">
        <f aca="false">B17/B15</f>
        <v>0.0375</v>
      </c>
      <c r="D17" s="14" t="n">
        <v>26</v>
      </c>
      <c r="E17" s="19" t="n">
        <f aca="false">D17/D15</f>
        <v>0.05</v>
      </c>
      <c r="F17" s="16" t="n">
        <f aca="false">D17-B17</f>
        <v>8</v>
      </c>
      <c r="G17" s="20" t="n">
        <f aca="false">E17-C17</f>
        <v>0.0125</v>
      </c>
      <c r="H17" s="17" t="s">
        <v>34</v>
      </c>
    </row>
    <row r="18" customFormat="false" ht="18" hidden="false" customHeight="true" outlineLevel="0" collapsed="false">
      <c r="A18" s="13" t="s">
        <v>35</v>
      </c>
      <c r="B18" s="21" t="n">
        <f aca="false">B15-B17</f>
        <v>462</v>
      </c>
      <c r="C18" s="19" t="n">
        <f aca="false">B18/B15</f>
        <v>0.9625</v>
      </c>
      <c r="D18" s="21" t="n">
        <f aca="false">D15-D17</f>
        <v>494</v>
      </c>
      <c r="E18" s="19" t="n">
        <f aca="false">D18/D15</f>
        <v>0.95</v>
      </c>
      <c r="F18" s="16" t="n">
        <f aca="false">D18-B18</f>
        <v>32</v>
      </c>
      <c r="G18" s="20" t="n">
        <f aca="false">E18-C18</f>
        <v>-0.0125000000000001</v>
      </c>
      <c r="H18" s="17" t="s">
        <v>36</v>
      </c>
    </row>
    <row r="19" customFormat="false" ht="18" hidden="false" customHeight="true" outlineLevel="0" collapsed="false">
      <c r="A19" s="13" t="s">
        <v>37</v>
      </c>
      <c r="B19" s="15" t="s">
        <v>38</v>
      </c>
      <c r="C19" s="15" t="s">
        <v>38</v>
      </c>
      <c r="D19" s="14" t="n">
        <v>14</v>
      </c>
      <c r="E19" s="19" t="n">
        <f aca="false">D19/D18</f>
        <v>0.0283400809716599</v>
      </c>
      <c r="F19" s="15" t="s">
        <v>38</v>
      </c>
      <c r="G19" s="15" t="s">
        <v>38</v>
      </c>
      <c r="H19" s="17" t="s">
        <v>39</v>
      </c>
    </row>
    <row r="20" customFormat="false" ht="18" hidden="false" customHeight="true" outlineLevel="0" collapsed="false"/>
    <row r="21" customFormat="false" ht="18.75" hidden="false" customHeight="true" outlineLevel="0" collapsed="false">
      <c r="A21" s="22" t="s">
        <v>40</v>
      </c>
      <c r="B21" s="22"/>
      <c r="C21" s="22"/>
      <c r="D21" s="22"/>
      <c r="E21" s="22"/>
      <c r="F21" s="22"/>
      <c r="G21" s="22"/>
      <c r="H21" s="22"/>
    </row>
    <row r="22" customFormat="false" ht="27.75" hidden="false" customHeight="true" outlineLevel="0" collapsed="false">
      <c r="A22" s="12" t="s">
        <v>21</v>
      </c>
      <c r="B22" s="12" t="s">
        <v>41</v>
      </c>
      <c r="C22" s="12" t="s">
        <v>26</v>
      </c>
      <c r="D22" s="12" t="s">
        <v>42</v>
      </c>
      <c r="E22" s="12" t="s">
        <v>43</v>
      </c>
      <c r="F22" s="12"/>
      <c r="G22" s="12"/>
      <c r="H22" s="12"/>
    </row>
    <row r="23" customFormat="false" ht="33.75" hidden="false" customHeight="true" outlineLevel="0" collapsed="false">
      <c r="A23" s="18" t="s">
        <v>44</v>
      </c>
      <c r="B23" s="16" t="n">
        <f aca="false">D16-B16</f>
        <v>15</v>
      </c>
      <c r="C23" s="20" t="n">
        <f aca="false">E16-C16</f>
        <v>0.025</v>
      </c>
      <c r="D23" s="23" t="n">
        <f aca="false">E16/C16-1</f>
        <v>0.5</v>
      </c>
      <c r="E23" s="24" t="str">
        <f aca="false">TEXT(D16,"0")&amp;" vs "&amp;TEXT(B16,"0")&amp;" affected batches; rate moved from "&amp;TEXT(C16,"0.00%")&amp;" to "&amp;TEXT(E16,"0.00%")&amp;". The figures show deterioration, not a proven root cause."</f>
        <v>39 vs 24 affected batches; rate moved from 5.00% to 7.50%. The figures show deterioration, not a proven root cause.</v>
      </c>
      <c r="F23" s="24"/>
      <c r="G23" s="24"/>
      <c r="H23" s="24"/>
    </row>
    <row r="24" customFormat="false" ht="33.75" hidden="false" customHeight="true" outlineLevel="0" collapsed="false">
      <c r="A24" s="18" t="s">
        <v>45</v>
      </c>
      <c r="B24" s="16" t="n">
        <f aca="false">D17-B17</f>
        <v>8</v>
      </c>
      <c r="C24" s="20" t="n">
        <f aca="false">E17-C17</f>
        <v>0.0125</v>
      </c>
      <c r="D24" s="23" t="n">
        <f aca="false">E17/C17-1</f>
        <v>0.333333333333334</v>
      </c>
      <c r="E24" s="24" t="str">
        <f aca="false">TEXT(D17,"0")&amp;" vs "&amp;TEXT(B17,"0")&amp;" final rejects; rate moved from "&amp;TEXT(C17,"0.00%")&amp;" to "&amp;TEXT(E17,"0.00%")&amp;". Cause requires separate investigation."</f>
        <v>26 vs 18 final rejects; rate moved from 3.75% to 5.00%. Cause requires separate investigation.</v>
      </c>
      <c r="F24" s="24"/>
      <c r="G24" s="24"/>
      <c r="H24" s="24"/>
    </row>
    <row r="25" customFormat="false" ht="37.5" hidden="false" customHeight="true" outlineLevel="0" collapsed="false">
      <c r="A25" s="25" t="s">
        <v>46</v>
      </c>
      <c r="B25" s="25"/>
      <c r="C25" s="25"/>
      <c r="D25" s="25"/>
      <c r="E25" s="25"/>
      <c r="F25" s="25"/>
      <c r="G25" s="25"/>
      <c r="H25" s="25"/>
    </row>
    <row r="26" customFormat="false" ht="18" hidden="false" customHeight="true" outlineLevel="0" collapsed="false"/>
    <row r="27" customFormat="false" ht="18.75" hidden="false" customHeight="true" outlineLevel="0" collapsed="false">
      <c r="A27" s="22" t="s">
        <v>47</v>
      </c>
      <c r="B27" s="22"/>
      <c r="C27" s="22"/>
      <c r="D27" s="22"/>
      <c r="E27" s="22"/>
      <c r="F27" s="22"/>
      <c r="G27" s="22"/>
      <c r="H27" s="22"/>
    </row>
    <row r="28" customFormat="false" ht="24" hidden="false" customHeight="true" outlineLevel="0" collapsed="false">
      <c r="A28" s="13" t="s">
        <v>48</v>
      </c>
      <c r="B28" s="26" t="s">
        <v>49</v>
      </c>
      <c r="C28" s="26"/>
      <c r="D28" s="26"/>
      <c r="E28" s="26"/>
      <c r="F28" s="26"/>
      <c r="G28" s="26"/>
      <c r="H28" s="26"/>
    </row>
    <row r="29" customFormat="false" ht="24" hidden="false" customHeight="true" outlineLevel="0" collapsed="false">
      <c r="A29" s="13" t="s">
        <v>50</v>
      </c>
      <c r="B29" s="26" t="s">
        <v>51</v>
      </c>
      <c r="C29" s="26"/>
      <c r="D29" s="26"/>
      <c r="E29" s="26"/>
      <c r="F29" s="26"/>
      <c r="G29" s="26"/>
      <c r="H29" s="26"/>
    </row>
    <row r="30" customFormat="false" ht="27.75" hidden="false" customHeight="true" outlineLevel="0" collapsed="false">
      <c r="A30" s="13" t="s">
        <v>52</v>
      </c>
      <c r="B30" s="26" t="s">
        <v>53</v>
      </c>
      <c r="C30" s="26"/>
      <c r="D30" s="26"/>
      <c r="E30" s="26"/>
      <c r="F30" s="26"/>
      <c r="G30" s="26"/>
      <c r="H30" s="26"/>
    </row>
    <row r="31" customFormat="false" ht="18" hidden="false" customHeight="true" outlineLevel="0" collapsed="false"/>
    <row r="32" customFormat="false" ht="21.75" hidden="false" customHeight="true" outlineLevel="0" collapsed="false">
      <c r="A32" s="10" t="s">
        <v>54</v>
      </c>
      <c r="B32" s="10"/>
      <c r="C32" s="10"/>
      <c r="D32" s="10"/>
      <c r="E32" s="10"/>
      <c r="F32" s="10"/>
      <c r="G32" s="10"/>
      <c r="H32" s="10"/>
    </row>
    <row r="33" customFormat="false" ht="37.5" hidden="false" customHeight="true" outlineLevel="0" collapsed="false">
      <c r="A33" s="27" t="s">
        <v>55</v>
      </c>
      <c r="B33" s="27"/>
      <c r="C33" s="27"/>
      <c r="D33" s="27"/>
      <c r="E33" s="27"/>
      <c r="F33" s="27"/>
      <c r="G33" s="27"/>
      <c r="H33" s="27"/>
    </row>
    <row r="34" customFormat="false" ht="18" hidden="false" customHeight="true" outlineLevel="0" collapsed="false"/>
    <row r="35" customFormat="false" ht="18.75" hidden="false" customHeight="true" outlineLevel="0" collapsed="false">
      <c r="A35" s="22" t="s">
        <v>56</v>
      </c>
      <c r="B35" s="22"/>
      <c r="C35" s="22"/>
      <c r="D35" s="22"/>
      <c r="E35" s="22"/>
      <c r="F35" s="22"/>
      <c r="G35" s="22"/>
      <c r="H35" s="22"/>
    </row>
    <row r="36" customFormat="false" ht="27.75" hidden="false" customHeight="true" outlineLevel="0" collapsed="false">
      <c r="A36" s="12" t="s">
        <v>57</v>
      </c>
      <c r="B36" s="12" t="s">
        <v>58</v>
      </c>
      <c r="C36" s="12" t="s">
        <v>59</v>
      </c>
      <c r="D36" s="12" t="s">
        <v>60</v>
      </c>
      <c r="E36" s="12"/>
      <c r="F36" s="12"/>
      <c r="G36" s="12"/>
      <c r="H36" s="12"/>
    </row>
    <row r="37" customFormat="false" ht="30.75" hidden="false" customHeight="true" outlineLevel="0" collapsed="false">
      <c r="A37" s="13" t="s">
        <v>61</v>
      </c>
      <c r="B37" s="28" t="s">
        <v>62</v>
      </c>
      <c r="C37" s="14" t="n">
        <v>180</v>
      </c>
      <c r="D37" s="29" t="s">
        <v>63</v>
      </c>
      <c r="E37" s="29"/>
      <c r="F37" s="29"/>
      <c r="G37" s="29"/>
      <c r="H37" s="29"/>
    </row>
    <row r="38" customFormat="false" ht="30.75" hidden="false" customHeight="true" outlineLevel="0" collapsed="false">
      <c r="A38" s="13" t="s">
        <v>64</v>
      </c>
      <c r="B38" s="28" t="s">
        <v>62</v>
      </c>
      <c r="C38" s="14" t="n">
        <v>190</v>
      </c>
      <c r="D38" s="29" t="s">
        <v>65</v>
      </c>
      <c r="E38" s="29"/>
      <c r="F38" s="29"/>
      <c r="G38" s="29"/>
      <c r="H38" s="29"/>
    </row>
    <row r="39" customFormat="false" ht="27.75" hidden="false" customHeight="true" outlineLevel="0" collapsed="false">
      <c r="A39" s="13" t="s">
        <v>66</v>
      </c>
      <c r="B39" s="28" t="s">
        <v>62</v>
      </c>
      <c r="C39" s="14" t="n">
        <v>190</v>
      </c>
      <c r="D39" s="29" t="s">
        <v>67</v>
      </c>
      <c r="E39" s="29"/>
      <c r="F39" s="29"/>
      <c r="G39" s="29"/>
      <c r="H39" s="29"/>
    </row>
    <row r="40" customFormat="false" ht="18" hidden="false" customHeight="true" outlineLevel="0" collapsed="false">
      <c r="A40" s="30" t="s">
        <v>68</v>
      </c>
      <c r="B40" s="30" t="s">
        <v>69</v>
      </c>
      <c r="C40" s="31" t="n">
        <f aca="false">SUM(C37:C39)</f>
        <v>560</v>
      </c>
      <c r="D40" s="32" t="s">
        <v>70</v>
      </c>
      <c r="E40" s="32"/>
      <c r="F40" s="32"/>
      <c r="G40" s="32"/>
      <c r="H40" s="32"/>
    </row>
    <row r="41" customFormat="false" ht="18" hidden="false" customHeight="true" outlineLevel="0" collapsed="false"/>
    <row r="42" customFormat="false" ht="18.75" hidden="false" customHeight="true" outlineLevel="0" collapsed="false">
      <c r="A42" s="22" t="s">
        <v>71</v>
      </c>
      <c r="B42" s="22"/>
      <c r="C42" s="22"/>
      <c r="D42" s="22"/>
      <c r="E42" s="22"/>
      <c r="F42" s="22"/>
      <c r="G42" s="22"/>
      <c r="H42" s="22"/>
    </row>
    <row r="43" customFormat="false" ht="18" hidden="false" customHeight="true" outlineLevel="0" collapsed="false">
      <c r="A43" s="13" t="s">
        <v>72</v>
      </c>
      <c r="B43" s="19" t="n">
        <f aca="false">E16</f>
        <v>0.075</v>
      </c>
      <c r="C43" s="6" t="s">
        <v>73</v>
      </c>
      <c r="D43" s="6"/>
      <c r="E43" s="6"/>
      <c r="F43" s="6"/>
      <c r="G43" s="6"/>
      <c r="H43" s="6"/>
    </row>
    <row r="44" customFormat="false" ht="18" hidden="false" customHeight="true" outlineLevel="0" collapsed="false">
      <c r="A44" s="13" t="s">
        <v>74</v>
      </c>
      <c r="B44" s="19" t="n">
        <f aca="false">E17</f>
        <v>0.05</v>
      </c>
      <c r="C44" s="6" t="s">
        <v>75</v>
      </c>
      <c r="D44" s="6"/>
      <c r="E44" s="6"/>
      <c r="F44" s="6"/>
      <c r="G44" s="6"/>
      <c r="H44" s="6"/>
    </row>
    <row r="45" customFormat="false" ht="22.5" hidden="false" customHeight="true" outlineLevel="0" collapsed="false">
      <c r="A45" s="13" t="s">
        <v>76</v>
      </c>
      <c r="B45" s="21" t="n">
        <f aca="false">D18</f>
        <v>494</v>
      </c>
      <c r="C45" s="21" t="n">
        <f aca="false">D19</f>
        <v>14</v>
      </c>
      <c r="D45" s="19" t="n">
        <f aca="false">E19</f>
        <v>0.0283400809716599</v>
      </c>
      <c r="E45" s="6" t="s">
        <v>77</v>
      </c>
      <c r="F45" s="6"/>
      <c r="G45" s="6"/>
      <c r="H45" s="6"/>
    </row>
    <row r="46" customFormat="false" ht="18" hidden="false" customHeight="true" outlineLevel="0" collapsed="false"/>
    <row r="47" customFormat="false" ht="18.75" hidden="false" customHeight="true" outlineLevel="0" collapsed="false">
      <c r="A47" s="22" t="s">
        <v>78</v>
      </c>
      <c r="B47" s="22"/>
      <c r="C47" s="22"/>
      <c r="D47" s="22"/>
      <c r="E47" s="22"/>
      <c r="F47" s="22"/>
      <c r="G47" s="22"/>
      <c r="H47" s="22"/>
    </row>
    <row r="48" customFormat="false" ht="18" hidden="false" customHeight="true" outlineLevel="0" collapsed="false">
      <c r="A48" s="13" t="s">
        <v>79</v>
      </c>
      <c r="B48" s="21" t="n">
        <f aca="false">C40</f>
        <v>560</v>
      </c>
      <c r="C48" s="6" t="s">
        <v>80</v>
      </c>
      <c r="D48" s="6"/>
      <c r="E48" s="6"/>
      <c r="F48" s="6"/>
      <c r="G48" s="6"/>
      <c r="H48" s="6"/>
    </row>
    <row r="49" customFormat="false" ht="18" hidden="false" customHeight="true" outlineLevel="0" collapsed="false">
      <c r="A49" s="18" t="s">
        <v>81</v>
      </c>
      <c r="B49" s="21" t="n">
        <f aca="false">ROUND(B48*B43,0)</f>
        <v>42</v>
      </c>
      <c r="C49" s="33" t="str">
        <f aca="false">TEXT(B48,"0")&amp;" x "&amp;TEXT(B43,"0.00%")&amp;" = "&amp;TEXT(B48*B43,"0.00")&amp;"; rounded after aggregation."</f>
        <v>560 x 7.50% = 42.00; rounded after aggregation.</v>
      </c>
      <c r="D49" s="33"/>
      <c r="E49" s="33"/>
      <c r="F49" s="33"/>
      <c r="G49" s="33"/>
      <c r="H49" s="33"/>
    </row>
    <row r="50" customFormat="false" ht="18" hidden="false" customHeight="true" outlineLevel="0" collapsed="false">
      <c r="A50" s="18" t="s">
        <v>82</v>
      </c>
      <c r="B50" s="21" t="n">
        <f aca="false">ROUND(B48*B44,0)</f>
        <v>28</v>
      </c>
      <c r="C50" s="33" t="str">
        <f aca="false">TEXT(B48,"0")&amp;" x "&amp;TEXT(B44,"0.00%")&amp;" = "&amp;TEXT(B48*B44,"0.00")&amp;"; rounded after aggregation."</f>
        <v>560 x 5.00% = 28.00; rounded after aggregation.</v>
      </c>
      <c r="D50" s="33"/>
      <c r="E50" s="33"/>
      <c r="F50" s="33"/>
      <c r="G50" s="33"/>
      <c r="H50" s="33"/>
    </row>
    <row r="51" customFormat="false" ht="18" hidden="false" customHeight="true" outlineLevel="0" collapsed="false">
      <c r="A51" s="34" t="s">
        <v>83</v>
      </c>
      <c r="B51" s="21" t="n">
        <f aca="false">B48-B50</f>
        <v>532</v>
      </c>
      <c r="C51" s="33" t="s">
        <v>84</v>
      </c>
      <c r="D51" s="33"/>
      <c r="E51" s="33"/>
      <c r="F51" s="33"/>
      <c r="G51" s="33"/>
      <c r="H51" s="33"/>
    </row>
    <row r="52" customFormat="false" ht="18" hidden="false" customHeight="true" outlineLevel="0" collapsed="false">
      <c r="A52" s="13" t="s">
        <v>85</v>
      </c>
      <c r="B52" s="21" t="n">
        <f aca="false">C38+C39</f>
        <v>380</v>
      </c>
      <c r="C52" s="35" t="s">
        <v>86</v>
      </c>
      <c r="D52" s="35"/>
      <c r="E52" s="35"/>
      <c r="F52" s="35"/>
      <c r="G52" s="35"/>
      <c r="H52" s="35"/>
    </row>
    <row r="53" customFormat="false" ht="18" hidden="false" customHeight="true" outlineLevel="0" collapsed="false">
      <c r="A53" s="13" t="s">
        <v>87</v>
      </c>
      <c r="B53" s="21" t="n">
        <f aca="false">ROUND(B52*(1-B44),0)</f>
        <v>361</v>
      </c>
      <c r="C53" s="33" t="str">
        <f aca="false">TEXT(B52,"0")&amp;" x (1 - "&amp;TEXT(B44,"0.00%")&amp;") = "&amp;TEXT(B53,"0")&amp;" accepted batches at the current final-rejection rate."</f>
        <v>380 x (1 - 5.00%) = 361 accepted batches at the current final-rejection rate.</v>
      </c>
      <c r="D53" s="33"/>
      <c r="E53" s="33"/>
      <c r="F53" s="33"/>
      <c r="G53" s="33"/>
      <c r="H53" s="33"/>
    </row>
    <row r="54" customFormat="false" ht="18" hidden="false" customHeight="true" outlineLevel="0" collapsed="false">
      <c r="A54" s="13" t="s">
        <v>88</v>
      </c>
      <c r="B54" s="36" t="n">
        <f aca="false">B53*D45</f>
        <v>10.2307692307692</v>
      </c>
      <c r="C54" s="35" t="str">
        <f aca="false">TEXT(B53,"0")&amp;" x ("&amp;TEXT(C45,"0")&amp;" / "&amp;TEXT(B45,"0")&amp;") = "&amp;TEXT(B54,"0.00")&amp;" before nearest-whole rounding."</f>
        <v>361 x (14 / 494) = 10.23 before nearest-whole rounding.</v>
      </c>
      <c r="D54" s="35"/>
      <c r="E54" s="35"/>
      <c r="F54" s="35"/>
      <c r="G54" s="35"/>
      <c r="H54" s="35"/>
    </row>
    <row r="55" customFormat="false" ht="27.75" hidden="false" customHeight="true" outlineLevel="0" collapsed="false">
      <c r="A55" s="7" t="s">
        <v>89</v>
      </c>
      <c r="B55" s="37" t="n">
        <f aca="false">ROUND(B54,0)</f>
        <v>10</v>
      </c>
      <c r="C55" s="38" t="s">
        <v>90</v>
      </c>
      <c r="D55" s="38"/>
      <c r="E55" s="38"/>
      <c r="F55" s="38"/>
      <c r="G55" s="38"/>
      <c r="H55" s="38"/>
    </row>
    <row r="56" customFormat="false" ht="18" hidden="false" customHeight="true" outlineLevel="0" collapsed="false"/>
    <row r="57" customFormat="false" ht="18.75" hidden="false" customHeight="true" outlineLevel="0" collapsed="false">
      <c r="A57" s="22" t="s">
        <v>91</v>
      </c>
      <c r="B57" s="22"/>
      <c r="C57" s="22"/>
      <c r="D57" s="22"/>
      <c r="E57" s="22"/>
      <c r="F57" s="22"/>
      <c r="G57" s="22"/>
      <c r="H57" s="22"/>
    </row>
    <row r="58" customFormat="false" ht="27.75" hidden="false" customHeight="true" outlineLevel="0" collapsed="false">
      <c r="A58" s="12" t="s">
        <v>92</v>
      </c>
      <c r="B58" s="12" t="s">
        <v>93</v>
      </c>
      <c r="C58" s="12" t="s">
        <v>94</v>
      </c>
      <c r="D58" s="12"/>
      <c r="E58" s="12"/>
      <c r="F58" s="12"/>
      <c r="G58" s="12"/>
      <c r="H58" s="12"/>
    </row>
    <row r="59" customFormat="false" ht="18" hidden="false" customHeight="true" outlineLevel="0" collapsed="false">
      <c r="A59" s="7" t="s">
        <v>95</v>
      </c>
      <c r="B59" s="37" t="n">
        <f aca="false">B51-B55</f>
        <v>522</v>
      </c>
      <c r="C59" s="39" t="s">
        <v>96</v>
      </c>
      <c r="D59" s="39"/>
      <c r="E59" s="39"/>
      <c r="F59" s="39"/>
      <c r="G59" s="39"/>
      <c r="H59" s="39"/>
    </row>
    <row r="60" customFormat="false" ht="18" hidden="false" customHeight="true" outlineLevel="0" collapsed="false">
      <c r="A60" s="13" t="s">
        <v>97</v>
      </c>
      <c r="B60" s="40" t="n">
        <f aca="false">B51</f>
        <v>532</v>
      </c>
      <c r="C60" s="41" t="s">
        <v>98</v>
      </c>
      <c r="D60" s="41"/>
      <c r="E60" s="41"/>
      <c r="F60" s="41"/>
      <c r="G60" s="41"/>
      <c r="H60" s="41"/>
    </row>
    <row r="61" customFormat="false" ht="49.5" hidden="false" customHeight="true" outlineLevel="0" collapsed="false">
      <c r="A61" s="42" t="str">
        <f aca="false">"Selection rationale: statutory requirements define the product baseline; guidance recommends an independently documented release check; the Highmarsh register makes the note mandatory from 1 November; and the executed supply terms do not expressly make omission a release blocker. The pack nevertheless adopts applicable Highmarsh controls as its operating definition. Result: "&amp;TEXT(B59,"0")&amp;" selected compliant batches versus "&amp;TEXT(B60,"0")&amp;" statutory-only, a "&amp;TEXT(B60-B59,"0")&amp;"-batch sensitivity only."</f>
        <v>Selection rationale: statutory requirements define the product baseline; guidance recommends an independently documented release check; the Highmarsh register makes the note mandatory from 1 November; and the executed supply terms do not expressly make omission a release blocker. The pack nevertheless adopts applicable Highmarsh controls as its operating definition. Result: 522 selected compliant batches versus 532 statutory-only, a 10-batch sensitivity only.</v>
      </c>
      <c r="B61" s="42"/>
      <c r="C61" s="42"/>
      <c r="D61" s="42"/>
      <c r="E61" s="42"/>
      <c r="F61" s="42"/>
      <c r="G61" s="42"/>
      <c r="H61" s="42"/>
    </row>
    <row r="62" customFormat="false" ht="18" hidden="false" customHeight="true" outlineLevel="0" collapsed="false"/>
    <row r="63" customFormat="false" ht="21.75" hidden="false" customHeight="true" outlineLevel="0" collapsed="false">
      <c r="A63" s="10" t="s">
        <v>99</v>
      </c>
      <c r="B63" s="10"/>
      <c r="C63" s="10"/>
      <c r="D63" s="10"/>
      <c r="E63" s="10"/>
      <c r="F63" s="10"/>
      <c r="G63" s="10"/>
      <c r="H63" s="10"/>
    </row>
    <row r="64" customFormat="false" ht="30" hidden="false" customHeight="true" outlineLevel="0" collapsed="false">
      <c r="A64" s="43" t="s">
        <v>100</v>
      </c>
      <c r="B64" s="43"/>
      <c r="C64" s="43"/>
      <c r="D64" s="43"/>
      <c r="E64" s="43"/>
      <c r="F64" s="43"/>
      <c r="G64" s="43"/>
      <c r="H64" s="43"/>
    </row>
    <row r="65" customFormat="false" ht="18.75" hidden="false" customHeight="true" outlineLevel="0" collapsed="false">
      <c r="A65" s="22" t="s">
        <v>101</v>
      </c>
      <c r="B65" s="22"/>
      <c r="C65" s="22"/>
      <c r="D65" s="22"/>
      <c r="E65" s="22"/>
      <c r="F65" s="22"/>
      <c r="G65" s="22"/>
      <c r="H65" s="22"/>
    </row>
    <row r="66" customFormat="false" ht="27.75" hidden="false" customHeight="true" outlineLevel="0" collapsed="false">
      <c r="A66" s="12" t="s">
        <v>102</v>
      </c>
      <c r="B66" s="12" t="s">
        <v>103</v>
      </c>
      <c r="C66" s="12"/>
      <c r="D66" s="12"/>
      <c r="E66" s="12"/>
      <c r="F66" s="12"/>
      <c r="G66" s="12"/>
      <c r="H66" s="12"/>
    </row>
    <row r="67" customFormat="false" ht="30" hidden="false" customHeight="true" outlineLevel="0" collapsed="false">
      <c r="A67" s="44" t="s">
        <v>104</v>
      </c>
      <c r="B67" s="45" t="s">
        <v>105</v>
      </c>
      <c r="C67" s="45"/>
      <c r="D67" s="45"/>
      <c r="E67" s="45"/>
      <c r="F67" s="45"/>
      <c r="G67" s="45"/>
      <c r="H67" s="45"/>
    </row>
    <row r="68" customFormat="false" ht="30" hidden="false" customHeight="true" outlineLevel="0" collapsed="false">
      <c r="A68" s="44" t="s">
        <v>106</v>
      </c>
      <c r="B68" s="45" t="s">
        <v>107</v>
      </c>
      <c r="C68" s="45"/>
      <c r="D68" s="45"/>
      <c r="E68" s="45"/>
      <c r="F68" s="45"/>
      <c r="G68" s="45"/>
      <c r="H68" s="45"/>
    </row>
    <row r="69" customFormat="false" ht="30" hidden="false" customHeight="true" outlineLevel="0" collapsed="false">
      <c r="A69" s="44" t="s">
        <v>108</v>
      </c>
      <c r="B69" s="45" t="s">
        <v>109</v>
      </c>
      <c r="C69" s="45"/>
      <c r="D69" s="45"/>
      <c r="E69" s="45"/>
      <c r="F69" s="45"/>
      <c r="G69" s="45"/>
      <c r="H69" s="45"/>
    </row>
    <row r="70" customFormat="false" ht="30" hidden="false" customHeight="true" outlineLevel="0" collapsed="false">
      <c r="A70" s="44" t="s">
        <v>110</v>
      </c>
      <c r="B70" s="45" t="s">
        <v>111</v>
      </c>
      <c r="C70" s="45"/>
      <c r="D70" s="45"/>
      <c r="E70" s="45"/>
      <c r="F70" s="45"/>
      <c r="G70" s="45"/>
      <c r="H70" s="45"/>
    </row>
    <row r="71" customFormat="false" ht="30" hidden="false" customHeight="true" outlineLevel="0" collapsed="false">
      <c r="A71" s="44" t="s">
        <v>112</v>
      </c>
      <c r="B71" s="45" t="s">
        <v>113</v>
      </c>
      <c r="C71" s="45"/>
      <c r="D71" s="45"/>
      <c r="E71" s="45"/>
      <c r="F71" s="45"/>
      <c r="G71" s="45"/>
      <c r="H71" s="45"/>
    </row>
    <row r="72" customFormat="false" ht="30" hidden="false" customHeight="true" outlineLevel="0" collapsed="false">
      <c r="A72" s="44" t="s">
        <v>114</v>
      </c>
      <c r="B72" s="45" t="s">
        <v>115</v>
      </c>
      <c r="C72" s="45"/>
      <c r="D72" s="45"/>
      <c r="E72" s="45"/>
      <c r="F72" s="45"/>
      <c r="G72" s="45"/>
      <c r="H72" s="45"/>
    </row>
    <row r="73" customFormat="false" ht="18" hidden="false" customHeight="true" outlineLevel="0" collapsed="false"/>
    <row r="74" customFormat="false" ht="18.75" hidden="false" customHeight="true" outlineLevel="0" collapsed="false">
      <c r="A74" s="22" t="s">
        <v>116</v>
      </c>
      <c r="B74" s="22"/>
      <c r="C74" s="22"/>
      <c r="D74" s="22"/>
      <c r="E74" s="22"/>
      <c r="F74" s="22"/>
      <c r="G74" s="22"/>
      <c r="H74" s="22"/>
    </row>
    <row r="75" customFormat="false" ht="36" hidden="false" customHeight="true" outlineLevel="0" collapsed="false">
      <c r="A75" s="46" t="s">
        <v>117</v>
      </c>
      <c r="B75" s="46"/>
      <c r="C75" s="46"/>
      <c r="D75" s="46"/>
      <c r="E75" s="46"/>
      <c r="F75" s="46"/>
      <c r="G75" s="46"/>
      <c r="H75" s="46"/>
    </row>
    <row r="76" customFormat="false" ht="39.75" hidden="false" customHeight="true" outlineLevel="0" collapsed="false">
      <c r="A76" s="47" t="s">
        <v>118</v>
      </c>
      <c r="B76" s="47"/>
      <c r="C76" s="47"/>
      <c r="D76" s="47"/>
      <c r="E76" s="47"/>
      <c r="F76" s="47"/>
      <c r="G76" s="47"/>
      <c r="H76" s="47"/>
    </row>
    <row r="77" customFormat="false" ht="18" hidden="false" customHeight="true" outlineLevel="0" collapsed="false"/>
    <row r="78" customFormat="false" ht="18.75" hidden="false" customHeight="true" outlineLevel="0" collapsed="false">
      <c r="A78" s="22" t="s">
        <v>119</v>
      </c>
      <c r="B78" s="22"/>
      <c r="C78" s="22"/>
      <c r="D78" s="22"/>
      <c r="E78" s="22"/>
      <c r="F78" s="22"/>
      <c r="G78" s="22"/>
      <c r="H78" s="22"/>
    </row>
    <row r="79" customFormat="false" ht="27.75" hidden="false" customHeight="true" outlineLevel="0" collapsed="false">
      <c r="A79" s="12" t="s">
        <v>120</v>
      </c>
      <c r="B79" s="12" t="s">
        <v>121</v>
      </c>
      <c r="C79" s="12" t="s">
        <v>122</v>
      </c>
      <c r="D79" s="12"/>
      <c r="E79" s="12" t="s">
        <v>123</v>
      </c>
      <c r="F79" s="12"/>
      <c r="G79" s="12"/>
      <c r="H79" s="12"/>
    </row>
    <row r="80" customFormat="false" ht="34.5" hidden="false" customHeight="true" outlineLevel="0" collapsed="false">
      <c r="A80" s="48" t="s">
        <v>61</v>
      </c>
      <c r="B80" s="35" t="s">
        <v>124</v>
      </c>
      <c r="C80" s="49" t="s">
        <v>125</v>
      </c>
      <c r="D80" s="49"/>
      <c r="E80" s="50" t="s">
        <v>126</v>
      </c>
      <c r="F80" s="50"/>
      <c r="G80" s="50"/>
      <c r="H80" s="50"/>
    </row>
    <row r="81" customFormat="false" ht="34.5" hidden="false" customHeight="true" outlineLevel="0" collapsed="false">
      <c r="A81" s="48" t="s">
        <v>127</v>
      </c>
      <c r="B81" s="35" t="s">
        <v>128</v>
      </c>
      <c r="C81" s="49" t="s">
        <v>125</v>
      </c>
      <c r="D81" s="49"/>
      <c r="E81" s="50" t="s">
        <v>129</v>
      </c>
      <c r="F81" s="50"/>
      <c r="G81" s="50"/>
      <c r="H81" s="50"/>
    </row>
    <row r="82" customFormat="false" ht="30.75" hidden="false" customHeight="true" outlineLevel="0" collapsed="false">
      <c r="A82" s="48" t="s">
        <v>130</v>
      </c>
      <c r="B82" s="35" t="s">
        <v>131</v>
      </c>
      <c r="C82" s="49" t="s">
        <v>132</v>
      </c>
      <c r="D82" s="49"/>
      <c r="E82" s="50" t="s">
        <v>133</v>
      </c>
      <c r="F82" s="50"/>
      <c r="G82" s="50"/>
      <c r="H82" s="50"/>
    </row>
    <row r="83" customFormat="false" ht="18" hidden="false" customHeight="true" outlineLevel="0" collapsed="false"/>
    <row r="84" customFormat="false" ht="18.75" hidden="false" customHeight="true" outlineLevel="0" collapsed="false">
      <c r="A84" s="22" t="s">
        <v>134</v>
      </c>
      <c r="B84" s="22"/>
      <c r="C84" s="22"/>
      <c r="D84" s="22"/>
      <c r="E84" s="22"/>
      <c r="F84" s="22"/>
      <c r="G84" s="22"/>
      <c r="H84" s="22"/>
    </row>
    <row r="85" customFormat="false" ht="54.75" hidden="false" customHeight="true" outlineLevel="0" collapsed="false">
      <c r="A85" s="51" t="s">
        <v>135</v>
      </c>
      <c r="B85" s="51"/>
      <c r="C85" s="51"/>
      <c r="D85" s="51"/>
      <c r="E85" s="51"/>
      <c r="F85" s="51"/>
      <c r="G85" s="51"/>
      <c r="H85" s="51"/>
    </row>
    <row r="86" customFormat="false" ht="18.75" hidden="false" customHeight="true" outlineLevel="0" collapsed="false">
      <c r="A86" s="22" t="s">
        <v>136</v>
      </c>
      <c r="B86" s="22"/>
      <c r="C86" s="22"/>
      <c r="D86" s="22"/>
      <c r="E86" s="22"/>
      <c r="F86" s="22"/>
      <c r="G86" s="22"/>
      <c r="H86" s="22"/>
    </row>
    <row r="87" customFormat="false" ht="57.75" hidden="false" customHeight="true" outlineLevel="0" collapsed="false">
      <c r="A87" s="52" t="str">
        <f aca="false">TEXT(B59,"0")&amp;" compliant batches is the operative next-quarter forecast under statutory compliance plus applicable Highmarsh controls. Recommend release only of batches that conform and have batch traceability, retained conformity evidence, recorded final disposition and the evidence form applicable on the release date. Keep the "&amp;TEXT(B50,"0")&amp;" forecast final rejects blocked. Hold the "&amp;TEXT(B55,"0")&amp;" projected missing-note cases until acceptable evidence or authorised resolution is recorded. This is the single release recommendation for Kasper Crowther and the contracting reviewers."</f>
        <v>522 compliant batches is the operative next-quarter forecast under statutory compliance plus applicable Highmarsh controls. Recommend release only of batches that conform and have batch traceability, retained conformity evidence, recorded final disposition and the evidence form applicable on the release date. Keep the 28 forecast final rejects blocked. Hold the 10 projected missing-note cases until acceptable evidence or authorised resolution is recorded. This is the single release recommendation for Kasper Crowther and the contracting reviewers.</v>
      </c>
      <c r="B87" s="52"/>
      <c r="C87" s="52"/>
      <c r="D87" s="52"/>
      <c r="E87" s="52"/>
      <c r="F87" s="52"/>
      <c r="G87" s="52"/>
      <c r="H87" s="52"/>
    </row>
    <row r="88" customFormat="false" ht="18" hidden="false" customHeight="true" outlineLevel="0" collapsed="false">
      <c r="A88" s="53" t="s">
        <v>137</v>
      </c>
      <c r="B88" s="53"/>
      <c r="C88" s="53"/>
      <c r="D88" s="53"/>
      <c r="E88" s="53"/>
      <c r="F88" s="53"/>
      <c r="G88" s="53"/>
      <c r="H88" s="53"/>
    </row>
  </sheetData>
  <mergeCells count="76">
    <mergeCell ref="A1:H1"/>
    <mergeCell ref="A2:H2"/>
    <mergeCell ref="A3:H3"/>
    <mergeCell ref="B5:C5"/>
    <mergeCell ref="E5:H5"/>
    <mergeCell ref="B6:C6"/>
    <mergeCell ref="E6:H6"/>
    <mergeCell ref="B7:H7"/>
    <mergeCell ref="B8:H8"/>
    <mergeCell ref="B9:D9"/>
    <mergeCell ref="F9:H9"/>
    <mergeCell ref="B10:H10"/>
    <mergeCell ref="A12:H12"/>
    <mergeCell ref="A13:H13"/>
    <mergeCell ref="A21:H21"/>
    <mergeCell ref="E22:H22"/>
    <mergeCell ref="E23:H23"/>
    <mergeCell ref="E24:H24"/>
    <mergeCell ref="A25:H25"/>
    <mergeCell ref="A27:H27"/>
    <mergeCell ref="B28:H28"/>
    <mergeCell ref="B29:H29"/>
    <mergeCell ref="B30:H30"/>
    <mergeCell ref="A32:H32"/>
    <mergeCell ref="A33:H33"/>
    <mergeCell ref="A35:H35"/>
    <mergeCell ref="D36:H36"/>
    <mergeCell ref="D37:H37"/>
    <mergeCell ref="D38:H38"/>
    <mergeCell ref="D39:H39"/>
    <mergeCell ref="D40:H40"/>
    <mergeCell ref="A42:H42"/>
    <mergeCell ref="C43:H43"/>
    <mergeCell ref="C44:H44"/>
    <mergeCell ref="E45:H45"/>
    <mergeCell ref="A47:H47"/>
    <mergeCell ref="C48:H48"/>
    <mergeCell ref="C49:H49"/>
    <mergeCell ref="C50:H50"/>
    <mergeCell ref="C51:H51"/>
    <mergeCell ref="C52:H52"/>
    <mergeCell ref="C53:H53"/>
    <mergeCell ref="C54:H54"/>
    <mergeCell ref="C55:H55"/>
    <mergeCell ref="A57:H57"/>
    <mergeCell ref="C58:H58"/>
    <mergeCell ref="C59:H59"/>
    <mergeCell ref="C60:H60"/>
    <mergeCell ref="A61:H61"/>
    <mergeCell ref="A63:H63"/>
    <mergeCell ref="A64:H64"/>
    <mergeCell ref="A65:H65"/>
    <mergeCell ref="B66:H66"/>
    <mergeCell ref="B67:H67"/>
    <mergeCell ref="B68:H68"/>
    <mergeCell ref="B69:H69"/>
    <mergeCell ref="B70:H70"/>
    <mergeCell ref="B71:H71"/>
    <mergeCell ref="B72:H72"/>
    <mergeCell ref="A74:H74"/>
    <mergeCell ref="A75:H75"/>
    <mergeCell ref="A76:H76"/>
    <mergeCell ref="A78:H78"/>
    <mergeCell ref="C79:D79"/>
    <mergeCell ref="E79:H79"/>
    <mergeCell ref="C80:D80"/>
    <mergeCell ref="E80:H80"/>
    <mergeCell ref="C81:D81"/>
    <mergeCell ref="E81:H81"/>
    <mergeCell ref="C82:D82"/>
    <mergeCell ref="E82:H82"/>
    <mergeCell ref="A84:H84"/>
    <mergeCell ref="A85:H85"/>
    <mergeCell ref="A86:H86"/>
    <mergeCell ref="A87:H87"/>
    <mergeCell ref="A88:H88"/>
  </mergeCells>
  <conditionalFormatting sqref="B50">
    <cfRule type="cellIs" priority="2" operator="greaterThan" aboveAverage="0" equalAverage="0" bottom="0" percent="0" rank="0" text="" dxfId="0">
      <formula>0</formula>
    </cfRule>
  </conditionalFormatting>
  <conditionalFormatting sqref="B55">
    <cfRule type="cellIs" priority="3" operator="greaterThan" aboveAverage="0" equalAverage="0" bottom="0" percent="0" rank="0" text="" dxfId="1">
      <formula>0</formula>
    </cfRule>
  </conditionalFormatting>
  <printOptions headings="false" gridLines="false" gridLinesSet="true" horizontalCentered="true" verticalCentered="false"/>
  <pageMargins left="0.3" right="0.3" top="0.4" bottom="0.4" header="0.15" footer="0.179861111111111"/>
  <pageSetup paperSize="9" scale="74" fitToWidth="1" fitToHeight="1" pageOrder="downThenOver" orientation="landscape" blackAndWhite="false" draft="false" cellComments="none" horizontalDpi="300" verticalDpi="300" copies="1"/>
  <headerFooter differentFirst="false" differentOddEven="false">
    <oddHeader>&amp;R&amp;"Arial,Bold"&amp;8 &amp;K596873CONTROLLED COPY</oddHeader>
    <oddFooter>&amp;C&amp;"Arial,Regular"&amp;8 &amp;K596873Calderfield Logistics | Highmarsh valve release pack | &amp;P / &amp;N</oddFooter>
  </headerFooter>
  <rowBreaks count="3" manualBreakCount="3">
    <brk id="31" man="true" max="16383" min="0"/>
    <brk id="61" man="true" max="16383" min="0"/>
    <brk id="85"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2026-08-16T15:09:06Z</dcterms:created>
  <dc:creator>Calderfield Logistics</dc:creator>
  <dc:description>Editable briefing and review aid prepared for legal, contracting and trustee stakeholders.</dc:description>
  <cp:keywords>Highmarsh Calderfield valve release forecast control register</cp:keywords>
  <dc:language>en-US</dc:language>
  <cp:lastModifiedBy/>
  <dcterms:modified xsi:type="dcterms:W3CDTF">2026-08-16T15:09:06Z</dcterms:modified>
  <cp:revision>0</cp:revision>
  <dc:subject>Controlled operational briefing, historical comparison and forecast</dc:subject>
  <dc:title>Highmarsh School District Valve Release Pack</dc:title>
</cp:coreProperties>
</file>

<file path=docProps/custom.xml><?xml version="1.0" encoding="utf-8"?>
<Properties xmlns="http://schemas.openxmlformats.org/officeDocument/2006/custom-properties" xmlns:vt="http://schemas.openxmlformats.org/officeDocument/2006/docPropsVTypes"/>
</file>