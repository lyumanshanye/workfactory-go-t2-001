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Register" sheetId="1" state="visible" r:id="rId1"/>
  </sheets>
  <definedNames>
    <definedName name="_xlnm._FilterDatabase" localSheetId="0" hidden="1">'Budget Register'!$A$7:$N$15</definedName>
    <definedName name="_xlnm.Print_Titles" localSheetId="0">'Budget Register'!$1:$7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£#,##0.00"/>
    <numFmt numFmtId="165" formatCode="yyyy-mm-dd h:mm:ss"/>
    <numFmt numFmtId="166" formatCode="dd mmm yyyy"/>
    <numFmt numFmtId="167" formatCode="dd mmm yyyy hh:mm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1F4E78"/>
      <sz val="9"/>
    </font>
    <font>
      <name val="Aptos"/>
      <i val="1"/>
      <color rgb="005B6573"/>
      <sz val="8.5"/>
    </font>
    <font>
      <name val="Aptos"/>
      <b val="1"/>
      <color rgb="00FFFFFF"/>
      <sz val="9"/>
    </font>
    <font>
      <name val="Aptos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2" applyAlignment="1" pivotButton="0" quotePrefix="0" xfId="0">
      <alignment vertical="top"/>
    </xf>
    <xf numFmtId="0" fontId="5" fillId="3" borderId="2" applyAlignment="1" pivotButton="0" quotePrefix="0" xfId="0">
      <alignment vertical="top" wrapText="1"/>
    </xf>
    <xf numFmtId="166" fontId="5" fillId="3" borderId="2" applyAlignment="1" pivotButton="0" quotePrefix="0" xfId="0">
      <alignment vertical="top"/>
    </xf>
    <xf numFmtId="164" fontId="5" fillId="3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  <xf numFmtId="0" fontId="5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/>
    </xf>
    <xf numFmtId="164" fontId="5" fillId="4" borderId="2" applyAlignment="1" pivotButton="0" quotePrefix="0" xfId="0">
      <alignment vertical="top"/>
    </xf>
    <xf numFmtId="0" fontId="5" fillId="3" borderId="2" applyAlignment="1" pivotButton="0" quotePrefix="0" xfId="0">
      <alignment vertical="top"/>
    </xf>
    <xf numFmtId="167" fontId="5" fillId="4" borderId="2" applyAlignment="1" pivotButton="0" quotePrefix="0" xfId="0">
      <alignment vertical="top"/>
    </xf>
    <xf numFmtId="166" fontId="5" fillId="4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6" customWidth="1" min="4" max="4"/>
    <col width="13" customWidth="1" min="5" max="5"/>
    <col width="11" customWidth="1" min="6" max="6"/>
    <col width="21" customWidth="1" min="7" max="7"/>
    <col width="12" customWidth="1" min="8" max="8"/>
    <col width="17" customWidth="1" min="9" max="9"/>
    <col width="18" customWidth="1" min="10" max="10"/>
    <col width="18" customWidth="1" min="11" max="11"/>
    <col width="20" customWidth="1" min="12" max="12"/>
    <col width="15" customWidth="1" min="13" max="13"/>
    <col width="56" customWidth="1" min="14" max="14"/>
  </cols>
  <sheetData>
    <row r="1" ht="26" customHeight="1">
      <c r="A1" s="1" t="inlineStr">
        <is>
          <t>Redcliffe Manufacturing plc - Enterprise Cyber Budget</t>
        </is>
      </c>
    </row>
    <row r="3">
      <c r="A3" s="2" t="inlineStr">
        <is>
          <t>Budget status</t>
        </is>
      </c>
      <c r="B3" t="inlineStr">
        <is>
          <t>Rev 5 - publication hold</t>
        </is>
      </c>
      <c r="D3" s="2" t="inlineStr">
        <is>
          <t>Draft UK total (unreviewed)</t>
        </is>
      </c>
      <c r="E3" s="3">
        <f>SUMIF($D$8:$D$15,"United Kingdom",$K$8:$K$15)</f>
        <v/>
      </c>
      <c r="G3" s="2" t="inlineStr">
        <is>
          <t>Prepared by</t>
        </is>
      </c>
      <c r="H3" t="inlineStr">
        <is>
          <t>Finance Planning</t>
        </is>
      </c>
    </row>
    <row r="5">
      <c r="A5" s="4" t="inlineStr">
        <is>
          <t>Programme: RCL-CY-2028 | Exported 05 Oct 2028 16:42 GMT | Currency: GBP</t>
        </is>
      </c>
    </row>
    <row r="7" ht="31" customHeight="1">
      <c r="A7" s="5" t="inlineStr">
        <is>
          <t>Record ID</t>
        </is>
      </c>
      <c r="B7" s="5" t="inlineStr">
        <is>
          <t>Entity ID</t>
        </is>
      </c>
      <c r="C7" s="5" t="inlineStr">
        <is>
          <t>Insured entity</t>
        </is>
      </c>
      <c r="D7" s="5" t="inlineStr">
        <is>
          <t>Territory</t>
        </is>
      </c>
      <c r="E7" s="5" t="inlineStr">
        <is>
          <t>Coverage layer</t>
        </is>
      </c>
      <c r="F7" s="5" t="inlineStr">
        <is>
          <t>Policy year</t>
        </is>
      </c>
      <c r="G7" s="5" t="inlineStr">
        <is>
          <t>Transaction date</t>
        </is>
      </c>
      <c r="H7" s="5" t="inlineStr">
        <is>
          <t>Limit band</t>
        </is>
      </c>
      <c r="I7" s="5" t="inlineStr">
        <is>
          <t>Draft premium (£)</t>
        </is>
      </c>
      <c r="J7" s="5" t="inlineStr">
        <is>
          <t>Draft UK charge (£)</t>
        </is>
      </c>
      <c r="K7" s="5" t="inlineStr">
        <is>
          <t>Draft line total (£)</t>
        </is>
      </c>
      <c r="L7" s="5" t="inlineStr">
        <is>
          <t>Retired Helper Calc (£)</t>
        </is>
      </c>
      <c r="M7" s="5" t="inlineStr">
        <is>
          <t>Source batch</t>
        </is>
      </c>
      <c r="N7" s="5" t="inlineStr">
        <is>
          <t>Notes</t>
        </is>
      </c>
    </row>
    <row r="8" ht="32" customHeight="1">
      <c r="A8" s="6" t="inlineStr">
        <is>
          <t>TR-1001</t>
        </is>
      </c>
      <c r="B8" s="6" t="inlineStr">
        <is>
          <t>RM-UK-01</t>
        </is>
      </c>
      <c r="C8" s="7" t="inlineStr">
        <is>
          <t>Redcliffe Manufacturing plc</t>
        </is>
      </c>
      <c r="D8" s="7" t="inlineStr">
        <is>
          <t>United Kingdom</t>
        </is>
      </c>
      <c r="E8" s="6" t="inlineStr">
        <is>
          <t>L1</t>
        </is>
      </c>
      <c r="F8" s="6" t="n">
        <v>2028</v>
      </c>
      <c r="G8" s="8" t="n">
        <v>47026</v>
      </c>
      <c r="H8" s="6" t="inlineStr">
        <is>
          <t>£10m</t>
        </is>
      </c>
      <c r="I8" s="9" t="n">
        <v>80000</v>
      </c>
      <c r="J8" s="9" t="n">
        <v>9600</v>
      </c>
      <c r="K8" s="9">
        <f>I8+J8</f>
        <v/>
      </c>
      <c r="L8" s="9" t="n">
        <v>92720</v>
      </c>
      <c r="M8" s="6" t="inlineStr">
        <is>
          <t>CYB-SEP-A</t>
        </is>
      </c>
      <c r="N8" s="7" t="inlineStr">
        <is>
          <t>Approved endorsement EN-14: premium set to £86,500.00.</t>
        </is>
      </c>
    </row>
    <row r="9" ht="24" customHeight="1">
      <c r="A9" s="10" t="inlineStr">
        <is>
          <t>TR-1002</t>
        </is>
      </c>
      <c r="B9" s="10" t="inlineStr">
        <is>
          <t xml:space="preserve">RM-UK-01 </t>
        </is>
      </c>
      <c r="C9" s="11" t="inlineStr">
        <is>
          <t>Redcliffe Manufacturing plc</t>
        </is>
      </c>
      <c r="D9" s="11" t="inlineStr">
        <is>
          <t>United Kingdom</t>
        </is>
      </c>
      <c r="E9" s="10" t="inlineStr">
        <is>
          <t>L2</t>
        </is>
      </c>
      <c r="F9" s="10" t="n">
        <v>2028</v>
      </c>
      <c r="G9" s="12" t="inlineStr">
        <is>
          <t>30/09/2028</t>
        </is>
      </c>
      <c r="H9" s="10" t="inlineStr">
        <is>
          <t>£5m</t>
        </is>
      </c>
      <c r="I9" s="13" t="n">
        <v>52500</v>
      </c>
      <c r="J9" s="13" t="n">
        <v>6300</v>
      </c>
      <c r="K9" s="13">
        <f>I9+J9</f>
        <v/>
      </c>
      <c r="L9" s="13" t="n">
        <v>58590</v>
      </c>
      <c r="M9" s="10" t="inlineStr">
        <is>
          <t>CYB-SEP-A</t>
        </is>
      </c>
      <c r="N9" s="11" t="inlineStr"/>
    </row>
    <row r="10" ht="24" customHeight="1">
      <c r="A10" s="6" t="inlineStr">
        <is>
          <t>TR-1003</t>
        </is>
      </c>
      <c r="B10" s="6" t="inlineStr">
        <is>
          <t>rm-uk-02</t>
        </is>
      </c>
      <c r="C10" s="7" t="inlineStr">
        <is>
          <t>Redcliffe Components Ltd</t>
        </is>
      </c>
      <c r="D10" s="7" t="inlineStr">
        <is>
          <t>United Kingdom</t>
        </is>
      </c>
      <c r="E10" s="6" t="inlineStr">
        <is>
          <t>L1</t>
        </is>
      </c>
      <c r="F10" s="6" t="n">
        <v>2028</v>
      </c>
      <c r="G10" s="14" t="inlineStr">
        <is>
          <t>09/10/2028</t>
        </is>
      </c>
      <c r="H10" s="6" t="inlineStr">
        <is>
          <t>£5m</t>
        </is>
      </c>
      <c r="I10" s="9" t="n">
        <v>39000</v>
      </c>
      <c r="J10" s="9" t="n">
        <v>4680</v>
      </c>
      <c r="K10" s="9">
        <f>I10+J10</f>
        <v/>
      </c>
      <c r="L10" s="9" t="n">
        <v>43680</v>
      </c>
      <c r="M10" s="6" t="inlineStr">
        <is>
          <t>CYB-SEP-B</t>
        </is>
      </c>
      <c r="N10" s="7" t="inlineStr"/>
    </row>
    <row r="11" ht="24" customHeight="1">
      <c r="A11" s="10" t="inlineStr">
        <is>
          <t>TR-1004</t>
        </is>
      </c>
      <c r="B11" s="10" t="inlineStr">
        <is>
          <t xml:space="preserve"> RM-UK-02 </t>
        </is>
      </c>
      <c r="C11" s="11" t="inlineStr">
        <is>
          <t>Redcliffe Components Ltd</t>
        </is>
      </c>
      <c r="D11" s="11" t="inlineStr">
        <is>
          <t>United Kingdom</t>
        </is>
      </c>
      <c r="E11" s="10" t="inlineStr">
        <is>
          <t>L1</t>
        </is>
      </c>
      <c r="F11" s="10" t="n">
        <v>2028</v>
      </c>
      <c r="G11" s="15" t="n">
        <v>47006.60416666666</v>
      </c>
      <c r="H11" s="10" t="inlineStr">
        <is>
          <t>£5m</t>
        </is>
      </c>
      <c r="I11" s="13" t="n">
        <v>39000</v>
      </c>
      <c r="J11" s="13" t="n">
        <v>4680</v>
      </c>
      <c r="K11" s="13">
        <f>I11+J11</f>
        <v/>
      </c>
      <c r="L11" s="13" t="n">
        <v>41184</v>
      </c>
      <c r="M11" s="10" t="inlineStr">
        <is>
          <t>CYB-SEP-C</t>
        </is>
      </c>
      <c r="N11" s="11" t="inlineStr"/>
    </row>
    <row r="12" ht="32" customHeight="1">
      <c r="A12" s="6" t="inlineStr">
        <is>
          <t>TR-1005</t>
        </is>
      </c>
      <c r="B12" s="6" t="inlineStr">
        <is>
          <t>RM-UK-03</t>
        </is>
      </c>
      <c r="C12" s="7" t="inlineStr">
        <is>
          <t>Redcliffe Digital Services Ltd</t>
        </is>
      </c>
      <c r="D12" s="7" t="inlineStr">
        <is>
          <t>United Kingdom</t>
        </is>
      </c>
      <c r="E12" s="6" t="inlineStr">
        <is>
          <t>L1</t>
        </is>
      </c>
      <c r="F12" s="6" t="n">
        <v>2028</v>
      </c>
      <c r="G12" s="14" t="inlineStr">
        <is>
          <t>2028-09-30</t>
        </is>
      </c>
      <c r="H12" s="6" t="inlineStr">
        <is>
          <t>£2m</t>
        </is>
      </c>
      <c r="I12" s="9" t="n">
        <v>30000</v>
      </c>
      <c r="J12" s="9" t="n">
        <v>0</v>
      </c>
      <c r="K12" s="9">
        <f>I12+J12</f>
        <v/>
      </c>
      <c r="L12" s="9" t="n">
        <v>35616</v>
      </c>
      <c r="M12" s="6" t="inlineStr">
        <is>
          <t>CYB-SEP-A</t>
        </is>
      </c>
      <c r="N12" s="7" t="inlineStr">
        <is>
          <t>Approved rider CH-3: UK charge not applicable for this line.</t>
        </is>
      </c>
    </row>
    <row r="13" ht="24" customHeight="1">
      <c r="A13" s="10" t="inlineStr">
        <is>
          <t>TR-1006</t>
        </is>
      </c>
      <c r="B13" s="10" t="inlineStr">
        <is>
          <t>RM-UK-04</t>
        </is>
      </c>
      <c r="C13" s="11" t="inlineStr">
        <is>
          <t>Redcliffe Distribution Ltd</t>
        </is>
      </c>
      <c r="D13" s="11" t="inlineStr">
        <is>
          <t>United Kingdom</t>
        </is>
      </c>
      <c r="E13" s="10" t="inlineStr">
        <is>
          <t>L3</t>
        </is>
      </c>
      <c r="F13" s="10" t="n">
        <v>2028</v>
      </c>
      <c r="G13" s="12" t="inlineStr">
        <is>
          <t>2028-09-30T00:00:00</t>
        </is>
      </c>
      <c r="H13" s="10" t="inlineStr">
        <is>
          <t>£2m</t>
        </is>
      </c>
      <c r="I13" s="13" t="n">
        <v>23000</v>
      </c>
      <c r="J13" s="13" t="n">
        <v>2760</v>
      </c>
      <c r="K13" s="13">
        <f>I13+J13</f>
        <v/>
      </c>
      <c r="L13" s="13" t="n">
        <v>27600</v>
      </c>
      <c r="M13" s="10" t="inlineStr">
        <is>
          <t>CYB-SEP-A</t>
        </is>
      </c>
      <c r="N13" s="11" t="inlineStr"/>
    </row>
    <row r="14" ht="32" customHeight="1">
      <c r="A14" s="6" t="inlineStr">
        <is>
          <t>TR-1007</t>
        </is>
      </c>
      <c r="B14" s="6" t="inlineStr">
        <is>
          <t>RM-UK-05</t>
        </is>
      </c>
      <c r="C14" s="7" t="inlineStr">
        <is>
          <t>Redcliffe Engineering Ltd</t>
        </is>
      </c>
      <c r="D14" s="7" t="inlineStr">
        <is>
          <t>United Kingdom</t>
        </is>
      </c>
      <c r="E14" s="6" t="inlineStr">
        <is>
          <t>L2</t>
        </is>
      </c>
      <c r="F14" s="6" t="n">
        <v>2028</v>
      </c>
      <c r="G14" s="14" t="inlineStr">
        <is>
          <t>30/09/2028</t>
        </is>
      </c>
      <c r="H14" s="6" t="inlineStr">
        <is>
          <t>£3m</t>
        </is>
      </c>
      <c r="I14" s="9" t="n">
        <v>28600</v>
      </c>
      <c r="J14" s="9" t="n">
        <v>3432</v>
      </c>
      <c r="K14" s="9">
        <f>I14+J14</f>
        <v/>
      </c>
      <c r="L14" s="9" t="n">
        <v>31920</v>
      </c>
      <c r="M14" s="6" t="inlineStr">
        <is>
          <t>CYB-SEP-A</t>
        </is>
      </c>
      <c r="N14" s="7" t="inlineStr">
        <is>
          <t>Cancelled under EN-19 effective 30 September 2028; do not include in UK budget.</t>
        </is>
      </c>
    </row>
    <row r="15" ht="24" customHeight="1">
      <c r="A15" s="10" t="inlineStr">
        <is>
          <t>TR-1008</t>
        </is>
      </c>
      <c r="B15" s="10" t="inlineStr">
        <is>
          <t>RM-US-01</t>
        </is>
      </c>
      <c r="C15" s="11" t="inlineStr">
        <is>
          <t>Redcliffe Systems Inc.</t>
        </is>
      </c>
      <c r="D15" s="11" t="inlineStr">
        <is>
          <t>United States</t>
        </is>
      </c>
      <c r="E15" s="10" t="inlineStr">
        <is>
          <t>L1</t>
        </is>
      </c>
      <c r="F15" s="10" t="n">
        <v>2028</v>
      </c>
      <c r="G15" s="16" t="n">
        <v>47026</v>
      </c>
      <c r="H15" s="10" t="inlineStr">
        <is>
          <t>£10m</t>
        </is>
      </c>
      <c r="I15" s="13" t="n">
        <v>62000</v>
      </c>
      <c r="J15" s="13" t="n">
        <v>7440</v>
      </c>
      <c r="K15" s="13">
        <f>I15+J15</f>
        <v/>
      </c>
      <c r="L15" s="13" t="n">
        <v>69440</v>
      </c>
      <c r="M15" s="10" t="inlineStr">
        <is>
          <t>CYB-SEP-US</t>
        </is>
      </c>
      <c r="N15" s="11" t="inlineStr"/>
    </row>
  </sheetData>
  <autoFilter ref="A7:N15"/>
  <mergeCells count="2">
    <mergeCell ref="A5:N5"/>
    <mergeCell ref="A1:N1"/>
  </mergeCells>
  <pageMargins left="0.75" right="0.75" top="1" bottom="1" header="0.5" footer="0.5"/>
  <pageSetup orientation="landscape" fitToHeight="1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2026-08-16T15:22:24Z</dcterms:created>
  <dcterms:modified xmlns:dcterms="http://purl.org/dc/terms/" xmlns:xsi="http://www.w3.org/2001/XMLSchema-instance" xsi:type="dcterms:W3CDTF">2026-08-16T15:22:24Z</dcterms:modified>
</cp:coreProperties>
</file>