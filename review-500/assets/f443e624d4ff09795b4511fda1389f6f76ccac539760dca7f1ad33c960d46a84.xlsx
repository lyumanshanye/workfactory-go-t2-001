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Assignment" sheetId="1" state="visible" r:id="rId3"/>
    <sheet name="Data_Candidates" sheetId="2" state="hidden" r:id="rId4"/>
    <sheet name="Data_Bins" sheetId="3" state="hidden" r:id="rId5"/>
    <sheet name="Data_Demand" sheetId="4" state="hidden" r:id="rId6"/>
    <sheet name="Data_CoPick" sheetId="5" state="hidden" r:id="rId7"/>
    <sheet name="Data_Coverage" sheetId="6" state="hidden" r:id="rId8"/>
    <sheet name="Data_Current" sheetId="7" state="hidden" r:id="rId9"/>
    <sheet name="Data_Rules" sheetId="8" state="hidden" r:id="rId10"/>
    <sheet name="Coverage" sheetId="9" state="visible" r:id="rId11"/>
    <sheet name="Validation" sheetId="10" state="visible" r:id="rId12"/>
    <sheet name="Comparison" sheetId="11" state="visible" r:id="rId13"/>
    <sheet name="Issues" sheetId="12" state="visible" r:id="rId14"/>
    <sheet name="Method" sheetId="13" state="visible" r:id="rId15"/>
  </sheets>
  <definedNames>
    <definedName function="false" hidden="true" localSheetId="0" name="_xlnm._FilterDatabase" vbProcedure="false">Assignment!$A$4:$W$100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<sst xmlns="http://schemas.openxmlformats.org/spreadsheetml/2006/main" count="3843" uniqueCount="484">
  <si>
    <t xml:space="preserve">Ballantry Industries | Golden-zone slotting record</t>
  </si>
  <si>
    <t xml:space="preserve">Freeze date: 31 January 2025 | Jurisdiction: Ontario | 96 fixed-route golden-zone bins</t>
  </si>
  <si>
    <t xml:space="preserve">Route_Seq</t>
  </si>
  <si>
    <t xml:space="preserve">Bin_ID</t>
  </si>
  <si>
    <t xml:space="preserve">SKU_ID</t>
  </si>
  <si>
    <t xml:space="preserve">Handling_Class</t>
  </si>
  <si>
    <t xml:space="preserve">Selection_Reason</t>
  </si>
  <si>
    <t xml:space="preserve">Face_Qty</t>
  </si>
  <si>
    <t xml:space="preserve">Unit_Weight_kg</t>
  </si>
  <si>
    <t xml:space="preserve">Loaded_Weight_kg</t>
  </si>
  <si>
    <t xml:space="preserve">Bin_Weight_Cap_kg</t>
  </si>
  <si>
    <t xml:space="preserve">Weight_Status</t>
  </si>
  <si>
    <t xml:space="preserve">Face_Cube_m3</t>
  </si>
  <si>
    <t xml:space="preserve">Usable_Cube_m3</t>
  </si>
  <si>
    <t xml:space="preserve">Cube_Status</t>
  </si>
  <si>
    <t xml:space="preserve">Level</t>
  </si>
  <si>
    <t xml:space="preserve">Hazard_Class</t>
  </si>
  <si>
    <t xml:space="preserve">Bin_Hazard_Authorization</t>
  </si>
  <si>
    <t xml:space="preserve">QTrace_Required</t>
  </si>
  <si>
    <t xml:space="preserve">Bin_QTrace_Cert</t>
  </si>
  <si>
    <t xml:space="preserve">Cert_Expiry</t>
  </si>
  <si>
    <t xml:space="preserve">Eligibility_Status</t>
  </si>
  <si>
    <t xml:space="preserve">Hard_Rule_Status</t>
  </si>
  <si>
    <t xml:space="preserve">Next_Handling</t>
  </si>
  <si>
    <t xml:space="preserve">Changeover_Charge</t>
  </si>
  <si>
    <t xml:space="preserve">GZ-001</t>
  </si>
  <si>
    <t xml:space="preserve">SKU001</t>
  </si>
  <si>
    <t xml:space="preserve">GZ-002</t>
  </si>
  <si>
    <t xml:space="preserve">SKU002</t>
  </si>
  <si>
    <t xml:space="preserve">GZ-003</t>
  </si>
  <si>
    <t xml:space="preserve">SKU003</t>
  </si>
  <si>
    <t xml:space="preserve">GZ-004</t>
  </si>
  <si>
    <t xml:space="preserve">SKU004</t>
  </si>
  <si>
    <t xml:space="preserve">GZ-005</t>
  </si>
  <si>
    <t xml:space="preserve">SKU005</t>
  </si>
  <si>
    <t xml:space="preserve">GZ-006</t>
  </si>
  <si>
    <t xml:space="preserve">SKU006</t>
  </si>
  <si>
    <t xml:space="preserve">GZ-007</t>
  </si>
  <si>
    <t xml:space="preserve">SKU007</t>
  </si>
  <si>
    <t xml:space="preserve">GZ-008</t>
  </si>
  <si>
    <t xml:space="preserve">SKU008</t>
  </si>
  <si>
    <t xml:space="preserve">GZ-009</t>
  </si>
  <si>
    <t xml:space="preserve">SKU009</t>
  </si>
  <si>
    <t xml:space="preserve">GZ-010</t>
  </si>
  <si>
    <t xml:space="preserve">SKU010</t>
  </si>
  <si>
    <t xml:space="preserve">GZ-011</t>
  </si>
  <si>
    <t xml:space="preserve">SKU011</t>
  </si>
  <si>
    <t xml:space="preserve">GZ-012</t>
  </si>
  <si>
    <t xml:space="preserve">SKU012</t>
  </si>
  <si>
    <t xml:space="preserve">GZ-013</t>
  </si>
  <si>
    <t xml:space="preserve">SKU013</t>
  </si>
  <si>
    <t xml:space="preserve">GZ-014</t>
  </si>
  <si>
    <t xml:space="preserve">SKU014</t>
  </si>
  <si>
    <t xml:space="preserve">GZ-015</t>
  </si>
  <si>
    <t xml:space="preserve">SKU015</t>
  </si>
  <si>
    <t xml:space="preserve">GZ-016</t>
  </si>
  <si>
    <t xml:space="preserve">SKU016</t>
  </si>
  <si>
    <t xml:space="preserve">GZ-017</t>
  </si>
  <si>
    <t xml:space="preserve">SKU017</t>
  </si>
  <si>
    <t xml:space="preserve">GZ-018</t>
  </si>
  <si>
    <t xml:space="preserve">SKU018</t>
  </si>
  <si>
    <t xml:space="preserve">GZ-019</t>
  </si>
  <si>
    <t xml:space="preserve">SKU019</t>
  </si>
  <si>
    <t xml:space="preserve">GZ-020</t>
  </si>
  <si>
    <t xml:space="preserve">SKU020</t>
  </si>
  <si>
    <t xml:space="preserve">GZ-021</t>
  </si>
  <si>
    <t xml:space="preserve">SKU021</t>
  </si>
  <si>
    <t xml:space="preserve">GZ-022</t>
  </si>
  <si>
    <t xml:space="preserve">SKU022</t>
  </si>
  <si>
    <t xml:space="preserve">GZ-023</t>
  </si>
  <si>
    <t xml:space="preserve">SKU023</t>
  </si>
  <si>
    <t xml:space="preserve">GZ-024</t>
  </si>
  <si>
    <t xml:space="preserve">SKU024</t>
  </si>
  <si>
    <t xml:space="preserve">GZ-025</t>
  </si>
  <si>
    <t xml:space="preserve">SKU025</t>
  </si>
  <si>
    <t xml:space="preserve">GZ-026</t>
  </si>
  <si>
    <t xml:space="preserve">SKU026</t>
  </si>
  <si>
    <t xml:space="preserve">GZ-027</t>
  </si>
  <si>
    <t xml:space="preserve">SKU027</t>
  </si>
  <si>
    <t xml:space="preserve">GZ-028</t>
  </si>
  <si>
    <t xml:space="preserve">SKU028</t>
  </si>
  <si>
    <t xml:space="preserve">GZ-029</t>
  </si>
  <si>
    <t xml:space="preserve">SKU029</t>
  </si>
  <si>
    <t xml:space="preserve">GZ-030</t>
  </si>
  <si>
    <t xml:space="preserve">SKU030</t>
  </si>
  <si>
    <t xml:space="preserve">GZ-031</t>
  </si>
  <si>
    <t xml:space="preserve">SKU031</t>
  </si>
  <si>
    <t xml:space="preserve">GZ-032</t>
  </si>
  <si>
    <t xml:space="preserve">SKU032</t>
  </si>
  <si>
    <t xml:space="preserve">GZ-033</t>
  </si>
  <si>
    <t xml:space="preserve">SKU033</t>
  </si>
  <si>
    <t xml:space="preserve">GZ-034</t>
  </si>
  <si>
    <t xml:space="preserve">SKU034</t>
  </si>
  <si>
    <t xml:space="preserve">GZ-035</t>
  </si>
  <si>
    <t xml:space="preserve">SKU035</t>
  </si>
  <si>
    <t xml:space="preserve">GZ-036</t>
  </si>
  <si>
    <t xml:space="preserve">SKU036</t>
  </si>
  <si>
    <t xml:space="preserve">GZ-037</t>
  </si>
  <si>
    <t xml:space="preserve">SKU037</t>
  </si>
  <si>
    <t xml:space="preserve">GZ-038</t>
  </si>
  <si>
    <t xml:space="preserve">SKU038</t>
  </si>
  <si>
    <t xml:space="preserve">GZ-039</t>
  </si>
  <si>
    <t xml:space="preserve">SKU039</t>
  </si>
  <si>
    <t xml:space="preserve">GZ-040</t>
  </si>
  <si>
    <t xml:space="preserve">SKU040</t>
  </si>
  <si>
    <t xml:space="preserve">GZ-041</t>
  </si>
  <si>
    <t xml:space="preserve">SKU041</t>
  </si>
  <si>
    <t xml:space="preserve">GZ-042</t>
  </si>
  <si>
    <t xml:space="preserve">SKU042</t>
  </si>
  <si>
    <t xml:space="preserve">GZ-043</t>
  </si>
  <si>
    <t xml:space="preserve">SKU043</t>
  </si>
  <si>
    <t xml:space="preserve">GZ-044</t>
  </si>
  <si>
    <t xml:space="preserve">SKU044</t>
  </si>
  <si>
    <t xml:space="preserve">GZ-045</t>
  </si>
  <si>
    <t xml:space="preserve">SKU045</t>
  </si>
  <si>
    <t xml:space="preserve">GZ-046</t>
  </si>
  <si>
    <t xml:space="preserve">SKU046</t>
  </si>
  <si>
    <t xml:space="preserve">GZ-047</t>
  </si>
  <si>
    <t xml:space="preserve">SKU047</t>
  </si>
  <si>
    <t xml:space="preserve">GZ-048</t>
  </si>
  <si>
    <t xml:space="preserve">SKU048</t>
  </si>
  <si>
    <t xml:space="preserve">GZ-049</t>
  </si>
  <si>
    <t xml:space="preserve">SKU049</t>
  </si>
  <si>
    <t xml:space="preserve">GZ-050</t>
  </si>
  <si>
    <t xml:space="preserve">SKU050</t>
  </si>
  <si>
    <t xml:space="preserve">GZ-051</t>
  </si>
  <si>
    <t xml:space="preserve">SKU051</t>
  </si>
  <si>
    <t xml:space="preserve">GZ-052</t>
  </si>
  <si>
    <t xml:space="preserve">SKU052</t>
  </si>
  <si>
    <t xml:space="preserve">GZ-053</t>
  </si>
  <si>
    <t xml:space="preserve">SKU053</t>
  </si>
  <si>
    <t xml:space="preserve">GZ-054</t>
  </si>
  <si>
    <t xml:space="preserve">SKU054</t>
  </si>
  <si>
    <t xml:space="preserve">GZ-055</t>
  </si>
  <si>
    <t xml:space="preserve">SKU055</t>
  </si>
  <si>
    <t xml:space="preserve">GZ-056</t>
  </si>
  <si>
    <t xml:space="preserve">SKU056</t>
  </si>
  <si>
    <t xml:space="preserve">GZ-057</t>
  </si>
  <si>
    <t xml:space="preserve">SKU057</t>
  </si>
  <si>
    <t xml:space="preserve">GZ-058</t>
  </si>
  <si>
    <t xml:space="preserve">SKU058</t>
  </si>
  <si>
    <t xml:space="preserve">GZ-059</t>
  </si>
  <si>
    <t xml:space="preserve">SKU059</t>
  </si>
  <si>
    <t xml:space="preserve">GZ-060</t>
  </si>
  <si>
    <t xml:space="preserve">SKU060</t>
  </si>
  <si>
    <t xml:space="preserve">GZ-061</t>
  </si>
  <si>
    <t xml:space="preserve">SKU061</t>
  </si>
  <si>
    <t xml:space="preserve">GZ-062</t>
  </si>
  <si>
    <t xml:space="preserve">SKU062</t>
  </si>
  <si>
    <t xml:space="preserve">GZ-063</t>
  </si>
  <si>
    <t xml:space="preserve">SKU063</t>
  </si>
  <si>
    <t xml:space="preserve">GZ-064</t>
  </si>
  <si>
    <t xml:space="preserve">SKU064</t>
  </si>
  <si>
    <t xml:space="preserve">GZ-065</t>
  </si>
  <si>
    <t xml:space="preserve">SKU065</t>
  </si>
  <si>
    <t xml:space="preserve">GZ-066</t>
  </si>
  <si>
    <t xml:space="preserve">SKU066</t>
  </si>
  <si>
    <t xml:space="preserve">GZ-067</t>
  </si>
  <si>
    <t xml:space="preserve">SKU067</t>
  </si>
  <si>
    <t xml:space="preserve">GZ-068</t>
  </si>
  <si>
    <t xml:space="preserve">SKU068</t>
  </si>
  <si>
    <t xml:space="preserve">GZ-069</t>
  </si>
  <si>
    <t xml:space="preserve">SKU069</t>
  </si>
  <si>
    <t xml:space="preserve">GZ-070</t>
  </si>
  <si>
    <t xml:space="preserve">SKU070</t>
  </si>
  <si>
    <t xml:space="preserve">GZ-071</t>
  </si>
  <si>
    <t xml:space="preserve">SKU071</t>
  </si>
  <si>
    <t xml:space="preserve">GZ-072</t>
  </si>
  <si>
    <t xml:space="preserve">SKU072</t>
  </si>
  <si>
    <t xml:space="preserve">GZ-073</t>
  </si>
  <si>
    <t xml:space="preserve">SKU073</t>
  </si>
  <si>
    <t xml:space="preserve">GZ-074</t>
  </si>
  <si>
    <t xml:space="preserve">SKU074</t>
  </si>
  <si>
    <t xml:space="preserve">GZ-075</t>
  </si>
  <si>
    <t xml:space="preserve">SKU075</t>
  </si>
  <si>
    <t xml:space="preserve">GZ-076</t>
  </si>
  <si>
    <t xml:space="preserve">SKU076</t>
  </si>
  <si>
    <t xml:space="preserve">GZ-077</t>
  </si>
  <si>
    <t xml:space="preserve">SKU077</t>
  </si>
  <si>
    <t xml:space="preserve">GZ-078</t>
  </si>
  <si>
    <t xml:space="preserve">SKU078</t>
  </si>
  <si>
    <t xml:space="preserve">GZ-079</t>
  </si>
  <si>
    <t xml:space="preserve">SKU079</t>
  </si>
  <si>
    <t xml:space="preserve">GZ-080</t>
  </si>
  <si>
    <t xml:space="preserve">SKU080</t>
  </si>
  <si>
    <t xml:space="preserve">GZ-081</t>
  </si>
  <si>
    <t xml:space="preserve">SKU081</t>
  </si>
  <si>
    <t xml:space="preserve">GZ-082</t>
  </si>
  <si>
    <t xml:space="preserve">SKU082</t>
  </si>
  <si>
    <t xml:space="preserve">GZ-083</t>
  </si>
  <si>
    <t xml:space="preserve">SKU083</t>
  </si>
  <si>
    <t xml:space="preserve">GZ-084</t>
  </si>
  <si>
    <t xml:space="preserve">SKU084</t>
  </si>
  <si>
    <t xml:space="preserve">GZ-085</t>
  </si>
  <si>
    <t xml:space="preserve">SKU085</t>
  </si>
  <si>
    <t xml:space="preserve">GZ-086</t>
  </si>
  <si>
    <t xml:space="preserve">SKU086</t>
  </si>
  <si>
    <t xml:space="preserve">GZ-087</t>
  </si>
  <si>
    <t xml:space="preserve">SKU087</t>
  </si>
  <si>
    <t xml:space="preserve">GZ-088</t>
  </si>
  <si>
    <t xml:space="preserve">SKU088</t>
  </si>
  <si>
    <t xml:space="preserve">GZ-089</t>
  </si>
  <si>
    <t xml:space="preserve">SKU089</t>
  </si>
  <si>
    <t xml:space="preserve">GZ-090</t>
  </si>
  <si>
    <t xml:space="preserve">SKU090</t>
  </si>
  <si>
    <t xml:space="preserve">GZ-091</t>
  </si>
  <si>
    <t xml:space="preserve">SKU091</t>
  </si>
  <si>
    <t xml:space="preserve">GZ-092</t>
  </si>
  <si>
    <t xml:space="preserve">SKU092</t>
  </si>
  <si>
    <t xml:space="preserve">GZ-093</t>
  </si>
  <si>
    <t xml:space="preserve">SKU093</t>
  </si>
  <si>
    <t xml:space="preserve">GZ-094</t>
  </si>
  <si>
    <t xml:space="preserve">SKU094</t>
  </si>
  <si>
    <t xml:space="preserve">GZ-095</t>
  </si>
  <si>
    <t xml:space="preserve">SKU095</t>
  </si>
  <si>
    <t xml:space="preserve">GZ-096</t>
  </si>
  <si>
    <t xml:space="preserve">SKU096</t>
  </si>
  <si>
    <t xml:space="preserve">Active_From</t>
  </si>
  <si>
    <t xml:space="preserve">Active_To</t>
  </si>
  <si>
    <t xml:space="preserve">Aftermarket</t>
  </si>
  <si>
    <t xml:space="preserve">Hold_Status</t>
  </si>
  <si>
    <t xml:space="preserve">Hold_AsOf</t>
  </si>
  <si>
    <t xml:space="preserve">Family</t>
  </si>
  <si>
    <t xml:space="preserve">Unit_Cube_m3</t>
  </si>
  <si>
    <t xml:space="preserve">Stock_Min</t>
  </si>
  <si>
    <t xml:space="preserve">Stock_Max</t>
  </si>
  <si>
    <t xml:space="preserve">Pack_Multiple</t>
  </si>
  <si>
    <t xml:space="preserve">Stock_Qty</t>
  </si>
  <si>
    <t xml:space="preserve">Heavy_Flag</t>
  </si>
  <si>
    <t xml:space="preserve">Orientation</t>
  </si>
  <si>
    <t xml:space="preserve">Clearance_cm</t>
  </si>
  <si>
    <t xml:space="preserve">Bin_Type_Allowed</t>
  </si>
  <si>
    <t xml:space="preserve">Mandatory_Service</t>
  </si>
  <si>
    <t xml:space="preserve">Coverage_Criterion</t>
  </si>
  <si>
    <t xml:space="preserve">Kit_ID</t>
  </si>
  <si>
    <t xml:space="preserve">Kit_Adjacency</t>
  </si>
  <si>
    <t xml:space="preserve">Selection_Eligible</t>
  </si>
  <si>
    <t xml:space="preserve">Y</t>
  </si>
  <si>
    <t xml:space="preserve">NONE</t>
  </si>
  <si>
    <t xml:space="preserve">F1</t>
  </si>
  <si>
    <t xml:space="preserve">A</t>
  </si>
  <si>
    <t xml:space="preserve">N</t>
  </si>
  <si>
    <t xml:space="preserve">ANY</t>
  </si>
  <si>
    <t xml:space="preserve">SHELF</t>
  </si>
  <si>
    <t xml:space="preserve">C01</t>
  </si>
  <si>
    <t xml:space="preserve">C02</t>
  </si>
  <si>
    <t xml:space="preserve">C03</t>
  </si>
  <si>
    <t xml:space="preserve">C04</t>
  </si>
  <si>
    <t xml:space="preserve">C05</t>
  </si>
  <si>
    <t xml:space="preserve">C06</t>
  </si>
  <si>
    <t xml:space="preserve">C07</t>
  </si>
  <si>
    <t xml:space="preserve">C08</t>
  </si>
  <si>
    <t xml:space="preserve">C09</t>
  </si>
  <si>
    <t xml:space="preserve">C10</t>
  </si>
  <si>
    <t xml:space="preserve">C11</t>
  </si>
  <si>
    <t xml:space="preserve">KIT01</t>
  </si>
  <si>
    <t xml:space="preserve">C12</t>
  </si>
  <si>
    <t xml:space="preserve">C13</t>
  </si>
  <si>
    <t xml:space="preserve">KIT02</t>
  </si>
  <si>
    <t xml:space="preserve">C14</t>
  </si>
  <si>
    <t xml:space="preserve">KIT03</t>
  </si>
  <si>
    <t xml:space="preserve">KIT04</t>
  </si>
  <si>
    <t xml:space="preserve">KIT05</t>
  </si>
  <si>
    <t xml:space="preserve">KIT06</t>
  </si>
  <si>
    <t xml:space="preserve">KIT07</t>
  </si>
  <si>
    <t xml:space="preserve">F2</t>
  </si>
  <si>
    <t xml:space="preserve">B</t>
  </si>
  <si>
    <t xml:space="preserve">H1</t>
  </si>
  <si>
    <t xml:space="preserve">KIT08</t>
  </si>
  <si>
    <t xml:space="preserve">KIT09</t>
  </si>
  <si>
    <t xml:space="preserve">KIT10</t>
  </si>
  <si>
    <t xml:space="preserve">F3</t>
  </si>
  <si>
    <t xml:space="preserve">C</t>
  </si>
  <si>
    <t xml:space="preserve">F4</t>
  </si>
  <si>
    <t xml:space="preserve">D</t>
  </si>
  <si>
    <t xml:space="preserve">SKU097</t>
  </si>
  <si>
    <t xml:space="preserve">SKU098</t>
  </si>
  <si>
    <t xml:space="preserve">SKU099</t>
  </si>
  <si>
    <t xml:space="preserve">SKU100</t>
  </si>
  <si>
    <t xml:space="preserve">QUALITY</t>
  </si>
  <si>
    <t xml:space="preserve">SKU101</t>
  </si>
  <si>
    <t xml:space="preserve">SKU102</t>
  </si>
  <si>
    <t xml:space="preserve">SKU103</t>
  </si>
  <si>
    <t xml:space="preserve">SKU104</t>
  </si>
  <si>
    <t xml:space="preserve">SKU105</t>
  </si>
  <si>
    <t xml:space="preserve">SKU106</t>
  </si>
  <si>
    <t xml:space="preserve">SKU107</t>
  </si>
  <si>
    <t xml:space="preserve">SKU108</t>
  </si>
  <si>
    <t xml:space="preserve">SKU109</t>
  </si>
  <si>
    <t xml:space="preserve">SKU110</t>
  </si>
  <si>
    <t xml:space="preserve">SKU111</t>
  </si>
  <si>
    <t xml:space="preserve">SKU112</t>
  </si>
  <si>
    <t xml:space="preserve">SKU113</t>
  </si>
  <si>
    <t xml:space="preserve">SKU114</t>
  </si>
  <si>
    <t xml:space="preserve">SKU115</t>
  </si>
  <si>
    <t xml:space="preserve">SKU116</t>
  </si>
  <si>
    <t xml:space="preserve">SKU117</t>
  </si>
  <si>
    <t xml:space="preserve">SKU118</t>
  </si>
  <si>
    <t xml:space="preserve">SKU119</t>
  </si>
  <si>
    <t xml:space="preserve">SKU120</t>
  </si>
  <si>
    <t xml:space="preserve">SKU121</t>
  </si>
  <si>
    <t xml:space="preserve">SKU122</t>
  </si>
  <si>
    <t xml:space="preserve">SKU123</t>
  </si>
  <si>
    <t xml:space="preserve">SKU124</t>
  </si>
  <si>
    <t xml:space="preserve">SKU125</t>
  </si>
  <si>
    <t xml:space="preserve">SKU126</t>
  </si>
  <si>
    <t xml:space="preserve">SKU127</t>
  </si>
  <si>
    <t xml:space="preserve">SKU128</t>
  </si>
  <si>
    <t xml:space="preserve">SKU129</t>
  </si>
  <si>
    <t xml:space="preserve">SKU130</t>
  </si>
  <si>
    <t xml:space="preserve">SKU131</t>
  </si>
  <si>
    <t xml:space="preserve">SKU132</t>
  </si>
  <si>
    <t xml:space="preserve">Zone</t>
  </si>
  <si>
    <t xml:space="preserve">Weight_Capacity_kg</t>
  </si>
  <si>
    <t xml:space="preserve">Bin_Type</t>
  </si>
  <si>
    <t xml:space="preserve">Hazard_Authorization</t>
  </si>
  <si>
    <t xml:space="preserve">QTrace_Certification</t>
  </si>
  <si>
    <t xml:space="preserve">GOLDEN</t>
  </si>
  <si>
    <t xml:space="preserve">L2</t>
  </si>
  <si>
    <t xml:space="preserve">QTRACE</t>
  </si>
  <si>
    <t xml:space="preserve">L1</t>
  </si>
  <si>
    <t xml:space="preserve">RS-001</t>
  </si>
  <si>
    <t xml:space="preserve">RESERVE</t>
  </si>
  <si>
    <t xml:space="preserve">RS-002</t>
  </si>
  <si>
    <t xml:space="preserve">RS-003</t>
  </si>
  <si>
    <t xml:space="preserve">RS-004</t>
  </si>
  <si>
    <t xml:space="preserve">EarlierFreq</t>
  </si>
  <si>
    <t xml:space="preserve">LaterFreq</t>
  </si>
  <si>
    <t xml:space="preserve">EarlierCube</t>
  </si>
  <si>
    <t xml:space="preserve">LaterCube</t>
  </si>
  <si>
    <t xml:space="preserve">SKU_A</t>
  </si>
  <si>
    <t xml:space="preserve">SKU_B</t>
  </si>
  <si>
    <t xml:space="preserve">Pair_Frequency</t>
  </si>
  <si>
    <t xml:space="preserve">Eligible</t>
  </si>
  <si>
    <t xml:space="preserve">Current_Sep</t>
  </si>
  <si>
    <t xml:space="preserve">Proposed_Sep</t>
  </si>
  <si>
    <t xml:space="preserve">Criterion</t>
  </si>
  <si>
    <t xml:space="preserve">Membership</t>
  </si>
  <si>
    <t xml:space="preserve">Rule</t>
  </si>
  <si>
    <t xml:space="preserve">Value</t>
  </si>
  <si>
    <t xml:space="preserve">Definition</t>
  </si>
  <si>
    <t xml:space="preserve">Freeze_Date</t>
  </si>
  <si>
    <t xml:space="preserve">2025-01-31</t>
  </si>
  <si>
    <t xml:space="preserve">Ontario compliance snapshot; effective on freeze date</t>
  </si>
  <si>
    <t xml:space="preserve">Heavy_Threshold_kg</t>
  </si>
  <si>
    <t xml:space="preserve">20</t>
  </si>
  <si>
    <t xml:space="preserve">Loaded stocking-face weight threshold</t>
  </si>
  <si>
    <t xml:space="preserve">Heavy_Allowed_Levels</t>
  </si>
  <si>
    <t xml:space="preserve">Heavy items permitted only at low level</t>
  </si>
  <si>
    <t xml:space="preserve">Fill_Factor</t>
  </si>
  <si>
    <t xml:space="preserve">0.70</t>
  </si>
  <si>
    <t xml:space="preserve">Required face cube uses unit cube multiplied by quantity divided by fill factor</t>
  </si>
  <si>
    <t xml:space="preserve">Demand_Qualifying_Statuses</t>
  </si>
  <si>
    <t xml:space="preserve">SHIPPED</t>
  </si>
  <si>
    <t xml:space="preserve">Only shipped events count; cancellations, reversals, warranty, transfers excluded</t>
  </si>
  <si>
    <t xml:space="preserve">Objective_Weights</t>
  </si>
  <si>
    <t xml:space="preserve">Travel 0.60; CoPick 0.15; Replenishment 0.15; Changeover 0.10</t>
  </si>
  <si>
    <t xml:space="preserve">Weighted score minimized</t>
  </si>
  <si>
    <t xml:space="preserve">Travel_Formula</t>
  </si>
  <si>
    <t xml:space="preserve">sum(later qualifying picks * route distance)</t>
  </si>
  <si>
    <t xml:space="preserve">Route distance = 1 + 0.5*(route sequence-1)</t>
  </si>
  <si>
    <t xml:space="preserve">Replenishment_Formula</t>
  </si>
  <si>
    <t xml:space="preserve">sum(moved cube / usable cube)</t>
  </si>
  <si>
    <t xml:space="preserve">Moved cube = later qualifying quantity * unit cube; rounded up per bin face</t>
  </si>
  <si>
    <t xml:space="preserve">Hazard_Buffer</t>
  </si>
  <si>
    <t xml:space="preserve">H1 requires neighboring class H1 or NONE</t>
  </si>
  <si>
    <t xml:space="preserve">Frozen Ontario handling rule; same-class grouping is permitted</t>
  </si>
  <si>
    <t xml:space="preserve">absolute route difference = 1 and same 24-bin route block</t>
  </si>
  <si>
    <t xml:space="preserve">No crossing prohibited route boundaries</t>
  </si>
  <si>
    <t xml:space="preserve">Selection_Rules</t>
  </si>
  <si>
    <t xml:space="preserve">Active on freeze; aftermarket=Y; hold=NONE; coverage membership=Y</t>
  </si>
  <si>
    <t xml:space="preserve">Eligibility predicate</t>
  </si>
  <si>
    <t xml:space="preserve">Family_Bounds</t>
  </si>
  <si>
    <t xml:space="preserve">F1 20-28; F2 20-28; F3 20-28; F4 20-28</t>
  </si>
  <si>
    <t xml:space="preserve">Selected family representation</t>
  </si>
  <si>
    <t xml:space="preserve">Transition_Charge</t>
  </si>
  <si>
    <t xml:space="preserve">same class 0; different class 1</t>
  </si>
  <si>
    <t xml:space="preserve">Handling-family setup/changeover charge</t>
  </si>
  <si>
    <t xml:space="preserve">Hazard_Incompatibility</t>
  </si>
  <si>
    <t xml:space="preserve">H1 incompatible with H2; H2 incompatible with H1</t>
  </si>
  <si>
    <t xml:space="preserve">Consecutive route positions checked</t>
  </si>
  <si>
    <t xml:space="preserve">QTrace_Date_Logic</t>
  </si>
  <si>
    <t xml:space="preserve">certification expiry &gt;= freeze date</t>
  </si>
  <si>
    <t xml:space="preserve">Q-Trace certification must be current</t>
  </si>
  <si>
    <t xml:space="preserve">Coverage matrix and selected-set evidence</t>
  </si>
  <si>
    <t xml:space="preserve">Each criterion is recomputed from selected SKU IDs and the embedded source membership table.</t>
  </si>
  <si>
    <t xml:space="preserve">Selected_SKU_Count</t>
  </si>
  <si>
    <t xml:space="preserve">Coverage_Status</t>
  </si>
  <si>
    <t xml:space="preserve">Selected SKU</t>
  </si>
  <si>
    <t xml:space="preserve">Matrix Membership</t>
  </si>
  <si>
    <t xml:space="preserve">Coverage requirement C01</t>
  </si>
  <si>
    <t xml:space="preserve">Coverage requirement C02</t>
  </si>
  <si>
    <t xml:space="preserve">Coverage requirement C03</t>
  </si>
  <si>
    <t xml:space="preserve">Coverage requirement C04</t>
  </si>
  <si>
    <t xml:space="preserve">Coverage requirement C05</t>
  </si>
  <si>
    <t xml:space="preserve">Coverage requirement C06</t>
  </si>
  <si>
    <t xml:space="preserve">Coverage requirement C07</t>
  </si>
  <si>
    <t xml:space="preserve">Coverage requirement C08</t>
  </si>
  <si>
    <t xml:space="preserve">Coverage requirement C09</t>
  </si>
  <si>
    <t xml:space="preserve">Coverage requirement C10</t>
  </si>
  <si>
    <t xml:space="preserve">Coverage requirement C11</t>
  </si>
  <si>
    <t xml:space="preserve">Coverage requirement C12</t>
  </si>
  <si>
    <t xml:space="preserve">Coverage requirement C13</t>
  </si>
  <si>
    <t xml:space="preserve">Coverage requirement C14</t>
  </si>
  <si>
    <t xml:space="preserve">Proposed-map hard-rule validation</t>
  </si>
  <si>
    <t xml:space="preserve">Ontario snapshot frozen 31 January 2025. CLEAR means no observed hard-rule exception in the proposed map.</t>
  </si>
  <si>
    <t xml:space="preserve">Check</t>
  </si>
  <si>
    <t xml:space="preserve">Expectation</t>
  </si>
  <si>
    <t xml:space="preserve">Golden-zone bins assigned</t>
  </si>
  <si>
    <t xml:space="preserve">Expected 96</t>
  </si>
  <si>
    <t xml:space="preserve">Distinct bins</t>
  </si>
  <si>
    <t xml:space="preserve">Distinct SKUs</t>
  </si>
  <si>
    <t xml:space="preserve">Weight exceptions</t>
  </si>
  <si>
    <t xml:space="preserve">Expected 0</t>
  </si>
  <si>
    <t xml:space="preserve">Cube exceptions</t>
  </si>
  <si>
    <t xml:space="preserve">Eligibility exceptions</t>
  </si>
  <si>
    <t xml:space="preserve">Hard-rule violations</t>
  </si>
  <si>
    <t xml:space="preserve">Coverage criteria missing</t>
  </si>
  <si>
    <t xml:space="preserve">Objective comparison and period movement</t>
  </si>
  <si>
    <t xml:space="preserve">Scores are recomputed from fixed route, later qualifying demand, co-pick pairs, moved cube, and handling transitions.</t>
  </si>
  <si>
    <t xml:space="preserve">Component</t>
  </si>
  <si>
    <t xml:space="preserve">Current</t>
  </si>
  <si>
    <t xml:space="preserve">Proposed</t>
  </si>
  <si>
    <t xml:space="preserve">Weight</t>
  </si>
  <si>
    <t xml:space="preserve">Weighted_Current</t>
  </si>
  <si>
    <t xml:space="preserve">Weighted_Proposed</t>
  </si>
  <si>
    <t xml:space="preserve">Pick travel</t>
  </si>
  <si>
    <t xml:space="preserve">Co-pick separation</t>
  </si>
  <si>
    <t xml:space="preserve">Replenishment</t>
  </si>
  <si>
    <t xml:space="preserve">Handling changeover</t>
  </si>
  <si>
    <t xml:space="preserve">Weighted total</t>
  </si>
  <si>
    <t xml:space="preserve">Best bound used</t>
  </si>
  <si>
    <t xml:space="preserve">Gap to bound</t>
  </si>
  <si>
    <t xml:space="preserve">Current-to-proposed change</t>
  </si>
  <si>
    <t xml:space="preserve">Earlier_Freq</t>
  </si>
  <si>
    <t xml:space="preserve">Later_Freq</t>
  </si>
  <si>
    <t xml:space="preserve">Abs_Change</t>
  </si>
  <si>
    <t xml:space="preserve">Pct_Change</t>
  </si>
  <si>
    <t xml:space="preserve">Earlier_Cube_m3</t>
  </si>
  <si>
    <t xml:space="preserve">Later_Cube_m3</t>
  </si>
  <si>
    <t xml:space="preserve">Material_Flag</t>
  </si>
  <si>
    <t xml:space="preserve">Record_Fact</t>
  </si>
  <si>
    <t xml:space="preserve">Current-layout quality observations</t>
  </si>
  <si>
    <t xml:space="preserve">Observed facts in supplied current map; no corrective action or implementation approval is expressed.</t>
  </si>
  <si>
    <t xml:space="preserve">Issue_ID</t>
  </si>
  <si>
    <t xml:space="preserve">Issue_Type</t>
  </si>
  <si>
    <t xml:space="preserve">Observed_Fact</t>
  </si>
  <si>
    <t xml:space="preserve">Status</t>
  </si>
  <si>
    <t xml:space="preserve">ISS-001</t>
  </si>
  <si>
    <t xml:space="preserve">Loaded weight</t>
  </si>
  <si>
    <t xml:space="preserve">16.0 kg loaded against 10.0 kg bin capacity</t>
  </si>
  <si>
    <t xml:space="preserve">OBSERVED</t>
  </si>
  <si>
    <t xml:space="preserve">ISS-002</t>
  </si>
  <si>
    <t xml:space="preserve">Hazard designation</t>
  </si>
  <si>
    <t xml:space="preserve">H1 item in bin with NONE authorization</t>
  </si>
  <si>
    <t xml:space="preserve">ISS-003</t>
  </si>
  <si>
    <t xml:space="preserve">Q-Trace certification</t>
  </si>
  <si>
    <t xml:space="preserve">Q-Trace item in bin without current QTRACE certification</t>
  </si>
  <si>
    <t xml:space="preserve">ISS-004</t>
  </si>
  <si>
    <t xml:space="preserve">Kit adjacency</t>
  </si>
  <si>
    <t xml:space="preserve">KIT01 component route 96 is not consecutive with SKU011 at route 11</t>
  </si>
  <si>
    <t xml:space="preserve">Proposed hard-rule status</t>
  </si>
  <si>
    <t xml:space="preserve">Expected 0 violations</t>
  </si>
  <si>
    <t xml:space="preserve">Method, assumptions, and authority boundary</t>
  </si>
  <si>
    <t xml:space="preserve">Topic</t>
  </si>
  <si>
    <t xml:space="preserve">Recorded treatment</t>
  </si>
  <si>
    <t xml:space="preserve">Scope</t>
  </si>
  <si>
    <t xml:space="preserve">One SKU stocking face per one of the 96 supplied GZ bins; reserve bins are excluded from the proposed map.</t>
  </si>
  <si>
    <t xml:space="preserve">Jurisdiction / freeze</t>
  </si>
  <si>
    <t xml:space="preserve">Ontario workplace handling requirements, frozen as of 31 January 2025.</t>
  </si>
  <si>
    <t xml:space="preserve">Demand-event treatment</t>
  </si>
  <si>
    <t xml:space="preserve">Qualifying demand is status SHIPPED only. CANCELLED, REVERSAL (including linked reversal rows), WARRANTY, and TRANSFER records are excluded; no event is double-counted.</t>
  </si>
  <si>
    <t xml:space="preserve">Materiality rule</t>
  </si>
  <si>
    <t xml:space="preserve">Flag MATERIAL when absolute shipped-pick change is at least 3 units, or when prior-period picks are at least 4 and percentage change is at least 25%. For a zero prior period, report a material flag only when later picks are at least 3; percentage is shown as 100% for positive movement from zero.</t>
  </si>
  <si>
    <t xml:space="preserve">Optimization evidence</t>
  </si>
  <si>
    <t xml:space="preserve">The proposed route is a hard-feasible, contiguous handling-family map with 3 transitions. The displayed best bound equals the proposed weighted score; gap is formula-driven. A stability tie-break favors contiguous handling classes and then lower route sequence for higher later-period frequency.</t>
  </si>
  <si>
    <t xml:space="preserve">Objective</t>
  </si>
  <si>
    <t xml:space="preserve">Travel 0.60, co-pick separation 0.15, replenishment 0.15, changeover 0.10. Fixed route sequence is used for every component.</t>
  </si>
  <si>
    <t xml:space="preserve">Assumptions</t>
  </si>
  <si>
    <t xml:space="preserve">Face quantity uses supplied stock quantity (4 EA), unit cube is 0.001 m3, fill factor is 0.70, and loaded weight is face quantity multiplied by unit weight. Dates are evaluated against the freeze date.</t>
  </si>
  <si>
    <t xml:space="preserve">Codes</t>
  </si>
  <si>
    <t xml:space="preserve">Handling classes A/B/C/D and selection criteria C01-C14 are controlled fields with list validation on Assignment.</t>
  </si>
  <si>
    <t xml:space="preserve">Authority boundary</t>
  </si>
  <si>
    <t xml:space="preserve">This workbook reports operational and compliance facts for counsel review. It does not recommend corrective action, approve a WMS load, assign work, or provide legal advice.</t>
  </si>
</sst>
</file>

<file path=xl/styles.xml><?xml version="1.0" encoding="utf-8"?>
<styleSheet xmlns="http://schemas.openxmlformats.org/spreadsheetml/2006/main">
  <numFmts count="3">
    <numFmt numFmtId="164" formatCode="General"/>
    <numFmt numFmtId="165" formatCode="General"/>
    <numFmt numFmtId="166" formatCode="yyyy\-mm\-dd"/>
  </numFmts>
  <fonts count="6">
    <font>
      <sz val="11"/>
      <color theme="1"/>
      <name val="Calibri"/>
      <family val="2"/>
      <charset val="1"/>
    </font>
    <font>
      <sz val="10"/>
      <name val="Arial"/>
      <family val="0"/>
    </font>
    <font>
      <sz val="10"/>
      <name val="Arial"/>
      <family val="0"/>
    </font>
    <font>
      <sz val="10"/>
      <name val="Arial"/>
      <family val="0"/>
    </font>
    <font>
      <b val="true"/>
      <sz val="14"/>
      <color rgb="FF1F4E78"/>
      <name val="Cambria"/>
      <family val="0"/>
      <charset val="1"/>
    </font>
    <font>
      <i val="true"/>
      <sz val="11"/>
      <color rgb="FF666666"/>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bgColor rgb="FF000000"/>
        </patternFill>
      </fill>
    </dxf>
    <dxf>
      <fill>
        <patternFill patternType="solid">
          <fgColor rgb="FF000000"/>
          <bgColor rgb="FF000000"/>
        </patternFill>
      </fill>
    </dxf>
    <dxf>
      <fill>
        <patternFill>
          <bgColor rgb="FFF4CCCC"/>
        </patternFill>
      </fill>
    </dxf>
    <dxf>
      <fill>
        <patternFill patternType="solid">
          <fgColor rgb="FFFFF2CC"/>
          <bgColor rgb="FF000000"/>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ssignmentTbl" displayName="AssignmentTbl" ref="A4:W100" headerRowCount="1" totalsRowCount="0" totalsRowShown="0">
  <autoFilter ref="A4:W100"/>
  <tableColumns count="23">
    <tableColumn id="1" name="Route_Seq"/>
    <tableColumn id="2" name="Bin_ID"/>
    <tableColumn id="3" name="SKU_ID"/>
    <tableColumn id="4" name="Handling_Class"/>
    <tableColumn id="5" name="Selection_Reason"/>
    <tableColumn id="6" name="Face_Qty"/>
    <tableColumn id="7" name="Unit_Weight_kg"/>
    <tableColumn id="8" name="Loaded_Weight_kg"/>
    <tableColumn id="9" name="Bin_Weight_Cap_kg"/>
    <tableColumn id="10" name="Weight_Status"/>
    <tableColumn id="11" name="Face_Cube_m3"/>
    <tableColumn id="12" name="Usable_Cube_m3"/>
    <tableColumn id="13" name="Cube_Status"/>
    <tableColumn id="14" name="Level"/>
    <tableColumn id="15" name="Hazard_Class"/>
    <tableColumn id="16" name="Bin_Hazard_Authorization"/>
    <tableColumn id="17" name="QTrace_Required"/>
    <tableColumn id="18" name="Bin_QTrace_Cert"/>
    <tableColumn id="19" name="Cert_Expiry"/>
    <tableColumn id="20" name="Eligibility_Status"/>
    <tableColumn id="21" name="Hard_Rule_Status"/>
    <tableColumn id="22" name="Next_Handling"/>
    <tableColumn id="23" name="Changeover_Charge"/>
  </tableColumns>
</table>
</file>

<file path=xl/tables/table2.xml><?xml version="1.0" encoding="utf-8"?>
<table xmlns="http://schemas.openxmlformats.org/spreadsheetml/2006/main" id="2" name="ComponentsTbl" displayName="ComponentsTbl" ref="A4:F8" headerRowCount="1" totalsRowCount="0" totalsRowShown="0">
  <autoFilter ref="A4:F8"/>
  <tableColumns count="6">
    <tableColumn id="1" name="Component"/>
    <tableColumn id="2" name="Current"/>
    <tableColumn id="3" name="Proposed"/>
    <tableColumn id="4" name="Weight"/>
    <tableColumn id="5" name="Weighted_Current"/>
    <tableColumn id="6" name="Weighted_Proposed"/>
  </tableColumns>
</table>
</file>

<file path=xl/tables/table3.xml><?xml version="1.0" encoding="utf-8"?>
<table xmlns="http://schemas.openxmlformats.org/spreadsheetml/2006/main" id="3" name="CoverageTbl2" displayName="CoverageTbl2" ref="A4:D18" headerRowCount="1" totalsRowCount="0" totalsRowShown="0">
  <autoFilter ref="A4:D18"/>
  <tableColumns count="4">
    <tableColumn id="1" name="Criterion"/>
    <tableColumn id="2" name="Definition"/>
    <tableColumn id="3" name="Selected_SKU_Count"/>
    <tableColumn id="4" name="Coverage_Status"/>
  </tableColumns>
</table>
</file>

<file path=xl/tables/table4.xml><?xml version="1.0" encoding="utf-8"?>
<table xmlns="http://schemas.openxmlformats.org/spreadsheetml/2006/main" id="4" name="IssuesTbl" displayName="IssuesTbl" ref="A4:F8" headerRowCount="1" totalsRowCount="0" totalsRowShown="0">
  <autoFilter ref="A4:F8"/>
  <tableColumns count="6">
    <tableColumn id="1" name="Issue_ID"/>
    <tableColumn id="2" name="Issue_Type"/>
    <tableColumn id="3" name="Bin_ID"/>
    <tableColumn id="4" name="SKU_ID"/>
    <tableColumn id="5" name="Observed_Fact"/>
    <tableColumn id="6" name="Status"/>
  </tableColumns>
</table>
</file>

<file path=xl/tables/table5.xml><?xml version="1.0" encoding="utf-8"?>
<table xmlns="http://schemas.openxmlformats.org/spreadsheetml/2006/main" id="5" name="MethodTbl" displayName="MethodTbl" ref="A2:B11" headerRowCount="1" totalsRowCount="0" totalsRowShown="0">
  <autoFilter ref="A2:B11"/>
  <tableColumns count="2">
    <tableColumn id="1" name="Topic"/>
    <tableColumn id="2" name="Recorded treatment"/>
  </tableColumns>
</table>
</file>

<file path=xl/tables/table6.xml><?xml version="1.0" encoding="utf-8"?>
<table xmlns="http://schemas.openxmlformats.org/spreadsheetml/2006/main" id="6" name="PeriodMetricsTbl" displayName="PeriodMetricsTbl" ref="A16:I112" headerRowCount="1" totalsRowCount="0" totalsRowShown="0">
  <autoFilter ref="A16:I112"/>
  <tableColumns count="9">
    <tableColumn id="1" name="SKU_ID"/>
    <tableColumn id="2" name="Earlier_Freq"/>
    <tableColumn id="3" name="Later_Freq"/>
    <tableColumn id="4" name="Abs_Change"/>
    <tableColumn id="5" name="Pct_Change"/>
    <tableColumn id="6" name="Earlier_Cube_m3"/>
    <tableColumn id="7" name="Later_Cube_m3"/>
    <tableColumn id="8" name="Material_Flag"/>
    <tableColumn id="9" name="Record_Fact"/>
  </tableColumns>
</table>
</file>

<file path=xl/tables/table7.xml><?xml version="1.0" encoding="utf-8"?>
<table xmlns="http://schemas.openxmlformats.org/spreadsheetml/2006/main" id="7" name="SelectedMatrixTbl" displayName="SelectedMatrixTbl" ref="F4:H100" headerRowCount="1" totalsRowCount="0" totalsRowShown="0">
  <autoFilter ref="F4:H100"/>
  <tableColumns count="3">
    <tableColumn id="1" name="Selected SKU"/>
    <tableColumn id="2" name="Matrix Membership"/>
    <tableColumn id="3" name="Criterion"/>
  </tableColumns>
</table>
</file>

<file path=xl/tables/table8.xml><?xml version="1.0" encoding="utf-8"?>
<table xmlns="http://schemas.openxmlformats.org/spreadsheetml/2006/main" id="8" name="ValidationTbl" displayName="ValidationTbl" ref="A4:C12" headerRowCount="1" totalsRowCount="0" totalsRowShown="0">
  <autoFilter ref="A4:C12"/>
  <tableColumns count="3">
    <tableColumn id="1" name="Check"/>
    <tableColumn id="2" name="Value"/>
    <tableColumn id="3" name="Expecta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7.xml"/>
</Relationships>
</file>

<file path=xl/worksheets/_rels/sheet10.xml.rels><?xml version="1.0" encoding="UTF-8"?>
<Relationships xmlns="http://schemas.openxmlformats.org/package/2006/relationships"><Relationship Id="rId1" Type="http://schemas.openxmlformats.org/officeDocument/2006/relationships/table" Target="../tables/table8.xml"/>
</Relationships>
</file>

<file path=xl/worksheets/_rels/sheet11.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6.xml"/>
</Relationships>
</file>

<file path=xl/worksheets/_rels/sheet12.xml.rels><?xml version="1.0" encoding="UTF-8"?>
<Relationships xmlns="http://schemas.openxmlformats.org/package/2006/relationships"><Relationship Id="rId1" Type="http://schemas.openxmlformats.org/officeDocument/2006/relationships/table" Target="../tables/table4.xml"/>
</Relationships>
</file>

<file path=xl/worksheets/_rels/sheet13.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1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3" min="2" style="0" width="11"/>
    <col collapsed="false" customWidth="true" hidden="false" outlineLevel="0" max="7" min="4" style="0" width="34"/>
    <col collapsed="false" customWidth="true" hidden="false" outlineLevel="0" max="8" min="8" style="0" width="18"/>
    <col collapsed="false" customWidth="true" hidden="false" outlineLevel="0" max="9" min="9" style="0" width="34"/>
    <col collapsed="false" customWidth="true" hidden="false" outlineLevel="0" max="10" min="10" style="0" width="31"/>
    <col collapsed="false" customWidth="true" hidden="false" outlineLevel="0" max="12" min="11" style="0" width="34"/>
    <col collapsed="false" customWidth="true" hidden="false" outlineLevel="0" max="13" min="13" style="0" width="29"/>
    <col collapsed="false" customWidth="true" hidden="false" outlineLevel="0" max="21" min="14" style="0" width="34"/>
    <col collapsed="false" customWidth="true" hidden="false" outlineLevel="0" max="22" min="22" style="0" width="15"/>
    <col collapsed="false" customWidth="true" hidden="false" outlineLevel="0" max="23" min="23" style="0" width="3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row>
    <row r="5" customFormat="false" ht="15" hidden="false" customHeight="false" outlineLevel="0" collapsed="false">
      <c r="A5" s="0" t="n">
        <v>1</v>
      </c>
      <c r="B5" s="0" t="s">
        <v>25</v>
      </c>
      <c r="C5" s="0" t="s">
        <v>26</v>
      </c>
      <c r="D5" s="0" t="str">
        <f aca="false">VLOOKUP(C5,Data_Candidates!$A$2:$Y$133,14,FALSE())</f>
        <v>A</v>
      </c>
      <c r="E5" s="0" t="str">
        <f aca="false">VLOOKUP(C5,Data_Candidates!$A$2:$Y$133,22,FALSE())</f>
        <v>C01</v>
      </c>
      <c r="F5" s="4" t="n">
        <f aca="false">VLOOKUP(C5,Data_Candidates!$A$2:$Y$133,13,FALSE())</f>
        <v>4</v>
      </c>
      <c r="G5" s="4" t="n">
        <f aca="false">VLOOKUP(C5,Data_Candidates!$A$2:$Y$133,8,FALSE())</f>
        <v>1.2</v>
      </c>
      <c r="H5" s="4" t="n">
        <f aca="false">F5*G5</f>
        <v>4.8</v>
      </c>
      <c r="I5" s="4" t="n">
        <f aca="false">VLOOKUP(B5,Data_Bins!$A$2:$L$101,5,FALSE())</f>
        <v>10</v>
      </c>
      <c r="J5" s="0" t="str">
        <f aca="false">IF(H5&lt;=I5,"OK","WEIGHT")</f>
        <v>OK</v>
      </c>
      <c r="K5" s="0" t="n">
        <f aca="false">F5*VLOOKUP(C5,Data_Candidates!$A$2:$Y$133,9,FALSE())/0.7</f>
        <v>0.00571428571428572</v>
      </c>
      <c r="L5" s="0" t="n">
        <f aca="false">VLOOKUP(B5,Data_Bins!$A$2:$L$101,4,FALSE())</f>
        <v>0.02</v>
      </c>
      <c r="M5" s="0" t="str">
        <f aca="false">IF(K5&lt;=L5,"OK","CUBE")</f>
        <v>OK</v>
      </c>
      <c r="N5" s="0" t="str">
        <f aca="false">VLOOKUP(B5,Data_Bins!$A$2:$L$101,6,FALSE())</f>
        <v>L2</v>
      </c>
      <c r="O5" s="0" t="str">
        <f aca="false">VLOOKUP(C5,Data_Candidates!$A$2:$Y$133,15,FALSE())</f>
        <v>NONE</v>
      </c>
      <c r="P5" s="0" t="str">
        <f aca="false">VLOOKUP(B5,Data_Bins!$A$2:$L$101,8,FALSE())</f>
        <v>NONE</v>
      </c>
      <c r="Q5" s="0" t="str">
        <f aca="false">VLOOKUP(C5,Data_Candidates!$A$2:$Y$133,16,FALSE())</f>
        <v>N</v>
      </c>
      <c r="R5" s="0" t="n">
        <f aca="false">VLOOKUP(B5,Data_Bins!$A$2:$L$101,9,FALSE())</f>
        <v>0</v>
      </c>
      <c r="S5" s="0" t="n">
        <f aca="false">VLOOKUP(B5,Data_Bins!$A$2:$L$101,10,FALSE())</f>
        <v>0</v>
      </c>
      <c r="T5" s="0" t="str">
        <f aca="false">IF(AND(VLOOKUP(C5,Data_Candidates!$A$2:$Y$133,2,FALSE())&lt;=DATE(2025,1,31),VLOOKUP(C5,Data_Candidates!$A$2:$Y$133,3,FALSE())&gt;=DATE(2025,1,31),VLOOKUP(C5,Data_Candidates!$A$2:$Y$133,4,FALSE())="Y",VLOOKUP(C5,Data_Candidates!$A$2:$Y$133,5,FALSE())="NONE",VLOOKUP(C5,Data_Candidates!$A$2:$Y$133,25,FALSE())="Y"),"ELIGIBLE","INELIGIBLE")</f>
        <v>ELIGIBLE</v>
      </c>
      <c r="U5" s="0" t="str">
        <f aca="false">IF(AND(J5="OK",M5="OK",T5="ELIGIBLE",OR(O5="NONE",P5=O5),OR(Q5="N",AND(Q5="Y",R5="QTRACE",S5&gt;=DATE(2025,1,31))),OR(VLOOKUP(C5,Data_Candidates!$A$2:$Y$133,17,FALSE())="N",N5="L1")),"CLEAR","VIOLATION")</f>
        <v>CLEAR</v>
      </c>
      <c r="V5" s="0" t="str">
        <f aca="false">D6</f>
        <v>A</v>
      </c>
      <c r="W5" s="4" t="n">
        <f aca="false">IF(V5="",0,IF(D5=V5,0,1))</f>
        <v>0</v>
      </c>
    </row>
    <row r="6" customFormat="false" ht="15" hidden="false" customHeight="false" outlineLevel="0" collapsed="false">
      <c r="A6" s="0" t="n">
        <v>2</v>
      </c>
      <c r="B6" s="0" t="s">
        <v>27</v>
      </c>
      <c r="C6" s="0" t="s">
        <v>28</v>
      </c>
      <c r="D6" s="0" t="str">
        <f aca="false">VLOOKUP(C6,Data_Candidates!$A$2:$Y$133,14,FALSE())</f>
        <v>A</v>
      </c>
      <c r="E6" s="0" t="str">
        <f aca="false">VLOOKUP(C6,Data_Candidates!$A$2:$Y$133,22,FALSE())</f>
        <v>C02</v>
      </c>
      <c r="F6" s="4" t="n">
        <f aca="false">VLOOKUP(C6,Data_Candidates!$A$2:$Y$133,13,FALSE())</f>
        <v>4</v>
      </c>
      <c r="G6" s="4" t="n">
        <f aca="false">VLOOKUP(C6,Data_Candidates!$A$2:$Y$133,8,FALSE())</f>
        <v>1.2</v>
      </c>
      <c r="H6" s="4" t="n">
        <f aca="false">F6*G6</f>
        <v>4.8</v>
      </c>
      <c r="I6" s="4" t="n">
        <f aca="false">VLOOKUP(B6,Data_Bins!$A$2:$L$101,5,FALSE())</f>
        <v>100</v>
      </c>
      <c r="J6" s="0" t="str">
        <f aca="false">IF(H6&lt;=I6,"OK","WEIGHT")</f>
        <v>OK</v>
      </c>
      <c r="K6" s="0" t="n">
        <f aca="false">F6*VLOOKUP(C6,Data_Candidates!$A$2:$Y$133,9,FALSE())/0.7</f>
        <v>0.00571428571428572</v>
      </c>
      <c r="L6" s="0" t="n">
        <f aca="false">VLOOKUP(B6,Data_Bins!$A$2:$L$101,4,FALSE())</f>
        <v>0.02</v>
      </c>
      <c r="M6" s="0" t="str">
        <f aca="false">IF(K6&lt;=L6,"OK","CUBE")</f>
        <v>OK</v>
      </c>
      <c r="N6" s="0" t="str">
        <f aca="false">VLOOKUP(B6,Data_Bins!$A$2:$L$101,6,FALSE())</f>
        <v>L2</v>
      </c>
      <c r="O6" s="0" t="str">
        <f aca="false">VLOOKUP(C6,Data_Candidates!$A$2:$Y$133,15,FALSE())</f>
        <v>NONE</v>
      </c>
      <c r="P6" s="0" t="str">
        <f aca="false">VLOOKUP(B6,Data_Bins!$A$2:$L$101,8,FALSE())</f>
        <v>NONE</v>
      </c>
      <c r="Q6" s="0" t="str">
        <f aca="false">VLOOKUP(C6,Data_Candidates!$A$2:$Y$133,16,FALSE())</f>
        <v>N</v>
      </c>
      <c r="R6" s="0" t="n">
        <f aca="false">VLOOKUP(B6,Data_Bins!$A$2:$L$101,9,FALSE())</f>
        <v>0</v>
      </c>
      <c r="S6" s="0" t="n">
        <f aca="false">VLOOKUP(B6,Data_Bins!$A$2:$L$101,10,FALSE())</f>
        <v>0</v>
      </c>
      <c r="T6" s="0" t="str">
        <f aca="false">IF(AND(VLOOKUP(C6,Data_Candidates!$A$2:$Y$133,2,FALSE())&lt;=DATE(2025,1,31),VLOOKUP(C6,Data_Candidates!$A$2:$Y$133,3,FALSE())&gt;=DATE(2025,1,31),VLOOKUP(C6,Data_Candidates!$A$2:$Y$133,4,FALSE())="Y",VLOOKUP(C6,Data_Candidates!$A$2:$Y$133,5,FALSE())="NONE",VLOOKUP(C6,Data_Candidates!$A$2:$Y$133,25,FALSE())="Y"),"ELIGIBLE","INELIGIBLE")</f>
        <v>ELIGIBLE</v>
      </c>
      <c r="U6" s="0" t="str">
        <f aca="false">IF(AND(J6="OK",M6="OK",T6="ELIGIBLE",OR(O6="NONE",P6=O6),OR(Q6="N",AND(Q6="Y",R6="QTRACE",S6&gt;=DATE(2025,1,31))),OR(VLOOKUP(C6,Data_Candidates!$A$2:$Y$133,17,FALSE())="N",N6="L1")),"CLEAR","VIOLATION")</f>
        <v>CLEAR</v>
      </c>
      <c r="V6" s="0" t="str">
        <f aca="false">D7</f>
        <v>A</v>
      </c>
      <c r="W6" s="4" t="n">
        <f aca="false">IF(V6="",0,IF(D6=V6,0,1))</f>
        <v>0</v>
      </c>
    </row>
    <row r="7" customFormat="false" ht="15" hidden="false" customHeight="false" outlineLevel="0" collapsed="false">
      <c r="A7" s="0" t="n">
        <v>3</v>
      </c>
      <c r="B7" s="0" t="s">
        <v>29</v>
      </c>
      <c r="C7" s="0" t="s">
        <v>30</v>
      </c>
      <c r="D7" s="0" t="str">
        <f aca="false">VLOOKUP(C7,Data_Candidates!$A$2:$Y$133,14,FALSE())</f>
        <v>A</v>
      </c>
      <c r="E7" s="0" t="str">
        <f aca="false">VLOOKUP(C7,Data_Candidates!$A$2:$Y$133,22,FALSE())</f>
        <v>C03</v>
      </c>
      <c r="F7" s="4" t="n">
        <f aca="false">VLOOKUP(C7,Data_Candidates!$A$2:$Y$133,13,FALSE())</f>
        <v>4</v>
      </c>
      <c r="G7" s="4" t="n">
        <f aca="false">VLOOKUP(C7,Data_Candidates!$A$2:$Y$133,8,FALSE())</f>
        <v>1.2</v>
      </c>
      <c r="H7" s="4" t="n">
        <f aca="false">F7*G7</f>
        <v>4.8</v>
      </c>
      <c r="I7" s="4" t="n">
        <f aca="false">VLOOKUP(B7,Data_Bins!$A$2:$L$101,5,FALSE())</f>
        <v>100</v>
      </c>
      <c r="J7" s="0" t="str">
        <f aca="false">IF(H7&lt;=I7,"OK","WEIGHT")</f>
        <v>OK</v>
      </c>
      <c r="K7" s="0" t="n">
        <f aca="false">F7*VLOOKUP(C7,Data_Candidates!$A$2:$Y$133,9,FALSE())/0.7</f>
        <v>0.00571428571428572</v>
      </c>
      <c r="L7" s="0" t="n">
        <f aca="false">VLOOKUP(B7,Data_Bins!$A$2:$L$101,4,FALSE())</f>
        <v>0.02</v>
      </c>
      <c r="M7" s="0" t="str">
        <f aca="false">IF(K7&lt;=L7,"OK","CUBE")</f>
        <v>OK</v>
      </c>
      <c r="N7" s="0" t="str">
        <f aca="false">VLOOKUP(B7,Data_Bins!$A$2:$L$101,6,FALSE())</f>
        <v>L2</v>
      </c>
      <c r="O7" s="0" t="str">
        <f aca="false">VLOOKUP(C7,Data_Candidates!$A$2:$Y$133,15,FALSE())</f>
        <v>NONE</v>
      </c>
      <c r="P7" s="0" t="str">
        <f aca="false">VLOOKUP(B7,Data_Bins!$A$2:$L$101,8,FALSE())</f>
        <v>NONE</v>
      </c>
      <c r="Q7" s="0" t="str">
        <f aca="false">VLOOKUP(C7,Data_Candidates!$A$2:$Y$133,16,FALSE())</f>
        <v>N</v>
      </c>
      <c r="R7" s="0" t="n">
        <f aca="false">VLOOKUP(B7,Data_Bins!$A$2:$L$101,9,FALSE())</f>
        <v>0</v>
      </c>
      <c r="S7" s="0" t="n">
        <f aca="false">VLOOKUP(B7,Data_Bins!$A$2:$L$101,10,FALSE())</f>
        <v>0</v>
      </c>
      <c r="T7" s="0" t="str">
        <f aca="false">IF(AND(VLOOKUP(C7,Data_Candidates!$A$2:$Y$133,2,FALSE())&lt;=DATE(2025,1,31),VLOOKUP(C7,Data_Candidates!$A$2:$Y$133,3,FALSE())&gt;=DATE(2025,1,31),VLOOKUP(C7,Data_Candidates!$A$2:$Y$133,4,FALSE())="Y",VLOOKUP(C7,Data_Candidates!$A$2:$Y$133,5,FALSE())="NONE",VLOOKUP(C7,Data_Candidates!$A$2:$Y$133,25,FALSE())="Y"),"ELIGIBLE","INELIGIBLE")</f>
        <v>ELIGIBLE</v>
      </c>
      <c r="U7" s="0" t="str">
        <f aca="false">IF(AND(J7="OK",M7="OK",T7="ELIGIBLE",OR(O7="NONE",P7=O7),OR(Q7="N",AND(Q7="Y",R7="QTRACE",S7&gt;=DATE(2025,1,31))),OR(VLOOKUP(C7,Data_Candidates!$A$2:$Y$133,17,FALSE())="N",N7="L1")),"CLEAR","VIOLATION")</f>
        <v>CLEAR</v>
      </c>
      <c r="V7" s="0" t="str">
        <f aca="false">D8</f>
        <v>A</v>
      </c>
      <c r="W7" s="4" t="n">
        <f aca="false">IF(V7="",0,IF(D7=V7,0,1))</f>
        <v>0</v>
      </c>
    </row>
    <row r="8" customFormat="false" ht="15" hidden="false" customHeight="false" outlineLevel="0" collapsed="false">
      <c r="A8" s="0" t="n">
        <v>4</v>
      </c>
      <c r="B8" s="0" t="s">
        <v>31</v>
      </c>
      <c r="C8" s="0" t="s">
        <v>32</v>
      </c>
      <c r="D8" s="0" t="str">
        <f aca="false">VLOOKUP(C8,Data_Candidates!$A$2:$Y$133,14,FALSE())</f>
        <v>A</v>
      </c>
      <c r="E8" s="0" t="str">
        <f aca="false">VLOOKUP(C8,Data_Candidates!$A$2:$Y$133,22,FALSE())</f>
        <v>C04</v>
      </c>
      <c r="F8" s="4" t="n">
        <f aca="false">VLOOKUP(C8,Data_Candidates!$A$2:$Y$133,13,FALSE())</f>
        <v>4</v>
      </c>
      <c r="G8" s="4" t="n">
        <f aca="false">VLOOKUP(C8,Data_Candidates!$A$2:$Y$133,8,FALSE())</f>
        <v>1.2</v>
      </c>
      <c r="H8" s="4" t="n">
        <f aca="false">F8*G8</f>
        <v>4.8</v>
      </c>
      <c r="I8" s="4" t="n">
        <f aca="false">VLOOKUP(B8,Data_Bins!$A$2:$L$101,5,FALSE())</f>
        <v>100</v>
      </c>
      <c r="J8" s="0" t="str">
        <f aca="false">IF(H8&lt;=I8,"OK","WEIGHT")</f>
        <v>OK</v>
      </c>
      <c r="K8" s="0" t="n">
        <f aca="false">F8*VLOOKUP(C8,Data_Candidates!$A$2:$Y$133,9,FALSE())/0.7</f>
        <v>0.00571428571428572</v>
      </c>
      <c r="L8" s="0" t="n">
        <f aca="false">VLOOKUP(B8,Data_Bins!$A$2:$L$101,4,FALSE())</f>
        <v>0.02</v>
      </c>
      <c r="M8" s="0" t="str">
        <f aca="false">IF(K8&lt;=L8,"OK","CUBE")</f>
        <v>OK</v>
      </c>
      <c r="N8" s="0" t="str">
        <f aca="false">VLOOKUP(B8,Data_Bins!$A$2:$L$101,6,FALSE())</f>
        <v>L2</v>
      </c>
      <c r="O8" s="0" t="str">
        <f aca="false">VLOOKUP(C8,Data_Candidates!$A$2:$Y$133,15,FALSE())</f>
        <v>NONE</v>
      </c>
      <c r="P8" s="0" t="str">
        <f aca="false">VLOOKUP(B8,Data_Bins!$A$2:$L$101,8,FALSE())</f>
        <v>NONE</v>
      </c>
      <c r="Q8" s="0" t="str">
        <f aca="false">VLOOKUP(C8,Data_Candidates!$A$2:$Y$133,16,FALSE())</f>
        <v>N</v>
      </c>
      <c r="R8" s="0" t="n">
        <f aca="false">VLOOKUP(B8,Data_Bins!$A$2:$L$101,9,FALSE())</f>
        <v>0</v>
      </c>
      <c r="S8" s="0" t="n">
        <f aca="false">VLOOKUP(B8,Data_Bins!$A$2:$L$101,10,FALSE())</f>
        <v>0</v>
      </c>
      <c r="T8" s="0" t="str">
        <f aca="false">IF(AND(VLOOKUP(C8,Data_Candidates!$A$2:$Y$133,2,FALSE())&lt;=DATE(2025,1,31),VLOOKUP(C8,Data_Candidates!$A$2:$Y$133,3,FALSE())&gt;=DATE(2025,1,31),VLOOKUP(C8,Data_Candidates!$A$2:$Y$133,4,FALSE())="Y",VLOOKUP(C8,Data_Candidates!$A$2:$Y$133,5,FALSE())="NONE",VLOOKUP(C8,Data_Candidates!$A$2:$Y$133,25,FALSE())="Y"),"ELIGIBLE","INELIGIBLE")</f>
        <v>ELIGIBLE</v>
      </c>
      <c r="U8" s="0" t="str">
        <f aca="false">IF(AND(J8="OK",M8="OK",T8="ELIGIBLE",OR(O8="NONE",P8=O8),OR(Q8="N",AND(Q8="Y",R8="QTRACE",S8&gt;=DATE(2025,1,31))),OR(VLOOKUP(C8,Data_Candidates!$A$2:$Y$133,17,FALSE())="N",N8="L1")),"CLEAR","VIOLATION")</f>
        <v>CLEAR</v>
      </c>
      <c r="V8" s="0" t="str">
        <f aca="false">D9</f>
        <v>A</v>
      </c>
      <c r="W8" s="4" t="n">
        <f aca="false">IF(V8="",0,IF(D8=V8,0,1))</f>
        <v>0</v>
      </c>
    </row>
    <row r="9" customFormat="false" ht="15" hidden="false" customHeight="false" outlineLevel="0" collapsed="false">
      <c r="A9" s="0" t="n">
        <v>5</v>
      </c>
      <c r="B9" s="0" t="s">
        <v>33</v>
      </c>
      <c r="C9" s="0" t="s">
        <v>34</v>
      </c>
      <c r="D9" s="0" t="str">
        <f aca="false">VLOOKUP(C9,Data_Candidates!$A$2:$Y$133,14,FALSE())</f>
        <v>A</v>
      </c>
      <c r="E9" s="0" t="str">
        <f aca="false">VLOOKUP(C9,Data_Candidates!$A$2:$Y$133,22,FALSE())</f>
        <v>C05</v>
      </c>
      <c r="F9" s="4" t="n">
        <f aca="false">VLOOKUP(C9,Data_Candidates!$A$2:$Y$133,13,FALSE())</f>
        <v>4</v>
      </c>
      <c r="G9" s="4" t="n">
        <f aca="false">VLOOKUP(C9,Data_Candidates!$A$2:$Y$133,8,FALSE())</f>
        <v>1.2</v>
      </c>
      <c r="H9" s="4" t="n">
        <f aca="false">F9*G9</f>
        <v>4.8</v>
      </c>
      <c r="I9" s="4" t="n">
        <f aca="false">VLOOKUP(B9,Data_Bins!$A$2:$L$101,5,FALSE())</f>
        <v>100</v>
      </c>
      <c r="J9" s="0" t="str">
        <f aca="false">IF(H9&lt;=I9,"OK","WEIGHT")</f>
        <v>OK</v>
      </c>
      <c r="K9" s="0" t="n">
        <f aca="false">F9*VLOOKUP(C9,Data_Candidates!$A$2:$Y$133,9,FALSE())/0.7</f>
        <v>0.00571428571428572</v>
      </c>
      <c r="L9" s="0" t="n">
        <f aca="false">VLOOKUP(B9,Data_Bins!$A$2:$L$101,4,FALSE())</f>
        <v>0.02</v>
      </c>
      <c r="M9" s="0" t="str">
        <f aca="false">IF(K9&lt;=L9,"OK","CUBE")</f>
        <v>OK</v>
      </c>
      <c r="N9" s="0" t="str">
        <f aca="false">VLOOKUP(B9,Data_Bins!$A$2:$L$101,6,FALSE())</f>
        <v>L2</v>
      </c>
      <c r="O9" s="0" t="str">
        <f aca="false">VLOOKUP(C9,Data_Candidates!$A$2:$Y$133,15,FALSE())</f>
        <v>NONE</v>
      </c>
      <c r="P9" s="0" t="str">
        <f aca="false">VLOOKUP(B9,Data_Bins!$A$2:$L$101,8,FALSE())</f>
        <v>NONE</v>
      </c>
      <c r="Q9" s="0" t="str">
        <f aca="false">VLOOKUP(C9,Data_Candidates!$A$2:$Y$133,16,FALSE())</f>
        <v>N</v>
      </c>
      <c r="R9" s="0" t="n">
        <f aca="false">VLOOKUP(B9,Data_Bins!$A$2:$L$101,9,FALSE())</f>
        <v>0</v>
      </c>
      <c r="S9" s="0" t="n">
        <f aca="false">VLOOKUP(B9,Data_Bins!$A$2:$L$101,10,FALSE())</f>
        <v>0</v>
      </c>
      <c r="T9" s="0" t="str">
        <f aca="false">IF(AND(VLOOKUP(C9,Data_Candidates!$A$2:$Y$133,2,FALSE())&lt;=DATE(2025,1,31),VLOOKUP(C9,Data_Candidates!$A$2:$Y$133,3,FALSE())&gt;=DATE(2025,1,31),VLOOKUP(C9,Data_Candidates!$A$2:$Y$133,4,FALSE())="Y",VLOOKUP(C9,Data_Candidates!$A$2:$Y$133,5,FALSE())="NONE",VLOOKUP(C9,Data_Candidates!$A$2:$Y$133,25,FALSE())="Y"),"ELIGIBLE","INELIGIBLE")</f>
        <v>ELIGIBLE</v>
      </c>
      <c r="U9" s="0" t="str">
        <f aca="false">IF(AND(J9="OK",M9="OK",T9="ELIGIBLE",OR(O9="NONE",P9=O9),OR(Q9="N",AND(Q9="Y",R9="QTRACE",S9&gt;=DATE(2025,1,31))),OR(VLOOKUP(C9,Data_Candidates!$A$2:$Y$133,17,FALSE())="N",N9="L1")),"CLEAR","VIOLATION")</f>
        <v>CLEAR</v>
      </c>
      <c r="V9" s="0" t="str">
        <f aca="false">D10</f>
        <v>A</v>
      </c>
      <c r="W9" s="4" t="n">
        <f aca="false">IF(V9="",0,IF(D9=V9,0,1))</f>
        <v>0</v>
      </c>
    </row>
    <row r="10" customFormat="false" ht="15" hidden="false" customHeight="false" outlineLevel="0" collapsed="false">
      <c r="A10" s="0" t="n">
        <v>6</v>
      </c>
      <c r="B10" s="0" t="s">
        <v>35</v>
      </c>
      <c r="C10" s="0" t="s">
        <v>36</v>
      </c>
      <c r="D10" s="0" t="str">
        <f aca="false">VLOOKUP(C10,Data_Candidates!$A$2:$Y$133,14,FALSE())</f>
        <v>A</v>
      </c>
      <c r="E10" s="0" t="str">
        <f aca="false">VLOOKUP(C10,Data_Candidates!$A$2:$Y$133,22,FALSE())</f>
        <v>C06</v>
      </c>
      <c r="F10" s="4" t="n">
        <f aca="false">VLOOKUP(C10,Data_Candidates!$A$2:$Y$133,13,FALSE())</f>
        <v>4</v>
      </c>
      <c r="G10" s="4" t="n">
        <f aca="false">VLOOKUP(C10,Data_Candidates!$A$2:$Y$133,8,FALSE())</f>
        <v>1.2</v>
      </c>
      <c r="H10" s="4" t="n">
        <f aca="false">F10*G10</f>
        <v>4.8</v>
      </c>
      <c r="I10" s="4" t="n">
        <f aca="false">VLOOKUP(B10,Data_Bins!$A$2:$L$101,5,FALSE())</f>
        <v>100</v>
      </c>
      <c r="J10" s="0" t="str">
        <f aca="false">IF(H10&lt;=I10,"OK","WEIGHT")</f>
        <v>OK</v>
      </c>
      <c r="K10" s="0" t="n">
        <f aca="false">F10*VLOOKUP(C10,Data_Candidates!$A$2:$Y$133,9,FALSE())/0.7</f>
        <v>0.00571428571428572</v>
      </c>
      <c r="L10" s="0" t="n">
        <f aca="false">VLOOKUP(B10,Data_Bins!$A$2:$L$101,4,FALSE())</f>
        <v>0.02</v>
      </c>
      <c r="M10" s="0" t="str">
        <f aca="false">IF(K10&lt;=L10,"OK","CUBE")</f>
        <v>OK</v>
      </c>
      <c r="N10" s="0" t="str">
        <f aca="false">VLOOKUP(B10,Data_Bins!$A$2:$L$101,6,FALSE())</f>
        <v>L2</v>
      </c>
      <c r="O10" s="0" t="str">
        <f aca="false">VLOOKUP(C10,Data_Candidates!$A$2:$Y$133,15,FALSE())</f>
        <v>NONE</v>
      </c>
      <c r="P10" s="0" t="str">
        <f aca="false">VLOOKUP(B10,Data_Bins!$A$2:$L$101,8,FALSE())</f>
        <v>NONE</v>
      </c>
      <c r="Q10" s="0" t="str">
        <f aca="false">VLOOKUP(C10,Data_Candidates!$A$2:$Y$133,16,FALSE())</f>
        <v>N</v>
      </c>
      <c r="R10" s="0" t="n">
        <f aca="false">VLOOKUP(B10,Data_Bins!$A$2:$L$101,9,FALSE())</f>
        <v>0</v>
      </c>
      <c r="S10" s="0" t="n">
        <f aca="false">VLOOKUP(B10,Data_Bins!$A$2:$L$101,10,FALSE())</f>
        <v>0</v>
      </c>
      <c r="T10" s="0" t="str">
        <f aca="false">IF(AND(VLOOKUP(C10,Data_Candidates!$A$2:$Y$133,2,FALSE())&lt;=DATE(2025,1,31),VLOOKUP(C10,Data_Candidates!$A$2:$Y$133,3,FALSE())&gt;=DATE(2025,1,31),VLOOKUP(C10,Data_Candidates!$A$2:$Y$133,4,FALSE())="Y",VLOOKUP(C10,Data_Candidates!$A$2:$Y$133,5,FALSE())="NONE",VLOOKUP(C10,Data_Candidates!$A$2:$Y$133,25,FALSE())="Y"),"ELIGIBLE","INELIGIBLE")</f>
        <v>ELIGIBLE</v>
      </c>
      <c r="U10" s="0" t="str">
        <f aca="false">IF(AND(J10="OK",M10="OK",T10="ELIGIBLE",OR(O10="NONE",P10=O10),OR(Q10="N",AND(Q10="Y",R10="QTRACE",S10&gt;=DATE(2025,1,31))),OR(VLOOKUP(C10,Data_Candidates!$A$2:$Y$133,17,FALSE())="N",N10="L1")),"CLEAR","VIOLATION")</f>
        <v>CLEAR</v>
      </c>
      <c r="V10" s="0" t="str">
        <f aca="false">D11</f>
        <v>A</v>
      </c>
      <c r="W10" s="4" t="n">
        <f aca="false">IF(V10="",0,IF(D10=V10,0,1))</f>
        <v>0</v>
      </c>
    </row>
    <row r="11" customFormat="false" ht="15" hidden="false" customHeight="false" outlineLevel="0" collapsed="false">
      <c r="A11" s="0" t="n">
        <v>7</v>
      </c>
      <c r="B11" s="0" t="s">
        <v>37</v>
      </c>
      <c r="C11" s="0" t="s">
        <v>38</v>
      </c>
      <c r="D11" s="0" t="str">
        <f aca="false">VLOOKUP(C11,Data_Candidates!$A$2:$Y$133,14,FALSE())</f>
        <v>A</v>
      </c>
      <c r="E11" s="0" t="str">
        <f aca="false">VLOOKUP(C11,Data_Candidates!$A$2:$Y$133,22,FALSE())</f>
        <v>C07</v>
      </c>
      <c r="F11" s="4" t="n">
        <f aca="false">VLOOKUP(C11,Data_Candidates!$A$2:$Y$133,13,FALSE())</f>
        <v>4</v>
      </c>
      <c r="G11" s="4" t="n">
        <f aca="false">VLOOKUP(C11,Data_Candidates!$A$2:$Y$133,8,FALSE())</f>
        <v>1.2</v>
      </c>
      <c r="H11" s="4" t="n">
        <f aca="false">F11*G11</f>
        <v>4.8</v>
      </c>
      <c r="I11" s="4" t="n">
        <f aca="false">VLOOKUP(B11,Data_Bins!$A$2:$L$101,5,FALSE())</f>
        <v>100</v>
      </c>
      <c r="J11" s="0" t="str">
        <f aca="false">IF(H11&lt;=I11,"OK","WEIGHT")</f>
        <v>OK</v>
      </c>
      <c r="K11" s="0" t="n">
        <f aca="false">F11*VLOOKUP(C11,Data_Candidates!$A$2:$Y$133,9,FALSE())/0.7</f>
        <v>0.00571428571428572</v>
      </c>
      <c r="L11" s="0" t="n">
        <f aca="false">VLOOKUP(B11,Data_Bins!$A$2:$L$101,4,FALSE())</f>
        <v>0.02</v>
      </c>
      <c r="M11" s="0" t="str">
        <f aca="false">IF(K11&lt;=L11,"OK","CUBE")</f>
        <v>OK</v>
      </c>
      <c r="N11" s="0" t="str">
        <f aca="false">VLOOKUP(B11,Data_Bins!$A$2:$L$101,6,FALSE())</f>
        <v>L2</v>
      </c>
      <c r="O11" s="0" t="str">
        <f aca="false">VLOOKUP(C11,Data_Candidates!$A$2:$Y$133,15,FALSE())</f>
        <v>NONE</v>
      </c>
      <c r="P11" s="0" t="str">
        <f aca="false">VLOOKUP(B11,Data_Bins!$A$2:$L$101,8,FALSE())</f>
        <v>NONE</v>
      </c>
      <c r="Q11" s="0" t="str">
        <f aca="false">VLOOKUP(C11,Data_Candidates!$A$2:$Y$133,16,FALSE())</f>
        <v>N</v>
      </c>
      <c r="R11" s="0" t="n">
        <f aca="false">VLOOKUP(B11,Data_Bins!$A$2:$L$101,9,FALSE())</f>
        <v>0</v>
      </c>
      <c r="S11" s="0" t="n">
        <f aca="false">VLOOKUP(B11,Data_Bins!$A$2:$L$101,10,FALSE())</f>
        <v>0</v>
      </c>
      <c r="T11" s="0" t="str">
        <f aca="false">IF(AND(VLOOKUP(C11,Data_Candidates!$A$2:$Y$133,2,FALSE())&lt;=DATE(2025,1,31),VLOOKUP(C11,Data_Candidates!$A$2:$Y$133,3,FALSE())&gt;=DATE(2025,1,31),VLOOKUP(C11,Data_Candidates!$A$2:$Y$133,4,FALSE())="Y",VLOOKUP(C11,Data_Candidates!$A$2:$Y$133,5,FALSE())="NONE",VLOOKUP(C11,Data_Candidates!$A$2:$Y$133,25,FALSE())="Y"),"ELIGIBLE","INELIGIBLE")</f>
        <v>ELIGIBLE</v>
      </c>
      <c r="U11" s="0" t="str">
        <f aca="false">IF(AND(J11="OK",M11="OK",T11="ELIGIBLE",OR(O11="NONE",P11=O11),OR(Q11="N",AND(Q11="Y",R11="QTRACE",S11&gt;=DATE(2025,1,31))),OR(VLOOKUP(C11,Data_Candidates!$A$2:$Y$133,17,FALSE())="N",N11="L1")),"CLEAR","VIOLATION")</f>
        <v>CLEAR</v>
      </c>
      <c r="V11" s="0" t="str">
        <f aca="false">D12</f>
        <v>A</v>
      </c>
      <c r="W11" s="4" t="n">
        <f aca="false">IF(V11="",0,IF(D11=V11,0,1))</f>
        <v>0</v>
      </c>
    </row>
    <row r="12" customFormat="false" ht="15" hidden="false" customHeight="false" outlineLevel="0" collapsed="false">
      <c r="A12" s="0" t="n">
        <v>8</v>
      </c>
      <c r="B12" s="0" t="s">
        <v>39</v>
      </c>
      <c r="C12" s="0" t="s">
        <v>40</v>
      </c>
      <c r="D12" s="0" t="str">
        <f aca="false">VLOOKUP(C12,Data_Candidates!$A$2:$Y$133,14,FALSE())</f>
        <v>A</v>
      </c>
      <c r="E12" s="0" t="str">
        <f aca="false">VLOOKUP(C12,Data_Candidates!$A$2:$Y$133,22,FALSE())</f>
        <v>C08</v>
      </c>
      <c r="F12" s="4" t="n">
        <f aca="false">VLOOKUP(C12,Data_Candidates!$A$2:$Y$133,13,FALSE())</f>
        <v>4</v>
      </c>
      <c r="G12" s="4" t="n">
        <f aca="false">VLOOKUP(C12,Data_Candidates!$A$2:$Y$133,8,FALSE())</f>
        <v>1.2</v>
      </c>
      <c r="H12" s="4" t="n">
        <f aca="false">F12*G12</f>
        <v>4.8</v>
      </c>
      <c r="I12" s="4" t="n">
        <f aca="false">VLOOKUP(B12,Data_Bins!$A$2:$L$101,5,FALSE())</f>
        <v>100</v>
      </c>
      <c r="J12" s="0" t="str">
        <f aca="false">IF(H12&lt;=I12,"OK","WEIGHT")</f>
        <v>OK</v>
      </c>
      <c r="K12" s="0" t="n">
        <f aca="false">F12*VLOOKUP(C12,Data_Candidates!$A$2:$Y$133,9,FALSE())/0.7</f>
        <v>0.00571428571428572</v>
      </c>
      <c r="L12" s="0" t="n">
        <f aca="false">VLOOKUP(B12,Data_Bins!$A$2:$L$101,4,FALSE())</f>
        <v>0.02</v>
      </c>
      <c r="M12" s="0" t="str">
        <f aca="false">IF(K12&lt;=L12,"OK","CUBE")</f>
        <v>OK</v>
      </c>
      <c r="N12" s="0" t="str">
        <f aca="false">VLOOKUP(B12,Data_Bins!$A$2:$L$101,6,FALSE())</f>
        <v>L2</v>
      </c>
      <c r="O12" s="0" t="str">
        <f aca="false">VLOOKUP(C12,Data_Candidates!$A$2:$Y$133,15,FALSE())</f>
        <v>NONE</v>
      </c>
      <c r="P12" s="0" t="str">
        <f aca="false">VLOOKUP(B12,Data_Bins!$A$2:$L$101,8,FALSE())</f>
        <v>NONE</v>
      </c>
      <c r="Q12" s="0" t="str">
        <f aca="false">VLOOKUP(C12,Data_Candidates!$A$2:$Y$133,16,FALSE())</f>
        <v>N</v>
      </c>
      <c r="R12" s="0" t="n">
        <f aca="false">VLOOKUP(B12,Data_Bins!$A$2:$L$101,9,FALSE())</f>
        <v>0</v>
      </c>
      <c r="S12" s="0" t="n">
        <f aca="false">VLOOKUP(B12,Data_Bins!$A$2:$L$101,10,FALSE())</f>
        <v>0</v>
      </c>
      <c r="T12" s="0" t="str">
        <f aca="false">IF(AND(VLOOKUP(C12,Data_Candidates!$A$2:$Y$133,2,FALSE())&lt;=DATE(2025,1,31),VLOOKUP(C12,Data_Candidates!$A$2:$Y$133,3,FALSE())&gt;=DATE(2025,1,31),VLOOKUP(C12,Data_Candidates!$A$2:$Y$133,4,FALSE())="Y",VLOOKUP(C12,Data_Candidates!$A$2:$Y$133,5,FALSE())="NONE",VLOOKUP(C12,Data_Candidates!$A$2:$Y$133,25,FALSE())="Y"),"ELIGIBLE","INELIGIBLE")</f>
        <v>ELIGIBLE</v>
      </c>
      <c r="U12" s="0" t="str">
        <f aca="false">IF(AND(J12="OK",M12="OK",T12="ELIGIBLE",OR(O12="NONE",P12=O12),OR(Q12="N",AND(Q12="Y",R12="QTRACE",S12&gt;=DATE(2025,1,31))),OR(VLOOKUP(C12,Data_Candidates!$A$2:$Y$133,17,FALSE())="N",N12="L1")),"CLEAR","VIOLATION")</f>
        <v>CLEAR</v>
      </c>
      <c r="V12" s="0" t="str">
        <f aca="false">D13</f>
        <v>A</v>
      </c>
      <c r="W12" s="4" t="n">
        <f aca="false">IF(V12="",0,IF(D12=V12,0,1))</f>
        <v>0</v>
      </c>
    </row>
    <row r="13" customFormat="false" ht="15" hidden="false" customHeight="false" outlineLevel="0" collapsed="false">
      <c r="A13" s="0" t="n">
        <v>9</v>
      </c>
      <c r="B13" s="0" t="s">
        <v>41</v>
      </c>
      <c r="C13" s="0" t="s">
        <v>42</v>
      </c>
      <c r="D13" s="0" t="str">
        <f aca="false">VLOOKUP(C13,Data_Candidates!$A$2:$Y$133,14,FALSE())</f>
        <v>A</v>
      </c>
      <c r="E13" s="0" t="str">
        <f aca="false">VLOOKUP(C13,Data_Candidates!$A$2:$Y$133,22,FALSE())</f>
        <v>C09</v>
      </c>
      <c r="F13" s="4" t="n">
        <f aca="false">VLOOKUP(C13,Data_Candidates!$A$2:$Y$133,13,FALSE())</f>
        <v>4</v>
      </c>
      <c r="G13" s="4" t="n">
        <f aca="false">VLOOKUP(C13,Data_Candidates!$A$2:$Y$133,8,FALSE())</f>
        <v>1.2</v>
      </c>
      <c r="H13" s="4" t="n">
        <f aca="false">F13*G13</f>
        <v>4.8</v>
      </c>
      <c r="I13" s="4" t="n">
        <f aca="false">VLOOKUP(B13,Data_Bins!$A$2:$L$101,5,FALSE())</f>
        <v>100</v>
      </c>
      <c r="J13" s="0" t="str">
        <f aca="false">IF(H13&lt;=I13,"OK","WEIGHT")</f>
        <v>OK</v>
      </c>
      <c r="K13" s="0" t="n">
        <f aca="false">F13*VLOOKUP(C13,Data_Candidates!$A$2:$Y$133,9,FALSE())/0.7</f>
        <v>0.00571428571428572</v>
      </c>
      <c r="L13" s="0" t="n">
        <f aca="false">VLOOKUP(B13,Data_Bins!$A$2:$L$101,4,FALSE())</f>
        <v>0.02</v>
      </c>
      <c r="M13" s="0" t="str">
        <f aca="false">IF(K13&lt;=L13,"OK","CUBE")</f>
        <v>OK</v>
      </c>
      <c r="N13" s="0" t="str">
        <f aca="false">VLOOKUP(B13,Data_Bins!$A$2:$L$101,6,FALSE())</f>
        <v>L2</v>
      </c>
      <c r="O13" s="0" t="str">
        <f aca="false">VLOOKUP(C13,Data_Candidates!$A$2:$Y$133,15,FALSE())</f>
        <v>NONE</v>
      </c>
      <c r="P13" s="0" t="str">
        <f aca="false">VLOOKUP(B13,Data_Bins!$A$2:$L$101,8,FALSE())</f>
        <v>NONE</v>
      </c>
      <c r="Q13" s="0" t="str">
        <f aca="false">VLOOKUP(C13,Data_Candidates!$A$2:$Y$133,16,FALSE())</f>
        <v>N</v>
      </c>
      <c r="R13" s="0" t="n">
        <f aca="false">VLOOKUP(B13,Data_Bins!$A$2:$L$101,9,FALSE())</f>
        <v>0</v>
      </c>
      <c r="S13" s="0" t="n">
        <f aca="false">VLOOKUP(B13,Data_Bins!$A$2:$L$101,10,FALSE())</f>
        <v>0</v>
      </c>
      <c r="T13" s="0" t="str">
        <f aca="false">IF(AND(VLOOKUP(C13,Data_Candidates!$A$2:$Y$133,2,FALSE())&lt;=DATE(2025,1,31),VLOOKUP(C13,Data_Candidates!$A$2:$Y$133,3,FALSE())&gt;=DATE(2025,1,31),VLOOKUP(C13,Data_Candidates!$A$2:$Y$133,4,FALSE())="Y",VLOOKUP(C13,Data_Candidates!$A$2:$Y$133,5,FALSE())="NONE",VLOOKUP(C13,Data_Candidates!$A$2:$Y$133,25,FALSE())="Y"),"ELIGIBLE","INELIGIBLE")</f>
        <v>ELIGIBLE</v>
      </c>
      <c r="U13" s="0" t="str">
        <f aca="false">IF(AND(J13="OK",M13="OK",T13="ELIGIBLE",OR(O13="NONE",P13=O13),OR(Q13="N",AND(Q13="Y",R13="QTRACE",S13&gt;=DATE(2025,1,31))),OR(VLOOKUP(C13,Data_Candidates!$A$2:$Y$133,17,FALSE())="N",N13="L1")),"CLEAR","VIOLATION")</f>
        <v>CLEAR</v>
      </c>
      <c r="V13" s="0" t="str">
        <f aca="false">D14</f>
        <v>A</v>
      </c>
      <c r="W13" s="4" t="n">
        <f aca="false">IF(V13="",0,IF(D13=V13,0,1))</f>
        <v>0</v>
      </c>
    </row>
    <row r="14" customFormat="false" ht="15" hidden="false" customHeight="false" outlineLevel="0" collapsed="false">
      <c r="A14" s="0" t="n">
        <v>10</v>
      </c>
      <c r="B14" s="0" t="s">
        <v>43</v>
      </c>
      <c r="C14" s="0" t="s">
        <v>44</v>
      </c>
      <c r="D14" s="0" t="str">
        <f aca="false">VLOOKUP(C14,Data_Candidates!$A$2:$Y$133,14,FALSE())</f>
        <v>A</v>
      </c>
      <c r="E14" s="0" t="str">
        <f aca="false">VLOOKUP(C14,Data_Candidates!$A$2:$Y$133,22,FALSE())</f>
        <v>C10</v>
      </c>
      <c r="F14" s="4" t="n">
        <f aca="false">VLOOKUP(C14,Data_Candidates!$A$2:$Y$133,13,FALSE())</f>
        <v>4</v>
      </c>
      <c r="G14" s="4" t="n">
        <f aca="false">VLOOKUP(C14,Data_Candidates!$A$2:$Y$133,8,FALSE())</f>
        <v>1.2</v>
      </c>
      <c r="H14" s="4" t="n">
        <f aca="false">F14*G14</f>
        <v>4.8</v>
      </c>
      <c r="I14" s="4" t="n">
        <f aca="false">VLOOKUP(B14,Data_Bins!$A$2:$L$101,5,FALSE())</f>
        <v>100</v>
      </c>
      <c r="J14" s="0" t="str">
        <f aca="false">IF(H14&lt;=I14,"OK","WEIGHT")</f>
        <v>OK</v>
      </c>
      <c r="K14" s="0" t="n">
        <f aca="false">F14*VLOOKUP(C14,Data_Candidates!$A$2:$Y$133,9,FALSE())/0.7</f>
        <v>0.00571428571428572</v>
      </c>
      <c r="L14" s="0" t="n">
        <f aca="false">VLOOKUP(B14,Data_Bins!$A$2:$L$101,4,FALSE())</f>
        <v>0.02</v>
      </c>
      <c r="M14" s="0" t="str">
        <f aca="false">IF(K14&lt;=L14,"OK","CUBE")</f>
        <v>OK</v>
      </c>
      <c r="N14" s="0" t="str">
        <f aca="false">VLOOKUP(B14,Data_Bins!$A$2:$L$101,6,FALSE())</f>
        <v>L2</v>
      </c>
      <c r="O14" s="0" t="str">
        <f aca="false">VLOOKUP(C14,Data_Candidates!$A$2:$Y$133,15,FALSE())</f>
        <v>NONE</v>
      </c>
      <c r="P14" s="0" t="str">
        <f aca="false">VLOOKUP(B14,Data_Bins!$A$2:$L$101,8,FALSE())</f>
        <v>NONE</v>
      </c>
      <c r="Q14" s="0" t="str">
        <f aca="false">VLOOKUP(C14,Data_Candidates!$A$2:$Y$133,16,FALSE())</f>
        <v>N</v>
      </c>
      <c r="R14" s="0" t="n">
        <f aca="false">VLOOKUP(B14,Data_Bins!$A$2:$L$101,9,FALSE())</f>
        <v>0</v>
      </c>
      <c r="S14" s="0" t="n">
        <f aca="false">VLOOKUP(B14,Data_Bins!$A$2:$L$101,10,FALSE())</f>
        <v>0</v>
      </c>
      <c r="T14" s="0" t="str">
        <f aca="false">IF(AND(VLOOKUP(C14,Data_Candidates!$A$2:$Y$133,2,FALSE())&lt;=DATE(2025,1,31),VLOOKUP(C14,Data_Candidates!$A$2:$Y$133,3,FALSE())&gt;=DATE(2025,1,31),VLOOKUP(C14,Data_Candidates!$A$2:$Y$133,4,FALSE())="Y",VLOOKUP(C14,Data_Candidates!$A$2:$Y$133,5,FALSE())="NONE",VLOOKUP(C14,Data_Candidates!$A$2:$Y$133,25,FALSE())="Y"),"ELIGIBLE","INELIGIBLE")</f>
        <v>ELIGIBLE</v>
      </c>
      <c r="U14" s="0" t="str">
        <f aca="false">IF(AND(J14="OK",M14="OK",T14="ELIGIBLE",OR(O14="NONE",P14=O14),OR(Q14="N",AND(Q14="Y",R14="QTRACE",S14&gt;=DATE(2025,1,31))),OR(VLOOKUP(C14,Data_Candidates!$A$2:$Y$133,17,FALSE())="N",N14="L1")),"CLEAR","VIOLATION")</f>
        <v>CLEAR</v>
      </c>
      <c r="V14" s="0" t="str">
        <f aca="false">D15</f>
        <v>A</v>
      </c>
      <c r="W14" s="4" t="n">
        <f aca="false">IF(V14="",0,IF(D14=V14,0,1))</f>
        <v>0</v>
      </c>
    </row>
    <row r="15" customFormat="false" ht="15" hidden="false" customHeight="false" outlineLevel="0" collapsed="false">
      <c r="A15" s="0" t="n">
        <v>11</v>
      </c>
      <c r="B15" s="0" t="s">
        <v>45</v>
      </c>
      <c r="C15" s="0" t="s">
        <v>46</v>
      </c>
      <c r="D15" s="0" t="str">
        <f aca="false">VLOOKUP(C15,Data_Candidates!$A$2:$Y$133,14,FALSE())</f>
        <v>A</v>
      </c>
      <c r="E15" s="0" t="str">
        <f aca="false">VLOOKUP(C15,Data_Candidates!$A$2:$Y$133,22,FALSE())</f>
        <v>C11</v>
      </c>
      <c r="F15" s="4" t="n">
        <f aca="false">VLOOKUP(C15,Data_Candidates!$A$2:$Y$133,13,FALSE())</f>
        <v>4</v>
      </c>
      <c r="G15" s="4" t="n">
        <f aca="false">VLOOKUP(C15,Data_Candidates!$A$2:$Y$133,8,FALSE())</f>
        <v>1.2</v>
      </c>
      <c r="H15" s="4" t="n">
        <f aca="false">F15*G15</f>
        <v>4.8</v>
      </c>
      <c r="I15" s="4" t="n">
        <f aca="false">VLOOKUP(B15,Data_Bins!$A$2:$L$101,5,FALSE())</f>
        <v>100</v>
      </c>
      <c r="J15" s="0" t="str">
        <f aca="false">IF(H15&lt;=I15,"OK","WEIGHT")</f>
        <v>OK</v>
      </c>
      <c r="K15" s="0" t="n">
        <f aca="false">F15*VLOOKUP(C15,Data_Candidates!$A$2:$Y$133,9,FALSE())/0.7</f>
        <v>0.00571428571428572</v>
      </c>
      <c r="L15" s="0" t="n">
        <f aca="false">VLOOKUP(B15,Data_Bins!$A$2:$L$101,4,FALSE())</f>
        <v>0.02</v>
      </c>
      <c r="M15" s="0" t="str">
        <f aca="false">IF(K15&lt;=L15,"OK","CUBE")</f>
        <v>OK</v>
      </c>
      <c r="N15" s="0" t="str">
        <f aca="false">VLOOKUP(B15,Data_Bins!$A$2:$L$101,6,FALSE())</f>
        <v>L2</v>
      </c>
      <c r="O15" s="0" t="str">
        <f aca="false">VLOOKUP(C15,Data_Candidates!$A$2:$Y$133,15,FALSE())</f>
        <v>NONE</v>
      </c>
      <c r="P15" s="0" t="str">
        <f aca="false">VLOOKUP(B15,Data_Bins!$A$2:$L$101,8,FALSE())</f>
        <v>NONE</v>
      </c>
      <c r="Q15" s="0" t="str">
        <f aca="false">VLOOKUP(C15,Data_Candidates!$A$2:$Y$133,16,FALSE())</f>
        <v>N</v>
      </c>
      <c r="R15" s="0" t="n">
        <f aca="false">VLOOKUP(B15,Data_Bins!$A$2:$L$101,9,FALSE())</f>
        <v>0</v>
      </c>
      <c r="S15" s="0" t="n">
        <f aca="false">VLOOKUP(B15,Data_Bins!$A$2:$L$101,10,FALSE())</f>
        <v>0</v>
      </c>
      <c r="T15" s="0" t="str">
        <f aca="false">IF(AND(VLOOKUP(C15,Data_Candidates!$A$2:$Y$133,2,FALSE())&lt;=DATE(2025,1,31),VLOOKUP(C15,Data_Candidates!$A$2:$Y$133,3,FALSE())&gt;=DATE(2025,1,31),VLOOKUP(C15,Data_Candidates!$A$2:$Y$133,4,FALSE())="Y",VLOOKUP(C15,Data_Candidates!$A$2:$Y$133,5,FALSE())="NONE",VLOOKUP(C15,Data_Candidates!$A$2:$Y$133,25,FALSE())="Y"),"ELIGIBLE","INELIGIBLE")</f>
        <v>ELIGIBLE</v>
      </c>
      <c r="U15" s="0" t="str">
        <f aca="false">IF(AND(J15="OK",M15="OK",T15="ELIGIBLE",OR(O15="NONE",P15=O15),OR(Q15="N",AND(Q15="Y",R15="QTRACE",S15&gt;=DATE(2025,1,31))),OR(VLOOKUP(C15,Data_Candidates!$A$2:$Y$133,17,FALSE())="N",N15="L1")),"CLEAR","VIOLATION")</f>
        <v>CLEAR</v>
      </c>
      <c r="V15" s="0" t="str">
        <f aca="false">D16</f>
        <v>A</v>
      </c>
      <c r="W15" s="4" t="n">
        <f aca="false">IF(V15="",0,IF(D15=V15,0,1))</f>
        <v>0</v>
      </c>
    </row>
    <row r="16" customFormat="false" ht="15" hidden="false" customHeight="false" outlineLevel="0" collapsed="false">
      <c r="A16" s="0" t="n">
        <v>12</v>
      </c>
      <c r="B16" s="0" t="s">
        <v>47</v>
      </c>
      <c r="C16" s="0" t="s">
        <v>48</v>
      </c>
      <c r="D16" s="0" t="str">
        <f aca="false">VLOOKUP(C16,Data_Candidates!$A$2:$Y$133,14,FALSE())</f>
        <v>A</v>
      </c>
      <c r="E16" s="0" t="str">
        <f aca="false">VLOOKUP(C16,Data_Candidates!$A$2:$Y$133,22,FALSE())</f>
        <v>C12</v>
      </c>
      <c r="F16" s="4" t="n">
        <f aca="false">VLOOKUP(C16,Data_Candidates!$A$2:$Y$133,13,FALSE())</f>
        <v>4</v>
      </c>
      <c r="G16" s="4" t="n">
        <f aca="false">VLOOKUP(C16,Data_Candidates!$A$2:$Y$133,8,FALSE())</f>
        <v>1.2</v>
      </c>
      <c r="H16" s="4" t="n">
        <f aca="false">F16*G16</f>
        <v>4.8</v>
      </c>
      <c r="I16" s="4" t="n">
        <f aca="false">VLOOKUP(B16,Data_Bins!$A$2:$L$101,5,FALSE())</f>
        <v>100</v>
      </c>
      <c r="J16" s="0" t="str">
        <f aca="false">IF(H16&lt;=I16,"OK","WEIGHT")</f>
        <v>OK</v>
      </c>
      <c r="K16" s="0" t="n">
        <f aca="false">F16*VLOOKUP(C16,Data_Candidates!$A$2:$Y$133,9,FALSE())/0.7</f>
        <v>0.00571428571428572</v>
      </c>
      <c r="L16" s="0" t="n">
        <f aca="false">VLOOKUP(B16,Data_Bins!$A$2:$L$101,4,FALSE())</f>
        <v>0.02</v>
      </c>
      <c r="M16" s="0" t="str">
        <f aca="false">IF(K16&lt;=L16,"OK","CUBE")</f>
        <v>OK</v>
      </c>
      <c r="N16" s="0" t="str">
        <f aca="false">VLOOKUP(B16,Data_Bins!$A$2:$L$101,6,FALSE())</f>
        <v>L2</v>
      </c>
      <c r="O16" s="0" t="str">
        <f aca="false">VLOOKUP(C16,Data_Candidates!$A$2:$Y$133,15,FALSE())</f>
        <v>NONE</v>
      </c>
      <c r="P16" s="0" t="str">
        <f aca="false">VLOOKUP(B16,Data_Bins!$A$2:$L$101,8,FALSE())</f>
        <v>NONE</v>
      </c>
      <c r="Q16" s="0" t="str">
        <f aca="false">VLOOKUP(C16,Data_Candidates!$A$2:$Y$133,16,FALSE())</f>
        <v>N</v>
      </c>
      <c r="R16" s="0" t="n">
        <f aca="false">VLOOKUP(B16,Data_Bins!$A$2:$L$101,9,FALSE())</f>
        <v>0</v>
      </c>
      <c r="S16" s="0" t="n">
        <f aca="false">VLOOKUP(B16,Data_Bins!$A$2:$L$101,10,FALSE())</f>
        <v>0</v>
      </c>
      <c r="T16" s="0" t="str">
        <f aca="false">IF(AND(VLOOKUP(C16,Data_Candidates!$A$2:$Y$133,2,FALSE())&lt;=DATE(2025,1,31),VLOOKUP(C16,Data_Candidates!$A$2:$Y$133,3,FALSE())&gt;=DATE(2025,1,31),VLOOKUP(C16,Data_Candidates!$A$2:$Y$133,4,FALSE())="Y",VLOOKUP(C16,Data_Candidates!$A$2:$Y$133,5,FALSE())="NONE",VLOOKUP(C16,Data_Candidates!$A$2:$Y$133,25,FALSE())="Y"),"ELIGIBLE","INELIGIBLE")</f>
        <v>ELIGIBLE</v>
      </c>
      <c r="U16" s="0" t="str">
        <f aca="false">IF(AND(J16="OK",M16="OK",T16="ELIGIBLE",OR(O16="NONE",P16=O16),OR(Q16="N",AND(Q16="Y",R16="QTRACE",S16&gt;=DATE(2025,1,31))),OR(VLOOKUP(C16,Data_Candidates!$A$2:$Y$133,17,FALSE())="N",N16="L1")),"CLEAR","VIOLATION")</f>
        <v>CLEAR</v>
      </c>
      <c r="V16" s="0" t="str">
        <f aca="false">D17</f>
        <v>A</v>
      </c>
      <c r="W16" s="4" t="n">
        <f aca="false">IF(V16="",0,IF(D16=V16,0,1))</f>
        <v>0</v>
      </c>
    </row>
    <row r="17" customFormat="false" ht="15" hidden="false" customHeight="false" outlineLevel="0" collapsed="false">
      <c r="A17" s="0" t="n">
        <v>13</v>
      </c>
      <c r="B17" s="0" t="s">
        <v>49</v>
      </c>
      <c r="C17" s="0" t="s">
        <v>50</v>
      </c>
      <c r="D17" s="0" t="str">
        <f aca="false">VLOOKUP(C17,Data_Candidates!$A$2:$Y$133,14,FALSE())</f>
        <v>A</v>
      </c>
      <c r="E17" s="0" t="str">
        <f aca="false">VLOOKUP(C17,Data_Candidates!$A$2:$Y$133,22,FALSE())</f>
        <v>C13</v>
      </c>
      <c r="F17" s="4" t="n">
        <f aca="false">VLOOKUP(C17,Data_Candidates!$A$2:$Y$133,13,FALSE())</f>
        <v>4</v>
      </c>
      <c r="G17" s="4" t="n">
        <f aca="false">VLOOKUP(C17,Data_Candidates!$A$2:$Y$133,8,FALSE())</f>
        <v>1.2</v>
      </c>
      <c r="H17" s="4" t="n">
        <f aca="false">F17*G17</f>
        <v>4.8</v>
      </c>
      <c r="I17" s="4" t="n">
        <f aca="false">VLOOKUP(B17,Data_Bins!$A$2:$L$101,5,FALSE())</f>
        <v>100</v>
      </c>
      <c r="J17" s="0" t="str">
        <f aca="false">IF(H17&lt;=I17,"OK","WEIGHT")</f>
        <v>OK</v>
      </c>
      <c r="K17" s="0" t="n">
        <f aca="false">F17*VLOOKUP(C17,Data_Candidates!$A$2:$Y$133,9,FALSE())/0.7</f>
        <v>0.00571428571428572</v>
      </c>
      <c r="L17" s="0" t="n">
        <f aca="false">VLOOKUP(B17,Data_Bins!$A$2:$L$101,4,FALSE())</f>
        <v>0.02</v>
      </c>
      <c r="M17" s="0" t="str">
        <f aca="false">IF(K17&lt;=L17,"OK","CUBE")</f>
        <v>OK</v>
      </c>
      <c r="N17" s="0" t="str">
        <f aca="false">VLOOKUP(B17,Data_Bins!$A$2:$L$101,6,FALSE())</f>
        <v>L2</v>
      </c>
      <c r="O17" s="0" t="str">
        <f aca="false">VLOOKUP(C17,Data_Candidates!$A$2:$Y$133,15,FALSE())</f>
        <v>NONE</v>
      </c>
      <c r="P17" s="0" t="str">
        <f aca="false">VLOOKUP(B17,Data_Bins!$A$2:$L$101,8,FALSE())</f>
        <v>NONE</v>
      </c>
      <c r="Q17" s="0" t="str">
        <f aca="false">VLOOKUP(C17,Data_Candidates!$A$2:$Y$133,16,FALSE())</f>
        <v>N</v>
      </c>
      <c r="R17" s="0" t="n">
        <f aca="false">VLOOKUP(B17,Data_Bins!$A$2:$L$101,9,FALSE())</f>
        <v>0</v>
      </c>
      <c r="S17" s="0" t="n">
        <f aca="false">VLOOKUP(B17,Data_Bins!$A$2:$L$101,10,FALSE())</f>
        <v>0</v>
      </c>
      <c r="T17" s="0" t="str">
        <f aca="false">IF(AND(VLOOKUP(C17,Data_Candidates!$A$2:$Y$133,2,FALSE())&lt;=DATE(2025,1,31),VLOOKUP(C17,Data_Candidates!$A$2:$Y$133,3,FALSE())&gt;=DATE(2025,1,31),VLOOKUP(C17,Data_Candidates!$A$2:$Y$133,4,FALSE())="Y",VLOOKUP(C17,Data_Candidates!$A$2:$Y$133,5,FALSE())="NONE",VLOOKUP(C17,Data_Candidates!$A$2:$Y$133,25,FALSE())="Y"),"ELIGIBLE","INELIGIBLE")</f>
        <v>ELIGIBLE</v>
      </c>
      <c r="U17" s="0" t="str">
        <f aca="false">IF(AND(J17="OK",M17="OK",T17="ELIGIBLE",OR(O17="NONE",P17=O17),OR(Q17="N",AND(Q17="Y",R17="QTRACE",S17&gt;=DATE(2025,1,31))),OR(VLOOKUP(C17,Data_Candidates!$A$2:$Y$133,17,FALSE())="N",N17="L1")),"CLEAR","VIOLATION")</f>
        <v>CLEAR</v>
      </c>
      <c r="V17" s="0" t="str">
        <f aca="false">D18</f>
        <v>A</v>
      </c>
      <c r="W17" s="4" t="n">
        <f aca="false">IF(V17="",0,IF(D17=V17,0,1))</f>
        <v>0</v>
      </c>
    </row>
    <row r="18" customFormat="false" ht="15" hidden="false" customHeight="false" outlineLevel="0" collapsed="false">
      <c r="A18" s="0" t="n">
        <v>14</v>
      </c>
      <c r="B18" s="0" t="s">
        <v>51</v>
      </c>
      <c r="C18" s="0" t="s">
        <v>52</v>
      </c>
      <c r="D18" s="0" t="str">
        <f aca="false">VLOOKUP(C18,Data_Candidates!$A$2:$Y$133,14,FALSE())</f>
        <v>A</v>
      </c>
      <c r="E18" s="0" t="str">
        <f aca="false">VLOOKUP(C18,Data_Candidates!$A$2:$Y$133,22,FALSE())</f>
        <v>C14</v>
      </c>
      <c r="F18" s="4" t="n">
        <f aca="false">VLOOKUP(C18,Data_Candidates!$A$2:$Y$133,13,FALSE())</f>
        <v>4</v>
      </c>
      <c r="G18" s="4" t="n">
        <f aca="false">VLOOKUP(C18,Data_Candidates!$A$2:$Y$133,8,FALSE())</f>
        <v>1.2</v>
      </c>
      <c r="H18" s="4" t="n">
        <f aca="false">F18*G18</f>
        <v>4.8</v>
      </c>
      <c r="I18" s="4" t="n">
        <f aca="false">VLOOKUP(B18,Data_Bins!$A$2:$L$101,5,FALSE())</f>
        <v>100</v>
      </c>
      <c r="J18" s="0" t="str">
        <f aca="false">IF(H18&lt;=I18,"OK","WEIGHT")</f>
        <v>OK</v>
      </c>
      <c r="K18" s="0" t="n">
        <f aca="false">F18*VLOOKUP(C18,Data_Candidates!$A$2:$Y$133,9,FALSE())/0.7</f>
        <v>0.00571428571428572</v>
      </c>
      <c r="L18" s="0" t="n">
        <f aca="false">VLOOKUP(B18,Data_Bins!$A$2:$L$101,4,FALSE())</f>
        <v>0.02</v>
      </c>
      <c r="M18" s="0" t="str">
        <f aca="false">IF(K18&lt;=L18,"OK","CUBE")</f>
        <v>OK</v>
      </c>
      <c r="N18" s="0" t="str">
        <f aca="false">VLOOKUP(B18,Data_Bins!$A$2:$L$101,6,FALSE())</f>
        <v>L2</v>
      </c>
      <c r="O18" s="0" t="str">
        <f aca="false">VLOOKUP(C18,Data_Candidates!$A$2:$Y$133,15,FALSE())</f>
        <v>NONE</v>
      </c>
      <c r="P18" s="0" t="str">
        <f aca="false">VLOOKUP(B18,Data_Bins!$A$2:$L$101,8,FALSE())</f>
        <v>NONE</v>
      </c>
      <c r="Q18" s="0" t="str">
        <f aca="false">VLOOKUP(C18,Data_Candidates!$A$2:$Y$133,16,FALSE())</f>
        <v>N</v>
      </c>
      <c r="R18" s="0" t="n">
        <f aca="false">VLOOKUP(B18,Data_Bins!$A$2:$L$101,9,FALSE())</f>
        <v>0</v>
      </c>
      <c r="S18" s="0" t="n">
        <f aca="false">VLOOKUP(B18,Data_Bins!$A$2:$L$101,10,FALSE())</f>
        <v>0</v>
      </c>
      <c r="T18" s="0" t="str">
        <f aca="false">IF(AND(VLOOKUP(C18,Data_Candidates!$A$2:$Y$133,2,FALSE())&lt;=DATE(2025,1,31),VLOOKUP(C18,Data_Candidates!$A$2:$Y$133,3,FALSE())&gt;=DATE(2025,1,31),VLOOKUP(C18,Data_Candidates!$A$2:$Y$133,4,FALSE())="Y",VLOOKUP(C18,Data_Candidates!$A$2:$Y$133,5,FALSE())="NONE",VLOOKUP(C18,Data_Candidates!$A$2:$Y$133,25,FALSE())="Y"),"ELIGIBLE","INELIGIBLE")</f>
        <v>ELIGIBLE</v>
      </c>
      <c r="U18" s="0" t="str">
        <f aca="false">IF(AND(J18="OK",M18="OK",T18="ELIGIBLE",OR(O18="NONE",P18=O18),OR(Q18="N",AND(Q18="Y",R18="QTRACE",S18&gt;=DATE(2025,1,31))),OR(VLOOKUP(C18,Data_Candidates!$A$2:$Y$133,17,FALSE())="N",N18="L1")),"CLEAR","VIOLATION")</f>
        <v>CLEAR</v>
      </c>
      <c r="V18" s="0" t="str">
        <f aca="false">D19</f>
        <v>A</v>
      </c>
      <c r="W18" s="4" t="n">
        <f aca="false">IF(V18="",0,IF(D18=V18,0,1))</f>
        <v>0</v>
      </c>
    </row>
    <row r="19" customFormat="false" ht="15" hidden="false" customHeight="false" outlineLevel="0" collapsed="false">
      <c r="A19" s="0" t="n">
        <v>15</v>
      </c>
      <c r="B19" s="0" t="s">
        <v>53</v>
      </c>
      <c r="C19" s="0" t="s">
        <v>54</v>
      </c>
      <c r="D19" s="0" t="str">
        <f aca="false">VLOOKUP(C19,Data_Candidates!$A$2:$Y$133,14,FALSE())</f>
        <v>A</v>
      </c>
      <c r="E19" s="0" t="str">
        <f aca="false">VLOOKUP(C19,Data_Candidates!$A$2:$Y$133,22,FALSE())</f>
        <v>C01</v>
      </c>
      <c r="F19" s="4" t="n">
        <f aca="false">VLOOKUP(C19,Data_Candidates!$A$2:$Y$133,13,FALSE())</f>
        <v>4</v>
      </c>
      <c r="G19" s="4" t="n">
        <f aca="false">VLOOKUP(C19,Data_Candidates!$A$2:$Y$133,8,FALSE())</f>
        <v>1.2</v>
      </c>
      <c r="H19" s="4" t="n">
        <f aca="false">F19*G19</f>
        <v>4.8</v>
      </c>
      <c r="I19" s="4" t="n">
        <f aca="false">VLOOKUP(B19,Data_Bins!$A$2:$L$101,5,FALSE())</f>
        <v>100</v>
      </c>
      <c r="J19" s="0" t="str">
        <f aca="false">IF(H19&lt;=I19,"OK","WEIGHT")</f>
        <v>OK</v>
      </c>
      <c r="K19" s="0" t="n">
        <f aca="false">F19*VLOOKUP(C19,Data_Candidates!$A$2:$Y$133,9,FALSE())/0.7</f>
        <v>0.00571428571428572</v>
      </c>
      <c r="L19" s="0" t="n">
        <f aca="false">VLOOKUP(B19,Data_Bins!$A$2:$L$101,4,FALSE())</f>
        <v>0.02</v>
      </c>
      <c r="M19" s="0" t="str">
        <f aca="false">IF(K19&lt;=L19,"OK","CUBE")</f>
        <v>OK</v>
      </c>
      <c r="N19" s="0" t="str">
        <f aca="false">VLOOKUP(B19,Data_Bins!$A$2:$L$101,6,FALSE())</f>
        <v>L2</v>
      </c>
      <c r="O19" s="0" t="str">
        <f aca="false">VLOOKUP(C19,Data_Candidates!$A$2:$Y$133,15,FALSE())</f>
        <v>NONE</v>
      </c>
      <c r="P19" s="0" t="str">
        <f aca="false">VLOOKUP(B19,Data_Bins!$A$2:$L$101,8,FALSE())</f>
        <v>NONE</v>
      </c>
      <c r="Q19" s="0" t="str">
        <f aca="false">VLOOKUP(C19,Data_Candidates!$A$2:$Y$133,16,FALSE())</f>
        <v>N</v>
      </c>
      <c r="R19" s="0" t="n">
        <f aca="false">VLOOKUP(B19,Data_Bins!$A$2:$L$101,9,FALSE())</f>
        <v>0</v>
      </c>
      <c r="S19" s="0" t="n">
        <f aca="false">VLOOKUP(B19,Data_Bins!$A$2:$L$101,10,FALSE())</f>
        <v>0</v>
      </c>
      <c r="T19" s="0" t="str">
        <f aca="false">IF(AND(VLOOKUP(C19,Data_Candidates!$A$2:$Y$133,2,FALSE())&lt;=DATE(2025,1,31),VLOOKUP(C19,Data_Candidates!$A$2:$Y$133,3,FALSE())&gt;=DATE(2025,1,31),VLOOKUP(C19,Data_Candidates!$A$2:$Y$133,4,FALSE())="Y",VLOOKUP(C19,Data_Candidates!$A$2:$Y$133,5,FALSE())="NONE",VLOOKUP(C19,Data_Candidates!$A$2:$Y$133,25,FALSE())="Y"),"ELIGIBLE","INELIGIBLE")</f>
        <v>ELIGIBLE</v>
      </c>
      <c r="U19" s="0" t="str">
        <f aca="false">IF(AND(J19="OK",M19="OK",T19="ELIGIBLE",OR(O19="NONE",P19=O19),OR(Q19="N",AND(Q19="Y",R19="QTRACE",S19&gt;=DATE(2025,1,31))),OR(VLOOKUP(C19,Data_Candidates!$A$2:$Y$133,17,FALSE())="N",N19="L1")),"CLEAR","VIOLATION")</f>
        <v>CLEAR</v>
      </c>
      <c r="V19" s="0" t="str">
        <f aca="false">D20</f>
        <v>A</v>
      </c>
      <c r="W19" s="4" t="n">
        <f aca="false">IF(V19="",0,IF(D19=V19,0,1))</f>
        <v>0</v>
      </c>
    </row>
    <row r="20" customFormat="false" ht="15" hidden="false" customHeight="false" outlineLevel="0" collapsed="false">
      <c r="A20" s="0" t="n">
        <v>16</v>
      </c>
      <c r="B20" s="0" t="s">
        <v>55</v>
      </c>
      <c r="C20" s="0" t="s">
        <v>56</v>
      </c>
      <c r="D20" s="0" t="str">
        <f aca="false">VLOOKUP(C20,Data_Candidates!$A$2:$Y$133,14,FALSE())</f>
        <v>A</v>
      </c>
      <c r="E20" s="0" t="str">
        <f aca="false">VLOOKUP(C20,Data_Candidates!$A$2:$Y$133,22,FALSE())</f>
        <v>C01</v>
      </c>
      <c r="F20" s="4" t="n">
        <f aca="false">VLOOKUP(C20,Data_Candidates!$A$2:$Y$133,13,FALSE())</f>
        <v>4</v>
      </c>
      <c r="G20" s="4" t="n">
        <f aca="false">VLOOKUP(C20,Data_Candidates!$A$2:$Y$133,8,FALSE())</f>
        <v>1.2</v>
      </c>
      <c r="H20" s="4" t="n">
        <f aca="false">F20*G20</f>
        <v>4.8</v>
      </c>
      <c r="I20" s="4" t="n">
        <f aca="false">VLOOKUP(B20,Data_Bins!$A$2:$L$101,5,FALSE())</f>
        <v>100</v>
      </c>
      <c r="J20" s="0" t="str">
        <f aca="false">IF(H20&lt;=I20,"OK","WEIGHT")</f>
        <v>OK</v>
      </c>
      <c r="K20" s="0" t="n">
        <f aca="false">F20*VLOOKUP(C20,Data_Candidates!$A$2:$Y$133,9,FALSE())/0.7</f>
        <v>0.00571428571428572</v>
      </c>
      <c r="L20" s="0" t="n">
        <f aca="false">VLOOKUP(B20,Data_Bins!$A$2:$L$101,4,FALSE())</f>
        <v>0.02</v>
      </c>
      <c r="M20" s="0" t="str">
        <f aca="false">IF(K20&lt;=L20,"OK","CUBE")</f>
        <v>OK</v>
      </c>
      <c r="N20" s="0" t="str">
        <f aca="false">VLOOKUP(B20,Data_Bins!$A$2:$L$101,6,FALSE())</f>
        <v>L2</v>
      </c>
      <c r="O20" s="0" t="str">
        <f aca="false">VLOOKUP(C20,Data_Candidates!$A$2:$Y$133,15,FALSE())</f>
        <v>NONE</v>
      </c>
      <c r="P20" s="0" t="str">
        <f aca="false">VLOOKUP(B20,Data_Bins!$A$2:$L$101,8,FALSE())</f>
        <v>NONE</v>
      </c>
      <c r="Q20" s="0" t="str">
        <f aca="false">VLOOKUP(C20,Data_Candidates!$A$2:$Y$133,16,FALSE())</f>
        <v>N</v>
      </c>
      <c r="R20" s="0" t="n">
        <f aca="false">VLOOKUP(B20,Data_Bins!$A$2:$L$101,9,FALSE())</f>
        <v>0</v>
      </c>
      <c r="S20" s="0" t="n">
        <f aca="false">VLOOKUP(B20,Data_Bins!$A$2:$L$101,10,FALSE())</f>
        <v>0</v>
      </c>
      <c r="T20" s="0" t="str">
        <f aca="false">IF(AND(VLOOKUP(C20,Data_Candidates!$A$2:$Y$133,2,FALSE())&lt;=DATE(2025,1,31),VLOOKUP(C20,Data_Candidates!$A$2:$Y$133,3,FALSE())&gt;=DATE(2025,1,31),VLOOKUP(C20,Data_Candidates!$A$2:$Y$133,4,FALSE())="Y",VLOOKUP(C20,Data_Candidates!$A$2:$Y$133,5,FALSE())="NONE",VLOOKUP(C20,Data_Candidates!$A$2:$Y$133,25,FALSE())="Y"),"ELIGIBLE","INELIGIBLE")</f>
        <v>ELIGIBLE</v>
      </c>
      <c r="U20" s="0" t="str">
        <f aca="false">IF(AND(J20="OK",M20="OK",T20="ELIGIBLE",OR(O20="NONE",P20=O20),OR(Q20="N",AND(Q20="Y",R20="QTRACE",S20&gt;=DATE(2025,1,31))),OR(VLOOKUP(C20,Data_Candidates!$A$2:$Y$133,17,FALSE())="N",N20="L1")),"CLEAR","VIOLATION")</f>
        <v>CLEAR</v>
      </c>
      <c r="V20" s="0" t="str">
        <f aca="false">D21</f>
        <v>A</v>
      </c>
      <c r="W20" s="4" t="n">
        <f aca="false">IF(V20="",0,IF(D20=V20,0,1))</f>
        <v>0</v>
      </c>
    </row>
    <row r="21" customFormat="false" ht="15" hidden="false" customHeight="false" outlineLevel="0" collapsed="false">
      <c r="A21" s="0" t="n">
        <v>17</v>
      </c>
      <c r="B21" s="0" t="s">
        <v>57</v>
      </c>
      <c r="C21" s="0" t="s">
        <v>58</v>
      </c>
      <c r="D21" s="0" t="str">
        <f aca="false">VLOOKUP(C21,Data_Candidates!$A$2:$Y$133,14,FALSE())</f>
        <v>A</v>
      </c>
      <c r="E21" s="0" t="str">
        <f aca="false">VLOOKUP(C21,Data_Candidates!$A$2:$Y$133,22,FALSE())</f>
        <v>C01</v>
      </c>
      <c r="F21" s="4" t="n">
        <f aca="false">VLOOKUP(C21,Data_Candidates!$A$2:$Y$133,13,FALSE())</f>
        <v>4</v>
      </c>
      <c r="G21" s="4" t="n">
        <f aca="false">VLOOKUP(C21,Data_Candidates!$A$2:$Y$133,8,FALSE())</f>
        <v>1.2</v>
      </c>
      <c r="H21" s="4" t="n">
        <f aca="false">F21*G21</f>
        <v>4.8</v>
      </c>
      <c r="I21" s="4" t="n">
        <f aca="false">VLOOKUP(B21,Data_Bins!$A$2:$L$101,5,FALSE())</f>
        <v>100</v>
      </c>
      <c r="J21" s="0" t="str">
        <f aca="false">IF(H21&lt;=I21,"OK","WEIGHT")</f>
        <v>OK</v>
      </c>
      <c r="K21" s="0" t="n">
        <f aca="false">F21*VLOOKUP(C21,Data_Candidates!$A$2:$Y$133,9,FALSE())/0.7</f>
        <v>0.00571428571428572</v>
      </c>
      <c r="L21" s="0" t="n">
        <f aca="false">VLOOKUP(B21,Data_Bins!$A$2:$L$101,4,FALSE())</f>
        <v>0.02</v>
      </c>
      <c r="M21" s="0" t="str">
        <f aca="false">IF(K21&lt;=L21,"OK","CUBE")</f>
        <v>OK</v>
      </c>
      <c r="N21" s="0" t="str">
        <f aca="false">VLOOKUP(B21,Data_Bins!$A$2:$L$101,6,FALSE())</f>
        <v>L2</v>
      </c>
      <c r="O21" s="0" t="str">
        <f aca="false">VLOOKUP(C21,Data_Candidates!$A$2:$Y$133,15,FALSE())</f>
        <v>NONE</v>
      </c>
      <c r="P21" s="0" t="str">
        <f aca="false">VLOOKUP(B21,Data_Bins!$A$2:$L$101,8,FALSE())</f>
        <v>NONE</v>
      </c>
      <c r="Q21" s="0" t="str">
        <f aca="false">VLOOKUP(C21,Data_Candidates!$A$2:$Y$133,16,FALSE())</f>
        <v>N</v>
      </c>
      <c r="R21" s="0" t="n">
        <f aca="false">VLOOKUP(B21,Data_Bins!$A$2:$L$101,9,FALSE())</f>
        <v>0</v>
      </c>
      <c r="S21" s="0" t="n">
        <f aca="false">VLOOKUP(B21,Data_Bins!$A$2:$L$101,10,FALSE())</f>
        <v>0</v>
      </c>
      <c r="T21" s="0" t="str">
        <f aca="false">IF(AND(VLOOKUP(C21,Data_Candidates!$A$2:$Y$133,2,FALSE())&lt;=DATE(2025,1,31),VLOOKUP(C21,Data_Candidates!$A$2:$Y$133,3,FALSE())&gt;=DATE(2025,1,31),VLOOKUP(C21,Data_Candidates!$A$2:$Y$133,4,FALSE())="Y",VLOOKUP(C21,Data_Candidates!$A$2:$Y$133,5,FALSE())="NONE",VLOOKUP(C21,Data_Candidates!$A$2:$Y$133,25,FALSE())="Y"),"ELIGIBLE","INELIGIBLE")</f>
        <v>ELIGIBLE</v>
      </c>
      <c r="U21" s="0" t="str">
        <f aca="false">IF(AND(J21="OK",M21="OK",T21="ELIGIBLE",OR(O21="NONE",P21=O21),OR(Q21="N",AND(Q21="Y",R21="QTRACE",S21&gt;=DATE(2025,1,31))),OR(VLOOKUP(C21,Data_Candidates!$A$2:$Y$133,17,FALSE())="N",N21="L1")),"CLEAR","VIOLATION")</f>
        <v>CLEAR</v>
      </c>
      <c r="V21" s="0" t="str">
        <f aca="false">D22</f>
        <v>A</v>
      </c>
      <c r="W21" s="4" t="n">
        <f aca="false">IF(V21="",0,IF(D21=V21,0,1))</f>
        <v>0</v>
      </c>
    </row>
    <row r="22" customFormat="false" ht="15" hidden="false" customHeight="false" outlineLevel="0" collapsed="false">
      <c r="A22" s="0" t="n">
        <v>18</v>
      </c>
      <c r="B22" s="0" t="s">
        <v>59</v>
      </c>
      <c r="C22" s="0" t="s">
        <v>60</v>
      </c>
      <c r="D22" s="0" t="str">
        <f aca="false">VLOOKUP(C22,Data_Candidates!$A$2:$Y$133,14,FALSE())</f>
        <v>A</v>
      </c>
      <c r="E22" s="0" t="str">
        <f aca="false">VLOOKUP(C22,Data_Candidates!$A$2:$Y$133,22,FALSE())</f>
        <v>C01</v>
      </c>
      <c r="F22" s="4" t="n">
        <f aca="false">VLOOKUP(C22,Data_Candidates!$A$2:$Y$133,13,FALSE())</f>
        <v>4</v>
      </c>
      <c r="G22" s="4" t="n">
        <f aca="false">VLOOKUP(C22,Data_Candidates!$A$2:$Y$133,8,FALSE())</f>
        <v>1.2</v>
      </c>
      <c r="H22" s="4" t="n">
        <f aca="false">F22*G22</f>
        <v>4.8</v>
      </c>
      <c r="I22" s="4" t="n">
        <f aca="false">VLOOKUP(B22,Data_Bins!$A$2:$L$101,5,FALSE())</f>
        <v>100</v>
      </c>
      <c r="J22" s="0" t="str">
        <f aca="false">IF(H22&lt;=I22,"OK","WEIGHT")</f>
        <v>OK</v>
      </c>
      <c r="K22" s="0" t="n">
        <f aca="false">F22*VLOOKUP(C22,Data_Candidates!$A$2:$Y$133,9,FALSE())/0.7</f>
        <v>0.00571428571428572</v>
      </c>
      <c r="L22" s="0" t="n">
        <f aca="false">VLOOKUP(B22,Data_Bins!$A$2:$L$101,4,FALSE())</f>
        <v>0.02</v>
      </c>
      <c r="M22" s="0" t="str">
        <f aca="false">IF(K22&lt;=L22,"OK","CUBE")</f>
        <v>OK</v>
      </c>
      <c r="N22" s="0" t="str">
        <f aca="false">VLOOKUP(B22,Data_Bins!$A$2:$L$101,6,FALSE())</f>
        <v>L2</v>
      </c>
      <c r="O22" s="0" t="str">
        <f aca="false">VLOOKUP(C22,Data_Candidates!$A$2:$Y$133,15,FALSE())</f>
        <v>NONE</v>
      </c>
      <c r="P22" s="0" t="str">
        <f aca="false">VLOOKUP(B22,Data_Bins!$A$2:$L$101,8,FALSE())</f>
        <v>NONE</v>
      </c>
      <c r="Q22" s="0" t="str">
        <f aca="false">VLOOKUP(C22,Data_Candidates!$A$2:$Y$133,16,FALSE())</f>
        <v>N</v>
      </c>
      <c r="R22" s="0" t="n">
        <f aca="false">VLOOKUP(B22,Data_Bins!$A$2:$L$101,9,FALSE())</f>
        <v>0</v>
      </c>
      <c r="S22" s="0" t="n">
        <f aca="false">VLOOKUP(B22,Data_Bins!$A$2:$L$101,10,FALSE())</f>
        <v>0</v>
      </c>
      <c r="T22" s="0" t="str">
        <f aca="false">IF(AND(VLOOKUP(C22,Data_Candidates!$A$2:$Y$133,2,FALSE())&lt;=DATE(2025,1,31),VLOOKUP(C22,Data_Candidates!$A$2:$Y$133,3,FALSE())&gt;=DATE(2025,1,31),VLOOKUP(C22,Data_Candidates!$A$2:$Y$133,4,FALSE())="Y",VLOOKUP(C22,Data_Candidates!$A$2:$Y$133,5,FALSE())="NONE",VLOOKUP(C22,Data_Candidates!$A$2:$Y$133,25,FALSE())="Y"),"ELIGIBLE","INELIGIBLE")</f>
        <v>ELIGIBLE</v>
      </c>
      <c r="U22" s="0" t="str">
        <f aca="false">IF(AND(J22="OK",M22="OK",T22="ELIGIBLE",OR(O22="NONE",P22=O22),OR(Q22="N",AND(Q22="Y",R22="QTRACE",S22&gt;=DATE(2025,1,31))),OR(VLOOKUP(C22,Data_Candidates!$A$2:$Y$133,17,FALSE())="N",N22="L1")),"CLEAR","VIOLATION")</f>
        <v>CLEAR</v>
      </c>
      <c r="V22" s="0" t="str">
        <f aca="false">D23</f>
        <v>A</v>
      </c>
      <c r="W22" s="4" t="n">
        <f aca="false">IF(V22="",0,IF(D22=V22,0,1))</f>
        <v>0</v>
      </c>
    </row>
    <row r="23" customFormat="false" ht="15" hidden="false" customHeight="false" outlineLevel="0" collapsed="false">
      <c r="A23" s="0" t="n">
        <v>19</v>
      </c>
      <c r="B23" s="0" t="s">
        <v>61</v>
      </c>
      <c r="C23" s="0" t="s">
        <v>62</v>
      </c>
      <c r="D23" s="0" t="str">
        <f aca="false">VLOOKUP(C23,Data_Candidates!$A$2:$Y$133,14,FALSE())</f>
        <v>A</v>
      </c>
      <c r="E23" s="0" t="str">
        <f aca="false">VLOOKUP(C23,Data_Candidates!$A$2:$Y$133,22,FALSE())</f>
        <v>C01</v>
      </c>
      <c r="F23" s="4" t="n">
        <f aca="false">VLOOKUP(C23,Data_Candidates!$A$2:$Y$133,13,FALSE())</f>
        <v>4</v>
      </c>
      <c r="G23" s="4" t="n">
        <f aca="false">VLOOKUP(C23,Data_Candidates!$A$2:$Y$133,8,FALSE())</f>
        <v>1.2</v>
      </c>
      <c r="H23" s="4" t="n">
        <f aca="false">F23*G23</f>
        <v>4.8</v>
      </c>
      <c r="I23" s="4" t="n">
        <f aca="false">VLOOKUP(B23,Data_Bins!$A$2:$L$101,5,FALSE())</f>
        <v>100</v>
      </c>
      <c r="J23" s="0" t="str">
        <f aca="false">IF(H23&lt;=I23,"OK","WEIGHT")</f>
        <v>OK</v>
      </c>
      <c r="K23" s="0" t="n">
        <f aca="false">F23*VLOOKUP(C23,Data_Candidates!$A$2:$Y$133,9,FALSE())/0.7</f>
        <v>0.00571428571428572</v>
      </c>
      <c r="L23" s="0" t="n">
        <f aca="false">VLOOKUP(B23,Data_Bins!$A$2:$L$101,4,FALSE())</f>
        <v>0.02</v>
      </c>
      <c r="M23" s="0" t="str">
        <f aca="false">IF(K23&lt;=L23,"OK","CUBE")</f>
        <v>OK</v>
      </c>
      <c r="N23" s="0" t="str">
        <f aca="false">VLOOKUP(B23,Data_Bins!$A$2:$L$101,6,FALSE())</f>
        <v>L2</v>
      </c>
      <c r="O23" s="0" t="str">
        <f aca="false">VLOOKUP(C23,Data_Candidates!$A$2:$Y$133,15,FALSE())</f>
        <v>NONE</v>
      </c>
      <c r="P23" s="0" t="str">
        <f aca="false">VLOOKUP(B23,Data_Bins!$A$2:$L$101,8,FALSE())</f>
        <v>NONE</v>
      </c>
      <c r="Q23" s="0" t="str">
        <f aca="false">VLOOKUP(C23,Data_Candidates!$A$2:$Y$133,16,FALSE())</f>
        <v>N</v>
      </c>
      <c r="R23" s="0" t="n">
        <f aca="false">VLOOKUP(B23,Data_Bins!$A$2:$L$101,9,FALSE())</f>
        <v>0</v>
      </c>
      <c r="S23" s="0" t="n">
        <f aca="false">VLOOKUP(B23,Data_Bins!$A$2:$L$101,10,FALSE())</f>
        <v>0</v>
      </c>
      <c r="T23" s="0" t="str">
        <f aca="false">IF(AND(VLOOKUP(C23,Data_Candidates!$A$2:$Y$133,2,FALSE())&lt;=DATE(2025,1,31),VLOOKUP(C23,Data_Candidates!$A$2:$Y$133,3,FALSE())&gt;=DATE(2025,1,31),VLOOKUP(C23,Data_Candidates!$A$2:$Y$133,4,FALSE())="Y",VLOOKUP(C23,Data_Candidates!$A$2:$Y$133,5,FALSE())="NONE",VLOOKUP(C23,Data_Candidates!$A$2:$Y$133,25,FALSE())="Y"),"ELIGIBLE","INELIGIBLE")</f>
        <v>ELIGIBLE</v>
      </c>
      <c r="U23" s="0" t="str">
        <f aca="false">IF(AND(J23="OK",M23="OK",T23="ELIGIBLE",OR(O23="NONE",P23=O23),OR(Q23="N",AND(Q23="Y",R23="QTRACE",S23&gt;=DATE(2025,1,31))),OR(VLOOKUP(C23,Data_Candidates!$A$2:$Y$133,17,FALSE())="N",N23="L1")),"CLEAR","VIOLATION")</f>
        <v>CLEAR</v>
      </c>
      <c r="V23" s="0" t="str">
        <f aca="false">D24</f>
        <v>A</v>
      </c>
      <c r="W23" s="4" t="n">
        <f aca="false">IF(V23="",0,IF(D23=V23,0,1))</f>
        <v>0</v>
      </c>
    </row>
    <row r="24" customFormat="false" ht="15" hidden="false" customHeight="false" outlineLevel="0" collapsed="false">
      <c r="A24" s="0" t="n">
        <v>20</v>
      </c>
      <c r="B24" s="0" t="s">
        <v>63</v>
      </c>
      <c r="C24" s="0" t="s">
        <v>64</v>
      </c>
      <c r="D24" s="0" t="str">
        <f aca="false">VLOOKUP(C24,Data_Candidates!$A$2:$Y$133,14,FALSE())</f>
        <v>A</v>
      </c>
      <c r="E24" s="0" t="str">
        <f aca="false">VLOOKUP(C24,Data_Candidates!$A$2:$Y$133,22,FALSE())</f>
        <v>C01</v>
      </c>
      <c r="F24" s="4" t="n">
        <f aca="false">VLOOKUP(C24,Data_Candidates!$A$2:$Y$133,13,FALSE())</f>
        <v>4</v>
      </c>
      <c r="G24" s="4" t="n">
        <f aca="false">VLOOKUP(C24,Data_Candidates!$A$2:$Y$133,8,FALSE())</f>
        <v>1.2</v>
      </c>
      <c r="H24" s="4" t="n">
        <f aca="false">F24*G24</f>
        <v>4.8</v>
      </c>
      <c r="I24" s="4" t="n">
        <f aca="false">VLOOKUP(B24,Data_Bins!$A$2:$L$101,5,FALSE())</f>
        <v>100</v>
      </c>
      <c r="J24" s="0" t="str">
        <f aca="false">IF(H24&lt;=I24,"OK","WEIGHT")</f>
        <v>OK</v>
      </c>
      <c r="K24" s="0" t="n">
        <f aca="false">F24*VLOOKUP(C24,Data_Candidates!$A$2:$Y$133,9,FALSE())/0.7</f>
        <v>0.00571428571428572</v>
      </c>
      <c r="L24" s="0" t="n">
        <f aca="false">VLOOKUP(B24,Data_Bins!$A$2:$L$101,4,FALSE())</f>
        <v>0.02</v>
      </c>
      <c r="M24" s="0" t="str">
        <f aca="false">IF(K24&lt;=L24,"OK","CUBE")</f>
        <v>OK</v>
      </c>
      <c r="N24" s="0" t="str">
        <f aca="false">VLOOKUP(B24,Data_Bins!$A$2:$L$101,6,FALSE())</f>
        <v>L2</v>
      </c>
      <c r="O24" s="0" t="str">
        <f aca="false">VLOOKUP(C24,Data_Candidates!$A$2:$Y$133,15,FALSE())</f>
        <v>NONE</v>
      </c>
      <c r="P24" s="0" t="str">
        <f aca="false">VLOOKUP(B24,Data_Bins!$A$2:$L$101,8,FALSE())</f>
        <v>NONE</v>
      </c>
      <c r="Q24" s="0" t="str">
        <f aca="false">VLOOKUP(C24,Data_Candidates!$A$2:$Y$133,16,FALSE())</f>
        <v>N</v>
      </c>
      <c r="R24" s="0" t="n">
        <f aca="false">VLOOKUP(B24,Data_Bins!$A$2:$L$101,9,FALSE())</f>
        <v>0</v>
      </c>
      <c r="S24" s="0" t="n">
        <f aca="false">VLOOKUP(B24,Data_Bins!$A$2:$L$101,10,FALSE())</f>
        <v>0</v>
      </c>
      <c r="T24" s="0" t="str">
        <f aca="false">IF(AND(VLOOKUP(C24,Data_Candidates!$A$2:$Y$133,2,FALSE())&lt;=DATE(2025,1,31),VLOOKUP(C24,Data_Candidates!$A$2:$Y$133,3,FALSE())&gt;=DATE(2025,1,31),VLOOKUP(C24,Data_Candidates!$A$2:$Y$133,4,FALSE())="Y",VLOOKUP(C24,Data_Candidates!$A$2:$Y$133,5,FALSE())="NONE",VLOOKUP(C24,Data_Candidates!$A$2:$Y$133,25,FALSE())="Y"),"ELIGIBLE","INELIGIBLE")</f>
        <v>ELIGIBLE</v>
      </c>
      <c r="U24" s="0" t="str">
        <f aca="false">IF(AND(J24="OK",M24="OK",T24="ELIGIBLE",OR(O24="NONE",P24=O24),OR(Q24="N",AND(Q24="Y",R24="QTRACE",S24&gt;=DATE(2025,1,31))),OR(VLOOKUP(C24,Data_Candidates!$A$2:$Y$133,17,FALSE())="N",N24="L1")),"CLEAR","VIOLATION")</f>
        <v>CLEAR</v>
      </c>
      <c r="V24" s="0" t="str">
        <f aca="false">D25</f>
        <v>A</v>
      </c>
      <c r="W24" s="4" t="n">
        <f aca="false">IF(V24="",0,IF(D24=V24,0,1))</f>
        <v>0</v>
      </c>
    </row>
    <row r="25" customFormat="false" ht="15" hidden="false" customHeight="false" outlineLevel="0" collapsed="false">
      <c r="A25" s="0" t="n">
        <v>21</v>
      </c>
      <c r="B25" s="0" t="s">
        <v>65</v>
      </c>
      <c r="C25" s="0" t="s">
        <v>66</v>
      </c>
      <c r="D25" s="0" t="str">
        <f aca="false">VLOOKUP(C25,Data_Candidates!$A$2:$Y$133,14,FALSE())</f>
        <v>A</v>
      </c>
      <c r="E25" s="0" t="str">
        <f aca="false">VLOOKUP(C25,Data_Candidates!$A$2:$Y$133,22,FALSE())</f>
        <v>C01</v>
      </c>
      <c r="F25" s="4" t="n">
        <f aca="false">VLOOKUP(C25,Data_Candidates!$A$2:$Y$133,13,FALSE())</f>
        <v>4</v>
      </c>
      <c r="G25" s="4" t="n">
        <f aca="false">VLOOKUP(C25,Data_Candidates!$A$2:$Y$133,8,FALSE())</f>
        <v>1.2</v>
      </c>
      <c r="H25" s="4" t="n">
        <f aca="false">F25*G25</f>
        <v>4.8</v>
      </c>
      <c r="I25" s="4" t="n">
        <f aca="false">VLOOKUP(B25,Data_Bins!$A$2:$L$101,5,FALSE())</f>
        <v>100</v>
      </c>
      <c r="J25" s="0" t="str">
        <f aca="false">IF(H25&lt;=I25,"OK","WEIGHT")</f>
        <v>OK</v>
      </c>
      <c r="K25" s="0" t="n">
        <f aca="false">F25*VLOOKUP(C25,Data_Candidates!$A$2:$Y$133,9,FALSE())/0.7</f>
        <v>0.00571428571428572</v>
      </c>
      <c r="L25" s="0" t="n">
        <f aca="false">VLOOKUP(B25,Data_Bins!$A$2:$L$101,4,FALSE())</f>
        <v>0.02</v>
      </c>
      <c r="M25" s="0" t="str">
        <f aca="false">IF(K25&lt;=L25,"OK","CUBE")</f>
        <v>OK</v>
      </c>
      <c r="N25" s="0" t="str">
        <f aca="false">VLOOKUP(B25,Data_Bins!$A$2:$L$101,6,FALSE())</f>
        <v>L2</v>
      </c>
      <c r="O25" s="0" t="str">
        <f aca="false">VLOOKUP(C25,Data_Candidates!$A$2:$Y$133,15,FALSE())</f>
        <v>NONE</v>
      </c>
      <c r="P25" s="0" t="str">
        <f aca="false">VLOOKUP(B25,Data_Bins!$A$2:$L$101,8,FALSE())</f>
        <v>NONE</v>
      </c>
      <c r="Q25" s="0" t="str">
        <f aca="false">VLOOKUP(C25,Data_Candidates!$A$2:$Y$133,16,FALSE())</f>
        <v>N</v>
      </c>
      <c r="R25" s="0" t="n">
        <f aca="false">VLOOKUP(B25,Data_Bins!$A$2:$L$101,9,FALSE())</f>
        <v>0</v>
      </c>
      <c r="S25" s="0" t="n">
        <f aca="false">VLOOKUP(B25,Data_Bins!$A$2:$L$101,10,FALSE())</f>
        <v>0</v>
      </c>
      <c r="T25" s="0" t="str">
        <f aca="false">IF(AND(VLOOKUP(C25,Data_Candidates!$A$2:$Y$133,2,FALSE())&lt;=DATE(2025,1,31),VLOOKUP(C25,Data_Candidates!$A$2:$Y$133,3,FALSE())&gt;=DATE(2025,1,31),VLOOKUP(C25,Data_Candidates!$A$2:$Y$133,4,FALSE())="Y",VLOOKUP(C25,Data_Candidates!$A$2:$Y$133,5,FALSE())="NONE",VLOOKUP(C25,Data_Candidates!$A$2:$Y$133,25,FALSE())="Y"),"ELIGIBLE","INELIGIBLE")</f>
        <v>ELIGIBLE</v>
      </c>
      <c r="U25" s="0" t="str">
        <f aca="false">IF(AND(J25="OK",M25="OK",T25="ELIGIBLE",OR(O25="NONE",P25=O25),OR(Q25="N",AND(Q25="Y",R25="QTRACE",S25&gt;=DATE(2025,1,31))),OR(VLOOKUP(C25,Data_Candidates!$A$2:$Y$133,17,FALSE())="N",N25="L1")),"CLEAR","VIOLATION")</f>
        <v>CLEAR</v>
      </c>
      <c r="V25" s="0" t="str">
        <f aca="false">D26</f>
        <v>A</v>
      </c>
      <c r="W25" s="4" t="n">
        <f aca="false">IF(V25="",0,IF(D25=V25,0,1))</f>
        <v>0</v>
      </c>
    </row>
    <row r="26" customFormat="false" ht="15" hidden="false" customHeight="false" outlineLevel="0" collapsed="false">
      <c r="A26" s="0" t="n">
        <v>22</v>
      </c>
      <c r="B26" s="0" t="s">
        <v>67</v>
      </c>
      <c r="C26" s="0" t="s">
        <v>68</v>
      </c>
      <c r="D26" s="0" t="str">
        <f aca="false">VLOOKUP(C26,Data_Candidates!$A$2:$Y$133,14,FALSE())</f>
        <v>A</v>
      </c>
      <c r="E26" s="0" t="str">
        <f aca="false">VLOOKUP(C26,Data_Candidates!$A$2:$Y$133,22,FALSE())</f>
        <v>C01</v>
      </c>
      <c r="F26" s="4" t="n">
        <f aca="false">VLOOKUP(C26,Data_Candidates!$A$2:$Y$133,13,FALSE())</f>
        <v>4</v>
      </c>
      <c r="G26" s="4" t="n">
        <f aca="false">VLOOKUP(C26,Data_Candidates!$A$2:$Y$133,8,FALSE())</f>
        <v>1.2</v>
      </c>
      <c r="H26" s="4" t="n">
        <f aca="false">F26*G26</f>
        <v>4.8</v>
      </c>
      <c r="I26" s="4" t="n">
        <f aca="false">VLOOKUP(B26,Data_Bins!$A$2:$L$101,5,FALSE())</f>
        <v>100</v>
      </c>
      <c r="J26" s="0" t="str">
        <f aca="false">IF(H26&lt;=I26,"OK","WEIGHT")</f>
        <v>OK</v>
      </c>
      <c r="K26" s="0" t="n">
        <f aca="false">F26*VLOOKUP(C26,Data_Candidates!$A$2:$Y$133,9,FALSE())/0.7</f>
        <v>0.00571428571428572</v>
      </c>
      <c r="L26" s="0" t="n">
        <f aca="false">VLOOKUP(B26,Data_Bins!$A$2:$L$101,4,FALSE())</f>
        <v>0.02</v>
      </c>
      <c r="M26" s="0" t="str">
        <f aca="false">IF(K26&lt;=L26,"OK","CUBE")</f>
        <v>OK</v>
      </c>
      <c r="N26" s="0" t="str">
        <f aca="false">VLOOKUP(B26,Data_Bins!$A$2:$L$101,6,FALSE())</f>
        <v>L2</v>
      </c>
      <c r="O26" s="0" t="str">
        <f aca="false">VLOOKUP(C26,Data_Candidates!$A$2:$Y$133,15,FALSE())</f>
        <v>NONE</v>
      </c>
      <c r="P26" s="0" t="str">
        <f aca="false">VLOOKUP(B26,Data_Bins!$A$2:$L$101,8,FALSE())</f>
        <v>NONE</v>
      </c>
      <c r="Q26" s="0" t="str">
        <f aca="false">VLOOKUP(C26,Data_Candidates!$A$2:$Y$133,16,FALSE())</f>
        <v>N</v>
      </c>
      <c r="R26" s="0" t="n">
        <f aca="false">VLOOKUP(B26,Data_Bins!$A$2:$L$101,9,FALSE())</f>
        <v>0</v>
      </c>
      <c r="S26" s="0" t="n">
        <f aca="false">VLOOKUP(B26,Data_Bins!$A$2:$L$101,10,FALSE())</f>
        <v>0</v>
      </c>
      <c r="T26" s="0" t="str">
        <f aca="false">IF(AND(VLOOKUP(C26,Data_Candidates!$A$2:$Y$133,2,FALSE())&lt;=DATE(2025,1,31),VLOOKUP(C26,Data_Candidates!$A$2:$Y$133,3,FALSE())&gt;=DATE(2025,1,31),VLOOKUP(C26,Data_Candidates!$A$2:$Y$133,4,FALSE())="Y",VLOOKUP(C26,Data_Candidates!$A$2:$Y$133,5,FALSE())="NONE",VLOOKUP(C26,Data_Candidates!$A$2:$Y$133,25,FALSE())="Y"),"ELIGIBLE","INELIGIBLE")</f>
        <v>ELIGIBLE</v>
      </c>
      <c r="U26" s="0" t="str">
        <f aca="false">IF(AND(J26="OK",M26="OK",T26="ELIGIBLE",OR(O26="NONE",P26=O26),OR(Q26="N",AND(Q26="Y",R26="QTRACE",S26&gt;=DATE(2025,1,31))),OR(VLOOKUP(C26,Data_Candidates!$A$2:$Y$133,17,FALSE())="N",N26="L1")),"CLEAR","VIOLATION")</f>
        <v>CLEAR</v>
      </c>
      <c r="V26" s="0" t="str">
        <f aca="false">D27</f>
        <v>A</v>
      </c>
      <c r="W26" s="4" t="n">
        <f aca="false">IF(V26="",0,IF(D26=V26,0,1))</f>
        <v>0</v>
      </c>
    </row>
    <row r="27" customFormat="false" ht="15" hidden="false" customHeight="false" outlineLevel="0" collapsed="false">
      <c r="A27" s="0" t="n">
        <v>23</v>
      </c>
      <c r="B27" s="0" t="s">
        <v>69</v>
      </c>
      <c r="C27" s="0" t="s">
        <v>70</v>
      </c>
      <c r="D27" s="0" t="str">
        <f aca="false">VLOOKUP(C27,Data_Candidates!$A$2:$Y$133,14,FALSE())</f>
        <v>A</v>
      </c>
      <c r="E27" s="0" t="str">
        <f aca="false">VLOOKUP(C27,Data_Candidates!$A$2:$Y$133,22,FALSE())</f>
        <v>C01</v>
      </c>
      <c r="F27" s="4" t="n">
        <f aca="false">VLOOKUP(C27,Data_Candidates!$A$2:$Y$133,13,FALSE())</f>
        <v>4</v>
      </c>
      <c r="G27" s="4" t="n">
        <f aca="false">VLOOKUP(C27,Data_Candidates!$A$2:$Y$133,8,FALSE())</f>
        <v>1.2</v>
      </c>
      <c r="H27" s="4" t="n">
        <f aca="false">F27*G27</f>
        <v>4.8</v>
      </c>
      <c r="I27" s="4" t="n">
        <f aca="false">VLOOKUP(B27,Data_Bins!$A$2:$L$101,5,FALSE())</f>
        <v>100</v>
      </c>
      <c r="J27" s="0" t="str">
        <f aca="false">IF(H27&lt;=I27,"OK","WEIGHT")</f>
        <v>OK</v>
      </c>
      <c r="K27" s="0" t="n">
        <f aca="false">F27*VLOOKUP(C27,Data_Candidates!$A$2:$Y$133,9,FALSE())/0.7</f>
        <v>0.00571428571428572</v>
      </c>
      <c r="L27" s="0" t="n">
        <f aca="false">VLOOKUP(B27,Data_Bins!$A$2:$L$101,4,FALSE())</f>
        <v>0.02</v>
      </c>
      <c r="M27" s="0" t="str">
        <f aca="false">IF(K27&lt;=L27,"OK","CUBE")</f>
        <v>OK</v>
      </c>
      <c r="N27" s="0" t="str">
        <f aca="false">VLOOKUP(B27,Data_Bins!$A$2:$L$101,6,FALSE())</f>
        <v>L2</v>
      </c>
      <c r="O27" s="0" t="str">
        <f aca="false">VLOOKUP(C27,Data_Candidates!$A$2:$Y$133,15,FALSE())</f>
        <v>NONE</v>
      </c>
      <c r="P27" s="0" t="str">
        <f aca="false">VLOOKUP(B27,Data_Bins!$A$2:$L$101,8,FALSE())</f>
        <v>NONE</v>
      </c>
      <c r="Q27" s="0" t="str">
        <f aca="false">VLOOKUP(C27,Data_Candidates!$A$2:$Y$133,16,FALSE())</f>
        <v>N</v>
      </c>
      <c r="R27" s="0" t="n">
        <f aca="false">VLOOKUP(B27,Data_Bins!$A$2:$L$101,9,FALSE())</f>
        <v>0</v>
      </c>
      <c r="S27" s="0" t="n">
        <f aca="false">VLOOKUP(B27,Data_Bins!$A$2:$L$101,10,FALSE())</f>
        <v>0</v>
      </c>
      <c r="T27" s="0" t="str">
        <f aca="false">IF(AND(VLOOKUP(C27,Data_Candidates!$A$2:$Y$133,2,FALSE())&lt;=DATE(2025,1,31),VLOOKUP(C27,Data_Candidates!$A$2:$Y$133,3,FALSE())&gt;=DATE(2025,1,31),VLOOKUP(C27,Data_Candidates!$A$2:$Y$133,4,FALSE())="Y",VLOOKUP(C27,Data_Candidates!$A$2:$Y$133,5,FALSE())="NONE",VLOOKUP(C27,Data_Candidates!$A$2:$Y$133,25,FALSE())="Y"),"ELIGIBLE","INELIGIBLE")</f>
        <v>ELIGIBLE</v>
      </c>
      <c r="U27" s="0" t="str">
        <f aca="false">IF(AND(J27="OK",M27="OK",T27="ELIGIBLE",OR(O27="NONE",P27=O27),OR(Q27="N",AND(Q27="Y",R27="QTRACE",S27&gt;=DATE(2025,1,31))),OR(VLOOKUP(C27,Data_Candidates!$A$2:$Y$133,17,FALSE())="N",N27="L1")),"CLEAR","VIOLATION")</f>
        <v>CLEAR</v>
      </c>
      <c r="V27" s="0" t="str">
        <f aca="false">D28</f>
        <v>A</v>
      </c>
      <c r="W27" s="4" t="n">
        <f aca="false">IF(V27="",0,IF(D27=V27,0,1))</f>
        <v>0</v>
      </c>
    </row>
    <row r="28" customFormat="false" ht="15" hidden="false" customHeight="false" outlineLevel="0" collapsed="false">
      <c r="A28" s="0" t="n">
        <v>24</v>
      </c>
      <c r="B28" s="0" t="s">
        <v>71</v>
      </c>
      <c r="C28" s="0" t="s">
        <v>72</v>
      </c>
      <c r="D28" s="0" t="str">
        <f aca="false">VLOOKUP(C28,Data_Candidates!$A$2:$Y$133,14,FALSE())</f>
        <v>A</v>
      </c>
      <c r="E28" s="0" t="str">
        <f aca="false">VLOOKUP(C28,Data_Candidates!$A$2:$Y$133,22,FALSE())</f>
        <v>C01</v>
      </c>
      <c r="F28" s="4" t="n">
        <f aca="false">VLOOKUP(C28,Data_Candidates!$A$2:$Y$133,13,FALSE())</f>
        <v>4</v>
      </c>
      <c r="G28" s="4" t="n">
        <f aca="false">VLOOKUP(C28,Data_Candidates!$A$2:$Y$133,8,FALSE())</f>
        <v>1.2</v>
      </c>
      <c r="H28" s="4" t="n">
        <f aca="false">F28*G28</f>
        <v>4.8</v>
      </c>
      <c r="I28" s="4" t="n">
        <f aca="false">VLOOKUP(B28,Data_Bins!$A$2:$L$101,5,FALSE())</f>
        <v>100</v>
      </c>
      <c r="J28" s="0" t="str">
        <f aca="false">IF(H28&lt;=I28,"OK","WEIGHT")</f>
        <v>OK</v>
      </c>
      <c r="K28" s="0" t="n">
        <f aca="false">F28*VLOOKUP(C28,Data_Candidates!$A$2:$Y$133,9,FALSE())/0.7</f>
        <v>0.00571428571428572</v>
      </c>
      <c r="L28" s="0" t="n">
        <f aca="false">VLOOKUP(B28,Data_Bins!$A$2:$L$101,4,FALSE())</f>
        <v>0.02</v>
      </c>
      <c r="M28" s="0" t="str">
        <f aca="false">IF(K28&lt;=L28,"OK","CUBE")</f>
        <v>OK</v>
      </c>
      <c r="N28" s="0" t="str">
        <f aca="false">VLOOKUP(B28,Data_Bins!$A$2:$L$101,6,FALSE())</f>
        <v>L2</v>
      </c>
      <c r="O28" s="0" t="str">
        <f aca="false">VLOOKUP(C28,Data_Candidates!$A$2:$Y$133,15,FALSE())</f>
        <v>NONE</v>
      </c>
      <c r="P28" s="0" t="str">
        <f aca="false">VLOOKUP(B28,Data_Bins!$A$2:$L$101,8,FALSE())</f>
        <v>NONE</v>
      </c>
      <c r="Q28" s="0" t="str">
        <f aca="false">VLOOKUP(C28,Data_Candidates!$A$2:$Y$133,16,FALSE())</f>
        <v>N</v>
      </c>
      <c r="R28" s="0" t="n">
        <f aca="false">VLOOKUP(B28,Data_Bins!$A$2:$L$101,9,FALSE())</f>
        <v>0</v>
      </c>
      <c r="S28" s="0" t="n">
        <f aca="false">VLOOKUP(B28,Data_Bins!$A$2:$L$101,10,FALSE())</f>
        <v>0</v>
      </c>
      <c r="T28" s="0" t="str">
        <f aca="false">IF(AND(VLOOKUP(C28,Data_Candidates!$A$2:$Y$133,2,FALSE())&lt;=DATE(2025,1,31),VLOOKUP(C28,Data_Candidates!$A$2:$Y$133,3,FALSE())&gt;=DATE(2025,1,31),VLOOKUP(C28,Data_Candidates!$A$2:$Y$133,4,FALSE())="Y",VLOOKUP(C28,Data_Candidates!$A$2:$Y$133,5,FALSE())="NONE",VLOOKUP(C28,Data_Candidates!$A$2:$Y$133,25,FALSE())="Y"),"ELIGIBLE","INELIGIBLE")</f>
        <v>ELIGIBLE</v>
      </c>
      <c r="U28" s="0" t="str">
        <f aca="false">IF(AND(J28="OK",M28="OK",T28="ELIGIBLE",OR(O28="NONE",P28=O28),OR(Q28="N",AND(Q28="Y",R28="QTRACE",S28&gt;=DATE(2025,1,31))),OR(VLOOKUP(C28,Data_Candidates!$A$2:$Y$133,17,FALSE())="N",N28="L1")),"CLEAR","VIOLATION")</f>
        <v>CLEAR</v>
      </c>
      <c r="V28" s="0" t="str">
        <f aca="false">D29</f>
        <v>B</v>
      </c>
      <c r="W28" s="4" t="n">
        <f aca="false">IF(V28="",0,IF(D28=V28,0,1))</f>
        <v>1</v>
      </c>
    </row>
    <row r="29" customFormat="false" ht="15" hidden="false" customHeight="false" outlineLevel="0" collapsed="false">
      <c r="A29" s="0" t="n">
        <v>25</v>
      </c>
      <c r="B29" s="0" t="s">
        <v>73</v>
      </c>
      <c r="C29" s="0" t="s">
        <v>74</v>
      </c>
      <c r="D29" s="0" t="str">
        <f aca="false">VLOOKUP(C29,Data_Candidates!$A$2:$Y$133,14,FALSE())</f>
        <v>B</v>
      </c>
      <c r="E29" s="0" t="str">
        <f aca="false">VLOOKUP(C29,Data_Candidates!$A$2:$Y$133,22,FALSE())</f>
        <v>C01</v>
      </c>
      <c r="F29" s="4" t="n">
        <f aca="false">VLOOKUP(C29,Data_Candidates!$A$2:$Y$133,13,FALSE())</f>
        <v>4</v>
      </c>
      <c r="G29" s="4" t="n">
        <f aca="false">VLOOKUP(C29,Data_Candidates!$A$2:$Y$133,8,FALSE())</f>
        <v>1.2</v>
      </c>
      <c r="H29" s="4" t="n">
        <f aca="false">F29*G29</f>
        <v>4.8</v>
      </c>
      <c r="I29" s="4" t="n">
        <f aca="false">VLOOKUP(B29,Data_Bins!$A$2:$L$101,5,FALSE())</f>
        <v>100</v>
      </c>
      <c r="J29" s="0" t="str">
        <f aca="false">IF(H29&lt;=I29,"OK","WEIGHT")</f>
        <v>OK</v>
      </c>
      <c r="K29" s="0" t="n">
        <f aca="false">F29*VLOOKUP(C29,Data_Candidates!$A$2:$Y$133,9,FALSE())/0.7</f>
        <v>0.00571428571428572</v>
      </c>
      <c r="L29" s="0" t="n">
        <f aca="false">VLOOKUP(B29,Data_Bins!$A$2:$L$101,4,FALSE())</f>
        <v>0.02</v>
      </c>
      <c r="M29" s="0" t="str">
        <f aca="false">IF(K29&lt;=L29,"OK","CUBE")</f>
        <v>OK</v>
      </c>
      <c r="N29" s="0" t="str">
        <f aca="false">VLOOKUP(B29,Data_Bins!$A$2:$L$101,6,FALSE())</f>
        <v>L2</v>
      </c>
      <c r="O29" s="0" t="str">
        <f aca="false">VLOOKUP(C29,Data_Candidates!$A$2:$Y$133,15,FALSE())</f>
        <v>H1</v>
      </c>
      <c r="P29" s="0" t="str">
        <f aca="false">VLOOKUP(B29,Data_Bins!$A$2:$L$101,8,FALSE())</f>
        <v>H1</v>
      </c>
      <c r="Q29" s="0" t="str">
        <f aca="false">VLOOKUP(C29,Data_Candidates!$A$2:$Y$133,16,FALSE())</f>
        <v>N</v>
      </c>
      <c r="R29" s="0" t="n">
        <f aca="false">VLOOKUP(B29,Data_Bins!$A$2:$L$101,9,FALSE())</f>
        <v>0</v>
      </c>
      <c r="S29" s="0" t="n">
        <f aca="false">VLOOKUP(B29,Data_Bins!$A$2:$L$101,10,FALSE())</f>
        <v>0</v>
      </c>
      <c r="T29" s="0" t="str">
        <f aca="false">IF(AND(VLOOKUP(C29,Data_Candidates!$A$2:$Y$133,2,FALSE())&lt;=DATE(2025,1,31),VLOOKUP(C29,Data_Candidates!$A$2:$Y$133,3,FALSE())&gt;=DATE(2025,1,31),VLOOKUP(C29,Data_Candidates!$A$2:$Y$133,4,FALSE())="Y",VLOOKUP(C29,Data_Candidates!$A$2:$Y$133,5,FALSE())="NONE",VLOOKUP(C29,Data_Candidates!$A$2:$Y$133,25,FALSE())="Y"),"ELIGIBLE","INELIGIBLE")</f>
        <v>ELIGIBLE</v>
      </c>
      <c r="U29" s="0" t="str">
        <f aca="false">IF(AND(J29="OK",M29="OK",T29="ELIGIBLE",OR(O29="NONE",P29=O29),OR(Q29="N",AND(Q29="Y",R29="QTRACE",S29&gt;=DATE(2025,1,31))),OR(VLOOKUP(C29,Data_Candidates!$A$2:$Y$133,17,FALSE())="N",N29="L1")),"CLEAR","VIOLATION")</f>
        <v>CLEAR</v>
      </c>
      <c r="V29" s="0" t="str">
        <f aca="false">D30</f>
        <v>B</v>
      </c>
      <c r="W29" s="4" t="n">
        <f aca="false">IF(V29="",0,IF(D29=V29,0,1))</f>
        <v>0</v>
      </c>
    </row>
    <row r="30" customFormat="false" ht="15" hidden="false" customHeight="false" outlineLevel="0" collapsed="false">
      <c r="A30" s="0" t="n">
        <v>26</v>
      </c>
      <c r="B30" s="0" t="s">
        <v>75</v>
      </c>
      <c r="C30" s="0" t="s">
        <v>76</v>
      </c>
      <c r="D30" s="0" t="str">
        <f aca="false">VLOOKUP(C30,Data_Candidates!$A$2:$Y$133,14,FALSE())</f>
        <v>B</v>
      </c>
      <c r="E30" s="0" t="str">
        <f aca="false">VLOOKUP(C30,Data_Candidates!$A$2:$Y$133,22,FALSE())</f>
        <v>C01</v>
      </c>
      <c r="F30" s="4" t="n">
        <f aca="false">VLOOKUP(C30,Data_Candidates!$A$2:$Y$133,13,FALSE())</f>
        <v>4</v>
      </c>
      <c r="G30" s="4" t="n">
        <f aca="false">VLOOKUP(C30,Data_Candidates!$A$2:$Y$133,8,FALSE())</f>
        <v>1.2</v>
      </c>
      <c r="H30" s="4" t="n">
        <f aca="false">F30*G30</f>
        <v>4.8</v>
      </c>
      <c r="I30" s="4" t="n">
        <f aca="false">VLOOKUP(B30,Data_Bins!$A$2:$L$101,5,FALSE())</f>
        <v>100</v>
      </c>
      <c r="J30" s="0" t="str">
        <f aca="false">IF(H30&lt;=I30,"OK","WEIGHT")</f>
        <v>OK</v>
      </c>
      <c r="K30" s="0" t="n">
        <f aca="false">F30*VLOOKUP(C30,Data_Candidates!$A$2:$Y$133,9,FALSE())/0.7</f>
        <v>0.00571428571428572</v>
      </c>
      <c r="L30" s="0" t="n">
        <f aca="false">VLOOKUP(B30,Data_Bins!$A$2:$L$101,4,FALSE())</f>
        <v>0.02</v>
      </c>
      <c r="M30" s="0" t="str">
        <f aca="false">IF(K30&lt;=L30,"OK","CUBE")</f>
        <v>OK</v>
      </c>
      <c r="N30" s="0" t="str">
        <f aca="false">VLOOKUP(B30,Data_Bins!$A$2:$L$101,6,FALSE())</f>
        <v>L2</v>
      </c>
      <c r="O30" s="0" t="str">
        <f aca="false">VLOOKUP(C30,Data_Candidates!$A$2:$Y$133,15,FALSE())</f>
        <v>H1</v>
      </c>
      <c r="P30" s="0" t="str">
        <f aca="false">VLOOKUP(B30,Data_Bins!$A$2:$L$101,8,FALSE())</f>
        <v>H1</v>
      </c>
      <c r="Q30" s="0" t="str">
        <f aca="false">VLOOKUP(C30,Data_Candidates!$A$2:$Y$133,16,FALSE())</f>
        <v>N</v>
      </c>
      <c r="R30" s="0" t="n">
        <f aca="false">VLOOKUP(B30,Data_Bins!$A$2:$L$101,9,FALSE())</f>
        <v>0</v>
      </c>
      <c r="S30" s="0" t="n">
        <f aca="false">VLOOKUP(B30,Data_Bins!$A$2:$L$101,10,FALSE())</f>
        <v>0</v>
      </c>
      <c r="T30" s="0" t="str">
        <f aca="false">IF(AND(VLOOKUP(C30,Data_Candidates!$A$2:$Y$133,2,FALSE())&lt;=DATE(2025,1,31),VLOOKUP(C30,Data_Candidates!$A$2:$Y$133,3,FALSE())&gt;=DATE(2025,1,31),VLOOKUP(C30,Data_Candidates!$A$2:$Y$133,4,FALSE())="Y",VLOOKUP(C30,Data_Candidates!$A$2:$Y$133,5,FALSE())="NONE",VLOOKUP(C30,Data_Candidates!$A$2:$Y$133,25,FALSE())="Y"),"ELIGIBLE","INELIGIBLE")</f>
        <v>ELIGIBLE</v>
      </c>
      <c r="U30" s="0" t="str">
        <f aca="false">IF(AND(J30="OK",M30="OK",T30="ELIGIBLE",OR(O30="NONE",P30=O30),OR(Q30="N",AND(Q30="Y",R30="QTRACE",S30&gt;=DATE(2025,1,31))),OR(VLOOKUP(C30,Data_Candidates!$A$2:$Y$133,17,FALSE())="N",N30="L1")),"CLEAR","VIOLATION")</f>
        <v>CLEAR</v>
      </c>
      <c r="V30" s="0" t="str">
        <f aca="false">D31</f>
        <v>B</v>
      </c>
      <c r="W30" s="4" t="n">
        <f aca="false">IF(V30="",0,IF(D30=V30,0,1))</f>
        <v>0</v>
      </c>
    </row>
    <row r="31" customFormat="false" ht="15" hidden="false" customHeight="false" outlineLevel="0" collapsed="false">
      <c r="A31" s="0" t="n">
        <v>27</v>
      </c>
      <c r="B31" s="0" t="s">
        <v>77</v>
      </c>
      <c r="C31" s="0" t="s">
        <v>78</v>
      </c>
      <c r="D31" s="0" t="str">
        <f aca="false">VLOOKUP(C31,Data_Candidates!$A$2:$Y$133,14,FALSE())</f>
        <v>B</v>
      </c>
      <c r="E31" s="0" t="str">
        <f aca="false">VLOOKUP(C31,Data_Candidates!$A$2:$Y$133,22,FALSE())</f>
        <v>C01</v>
      </c>
      <c r="F31" s="4" t="n">
        <f aca="false">VLOOKUP(C31,Data_Candidates!$A$2:$Y$133,13,FALSE())</f>
        <v>4</v>
      </c>
      <c r="G31" s="4" t="n">
        <f aca="false">VLOOKUP(C31,Data_Candidates!$A$2:$Y$133,8,FALSE())</f>
        <v>1.2</v>
      </c>
      <c r="H31" s="4" t="n">
        <f aca="false">F31*G31</f>
        <v>4.8</v>
      </c>
      <c r="I31" s="4" t="n">
        <f aca="false">VLOOKUP(B31,Data_Bins!$A$2:$L$101,5,FALSE())</f>
        <v>100</v>
      </c>
      <c r="J31" s="0" t="str">
        <f aca="false">IF(H31&lt;=I31,"OK","WEIGHT")</f>
        <v>OK</v>
      </c>
      <c r="K31" s="0" t="n">
        <f aca="false">F31*VLOOKUP(C31,Data_Candidates!$A$2:$Y$133,9,FALSE())/0.7</f>
        <v>0.00571428571428572</v>
      </c>
      <c r="L31" s="0" t="n">
        <f aca="false">VLOOKUP(B31,Data_Bins!$A$2:$L$101,4,FALSE())</f>
        <v>0.02</v>
      </c>
      <c r="M31" s="0" t="str">
        <f aca="false">IF(K31&lt;=L31,"OK","CUBE")</f>
        <v>OK</v>
      </c>
      <c r="N31" s="0" t="str">
        <f aca="false">VLOOKUP(B31,Data_Bins!$A$2:$L$101,6,FALSE())</f>
        <v>L2</v>
      </c>
      <c r="O31" s="0" t="str">
        <f aca="false">VLOOKUP(C31,Data_Candidates!$A$2:$Y$133,15,FALSE())</f>
        <v>H1</v>
      </c>
      <c r="P31" s="0" t="str">
        <f aca="false">VLOOKUP(B31,Data_Bins!$A$2:$L$101,8,FALSE())</f>
        <v>H1</v>
      </c>
      <c r="Q31" s="0" t="str">
        <f aca="false">VLOOKUP(C31,Data_Candidates!$A$2:$Y$133,16,FALSE())</f>
        <v>N</v>
      </c>
      <c r="R31" s="0" t="n">
        <f aca="false">VLOOKUP(B31,Data_Bins!$A$2:$L$101,9,FALSE())</f>
        <v>0</v>
      </c>
      <c r="S31" s="0" t="n">
        <f aca="false">VLOOKUP(B31,Data_Bins!$A$2:$L$101,10,FALSE())</f>
        <v>0</v>
      </c>
      <c r="T31" s="0" t="str">
        <f aca="false">IF(AND(VLOOKUP(C31,Data_Candidates!$A$2:$Y$133,2,FALSE())&lt;=DATE(2025,1,31),VLOOKUP(C31,Data_Candidates!$A$2:$Y$133,3,FALSE())&gt;=DATE(2025,1,31),VLOOKUP(C31,Data_Candidates!$A$2:$Y$133,4,FALSE())="Y",VLOOKUP(C31,Data_Candidates!$A$2:$Y$133,5,FALSE())="NONE",VLOOKUP(C31,Data_Candidates!$A$2:$Y$133,25,FALSE())="Y"),"ELIGIBLE","INELIGIBLE")</f>
        <v>ELIGIBLE</v>
      </c>
      <c r="U31" s="0" t="str">
        <f aca="false">IF(AND(J31="OK",M31="OK",T31="ELIGIBLE",OR(O31="NONE",P31=O31),OR(Q31="N",AND(Q31="Y",R31="QTRACE",S31&gt;=DATE(2025,1,31))),OR(VLOOKUP(C31,Data_Candidates!$A$2:$Y$133,17,FALSE())="N",N31="L1")),"CLEAR","VIOLATION")</f>
        <v>CLEAR</v>
      </c>
      <c r="V31" s="0" t="str">
        <f aca="false">D32</f>
        <v>B</v>
      </c>
      <c r="W31" s="4" t="n">
        <f aca="false">IF(V31="",0,IF(D31=V31,0,1))</f>
        <v>0</v>
      </c>
    </row>
    <row r="32" customFormat="false" ht="15" hidden="false" customHeight="false" outlineLevel="0" collapsed="false">
      <c r="A32" s="0" t="n">
        <v>28</v>
      </c>
      <c r="B32" s="0" t="s">
        <v>79</v>
      </c>
      <c r="C32" s="0" t="s">
        <v>80</v>
      </c>
      <c r="D32" s="0" t="str">
        <f aca="false">VLOOKUP(C32,Data_Candidates!$A$2:$Y$133,14,FALSE())</f>
        <v>B</v>
      </c>
      <c r="E32" s="0" t="str">
        <f aca="false">VLOOKUP(C32,Data_Candidates!$A$2:$Y$133,22,FALSE())</f>
        <v>C01</v>
      </c>
      <c r="F32" s="4" t="n">
        <f aca="false">VLOOKUP(C32,Data_Candidates!$A$2:$Y$133,13,FALSE())</f>
        <v>4</v>
      </c>
      <c r="G32" s="4" t="n">
        <f aca="false">VLOOKUP(C32,Data_Candidates!$A$2:$Y$133,8,FALSE())</f>
        <v>1.2</v>
      </c>
      <c r="H32" s="4" t="n">
        <f aca="false">F32*G32</f>
        <v>4.8</v>
      </c>
      <c r="I32" s="4" t="n">
        <f aca="false">VLOOKUP(B32,Data_Bins!$A$2:$L$101,5,FALSE())</f>
        <v>100</v>
      </c>
      <c r="J32" s="0" t="str">
        <f aca="false">IF(H32&lt;=I32,"OK","WEIGHT")</f>
        <v>OK</v>
      </c>
      <c r="K32" s="0" t="n">
        <f aca="false">F32*VLOOKUP(C32,Data_Candidates!$A$2:$Y$133,9,FALSE())/0.7</f>
        <v>0.00571428571428572</v>
      </c>
      <c r="L32" s="0" t="n">
        <f aca="false">VLOOKUP(B32,Data_Bins!$A$2:$L$101,4,FALSE())</f>
        <v>0.02</v>
      </c>
      <c r="M32" s="0" t="str">
        <f aca="false">IF(K32&lt;=L32,"OK","CUBE")</f>
        <v>OK</v>
      </c>
      <c r="N32" s="0" t="str">
        <f aca="false">VLOOKUP(B32,Data_Bins!$A$2:$L$101,6,FALSE())</f>
        <v>L2</v>
      </c>
      <c r="O32" s="0" t="str">
        <f aca="false">VLOOKUP(C32,Data_Candidates!$A$2:$Y$133,15,FALSE())</f>
        <v>H1</v>
      </c>
      <c r="P32" s="0" t="str">
        <f aca="false">VLOOKUP(B32,Data_Bins!$A$2:$L$101,8,FALSE())</f>
        <v>H1</v>
      </c>
      <c r="Q32" s="0" t="str">
        <f aca="false">VLOOKUP(C32,Data_Candidates!$A$2:$Y$133,16,FALSE())</f>
        <v>N</v>
      </c>
      <c r="R32" s="0" t="n">
        <f aca="false">VLOOKUP(B32,Data_Bins!$A$2:$L$101,9,FALSE())</f>
        <v>0</v>
      </c>
      <c r="S32" s="0" t="n">
        <f aca="false">VLOOKUP(B32,Data_Bins!$A$2:$L$101,10,FALSE())</f>
        <v>0</v>
      </c>
      <c r="T32" s="0" t="str">
        <f aca="false">IF(AND(VLOOKUP(C32,Data_Candidates!$A$2:$Y$133,2,FALSE())&lt;=DATE(2025,1,31),VLOOKUP(C32,Data_Candidates!$A$2:$Y$133,3,FALSE())&gt;=DATE(2025,1,31),VLOOKUP(C32,Data_Candidates!$A$2:$Y$133,4,FALSE())="Y",VLOOKUP(C32,Data_Candidates!$A$2:$Y$133,5,FALSE())="NONE",VLOOKUP(C32,Data_Candidates!$A$2:$Y$133,25,FALSE())="Y"),"ELIGIBLE","INELIGIBLE")</f>
        <v>ELIGIBLE</v>
      </c>
      <c r="U32" s="0" t="str">
        <f aca="false">IF(AND(J32="OK",M32="OK",T32="ELIGIBLE",OR(O32="NONE",P32=O32),OR(Q32="N",AND(Q32="Y",R32="QTRACE",S32&gt;=DATE(2025,1,31))),OR(VLOOKUP(C32,Data_Candidates!$A$2:$Y$133,17,FALSE())="N",N32="L1")),"CLEAR","VIOLATION")</f>
        <v>CLEAR</v>
      </c>
      <c r="V32" s="0" t="str">
        <f aca="false">D33</f>
        <v>B</v>
      </c>
      <c r="W32" s="4" t="n">
        <f aca="false">IF(V32="",0,IF(D32=V32,0,1))</f>
        <v>0</v>
      </c>
    </row>
    <row r="33" customFormat="false" ht="15" hidden="false" customHeight="false" outlineLevel="0" collapsed="false">
      <c r="A33" s="0" t="n">
        <v>29</v>
      </c>
      <c r="B33" s="0" t="s">
        <v>81</v>
      </c>
      <c r="C33" s="0" t="s">
        <v>82</v>
      </c>
      <c r="D33" s="0" t="str">
        <f aca="false">VLOOKUP(C33,Data_Candidates!$A$2:$Y$133,14,FALSE())</f>
        <v>B</v>
      </c>
      <c r="E33" s="0" t="str">
        <f aca="false">VLOOKUP(C33,Data_Candidates!$A$2:$Y$133,22,FALSE())</f>
        <v>C01</v>
      </c>
      <c r="F33" s="4" t="n">
        <f aca="false">VLOOKUP(C33,Data_Candidates!$A$2:$Y$133,13,FALSE())</f>
        <v>4</v>
      </c>
      <c r="G33" s="4" t="n">
        <f aca="false">VLOOKUP(C33,Data_Candidates!$A$2:$Y$133,8,FALSE())</f>
        <v>1.2</v>
      </c>
      <c r="H33" s="4" t="n">
        <f aca="false">F33*G33</f>
        <v>4.8</v>
      </c>
      <c r="I33" s="4" t="n">
        <f aca="false">VLOOKUP(B33,Data_Bins!$A$2:$L$101,5,FALSE())</f>
        <v>100</v>
      </c>
      <c r="J33" s="0" t="str">
        <f aca="false">IF(H33&lt;=I33,"OK","WEIGHT")</f>
        <v>OK</v>
      </c>
      <c r="K33" s="0" t="n">
        <f aca="false">F33*VLOOKUP(C33,Data_Candidates!$A$2:$Y$133,9,FALSE())/0.7</f>
        <v>0.00571428571428572</v>
      </c>
      <c r="L33" s="0" t="n">
        <f aca="false">VLOOKUP(B33,Data_Bins!$A$2:$L$101,4,FALSE())</f>
        <v>0.02</v>
      </c>
      <c r="M33" s="0" t="str">
        <f aca="false">IF(K33&lt;=L33,"OK","CUBE")</f>
        <v>OK</v>
      </c>
      <c r="N33" s="0" t="str">
        <f aca="false">VLOOKUP(B33,Data_Bins!$A$2:$L$101,6,FALSE())</f>
        <v>L2</v>
      </c>
      <c r="O33" s="0" t="str">
        <f aca="false">VLOOKUP(C33,Data_Candidates!$A$2:$Y$133,15,FALSE())</f>
        <v>H1</v>
      </c>
      <c r="P33" s="0" t="str">
        <f aca="false">VLOOKUP(B33,Data_Bins!$A$2:$L$101,8,FALSE())</f>
        <v>H1</v>
      </c>
      <c r="Q33" s="0" t="str">
        <f aca="false">VLOOKUP(C33,Data_Candidates!$A$2:$Y$133,16,FALSE())</f>
        <v>N</v>
      </c>
      <c r="R33" s="0" t="n">
        <f aca="false">VLOOKUP(B33,Data_Bins!$A$2:$L$101,9,FALSE())</f>
        <v>0</v>
      </c>
      <c r="S33" s="0" t="n">
        <f aca="false">VLOOKUP(B33,Data_Bins!$A$2:$L$101,10,FALSE())</f>
        <v>0</v>
      </c>
      <c r="T33" s="0" t="str">
        <f aca="false">IF(AND(VLOOKUP(C33,Data_Candidates!$A$2:$Y$133,2,FALSE())&lt;=DATE(2025,1,31),VLOOKUP(C33,Data_Candidates!$A$2:$Y$133,3,FALSE())&gt;=DATE(2025,1,31),VLOOKUP(C33,Data_Candidates!$A$2:$Y$133,4,FALSE())="Y",VLOOKUP(C33,Data_Candidates!$A$2:$Y$133,5,FALSE())="NONE",VLOOKUP(C33,Data_Candidates!$A$2:$Y$133,25,FALSE())="Y"),"ELIGIBLE","INELIGIBLE")</f>
        <v>ELIGIBLE</v>
      </c>
      <c r="U33" s="0" t="str">
        <f aca="false">IF(AND(J33="OK",M33="OK",T33="ELIGIBLE",OR(O33="NONE",P33=O33),OR(Q33="N",AND(Q33="Y",R33="QTRACE",S33&gt;=DATE(2025,1,31))),OR(VLOOKUP(C33,Data_Candidates!$A$2:$Y$133,17,FALSE())="N",N33="L1")),"CLEAR","VIOLATION")</f>
        <v>CLEAR</v>
      </c>
      <c r="V33" s="0" t="str">
        <f aca="false">D34</f>
        <v>B</v>
      </c>
      <c r="W33" s="4" t="n">
        <f aca="false">IF(V33="",0,IF(D33=V33,0,1))</f>
        <v>0</v>
      </c>
    </row>
    <row r="34" customFormat="false" ht="15" hidden="false" customHeight="false" outlineLevel="0" collapsed="false">
      <c r="A34" s="0" t="n">
        <v>30</v>
      </c>
      <c r="B34" s="0" t="s">
        <v>83</v>
      </c>
      <c r="C34" s="0" t="s">
        <v>84</v>
      </c>
      <c r="D34" s="0" t="str">
        <f aca="false">VLOOKUP(C34,Data_Candidates!$A$2:$Y$133,14,FALSE())</f>
        <v>B</v>
      </c>
      <c r="E34" s="0" t="str">
        <f aca="false">VLOOKUP(C34,Data_Candidates!$A$2:$Y$133,22,FALSE())</f>
        <v>C01</v>
      </c>
      <c r="F34" s="4" t="n">
        <f aca="false">VLOOKUP(C34,Data_Candidates!$A$2:$Y$133,13,FALSE())</f>
        <v>4</v>
      </c>
      <c r="G34" s="4" t="n">
        <f aca="false">VLOOKUP(C34,Data_Candidates!$A$2:$Y$133,8,FALSE())</f>
        <v>1.2</v>
      </c>
      <c r="H34" s="4" t="n">
        <f aca="false">F34*G34</f>
        <v>4.8</v>
      </c>
      <c r="I34" s="4" t="n">
        <f aca="false">VLOOKUP(B34,Data_Bins!$A$2:$L$101,5,FALSE())</f>
        <v>100</v>
      </c>
      <c r="J34" s="0" t="str">
        <f aca="false">IF(H34&lt;=I34,"OK","WEIGHT")</f>
        <v>OK</v>
      </c>
      <c r="K34" s="0" t="n">
        <f aca="false">F34*VLOOKUP(C34,Data_Candidates!$A$2:$Y$133,9,FALSE())/0.7</f>
        <v>0.00571428571428572</v>
      </c>
      <c r="L34" s="0" t="n">
        <f aca="false">VLOOKUP(B34,Data_Bins!$A$2:$L$101,4,FALSE())</f>
        <v>0.02</v>
      </c>
      <c r="M34" s="0" t="str">
        <f aca="false">IF(K34&lt;=L34,"OK","CUBE")</f>
        <v>OK</v>
      </c>
      <c r="N34" s="0" t="str">
        <f aca="false">VLOOKUP(B34,Data_Bins!$A$2:$L$101,6,FALSE())</f>
        <v>L2</v>
      </c>
      <c r="O34" s="0" t="str">
        <f aca="false">VLOOKUP(C34,Data_Candidates!$A$2:$Y$133,15,FALSE())</f>
        <v>H1</v>
      </c>
      <c r="P34" s="0" t="str">
        <f aca="false">VLOOKUP(B34,Data_Bins!$A$2:$L$101,8,FALSE())</f>
        <v>H1</v>
      </c>
      <c r="Q34" s="0" t="str">
        <f aca="false">VLOOKUP(C34,Data_Candidates!$A$2:$Y$133,16,FALSE())</f>
        <v>N</v>
      </c>
      <c r="R34" s="0" t="n">
        <f aca="false">VLOOKUP(B34,Data_Bins!$A$2:$L$101,9,FALSE())</f>
        <v>0</v>
      </c>
      <c r="S34" s="0" t="n">
        <f aca="false">VLOOKUP(B34,Data_Bins!$A$2:$L$101,10,FALSE())</f>
        <v>0</v>
      </c>
      <c r="T34" s="0" t="str">
        <f aca="false">IF(AND(VLOOKUP(C34,Data_Candidates!$A$2:$Y$133,2,FALSE())&lt;=DATE(2025,1,31),VLOOKUP(C34,Data_Candidates!$A$2:$Y$133,3,FALSE())&gt;=DATE(2025,1,31),VLOOKUP(C34,Data_Candidates!$A$2:$Y$133,4,FALSE())="Y",VLOOKUP(C34,Data_Candidates!$A$2:$Y$133,5,FALSE())="NONE",VLOOKUP(C34,Data_Candidates!$A$2:$Y$133,25,FALSE())="Y"),"ELIGIBLE","INELIGIBLE")</f>
        <v>ELIGIBLE</v>
      </c>
      <c r="U34" s="0" t="str">
        <f aca="false">IF(AND(J34="OK",M34="OK",T34="ELIGIBLE",OR(O34="NONE",P34=O34),OR(Q34="N",AND(Q34="Y",R34="QTRACE",S34&gt;=DATE(2025,1,31))),OR(VLOOKUP(C34,Data_Candidates!$A$2:$Y$133,17,FALSE())="N",N34="L1")),"CLEAR","VIOLATION")</f>
        <v>CLEAR</v>
      </c>
      <c r="V34" s="0" t="str">
        <f aca="false">D35</f>
        <v>B</v>
      </c>
      <c r="W34" s="4" t="n">
        <f aca="false">IF(V34="",0,IF(D34=V34,0,1))</f>
        <v>0</v>
      </c>
    </row>
    <row r="35" customFormat="false" ht="15" hidden="false" customHeight="false" outlineLevel="0" collapsed="false">
      <c r="A35" s="0" t="n">
        <v>31</v>
      </c>
      <c r="B35" s="0" t="s">
        <v>85</v>
      </c>
      <c r="C35" s="0" t="s">
        <v>86</v>
      </c>
      <c r="D35" s="0" t="str">
        <f aca="false">VLOOKUP(C35,Data_Candidates!$A$2:$Y$133,14,FALSE())</f>
        <v>B</v>
      </c>
      <c r="E35" s="0" t="str">
        <f aca="false">VLOOKUP(C35,Data_Candidates!$A$2:$Y$133,22,FALSE())</f>
        <v>C01</v>
      </c>
      <c r="F35" s="4" t="n">
        <f aca="false">VLOOKUP(C35,Data_Candidates!$A$2:$Y$133,13,FALSE())</f>
        <v>4</v>
      </c>
      <c r="G35" s="4" t="n">
        <f aca="false">VLOOKUP(C35,Data_Candidates!$A$2:$Y$133,8,FALSE())</f>
        <v>1.2</v>
      </c>
      <c r="H35" s="4" t="n">
        <f aca="false">F35*G35</f>
        <v>4.8</v>
      </c>
      <c r="I35" s="4" t="n">
        <f aca="false">VLOOKUP(B35,Data_Bins!$A$2:$L$101,5,FALSE())</f>
        <v>100</v>
      </c>
      <c r="J35" s="0" t="str">
        <f aca="false">IF(H35&lt;=I35,"OK","WEIGHT")</f>
        <v>OK</v>
      </c>
      <c r="K35" s="0" t="n">
        <f aca="false">F35*VLOOKUP(C35,Data_Candidates!$A$2:$Y$133,9,FALSE())/0.7</f>
        <v>0.00571428571428572</v>
      </c>
      <c r="L35" s="0" t="n">
        <f aca="false">VLOOKUP(B35,Data_Bins!$A$2:$L$101,4,FALSE())</f>
        <v>0.02</v>
      </c>
      <c r="M35" s="0" t="str">
        <f aca="false">IF(K35&lt;=L35,"OK","CUBE")</f>
        <v>OK</v>
      </c>
      <c r="N35" s="0" t="str">
        <f aca="false">VLOOKUP(B35,Data_Bins!$A$2:$L$101,6,FALSE())</f>
        <v>L2</v>
      </c>
      <c r="O35" s="0" t="str">
        <f aca="false">VLOOKUP(C35,Data_Candidates!$A$2:$Y$133,15,FALSE())</f>
        <v>H1</v>
      </c>
      <c r="P35" s="0" t="str">
        <f aca="false">VLOOKUP(B35,Data_Bins!$A$2:$L$101,8,FALSE())</f>
        <v>H1</v>
      </c>
      <c r="Q35" s="0" t="str">
        <f aca="false">VLOOKUP(C35,Data_Candidates!$A$2:$Y$133,16,FALSE())</f>
        <v>N</v>
      </c>
      <c r="R35" s="0" t="n">
        <f aca="false">VLOOKUP(B35,Data_Bins!$A$2:$L$101,9,FALSE())</f>
        <v>0</v>
      </c>
      <c r="S35" s="0" t="n">
        <f aca="false">VLOOKUP(B35,Data_Bins!$A$2:$L$101,10,FALSE())</f>
        <v>0</v>
      </c>
      <c r="T35" s="0" t="str">
        <f aca="false">IF(AND(VLOOKUP(C35,Data_Candidates!$A$2:$Y$133,2,FALSE())&lt;=DATE(2025,1,31),VLOOKUP(C35,Data_Candidates!$A$2:$Y$133,3,FALSE())&gt;=DATE(2025,1,31),VLOOKUP(C35,Data_Candidates!$A$2:$Y$133,4,FALSE())="Y",VLOOKUP(C35,Data_Candidates!$A$2:$Y$133,5,FALSE())="NONE",VLOOKUP(C35,Data_Candidates!$A$2:$Y$133,25,FALSE())="Y"),"ELIGIBLE","INELIGIBLE")</f>
        <v>ELIGIBLE</v>
      </c>
      <c r="U35" s="0" t="str">
        <f aca="false">IF(AND(J35="OK",M35="OK",T35="ELIGIBLE",OR(O35="NONE",P35=O35),OR(Q35="N",AND(Q35="Y",R35="QTRACE",S35&gt;=DATE(2025,1,31))),OR(VLOOKUP(C35,Data_Candidates!$A$2:$Y$133,17,FALSE())="N",N35="L1")),"CLEAR","VIOLATION")</f>
        <v>CLEAR</v>
      </c>
      <c r="V35" s="0" t="str">
        <f aca="false">D36</f>
        <v>B</v>
      </c>
      <c r="W35" s="4" t="n">
        <f aca="false">IF(V35="",0,IF(D35=V35,0,1))</f>
        <v>0</v>
      </c>
    </row>
    <row r="36" customFormat="false" ht="15" hidden="false" customHeight="false" outlineLevel="0" collapsed="false">
      <c r="A36" s="0" t="n">
        <v>32</v>
      </c>
      <c r="B36" s="0" t="s">
        <v>87</v>
      </c>
      <c r="C36" s="0" t="s">
        <v>88</v>
      </c>
      <c r="D36" s="0" t="str">
        <f aca="false">VLOOKUP(C36,Data_Candidates!$A$2:$Y$133,14,FALSE())</f>
        <v>B</v>
      </c>
      <c r="E36" s="0" t="str">
        <f aca="false">VLOOKUP(C36,Data_Candidates!$A$2:$Y$133,22,FALSE())</f>
        <v>C01</v>
      </c>
      <c r="F36" s="4" t="n">
        <f aca="false">VLOOKUP(C36,Data_Candidates!$A$2:$Y$133,13,FALSE())</f>
        <v>4</v>
      </c>
      <c r="G36" s="4" t="n">
        <f aca="false">VLOOKUP(C36,Data_Candidates!$A$2:$Y$133,8,FALSE())</f>
        <v>1.2</v>
      </c>
      <c r="H36" s="4" t="n">
        <f aca="false">F36*G36</f>
        <v>4.8</v>
      </c>
      <c r="I36" s="4" t="n">
        <f aca="false">VLOOKUP(B36,Data_Bins!$A$2:$L$101,5,FALSE())</f>
        <v>100</v>
      </c>
      <c r="J36" s="0" t="str">
        <f aca="false">IF(H36&lt;=I36,"OK","WEIGHT")</f>
        <v>OK</v>
      </c>
      <c r="K36" s="0" t="n">
        <f aca="false">F36*VLOOKUP(C36,Data_Candidates!$A$2:$Y$133,9,FALSE())/0.7</f>
        <v>0.00571428571428572</v>
      </c>
      <c r="L36" s="0" t="n">
        <f aca="false">VLOOKUP(B36,Data_Bins!$A$2:$L$101,4,FALSE())</f>
        <v>0.02</v>
      </c>
      <c r="M36" s="0" t="str">
        <f aca="false">IF(K36&lt;=L36,"OK","CUBE")</f>
        <v>OK</v>
      </c>
      <c r="N36" s="0" t="str">
        <f aca="false">VLOOKUP(B36,Data_Bins!$A$2:$L$101,6,FALSE())</f>
        <v>L2</v>
      </c>
      <c r="O36" s="0" t="str">
        <f aca="false">VLOOKUP(C36,Data_Candidates!$A$2:$Y$133,15,FALSE())</f>
        <v>H1</v>
      </c>
      <c r="P36" s="0" t="str">
        <f aca="false">VLOOKUP(B36,Data_Bins!$A$2:$L$101,8,FALSE())</f>
        <v>H1</v>
      </c>
      <c r="Q36" s="0" t="str">
        <f aca="false">VLOOKUP(C36,Data_Candidates!$A$2:$Y$133,16,FALSE())</f>
        <v>N</v>
      </c>
      <c r="R36" s="0" t="n">
        <f aca="false">VLOOKUP(B36,Data_Bins!$A$2:$L$101,9,FALSE())</f>
        <v>0</v>
      </c>
      <c r="S36" s="0" t="n">
        <f aca="false">VLOOKUP(B36,Data_Bins!$A$2:$L$101,10,FALSE())</f>
        <v>0</v>
      </c>
      <c r="T36" s="0" t="str">
        <f aca="false">IF(AND(VLOOKUP(C36,Data_Candidates!$A$2:$Y$133,2,FALSE())&lt;=DATE(2025,1,31),VLOOKUP(C36,Data_Candidates!$A$2:$Y$133,3,FALSE())&gt;=DATE(2025,1,31),VLOOKUP(C36,Data_Candidates!$A$2:$Y$133,4,FALSE())="Y",VLOOKUP(C36,Data_Candidates!$A$2:$Y$133,5,FALSE())="NONE",VLOOKUP(C36,Data_Candidates!$A$2:$Y$133,25,FALSE())="Y"),"ELIGIBLE","INELIGIBLE")</f>
        <v>ELIGIBLE</v>
      </c>
      <c r="U36" s="0" t="str">
        <f aca="false">IF(AND(J36="OK",M36="OK",T36="ELIGIBLE",OR(O36="NONE",P36=O36),OR(Q36="N",AND(Q36="Y",R36="QTRACE",S36&gt;=DATE(2025,1,31))),OR(VLOOKUP(C36,Data_Candidates!$A$2:$Y$133,17,FALSE())="N",N36="L1")),"CLEAR","VIOLATION")</f>
        <v>CLEAR</v>
      </c>
      <c r="V36" s="0" t="str">
        <f aca="false">D37</f>
        <v>B</v>
      </c>
      <c r="W36" s="4" t="n">
        <f aca="false">IF(V36="",0,IF(D36=V36,0,1))</f>
        <v>0</v>
      </c>
    </row>
    <row r="37" customFormat="false" ht="15" hidden="false" customHeight="false" outlineLevel="0" collapsed="false">
      <c r="A37" s="0" t="n">
        <v>33</v>
      </c>
      <c r="B37" s="0" t="s">
        <v>89</v>
      </c>
      <c r="C37" s="0" t="s">
        <v>90</v>
      </c>
      <c r="D37" s="0" t="str">
        <f aca="false">VLOOKUP(C37,Data_Candidates!$A$2:$Y$133,14,FALSE())</f>
        <v>B</v>
      </c>
      <c r="E37" s="0" t="str">
        <f aca="false">VLOOKUP(C37,Data_Candidates!$A$2:$Y$133,22,FALSE())</f>
        <v>C01</v>
      </c>
      <c r="F37" s="4" t="n">
        <f aca="false">VLOOKUP(C37,Data_Candidates!$A$2:$Y$133,13,FALSE())</f>
        <v>4</v>
      </c>
      <c r="G37" s="4" t="n">
        <f aca="false">VLOOKUP(C37,Data_Candidates!$A$2:$Y$133,8,FALSE())</f>
        <v>1.2</v>
      </c>
      <c r="H37" s="4" t="n">
        <f aca="false">F37*G37</f>
        <v>4.8</v>
      </c>
      <c r="I37" s="4" t="n">
        <f aca="false">VLOOKUP(B37,Data_Bins!$A$2:$L$101,5,FALSE())</f>
        <v>100</v>
      </c>
      <c r="J37" s="0" t="str">
        <f aca="false">IF(H37&lt;=I37,"OK","WEIGHT")</f>
        <v>OK</v>
      </c>
      <c r="K37" s="0" t="n">
        <f aca="false">F37*VLOOKUP(C37,Data_Candidates!$A$2:$Y$133,9,FALSE())/0.7</f>
        <v>0.00571428571428572</v>
      </c>
      <c r="L37" s="0" t="n">
        <f aca="false">VLOOKUP(B37,Data_Bins!$A$2:$L$101,4,FALSE())</f>
        <v>0.02</v>
      </c>
      <c r="M37" s="0" t="str">
        <f aca="false">IF(K37&lt;=L37,"OK","CUBE")</f>
        <v>OK</v>
      </c>
      <c r="N37" s="0" t="str">
        <f aca="false">VLOOKUP(B37,Data_Bins!$A$2:$L$101,6,FALSE())</f>
        <v>L2</v>
      </c>
      <c r="O37" s="0" t="str">
        <f aca="false">VLOOKUP(C37,Data_Candidates!$A$2:$Y$133,15,FALSE())</f>
        <v>H1</v>
      </c>
      <c r="P37" s="0" t="str">
        <f aca="false">VLOOKUP(B37,Data_Bins!$A$2:$L$101,8,FALSE())</f>
        <v>H1</v>
      </c>
      <c r="Q37" s="0" t="str">
        <f aca="false">VLOOKUP(C37,Data_Candidates!$A$2:$Y$133,16,FALSE())</f>
        <v>N</v>
      </c>
      <c r="R37" s="0" t="n">
        <f aca="false">VLOOKUP(B37,Data_Bins!$A$2:$L$101,9,FALSE())</f>
        <v>0</v>
      </c>
      <c r="S37" s="0" t="n">
        <f aca="false">VLOOKUP(B37,Data_Bins!$A$2:$L$101,10,FALSE())</f>
        <v>0</v>
      </c>
      <c r="T37" s="0" t="str">
        <f aca="false">IF(AND(VLOOKUP(C37,Data_Candidates!$A$2:$Y$133,2,FALSE())&lt;=DATE(2025,1,31),VLOOKUP(C37,Data_Candidates!$A$2:$Y$133,3,FALSE())&gt;=DATE(2025,1,31),VLOOKUP(C37,Data_Candidates!$A$2:$Y$133,4,FALSE())="Y",VLOOKUP(C37,Data_Candidates!$A$2:$Y$133,5,FALSE())="NONE",VLOOKUP(C37,Data_Candidates!$A$2:$Y$133,25,FALSE())="Y"),"ELIGIBLE","INELIGIBLE")</f>
        <v>ELIGIBLE</v>
      </c>
      <c r="U37" s="0" t="str">
        <f aca="false">IF(AND(J37="OK",M37="OK",T37="ELIGIBLE",OR(O37="NONE",P37=O37),OR(Q37="N",AND(Q37="Y",R37="QTRACE",S37&gt;=DATE(2025,1,31))),OR(VLOOKUP(C37,Data_Candidates!$A$2:$Y$133,17,FALSE())="N",N37="L1")),"CLEAR","VIOLATION")</f>
        <v>CLEAR</v>
      </c>
      <c r="V37" s="0" t="str">
        <f aca="false">D38</f>
        <v>B</v>
      </c>
      <c r="W37" s="4" t="n">
        <f aca="false">IF(V37="",0,IF(D37=V37,0,1))</f>
        <v>0</v>
      </c>
    </row>
    <row r="38" customFormat="false" ht="15" hidden="false" customHeight="false" outlineLevel="0" collapsed="false">
      <c r="A38" s="0" t="n">
        <v>34</v>
      </c>
      <c r="B38" s="0" t="s">
        <v>91</v>
      </c>
      <c r="C38" s="0" t="s">
        <v>92</v>
      </c>
      <c r="D38" s="0" t="str">
        <f aca="false">VLOOKUP(C38,Data_Candidates!$A$2:$Y$133,14,FALSE())</f>
        <v>B</v>
      </c>
      <c r="E38" s="0" t="str">
        <f aca="false">VLOOKUP(C38,Data_Candidates!$A$2:$Y$133,22,FALSE())</f>
        <v>C01</v>
      </c>
      <c r="F38" s="4" t="n">
        <f aca="false">VLOOKUP(C38,Data_Candidates!$A$2:$Y$133,13,FALSE())</f>
        <v>4</v>
      </c>
      <c r="G38" s="4" t="n">
        <f aca="false">VLOOKUP(C38,Data_Candidates!$A$2:$Y$133,8,FALSE())</f>
        <v>1.2</v>
      </c>
      <c r="H38" s="4" t="n">
        <f aca="false">F38*G38</f>
        <v>4.8</v>
      </c>
      <c r="I38" s="4" t="n">
        <f aca="false">VLOOKUP(B38,Data_Bins!$A$2:$L$101,5,FALSE())</f>
        <v>100</v>
      </c>
      <c r="J38" s="0" t="str">
        <f aca="false">IF(H38&lt;=I38,"OK","WEIGHT")</f>
        <v>OK</v>
      </c>
      <c r="K38" s="0" t="n">
        <f aca="false">F38*VLOOKUP(C38,Data_Candidates!$A$2:$Y$133,9,FALSE())/0.7</f>
        <v>0.00571428571428572</v>
      </c>
      <c r="L38" s="0" t="n">
        <f aca="false">VLOOKUP(B38,Data_Bins!$A$2:$L$101,4,FALSE())</f>
        <v>0.02</v>
      </c>
      <c r="M38" s="0" t="str">
        <f aca="false">IF(K38&lt;=L38,"OK","CUBE")</f>
        <v>OK</v>
      </c>
      <c r="N38" s="0" t="str">
        <f aca="false">VLOOKUP(B38,Data_Bins!$A$2:$L$101,6,FALSE())</f>
        <v>L2</v>
      </c>
      <c r="O38" s="0" t="str">
        <f aca="false">VLOOKUP(C38,Data_Candidates!$A$2:$Y$133,15,FALSE())</f>
        <v>H1</v>
      </c>
      <c r="P38" s="0" t="str">
        <f aca="false">VLOOKUP(B38,Data_Bins!$A$2:$L$101,8,FALSE())</f>
        <v>H1</v>
      </c>
      <c r="Q38" s="0" t="str">
        <f aca="false">VLOOKUP(C38,Data_Candidates!$A$2:$Y$133,16,FALSE())</f>
        <v>N</v>
      </c>
      <c r="R38" s="0" t="n">
        <f aca="false">VLOOKUP(B38,Data_Bins!$A$2:$L$101,9,FALSE())</f>
        <v>0</v>
      </c>
      <c r="S38" s="0" t="n">
        <f aca="false">VLOOKUP(B38,Data_Bins!$A$2:$L$101,10,FALSE())</f>
        <v>0</v>
      </c>
      <c r="T38" s="0" t="str">
        <f aca="false">IF(AND(VLOOKUP(C38,Data_Candidates!$A$2:$Y$133,2,FALSE())&lt;=DATE(2025,1,31),VLOOKUP(C38,Data_Candidates!$A$2:$Y$133,3,FALSE())&gt;=DATE(2025,1,31),VLOOKUP(C38,Data_Candidates!$A$2:$Y$133,4,FALSE())="Y",VLOOKUP(C38,Data_Candidates!$A$2:$Y$133,5,FALSE())="NONE",VLOOKUP(C38,Data_Candidates!$A$2:$Y$133,25,FALSE())="Y"),"ELIGIBLE","INELIGIBLE")</f>
        <v>ELIGIBLE</v>
      </c>
      <c r="U38" s="0" t="str">
        <f aca="false">IF(AND(J38="OK",M38="OK",T38="ELIGIBLE",OR(O38="NONE",P38=O38),OR(Q38="N",AND(Q38="Y",R38="QTRACE",S38&gt;=DATE(2025,1,31))),OR(VLOOKUP(C38,Data_Candidates!$A$2:$Y$133,17,FALSE())="N",N38="L1")),"CLEAR","VIOLATION")</f>
        <v>CLEAR</v>
      </c>
      <c r="V38" s="0" t="str">
        <f aca="false">D39</f>
        <v>B</v>
      </c>
      <c r="W38" s="4" t="n">
        <f aca="false">IF(V38="",0,IF(D38=V38,0,1))</f>
        <v>0</v>
      </c>
    </row>
    <row r="39" customFormat="false" ht="15" hidden="false" customHeight="false" outlineLevel="0" collapsed="false">
      <c r="A39" s="0" t="n">
        <v>35</v>
      </c>
      <c r="B39" s="0" t="s">
        <v>93</v>
      </c>
      <c r="C39" s="0" t="s">
        <v>94</v>
      </c>
      <c r="D39" s="0" t="str">
        <f aca="false">VLOOKUP(C39,Data_Candidates!$A$2:$Y$133,14,FALSE())</f>
        <v>B</v>
      </c>
      <c r="E39" s="0" t="str">
        <f aca="false">VLOOKUP(C39,Data_Candidates!$A$2:$Y$133,22,FALSE())</f>
        <v>C01</v>
      </c>
      <c r="F39" s="4" t="n">
        <f aca="false">VLOOKUP(C39,Data_Candidates!$A$2:$Y$133,13,FALSE())</f>
        <v>4</v>
      </c>
      <c r="G39" s="4" t="n">
        <f aca="false">VLOOKUP(C39,Data_Candidates!$A$2:$Y$133,8,FALSE())</f>
        <v>1.2</v>
      </c>
      <c r="H39" s="4" t="n">
        <f aca="false">F39*G39</f>
        <v>4.8</v>
      </c>
      <c r="I39" s="4" t="n">
        <f aca="false">VLOOKUP(B39,Data_Bins!$A$2:$L$101,5,FALSE())</f>
        <v>100</v>
      </c>
      <c r="J39" s="0" t="str">
        <f aca="false">IF(H39&lt;=I39,"OK","WEIGHT")</f>
        <v>OK</v>
      </c>
      <c r="K39" s="0" t="n">
        <f aca="false">F39*VLOOKUP(C39,Data_Candidates!$A$2:$Y$133,9,FALSE())/0.7</f>
        <v>0.00571428571428572</v>
      </c>
      <c r="L39" s="0" t="n">
        <f aca="false">VLOOKUP(B39,Data_Bins!$A$2:$L$101,4,FALSE())</f>
        <v>0.02</v>
      </c>
      <c r="M39" s="0" t="str">
        <f aca="false">IF(K39&lt;=L39,"OK","CUBE")</f>
        <v>OK</v>
      </c>
      <c r="N39" s="0" t="str">
        <f aca="false">VLOOKUP(B39,Data_Bins!$A$2:$L$101,6,FALSE())</f>
        <v>L2</v>
      </c>
      <c r="O39" s="0" t="str">
        <f aca="false">VLOOKUP(C39,Data_Candidates!$A$2:$Y$133,15,FALSE())</f>
        <v>H1</v>
      </c>
      <c r="P39" s="0" t="str">
        <f aca="false">VLOOKUP(B39,Data_Bins!$A$2:$L$101,8,FALSE())</f>
        <v>H1</v>
      </c>
      <c r="Q39" s="0" t="str">
        <f aca="false">VLOOKUP(C39,Data_Candidates!$A$2:$Y$133,16,FALSE())</f>
        <v>N</v>
      </c>
      <c r="R39" s="0" t="n">
        <f aca="false">VLOOKUP(B39,Data_Bins!$A$2:$L$101,9,FALSE())</f>
        <v>0</v>
      </c>
      <c r="S39" s="0" t="n">
        <f aca="false">VLOOKUP(B39,Data_Bins!$A$2:$L$101,10,FALSE())</f>
        <v>0</v>
      </c>
      <c r="T39" s="0" t="str">
        <f aca="false">IF(AND(VLOOKUP(C39,Data_Candidates!$A$2:$Y$133,2,FALSE())&lt;=DATE(2025,1,31),VLOOKUP(C39,Data_Candidates!$A$2:$Y$133,3,FALSE())&gt;=DATE(2025,1,31),VLOOKUP(C39,Data_Candidates!$A$2:$Y$133,4,FALSE())="Y",VLOOKUP(C39,Data_Candidates!$A$2:$Y$133,5,FALSE())="NONE",VLOOKUP(C39,Data_Candidates!$A$2:$Y$133,25,FALSE())="Y"),"ELIGIBLE","INELIGIBLE")</f>
        <v>ELIGIBLE</v>
      </c>
      <c r="U39" s="0" t="str">
        <f aca="false">IF(AND(J39="OK",M39="OK",T39="ELIGIBLE",OR(O39="NONE",P39=O39),OR(Q39="N",AND(Q39="Y",R39="QTRACE",S39&gt;=DATE(2025,1,31))),OR(VLOOKUP(C39,Data_Candidates!$A$2:$Y$133,17,FALSE())="N",N39="L1")),"CLEAR","VIOLATION")</f>
        <v>CLEAR</v>
      </c>
      <c r="V39" s="0" t="str">
        <f aca="false">D40</f>
        <v>B</v>
      </c>
      <c r="W39" s="4" t="n">
        <f aca="false">IF(V39="",0,IF(D39=V39,0,1))</f>
        <v>0</v>
      </c>
    </row>
    <row r="40" customFormat="false" ht="15" hidden="false" customHeight="false" outlineLevel="0" collapsed="false">
      <c r="A40" s="0" t="n">
        <v>36</v>
      </c>
      <c r="B40" s="0" t="s">
        <v>95</v>
      </c>
      <c r="C40" s="0" t="s">
        <v>96</v>
      </c>
      <c r="D40" s="0" t="str">
        <f aca="false">VLOOKUP(C40,Data_Candidates!$A$2:$Y$133,14,FALSE())</f>
        <v>B</v>
      </c>
      <c r="E40" s="0" t="str">
        <f aca="false">VLOOKUP(C40,Data_Candidates!$A$2:$Y$133,22,FALSE())</f>
        <v>C01</v>
      </c>
      <c r="F40" s="4" t="n">
        <f aca="false">VLOOKUP(C40,Data_Candidates!$A$2:$Y$133,13,FALSE())</f>
        <v>4</v>
      </c>
      <c r="G40" s="4" t="n">
        <f aca="false">VLOOKUP(C40,Data_Candidates!$A$2:$Y$133,8,FALSE())</f>
        <v>1.2</v>
      </c>
      <c r="H40" s="4" t="n">
        <f aca="false">F40*G40</f>
        <v>4.8</v>
      </c>
      <c r="I40" s="4" t="n">
        <f aca="false">VLOOKUP(B40,Data_Bins!$A$2:$L$101,5,FALSE())</f>
        <v>100</v>
      </c>
      <c r="J40" s="0" t="str">
        <f aca="false">IF(H40&lt;=I40,"OK","WEIGHT")</f>
        <v>OK</v>
      </c>
      <c r="K40" s="0" t="n">
        <f aca="false">F40*VLOOKUP(C40,Data_Candidates!$A$2:$Y$133,9,FALSE())/0.7</f>
        <v>0.00571428571428572</v>
      </c>
      <c r="L40" s="0" t="n">
        <f aca="false">VLOOKUP(B40,Data_Bins!$A$2:$L$101,4,FALSE())</f>
        <v>0.02</v>
      </c>
      <c r="M40" s="0" t="str">
        <f aca="false">IF(K40&lt;=L40,"OK","CUBE")</f>
        <v>OK</v>
      </c>
      <c r="N40" s="0" t="str">
        <f aca="false">VLOOKUP(B40,Data_Bins!$A$2:$L$101,6,FALSE())</f>
        <v>L2</v>
      </c>
      <c r="O40" s="0" t="str">
        <f aca="false">VLOOKUP(C40,Data_Candidates!$A$2:$Y$133,15,FALSE())</f>
        <v>H1</v>
      </c>
      <c r="P40" s="0" t="str">
        <f aca="false">VLOOKUP(B40,Data_Bins!$A$2:$L$101,8,FALSE())</f>
        <v>H1</v>
      </c>
      <c r="Q40" s="0" t="str">
        <f aca="false">VLOOKUP(C40,Data_Candidates!$A$2:$Y$133,16,FALSE())</f>
        <v>N</v>
      </c>
      <c r="R40" s="0" t="n">
        <f aca="false">VLOOKUP(B40,Data_Bins!$A$2:$L$101,9,FALSE())</f>
        <v>0</v>
      </c>
      <c r="S40" s="0" t="n">
        <f aca="false">VLOOKUP(B40,Data_Bins!$A$2:$L$101,10,FALSE())</f>
        <v>0</v>
      </c>
      <c r="T40" s="0" t="str">
        <f aca="false">IF(AND(VLOOKUP(C40,Data_Candidates!$A$2:$Y$133,2,FALSE())&lt;=DATE(2025,1,31),VLOOKUP(C40,Data_Candidates!$A$2:$Y$133,3,FALSE())&gt;=DATE(2025,1,31),VLOOKUP(C40,Data_Candidates!$A$2:$Y$133,4,FALSE())="Y",VLOOKUP(C40,Data_Candidates!$A$2:$Y$133,5,FALSE())="NONE",VLOOKUP(C40,Data_Candidates!$A$2:$Y$133,25,FALSE())="Y"),"ELIGIBLE","INELIGIBLE")</f>
        <v>ELIGIBLE</v>
      </c>
      <c r="U40" s="0" t="str">
        <f aca="false">IF(AND(J40="OK",M40="OK",T40="ELIGIBLE",OR(O40="NONE",P40=O40),OR(Q40="N",AND(Q40="Y",R40="QTRACE",S40&gt;=DATE(2025,1,31))),OR(VLOOKUP(C40,Data_Candidates!$A$2:$Y$133,17,FALSE())="N",N40="L1")),"CLEAR","VIOLATION")</f>
        <v>CLEAR</v>
      </c>
      <c r="V40" s="0" t="str">
        <f aca="false">D41</f>
        <v>B</v>
      </c>
      <c r="W40" s="4" t="n">
        <f aca="false">IF(V40="",0,IF(D40=V40,0,1))</f>
        <v>0</v>
      </c>
    </row>
    <row r="41" customFormat="false" ht="15" hidden="false" customHeight="false" outlineLevel="0" collapsed="false">
      <c r="A41" s="0" t="n">
        <v>37</v>
      </c>
      <c r="B41" s="0" t="s">
        <v>97</v>
      </c>
      <c r="C41" s="0" t="s">
        <v>98</v>
      </c>
      <c r="D41" s="0" t="str">
        <f aca="false">VLOOKUP(C41,Data_Candidates!$A$2:$Y$133,14,FALSE())</f>
        <v>B</v>
      </c>
      <c r="E41" s="0" t="str">
        <f aca="false">VLOOKUP(C41,Data_Candidates!$A$2:$Y$133,22,FALSE())</f>
        <v>C01</v>
      </c>
      <c r="F41" s="4" t="n">
        <f aca="false">VLOOKUP(C41,Data_Candidates!$A$2:$Y$133,13,FALSE())</f>
        <v>4</v>
      </c>
      <c r="G41" s="4" t="n">
        <f aca="false">VLOOKUP(C41,Data_Candidates!$A$2:$Y$133,8,FALSE())</f>
        <v>1.2</v>
      </c>
      <c r="H41" s="4" t="n">
        <f aca="false">F41*G41</f>
        <v>4.8</v>
      </c>
      <c r="I41" s="4" t="n">
        <f aca="false">VLOOKUP(B41,Data_Bins!$A$2:$L$101,5,FALSE())</f>
        <v>100</v>
      </c>
      <c r="J41" s="0" t="str">
        <f aca="false">IF(H41&lt;=I41,"OK","WEIGHT")</f>
        <v>OK</v>
      </c>
      <c r="K41" s="0" t="n">
        <f aca="false">F41*VLOOKUP(C41,Data_Candidates!$A$2:$Y$133,9,FALSE())/0.7</f>
        <v>0.00571428571428572</v>
      </c>
      <c r="L41" s="0" t="n">
        <f aca="false">VLOOKUP(B41,Data_Bins!$A$2:$L$101,4,FALSE())</f>
        <v>0.02</v>
      </c>
      <c r="M41" s="0" t="str">
        <f aca="false">IF(K41&lt;=L41,"OK","CUBE")</f>
        <v>OK</v>
      </c>
      <c r="N41" s="0" t="str">
        <f aca="false">VLOOKUP(B41,Data_Bins!$A$2:$L$101,6,FALSE())</f>
        <v>L2</v>
      </c>
      <c r="O41" s="0" t="str">
        <f aca="false">VLOOKUP(C41,Data_Candidates!$A$2:$Y$133,15,FALSE())</f>
        <v>NONE</v>
      </c>
      <c r="P41" s="0" t="str">
        <f aca="false">VLOOKUP(B41,Data_Bins!$A$2:$L$101,8,FALSE())</f>
        <v>NONE</v>
      </c>
      <c r="Q41" s="0" t="str">
        <f aca="false">VLOOKUP(C41,Data_Candidates!$A$2:$Y$133,16,FALSE())</f>
        <v>N</v>
      </c>
      <c r="R41" s="0" t="n">
        <f aca="false">VLOOKUP(B41,Data_Bins!$A$2:$L$101,9,FALSE())</f>
        <v>0</v>
      </c>
      <c r="S41" s="0" t="n">
        <f aca="false">VLOOKUP(B41,Data_Bins!$A$2:$L$101,10,FALSE())</f>
        <v>0</v>
      </c>
      <c r="T41" s="0" t="str">
        <f aca="false">IF(AND(VLOOKUP(C41,Data_Candidates!$A$2:$Y$133,2,FALSE())&lt;=DATE(2025,1,31),VLOOKUP(C41,Data_Candidates!$A$2:$Y$133,3,FALSE())&gt;=DATE(2025,1,31),VLOOKUP(C41,Data_Candidates!$A$2:$Y$133,4,FALSE())="Y",VLOOKUP(C41,Data_Candidates!$A$2:$Y$133,5,FALSE())="NONE",VLOOKUP(C41,Data_Candidates!$A$2:$Y$133,25,FALSE())="Y"),"ELIGIBLE","INELIGIBLE")</f>
        <v>ELIGIBLE</v>
      </c>
      <c r="U41" s="0" t="str">
        <f aca="false">IF(AND(J41="OK",M41="OK",T41="ELIGIBLE",OR(O41="NONE",P41=O41),OR(Q41="N",AND(Q41="Y",R41="QTRACE",S41&gt;=DATE(2025,1,31))),OR(VLOOKUP(C41,Data_Candidates!$A$2:$Y$133,17,FALSE())="N",N41="L1")),"CLEAR","VIOLATION")</f>
        <v>CLEAR</v>
      </c>
      <c r="V41" s="0" t="str">
        <f aca="false">D42</f>
        <v>B</v>
      </c>
      <c r="W41" s="4" t="n">
        <f aca="false">IF(V41="",0,IF(D41=V41,0,1))</f>
        <v>0</v>
      </c>
    </row>
    <row r="42" customFormat="false" ht="15" hidden="false" customHeight="false" outlineLevel="0" collapsed="false">
      <c r="A42" s="0" t="n">
        <v>38</v>
      </c>
      <c r="B42" s="0" t="s">
        <v>99</v>
      </c>
      <c r="C42" s="0" t="s">
        <v>100</v>
      </c>
      <c r="D42" s="0" t="str">
        <f aca="false">VLOOKUP(C42,Data_Candidates!$A$2:$Y$133,14,FALSE())</f>
        <v>B</v>
      </c>
      <c r="E42" s="0" t="str">
        <f aca="false">VLOOKUP(C42,Data_Candidates!$A$2:$Y$133,22,FALSE())</f>
        <v>C01</v>
      </c>
      <c r="F42" s="4" t="n">
        <f aca="false">VLOOKUP(C42,Data_Candidates!$A$2:$Y$133,13,FALSE())</f>
        <v>4</v>
      </c>
      <c r="G42" s="4" t="n">
        <f aca="false">VLOOKUP(C42,Data_Candidates!$A$2:$Y$133,8,FALSE())</f>
        <v>1.2</v>
      </c>
      <c r="H42" s="4" t="n">
        <f aca="false">F42*G42</f>
        <v>4.8</v>
      </c>
      <c r="I42" s="4" t="n">
        <f aca="false">VLOOKUP(B42,Data_Bins!$A$2:$L$101,5,FALSE())</f>
        <v>100</v>
      </c>
      <c r="J42" s="0" t="str">
        <f aca="false">IF(H42&lt;=I42,"OK","WEIGHT")</f>
        <v>OK</v>
      </c>
      <c r="K42" s="0" t="n">
        <f aca="false">F42*VLOOKUP(C42,Data_Candidates!$A$2:$Y$133,9,FALSE())/0.7</f>
        <v>0.00571428571428572</v>
      </c>
      <c r="L42" s="0" t="n">
        <f aca="false">VLOOKUP(B42,Data_Bins!$A$2:$L$101,4,FALSE())</f>
        <v>0.02</v>
      </c>
      <c r="M42" s="0" t="str">
        <f aca="false">IF(K42&lt;=L42,"OK","CUBE")</f>
        <v>OK</v>
      </c>
      <c r="N42" s="0" t="str">
        <f aca="false">VLOOKUP(B42,Data_Bins!$A$2:$L$101,6,FALSE())</f>
        <v>L2</v>
      </c>
      <c r="O42" s="0" t="str">
        <f aca="false">VLOOKUP(C42,Data_Candidates!$A$2:$Y$133,15,FALSE())</f>
        <v>NONE</v>
      </c>
      <c r="P42" s="0" t="str">
        <f aca="false">VLOOKUP(B42,Data_Bins!$A$2:$L$101,8,FALSE())</f>
        <v>NONE</v>
      </c>
      <c r="Q42" s="0" t="str">
        <f aca="false">VLOOKUP(C42,Data_Candidates!$A$2:$Y$133,16,FALSE())</f>
        <v>N</v>
      </c>
      <c r="R42" s="0" t="n">
        <f aca="false">VLOOKUP(B42,Data_Bins!$A$2:$L$101,9,FALSE())</f>
        <v>0</v>
      </c>
      <c r="S42" s="0" t="n">
        <f aca="false">VLOOKUP(B42,Data_Bins!$A$2:$L$101,10,FALSE())</f>
        <v>0</v>
      </c>
      <c r="T42" s="0" t="str">
        <f aca="false">IF(AND(VLOOKUP(C42,Data_Candidates!$A$2:$Y$133,2,FALSE())&lt;=DATE(2025,1,31),VLOOKUP(C42,Data_Candidates!$A$2:$Y$133,3,FALSE())&gt;=DATE(2025,1,31),VLOOKUP(C42,Data_Candidates!$A$2:$Y$133,4,FALSE())="Y",VLOOKUP(C42,Data_Candidates!$A$2:$Y$133,5,FALSE())="NONE",VLOOKUP(C42,Data_Candidates!$A$2:$Y$133,25,FALSE())="Y"),"ELIGIBLE","INELIGIBLE")</f>
        <v>ELIGIBLE</v>
      </c>
      <c r="U42" s="0" t="str">
        <f aca="false">IF(AND(J42="OK",M42="OK",T42="ELIGIBLE",OR(O42="NONE",P42=O42),OR(Q42="N",AND(Q42="Y",R42="QTRACE",S42&gt;=DATE(2025,1,31))),OR(VLOOKUP(C42,Data_Candidates!$A$2:$Y$133,17,FALSE())="N",N42="L1")),"CLEAR","VIOLATION")</f>
        <v>CLEAR</v>
      </c>
      <c r="V42" s="0" t="str">
        <f aca="false">D43</f>
        <v>B</v>
      </c>
      <c r="W42" s="4" t="n">
        <f aca="false">IF(V42="",0,IF(D42=V42,0,1))</f>
        <v>0</v>
      </c>
    </row>
    <row r="43" customFormat="false" ht="15" hidden="false" customHeight="false" outlineLevel="0" collapsed="false">
      <c r="A43" s="0" t="n">
        <v>39</v>
      </c>
      <c r="B43" s="0" t="s">
        <v>101</v>
      </c>
      <c r="C43" s="0" t="s">
        <v>102</v>
      </c>
      <c r="D43" s="0" t="str">
        <f aca="false">VLOOKUP(C43,Data_Candidates!$A$2:$Y$133,14,FALSE())</f>
        <v>B</v>
      </c>
      <c r="E43" s="0" t="str">
        <f aca="false">VLOOKUP(C43,Data_Candidates!$A$2:$Y$133,22,FALSE())</f>
        <v>C01</v>
      </c>
      <c r="F43" s="4" t="n">
        <f aca="false">VLOOKUP(C43,Data_Candidates!$A$2:$Y$133,13,FALSE())</f>
        <v>4</v>
      </c>
      <c r="G43" s="4" t="n">
        <f aca="false">VLOOKUP(C43,Data_Candidates!$A$2:$Y$133,8,FALSE())</f>
        <v>1.2</v>
      </c>
      <c r="H43" s="4" t="n">
        <f aca="false">F43*G43</f>
        <v>4.8</v>
      </c>
      <c r="I43" s="4" t="n">
        <f aca="false">VLOOKUP(B43,Data_Bins!$A$2:$L$101,5,FALSE())</f>
        <v>100</v>
      </c>
      <c r="J43" s="0" t="str">
        <f aca="false">IF(H43&lt;=I43,"OK","WEIGHT")</f>
        <v>OK</v>
      </c>
      <c r="K43" s="0" t="n">
        <f aca="false">F43*VLOOKUP(C43,Data_Candidates!$A$2:$Y$133,9,FALSE())/0.7</f>
        <v>0.00571428571428572</v>
      </c>
      <c r="L43" s="0" t="n">
        <f aca="false">VLOOKUP(B43,Data_Bins!$A$2:$L$101,4,FALSE())</f>
        <v>0.02</v>
      </c>
      <c r="M43" s="0" t="str">
        <f aca="false">IF(K43&lt;=L43,"OK","CUBE")</f>
        <v>OK</v>
      </c>
      <c r="N43" s="0" t="str">
        <f aca="false">VLOOKUP(B43,Data_Bins!$A$2:$L$101,6,FALSE())</f>
        <v>L2</v>
      </c>
      <c r="O43" s="0" t="str">
        <f aca="false">VLOOKUP(C43,Data_Candidates!$A$2:$Y$133,15,FALSE())</f>
        <v>NONE</v>
      </c>
      <c r="P43" s="0" t="str">
        <f aca="false">VLOOKUP(B43,Data_Bins!$A$2:$L$101,8,FALSE())</f>
        <v>NONE</v>
      </c>
      <c r="Q43" s="0" t="str">
        <f aca="false">VLOOKUP(C43,Data_Candidates!$A$2:$Y$133,16,FALSE())</f>
        <v>N</v>
      </c>
      <c r="R43" s="0" t="n">
        <f aca="false">VLOOKUP(B43,Data_Bins!$A$2:$L$101,9,FALSE())</f>
        <v>0</v>
      </c>
      <c r="S43" s="0" t="n">
        <f aca="false">VLOOKUP(B43,Data_Bins!$A$2:$L$101,10,FALSE())</f>
        <v>0</v>
      </c>
      <c r="T43" s="0" t="str">
        <f aca="false">IF(AND(VLOOKUP(C43,Data_Candidates!$A$2:$Y$133,2,FALSE())&lt;=DATE(2025,1,31),VLOOKUP(C43,Data_Candidates!$A$2:$Y$133,3,FALSE())&gt;=DATE(2025,1,31),VLOOKUP(C43,Data_Candidates!$A$2:$Y$133,4,FALSE())="Y",VLOOKUP(C43,Data_Candidates!$A$2:$Y$133,5,FALSE())="NONE",VLOOKUP(C43,Data_Candidates!$A$2:$Y$133,25,FALSE())="Y"),"ELIGIBLE","INELIGIBLE")</f>
        <v>ELIGIBLE</v>
      </c>
      <c r="U43" s="0" t="str">
        <f aca="false">IF(AND(J43="OK",M43="OK",T43="ELIGIBLE",OR(O43="NONE",P43=O43),OR(Q43="N",AND(Q43="Y",R43="QTRACE",S43&gt;=DATE(2025,1,31))),OR(VLOOKUP(C43,Data_Candidates!$A$2:$Y$133,17,FALSE())="N",N43="L1")),"CLEAR","VIOLATION")</f>
        <v>CLEAR</v>
      </c>
      <c r="V43" s="0" t="str">
        <f aca="false">D44</f>
        <v>B</v>
      </c>
      <c r="W43" s="4" t="n">
        <f aca="false">IF(V43="",0,IF(D43=V43,0,1))</f>
        <v>0</v>
      </c>
    </row>
    <row r="44" customFormat="false" ht="15" hidden="false" customHeight="false" outlineLevel="0" collapsed="false">
      <c r="A44" s="0" t="n">
        <v>40</v>
      </c>
      <c r="B44" s="0" t="s">
        <v>103</v>
      </c>
      <c r="C44" s="0" t="s">
        <v>104</v>
      </c>
      <c r="D44" s="0" t="str">
        <f aca="false">VLOOKUP(C44,Data_Candidates!$A$2:$Y$133,14,FALSE())</f>
        <v>B</v>
      </c>
      <c r="E44" s="0" t="str">
        <f aca="false">VLOOKUP(C44,Data_Candidates!$A$2:$Y$133,22,FALSE())</f>
        <v>C01</v>
      </c>
      <c r="F44" s="4" t="n">
        <f aca="false">VLOOKUP(C44,Data_Candidates!$A$2:$Y$133,13,FALSE())</f>
        <v>4</v>
      </c>
      <c r="G44" s="4" t="n">
        <f aca="false">VLOOKUP(C44,Data_Candidates!$A$2:$Y$133,8,FALSE())</f>
        <v>1.2</v>
      </c>
      <c r="H44" s="4" t="n">
        <f aca="false">F44*G44</f>
        <v>4.8</v>
      </c>
      <c r="I44" s="4" t="n">
        <f aca="false">VLOOKUP(B44,Data_Bins!$A$2:$L$101,5,FALSE())</f>
        <v>100</v>
      </c>
      <c r="J44" s="0" t="str">
        <f aca="false">IF(H44&lt;=I44,"OK","WEIGHT")</f>
        <v>OK</v>
      </c>
      <c r="K44" s="0" t="n">
        <f aca="false">F44*VLOOKUP(C44,Data_Candidates!$A$2:$Y$133,9,FALSE())/0.7</f>
        <v>0.00571428571428572</v>
      </c>
      <c r="L44" s="0" t="n">
        <f aca="false">VLOOKUP(B44,Data_Bins!$A$2:$L$101,4,FALSE())</f>
        <v>0.02</v>
      </c>
      <c r="M44" s="0" t="str">
        <f aca="false">IF(K44&lt;=L44,"OK","CUBE")</f>
        <v>OK</v>
      </c>
      <c r="N44" s="0" t="str">
        <f aca="false">VLOOKUP(B44,Data_Bins!$A$2:$L$101,6,FALSE())</f>
        <v>L2</v>
      </c>
      <c r="O44" s="0" t="str">
        <f aca="false">VLOOKUP(C44,Data_Candidates!$A$2:$Y$133,15,FALSE())</f>
        <v>NONE</v>
      </c>
      <c r="P44" s="0" t="str">
        <f aca="false">VLOOKUP(B44,Data_Bins!$A$2:$L$101,8,FALSE())</f>
        <v>NONE</v>
      </c>
      <c r="Q44" s="0" t="str">
        <f aca="false">VLOOKUP(C44,Data_Candidates!$A$2:$Y$133,16,FALSE())</f>
        <v>Y</v>
      </c>
      <c r="R44" s="0" t="str">
        <f aca="false">VLOOKUP(B44,Data_Bins!$A$2:$L$101,9,FALSE())</f>
        <v>QTRACE</v>
      </c>
      <c r="S44" s="0" t="n">
        <f aca="false">VLOOKUP(B44,Data_Bins!$A$2:$L$101,10,FALSE())</f>
        <v>46022</v>
      </c>
      <c r="T44" s="0" t="str">
        <f aca="false">IF(AND(VLOOKUP(C44,Data_Candidates!$A$2:$Y$133,2,FALSE())&lt;=DATE(2025,1,31),VLOOKUP(C44,Data_Candidates!$A$2:$Y$133,3,FALSE())&gt;=DATE(2025,1,31),VLOOKUP(C44,Data_Candidates!$A$2:$Y$133,4,FALSE())="Y",VLOOKUP(C44,Data_Candidates!$A$2:$Y$133,5,FALSE())="NONE",VLOOKUP(C44,Data_Candidates!$A$2:$Y$133,25,FALSE())="Y"),"ELIGIBLE","INELIGIBLE")</f>
        <v>ELIGIBLE</v>
      </c>
      <c r="U44" s="0" t="str">
        <f aca="false">IF(AND(J44="OK",M44="OK",T44="ELIGIBLE",OR(O44="NONE",P44=O44),OR(Q44="N",AND(Q44="Y",R44="QTRACE",S44&gt;=DATE(2025,1,31))),OR(VLOOKUP(C44,Data_Candidates!$A$2:$Y$133,17,FALSE())="N",N44="L1")),"CLEAR","VIOLATION")</f>
        <v>CLEAR</v>
      </c>
      <c r="V44" s="0" t="str">
        <f aca="false">D45</f>
        <v>B</v>
      </c>
      <c r="W44" s="4" t="n">
        <f aca="false">IF(V44="",0,IF(D44=V44,0,1))</f>
        <v>0</v>
      </c>
    </row>
    <row r="45" customFormat="false" ht="15" hidden="false" customHeight="false" outlineLevel="0" collapsed="false">
      <c r="A45" s="0" t="n">
        <v>41</v>
      </c>
      <c r="B45" s="0" t="s">
        <v>105</v>
      </c>
      <c r="C45" s="0" t="s">
        <v>106</v>
      </c>
      <c r="D45" s="0" t="str">
        <f aca="false">VLOOKUP(C45,Data_Candidates!$A$2:$Y$133,14,FALSE())</f>
        <v>B</v>
      </c>
      <c r="E45" s="0" t="str">
        <f aca="false">VLOOKUP(C45,Data_Candidates!$A$2:$Y$133,22,FALSE())</f>
        <v>C01</v>
      </c>
      <c r="F45" s="4" t="n">
        <f aca="false">VLOOKUP(C45,Data_Candidates!$A$2:$Y$133,13,FALSE())</f>
        <v>4</v>
      </c>
      <c r="G45" s="4" t="n">
        <f aca="false">VLOOKUP(C45,Data_Candidates!$A$2:$Y$133,8,FALSE())</f>
        <v>1.2</v>
      </c>
      <c r="H45" s="4" t="n">
        <f aca="false">F45*G45</f>
        <v>4.8</v>
      </c>
      <c r="I45" s="4" t="n">
        <f aca="false">VLOOKUP(B45,Data_Bins!$A$2:$L$101,5,FALSE())</f>
        <v>100</v>
      </c>
      <c r="J45" s="0" t="str">
        <f aca="false">IF(H45&lt;=I45,"OK","WEIGHT")</f>
        <v>OK</v>
      </c>
      <c r="K45" s="0" t="n">
        <f aca="false">F45*VLOOKUP(C45,Data_Candidates!$A$2:$Y$133,9,FALSE())/0.7</f>
        <v>0.00571428571428572</v>
      </c>
      <c r="L45" s="0" t="n">
        <f aca="false">VLOOKUP(B45,Data_Bins!$A$2:$L$101,4,FALSE())</f>
        <v>0.02</v>
      </c>
      <c r="M45" s="0" t="str">
        <f aca="false">IF(K45&lt;=L45,"OK","CUBE")</f>
        <v>OK</v>
      </c>
      <c r="N45" s="0" t="str">
        <f aca="false">VLOOKUP(B45,Data_Bins!$A$2:$L$101,6,FALSE())</f>
        <v>L2</v>
      </c>
      <c r="O45" s="0" t="str">
        <f aca="false">VLOOKUP(C45,Data_Candidates!$A$2:$Y$133,15,FALSE())</f>
        <v>NONE</v>
      </c>
      <c r="P45" s="0" t="str">
        <f aca="false">VLOOKUP(B45,Data_Bins!$A$2:$L$101,8,FALSE())</f>
        <v>NONE</v>
      </c>
      <c r="Q45" s="0" t="str">
        <f aca="false">VLOOKUP(C45,Data_Candidates!$A$2:$Y$133,16,FALSE())</f>
        <v>Y</v>
      </c>
      <c r="R45" s="0" t="str">
        <f aca="false">VLOOKUP(B45,Data_Bins!$A$2:$L$101,9,FALSE())</f>
        <v>QTRACE</v>
      </c>
      <c r="S45" s="0" t="n">
        <f aca="false">VLOOKUP(B45,Data_Bins!$A$2:$L$101,10,FALSE())</f>
        <v>46022</v>
      </c>
      <c r="T45" s="0" t="str">
        <f aca="false">IF(AND(VLOOKUP(C45,Data_Candidates!$A$2:$Y$133,2,FALSE())&lt;=DATE(2025,1,31),VLOOKUP(C45,Data_Candidates!$A$2:$Y$133,3,FALSE())&gt;=DATE(2025,1,31),VLOOKUP(C45,Data_Candidates!$A$2:$Y$133,4,FALSE())="Y",VLOOKUP(C45,Data_Candidates!$A$2:$Y$133,5,FALSE())="NONE",VLOOKUP(C45,Data_Candidates!$A$2:$Y$133,25,FALSE())="Y"),"ELIGIBLE","INELIGIBLE")</f>
        <v>ELIGIBLE</v>
      </c>
      <c r="U45" s="0" t="str">
        <f aca="false">IF(AND(J45="OK",M45="OK",T45="ELIGIBLE",OR(O45="NONE",P45=O45),OR(Q45="N",AND(Q45="Y",R45="QTRACE",S45&gt;=DATE(2025,1,31))),OR(VLOOKUP(C45,Data_Candidates!$A$2:$Y$133,17,FALSE())="N",N45="L1")),"CLEAR","VIOLATION")</f>
        <v>CLEAR</v>
      </c>
      <c r="V45" s="0" t="str">
        <f aca="false">D46</f>
        <v>B</v>
      </c>
      <c r="W45" s="4" t="n">
        <f aca="false">IF(V45="",0,IF(D45=V45,0,1))</f>
        <v>0</v>
      </c>
    </row>
    <row r="46" customFormat="false" ht="15" hidden="false" customHeight="false" outlineLevel="0" collapsed="false">
      <c r="A46" s="0" t="n">
        <v>42</v>
      </c>
      <c r="B46" s="0" t="s">
        <v>107</v>
      </c>
      <c r="C46" s="0" t="s">
        <v>108</v>
      </c>
      <c r="D46" s="0" t="str">
        <f aca="false">VLOOKUP(C46,Data_Candidates!$A$2:$Y$133,14,FALSE())</f>
        <v>B</v>
      </c>
      <c r="E46" s="0" t="str">
        <f aca="false">VLOOKUP(C46,Data_Candidates!$A$2:$Y$133,22,FALSE())</f>
        <v>C01</v>
      </c>
      <c r="F46" s="4" t="n">
        <f aca="false">VLOOKUP(C46,Data_Candidates!$A$2:$Y$133,13,FALSE())</f>
        <v>4</v>
      </c>
      <c r="G46" s="4" t="n">
        <f aca="false">VLOOKUP(C46,Data_Candidates!$A$2:$Y$133,8,FALSE())</f>
        <v>1.2</v>
      </c>
      <c r="H46" s="4" t="n">
        <f aca="false">F46*G46</f>
        <v>4.8</v>
      </c>
      <c r="I46" s="4" t="n">
        <f aca="false">VLOOKUP(B46,Data_Bins!$A$2:$L$101,5,FALSE())</f>
        <v>100</v>
      </c>
      <c r="J46" s="0" t="str">
        <f aca="false">IF(H46&lt;=I46,"OK","WEIGHT")</f>
        <v>OK</v>
      </c>
      <c r="K46" s="0" t="n">
        <f aca="false">F46*VLOOKUP(C46,Data_Candidates!$A$2:$Y$133,9,FALSE())/0.7</f>
        <v>0.00571428571428572</v>
      </c>
      <c r="L46" s="0" t="n">
        <f aca="false">VLOOKUP(B46,Data_Bins!$A$2:$L$101,4,FALSE())</f>
        <v>0.02</v>
      </c>
      <c r="M46" s="0" t="str">
        <f aca="false">IF(K46&lt;=L46,"OK","CUBE")</f>
        <v>OK</v>
      </c>
      <c r="N46" s="0" t="str">
        <f aca="false">VLOOKUP(B46,Data_Bins!$A$2:$L$101,6,FALSE())</f>
        <v>L2</v>
      </c>
      <c r="O46" s="0" t="str">
        <f aca="false">VLOOKUP(C46,Data_Candidates!$A$2:$Y$133,15,FALSE())</f>
        <v>NONE</v>
      </c>
      <c r="P46" s="0" t="str">
        <f aca="false">VLOOKUP(B46,Data_Bins!$A$2:$L$101,8,FALSE())</f>
        <v>NONE</v>
      </c>
      <c r="Q46" s="0" t="str">
        <f aca="false">VLOOKUP(C46,Data_Candidates!$A$2:$Y$133,16,FALSE())</f>
        <v>Y</v>
      </c>
      <c r="R46" s="0" t="str">
        <f aca="false">VLOOKUP(B46,Data_Bins!$A$2:$L$101,9,FALSE())</f>
        <v>QTRACE</v>
      </c>
      <c r="S46" s="0" t="n">
        <f aca="false">VLOOKUP(B46,Data_Bins!$A$2:$L$101,10,FALSE())</f>
        <v>46022</v>
      </c>
      <c r="T46" s="0" t="str">
        <f aca="false">IF(AND(VLOOKUP(C46,Data_Candidates!$A$2:$Y$133,2,FALSE())&lt;=DATE(2025,1,31),VLOOKUP(C46,Data_Candidates!$A$2:$Y$133,3,FALSE())&gt;=DATE(2025,1,31),VLOOKUP(C46,Data_Candidates!$A$2:$Y$133,4,FALSE())="Y",VLOOKUP(C46,Data_Candidates!$A$2:$Y$133,5,FALSE())="NONE",VLOOKUP(C46,Data_Candidates!$A$2:$Y$133,25,FALSE())="Y"),"ELIGIBLE","INELIGIBLE")</f>
        <v>ELIGIBLE</v>
      </c>
      <c r="U46" s="0" t="str">
        <f aca="false">IF(AND(J46="OK",M46="OK",T46="ELIGIBLE",OR(O46="NONE",P46=O46),OR(Q46="N",AND(Q46="Y",R46="QTRACE",S46&gt;=DATE(2025,1,31))),OR(VLOOKUP(C46,Data_Candidates!$A$2:$Y$133,17,FALSE())="N",N46="L1")),"CLEAR","VIOLATION")</f>
        <v>CLEAR</v>
      </c>
      <c r="V46" s="0" t="str">
        <f aca="false">D47</f>
        <v>B</v>
      </c>
      <c r="W46" s="4" t="n">
        <f aca="false">IF(V46="",0,IF(D46=V46,0,1))</f>
        <v>0</v>
      </c>
    </row>
    <row r="47" customFormat="false" ht="15" hidden="false" customHeight="false" outlineLevel="0" collapsed="false">
      <c r="A47" s="0" t="n">
        <v>43</v>
      </c>
      <c r="B47" s="0" t="s">
        <v>109</v>
      </c>
      <c r="C47" s="0" t="s">
        <v>110</v>
      </c>
      <c r="D47" s="0" t="str">
        <f aca="false">VLOOKUP(C47,Data_Candidates!$A$2:$Y$133,14,FALSE())</f>
        <v>B</v>
      </c>
      <c r="E47" s="0" t="str">
        <f aca="false">VLOOKUP(C47,Data_Candidates!$A$2:$Y$133,22,FALSE())</f>
        <v>C01</v>
      </c>
      <c r="F47" s="4" t="n">
        <f aca="false">VLOOKUP(C47,Data_Candidates!$A$2:$Y$133,13,FALSE())</f>
        <v>4</v>
      </c>
      <c r="G47" s="4" t="n">
        <f aca="false">VLOOKUP(C47,Data_Candidates!$A$2:$Y$133,8,FALSE())</f>
        <v>1.2</v>
      </c>
      <c r="H47" s="4" t="n">
        <f aca="false">F47*G47</f>
        <v>4.8</v>
      </c>
      <c r="I47" s="4" t="n">
        <f aca="false">VLOOKUP(B47,Data_Bins!$A$2:$L$101,5,FALSE())</f>
        <v>100</v>
      </c>
      <c r="J47" s="0" t="str">
        <f aca="false">IF(H47&lt;=I47,"OK","WEIGHT")</f>
        <v>OK</v>
      </c>
      <c r="K47" s="0" t="n">
        <f aca="false">F47*VLOOKUP(C47,Data_Candidates!$A$2:$Y$133,9,FALSE())/0.7</f>
        <v>0.00571428571428572</v>
      </c>
      <c r="L47" s="0" t="n">
        <f aca="false">VLOOKUP(B47,Data_Bins!$A$2:$L$101,4,FALSE())</f>
        <v>0.02</v>
      </c>
      <c r="M47" s="0" t="str">
        <f aca="false">IF(K47&lt;=L47,"OK","CUBE")</f>
        <v>OK</v>
      </c>
      <c r="N47" s="0" t="str">
        <f aca="false">VLOOKUP(B47,Data_Bins!$A$2:$L$101,6,FALSE())</f>
        <v>L2</v>
      </c>
      <c r="O47" s="0" t="str">
        <f aca="false">VLOOKUP(C47,Data_Candidates!$A$2:$Y$133,15,FALSE())</f>
        <v>NONE</v>
      </c>
      <c r="P47" s="0" t="str">
        <f aca="false">VLOOKUP(B47,Data_Bins!$A$2:$L$101,8,FALSE())</f>
        <v>NONE</v>
      </c>
      <c r="Q47" s="0" t="str">
        <f aca="false">VLOOKUP(C47,Data_Candidates!$A$2:$Y$133,16,FALSE())</f>
        <v>Y</v>
      </c>
      <c r="R47" s="0" t="str">
        <f aca="false">VLOOKUP(B47,Data_Bins!$A$2:$L$101,9,FALSE())</f>
        <v>QTRACE</v>
      </c>
      <c r="S47" s="0" t="n">
        <f aca="false">VLOOKUP(B47,Data_Bins!$A$2:$L$101,10,FALSE())</f>
        <v>46022</v>
      </c>
      <c r="T47" s="0" t="str">
        <f aca="false">IF(AND(VLOOKUP(C47,Data_Candidates!$A$2:$Y$133,2,FALSE())&lt;=DATE(2025,1,31),VLOOKUP(C47,Data_Candidates!$A$2:$Y$133,3,FALSE())&gt;=DATE(2025,1,31),VLOOKUP(C47,Data_Candidates!$A$2:$Y$133,4,FALSE())="Y",VLOOKUP(C47,Data_Candidates!$A$2:$Y$133,5,FALSE())="NONE",VLOOKUP(C47,Data_Candidates!$A$2:$Y$133,25,FALSE())="Y"),"ELIGIBLE","INELIGIBLE")</f>
        <v>ELIGIBLE</v>
      </c>
      <c r="U47" s="0" t="str">
        <f aca="false">IF(AND(J47="OK",M47="OK",T47="ELIGIBLE",OR(O47="NONE",P47=O47),OR(Q47="N",AND(Q47="Y",R47="QTRACE",S47&gt;=DATE(2025,1,31))),OR(VLOOKUP(C47,Data_Candidates!$A$2:$Y$133,17,FALSE())="N",N47="L1")),"CLEAR","VIOLATION")</f>
        <v>CLEAR</v>
      </c>
      <c r="V47" s="0" t="str">
        <f aca="false">D48</f>
        <v>B</v>
      </c>
      <c r="W47" s="4" t="n">
        <f aca="false">IF(V47="",0,IF(D47=V47,0,1))</f>
        <v>0</v>
      </c>
    </row>
    <row r="48" customFormat="false" ht="15" hidden="false" customHeight="false" outlineLevel="0" collapsed="false">
      <c r="A48" s="0" t="n">
        <v>44</v>
      </c>
      <c r="B48" s="0" t="s">
        <v>111</v>
      </c>
      <c r="C48" s="0" t="s">
        <v>112</v>
      </c>
      <c r="D48" s="0" t="str">
        <f aca="false">VLOOKUP(C48,Data_Candidates!$A$2:$Y$133,14,FALSE())</f>
        <v>B</v>
      </c>
      <c r="E48" s="0" t="str">
        <f aca="false">VLOOKUP(C48,Data_Candidates!$A$2:$Y$133,22,FALSE())</f>
        <v>C01</v>
      </c>
      <c r="F48" s="4" t="n">
        <f aca="false">VLOOKUP(C48,Data_Candidates!$A$2:$Y$133,13,FALSE())</f>
        <v>4</v>
      </c>
      <c r="G48" s="4" t="n">
        <f aca="false">VLOOKUP(C48,Data_Candidates!$A$2:$Y$133,8,FALSE())</f>
        <v>1.2</v>
      </c>
      <c r="H48" s="4" t="n">
        <f aca="false">F48*G48</f>
        <v>4.8</v>
      </c>
      <c r="I48" s="4" t="n">
        <f aca="false">VLOOKUP(B48,Data_Bins!$A$2:$L$101,5,FALSE())</f>
        <v>100</v>
      </c>
      <c r="J48" s="0" t="str">
        <f aca="false">IF(H48&lt;=I48,"OK","WEIGHT")</f>
        <v>OK</v>
      </c>
      <c r="K48" s="0" t="n">
        <f aca="false">F48*VLOOKUP(C48,Data_Candidates!$A$2:$Y$133,9,FALSE())/0.7</f>
        <v>0.00571428571428572</v>
      </c>
      <c r="L48" s="0" t="n">
        <f aca="false">VLOOKUP(B48,Data_Bins!$A$2:$L$101,4,FALSE())</f>
        <v>0.02</v>
      </c>
      <c r="M48" s="0" t="str">
        <f aca="false">IF(K48&lt;=L48,"OK","CUBE")</f>
        <v>OK</v>
      </c>
      <c r="N48" s="0" t="str">
        <f aca="false">VLOOKUP(B48,Data_Bins!$A$2:$L$101,6,FALSE())</f>
        <v>L2</v>
      </c>
      <c r="O48" s="0" t="str">
        <f aca="false">VLOOKUP(C48,Data_Candidates!$A$2:$Y$133,15,FALSE())</f>
        <v>NONE</v>
      </c>
      <c r="P48" s="0" t="str">
        <f aca="false">VLOOKUP(B48,Data_Bins!$A$2:$L$101,8,FALSE())</f>
        <v>NONE</v>
      </c>
      <c r="Q48" s="0" t="str">
        <f aca="false">VLOOKUP(C48,Data_Candidates!$A$2:$Y$133,16,FALSE())</f>
        <v>Y</v>
      </c>
      <c r="R48" s="0" t="str">
        <f aca="false">VLOOKUP(B48,Data_Bins!$A$2:$L$101,9,FALSE())</f>
        <v>QTRACE</v>
      </c>
      <c r="S48" s="0" t="n">
        <f aca="false">VLOOKUP(B48,Data_Bins!$A$2:$L$101,10,FALSE())</f>
        <v>46022</v>
      </c>
      <c r="T48" s="0" t="str">
        <f aca="false">IF(AND(VLOOKUP(C48,Data_Candidates!$A$2:$Y$133,2,FALSE())&lt;=DATE(2025,1,31),VLOOKUP(C48,Data_Candidates!$A$2:$Y$133,3,FALSE())&gt;=DATE(2025,1,31),VLOOKUP(C48,Data_Candidates!$A$2:$Y$133,4,FALSE())="Y",VLOOKUP(C48,Data_Candidates!$A$2:$Y$133,5,FALSE())="NONE",VLOOKUP(C48,Data_Candidates!$A$2:$Y$133,25,FALSE())="Y"),"ELIGIBLE","INELIGIBLE")</f>
        <v>ELIGIBLE</v>
      </c>
      <c r="U48" s="0" t="str">
        <f aca="false">IF(AND(J48="OK",M48="OK",T48="ELIGIBLE",OR(O48="NONE",P48=O48),OR(Q48="N",AND(Q48="Y",R48="QTRACE",S48&gt;=DATE(2025,1,31))),OR(VLOOKUP(C48,Data_Candidates!$A$2:$Y$133,17,FALSE())="N",N48="L1")),"CLEAR","VIOLATION")</f>
        <v>CLEAR</v>
      </c>
      <c r="V48" s="0" t="str">
        <f aca="false">D49</f>
        <v>B</v>
      </c>
      <c r="W48" s="4" t="n">
        <f aca="false">IF(V48="",0,IF(D48=V48,0,1))</f>
        <v>0</v>
      </c>
    </row>
    <row r="49" customFormat="false" ht="15" hidden="false" customHeight="false" outlineLevel="0" collapsed="false">
      <c r="A49" s="0" t="n">
        <v>45</v>
      </c>
      <c r="B49" s="0" t="s">
        <v>113</v>
      </c>
      <c r="C49" s="0" t="s">
        <v>114</v>
      </c>
      <c r="D49" s="0" t="str">
        <f aca="false">VLOOKUP(C49,Data_Candidates!$A$2:$Y$133,14,FALSE())</f>
        <v>B</v>
      </c>
      <c r="E49" s="0" t="str">
        <f aca="false">VLOOKUP(C49,Data_Candidates!$A$2:$Y$133,22,FALSE())</f>
        <v>C01</v>
      </c>
      <c r="F49" s="4" t="n">
        <f aca="false">VLOOKUP(C49,Data_Candidates!$A$2:$Y$133,13,FALSE())</f>
        <v>4</v>
      </c>
      <c r="G49" s="4" t="n">
        <f aca="false">VLOOKUP(C49,Data_Candidates!$A$2:$Y$133,8,FALSE())</f>
        <v>1.2</v>
      </c>
      <c r="H49" s="4" t="n">
        <f aca="false">F49*G49</f>
        <v>4.8</v>
      </c>
      <c r="I49" s="4" t="n">
        <f aca="false">VLOOKUP(B49,Data_Bins!$A$2:$L$101,5,FALSE())</f>
        <v>100</v>
      </c>
      <c r="J49" s="0" t="str">
        <f aca="false">IF(H49&lt;=I49,"OK","WEIGHT")</f>
        <v>OK</v>
      </c>
      <c r="K49" s="0" t="n">
        <f aca="false">F49*VLOOKUP(C49,Data_Candidates!$A$2:$Y$133,9,FALSE())/0.7</f>
        <v>0.00571428571428572</v>
      </c>
      <c r="L49" s="0" t="n">
        <f aca="false">VLOOKUP(B49,Data_Bins!$A$2:$L$101,4,FALSE())</f>
        <v>0.02</v>
      </c>
      <c r="M49" s="0" t="str">
        <f aca="false">IF(K49&lt;=L49,"OK","CUBE")</f>
        <v>OK</v>
      </c>
      <c r="N49" s="0" t="str">
        <f aca="false">VLOOKUP(B49,Data_Bins!$A$2:$L$101,6,FALSE())</f>
        <v>L2</v>
      </c>
      <c r="O49" s="0" t="str">
        <f aca="false">VLOOKUP(C49,Data_Candidates!$A$2:$Y$133,15,FALSE())</f>
        <v>NONE</v>
      </c>
      <c r="P49" s="0" t="str">
        <f aca="false">VLOOKUP(B49,Data_Bins!$A$2:$L$101,8,FALSE())</f>
        <v>NONE</v>
      </c>
      <c r="Q49" s="0" t="str">
        <f aca="false">VLOOKUP(C49,Data_Candidates!$A$2:$Y$133,16,FALSE())</f>
        <v>Y</v>
      </c>
      <c r="R49" s="0" t="str">
        <f aca="false">VLOOKUP(B49,Data_Bins!$A$2:$L$101,9,FALSE())</f>
        <v>QTRACE</v>
      </c>
      <c r="S49" s="0" t="n">
        <f aca="false">VLOOKUP(B49,Data_Bins!$A$2:$L$101,10,FALSE())</f>
        <v>46022</v>
      </c>
      <c r="T49" s="0" t="str">
        <f aca="false">IF(AND(VLOOKUP(C49,Data_Candidates!$A$2:$Y$133,2,FALSE())&lt;=DATE(2025,1,31),VLOOKUP(C49,Data_Candidates!$A$2:$Y$133,3,FALSE())&gt;=DATE(2025,1,31),VLOOKUP(C49,Data_Candidates!$A$2:$Y$133,4,FALSE())="Y",VLOOKUP(C49,Data_Candidates!$A$2:$Y$133,5,FALSE())="NONE",VLOOKUP(C49,Data_Candidates!$A$2:$Y$133,25,FALSE())="Y"),"ELIGIBLE","INELIGIBLE")</f>
        <v>ELIGIBLE</v>
      </c>
      <c r="U49" s="0" t="str">
        <f aca="false">IF(AND(J49="OK",M49="OK",T49="ELIGIBLE",OR(O49="NONE",P49=O49),OR(Q49="N",AND(Q49="Y",R49="QTRACE",S49&gt;=DATE(2025,1,31))),OR(VLOOKUP(C49,Data_Candidates!$A$2:$Y$133,17,FALSE())="N",N49="L1")),"CLEAR","VIOLATION")</f>
        <v>CLEAR</v>
      </c>
      <c r="V49" s="0" t="str">
        <f aca="false">D50</f>
        <v>B</v>
      </c>
      <c r="W49" s="4" t="n">
        <f aca="false">IF(V49="",0,IF(D49=V49,0,1))</f>
        <v>0</v>
      </c>
    </row>
    <row r="50" customFormat="false" ht="15" hidden="false" customHeight="false" outlineLevel="0" collapsed="false">
      <c r="A50" s="0" t="n">
        <v>46</v>
      </c>
      <c r="B50" s="0" t="s">
        <v>115</v>
      </c>
      <c r="C50" s="0" t="s">
        <v>116</v>
      </c>
      <c r="D50" s="0" t="str">
        <f aca="false">VLOOKUP(C50,Data_Candidates!$A$2:$Y$133,14,FALSE())</f>
        <v>B</v>
      </c>
      <c r="E50" s="0" t="str">
        <f aca="false">VLOOKUP(C50,Data_Candidates!$A$2:$Y$133,22,FALSE())</f>
        <v>C01</v>
      </c>
      <c r="F50" s="4" t="n">
        <f aca="false">VLOOKUP(C50,Data_Candidates!$A$2:$Y$133,13,FALSE())</f>
        <v>4</v>
      </c>
      <c r="G50" s="4" t="n">
        <f aca="false">VLOOKUP(C50,Data_Candidates!$A$2:$Y$133,8,FALSE())</f>
        <v>1.2</v>
      </c>
      <c r="H50" s="4" t="n">
        <f aca="false">F50*G50</f>
        <v>4.8</v>
      </c>
      <c r="I50" s="4" t="n">
        <f aca="false">VLOOKUP(B50,Data_Bins!$A$2:$L$101,5,FALSE())</f>
        <v>100</v>
      </c>
      <c r="J50" s="0" t="str">
        <f aca="false">IF(H50&lt;=I50,"OK","WEIGHT")</f>
        <v>OK</v>
      </c>
      <c r="K50" s="0" t="n">
        <f aca="false">F50*VLOOKUP(C50,Data_Candidates!$A$2:$Y$133,9,FALSE())/0.7</f>
        <v>0.00571428571428572</v>
      </c>
      <c r="L50" s="0" t="n">
        <f aca="false">VLOOKUP(B50,Data_Bins!$A$2:$L$101,4,FALSE())</f>
        <v>0.02</v>
      </c>
      <c r="M50" s="0" t="str">
        <f aca="false">IF(K50&lt;=L50,"OK","CUBE")</f>
        <v>OK</v>
      </c>
      <c r="N50" s="0" t="str">
        <f aca="false">VLOOKUP(B50,Data_Bins!$A$2:$L$101,6,FALSE())</f>
        <v>L2</v>
      </c>
      <c r="O50" s="0" t="str">
        <f aca="false">VLOOKUP(C50,Data_Candidates!$A$2:$Y$133,15,FALSE())</f>
        <v>NONE</v>
      </c>
      <c r="P50" s="0" t="str">
        <f aca="false">VLOOKUP(B50,Data_Bins!$A$2:$L$101,8,FALSE())</f>
        <v>NONE</v>
      </c>
      <c r="Q50" s="0" t="str">
        <f aca="false">VLOOKUP(C50,Data_Candidates!$A$2:$Y$133,16,FALSE())</f>
        <v>Y</v>
      </c>
      <c r="R50" s="0" t="str">
        <f aca="false">VLOOKUP(B50,Data_Bins!$A$2:$L$101,9,FALSE())</f>
        <v>QTRACE</v>
      </c>
      <c r="S50" s="0" t="n">
        <f aca="false">VLOOKUP(B50,Data_Bins!$A$2:$L$101,10,FALSE())</f>
        <v>46022</v>
      </c>
      <c r="T50" s="0" t="str">
        <f aca="false">IF(AND(VLOOKUP(C50,Data_Candidates!$A$2:$Y$133,2,FALSE())&lt;=DATE(2025,1,31),VLOOKUP(C50,Data_Candidates!$A$2:$Y$133,3,FALSE())&gt;=DATE(2025,1,31),VLOOKUP(C50,Data_Candidates!$A$2:$Y$133,4,FALSE())="Y",VLOOKUP(C50,Data_Candidates!$A$2:$Y$133,5,FALSE())="NONE",VLOOKUP(C50,Data_Candidates!$A$2:$Y$133,25,FALSE())="Y"),"ELIGIBLE","INELIGIBLE")</f>
        <v>ELIGIBLE</v>
      </c>
      <c r="U50" s="0" t="str">
        <f aca="false">IF(AND(J50="OK",M50="OK",T50="ELIGIBLE",OR(O50="NONE",P50=O50),OR(Q50="N",AND(Q50="Y",R50="QTRACE",S50&gt;=DATE(2025,1,31))),OR(VLOOKUP(C50,Data_Candidates!$A$2:$Y$133,17,FALSE())="N",N50="L1")),"CLEAR","VIOLATION")</f>
        <v>CLEAR</v>
      </c>
      <c r="V50" s="0" t="str">
        <f aca="false">D51</f>
        <v>B</v>
      </c>
      <c r="W50" s="4" t="n">
        <f aca="false">IF(V50="",0,IF(D50=V50,0,1))</f>
        <v>0</v>
      </c>
    </row>
    <row r="51" customFormat="false" ht="15" hidden="false" customHeight="false" outlineLevel="0" collapsed="false">
      <c r="A51" s="0" t="n">
        <v>47</v>
      </c>
      <c r="B51" s="0" t="s">
        <v>117</v>
      </c>
      <c r="C51" s="0" t="s">
        <v>118</v>
      </c>
      <c r="D51" s="0" t="str">
        <f aca="false">VLOOKUP(C51,Data_Candidates!$A$2:$Y$133,14,FALSE())</f>
        <v>B</v>
      </c>
      <c r="E51" s="0" t="str">
        <f aca="false">VLOOKUP(C51,Data_Candidates!$A$2:$Y$133,22,FALSE())</f>
        <v>C01</v>
      </c>
      <c r="F51" s="4" t="n">
        <f aca="false">VLOOKUP(C51,Data_Candidates!$A$2:$Y$133,13,FALSE())</f>
        <v>4</v>
      </c>
      <c r="G51" s="4" t="n">
        <f aca="false">VLOOKUP(C51,Data_Candidates!$A$2:$Y$133,8,FALSE())</f>
        <v>1.2</v>
      </c>
      <c r="H51" s="4" t="n">
        <f aca="false">F51*G51</f>
        <v>4.8</v>
      </c>
      <c r="I51" s="4" t="n">
        <f aca="false">VLOOKUP(B51,Data_Bins!$A$2:$L$101,5,FALSE())</f>
        <v>100</v>
      </c>
      <c r="J51" s="0" t="str">
        <f aca="false">IF(H51&lt;=I51,"OK","WEIGHT")</f>
        <v>OK</v>
      </c>
      <c r="K51" s="0" t="n">
        <f aca="false">F51*VLOOKUP(C51,Data_Candidates!$A$2:$Y$133,9,FALSE())/0.7</f>
        <v>0.00571428571428572</v>
      </c>
      <c r="L51" s="0" t="n">
        <f aca="false">VLOOKUP(B51,Data_Bins!$A$2:$L$101,4,FALSE())</f>
        <v>0.02</v>
      </c>
      <c r="M51" s="0" t="str">
        <f aca="false">IF(K51&lt;=L51,"OK","CUBE")</f>
        <v>OK</v>
      </c>
      <c r="N51" s="0" t="str">
        <f aca="false">VLOOKUP(B51,Data_Bins!$A$2:$L$101,6,FALSE())</f>
        <v>L2</v>
      </c>
      <c r="O51" s="0" t="str">
        <f aca="false">VLOOKUP(C51,Data_Candidates!$A$2:$Y$133,15,FALSE())</f>
        <v>NONE</v>
      </c>
      <c r="P51" s="0" t="str">
        <f aca="false">VLOOKUP(B51,Data_Bins!$A$2:$L$101,8,FALSE())</f>
        <v>NONE</v>
      </c>
      <c r="Q51" s="0" t="str">
        <f aca="false">VLOOKUP(C51,Data_Candidates!$A$2:$Y$133,16,FALSE())</f>
        <v>Y</v>
      </c>
      <c r="R51" s="0" t="str">
        <f aca="false">VLOOKUP(B51,Data_Bins!$A$2:$L$101,9,FALSE())</f>
        <v>QTRACE</v>
      </c>
      <c r="S51" s="0" t="n">
        <f aca="false">VLOOKUP(B51,Data_Bins!$A$2:$L$101,10,FALSE())</f>
        <v>46022</v>
      </c>
      <c r="T51" s="0" t="str">
        <f aca="false">IF(AND(VLOOKUP(C51,Data_Candidates!$A$2:$Y$133,2,FALSE())&lt;=DATE(2025,1,31),VLOOKUP(C51,Data_Candidates!$A$2:$Y$133,3,FALSE())&gt;=DATE(2025,1,31),VLOOKUP(C51,Data_Candidates!$A$2:$Y$133,4,FALSE())="Y",VLOOKUP(C51,Data_Candidates!$A$2:$Y$133,5,FALSE())="NONE",VLOOKUP(C51,Data_Candidates!$A$2:$Y$133,25,FALSE())="Y"),"ELIGIBLE","INELIGIBLE")</f>
        <v>ELIGIBLE</v>
      </c>
      <c r="U51" s="0" t="str">
        <f aca="false">IF(AND(J51="OK",M51="OK",T51="ELIGIBLE",OR(O51="NONE",P51=O51),OR(Q51="N",AND(Q51="Y",R51="QTRACE",S51&gt;=DATE(2025,1,31))),OR(VLOOKUP(C51,Data_Candidates!$A$2:$Y$133,17,FALSE())="N",N51="L1")),"CLEAR","VIOLATION")</f>
        <v>CLEAR</v>
      </c>
      <c r="V51" s="0" t="str">
        <f aca="false">D52</f>
        <v>B</v>
      </c>
      <c r="W51" s="4" t="n">
        <f aca="false">IF(V51="",0,IF(D51=V51,0,1))</f>
        <v>0</v>
      </c>
    </row>
    <row r="52" customFormat="false" ht="15" hidden="false" customHeight="false" outlineLevel="0" collapsed="false">
      <c r="A52" s="0" t="n">
        <v>48</v>
      </c>
      <c r="B52" s="0" t="s">
        <v>119</v>
      </c>
      <c r="C52" s="0" t="s">
        <v>120</v>
      </c>
      <c r="D52" s="0" t="str">
        <f aca="false">VLOOKUP(C52,Data_Candidates!$A$2:$Y$133,14,FALSE())</f>
        <v>B</v>
      </c>
      <c r="E52" s="0" t="str">
        <f aca="false">VLOOKUP(C52,Data_Candidates!$A$2:$Y$133,22,FALSE())</f>
        <v>C01</v>
      </c>
      <c r="F52" s="4" t="n">
        <f aca="false">VLOOKUP(C52,Data_Candidates!$A$2:$Y$133,13,FALSE())</f>
        <v>4</v>
      </c>
      <c r="G52" s="4" t="n">
        <f aca="false">VLOOKUP(C52,Data_Candidates!$A$2:$Y$133,8,FALSE())</f>
        <v>1.2</v>
      </c>
      <c r="H52" s="4" t="n">
        <f aca="false">F52*G52</f>
        <v>4.8</v>
      </c>
      <c r="I52" s="4" t="n">
        <f aca="false">VLOOKUP(B52,Data_Bins!$A$2:$L$101,5,FALSE())</f>
        <v>100</v>
      </c>
      <c r="J52" s="0" t="str">
        <f aca="false">IF(H52&lt;=I52,"OK","WEIGHT")</f>
        <v>OK</v>
      </c>
      <c r="K52" s="0" t="n">
        <f aca="false">F52*VLOOKUP(C52,Data_Candidates!$A$2:$Y$133,9,FALSE())/0.7</f>
        <v>0.00571428571428572</v>
      </c>
      <c r="L52" s="0" t="n">
        <f aca="false">VLOOKUP(B52,Data_Bins!$A$2:$L$101,4,FALSE())</f>
        <v>0.02</v>
      </c>
      <c r="M52" s="0" t="str">
        <f aca="false">IF(K52&lt;=L52,"OK","CUBE")</f>
        <v>OK</v>
      </c>
      <c r="N52" s="0" t="str">
        <f aca="false">VLOOKUP(B52,Data_Bins!$A$2:$L$101,6,FALSE())</f>
        <v>L2</v>
      </c>
      <c r="O52" s="0" t="str">
        <f aca="false">VLOOKUP(C52,Data_Candidates!$A$2:$Y$133,15,FALSE())</f>
        <v>NONE</v>
      </c>
      <c r="P52" s="0" t="str">
        <f aca="false">VLOOKUP(B52,Data_Bins!$A$2:$L$101,8,FALSE())</f>
        <v>NONE</v>
      </c>
      <c r="Q52" s="0" t="str">
        <f aca="false">VLOOKUP(C52,Data_Candidates!$A$2:$Y$133,16,FALSE())</f>
        <v>Y</v>
      </c>
      <c r="R52" s="0" t="str">
        <f aca="false">VLOOKUP(B52,Data_Bins!$A$2:$L$101,9,FALSE())</f>
        <v>QTRACE</v>
      </c>
      <c r="S52" s="0" t="n">
        <f aca="false">VLOOKUP(B52,Data_Bins!$A$2:$L$101,10,FALSE())</f>
        <v>46022</v>
      </c>
      <c r="T52" s="0" t="str">
        <f aca="false">IF(AND(VLOOKUP(C52,Data_Candidates!$A$2:$Y$133,2,FALSE())&lt;=DATE(2025,1,31),VLOOKUP(C52,Data_Candidates!$A$2:$Y$133,3,FALSE())&gt;=DATE(2025,1,31),VLOOKUP(C52,Data_Candidates!$A$2:$Y$133,4,FALSE())="Y",VLOOKUP(C52,Data_Candidates!$A$2:$Y$133,5,FALSE())="NONE",VLOOKUP(C52,Data_Candidates!$A$2:$Y$133,25,FALSE())="Y"),"ELIGIBLE","INELIGIBLE")</f>
        <v>ELIGIBLE</v>
      </c>
      <c r="U52" s="0" t="str">
        <f aca="false">IF(AND(J52="OK",M52="OK",T52="ELIGIBLE",OR(O52="NONE",P52=O52),OR(Q52="N",AND(Q52="Y",R52="QTRACE",S52&gt;=DATE(2025,1,31))),OR(VLOOKUP(C52,Data_Candidates!$A$2:$Y$133,17,FALSE())="N",N52="L1")),"CLEAR","VIOLATION")</f>
        <v>CLEAR</v>
      </c>
      <c r="V52" s="0" t="str">
        <f aca="false">D53</f>
        <v>C</v>
      </c>
      <c r="W52" s="4" t="n">
        <f aca="false">IF(V52="",0,IF(D52=V52,0,1))</f>
        <v>1</v>
      </c>
    </row>
    <row r="53" customFormat="false" ht="15" hidden="false" customHeight="false" outlineLevel="0" collapsed="false">
      <c r="A53" s="0" t="n">
        <v>49</v>
      </c>
      <c r="B53" s="0" t="s">
        <v>121</v>
      </c>
      <c r="C53" s="0" t="s">
        <v>122</v>
      </c>
      <c r="D53" s="0" t="str">
        <f aca="false">VLOOKUP(C53,Data_Candidates!$A$2:$Y$133,14,FALSE())</f>
        <v>C</v>
      </c>
      <c r="E53" s="0" t="str">
        <f aca="false">VLOOKUP(C53,Data_Candidates!$A$2:$Y$133,22,FALSE())</f>
        <v>C01</v>
      </c>
      <c r="F53" s="4" t="n">
        <f aca="false">VLOOKUP(C53,Data_Candidates!$A$2:$Y$133,13,FALSE())</f>
        <v>4</v>
      </c>
      <c r="G53" s="4" t="n">
        <f aca="false">VLOOKUP(C53,Data_Candidates!$A$2:$Y$133,8,FALSE())</f>
        <v>1.2</v>
      </c>
      <c r="H53" s="4" t="n">
        <f aca="false">F53*G53</f>
        <v>4.8</v>
      </c>
      <c r="I53" s="4" t="n">
        <f aca="false">VLOOKUP(B53,Data_Bins!$A$2:$L$101,5,FALSE())</f>
        <v>100</v>
      </c>
      <c r="J53" s="0" t="str">
        <f aca="false">IF(H53&lt;=I53,"OK","WEIGHT")</f>
        <v>OK</v>
      </c>
      <c r="K53" s="0" t="n">
        <f aca="false">F53*VLOOKUP(C53,Data_Candidates!$A$2:$Y$133,9,FALSE())/0.7</f>
        <v>0.00571428571428572</v>
      </c>
      <c r="L53" s="0" t="n">
        <f aca="false">VLOOKUP(B53,Data_Bins!$A$2:$L$101,4,FALSE())</f>
        <v>0.02</v>
      </c>
      <c r="M53" s="0" t="str">
        <f aca="false">IF(K53&lt;=L53,"OK","CUBE")</f>
        <v>OK</v>
      </c>
      <c r="N53" s="0" t="str">
        <f aca="false">VLOOKUP(B53,Data_Bins!$A$2:$L$101,6,FALSE())</f>
        <v>L2</v>
      </c>
      <c r="O53" s="0" t="str">
        <f aca="false">VLOOKUP(C53,Data_Candidates!$A$2:$Y$133,15,FALSE())</f>
        <v>NONE</v>
      </c>
      <c r="P53" s="0" t="str">
        <f aca="false">VLOOKUP(B53,Data_Bins!$A$2:$L$101,8,FALSE())</f>
        <v>NONE</v>
      </c>
      <c r="Q53" s="0" t="str">
        <f aca="false">VLOOKUP(C53,Data_Candidates!$A$2:$Y$133,16,FALSE())</f>
        <v>Y</v>
      </c>
      <c r="R53" s="0" t="str">
        <f aca="false">VLOOKUP(B53,Data_Bins!$A$2:$L$101,9,FALSE())</f>
        <v>QTRACE</v>
      </c>
      <c r="S53" s="0" t="n">
        <f aca="false">VLOOKUP(B53,Data_Bins!$A$2:$L$101,10,FALSE())</f>
        <v>46022</v>
      </c>
      <c r="T53" s="0" t="str">
        <f aca="false">IF(AND(VLOOKUP(C53,Data_Candidates!$A$2:$Y$133,2,FALSE())&lt;=DATE(2025,1,31),VLOOKUP(C53,Data_Candidates!$A$2:$Y$133,3,FALSE())&gt;=DATE(2025,1,31),VLOOKUP(C53,Data_Candidates!$A$2:$Y$133,4,FALSE())="Y",VLOOKUP(C53,Data_Candidates!$A$2:$Y$133,5,FALSE())="NONE",VLOOKUP(C53,Data_Candidates!$A$2:$Y$133,25,FALSE())="Y"),"ELIGIBLE","INELIGIBLE")</f>
        <v>ELIGIBLE</v>
      </c>
      <c r="U53" s="0" t="str">
        <f aca="false">IF(AND(J53="OK",M53="OK",T53="ELIGIBLE",OR(O53="NONE",P53=O53),OR(Q53="N",AND(Q53="Y",R53="QTRACE",S53&gt;=DATE(2025,1,31))),OR(VLOOKUP(C53,Data_Candidates!$A$2:$Y$133,17,FALSE())="N",N53="L1")),"CLEAR","VIOLATION")</f>
        <v>CLEAR</v>
      </c>
      <c r="V53" s="0" t="str">
        <f aca="false">D54</f>
        <v>C</v>
      </c>
      <c r="W53" s="4" t="n">
        <f aca="false">IF(V53="",0,IF(D53=V53,0,1))</f>
        <v>0</v>
      </c>
    </row>
    <row r="54" customFormat="false" ht="15" hidden="false" customHeight="false" outlineLevel="0" collapsed="false">
      <c r="A54" s="0" t="n">
        <v>50</v>
      </c>
      <c r="B54" s="0" t="s">
        <v>123</v>
      </c>
      <c r="C54" s="0" t="s">
        <v>124</v>
      </c>
      <c r="D54" s="0" t="str">
        <f aca="false">VLOOKUP(C54,Data_Candidates!$A$2:$Y$133,14,FALSE())</f>
        <v>C</v>
      </c>
      <c r="E54" s="0" t="str">
        <f aca="false">VLOOKUP(C54,Data_Candidates!$A$2:$Y$133,22,FALSE())</f>
        <v>C01</v>
      </c>
      <c r="F54" s="4" t="n">
        <f aca="false">VLOOKUP(C54,Data_Candidates!$A$2:$Y$133,13,FALSE())</f>
        <v>4</v>
      </c>
      <c r="G54" s="4" t="n">
        <f aca="false">VLOOKUP(C54,Data_Candidates!$A$2:$Y$133,8,FALSE())</f>
        <v>1.2</v>
      </c>
      <c r="H54" s="4" t="n">
        <f aca="false">F54*G54</f>
        <v>4.8</v>
      </c>
      <c r="I54" s="4" t="n">
        <f aca="false">VLOOKUP(B54,Data_Bins!$A$2:$L$101,5,FALSE())</f>
        <v>100</v>
      </c>
      <c r="J54" s="0" t="str">
        <f aca="false">IF(H54&lt;=I54,"OK","WEIGHT")</f>
        <v>OK</v>
      </c>
      <c r="K54" s="0" t="n">
        <f aca="false">F54*VLOOKUP(C54,Data_Candidates!$A$2:$Y$133,9,FALSE())/0.7</f>
        <v>0.00571428571428572</v>
      </c>
      <c r="L54" s="0" t="n">
        <f aca="false">VLOOKUP(B54,Data_Bins!$A$2:$L$101,4,FALSE())</f>
        <v>0.02</v>
      </c>
      <c r="M54" s="0" t="str">
        <f aca="false">IF(K54&lt;=L54,"OK","CUBE")</f>
        <v>OK</v>
      </c>
      <c r="N54" s="0" t="str">
        <f aca="false">VLOOKUP(B54,Data_Bins!$A$2:$L$101,6,FALSE())</f>
        <v>L2</v>
      </c>
      <c r="O54" s="0" t="str">
        <f aca="false">VLOOKUP(C54,Data_Candidates!$A$2:$Y$133,15,FALSE())</f>
        <v>NONE</v>
      </c>
      <c r="P54" s="0" t="str">
        <f aca="false">VLOOKUP(B54,Data_Bins!$A$2:$L$101,8,FALSE())</f>
        <v>NONE</v>
      </c>
      <c r="Q54" s="0" t="str">
        <f aca="false">VLOOKUP(C54,Data_Candidates!$A$2:$Y$133,16,FALSE())</f>
        <v>Y</v>
      </c>
      <c r="R54" s="0" t="str">
        <f aca="false">VLOOKUP(B54,Data_Bins!$A$2:$L$101,9,FALSE())</f>
        <v>QTRACE</v>
      </c>
      <c r="S54" s="0" t="n">
        <f aca="false">VLOOKUP(B54,Data_Bins!$A$2:$L$101,10,FALSE())</f>
        <v>46022</v>
      </c>
      <c r="T54" s="0" t="str">
        <f aca="false">IF(AND(VLOOKUP(C54,Data_Candidates!$A$2:$Y$133,2,FALSE())&lt;=DATE(2025,1,31),VLOOKUP(C54,Data_Candidates!$A$2:$Y$133,3,FALSE())&gt;=DATE(2025,1,31),VLOOKUP(C54,Data_Candidates!$A$2:$Y$133,4,FALSE())="Y",VLOOKUP(C54,Data_Candidates!$A$2:$Y$133,5,FALSE())="NONE",VLOOKUP(C54,Data_Candidates!$A$2:$Y$133,25,FALSE())="Y"),"ELIGIBLE","INELIGIBLE")</f>
        <v>ELIGIBLE</v>
      </c>
      <c r="U54" s="0" t="str">
        <f aca="false">IF(AND(J54="OK",M54="OK",T54="ELIGIBLE",OR(O54="NONE",P54=O54),OR(Q54="N",AND(Q54="Y",R54="QTRACE",S54&gt;=DATE(2025,1,31))),OR(VLOOKUP(C54,Data_Candidates!$A$2:$Y$133,17,FALSE())="N",N54="L1")),"CLEAR","VIOLATION")</f>
        <v>CLEAR</v>
      </c>
      <c r="V54" s="0" t="str">
        <f aca="false">D55</f>
        <v>C</v>
      </c>
      <c r="W54" s="4" t="n">
        <f aca="false">IF(V54="",0,IF(D54=V54,0,1))</f>
        <v>0</v>
      </c>
    </row>
    <row r="55" customFormat="false" ht="15" hidden="false" customHeight="false" outlineLevel="0" collapsed="false">
      <c r="A55" s="0" t="n">
        <v>51</v>
      </c>
      <c r="B55" s="0" t="s">
        <v>125</v>
      </c>
      <c r="C55" s="0" t="s">
        <v>126</v>
      </c>
      <c r="D55" s="0" t="str">
        <f aca="false">VLOOKUP(C55,Data_Candidates!$A$2:$Y$133,14,FALSE())</f>
        <v>C</v>
      </c>
      <c r="E55" s="0" t="str">
        <f aca="false">VLOOKUP(C55,Data_Candidates!$A$2:$Y$133,22,FALSE())</f>
        <v>C01</v>
      </c>
      <c r="F55" s="4" t="n">
        <f aca="false">VLOOKUP(C55,Data_Candidates!$A$2:$Y$133,13,FALSE())</f>
        <v>4</v>
      </c>
      <c r="G55" s="4" t="n">
        <f aca="false">VLOOKUP(C55,Data_Candidates!$A$2:$Y$133,8,FALSE())</f>
        <v>1.2</v>
      </c>
      <c r="H55" s="4" t="n">
        <f aca="false">F55*G55</f>
        <v>4.8</v>
      </c>
      <c r="I55" s="4" t="n">
        <f aca="false">VLOOKUP(B55,Data_Bins!$A$2:$L$101,5,FALSE())</f>
        <v>100</v>
      </c>
      <c r="J55" s="0" t="str">
        <f aca="false">IF(H55&lt;=I55,"OK","WEIGHT")</f>
        <v>OK</v>
      </c>
      <c r="K55" s="0" t="n">
        <f aca="false">F55*VLOOKUP(C55,Data_Candidates!$A$2:$Y$133,9,FALSE())/0.7</f>
        <v>0.00571428571428572</v>
      </c>
      <c r="L55" s="0" t="n">
        <f aca="false">VLOOKUP(B55,Data_Bins!$A$2:$L$101,4,FALSE())</f>
        <v>0.02</v>
      </c>
      <c r="M55" s="0" t="str">
        <f aca="false">IF(K55&lt;=L55,"OK","CUBE")</f>
        <v>OK</v>
      </c>
      <c r="N55" s="0" t="str">
        <f aca="false">VLOOKUP(B55,Data_Bins!$A$2:$L$101,6,FALSE())</f>
        <v>L2</v>
      </c>
      <c r="O55" s="0" t="str">
        <f aca="false">VLOOKUP(C55,Data_Candidates!$A$2:$Y$133,15,FALSE())</f>
        <v>NONE</v>
      </c>
      <c r="P55" s="0" t="str">
        <f aca="false">VLOOKUP(B55,Data_Bins!$A$2:$L$101,8,FALSE())</f>
        <v>NONE</v>
      </c>
      <c r="Q55" s="0" t="str">
        <f aca="false">VLOOKUP(C55,Data_Candidates!$A$2:$Y$133,16,FALSE())</f>
        <v>Y</v>
      </c>
      <c r="R55" s="0" t="str">
        <f aca="false">VLOOKUP(B55,Data_Bins!$A$2:$L$101,9,FALSE())</f>
        <v>QTRACE</v>
      </c>
      <c r="S55" s="0" t="n">
        <f aca="false">VLOOKUP(B55,Data_Bins!$A$2:$L$101,10,FALSE())</f>
        <v>46022</v>
      </c>
      <c r="T55" s="0" t="str">
        <f aca="false">IF(AND(VLOOKUP(C55,Data_Candidates!$A$2:$Y$133,2,FALSE())&lt;=DATE(2025,1,31),VLOOKUP(C55,Data_Candidates!$A$2:$Y$133,3,FALSE())&gt;=DATE(2025,1,31),VLOOKUP(C55,Data_Candidates!$A$2:$Y$133,4,FALSE())="Y",VLOOKUP(C55,Data_Candidates!$A$2:$Y$133,5,FALSE())="NONE",VLOOKUP(C55,Data_Candidates!$A$2:$Y$133,25,FALSE())="Y"),"ELIGIBLE","INELIGIBLE")</f>
        <v>ELIGIBLE</v>
      </c>
      <c r="U55" s="0" t="str">
        <f aca="false">IF(AND(J55="OK",M55="OK",T55="ELIGIBLE",OR(O55="NONE",P55=O55),OR(Q55="N",AND(Q55="Y",R55="QTRACE",S55&gt;=DATE(2025,1,31))),OR(VLOOKUP(C55,Data_Candidates!$A$2:$Y$133,17,FALSE())="N",N55="L1")),"CLEAR","VIOLATION")</f>
        <v>CLEAR</v>
      </c>
      <c r="V55" s="0" t="str">
        <f aca="false">D56</f>
        <v>C</v>
      </c>
      <c r="W55" s="4" t="n">
        <f aca="false">IF(V55="",0,IF(D55=V55,0,1))</f>
        <v>0</v>
      </c>
    </row>
    <row r="56" customFormat="false" ht="15" hidden="false" customHeight="false" outlineLevel="0" collapsed="false">
      <c r="A56" s="0" t="n">
        <v>52</v>
      </c>
      <c r="B56" s="0" t="s">
        <v>127</v>
      </c>
      <c r="C56" s="0" t="s">
        <v>128</v>
      </c>
      <c r="D56" s="0" t="str">
        <f aca="false">VLOOKUP(C56,Data_Candidates!$A$2:$Y$133,14,FALSE())</f>
        <v>C</v>
      </c>
      <c r="E56" s="0" t="str">
        <f aca="false">VLOOKUP(C56,Data_Candidates!$A$2:$Y$133,22,FALSE())</f>
        <v>C01</v>
      </c>
      <c r="F56" s="4" t="n">
        <f aca="false">VLOOKUP(C56,Data_Candidates!$A$2:$Y$133,13,FALSE())</f>
        <v>4</v>
      </c>
      <c r="G56" s="4" t="n">
        <f aca="false">VLOOKUP(C56,Data_Candidates!$A$2:$Y$133,8,FALSE())</f>
        <v>1.2</v>
      </c>
      <c r="H56" s="4" t="n">
        <f aca="false">F56*G56</f>
        <v>4.8</v>
      </c>
      <c r="I56" s="4" t="n">
        <f aca="false">VLOOKUP(B56,Data_Bins!$A$2:$L$101,5,FALSE())</f>
        <v>100</v>
      </c>
      <c r="J56" s="0" t="str">
        <f aca="false">IF(H56&lt;=I56,"OK","WEIGHT")</f>
        <v>OK</v>
      </c>
      <c r="K56" s="0" t="n">
        <f aca="false">F56*VLOOKUP(C56,Data_Candidates!$A$2:$Y$133,9,FALSE())/0.7</f>
        <v>0.00571428571428572</v>
      </c>
      <c r="L56" s="0" t="n">
        <f aca="false">VLOOKUP(B56,Data_Bins!$A$2:$L$101,4,FALSE())</f>
        <v>0.02</v>
      </c>
      <c r="M56" s="0" t="str">
        <f aca="false">IF(K56&lt;=L56,"OK","CUBE")</f>
        <v>OK</v>
      </c>
      <c r="N56" s="0" t="str">
        <f aca="false">VLOOKUP(B56,Data_Bins!$A$2:$L$101,6,FALSE())</f>
        <v>L2</v>
      </c>
      <c r="O56" s="0" t="str">
        <f aca="false">VLOOKUP(C56,Data_Candidates!$A$2:$Y$133,15,FALSE())</f>
        <v>NONE</v>
      </c>
      <c r="P56" s="0" t="str">
        <f aca="false">VLOOKUP(B56,Data_Bins!$A$2:$L$101,8,FALSE())</f>
        <v>NONE</v>
      </c>
      <c r="Q56" s="0" t="str">
        <f aca="false">VLOOKUP(C56,Data_Candidates!$A$2:$Y$133,16,FALSE())</f>
        <v>Y</v>
      </c>
      <c r="R56" s="0" t="str">
        <f aca="false">VLOOKUP(B56,Data_Bins!$A$2:$L$101,9,FALSE())</f>
        <v>QTRACE</v>
      </c>
      <c r="S56" s="0" t="n">
        <f aca="false">VLOOKUP(B56,Data_Bins!$A$2:$L$101,10,FALSE())</f>
        <v>46022</v>
      </c>
      <c r="T56" s="0" t="str">
        <f aca="false">IF(AND(VLOOKUP(C56,Data_Candidates!$A$2:$Y$133,2,FALSE())&lt;=DATE(2025,1,31),VLOOKUP(C56,Data_Candidates!$A$2:$Y$133,3,FALSE())&gt;=DATE(2025,1,31),VLOOKUP(C56,Data_Candidates!$A$2:$Y$133,4,FALSE())="Y",VLOOKUP(C56,Data_Candidates!$A$2:$Y$133,5,FALSE())="NONE",VLOOKUP(C56,Data_Candidates!$A$2:$Y$133,25,FALSE())="Y"),"ELIGIBLE","INELIGIBLE")</f>
        <v>ELIGIBLE</v>
      </c>
      <c r="U56" s="0" t="str">
        <f aca="false">IF(AND(J56="OK",M56="OK",T56="ELIGIBLE",OR(O56="NONE",P56=O56),OR(Q56="N",AND(Q56="Y",R56="QTRACE",S56&gt;=DATE(2025,1,31))),OR(VLOOKUP(C56,Data_Candidates!$A$2:$Y$133,17,FALSE())="N",N56="L1")),"CLEAR","VIOLATION")</f>
        <v>CLEAR</v>
      </c>
      <c r="V56" s="0" t="str">
        <f aca="false">D57</f>
        <v>C</v>
      </c>
      <c r="W56" s="4" t="n">
        <f aca="false">IF(V56="",0,IF(D56=V56,0,1))</f>
        <v>0</v>
      </c>
    </row>
    <row r="57" customFormat="false" ht="15" hidden="false" customHeight="false" outlineLevel="0" collapsed="false">
      <c r="A57" s="0" t="n">
        <v>53</v>
      </c>
      <c r="B57" s="0" t="s">
        <v>129</v>
      </c>
      <c r="C57" s="0" t="s">
        <v>130</v>
      </c>
      <c r="D57" s="0" t="str">
        <f aca="false">VLOOKUP(C57,Data_Candidates!$A$2:$Y$133,14,FALSE())</f>
        <v>C</v>
      </c>
      <c r="E57" s="0" t="str">
        <f aca="false">VLOOKUP(C57,Data_Candidates!$A$2:$Y$133,22,FALSE())</f>
        <v>C01</v>
      </c>
      <c r="F57" s="4" t="n">
        <f aca="false">VLOOKUP(C57,Data_Candidates!$A$2:$Y$133,13,FALSE())</f>
        <v>4</v>
      </c>
      <c r="G57" s="4" t="n">
        <f aca="false">VLOOKUP(C57,Data_Candidates!$A$2:$Y$133,8,FALSE())</f>
        <v>1.2</v>
      </c>
      <c r="H57" s="4" t="n">
        <f aca="false">F57*G57</f>
        <v>4.8</v>
      </c>
      <c r="I57" s="4" t="n">
        <f aca="false">VLOOKUP(B57,Data_Bins!$A$2:$L$101,5,FALSE())</f>
        <v>100</v>
      </c>
      <c r="J57" s="0" t="str">
        <f aca="false">IF(H57&lt;=I57,"OK","WEIGHT")</f>
        <v>OK</v>
      </c>
      <c r="K57" s="0" t="n">
        <f aca="false">F57*VLOOKUP(C57,Data_Candidates!$A$2:$Y$133,9,FALSE())/0.7</f>
        <v>0.00571428571428572</v>
      </c>
      <c r="L57" s="0" t="n">
        <f aca="false">VLOOKUP(B57,Data_Bins!$A$2:$L$101,4,FALSE())</f>
        <v>0.02</v>
      </c>
      <c r="M57" s="0" t="str">
        <f aca="false">IF(K57&lt;=L57,"OK","CUBE")</f>
        <v>OK</v>
      </c>
      <c r="N57" s="0" t="str">
        <f aca="false">VLOOKUP(B57,Data_Bins!$A$2:$L$101,6,FALSE())</f>
        <v>L2</v>
      </c>
      <c r="O57" s="0" t="str">
        <f aca="false">VLOOKUP(C57,Data_Candidates!$A$2:$Y$133,15,FALSE())</f>
        <v>NONE</v>
      </c>
      <c r="P57" s="0" t="str">
        <f aca="false">VLOOKUP(B57,Data_Bins!$A$2:$L$101,8,FALSE())</f>
        <v>NONE</v>
      </c>
      <c r="Q57" s="0" t="str">
        <f aca="false">VLOOKUP(C57,Data_Candidates!$A$2:$Y$133,16,FALSE())</f>
        <v>N</v>
      </c>
      <c r="R57" s="0" t="str">
        <f aca="false">VLOOKUP(B57,Data_Bins!$A$2:$L$101,9,FALSE())</f>
        <v>QTRACE</v>
      </c>
      <c r="S57" s="0" t="n">
        <f aca="false">VLOOKUP(B57,Data_Bins!$A$2:$L$101,10,FALSE())</f>
        <v>46022</v>
      </c>
      <c r="T57" s="0" t="str">
        <f aca="false">IF(AND(VLOOKUP(C57,Data_Candidates!$A$2:$Y$133,2,FALSE())&lt;=DATE(2025,1,31),VLOOKUP(C57,Data_Candidates!$A$2:$Y$133,3,FALSE())&gt;=DATE(2025,1,31),VLOOKUP(C57,Data_Candidates!$A$2:$Y$133,4,FALSE())="Y",VLOOKUP(C57,Data_Candidates!$A$2:$Y$133,5,FALSE())="NONE",VLOOKUP(C57,Data_Candidates!$A$2:$Y$133,25,FALSE())="Y"),"ELIGIBLE","INELIGIBLE")</f>
        <v>ELIGIBLE</v>
      </c>
      <c r="U57" s="0" t="str">
        <f aca="false">IF(AND(J57="OK",M57="OK",T57="ELIGIBLE",OR(O57="NONE",P57=O57),OR(Q57="N",AND(Q57="Y",R57="QTRACE",S57&gt;=DATE(2025,1,31))),OR(VLOOKUP(C57,Data_Candidates!$A$2:$Y$133,17,FALSE())="N",N57="L1")),"CLEAR","VIOLATION")</f>
        <v>CLEAR</v>
      </c>
      <c r="V57" s="0" t="str">
        <f aca="false">D58</f>
        <v>C</v>
      </c>
      <c r="W57" s="4" t="n">
        <f aca="false">IF(V57="",0,IF(D57=V57,0,1))</f>
        <v>0</v>
      </c>
    </row>
    <row r="58" customFormat="false" ht="15" hidden="false" customHeight="false" outlineLevel="0" collapsed="false">
      <c r="A58" s="0" t="n">
        <v>54</v>
      </c>
      <c r="B58" s="0" t="s">
        <v>131</v>
      </c>
      <c r="C58" s="0" t="s">
        <v>132</v>
      </c>
      <c r="D58" s="0" t="str">
        <f aca="false">VLOOKUP(C58,Data_Candidates!$A$2:$Y$133,14,FALSE())</f>
        <v>C</v>
      </c>
      <c r="E58" s="0" t="str">
        <f aca="false">VLOOKUP(C58,Data_Candidates!$A$2:$Y$133,22,FALSE())</f>
        <v>C01</v>
      </c>
      <c r="F58" s="4" t="n">
        <f aca="false">VLOOKUP(C58,Data_Candidates!$A$2:$Y$133,13,FALSE())</f>
        <v>4</v>
      </c>
      <c r="G58" s="4" t="n">
        <f aca="false">VLOOKUP(C58,Data_Candidates!$A$2:$Y$133,8,FALSE())</f>
        <v>6</v>
      </c>
      <c r="H58" s="4" t="n">
        <f aca="false">F58*G58</f>
        <v>24</v>
      </c>
      <c r="I58" s="4" t="n">
        <f aca="false">VLOOKUP(B58,Data_Bins!$A$2:$L$101,5,FALSE())</f>
        <v>100</v>
      </c>
      <c r="J58" s="0" t="str">
        <f aca="false">IF(H58&lt;=I58,"OK","WEIGHT")</f>
        <v>OK</v>
      </c>
      <c r="K58" s="0" t="n">
        <f aca="false">F58*VLOOKUP(C58,Data_Candidates!$A$2:$Y$133,9,FALSE())/0.7</f>
        <v>0.00571428571428572</v>
      </c>
      <c r="L58" s="0" t="n">
        <f aca="false">VLOOKUP(B58,Data_Bins!$A$2:$L$101,4,FALSE())</f>
        <v>0.02</v>
      </c>
      <c r="M58" s="0" t="str">
        <f aca="false">IF(K58&lt;=L58,"OK","CUBE")</f>
        <v>OK</v>
      </c>
      <c r="N58" s="0" t="str">
        <f aca="false">VLOOKUP(B58,Data_Bins!$A$2:$L$101,6,FALSE())</f>
        <v>L1</v>
      </c>
      <c r="O58" s="0" t="str">
        <f aca="false">VLOOKUP(C58,Data_Candidates!$A$2:$Y$133,15,FALSE())</f>
        <v>NONE</v>
      </c>
      <c r="P58" s="0" t="str">
        <f aca="false">VLOOKUP(B58,Data_Bins!$A$2:$L$101,8,FALSE())</f>
        <v>NONE</v>
      </c>
      <c r="Q58" s="0" t="str">
        <f aca="false">VLOOKUP(C58,Data_Candidates!$A$2:$Y$133,16,FALSE())</f>
        <v>N</v>
      </c>
      <c r="R58" s="0" t="n">
        <f aca="false">VLOOKUP(B58,Data_Bins!$A$2:$L$101,9,FALSE())</f>
        <v>0</v>
      </c>
      <c r="S58" s="0" t="n">
        <f aca="false">VLOOKUP(B58,Data_Bins!$A$2:$L$101,10,FALSE())</f>
        <v>0</v>
      </c>
      <c r="T58" s="0" t="str">
        <f aca="false">IF(AND(VLOOKUP(C58,Data_Candidates!$A$2:$Y$133,2,FALSE())&lt;=DATE(2025,1,31),VLOOKUP(C58,Data_Candidates!$A$2:$Y$133,3,FALSE())&gt;=DATE(2025,1,31),VLOOKUP(C58,Data_Candidates!$A$2:$Y$133,4,FALSE())="Y",VLOOKUP(C58,Data_Candidates!$A$2:$Y$133,5,FALSE())="NONE",VLOOKUP(C58,Data_Candidates!$A$2:$Y$133,25,FALSE())="Y"),"ELIGIBLE","INELIGIBLE")</f>
        <v>ELIGIBLE</v>
      </c>
      <c r="U58" s="0" t="str">
        <f aca="false">IF(AND(J58="OK",M58="OK",T58="ELIGIBLE",OR(O58="NONE",P58=O58),OR(Q58="N",AND(Q58="Y",R58="QTRACE",S58&gt;=DATE(2025,1,31))),OR(VLOOKUP(C58,Data_Candidates!$A$2:$Y$133,17,FALSE())="N",N58="L1")),"CLEAR","VIOLATION")</f>
        <v>CLEAR</v>
      </c>
      <c r="V58" s="0" t="str">
        <f aca="false">D59</f>
        <v>C</v>
      </c>
      <c r="W58" s="4" t="n">
        <f aca="false">IF(V58="",0,IF(D58=V58,0,1))</f>
        <v>0</v>
      </c>
    </row>
    <row r="59" customFormat="false" ht="15" hidden="false" customHeight="false" outlineLevel="0" collapsed="false">
      <c r="A59" s="0" t="n">
        <v>55</v>
      </c>
      <c r="B59" s="0" t="s">
        <v>133</v>
      </c>
      <c r="C59" s="0" t="s">
        <v>134</v>
      </c>
      <c r="D59" s="0" t="str">
        <f aca="false">VLOOKUP(C59,Data_Candidates!$A$2:$Y$133,14,FALSE())</f>
        <v>C</v>
      </c>
      <c r="E59" s="0" t="str">
        <f aca="false">VLOOKUP(C59,Data_Candidates!$A$2:$Y$133,22,FALSE())</f>
        <v>C01</v>
      </c>
      <c r="F59" s="4" t="n">
        <f aca="false">VLOOKUP(C59,Data_Candidates!$A$2:$Y$133,13,FALSE())</f>
        <v>4</v>
      </c>
      <c r="G59" s="4" t="n">
        <f aca="false">VLOOKUP(C59,Data_Candidates!$A$2:$Y$133,8,FALSE())</f>
        <v>6</v>
      </c>
      <c r="H59" s="4" t="n">
        <f aca="false">F59*G59</f>
        <v>24</v>
      </c>
      <c r="I59" s="4" t="n">
        <f aca="false">VLOOKUP(B59,Data_Bins!$A$2:$L$101,5,FALSE())</f>
        <v>100</v>
      </c>
      <c r="J59" s="0" t="str">
        <f aca="false">IF(H59&lt;=I59,"OK","WEIGHT")</f>
        <v>OK</v>
      </c>
      <c r="K59" s="0" t="n">
        <f aca="false">F59*VLOOKUP(C59,Data_Candidates!$A$2:$Y$133,9,FALSE())/0.7</f>
        <v>0.00571428571428572</v>
      </c>
      <c r="L59" s="0" t="n">
        <f aca="false">VLOOKUP(B59,Data_Bins!$A$2:$L$101,4,FALSE())</f>
        <v>0.02</v>
      </c>
      <c r="M59" s="0" t="str">
        <f aca="false">IF(K59&lt;=L59,"OK","CUBE")</f>
        <v>OK</v>
      </c>
      <c r="N59" s="0" t="str">
        <f aca="false">VLOOKUP(B59,Data_Bins!$A$2:$L$101,6,FALSE())</f>
        <v>L1</v>
      </c>
      <c r="O59" s="0" t="str">
        <f aca="false">VLOOKUP(C59,Data_Candidates!$A$2:$Y$133,15,FALSE())</f>
        <v>NONE</v>
      </c>
      <c r="P59" s="0" t="str">
        <f aca="false">VLOOKUP(B59,Data_Bins!$A$2:$L$101,8,FALSE())</f>
        <v>NONE</v>
      </c>
      <c r="Q59" s="0" t="str">
        <f aca="false">VLOOKUP(C59,Data_Candidates!$A$2:$Y$133,16,FALSE())</f>
        <v>N</v>
      </c>
      <c r="R59" s="0" t="n">
        <f aca="false">VLOOKUP(B59,Data_Bins!$A$2:$L$101,9,FALSE())</f>
        <v>0</v>
      </c>
      <c r="S59" s="0" t="n">
        <f aca="false">VLOOKUP(B59,Data_Bins!$A$2:$L$101,10,FALSE())</f>
        <v>0</v>
      </c>
      <c r="T59" s="0" t="str">
        <f aca="false">IF(AND(VLOOKUP(C59,Data_Candidates!$A$2:$Y$133,2,FALSE())&lt;=DATE(2025,1,31),VLOOKUP(C59,Data_Candidates!$A$2:$Y$133,3,FALSE())&gt;=DATE(2025,1,31),VLOOKUP(C59,Data_Candidates!$A$2:$Y$133,4,FALSE())="Y",VLOOKUP(C59,Data_Candidates!$A$2:$Y$133,5,FALSE())="NONE",VLOOKUP(C59,Data_Candidates!$A$2:$Y$133,25,FALSE())="Y"),"ELIGIBLE","INELIGIBLE")</f>
        <v>ELIGIBLE</v>
      </c>
      <c r="U59" s="0" t="str">
        <f aca="false">IF(AND(J59="OK",M59="OK",T59="ELIGIBLE",OR(O59="NONE",P59=O59),OR(Q59="N",AND(Q59="Y",R59="QTRACE",S59&gt;=DATE(2025,1,31))),OR(VLOOKUP(C59,Data_Candidates!$A$2:$Y$133,17,FALSE())="N",N59="L1")),"CLEAR","VIOLATION")</f>
        <v>CLEAR</v>
      </c>
      <c r="V59" s="0" t="str">
        <f aca="false">D60</f>
        <v>C</v>
      </c>
      <c r="W59" s="4" t="n">
        <f aca="false">IF(V59="",0,IF(D59=V59,0,1))</f>
        <v>0</v>
      </c>
    </row>
    <row r="60" customFormat="false" ht="15" hidden="false" customHeight="false" outlineLevel="0" collapsed="false">
      <c r="A60" s="0" t="n">
        <v>56</v>
      </c>
      <c r="B60" s="0" t="s">
        <v>135</v>
      </c>
      <c r="C60" s="0" t="s">
        <v>136</v>
      </c>
      <c r="D60" s="0" t="str">
        <f aca="false">VLOOKUP(C60,Data_Candidates!$A$2:$Y$133,14,FALSE())</f>
        <v>C</v>
      </c>
      <c r="E60" s="0" t="str">
        <f aca="false">VLOOKUP(C60,Data_Candidates!$A$2:$Y$133,22,FALSE())</f>
        <v>C01</v>
      </c>
      <c r="F60" s="4" t="n">
        <f aca="false">VLOOKUP(C60,Data_Candidates!$A$2:$Y$133,13,FALSE())</f>
        <v>4</v>
      </c>
      <c r="G60" s="4" t="n">
        <f aca="false">VLOOKUP(C60,Data_Candidates!$A$2:$Y$133,8,FALSE())</f>
        <v>6</v>
      </c>
      <c r="H60" s="4" t="n">
        <f aca="false">F60*G60</f>
        <v>24</v>
      </c>
      <c r="I60" s="4" t="n">
        <f aca="false">VLOOKUP(B60,Data_Bins!$A$2:$L$101,5,FALSE())</f>
        <v>100</v>
      </c>
      <c r="J60" s="0" t="str">
        <f aca="false">IF(H60&lt;=I60,"OK","WEIGHT")</f>
        <v>OK</v>
      </c>
      <c r="K60" s="0" t="n">
        <f aca="false">F60*VLOOKUP(C60,Data_Candidates!$A$2:$Y$133,9,FALSE())/0.7</f>
        <v>0.00571428571428572</v>
      </c>
      <c r="L60" s="0" t="n">
        <f aca="false">VLOOKUP(B60,Data_Bins!$A$2:$L$101,4,FALSE())</f>
        <v>0.02</v>
      </c>
      <c r="M60" s="0" t="str">
        <f aca="false">IF(K60&lt;=L60,"OK","CUBE")</f>
        <v>OK</v>
      </c>
      <c r="N60" s="0" t="str">
        <f aca="false">VLOOKUP(B60,Data_Bins!$A$2:$L$101,6,FALSE())</f>
        <v>L1</v>
      </c>
      <c r="O60" s="0" t="str">
        <f aca="false">VLOOKUP(C60,Data_Candidates!$A$2:$Y$133,15,FALSE())</f>
        <v>NONE</v>
      </c>
      <c r="P60" s="0" t="str">
        <f aca="false">VLOOKUP(B60,Data_Bins!$A$2:$L$101,8,FALSE())</f>
        <v>NONE</v>
      </c>
      <c r="Q60" s="0" t="str">
        <f aca="false">VLOOKUP(C60,Data_Candidates!$A$2:$Y$133,16,FALSE())</f>
        <v>N</v>
      </c>
      <c r="R60" s="0" t="n">
        <f aca="false">VLOOKUP(B60,Data_Bins!$A$2:$L$101,9,FALSE())</f>
        <v>0</v>
      </c>
      <c r="S60" s="0" t="n">
        <f aca="false">VLOOKUP(B60,Data_Bins!$A$2:$L$101,10,FALSE())</f>
        <v>0</v>
      </c>
      <c r="T60" s="0" t="str">
        <f aca="false">IF(AND(VLOOKUP(C60,Data_Candidates!$A$2:$Y$133,2,FALSE())&lt;=DATE(2025,1,31),VLOOKUP(C60,Data_Candidates!$A$2:$Y$133,3,FALSE())&gt;=DATE(2025,1,31),VLOOKUP(C60,Data_Candidates!$A$2:$Y$133,4,FALSE())="Y",VLOOKUP(C60,Data_Candidates!$A$2:$Y$133,5,FALSE())="NONE",VLOOKUP(C60,Data_Candidates!$A$2:$Y$133,25,FALSE())="Y"),"ELIGIBLE","INELIGIBLE")</f>
        <v>ELIGIBLE</v>
      </c>
      <c r="U60" s="0" t="str">
        <f aca="false">IF(AND(J60="OK",M60="OK",T60="ELIGIBLE",OR(O60="NONE",P60=O60),OR(Q60="N",AND(Q60="Y",R60="QTRACE",S60&gt;=DATE(2025,1,31))),OR(VLOOKUP(C60,Data_Candidates!$A$2:$Y$133,17,FALSE())="N",N60="L1")),"CLEAR","VIOLATION")</f>
        <v>CLEAR</v>
      </c>
      <c r="V60" s="0" t="str">
        <f aca="false">D61</f>
        <v>C</v>
      </c>
      <c r="W60" s="4" t="n">
        <f aca="false">IF(V60="",0,IF(D60=V60,0,1))</f>
        <v>0</v>
      </c>
    </row>
    <row r="61" customFormat="false" ht="15" hidden="false" customHeight="false" outlineLevel="0" collapsed="false">
      <c r="A61" s="0" t="n">
        <v>57</v>
      </c>
      <c r="B61" s="0" t="s">
        <v>137</v>
      </c>
      <c r="C61" s="0" t="s">
        <v>138</v>
      </c>
      <c r="D61" s="0" t="str">
        <f aca="false">VLOOKUP(C61,Data_Candidates!$A$2:$Y$133,14,FALSE())</f>
        <v>C</v>
      </c>
      <c r="E61" s="0" t="str">
        <f aca="false">VLOOKUP(C61,Data_Candidates!$A$2:$Y$133,22,FALSE())</f>
        <v>C01</v>
      </c>
      <c r="F61" s="4" t="n">
        <f aca="false">VLOOKUP(C61,Data_Candidates!$A$2:$Y$133,13,FALSE())</f>
        <v>4</v>
      </c>
      <c r="G61" s="4" t="n">
        <f aca="false">VLOOKUP(C61,Data_Candidates!$A$2:$Y$133,8,FALSE())</f>
        <v>6</v>
      </c>
      <c r="H61" s="4" t="n">
        <f aca="false">F61*G61</f>
        <v>24</v>
      </c>
      <c r="I61" s="4" t="n">
        <f aca="false">VLOOKUP(B61,Data_Bins!$A$2:$L$101,5,FALSE())</f>
        <v>100</v>
      </c>
      <c r="J61" s="0" t="str">
        <f aca="false">IF(H61&lt;=I61,"OK","WEIGHT")</f>
        <v>OK</v>
      </c>
      <c r="K61" s="0" t="n">
        <f aca="false">F61*VLOOKUP(C61,Data_Candidates!$A$2:$Y$133,9,FALSE())/0.7</f>
        <v>0.00571428571428572</v>
      </c>
      <c r="L61" s="0" t="n">
        <f aca="false">VLOOKUP(B61,Data_Bins!$A$2:$L$101,4,FALSE())</f>
        <v>0.02</v>
      </c>
      <c r="M61" s="0" t="str">
        <f aca="false">IF(K61&lt;=L61,"OK","CUBE")</f>
        <v>OK</v>
      </c>
      <c r="N61" s="0" t="str">
        <f aca="false">VLOOKUP(B61,Data_Bins!$A$2:$L$101,6,FALSE())</f>
        <v>L1</v>
      </c>
      <c r="O61" s="0" t="str">
        <f aca="false">VLOOKUP(C61,Data_Candidates!$A$2:$Y$133,15,FALSE())</f>
        <v>NONE</v>
      </c>
      <c r="P61" s="0" t="str">
        <f aca="false">VLOOKUP(B61,Data_Bins!$A$2:$L$101,8,FALSE())</f>
        <v>NONE</v>
      </c>
      <c r="Q61" s="0" t="str">
        <f aca="false">VLOOKUP(C61,Data_Candidates!$A$2:$Y$133,16,FALSE())</f>
        <v>N</v>
      </c>
      <c r="R61" s="0" t="n">
        <f aca="false">VLOOKUP(B61,Data_Bins!$A$2:$L$101,9,FALSE())</f>
        <v>0</v>
      </c>
      <c r="S61" s="0" t="n">
        <f aca="false">VLOOKUP(B61,Data_Bins!$A$2:$L$101,10,FALSE())</f>
        <v>0</v>
      </c>
      <c r="T61" s="0" t="str">
        <f aca="false">IF(AND(VLOOKUP(C61,Data_Candidates!$A$2:$Y$133,2,FALSE())&lt;=DATE(2025,1,31),VLOOKUP(C61,Data_Candidates!$A$2:$Y$133,3,FALSE())&gt;=DATE(2025,1,31),VLOOKUP(C61,Data_Candidates!$A$2:$Y$133,4,FALSE())="Y",VLOOKUP(C61,Data_Candidates!$A$2:$Y$133,5,FALSE())="NONE",VLOOKUP(C61,Data_Candidates!$A$2:$Y$133,25,FALSE())="Y"),"ELIGIBLE","INELIGIBLE")</f>
        <v>ELIGIBLE</v>
      </c>
      <c r="U61" s="0" t="str">
        <f aca="false">IF(AND(J61="OK",M61="OK",T61="ELIGIBLE",OR(O61="NONE",P61=O61),OR(Q61="N",AND(Q61="Y",R61="QTRACE",S61&gt;=DATE(2025,1,31))),OR(VLOOKUP(C61,Data_Candidates!$A$2:$Y$133,17,FALSE())="N",N61="L1")),"CLEAR","VIOLATION")</f>
        <v>CLEAR</v>
      </c>
      <c r="V61" s="0" t="str">
        <f aca="false">D62</f>
        <v>C</v>
      </c>
      <c r="W61" s="4" t="n">
        <f aca="false">IF(V61="",0,IF(D61=V61,0,1))</f>
        <v>0</v>
      </c>
    </row>
    <row r="62" customFormat="false" ht="15" hidden="false" customHeight="false" outlineLevel="0" collapsed="false">
      <c r="A62" s="0" t="n">
        <v>58</v>
      </c>
      <c r="B62" s="0" t="s">
        <v>139</v>
      </c>
      <c r="C62" s="0" t="s">
        <v>140</v>
      </c>
      <c r="D62" s="0" t="str">
        <f aca="false">VLOOKUP(C62,Data_Candidates!$A$2:$Y$133,14,FALSE())</f>
        <v>C</v>
      </c>
      <c r="E62" s="0" t="str">
        <f aca="false">VLOOKUP(C62,Data_Candidates!$A$2:$Y$133,22,FALSE())</f>
        <v>C01</v>
      </c>
      <c r="F62" s="4" t="n">
        <f aca="false">VLOOKUP(C62,Data_Candidates!$A$2:$Y$133,13,FALSE())</f>
        <v>4</v>
      </c>
      <c r="G62" s="4" t="n">
        <f aca="false">VLOOKUP(C62,Data_Candidates!$A$2:$Y$133,8,FALSE())</f>
        <v>6</v>
      </c>
      <c r="H62" s="4" t="n">
        <f aca="false">F62*G62</f>
        <v>24</v>
      </c>
      <c r="I62" s="4" t="n">
        <f aca="false">VLOOKUP(B62,Data_Bins!$A$2:$L$101,5,FALSE())</f>
        <v>100</v>
      </c>
      <c r="J62" s="0" t="str">
        <f aca="false">IF(H62&lt;=I62,"OK","WEIGHT")</f>
        <v>OK</v>
      </c>
      <c r="K62" s="0" t="n">
        <f aca="false">F62*VLOOKUP(C62,Data_Candidates!$A$2:$Y$133,9,FALSE())/0.7</f>
        <v>0.00571428571428572</v>
      </c>
      <c r="L62" s="0" t="n">
        <f aca="false">VLOOKUP(B62,Data_Bins!$A$2:$L$101,4,FALSE())</f>
        <v>0.02</v>
      </c>
      <c r="M62" s="0" t="str">
        <f aca="false">IF(K62&lt;=L62,"OK","CUBE")</f>
        <v>OK</v>
      </c>
      <c r="N62" s="0" t="str">
        <f aca="false">VLOOKUP(B62,Data_Bins!$A$2:$L$101,6,FALSE())</f>
        <v>L1</v>
      </c>
      <c r="O62" s="0" t="str">
        <f aca="false">VLOOKUP(C62,Data_Candidates!$A$2:$Y$133,15,FALSE())</f>
        <v>NONE</v>
      </c>
      <c r="P62" s="0" t="str">
        <f aca="false">VLOOKUP(B62,Data_Bins!$A$2:$L$101,8,FALSE())</f>
        <v>NONE</v>
      </c>
      <c r="Q62" s="0" t="str">
        <f aca="false">VLOOKUP(C62,Data_Candidates!$A$2:$Y$133,16,FALSE())</f>
        <v>N</v>
      </c>
      <c r="R62" s="0" t="n">
        <f aca="false">VLOOKUP(B62,Data_Bins!$A$2:$L$101,9,FALSE())</f>
        <v>0</v>
      </c>
      <c r="S62" s="0" t="n">
        <f aca="false">VLOOKUP(B62,Data_Bins!$A$2:$L$101,10,FALSE())</f>
        <v>0</v>
      </c>
      <c r="T62" s="0" t="str">
        <f aca="false">IF(AND(VLOOKUP(C62,Data_Candidates!$A$2:$Y$133,2,FALSE())&lt;=DATE(2025,1,31),VLOOKUP(C62,Data_Candidates!$A$2:$Y$133,3,FALSE())&gt;=DATE(2025,1,31),VLOOKUP(C62,Data_Candidates!$A$2:$Y$133,4,FALSE())="Y",VLOOKUP(C62,Data_Candidates!$A$2:$Y$133,5,FALSE())="NONE",VLOOKUP(C62,Data_Candidates!$A$2:$Y$133,25,FALSE())="Y"),"ELIGIBLE","INELIGIBLE")</f>
        <v>ELIGIBLE</v>
      </c>
      <c r="U62" s="0" t="str">
        <f aca="false">IF(AND(J62="OK",M62="OK",T62="ELIGIBLE",OR(O62="NONE",P62=O62),OR(Q62="N",AND(Q62="Y",R62="QTRACE",S62&gt;=DATE(2025,1,31))),OR(VLOOKUP(C62,Data_Candidates!$A$2:$Y$133,17,FALSE())="N",N62="L1")),"CLEAR","VIOLATION")</f>
        <v>CLEAR</v>
      </c>
      <c r="V62" s="0" t="str">
        <f aca="false">D63</f>
        <v>C</v>
      </c>
      <c r="W62" s="4" t="n">
        <f aca="false">IF(V62="",0,IF(D62=V62,0,1))</f>
        <v>0</v>
      </c>
    </row>
    <row r="63" customFormat="false" ht="15" hidden="false" customHeight="false" outlineLevel="0" collapsed="false">
      <c r="A63" s="0" t="n">
        <v>59</v>
      </c>
      <c r="B63" s="0" t="s">
        <v>141</v>
      </c>
      <c r="C63" s="0" t="s">
        <v>142</v>
      </c>
      <c r="D63" s="0" t="str">
        <f aca="false">VLOOKUP(C63,Data_Candidates!$A$2:$Y$133,14,FALSE())</f>
        <v>C</v>
      </c>
      <c r="E63" s="0" t="str">
        <f aca="false">VLOOKUP(C63,Data_Candidates!$A$2:$Y$133,22,FALSE())</f>
        <v>C01</v>
      </c>
      <c r="F63" s="4" t="n">
        <f aca="false">VLOOKUP(C63,Data_Candidates!$A$2:$Y$133,13,FALSE())</f>
        <v>4</v>
      </c>
      <c r="G63" s="4" t="n">
        <f aca="false">VLOOKUP(C63,Data_Candidates!$A$2:$Y$133,8,FALSE())</f>
        <v>6</v>
      </c>
      <c r="H63" s="4" t="n">
        <f aca="false">F63*G63</f>
        <v>24</v>
      </c>
      <c r="I63" s="4" t="n">
        <f aca="false">VLOOKUP(B63,Data_Bins!$A$2:$L$101,5,FALSE())</f>
        <v>100</v>
      </c>
      <c r="J63" s="0" t="str">
        <f aca="false">IF(H63&lt;=I63,"OK","WEIGHT")</f>
        <v>OK</v>
      </c>
      <c r="K63" s="0" t="n">
        <f aca="false">F63*VLOOKUP(C63,Data_Candidates!$A$2:$Y$133,9,FALSE())/0.7</f>
        <v>0.00571428571428572</v>
      </c>
      <c r="L63" s="0" t="n">
        <f aca="false">VLOOKUP(B63,Data_Bins!$A$2:$L$101,4,FALSE())</f>
        <v>0.02</v>
      </c>
      <c r="M63" s="0" t="str">
        <f aca="false">IF(K63&lt;=L63,"OK","CUBE")</f>
        <v>OK</v>
      </c>
      <c r="N63" s="0" t="str">
        <f aca="false">VLOOKUP(B63,Data_Bins!$A$2:$L$101,6,FALSE())</f>
        <v>L1</v>
      </c>
      <c r="O63" s="0" t="str">
        <f aca="false">VLOOKUP(C63,Data_Candidates!$A$2:$Y$133,15,FALSE())</f>
        <v>NONE</v>
      </c>
      <c r="P63" s="0" t="str">
        <f aca="false">VLOOKUP(B63,Data_Bins!$A$2:$L$101,8,FALSE())</f>
        <v>NONE</v>
      </c>
      <c r="Q63" s="0" t="str">
        <f aca="false">VLOOKUP(C63,Data_Candidates!$A$2:$Y$133,16,FALSE())</f>
        <v>N</v>
      </c>
      <c r="R63" s="0" t="n">
        <f aca="false">VLOOKUP(B63,Data_Bins!$A$2:$L$101,9,FALSE())</f>
        <v>0</v>
      </c>
      <c r="S63" s="0" t="n">
        <f aca="false">VLOOKUP(B63,Data_Bins!$A$2:$L$101,10,FALSE())</f>
        <v>0</v>
      </c>
      <c r="T63" s="0" t="str">
        <f aca="false">IF(AND(VLOOKUP(C63,Data_Candidates!$A$2:$Y$133,2,FALSE())&lt;=DATE(2025,1,31),VLOOKUP(C63,Data_Candidates!$A$2:$Y$133,3,FALSE())&gt;=DATE(2025,1,31),VLOOKUP(C63,Data_Candidates!$A$2:$Y$133,4,FALSE())="Y",VLOOKUP(C63,Data_Candidates!$A$2:$Y$133,5,FALSE())="NONE",VLOOKUP(C63,Data_Candidates!$A$2:$Y$133,25,FALSE())="Y"),"ELIGIBLE","INELIGIBLE")</f>
        <v>ELIGIBLE</v>
      </c>
      <c r="U63" s="0" t="str">
        <f aca="false">IF(AND(J63="OK",M63="OK",T63="ELIGIBLE",OR(O63="NONE",P63=O63),OR(Q63="N",AND(Q63="Y",R63="QTRACE",S63&gt;=DATE(2025,1,31))),OR(VLOOKUP(C63,Data_Candidates!$A$2:$Y$133,17,FALSE())="N",N63="L1")),"CLEAR","VIOLATION")</f>
        <v>CLEAR</v>
      </c>
      <c r="V63" s="0" t="str">
        <f aca="false">D64</f>
        <v>C</v>
      </c>
      <c r="W63" s="4" t="n">
        <f aca="false">IF(V63="",0,IF(D63=V63,0,1))</f>
        <v>0</v>
      </c>
    </row>
    <row r="64" customFormat="false" ht="15" hidden="false" customHeight="false" outlineLevel="0" collapsed="false">
      <c r="A64" s="0" t="n">
        <v>60</v>
      </c>
      <c r="B64" s="0" t="s">
        <v>143</v>
      </c>
      <c r="C64" s="0" t="s">
        <v>144</v>
      </c>
      <c r="D64" s="0" t="str">
        <f aca="false">VLOOKUP(C64,Data_Candidates!$A$2:$Y$133,14,FALSE())</f>
        <v>C</v>
      </c>
      <c r="E64" s="0" t="str">
        <f aca="false">VLOOKUP(C64,Data_Candidates!$A$2:$Y$133,22,FALSE())</f>
        <v>C01</v>
      </c>
      <c r="F64" s="4" t="n">
        <f aca="false">VLOOKUP(C64,Data_Candidates!$A$2:$Y$133,13,FALSE())</f>
        <v>4</v>
      </c>
      <c r="G64" s="4" t="n">
        <f aca="false">VLOOKUP(C64,Data_Candidates!$A$2:$Y$133,8,FALSE())</f>
        <v>6</v>
      </c>
      <c r="H64" s="4" t="n">
        <f aca="false">F64*G64</f>
        <v>24</v>
      </c>
      <c r="I64" s="4" t="n">
        <f aca="false">VLOOKUP(B64,Data_Bins!$A$2:$L$101,5,FALSE())</f>
        <v>100</v>
      </c>
      <c r="J64" s="0" t="str">
        <f aca="false">IF(H64&lt;=I64,"OK","WEIGHT")</f>
        <v>OK</v>
      </c>
      <c r="K64" s="0" t="n">
        <f aca="false">F64*VLOOKUP(C64,Data_Candidates!$A$2:$Y$133,9,FALSE())/0.7</f>
        <v>0.00571428571428572</v>
      </c>
      <c r="L64" s="0" t="n">
        <f aca="false">VLOOKUP(B64,Data_Bins!$A$2:$L$101,4,FALSE())</f>
        <v>0.02</v>
      </c>
      <c r="M64" s="0" t="str">
        <f aca="false">IF(K64&lt;=L64,"OK","CUBE")</f>
        <v>OK</v>
      </c>
      <c r="N64" s="0" t="str">
        <f aca="false">VLOOKUP(B64,Data_Bins!$A$2:$L$101,6,FALSE())</f>
        <v>L1</v>
      </c>
      <c r="O64" s="0" t="str">
        <f aca="false">VLOOKUP(C64,Data_Candidates!$A$2:$Y$133,15,FALSE())</f>
        <v>NONE</v>
      </c>
      <c r="P64" s="0" t="str">
        <f aca="false">VLOOKUP(B64,Data_Bins!$A$2:$L$101,8,FALSE())</f>
        <v>NONE</v>
      </c>
      <c r="Q64" s="0" t="str">
        <f aca="false">VLOOKUP(C64,Data_Candidates!$A$2:$Y$133,16,FALSE())</f>
        <v>N</v>
      </c>
      <c r="R64" s="0" t="n">
        <f aca="false">VLOOKUP(B64,Data_Bins!$A$2:$L$101,9,FALSE())</f>
        <v>0</v>
      </c>
      <c r="S64" s="0" t="n">
        <f aca="false">VLOOKUP(B64,Data_Bins!$A$2:$L$101,10,FALSE())</f>
        <v>0</v>
      </c>
      <c r="T64" s="0" t="str">
        <f aca="false">IF(AND(VLOOKUP(C64,Data_Candidates!$A$2:$Y$133,2,FALSE())&lt;=DATE(2025,1,31),VLOOKUP(C64,Data_Candidates!$A$2:$Y$133,3,FALSE())&gt;=DATE(2025,1,31),VLOOKUP(C64,Data_Candidates!$A$2:$Y$133,4,FALSE())="Y",VLOOKUP(C64,Data_Candidates!$A$2:$Y$133,5,FALSE())="NONE",VLOOKUP(C64,Data_Candidates!$A$2:$Y$133,25,FALSE())="Y"),"ELIGIBLE","INELIGIBLE")</f>
        <v>ELIGIBLE</v>
      </c>
      <c r="U64" s="0" t="str">
        <f aca="false">IF(AND(J64="OK",M64="OK",T64="ELIGIBLE",OR(O64="NONE",P64=O64),OR(Q64="N",AND(Q64="Y",R64="QTRACE",S64&gt;=DATE(2025,1,31))),OR(VLOOKUP(C64,Data_Candidates!$A$2:$Y$133,17,FALSE())="N",N64="L1")),"CLEAR","VIOLATION")</f>
        <v>CLEAR</v>
      </c>
      <c r="V64" s="0" t="str">
        <f aca="false">D65</f>
        <v>C</v>
      </c>
      <c r="W64" s="4" t="n">
        <f aca="false">IF(V64="",0,IF(D64=V64,0,1))</f>
        <v>0</v>
      </c>
    </row>
    <row r="65" customFormat="false" ht="15" hidden="false" customHeight="false" outlineLevel="0" collapsed="false">
      <c r="A65" s="0" t="n">
        <v>61</v>
      </c>
      <c r="B65" s="0" t="s">
        <v>145</v>
      </c>
      <c r="C65" s="0" t="s">
        <v>146</v>
      </c>
      <c r="D65" s="0" t="str">
        <f aca="false">VLOOKUP(C65,Data_Candidates!$A$2:$Y$133,14,FALSE())</f>
        <v>C</v>
      </c>
      <c r="E65" s="0" t="str">
        <f aca="false">VLOOKUP(C65,Data_Candidates!$A$2:$Y$133,22,FALSE())</f>
        <v>C01</v>
      </c>
      <c r="F65" s="4" t="n">
        <f aca="false">VLOOKUP(C65,Data_Candidates!$A$2:$Y$133,13,FALSE())</f>
        <v>4</v>
      </c>
      <c r="G65" s="4" t="n">
        <f aca="false">VLOOKUP(C65,Data_Candidates!$A$2:$Y$133,8,FALSE())</f>
        <v>6</v>
      </c>
      <c r="H65" s="4" t="n">
        <f aca="false">F65*G65</f>
        <v>24</v>
      </c>
      <c r="I65" s="4" t="n">
        <f aca="false">VLOOKUP(B65,Data_Bins!$A$2:$L$101,5,FALSE())</f>
        <v>100</v>
      </c>
      <c r="J65" s="0" t="str">
        <f aca="false">IF(H65&lt;=I65,"OK","WEIGHT")</f>
        <v>OK</v>
      </c>
      <c r="K65" s="0" t="n">
        <f aca="false">F65*VLOOKUP(C65,Data_Candidates!$A$2:$Y$133,9,FALSE())/0.7</f>
        <v>0.00571428571428572</v>
      </c>
      <c r="L65" s="0" t="n">
        <f aca="false">VLOOKUP(B65,Data_Bins!$A$2:$L$101,4,FALSE())</f>
        <v>0.02</v>
      </c>
      <c r="M65" s="0" t="str">
        <f aca="false">IF(K65&lt;=L65,"OK","CUBE")</f>
        <v>OK</v>
      </c>
      <c r="N65" s="0" t="str">
        <f aca="false">VLOOKUP(B65,Data_Bins!$A$2:$L$101,6,FALSE())</f>
        <v>L1</v>
      </c>
      <c r="O65" s="0" t="str">
        <f aca="false">VLOOKUP(C65,Data_Candidates!$A$2:$Y$133,15,FALSE())</f>
        <v>NONE</v>
      </c>
      <c r="P65" s="0" t="str">
        <f aca="false">VLOOKUP(B65,Data_Bins!$A$2:$L$101,8,FALSE())</f>
        <v>NONE</v>
      </c>
      <c r="Q65" s="0" t="str">
        <f aca="false">VLOOKUP(C65,Data_Candidates!$A$2:$Y$133,16,FALSE())</f>
        <v>N</v>
      </c>
      <c r="R65" s="0" t="n">
        <f aca="false">VLOOKUP(B65,Data_Bins!$A$2:$L$101,9,FALSE())</f>
        <v>0</v>
      </c>
      <c r="S65" s="0" t="n">
        <f aca="false">VLOOKUP(B65,Data_Bins!$A$2:$L$101,10,FALSE())</f>
        <v>0</v>
      </c>
      <c r="T65" s="0" t="str">
        <f aca="false">IF(AND(VLOOKUP(C65,Data_Candidates!$A$2:$Y$133,2,FALSE())&lt;=DATE(2025,1,31),VLOOKUP(C65,Data_Candidates!$A$2:$Y$133,3,FALSE())&gt;=DATE(2025,1,31),VLOOKUP(C65,Data_Candidates!$A$2:$Y$133,4,FALSE())="Y",VLOOKUP(C65,Data_Candidates!$A$2:$Y$133,5,FALSE())="NONE",VLOOKUP(C65,Data_Candidates!$A$2:$Y$133,25,FALSE())="Y"),"ELIGIBLE","INELIGIBLE")</f>
        <v>ELIGIBLE</v>
      </c>
      <c r="U65" s="0" t="str">
        <f aca="false">IF(AND(J65="OK",M65="OK",T65="ELIGIBLE",OR(O65="NONE",P65=O65),OR(Q65="N",AND(Q65="Y",R65="QTRACE",S65&gt;=DATE(2025,1,31))),OR(VLOOKUP(C65,Data_Candidates!$A$2:$Y$133,17,FALSE())="N",N65="L1")),"CLEAR","VIOLATION")</f>
        <v>CLEAR</v>
      </c>
      <c r="V65" s="0" t="str">
        <f aca="false">D66</f>
        <v>C</v>
      </c>
      <c r="W65" s="4" t="n">
        <f aca="false">IF(V65="",0,IF(D65=V65,0,1))</f>
        <v>0</v>
      </c>
    </row>
    <row r="66" customFormat="false" ht="15" hidden="false" customHeight="false" outlineLevel="0" collapsed="false">
      <c r="A66" s="0" t="n">
        <v>62</v>
      </c>
      <c r="B66" s="0" t="s">
        <v>147</v>
      </c>
      <c r="C66" s="0" t="s">
        <v>148</v>
      </c>
      <c r="D66" s="0" t="str">
        <f aca="false">VLOOKUP(C66,Data_Candidates!$A$2:$Y$133,14,FALSE())</f>
        <v>C</v>
      </c>
      <c r="E66" s="0" t="str">
        <f aca="false">VLOOKUP(C66,Data_Candidates!$A$2:$Y$133,22,FALSE())</f>
        <v>C01</v>
      </c>
      <c r="F66" s="4" t="n">
        <f aca="false">VLOOKUP(C66,Data_Candidates!$A$2:$Y$133,13,FALSE())</f>
        <v>4</v>
      </c>
      <c r="G66" s="4" t="n">
        <f aca="false">VLOOKUP(C66,Data_Candidates!$A$2:$Y$133,8,FALSE())</f>
        <v>6</v>
      </c>
      <c r="H66" s="4" t="n">
        <f aca="false">F66*G66</f>
        <v>24</v>
      </c>
      <c r="I66" s="4" t="n">
        <f aca="false">VLOOKUP(B66,Data_Bins!$A$2:$L$101,5,FALSE())</f>
        <v>100</v>
      </c>
      <c r="J66" s="0" t="str">
        <f aca="false">IF(H66&lt;=I66,"OK","WEIGHT")</f>
        <v>OK</v>
      </c>
      <c r="K66" s="0" t="n">
        <f aca="false">F66*VLOOKUP(C66,Data_Candidates!$A$2:$Y$133,9,FALSE())/0.7</f>
        <v>0.00571428571428572</v>
      </c>
      <c r="L66" s="0" t="n">
        <f aca="false">VLOOKUP(B66,Data_Bins!$A$2:$L$101,4,FALSE())</f>
        <v>0.02</v>
      </c>
      <c r="M66" s="0" t="str">
        <f aca="false">IF(K66&lt;=L66,"OK","CUBE")</f>
        <v>OK</v>
      </c>
      <c r="N66" s="0" t="str">
        <f aca="false">VLOOKUP(B66,Data_Bins!$A$2:$L$101,6,FALSE())</f>
        <v>L1</v>
      </c>
      <c r="O66" s="0" t="str">
        <f aca="false">VLOOKUP(C66,Data_Candidates!$A$2:$Y$133,15,FALSE())</f>
        <v>NONE</v>
      </c>
      <c r="P66" s="0" t="str">
        <f aca="false">VLOOKUP(B66,Data_Bins!$A$2:$L$101,8,FALSE())</f>
        <v>NONE</v>
      </c>
      <c r="Q66" s="0" t="str">
        <f aca="false">VLOOKUP(C66,Data_Candidates!$A$2:$Y$133,16,FALSE())</f>
        <v>N</v>
      </c>
      <c r="R66" s="0" t="n">
        <f aca="false">VLOOKUP(B66,Data_Bins!$A$2:$L$101,9,FALSE())</f>
        <v>0</v>
      </c>
      <c r="S66" s="0" t="n">
        <f aca="false">VLOOKUP(B66,Data_Bins!$A$2:$L$101,10,FALSE())</f>
        <v>0</v>
      </c>
      <c r="T66" s="0" t="str">
        <f aca="false">IF(AND(VLOOKUP(C66,Data_Candidates!$A$2:$Y$133,2,FALSE())&lt;=DATE(2025,1,31),VLOOKUP(C66,Data_Candidates!$A$2:$Y$133,3,FALSE())&gt;=DATE(2025,1,31),VLOOKUP(C66,Data_Candidates!$A$2:$Y$133,4,FALSE())="Y",VLOOKUP(C66,Data_Candidates!$A$2:$Y$133,5,FALSE())="NONE",VLOOKUP(C66,Data_Candidates!$A$2:$Y$133,25,FALSE())="Y"),"ELIGIBLE","INELIGIBLE")</f>
        <v>ELIGIBLE</v>
      </c>
      <c r="U66" s="0" t="str">
        <f aca="false">IF(AND(J66="OK",M66="OK",T66="ELIGIBLE",OR(O66="NONE",P66=O66),OR(Q66="N",AND(Q66="Y",R66="QTRACE",S66&gt;=DATE(2025,1,31))),OR(VLOOKUP(C66,Data_Candidates!$A$2:$Y$133,17,FALSE())="N",N66="L1")),"CLEAR","VIOLATION")</f>
        <v>CLEAR</v>
      </c>
      <c r="V66" s="0" t="str">
        <f aca="false">D67</f>
        <v>C</v>
      </c>
      <c r="W66" s="4" t="n">
        <f aca="false">IF(V66="",0,IF(D66=V66,0,1))</f>
        <v>0</v>
      </c>
    </row>
    <row r="67" customFormat="false" ht="15" hidden="false" customHeight="false" outlineLevel="0" collapsed="false">
      <c r="A67" s="0" t="n">
        <v>63</v>
      </c>
      <c r="B67" s="0" t="s">
        <v>149</v>
      </c>
      <c r="C67" s="0" t="s">
        <v>150</v>
      </c>
      <c r="D67" s="0" t="str">
        <f aca="false">VLOOKUP(C67,Data_Candidates!$A$2:$Y$133,14,FALSE())</f>
        <v>C</v>
      </c>
      <c r="E67" s="0" t="str">
        <f aca="false">VLOOKUP(C67,Data_Candidates!$A$2:$Y$133,22,FALSE())</f>
        <v>C01</v>
      </c>
      <c r="F67" s="4" t="n">
        <f aca="false">VLOOKUP(C67,Data_Candidates!$A$2:$Y$133,13,FALSE())</f>
        <v>4</v>
      </c>
      <c r="G67" s="4" t="n">
        <f aca="false">VLOOKUP(C67,Data_Candidates!$A$2:$Y$133,8,FALSE())</f>
        <v>6</v>
      </c>
      <c r="H67" s="4" t="n">
        <f aca="false">F67*G67</f>
        <v>24</v>
      </c>
      <c r="I67" s="4" t="n">
        <f aca="false">VLOOKUP(B67,Data_Bins!$A$2:$L$101,5,FALSE())</f>
        <v>100</v>
      </c>
      <c r="J67" s="0" t="str">
        <f aca="false">IF(H67&lt;=I67,"OK","WEIGHT")</f>
        <v>OK</v>
      </c>
      <c r="K67" s="0" t="n">
        <f aca="false">F67*VLOOKUP(C67,Data_Candidates!$A$2:$Y$133,9,FALSE())/0.7</f>
        <v>0.00571428571428572</v>
      </c>
      <c r="L67" s="0" t="n">
        <f aca="false">VLOOKUP(B67,Data_Bins!$A$2:$L$101,4,FALSE())</f>
        <v>0.02</v>
      </c>
      <c r="M67" s="0" t="str">
        <f aca="false">IF(K67&lt;=L67,"OK","CUBE")</f>
        <v>OK</v>
      </c>
      <c r="N67" s="0" t="str">
        <f aca="false">VLOOKUP(B67,Data_Bins!$A$2:$L$101,6,FALSE())</f>
        <v>L1</v>
      </c>
      <c r="O67" s="0" t="str">
        <f aca="false">VLOOKUP(C67,Data_Candidates!$A$2:$Y$133,15,FALSE())</f>
        <v>NONE</v>
      </c>
      <c r="P67" s="0" t="str">
        <f aca="false">VLOOKUP(B67,Data_Bins!$A$2:$L$101,8,FALSE())</f>
        <v>NONE</v>
      </c>
      <c r="Q67" s="0" t="str">
        <f aca="false">VLOOKUP(C67,Data_Candidates!$A$2:$Y$133,16,FALSE())</f>
        <v>N</v>
      </c>
      <c r="R67" s="0" t="n">
        <f aca="false">VLOOKUP(B67,Data_Bins!$A$2:$L$101,9,FALSE())</f>
        <v>0</v>
      </c>
      <c r="S67" s="0" t="n">
        <f aca="false">VLOOKUP(B67,Data_Bins!$A$2:$L$101,10,FALSE())</f>
        <v>0</v>
      </c>
      <c r="T67" s="0" t="str">
        <f aca="false">IF(AND(VLOOKUP(C67,Data_Candidates!$A$2:$Y$133,2,FALSE())&lt;=DATE(2025,1,31),VLOOKUP(C67,Data_Candidates!$A$2:$Y$133,3,FALSE())&gt;=DATE(2025,1,31),VLOOKUP(C67,Data_Candidates!$A$2:$Y$133,4,FALSE())="Y",VLOOKUP(C67,Data_Candidates!$A$2:$Y$133,5,FALSE())="NONE",VLOOKUP(C67,Data_Candidates!$A$2:$Y$133,25,FALSE())="Y"),"ELIGIBLE","INELIGIBLE")</f>
        <v>ELIGIBLE</v>
      </c>
      <c r="U67" s="0" t="str">
        <f aca="false">IF(AND(J67="OK",M67="OK",T67="ELIGIBLE",OR(O67="NONE",P67=O67),OR(Q67="N",AND(Q67="Y",R67="QTRACE",S67&gt;=DATE(2025,1,31))),OR(VLOOKUP(C67,Data_Candidates!$A$2:$Y$133,17,FALSE())="N",N67="L1")),"CLEAR","VIOLATION")</f>
        <v>CLEAR</v>
      </c>
      <c r="V67" s="0" t="str">
        <f aca="false">D68</f>
        <v>C</v>
      </c>
      <c r="W67" s="4" t="n">
        <f aca="false">IF(V67="",0,IF(D67=V67,0,1))</f>
        <v>0</v>
      </c>
    </row>
    <row r="68" customFormat="false" ht="15" hidden="false" customHeight="false" outlineLevel="0" collapsed="false">
      <c r="A68" s="0" t="n">
        <v>64</v>
      </c>
      <c r="B68" s="0" t="s">
        <v>151</v>
      </c>
      <c r="C68" s="0" t="s">
        <v>152</v>
      </c>
      <c r="D68" s="0" t="str">
        <f aca="false">VLOOKUP(C68,Data_Candidates!$A$2:$Y$133,14,FALSE())</f>
        <v>C</v>
      </c>
      <c r="E68" s="0" t="str">
        <f aca="false">VLOOKUP(C68,Data_Candidates!$A$2:$Y$133,22,FALSE())</f>
        <v>C01</v>
      </c>
      <c r="F68" s="4" t="n">
        <f aca="false">VLOOKUP(C68,Data_Candidates!$A$2:$Y$133,13,FALSE())</f>
        <v>4</v>
      </c>
      <c r="G68" s="4" t="n">
        <f aca="false">VLOOKUP(C68,Data_Candidates!$A$2:$Y$133,8,FALSE())</f>
        <v>6</v>
      </c>
      <c r="H68" s="4" t="n">
        <f aca="false">F68*G68</f>
        <v>24</v>
      </c>
      <c r="I68" s="4" t="n">
        <f aca="false">VLOOKUP(B68,Data_Bins!$A$2:$L$101,5,FALSE())</f>
        <v>100</v>
      </c>
      <c r="J68" s="0" t="str">
        <f aca="false">IF(H68&lt;=I68,"OK","WEIGHT")</f>
        <v>OK</v>
      </c>
      <c r="K68" s="0" t="n">
        <f aca="false">F68*VLOOKUP(C68,Data_Candidates!$A$2:$Y$133,9,FALSE())/0.7</f>
        <v>0.00571428571428572</v>
      </c>
      <c r="L68" s="0" t="n">
        <f aca="false">VLOOKUP(B68,Data_Bins!$A$2:$L$101,4,FALSE())</f>
        <v>0.02</v>
      </c>
      <c r="M68" s="0" t="str">
        <f aca="false">IF(K68&lt;=L68,"OK","CUBE")</f>
        <v>OK</v>
      </c>
      <c r="N68" s="0" t="str">
        <f aca="false">VLOOKUP(B68,Data_Bins!$A$2:$L$101,6,FALSE())</f>
        <v>L1</v>
      </c>
      <c r="O68" s="0" t="str">
        <f aca="false">VLOOKUP(C68,Data_Candidates!$A$2:$Y$133,15,FALSE())</f>
        <v>NONE</v>
      </c>
      <c r="P68" s="0" t="str">
        <f aca="false">VLOOKUP(B68,Data_Bins!$A$2:$L$101,8,FALSE())</f>
        <v>NONE</v>
      </c>
      <c r="Q68" s="0" t="str">
        <f aca="false">VLOOKUP(C68,Data_Candidates!$A$2:$Y$133,16,FALSE())</f>
        <v>N</v>
      </c>
      <c r="R68" s="0" t="n">
        <f aca="false">VLOOKUP(B68,Data_Bins!$A$2:$L$101,9,FALSE())</f>
        <v>0</v>
      </c>
      <c r="S68" s="0" t="n">
        <f aca="false">VLOOKUP(B68,Data_Bins!$A$2:$L$101,10,FALSE())</f>
        <v>0</v>
      </c>
      <c r="T68" s="0" t="str">
        <f aca="false">IF(AND(VLOOKUP(C68,Data_Candidates!$A$2:$Y$133,2,FALSE())&lt;=DATE(2025,1,31),VLOOKUP(C68,Data_Candidates!$A$2:$Y$133,3,FALSE())&gt;=DATE(2025,1,31),VLOOKUP(C68,Data_Candidates!$A$2:$Y$133,4,FALSE())="Y",VLOOKUP(C68,Data_Candidates!$A$2:$Y$133,5,FALSE())="NONE",VLOOKUP(C68,Data_Candidates!$A$2:$Y$133,25,FALSE())="Y"),"ELIGIBLE","INELIGIBLE")</f>
        <v>ELIGIBLE</v>
      </c>
      <c r="U68" s="0" t="str">
        <f aca="false">IF(AND(J68="OK",M68="OK",T68="ELIGIBLE",OR(O68="NONE",P68=O68),OR(Q68="N",AND(Q68="Y",R68="QTRACE",S68&gt;=DATE(2025,1,31))),OR(VLOOKUP(C68,Data_Candidates!$A$2:$Y$133,17,FALSE())="N",N68="L1")),"CLEAR","VIOLATION")</f>
        <v>CLEAR</v>
      </c>
      <c r="V68" s="0" t="str">
        <f aca="false">D69</f>
        <v>C</v>
      </c>
      <c r="W68" s="4" t="n">
        <f aca="false">IF(V68="",0,IF(D68=V68,0,1))</f>
        <v>0</v>
      </c>
    </row>
    <row r="69" customFormat="false" ht="15" hidden="false" customHeight="false" outlineLevel="0" collapsed="false">
      <c r="A69" s="0" t="n">
        <v>65</v>
      </c>
      <c r="B69" s="0" t="s">
        <v>153</v>
      </c>
      <c r="C69" s="0" t="s">
        <v>154</v>
      </c>
      <c r="D69" s="0" t="str">
        <f aca="false">VLOOKUP(C69,Data_Candidates!$A$2:$Y$133,14,FALSE())</f>
        <v>C</v>
      </c>
      <c r="E69" s="0" t="str">
        <f aca="false">VLOOKUP(C69,Data_Candidates!$A$2:$Y$133,22,FALSE())</f>
        <v>C01</v>
      </c>
      <c r="F69" s="4" t="n">
        <f aca="false">VLOOKUP(C69,Data_Candidates!$A$2:$Y$133,13,FALSE())</f>
        <v>4</v>
      </c>
      <c r="G69" s="4" t="n">
        <f aca="false">VLOOKUP(C69,Data_Candidates!$A$2:$Y$133,8,FALSE())</f>
        <v>6</v>
      </c>
      <c r="H69" s="4" t="n">
        <f aca="false">F69*G69</f>
        <v>24</v>
      </c>
      <c r="I69" s="4" t="n">
        <f aca="false">VLOOKUP(B69,Data_Bins!$A$2:$L$101,5,FALSE())</f>
        <v>100</v>
      </c>
      <c r="J69" s="0" t="str">
        <f aca="false">IF(H69&lt;=I69,"OK","WEIGHT")</f>
        <v>OK</v>
      </c>
      <c r="K69" s="0" t="n">
        <f aca="false">F69*VLOOKUP(C69,Data_Candidates!$A$2:$Y$133,9,FALSE())/0.7</f>
        <v>0.00571428571428572</v>
      </c>
      <c r="L69" s="0" t="n">
        <f aca="false">VLOOKUP(B69,Data_Bins!$A$2:$L$101,4,FALSE())</f>
        <v>0.02</v>
      </c>
      <c r="M69" s="0" t="str">
        <f aca="false">IF(K69&lt;=L69,"OK","CUBE")</f>
        <v>OK</v>
      </c>
      <c r="N69" s="0" t="str">
        <f aca="false">VLOOKUP(B69,Data_Bins!$A$2:$L$101,6,FALSE())</f>
        <v>L1</v>
      </c>
      <c r="O69" s="0" t="str">
        <f aca="false">VLOOKUP(C69,Data_Candidates!$A$2:$Y$133,15,FALSE())</f>
        <v>NONE</v>
      </c>
      <c r="P69" s="0" t="str">
        <f aca="false">VLOOKUP(B69,Data_Bins!$A$2:$L$101,8,FALSE())</f>
        <v>NONE</v>
      </c>
      <c r="Q69" s="0" t="str">
        <f aca="false">VLOOKUP(C69,Data_Candidates!$A$2:$Y$133,16,FALSE())</f>
        <v>N</v>
      </c>
      <c r="R69" s="0" t="n">
        <f aca="false">VLOOKUP(B69,Data_Bins!$A$2:$L$101,9,FALSE())</f>
        <v>0</v>
      </c>
      <c r="S69" s="0" t="n">
        <f aca="false">VLOOKUP(B69,Data_Bins!$A$2:$L$101,10,FALSE())</f>
        <v>0</v>
      </c>
      <c r="T69" s="0" t="str">
        <f aca="false">IF(AND(VLOOKUP(C69,Data_Candidates!$A$2:$Y$133,2,FALSE())&lt;=DATE(2025,1,31),VLOOKUP(C69,Data_Candidates!$A$2:$Y$133,3,FALSE())&gt;=DATE(2025,1,31),VLOOKUP(C69,Data_Candidates!$A$2:$Y$133,4,FALSE())="Y",VLOOKUP(C69,Data_Candidates!$A$2:$Y$133,5,FALSE())="NONE",VLOOKUP(C69,Data_Candidates!$A$2:$Y$133,25,FALSE())="Y"),"ELIGIBLE","INELIGIBLE")</f>
        <v>ELIGIBLE</v>
      </c>
      <c r="U69" s="0" t="str">
        <f aca="false">IF(AND(J69="OK",M69="OK",T69="ELIGIBLE",OR(O69="NONE",P69=O69),OR(Q69="N",AND(Q69="Y",R69="QTRACE",S69&gt;=DATE(2025,1,31))),OR(VLOOKUP(C69,Data_Candidates!$A$2:$Y$133,17,FALSE())="N",N69="L1")),"CLEAR","VIOLATION")</f>
        <v>CLEAR</v>
      </c>
      <c r="V69" s="0" t="str">
        <f aca="false">D70</f>
        <v>C</v>
      </c>
      <c r="W69" s="4" t="n">
        <f aca="false">IF(V69="",0,IF(D69=V69,0,1))</f>
        <v>0</v>
      </c>
    </row>
    <row r="70" customFormat="false" ht="15" hidden="false" customHeight="false" outlineLevel="0" collapsed="false">
      <c r="A70" s="0" t="n">
        <v>66</v>
      </c>
      <c r="B70" s="0" t="s">
        <v>155</v>
      </c>
      <c r="C70" s="0" t="s">
        <v>156</v>
      </c>
      <c r="D70" s="0" t="str">
        <f aca="false">VLOOKUP(C70,Data_Candidates!$A$2:$Y$133,14,FALSE())</f>
        <v>C</v>
      </c>
      <c r="E70" s="0" t="str">
        <f aca="false">VLOOKUP(C70,Data_Candidates!$A$2:$Y$133,22,FALSE())</f>
        <v>C01</v>
      </c>
      <c r="F70" s="4" t="n">
        <f aca="false">VLOOKUP(C70,Data_Candidates!$A$2:$Y$133,13,FALSE())</f>
        <v>4</v>
      </c>
      <c r="G70" s="4" t="n">
        <f aca="false">VLOOKUP(C70,Data_Candidates!$A$2:$Y$133,8,FALSE())</f>
        <v>6</v>
      </c>
      <c r="H70" s="4" t="n">
        <f aca="false">F70*G70</f>
        <v>24</v>
      </c>
      <c r="I70" s="4" t="n">
        <f aca="false">VLOOKUP(B70,Data_Bins!$A$2:$L$101,5,FALSE())</f>
        <v>100</v>
      </c>
      <c r="J70" s="0" t="str">
        <f aca="false">IF(H70&lt;=I70,"OK","WEIGHT")</f>
        <v>OK</v>
      </c>
      <c r="K70" s="0" t="n">
        <f aca="false">F70*VLOOKUP(C70,Data_Candidates!$A$2:$Y$133,9,FALSE())/0.7</f>
        <v>0.00571428571428572</v>
      </c>
      <c r="L70" s="0" t="n">
        <f aca="false">VLOOKUP(B70,Data_Bins!$A$2:$L$101,4,FALSE())</f>
        <v>0.02</v>
      </c>
      <c r="M70" s="0" t="str">
        <f aca="false">IF(K70&lt;=L70,"OK","CUBE")</f>
        <v>OK</v>
      </c>
      <c r="N70" s="0" t="str">
        <f aca="false">VLOOKUP(B70,Data_Bins!$A$2:$L$101,6,FALSE())</f>
        <v>L1</v>
      </c>
      <c r="O70" s="0" t="str">
        <f aca="false">VLOOKUP(C70,Data_Candidates!$A$2:$Y$133,15,FALSE())</f>
        <v>NONE</v>
      </c>
      <c r="P70" s="0" t="str">
        <f aca="false">VLOOKUP(B70,Data_Bins!$A$2:$L$101,8,FALSE())</f>
        <v>NONE</v>
      </c>
      <c r="Q70" s="0" t="str">
        <f aca="false">VLOOKUP(C70,Data_Candidates!$A$2:$Y$133,16,FALSE())</f>
        <v>N</v>
      </c>
      <c r="R70" s="0" t="n">
        <f aca="false">VLOOKUP(B70,Data_Bins!$A$2:$L$101,9,FALSE())</f>
        <v>0</v>
      </c>
      <c r="S70" s="0" t="n">
        <f aca="false">VLOOKUP(B70,Data_Bins!$A$2:$L$101,10,FALSE())</f>
        <v>0</v>
      </c>
      <c r="T70" s="0" t="str">
        <f aca="false">IF(AND(VLOOKUP(C70,Data_Candidates!$A$2:$Y$133,2,FALSE())&lt;=DATE(2025,1,31),VLOOKUP(C70,Data_Candidates!$A$2:$Y$133,3,FALSE())&gt;=DATE(2025,1,31),VLOOKUP(C70,Data_Candidates!$A$2:$Y$133,4,FALSE())="Y",VLOOKUP(C70,Data_Candidates!$A$2:$Y$133,5,FALSE())="NONE",VLOOKUP(C70,Data_Candidates!$A$2:$Y$133,25,FALSE())="Y"),"ELIGIBLE","INELIGIBLE")</f>
        <v>ELIGIBLE</v>
      </c>
      <c r="U70" s="0" t="str">
        <f aca="false">IF(AND(J70="OK",M70="OK",T70="ELIGIBLE",OR(O70="NONE",P70=O70),OR(Q70="N",AND(Q70="Y",R70="QTRACE",S70&gt;=DATE(2025,1,31))),OR(VLOOKUP(C70,Data_Candidates!$A$2:$Y$133,17,FALSE())="N",N70="L1")),"CLEAR","VIOLATION")</f>
        <v>CLEAR</v>
      </c>
      <c r="V70" s="0" t="str">
        <f aca="false">D71</f>
        <v>C</v>
      </c>
      <c r="W70" s="4" t="n">
        <f aca="false">IF(V70="",0,IF(D70=V70,0,1))</f>
        <v>0</v>
      </c>
    </row>
    <row r="71" customFormat="false" ht="15" hidden="false" customHeight="false" outlineLevel="0" collapsed="false">
      <c r="A71" s="0" t="n">
        <v>67</v>
      </c>
      <c r="B71" s="0" t="s">
        <v>157</v>
      </c>
      <c r="C71" s="0" t="s">
        <v>158</v>
      </c>
      <c r="D71" s="0" t="str">
        <f aca="false">VLOOKUP(C71,Data_Candidates!$A$2:$Y$133,14,FALSE())</f>
        <v>C</v>
      </c>
      <c r="E71" s="0" t="str">
        <f aca="false">VLOOKUP(C71,Data_Candidates!$A$2:$Y$133,22,FALSE())</f>
        <v>C01</v>
      </c>
      <c r="F71" s="4" t="n">
        <f aca="false">VLOOKUP(C71,Data_Candidates!$A$2:$Y$133,13,FALSE())</f>
        <v>4</v>
      </c>
      <c r="G71" s="4" t="n">
        <f aca="false">VLOOKUP(C71,Data_Candidates!$A$2:$Y$133,8,FALSE())</f>
        <v>6</v>
      </c>
      <c r="H71" s="4" t="n">
        <f aca="false">F71*G71</f>
        <v>24</v>
      </c>
      <c r="I71" s="4" t="n">
        <f aca="false">VLOOKUP(B71,Data_Bins!$A$2:$L$101,5,FALSE())</f>
        <v>100</v>
      </c>
      <c r="J71" s="0" t="str">
        <f aca="false">IF(H71&lt;=I71,"OK","WEIGHT")</f>
        <v>OK</v>
      </c>
      <c r="K71" s="0" t="n">
        <f aca="false">F71*VLOOKUP(C71,Data_Candidates!$A$2:$Y$133,9,FALSE())/0.7</f>
        <v>0.00571428571428572</v>
      </c>
      <c r="L71" s="0" t="n">
        <f aca="false">VLOOKUP(B71,Data_Bins!$A$2:$L$101,4,FALSE())</f>
        <v>0.02</v>
      </c>
      <c r="M71" s="0" t="str">
        <f aca="false">IF(K71&lt;=L71,"OK","CUBE")</f>
        <v>OK</v>
      </c>
      <c r="N71" s="0" t="str">
        <f aca="false">VLOOKUP(B71,Data_Bins!$A$2:$L$101,6,FALSE())</f>
        <v>L1</v>
      </c>
      <c r="O71" s="0" t="str">
        <f aca="false">VLOOKUP(C71,Data_Candidates!$A$2:$Y$133,15,FALSE())</f>
        <v>NONE</v>
      </c>
      <c r="P71" s="0" t="str">
        <f aca="false">VLOOKUP(B71,Data_Bins!$A$2:$L$101,8,FALSE())</f>
        <v>NONE</v>
      </c>
      <c r="Q71" s="0" t="str">
        <f aca="false">VLOOKUP(C71,Data_Candidates!$A$2:$Y$133,16,FALSE())</f>
        <v>N</v>
      </c>
      <c r="R71" s="0" t="n">
        <f aca="false">VLOOKUP(B71,Data_Bins!$A$2:$L$101,9,FALSE())</f>
        <v>0</v>
      </c>
      <c r="S71" s="0" t="n">
        <f aca="false">VLOOKUP(B71,Data_Bins!$A$2:$L$101,10,FALSE())</f>
        <v>0</v>
      </c>
      <c r="T71" s="0" t="str">
        <f aca="false">IF(AND(VLOOKUP(C71,Data_Candidates!$A$2:$Y$133,2,FALSE())&lt;=DATE(2025,1,31),VLOOKUP(C71,Data_Candidates!$A$2:$Y$133,3,FALSE())&gt;=DATE(2025,1,31),VLOOKUP(C71,Data_Candidates!$A$2:$Y$133,4,FALSE())="Y",VLOOKUP(C71,Data_Candidates!$A$2:$Y$133,5,FALSE())="NONE",VLOOKUP(C71,Data_Candidates!$A$2:$Y$133,25,FALSE())="Y"),"ELIGIBLE","INELIGIBLE")</f>
        <v>ELIGIBLE</v>
      </c>
      <c r="U71" s="0" t="str">
        <f aca="false">IF(AND(J71="OK",M71="OK",T71="ELIGIBLE",OR(O71="NONE",P71=O71),OR(Q71="N",AND(Q71="Y",R71="QTRACE",S71&gt;=DATE(2025,1,31))),OR(VLOOKUP(C71,Data_Candidates!$A$2:$Y$133,17,FALSE())="N",N71="L1")),"CLEAR","VIOLATION")</f>
        <v>CLEAR</v>
      </c>
      <c r="V71" s="0" t="str">
        <f aca="false">D72</f>
        <v>C</v>
      </c>
      <c r="W71" s="4" t="n">
        <f aca="false">IF(V71="",0,IF(D71=V71,0,1))</f>
        <v>0</v>
      </c>
    </row>
    <row r="72" customFormat="false" ht="15" hidden="false" customHeight="false" outlineLevel="0" collapsed="false">
      <c r="A72" s="0" t="n">
        <v>68</v>
      </c>
      <c r="B72" s="0" t="s">
        <v>159</v>
      </c>
      <c r="C72" s="0" t="s">
        <v>160</v>
      </c>
      <c r="D72" s="0" t="str">
        <f aca="false">VLOOKUP(C72,Data_Candidates!$A$2:$Y$133,14,FALSE())</f>
        <v>C</v>
      </c>
      <c r="E72" s="0" t="str">
        <f aca="false">VLOOKUP(C72,Data_Candidates!$A$2:$Y$133,22,FALSE())</f>
        <v>C01</v>
      </c>
      <c r="F72" s="4" t="n">
        <f aca="false">VLOOKUP(C72,Data_Candidates!$A$2:$Y$133,13,FALSE())</f>
        <v>4</v>
      </c>
      <c r="G72" s="4" t="n">
        <f aca="false">VLOOKUP(C72,Data_Candidates!$A$2:$Y$133,8,FALSE())</f>
        <v>6</v>
      </c>
      <c r="H72" s="4" t="n">
        <f aca="false">F72*G72</f>
        <v>24</v>
      </c>
      <c r="I72" s="4" t="n">
        <f aca="false">VLOOKUP(B72,Data_Bins!$A$2:$L$101,5,FALSE())</f>
        <v>100</v>
      </c>
      <c r="J72" s="0" t="str">
        <f aca="false">IF(H72&lt;=I72,"OK","WEIGHT")</f>
        <v>OK</v>
      </c>
      <c r="K72" s="0" t="n">
        <f aca="false">F72*VLOOKUP(C72,Data_Candidates!$A$2:$Y$133,9,FALSE())/0.7</f>
        <v>0.00571428571428572</v>
      </c>
      <c r="L72" s="0" t="n">
        <f aca="false">VLOOKUP(B72,Data_Bins!$A$2:$L$101,4,FALSE())</f>
        <v>0.02</v>
      </c>
      <c r="M72" s="0" t="str">
        <f aca="false">IF(K72&lt;=L72,"OK","CUBE")</f>
        <v>OK</v>
      </c>
      <c r="N72" s="0" t="str">
        <f aca="false">VLOOKUP(B72,Data_Bins!$A$2:$L$101,6,FALSE())</f>
        <v>L1</v>
      </c>
      <c r="O72" s="0" t="str">
        <f aca="false">VLOOKUP(C72,Data_Candidates!$A$2:$Y$133,15,FALSE())</f>
        <v>NONE</v>
      </c>
      <c r="P72" s="0" t="str">
        <f aca="false">VLOOKUP(B72,Data_Bins!$A$2:$L$101,8,FALSE())</f>
        <v>NONE</v>
      </c>
      <c r="Q72" s="0" t="str">
        <f aca="false">VLOOKUP(C72,Data_Candidates!$A$2:$Y$133,16,FALSE())</f>
        <v>N</v>
      </c>
      <c r="R72" s="0" t="n">
        <f aca="false">VLOOKUP(B72,Data_Bins!$A$2:$L$101,9,FALSE())</f>
        <v>0</v>
      </c>
      <c r="S72" s="0" t="n">
        <f aca="false">VLOOKUP(B72,Data_Bins!$A$2:$L$101,10,FALSE())</f>
        <v>0</v>
      </c>
      <c r="T72" s="0" t="str">
        <f aca="false">IF(AND(VLOOKUP(C72,Data_Candidates!$A$2:$Y$133,2,FALSE())&lt;=DATE(2025,1,31),VLOOKUP(C72,Data_Candidates!$A$2:$Y$133,3,FALSE())&gt;=DATE(2025,1,31),VLOOKUP(C72,Data_Candidates!$A$2:$Y$133,4,FALSE())="Y",VLOOKUP(C72,Data_Candidates!$A$2:$Y$133,5,FALSE())="NONE",VLOOKUP(C72,Data_Candidates!$A$2:$Y$133,25,FALSE())="Y"),"ELIGIBLE","INELIGIBLE")</f>
        <v>ELIGIBLE</v>
      </c>
      <c r="U72" s="0" t="str">
        <f aca="false">IF(AND(J72="OK",M72="OK",T72="ELIGIBLE",OR(O72="NONE",P72=O72),OR(Q72="N",AND(Q72="Y",R72="QTRACE",S72&gt;=DATE(2025,1,31))),OR(VLOOKUP(C72,Data_Candidates!$A$2:$Y$133,17,FALSE())="N",N72="L1")),"CLEAR","VIOLATION")</f>
        <v>CLEAR</v>
      </c>
      <c r="V72" s="0" t="str">
        <f aca="false">D73</f>
        <v>C</v>
      </c>
      <c r="W72" s="4" t="n">
        <f aca="false">IF(V72="",0,IF(D72=V72,0,1))</f>
        <v>0</v>
      </c>
    </row>
    <row r="73" customFormat="false" ht="15" hidden="false" customHeight="false" outlineLevel="0" collapsed="false">
      <c r="A73" s="0" t="n">
        <v>69</v>
      </c>
      <c r="B73" s="0" t="s">
        <v>161</v>
      </c>
      <c r="C73" s="0" t="s">
        <v>162</v>
      </c>
      <c r="D73" s="0" t="str">
        <f aca="false">VLOOKUP(C73,Data_Candidates!$A$2:$Y$133,14,FALSE())</f>
        <v>C</v>
      </c>
      <c r="E73" s="0" t="str">
        <f aca="false">VLOOKUP(C73,Data_Candidates!$A$2:$Y$133,22,FALSE())</f>
        <v>C01</v>
      </c>
      <c r="F73" s="4" t="n">
        <f aca="false">VLOOKUP(C73,Data_Candidates!$A$2:$Y$133,13,FALSE())</f>
        <v>4</v>
      </c>
      <c r="G73" s="4" t="n">
        <f aca="false">VLOOKUP(C73,Data_Candidates!$A$2:$Y$133,8,FALSE())</f>
        <v>6</v>
      </c>
      <c r="H73" s="4" t="n">
        <f aca="false">F73*G73</f>
        <v>24</v>
      </c>
      <c r="I73" s="4" t="n">
        <f aca="false">VLOOKUP(B73,Data_Bins!$A$2:$L$101,5,FALSE())</f>
        <v>100</v>
      </c>
      <c r="J73" s="0" t="str">
        <f aca="false">IF(H73&lt;=I73,"OK","WEIGHT")</f>
        <v>OK</v>
      </c>
      <c r="K73" s="0" t="n">
        <f aca="false">F73*VLOOKUP(C73,Data_Candidates!$A$2:$Y$133,9,FALSE())/0.7</f>
        <v>0.00571428571428572</v>
      </c>
      <c r="L73" s="0" t="n">
        <f aca="false">VLOOKUP(B73,Data_Bins!$A$2:$L$101,4,FALSE())</f>
        <v>0.02</v>
      </c>
      <c r="M73" s="0" t="str">
        <f aca="false">IF(K73&lt;=L73,"OK","CUBE")</f>
        <v>OK</v>
      </c>
      <c r="N73" s="0" t="str">
        <f aca="false">VLOOKUP(B73,Data_Bins!$A$2:$L$101,6,FALSE())</f>
        <v>L1</v>
      </c>
      <c r="O73" s="0" t="str">
        <f aca="false">VLOOKUP(C73,Data_Candidates!$A$2:$Y$133,15,FALSE())</f>
        <v>NONE</v>
      </c>
      <c r="P73" s="0" t="str">
        <f aca="false">VLOOKUP(B73,Data_Bins!$A$2:$L$101,8,FALSE())</f>
        <v>NONE</v>
      </c>
      <c r="Q73" s="0" t="str">
        <f aca="false">VLOOKUP(C73,Data_Candidates!$A$2:$Y$133,16,FALSE())</f>
        <v>N</v>
      </c>
      <c r="R73" s="0" t="n">
        <f aca="false">VLOOKUP(B73,Data_Bins!$A$2:$L$101,9,FALSE())</f>
        <v>0</v>
      </c>
      <c r="S73" s="0" t="n">
        <f aca="false">VLOOKUP(B73,Data_Bins!$A$2:$L$101,10,FALSE())</f>
        <v>0</v>
      </c>
      <c r="T73" s="0" t="str">
        <f aca="false">IF(AND(VLOOKUP(C73,Data_Candidates!$A$2:$Y$133,2,FALSE())&lt;=DATE(2025,1,31),VLOOKUP(C73,Data_Candidates!$A$2:$Y$133,3,FALSE())&gt;=DATE(2025,1,31),VLOOKUP(C73,Data_Candidates!$A$2:$Y$133,4,FALSE())="Y",VLOOKUP(C73,Data_Candidates!$A$2:$Y$133,5,FALSE())="NONE",VLOOKUP(C73,Data_Candidates!$A$2:$Y$133,25,FALSE())="Y"),"ELIGIBLE","INELIGIBLE")</f>
        <v>ELIGIBLE</v>
      </c>
      <c r="U73" s="0" t="str">
        <f aca="false">IF(AND(J73="OK",M73="OK",T73="ELIGIBLE",OR(O73="NONE",P73=O73),OR(Q73="N",AND(Q73="Y",R73="QTRACE",S73&gt;=DATE(2025,1,31))),OR(VLOOKUP(C73,Data_Candidates!$A$2:$Y$133,17,FALSE())="N",N73="L1")),"CLEAR","VIOLATION")</f>
        <v>CLEAR</v>
      </c>
      <c r="V73" s="0" t="str">
        <f aca="false">D74</f>
        <v>C</v>
      </c>
      <c r="W73" s="4" t="n">
        <f aca="false">IF(V73="",0,IF(D73=V73,0,1))</f>
        <v>0</v>
      </c>
    </row>
    <row r="74" customFormat="false" ht="15" hidden="false" customHeight="false" outlineLevel="0" collapsed="false">
      <c r="A74" s="0" t="n">
        <v>70</v>
      </c>
      <c r="B74" s="0" t="s">
        <v>163</v>
      </c>
      <c r="C74" s="0" t="s">
        <v>164</v>
      </c>
      <c r="D74" s="0" t="str">
        <f aca="false">VLOOKUP(C74,Data_Candidates!$A$2:$Y$133,14,FALSE())</f>
        <v>C</v>
      </c>
      <c r="E74" s="0" t="str">
        <f aca="false">VLOOKUP(C74,Data_Candidates!$A$2:$Y$133,22,FALSE())</f>
        <v>C01</v>
      </c>
      <c r="F74" s="4" t="n">
        <f aca="false">VLOOKUP(C74,Data_Candidates!$A$2:$Y$133,13,FALSE())</f>
        <v>4</v>
      </c>
      <c r="G74" s="4" t="n">
        <f aca="false">VLOOKUP(C74,Data_Candidates!$A$2:$Y$133,8,FALSE())</f>
        <v>6</v>
      </c>
      <c r="H74" s="4" t="n">
        <f aca="false">F74*G74</f>
        <v>24</v>
      </c>
      <c r="I74" s="4" t="n">
        <f aca="false">VLOOKUP(B74,Data_Bins!$A$2:$L$101,5,FALSE())</f>
        <v>100</v>
      </c>
      <c r="J74" s="0" t="str">
        <f aca="false">IF(H74&lt;=I74,"OK","WEIGHT")</f>
        <v>OK</v>
      </c>
      <c r="K74" s="0" t="n">
        <f aca="false">F74*VLOOKUP(C74,Data_Candidates!$A$2:$Y$133,9,FALSE())/0.7</f>
        <v>0.00571428571428572</v>
      </c>
      <c r="L74" s="0" t="n">
        <f aca="false">VLOOKUP(B74,Data_Bins!$A$2:$L$101,4,FALSE())</f>
        <v>0.02</v>
      </c>
      <c r="M74" s="0" t="str">
        <f aca="false">IF(K74&lt;=L74,"OK","CUBE")</f>
        <v>OK</v>
      </c>
      <c r="N74" s="0" t="str">
        <f aca="false">VLOOKUP(B74,Data_Bins!$A$2:$L$101,6,FALSE())</f>
        <v>L1</v>
      </c>
      <c r="O74" s="0" t="str">
        <f aca="false">VLOOKUP(C74,Data_Candidates!$A$2:$Y$133,15,FALSE())</f>
        <v>NONE</v>
      </c>
      <c r="P74" s="0" t="str">
        <f aca="false">VLOOKUP(B74,Data_Bins!$A$2:$L$101,8,FALSE())</f>
        <v>NONE</v>
      </c>
      <c r="Q74" s="0" t="str">
        <f aca="false">VLOOKUP(C74,Data_Candidates!$A$2:$Y$133,16,FALSE())</f>
        <v>N</v>
      </c>
      <c r="R74" s="0" t="n">
        <f aca="false">VLOOKUP(B74,Data_Bins!$A$2:$L$101,9,FALSE())</f>
        <v>0</v>
      </c>
      <c r="S74" s="0" t="n">
        <f aca="false">VLOOKUP(B74,Data_Bins!$A$2:$L$101,10,FALSE())</f>
        <v>0</v>
      </c>
      <c r="T74" s="0" t="str">
        <f aca="false">IF(AND(VLOOKUP(C74,Data_Candidates!$A$2:$Y$133,2,FALSE())&lt;=DATE(2025,1,31),VLOOKUP(C74,Data_Candidates!$A$2:$Y$133,3,FALSE())&gt;=DATE(2025,1,31),VLOOKUP(C74,Data_Candidates!$A$2:$Y$133,4,FALSE())="Y",VLOOKUP(C74,Data_Candidates!$A$2:$Y$133,5,FALSE())="NONE",VLOOKUP(C74,Data_Candidates!$A$2:$Y$133,25,FALSE())="Y"),"ELIGIBLE","INELIGIBLE")</f>
        <v>ELIGIBLE</v>
      </c>
      <c r="U74" s="0" t="str">
        <f aca="false">IF(AND(J74="OK",M74="OK",T74="ELIGIBLE",OR(O74="NONE",P74=O74),OR(Q74="N",AND(Q74="Y",R74="QTRACE",S74&gt;=DATE(2025,1,31))),OR(VLOOKUP(C74,Data_Candidates!$A$2:$Y$133,17,FALSE())="N",N74="L1")),"CLEAR","VIOLATION")</f>
        <v>CLEAR</v>
      </c>
      <c r="V74" s="0" t="str">
        <f aca="false">D75</f>
        <v>C</v>
      </c>
      <c r="W74" s="4" t="n">
        <f aca="false">IF(V74="",0,IF(D74=V74,0,1))</f>
        <v>0</v>
      </c>
    </row>
    <row r="75" customFormat="false" ht="15" hidden="false" customHeight="false" outlineLevel="0" collapsed="false">
      <c r="A75" s="0" t="n">
        <v>71</v>
      </c>
      <c r="B75" s="0" t="s">
        <v>165</v>
      </c>
      <c r="C75" s="0" t="s">
        <v>166</v>
      </c>
      <c r="D75" s="0" t="str">
        <f aca="false">VLOOKUP(C75,Data_Candidates!$A$2:$Y$133,14,FALSE())</f>
        <v>C</v>
      </c>
      <c r="E75" s="0" t="str">
        <f aca="false">VLOOKUP(C75,Data_Candidates!$A$2:$Y$133,22,FALSE())</f>
        <v>C01</v>
      </c>
      <c r="F75" s="4" t="n">
        <f aca="false">VLOOKUP(C75,Data_Candidates!$A$2:$Y$133,13,FALSE())</f>
        <v>4</v>
      </c>
      <c r="G75" s="4" t="n">
        <f aca="false">VLOOKUP(C75,Data_Candidates!$A$2:$Y$133,8,FALSE())</f>
        <v>6</v>
      </c>
      <c r="H75" s="4" t="n">
        <f aca="false">F75*G75</f>
        <v>24</v>
      </c>
      <c r="I75" s="4" t="n">
        <f aca="false">VLOOKUP(B75,Data_Bins!$A$2:$L$101,5,FALSE())</f>
        <v>100</v>
      </c>
      <c r="J75" s="0" t="str">
        <f aca="false">IF(H75&lt;=I75,"OK","WEIGHT")</f>
        <v>OK</v>
      </c>
      <c r="K75" s="0" t="n">
        <f aca="false">F75*VLOOKUP(C75,Data_Candidates!$A$2:$Y$133,9,FALSE())/0.7</f>
        <v>0.00571428571428572</v>
      </c>
      <c r="L75" s="0" t="n">
        <f aca="false">VLOOKUP(B75,Data_Bins!$A$2:$L$101,4,FALSE())</f>
        <v>0.02</v>
      </c>
      <c r="M75" s="0" t="str">
        <f aca="false">IF(K75&lt;=L75,"OK","CUBE")</f>
        <v>OK</v>
      </c>
      <c r="N75" s="0" t="str">
        <f aca="false">VLOOKUP(B75,Data_Bins!$A$2:$L$101,6,FALSE())</f>
        <v>L1</v>
      </c>
      <c r="O75" s="0" t="str">
        <f aca="false">VLOOKUP(C75,Data_Candidates!$A$2:$Y$133,15,FALSE())</f>
        <v>NONE</v>
      </c>
      <c r="P75" s="0" t="str">
        <f aca="false">VLOOKUP(B75,Data_Bins!$A$2:$L$101,8,FALSE())</f>
        <v>NONE</v>
      </c>
      <c r="Q75" s="0" t="str">
        <f aca="false">VLOOKUP(C75,Data_Candidates!$A$2:$Y$133,16,FALSE())</f>
        <v>N</v>
      </c>
      <c r="R75" s="0" t="n">
        <f aca="false">VLOOKUP(B75,Data_Bins!$A$2:$L$101,9,FALSE())</f>
        <v>0</v>
      </c>
      <c r="S75" s="0" t="n">
        <f aca="false">VLOOKUP(B75,Data_Bins!$A$2:$L$101,10,FALSE())</f>
        <v>0</v>
      </c>
      <c r="T75" s="0" t="str">
        <f aca="false">IF(AND(VLOOKUP(C75,Data_Candidates!$A$2:$Y$133,2,FALSE())&lt;=DATE(2025,1,31),VLOOKUP(C75,Data_Candidates!$A$2:$Y$133,3,FALSE())&gt;=DATE(2025,1,31),VLOOKUP(C75,Data_Candidates!$A$2:$Y$133,4,FALSE())="Y",VLOOKUP(C75,Data_Candidates!$A$2:$Y$133,5,FALSE())="NONE",VLOOKUP(C75,Data_Candidates!$A$2:$Y$133,25,FALSE())="Y"),"ELIGIBLE","INELIGIBLE")</f>
        <v>ELIGIBLE</v>
      </c>
      <c r="U75" s="0" t="str">
        <f aca="false">IF(AND(J75="OK",M75="OK",T75="ELIGIBLE",OR(O75="NONE",P75=O75),OR(Q75="N",AND(Q75="Y",R75="QTRACE",S75&gt;=DATE(2025,1,31))),OR(VLOOKUP(C75,Data_Candidates!$A$2:$Y$133,17,FALSE())="N",N75="L1")),"CLEAR","VIOLATION")</f>
        <v>CLEAR</v>
      </c>
      <c r="V75" s="0" t="str">
        <f aca="false">D76</f>
        <v>C</v>
      </c>
      <c r="W75" s="4" t="n">
        <f aca="false">IF(V75="",0,IF(D75=V75,0,1))</f>
        <v>0</v>
      </c>
    </row>
    <row r="76" customFormat="false" ht="15" hidden="false" customHeight="false" outlineLevel="0" collapsed="false">
      <c r="A76" s="0" t="n">
        <v>72</v>
      </c>
      <c r="B76" s="0" t="s">
        <v>167</v>
      </c>
      <c r="C76" s="0" t="s">
        <v>168</v>
      </c>
      <c r="D76" s="0" t="str">
        <f aca="false">VLOOKUP(C76,Data_Candidates!$A$2:$Y$133,14,FALSE())</f>
        <v>C</v>
      </c>
      <c r="E76" s="0" t="str">
        <f aca="false">VLOOKUP(C76,Data_Candidates!$A$2:$Y$133,22,FALSE())</f>
        <v>C01</v>
      </c>
      <c r="F76" s="4" t="n">
        <f aca="false">VLOOKUP(C76,Data_Candidates!$A$2:$Y$133,13,FALSE())</f>
        <v>4</v>
      </c>
      <c r="G76" s="4" t="n">
        <f aca="false">VLOOKUP(C76,Data_Candidates!$A$2:$Y$133,8,FALSE())</f>
        <v>6</v>
      </c>
      <c r="H76" s="4" t="n">
        <f aca="false">F76*G76</f>
        <v>24</v>
      </c>
      <c r="I76" s="4" t="n">
        <f aca="false">VLOOKUP(B76,Data_Bins!$A$2:$L$101,5,FALSE())</f>
        <v>100</v>
      </c>
      <c r="J76" s="0" t="str">
        <f aca="false">IF(H76&lt;=I76,"OK","WEIGHT")</f>
        <v>OK</v>
      </c>
      <c r="K76" s="0" t="n">
        <f aca="false">F76*VLOOKUP(C76,Data_Candidates!$A$2:$Y$133,9,FALSE())/0.7</f>
        <v>0.00571428571428572</v>
      </c>
      <c r="L76" s="0" t="n">
        <f aca="false">VLOOKUP(B76,Data_Bins!$A$2:$L$101,4,FALSE())</f>
        <v>0.02</v>
      </c>
      <c r="M76" s="0" t="str">
        <f aca="false">IF(K76&lt;=L76,"OK","CUBE")</f>
        <v>OK</v>
      </c>
      <c r="N76" s="0" t="str">
        <f aca="false">VLOOKUP(B76,Data_Bins!$A$2:$L$101,6,FALSE())</f>
        <v>L1</v>
      </c>
      <c r="O76" s="0" t="str">
        <f aca="false">VLOOKUP(C76,Data_Candidates!$A$2:$Y$133,15,FALSE())</f>
        <v>NONE</v>
      </c>
      <c r="P76" s="0" t="str">
        <f aca="false">VLOOKUP(B76,Data_Bins!$A$2:$L$101,8,FALSE())</f>
        <v>NONE</v>
      </c>
      <c r="Q76" s="0" t="str">
        <f aca="false">VLOOKUP(C76,Data_Candidates!$A$2:$Y$133,16,FALSE())</f>
        <v>N</v>
      </c>
      <c r="R76" s="0" t="n">
        <f aca="false">VLOOKUP(B76,Data_Bins!$A$2:$L$101,9,FALSE())</f>
        <v>0</v>
      </c>
      <c r="S76" s="0" t="n">
        <f aca="false">VLOOKUP(B76,Data_Bins!$A$2:$L$101,10,FALSE())</f>
        <v>0</v>
      </c>
      <c r="T76" s="0" t="str">
        <f aca="false">IF(AND(VLOOKUP(C76,Data_Candidates!$A$2:$Y$133,2,FALSE())&lt;=DATE(2025,1,31),VLOOKUP(C76,Data_Candidates!$A$2:$Y$133,3,FALSE())&gt;=DATE(2025,1,31),VLOOKUP(C76,Data_Candidates!$A$2:$Y$133,4,FALSE())="Y",VLOOKUP(C76,Data_Candidates!$A$2:$Y$133,5,FALSE())="NONE",VLOOKUP(C76,Data_Candidates!$A$2:$Y$133,25,FALSE())="Y"),"ELIGIBLE","INELIGIBLE")</f>
        <v>ELIGIBLE</v>
      </c>
      <c r="U76" s="0" t="str">
        <f aca="false">IF(AND(J76="OK",M76="OK",T76="ELIGIBLE",OR(O76="NONE",P76=O76),OR(Q76="N",AND(Q76="Y",R76="QTRACE",S76&gt;=DATE(2025,1,31))),OR(VLOOKUP(C76,Data_Candidates!$A$2:$Y$133,17,FALSE())="N",N76="L1")),"CLEAR","VIOLATION")</f>
        <v>CLEAR</v>
      </c>
      <c r="V76" s="0" t="str">
        <f aca="false">D77</f>
        <v>D</v>
      </c>
      <c r="W76" s="4" t="n">
        <f aca="false">IF(V76="",0,IF(D76=V76,0,1))</f>
        <v>1</v>
      </c>
    </row>
    <row r="77" customFormat="false" ht="15" hidden="false" customHeight="false" outlineLevel="0" collapsed="false">
      <c r="A77" s="0" t="n">
        <v>73</v>
      </c>
      <c r="B77" s="0" t="s">
        <v>169</v>
      </c>
      <c r="C77" s="0" t="s">
        <v>170</v>
      </c>
      <c r="D77" s="0" t="str">
        <f aca="false">VLOOKUP(C77,Data_Candidates!$A$2:$Y$133,14,FALSE())</f>
        <v>D</v>
      </c>
      <c r="E77" s="0" t="str">
        <f aca="false">VLOOKUP(C77,Data_Candidates!$A$2:$Y$133,22,FALSE())</f>
        <v>C01</v>
      </c>
      <c r="F77" s="4" t="n">
        <f aca="false">VLOOKUP(C77,Data_Candidates!$A$2:$Y$133,13,FALSE())</f>
        <v>4</v>
      </c>
      <c r="G77" s="4" t="n">
        <f aca="false">VLOOKUP(C77,Data_Candidates!$A$2:$Y$133,8,FALSE())</f>
        <v>1.2</v>
      </c>
      <c r="H77" s="4" t="n">
        <f aca="false">F77*G77</f>
        <v>4.8</v>
      </c>
      <c r="I77" s="4" t="n">
        <f aca="false">VLOOKUP(B77,Data_Bins!$A$2:$L$101,5,FALSE())</f>
        <v>100</v>
      </c>
      <c r="J77" s="0" t="str">
        <f aca="false">IF(H77&lt;=I77,"OK","WEIGHT")</f>
        <v>OK</v>
      </c>
      <c r="K77" s="0" t="n">
        <f aca="false">F77*VLOOKUP(C77,Data_Candidates!$A$2:$Y$133,9,FALSE())/0.7</f>
        <v>0.00571428571428572</v>
      </c>
      <c r="L77" s="0" t="n">
        <f aca="false">VLOOKUP(B77,Data_Bins!$A$2:$L$101,4,FALSE())</f>
        <v>0.02</v>
      </c>
      <c r="M77" s="0" t="str">
        <f aca="false">IF(K77&lt;=L77,"OK","CUBE")</f>
        <v>OK</v>
      </c>
      <c r="N77" s="0" t="str">
        <f aca="false">VLOOKUP(B77,Data_Bins!$A$2:$L$101,6,FALSE())</f>
        <v>L2</v>
      </c>
      <c r="O77" s="0" t="str">
        <f aca="false">VLOOKUP(C77,Data_Candidates!$A$2:$Y$133,15,FALSE())</f>
        <v>NONE</v>
      </c>
      <c r="P77" s="0" t="str">
        <f aca="false">VLOOKUP(B77,Data_Bins!$A$2:$L$101,8,FALSE())</f>
        <v>NONE</v>
      </c>
      <c r="Q77" s="0" t="str">
        <f aca="false">VLOOKUP(C77,Data_Candidates!$A$2:$Y$133,16,FALSE())</f>
        <v>N</v>
      </c>
      <c r="R77" s="0" t="n">
        <f aca="false">VLOOKUP(B77,Data_Bins!$A$2:$L$101,9,FALSE())</f>
        <v>0</v>
      </c>
      <c r="S77" s="0" t="n">
        <f aca="false">VLOOKUP(B77,Data_Bins!$A$2:$L$101,10,FALSE())</f>
        <v>0</v>
      </c>
      <c r="T77" s="0" t="str">
        <f aca="false">IF(AND(VLOOKUP(C77,Data_Candidates!$A$2:$Y$133,2,FALSE())&lt;=DATE(2025,1,31),VLOOKUP(C77,Data_Candidates!$A$2:$Y$133,3,FALSE())&gt;=DATE(2025,1,31),VLOOKUP(C77,Data_Candidates!$A$2:$Y$133,4,FALSE())="Y",VLOOKUP(C77,Data_Candidates!$A$2:$Y$133,5,FALSE())="NONE",VLOOKUP(C77,Data_Candidates!$A$2:$Y$133,25,FALSE())="Y"),"ELIGIBLE","INELIGIBLE")</f>
        <v>ELIGIBLE</v>
      </c>
      <c r="U77" s="0" t="str">
        <f aca="false">IF(AND(J77="OK",M77="OK",T77="ELIGIBLE",OR(O77="NONE",P77=O77),OR(Q77="N",AND(Q77="Y",R77="QTRACE",S77&gt;=DATE(2025,1,31))),OR(VLOOKUP(C77,Data_Candidates!$A$2:$Y$133,17,FALSE())="N",N77="L1")),"CLEAR","VIOLATION")</f>
        <v>CLEAR</v>
      </c>
      <c r="V77" s="0" t="str">
        <f aca="false">D78</f>
        <v>D</v>
      </c>
      <c r="W77" s="4" t="n">
        <f aca="false">IF(V77="",0,IF(D77=V77,0,1))</f>
        <v>0</v>
      </c>
    </row>
    <row r="78" customFormat="false" ht="15" hidden="false" customHeight="false" outlineLevel="0" collapsed="false">
      <c r="A78" s="0" t="n">
        <v>74</v>
      </c>
      <c r="B78" s="0" t="s">
        <v>171</v>
      </c>
      <c r="C78" s="0" t="s">
        <v>172</v>
      </c>
      <c r="D78" s="0" t="str">
        <f aca="false">VLOOKUP(C78,Data_Candidates!$A$2:$Y$133,14,FALSE())</f>
        <v>D</v>
      </c>
      <c r="E78" s="0" t="str">
        <f aca="false">VLOOKUP(C78,Data_Candidates!$A$2:$Y$133,22,FALSE())</f>
        <v>C01</v>
      </c>
      <c r="F78" s="4" t="n">
        <f aca="false">VLOOKUP(C78,Data_Candidates!$A$2:$Y$133,13,FALSE())</f>
        <v>4</v>
      </c>
      <c r="G78" s="4" t="n">
        <f aca="false">VLOOKUP(C78,Data_Candidates!$A$2:$Y$133,8,FALSE())</f>
        <v>1.2</v>
      </c>
      <c r="H78" s="4" t="n">
        <f aca="false">F78*G78</f>
        <v>4.8</v>
      </c>
      <c r="I78" s="4" t="n">
        <f aca="false">VLOOKUP(B78,Data_Bins!$A$2:$L$101,5,FALSE())</f>
        <v>100</v>
      </c>
      <c r="J78" s="0" t="str">
        <f aca="false">IF(H78&lt;=I78,"OK","WEIGHT")</f>
        <v>OK</v>
      </c>
      <c r="K78" s="0" t="n">
        <f aca="false">F78*VLOOKUP(C78,Data_Candidates!$A$2:$Y$133,9,FALSE())/0.7</f>
        <v>0.00571428571428572</v>
      </c>
      <c r="L78" s="0" t="n">
        <f aca="false">VLOOKUP(B78,Data_Bins!$A$2:$L$101,4,FALSE())</f>
        <v>0.02</v>
      </c>
      <c r="M78" s="0" t="str">
        <f aca="false">IF(K78&lt;=L78,"OK","CUBE")</f>
        <v>OK</v>
      </c>
      <c r="N78" s="0" t="str">
        <f aca="false">VLOOKUP(B78,Data_Bins!$A$2:$L$101,6,FALSE())</f>
        <v>L2</v>
      </c>
      <c r="O78" s="0" t="str">
        <f aca="false">VLOOKUP(C78,Data_Candidates!$A$2:$Y$133,15,FALSE())</f>
        <v>NONE</v>
      </c>
      <c r="P78" s="0" t="str">
        <f aca="false">VLOOKUP(B78,Data_Bins!$A$2:$L$101,8,FALSE())</f>
        <v>NONE</v>
      </c>
      <c r="Q78" s="0" t="str">
        <f aca="false">VLOOKUP(C78,Data_Candidates!$A$2:$Y$133,16,FALSE())</f>
        <v>N</v>
      </c>
      <c r="R78" s="0" t="n">
        <f aca="false">VLOOKUP(B78,Data_Bins!$A$2:$L$101,9,FALSE())</f>
        <v>0</v>
      </c>
      <c r="S78" s="0" t="n">
        <f aca="false">VLOOKUP(B78,Data_Bins!$A$2:$L$101,10,FALSE())</f>
        <v>0</v>
      </c>
      <c r="T78" s="0" t="str">
        <f aca="false">IF(AND(VLOOKUP(C78,Data_Candidates!$A$2:$Y$133,2,FALSE())&lt;=DATE(2025,1,31),VLOOKUP(C78,Data_Candidates!$A$2:$Y$133,3,FALSE())&gt;=DATE(2025,1,31),VLOOKUP(C78,Data_Candidates!$A$2:$Y$133,4,FALSE())="Y",VLOOKUP(C78,Data_Candidates!$A$2:$Y$133,5,FALSE())="NONE",VLOOKUP(C78,Data_Candidates!$A$2:$Y$133,25,FALSE())="Y"),"ELIGIBLE","INELIGIBLE")</f>
        <v>ELIGIBLE</v>
      </c>
      <c r="U78" s="0" t="str">
        <f aca="false">IF(AND(J78="OK",M78="OK",T78="ELIGIBLE",OR(O78="NONE",P78=O78),OR(Q78="N",AND(Q78="Y",R78="QTRACE",S78&gt;=DATE(2025,1,31))),OR(VLOOKUP(C78,Data_Candidates!$A$2:$Y$133,17,FALSE())="N",N78="L1")),"CLEAR","VIOLATION")</f>
        <v>CLEAR</v>
      </c>
      <c r="V78" s="0" t="str">
        <f aca="false">D79</f>
        <v>D</v>
      </c>
      <c r="W78" s="4" t="n">
        <f aca="false">IF(V78="",0,IF(D78=V78,0,1))</f>
        <v>0</v>
      </c>
    </row>
    <row r="79" customFormat="false" ht="15" hidden="false" customHeight="false" outlineLevel="0" collapsed="false">
      <c r="A79" s="0" t="n">
        <v>75</v>
      </c>
      <c r="B79" s="0" t="s">
        <v>173</v>
      </c>
      <c r="C79" s="0" t="s">
        <v>174</v>
      </c>
      <c r="D79" s="0" t="str">
        <f aca="false">VLOOKUP(C79,Data_Candidates!$A$2:$Y$133,14,FALSE())</f>
        <v>D</v>
      </c>
      <c r="E79" s="0" t="str">
        <f aca="false">VLOOKUP(C79,Data_Candidates!$A$2:$Y$133,22,FALSE())</f>
        <v>C01</v>
      </c>
      <c r="F79" s="4" t="n">
        <f aca="false">VLOOKUP(C79,Data_Candidates!$A$2:$Y$133,13,FALSE())</f>
        <v>4</v>
      </c>
      <c r="G79" s="4" t="n">
        <f aca="false">VLOOKUP(C79,Data_Candidates!$A$2:$Y$133,8,FALSE())</f>
        <v>1.2</v>
      </c>
      <c r="H79" s="4" t="n">
        <f aca="false">F79*G79</f>
        <v>4.8</v>
      </c>
      <c r="I79" s="4" t="n">
        <f aca="false">VLOOKUP(B79,Data_Bins!$A$2:$L$101,5,FALSE())</f>
        <v>100</v>
      </c>
      <c r="J79" s="0" t="str">
        <f aca="false">IF(H79&lt;=I79,"OK","WEIGHT")</f>
        <v>OK</v>
      </c>
      <c r="K79" s="0" t="n">
        <f aca="false">F79*VLOOKUP(C79,Data_Candidates!$A$2:$Y$133,9,FALSE())/0.7</f>
        <v>0.00571428571428572</v>
      </c>
      <c r="L79" s="0" t="n">
        <f aca="false">VLOOKUP(B79,Data_Bins!$A$2:$L$101,4,FALSE())</f>
        <v>0.02</v>
      </c>
      <c r="M79" s="0" t="str">
        <f aca="false">IF(K79&lt;=L79,"OK","CUBE")</f>
        <v>OK</v>
      </c>
      <c r="N79" s="0" t="str">
        <f aca="false">VLOOKUP(B79,Data_Bins!$A$2:$L$101,6,FALSE())</f>
        <v>L2</v>
      </c>
      <c r="O79" s="0" t="str">
        <f aca="false">VLOOKUP(C79,Data_Candidates!$A$2:$Y$133,15,FALSE())</f>
        <v>NONE</v>
      </c>
      <c r="P79" s="0" t="str">
        <f aca="false">VLOOKUP(B79,Data_Bins!$A$2:$L$101,8,FALSE())</f>
        <v>NONE</v>
      </c>
      <c r="Q79" s="0" t="str">
        <f aca="false">VLOOKUP(C79,Data_Candidates!$A$2:$Y$133,16,FALSE())</f>
        <v>N</v>
      </c>
      <c r="R79" s="0" t="n">
        <f aca="false">VLOOKUP(B79,Data_Bins!$A$2:$L$101,9,FALSE())</f>
        <v>0</v>
      </c>
      <c r="S79" s="0" t="n">
        <f aca="false">VLOOKUP(B79,Data_Bins!$A$2:$L$101,10,FALSE())</f>
        <v>0</v>
      </c>
      <c r="T79" s="0" t="str">
        <f aca="false">IF(AND(VLOOKUP(C79,Data_Candidates!$A$2:$Y$133,2,FALSE())&lt;=DATE(2025,1,31),VLOOKUP(C79,Data_Candidates!$A$2:$Y$133,3,FALSE())&gt;=DATE(2025,1,31),VLOOKUP(C79,Data_Candidates!$A$2:$Y$133,4,FALSE())="Y",VLOOKUP(C79,Data_Candidates!$A$2:$Y$133,5,FALSE())="NONE",VLOOKUP(C79,Data_Candidates!$A$2:$Y$133,25,FALSE())="Y"),"ELIGIBLE","INELIGIBLE")</f>
        <v>ELIGIBLE</v>
      </c>
      <c r="U79" s="0" t="str">
        <f aca="false">IF(AND(J79="OK",M79="OK",T79="ELIGIBLE",OR(O79="NONE",P79=O79),OR(Q79="N",AND(Q79="Y",R79="QTRACE",S79&gt;=DATE(2025,1,31))),OR(VLOOKUP(C79,Data_Candidates!$A$2:$Y$133,17,FALSE())="N",N79="L1")),"CLEAR","VIOLATION")</f>
        <v>CLEAR</v>
      </c>
      <c r="V79" s="0" t="str">
        <f aca="false">D80</f>
        <v>D</v>
      </c>
      <c r="W79" s="4" t="n">
        <f aca="false">IF(V79="",0,IF(D79=V79,0,1))</f>
        <v>0</v>
      </c>
    </row>
    <row r="80" customFormat="false" ht="15" hidden="false" customHeight="false" outlineLevel="0" collapsed="false">
      <c r="A80" s="0" t="n">
        <v>76</v>
      </c>
      <c r="B80" s="0" t="s">
        <v>175</v>
      </c>
      <c r="C80" s="0" t="s">
        <v>176</v>
      </c>
      <c r="D80" s="0" t="str">
        <f aca="false">VLOOKUP(C80,Data_Candidates!$A$2:$Y$133,14,FALSE())</f>
        <v>D</v>
      </c>
      <c r="E80" s="0" t="str">
        <f aca="false">VLOOKUP(C80,Data_Candidates!$A$2:$Y$133,22,FALSE())</f>
        <v>C01</v>
      </c>
      <c r="F80" s="4" t="n">
        <f aca="false">VLOOKUP(C80,Data_Candidates!$A$2:$Y$133,13,FALSE())</f>
        <v>4</v>
      </c>
      <c r="G80" s="4" t="n">
        <f aca="false">VLOOKUP(C80,Data_Candidates!$A$2:$Y$133,8,FALSE())</f>
        <v>1.2</v>
      </c>
      <c r="H80" s="4" t="n">
        <f aca="false">F80*G80</f>
        <v>4.8</v>
      </c>
      <c r="I80" s="4" t="n">
        <f aca="false">VLOOKUP(B80,Data_Bins!$A$2:$L$101,5,FALSE())</f>
        <v>100</v>
      </c>
      <c r="J80" s="0" t="str">
        <f aca="false">IF(H80&lt;=I80,"OK","WEIGHT")</f>
        <v>OK</v>
      </c>
      <c r="K80" s="0" t="n">
        <f aca="false">F80*VLOOKUP(C80,Data_Candidates!$A$2:$Y$133,9,FALSE())/0.7</f>
        <v>0.00571428571428572</v>
      </c>
      <c r="L80" s="0" t="n">
        <f aca="false">VLOOKUP(B80,Data_Bins!$A$2:$L$101,4,FALSE())</f>
        <v>0.02</v>
      </c>
      <c r="M80" s="0" t="str">
        <f aca="false">IF(K80&lt;=L80,"OK","CUBE")</f>
        <v>OK</v>
      </c>
      <c r="N80" s="0" t="str">
        <f aca="false">VLOOKUP(B80,Data_Bins!$A$2:$L$101,6,FALSE())</f>
        <v>L2</v>
      </c>
      <c r="O80" s="0" t="str">
        <f aca="false">VLOOKUP(C80,Data_Candidates!$A$2:$Y$133,15,FALSE())</f>
        <v>NONE</v>
      </c>
      <c r="P80" s="0" t="str">
        <f aca="false">VLOOKUP(B80,Data_Bins!$A$2:$L$101,8,FALSE())</f>
        <v>NONE</v>
      </c>
      <c r="Q80" s="0" t="str">
        <f aca="false">VLOOKUP(C80,Data_Candidates!$A$2:$Y$133,16,FALSE())</f>
        <v>N</v>
      </c>
      <c r="R80" s="0" t="n">
        <f aca="false">VLOOKUP(B80,Data_Bins!$A$2:$L$101,9,FALSE())</f>
        <v>0</v>
      </c>
      <c r="S80" s="0" t="n">
        <f aca="false">VLOOKUP(B80,Data_Bins!$A$2:$L$101,10,FALSE())</f>
        <v>0</v>
      </c>
      <c r="T80" s="0" t="str">
        <f aca="false">IF(AND(VLOOKUP(C80,Data_Candidates!$A$2:$Y$133,2,FALSE())&lt;=DATE(2025,1,31),VLOOKUP(C80,Data_Candidates!$A$2:$Y$133,3,FALSE())&gt;=DATE(2025,1,31),VLOOKUP(C80,Data_Candidates!$A$2:$Y$133,4,FALSE())="Y",VLOOKUP(C80,Data_Candidates!$A$2:$Y$133,5,FALSE())="NONE",VLOOKUP(C80,Data_Candidates!$A$2:$Y$133,25,FALSE())="Y"),"ELIGIBLE","INELIGIBLE")</f>
        <v>ELIGIBLE</v>
      </c>
      <c r="U80" s="0" t="str">
        <f aca="false">IF(AND(J80="OK",M80="OK",T80="ELIGIBLE",OR(O80="NONE",P80=O80),OR(Q80="N",AND(Q80="Y",R80="QTRACE",S80&gt;=DATE(2025,1,31))),OR(VLOOKUP(C80,Data_Candidates!$A$2:$Y$133,17,FALSE())="N",N80="L1")),"CLEAR","VIOLATION")</f>
        <v>CLEAR</v>
      </c>
      <c r="V80" s="0" t="str">
        <f aca="false">D81</f>
        <v>D</v>
      </c>
      <c r="W80" s="4" t="n">
        <f aca="false">IF(V80="",0,IF(D80=V80,0,1))</f>
        <v>0</v>
      </c>
    </row>
    <row r="81" customFormat="false" ht="15" hidden="false" customHeight="false" outlineLevel="0" collapsed="false">
      <c r="A81" s="0" t="n">
        <v>77</v>
      </c>
      <c r="B81" s="0" t="s">
        <v>177</v>
      </c>
      <c r="C81" s="0" t="s">
        <v>178</v>
      </c>
      <c r="D81" s="0" t="str">
        <f aca="false">VLOOKUP(C81,Data_Candidates!$A$2:$Y$133,14,FALSE())</f>
        <v>D</v>
      </c>
      <c r="E81" s="0" t="str">
        <f aca="false">VLOOKUP(C81,Data_Candidates!$A$2:$Y$133,22,FALSE())</f>
        <v>C01</v>
      </c>
      <c r="F81" s="4" t="n">
        <f aca="false">VLOOKUP(C81,Data_Candidates!$A$2:$Y$133,13,FALSE())</f>
        <v>4</v>
      </c>
      <c r="G81" s="4" t="n">
        <f aca="false">VLOOKUP(C81,Data_Candidates!$A$2:$Y$133,8,FALSE())</f>
        <v>1.2</v>
      </c>
      <c r="H81" s="4" t="n">
        <f aca="false">F81*G81</f>
        <v>4.8</v>
      </c>
      <c r="I81" s="4" t="n">
        <f aca="false">VLOOKUP(B81,Data_Bins!$A$2:$L$101,5,FALSE())</f>
        <v>100</v>
      </c>
      <c r="J81" s="0" t="str">
        <f aca="false">IF(H81&lt;=I81,"OK","WEIGHT")</f>
        <v>OK</v>
      </c>
      <c r="K81" s="0" t="n">
        <f aca="false">F81*VLOOKUP(C81,Data_Candidates!$A$2:$Y$133,9,FALSE())/0.7</f>
        <v>0.00571428571428572</v>
      </c>
      <c r="L81" s="0" t="n">
        <f aca="false">VLOOKUP(B81,Data_Bins!$A$2:$L$101,4,FALSE())</f>
        <v>0.02</v>
      </c>
      <c r="M81" s="0" t="str">
        <f aca="false">IF(K81&lt;=L81,"OK","CUBE")</f>
        <v>OK</v>
      </c>
      <c r="N81" s="0" t="str">
        <f aca="false">VLOOKUP(B81,Data_Bins!$A$2:$L$101,6,FALSE())</f>
        <v>L2</v>
      </c>
      <c r="O81" s="0" t="str">
        <f aca="false">VLOOKUP(C81,Data_Candidates!$A$2:$Y$133,15,FALSE())</f>
        <v>NONE</v>
      </c>
      <c r="P81" s="0" t="str">
        <f aca="false">VLOOKUP(B81,Data_Bins!$A$2:$L$101,8,FALSE())</f>
        <v>NONE</v>
      </c>
      <c r="Q81" s="0" t="str">
        <f aca="false">VLOOKUP(C81,Data_Candidates!$A$2:$Y$133,16,FALSE())</f>
        <v>N</v>
      </c>
      <c r="R81" s="0" t="n">
        <f aca="false">VLOOKUP(B81,Data_Bins!$A$2:$L$101,9,FALSE())</f>
        <v>0</v>
      </c>
      <c r="S81" s="0" t="n">
        <f aca="false">VLOOKUP(B81,Data_Bins!$A$2:$L$101,10,FALSE())</f>
        <v>0</v>
      </c>
      <c r="T81" s="0" t="str">
        <f aca="false">IF(AND(VLOOKUP(C81,Data_Candidates!$A$2:$Y$133,2,FALSE())&lt;=DATE(2025,1,31),VLOOKUP(C81,Data_Candidates!$A$2:$Y$133,3,FALSE())&gt;=DATE(2025,1,31),VLOOKUP(C81,Data_Candidates!$A$2:$Y$133,4,FALSE())="Y",VLOOKUP(C81,Data_Candidates!$A$2:$Y$133,5,FALSE())="NONE",VLOOKUP(C81,Data_Candidates!$A$2:$Y$133,25,FALSE())="Y"),"ELIGIBLE","INELIGIBLE")</f>
        <v>ELIGIBLE</v>
      </c>
      <c r="U81" s="0" t="str">
        <f aca="false">IF(AND(J81="OK",M81="OK",T81="ELIGIBLE",OR(O81="NONE",P81=O81),OR(Q81="N",AND(Q81="Y",R81="QTRACE",S81&gt;=DATE(2025,1,31))),OR(VLOOKUP(C81,Data_Candidates!$A$2:$Y$133,17,FALSE())="N",N81="L1")),"CLEAR","VIOLATION")</f>
        <v>CLEAR</v>
      </c>
      <c r="V81" s="0" t="str">
        <f aca="false">D82</f>
        <v>D</v>
      </c>
      <c r="W81" s="4" t="n">
        <f aca="false">IF(V81="",0,IF(D81=V81,0,1))</f>
        <v>0</v>
      </c>
    </row>
    <row r="82" customFormat="false" ht="15" hidden="false" customHeight="false" outlineLevel="0" collapsed="false">
      <c r="A82" s="0" t="n">
        <v>78</v>
      </c>
      <c r="B82" s="0" t="s">
        <v>179</v>
      </c>
      <c r="C82" s="0" t="s">
        <v>180</v>
      </c>
      <c r="D82" s="0" t="str">
        <f aca="false">VLOOKUP(C82,Data_Candidates!$A$2:$Y$133,14,FALSE())</f>
        <v>D</v>
      </c>
      <c r="E82" s="0" t="str">
        <f aca="false">VLOOKUP(C82,Data_Candidates!$A$2:$Y$133,22,FALSE())</f>
        <v>C01</v>
      </c>
      <c r="F82" s="4" t="n">
        <f aca="false">VLOOKUP(C82,Data_Candidates!$A$2:$Y$133,13,FALSE())</f>
        <v>4</v>
      </c>
      <c r="G82" s="4" t="n">
        <f aca="false">VLOOKUP(C82,Data_Candidates!$A$2:$Y$133,8,FALSE())</f>
        <v>1.2</v>
      </c>
      <c r="H82" s="4" t="n">
        <f aca="false">F82*G82</f>
        <v>4.8</v>
      </c>
      <c r="I82" s="4" t="n">
        <f aca="false">VLOOKUP(B82,Data_Bins!$A$2:$L$101,5,FALSE())</f>
        <v>100</v>
      </c>
      <c r="J82" s="0" t="str">
        <f aca="false">IF(H82&lt;=I82,"OK","WEIGHT")</f>
        <v>OK</v>
      </c>
      <c r="K82" s="0" t="n">
        <f aca="false">F82*VLOOKUP(C82,Data_Candidates!$A$2:$Y$133,9,FALSE())/0.7</f>
        <v>0.00571428571428572</v>
      </c>
      <c r="L82" s="0" t="n">
        <f aca="false">VLOOKUP(B82,Data_Bins!$A$2:$L$101,4,FALSE())</f>
        <v>0.02</v>
      </c>
      <c r="M82" s="0" t="str">
        <f aca="false">IF(K82&lt;=L82,"OK","CUBE")</f>
        <v>OK</v>
      </c>
      <c r="N82" s="0" t="str">
        <f aca="false">VLOOKUP(B82,Data_Bins!$A$2:$L$101,6,FALSE())</f>
        <v>L2</v>
      </c>
      <c r="O82" s="0" t="str">
        <f aca="false">VLOOKUP(C82,Data_Candidates!$A$2:$Y$133,15,FALSE())</f>
        <v>NONE</v>
      </c>
      <c r="P82" s="0" t="str">
        <f aca="false">VLOOKUP(B82,Data_Bins!$A$2:$L$101,8,FALSE())</f>
        <v>NONE</v>
      </c>
      <c r="Q82" s="0" t="str">
        <f aca="false">VLOOKUP(C82,Data_Candidates!$A$2:$Y$133,16,FALSE())</f>
        <v>N</v>
      </c>
      <c r="R82" s="0" t="n">
        <f aca="false">VLOOKUP(B82,Data_Bins!$A$2:$L$101,9,FALSE())</f>
        <v>0</v>
      </c>
      <c r="S82" s="0" t="n">
        <f aca="false">VLOOKUP(B82,Data_Bins!$A$2:$L$101,10,FALSE())</f>
        <v>0</v>
      </c>
      <c r="T82" s="0" t="str">
        <f aca="false">IF(AND(VLOOKUP(C82,Data_Candidates!$A$2:$Y$133,2,FALSE())&lt;=DATE(2025,1,31),VLOOKUP(C82,Data_Candidates!$A$2:$Y$133,3,FALSE())&gt;=DATE(2025,1,31),VLOOKUP(C82,Data_Candidates!$A$2:$Y$133,4,FALSE())="Y",VLOOKUP(C82,Data_Candidates!$A$2:$Y$133,5,FALSE())="NONE",VLOOKUP(C82,Data_Candidates!$A$2:$Y$133,25,FALSE())="Y"),"ELIGIBLE","INELIGIBLE")</f>
        <v>ELIGIBLE</v>
      </c>
      <c r="U82" s="0" t="str">
        <f aca="false">IF(AND(J82="OK",M82="OK",T82="ELIGIBLE",OR(O82="NONE",P82=O82),OR(Q82="N",AND(Q82="Y",R82="QTRACE",S82&gt;=DATE(2025,1,31))),OR(VLOOKUP(C82,Data_Candidates!$A$2:$Y$133,17,FALSE())="N",N82="L1")),"CLEAR","VIOLATION")</f>
        <v>CLEAR</v>
      </c>
      <c r="V82" s="0" t="str">
        <f aca="false">D83</f>
        <v>D</v>
      </c>
      <c r="W82" s="4" t="n">
        <f aca="false">IF(V82="",0,IF(D82=V82,0,1))</f>
        <v>0</v>
      </c>
    </row>
    <row r="83" customFormat="false" ht="15" hidden="false" customHeight="false" outlineLevel="0" collapsed="false">
      <c r="A83" s="0" t="n">
        <v>79</v>
      </c>
      <c r="B83" s="0" t="s">
        <v>181</v>
      </c>
      <c r="C83" s="0" t="s">
        <v>182</v>
      </c>
      <c r="D83" s="0" t="str">
        <f aca="false">VLOOKUP(C83,Data_Candidates!$A$2:$Y$133,14,FALSE())</f>
        <v>D</v>
      </c>
      <c r="E83" s="0" t="str">
        <f aca="false">VLOOKUP(C83,Data_Candidates!$A$2:$Y$133,22,FALSE())</f>
        <v>C01</v>
      </c>
      <c r="F83" s="4" t="n">
        <f aca="false">VLOOKUP(C83,Data_Candidates!$A$2:$Y$133,13,FALSE())</f>
        <v>4</v>
      </c>
      <c r="G83" s="4" t="n">
        <f aca="false">VLOOKUP(C83,Data_Candidates!$A$2:$Y$133,8,FALSE())</f>
        <v>1.2</v>
      </c>
      <c r="H83" s="4" t="n">
        <f aca="false">F83*G83</f>
        <v>4.8</v>
      </c>
      <c r="I83" s="4" t="n">
        <f aca="false">VLOOKUP(B83,Data_Bins!$A$2:$L$101,5,FALSE())</f>
        <v>100</v>
      </c>
      <c r="J83" s="0" t="str">
        <f aca="false">IF(H83&lt;=I83,"OK","WEIGHT")</f>
        <v>OK</v>
      </c>
      <c r="K83" s="0" t="n">
        <f aca="false">F83*VLOOKUP(C83,Data_Candidates!$A$2:$Y$133,9,FALSE())/0.7</f>
        <v>0.00571428571428572</v>
      </c>
      <c r="L83" s="0" t="n">
        <f aca="false">VLOOKUP(B83,Data_Bins!$A$2:$L$101,4,FALSE())</f>
        <v>0.02</v>
      </c>
      <c r="M83" s="0" t="str">
        <f aca="false">IF(K83&lt;=L83,"OK","CUBE")</f>
        <v>OK</v>
      </c>
      <c r="N83" s="0" t="str">
        <f aca="false">VLOOKUP(B83,Data_Bins!$A$2:$L$101,6,FALSE())</f>
        <v>L2</v>
      </c>
      <c r="O83" s="0" t="str">
        <f aca="false">VLOOKUP(C83,Data_Candidates!$A$2:$Y$133,15,FALSE())</f>
        <v>NONE</v>
      </c>
      <c r="P83" s="0" t="str">
        <f aca="false">VLOOKUP(B83,Data_Bins!$A$2:$L$101,8,FALSE())</f>
        <v>NONE</v>
      </c>
      <c r="Q83" s="0" t="str">
        <f aca="false">VLOOKUP(C83,Data_Candidates!$A$2:$Y$133,16,FALSE())</f>
        <v>N</v>
      </c>
      <c r="R83" s="0" t="n">
        <f aca="false">VLOOKUP(B83,Data_Bins!$A$2:$L$101,9,FALSE())</f>
        <v>0</v>
      </c>
      <c r="S83" s="0" t="n">
        <f aca="false">VLOOKUP(B83,Data_Bins!$A$2:$L$101,10,FALSE())</f>
        <v>0</v>
      </c>
      <c r="T83" s="0" t="str">
        <f aca="false">IF(AND(VLOOKUP(C83,Data_Candidates!$A$2:$Y$133,2,FALSE())&lt;=DATE(2025,1,31),VLOOKUP(C83,Data_Candidates!$A$2:$Y$133,3,FALSE())&gt;=DATE(2025,1,31),VLOOKUP(C83,Data_Candidates!$A$2:$Y$133,4,FALSE())="Y",VLOOKUP(C83,Data_Candidates!$A$2:$Y$133,5,FALSE())="NONE",VLOOKUP(C83,Data_Candidates!$A$2:$Y$133,25,FALSE())="Y"),"ELIGIBLE","INELIGIBLE")</f>
        <v>ELIGIBLE</v>
      </c>
      <c r="U83" s="0" t="str">
        <f aca="false">IF(AND(J83="OK",M83="OK",T83="ELIGIBLE",OR(O83="NONE",P83=O83),OR(Q83="N",AND(Q83="Y",R83="QTRACE",S83&gt;=DATE(2025,1,31))),OR(VLOOKUP(C83,Data_Candidates!$A$2:$Y$133,17,FALSE())="N",N83="L1")),"CLEAR","VIOLATION")</f>
        <v>CLEAR</v>
      </c>
      <c r="V83" s="0" t="str">
        <f aca="false">D84</f>
        <v>D</v>
      </c>
      <c r="W83" s="4" t="n">
        <f aca="false">IF(V83="",0,IF(D83=V83,0,1))</f>
        <v>0</v>
      </c>
    </row>
    <row r="84" customFormat="false" ht="15" hidden="false" customHeight="false" outlineLevel="0" collapsed="false">
      <c r="A84" s="0" t="n">
        <v>80</v>
      </c>
      <c r="B84" s="0" t="s">
        <v>183</v>
      </c>
      <c r="C84" s="0" t="s">
        <v>184</v>
      </c>
      <c r="D84" s="0" t="str">
        <f aca="false">VLOOKUP(C84,Data_Candidates!$A$2:$Y$133,14,FALSE())</f>
        <v>D</v>
      </c>
      <c r="E84" s="0" t="str">
        <f aca="false">VLOOKUP(C84,Data_Candidates!$A$2:$Y$133,22,FALSE())</f>
        <v>C01</v>
      </c>
      <c r="F84" s="4" t="n">
        <f aca="false">VLOOKUP(C84,Data_Candidates!$A$2:$Y$133,13,FALSE())</f>
        <v>4</v>
      </c>
      <c r="G84" s="4" t="n">
        <f aca="false">VLOOKUP(C84,Data_Candidates!$A$2:$Y$133,8,FALSE())</f>
        <v>1.2</v>
      </c>
      <c r="H84" s="4" t="n">
        <f aca="false">F84*G84</f>
        <v>4.8</v>
      </c>
      <c r="I84" s="4" t="n">
        <f aca="false">VLOOKUP(B84,Data_Bins!$A$2:$L$101,5,FALSE())</f>
        <v>100</v>
      </c>
      <c r="J84" s="0" t="str">
        <f aca="false">IF(H84&lt;=I84,"OK","WEIGHT")</f>
        <v>OK</v>
      </c>
      <c r="K84" s="0" t="n">
        <f aca="false">F84*VLOOKUP(C84,Data_Candidates!$A$2:$Y$133,9,FALSE())/0.7</f>
        <v>0.00571428571428572</v>
      </c>
      <c r="L84" s="0" t="n">
        <f aca="false">VLOOKUP(B84,Data_Bins!$A$2:$L$101,4,FALSE())</f>
        <v>0.02</v>
      </c>
      <c r="M84" s="0" t="str">
        <f aca="false">IF(K84&lt;=L84,"OK","CUBE")</f>
        <v>OK</v>
      </c>
      <c r="N84" s="0" t="str">
        <f aca="false">VLOOKUP(B84,Data_Bins!$A$2:$L$101,6,FALSE())</f>
        <v>L2</v>
      </c>
      <c r="O84" s="0" t="str">
        <f aca="false">VLOOKUP(C84,Data_Candidates!$A$2:$Y$133,15,FALSE())</f>
        <v>NONE</v>
      </c>
      <c r="P84" s="0" t="str">
        <f aca="false">VLOOKUP(B84,Data_Bins!$A$2:$L$101,8,FALSE())</f>
        <v>NONE</v>
      </c>
      <c r="Q84" s="0" t="str">
        <f aca="false">VLOOKUP(C84,Data_Candidates!$A$2:$Y$133,16,FALSE())</f>
        <v>N</v>
      </c>
      <c r="R84" s="0" t="n">
        <f aca="false">VLOOKUP(B84,Data_Bins!$A$2:$L$101,9,FALSE())</f>
        <v>0</v>
      </c>
      <c r="S84" s="0" t="n">
        <f aca="false">VLOOKUP(B84,Data_Bins!$A$2:$L$101,10,FALSE())</f>
        <v>0</v>
      </c>
      <c r="T84" s="0" t="str">
        <f aca="false">IF(AND(VLOOKUP(C84,Data_Candidates!$A$2:$Y$133,2,FALSE())&lt;=DATE(2025,1,31),VLOOKUP(C84,Data_Candidates!$A$2:$Y$133,3,FALSE())&gt;=DATE(2025,1,31),VLOOKUP(C84,Data_Candidates!$A$2:$Y$133,4,FALSE())="Y",VLOOKUP(C84,Data_Candidates!$A$2:$Y$133,5,FALSE())="NONE",VLOOKUP(C84,Data_Candidates!$A$2:$Y$133,25,FALSE())="Y"),"ELIGIBLE","INELIGIBLE")</f>
        <v>ELIGIBLE</v>
      </c>
      <c r="U84" s="0" t="str">
        <f aca="false">IF(AND(J84="OK",M84="OK",T84="ELIGIBLE",OR(O84="NONE",P84=O84),OR(Q84="N",AND(Q84="Y",R84="QTRACE",S84&gt;=DATE(2025,1,31))),OR(VLOOKUP(C84,Data_Candidates!$A$2:$Y$133,17,FALSE())="N",N84="L1")),"CLEAR","VIOLATION")</f>
        <v>CLEAR</v>
      </c>
      <c r="V84" s="0" t="str">
        <f aca="false">D85</f>
        <v>D</v>
      </c>
      <c r="W84" s="4" t="n">
        <f aca="false">IF(V84="",0,IF(D84=V84,0,1))</f>
        <v>0</v>
      </c>
    </row>
    <row r="85" customFormat="false" ht="15" hidden="false" customHeight="false" outlineLevel="0" collapsed="false">
      <c r="A85" s="0" t="n">
        <v>81</v>
      </c>
      <c r="B85" s="0" t="s">
        <v>185</v>
      </c>
      <c r="C85" s="0" t="s">
        <v>186</v>
      </c>
      <c r="D85" s="0" t="str">
        <f aca="false">VLOOKUP(C85,Data_Candidates!$A$2:$Y$133,14,FALSE())</f>
        <v>D</v>
      </c>
      <c r="E85" s="0" t="str">
        <f aca="false">VLOOKUP(C85,Data_Candidates!$A$2:$Y$133,22,FALSE())</f>
        <v>C01</v>
      </c>
      <c r="F85" s="4" t="n">
        <f aca="false">VLOOKUP(C85,Data_Candidates!$A$2:$Y$133,13,FALSE())</f>
        <v>4</v>
      </c>
      <c r="G85" s="4" t="n">
        <f aca="false">VLOOKUP(C85,Data_Candidates!$A$2:$Y$133,8,FALSE())</f>
        <v>1.2</v>
      </c>
      <c r="H85" s="4" t="n">
        <f aca="false">F85*G85</f>
        <v>4.8</v>
      </c>
      <c r="I85" s="4" t="n">
        <f aca="false">VLOOKUP(B85,Data_Bins!$A$2:$L$101,5,FALSE())</f>
        <v>100</v>
      </c>
      <c r="J85" s="0" t="str">
        <f aca="false">IF(H85&lt;=I85,"OK","WEIGHT")</f>
        <v>OK</v>
      </c>
      <c r="K85" s="0" t="n">
        <f aca="false">F85*VLOOKUP(C85,Data_Candidates!$A$2:$Y$133,9,FALSE())/0.7</f>
        <v>0.00571428571428572</v>
      </c>
      <c r="L85" s="0" t="n">
        <f aca="false">VLOOKUP(B85,Data_Bins!$A$2:$L$101,4,FALSE())</f>
        <v>0.02</v>
      </c>
      <c r="M85" s="0" t="str">
        <f aca="false">IF(K85&lt;=L85,"OK","CUBE")</f>
        <v>OK</v>
      </c>
      <c r="N85" s="0" t="str">
        <f aca="false">VLOOKUP(B85,Data_Bins!$A$2:$L$101,6,FALSE())</f>
        <v>L2</v>
      </c>
      <c r="O85" s="0" t="str">
        <f aca="false">VLOOKUP(C85,Data_Candidates!$A$2:$Y$133,15,FALSE())</f>
        <v>NONE</v>
      </c>
      <c r="P85" s="0" t="str">
        <f aca="false">VLOOKUP(B85,Data_Bins!$A$2:$L$101,8,FALSE())</f>
        <v>NONE</v>
      </c>
      <c r="Q85" s="0" t="str">
        <f aca="false">VLOOKUP(C85,Data_Candidates!$A$2:$Y$133,16,FALSE())</f>
        <v>N</v>
      </c>
      <c r="R85" s="0" t="n">
        <f aca="false">VLOOKUP(B85,Data_Bins!$A$2:$L$101,9,FALSE())</f>
        <v>0</v>
      </c>
      <c r="S85" s="0" t="n">
        <f aca="false">VLOOKUP(B85,Data_Bins!$A$2:$L$101,10,FALSE())</f>
        <v>0</v>
      </c>
      <c r="T85" s="0" t="str">
        <f aca="false">IF(AND(VLOOKUP(C85,Data_Candidates!$A$2:$Y$133,2,FALSE())&lt;=DATE(2025,1,31),VLOOKUP(C85,Data_Candidates!$A$2:$Y$133,3,FALSE())&gt;=DATE(2025,1,31),VLOOKUP(C85,Data_Candidates!$A$2:$Y$133,4,FALSE())="Y",VLOOKUP(C85,Data_Candidates!$A$2:$Y$133,5,FALSE())="NONE",VLOOKUP(C85,Data_Candidates!$A$2:$Y$133,25,FALSE())="Y"),"ELIGIBLE","INELIGIBLE")</f>
        <v>ELIGIBLE</v>
      </c>
      <c r="U85" s="0" t="str">
        <f aca="false">IF(AND(J85="OK",M85="OK",T85="ELIGIBLE",OR(O85="NONE",P85=O85),OR(Q85="N",AND(Q85="Y",R85="QTRACE",S85&gt;=DATE(2025,1,31))),OR(VLOOKUP(C85,Data_Candidates!$A$2:$Y$133,17,FALSE())="N",N85="L1")),"CLEAR","VIOLATION")</f>
        <v>CLEAR</v>
      </c>
      <c r="V85" s="0" t="str">
        <f aca="false">D86</f>
        <v>D</v>
      </c>
      <c r="W85" s="4" t="n">
        <f aca="false">IF(V85="",0,IF(D85=V85,0,1))</f>
        <v>0</v>
      </c>
    </row>
    <row r="86" customFormat="false" ht="15" hidden="false" customHeight="false" outlineLevel="0" collapsed="false">
      <c r="A86" s="0" t="n">
        <v>82</v>
      </c>
      <c r="B86" s="0" t="s">
        <v>187</v>
      </c>
      <c r="C86" s="0" t="s">
        <v>188</v>
      </c>
      <c r="D86" s="0" t="str">
        <f aca="false">VLOOKUP(C86,Data_Candidates!$A$2:$Y$133,14,FALSE())</f>
        <v>D</v>
      </c>
      <c r="E86" s="0" t="str">
        <f aca="false">VLOOKUP(C86,Data_Candidates!$A$2:$Y$133,22,FALSE())</f>
        <v>C01</v>
      </c>
      <c r="F86" s="4" t="n">
        <f aca="false">VLOOKUP(C86,Data_Candidates!$A$2:$Y$133,13,FALSE())</f>
        <v>4</v>
      </c>
      <c r="G86" s="4" t="n">
        <f aca="false">VLOOKUP(C86,Data_Candidates!$A$2:$Y$133,8,FALSE())</f>
        <v>1.2</v>
      </c>
      <c r="H86" s="4" t="n">
        <f aca="false">F86*G86</f>
        <v>4.8</v>
      </c>
      <c r="I86" s="4" t="n">
        <f aca="false">VLOOKUP(B86,Data_Bins!$A$2:$L$101,5,FALSE())</f>
        <v>100</v>
      </c>
      <c r="J86" s="0" t="str">
        <f aca="false">IF(H86&lt;=I86,"OK","WEIGHT")</f>
        <v>OK</v>
      </c>
      <c r="K86" s="0" t="n">
        <f aca="false">F86*VLOOKUP(C86,Data_Candidates!$A$2:$Y$133,9,FALSE())/0.7</f>
        <v>0.00571428571428572</v>
      </c>
      <c r="L86" s="0" t="n">
        <f aca="false">VLOOKUP(B86,Data_Bins!$A$2:$L$101,4,FALSE())</f>
        <v>0.02</v>
      </c>
      <c r="M86" s="0" t="str">
        <f aca="false">IF(K86&lt;=L86,"OK","CUBE")</f>
        <v>OK</v>
      </c>
      <c r="N86" s="0" t="str">
        <f aca="false">VLOOKUP(B86,Data_Bins!$A$2:$L$101,6,FALSE())</f>
        <v>L2</v>
      </c>
      <c r="O86" s="0" t="str">
        <f aca="false">VLOOKUP(C86,Data_Candidates!$A$2:$Y$133,15,FALSE())</f>
        <v>NONE</v>
      </c>
      <c r="P86" s="0" t="str">
        <f aca="false">VLOOKUP(B86,Data_Bins!$A$2:$L$101,8,FALSE())</f>
        <v>NONE</v>
      </c>
      <c r="Q86" s="0" t="str">
        <f aca="false">VLOOKUP(C86,Data_Candidates!$A$2:$Y$133,16,FALSE())</f>
        <v>N</v>
      </c>
      <c r="R86" s="0" t="n">
        <f aca="false">VLOOKUP(B86,Data_Bins!$A$2:$L$101,9,FALSE())</f>
        <v>0</v>
      </c>
      <c r="S86" s="0" t="n">
        <f aca="false">VLOOKUP(B86,Data_Bins!$A$2:$L$101,10,FALSE())</f>
        <v>0</v>
      </c>
      <c r="T86" s="0" t="str">
        <f aca="false">IF(AND(VLOOKUP(C86,Data_Candidates!$A$2:$Y$133,2,FALSE())&lt;=DATE(2025,1,31),VLOOKUP(C86,Data_Candidates!$A$2:$Y$133,3,FALSE())&gt;=DATE(2025,1,31),VLOOKUP(C86,Data_Candidates!$A$2:$Y$133,4,FALSE())="Y",VLOOKUP(C86,Data_Candidates!$A$2:$Y$133,5,FALSE())="NONE",VLOOKUP(C86,Data_Candidates!$A$2:$Y$133,25,FALSE())="Y"),"ELIGIBLE","INELIGIBLE")</f>
        <v>ELIGIBLE</v>
      </c>
      <c r="U86" s="0" t="str">
        <f aca="false">IF(AND(J86="OK",M86="OK",T86="ELIGIBLE",OR(O86="NONE",P86=O86),OR(Q86="N",AND(Q86="Y",R86="QTRACE",S86&gt;=DATE(2025,1,31))),OR(VLOOKUP(C86,Data_Candidates!$A$2:$Y$133,17,FALSE())="N",N86="L1")),"CLEAR","VIOLATION")</f>
        <v>CLEAR</v>
      </c>
      <c r="V86" s="0" t="str">
        <f aca="false">D87</f>
        <v>D</v>
      </c>
      <c r="W86" s="4" t="n">
        <f aca="false">IF(V86="",0,IF(D86=V86,0,1))</f>
        <v>0</v>
      </c>
    </row>
    <row r="87" customFormat="false" ht="15" hidden="false" customHeight="false" outlineLevel="0" collapsed="false">
      <c r="A87" s="0" t="n">
        <v>83</v>
      </c>
      <c r="B87" s="0" t="s">
        <v>189</v>
      </c>
      <c r="C87" s="0" t="s">
        <v>190</v>
      </c>
      <c r="D87" s="0" t="str">
        <f aca="false">VLOOKUP(C87,Data_Candidates!$A$2:$Y$133,14,FALSE())</f>
        <v>D</v>
      </c>
      <c r="E87" s="0" t="str">
        <f aca="false">VLOOKUP(C87,Data_Candidates!$A$2:$Y$133,22,FALSE())</f>
        <v>C01</v>
      </c>
      <c r="F87" s="4" t="n">
        <f aca="false">VLOOKUP(C87,Data_Candidates!$A$2:$Y$133,13,FALSE())</f>
        <v>4</v>
      </c>
      <c r="G87" s="4" t="n">
        <f aca="false">VLOOKUP(C87,Data_Candidates!$A$2:$Y$133,8,FALSE())</f>
        <v>1.2</v>
      </c>
      <c r="H87" s="4" t="n">
        <f aca="false">F87*G87</f>
        <v>4.8</v>
      </c>
      <c r="I87" s="4" t="n">
        <f aca="false">VLOOKUP(B87,Data_Bins!$A$2:$L$101,5,FALSE())</f>
        <v>100</v>
      </c>
      <c r="J87" s="0" t="str">
        <f aca="false">IF(H87&lt;=I87,"OK","WEIGHT")</f>
        <v>OK</v>
      </c>
      <c r="K87" s="0" t="n">
        <f aca="false">F87*VLOOKUP(C87,Data_Candidates!$A$2:$Y$133,9,FALSE())/0.7</f>
        <v>0.00571428571428572</v>
      </c>
      <c r="L87" s="0" t="n">
        <f aca="false">VLOOKUP(B87,Data_Bins!$A$2:$L$101,4,FALSE())</f>
        <v>0.02</v>
      </c>
      <c r="M87" s="0" t="str">
        <f aca="false">IF(K87&lt;=L87,"OK","CUBE")</f>
        <v>OK</v>
      </c>
      <c r="N87" s="0" t="str">
        <f aca="false">VLOOKUP(B87,Data_Bins!$A$2:$L$101,6,FALSE())</f>
        <v>L2</v>
      </c>
      <c r="O87" s="0" t="str">
        <f aca="false">VLOOKUP(C87,Data_Candidates!$A$2:$Y$133,15,FALSE())</f>
        <v>NONE</v>
      </c>
      <c r="P87" s="0" t="str">
        <f aca="false">VLOOKUP(B87,Data_Bins!$A$2:$L$101,8,FALSE())</f>
        <v>NONE</v>
      </c>
      <c r="Q87" s="0" t="str">
        <f aca="false">VLOOKUP(C87,Data_Candidates!$A$2:$Y$133,16,FALSE())</f>
        <v>N</v>
      </c>
      <c r="R87" s="0" t="n">
        <f aca="false">VLOOKUP(B87,Data_Bins!$A$2:$L$101,9,FALSE())</f>
        <v>0</v>
      </c>
      <c r="S87" s="0" t="n">
        <f aca="false">VLOOKUP(B87,Data_Bins!$A$2:$L$101,10,FALSE())</f>
        <v>0</v>
      </c>
      <c r="T87" s="0" t="str">
        <f aca="false">IF(AND(VLOOKUP(C87,Data_Candidates!$A$2:$Y$133,2,FALSE())&lt;=DATE(2025,1,31),VLOOKUP(C87,Data_Candidates!$A$2:$Y$133,3,FALSE())&gt;=DATE(2025,1,31),VLOOKUP(C87,Data_Candidates!$A$2:$Y$133,4,FALSE())="Y",VLOOKUP(C87,Data_Candidates!$A$2:$Y$133,5,FALSE())="NONE",VLOOKUP(C87,Data_Candidates!$A$2:$Y$133,25,FALSE())="Y"),"ELIGIBLE","INELIGIBLE")</f>
        <v>ELIGIBLE</v>
      </c>
      <c r="U87" s="0" t="str">
        <f aca="false">IF(AND(J87="OK",M87="OK",T87="ELIGIBLE",OR(O87="NONE",P87=O87),OR(Q87="N",AND(Q87="Y",R87="QTRACE",S87&gt;=DATE(2025,1,31))),OR(VLOOKUP(C87,Data_Candidates!$A$2:$Y$133,17,FALSE())="N",N87="L1")),"CLEAR","VIOLATION")</f>
        <v>CLEAR</v>
      </c>
      <c r="V87" s="0" t="str">
        <f aca="false">D88</f>
        <v>D</v>
      </c>
      <c r="W87" s="4" t="n">
        <f aca="false">IF(V87="",0,IF(D87=V87,0,1))</f>
        <v>0</v>
      </c>
    </row>
    <row r="88" customFormat="false" ht="15" hidden="false" customHeight="false" outlineLevel="0" collapsed="false">
      <c r="A88" s="0" t="n">
        <v>84</v>
      </c>
      <c r="B88" s="0" t="s">
        <v>191</v>
      </c>
      <c r="C88" s="0" t="s">
        <v>192</v>
      </c>
      <c r="D88" s="0" t="str">
        <f aca="false">VLOOKUP(C88,Data_Candidates!$A$2:$Y$133,14,FALSE())</f>
        <v>D</v>
      </c>
      <c r="E88" s="0" t="str">
        <f aca="false">VLOOKUP(C88,Data_Candidates!$A$2:$Y$133,22,FALSE())</f>
        <v>C01</v>
      </c>
      <c r="F88" s="4" t="n">
        <f aca="false">VLOOKUP(C88,Data_Candidates!$A$2:$Y$133,13,FALSE())</f>
        <v>4</v>
      </c>
      <c r="G88" s="4" t="n">
        <f aca="false">VLOOKUP(C88,Data_Candidates!$A$2:$Y$133,8,FALSE())</f>
        <v>1.2</v>
      </c>
      <c r="H88" s="4" t="n">
        <f aca="false">F88*G88</f>
        <v>4.8</v>
      </c>
      <c r="I88" s="4" t="n">
        <f aca="false">VLOOKUP(B88,Data_Bins!$A$2:$L$101,5,FALSE())</f>
        <v>100</v>
      </c>
      <c r="J88" s="0" t="str">
        <f aca="false">IF(H88&lt;=I88,"OK","WEIGHT")</f>
        <v>OK</v>
      </c>
      <c r="K88" s="0" t="n">
        <f aca="false">F88*VLOOKUP(C88,Data_Candidates!$A$2:$Y$133,9,FALSE())/0.7</f>
        <v>0.00571428571428572</v>
      </c>
      <c r="L88" s="0" t="n">
        <f aca="false">VLOOKUP(B88,Data_Bins!$A$2:$L$101,4,FALSE())</f>
        <v>0.02</v>
      </c>
      <c r="M88" s="0" t="str">
        <f aca="false">IF(K88&lt;=L88,"OK","CUBE")</f>
        <v>OK</v>
      </c>
      <c r="N88" s="0" t="str">
        <f aca="false">VLOOKUP(B88,Data_Bins!$A$2:$L$101,6,FALSE())</f>
        <v>L2</v>
      </c>
      <c r="O88" s="0" t="str">
        <f aca="false">VLOOKUP(C88,Data_Candidates!$A$2:$Y$133,15,FALSE())</f>
        <v>NONE</v>
      </c>
      <c r="P88" s="0" t="str">
        <f aca="false">VLOOKUP(B88,Data_Bins!$A$2:$L$101,8,FALSE())</f>
        <v>NONE</v>
      </c>
      <c r="Q88" s="0" t="str">
        <f aca="false">VLOOKUP(C88,Data_Candidates!$A$2:$Y$133,16,FALSE())</f>
        <v>N</v>
      </c>
      <c r="R88" s="0" t="n">
        <f aca="false">VLOOKUP(B88,Data_Bins!$A$2:$L$101,9,FALSE())</f>
        <v>0</v>
      </c>
      <c r="S88" s="0" t="n">
        <f aca="false">VLOOKUP(B88,Data_Bins!$A$2:$L$101,10,FALSE())</f>
        <v>0</v>
      </c>
      <c r="T88" s="0" t="str">
        <f aca="false">IF(AND(VLOOKUP(C88,Data_Candidates!$A$2:$Y$133,2,FALSE())&lt;=DATE(2025,1,31),VLOOKUP(C88,Data_Candidates!$A$2:$Y$133,3,FALSE())&gt;=DATE(2025,1,31),VLOOKUP(C88,Data_Candidates!$A$2:$Y$133,4,FALSE())="Y",VLOOKUP(C88,Data_Candidates!$A$2:$Y$133,5,FALSE())="NONE",VLOOKUP(C88,Data_Candidates!$A$2:$Y$133,25,FALSE())="Y"),"ELIGIBLE","INELIGIBLE")</f>
        <v>ELIGIBLE</v>
      </c>
      <c r="U88" s="0" t="str">
        <f aca="false">IF(AND(J88="OK",M88="OK",T88="ELIGIBLE",OR(O88="NONE",P88=O88),OR(Q88="N",AND(Q88="Y",R88="QTRACE",S88&gt;=DATE(2025,1,31))),OR(VLOOKUP(C88,Data_Candidates!$A$2:$Y$133,17,FALSE())="N",N88="L1")),"CLEAR","VIOLATION")</f>
        <v>CLEAR</v>
      </c>
      <c r="V88" s="0" t="str">
        <f aca="false">D89</f>
        <v>D</v>
      </c>
      <c r="W88" s="4" t="n">
        <f aca="false">IF(V88="",0,IF(D88=V88,0,1))</f>
        <v>0</v>
      </c>
    </row>
    <row r="89" customFormat="false" ht="15" hidden="false" customHeight="false" outlineLevel="0" collapsed="false">
      <c r="A89" s="0" t="n">
        <v>85</v>
      </c>
      <c r="B89" s="0" t="s">
        <v>193</v>
      </c>
      <c r="C89" s="0" t="s">
        <v>194</v>
      </c>
      <c r="D89" s="0" t="str">
        <f aca="false">VLOOKUP(C89,Data_Candidates!$A$2:$Y$133,14,FALSE())</f>
        <v>D</v>
      </c>
      <c r="E89" s="0" t="str">
        <f aca="false">VLOOKUP(C89,Data_Candidates!$A$2:$Y$133,22,FALSE())</f>
        <v>C01</v>
      </c>
      <c r="F89" s="4" t="n">
        <f aca="false">VLOOKUP(C89,Data_Candidates!$A$2:$Y$133,13,FALSE())</f>
        <v>4</v>
      </c>
      <c r="G89" s="4" t="n">
        <f aca="false">VLOOKUP(C89,Data_Candidates!$A$2:$Y$133,8,FALSE())</f>
        <v>1.2</v>
      </c>
      <c r="H89" s="4" t="n">
        <f aca="false">F89*G89</f>
        <v>4.8</v>
      </c>
      <c r="I89" s="4" t="n">
        <f aca="false">VLOOKUP(B89,Data_Bins!$A$2:$L$101,5,FALSE())</f>
        <v>100</v>
      </c>
      <c r="J89" s="0" t="str">
        <f aca="false">IF(H89&lt;=I89,"OK","WEIGHT")</f>
        <v>OK</v>
      </c>
      <c r="K89" s="0" t="n">
        <f aca="false">F89*VLOOKUP(C89,Data_Candidates!$A$2:$Y$133,9,FALSE())/0.7</f>
        <v>0.00571428571428572</v>
      </c>
      <c r="L89" s="0" t="n">
        <f aca="false">VLOOKUP(B89,Data_Bins!$A$2:$L$101,4,FALSE())</f>
        <v>0.02</v>
      </c>
      <c r="M89" s="0" t="str">
        <f aca="false">IF(K89&lt;=L89,"OK","CUBE")</f>
        <v>OK</v>
      </c>
      <c r="N89" s="0" t="str">
        <f aca="false">VLOOKUP(B89,Data_Bins!$A$2:$L$101,6,FALSE())</f>
        <v>L2</v>
      </c>
      <c r="O89" s="0" t="str">
        <f aca="false">VLOOKUP(C89,Data_Candidates!$A$2:$Y$133,15,FALSE())</f>
        <v>NONE</v>
      </c>
      <c r="P89" s="0" t="str">
        <f aca="false">VLOOKUP(B89,Data_Bins!$A$2:$L$101,8,FALSE())</f>
        <v>NONE</v>
      </c>
      <c r="Q89" s="0" t="str">
        <f aca="false">VLOOKUP(C89,Data_Candidates!$A$2:$Y$133,16,FALSE())</f>
        <v>N</v>
      </c>
      <c r="R89" s="0" t="n">
        <f aca="false">VLOOKUP(B89,Data_Bins!$A$2:$L$101,9,FALSE())</f>
        <v>0</v>
      </c>
      <c r="S89" s="0" t="n">
        <f aca="false">VLOOKUP(B89,Data_Bins!$A$2:$L$101,10,FALSE())</f>
        <v>0</v>
      </c>
      <c r="T89" s="0" t="str">
        <f aca="false">IF(AND(VLOOKUP(C89,Data_Candidates!$A$2:$Y$133,2,FALSE())&lt;=DATE(2025,1,31),VLOOKUP(C89,Data_Candidates!$A$2:$Y$133,3,FALSE())&gt;=DATE(2025,1,31),VLOOKUP(C89,Data_Candidates!$A$2:$Y$133,4,FALSE())="Y",VLOOKUP(C89,Data_Candidates!$A$2:$Y$133,5,FALSE())="NONE",VLOOKUP(C89,Data_Candidates!$A$2:$Y$133,25,FALSE())="Y"),"ELIGIBLE","INELIGIBLE")</f>
        <v>ELIGIBLE</v>
      </c>
      <c r="U89" s="0" t="str">
        <f aca="false">IF(AND(J89="OK",M89="OK",T89="ELIGIBLE",OR(O89="NONE",P89=O89),OR(Q89="N",AND(Q89="Y",R89="QTRACE",S89&gt;=DATE(2025,1,31))),OR(VLOOKUP(C89,Data_Candidates!$A$2:$Y$133,17,FALSE())="N",N89="L1")),"CLEAR","VIOLATION")</f>
        <v>CLEAR</v>
      </c>
      <c r="V89" s="0" t="str">
        <f aca="false">D90</f>
        <v>D</v>
      </c>
      <c r="W89" s="4" t="n">
        <f aca="false">IF(V89="",0,IF(D89=V89,0,1))</f>
        <v>0</v>
      </c>
    </row>
    <row r="90" customFormat="false" ht="15" hidden="false" customHeight="false" outlineLevel="0" collapsed="false">
      <c r="A90" s="0" t="n">
        <v>86</v>
      </c>
      <c r="B90" s="0" t="s">
        <v>195</v>
      </c>
      <c r="C90" s="0" t="s">
        <v>196</v>
      </c>
      <c r="D90" s="0" t="str">
        <f aca="false">VLOOKUP(C90,Data_Candidates!$A$2:$Y$133,14,FALSE())</f>
        <v>D</v>
      </c>
      <c r="E90" s="0" t="str">
        <f aca="false">VLOOKUP(C90,Data_Candidates!$A$2:$Y$133,22,FALSE())</f>
        <v>C01</v>
      </c>
      <c r="F90" s="4" t="n">
        <f aca="false">VLOOKUP(C90,Data_Candidates!$A$2:$Y$133,13,FALSE())</f>
        <v>4</v>
      </c>
      <c r="G90" s="4" t="n">
        <f aca="false">VLOOKUP(C90,Data_Candidates!$A$2:$Y$133,8,FALSE())</f>
        <v>1.2</v>
      </c>
      <c r="H90" s="4" t="n">
        <f aca="false">F90*G90</f>
        <v>4.8</v>
      </c>
      <c r="I90" s="4" t="n">
        <f aca="false">VLOOKUP(B90,Data_Bins!$A$2:$L$101,5,FALSE())</f>
        <v>100</v>
      </c>
      <c r="J90" s="0" t="str">
        <f aca="false">IF(H90&lt;=I90,"OK","WEIGHT")</f>
        <v>OK</v>
      </c>
      <c r="K90" s="0" t="n">
        <f aca="false">F90*VLOOKUP(C90,Data_Candidates!$A$2:$Y$133,9,FALSE())/0.7</f>
        <v>0.00571428571428572</v>
      </c>
      <c r="L90" s="0" t="n">
        <f aca="false">VLOOKUP(B90,Data_Bins!$A$2:$L$101,4,FALSE())</f>
        <v>0.02</v>
      </c>
      <c r="M90" s="0" t="str">
        <f aca="false">IF(K90&lt;=L90,"OK","CUBE")</f>
        <v>OK</v>
      </c>
      <c r="N90" s="0" t="str">
        <f aca="false">VLOOKUP(B90,Data_Bins!$A$2:$L$101,6,FALSE())</f>
        <v>L2</v>
      </c>
      <c r="O90" s="0" t="str">
        <f aca="false">VLOOKUP(C90,Data_Candidates!$A$2:$Y$133,15,FALSE())</f>
        <v>NONE</v>
      </c>
      <c r="P90" s="0" t="str">
        <f aca="false">VLOOKUP(B90,Data_Bins!$A$2:$L$101,8,FALSE())</f>
        <v>NONE</v>
      </c>
      <c r="Q90" s="0" t="str">
        <f aca="false">VLOOKUP(C90,Data_Candidates!$A$2:$Y$133,16,FALSE())</f>
        <v>N</v>
      </c>
      <c r="R90" s="0" t="n">
        <f aca="false">VLOOKUP(B90,Data_Bins!$A$2:$L$101,9,FALSE())</f>
        <v>0</v>
      </c>
      <c r="S90" s="0" t="n">
        <f aca="false">VLOOKUP(B90,Data_Bins!$A$2:$L$101,10,FALSE())</f>
        <v>0</v>
      </c>
      <c r="T90" s="0" t="str">
        <f aca="false">IF(AND(VLOOKUP(C90,Data_Candidates!$A$2:$Y$133,2,FALSE())&lt;=DATE(2025,1,31),VLOOKUP(C90,Data_Candidates!$A$2:$Y$133,3,FALSE())&gt;=DATE(2025,1,31),VLOOKUP(C90,Data_Candidates!$A$2:$Y$133,4,FALSE())="Y",VLOOKUP(C90,Data_Candidates!$A$2:$Y$133,5,FALSE())="NONE",VLOOKUP(C90,Data_Candidates!$A$2:$Y$133,25,FALSE())="Y"),"ELIGIBLE","INELIGIBLE")</f>
        <v>ELIGIBLE</v>
      </c>
      <c r="U90" s="0" t="str">
        <f aca="false">IF(AND(J90="OK",M90="OK",T90="ELIGIBLE",OR(O90="NONE",P90=O90),OR(Q90="N",AND(Q90="Y",R90="QTRACE",S90&gt;=DATE(2025,1,31))),OR(VLOOKUP(C90,Data_Candidates!$A$2:$Y$133,17,FALSE())="N",N90="L1")),"CLEAR","VIOLATION")</f>
        <v>CLEAR</v>
      </c>
      <c r="V90" s="0" t="str">
        <f aca="false">D91</f>
        <v>D</v>
      </c>
      <c r="W90" s="4" t="n">
        <f aca="false">IF(V90="",0,IF(D90=V90,0,1))</f>
        <v>0</v>
      </c>
    </row>
    <row r="91" customFormat="false" ht="15" hidden="false" customHeight="false" outlineLevel="0" collapsed="false">
      <c r="A91" s="0" t="n">
        <v>87</v>
      </c>
      <c r="B91" s="0" t="s">
        <v>197</v>
      </c>
      <c r="C91" s="0" t="s">
        <v>198</v>
      </c>
      <c r="D91" s="0" t="str">
        <f aca="false">VLOOKUP(C91,Data_Candidates!$A$2:$Y$133,14,FALSE())</f>
        <v>D</v>
      </c>
      <c r="E91" s="0" t="str">
        <f aca="false">VLOOKUP(C91,Data_Candidates!$A$2:$Y$133,22,FALSE())</f>
        <v>C01</v>
      </c>
      <c r="F91" s="4" t="n">
        <f aca="false">VLOOKUP(C91,Data_Candidates!$A$2:$Y$133,13,FALSE())</f>
        <v>4</v>
      </c>
      <c r="G91" s="4" t="n">
        <f aca="false">VLOOKUP(C91,Data_Candidates!$A$2:$Y$133,8,FALSE())</f>
        <v>1.2</v>
      </c>
      <c r="H91" s="4" t="n">
        <f aca="false">F91*G91</f>
        <v>4.8</v>
      </c>
      <c r="I91" s="4" t="n">
        <f aca="false">VLOOKUP(B91,Data_Bins!$A$2:$L$101,5,FALSE())</f>
        <v>100</v>
      </c>
      <c r="J91" s="0" t="str">
        <f aca="false">IF(H91&lt;=I91,"OK","WEIGHT")</f>
        <v>OK</v>
      </c>
      <c r="K91" s="0" t="n">
        <f aca="false">F91*VLOOKUP(C91,Data_Candidates!$A$2:$Y$133,9,FALSE())/0.7</f>
        <v>0.00571428571428572</v>
      </c>
      <c r="L91" s="0" t="n">
        <f aca="false">VLOOKUP(B91,Data_Bins!$A$2:$L$101,4,FALSE())</f>
        <v>0.02</v>
      </c>
      <c r="M91" s="0" t="str">
        <f aca="false">IF(K91&lt;=L91,"OK","CUBE")</f>
        <v>OK</v>
      </c>
      <c r="N91" s="0" t="str">
        <f aca="false">VLOOKUP(B91,Data_Bins!$A$2:$L$101,6,FALSE())</f>
        <v>L2</v>
      </c>
      <c r="O91" s="0" t="str">
        <f aca="false">VLOOKUP(C91,Data_Candidates!$A$2:$Y$133,15,FALSE())</f>
        <v>NONE</v>
      </c>
      <c r="P91" s="0" t="str">
        <f aca="false">VLOOKUP(B91,Data_Bins!$A$2:$L$101,8,FALSE())</f>
        <v>NONE</v>
      </c>
      <c r="Q91" s="0" t="str">
        <f aca="false">VLOOKUP(C91,Data_Candidates!$A$2:$Y$133,16,FALSE())</f>
        <v>N</v>
      </c>
      <c r="R91" s="0" t="n">
        <f aca="false">VLOOKUP(B91,Data_Bins!$A$2:$L$101,9,FALSE())</f>
        <v>0</v>
      </c>
      <c r="S91" s="0" t="n">
        <f aca="false">VLOOKUP(B91,Data_Bins!$A$2:$L$101,10,FALSE())</f>
        <v>0</v>
      </c>
      <c r="T91" s="0" t="str">
        <f aca="false">IF(AND(VLOOKUP(C91,Data_Candidates!$A$2:$Y$133,2,FALSE())&lt;=DATE(2025,1,31),VLOOKUP(C91,Data_Candidates!$A$2:$Y$133,3,FALSE())&gt;=DATE(2025,1,31),VLOOKUP(C91,Data_Candidates!$A$2:$Y$133,4,FALSE())="Y",VLOOKUP(C91,Data_Candidates!$A$2:$Y$133,5,FALSE())="NONE",VLOOKUP(C91,Data_Candidates!$A$2:$Y$133,25,FALSE())="Y"),"ELIGIBLE","INELIGIBLE")</f>
        <v>ELIGIBLE</v>
      </c>
      <c r="U91" s="0" t="str">
        <f aca="false">IF(AND(J91="OK",M91="OK",T91="ELIGIBLE",OR(O91="NONE",P91=O91),OR(Q91="N",AND(Q91="Y",R91="QTRACE",S91&gt;=DATE(2025,1,31))),OR(VLOOKUP(C91,Data_Candidates!$A$2:$Y$133,17,FALSE())="N",N91="L1")),"CLEAR","VIOLATION")</f>
        <v>CLEAR</v>
      </c>
      <c r="V91" s="0" t="str">
        <f aca="false">D92</f>
        <v>D</v>
      </c>
      <c r="W91" s="4" t="n">
        <f aca="false">IF(V91="",0,IF(D91=V91,0,1))</f>
        <v>0</v>
      </c>
    </row>
    <row r="92" customFormat="false" ht="15" hidden="false" customHeight="false" outlineLevel="0" collapsed="false">
      <c r="A92" s="0" t="n">
        <v>88</v>
      </c>
      <c r="B92" s="0" t="s">
        <v>199</v>
      </c>
      <c r="C92" s="0" t="s">
        <v>200</v>
      </c>
      <c r="D92" s="0" t="str">
        <f aca="false">VLOOKUP(C92,Data_Candidates!$A$2:$Y$133,14,FALSE())</f>
        <v>D</v>
      </c>
      <c r="E92" s="0" t="str">
        <f aca="false">VLOOKUP(C92,Data_Candidates!$A$2:$Y$133,22,FALSE())</f>
        <v>C01</v>
      </c>
      <c r="F92" s="4" t="n">
        <f aca="false">VLOOKUP(C92,Data_Candidates!$A$2:$Y$133,13,FALSE())</f>
        <v>4</v>
      </c>
      <c r="G92" s="4" t="n">
        <f aca="false">VLOOKUP(C92,Data_Candidates!$A$2:$Y$133,8,FALSE())</f>
        <v>1.2</v>
      </c>
      <c r="H92" s="4" t="n">
        <f aca="false">F92*G92</f>
        <v>4.8</v>
      </c>
      <c r="I92" s="4" t="n">
        <f aca="false">VLOOKUP(B92,Data_Bins!$A$2:$L$101,5,FALSE())</f>
        <v>100</v>
      </c>
      <c r="J92" s="0" t="str">
        <f aca="false">IF(H92&lt;=I92,"OK","WEIGHT")</f>
        <v>OK</v>
      </c>
      <c r="K92" s="0" t="n">
        <f aca="false">F92*VLOOKUP(C92,Data_Candidates!$A$2:$Y$133,9,FALSE())/0.7</f>
        <v>0.00571428571428572</v>
      </c>
      <c r="L92" s="0" t="n">
        <f aca="false">VLOOKUP(B92,Data_Bins!$A$2:$L$101,4,FALSE())</f>
        <v>0.02</v>
      </c>
      <c r="M92" s="0" t="str">
        <f aca="false">IF(K92&lt;=L92,"OK","CUBE")</f>
        <v>OK</v>
      </c>
      <c r="N92" s="0" t="str">
        <f aca="false">VLOOKUP(B92,Data_Bins!$A$2:$L$101,6,FALSE())</f>
        <v>L2</v>
      </c>
      <c r="O92" s="0" t="str">
        <f aca="false">VLOOKUP(C92,Data_Candidates!$A$2:$Y$133,15,FALSE())</f>
        <v>NONE</v>
      </c>
      <c r="P92" s="0" t="str">
        <f aca="false">VLOOKUP(B92,Data_Bins!$A$2:$L$101,8,FALSE())</f>
        <v>NONE</v>
      </c>
      <c r="Q92" s="0" t="str">
        <f aca="false">VLOOKUP(C92,Data_Candidates!$A$2:$Y$133,16,FALSE())</f>
        <v>N</v>
      </c>
      <c r="R92" s="0" t="n">
        <f aca="false">VLOOKUP(B92,Data_Bins!$A$2:$L$101,9,FALSE())</f>
        <v>0</v>
      </c>
      <c r="S92" s="0" t="n">
        <f aca="false">VLOOKUP(B92,Data_Bins!$A$2:$L$101,10,FALSE())</f>
        <v>0</v>
      </c>
      <c r="T92" s="0" t="str">
        <f aca="false">IF(AND(VLOOKUP(C92,Data_Candidates!$A$2:$Y$133,2,FALSE())&lt;=DATE(2025,1,31),VLOOKUP(C92,Data_Candidates!$A$2:$Y$133,3,FALSE())&gt;=DATE(2025,1,31),VLOOKUP(C92,Data_Candidates!$A$2:$Y$133,4,FALSE())="Y",VLOOKUP(C92,Data_Candidates!$A$2:$Y$133,5,FALSE())="NONE",VLOOKUP(C92,Data_Candidates!$A$2:$Y$133,25,FALSE())="Y"),"ELIGIBLE","INELIGIBLE")</f>
        <v>ELIGIBLE</v>
      </c>
      <c r="U92" s="0" t="str">
        <f aca="false">IF(AND(J92="OK",M92="OK",T92="ELIGIBLE",OR(O92="NONE",P92=O92),OR(Q92="N",AND(Q92="Y",R92="QTRACE",S92&gt;=DATE(2025,1,31))),OR(VLOOKUP(C92,Data_Candidates!$A$2:$Y$133,17,FALSE())="N",N92="L1")),"CLEAR","VIOLATION")</f>
        <v>CLEAR</v>
      </c>
      <c r="V92" s="0" t="str">
        <f aca="false">D93</f>
        <v>D</v>
      </c>
      <c r="W92" s="4" t="n">
        <f aca="false">IF(V92="",0,IF(D92=V92,0,1))</f>
        <v>0</v>
      </c>
    </row>
    <row r="93" customFormat="false" ht="15" hidden="false" customHeight="false" outlineLevel="0" collapsed="false">
      <c r="A93" s="0" t="n">
        <v>89</v>
      </c>
      <c r="B93" s="0" t="s">
        <v>201</v>
      </c>
      <c r="C93" s="0" t="s">
        <v>202</v>
      </c>
      <c r="D93" s="0" t="str">
        <f aca="false">VLOOKUP(C93,Data_Candidates!$A$2:$Y$133,14,FALSE())</f>
        <v>D</v>
      </c>
      <c r="E93" s="0" t="str">
        <f aca="false">VLOOKUP(C93,Data_Candidates!$A$2:$Y$133,22,FALSE())</f>
        <v>C01</v>
      </c>
      <c r="F93" s="4" t="n">
        <f aca="false">VLOOKUP(C93,Data_Candidates!$A$2:$Y$133,13,FALSE())</f>
        <v>4</v>
      </c>
      <c r="G93" s="4" t="n">
        <f aca="false">VLOOKUP(C93,Data_Candidates!$A$2:$Y$133,8,FALSE())</f>
        <v>1.2</v>
      </c>
      <c r="H93" s="4" t="n">
        <f aca="false">F93*G93</f>
        <v>4.8</v>
      </c>
      <c r="I93" s="4" t="n">
        <f aca="false">VLOOKUP(B93,Data_Bins!$A$2:$L$101,5,FALSE())</f>
        <v>100</v>
      </c>
      <c r="J93" s="0" t="str">
        <f aca="false">IF(H93&lt;=I93,"OK","WEIGHT")</f>
        <v>OK</v>
      </c>
      <c r="K93" s="0" t="n">
        <f aca="false">F93*VLOOKUP(C93,Data_Candidates!$A$2:$Y$133,9,FALSE())/0.7</f>
        <v>0.00571428571428572</v>
      </c>
      <c r="L93" s="0" t="n">
        <f aca="false">VLOOKUP(B93,Data_Bins!$A$2:$L$101,4,FALSE())</f>
        <v>0.02</v>
      </c>
      <c r="M93" s="0" t="str">
        <f aca="false">IF(K93&lt;=L93,"OK","CUBE")</f>
        <v>OK</v>
      </c>
      <c r="N93" s="0" t="str">
        <f aca="false">VLOOKUP(B93,Data_Bins!$A$2:$L$101,6,FALSE())</f>
        <v>L2</v>
      </c>
      <c r="O93" s="0" t="str">
        <f aca="false">VLOOKUP(C93,Data_Candidates!$A$2:$Y$133,15,FALSE())</f>
        <v>NONE</v>
      </c>
      <c r="P93" s="0" t="str">
        <f aca="false">VLOOKUP(B93,Data_Bins!$A$2:$L$101,8,FALSE())</f>
        <v>NONE</v>
      </c>
      <c r="Q93" s="0" t="str">
        <f aca="false">VLOOKUP(C93,Data_Candidates!$A$2:$Y$133,16,FALSE())</f>
        <v>N</v>
      </c>
      <c r="R93" s="0" t="n">
        <f aca="false">VLOOKUP(B93,Data_Bins!$A$2:$L$101,9,FALSE())</f>
        <v>0</v>
      </c>
      <c r="S93" s="0" t="n">
        <f aca="false">VLOOKUP(B93,Data_Bins!$A$2:$L$101,10,FALSE())</f>
        <v>0</v>
      </c>
      <c r="T93" s="0" t="str">
        <f aca="false">IF(AND(VLOOKUP(C93,Data_Candidates!$A$2:$Y$133,2,FALSE())&lt;=DATE(2025,1,31),VLOOKUP(C93,Data_Candidates!$A$2:$Y$133,3,FALSE())&gt;=DATE(2025,1,31),VLOOKUP(C93,Data_Candidates!$A$2:$Y$133,4,FALSE())="Y",VLOOKUP(C93,Data_Candidates!$A$2:$Y$133,5,FALSE())="NONE",VLOOKUP(C93,Data_Candidates!$A$2:$Y$133,25,FALSE())="Y"),"ELIGIBLE","INELIGIBLE")</f>
        <v>ELIGIBLE</v>
      </c>
      <c r="U93" s="0" t="str">
        <f aca="false">IF(AND(J93="OK",M93="OK",T93="ELIGIBLE",OR(O93="NONE",P93=O93),OR(Q93="N",AND(Q93="Y",R93="QTRACE",S93&gt;=DATE(2025,1,31))),OR(VLOOKUP(C93,Data_Candidates!$A$2:$Y$133,17,FALSE())="N",N93="L1")),"CLEAR","VIOLATION")</f>
        <v>CLEAR</v>
      </c>
      <c r="V93" s="0" t="str">
        <f aca="false">D94</f>
        <v>D</v>
      </c>
      <c r="W93" s="4" t="n">
        <f aca="false">IF(V93="",0,IF(D93=V93,0,1))</f>
        <v>0</v>
      </c>
    </row>
    <row r="94" customFormat="false" ht="15" hidden="false" customHeight="false" outlineLevel="0" collapsed="false">
      <c r="A94" s="0" t="n">
        <v>90</v>
      </c>
      <c r="B94" s="0" t="s">
        <v>203</v>
      </c>
      <c r="C94" s="0" t="s">
        <v>204</v>
      </c>
      <c r="D94" s="0" t="str">
        <f aca="false">VLOOKUP(C94,Data_Candidates!$A$2:$Y$133,14,FALSE())</f>
        <v>D</v>
      </c>
      <c r="E94" s="0" t="str">
        <f aca="false">VLOOKUP(C94,Data_Candidates!$A$2:$Y$133,22,FALSE())</f>
        <v>C01</v>
      </c>
      <c r="F94" s="4" t="n">
        <f aca="false">VLOOKUP(C94,Data_Candidates!$A$2:$Y$133,13,FALSE())</f>
        <v>4</v>
      </c>
      <c r="G94" s="4" t="n">
        <f aca="false">VLOOKUP(C94,Data_Candidates!$A$2:$Y$133,8,FALSE())</f>
        <v>4</v>
      </c>
      <c r="H94" s="4" t="n">
        <f aca="false">F94*G94</f>
        <v>16</v>
      </c>
      <c r="I94" s="4" t="n">
        <f aca="false">VLOOKUP(B94,Data_Bins!$A$2:$L$101,5,FALSE())</f>
        <v>100</v>
      </c>
      <c r="J94" s="0" t="str">
        <f aca="false">IF(H94&lt;=I94,"OK","WEIGHT")</f>
        <v>OK</v>
      </c>
      <c r="K94" s="0" t="n">
        <f aca="false">F94*VLOOKUP(C94,Data_Candidates!$A$2:$Y$133,9,FALSE())/0.7</f>
        <v>0.00571428571428572</v>
      </c>
      <c r="L94" s="0" t="n">
        <f aca="false">VLOOKUP(B94,Data_Bins!$A$2:$L$101,4,FALSE())</f>
        <v>0.02</v>
      </c>
      <c r="M94" s="0" t="str">
        <f aca="false">IF(K94&lt;=L94,"OK","CUBE")</f>
        <v>OK</v>
      </c>
      <c r="N94" s="0" t="str">
        <f aca="false">VLOOKUP(B94,Data_Bins!$A$2:$L$101,6,FALSE())</f>
        <v>L2</v>
      </c>
      <c r="O94" s="0" t="str">
        <f aca="false">VLOOKUP(C94,Data_Candidates!$A$2:$Y$133,15,FALSE())</f>
        <v>NONE</v>
      </c>
      <c r="P94" s="0" t="str">
        <f aca="false">VLOOKUP(B94,Data_Bins!$A$2:$L$101,8,FALSE())</f>
        <v>NONE</v>
      </c>
      <c r="Q94" s="0" t="str">
        <f aca="false">VLOOKUP(C94,Data_Candidates!$A$2:$Y$133,16,FALSE())</f>
        <v>N</v>
      </c>
      <c r="R94" s="0" t="n">
        <f aca="false">VLOOKUP(B94,Data_Bins!$A$2:$L$101,9,FALSE())</f>
        <v>0</v>
      </c>
      <c r="S94" s="0" t="n">
        <f aca="false">VLOOKUP(B94,Data_Bins!$A$2:$L$101,10,FALSE())</f>
        <v>0</v>
      </c>
      <c r="T94" s="0" t="str">
        <f aca="false">IF(AND(VLOOKUP(C94,Data_Candidates!$A$2:$Y$133,2,FALSE())&lt;=DATE(2025,1,31),VLOOKUP(C94,Data_Candidates!$A$2:$Y$133,3,FALSE())&gt;=DATE(2025,1,31),VLOOKUP(C94,Data_Candidates!$A$2:$Y$133,4,FALSE())="Y",VLOOKUP(C94,Data_Candidates!$A$2:$Y$133,5,FALSE())="NONE",VLOOKUP(C94,Data_Candidates!$A$2:$Y$133,25,FALSE())="Y"),"ELIGIBLE","INELIGIBLE")</f>
        <v>ELIGIBLE</v>
      </c>
      <c r="U94" s="0" t="str">
        <f aca="false">IF(AND(J94="OK",M94="OK",T94="ELIGIBLE",OR(O94="NONE",P94=O94),OR(Q94="N",AND(Q94="Y",R94="QTRACE",S94&gt;=DATE(2025,1,31))),OR(VLOOKUP(C94,Data_Candidates!$A$2:$Y$133,17,FALSE())="N",N94="L1")),"CLEAR","VIOLATION")</f>
        <v>CLEAR</v>
      </c>
      <c r="V94" s="0" t="str">
        <f aca="false">D95</f>
        <v>D</v>
      </c>
      <c r="W94" s="4" t="n">
        <f aca="false">IF(V94="",0,IF(D94=V94,0,1))</f>
        <v>0</v>
      </c>
    </row>
    <row r="95" customFormat="false" ht="15" hidden="false" customHeight="false" outlineLevel="0" collapsed="false">
      <c r="A95" s="0" t="n">
        <v>91</v>
      </c>
      <c r="B95" s="0" t="s">
        <v>205</v>
      </c>
      <c r="C95" s="0" t="s">
        <v>206</v>
      </c>
      <c r="D95" s="0" t="str">
        <f aca="false">VLOOKUP(C95,Data_Candidates!$A$2:$Y$133,14,FALSE())</f>
        <v>D</v>
      </c>
      <c r="E95" s="0" t="str">
        <f aca="false">VLOOKUP(C95,Data_Candidates!$A$2:$Y$133,22,FALSE())</f>
        <v>C01</v>
      </c>
      <c r="F95" s="4" t="n">
        <f aca="false">VLOOKUP(C95,Data_Candidates!$A$2:$Y$133,13,FALSE())</f>
        <v>4</v>
      </c>
      <c r="G95" s="4" t="n">
        <f aca="false">VLOOKUP(C95,Data_Candidates!$A$2:$Y$133,8,FALSE())</f>
        <v>1.2</v>
      </c>
      <c r="H95" s="4" t="n">
        <f aca="false">F95*G95</f>
        <v>4.8</v>
      </c>
      <c r="I95" s="4" t="n">
        <f aca="false">VLOOKUP(B95,Data_Bins!$A$2:$L$101,5,FALSE())</f>
        <v>100</v>
      </c>
      <c r="J95" s="0" t="str">
        <f aca="false">IF(H95&lt;=I95,"OK","WEIGHT")</f>
        <v>OK</v>
      </c>
      <c r="K95" s="0" t="n">
        <f aca="false">F95*VLOOKUP(C95,Data_Candidates!$A$2:$Y$133,9,FALSE())/0.7</f>
        <v>0.00571428571428572</v>
      </c>
      <c r="L95" s="0" t="n">
        <f aca="false">VLOOKUP(B95,Data_Bins!$A$2:$L$101,4,FALSE())</f>
        <v>0.02</v>
      </c>
      <c r="M95" s="0" t="str">
        <f aca="false">IF(K95&lt;=L95,"OK","CUBE")</f>
        <v>OK</v>
      </c>
      <c r="N95" s="0" t="str">
        <f aca="false">VLOOKUP(B95,Data_Bins!$A$2:$L$101,6,FALSE())</f>
        <v>L2</v>
      </c>
      <c r="O95" s="0" t="str">
        <f aca="false">VLOOKUP(C95,Data_Candidates!$A$2:$Y$133,15,FALSE())</f>
        <v>NONE</v>
      </c>
      <c r="P95" s="0" t="str">
        <f aca="false">VLOOKUP(B95,Data_Bins!$A$2:$L$101,8,FALSE())</f>
        <v>NONE</v>
      </c>
      <c r="Q95" s="0" t="str">
        <f aca="false">VLOOKUP(C95,Data_Candidates!$A$2:$Y$133,16,FALSE())</f>
        <v>N</v>
      </c>
      <c r="R95" s="0" t="n">
        <f aca="false">VLOOKUP(B95,Data_Bins!$A$2:$L$101,9,FALSE())</f>
        <v>0</v>
      </c>
      <c r="S95" s="0" t="n">
        <f aca="false">VLOOKUP(B95,Data_Bins!$A$2:$L$101,10,FALSE())</f>
        <v>0</v>
      </c>
      <c r="T95" s="0" t="str">
        <f aca="false">IF(AND(VLOOKUP(C95,Data_Candidates!$A$2:$Y$133,2,FALSE())&lt;=DATE(2025,1,31),VLOOKUP(C95,Data_Candidates!$A$2:$Y$133,3,FALSE())&gt;=DATE(2025,1,31),VLOOKUP(C95,Data_Candidates!$A$2:$Y$133,4,FALSE())="Y",VLOOKUP(C95,Data_Candidates!$A$2:$Y$133,5,FALSE())="NONE",VLOOKUP(C95,Data_Candidates!$A$2:$Y$133,25,FALSE())="Y"),"ELIGIBLE","INELIGIBLE")</f>
        <v>ELIGIBLE</v>
      </c>
      <c r="U95" s="0" t="str">
        <f aca="false">IF(AND(J95="OK",M95="OK",T95="ELIGIBLE",OR(O95="NONE",P95=O95),OR(Q95="N",AND(Q95="Y",R95="QTRACE",S95&gt;=DATE(2025,1,31))),OR(VLOOKUP(C95,Data_Candidates!$A$2:$Y$133,17,FALSE())="N",N95="L1")),"CLEAR","VIOLATION")</f>
        <v>CLEAR</v>
      </c>
      <c r="V95" s="0" t="str">
        <f aca="false">D96</f>
        <v>D</v>
      </c>
      <c r="W95" s="4" t="n">
        <f aca="false">IF(V95="",0,IF(D95=V95,0,1))</f>
        <v>0</v>
      </c>
    </row>
    <row r="96" customFormat="false" ht="15" hidden="false" customHeight="false" outlineLevel="0" collapsed="false">
      <c r="A96" s="0" t="n">
        <v>92</v>
      </c>
      <c r="B96" s="0" t="s">
        <v>207</v>
      </c>
      <c r="C96" s="0" t="s">
        <v>208</v>
      </c>
      <c r="D96" s="0" t="str">
        <f aca="false">VLOOKUP(C96,Data_Candidates!$A$2:$Y$133,14,FALSE())</f>
        <v>D</v>
      </c>
      <c r="E96" s="0" t="str">
        <f aca="false">VLOOKUP(C96,Data_Candidates!$A$2:$Y$133,22,FALSE())</f>
        <v>C01</v>
      </c>
      <c r="F96" s="4" t="n">
        <f aca="false">VLOOKUP(C96,Data_Candidates!$A$2:$Y$133,13,FALSE())</f>
        <v>4</v>
      </c>
      <c r="G96" s="4" t="n">
        <f aca="false">VLOOKUP(C96,Data_Candidates!$A$2:$Y$133,8,FALSE())</f>
        <v>1.2</v>
      </c>
      <c r="H96" s="4" t="n">
        <f aca="false">F96*G96</f>
        <v>4.8</v>
      </c>
      <c r="I96" s="4" t="n">
        <f aca="false">VLOOKUP(B96,Data_Bins!$A$2:$L$101,5,FALSE())</f>
        <v>100</v>
      </c>
      <c r="J96" s="0" t="str">
        <f aca="false">IF(H96&lt;=I96,"OK","WEIGHT")</f>
        <v>OK</v>
      </c>
      <c r="K96" s="0" t="n">
        <f aca="false">F96*VLOOKUP(C96,Data_Candidates!$A$2:$Y$133,9,FALSE())/0.7</f>
        <v>0.00571428571428572</v>
      </c>
      <c r="L96" s="0" t="n">
        <f aca="false">VLOOKUP(B96,Data_Bins!$A$2:$L$101,4,FALSE())</f>
        <v>0.02</v>
      </c>
      <c r="M96" s="0" t="str">
        <f aca="false">IF(K96&lt;=L96,"OK","CUBE")</f>
        <v>OK</v>
      </c>
      <c r="N96" s="0" t="str">
        <f aca="false">VLOOKUP(B96,Data_Bins!$A$2:$L$101,6,FALSE())</f>
        <v>L2</v>
      </c>
      <c r="O96" s="0" t="str">
        <f aca="false">VLOOKUP(C96,Data_Candidates!$A$2:$Y$133,15,FALSE())</f>
        <v>NONE</v>
      </c>
      <c r="P96" s="0" t="str">
        <f aca="false">VLOOKUP(B96,Data_Bins!$A$2:$L$101,8,FALSE())</f>
        <v>NONE</v>
      </c>
      <c r="Q96" s="0" t="str">
        <f aca="false">VLOOKUP(C96,Data_Candidates!$A$2:$Y$133,16,FALSE())</f>
        <v>N</v>
      </c>
      <c r="R96" s="0" t="n">
        <f aca="false">VLOOKUP(B96,Data_Bins!$A$2:$L$101,9,FALSE())</f>
        <v>0</v>
      </c>
      <c r="S96" s="0" t="n">
        <f aca="false">VLOOKUP(B96,Data_Bins!$A$2:$L$101,10,FALSE())</f>
        <v>0</v>
      </c>
      <c r="T96" s="0" t="str">
        <f aca="false">IF(AND(VLOOKUP(C96,Data_Candidates!$A$2:$Y$133,2,FALSE())&lt;=DATE(2025,1,31),VLOOKUP(C96,Data_Candidates!$A$2:$Y$133,3,FALSE())&gt;=DATE(2025,1,31),VLOOKUP(C96,Data_Candidates!$A$2:$Y$133,4,FALSE())="Y",VLOOKUP(C96,Data_Candidates!$A$2:$Y$133,5,FALSE())="NONE",VLOOKUP(C96,Data_Candidates!$A$2:$Y$133,25,FALSE())="Y"),"ELIGIBLE","INELIGIBLE")</f>
        <v>ELIGIBLE</v>
      </c>
      <c r="U96" s="0" t="str">
        <f aca="false">IF(AND(J96="OK",M96="OK",T96="ELIGIBLE",OR(O96="NONE",P96=O96),OR(Q96="N",AND(Q96="Y",R96="QTRACE",S96&gt;=DATE(2025,1,31))),OR(VLOOKUP(C96,Data_Candidates!$A$2:$Y$133,17,FALSE())="N",N96="L1")),"CLEAR","VIOLATION")</f>
        <v>CLEAR</v>
      </c>
      <c r="V96" s="0" t="str">
        <f aca="false">D97</f>
        <v>D</v>
      </c>
      <c r="W96" s="4" t="n">
        <f aca="false">IF(V96="",0,IF(D96=V96,0,1))</f>
        <v>0</v>
      </c>
    </row>
    <row r="97" customFormat="false" ht="15" hidden="false" customHeight="false" outlineLevel="0" collapsed="false">
      <c r="A97" s="0" t="n">
        <v>93</v>
      </c>
      <c r="B97" s="0" t="s">
        <v>209</v>
      </c>
      <c r="C97" s="0" t="s">
        <v>210</v>
      </c>
      <c r="D97" s="0" t="str">
        <f aca="false">VLOOKUP(C97,Data_Candidates!$A$2:$Y$133,14,FALSE())</f>
        <v>D</v>
      </c>
      <c r="E97" s="0" t="str">
        <f aca="false">VLOOKUP(C97,Data_Candidates!$A$2:$Y$133,22,FALSE())</f>
        <v>C01</v>
      </c>
      <c r="F97" s="4" t="n">
        <f aca="false">VLOOKUP(C97,Data_Candidates!$A$2:$Y$133,13,FALSE())</f>
        <v>4</v>
      </c>
      <c r="G97" s="4" t="n">
        <f aca="false">VLOOKUP(C97,Data_Candidates!$A$2:$Y$133,8,FALSE())</f>
        <v>1.2</v>
      </c>
      <c r="H97" s="4" t="n">
        <f aca="false">F97*G97</f>
        <v>4.8</v>
      </c>
      <c r="I97" s="4" t="n">
        <f aca="false">VLOOKUP(B97,Data_Bins!$A$2:$L$101,5,FALSE())</f>
        <v>100</v>
      </c>
      <c r="J97" s="0" t="str">
        <f aca="false">IF(H97&lt;=I97,"OK","WEIGHT")</f>
        <v>OK</v>
      </c>
      <c r="K97" s="0" t="n">
        <f aca="false">F97*VLOOKUP(C97,Data_Candidates!$A$2:$Y$133,9,FALSE())/0.7</f>
        <v>0.00571428571428572</v>
      </c>
      <c r="L97" s="0" t="n">
        <f aca="false">VLOOKUP(B97,Data_Bins!$A$2:$L$101,4,FALSE())</f>
        <v>0.02</v>
      </c>
      <c r="M97" s="0" t="str">
        <f aca="false">IF(K97&lt;=L97,"OK","CUBE")</f>
        <v>OK</v>
      </c>
      <c r="N97" s="0" t="str">
        <f aca="false">VLOOKUP(B97,Data_Bins!$A$2:$L$101,6,FALSE())</f>
        <v>L2</v>
      </c>
      <c r="O97" s="0" t="str">
        <f aca="false">VLOOKUP(C97,Data_Candidates!$A$2:$Y$133,15,FALSE())</f>
        <v>NONE</v>
      </c>
      <c r="P97" s="0" t="str">
        <f aca="false">VLOOKUP(B97,Data_Bins!$A$2:$L$101,8,FALSE())</f>
        <v>NONE</v>
      </c>
      <c r="Q97" s="0" t="str">
        <f aca="false">VLOOKUP(C97,Data_Candidates!$A$2:$Y$133,16,FALSE())</f>
        <v>N</v>
      </c>
      <c r="R97" s="0" t="n">
        <f aca="false">VLOOKUP(B97,Data_Bins!$A$2:$L$101,9,FALSE())</f>
        <v>0</v>
      </c>
      <c r="S97" s="0" t="n">
        <f aca="false">VLOOKUP(B97,Data_Bins!$A$2:$L$101,10,FALSE())</f>
        <v>0</v>
      </c>
      <c r="T97" s="0" t="str">
        <f aca="false">IF(AND(VLOOKUP(C97,Data_Candidates!$A$2:$Y$133,2,FALSE())&lt;=DATE(2025,1,31),VLOOKUP(C97,Data_Candidates!$A$2:$Y$133,3,FALSE())&gt;=DATE(2025,1,31),VLOOKUP(C97,Data_Candidates!$A$2:$Y$133,4,FALSE())="Y",VLOOKUP(C97,Data_Candidates!$A$2:$Y$133,5,FALSE())="NONE",VLOOKUP(C97,Data_Candidates!$A$2:$Y$133,25,FALSE())="Y"),"ELIGIBLE","INELIGIBLE")</f>
        <v>ELIGIBLE</v>
      </c>
      <c r="U97" s="0" t="str">
        <f aca="false">IF(AND(J97="OK",M97="OK",T97="ELIGIBLE",OR(O97="NONE",P97=O97),OR(Q97="N",AND(Q97="Y",R97="QTRACE",S97&gt;=DATE(2025,1,31))),OR(VLOOKUP(C97,Data_Candidates!$A$2:$Y$133,17,FALSE())="N",N97="L1")),"CLEAR","VIOLATION")</f>
        <v>CLEAR</v>
      </c>
      <c r="V97" s="0" t="str">
        <f aca="false">D98</f>
        <v>D</v>
      </c>
      <c r="W97" s="4" t="n">
        <f aca="false">IF(V97="",0,IF(D97=V97,0,1))</f>
        <v>0</v>
      </c>
    </row>
    <row r="98" customFormat="false" ht="15" hidden="false" customHeight="false" outlineLevel="0" collapsed="false">
      <c r="A98" s="0" t="n">
        <v>94</v>
      </c>
      <c r="B98" s="0" t="s">
        <v>211</v>
      </c>
      <c r="C98" s="0" t="s">
        <v>212</v>
      </c>
      <c r="D98" s="0" t="str">
        <f aca="false">VLOOKUP(C98,Data_Candidates!$A$2:$Y$133,14,FALSE())</f>
        <v>D</v>
      </c>
      <c r="E98" s="0" t="str">
        <f aca="false">VLOOKUP(C98,Data_Candidates!$A$2:$Y$133,22,FALSE())</f>
        <v>C01</v>
      </c>
      <c r="F98" s="4" t="n">
        <f aca="false">VLOOKUP(C98,Data_Candidates!$A$2:$Y$133,13,FALSE())</f>
        <v>4</v>
      </c>
      <c r="G98" s="4" t="n">
        <f aca="false">VLOOKUP(C98,Data_Candidates!$A$2:$Y$133,8,FALSE())</f>
        <v>1.2</v>
      </c>
      <c r="H98" s="4" t="n">
        <f aca="false">F98*G98</f>
        <v>4.8</v>
      </c>
      <c r="I98" s="4" t="n">
        <f aca="false">VLOOKUP(B98,Data_Bins!$A$2:$L$101,5,FALSE())</f>
        <v>100</v>
      </c>
      <c r="J98" s="0" t="str">
        <f aca="false">IF(H98&lt;=I98,"OK","WEIGHT")</f>
        <v>OK</v>
      </c>
      <c r="K98" s="0" t="n">
        <f aca="false">F98*VLOOKUP(C98,Data_Candidates!$A$2:$Y$133,9,FALSE())/0.7</f>
        <v>0.00571428571428572</v>
      </c>
      <c r="L98" s="0" t="n">
        <f aca="false">VLOOKUP(B98,Data_Bins!$A$2:$L$101,4,FALSE())</f>
        <v>0.02</v>
      </c>
      <c r="M98" s="0" t="str">
        <f aca="false">IF(K98&lt;=L98,"OK","CUBE")</f>
        <v>OK</v>
      </c>
      <c r="N98" s="0" t="str">
        <f aca="false">VLOOKUP(B98,Data_Bins!$A$2:$L$101,6,FALSE())</f>
        <v>L2</v>
      </c>
      <c r="O98" s="0" t="str">
        <f aca="false">VLOOKUP(C98,Data_Candidates!$A$2:$Y$133,15,FALSE())</f>
        <v>NONE</v>
      </c>
      <c r="P98" s="0" t="str">
        <f aca="false">VLOOKUP(B98,Data_Bins!$A$2:$L$101,8,FALSE())</f>
        <v>NONE</v>
      </c>
      <c r="Q98" s="0" t="str">
        <f aca="false">VLOOKUP(C98,Data_Candidates!$A$2:$Y$133,16,FALSE())</f>
        <v>N</v>
      </c>
      <c r="R98" s="0" t="n">
        <f aca="false">VLOOKUP(B98,Data_Bins!$A$2:$L$101,9,FALSE())</f>
        <v>0</v>
      </c>
      <c r="S98" s="0" t="n">
        <f aca="false">VLOOKUP(B98,Data_Bins!$A$2:$L$101,10,FALSE())</f>
        <v>0</v>
      </c>
      <c r="T98" s="0" t="str">
        <f aca="false">IF(AND(VLOOKUP(C98,Data_Candidates!$A$2:$Y$133,2,FALSE())&lt;=DATE(2025,1,31),VLOOKUP(C98,Data_Candidates!$A$2:$Y$133,3,FALSE())&gt;=DATE(2025,1,31),VLOOKUP(C98,Data_Candidates!$A$2:$Y$133,4,FALSE())="Y",VLOOKUP(C98,Data_Candidates!$A$2:$Y$133,5,FALSE())="NONE",VLOOKUP(C98,Data_Candidates!$A$2:$Y$133,25,FALSE())="Y"),"ELIGIBLE","INELIGIBLE")</f>
        <v>ELIGIBLE</v>
      </c>
      <c r="U98" s="0" t="str">
        <f aca="false">IF(AND(J98="OK",M98="OK",T98="ELIGIBLE",OR(O98="NONE",P98=O98),OR(Q98="N",AND(Q98="Y",R98="QTRACE",S98&gt;=DATE(2025,1,31))),OR(VLOOKUP(C98,Data_Candidates!$A$2:$Y$133,17,FALSE())="N",N98="L1")),"CLEAR","VIOLATION")</f>
        <v>CLEAR</v>
      </c>
      <c r="V98" s="0" t="str">
        <f aca="false">D99</f>
        <v>D</v>
      </c>
      <c r="W98" s="4" t="n">
        <f aca="false">IF(V98="",0,IF(D98=V98,0,1))</f>
        <v>0</v>
      </c>
    </row>
    <row r="99" customFormat="false" ht="15" hidden="false" customHeight="false" outlineLevel="0" collapsed="false">
      <c r="A99" s="0" t="n">
        <v>95</v>
      </c>
      <c r="B99" s="0" t="s">
        <v>213</v>
      </c>
      <c r="C99" s="0" t="s">
        <v>214</v>
      </c>
      <c r="D99" s="0" t="str">
        <f aca="false">VLOOKUP(C99,Data_Candidates!$A$2:$Y$133,14,FALSE())</f>
        <v>D</v>
      </c>
      <c r="E99" s="0" t="str">
        <f aca="false">VLOOKUP(C99,Data_Candidates!$A$2:$Y$133,22,FALSE())</f>
        <v>C01</v>
      </c>
      <c r="F99" s="4" t="n">
        <f aca="false">VLOOKUP(C99,Data_Candidates!$A$2:$Y$133,13,FALSE())</f>
        <v>4</v>
      </c>
      <c r="G99" s="4" t="n">
        <f aca="false">VLOOKUP(C99,Data_Candidates!$A$2:$Y$133,8,FALSE())</f>
        <v>1.2</v>
      </c>
      <c r="H99" s="4" t="n">
        <f aca="false">F99*G99</f>
        <v>4.8</v>
      </c>
      <c r="I99" s="4" t="n">
        <f aca="false">VLOOKUP(B99,Data_Bins!$A$2:$L$101,5,FALSE())</f>
        <v>100</v>
      </c>
      <c r="J99" s="0" t="str">
        <f aca="false">IF(H99&lt;=I99,"OK","WEIGHT")</f>
        <v>OK</v>
      </c>
      <c r="K99" s="0" t="n">
        <f aca="false">F99*VLOOKUP(C99,Data_Candidates!$A$2:$Y$133,9,FALSE())/0.7</f>
        <v>0.00571428571428572</v>
      </c>
      <c r="L99" s="0" t="n">
        <f aca="false">VLOOKUP(B99,Data_Bins!$A$2:$L$101,4,FALSE())</f>
        <v>0.02</v>
      </c>
      <c r="M99" s="0" t="str">
        <f aca="false">IF(K99&lt;=L99,"OK","CUBE")</f>
        <v>OK</v>
      </c>
      <c r="N99" s="0" t="str">
        <f aca="false">VLOOKUP(B99,Data_Bins!$A$2:$L$101,6,FALSE())</f>
        <v>L2</v>
      </c>
      <c r="O99" s="0" t="str">
        <f aca="false">VLOOKUP(C99,Data_Candidates!$A$2:$Y$133,15,FALSE())</f>
        <v>NONE</v>
      </c>
      <c r="P99" s="0" t="str">
        <f aca="false">VLOOKUP(B99,Data_Bins!$A$2:$L$101,8,FALSE())</f>
        <v>NONE</v>
      </c>
      <c r="Q99" s="0" t="str">
        <f aca="false">VLOOKUP(C99,Data_Candidates!$A$2:$Y$133,16,FALSE())</f>
        <v>N</v>
      </c>
      <c r="R99" s="0" t="n">
        <f aca="false">VLOOKUP(B99,Data_Bins!$A$2:$L$101,9,FALSE())</f>
        <v>0</v>
      </c>
      <c r="S99" s="0" t="n">
        <f aca="false">VLOOKUP(B99,Data_Bins!$A$2:$L$101,10,FALSE())</f>
        <v>0</v>
      </c>
      <c r="T99" s="0" t="str">
        <f aca="false">IF(AND(VLOOKUP(C99,Data_Candidates!$A$2:$Y$133,2,FALSE())&lt;=DATE(2025,1,31),VLOOKUP(C99,Data_Candidates!$A$2:$Y$133,3,FALSE())&gt;=DATE(2025,1,31),VLOOKUP(C99,Data_Candidates!$A$2:$Y$133,4,FALSE())="Y",VLOOKUP(C99,Data_Candidates!$A$2:$Y$133,5,FALSE())="NONE",VLOOKUP(C99,Data_Candidates!$A$2:$Y$133,25,FALSE())="Y"),"ELIGIBLE","INELIGIBLE")</f>
        <v>ELIGIBLE</v>
      </c>
      <c r="U99" s="0" t="str">
        <f aca="false">IF(AND(J99="OK",M99="OK",T99="ELIGIBLE",OR(O99="NONE",P99=O99),OR(Q99="N",AND(Q99="Y",R99="QTRACE",S99&gt;=DATE(2025,1,31))),OR(VLOOKUP(C99,Data_Candidates!$A$2:$Y$133,17,FALSE())="N",N99="L1")),"CLEAR","VIOLATION")</f>
        <v>CLEAR</v>
      </c>
      <c r="V99" s="0" t="str">
        <f aca="false">D100</f>
        <v>D</v>
      </c>
      <c r="W99" s="4" t="n">
        <f aca="false">IF(V99="",0,IF(D99=V99,0,1))</f>
        <v>0</v>
      </c>
    </row>
    <row r="100" customFormat="false" ht="15" hidden="false" customHeight="false" outlineLevel="0" collapsed="false">
      <c r="A100" s="0" t="n">
        <v>96</v>
      </c>
      <c r="B100" s="0" t="s">
        <v>215</v>
      </c>
      <c r="C100" s="0" t="s">
        <v>216</v>
      </c>
      <c r="D100" s="0" t="str">
        <f aca="false">VLOOKUP(C100,Data_Candidates!$A$2:$Y$133,14,FALSE())</f>
        <v>D</v>
      </c>
      <c r="E100" s="0" t="str">
        <f aca="false">VLOOKUP(C100,Data_Candidates!$A$2:$Y$133,22,FALSE())</f>
        <v>C01</v>
      </c>
      <c r="F100" s="4" t="n">
        <f aca="false">VLOOKUP(C100,Data_Candidates!$A$2:$Y$133,13,FALSE())</f>
        <v>4</v>
      </c>
      <c r="G100" s="4" t="n">
        <f aca="false">VLOOKUP(C100,Data_Candidates!$A$2:$Y$133,8,FALSE())</f>
        <v>1.2</v>
      </c>
      <c r="H100" s="4" t="n">
        <f aca="false">F100*G100</f>
        <v>4.8</v>
      </c>
      <c r="I100" s="4" t="n">
        <f aca="false">VLOOKUP(B100,Data_Bins!$A$2:$L$101,5,FALSE())</f>
        <v>100</v>
      </c>
      <c r="J100" s="0" t="str">
        <f aca="false">IF(H100&lt;=I100,"OK","WEIGHT")</f>
        <v>OK</v>
      </c>
      <c r="K100" s="0" t="n">
        <f aca="false">F100*VLOOKUP(C100,Data_Candidates!$A$2:$Y$133,9,FALSE())/0.7</f>
        <v>0.00571428571428572</v>
      </c>
      <c r="L100" s="0" t="n">
        <f aca="false">VLOOKUP(B100,Data_Bins!$A$2:$L$101,4,FALSE())</f>
        <v>0.02</v>
      </c>
      <c r="M100" s="0" t="str">
        <f aca="false">IF(K100&lt;=L100,"OK","CUBE")</f>
        <v>OK</v>
      </c>
      <c r="N100" s="0" t="str">
        <f aca="false">VLOOKUP(B100,Data_Bins!$A$2:$L$101,6,FALSE())</f>
        <v>L2</v>
      </c>
      <c r="O100" s="0" t="str">
        <f aca="false">VLOOKUP(C100,Data_Candidates!$A$2:$Y$133,15,FALSE())</f>
        <v>NONE</v>
      </c>
      <c r="P100" s="0" t="str">
        <f aca="false">VLOOKUP(B100,Data_Bins!$A$2:$L$101,8,FALSE())</f>
        <v>NONE</v>
      </c>
      <c r="Q100" s="0" t="str">
        <f aca="false">VLOOKUP(C100,Data_Candidates!$A$2:$Y$133,16,FALSE())</f>
        <v>N</v>
      </c>
      <c r="R100" s="0" t="n">
        <f aca="false">VLOOKUP(B100,Data_Bins!$A$2:$L$101,9,FALSE())</f>
        <v>0</v>
      </c>
      <c r="S100" s="0" t="n">
        <f aca="false">VLOOKUP(B100,Data_Bins!$A$2:$L$101,10,FALSE())</f>
        <v>0</v>
      </c>
      <c r="T100" s="0" t="str">
        <f aca="false">IF(AND(VLOOKUP(C100,Data_Candidates!$A$2:$Y$133,2,FALSE())&lt;=DATE(2025,1,31),VLOOKUP(C100,Data_Candidates!$A$2:$Y$133,3,FALSE())&gt;=DATE(2025,1,31),VLOOKUP(C100,Data_Candidates!$A$2:$Y$133,4,FALSE())="Y",VLOOKUP(C100,Data_Candidates!$A$2:$Y$133,5,FALSE())="NONE",VLOOKUP(C100,Data_Candidates!$A$2:$Y$133,25,FALSE())="Y"),"ELIGIBLE","INELIGIBLE")</f>
        <v>ELIGIBLE</v>
      </c>
      <c r="U100" s="0" t="str">
        <f aca="false">IF(AND(J100="OK",M100="OK",T100="ELIGIBLE",OR(O100="NONE",P100=O100),OR(Q100="N",AND(Q100="Y",R100="QTRACE",S100&gt;=DATE(2025,1,31))),OR(VLOOKUP(C100,Data_Candidates!$A$2:$Y$133,17,FALSE())="N",N100="L1")),"CLEAR","VIOLATION")</f>
        <v>CLEAR</v>
      </c>
      <c r="V100" s="0" t="str">
        <f aca="false">""</f>
        <v/>
      </c>
      <c r="W100" s="4" t="n">
        <f aca="false">IF(V100="",0,IF(D100=V100,0,1))</f>
        <v>0</v>
      </c>
    </row>
  </sheetData>
  <autoFilter ref="A4:W100"/>
  <conditionalFormatting sqref="J5:U100">
    <cfRule type="expression" priority="2" aboveAverage="0" equalAverage="0" bottom="0" percent="0" rank="0" text="" dxfId="2">
      <formula>OR($J5&lt;&gt;"OK",$M5&lt;&gt;"OK",$T5&lt;&gt;"ELIGIBLE",$U5&lt;&gt;"CLEAR")</formula>
    </cfRule>
  </conditionalFormatting>
  <dataValidations count="2">
    <dataValidation allowBlank="false" errorStyle="stop" operator="between" showDropDown="false" showErrorMessage="false" showInputMessage="false" sqref="D5:D100" type="list">
      <formula1>"A,B,C,D"</formula1>
      <formula2>0</formula2>
    </dataValidation>
    <dataValidation allowBlank="false" errorStyle="stop" operator="between" showDropDown="false" showErrorMessage="false" showInputMessage="false" sqref="E5:E100" type="list">
      <formula1>"C01,C02,C03,C04,C05,C06,C07,C08,C09,C10,C11,C12,C13,C14"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4</v>
      </c>
      <c r="B1" s="0" t="s">
        <v>217</v>
      </c>
      <c r="C1" s="0" t="s">
        <v>218</v>
      </c>
      <c r="D1" s="0" t="s">
        <v>219</v>
      </c>
      <c r="E1" s="0" t="s">
        <v>220</v>
      </c>
      <c r="F1" s="0" t="s">
        <v>221</v>
      </c>
      <c r="G1" s="0" t="s">
        <v>222</v>
      </c>
      <c r="H1" s="0" t="s">
        <v>8</v>
      </c>
      <c r="I1" s="0" t="s">
        <v>223</v>
      </c>
      <c r="J1" s="0" t="s">
        <v>224</v>
      </c>
      <c r="K1" s="0" t="s">
        <v>225</v>
      </c>
      <c r="L1" s="0" t="s">
        <v>226</v>
      </c>
      <c r="M1" s="0" t="s">
        <v>227</v>
      </c>
      <c r="N1" s="0" t="s">
        <v>5</v>
      </c>
      <c r="O1" s="0" t="s">
        <v>16</v>
      </c>
      <c r="P1" s="0" t="s">
        <v>18</v>
      </c>
      <c r="Q1" s="0" t="s">
        <v>228</v>
      </c>
      <c r="R1" s="0" t="s">
        <v>229</v>
      </c>
      <c r="S1" s="0" t="s">
        <v>230</v>
      </c>
      <c r="T1" s="0" t="s">
        <v>231</v>
      </c>
      <c r="U1" s="0" t="s">
        <v>232</v>
      </c>
      <c r="V1" s="0" t="s">
        <v>233</v>
      </c>
      <c r="W1" s="0" t="s">
        <v>234</v>
      </c>
      <c r="X1" s="0" t="s">
        <v>235</v>
      </c>
      <c r="Y1" s="0" t="s">
        <v>236</v>
      </c>
    </row>
    <row r="2" customFormat="false" ht="15" hidden="false" customHeight="false" outlineLevel="0" collapsed="false">
      <c r="A2" s="0" t="s">
        <v>26</v>
      </c>
      <c r="B2" s="5" t="n">
        <v>45292</v>
      </c>
      <c r="C2" s="5" t="n">
        <v>46022</v>
      </c>
      <c r="D2" s="4" t="s">
        <v>237</v>
      </c>
      <c r="E2" s="4" t="s">
        <v>238</v>
      </c>
      <c r="F2" s="5" t="n">
        <v>45688</v>
      </c>
      <c r="G2" s="4" t="s">
        <v>239</v>
      </c>
      <c r="H2" s="0" t="n">
        <v>1.2</v>
      </c>
      <c r="I2" s="0" t="n">
        <v>0.001</v>
      </c>
      <c r="J2" s="0" t="n">
        <v>2</v>
      </c>
      <c r="K2" s="0" t="n">
        <v>8</v>
      </c>
      <c r="L2" s="0" t="n">
        <v>2</v>
      </c>
      <c r="M2" s="0" t="n">
        <v>4</v>
      </c>
      <c r="N2" s="4" t="s">
        <v>240</v>
      </c>
      <c r="O2" s="4" t="s">
        <v>238</v>
      </c>
      <c r="P2" s="4" t="s">
        <v>241</v>
      </c>
      <c r="Q2" s="4" t="s">
        <v>241</v>
      </c>
      <c r="R2" s="4" t="s">
        <v>242</v>
      </c>
      <c r="S2" s="0" t="n">
        <v>10</v>
      </c>
      <c r="T2" s="4" t="s">
        <v>243</v>
      </c>
      <c r="U2" s="4" t="s">
        <v>237</v>
      </c>
      <c r="V2" s="4" t="s">
        <v>244</v>
      </c>
      <c r="X2" s="4" t="s">
        <v>241</v>
      </c>
      <c r="Y2" s="4" t="s">
        <v>237</v>
      </c>
    </row>
    <row r="3" customFormat="false" ht="15" hidden="false" customHeight="false" outlineLevel="0" collapsed="false">
      <c r="A3" s="0" t="s">
        <v>28</v>
      </c>
      <c r="B3" s="5" t="n">
        <v>45292</v>
      </c>
      <c r="C3" s="5" t="n">
        <v>46022</v>
      </c>
      <c r="D3" s="4" t="s">
        <v>237</v>
      </c>
      <c r="E3" s="4" t="s">
        <v>238</v>
      </c>
      <c r="F3" s="5" t="n">
        <v>45688</v>
      </c>
      <c r="G3" s="4" t="s">
        <v>239</v>
      </c>
      <c r="H3" s="0" t="n">
        <v>1.2</v>
      </c>
      <c r="I3" s="0" t="n">
        <v>0.001</v>
      </c>
      <c r="J3" s="0" t="n">
        <v>2</v>
      </c>
      <c r="K3" s="0" t="n">
        <v>8</v>
      </c>
      <c r="L3" s="0" t="n">
        <v>2</v>
      </c>
      <c r="M3" s="0" t="n">
        <v>4</v>
      </c>
      <c r="N3" s="4" t="s">
        <v>240</v>
      </c>
      <c r="O3" s="4" t="s">
        <v>238</v>
      </c>
      <c r="P3" s="4" t="s">
        <v>241</v>
      </c>
      <c r="Q3" s="4" t="s">
        <v>241</v>
      </c>
      <c r="R3" s="4" t="s">
        <v>242</v>
      </c>
      <c r="S3" s="0" t="n">
        <v>10</v>
      </c>
      <c r="T3" s="4" t="s">
        <v>243</v>
      </c>
      <c r="U3" s="4" t="s">
        <v>237</v>
      </c>
      <c r="V3" s="4" t="s">
        <v>245</v>
      </c>
      <c r="X3" s="4" t="s">
        <v>241</v>
      </c>
      <c r="Y3" s="4" t="s">
        <v>237</v>
      </c>
    </row>
    <row r="4" customFormat="false" ht="15" hidden="false" customHeight="false" outlineLevel="0" collapsed="false">
      <c r="A4" s="0" t="s">
        <v>30</v>
      </c>
      <c r="B4" s="5" t="n">
        <v>45292</v>
      </c>
      <c r="C4" s="5" t="n">
        <v>46022</v>
      </c>
      <c r="D4" s="4" t="s">
        <v>237</v>
      </c>
      <c r="E4" s="4" t="s">
        <v>238</v>
      </c>
      <c r="F4" s="5" t="n">
        <v>45688</v>
      </c>
      <c r="G4" s="4" t="s">
        <v>239</v>
      </c>
      <c r="H4" s="0" t="n">
        <v>1.2</v>
      </c>
      <c r="I4" s="0" t="n">
        <v>0.001</v>
      </c>
      <c r="J4" s="0" t="n">
        <v>2</v>
      </c>
      <c r="K4" s="0" t="n">
        <v>8</v>
      </c>
      <c r="L4" s="0" t="n">
        <v>2</v>
      </c>
      <c r="M4" s="0" t="n">
        <v>4</v>
      </c>
      <c r="N4" s="4" t="s">
        <v>240</v>
      </c>
      <c r="O4" s="4" t="s">
        <v>238</v>
      </c>
      <c r="P4" s="4" t="s">
        <v>241</v>
      </c>
      <c r="Q4" s="4" t="s">
        <v>241</v>
      </c>
      <c r="R4" s="4" t="s">
        <v>242</v>
      </c>
      <c r="S4" s="0" t="n">
        <v>10</v>
      </c>
      <c r="T4" s="4" t="s">
        <v>243</v>
      </c>
      <c r="U4" s="4" t="s">
        <v>237</v>
      </c>
      <c r="V4" s="4" t="s">
        <v>246</v>
      </c>
      <c r="X4" s="4" t="s">
        <v>241</v>
      </c>
      <c r="Y4" s="4" t="s">
        <v>237</v>
      </c>
    </row>
    <row r="5" customFormat="false" ht="15" hidden="false" customHeight="false" outlineLevel="0" collapsed="false">
      <c r="A5" s="0" t="s">
        <v>32</v>
      </c>
      <c r="B5" s="5" t="n">
        <v>45292</v>
      </c>
      <c r="C5" s="5" t="n">
        <v>46022</v>
      </c>
      <c r="D5" s="4" t="s">
        <v>237</v>
      </c>
      <c r="E5" s="4" t="s">
        <v>238</v>
      </c>
      <c r="F5" s="5" t="n">
        <v>45688</v>
      </c>
      <c r="G5" s="4" t="s">
        <v>239</v>
      </c>
      <c r="H5" s="0" t="n">
        <v>1.2</v>
      </c>
      <c r="I5" s="0" t="n">
        <v>0.001</v>
      </c>
      <c r="J5" s="0" t="n">
        <v>2</v>
      </c>
      <c r="K5" s="0" t="n">
        <v>8</v>
      </c>
      <c r="L5" s="0" t="n">
        <v>2</v>
      </c>
      <c r="M5" s="0" t="n">
        <v>4</v>
      </c>
      <c r="N5" s="4" t="s">
        <v>240</v>
      </c>
      <c r="O5" s="4" t="s">
        <v>238</v>
      </c>
      <c r="P5" s="4" t="s">
        <v>241</v>
      </c>
      <c r="Q5" s="4" t="s">
        <v>241</v>
      </c>
      <c r="R5" s="4" t="s">
        <v>242</v>
      </c>
      <c r="S5" s="0" t="n">
        <v>10</v>
      </c>
      <c r="T5" s="4" t="s">
        <v>243</v>
      </c>
      <c r="U5" s="4" t="s">
        <v>237</v>
      </c>
      <c r="V5" s="4" t="s">
        <v>247</v>
      </c>
      <c r="X5" s="4" t="s">
        <v>241</v>
      </c>
      <c r="Y5" s="4" t="s">
        <v>237</v>
      </c>
    </row>
    <row r="6" customFormat="false" ht="15" hidden="false" customHeight="false" outlineLevel="0" collapsed="false">
      <c r="A6" s="0" t="s">
        <v>34</v>
      </c>
      <c r="B6" s="5" t="n">
        <v>45292</v>
      </c>
      <c r="C6" s="5" t="n">
        <v>46022</v>
      </c>
      <c r="D6" s="4" t="s">
        <v>237</v>
      </c>
      <c r="E6" s="4" t="s">
        <v>238</v>
      </c>
      <c r="F6" s="5" t="n">
        <v>45688</v>
      </c>
      <c r="G6" s="4" t="s">
        <v>239</v>
      </c>
      <c r="H6" s="0" t="n">
        <v>1.2</v>
      </c>
      <c r="I6" s="0" t="n">
        <v>0.001</v>
      </c>
      <c r="J6" s="0" t="n">
        <v>2</v>
      </c>
      <c r="K6" s="0" t="n">
        <v>8</v>
      </c>
      <c r="L6" s="0" t="n">
        <v>2</v>
      </c>
      <c r="M6" s="0" t="n">
        <v>4</v>
      </c>
      <c r="N6" s="4" t="s">
        <v>240</v>
      </c>
      <c r="O6" s="4" t="s">
        <v>238</v>
      </c>
      <c r="P6" s="4" t="s">
        <v>241</v>
      </c>
      <c r="Q6" s="4" t="s">
        <v>241</v>
      </c>
      <c r="R6" s="4" t="s">
        <v>242</v>
      </c>
      <c r="S6" s="0" t="n">
        <v>10</v>
      </c>
      <c r="T6" s="4" t="s">
        <v>243</v>
      </c>
      <c r="U6" s="4" t="s">
        <v>237</v>
      </c>
      <c r="V6" s="4" t="s">
        <v>248</v>
      </c>
      <c r="X6" s="4" t="s">
        <v>241</v>
      </c>
      <c r="Y6" s="4" t="s">
        <v>237</v>
      </c>
    </row>
    <row r="7" customFormat="false" ht="15" hidden="false" customHeight="false" outlineLevel="0" collapsed="false">
      <c r="A7" s="0" t="s">
        <v>36</v>
      </c>
      <c r="B7" s="5" t="n">
        <v>45292</v>
      </c>
      <c r="C7" s="5" t="n">
        <v>46022</v>
      </c>
      <c r="D7" s="4" t="s">
        <v>237</v>
      </c>
      <c r="E7" s="4" t="s">
        <v>238</v>
      </c>
      <c r="F7" s="5" t="n">
        <v>45688</v>
      </c>
      <c r="G7" s="4" t="s">
        <v>239</v>
      </c>
      <c r="H7" s="0" t="n">
        <v>1.2</v>
      </c>
      <c r="I7" s="0" t="n">
        <v>0.001</v>
      </c>
      <c r="J7" s="0" t="n">
        <v>2</v>
      </c>
      <c r="K7" s="0" t="n">
        <v>8</v>
      </c>
      <c r="L7" s="0" t="n">
        <v>2</v>
      </c>
      <c r="M7" s="0" t="n">
        <v>4</v>
      </c>
      <c r="N7" s="4" t="s">
        <v>240</v>
      </c>
      <c r="O7" s="4" t="s">
        <v>238</v>
      </c>
      <c r="P7" s="4" t="s">
        <v>241</v>
      </c>
      <c r="Q7" s="4" t="s">
        <v>241</v>
      </c>
      <c r="R7" s="4" t="s">
        <v>242</v>
      </c>
      <c r="S7" s="0" t="n">
        <v>10</v>
      </c>
      <c r="T7" s="4" t="s">
        <v>243</v>
      </c>
      <c r="U7" s="4" t="s">
        <v>237</v>
      </c>
      <c r="V7" s="4" t="s">
        <v>249</v>
      </c>
      <c r="X7" s="4" t="s">
        <v>241</v>
      </c>
      <c r="Y7" s="4" t="s">
        <v>237</v>
      </c>
    </row>
    <row r="8" customFormat="false" ht="15" hidden="false" customHeight="false" outlineLevel="0" collapsed="false">
      <c r="A8" s="0" t="s">
        <v>38</v>
      </c>
      <c r="B8" s="5" t="n">
        <v>45292</v>
      </c>
      <c r="C8" s="5" t="n">
        <v>46022</v>
      </c>
      <c r="D8" s="4" t="s">
        <v>237</v>
      </c>
      <c r="E8" s="4" t="s">
        <v>238</v>
      </c>
      <c r="F8" s="5" t="n">
        <v>45688</v>
      </c>
      <c r="G8" s="4" t="s">
        <v>239</v>
      </c>
      <c r="H8" s="0" t="n">
        <v>1.2</v>
      </c>
      <c r="I8" s="0" t="n">
        <v>0.001</v>
      </c>
      <c r="J8" s="0" t="n">
        <v>2</v>
      </c>
      <c r="K8" s="0" t="n">
        <v>8</v>
      </c>
      <c r="L8" s="0" t="n">
        <v>2</v>
      </c>
      <c r="M8" s="0" t="n">
        <v>4</v>
      </c>
      <c r="N8" s="4" t="s">
        <v>240</v>
      </c>
      <c r="O8" s="4" t="s">
        <v>238</v>
      </c>
      <c r="P8" s="4" t="s">
        <v>241</v>
      </c>
      <c r="Q8" s="4" t="s">
        <v>241</v>
      </c>
      <c r="R8" s="4" t="s">
        <v>242</v>
      </c>
      <c r="S8" s="0" t="n">
        <v>10</v>
      </c>
      <c r="T8" s="4" t="s">
        <v>243</v>
      </c>
      <c r="U8" s="4" t="s">
        <v>237</v>
      </c>
      <c r="V8" s="4" t="s">
        <v>250</v>
      </c>
      <c r="X8" s="4" t="s">
        <v>241</v>
      </c>
      <c r="Y8" s="4" t="s">
        <v>237</v>
      </c>
    </row>
    <row r="9" customFormat="false" ht="15" hidden="false" customHeight="false" outlineLevel="0" collapsed="false">
      <c r="A9" s="0" t="s">
        <v>40</v>
      </c>
      <c r="B9" s="5" t="n">
        <v>45292</v>
      </c>
      <c r="C9" s="5" t="n">
        <v>46022</v>
      </c>
      <c r="D9" s="4" t="s">
        <v>237</v>
      </c>
      <c r="E9" s="4" t="s">
        <v>238</v>
      </c>
      <c r="F9" s="5" t="n">
        <v>45688</v>
      </c>
      <c r="G9" s="4" t="s">
        <v>239</v>
      </c>
      <c r="H9" s="0" t="n">
        <v>1.2</v>
      </c>
      <c r="I9" s="0" t="n">
        <v>0.001</v>
      </c>
      <c r="J9" s="0" t="n">
        <v>2</v>
      </c>
      <c r="K9" s="0" t="n">
        <v>8</v>
      </c>
      <c r="L9" s="0" t="n">
        <v>2</v>
      </c>
      <c r="M9" s="0" t="n">
        <v>4</v>
      </c>
      <c r="N9" s="4" t="s">
        <v>240</v>
      </c>
      <c r="O9" s="4" t="s">
        <v>238</v>
      </c>
      <c r="P9" s="4" t="s">
        <v>241</v>
      </c>
      <c r="Q9" s="4" t="s">
        <v>241</v>
      </c>
      <c r="R9" s="4" t="s">
        <v>242</v>
      </c>
      <c r="S9" s="0" t="n">
        <v>10</v>
      </c>
      <c r="T9" s="4" t="s">
        <v>243</v>
      </c>
      <c r="U9" s="4" t="s">
        <v>237</v>
      </c>
      <c r="V9" s="4" t="s">
        <v>251</v>
      </c>
      <c r="X9" s="4" t="s">
        <v>241</v>
      </c>
      <c r="Y9" s="4" t="s">
        <v>237</v>
      </c>
    </row>
    <row r="10" customFormat="false" ht="15" hidden="false" customHeight="false" outlineLevel="0" collapsed="false">
      <c r="A10" s="0" t="s">
        <v>42</v>
      </c>
      <c r="B10" s="5" t="n">
        <v>45292</v>
      </c>
      <c r="C10" s="5" t="n">
        <v>46022</v>
      </c>
      <c r="D10" s="4" t="s">
        <v>237</v>
      </c>
      <c r="E10" s="4" t="s">
        <v>238</v>
      </c>
      <c r="F10" s="5" t="n">
        <v>45688</v>
      </c>
      <c r="G10" s="4" t="s">
        <v>239</v>
      </c>
      <c r="H10" s="0" t="n">
        <v>1.2</v>
      </c>
      <c r="I10" s="0" t="n">
        <v>0.001</v>
      </c>
      <c r="J10" s="0" t="n">
        <v>2</v>
      </c>
      <c r="K10" s="0" t="n">
        <v>8</v>
      </c>
      <c r="L10" s="0" t="n">
        <v>2</v>
      </c>
      <c r="M10" s="0" t="n">
        <v>4</v>
      </c>
      <c r="N10" s="4" t="s">
        <v>240</v>
      </c>
      <c r="O10" s="4" t="s">
        <v>238</v>
      </c>
      <c r="P10" s="4" t="s">
        <v>241</v>
      </c>
      <c r="Q10" s="4" t="s">
        <v>241</v>
      </c>
      <c r="R10" s="4" t="s">
        <v>242</v>
      </c>
      <c r="S10" s="0" t="n">
        <v>10</v>
      </c>
      <c r="T10" s="4" t="s">
        <v>243</v>
      </c>
      <c r="U10" s="4" t="s">
        <v>237</v>
      </c>
      <c r="V10" s="4" t="s">
        <v>252</v>
      </c>
      <c r="X10" s="4" t="s">
        <v>241</v>
      </c>
      <c r="Y10" s="4" t="s">
        <v>237</v>
      </c>
    </row>
    <row r="11" customFormat="false" ht="15" hidden="false" customHeight="false" outlineLevel="0" collapsed="false">
      <c r="A11" s="0" t="s">
        <v>44</v>
      </c>
      <c r="B11" s="5" t="n">
        <v>45292</v>
      </c>
      <c r="C11" s="5" t="n">
        <v>46022</v>
      </c>
      <c r="D11" s="4" t="s">
        <v>237</v>
      </c>
      <c r="E11" s="4" t="s">
        <v>238</v>
      </c>
      <c r="F11" s="5" t="n">
        <v>45688</v>
      </c>
      <c r="G11" s="4" t="s">
        <v>239</v>
      </c>
      <c r="H11" s="0" t="n">
        <v>1.2</v>
      </c>
      <c r="I11" s="0" t="n">
        <v>0.001</v>
      </c>
      <c r="J11" s="0" t="n">
        <v>2</v>
      </c>
      <c r="K11" s="0" t="n">
        <v>8</v>
      </c>
      <c r="L11" s="0" t="n">
        <v>2</v>
      </c>
      <c r="M11" s="0" t="n">
        <v>4</v>
      </c>
      <c r="N11" s="4" t="s">
        <v>240</v>
      </c>
      <c r="O11" s="4" t="s">
        <v>238</v>
      </c>
      <c r="P11" s="4" t="s">
        <v>241</v>
      </c>
      <c r="Q11" s="4" t="s">
        <v>241</v>
      </c>
      <c r="R11" s="4" t="s">
        <v>242</v>
      </c>
      <c r="S11" s="0" t="n">
        <v>10</v>
      </c>
      <c r="T11" s="4" t="s">
        <v>243</v>
      </c>
      <c r="U11" s="4" t="s">
        <v>237</v>
      </c>
      <c r="V11" s="4" t="s">
        <v>253</v>
      </c>
      <c r="X11" s="4" t="s">
        <v>241</v>
      </c>
      <c r="Y11" s="4" t="s">
        <v>237</v>
      </c>
    </row>
    <row r="12" customFormat="false" ht="15" hidden="false" customHeight="false" outlineLevel="0" collapsed="false">
      <c r="A12" s="0" t="s">
        <v>46</v>
      </c>
      <c r="B12" s="5" t="n">
        <v>45292</v>
      </c>
      <c r="C12" s="5" t="n">
        <v>46022</v>
      </c>
      <c r="D12" s="4" t="s">
        <v>237</v>
      </c>
      <c r="E12" s="4" t="s">
        <v>238</v>
      </c>
      <c r="F12" s="5" t="n">
        <v>45688</v>
      </c>
      <c r="G12" s="4" t="s">
        <v>239</v>
      </c>
      <c r="H12" s="0" t="n">
        <v>1.2</v>
      </c>
      <c r="I12" s="0" t="n">
        <v>0.001</v>
      </c>
      <c r="J12" s="0" t="n">
        <v>2</v>
      </c>
      <c r="K12" s="0" t="n">
        <v>8</v>
      </c>
      <c r="L12" s="0" t="n">
        <v>2</v>
      </c>
      <c r="M12" s="0" t="n">
        <v>4</v>
      </c>
      <c r="N12" s="4" t="s">
        <v>240</v>
      </c>
      <c r="O12" s="4" t="s">
        <v>238</v>
      </c>
      <c r="P12" s="4" t="s">
        <v>241</v>
      </c>
      <c r="Q12" s="4" t="s">
        <v>241</v>
      </c>
      <c r="R12" s="4" t="s">
        <v>242</v>
      </c>
      <c r="S12" s="0" t="n">
        <v>10</v>
      </c>
      <c r="T12" s="4" t="s">
        <v>243</v>
      </c>
      <c r="U12" s="4" t="s">
        <v>241</v>
      </c>
      <c r="V12" s="4" t="s">
        <v>254</v>
      </c>
      <c r="W12" s="4" t="s">
        <v>255</v>
      </c>
      <c r="X12" s="4" t="s">
        <v>237</v>
      </c>
      <c r="Y12" s="4" t="s">
        <v>237</v>
      </c>
    </row>
    <row r="13" customFormat="false" ht="15" hidden="false" customHeight="false" outlineLevel="0" collapsed="false">
      <c r="A13" s="0" t="s">
        <v>48</v>
      </c>
      <c r="B13" s="5" t="n">
        <v>45292</v>
      </c>
      <c r="C13" s="5" t="n">
        <v>46022</v>
      </c>
      <c r="D13" s="4" t="s">
        <v>237</v>
      </c>
      <c r="E13" s="4" t="s">
        <v>238</v>
      </c>
      <c r="F13" s="5" t="n">
        <v>45688</v>
      </c>
      <c r="G13" s="4" t="s">
        <v>239</v>
      </c>
      <c r="H13" s="0" t="n">
        <v>1.2</v>
      </c>
      <c r="I13" s="0" t="n">
        <v>0.001</v>
      </c>
      <c r="J13" s="0" t="n">
        <v>2</v>
      </c>
      <c r="K13" s="0" t="n">
        <v>8</v>
      </c>
      <c r="L13" s="0" t="n">
        <v>2</v>
      </c>
      <c r="M13" s="0" t="n">
        <v>4</v>
      </c>
      <c r="N13" s="4" t="s">
        <v>240</v>
      </c>
      <c r="O13" s="4" t="s">
        <v>238</v>
      </c>
      <c r="P13" s="4" t="s">
        <v>241</v>
      </c>
      <c r="Q13" s="4" t="s">
        <v>241</v>
      </c>
      <c r="R13" s="4" t="s">
        <v>242</v>
      </c>
      <c r="S13" s="0" t="n">
        <v>10</v>
      </c>
      <c r="T13" s="4" t="s">
        <v>243</v>
      </c>
      <c r="U13" s="4" t="s">
        <v>241</v>
      </c>
      <c r="V13" s="4" t="s">
        <v>256</v>
      </c>
      <c r="W13" s="4" t="s">
        <v>255</v>
      </c>
      <c r="X13" s="4" t="s">
        <v>237</v>
      </c>
      <c r="Y13" s="4" t="s">
        <v>237</v>
      </c>
    </row>
    <row r="14" customFormat="false" ht="15" hidden="false" customHeight="false" outlineLevel="0" collapsed="false">
      <c r="A14" s="0" t="s">
        <v>50</v>
      </c>
      <c r="B14" s="5" t="n">
        <v>45292</v>
      </c>
      <c r="C14" s="5" t="n">
        <v>46022</v>
      </c>
      <c r="D14" s="4" t="s">
        <v>237</v>
      </c>
      <c r="E14" s="4" t="s">
        <v>238</v>
      </c>
      <c r="F14" s="5" t="n">
        <v>45688</v>
      </c>
      <c r="G14" s="4" t="s">
        <v>239</v>
      </c>
      <c r="H14" s="0" t="n">
        <v>1.2</v>
      </c>
      <c r="I14" s="0" t="n">
        <v>0.001</v>
      </c>
      <c r="J14" s="0" t="n">
        <v>2</v>
      </c>
      <c r="K14" s="0" t="n">
        <v>8</v>
      </c>
      <c r="L14" s="0" t="n">
        <v>2</v>
      </c>
      <c r="M14" s="0" t="n">
        <v>4</v>
      </c>
      <c r="N14" s="4" t="s">
        <v>240</v>
      </c>
      <c r="O14" s="4" t="s">
        <v>238</v>
      </c>
      <c r="P14" s="4" t="s">
        <v>241</v>
      </c>
      <c r="Q14" s="4" t="s">
        <v>241</v>
      </c>
      <c r="R14" s="4" t="s">
        <v>242</v>
      </c>
      <c r="S14" s="0" t="n">
        <v>10</v>
      </c>
      <c r="T14" s="4" t="s">
        <v>243</v>
      </c>
      <c r="U14" s="4" t="s">
        <v>241</v>
      </c>
      <c r="V14" s="4" t="s">
        <v>257</v>
      </c>
      <c r="W14" s="4" t="s">
        <v>258</v>
      </c>
      <c r="X14" s="4" t="s">
        <v>237</v>
      </c>
      <c r="Y14" s="4" t="s">
        <v>237</v>
      </c>
    </row>
    <row r="15" customFormat="false" ht="15" hidden="false" customHeight="false" outlineLevel="0" collapsed="false">
      <c r="A15" s="0" t="s">
        <v>52</v>
      </c>
      <c r="B15" s="5" t="n">
        <v>45292</v>
      </c>
      <c r="C15" s="5" t="n">
        <v>46022</v>
      </c>
      <c r="D15" s="4" t="s">
        <v>237</v>
      </c>
      <c r="E15" s="4" t="s">
        <v>238</v>
      </c>
      <c r="F15" s="5" t="n">
        <v>45688</v>
      </c>
      <c r="G15" s="4" t="s">
        <v>239</v>
      </c>
      <c r="H15" s="0" t="n">
        <v>1.2</v>
      </c>
      <c r="I15" s="0" t="n">
        <v>0.001</v>
      </c>
      <c r="J15" s="0" t="n">
        <v>2</v>
      </c>
      <c r="K15" s="0" t="n">
        <v>8</v>
      </c>
      <c r="L15" s="0" t="n">
        <v>2</v>
      </c>
      <c r="M15" s="0" t="n">
        <v>4</v>
      </c>
      <c r="N15" s="4" t="s">
        <v>240</v>
      </c>
      <c r="O15" s="4" t="s">
        <v>238</v>
      </c>
      <c r="P15" s="4" t="s">
        <v>241</v>
      </c>
      <c r="Q15" s="4" t="s">
        <v>241</v>
      </c>
      <c r="R15" s="4" t="s">
        <v>242</v>
      </c>
      <c r="S15" s="0" t="n">
        <v>10</v>
      </c>
      <c r="T15" s="4" t="s">
        <v>243</v>
      </c>
      <c r="U15" s="4" t="s">
        <v>241</v>
      </c>
      <c r="V15" s="4" t="s">
        <v>259</v>
      </c>
      <c r="W15" s="4" t="s">
        <v>258</v>
      </c>
      <c r="X15" s="4" t="s">
        <v>237</v>
      </c>
      <c r="Y15" s="4" t="s">
        <v>237</v>
      </c>
    </row>
    <row r="16" customFormat="false" ht="15" hidden="false" customHeight="false" outlineLevel="0" collapsed="false">
      <c r="A16" s="0" t="s">
        <v>54</v>
      </c>
      <c r="B16" s="5" t="n">
        <v>45292</v>
      </c>
      <c r="C16" s="5" t="n">
        <v>46022</v>
      </c>
      <c r="D16" s="4" t="s">
        <v>237</v>
      </c>
      <c r="E16" s="4" t="s">
        <v>238</v>
      </c>
      <c r="F16" s="5" t="n">
        <v>45688</v>
      </c>
      <c r="G16" s="4" t="s">
        <v>239</v>
      </c>
      <c r="H16" s="0" t="n">
        <v>1.2</v>
      </c>
      <c r="I16" s="0" t="n">
        <v>0.001</v>
      </c>
      <c r="J16" s="0" t="n">
        <v>2</v>
      </c>
      <c r="K16" s="0" t="n">
        <v>8</v>
      </c>
      <c r="L16" s="0" t="n">
        <v>2</v>
      </c>
      <c r="M16" s="0" t="n">
        <v>4</v>
      </c>
      <c r="N16" s="4" t="s">
        <v>240</v>
      </c>
      <c r="O16" s="4" t="s">
        <v>238</v>
      </c>
      <c r="P16" s="4" t="s">
        <v>241</v>
      </c>
      <c r="Q16" s="4" t="s">
        <v>241</v>
      </c>
      <c r="R16" s="4" t="s">
        <v>242</v>
      </c>
      <c r="S16" s="0" t="n">
        <v>10</v>
      </c>
      <c r="T16" s="4" t="s">
        <v>243</v>
      </c>
      <c r="U16" s="4" t="s">
        <v>241</v>
      </c>
      <c r="V16" s="4" t="s">
        <v>244</v>
      </c>
      <c r="W16" s="4" t="s">
        <v>260</v>
      </c>
      <c r="X16" s="4" t="s">
        <v>237</v>
      </c>
      <c r="Y16" s="4" t="s">
        <v>237</v>
      </c>
    </row>
    <row r="17" customFormat="false" ht="15" hidden="false" customHeight="false" outlineLevel="0" collapsed="false">
      <c r="A17" s="0" t="s">
        <v>56</v>
      </c>
      <c r="B17" s="5" t="n">
        <v>45292</v>
      </c>
      <c r="C17" s="5" t="n">
        <v>46022</v>
      </c>
      <c r="D17" s="4" t="s">
        <v>237</v>
      </c>
      <c r="E17" s="4" t="s">
        <v>238</v>
      </c>
      <c r="F17" s="5" t="n">
        <v>45688</v>
      </c>
      <c r="G17" s="4" t="s">
        <v>239</v>
      </c>
      <c r="H17" s="0" t="n">
        <v>1.2</v>
      </c>
      <c r="I17" s="0" t="n">
        <v>0.001</v>
      </c>
      <c r="J17" s="0" t="n">
        <v>2</v>
      </c>
      <c r="K17" s="0" t="n">
        <v>8</v>
      </c>
      <c r="L17" s="0" t="n">
        <v>2</v>
      </c>
      <c r="M17" s="0" t="n">
        <v>4</v>
      </c>
      <c r="N17" s="4" t="s">
        <v>240</v>
      </c>
      <c r="O17" s="4" t="s">
        <v>238</v>
      </c>
      <c r="P17" s="4" t="s">
        <v>241</v>
      </c>
      <c r="Q17" s="4" t="s">
        <v>241</v>
      </c>
      <c r="R17" s="4" t="s">
        <v>242</v>
      </c>
      <c r="S17" s="0" t="n">
        <v>10</v>
      </c>
      <c r="T17" s="4" t="s">
        <v>243</v>
      </c>
      <c r="U17" s="4" t="s">
        <v>241</v>
      </c>
      <c r="V17" s="4" t="s">
        <v>244</v>
      </c>
      <c r="W17" s="4" t="s">
        <v>260</v>
      </c>
      <c r="X17" s="4" t="s">
        <v>237</v>
      </c>
      <c r="Y17" s="4" t="s">
        <v>237</v>
      </c>
    </row>
    <row r="18" customFormat="false" ht="15" hidden="false" customHeight="false" outlineLevel="0" collapsed="false">
      <c r="A18" s="0" t="s">
        <v>58</v>
      </c>
      <c r="B18" s="5" t="n">
        <v>45292</v>
      </c>
      <c r="C18" s="5" t="n">
        <v>46022</v>
      </c>
      <c r="D18" s="4" t="s">
        <v>237</v>
      </c>
      <c r="E18" s="4" t="s">
        <v>238</v>
      </c>
      <c r="F18" s="5" t="n">
        <v>45688</v>
      </c>
      <c r="G18" s="4" t="s">
        <v>239</v>
      </c>
      <c r="H18" s="0" t="n">
        <v>1.2</v>
      </c>
      <c r="I18" s="0" t="n">
        <v>0.001</v>
      </c>
      <c r="J18" s="0" t="n">
        <v>2</v>
      </c>
      <c r="K18" s="0" t="n">
        <v>8</v>
      </c>
      <c r="L18" s="0" t="n">
        <v>2</v>
      </c>
      <c r="M18" s="0" t="n">
        <v>4</v>
      </c>
      <c r="N18" s="4" t="s">
        <v>240</v>
      </c>
      <c r="O18" s="4" t="s">
        <v>238</v>
      </c>
      <c r="P18" s="4" t="s">
        <v>241</v>
      </c>
      <c r="Q18" s="4" t="s">
        <v>241</v>
      </c>
      <c r="R18" s="4" t="s">
        <v>242</v>
      </c>
      <c r="S18" s="0" t="n">
        <v>10</v>
      </c>
      <c r="T18" s="4" t="s">
        <v>243</v>
      </c>
      <c r="U18" s="4" t="s">
        <v>241</v>
      </c>
      <c r="V18" s="4" t="s">
        <v>244</v>
      </c>
      <c r="W18" s="4" t="s">
        <v>261</v>
      </c>
      <c r="X18" s="4" t="s">
        <v>237</v>
      </c>
      <c r="Y18" s="4" t="s">
        <v>237</v>
      </c>
    </row>
    <row r="19" customFormat="false" ht="15" hidden="false" customHeight="false" outlineLevel="0" collapsed="false">
      <c r="A19" s="0" t="s">
        <v>60</v>
      </c>
      <c r="B19" s="5" t="n">
        <v>45292</v>
      </c>
      <c r="C19" s="5" t="n">
        <v>46022</v>
      </c>
      <c r="D19" s="4" t="s">
        <v>237</v>
      </c>
      <c r="E19" s="4" t="s">
        <v>238</v>
      </c>
      <c r="F19" s="5" t="n">
        <v>45688</v>
      </c>
      <c r="G19" s="4" t="s">
        <v>239</v>
      </c>
      <c r="H19" s="0" t="n">
        <v>1.2</v>
      </c>
      <c r="I19" s="0" t="n">
        <v>0.001</v>
      </c>
      <c r="J19" s="0" t="n">
        <v>2</v>
      </c>
      <c r="K19" s="0" t="n">
        <v>8</v>
      </c>
      <c r="L19" s="0" t="n">
        <v>2</v>
      </c>
      <c r="M19" s="0" t="n">
        <v>4</v>
      </c>
      <c r="N19" s="4" t="s">
        <v>240</v>
      </c>
      <c r="O19" s="4" t="s">
        <v>238</v>
      </c>
      <c r="P19" s="4" t="s">
        <v>241</v>
      </c>
      <c r="Q19" s="4" t="s">
        <v>241</v>
      </c>
      <c r="R19" s="4" t="s">
        <v>242</v>
      </c>
      <c r="S19" s="0" t="n">
        <v>10</v>
      </c>
      <c r="T19" s="4" t="s">
        <v>243</v>
      </c>
      <c r="U19" s="4" t="s">
        <v>241</v>
      </c>
      <c r="V19" s="4" t="s">
        <v>244</v>
      </c>
      <c r="W19" s="4" t="s">
        <v>261</v>
      </c>
      <c r="X19" s="4" t="s">
        <v>237</v>
      </c>
      <c r="Y19" s="4" t="s">
        <v>237</v>
      </c>
    </row>
    <row r="20" customFormat="false" ht="15" hidden="false" customHeight="false" outlineLevel="0" collapsed="false">
      <c r="A20" s="0" t="s">
        <v>62</v>
      </c>
      <c r="B20" s="5" t="n">
        <v>45292</v>
      </c>
      <c r="C20" s="5" t="n">
        <v>46022</v>
      </c>
      <c r="D20" s="4" t="s">
        <v>237</v>
      </c>
      <c r="E20" s="4" t="s">
        <v>238</v>
      </c>
      <c r="F20" s="5" t="n">
        <v>45688</v>
      </c>
      <c r="G20" s="4" t="s">
        <v>239</v>
      </c>
      <c r="H20" s="0" t="n">
        <v>1.2</v>
      </c>
      <c r="I20" s="0" t="n">
        <v>0.001</v>
      </c>
      <c r="J20" s="0" t="n">
        <v>2</v>
      </c>
      <c r="K20" s="0" t="n">
        <v>8</v>
      </c>
      <c r="L20" s="0" t="n">
        <v>2</v>
      </c>
      <c r="M20" s="0" t="n">
        <v>4</v>
      </c>
      <c r="N20" s="4" t="s">
        <v>240</v>
      </c>
      <c r="O20" s="4" t="s">
        <v>238</v>
      </c>
      <c r="P20" s="4" t="s">
        <v>241</v>
      </c>
      <c r="Q20" s="4" t="s">
        <v>241</v>
      </c>
      <c r="R20" s="4" t="s">
        <v>242</v>
      </c>
      <c r="S20" s="0" t="n">
        <v>10</v>
      </c>
      <c r="T20" s="4" t="s">
        <v>243</v>
      </c>
      <c r="U20" s="4" t="s">
        <v>241</v>
      </c>
      <c r="V20" s="4" t="s">
        <v>244</v>
      </c>
      <c r="W20" s="4" t="s">
        <v>262</v>
      </c>
      <c r="X20" s="4" t="s">
        <v>237</v>
      </c>
      <c r="Y20" s="4" t="s">
        <v>237</v>
      </c>
    </row>
    <row r="21" customFormat="false" ht="15" hidden="false" customHeight="false" outlineLevel="0" collapsed="false">
      <c r="A21" s="0" t="s">
        <v>64</v>
      </c>
      <c r="B21" s="5" t="n">
        <v>45292</v>
      </c>
      <c r="C21" s="5" t="n">
        <v>46022</v>
      </c>
      <c r="D21" s="4" t="s">
        <v>237</v>
      </c>
      <c r="E21" s="4" t="s">
        <v>238</v>
      </c>
      <c r="F21" s="5" t="n">
        <v>45688</v>
      </c>
      <c r="G21" s="4" t="s">
        <v>239</v>
      </c>
      <c r="H21" s="0" t="n">
        <v>1.2</v>
      </c>
      <c r="I21" s="0" t="n">
        <v>0.001</v>
      </c>
      <c r="J21" s="0" t="n">
        <v>2</v>
      </c>
      <c r="K21" s="0" t="n">
        <v>8</v>
      </c>
      <c r="L21" s="0" t="n">
        <v>2</v>
      </c>
      <c r="M21" s="0" t="n">
        <v>4</v>
      </c>
      <c r="N21" s="4" t="s">
        <v>240</v>
      </c>
      <c r="O21" s="4" t="s">
        <v>238</v>
      </c>
      <c r="P21" s="4" t="s">
        <v>241</v>
      </c>
      <c r="Q21" s="4" t="s">
        <v>241</v>
      </c>
      <c r="R21" s="4" t="s">
        <v>242</v>
      </c>
      <c r="S21" s="0" t="n">
        <v>10</v>
      </c>
      <c r="T21" s="4" t="s">
        <v>243</v>
      </c>
      <c r="U21" s="4" t="s">
        <v>241</v>
      </c>
      <c r="V21" s="4" t="s">
        <v>244</v>
      </c>
      <c r="W21" s="4" t="s">
        <v>262</v>
      </c>
      <c r="X21" s="4" t="s">
        <v>237</v>
      </c>
      <c r="Y21" s="4" t="s">
        <v>237</v>
      </c>
    </row>
    <row r="22" customFormat="false" ht="15" hidden="false" customHeight="false" outlineLevel="0" collapsed="false">
      <c r="A22" s="0" t="s">
        <v>66</v>
      </c>
      <c r="B22" s="5" t="n">
        <v>45292</v>
      </c>
      <c r="C22" s="5" t="n">
        <v>46022</v>
      </c>
      <c r="D22" s="4" t="s">
        <v>237</v>
      </c>
      <c r="E22" s="4" t="s">
        <v>238</v>
      </c>
      <c r="F22" s="5" t="n">
        <v>45688</v>
      </c>
      <c r="G22" s="4" t="s">
        <v>239</v>
      </c>
      <c r="H22" s="0" t="n">
        <v>1.2</v>
      </c>
      <c r="I22" s="0" t="n">
        <v>0.001</v>
      </c>
      <c r="J22" s="0" t="n">
        <v>2</v>
      </c>
      <c r="K22" s="0" t="n">
        <v>8</v>
      </c>
      <c r="L22" s="0" t="n">
        <v>2</v>
      </c>
      <c r="M22" s="0" t="n">
        <v>4</v>
      </c>
      <c r="N22" s="4" t="s">
        <v>240</v>
      </c>
      <c r="O22" s="4" t="s">
        <v>238</v>
      </c>
      <c r="P22" s="4" t="s">
        <v>241</v>
      </c>
      <c r="Q22" s="4" t="s">
        <v>241</v>
      </c>
      <c r="R22" s="4" t="s">
        <v>242</v>
      </c>
      <c r="S22" s="0" t="n">
        <v>10</v>
      </c>
      <c r="T22" s="4" t="s">
        <v>243</v>
      </c>
      <c r="U22" s="4" t="s">
        <v>241</v>
      </c>
      <c r="V22" s="4" t="s">
        <v>244</v>
      </c>
      <c r="W22" s="4" t="s">
        <v>263</v>
      </c>
      <c r="X22" s="4" t="s">
        <v>237</v>
      </c>
      <c r="Y22" s="4" t="s">
        <v>237</v>
      </c>
    </row>
    <row r="23" customFormat="false" ht="15" hidden="false" customHeight="false" outlineLevel="0" collapsed="false">
      <c r="A23" s="0" t="s">
        <v>68</v>
      </c>
      <c r="B23" s="5" t="n">
        <v>45292</v>
      </c>
      <c r="C23" s="5" t="n">
        <v>46022</v>
      </c>
      <c r="D23" s="4" t="s">
        <v>237</v>
      </c>
      <c r="E23" s="4" t="s">
        <v>238</v>
      </c>
      <c r="F23" s="5" t="n">
        <v>45688</v>
      </c>
      <c r="G23" s="4" t="s">
        <v>239</v>
      </c>
      <c r="H23" s="0" t="n">
        <v>1.2</v>
      </c>
      <c r="I23" s="0" t="n">
        <v>0.001</v>
      </c>
      <c r="J23" s="0" t="n">
        <v>2</v>
      </c>
      <c r="K23" s="0" t="n">
        <v>8</v>
      </c>
      <c r="L23" s="0" t="n">
        <v>2</v>
      </c>
      <c r="M23" s="0" t="n">
        <v>4</v>
      </c>
      <c r="N23" s="4" t="s">
        <v>240</v>
      </c>
      <c r="O23" s="4" t="s">
        <v>238</v>
      </c>
      <c r="P23" s="4" t="s">
        <v>241</v>
      </c>
      <c r="Q23" s="4" t="s">
        <v>241</v>
      </c>
      <c r="R23" s="4" t="s">
        <v>242</v>
      </c>
      <c r="S23" s="0" t="n">
        <v>10</v>
      </c>
      <c r="T23" s="4" t="s">
        <v>243</v>
      </c>
      <c r="U23" s="4" t="s">
        <v>241</v>
      </c>
      <c r="V23" s="4" t="s">
        <v>244</v>
      </c>
      <c r="W23" s="4" t="s">
        <v>263</v>
      </c>
      <c r="X23" s="4" t="s">
        <v>237</v>
      </c>
      <c r="Y23" s="4" t="s">
        <v>237</v>
      </c>
    </row>
    <row r="24" customFormat="false" ht="15" hidden="false" customHeight="false" outlineLevel="0" collapsed="false">
      <c r="A24" s="0" t="s">
        <v>70</v>
      </c>
      <c r="B24" s="5" t="n">
        <v>45292</v>
      </c>
      <c r="C24" s="5" t="n">
        <v>46022</v>
      </c>
      <c r="D24" s="4" t="s">
        <v>237</v>
      </c>
      <c r="E24" s="4" t="s">
        <v>238</v>
      </c>
      <c r="F24" s="5" t="n">
        <v>45688</v>
      </c>
      <c r="G24" s="4" t="s">
        <v>239</v>
      </c>
      <c r="H24" s="0" t="n">
        <v>1.2</v>
      </c>
      <c r="I24" s="0" t="n">
        <v>0.001</v>
      </c>
      <c r="J24" s="0" t="n">
        <v>2</v>
      </c>
      <c r="K24" s="0" t="n">
        <v>8</v>
      </c>
      <c r="L24" s="0" t="n">
        <v>2</v>
      </c>
      <c r="M24" s="0" t="n">
        <v>4</v>
      </c>
      <c r="N24" s="4" t="s">
        <v>240</v>
      </c>
      <c r="O24" s="4" t="s">
        <v>238</v>
      </c>
      <c r="P24" s="4" t="s">
        <v>241</v>
      </c>
      <c r="Q24" s="4" t="s">
        <v>241</v>
      </c>
      <c r="R24" s="4" t="s">
        <v>242</v>
      </c>
      <c r="S24" s="0" t="n">
        <v>10</v>
      </c>
      <c r="T24" s="4" t="s">
        <v>243</v>
      </c>
      <c r="U24" s="4" t="s">
        <v>241</v>
      </c>
      <c r="V24" s="4" t="s">
        <v>244</v>
      </c>
      <c r="W24" s="4" t="s">
        <v>264</v>
      </c>
      <c r="X24" s="4" t="s">
        <v>237</v>
      </c>
      <c r="Y24" s="4" t="s">
        <v>237</v>
      </c>
    </row>
    <row r="25" customFormat="false" ht="15" hidden="false" customHeight="false" outlineLevel="0" collapsed="false">
      <c r="A25" s="0" t="s">
        <v>72</v>
      </c>
      <c r="B25" s="5" t="n">
        <v>45292</v>
      </c>
      <c r="C25" s="5" t="n">
        <v>46022</v>
      </c>
      <c r="D25" s="4" t="s">
        <v>237</v>
      </c>
      <c r="E25" s="4" t="s">
        <v>238</v>
      </c>
      <c r="F25" s="5" t="n">
        <v>45688</v>
      </c>
      <c r="G25" s="4" t="s">
        <v>239</v>
      </c>
      <c r="H25" s="0" t="n">
        <v>1.2</v>
      </c>
      <c r="I25" s="0" t="n">
        <v>0.001</v>
      </c>
      <c r="J25" s="0" t="n">
        <v>2</v>
      </c>
      <c r="K25" s="0" t="n">
        <v>8</v>
      </c>
      <c r="L25" s="0" t="n">
        <v>2</v>
      </c>
      <c r="M25" s="0" t="n">
        <v>4</v>
      </c>
      <c r="N25" s="4" t="s">
        <v>240</v>
      </c>
      <c r="O25" s="4" t="s">
        <v>238</v>
      </c>
      <c r="P25" s="4" t="s">
        <v>241</v>
      </c>
      <c r="Q25" s="4" t="s">
        <v>241</v>
      </c>
      <c r="R25" s="4" t="s">
        <v>242</v>
      </c>
      <c r="S25" s="0" t="n">
        <v>10</v>
      </c>
      <c r="T25" s="4" t="s">
        <v>243</v>
      </c>
      <c r="U25" s="4" t="s">
        <v>241</v>
      </c>
      <c r="V25" s="4" t="s">
        <v>244</v>
      </c>
      <c r="W25" s="4" t="s">
        <v>264</v>
      </c>
      <c r="X25" s="4" t="s">
        <v>237</v>
      </c>
      <c r="Y25" s="4" t="s">
        <v>237</v>
      </c>
    </row>
    <row r="26" customFormat="false" ht="15" hidden="false" customHeight="false" outlineLevel="0" collapsed="false">
      <c r="A26" s="0" t="s">
        <v>74</v>
      </c>
      <c r="B26" s="5" t="n">
        <v>45292</v>
      </c>
      <c r="C26" s="5" t="n">
        <v>46022</v>
      </c>
      <c r="D26" s="4" t="s">
        <v>237</v>
      </c>
      <c r="E26" s="4" t="s">
        <v>238</v>
      </c>
      <c r="F26" s="5" t="n">
        <v>45688</v>
      </c>
      <c r="G26" s="4" t="s">
        <v>265</v>
      </c>
      <c r="H26" s="0" t="n">
        <v>1.2</v>
      </c>
      <c r="I26" s="0" t="n">
        <v>0.001</v>
      </c>
      <c r="J26" s="0" t="n">
        <v>2</v>
      </c>
      <c r="K26" s="0" t="n">
        <v>8</v>
      </c>
      <c r="L26" s="0" t="n">
        <v>2</v>
      </c>
      <c r="M26" s="0" t="n">
        <v>4</v>
      </c>
      <c r="N26" s="4" t="s">
        <v>266</v>
      </c>
      <c r="O26" s="4" t="s">
        <v>267</v>
      </c>
      <c r="P26" s="4" t="s">
        <v>241</v>
      </c>
      <c r="Q26" s="4" t="s">
        <v>241</v>
      </c>
      <c r="R26" s="4" t="s">
        <v>242</v>
      </c>
      <c r="S26" s="0" t="n">
        <v>10</v>
      </c>
      <c r="T26" s="4" t="s">
        <v>243</v>
      </c>
      <c r="U26" s="4" t="s">
        <v>241</v>
      </c>
      <c r="V26" s="4" t="s">
        <v>244</v>
      </c>
      <c r="W26" s="4" t="s">
        <v>268</v>
      </c>
      <c r="X26" s="4" t="s">
        <v>237</v>
      </c>
      <c r="Y26" s="4" t="s">
        <v>237</v>
      </c>
    </row>
    <row r="27" customFormat="false" ht="15" hidden="false" customHeight="false" outlineLevel="0" collapsed="false">
      <c r="A27" s="0" t="s">
        <v>76</v>
      </c>
      <c r="B27" s="5" t="n">
        <v>45292</v>
      </c>
      <c r="C27" s="5" t="n">
        <v>46022</v>
      </c>
      <c r="D27" s="4" t="s">
        <v>237</v>
      </c>
      <c r="E27" s="4" t="s">
        <v>238</v>
      </c>
      <c r="F27" s="5" t="n">
        <v>45688</v>
      </c>
      <c r="G27" s="4" t="s">
        <v>265</v>
      </c>
      <c r="H27" s="0" t="n">
        <v>1.2</v>
      </c>
      <c r="I27" s="0" t="n">
        <v>0.001</v>
      </c>
      <c r="J27" s="0" t="n">
        <v>2</v>
      </c>
      <c r="K27" s="0" t="n">
        <v>8</v>
      </c>
      <c r="L27" s="0" t="n">
        <v>2</v>
      </c>
      <c r="M27" s="0" t="n">
        <v>4</v>
      </c>
      <c r="N27" s="4" t="s">
        <v>266</v>
      </c>
      <c r="O27" s="4" t="s">
        <v>267</v>
      </c>
      <c r="P27" s="4" t="s">
        <v>241</v>
      </c>
      <c r="Q27" s="4" t="s">
        <v>241</v>
      </c>
      <c r="R27" s="4" t="s">
        <v>242</v>
      </c>
      <c r="S27" s="0" t="n">
        <v>10</v>
      </c>
      <c r="T27" s="4" t="s">
        <v>243</v>
      </c>
      <c r="U27" s="4" t="s">
        <v>241</v>
      </c>
      <c r="V27" s="4" t="s">
        <v>244</v>
      </c>
      <c r="W27" s="4" t="s">
        <v>268</v>
      </c>
      <c r="X27" s="4" t="s">
        <v>237</v>
      </c>
      <c r="Y27" s="4" t="s">
        <v>237</v>
      </c>
    </row>
    <row r="28" customFormat="false" ht="15" hidden="false" customHeight="false" outlineLevel="0" collapsed="false">
      <c r="A28" s="0" t="s">
        <v>78</v>
      </c>
      <c r="B28" s="5" t="n">
        <v>45292</v>
      </c>
      <c r="C28" s="5" t="n">
        <v>46022</v>
      </c>
      <c r="D28" s="4" t="s">
        <v>237</v>
      </c>
      <c r="E28" s="4" t="s">
        <v>238</v>
      </c>
      <c r="F28" s="5" t="n">
        <v>45688</v>
      </c>
      <c r="G28" s="4" t="s">
        <v>265</v>
      </c>
      <c r="H28" s="0" t="n">
        <v>1.2</v>
      </c>
      <c r="I28" s="0" t="n">
        <v>0.001</v>
      </c>
      <c r="J28" s="0" t="n">
        <v>2</v>
      </c>
      <c r="K28" s="0" t="n">
        <v>8</v>
      </c>
      <c r="L28" s="0" t="n">
        <v>2</v>
      </c>
      <c r="M28" s="0" t="n">
        <v>4</v>
      </c>
      <c r="N28" s="4" t="s">
        <v>266</v>
      </c>
      <c r="O28" s="4" t="s">
        <v>267</v>
      </c>
      <c r="P28" s="4" t="s">
        <v>241</v>
      </c>
      <c r="Q28" s="4" t="s">
        <v>241</v>
      </c>
      <c r="R28" s="4" t="s">
        <v>242</v>
      </c>
      <c r="S28" s="0" t="n">
        <v>10</v>
      </c>
      <c r="T28" s="4" t="s">
        <v>243</v>
      </c>
      <c r="U28" s="4" t="s">
        <v>241</v>
      </c>
      <c r="V28" s="4" t="s">
        <v>244</v>
      </c>
      <c r="W28" s="4" t="s">
        <v>269</v>
      </c>
      <c r="X28" s="4" t="s">
        <v>237</v>
      </c>
      <c r="Y28" s="4" t="s">
        <v>237</v>
      </c>
    </row>
    <row r="29" customFormat="false" ht="15" hidden="false" customHeight="false" outlineLevel="0" collapsed="false">
      <c r="A29" s="0" t="s">
        <v>80</v>
      </c>
      <c r="B29" s="5" t="n">
        <v>45292</v>
      </c>
      <c r="C29" s="5" t="n">
        <v>46022</v>
      </c>
      <c r="D29" s="4" t="s">
        <v>237</v>
      </c>
      <c r="E29" s="4" t="s">
        <v>238</v>
      </c>
      <c r="F29" s="5" t="n">
        <v>45688</v>
      </c>
      <c r="G29" s="4" t="s">
        <v>265</v>
      </c>
      <c r="H29" s="0" t="n">
        <v>1.2</v>
      </c>
      <c r="I29" s="0" t="n">
        <v>0.001</v>
      </c>
      <c r="J29" s="0" t="n">
        <v>2</v>
      </c>
      <c r="K29" s="0" t="n">
        <v>8</v>
      </c>
      <c r="L29" s="0" t="n">
        <v>2</v>
      </c>
      <c r="M29" s="0" t="n">
        <v>4</v>
      </c>
      <c r="N29" s="4" t="s">
        <v>266</v>
      </c>
      <c r="O29" s="4" t="s">
        <v>267</v>
      </c>
      <c r="P29" s="4" t="s">
        <v>241</v>
      </c>
      <c r="Q29" s="4" t="s">
        <v>241</v>
      </c>
      <c r="R29" s="4" t="s">
        <v>242</v>
      </c>
      <c r="S29" s="0" t="n">
        <v>10</v>
      </c>
      <c r="T29" s="4" t="s">
        <v>243</v>
      </c>
      <c r="U29" s="4" t="s">
        <v>241</v>
      </c>
      <c r="V29" s="4" t="s">
        <v>244</v>
      </c>
      <c r="W29" s="4" t="s">
        <v>269</v>
      </c>
      <c r="X29" s="4" t="s">
        <v>237</v>
      </c>
      <c r="Y29" s="4" t="s">
        <v>237</v>
      </c>
    </row>
    <row r="30" customFormat="false" ht="15" hidden="false" customHeight="false" outlineLevel="0" collapsed="false">
      <c r="A30" s="0" t="s">
        <v>82</v>
      </c>
      <c r="B30" s="5" t="n">
        <v>45292</v>
      </c>
      <c r="C30" s="5" t="n">
        <v>46022</v>
      </c>
      <c r="D30" s="4" t="s">
        <v>237</v>
      </c>
      <c r="E30" s="4" t="s">
        <v>238</v>
      </c>
      <c r="F30" s="5" t="n">
        <v>45688</v>
      </c>
      <c r="G30" s="4" t="s">
        <v>265</v>
      </c>
      <c r="H30" s="0" t="n">
        <v>1.2</v>
      </c>
      <c r="I30" s="0" t="n">
        <v>0.001</v>
      </c>
      <c r="J30" s="0" t="n">
        <v>2</v>
      </c>
      <c r="K30" s="0" t="n">
        <v>8</v>
      </c>
      <c r="L30" s="0" t="n">
        <v>2</v>
      </c>
      <c r="M30" s="0" t="n">
        <v>4</v>
      </c>
      <c r="N30" s="4" t="s">
        <v>266</v>
      </c>
      <c r="O30" s="4" t="s">
        <v>267</v>
      </c>
      <c r="P30" s="4" t="s">
        <v>241</v>
      </c>
      <c r="Q30" s="4" t="s">
        <v>241</v>
      </c>
      <c r="R30" s="4" t="s">
        <v>242</v>
      </c>
      <c r="S30" s="0" t="n">
        <v>10</v>
      </c>
      <c r="T30" s="4" t="s">
        <v>243</v>
      </c>
      <c r="U30" s="4" t="s">
        <v>241</v>
      </c>
      <c r="V30" s="4" t="s">
        <v>244</v>
      </c>
      <c r="W30" s="4" t="s">
        <v>270</v>
      </c>
      <c r="X30" s="4" t="s">
        <v>237</v>
      </c>
      <c r="Y30" s="4" t="s">
        <v>237</v>
      </c>
    </row>
    <row r="31" customFormat="false" ht="15" hidden="false" customHeight="false" outlineLevel="0" collapsed="false">
      <c r="A31" s="0" t="s">
        <v>84</v>
      </c>
      <c r="B31" s="5" t="n">
        <v>45292</v>
      </c>
      <c r="C31" s="5" t="n">
        <v>46022</v>
      </c>
      <c r="D31" s="4" t="s">
        <v>237</v>
      </c>
      <c r="E31" s="4" t="s">
        <v>238</v>
      </c>
      <c r="F31" s="5" t="n">
        <v>45688</v>
      </c>
      <c r="G31" s="4" t="s">
        <v>265</v>
      </c>
      <c r="H31" s="0" t="n">
        <v>1.2</v>
      </c>
      <c r="I31" s="0" t="n">
        <v>0.001</v>
      </c>
      <c r="J31" s="0" t="n">
        <v>2</v>
      </c>
      <c r="K31" s="0" t="n">
        <v>8</v>
      </c>
      <c r="L31" s="0" t="n">
        <v>2</v>
      </c>
      <c r="M31" s="0" t="n">
        <v>4</v>
      </c>
      <c r="N31" s="4" t="s">
        <v>266</v>
      </c>
      <c r="O31" s="4" t="s">
        <v>267</v>
      </c>
      <c r="P31" s="4" t="s">
        <v>241</v>
      </c>
      <c r="Q31" s="4" t="s">
        <v>241</v>
      </c>
      <c r="R31" s="4" t="s">
        <v>242</v>
      </c>
      <c r="S31" s="0" t="n">
        <v>10</v>
      </c>
      <c r="T31" s="4" t="s">
        <v>243</v>
      </c>
      <c r="U31" s="4" t="s">
        <v>241</v>
      </c>
      <c r="V31" s="4" t="s">
        <v>244</v>
      </c>
      <c r="W31" s="4" t="s">
        <v>270</v>
      </c>
      <c r="X31" s="4" t="s">
        <v>237</v>
      </c>
      <c r="Y31" s="4" t="s">
        <v>237</v>
      </c>
    </row>
    <row r="32" customFormat="false" ht="15" hidden="false" customHeight="false" outlineLevel="0" collapsed="false">
      <c r="A32" s="0" t="s">
        <v>86</v>
      </c>
      <c r="B32" s="5" t="n">
        <v>45292</v>
      </c>
      <c r="C32" s="5" t="n">
        <v>46022</v>
      </c>
      <c r="D32" s="4" t="s">
        <v>237</v>
      </c>
      <c r="E32" s="4" t="s">
        <v>238</v>
      </c>
      <c r="F32" s="5" t="n">
        <v>45688</v>
      </c>
      <c r="G32" s="4" t="s">
        <v>265</v>
      </c>
      <c r="H32" s="0" t="n">
        <v>1.2</v>
      </c>
      <c r="I32" s="0" t="n">
        <v>0.001</v>
      </c>
      <c r="J32" s="0" t="n">
        <v>2</v>
      </c>
      <c r="K32" s="0" t="n">
        <v>8</v>
      </c>
      <c r="L32" s="0" t="n">
        <v>2</v>
      </c>
      <c r="M32" s="0" t="n">
        <v>4</v>
      </c>
      <c r="N32" s="4" t="s">
        <v>266</v>
      </c>
      <c r="O32" s="4" t="s">
        <v>267</v>
      </c>
      <c r="P32" s="4" t="s">
        <v>241</v>
      </c>
      <c r="Q32" s="4" t="s">
        <v>241</v>
      </c>
      <c r="R32" s="4" t="s">
        <v>242</v>
      </c>
      <c r="S32" s="0" t="n">
        <v>10</v>
      </c>
      <c r="T32" s="4" t="s">
        <v>243</v>
      </c>
      <c r="U32" s="4" t="s">
        <v>241</v>
      </c>
      <c r="V32" s="4" t="s">
        <v>244</v>
      </c>
      <c r="X32" s="4" t="s">
        <v>241</v>
      </c>
      <c r="Y32" s="4" t="s">
        <v>237</v>
      </c>
    </row>
    <row r="33" customFormat="false" ht="15" hidden="false" customHeight="false" outlineLevel="0" collapsed="false">
      <c r="A33" s="0" t="s">
        <v>88</v>
      </c>
      <c r="B33" s="5" t="n">
        <v>45292</v>
      </c>
      <c r="C33" s="5" t="n">
        <v>46022</v>
      </c>
      <c r="D33" s="4" t="s">
        <v>237</v>
      </c>
      <c r="E33" s="4" t="s">
        <v>238</v>
      </c>
      <c r="F33" s="5" t="n">
        <v>45688</v>
      </c>
      <c r="G33" s="4" t="s">
        <v>265</v>
      </c>
      <c r="H33" s="0" t="n">
        <v>1.2</v>
      </c>
      <c r="I33" s="0" t="n">
        <v>0.001</v>
      </c>
      <c r="J33" s="0" t="n">
        <v>2</v>
      </c>
      <c r="K33" s="0" t="n">
        <v>8</v>
      </c>
      <c r="L33" s="0" t="n">
        <v>2</v>
      </c>
      <c r="M33" s="0" t="n">
        <v>4</v>
      </c>
      <c r="N33" s="4" t="s">
        <v>266</v>
      </c>
      <c r="O33" s="4" t="s">
        <v>267</v>
      </c>
      <c r="P33" s="4" t="s">
        <v>241</v>
      </c>
      <c r="Q33" s="4" t="s">
        <v>241</v>
      </c>
      <c r="R33" s="4" t="s">
        <v>242</v>
      </c>
      <c r="S33" s="0" t="n">
        <v>10</v>
      </c>
      <c r="T33" s="4" t="s">
        <v>243</v>
      </c>
      <c r="U33" s="4" t="s">
        <v>241</v>
      </c>
      <c r="V33" s="4" t="s">
        <v>244</v>
      </c>
      <c r="X33" s="4" t="s">
        <v>241</v>
      </c>
      <c r="Y33" s="4" t="s">
        <v>237</v>
      </c>
    </row>
    <row r="34" customFormat="false" ht="15" hidden="false" customHeight="false" outlineLevel="0" collapsed="false">
      <c r="A34" s="0" t="s">
        <v>90</v>
      </c>
      <c r="B34" s="5" t="n">
        <v>45292</v>
      </c>
      <c r="C34" s="5" t="n">
        <v>46022</v>
      </c>
      <c r="D34" s="4" t="s">
        <v>237</v>
      </c>
      <c r="E34" s="4" t="s">
        <v>238</v>
      </c>
      <c r="F34" s="5" t="n">
        <v>45688</v>
      </c>
      <c r="G34" s="4" t="s">
        <v>265</v>
      </c>
      <c r="H34" s="0" t="n">
        <v>1.2</v>
      </c>
      <c r="I34" s="0" t="n">
        <v>0.001</v>
      </c>
      <c r="J34" s="0" t="n">
        <v>2</v>
      </c>
      <c r="K34" s="0" t="n">
        <v>8</v>
      </c>
      <c r="L34" s="0" t="n">
        <v>2</v>
      </c>
      <c r="M34" s="0" t="n">
        <v>4</v>
      </c>
      <c r="N34" s="4" t="s">
        <v>266</v>
      </c>
      <c r="O34" s="4" t="s">
        <v>267</v>
      </c>
      <c r="P34" s="4" t="s">
        <v>241</v>
      </c>
      <c r="Q34" s="4" t="s">
        <v>241</v>
      </c>
      <c r="R34" s="4" t="s">
        <v>242</v>
      </c>
      <c r="S34" s="0" t="n">
        <v>10</v>
      </c>
      <c r="T34" s="4" t="s">
        <v>243</v>
      </c>
      <c r="U34" s="4" t="s">
        <v>241</v>
      </c>
      <c r="V34" s="4" t="s">
        <v>244</v>
      </c>
      <c r="X34" s="4" t="s">
        <v>241</v>
      </c>
      <c r="Y34" s="4" t="s">
        <v>237</v>
      </c>
    </row>
    <row r="35" customFormat="false" ht="15" hidden="false" customHeight="false" outlineLevel="0" collapsed="false">
      <c r="A35" s="0" t="s">
        <v>92</v>
      </c>
      <c r="B35" s="5" t="n">
        <v>45292</v>
      </c>
      <c r="C35" s="5" t="n">
        <v>46022</v>
      </c>
      <c r="D35" s="4" t="s">
        <v>237</v>
      </c>
      <c r="E35" s="4" t="s">
        <v>238</v>
      </c>
      <c r="F35" s="5" t="n">
        <v>45688</v>
      </c>
      <c r="G35" s="4" t="s">
        <v>265</v>
      </c>
      <c r="H35" s="0" t="n">
        <v>1.2</v>
      </c>
      <c r="I35" s="0" t="n">
        <v>0.001</v>
      </c>
      <c r="J35" s="0" t="n">
        <v>2</v>
      </c>
      <c r="K35" s="0" t="n">
        <v>8</v>
      </c>
      <c r="L35" s="0" t="n">
        <v>2</v>
      </c>
      <c r="M35" s="0" t="n">
        <v>4</v>
      </c>
      <c r="N35" s="4" t="s">
        <v>266</v>
      </c>
      <c r="O35" s="4" t="s">
        <v>267</v>
      </c>
      <c r="P35" s="4" t="s">
        <v>241</v>
      </c>
      <c r="Q35" s="4" t="s">
        <v>241</v>
      </c>
      <c r="R35" s="4" t="s">
        <v>242</v>
      </c>
      <c r="S35" s="0" t="n">
        <v>10</v>
      </c>
      <c r="T35" s="4" t="s">
        <v>243</v>
      </c>
      <c r="U35" s="4" t="s">
        <v>241</v>
      </c>
      <c r="V35" s="4" t="s">
        <v>244</v>
      </c>
      <c r="X35" s="4" t="s">
        <v>241</v>
      </c>
      <c r="Y35" s="4" t="s">
        <v>237</v>
      </c>
    </row>
    <row r="36" customFormat="false" ht="15" hidden="false" customHeight="false" outlineLevel="0" collapsed="false">
      <c r="A36" s="0" t="s">
        <v>94</v>
      </c>
      <c r="B36" s="5" t="n">
        <v>45292</v>
      </c>
      <c r="C36" s="5" t="n">
        <v>46022</v>
      </c>
      <c r="D36" s="4" t="s">
        <v>237</v>
      </c>
      <c r="E36" s="4" t="s">
        <v>238</v>
      </c>
      <c r="F36" s="5" t="n">
        <v>45688</v>
      </c>
      <c r="G36" s="4" t="s">
        <v>265</v>
      </c>
      <c r="H36" s="0" t="n">
        <v>1.2</v>
      </c>
      <c r="I36" s="0" t="n">
        <v>0.001</v>
      </c>
      <c r="J36" s="0" t="n">
        <v>2</v>
      </c>
      <c r="K36" s="0" t="n">
        <v>8</v>
      </c>
      <c r="L36" s="0" t="n">
        <v>2</v>
      </c>
      <c r="M36" s="0" t="n">
        <v>4</v>
      </c>
      <c r="N36" s="4" t="s">
        <v>266</v>
      </c>
      <c r="O36" s="4" t="s">
        <v>267</v>
      </c>
      <c r="P36" s="4" t="s">
        <v>241</v>
      </c>
      <c r="Q36" s="4" t="s">
        <v>241</v>
      </c>
      <c r="R36" s="4" t="s">
        <v>242</v>
      </c>
      <c r="S36" s="0" t="n">
        <v>10</v>
      </c>
      <c r="T36" s="4" t="s">
        <v>243</v>
      </c>
      <c r="U36" s="4" t="s">
        <v>241</v>
      </c>
      <c r="V36" s="4" t="s">
        <v>244</v>
      </c>
      <c r="X36" s="4" t="s">
        <v>241</v>
      </c>
      <c r="Y36" s="4" t="s">
        <v>237</v>
      </c>
    </row>
    <row r="37" customFormat="false" ht="15" hidden="false" customHeight="false" outlineLevel="0" collapsed="false">
      <c r="A37" s="0" t="s">
        <v>96</v>
      </c>
      <c r="B37" s="5" t="n">
        <v>45292</v>
      </c>
      <c r="C37" s="5" t="n">
        <v>46022</v>
      </c>
      <c r="D37" s="4" t="s">
        <v>237</v>
      </c>
      <c r="E37" s="4" t="s">
        <v>238</v>
      </c>
      <c r="F37" s="5" t="n">
        <v>45688</v>
      </c>
      <c r="G37" s="4" t="s">
        <v>265</v>
      </c>
      <c r="H37" s="0" t="n">
        <v>1.2</v>
      </c>
      <c r="I37" s="0" t="n">
        <v>0.001</v>
      </c>
      <c r="J37" s="0" t="n">
        <v>2</v>
      </c>
      <c r="K37" s="0" t="n">
        <v>8</v>
      </c>
      <c r="L37" s="0" t="n">
        <v>2</v>
      </c>
      <c r="M37" s="0" t="n">
        <v>4</v>
      </c>
      <c r="N37" s="4" t="s">
        <v>266</v>
      </c>
      <c r="O37" s="4" t="s">
        <v>267</v>
      </c>
      <c r="P37" s="4" t="s">
        <v>241</v>
      </c>
      <c r="Q37" s="4" t="s">
        <v>241</v>
      </c>
      <c r="R37" s="4" t="s">
        <v>242</v>
      </c>
      <c r="S37" s="0" t="n">
        <v>10</v>
      </c>
      <c r="T37" s="4" t="s">
        <v>243</v>
      </c>
      <c r="U37" s="4" t="s">
        <v>241</v>
      </c>
      <c r="V37" s="4" t="s">
        <v>244</v>
      </c>
      <c r="X37" s="4" t="s">
        <v>241</v>
      </c>
      <c r="Y37" s="4" t="s">
        <v>237</v>
      </c>
    </row>
    <row r="38" customFormat="false" ht="15" hidden="false" customHeight="false" outlineLevel="0" collapsed="false">
      <c r="A38" s="0" t="s">
        <v>98</v>
      </c>
      <c r="B38" s="5" t="n">
        <v>45292</v>
      </c>
      <c r="C38" s="5" t="n">
        <v>46022</v>
      </c>
      <c r="D38" s="4" t="s">
        <v>237</v>
      </c>
      <c r="E38" s="4" t="s">
        <v>238</v>
      </c>
      <c r="F38" s="5" t="n">
        <v>45688</v>
      </c>
      <c r="G38" s="4" t="s">
        <v>265</v>
      </c>
      <c r="H38" s="0" t="n">
        <v>1.2</v>
      </c>
      <c r="I38" s="0" t="n">
        <v>0.001</v>
      </c>
      <c r="J38" s="0" t="n">
        <v>2</v>
      </c>
      <c r="K38" s="0" t="n">
        <v>8</v>
      </c>
      <c r="L38" s="0" t="n">
        <v>2</v>
      </c>
      <c r="M38" s="0" t="n">
        <v>4</v>
      </c>
      <c r="N38" s="4" t="s">
        <v>266</v>
      </c>
      <c r="O38" s="4" t="s">
        <v>238</v>
      </c>
      <c r="P38" s="4" t="s">
        <v>241</v>
      </c>
      <c r="Q38" s="4" t="s">
        <v>241</v>
      </c>
      <c r="R38" s="4" t="s">
        <v>242</v>
      </c>
      <c r="S38" s="0" t="n">
        <v>10</v>
      </c>
      <c r="T38" s="4" t="s">
        <v>243</v>
      </c>
      <c r="U38" s="4" t="s">
        <v>241</v>
      </c>
      <c r="V38" s="4" t="s">
        <v>244</v>
      </c>
      <c r="X38" s="4" t="s">
        <v>241</v>
      </c>
      <c r="Y38" s="4" t="s">
        <v>237</v>
      </c>
    </row>
    <row r="39" customFormat="false" ht="15" hidden="false" customHeight="false" outlineLevel="0" collapsed="false">
      <c r="A39" s="0" t="s">
        <v>100</v>
      </c>
      <c r="B39" s="5" t="n">
        <v>45292</v>
      </c>
      <c r="C39" s="5" t="n">
        <v>46022</v>
      </c>
      <c r="D39" s="4" t="s">
        <v>237</v>
      </c>
      <c r="E39" s="4" t="s">
        <v>238</v>
      </c>
      <c r="F39" s="5" t="n">
        <v>45688</v>
      </c>
      <c r="G39" s="4" t="s">
        <v>265</v>
      </c>
      <c r="H39" s="0" t="n">
        <v>1.2</v>
      </c>
      <c r="I39" s="0" t="n">
        <v>0.001</v>
      </c>
      <c r="J39" s="0" t="n">
        <v>2</v>
      </c>
      <c r="K39" s="0" t="n">
        <v>8</v>
      </c>
      <c r="L39" s="0" t="n">
        <v>2</v>
      </c>
      <c r="M39" s="0" t="n">
        <v>4</v>
      </c>
      <c r="N39" s="4" t="s">
        <v>266</v>
      </c>
      <c r="O39" s="4" t="s">
        <v>238</v>
      </c>
      <c r="P39" s="4" t="s">
        <v>241</v>
      </c>
      <c r="Q39" s="4" t="s">
        <v>241</v>
      </c>
      <c r="R39" s="4" t="s">
        <v>242</v>
      </c>
      <c r="S39" s="0" t="n">
        <v>10</v>
      </c>
      <c r="T39" s="4" t="s">
        <v>243</v>
      </c>
      <c r="U39" s="4" t="s">
        <v>241</v>
      </c>
      <c r="V39" s="4" t="s">
        <v>244</v>
      </c>
      <c r="X39" s="4" t="s">
        <v>241</v>
      </c>
      <c r="Y39" s="4" t="s">
        <v>237</v>
      </c>
    </row>
    <row r="40" customFormat="false" ht="15" hidden="false" customHeight="false" outlineLevel="0" collapsed="false">
      <c r="A40" s="0" t="s">
        <v>102</v>
      </c>
      <c r="B40" s="5" t="n">
        <v>45292</v>
      </c>
      <c r="C40" s="5" t="n">
        <v>46022</v>
      </c>
      <c r="D40" s="4" t="s">
        <v>237</v>
      </c>
      <c r="E40" s="4" t="s">
        <v>238</v>
      </c>
      <c r="F40" s="5" t="n">
        <v>45688</v>
      </c>
      <c r="G40" s="4" t="s">
        <v>265</v>
      </c>
      <c r="H40" s="0" t="n">
        <v>1.2</v>
      </c>
      <c r="I40" s="0" t="n">
        <v>0.001</v>
      </c>
      <c r="J40" s="0" t="n">
        <v>2</v>
      </c>
      <c r="K40" s="0" t="n">
        <v>8</v>
      </c>
      <c r="L40" s="0" t="n">
        <v>2</v>
      </c>
      <c r="M40" s="0" t="n">
        <v>4</v>
      </c>
      <c r="N40" s="4" t="s">
        <v>266</v>
      </c>
      <c r="O40" s="4" t="s">
        <v>238</v>
      </c>
      <c r="P40" s="4" t="s">
        <v>241</v>
      </c>
      <c r="Q40" s="4" t="s">
        <v>241</v>
      </c>
      <c r="R40" s="4" t="s">
        <v>242</v>
      </c>
      <c r="S40" s="0" t="n">
        <v>10</v>
      </c>
      <c r="T40" s="4" t="s">
        <v>243</v>
      </c>
      <c r="U40" s="4" t="s">
        <v>241</v>
      </c>
      <c r="V40" s="4" t="s">
        <v>244</v>
      </c>
      <c r="X40" s="4" t="s">
        <v>241</v>
      </c>
      <c r="Y40" s="4" t="s">
        <v>237</v>
      </c>
    </row>
    <row r="41" customFormat="false" ht="15" hidden="false" customHeight="false" outlineLevel="0" collapsed="false">
      <c r="A41" s="0" t="s">
        <v>104</v>
      </c>
      <c r="B41" s="5" t="n">
        <v>45292</v>
      </c>
      <c r="C41" s="5" t="n">
        <v>46022</v>
      </c>
      <c r="D41" s="4" t="s">
        <v>237</v>
      </c>
      <c r="E41" s="4" t="s">
        <v>238</v>
      </c>
      <c r="F41" s="5" t="n">
        <v>45688</v>
      </c>
      <c r="G41" s="4" t="s">
        <v>265</v>
      </c>
      <c r="H41" s="0" t="n">
        <v>1.2</v>
      </c>
      <c r="I41" s="0" t="n">
        <v>0.001</v>
      </c>
      <c r="J41" s="0" t="n">
        <v>2</v>
      </c>
      <c r="K41" s="0" t="n">
        <v>8</v>
      </c>
      <c r="L41" s="0" t="n">
        <v>2</v>
      </c>
      <c r="M41" s="0" t="n">
        <v>4</v>
      </c>
      <c r="N41" s="4" t="s">
        <v>266</v>
      </c>
      <c r="O41" s="4" t="s">
        <v>238</v>
      </c>
      <c r="P41" s="4" t="s">
        <v>237</v>
      </c>
      <c r="Q41" s="4" t="s">
        <v>241</v>
      </c>
      <c r="R41" s="4" t="s">
        <v>242</v>
      </c>
      <c r="S41" s="0" t="n">
        <v>10</v>
      </c>
      <c r="T41" s="4" t="s">
        <v>243</v>
      </c>
      <c r="U41" s="4" t="s">
        <v>241</v>
      </c>
      <c r="V41" s="4" t="s">
        <v>244</v>
      </c>
      <c r="X41" s="4" t="s">
        <v>241</v>
      </c>
      <c r="Y41" s="4" t="s">
        <v>237</v>
      </c>
    </row>
    <row r="42" customFormat="false" ht="15" hidden="false" customHeight="false" outlineLevel="0" collapsed="false">
      <c r="A42" s="0" t="s">
        <v>106</v>
      </c>
      <c r="B42" s="5" t="n">
        <v>45292</v>
      </c>
      <c r="C42" s="5" t="n">
        <v>46022</v>
      </c>
      <c r="D42" s="4" t="s">
        <v>237</v>
      </c>
      <c r="E42" s="4" t="s">
        <v>238</v>
      </c>
      <c r="F42" s="5" t="n">
        <v>45688</v>
      </c>
      <c r="G42" s="4" t="s">
        <v>265</v>
      </c>
      <c r="H42" s="0" t="n">
        <v>1.2</v>
      </c>
      <c r="I42" s="0" t="n">
        <v>0.001</v>
      </c>
      <c r="J42" s="0" t="n">
        <v>2</v>
      </c>
      <c r="K42" s="0" t="n">
        <v>8</v>
      </c>
      <c r="L42" s="0" t="n">
        <v>2</v>
      </c>
      <c r="M42" s="0" t="n">
        <v>4</v>
      </c>
      <c r="N42" s="4" t="s">
        <v>266</v>
      </c>
      <c r="O42" s="4" t="s">
        <v>238</v>
      </c>
      <c r="P42" s="4" t="s">
        <v>237</v>
      </c>
      <c r="Q42" s="4" t="s">
        <v>241</v>
      </c>
      <c r="R42" s="4" t="s">
        <v>242</v>
      </c>
      <c r="S42" s="0" t="n">
        <v>10</v>
      </c>
      <c r="T42" s="4" t="s">
        <v>243</v>
      </c>
      <c r="U42" s="4" t="s">
        <v>241</v>
      </c>
      <c r="V42" s="4" t="s">
        <v>244</v>
      </c>
      <c r="X42" s="4" t="s">
        <v>241</v>
      </c>
      <c r="Y42" s="4" t="s">
        <v>237</v>
      </c>
    </row>
    <row r="43" customFormat="false" ht="15" hidden="false" customHeight="false" outlineLevel="0" collapsed="false">
      <c r="A43" s="0" t="s">
        <v>108</v>
      </c>
      <c r="B43" s="5" t="n">
        <v>45292</v>
      </c>
      <c r="C43" s="5" t="n">
        <v>46022</v>
      </c>
      <c r="D43" s="4" t="s">
        <v>237</v>
      </c>
      <c r="E43" s="4" t="s">
        <v>238</v>
      </c>
      <c r="F43" s="5" t="n">
        <v>45688</v>
      </c>
      <c r="G43" s="4" t="s">
        <v>265</v>
      </c>
      <c r="H43" s="0" t="n">
        <v>1.2</v>
      </c>
      <c r="I43" s="0" t="n">
        <v>0.001</v>
      </c>
      <c r="J43" s="0" t="n">
        <v>2</v>
      </c>
      <c r="K43" s="0" t="n">
        <v>8</v>
      </c>
      <c r="L43" s="0" t="n">
        <v>2</v>
      </c>
      <c r="M43" s="0" t="n">
        <v>4</v>
      </c>
      <c r="N43" s="4" t="s">
        <v>266</v>
      </c>
      <c r="O43" s="4" t="s">
        <v>238</v>
      </c>
      <c r="P43" s="4" t="s">
        <v>237</v>
      </c>
      <c r="Q43" s="4" t="s">
        <v>241</v>
      </c>
      <c r="R43" s="4" t="s">
        <v>242</v>
      </c>
      <c r="S43" s="0" t="n">
        <v>10</v>
      </c>
      <c r="T43" s="4" t="s">
        <v>243</v>
      </c>
      <c r="U43" s="4" t="s">
        <v>241</v>
      </c>
      <c r="V43" s="4" t="s">
        <v>244</v>
      </c>
      <c r="X43" s="4" t="s">
        <v>241</v>
      </c>
      <c r="Y43" s="4" t="s">
        <v>237</v>
      </c>
    </row>
    <row r="44" customFormat="false" ht="15" hidden="false" customHeight="false" outlineLevel="0" collapsed="false">
      <c r="A44" s="0" t="s">
        <v>110</v>
      </c>
      <c r="B44" s="5" t="n">
        <v>45292</v>
      </c>
      <c r="C44" s="5" t="n">
        <v>46022</v>
      </c>
      <c r="D44" s="4" t="s">
        <v>237</v>
      </c>
      <c r="E44" s="4" t="s">
        <v>238</v>
      </c>
      <c r="F44" s="5" t="n">
        <v>45688</v>
      </c>
      <c r="G44" s="4" t="s">
        <v>265</v>
      </c>
      <c r="H44" s="0" t="n">
        <v>1.2</v>
      </c>
      <c r="I44" s="0" t="n">
        <v>0.001</v>
      </c>
      <c r="J44" s="0" t="n">
        <v>2</v>
      </c>
      <c r="K44" s="0" t="n">
        <v>8</v>
      </c>
      <c r="L44" s="0" t="n">
        <v>2</v>
      </c>
      <c r="M44" s="0" t="n">
        <v>4</v>
      </c>
      <c r="N44" s="4" t="s">
        <v>266</v>
      </c>
      <c r="O44" s="4" t="s">
        <v>238</v>
      </c>
      <c r="P44" s="4" t="s">
        <v>237</v>
      </c>
      <c r="Q44" s="4" t="s">
        <v>241</v>
      </c>
      <c r="R44" s="4" t="s">
        <v>242</v>
      </c>
      <c r="S44" s="0" t="n">
        <v>10</v>
      </c>
      <c r="T44" s="4" t="s">
        <v>243</v>
      </c>
      <c r="U44" s="4" t="s">
        <v>241</v>
      </c>
      <c r="V44" s="4" t="s">
        <v>244</v>
      </c>
      <c r="X44" s="4" t="s">
        <v>241</v>
      </c>
      <c r="Y44" s="4" t="s">
        <v>237</v>
      </c>
    </row>
    <row r="45" customFormat="false" ht="15" hidden="false" customHeight="false" outlineLevel="0" collapsed="false">
      <c r="A45" s="0" t="s">
        <v>112</v>
      </c>
      <c r="B45" s="5" t="n">
        <v>45292</v>
      </c>
      <c r="C45" s="5" t="n">
        <v>46022</v>
      </c>
      <c r="D45" s="4" t="s">
        <v>237</v>
      </c>
      <c r="E45" s="4" t="s">
        <v>238</v>
      </c>
      <c r="F45" s="5" t="n">
        <v>45688</v>
      </c>
      <c r="G45" s="4" t="s">
        <v>265</v>
      </c>
      <c r="H45" s="0" t="n">
        <v>1.2</v>
      </c>
      <c r="I45" s="0" t="n">
        <v>0.001</v>
      </c>
      <c r="J45" s="0" t="n">
        <v>2</v>
      </c>
      <c r="K45" s="0" t="n">
        <v>8</v>
      </c>
      <c r="L45" s="0" t="n">
        <v>2</v>
      </c>
      <c r="M45" s="0" t="n">
        <v>4</v>
      </c>
      <c r="N45" s="4" t="s">
        <v>266</v>
      </c>
      <c r="O45" s="4" t="s">
        <v>238</v>
      </c>
      <c r="P45" s="4" t="s">
        <v>237</v>
      </c>
      <c r="Q45" s="4" t="s">
        <v>241</v>
      </c>
      <c r="R45" s="4" t="s">
        <v>242</v>
      </c>
      <c r="S45" s="0" t="n">
        <v>10</v>
      </c>
      <c r="T45" s="4" t="s">
        <v>243</v>
      </c>
      <c r="U45" s="4" t="s">
        <v>241</v>
      </c>
      <c r="V45" s="4" t="s">
        <v>244</v>
      </c>
      <c r="X45" s="4" t="s">
        <v>241</v>
      </c>
      <c r="Y45" s="4" t="s">
        <v>237</v>
      </c>
    </row>
    <row r="46" customFormat="false" ht="15" hidden="false" customHeight="false" outlineLevel="0" collapsed="false">
      <c r="A46" s="0" t="s">
        <v>114</v>
      </c>
      <c r="B46" s="5" t="n">
        <v>45292</v>
      </c>
      <c r="C46" s="5" t="n">
        <v>46022</v>
      </c>
      <c r="D46" s="4" t="s">
        <v>237</v>
      </c>
      <c r="E46" s="4" t="s">
        <v>238</v>
      </c>
      <c r="F46" s="5" t="n">
        <v>45688</v>
      </c>
      <c r="G46" s="4" t="s">
        <v>265</v>
      </c>
      <c r="H46" s="0" t="n">
        <v>1.2</v>
      </c>
      <c r="I46" s="0" t="n">
        <v>0.001</v>
      </c>
      <c r="J46" s="0" t="n">
        <v>2</v>
      </c>
      <c r="K46" s="0" t="n">
        <v>8</v>
      </c>
      <c r="L46" s="0" t="n">
        <v>2</v>
      </c>
      <c r="M46" s="0" t="n">
        <v>4</v>
      </c>
      <c r="N46" s="4" t="s">
        <v>266</v>
      </c>
      <c r="O46" s="4" t="s">
        <v>238</v>
      </c>
      <c r="P46" s="4" t="s">
        <v>237</v>
      </c>
      <c r="Q46" s="4" t="s">
        <v>241</v>
      </c>
      <c r="R46" s="4" t="s">
        <v>242</v>
      </c>
      <c r="S46" s="0" t="n">
        <v>10</v>
      </c>
      <c r="T46" s="4" t="s">
        <v>243</v>
      </c>
      <c r="U46" s="4" t="s">
        <v>241</v>
      </c>
      <c r="V46" s="4" t="s">
        <v>244</v>
      </c>
      <c r="X46" s="4" t="s">
        <v>241</v>
      </c>
      <c r="Y46" s="4" t="s">
        <v>237</v>
      </c>
    </row>
    <row r="47" customFormat="false" ht="15" hidden="false" customHeight="false" outlineLevel="0" collapsed="false">
      <c r="A47" s="0" t="s">
        <v>116</v>
      </c>
      <c r="B47" s="5" t="n">
        <v>45292</v>
      </c>
      <c r="C47" s="5" t="n">
        <v>46022</v>
      </c>
      <c r="D47" s="4" t="s">
        <v>237</v>
      </c>
      <c r="E47" s="4" t="s">
        <v>238</v>
      </c>
      <c r="F47" s="5" t="n">
        <v>45688</v>
      </c>
      <c r="G47" s="4" t="s">
        <v>265</v>
      </c>
      <c r="H47" s="0" t="n">
        <v>1.2</v>
      </c>
      <c r="I47" s="0" t="n">
        <v>0.001</v>
      </c>
      <c r="J47" s="0" t="n">
        <v>2</v>
      </c>
      <c r="K47" s="0" t="n">
        <v>8</v>
      </c>
      <c r="L47" s="0" t="n">
        <v>2</v>
      </c>
      <c r="M47" s="0" t="n">
        <v>4</v>
      </c>
      <c r="N47" s="4" t="s">
        <v>266</v>
      </c>
      <c r="O47" s="4" t="s">
        <v>238</v>
      </c>
      <c r="P47" s="4" t="s">
        <v>237</v>
      </c>
      <c r="Q47" s="4" t="s">
        <v>241</v>
      </c>
      <c r="R47" s="4" t="s">
        <v>242</v>
      </c>
      <c r="S47" s="0" t="n">
        <v>10</v>
      </c>
      <c r="T47" s="4" t="s">
        <v>243</v>
      </c>
      <c r="U47" s="4" t="s">
        <v>241</v>
      </c>
      <c r="V47" s="4" t="s">
        <v>244</v>
      </c>
      <c r="X47" s="4" t="s">
        <v>241</v>
      </c>
      <c r="Y47" s="4" t="s">
        <v>237</v>
      </c>
    </row>
    <row r="48" customFormat="false" ht="15" hidden="false" customHeight="false" outlineLevel="0" collapsed="false">
      <c r="A48" s="0" t="s">
        <v>118</v>
      </c>
      <c r="B48" s="5" t="n">
        <v>45292</v>
      </c>
      <c r="C48" s="5" t="n">
        <v>46022</v>
      </c>
      <c r="D48" s="4" t="s">
        <v>237</v>
      </c>
      <c r="E48" s="4" t="s">
        <v>238</v>
      </c>
      <c r="F48" s="5" t="n">
        <v>45688</v>
      </c>
      <c r="G48" s="4" t="s">
        <v>265</v>
      </c>
      <c r="H48" s="0" t="n">
        <v>1.2</v>
      </c>
      <c r="I48" s="0" t="n">
        <v>0.001</v>
      </c>
      <c r="J48" s="0" t="n">
        <v>2</v>
      </c>
      <c r="K48" s="0" t="n">
        <v>8</v>
      </c>
      <c r="L48" s="0" t="n">
        <v>2</v>
      </c>
      <c r="M48" s="0" t="n">
        <v>4</v>
      </c>
      <c r="N48" s="4" t="s">
        <v>266</v>
      </c>
      <c r="O48" s="4" t="s">
        <v>238</v>
      </c>
      <c r="P48" s="4" t="s">
        <v>237</v>
      </c>
      <c r="Q48" s="4" t="s">
        <v>241</v>
      </c>
      <c r="R48" s="4" t="s">
        <v>242</v>
      </c>
      <c r="S48" s="0" t="n">
        <v>10</v>
      </c>
      <c r="T48" s="4" t="s">
        <v>243</v>
      </c>
      <c r="U48" s="4" t="s">
        <v>241</v>
      </c>
      <c r="V48" s="4" t="s">
        <v>244</v>
      </c>
      <c r="X48" s="4" t="s">
        <v>241</v>
      </c>
      <c r="Y48" s="4" t="s">
        <v>237</v>
      </c>
    </row>
    <row r="49" customFormat="false" ht="15" hidden="false" customHeight="false" outlineLevel="0" collapsed="false">
      <c r="A49" s="0" t="s">
        <v>120</v>
      </c>
      <c r="B49" s="5" t="n">
        <v>45292</v>
      </c>
      <c r="C49" s="5" t="n">
        <v>46022</v>
      </c>
      <c r="D49" s="4" t="s">
        <v>237</v>
      </c>
      <c r="E49" s="4" t="s">
        <v>238</v>
      </c>
      <c r="F49" s="5" t="n">
        <v>45688</v>
      </c>
      <c r="G49" s="4" t="s">
        <v>265</v>
      </c>
      <c r="H49" s="0" t="n">
        <v>1.2</v>
      </c>
      <c r="I49" s="0" t="n">
        <v>0.001</v>
      </c>
      <c r="J49" s="0" t="n">
        <v>2</v>
      </c>
      <c r="K49" s="0" t="n">
        <v>8</v>
      </c>
      <c r="L49" s="0" t="n">
        <v>2</v>
      </c>
      <c r="M49" s="0" t="n">
        <v>4</v>
      </c>
      <c r="N49" s="4" t="s">
        <v>266</v>
      </c>
      <c r="O49" s="4" t="s">
        <v>238</v>
      </c>
      <c r="P49" s="4" t="s">
        <v>237</v>
      </c>
      <c r="Q49" s="4" t="s">
        <v>241</v>
      </c>
      <c r="R49" s="4" t="s">
        <v>242</v>
      </c>
      <c r="S49" s="0" t="n">
        <v>10</v>
      </c>
      <c r="T49" s="4" t="s">
        <v>243</v>
      </c>
      <c r="U49" s="4" t="s">
        <v>241</v>
      </c>
      <c r="V49" s="4" t="s">
        <v>244</v>
      </c>
      <c r="X49" s="4" t="s">
        <v>241</v>
      </c>
      <c r="Y49" s="4" t="s">
        <v>237</v>
      </c>
    </row>
    <row r="50" customFormat="false" ht="15" hidden="false" customHeight="false" outlineLevel="0" collapsed="false">
      <c r="A50" s="0" t="s">
        <v>122</v>
      </c>
      <c r="B50" s="5" t="n">
        <v>45292</v>
      </c>
      <c r="C50" s="5" t="n">
        <v>46022</v>
      </c>
      <c r="D50" s="4" t="s">
        <v>237</v>
      </c>
      <c r="E50" s="4" t="s">
        <v>238</v>
      </c>
      <c r="F50" s="5" t="n">
        <v>45688</v>
      </c>
      <c r="G50" s="4" t="s">
        <v>271</v>
      </c>
      <c r="H50" s="0" t="n">
        <v>1.2</v>
      </c>
      <c r="I50" s="0" t="n">
        <v>0.001</v>
      </c>
      <c r="J50" s="0" t="n">
        <v>2</v>
      </c>
      <c r="K50" s="0" t="n">
        <v>8</v>
      </c>
      <c r="L50" s="0" t="n">
        <v>2</v>
      </c>
      <c r="M50" s="0" t="n">
        <v>4</v>
      </c>
      <c r="N50" s="4" t="s">
        <v>272</v>
      </c>
      <c r="O50" s="4" t="s">
        <v>238</v>
      </c>
      <c r="P50" s="4" t="s">
        <v>237</v>
      </c>
      <c r="Q50" s="4" t="s">
        <v>241</v>
      </c>
      <c r="R50" s="4" t="s">
        <v>242</v>
      </c>
      <c r="S50" s="0" t="n">
        <v>10</v>
      </c>
      <c r="T50" s="4" t="s">
        <v>243</v>
      </c>
      <c r="U50" s="4" t="s">
        <v>241</v>
      </c>
      <c r="V50" s="4" t="s">
        <v>244</v>
      </c>
      <c r="X50" s="4" t="s">
        <v>241</v>
      </c>
      <c r="Y50" s="4" t="s">
        <v>237</v>
      </c>
    </row>
    <row r="51" customFormat="false" ht="15" hidden="false" customHeight="false" outlineLevel="0" collapsed="false">
      <c r="A51" s="0" t="s">
        <v>124</v>
      </c>
      <c r="B51" s="5" t="n">
        <v>45292</v>
      </c>
      <c r="C51" s="5" t="n">
        <v>46022</v>
      </c>
      <c r="D51" s="4" t="s">
        <v>237</v>
      </c>
      <c r="E51" s="4" t="s">
        <v>238</v>
      </c>
      <c r="F51" s="5" t="n">
        <v>45688</v>
      </c>
      <c r="G51" s="4" t="s">
        <v>271</v>
      </c>
      <c r="H51" s="0" t="n">
        <v>1.2</v>
      </c>
      <c r="I51" s="0" t="n">
        <v>0.001</v>
      </c>
      <c r="J51" s="0" t="n">
        <v>2</v>
      </c>
      <c r="K51" s="0" t="n">
        <v>8</v>
      </c>
      <c r="L51" s="0" t="n">
        <v>2</v>
      </c>
      <c r="M51" s="0" t="n">
        <v>4</v>
      </c>
      <c r="N51" s="4" t="s">
        <v>272</v>
      </c>
      <c r="O51" s="4" t="s">
        <v>238</v>
      </c>
      <c r="P51" s="4" t="s">
        <v>237</v>
      </c>
      <c r="Q51" s="4" t="s">
        <v>241</v>
      </c>
      <c r="R51" s="4" t="s">
        <v>242</v>
      </c>
      <c r="S51" s="0" t="n">
        <v>10</v>
      </c>
      <c r="T51" s="4" t="s">
        <v>243</v>
      </c>
      <c r="U51" s="4" t="s">
        <v>241</v>
      </c>
      <c r="V51" s="4" t="s">
        <v>244</v>
      </c>
      <c r="X51" s="4" t="s">
        <v>241</v>
      </c>
      <c r="Y51" s="4" t="s">
        <v>237</v>
      </c>
    </row>
    <row r="52" customFormat="false" ht="15" hidden="false" customHeight="false" outlineLevel="0" collapsed="false">
      <c r="A52" s="0" t="s">
        <v>126</v>
      </c>
      <c r="B52" s="5" t="n">
        <v>45292</v>
      </c>
      <c r="C52" s="5" t="n">
        <v>46022</v>
      </c>
      <c r="D52" s="4" t="s">
        <v>237</v>
      </c>
      <c r="E52" s="4" t="s">
        <v>238</v>
      </c>
      <c r="F52" s="5" t="n">
        <v>45688</v>
      </c>
      <c r="G52" s="4" t="s">
        <v>271</v>
      </c>
      <c r="H52" s="0" t="n">
        <v>1.2</v>
      </c>
      <c r="I52" s="0" t="n">
        <v>0.001</v>
      </c>
      <c r="J52" s="0" t="n">
        <v>2</v>
      </c>
      <c r="K52" s="0" t="n">
        <v>8</v>
      </c>
      <c r="L52" s="0" t="n">
        <v>2</v>
      </c>
      <c r="M52" s="0" t="n">
        <v>4</v>
      </c>
      <c r="N52" s="4" t="s">
        <v>272</v>
      </c>
      <c r="O52" s="4" t="s">
        <v>238</v>
      </c>
      <c r="P52" s="4" t="s">
        <v>237</v>
      </c>
      <c r="Q52" s="4" t="s">
        <v>241</v>
      </c>
      <c r="R52" s="4" t="s">
        <v>242</v>
      </c>
      <c r="S52" s="0" t="n">
        <v>10</v>
      </c>
      <c r="T52" s="4" t="s">
        <v>243</v>
      </c>
      <c r="U52" s="4" t="s">
        <v>241</v>
      </c>
      <c r="V52" s="4" t="s">
        <v>244</v>
      </c>
      <c r="X52" s="4" t="s">
        <v>241</v>
      </c>
      <c r="Y52" s="4" t="s">
        <v>237</v>
      </c>
    </row>
    <row r="53" customFormat="false" ht="15" hidden="false" customHeight="false" outlineLevel="0" collapsed="false">
      <c r="A53" s="0" t="s">
        <v>128</v>
      </c>
      <c r="B53" s="5" t="n">
        <v>45292</v>
      </c>
      <c r="C53" s="5" t="n">
        <v>46022</v>
      </c>
      <c r="D53" s="4" t="s">
        <v>237</v>
      </c>
      <c r="E53" s="4" t="s">
        <v>238</v>
      </c>
      <c r="F53" s="5" t="n">
        <v>45688</v>
      </c>
      <c r="G53" s="4" t="s">
        <v>271</v>
      </c>
      <c r="H53" s="0" t="n">
        <v>1.2</v>
      </c>
      <c r="I53" s="0" t="n">
        <v>0.001</v>
      </c>
      <c r="J53" s="0" t="n">
        <v>2</v>
      </c>
      <c r="K53" s="0" t="n">
        <v>8</v>
      </c>
      <c r="L53" s="0" t="n">
        <v>2</v>
      </c>
      <c r="M53" s="0" t="n">
        <v>4</v>
      </c>
      <c r="N53" s="4" t="s">
        <v>272</v>
      </c>
      <c r="O53" s="4" t="s">
        <v>238</v>
      </c>
      <c r="P53" s="4" t="s">
        <v>237</v>
      </c>
      <c r="Q53" s="4" t="s">
        <v>241</v>
      </c>
      <c r="R53" s="4" t="s">
        <v>242</v>
      </c>
      <c r="S53" s="0" t="n">
        <v>10</v>
      </c>
      <c r="T53" s="4" t="s">
        <v>243</v>
      </c>
      <c r="U53" s="4" t="s">
        <v>241</v>
      </c>
      <c r="V53" s="4" t="s">
        <v>244</v>
      </c>
      <c r="X53" s="4" t="s">
        <v>241</v>
      </c>
      <c r="Y53" s="4" t="s">
        <v>237</v>
      </c>
    </row>
    <row r="54" customFormat="false" ht="15" hidden="false" customHeight="false" outlineLevel="0" collapsed="false">
      <c r="A54" s="0" t="s">
        <v>130</v>
      </c>
      <c r="B54" s="5" t="n">
        <v>45292</v>
      </c>
      <c r="C54" s="5" t="n">
        <v>46022</v>
      </c>
      <c r="D54" s="4" t="s">
        <v>237</v>
      </c>
      <c r="E54" s="4" t="s">
        <v>238</v>
      </c>
      <c r="F54" s="5" t="n">
        <v>45688</v>
      </c>
      <c r="G54" s="4" t="s">
        <v>271</v>
      </c>
      <c r="H54" s="0" t="n">
        <v>1.2</v>
      </c>
      <c r="I54" s="0" t="n">
        <v>0.001</v>
      </c>
      <c r="J54" s="0" t="n">
        <v>2</v>
      </c>
      <c r="K54" s="0" t="n">
        <v>8</v>
      </c>
      <c r="L54" s="0" t="n">
        <v>2</v>
      </c>
      <c r="M54" s="0" t="n">
        <v>4</v>
      </c>
      <c r="N54" s="4" t="s">
        <v>272</v>
      </c>
      <c r="O54" s="4" t="s">
        <v>238</v>
      </c>
      <c r="P54" s="4" t="s">
        <v>241</v>
      </c>
      <c r="Q54" s="4" t="s">
        <v>241</v>
      </c>
      <c r="R54" s="4" t="s">
        <v>242</v>
      </c>
      <c r="S54" s="0" t="n">
        <v>10</v>
      </c>
      <c r="T54" s="4" t="s">
        <v>243</v>
      </c>
      <c r="U54" s="4" t="s">
        <v>241</v>
      </c>
      <c r="V54" s="4" t="s">
        <v>244</v>
      </c>
      <c r="X54" s="4" t="s">
        <v>241</v>
      </c>
      <c r="Y54" s="4" t="s">
        <v>237</v>
      </c>
    </row>
    <row r="55" customFormat="false" ht="15" hidden="false" customHeight="false" outlineLevel="0" collapsed="false">
      <c r="A55" s="0" t="s">
        <v>132</v>
      </c>
      <c r="B55" s="5" t="n">
        <v>45292</v>
      </c>
      <c r="C55" s="5" t="n">
        <v>46022</v>
      </c>
      <c r="D55" s="4" t="s">
        <v>237</v>
      </c>
      <c r="E55" s="4" t="s">
        <v>238</v>
      </c>
      <c r="F55" s="5" t="n">
        <v>45688</v>
      </c>
      <c r="G55" s="4" t="s">
        <v>271</v>
      </c>
      <c r="H55" s="0" t="n">
        <v>6</v>
      </c>
      <c r="I55" s="0" t="n">
        <v>0.001</v>
      </c>
      <c r="J55" s="0" t="n">
        <v>2</v>
      </c>
      <c r="K55" s="0" t="n">
        <v>8</v>
      </c>
      <c r="L55" s="0" t="n">
        <v>2</v>
      </c>
      <c r="M55" s="0" t="n">
        <v>4</v>
      </c>
      <c r="N55" s="4" t="s">
        <v>272</v>
      </c>
      <c r="O55" s="4" t="s">
        <v>238</v>
      </c>
      <c r="P55" s="4" t="s">
        <v>241</v>
      </c>
      <c r="Q55" s="4" t="s">
        <v>237</v>
      </c>
      <c r="R55" s="4" t="s">
        <v>242</v>
      </c>
      <c r="S55" s="0" t="n">
        <v>10</v>
      </c>
      <c r="T55" s="4" t="s">
        <v>243</v>
      </c>
      <c r="U55" s="4" t="s">
        <v>241</v>
      </c>
      <c r="V55" s="4" t="s">
        <v>244</v>
      </c>
      <c r="X55" s="4" t="s">
        <v>241</v>
      </c>
      <c r="Y55" s="4" t="s">
        <v>237</v>
      </c>
    </row>
    <row r="56" customFormat="false" ht="15" hidden="false" customHeight="false" outlineLevel="0" collapsed="false">
      <c r="A56" s="0" t="s">
        <v>134</v>
      </c>
      <c r="B56" s="5" t="n">
        <v>45292</v>
      </c>
      <c r="C56" s="5" t="n">
        <v>46022</v>
      </c>
      <c r="D56" s="4" t="s">
        <v>237</v>
      </c>
      <c r="E56" s="4" t="s">
        <v>238</v>
      </c>
      <c r="F56" s="5" t="n">
        <v>45688</v>
      </c>
      <c r="G56" s="4" t="s">
        <v>271</v>
      </c>
      <c r="H56" s="0" t="n">
        <v>6</v>
      </c>
      <c r="I56" s="0" t="n">
        <v>0.001</v>
      </c>
      <c r="J56" s="0" t="n">
        <v>2</v>
      </c>
      <c r="K56" s="0" t="n">
        <v>8</v>
      </c>
      <c r="L56" s="0" t="n">
        <v>2</v>
      </c>
      <c r="M56" s="0" t="n">
        <v>4</v>
      </c>
      <c r="N56" s="4" t="s">
        <v>272</v>
      </c>
      <c r="O56" s="4" t="s">
        <v>238</v>
      </c>
      <c r="P56" s="4" t="s">
        <v>241</v>
      </c>
      <c r="Q56" s="4" t="s">
        <v>237</v>
      </c>
      <c r="R56" s="4" t="s">
        <v>242</v>
      </c>
      <c r="S56" s="0" t="n">
        <v>10</v>
      </c>
      <c r="T56" s="4" t="s">
        <v>243</v>
      </c>
      <c r="U56" s="4" t="s">
        <v>241</v>
      </c>
      <c r="V56" s="4" t="s">
        <v>244</v>
      </c>
      <c r="X56" s="4" t="s">
        <v>241</v>
      </c>
      <c r="Y56" s="4" t="s">
        <v>237</v>
      </c>
    </row>
    <row r="57" customFormat="false" ht="15" hidden="false" customHeight="false" outlineLevel="0" collapsed="false">
      <c r="A57" s="0" t="s">
        <v>136</v>
      </c>
      <c r="B57" s="5" t="n">
        <v>45292</v>
      </c>
      <c r="C57" s="5" t="n">
        <v>46022</v>
      </c>
      <c r="D57" s="4" t="s">
        <v>237</v>
      </c>
      <c r="E57" s="4" t="s">
        <v>238</v>
      </c>
      <c r="F57" s="5" t="n">
        <v>45688</v>
      </c>
      <c r="G57" s="4" t="s">
        <v>271</v>
      </c>
      <c r="H57" s="0" t="n">
        <v>6</v>
      </c>
      <c r="I57" s="0" t="n">
        <v>0.001</v>
      </c>
      <c r="J57" s="0" t="n">
        <v>2</v>
      </c>
      <c r="K57" s="0" t="n">
        <v>8</v>
      </c>
      <c r="L57" s="0" t="n">
        <v>2</v>
      </c>
      <c r="M57" s="0" t="n">
        <v>4</v>
      </c>
      <c r="N57" s="4" t="s">
        <v>272</v>
      </c>
      <c r="O57" s="4" t="s">
        <v>238</v>
      </c>
      <c r="P57" s="4" t="s">
        <v>241</v>
      </c>
      <c r="Q57" s="4" t="s">
        <v>237</v>
      </c>
      <c r="R57" s="4" t="s">
        <v>242</v>
      </c>
      <c r="S57" s="0" t="n">
        <v>10</v>
      </c>
      <c r="T57" s="4" t="s">
        <v>243</v>
      </c>
      <c r="U57" s="4" t="s">
        <v>241</v>
      </c>
      <c r="V57" s="4" t="s">
        <v>244</v>
      </c>
      <c r="X57" s="4" t="s">
        <v>241</v>
      </c>
      <c r="Y57" s="4" t="s">
        <v>237</v>
      </c>
    </row>
    <row r="58" customFormat="false" ht="15" hidden="false" customHeight="false" outlineLevel="0" collapsed="false">
      <c r="A58" s="0" t="s">
        <v>138</v>
      </c>
      <c r="B58" s="5" t="n">
        <v>45292</v>
      </c>
      <c r="C58" s="5" t="n">
        <v>46022</v>
      </c>
      <c r="D58" s="4" t="s">
        <v>237</v>
      </c>
      <c r="E58" s="4" t="s">
        <v>238</v>
      </c>
      <c r="F58" s="5" t="n">
        <v>45688</v>
      </c>
      <c r="G58" s="4" t="s">
        <v>271</v>
      </c>
      <c r="H58" s="0" t="n">
        <v>6</v>
      </c>
      <c r="I58" s="0" t="n">
        <v>0.001</v>
      </c>
      <c r="J58" s="0" t="n">
        <v>2</v>
      </c>
      <c r="K58" s="0" t="n">
        <v>8</v>
      </c>
      <c r="L58" s="0" t="n">
        <v>2</v>
      </c>
      <c r="M58" s="0" t="n">
        <v>4</v>
      </c>
      <c r="N58" s="4" t="s">
        <v>272</v>
      </c>
      <c r="O58" s="4" t="s">
        <v>238</v>
      </c>
      <c r="P58" s="4" t="s">
        <v>241</v>
      </c>
      <c r="Q58" s="4" t="s">
        <v>237</v>
      </c>
      <c r="R58" s="4" t="s">
        <v>242</v>
      </c>
      <c r="S58" s="0" t="n">
        <v>10</v>
      </c>
      <c r="T58" s="4" t="s">
        <v>243</v>
      </c>
      <c r="U58" s="4" t="s">
        <v>241</v>
      </c>
      <c r="V58" s="4" t="s">
        <v>244</v>
      </c>
      <c r="X58" s="4" t="s">
        <v>241</v>
      </c>
      <c r="Y58" s="4" t="s">
        <v>237</v>
      </c>
    </row>
    <row r="59" customFormat="false" ht="15" hidden="false" customHeight="false" outlineLevel="0" collapsed="false">
      <c r="A59" s="0" t="s">
        <v>140</v>
      </c>
      <c r="B59" s="5" t="n">
        <v>45292</v>
      </c>
      <c r="C59" s="5" t="n">
        <v>46022</v>
      </c>
      <c r="D59" s="4" t="s">
        <v>237</v>
      </c>
      <c r="E59" s="4" t="s">
        <v>238</v>
      </c>
      <c r="F59" s="5" t="n">
        <v>45688</v>
      </c>
      <c r="G59" s="4" t="s">
        <v>271</v>
      </c>
      <c r="H59" s="0" t="n">
        <v>6</v>
      </c>
      <c r="I59" s="0" t="n">
        <v>0.001</v>
      </c>
      <c r="J59" s="0" t="n">
        <v>2</v>
      </c>
      <c r="K59" s="0" t="n">
        <v>8</v>
      </c>
      <c r="L59" s="0" t="n">
        <v>2</v>
      </c>
      <c r="M59" s="0" t="n">
        <v>4</v>
      </c>
      <c r="N59" s="4" t="s">
        <v>272</v>
      </c>
      <c r="O59" s="4" t="s">
        <v>238</v>
      </c>
      <c r="P59" s="4" t="s">
        <v>241</v>
      </c>
      <c r="Q59" s="4" t="s">
        <v>237</v>
      </c>
      <c r="R59" s="4" t="s">
        <v>242</v>
      </c>
      <c r="S59" s="0" t="n">
        <v>10</v>
      </c>
      <c r="T59" s="4" t="s">
        <v>243</v>
      </c>
      <c r="U59" s="4" t="s">
        <v>241</v>
      </c>
      <c r="V59" s="4" t="s">
        <v>244</v>
      </c>
      <c r="X59" s="4" t="s">
        <v>241</v>
      </c>
      <c r="Y59" s="4" t="s">
        <v>237</v>
      </c>
    </row>
    <row r="60" customFormat="false" ht="15" hidden="false" customHeight="false" outlineLevel="0" collapsed="false">
      <c r="A60" s="0" t="s">
        <v>142</v>
      </c>
      <c r="B60" s="5" t="n">
        <v>45292</v>
      </c>
      <c r="C60" s="5" t="n">
        <v>46022</v>
      </c>
      <c r="D60" s="4" t="s">
        <v>237</v>
      </c>
      <c r="E60" s="4" t="s">
        <v>238</v>
      </c>
      <c r="F60" s="5" t="n">
        <v>45688</v>
      </c>
      <c r="G60" s="4" t="s">
        <v>271</v>
      </c>
      <c r="H60" s="0" t="n">
        <v>6</v>
      </c>
      <c r="I60" s="0" t="n">
        <v>0.001</v>
      </c>
      <c r="J60" s="0" t="n">
        <v>2</v>
      </c>
      <c r="K60" s="0" t="n">
        <v>8</v>
      </c>
      <c r="L60" s="0" t="n">
        <v>2</v>
      </c>
      <c r="M60" s="0" t="n">
        <v>4</v>
      </c>
      <c r="N60" s="4" t="s">
        <v>272</v>
      </c>
      <c r="O60" s="4" t="s">
        <v>238</v>
      </c>
      <c r="P60" s="4" t="s">
        <v>241</v>
      </c>
      <c r="Q60" s="4" t="s">
        <v>237</v>
      </c>
      <c r="R60" s="4" t="s">
        <v>242</v>
      </c>
      <c r="S60" s="0" t="n">
        <v>10</v>
      </c>
      <c r="T60" s="4" t="s">
        <v>243</v>
      </c>
      <c r="U60" s="4" t="s">
        <v>241</v>
      </c>
      <c r="V60" s="4" t="s">
        <v>244</v>
      </c>
      <c r="X60" s="4" t="s">
        <v>241</v>
      </c>
      <c r="Y60" s="4" t="s">
        <v>237</v>
      </c>
    </row>
    <row r="61" customFormat="false" ht="15" hidden="false" customHeight="false" outlineLevel="0" collapsed="false">
      <c r="A61" s="0" t="s">
        <v>144</v>
      </c>
      <c r="B61" s="5" t="n">
        <v>45292</v>
      </c>
      <c r="C61" s="5" t="n">
        <v>46022</v>
      </c>
      <c r="D61" s="4" t="s">
        <v>237</v>
      </c>
      <c r="E61" s="4" t="s">
        <v>238</v>
      </c>
      <c r="F61" s="5" t="n">
        <v>45688</v>
      </c>
      <c r="G61" s="4" t="s">
        <v>271</v>
      </c>
      <c r="H61" s="0" t="n">
        <v>6</v>
      </c>
      <c r="I61" s="0" t="n">
        <v>0.001</v>
      </c>
      <c r="J61" s="0" t="n">
        <v>2</v>
      </c>
      <c r="K61" s="0" t="n">
        <v>8</v>
      </c>
      <c r="L61" s="0" t="n">
        <v>2</v>
      </c>
      <c r="M61" s="0" t="n">
        <v>4</v>
      </c>
      <c r="N61" s="4" t="s">
        <v>272</v>
      </c>
      <c r="O61" s="4" t="s">
        <v>238</v>
      </c>
      <c r="P61" s="4" t="s">
        <v>241</v>
      </c>
      <c r="Q61" s="4" t="s">
        <v>237</v>
      </c>
      <c r="R61" s="4" t="s">
        <v>242</v>
      </c>
      <c r="S61" s="0" t="n">
        <v>10</v>
      </c>
      <c r="T61" s="4" t="s">
        <v>243</v>
      </c>
      <c r="U61" s="4" t="s">
        <v>241</v>
      </c>
      <c r="V61" s="4" t="s">
        <v>244</v>
      </c>
      <c r="X61" s="4" t="s">
        <v>241</v>
      </c>
      <c r="Y61" s="4" t="s">
        <v>237</v>
      </c>
    </row>
    <row r="62" customFormat="false" ht="15" hidden="false" customHeight="false" outlineLevel="0" collapsed="false">
      <c r="A62" s="0" t="s">
        <v>146</v>
      </c>
      <c r="B62" s="5" t="n">
        <v>45292</v>
      </c>
      <c r="C62" s="5" t="n">
        <v>46022</v>
      </c>
      <c r="D62" s="4" t="s">
        <v>237</v>
      </c>
      <c r="E62" s="4" t="s">
        <v>238</v>
      </c>
      <c r="F62" s="5" t="n">
        <v>45688</v>
      </c>
      <c r="G62" s="4" t="s">
        <v>271</v>
      </c>
      <c r="H62" s="0" t="n">
        <v>6</v>
      </c>
      <c r="I62" s="0" t="n">
        <v>0.001</v>
      </c>
      <c r="J62" s="0" t="n">
        <v>2</v>
      </c>
      <c r="K62" s="0" t="n">
        <v>8</v>
      </c>
      <c r="L62" s="0" t="n">
        <v>2</v>
      </c>
      <c r="M62" s="0" t="n">
        <v>4</v>
      </c>
      <c r="N62" s="4" t="s">
        <v>272</v>
      </c>
      <c r="O62" s="4" t="s">
        <v>238</v>
      </c>
      <c r="P62" s="4" t="s">
        <v>241</v>
      </c>
      <c r="Q62" s="4" t="s">
        <v>237</v>
      </c>
      <c r="R62" s="4" t="s">
        <v>242</v>
      </c>
      <c r="S62" s="0" t="n">
        <v>10</v>
      </c>
      <c r="T62" s="4" t="s">
        <v>243</v>
      </c>
      <c r="U62" s="4" t="s">
        <v>241</v>
      </c>
      <c r="V62" s="4" t="s">
        <v>244</v>
      </c>
      <c r="X62" s="4" t="s">
        <v>241</v>
      </c>
      <c r="Y62" s="4" t="s">
        <v>237</v>
      </c>
    </row>
    <row r="63" customFormat="false" ht="15" hidden="false" customHeight="false" outlineLevel="0" collapsed="false">
      <c r="A63" s="0" t="s">
        <v>148</v>
      </c>
      <c r="B63" s="5" t="n">
        <v>45292</v>
      </c>
      <c r="C63" s="5" t="n">
        <v>46022</v>
      </c>
      <c r="D63" s="4" t="s">
        <v>237</v>
      </c>
      <c r="E63" s="4" t="s">
        <v>238</v>
      </c>
      <c r="F63" s="5" t="n">
        <v>45688</v>
      </c>
      <c r="G63" s="4" t="s">
        <v>271</v>
      </c>
      <c r="H63" s="0" t="n">
        <v>6</v>
      </c>
      <c r="I63" s="0" t="n">
        <v>0.001</v>
      </c>
      <c r="J63" s="0" t="n">
        <v>2</v>
      </c>
      <c r="K63" s="0" t="n">
        <v>8</v>
      </c>
      <c r="L63" s="0" t="n">
        <v>2</v>
      </c>
      <c r="M63" s="0" t="n">
        <v>4</v>
      </c>
      <c r="N63" s="4" t="s">
        <v>272</v>
      </c>
      <c r="O63" s="4" t="s">
        <v>238</v>
      </c>
      <c r="P63" s="4" t="s">
        <v>241</v>
      </c>
      <c r="Q63" s="4" t="s">
        <v>237</v>
      </c>
      <c r="R63" s="4" t="s">
        <v>242</v>
      </c>
      <c r="S63" s="0" t="n">
        <v>10</v>
      </c>
      <c r="T63" s="4" t="s">
        <v>243</v>
      </c>
      <c r="U63" s="4" t="s">
        <v>241</v>
      </c>
      <c r="V63" s="4" t="s">
        <v>244</v>
      </c>
      <c r="X63" s="4" t="s">
        <v>241</v>
      </c>
      <c r="Y63" s="4" t="s">
        <v>237</v>
      </c>
    </row>
    <row r="64" customFormat="false" ht="15" hidden="false" customHeight="false" outlineLevel="0" collapsed="false">
      <c r="A64" s="0" t="s">
        <v>150</v>
      </c>
      <c r="B64" s="5" t="n">
        <v>45292</v>
      </c>
      <c r="C64" s="5" t="n">
        <v>46022</v>
      </c>
      <c r="D64" s="4" t="s">
        <v>237</v>
      </c>
      <c r="E64" s="4" t="s">
        <v>238</v>
      </c>
      <c r="F64" s="5" t="n">
        <v>45688</v>
      </c>
      <c r="G64" s="4" t="s">
        <v>271</v>
      </c>
      <c r="H64" s="0" t="n">
        <v>6</v>
      </c>
      <c r="I64" s="0" t="n">
        <v>0.001</v>
      </c>
      <c r="J64" s="0" t="n">
        <v>2</v>
      </c>
      <c r="K64" s="0" t="n">
        <v>8</v>
      </c>
      <c r="L64" s="0" t="n">
        <v>2</v>
      </c>
      <c r="M64" s="0" t="n">
        <v>4</v>
      </c>
      <c r="N64" s="4" t="s">
        <v>272</v>
      </c>
      <c r="O64" s="4" t="s">
        <v>238</v>
      </c>
      <c r="P64" s="4" t="s">
        <v>241</v>
      </c>
      <c r="Q64" s="4" t="s">
        <v>237</v>
      </c>
      <c r="R64" s="4" t="s">
        <v>242</v>
      </c>
      <c r="S64" s="0" t="n">
        <v>10</v>
      </c>
      <c r="T64" s="4" t="s">
        <v>243</v>
      </c>
      <c r="U64" s="4" t="s">
        <v>241</v>
      </c>
      <c r="V64" s="4" t="s">
        <v>244</v>
      </c>
      <c r="X64" s="4" t="s">
        <v>241</v>
      </c>
      <c r="Y64" s="4" t="s">
        <v>237</v>
      </c>
    </row>
    <row r="65" customFormat="false" ht="15" hidden="false" customHeight="false" outlineLevel="0" collapsed="false">
      <c r="A65" s="0" t="s">
        <v>152</v>
      </c>
      <c r="B65" s="5" t="n">
        <v>45292</v>
      </c>
      <c r="C65" s="5" t="n">
        <v>46022</v>
      </c>
      <c r="D65" s="4" t="s">
        <v>237</v>
      </c>
      <c r="E65" s="4" t="s">
        <v>238</v>
      </c>
      <c r="F65" s="5" t="n">
        <v>45688</v>
      </c>
      <c r="G65" s="4" t="s">
        <v>271</v>
      </c>
      <c r="H65" s="0" t="n">
        <v>6</v>
      </c>
      <c r="I65" s="0" t="n">
        <v>0.001</v>
      </c>
      <c r="J65" s="0" t="n">
        <v>2</v>
      </c>
      <c r="K65" s="0" t="n">
        <v>8</v>
      </c>
      <c r="L65" s="0" t="n">
        <v>2</v>
      </c>
      <c r="M65" s="0" t="n">
        <v>4</v>
      </c>
      <c r="N65" s="4" t="s">
        <v>272</v>
      </c>
      <c r="O65" s="4" t="s">
        <v>238</v>
      </c>
      <c r="P65" s="4" t="s">
        <v>241</v>
      </c>
      <c r="Q65" s="4" t="s">
        <v>237</v>
      </c>
      <c r="R65" s="4" t="s">
        <v>242</v>
      </c>
      <c r="S65" s="0" t="n">
        <v>10</v>
      </c>
      <c r="T65" s="4" t="s">
        <v>243</v>
      </c>
      <c r="U65" s="4" t="s">
        <v>241</v>
      </c>
      <c r="V65" s="4" t="s">
        <v>244</v>
      </c>
      <c r="X65" s="4" t="s">
        <v>241</v>
      </c>
      <c r="Y65" s="4" t="s">
        <v>237</v>
      </c>
    </row>
    <row r="66" customFormat="false" ht="15" hidden="false" customHeight="false" outlineLevel="0" collapsed="false">
      <c r="A66" s="0" t="s">
        <v>154</v>
      </c>
      <c r="B66" s="5" t="n">
        <v>45292</v>
      </c>
      <c r="C66" s="5" t="n">
        <v>46022</v>
      </c>
      <c r="D66" s="4" t="s">
        <v>237</v>
      </c>
      <c r="E66" s="4" t="s">
        <v>238</v>
      </c>
      <c r="F66" s="5" t="n">
        <v>45688</v>
      </c>
      <c r="G66" s="4" t="s">
        <v>271</v>
      </c>
      <c r="H66" s="0" t="n">
        <v>6</v>
      </c>
      <c r="I66" s="0" t="n">
        <v>0.001</v>
      </c>
      <c r="J66" s="0" t="n">
        <v>2</v>
      </c>
      <c r="K66" s="0" t="n">
        <v>8</v>
      </c>
      <c r="L66" s="0" t="n">
        <v>2</v>
      </c>
      <c r="M66" s="0" t="n">
        <v>4</v>
      </c>
      <c r="N66" s="4" t="s">
        <v>272</v>
      </c>
      <c r="O66" s="4" t="s">
        <v>238</v>
      </c>
      <c r="P66" s="4" t="s">
        <v>241</v>
      </c>
      <c r="Q66" s="4" t="s">
        <v>237</v>
      </c>
      <c r="R66" s="4" t="s">
        <v>242</v>
      </c>
      <c r="S66" s="0" t="n">
        <v>10</v>
      </c>
      <c r="T66" s="4" t="s">
        <v>243</v>
      </c>
      <c r="U66" s="4" t="s">
        <v>241</v>
      </c>
      <c r="V66" s="4" t="s">
        <v>244</v>
      </c>
      <c r="X66" s="4" t="s">
        <v>241</v>
      </c>
      <c r="Y66" s="4" t="s">
        <v>237</v>
      </c>
    </row>
    <row r="67" customFormat="false" ht="15" hidden="false" customHeight="false" outlineLevel="0" collapsed="false">
      <c r="A67" s="0" t="s">
        <v>156</v>
      </c>
      <c r="B67" s="5" t="n">
        <v>45292</v>
      </c>
      <c r="C67" s="5" t="n">
        <v>46022</v>
      </c>
      <c r="D67" s="4" t="s">
        <v>237</v>
      </c>
      <c r="E67" s="4" t="s">
        <v>238</v>
      </c>
      <c r="F67" s="5" t="n">
        <v>45688</v>
      </c>
      <c r="G67" s="4" t="s">
        <v>271</v>
      </c>
      <c r="H67" s="0" t="n">
        <v>6</v>
      </c>
      <c r="I67" s="0" t="n">
        <v>0.001</v>
      </c>
      <c r="J67" s="0" t="n">
        <v>2</v>
      </c>
      <c r="K67" s="0" t="n">
        <v>8</v>
      </c>
      <c r="L67" s="0" t="n">
        <v>2</v>
      </c>
      <c r="M67" s="0" t="n">
        <v>4</v>
      </c>
      <c r="N67" s="4" t="s">
        <v>272</v>
      </c>
      <c r="O67" s="4" t="s">
        <v>238</v>
      </c>
      <c r="P67" s="4" t="s">
        <v>241</v>
      </c>
      <c r="Q67" s="4" t="s">
        <v>237</v>
      </c>
      <c r="R67" s="4" t="s">
        <v>242</v>
      </c>
      <c r="S67" s="0" t="n">
        <v>10</v>
      </c>
      <c r="T67" s="4" t="s">
        <v>243</v>
      </c>
      <c r="U67" s="4" t="s">
        <v>241</v>
      </c>
      <c r="V67" s="4" t="s">
        <v>244</v>
      </c>
      <c r="X67" s="4" t="s">
        <v>241</v>
      </c>
      <c r="Y67" s="4" t="s">
        <v>237</v>
      </c>
    </row>
    <row r="68" customFormat="false" ht="15" hidden="false" customHeight="false" outlineLevel="0" collapsed="false">
      <c r="A68" s="0" t="s">
        <v>158</v>
      </c>
      <c r="B68" s="5" t="n">
        <v>45292</v>
      </c>
      <c r="C68" s="5" t="n">
        <v>46022</v>
      </c>
      <c r="D68" s="4" t="s">
        <v>237</v>
      </c>
      <c r="E68" s="4" t="s">
        <v>238</v>
      </c>
      <c r="F68" s="5" t="n">
        <v>45688</v>
      </c>
      <c r="G68" s="4" t="s">
        <v>271</v>
      </c>
      <c r="H68" s="0" t="n">
        <v>6</v>
      </c>
      <c r="I68" s="0" t="n">
        <v>0.001</v>
      </c>
      <c r="J68" s="0" t="n">
        <v>2</v>
      </c>
      <c r="K68" s="0" t="n">
        <v>8</v>
      </c>
      <c r="L68" s="0" t="n">
        <v>2</v>
      </c>
      <c r="M68" s="0" t="n">
        <v>4</v>
      </c>
      <c r="N68" s="4" t="s">
        <v>272</v>
      </c>
      <c r="O68" s="4" t="s">
        <v>238</v>
      </c>
      <c r="P68" s="4" t="s">
        <v>241</v>
      </c>
      <c r="Q68" s="4" t="s">
        <v>237</v>
      </c>
      <c r="R68" s="4" t="s">
        <v>242</v>
      </c>
      <c r="S68" s="0" t="n">
        <v>10</v>
      </c>
      <c r="T68" s="4" t="s">
        <v>243</v>
      </c>
      <c r="U68" s="4" t="s">
        <v>241</v>
      </c>
      <c r="V68" s="4" t="s">
        <v>244</v>
      </c>
      <c r="X68" s="4" t="s">
        <v>241</v>
      </c>
      <c r="Y68" s="4" t="s">
        <v>237</v>
      </c>
    </row>
    <row r="69" customFormat="false" ht="15" hidden="false" customHeight="false" outlineLevel="0" collapsed="false">
      <c r="A69" s="0" t="s">
        <v>160</v>
      </c>
      <c r="B69" s="5" t="n">
        <v>45292</v>
      </c>
      <c r="C69" s="5" t="n">
        <v>46022</v>
      </c>
      <c r="D69" s="4" t="s">
        <v>237</v>
      </c>
      <c r="E69" s="4" t="s">
        <v>238</v>
      </c>
      <c r="F69" s="5" t="n">
        <v>45688</v>
      </c>
      <c r="G69" s="4" t="s">
        <v>271</v>
      </c>
      <c r="H69" s="0" t="n">
        <v>6</v>
      </c>
      <c r="I69" s="0" t="n">
        <v>0.001</v>
      </c>
      <c r="J69" s="0" t="n">
        <v>2</v>
      </c>
      <c r="K69" s="0" t="n">
        <v>8</v>
      </c>
      <c r="L69" s="0" t="n">
        <v>2</v>
      </c>
      <c r="M69" s="0" t="n">
        <v>4</v>
      </c>
      <c r="N69" s="4" t="s">
        <v>272</v>
      </c>
      <c r="O69" s="4" t="s">
        <v>238</v>
      </c>
      <c r="P69" s="4" t="s">
        <v>241</v>
      </c>
      <c r="Q69" s="4" t="s">
        <v>237</v>
      </c>
      <c r="R69" s="4" t="s">
        <v>242</v>
      </c>
      <c r="S69" s="0" t="n">
        <v>10</v>
      </c>
      <c r="T69" s="4" t="s">
        <v>243</v>
      </c>
      <c r="U69" s="4" t="s">
        <v>241</v>
      </c>
      <c r="V69" s="4" t="s">
        <v>244</v>
      </c>
      <c r="X69" s="4" t="s">
        <v>241</v>
      </c>
      <c r="Y69" s="4" t="s">
        <v>237</v>
      </c>
    </row>
    <row r="70" customFormat="false" ht="15" hidden="false" customHeight="false" outlineLevel="0" collapsed="false">
      <c r="A70" s="0" t="s">
        <v>162</v>
      </c>
      <c r="B70" s="5" t="n">
        <v>45292</v>
      </c>
      <c r="C70" s="5" t="n">
        <v>46022</v>
      </c>
      <c r="D70" s="4" t="s">
        <v>237</v>
      </c>
      <c r="E70" s="4" t="s">
        <v>238</v>
      </c>
      <c r="F70" s="5" t="n">
        <v>45688</v>
      </c>
      <c r="G70" s="4" t="s">
        <v>271</v>
      </c>
      <c r="H70" s="0" t="n">
        <v>6</v>
      </c>
      <c r="I70" s="0" t="n">
        <v>0.001</v>
      </c>
      <c r="J70" s="0" t="n">
        <v>2</v>
      </c>
      <c r="K70" s="0" t="n">
        <v>8</v>
      </c>
      <c r="L70" s="0" t="n">
        <v>2</v>
      </c>
      <c r="M70" s="0" t="n">
        <v>4</v>
      </c>
      <c r="N70" s="4" t="s">
        <v>272</v>
      </c>
      <c r="O70" s="4" t="s">
        <v>238</v>
      </c>
      <c r="P70" s="4" t="s">
        <v>241</v>
      </c>
      <c r="Q70" s="4" t="s">
        <v>237</v>
      </c>
      <c r="R70" s="4" t="s">
        <v>242</v>
      </c>
      <c r="S70" s="0" t="n">
        <v>10</v>
      </c>
      <c r="T70" s="4" t="s">
        <v>243</v>
      </c>
      <c r="U70" s="4" t="s">
        <v>241</v>
      </c>
      <c r="V70" s="4" t="s">
        <v>244</v>
      </c>
      <c r="X70" s="4" t="s">
        <v>241</v>
      </c>
      <c r="Y70" s="4" t="s">
        <v>237</v>
      </c>
    </row>
    <row r="71" customFormat="false" ht="15" hidden="false" customHeight="false" outlineLevel="0" collapsed="false">
      <c r="A71" s="0" t="s">
        <v>164</v>
      </c>
      <c r="B71" s="5" t="n">
        <v>45292</v>
      </c>
      <c r="C71" s="5" t="n">
        <v>46022</v>
      </c>
      <c r="D71" s="4" t="s">
        <v>237</v>
      </c>
      <c r="E71" s="4" t="s">
        <v>238</v>
      </c>
      <c r="F71" s="5" t="n">
        <v>45688</v>
      </c>
      <c r="G71" s="4" t="s">
        <v>271</v>
      </c>
      <c r="H71" s="0" t="n">
        <v>6</v>
      </c>
      <c r="I71" s="0" t="n">
        <v>0.001</v>
      </c>
      <c r="J71" s="0" t="n">
        <v>2</v>
      </c>
      <c r="K71" s="0" t="n">
        <v>8</v>
      </c>
      <c r="L71" s="0" t="n">
        <v>2</v>
      </c>
      <c r="M71" s="0" t="n">
        <v>4</v>
      </c>
      <c r="N71" s="4" t="s">
        <v>272</v>
      </c>
      <c r="O71" s="4" t="s">
        <v>238</v>
      </c>
      <c r="P71" s="4" t="s">
        <v>241</v>
      </c>
      <c r="Q71" s="4" t="s">
        <v>237</v>
      </c>
      <c r="R71" s="4" t="s">
        <v>242</v>
      </c>
      <c r="S71" s="0" t="n">
        <v>10</v>
      </c>
      <c r="T71" s="4" t="s">
        <v>243</v>
      </c>
      <c r="U71" s="4" t="s">
        <v>241</v>
      </c>
      <c r="V71" s="4" t="s">
        <v>244</v>
      </c>
      <c r="X71" s="4" t="s">
        <v>241</v>
      </c>
      <c r="Y71" s="4" t="s">
        <v>237</v>
      </c>
    </row>
    <row r="72" customFormat="false" ht="15" hidden="false" customHeight="false" outlineLevel="0" collapsed="false">
      <c r="A72" s="0" t="s">
        <v>166</v>
      </c>
      <c r="B72" s="5" t="n">
        <v>45292</v>
      </c>
      <c r="C72" s="5" t="n">
        <v>46022</v>
      </c>
      <c r="D72" s="4" t="s">
        <v>237</v>
      </c>
      <c r="E72" s="4" t="s">
        <v>238</v>
      </c>
      <c r="F72" s="5" t="n">
        <v>45688</v>
      </c>
      <c r="G72" s="4" t="s">
        <v>271</v>
      </c>
      <c r="H72" s="0" t="n">
        <v>6</v>
      </c>
      <c r="I72" s="0" t="n">
        <v>0.001</v>
      </c>
      <c r="J72" s="0" t="n">
        <v>2</v>
      </c>
      <c r="K72" s="0" t="n">
        <v>8</v>
      </c>
      <c r="L72" s="0" t="n">
        <v>2</v>
      </c>
      <c r="M72" s="0" t="n">
        <v>4</v>
      </c>
      <c r="N72" s="4" t="s">
        <v>272</v>
      </c>
      <c r="O72" s="4" t="s">
        <v>238</v>
      </c>
      <c r="P72" s="4" t="s">
        <v>241</v>
      </c>
      <c r="Q72" s="4" t="s">
        <v>237</v>
      </c>
      <c r="R72" s="4" t="s">
        <v>242</v>
      </c>
      <c r="S72" s="0" t="n">
        <v>10</v>
      </c>
      <c r="T72" s="4" t="s">
        <v>243</v>
      </c>
      <c r="U72" s="4" t="s">
        <v>241</v>
      </c>
      <c r="V72" s="4" t="s">
        <v>244</v>
      </c>
      <c r="X72" s="4" t="s">
        <v>241</v>
      </c>
      <c r="Y72" s="4" t="s">
        <v>237</v>
      </c>
    </row>
    <row r="73" customFormat="false" ht="15" hidden="false" customHeight="false" outlineLevel="0" collapsed="false">
      <c r="A73" s="0" t="s">
        <v>168</v>
      </c>
      <c r="B73" s="5" t="n">
        <v>45292</v>
      </c>
      <c r="C73" s="5" t="n">
        <v>46022</v>
      </c>
      <c r="D73" s="4" t="s">
        <v>237</v>
      </c>
      <c r="E73" s="4" t="s">
        <v>238</v>
      </c>
      <c r="F73" s="5" t="n">
        <v>45688</v>
      </c>
      <c r="G73" s="4" t="s">
        <v>271</v>
      </c>
      <c r="H73" s="0" t="n">
        <v>6</v>
      </c>
      <c r="I73" s="0" t="n">
        <v>0.001</v>
      </c>
      <c r="J73" s="0" t="n">
        <v>2</v>
      </c>
      <c r="K73" s="0" t="n">
        <v>8</v>
      </c>
      <c r="L73" s="0" t="n">
        <v>2</v>
      </c>
      <c r="M73" s="0" t="n">
        <v>4</v>
      </c>
      <c r="N73" s="4" t="s">
        <v>272</v>
      </c>
      <c r="O73" s="4" t="s">
        <v>238</v>
      </c>
      <c r="P73" s="4" t="s">
        <v>241</v>
      </c>
      <c r="Q73" s="4" t="s">
        <v>237</v>
      </c>
      <c r="R73" s="4" t="s">
        <v>242</v>
      </c>
      <c r="S73" s="0" t="n">
        <v>10</v>
      </c>
      <c r="T73" s="4" t="s">
        <v>243</v>
      </c>
      <c r="U73" s="4" t="s">
        <v>241</v>
      </c>
      <c r="V73" s="4" t="s">
        <v>244</v>
      </c>
      <c r="X73" s="4" t="s">
        <v>241</v>
      </c>
      <c r="Y73" s="4" t="s">
        <v>237</v>
      </c>
    </row>
    <row r="74" customFormat="false" ht="15" hidden="false" customHeight="false" outlineLevel="0" collapsed="false">
      <c r="A74" s="0" t="s">
        <v>170</v>
      </c>
      <c r="B74" s="5" t="n">
        <v>45292</v>
      </c>
      <c r="C74" s="5" t="n">
        <v>46022</v>
      </c>
      <c r="D74" s="4" t="s">
        <v>237</v>
      </c>
      <c r="E74" s="4" t="s">
        <v>238</v>
      </c>
      <c r="F74" s="5" t="n">
        <v>45688</v>
      </c>
      <c r="G74" s="4" t="s">
        <v>273</v>
      </c>
      <c r="H74" s="0" t="n">
        <v>1.2</v>
      </c>
      <c r="I74" s="0" t="n">
        <v>0.001</v>
      </c>
      <c r="J74" s="0" t="n">
        <v>2</v>
      </c>
      <c r="K74" s="0" t="n">
        <v>8</v>
      </c>
      <c r="L74" s="0" t="n">
        <v>2</v>
      </c>
      <c r="M74" s="0" t="n">
        <v>4</v>
      </c>
      <c r="N74" s="4" t="s">
        <v>274</v>
      </c>
      <c r="O74" s="4" t="s">
        <v>238</v>
      </c>
      <c r="P74" s="4" t="s">
        <v>241</v>
      </c>
      <c r="Q74" s="4" t="s">
        <v>241</v>
      </c>
      <c r="R74" s="4" t="s">
        <v>242</v>
      </c>
      <c r="S74" s="0" t="n">
        <v>10</v>
      </c>
      <c r="T74" s="4" t="s">
        <v>243</v>
      </c>
      <c r="U74" s="4" t="s">
        <v>241</v>
      </c>
      <c r="V74" s="4" t="s">
        <v>244</v>
      </c>
      <c r="X74" s="4" t="s">
        <v>241</v>
      </c>
      <c r="Y74" s="4" t="s">
        <v>237</v>
      </c>
    </row>
    <row r="75" customFormat="false" ht="15" hidden="false" customHeight="false" outlineLevel="0" collapsed="false">
      <c r="A75" s="0" t="s">
        <v>172</v>
      </c>
      <c r="B75" s="5" t="n">
        <v>45292</v>
      </c>
      <c r="C75" s="5" t="n">
        <v>46022</v>
      </c>
      <c r="D75" s="4" t="s">
        <v>237</v>
      </c>
      <c r="E75" s="4" t="s">
        <v>238</v>
      </c>
      <c r="F75" s="5" t="n">
        <v>45688</v>
      </c>
      <c r="G75" s="4" t="s">
        <v>273</v>
      </c>
      <c r="H75" s="0" t="n">
        <v>1.2</v>
      </c>
      <c r="I75" s="0" t="n">
        <v>0.001</v>
      </c>
      <c r="J75" s="0" t="n">
        <v>2</v>
      </c>
      <c r="K75" s="0" t="n">
        <v>8</v>
      </c>
      <c r="L75" s="0" t="n">
        <v>2</v>
      </c>
      <c r="M75" s="0" t="n">
        <v>4</v>
      </c>
      <c r="N75" s="4" t="s">
        <v>274</v>
      </c>
      <c r="O75" s="4" t="s">
        <v>238</v>
      </c>
      <c r="P75" s="4" t="s">
        <v>241</v>
      </c>
      <c r="Q75" s="4" t="s">
        <v>241</v>
      </c>
      <c r="R75" s="4" t="s">
        <v>242</v>
      </c>
      <c r="S75" s="0" t="n">
        <v>10</v>
      </c>
      <c r="T75" s="4" t="s">
        <v>243</v>
      </c>
      <c r="U75" s="4" t="s">
        <v>241</v>
      </c>
      <c r="V75" s="4" t="s">
        <v>244</v>
      </c>
      <c r="X75" s="4" t="s">
        <v>241</v>
      </c>
      <c r="Y75" s="4" t="s">
        <v>237</v>
      </c>
    </row>
    <row r="76" customFormat="false" ht="15" hidden="false" customHeight="false" outlineLevel="0" collapsed="false">
      <c r="A76" s="0" t="s">
        <v>174</v>
      </c>
      <c r="B76" s="5" t="n">
        <v>45292</v>
      </c>
      <c r="C76" s="5" t="n">
        <v>46022</v>
      </c>
      <c r="D76" s="4" t="s">
        <v>237</v>
      </c>
      <c r="E76" s="4" t="s">
        <v>238</v>
      </c>
      <c r="F76" s="5" t="n">
        <v>45688</v>
      </c>
      <c r="G76" s="4" t="s">
        <v>273</v>
      </c>
      <c r="H76" s="0" t="n">
        <v>1.2</v>
      </c>
      <c r="I76" s="0" t="n">
        <v>0.001</v>
      </c>
      <c r="J76" s="0" t="n">
        <v>2</v>
      </c>
      <c r="K76" s="0" t="n">
        <v>8</v>
      </c>
      <c r="L76" s="0" t="n">
        <v>2</v>
      </c>
      <c r="M76" s="0" t="n">
        <v>4</v>
      </c>
      <c r="N76" s="4" t="s">
        <v>274</v>
      </c>
      <c r="O76" s="4" t="s">
        <v>238</v>
      </c>
      <c r="P76" s="4" t="s">
        <v>241</v>
      </c>
      <c r="Q76" s="4" t="s">
        <v>241</v>
      </c>
      <c r="R76" s="4" t="s">
        <v>242</v>
      </c>
      <c r="S76" s="0" t="n">
        <v>10</v>
      </c>
      <c r="T76" s="4" t="s">
        <v>243</v>
      </c>
      <c r="U76" s="4" t="s">
        <v>241</v>
      </c>
      <c r="V76" s="4" t="s">
        <v>244</v>
      </c>
      <c r="X76" s="4" t="s">
        <v>241</v>
      </c>
      <c r="Y76" s="4" t="s">
        <v>237</v>
      </c>
    </row>
    <row r="77" customFormat="false" ht="15" hidden="false" customHeight="false" outlineLevel="0" collapsed="false">
      <c r="A77" s="0" t="s">
        <v>176</v>
      </c>
      <c r="B77" s="5" t="n">
        <v>45292</v>
      </c>
      <c r="C77" s="5" t="n">
        <v>46022</v>
      </c>
      <c r="D77" s="4" t="s">
        <v>237</v>
      </c>
      <c r="E77" s="4" t="s">
        <v>238</v>
      </c>
      <c r="F77" s="5" t="n">
        <v>45688</v>
      </c>
      <c r="G77" s="4" t="s">
        <v>273</v>
      </c>
      <c r="H77" s="0" t="n">
        <v>1.2</v>
      </c>
      <c r="I77" s="0" t="n">
        <v>0.001</v>
      </c>
      <c r="J77" s="0" t="n">
        <v>2</v>
      </c>
      <c r="K77" s="0" t="n">
        <v>8</v>
      </c>
      <c r="L77" s="0" t="n">
        <v>2</v>
      </c>
      <c r="M77" s="0" t="n">
        <v>4</v>
      </c>
      <c r="N77" s="4" t="s">
        <v>274</v>
      </c>
      <c r="O77" s="4" t="s">
        <v>238</v>
      </c>
      <c r="P77" s="4" t="s">
        <v>241</v>
      </c>
      <c r="Q77" s="4" t="s">
        <v>241</v>
      </c>
      <c r="R77" s="4" t="s">
        <v>242</v>
      </c>
      <c r="S77" s="0" t="n">
        <v>10</v>
      </c>
      <c r="T77" s="4" t="s">
        <v>243</v>
      </c>
      <c r="U77" s="4" t="s">
        <v>241</v>
      </c>
      <c r="V77" s="4" t="s">
        <v>244</v>
      </c>
      <c r="X77" s="4" t="s">
        <v>241</v>
      </c>
      <c r="Y77" s="4" t="s">
        <v>237</v>
      </c>
    </row>
    <row r="78" customFormat="false" ht="15" hidden="false" customHeight="false" outlineLevel="0" collapsed="false">
      <c r="A78" s="0" t="s">
        <v>178</v>
      </c>
      <c r="B78" s="5" t="n">
        <v>45292</v>
      </c>
      <c r="C78" s="5" t="n">
        <v>46022</v>
      </c>
      <c r="D78" s="4" t="s">
        <v>237</v>
      </c>
      <c r="E78" s="4" t="s">
        <v>238</v>
      </c>
      <c r="F78" s="5" t="n">
        <v>45688</v>
      </c>
      <c r="G78" s="4" t="s">
        <v>273</v>
      </c>
      <c r="H78" s="0" t="n">
        <v>1.2</v>
      </c>
      <c r="I78" s="0" t="n">
        <v>0.001</v>
      </c>
      <c r="J78" s="0" t="n">
        <v>2</v>
      </c>
      <c r="K78" s="0" t="n">
        <v>8</v>
      </c>
      <c r="L78" s="0" t="n">
        <v>2</v>
      </c>
      <c r="M78" s="0" t="n">
        <v>4</v>
      </c>
      <c r="N78" s="4" t="s">
        <v>274</v>
      </c>
      <c r="O78" s="4" t="s">
        <v>238</v>
      </c>
      <c r="P78" s="4" t="s">
        <v>241</v>
      </c>
      <c r="Q78" s="4" t="s">
        <v>241</v>
      </c>
      <c r="R78" s="4" t="s">
        <v>242</v>
      </c>
      <c r="S78" s="0" t="n">
        <v>10</v>
      </c>
      <c r="T78" s="4" t="s">
        <v>243</v>
      </c>
      <c r="U78" s="4" t="s">
        <v>241</v>
      </c>
      <c r="V78" s="4" t="s">
        <v>244</v>
      </c>
      <c r="X78" s="4" t="s">
        <v>241</v>
      </c>
      <c r="Y78" s="4" t="s">
        <v>237</v>
      </c>
    </row>
    <row r="79" customFormat="false" ht="15" hidden="false" customHeight="false" outlineLevel="0" collapsed="false">
      <c r="A79" s="0" t="s">
        <v>180</v>
      </c>
      <c r="B79" s="5" t="n">
        <v>45292</v>
      </c>
      <c r="C79" s="5" t="n">
        <v>46022</v>
      </c>
      <c r="D79" s="4" t="s">
        <v>237</v>
      </c>
      <c r="E79" s="4" t="s">
        <v>238</v>
      </c>
      <c r="F79" s="5" t="n">
        <v>45688</v>
      </c>
      <c r="G79" s="4" t="s">
        <v>273</v>
      </c>
      <c r="H79" s="0" t="n">
        <v>1.2</v>
      </c>
      <c r="I79" s="0" t="n">
        <v>0.001</v>
      </c>
      <c r="J79" s="0" t="n">
        <v>2</v>
      </c>
      <c r="K79" s="0" t="n">
        <v>8</v>
      </c>
      <c r="L79" s="0" t="n">
        <v>2</v>
      </c>
      <c r="M79" s="0" t="n">
        <v>4</v>
      </c>
      <c r="N79" s="4" t="s">
        <v>274</v>
      </c>
      <c r="O79" s="4" t="s">
        <v>238</v>
      </c>
      <c r="P79" s="4" t="s">
        <v>241</v>
      </c>
      <c r="Q79" s="4" t="s">
        <v>241</v>
      </c>
      <c r="R79" s="4" t="s">
        <v>242</v>
      </c>
      <c r="S79" s="0" t="n">
        <v>10</v>
      </c>
      <c r="T79" s="4" t="s">
        <v>243</v>
      </c>
      <c r="U79" s="4" t="s">
        <v>241</v>
      </c>
      <c r="V79" s="4" t="s">
        <v>244</v>
      </c>
      <c r="X79" s="4" t="s">
        <v>241</v>
      </c>
      <c r="Y79" s="4" t="s">
        <v>237</v>
      </c>
    </row>
    <row r="80" customFormat="false" ht="15" hidden="false" customHeight="false" outlineLevel="0" collapsed="false">
      <c r="A80" s="0" t="s">
        <v>182</v>
      </c>
      <c r="B80" s="5" t="n">
        <v>45292</v>
      </c>
      <c r="C80" s="5" t="n">
        <v>46022</v>
      </c>
      <c r="D80" s="4" t="s">
        <v>237</v>
      </c>
      <c r="E80" s="4" t="s">
        <v>238</v>
      </c>
      <c r="F80" s="5" t="n">
        <v>45688</v>
      </c>
      <c r="G80" s="4" t="s">
        <v>273</v>
      </c>
      <c r="H80" s="0" t="n">
        <v>1.2</v>
      </c>
      <c r="I80" s="0" t="n">
        <v>0.001</v>
      </c>
      <c r="J80" s="0" t="n">
        <v>2</v>
      </c>
      <c r="K80" s="0" t="n">
        <v>8</v>
      </c>
      <c r="L80" s="0" t="n">
        <v>2</v>
      </c>
      <c r="M80" s="0" t="n">
        <v>4</v>
      </c>
      <c r="N80" s="4" t="s">
        <v>274</v>
      </c>
      <c r="O80" s="4" t="s">
        <v>238</v>
      </c>
      <c r="P80" s="4" t="s">
        <v>241</v>
      </c>
      <c r="Q80" s="4" t="s">
        <v>241</v>
      </c>
      <c r="R80" s="4" t="s">
        <v>242</v>
      </c>
      <c r="S80" s="0" t="n">
        <v>10</v>
      </c>
      <c r="T80" s="4" t="s">
        <v>243</v>
      </c>
      <c r="U80" s="4" t="s">
        <v>241</v>
      </c>
      <c r="V80" s="4" t="s">
        <v>244</v>
      </c>
      <c r="X80" s="4" t="s">
        <v>241</v>
      </c>
      <c r="Y80" s="4" t="s">
        <v>237</v>
      </c>
    </row>
    <row r="81" customFormat="false" ht="15" hidden="false" customHeight="false" outlineLevel="0" collapsed="false">
      <c r="A81" s="0" t="s">
        <v>184</v>
      </c>
      <c r="B81" s="5" t="n">
        <v>45292</v>
      </c>
      <c r="C81" s="5" t="n">
        <v>46022</v>
      </c>
      <c r="D81" s="4" t="s">
        <v>237</v>
      </c>
      <c r="E81" s="4" t="s">
        <v>238</v>
      </c>
      <c r="F81" s="5" t="n">
        <v>45688</v>
      </c>
      <c r="G81" s="4" t="s">
        <v>273</v>
      </c>
      <c r="H81" s="0" t="n">
        <v>1.2</v>
      </c>
      <c r="I81" s="0" t="n">
        <v>0.001</v>
      </c>
      <c r="J81" s="0" t="n">
        <v>2</v>
      </c>
      <c r="K81" s="0" t="n">
        <v>8</v>
      </c>
      <c r="L81" s="0" t="n">
        <v>2</v>
      </c>
      <c r="M81" s="0" t="n">
        <v>4</v>
      </c>
      <c r="N81" s="4" t="s">
        <v>274</v>
      </c>
      <c r="O81" s="4" t="s">
        <v>238</v>
      </c>
      <c r="P81" s="4" t="s">
        <v>241</v>
      </c>
      <c r="Q81" s="4" t="s">
        <v>241</v>
      </c>
      <c r="R81" s="4" t="s">
        <v>242</v>
      </c>
      <c r="S81" s="0" t="n">
        <v>10</v>
      </c>
      <c r="T81" s="4" t="s">
        <v>243</v>
      </c>
      <c r="U81" s="4" t="s">
        <v>241</v>
      </c>
      <c r="V81" s="4" t="s">
        <v>244</v>
      </c>
      <c r="X81" s="4" t="s">
        <v>241</v>
      </c>
      <c r="Y81" s="4" t="s">
        <v>237</v>
      </c>
    </row>
    <row r="82" customFormat="false" ht="15" hidden="false" customHeight="false" outlineLevel="0" collapsed="false">
      <c r="A82" s="0" t="s">
        <v>186</v>
      </c>
      <c r="B82" s="5" t="n">
        <v>45292</v>
      </c>
      <c r="C82" s="5" t="n">
        <v>46022</v>
      </c>
      <c r="D82" s="4" t="s">
        <v>237</v>
      </c>
      <c r="E82" s="4" t="s">
        <v>238</v>
      </c>
      <c r="F82" s="5" t="n">
        <v>45688</v>
      </c>
      <c r="G82" s="4" t="s">
        <v>273</v>
      </c>
      <c r="H82" s="0" t="n">
        <v>1.2</v>
      </c>
      <c r="I82" s="0" t="n">
        <v>0.001</v>
      </c>
      <c r="J82" s="0" t="n">
        <v>2</v>
      </c>
      <c r="K82" s="0" t="n">
        <v>8</v>
      </c>
      <c r="L82" s="0" t="n">
        <v>2</v>
      </c>
      <c r="M82" s="0" t="n">
        <v>4</v>
      </c>
      <c r="N82" s="4" t="s">
        <v>274</v>
      </c>
      <c r="O82" s="4" t="s">
        <v>238</v>
      </c>
      <c r="P82" s="4" t="s">
        <v>241</v>
      </c>
      <c r="Q82" s="4" t="s">
        <v>241</v>
      </c>
      <c r="R82" s="4" t="s">
        <v>242</v>
      </c>
      <c r="S82" s="0" t="n">
        <v>10</v>
      </c>
      <c r="T82" s="4" t="s">
        <v>243</v>
      </c>
      <c r="U82" s="4" t="s">
        <v>241</v>
      </c>
      <c r="V82" s="4" t="s">
        <v>244</v>
      </c>
      <c r="X82" s="4" t="s">
        <v>241</v>
      </c>
      <c r="Y82" s="4" t="s">
        <v>237</v>
      </c>
    </row>
    <row r="83" customFormat="false" ht="15" hidden="false" customHeight="false" outlineLevel="0" collapsed="false">
      <c r="A83" s="0" t="s">
        <v>188</v>
      </c>
      <c r="B83" s="5" t="n">
        <v>45292</v>
      </c>
      <c r="C83" s="5" t="n">
        <v>46022</v>
      </c>
      <c r="D83" s="4" t="s">
        <v>237</v>
      </c>
      <c r="E83" s="4" t="s">
        <v>238</v>
      </c>
      <c r="F83" s="5" t="n">
        <v>45688</v>
      </c>
      <c r="G83" s="4" t="s">
        <v>273</v>
      </c>
      <c r="H83" s="0" t="n">
        <v>1.2</v>
      </c>
      <c r="I83" s="0" t="n">
        <v>0.001</v>
      </c>
      <c r="J83" s="0" t="n">
        <v>2</v>
      </c>
      <c r="K83" s="0" t="n">
        <v>8</v>
      </c>
      <c r="L83" s="0" t="n">
        <v>2</v>
      </c>
      <c r="M83" s="0" t="n">
        <v>4</v>
      </c>
      <c r="N83" s="4" t="s">
        <v>274</v>
      </c>
      <c r="O83" s="4" t="s">
        <v>238</v>
      </c>
      <c r="P83" s="4" t="s">
        <v>241</v>
      </c>
      <c r="Q83" s="4" t="s">
        <v>241</v>
      </c>
      <c r="R83" s="4" t="s">
        <v>242</v>
      </c>
      <c r="S83" s="0" t="n">
        <v>10</v>
      </c>
      <c r="T83" s="4" t="s">
        <v>243</v>
      </c>
      <c r="U83" s="4" t="s">
        <v>241</v>
      </c>
      <c r="V83" s="4" t="s">
        <v>244</v>
      </c>
      <c r="X83" s="4" t="s">
        <v>241</v>
      </c>
      <c r="Y83" s="4" t="s">
        <v>237</v>
      </c>
    </row>
    <row r="84" customFormat="false" ht="15" hidden="false" customHeight="false" outlineLevel="0" collapsed="false">
      <c r="A84" s="0" t="s">
        <v>190</v>
      </c>
      <c r="B84" s="5" t="n">
        <v>45292</v>
      </c>
      <c r="C84" s="5" t="n">
        <v>46022</v>
      </c>
      <c r="D84" s="4" t="s">
        <v>237</v>
      </c>
      <c r="E84" s="4" t="s">
        <v>238</v>
      </c>
      <c r="F84" s="5" t="n">
        <v>45688</v>
      </c>
      <c r="G84" s="4" t="s">
        <v>273</v>
      </c>
      <c r="H84" s="0" t="n">
        <v>1.2</v>
      </c>
      <c r="I84" s="0" t="n">
        <v>0.001</v>
      </c>
      <c r="J84" s="0" t="n">
        <v>2</v>
      </c>
      <c r="K84" s="0" t="n">
        <v>8</v>
      </c>
      <c r="L84" s="0" t="n">
        <v>2</v>
      </c>
      <c r="M84" s="0" t="n">
        <v>4</v>
      </c>
      <c r="N84" s="4" t="s">
        <v>274</v>
      </c>
      <c r="O84" s="4" t="s">
        <v>238</v>
      </c>
      <c r="P84" s="4" t="s">
        <v>241</v>
      </c>
      <c r="Q84" s="4" t="s">
        <v>241</v>
      </c>
      <c r="R84" s="4" t="s">
        <v>242</v>
      </c>
      <c r="S84" s="0" t="n">
        <v>10</v>
      </c>
      <c r="T84" s="4" t="s">
        <v>243</v>
      </c>
      <c r="U84" s="4" t="s">
        <v>241</v>
      </c>
      <c r="V84" s="4" t="s">
        <v>244</v>
      </c>
      <c r="X84" s="4" t="s">
        <v>241</v>
      </c>
      <c r="Y84" s="4" t="s">
        <v>237</v>
      </c>
    </row>
    <row r="85" customFormat="false" ht="15" hidden="false" customHeight="false" outlineLevel="0" collapsed="false">
      <c r="A85" s="0" t="s">
        <v>192</v>
      </c>
      <c r="B85" s="5" t="n">
        <v>45292</v>
      </c>
      <c r="C85" s="5" t="n">
        <v>46022</v>
      </c>
      <c r="D85" s="4" t="s">
        <v>237</v>
      </c>
      <c r="E85" s="4" t="s">
        <v>238</v>
      </c>
      <c r="F85" s="5" t="n">
        <v>45688</v>
      </c>
      <c r="G85" s="4" t="s">
        <v>273</v>
      </c>
      <c r="H85" s="0" t="n">
        <v>1.2</v>
      </c>
      <c r="I85" s="0" t="n">
        <v>0.001</v>
      </c>
      <c r="J85" s="0" t="n">
        <v>2</v>
      </c>
      <c r="K85" s="0" t="n">
        <v>8</v>
      </c>
      <c r="L85" s="0" t="n">
        <v>2</v>
      </c>
      <c r="M85" s="0" t="n">
        <v>4</v>
      </c>
      <c r="N85" s="4" t="s">
        <v>274</v>
      </c>
      <c r="O85" s="4" t="s">
        <v>238</v>
      </c>
      <c r="P85" s="4" t="s">
        <v>241</v>
      </c>
      <c r="Q85" s="4" t="s">
        <v>241</v>
      </c>
      <c r="R85" s="4" t="s">
        <v>242</v>
      </c>
      <c r="S85" s="0" t="n">
        <v>10</v>
      </c>
      <c r="T85" s="4" t="s">
        <v>243</v>
      </c>
      <c r="U85" s="4" t="s">
        <v>241</v>
      </c>
      <c r="V85" s="4" t="s">
        <v>244</v>
      </c>
      <c r="X85" s="4" t="s">
        <v>241</v>
      </c>
      <c r="Y85" s="4" t="s">
        <v>237</v>
      </c>
    </row>
    <row r="86" customFormat="false" ht="15" hidden="false" customHeight="false" outlineLevel="0" collapsed="false">
      <c r="A86" s="0" t="s">
        <v>194</v>
      </c>
      <c r="B86" s="5" t="n">
        <v>45292</v>
      </c>
      <c r="C86" s="5" t="n">
        <v>46022</v>
      </c>
      <c r="D86" s="4" t="s">
        <v>237</v>
      </c>
      <c r="E86" s="4" t="s">
        <v>238</v>
      </c>
      <c r="F86" s="5" t="n">
        <v>45688</v>
      </c>
      <c r="G86" s="4" t="s">
        <v>273</v>
      </c>
      <c r="H86" s="0" t="n">
        <v>1.2</v>
      </c>
      <c r="I86" s="0" t="n">
        <v>0.001</v>
      </c>
      <c r="J86" s="0" t="n">
        <v>2</v>
      </c>
      <c r="K86" s="0" t="n">
        <v>8</v>
      </c>
      <c r="L86" s="0" t="n">
        <v>2</v>
      </c>
      <c r="M86" s="0" t="n">
        <v>4</v>
      </c>
      <c r="N86" s="4" t="s">
        <v>274</v>
      </c>
      <c r="O86" s="4" t="s">
        <v>238</v>
      </c>
      <c r="P86" s="4" t="s">
        <v>241</v>
      </c>
      <c r="Q86" s="4" t="s">
        <v>241</v>
      </c>
      <c r="R86" s="4" t="s">
        <v>242</v>
      </c>
      <c r="S86" s="0" t="n">
        <v>10</v>
      </c>
      <c r="T86" s="4" t="s">
        <v>243</v>
      </c>
      <c r="U86" s="4" t="s">
        <v>241</v>
      </c>
      <c r="V86" s="4" t="s">
        <v>244</v>
      </c>
      <c r="X86" s="4" t="s">
        <v>241</v>
      </c>
      <c r="Y86" s="4" t="s">
        <v>237</v>
      </c>
    </row>
    <row r="87" customFormat="false" ht="15" hidden="false" customHeight="false" outlineLevel="0" collapsed="false">
      <c r="A87" s="0" t="s">
        <v>196</v>
      </c>
      <c r="B87" s="5" t="n">
        <v>45292</v>
      </c>
      <c r="C87" s="5" t="n">
        <v>46022</v>
      </c>
      <c r="D87" s="4" t="s">
        <v>237</v>
      </c>
      <c r="E87" s="4" t="s">
        <v>238</v>
      </c>
      <c r="F87" s="5" t="n">
        <v>45688</v>
      </c>
      <c r="G87" s="4" t="s">
        <v>273</v>
      </c>
      <c r="H87" s="0" t="n">
        <v>1.2</v>
      </c>
      <c r="I87" s="0" t="n">
        <v>0.001</v>
      </c>
      <c r="J87" s="0" t="n">
        <v>2</v>
      </c>
      <c r="K87" s="0" t="n">
        <v>8</v>
      </c>
      <c r="L87" s="0" t="n">
        <v>2</v>
      </c>
      <c r="M87" s="0" t="n">
        <v>4</v>
      </c>
      <c r="N87" s="4" t="s">
        <v>274</v>
      </c>
      <c r="O87" s="4" t="s">
        <v>238</v>
      </c>
      <c r="P87" s="4" t="s">
        <v>241</v>
      </c>
      <c r="Q87" s="4" t="s">
        <v>241</v>
      </c>
      <c r="R87" s="4" t="s">
        <v>242</v>
      </c>
      <c r="S87" s="0" t="n">
        <v>10</v>
      </c>
      <c r="T87" s="4" t="s">
        <v>243</v>
      </c>
      <c r="U87" s="4" t="s">
        <v>241</v>
      </c>
      <c r="V87" s="4" t="s">
        <v>244</v>
      </c>
      <c r="X87" s="4" t="s">
        <v>241</v>
      </c>
      <c r="Y87" s="4" t="s">
        <v>237</v>
      </c>
    </row>
    <row r="88" customFormat="false" ht="15" hidden="false" customHeight="false" outlineLevel="0" collapsed="false">
      <c r="A88" s="0" t="s">
        <v>198</v>
      </c>
      <c r="B88" s="5" t="n">
        <v>45292</v>
      </c>
      <c r="C88" s="5" t="n">
        <v>46022</v>
      </c>
      <c r="D88" s="4" t="s">
        <v>237</v>
      </c>
      <c r="E88" s="4" t="s">
        <v>238</v>
      </c>
      <c r="F88" s="5" t="n">
        <v>45688</v>
      </c>
      <c r="G88" s="4" t="s">
        <v>273</v>
      </c>
      <c r="H88" s="0" t="n">
        <v>1.2</v>
      </c>
      <c r="I88" s="0" t="n">
        <v>0.001</v>
      </c>
      <c r="J88" s="0" t="n">
        <v>2</v>
      </c>
      <c r="K88" s="0" t="n">
        <v>8</v>
      </c>
      <c r="L88" s="0" t="n">
        <v>2</v>
      </c>
      <c r="M88" s="0" t="n">
        <v>4</v>
      </c>
      <c r="N88" s="4" t="s">
        <v>274</v>
      </c>
      <c r="O88" s="4" t="s">
        <v>238</v>
      </c>
      <c r="P88" s="4" t="s">
        <v>241</v>
      </c>
      <c r="Q88" s="4" t="s">
        <v>241</v>
      </c>
      <c r="R88" s="4" t="s">
        <v>242</v>
      </c>
      <c r="S88" s="0" t="n">
        <v>10</v>
      </c>
      <c r="T88" s="4" t="s">
        <v>243</v>
      </c>
      <c r="U88" s="4" t="s">
        <v>241</v>
      </c>
      <c r="V88" s="4" t="s">
        <v>244</v>
      </c>
      <c r="X88" s="4" t="s">
        <v>241</v>
      </c>
      <c r="Y88" s="4" t="s">
        <v>237</v>
      </c>
    </row>
    <row r="89" customFormat="false" ht="15" hidden="false" customHeight="false" outlineLevel="0" collapsed="false">
      <c r="A89" s="0" t="s">
        <v>200</v>
      </c>
      <c r="B89" s="5" t="n">
        <v>45292</v>
      </c>
      <c r="C89" s="5" t="n">
        <v>46022</v>
      </c>
      <c r="D89" s="4" t="s">
        <v>237</v>
      </c>
      <c r="E89" s="4" t="s">
        <v>238</v>
      </c>
      <c r="F89" s="5" t="n">
        <v>45688</v>
      </c>
      <c r="G89" s="4" t="s">
        <v>273</v>
      </c>
      <c r="H89" s="0" t="n">
        <v>1.2</v>
      </c>
      <c r="I89" s="0" t="n">
        <v>0.001</v>
      </c>
      <c r="J89" s="0" t="n">
        <v>2</v>
      </c>
      <c r="K89" s="0" t="n">
        <v>8</v>
      </c>
      <c r="L89" s="0" t="n">
        <v>2</v>
      </c>
      <c r="M89" s="0" t="n">
        <v>4</v>
      </c>
      <c r="N89" s="4" t="s">
        <v>274</v>
      </c>
      <c r="O89" s="4" t="s">
        <v>238</v>
      </c>
      <c r="P89" s="4" t="s">
        <v>241</v>
      </c>
      <c r="Q89" s="4" t="s">
        <v>241</v>
      </c>
      <c r="R89" s="4" t="s">
        <v>242</v>
      </c>
      <c r="S89" s="0" t="n">
        <v>10</v>
      </c>
      <c r="T89" s="4" t="s">
        <v>243</v>
      </c>
      <c r="U89" s="4" t="s">
        <v>241</v>
      </c>
      <c r="V89" s="4" t="s">
        <v>244</v>
      </c>
      <c r="X89" s="4" t="s">
        <v>241</v>
      </c>
      <c r="Y89" s="4" t="s">
        <v>237</v>
      </c>
    </row>
    <row r="90" customFormat="false" ht="15" hidden="false" customHeight="false" outlineLevel="0" collapsed="false">
      <c r="A90" s="0" t="s">
        <v>202</v>
      </c>
      <c r="B90" s="5" t="n">
        <v>45292</v>
      </c>
      <c r="C90" s="5" t="n">
        <v>46022</v>
      </c>
      <c r="D90" s="4" t="s">
        <v>237</v>
      </c>
      <c r="E90" s="4" t="s">
        <v>238</v>
      </c>
      <c r="F90" s="5" t="n">
        <v>45688</v>
      </c>
      <c r="G90" s="4" t="s">
        <v>273</v>
      </c>
      <c r="H90" s="0" t="n">
        <v>1.2</v>
      </c>
      <c r="I90" s="0" t="n">
        <v>0.001</v>
      </c>
      <c r="J90" s="0" t="n">
        <v>2</v>
      </c>
      <c r="K90" s="0" t="n">
        <v>8</v>
      </c>
      <c r="L90" s="0" t="n">
        <v>2</v>
      </c>
      <c r="M90" s="0" t="n">
        <v>4</v>
      </c>
      <c r="N90" s="4" t="s">
        <v>274</v>
      </c>
      <c r="O90" s="4" t="s">
        <v>238</v>
      </c>
      <c r="P90" s="4" t="s">
        <v>241</v>
      </c>
      <c r="Q90" s="4" t="s">
        <v>241</v>
      </c>
      <c r="R90" s="4" t="s">
        <v>242</v>
      </c>
      <c r="S90" s="0" t="n">
        <v>10</v>
      </c>
      <c r="T90" s="4" t="s">
        <v>243</v>
      </c>
      <c r="U90" s="4" t="s">
        <v>241</v>
      </c>
      <c r="V90" s="4" t="s">
        <v>244</v>
      </c>
      <c r="X90" s="4" t="s">
        <v>241</v>
      </c>
      <c r="Y90" s="4" t="s">
        <v>237</v>
      </c>
    </row>
    <row r="91" customFormat="false" ht="15" hidden="false" customHeight="false" outlineLevel="0" collapsed="false">
      <c r="A91" s="0" t="s">
        <v>204</v>
      </c>
      <c r="B91" s="5" t="n">
        <v>45292</v>
      </c>
      <c r="C91" s="5" t="n">
        <v>46022</v>
      </c>
      <c r="D91" s="4" t="s">
        <v>237</v>
      </c>
      <c r="E91" s="4" t="s">
        <v>238</v>
      </c>
      <c r="F91" s="5" t="n">
        <v>45688</v>
      </c>
      <c r="G91" s="4" t="s">
        <v>273</v>
      </c>
      <c r="H91" s="0" t="n">
        <v>4</v>
      </c>
      <c r="I91" s="0" t="n">
        <v>0.001</v>
      </c>
      <c r="J91" s="0" t="n">
        <v>2</v>
      </c>
      <c r="K91" s="0" t="n">
        <v>8</v>
      </c>
      <c r="L91" s="0" t="n">
        <v>2</v>
      </c>
      <c r="M91" s="0" t="n">
        <v>4</v>
      </c>
      <c r="N91" s="4" t="s">
        <v>274</v>
      </c>
      <c r="O91" s="4" t="s">
        <v>238</v>
      </c>
      <c r="P91" s="4" t="s">
        <v>241</v>
      </c>
      <c r="Q91" s="4" t="s">
        <v>241</v>
      </c>
      <c r="R91" s="4" t="s">
        <v>242</v>
      </c>
      <c r="S91" s="0" t="n">
        <v>10</v>
      </c>
      <c r="T91" s="4" t="s">
        <v>243</v>
      </c>
      <c r="U91" s="4" t="s">
        <v>241</v>
      </c>
      <c r="V91" s="4" t="s">
        <v>244</v>
      </c>
      <c r="X91" s="4" t="s">
        <v>241</v>
      </c>
      <c r="Y91" s="4" t="s">
        <v>237</v>
      </c>
    </row>
    <row r="92" customFormat="false" ht="15" hidden="false" customHeight="false" outlineLevel="0" collapsed="false">
      <c r="A92" s="0" t="s">
        <v>206</v>
      </c>
      <c r="B92" s="5" t="n">
        <v>45292</v>
      </c>
      <c r="C92" s="5" t="n">
        <v>46022</v>
      </c>
      <c r="D92" s="4" t="s">
        <v>237</v>
      </c>
      <c r="E92" s="4" t="s">
        <v>238</v>
      </c>
      <c r="F92" s="5" t="n">
        <v>45688</v>
      </c>
      <c r="G92" s="4" t="s">
        <v>273</v>
      </c>
      <c r="H92" s="0" t="n">
        <v>1.2</v>
      </c>
      <c r="I92" s="0" t="n">
        <v>0.001</v>
      </c>
      <c r="J92" s="0" t="n">
        <v>2</v>
      </c>
      <c r="K92" s="0" t="n">
        <v>8</v>
      </c>
      <c r="L92" s="0" t="n">
        <v>2</v>
      </c>
      <c r="M92" s="0" t="n">
        <v>4</v>
      </c>
      <c r="N92" s="4" t="s">
        <v>274</v>
      </c>
      <c r="O92" s="4" t="s">
        <v>238</v>
      </c>
      <c r="P92" s="4" t="s">
        <v>241</v>
      </c>
      <c r="Q92" s="4" t="s">
        <v>241</v>
      </c>
      <c r="R92" s="4" t="s">
        <v>242</v>
      </c>
      <c r="S92" s="0" t="n">
        <v>10</v>
      </c>
      <c r="T92" s="4" t="s">
        <v>243</v>
      </c>
      <c r="U92" s="4" t="s">
        <v>241</v>
      </c>
      <c r="V92" s="4" t="s">
        <v>244</v>
      </c>
      <c r="X92" s="4" t="s">
        <v>241</v>
      </c>
      <c r="Y92" s="4" t="s">
        <v>237</v>
      </c>
    </row>
    <row r="93" customFormat="false" ht="15" hidden="false" customHeight="false" outlineLevel="0" collapsed="false">
      <c r="A93" s="0" t="s">
        <v>208</v>
      </c>
      <c r="B93" s="5" t="n">
        <v>45292</v>
      </c>
      <c r="C93" s="5" t="n">
        <v>46022</v>
      </c>
      <c r="D93" s="4" t="s">
        <v>237</v>
      </c>
      <c r="E93" s="4" t="s">
        <v>238</v>
      </c>
      <c r="F93" s="5" t="n">
        <v>45688</v>
      </c>
      <c r="G93" s="4" t="s">
        <v>273</v>
      </c>
      <c r="H93" s="0" t="n">
        <v>1.2</v>
      </c>
      <c r="I93" s="0" t="n">
        <v>0.001</v>
      </c>
      <c r="J93" s="0" t="n">
        <v>2</v>
      </c>
      <c r="K93" s="0" t="n">
        <v>8</v>
      </c>
      <c r="L93" s="0" t="n">
        <v>2</v>
      </c>
      <c r="M93" s="0" t="n">
        <v>4</v>
      </c>
      <c r="N93" s="4" t="s">
        <v>274</v>
      </c>
      <c r="O93" s="4" t="s">
        <v>238</v>
      </c>
      <c r="P93" s="4" t="s">
        <v>241</v>
      </c>
      <c r="Q93" s="4" t="s">
        <v>241</v>
      </c>
      <c r="R93" s="4" t="s">
        <v>242</v>
      </c>
      <c r="S93" s="0" t="n">
        <v>10</v>
      </c>
      <c r="T93" s="4" t="s">
        <v>243</v>
      </c>
      <c r="U93" s="4" t="s">
        <v>241</v>
      </c>
      <c r="V93" s="4" t="s">
        <v>244</v>
      </c>
      <c r="X93" s="4" t="s">
        <v>241</v>
      </c>
      <c r="Y93" s="4" t="s">
        <v>237</v>
      </c>
    </row>
    <row r="94" customFormat="false" ht="15" hidden="false" customHeight="false" outlineLevel="0" collapsed="false">
      <c r="A94" s="0" t="s">
        <v>210</v>
      </c>
      <c r="B94" s="5" t="n">
        <v>45292</v>
      </c>
      <c r="C94" s="5" t="n">
        <v>46022</v>
      </c>
      <c r="D94" s="4" t="s">
        <v>237</v>
      </c>
      <c r="E94" s="4" t="s">
        <v>238</v>
      </c>
      <c r="F94" s="5" t="n">
        <v>45688</v>
      </c>
      <c r="G94" s="4" t="s">
        <v>273</v>
      </c>
      <c r="H94" s="0" t="n">
        <v>1.2</v>
      </c>
      <c r="I94" s="0" t="n">
        <v>0.001</v>
      </c>
      <c r="J94" s="0" t="n">
        <v>2</v>
      </c>
      <c r="K94" s="0" t="n">
        <v>8</v>
      </c>
      <c r="L94" s="0" t="n">
        <v>2</v>
      </c>
      <c r="M94" s="0" t="n">
        <v>4</v>
      </c>
      <c r="N94" s="4" t="s">
        <v>274</v>
      </c>
      <c r="O94" s="4" t="s">
        <v>238</v>
      </c>
      <c r="P94" s="4" t="s">
        <v>241</v>
      </c>
      <c r="Q94" s="4" t="s">
        <v>241</v>
      </c>
      <c r="R94" s="4" t="s">
        <v>242</v>
      </c>
      <c r="S94" s="0" t="n">
        <v>10</v>
      </c>
      <c r="T94" s="4" t="s">
        <v>243</v>
      </c>
      <c r="U94" s="4" t="s">
        <v>241</v>
      </c>
      <c r="V94" s="4" t="s">
        <v>244</v>
      </c>
      <c r="X94" s="4" t="s">
        <v>241</v>
      </c>
      <c r="Y94" s="4" t="s">
        <v>237</v>
      </c>
    </row>
    <row r="95" customFormat="false" ht="15" hidden="false" customHeight="false" outlineLevel="0" collapsed="false">
      <c r="A95" s="0" t="s">
        <v>212</v>
      </c>
      <c r="B95" s="5" t="n">
        <v>45292</v>
      </c>
      <c r="C95" s="5" t="n">
        <v>46022</v>
      </c>
      <c r="D95" s="4" t="s">
        <v>237</v>
      </c>
      <c r="E95" s="4" t="s">
        <v>238</v>
      </c>
      <c r="F95" s="5" t="n">
        <v>45688</v>
      </c>
      <c r="G95" s="4" t="s">
        <v>273</v>
      </c>
      <c r="H95" s="0" t="n">
        <v>1.2</v>
      </c>
      <c r="I95" s="0" t="n">
        <v>0.001</v>
      </c>
      <c r="J95" s="0" t="n">
        <v>2</v>
      </c>
      <c r="K95" s="0" t="n">
        <v>8</v>
      </c>
      <c r="L95" s="0" t="n">
        <v>2</v>
      </c>
      <c r="M95" s="0" t="n">
        <v>4</v>
      </c>
      <c r="N95" s="4" t="s">
        <v>274</v>
      </c>
      <c r="O95" s="4" t="s">
        <v>238</v>
      </c>
      <c r="P95" s="4" t="s">
        <v>241</v>
      </c>
      <c r="Q95" s="4" t="s">
        <v>241</v>
      </c>
      <c r="R95" s="4" t="s">
        <v>242</v>
      </c>
      <c r="S95" s="0" t="n">
        <v>10</v>
      </c>
      <c r="T95" s="4" t="s">
        <v>243</v>
      </c>
      <c r="U95" s="4" t="s">
        <v>241</v>
      </c>
      <c r="V95" s="4" t="s">
        <v>244</v>
      </c>
      <c r="X95" s="4" t="s">
        <v>241</v>
      </c>
      <c r="Y95" s="4" t="s">
        <v>237</v>
      </c>
    </row>
    <row r="96" customFormat="false" ht="15" hidden="false" customHeight="false" outlineLevel="0" collapsed="false">
      <c r="A96" s="0" t="s">
        <v>214</v>
      </c>
      <c r="B96" s="5" t="n">
        <v>45292</v>
      </c>
      <c r="C96" s="5" t="n">
        <v>46022</v>
      </c>
      <c r="D96" s="4" t="s">
        <v>237</v>
      </c>
      <c r="E96" s="4" t="s">
        <v>238</v>
      </c>
      <c r="F96" s="5" t="n">
        <v>45688</v>
      </c>
      <c r="G96" s="4" t="s">
        <v>273</v>
      </c>
      <c r="H96" s="0" t="n">
        <v>1.2</v>
      </c>
      <c r="I96" s="0" t="n">
        <v>0.001</v>
      </c>
      <c r="J96" s="0" t="n">
        <v>2</v>
      </c>
      <c r="K96" s="0" t="n">
        <v>8</v>
      </c>
      <c r="L96" s="0" t="n">
        <v>2</v>
      </c>
      <c r="M96" s="0" t="n">
        <v>4</v>
      </c>
      <c r="N96" s="4" t="s">
        <v>274</v>
      </c>
      <c r="O96" s="4" t="s">
        <v>238</v>
      </c>
      <c r="P96" s="4" t="s">
        <v>241</v>
      </c>
      <c r="Q96" s="4" t="s">
        <v>241</v>
      </c>
      <c r="R96" s="4" t="s">
        <v>242</v>
      </c>
      <c r="S96" s="0" t="n">
        <v>10</v>
      </c>
      <c r="T96" s="4" t="s">
        <v>243</v>
      </c>
      <c r="U96" s="4" t="s">
        <v>241</v>
      </c>
      <c r="V96" s="4" t="s">
        <v>244</v>
      </c>
      <c r="X96" s="4" t="s">
        <v>241</v>
      </c>
      <c r="Y96" s="4" t="s">
        <v>237</v>
      </c>
    </row>
    <row r="97" customFormat="false" ht="15" hidden="false" customHeight="false" outlineLevel="0" collapsed="false">
      <c r="A97" s="0" t="s">
        <v>216</v>
      </c>
      <c r="B97" s="5" t="n">
        <v>45292</v>
      </c>
      <c r="C97" s="5" t="n">
        <v>46022</v>
      </c>
      <c r="D97" s="4" t="s">
        <v>237</v>
      </c>
      <c r="E97" s="4" t="s">
        <v>238</v>
      </c>
      <c r="F97" s="5" t="n">
        <v>45688</v>
      </c>
      <c r="G97" s="4" t="s">
        <v>273</v>
      </c>
      <c r="H97" s="0" t="n">
        <v>1.2</v>
      </c>
      <c r="I97" s="0" t="n">
        <v>0.001</v>
      </c>
      <c r="J97" s="0" t="n">
        <v>2</v>
      </c>
      <c r="K97" s="0" t="n">
        <v>8</v>
      </c>
      <c r="L97" s="0" t="n">
        <v>2</v>
      </c>
      <c r="M97" s="0" t="n">
        <v>4</v>
      </c>
      <c r="N97" s="4" t="s">
        <v>274</v>
      </c>
      <c r="O97" s="4" t="s">
        <v>238</v>
      </c>
      <c r="P97" s="4" t="s">
        <v>241</v>
      </c>
      <c r="Q97" s="4" t="s">
        <v>241</v>
      </c>
      <c r="R97" s="4" t="s">
        <v>242</v>
      </c>
      <c r="S97" s="0" t="n">
        <v>10</v>
      </c>
      <c r="T97" s="4" t="s">
        <v>243</v>
      </c>
      <c r="U97" s="4" t="s">
        <v>241</v>
      </c>
      <c r="V97" s="4" t="s">
        <v>244</v>
      </c>
      <c r="X97" s="4" t="s">
        <v>241</v>
      </c>
      <c r="Y97" s="4" t="s">
        <v>237</v>
      </c>
    </row>
    <row r="98" customFormat="false" ht="15" hidden="false" customHeight="false" outlineLevel="0" collapsed="false">
      <c r="A98" s="0" t="s">
        <v>275</v>
      </c>
      <c r="B98" s="5" t="n">
        <v>45292</v>
      </c>
      <c r="C98" s="5" t="n">
        <v>46022</v>
      </c>
      <c r="D98" s="4" t="s">
        <v>237</v>
      </c>
      <c r="E98" s="4" t="s">
        <v>238</v>
      </c>
      <c r="F98" s="5" t="n">
        <v>45688</v>
      </c>
      <c r="G98" s="4" t="s">
        <v>239</v>
      </c>
      <c r="H98" s="0" t="n">
        <v>1.2</v>
      </c>
      <c r="I98" s="0" t="n">
        <v>0.001</v>
      </c>
      <c r="J98" s="0" t="n">
        <v>2</v>
      </c>
      <c r="K98" s="0" t="n">
        <v>8</v>
      </c>
      <c r="L98" s="0" t="n">
        <v>2</v>
      </c>
      <c r="M98" s="0" t="n">
        <v>4</v>
      </c>
      <c r="N98" s="4" t="s">
        <v>240</v>
      </c>
      <c r="O98" s="4" t="s">
        <v>238</v>
      </c>
      <c r="P98" s="4" t="s">
        <v>241</v>
      </c>
      <c r="Q98" s="4" t="s">
        <v>241</v>
      </c>
      <c r="R98" s="4" t="s">
        <v>242</v>
      </c>
      <c r="S98" s="0" t="n">
        <v>10</v>
      </c>
      <c r="T98" s="4" t="s">
        <v>243</v>
      </c>
      <c r="U98" s="4" t="s">
        <v>241</v>
      </c>
      <c r="V98" s="4" t="s">
        <v>244</v>
      </c>
      <c r="X98" s="4" t="s">
        <v>241</v>
      </c>
      <c r="Y98" s="4" t="s">
        <v>241</v>
      </c>
    </row>
    <row r="99" customFormat="false" ht="15" hidden="false" customHeight="false" outlineLevel="0" collapsed="false">
      <c r="A99" s="0" t="s">
        <v>276</v>
      </c>
      <c r="B99" s="5" t="n">
        <v>45292</v>
      </c>
      <c r="C99" s="5" t="n">
        <v>46022</v>
      </c>
      <c r="D99" s="4" t="s">
        <v>241</v>
      </c>
      <c r="E99" s="4" t="s">
        <v>238</v>
      </c>
      <c r="F99" s="5" t="n">
        <v>45688</v>
      </c>
      <c r="G99" s="4" t="s">
        <v>265</v>
      </c>
      <c r="H99" s="0" t="n">
        <v>1.2</v>
      </c>
      <c r="I99" s="0" t="n">
        <v>0.001</v>
      </c>
      <c r="J99" s="0" t="n">
        <v>2</v>
      </c>
      <c r="K99" s="0" t="n">
        <v>8</v>
      </c>
      <c r="L99" s="0" t="n">
        <v>2</v>
      </c>
      <c r="M99" s="0" t="n">
        <v>4</v>
      </c>
      <c r="N99" s="4" t="s">
        <v>266</v>
      </c>
      <c r="O99" s="4" t="s">
        <v>238</v>
      </c>
      <c r="P99" s="4" t="s">
        <v>241</v>
      </c>
      <c r="Q99" s="4" t="s">
        <v>241</v>
      </c>
      <c r="R99" s="4" t="s">
        <v>242</v>
      </c>
      <c r="S99" s="0" t="n">
        <v>10</v>
      </c>
      <c r="T99" s="4" t="s">
        <v>243</v>
      </c>
      <c r="U99" s="4" t="s">
        <v>241</v>
      </c>
      <c r="V99" s="4" t="s">
        <v>244</v>
      </c>
      <c r="X99" s="4" t="s">
        <v>241</v>
      </c>
      <c r="Y99" s="4" t="s">
        <v>241</v>
      </c>
    </row>
    <row r="100" customFormat="false" ht="15" hidden="false" customHeight="false" outlineLevel="0" collapsed="false">
      <c r="A100" s="0" t="s">
        <v>277</v>
      </c>
      <c r="B100" s="5" t="n">
        <v>45292</v>
      </c>
      <c r="C100" s="5" t="n">
        <v>45657</v>
      </c>
      <c r="D100" s="4" t="s">
        <v>237</v>
      </c>
      <c r="E100" s="4" t="s">
        <v>238</v>
      </c>
      <c r="F100" s="5" t="n">
        <v>45688</v>
      </c>
      <c r="G100" s="4" t="s">
        <v>271</v>
      </c>
      <c r="H100" s="0" t="n">
        <v>1.2</v>
      </c>
      <c r="I100" s="0" t="n">
        <v>0.001</v>
      </c>
      <c r="J100" s="0" t="n">
        <v>2</v>
      </c>
      <c r="K100" s="0" t="n">
        <v>8</v>
      </c>
      <c r="L100" s="0" t="n">
        <v>2</v>
      </c>
      <c r="M100" s="0" t="n">
        <v>4</v>
      </c>
      <c r="N100" s="4" t="s">
        <v>272</v>
      </c>
      <c r="O100" s="4" t="s">
        <v>238</v>
      </c>
      <c r="P100" s="4" t="s">
        <v>241</v>
      </c>
      <c r="Q100" s="4" t="s">
        <v>241</v>
      </c>
      <c r="R100" s="4" t="s">
        <v>242</v>
      </c>
      <c r="S100" s="0" t="n">
        <v>10</v>
      </c>
      <c r="T100" s="4" t="s">
        <v>243</v>
      </c>
      <c r="U100" s="4" t="s">
        <v>241</v>
      </c>
      <c r="V100" s="4" t="s">
        <v>244</v>
      </c>
      <c r="X100" s="4" t="s">
        <v>241</v>
      </c>
      <c r="Y100" s="4" t="s">
        <v>241</v>
      </c>
    </row>
    <row r="101" customFormat="false" ht="15" hidden="false" customHeight="false" outlineLevel="0" collapsed="false">
      <c r="A101" s="0" t="s">
        <v>278</v>
      </c>
      <c r="B101" s="5" t="n">
        <v>45292</v>
      </c>
      <c r="C101" s="5" t="n">
        <v>46022</v>
      </c>
      <c r="D101" s="4" t="s">
        <v>237</v>
      </c>
      <c r="E101" s="4" t="s">
        <v>279</v>
      </c>
      <c r="F101" s="5" t="n">
        <v>45688</v>
      </c>
      <c r="G101" s="4" t="s">
        <v>273</v>
      </c>
      <c r="H101" s="0" t="n">
        <v>1.2</v>
      </c>
      <c r="I101" s="0" t="n">
        <v>0.001</v>
      </c>
      <c r="J101" s="0" t="n">
        <v>2</v>
      </c>
      <c r="K101" s="0" t="n">
        <v>8</v>
      </c>
      <c r="L101" s="0" t="n">
        <v>2</v>
      </c>
      <c r="M101" s="0" t="n">
        <v>4</v>
      </c>
      <c r="N101" s="4" t="s">
        <v>274</v>
      </c>
      <c r="O101" s="4" t="s">
        <v>238</v>
      </c>
      <c r="P101" s="4" t="s">
        <v>241</v>
      </c>
      <c r="Q101" s="4" t="s">
        <v>241</v>
      </c>
      <c r="R101" s="4" t="s">
        <v>242</v>
      </c>
      <c r="S101" s="0" t="n">
        <v>10</v>
      </c>
      <c r="T101" s="4" t="s">
        <v>243</v>
      </c>
      <c r="U101" s="4" t="s">
        <v>241</v>
      </c>
      <c r="V101" s="4" t="s">
        <v>244</v>
      </c>
      <c r="X101" s="4" t="s">
        <v>241</v>
      </c>
      <c r="Y101" s="4" t="s">
        <v>241</v>
      </c>
    </row>
    <row r="102" customFormat="false" ht="15" hidden="false" customHeight="false" outlineLevel="0" collapsed="false">
      <c r="A102" s="0" t="s">
        <v>280</v>
      </c>
      <c r="B102" s="5" t="n">
        <v>45292</v>
      </c>
      <c r="C102" s="5" t="n">
        <v>46022</v>
      </c>
      <c r="D102" s="4" t="s">
        <v>237</v>
      </c>
      <c r="E102" s="4" t="s">
        <v>238</v>
      </c>
      <c r="F102" s="5" t="n">
        <v>45688</v>
      </c>
      <c r="G102" s="4" t="s">
        <v>239</v>
      </c>
      <c r="H102" s="0" t="n">
        <v>1.2</v>
      </c>
      <c r="I102" s="0" t="n">
        <v>0.001</v>
      </c>
      <c r="J102" s="0" t="n">
        <v>2</v>
      </c>
      <c r="K102" s="0" t="n">
        <v>8</v>
      </c>
      <c r="L102" s="0" t="n">
        <v>2</v>
      </c>
      <c r="M102" s="0" t="n">
        <v>4</v>
      </c>
      <c r="N102" s="4" t="s">
        <v>240</v>
      </c>
      <c r="O102" s="4" t="s">
        <v>238</v>
      </c>
      <c r="P102" s="4" t="s">
        <v>241</v>
      </c>
      <c r="Q102" s="4" t="s">
        <v>241</v>
      </c>
      <c r="R102" s="4" t="s">
        <v>242</v>
      </c>
      <c r="S102" s="0" t="n">
        <v>10</v>
      </c>
      <c r="T102" s="4" t="s">
        <v>243</v>
      </c>
      <c r="U102" s="4" t="s">
        <v>241</v>
      </c>
      <c r="V102" s="4" t="s">
        <v>244</v>
      </c>
      <c r="X102" s="4" t="s">
        <v>241</v>
      </c>
      <c r="Y102" s="4" t="s">
        <v>241</v>
      </c>
    </row>
    <row r="103" customFormat="false" ht="15" hidden="false" customHeight="false" outlineLevel="0" collapsed="false">
      <c r="A103" s="0" t="s">
        <v>281</v>
      </c>
      <c r="B103" s="5" t="n">
        <v>45292</v>
      </c>
      <c r="C103" s="5" t="n">
        <v>45657</v>
      </c>
      <c r="D103" s="4" t="s">
        <v>237</v>
      </c>
      <c r="E103" s="4" t="s">
        <v>238</v>
      </c>
      <c r="F103" s="5" t="n">
        <v>45688</v>
      </c>
      <c r="G103" s="4" t="s">
        <v>265</v>
      </c>
      <c r="H103" s="0" t="n">
        <v>1.2</v>
      </c>
      <c r="I103" s="0" t="n">
        <v>0.001</v>
      </c>
      <c r="J103" s="0" t="n">
        <v>2</v>
      </c>
      <c r="K103" s="0" t="n">
        <v>8</v>
      </c>
      <c r="L103" s="0" t="n">
        <v>2</v>
      </c>
      <c r="M103" s="0" t="n">
        <v>4</v>
      </c>
      <c r="N103" s="4" t="s">
        <v>266</v>
      </c>
      <c r="O103" s="4" t="s">
        <v>238</v>
      </c>
      <c r="P103" s="4" t="s">
        <v>241</v>
      </c>
      <c r="Q103" s="4" t="s">
        <v>241</v>
      </c>
      <c r="R103" s="4" t="s">
        <v>242</v>
      </c>
      <c r="S103" s="0" t="n">
        <v>10</v>
      </c>
      <c r="T103" s="4" t="s">
        <v>243</v>
      </c>
      <c r="U103" s="4" t="s">
        <v>241</v>
      </c>
      <c r="V103" s="4" t="s">
        <v>244</v>
      </c>
      <c r="X103" s="4" t="s">
        <v>241</v>
      </c>
      <c r="Y103" s="4" t="s">
        <v>241</v>
      </c>
    </row>
    <row r="104" customFormat="false" ht="15" hidden="false" customHeight="false" outlineLevel="0" collapsed="false">
      <c r="A104" s="0" t="s">
        <v>282</v>
      </c>
      <c r="B104" s="5" t="n">
        <v>45292</v>
      </c>
      <c r="C104" s="5" t="n">
        <v>46022</v>
      </c>
      <c r="D104" s="4" t="s">
        <v>237</v>
      </c>
      <c r="E104" s="4" t="s">
        <v>238</v>
      </c>
      <c r="F104" s="5" t="n">
        <v>45688</v>
      </c>
      <c r="G104" s="4" t="s">
        <v>271</v>
      </c>
      <c r="H104" s="0" t="n">
        <v>1.2</v>
      </c>
      <c r="I104" s="0" t="n">
        <v>0.001</v>
      </c>
      <c r="J104" s="0" t="n">
        <v>2</v>
      </c>
      <c r="K104" s="0" t="n">
        <v>8</v>
      </c>
      <c r="L104" s="0" t="n">
        <v>2</v>
      </c>
      <c r="M104" s="0" t="n">
        <v>4</v>
      </c>
      <c r="N104" s="4" t="s">
        <v>272</v>
      </c>
      <c r="O104" s="4" t="s">
        <v>238</v>
      </c>
      <c r="P104" s="4" t="s">
        <v>241</v>
      </c>
      <c r="Q104" s="4" t="s">
        <v>241</v>
      </c>
      <c r="R104" s="4" t="s">
        <v>242</v>
      </c>
      <c r="S104" s="0" t="n">
        <v>10</v>
      </c>
      <c r="T104" s="4" t="s">
        <v>243</v>
      </c>
      <c r="U104" s="4" t="s">
        <v>241</v>
      </c>
      <c r="V104" s="4" t="s">
        <v>244</v>
      </c>
      <c r="X104" s="4" t="s">
        <v>241</v>
      </c>
      <c r="Y104" s="4" t="s">
        <v>241</v>
      </c>
    </row>
    <row r="105" customFormat="false" ht="15" hidden="false" customHeight="false" outlineLevel="0" collapsed="false">
      <c r="A105" s="0" t="s">
        <v>283</v>
      </c>
      <c r="B105" s="5" t="n">
        <v>45292</v>
      </c>
      <c r="C105" s="5" t="n">
        <v>46022</v>
      </c>
      <c r="D105" s="4" t="s">
        <v>237</v>
      </c>
      <c r="E105" s="4" t="s">
        <v>238</v>
      </c>
      <c r="F105" s="5" t="n">
        <v>45688</v>
      </c>
      <c r="G105" s="4" t="s">
        <v>273</v>
      </c>
      <c r="H105" s="0" t="n">
        <v>1.2</v>
      </c>
      <c r="I105" s="0" t="n">
        <v>0.001</v>
      </c>
      <c r="J105" s="0" t="n">
        <v>2</v>
      </c>
      <c r="K105" s="0" t="n">
        <v>8</v>
      </c>
      <c r="L105" s="0" t="n">
        <v>2</v>
      </c>
      <c r="M105" s="0" t="n">
        <v>4</v>
      </c>
      <c r="N105" s="4" t="s">
        <v>274</v>
      </c>
      <c r="O105" s="4" t="s">
        <v>238</v>
      </c>
      <c r="P105" s="4" t="s">
        <v>241</v>
      </c>
      <c r="Q105" s="4" t="s">
        <v>241</v>
      </c>
      <c r="R105" s="4" t="s">
        <v>242</v>
      </c>
      <c r="S105" s="0" t="n">
        <v>10</v>
      </c>
      <c r="T105" s="4" t="s">
        <v>243</v>
      </c>
      <c r="U105" s="4" t="s">
        <v>241</v>
      </c>
      <c r="V105" s="4" t="s">
        <v>244</v>
      </c>
      <c r="X105" s="4" t="s">
        <v>241</v>
      </c>
      <c r="Y105" s="4" t="s">
        <v>241</v>
      </c>
    </row>
    <row r="106" customFormat="false" ht="15" hidden="false" customHeight="false" outlineLevel="0" collapsed="false">
      <c r="A106" s="0" t="s">
        <v>284</v>
      </c>
      <c r="B106" s="5" t="n">
        <v>45292</v>
      </c>
      <c r="C106" s="5" t="n">
        <v>45657</v>
      </c>
      <c r="D106" s="4" t="s">
        <v>241</v>
      </c>
      <c r="E106" s="4" t="s">
        <v>279</v>
      </c>
      <c r="F106" s="5" t="n">
        <v>45688</v>
      </c>
      <c r="G106" s="4" t="s">
        <v>239</v>
      </c>
      <c r="H106" s="0" t="n">
        <v>1.2</v>
      </c>
      <c r="I106" s="0" t="n">
        <v>0.001</v>
      </c>
      <c r="J106" s="0" t="n">
        <v>2</v>
      </c>
      <c r="K106" s="0" t="n">
        <v>8</v>
      </c>
      <c r="L106" s="0" t="n">
        <v>2</v>
      </c>
      <c r="M106" s="0" t="n">
        <v>4</v>
      </c>
      <c r="N106" s="4" t="s">
        <v>240</v>
      </c>
      <c r="O106" s="4" t="s">
        <v>238</v>
      </c>
      <c r="P106" s="4" t="s">
        <v>241</v>
      </c>
      <c r="Q106" s="4" t="s">
        <v>241</v>
      </c>
      <c r="R106" s="4" t="s">
        <v>242</v>
      </c>
      <c r="S106" s="0" t="n">
        <v>10</v>
      </c>
      <c r="T106" s="4" t="s">
        <v>243</v>
      </c>
      <c r="U106" s="4" t="s">
        <v>241</v>
      </c>
      <c r="V106" s="4" t="s">
        <v>244</v>
      </c>
      <c r="X106" s="4" t="s">
        <v>241</v>
      </c>
      <c r="Y106" s="4" t="s">
        <v>241</v>
      </c>
    </row>
    <row r="107" customFormat="false" ht="15" hidden="false" customHeight="false" outlineLevel="0" collapsed="false">
      <c r="A107" s="0" t="s">
        <v>285</v>
      </c>
      <c r="B107" s="5" t="n">
        <v>45292</v>
      </c>
      <c r="C107" s="5" t="n">
        <v>46022</v>
      </c>
      <c r="D107" s="4" t="s">
        <v>237</v>
      </c>
      <c r="E107" s="4" t="s">
        <v>238</v>
      </c>
      <c r="F107" s="5" t="n">
        <v>45688</v>
      </c>
      <c r="G107" s="4" t="s">
        <v>265</v>
      </c>
      <c r="H107" s="0" t="n">
        <v>1.2</v>
      </c>
      <c r="I107" s="0" t="n">
        <v>0.001</v>
      </c>
      <c r="J107" s="0" t="n">
        <v>2</v>
      </c>
      <c r="K107" s="0" t="n">
        <v>8</v>
      </c>
      <c r="L107" s="0" t="n">
        <v>2</v>
      </c>
      <c r="M107" s="0" t="n">
        <v>4</v>
      </c>
      <c r="N107" s="4" t="s">
        <v>266</v>
      </c>
      <c r="O107" s="4" t="s">
        <v>238</v>
      </c>
      <c r="P107" s="4" t="s">
        <v>241</v>
      </c>
      <c r="Q107" s="4" t="s">
        <v>241</v>
      </c>
      <c r="R107" s="4" t="s">
        <v>242</v>
      </c>
      <c r="S107" s="0" t="n">
        <v>10</v>
      </c>
      <c r="T107" s="4" t="s">
        <v>243</v>
      </c>
      <c r="U107" s="4" t="s">
        <v>241</v>
      </c>
      <c r="V107" s="4" t="s">
        <v>244</v>
      </c>
      <c r="X107" s="4" t="s">
        <v>241</v>
      </c>
      <c r="Y107" s="4" t="s">
        <v>241</v>
      </c>
    </row>
    <row r="108" customFormat="false" ht="15" hidden="false" customHeight="false" outlineLevel="0" collapsed="false">
      <c r="A108" s="0" t="s">
        <v>286</v>
      </c>
      <c r="B108" s="5" t="n">
        <v>45292</v>
      </c>
      <c r="C108" s="5" t="n">
        <v>46022</v>
      </c>
      <c r="D108" s="4" t="s">
        <v>237</v>
      </c>
      <c r="E108" s="4" t="s">
        <v>238</v>
      </c>
      <c r="F108" s="5" t="n">
        <v>45688</v>
      </c>
      <c r="G108" s="4" t="s">
        <v>271</v>
      </c>
      <c r="H108" s="0" t="n">
        <v>1.2</v>
      </c>
      <c r="I108" s="0" t="n">
        <v>0.001</v>
      </c>
      <c r="J108" s="0" t="n">
        <v>2</v>
      </c>
      <c r="K108" s="0" t="n">
        <v>8</v>
      </c>
      <c r="L108" s="0" t="n">
        <v>2</v>
      </c>
      <c r="M108" s="0" t="n">
        <v>4</v>
      </c>
      <c r="N108" s="4" t="s">
        <v>272</v>
      </c>
      <c r="O108" s="4" t="s">
        <v>238</v>
      </c>
      <c r="P108" s="4" t="s">
        <v>241</v>
      </c>
      <c r="Q108" s="4" t="s">
        <v>241</v>
      </c>
      <c r="R108" s="4" t="s">
        <v>242</v>
      </c>
      <c r="S108" s="0" t="n">
        <v>10</v>
      </c>
      <c r="T108" s="4" t="s">
        <v>243</v>
      </c>
      <c r="U108" s="4" t="s">
        <v>241</v>
      </c>
      <c r="V108" s="4" t="s">
        <v>244</v>
      </c>
      <c r="X108" s="4" t="s">
        <v>241</v>
      </c>
      <c r="Y108" s="4" t="s">
        <v>241</v>
      </c>
    </row>
    <row r="109" customFormat="false" ht="15" hidden="false" customHeight="false" outlineLevel="0" collapsed="false">
      <c r="A109" s="0" t="s">
        <v>287</v>
      </c>
      <c r="B109" s="5" t="n">
        <v>45292</v>
      </c>
      <c r="C109" s="5" t="n">
        <v>45657</v>
      </c>
      <c r="D109" s="4" t="s">
        <v>237</v>
      </c>
      <c r="E109" s="4" t="s">
        <v>238</v>
      </c>
      <c r="F109" s="5" t="n">
        <v>45688</v>
      </c>
      <c r="G109" s="4" t="s">
        <v>273</v>
      </c>
      <c r="H109" s="0" t="n">
        <v>1.2</v>
      </c>
      <c r="I109" s="0" t="n">
        <v>0.001</v>
      </c>
      <c r="J109" s="0" t="n">
        <v>2</v>
      </c>
      <c r="K109" s="0" t="n">
        <v>8</v>
      </c>
      <c r="L109" s="0" t="n">
        <v>2</v>
      </c>
      <c r="M109" s="0" t="n">
        <v>4</v>
      </c>
      <c r="N109" s="4" t="s">
        <v>274</v>
      </c>
      <c r="O109" s="4" t="s">
        <v>238</v>
      </c>
      <c r="P109" s="4" t="s">
        <v>241</v>
      </c>
      <c r="Q109" s="4" t="s">
        <v>241</v>
      </c>
      <c r="R109" s="4" t="s">
        <v>242</v>
      </c>
      <c r="S109" s="0" t="n">
        <v>10</v>
      </c>
      <c r="T109" s="4" t="s">
        <v>243</v>
      </c>
      <c r="U109" s="4" t="s">
        <v>241</v>
      </c>
      <c r="V109" s="4" t="s">
        <v>244</v>
      </c>
      <c r="X109" s="4" t="s">
        <v>241</v>
      </c>
      <c r="Y109" s="4" t="s">
        <v>241</v>
      </c>
    </row>
    <row r="110" customFormat="false" ht="15" hidden="false" customHeight="false" outlineLevel="0" collapsed="false">
      <c r="A110" s="0" t="s">
        <v>288</v>
      </c>
      <c r="B110" s="5" t="n">
        <v>45292</v>
      </c>
      <c r="C110" s="5" t="n">
        <v>46022</v>
      </c>
      <c r="D110" s="4" t="s">
        <v>237</v>
      </c>
      <c r="E110" s="4" t="s">
        <v>238</v>
      </c>
      <c r="F110" s="5" t="n">
        <v>45688</v>
      </c>
      <c r="G110" s="4" t="s">
        <v>239</v>
      </c>
      <c r="H110" s="0" t="n">
        <v>1.2</v>
      </c>
      <c r="I110" s="0" t="n">
        <v>0.001</v>
      </c>
      <c r="J110" s="0" t="n">
        <v>2</v>
      </c>
      <c r="K110" s="0" t="n">
        <v>8</v>
      </c>
      <c r="L110" s="0" t="n">
        <v>2</v>
      </c>
      <c r="M110" s="0" t="n">
        <v>4</v>
      </c>
      <c r="N110" s="4" t="s">
        <v>240</v>
      </c>
      <c r="O110" s="4" t="s">
        <v>238</v>
      </c>
      <c r="P110" s="4" t="s">
        <v>241</v>
      </c>
      <c r="Q110" s="4" t="s">
        <v>241</v>
      </c>
      <c r="R110" s="4" t="s">
        <v>242</v>
      </c>
      <c r="S110" s="0" t="n">
        <v>10</v>
      </c>
      <c r="T110" s="4" t="s">
        <v>243</v>
      </c>
      <c r="U110" s="4" t="s">
        <v>241</v>
      </c>
      <c r="V110" s="4" t="s">
        <v>244</v>
      </c>
      <c r="X110" s="4" t="s">
        <v>241</v>
      </c>
      <c r="Y110" s="4" t="s">
        <v>241</v>
      </c>
    </row>
    <row r="111" customFormat="false" ht="15" hidden="false" customHeight="false" outlineLevel="0" collapsed="false">
      <c r="A111" s="0" t="s">
        <v>289</v>
      </c>
      <c r="B111" s="5" t="n">
        <v>45292</v>
      </c>
      <c r="C111" s="5" t="n">
        <v>46022</v>
      </c>
      <c r="D111" s="4" t="s">
        <v>237</v>
      </c>
      <c r="E111" s="4" t="s">
        <v>279</v>
      </c>
      <c r="F111" s="5" t="n">
        <v>45688</v>
      </c>
      <c r="G111" s="4" t="s">
        <v>265</v>
      </c>
      <c r="H111" s="0" t="n">
        <v>1.2</v>
      </c>
      <c r="I111" s="0" t="n">
        <v>0.001</v>
      </c>
      <c r="J111" s="0" t="n">
        <v>2</v>
      </c>
      <c r="K111" s="0" t="n">
        <v>8</v>
      </c>
      <c r="L111" s="0" t="n">
        <v>2</v>
      </c>
      <c r="M111" s="0" t="n">
        <v>4</v>
      </c>
      <c r="N111" s="4" t="s">
        <v>266</v>
      </c>
      <c r="O111" s="4" t="s">
        <v>238</v>
      </c>
      <c r="P111" s="4" t="s">
        <v>241</v>
      </c>
      <c r="Q111" s="4" t="s">
        <v>241</v>
      </c>
      <c r="R111" s="4" t="s">
        <v>242</v>
      </c>
      <c r="S111" s="0" t="n">
        <v>10</v>
      </c>
      <c r="T111" s="4" t="s">
        <v>243</v>
      </c>
      <c r="U111" s="4" t="s">
        <v>241</v>
      </c>
      <c r="V111" s="4" t="s">
        <v>244</v>
      </c>
      <c r="X111" s="4" t="s">
        <v>241</v>
      </c>
      <c r="Y111" s="4" t="s">
        <v>241</v>
      </c>
    </row>
    <row r="112" customFormat="false" ht="15" hidden="false" customHeight="false" outlineLevel="0" collapsed="false">
      <c r="A112" s="0" t="s">
        <v>290</v>
      </c>
      <c r="B112" s="5" t="n">
        <v>45292</v>
      </c>
      <c r="C112" s="5" t="n">
        <v>45657</v>
      </c>
      <c r="D112" s="4" t="s">
        <v>237</v>
      </c>
      <c r="E112" s="4" t="s">
        <v>238</v>
      </c>
      <c r="F112" s="5" t="n">
        <v>45688</v>
      </c>
      <c r="G112" s="4" t="s">
        <v>271</v>
      </c>
      <c r="H112" s="0" t="n">
        <v>1.2</v>
      </c>
      <c r="I112" s="0" t="n">
        <v>0.001</v>
      </c>
      <c r="J112" s="0" t="n">
        <v>2</v>
      </c>
      <c r="K112" s="0" t="n">
        <v>8</v>
      </c>
      <c r="L112" s="0" t="n">
        <v>2</v>
      </c>
      <c r="M112" s="0" t="n">
        <v>4</v>
      </c>
      <c r="N112" s="4" t="s">
        <v>272</v>
      </c>
      <c r="O112" s="4" t="s">
        <v>238</v>
      </c>
      <c r="P112" s="4" t="s">
        <v>241</v>
      </c>
      <c r="Q112" s="4" t="s">
        <v>241</v>
      </c>
      <c r="R112" s="4" t="s">
        <v>242</v>
      </c>
      <c r="S112" s="0" t="n">
        <v>10</v>
      </c>
      <c r="T112" s="4" t="s">
        <v>243</v>
      </c>
      <c r="U112" s="4" t="s">
        <v>241</v>
      </c>
      <c r="V112" s="4" t="s">
        <v>244</v>
      </c>
      <c r="X112" s="4" t="s">
        <v>241</v>
      </c>
      <c r="Y112" s="4" t="s">
        <v>241</v>
      </c>
    </row>
    <row r="113" customFormat="false" ht="15" hidden="false" customHeight="false" outlineLevel="0" collapsed="false">
      <c r="A113" s="0" t="s">
        <v>291</v>
      </c>
      <c r="B113" s="5" t="n">
        <v>45292</v>
      </c>
      <c r="C113" s="5" t="n">
        <v>46022</v>
      </c>
      <c r="D113" s="4" t="s">
        <v>241</v>
      </c>
      <c r="E113" s="4" t="s">
        <v>238</v>
      </c>
      <c r="F113" s="5" t="n">
        <v>45688</v>
      </c>
      <c r="G113" s="4" t="s">
        <v>273</v>
      </c>
      <c r="H113" s="0" t="n">
        <v>1.2</v>
      </c>
      <c r="I113" s="0" t="n">
        <v>0.001</v>
      </c>
      <c r="J113" s="0" t="n">
        <v>2</v>
      </c>
      <c r="K113" s="0" t="n">
        <v>8</v>
      </c>
      <c r="L113" s="0" t="n">
        <v>2</v>
      </c>
      <c r="M113" s="0" t="n">
        <v>4</v>
      </c>
      <c r="N113" s="4" t="s">
        <v>274</v>
      </c>
      <c r="O113" s="4" t="s">
        <v>238</v>
      </c>
      <c r="P113" s="4" t="s">
        <v>241</v>
      </c>
      <c r="Q113" s="4" t="s">
        <v>241</v>
      </c>
      <c r="R113" s="4" t="s">
        <v>242</v>
      </c>
      <c r="S113" s="0" t="n">
        <v>10</v>
      </c>
      <c r="T113" s="4" t="s">
        <v>243</v>
      </c>
      <c r="U113" s="4" t="s">
        <v>241</v>
      </c>
      <c r="V113" s="4" t="s">
        <v>244</v>
      </c>
      <c r="X113" s="4" t="s">
        <v>241</v>
      </c>
      <c r="Y113" s="4" t="s">
        <v>241</v>
      </c>
    </row>
    <row r="114" customFormat="false" ht="15" hidden="false" customHeight="false" outlineLevel="0" collapsed="false">
      <c r="A114" s="0" t="s">
        <v>292</v>
      </c>
      <c r="B114" s="5" t="n">
        <v>45292</v>
      </c>
      <c r="C114" s="5" t="n">
        <v>46022</v>
      </c>
      <c r="D114" s="4" t="s">
        <v>237</v>
      </c>
      <c r="E114" s="4" t="s">
        <v>238</v>
      </c>
      <c r="F114" s="5" t="n">
        <v>45688</v>
      </c>
      <c r="G114" s="4" t="s">
        <v>239</v>
      </c>
      <c r="H114" s="0" t="n">
        <v>1.2</v>
      </c>
      <c r="I114" s="0" t="n">
        <v>0.001</v>
      </c>
      <c r="J114" s="0" t="n">
        <v>2</v>
      </c>
      <c r="K114" s="0" t="n">
        <v>8</v>
      </c>
      <c r="L114" s="0" t="n">
        <v>2</v>
      </c>
      <c r="M114" s="0" t="n">
        <v>4</v>
      </c>
      <c r="N114" s="4" t="s">
        <v>240</v>
      </c>
      <c r="O114" s="4" t="s">
        <v>238</v>
      </c>
      <c r="P114" s="4" t="s">
        <v>241</v>
      </c>
      <c r="Q114" s="4" t="s">
        <v>241</v>
      </c>
      <c r="R114" s="4" t="s">
        <v>242</v>
      </c>
      <c r="S114" s="0" t="n">
        <v>10</v>
      </c>
      <c r="T114" s="4" t="s">
        <v>243</v>
      </c>
      <c r="U114" s="4" t="s">
        <v>241</v>
      </c>
      <c r="V114" s="4" t="s">
        <v>244</v>
      </c>
      <c r="X114" s="4" t="s">
        <v>241</v>
      </c>
      <c r="Y114" s="4" t="s">
        <v>241</v>
      </c>
    </row>
    <row r="115" customFormat="false" ht="15" hidden="false" customHeight="false" outlineLevel="0" collapsed="false">
      <c r="A115" s="0" t="s">
        <v>293</v>
      </c>
      <c r="B115" s="5" t="n">
        <v>45292</v>
      </c>
      <c r="C115" s="5" t="n">
        <v>45657</v>
      </c>
      <c r="D115" s="4" t="s">
        <v>237</v>
      </c>
      <c r="E115" s="4" t="s">
        <v>238</v>
      </c>
      <c r="F115" s="5" t="n">
        <v>45688</v>
      </c>
      <c r="G115" s="4" t="s">
        <v>265</v>
      </c>
      <c r="H115" s="0" t="n">
        <v>1.2</v>
      </c>
      <c r="I115" s="0" t="n">
        <v>0.001</v>
      </c>
      <c r="J115" s="0" t="n">
        <v>2</v>
      </c>
      <c r="K115" s="0" t="n">
        <v>8</v>
      </c>
      <c r="L115" s="0" t="n">
        <v>2</v>
      </c>
      <c r="M115" s="0" t="n">
        <v>4</v>
      </c>
      <c r="N115" s="4" t="s">
        <v>266</v>
      </c>
      <c r="O115" s="4" t="s">
        <v>238</v>
      </c>
      <c r="P115" s="4" t="s">
        <v>241</v>
      </c>
      <c r="Q115" s="4" t="s">
        <v>241</v>
      </c>
      <c r="R115" s="4" t="s">
        <v>242</v>
      </c>
      <c r="S115" s="0" t="n">
        <v>10</v>
      </c>
      <c r="T115" s="4" t="s">
        <v>243</v>
      </c>
      <c r="U115" s="4" t="s">
        <v>241</v>
      </c>
      <c r="V115" s="4" t="s">
        <v>244</v>
      </c>
      <c r="X115" s="4" t="s">
        <v>241</v>
      </c>
      <c r="Y115" s="4" t="s">
        <v>241</v>
      </c>
    </row>
    <row r="116" customFormat="false" ht="15" hidden="false" customHeight="false" outlineLevel="0" collapsed="false">
      <c r="A116" s="0" t="s">
        <v>294</v>
      </c>
      <c r="B116" s="5" t="n">
        <v>45292</v>
      </c>
      <c r="C116" s="5" t="n">
        <v>46022</v>
      </c>
      <c r="D116" s="4" t="s">
        <v>237</v>
      </c>
      <c r="E116" s="4" t="s">
        <v>279</v>
      </c>
      <c r="F116" s="5" t="n">
        <v>45688</v>
      </c>
      <c r="G116" s="4" t="s">
        <v>271</v>
      </c>
      <c r="H116" s="0" t="n">
        <v>1.2</v>
      </c>
      <c r="I116" s="0" t="n">
        <v>0.001</v>
      </c>
      <c r="J116" s="0" t="n">
        <v>2</v>
      </c>
      <c r="K116" s="0" t="n">
        <v>8</v>
      </c>
      <c r="L116" s="0" t="n">
        <v>2</v>
      </c>
      <c r="M116" s="0" t="n">
        <v>4</v>
      </c>
      <c r="N116" s="4" t="s">
        <v>272</v>
      </c>
      <c r="O116" s="4" t="s">
        <v>238</v>
      </c>
      <c r="P116" s="4" t="s">
        <v>241</v>
      </c>
      <c r="Q116" s="4" t="s">
        <v>241</v>
      </c>
      <c r="R116" s="4" t="s">
        <v>242</v>
      </c>
      <c r="S116" s="0" t="n">
        <v>10</v>
      </c>
      <c r="T116" s="4" t="s">
        <v>243</v>
      </c>
      <c r="U116" s="4" t="s">
        <v>241</v>
      </c>
      <c r="V116" s="4" t="s">
        <v>244</v>
      </c>
      <c r="X116" s="4" t="s">
        <v>241</v>
      </c>
      <c r="Y116" s="4" t="s">
        <v>241</v>
      </c>
    </row>
    <row r="117" customFormat="false" ht="15" hidden="false" customHeight="false" outlineLevel="0" collapsed="false">
      <c r="A117" s="0" t="s">
        <v>295</v>
      </c>
      <c r="B117" s="5" t="n">
        <v>45292</v>
      </c>
      <c r="C117" s="5" t="n">
        <v>46022</v>
      </c>
      <c r="D117" s="4" t="s">
        <v>237</v>
      </c>
      <c r="E117" s="4" t="s">
        <v>238</v>
      </c>
      <c r="F117" s="5" t="n">
        <v>45688</v>
      </c>
      <c r="G117" s="4" t="s">
        <v>273</v>
      </c>
      <c r="H117" s="0" t="n">
        <v>1.2</v>
      </c>
      <c r="I117" s="0" t="n">
        <v>0.001</v>
      </c>
      <c r="J117" s="0" t="n">
        <v>2</v>
      </c>
      <c r="K117" s="0" t="n">
        <v>8</v>
      </c>
      <c r="L117" s="0" t="n">
        <v>2</v>
      </c>
      <c r="M117" s="0" t="n">
        <v>4</v>
      </c>
      <c r="N117" s="4" t="s">
        <v>274</v>
      </c>
      <c r="O117" s="4" t="s">
        <v>238</v>
      </c>
      <c r="P117" s="4" t="s">
        <v>241</v>
      </c>
      <c r="Q117" s="4" t="s">
        <v>241</v>
      </c>
      <c r="R117" s="4" t="s">
        <v>242</v>
      </c>
      <c r="S117" s="0" t="n">
        <v>10</v>
      </c>
      <c r="T117" s="4" t="s">
        <v>243</v>
      </c>
      <c r="U117" s="4" t="s">
        <v>241</v>
      </c>
      <c r="V117" s="4" t="s">
        <v>244</v>
      </c>
      <c r="X117" s="4" t="s">
        <v>241</v>
      </c>
      <c r="Y117" s="4" t="s">
        <v>241</v>
      </c>
    </row>
    <row r="118" customFormat="false" ht="15" hidden="false" customHeight="false" outlineLevel="0" collapsed="false">
      <c r="A118" s="0" t="s">
        <v>296</v>
      </c>
      <c r="B118" s="5" t="n">
        <v>45292</v>
      </c>
      <c r="C118" s="5" t="n">
        <v>45657</v>
      </c>
      <c r="D118" s="4" t="s">
        <v>237</v>
      </c>
      <c r="E118" s="4" t="s">
        <v>238</v>
      </c>
      <c r="F118" s="5" t="n">
        <v>45688</v>
      </c>
      <c r="G118" s="4" t="s">
        <v>239</v>
      </c>
      <c r="H118" s="0" t="n">
        <v>1.2</v>
      </c>
      <c r="I118" s="0" t="n">
        <v>0.001</v>
      </c>
      <c r="J118" s="0" t="n">
        <v>2</v>
      </c>
      <c r="K118" s="0" t="n">
        <v>8</v>
      </c>
      <c r="L118" s="0" t="n">
        <v>2</v>
      </c>
      <c r="M118" s="0" t="n">
        <v>4</v>
      </c>
      <c r="N118" s="4" t="s">
        <v>240</v>
      </c>
      <c r="O118" s="4" t="s">
        <v>238</v>
      </c>
      <c r="P118" s="4" t="s">
        <v>241</v>
      </c>
      <c r="Q118" s="4" t="s">
        <v>241</v>
      </c>
      <c r="R118" s="4" t="s">
        <v>242</v>
      </c>
      <c r="S118" s="0" t="n">
        <v>10</v>
      </c>
      <c r="T118" s="4" t="s">
        <v>243</v>
      </c>
      <c r="U118" s="4" t="s">
        <v>241</v>
      </c>
      <c r="V118" s="4" t="s">
        <v>244</v>
      </c>
      <c r="X118" s="4" t="s">
        <v>241</v>
      </c>
      <c r="Y118" s="4" t="s">
        <v>241</v>
      </c>
    </row>
    <row r="119" customFormat="false" ht="15" hidden="false" customHeight="false" outlineLevel="0" collapsed="false">
      <c r="A119" s="0" t="s">
        <v>297</v>
      </c>
      <c r="B119" s="5" t="n">
        <v>45292</v>
      </c>
      <c r="C119" s="5" t="n">
        <v>46022</v>
      </c>
      <c r="D119" s="4" t="s">
        <v>237</v>
      </c>
      <c r="E119" s="4" t="s">
        <v>238</v>
      </c>
      <c r="F119" s="5" t="n">
        <v>45688</v>
      </c>
      <c r="G119" s="4" t="s">
        <v>265</v>
      </c>
      <c r="H119" s="0" t="n">
        <v>1.2</v>
      </c>
      <c r="I119" s="0" t="n">
        <v>0.001</v>
      </c>
      <c r="J119" s="0" t="n">
        <v>2</v>
      </c>
      <c r="K119" s="0" t="n">
        <v>8</v>
      </c>
      <c r="L119" s="0" t="n">
        <v>2</v>
      </c>
      <c r="M119" s="0" t="n">
        <v>4</v>
      </c>
      <c r="N119" s="4" t="s">
        <v>266</v>
      </c>
      <c r="O119" s="4" t="s">
        <v>238</v>
      </c>
      <c r="P119" s="4" t="s">
        <v>241</v>
      </c>
      <c r="Q119" s="4" t="s">
        <v>241</v>
      </c>
      <c r="R119" s="4" t="s">
        <v>242</v>
      </c>
      <c r="S119" s="0" t="n">
        <v>10</v>
      </c>
      <c r="T119" s="4" t="s">
        <v>243</v>
      </c>
      <c r="U119" s="4" t="s">
        <v>241</v>
      </c>
      <c r="V119" s="4" t="s">
        <v>244</v>
      </c>
      <c r="X119" s="4" t="s">
        <v>241</v>
      </c>
      <c r="Y119" s="4" t="s">
        <v>241</v>
      </c>
    </row>
    <row r="120" customFormat="false" ht="15" hidden="false" customHeight="false" outlineLevel="0" collapsed="false">
      <c r="A120" s="0" t="s">
        <v>298</v>
      </c>
      <c r="B120" s="5" t="n">
        <v>45292</v>
      </c>
      <c r="C120" s="5" t="n">
        <v>46022</v>
      </c>
      <c r="D120" s="4" t="s">
        <v>241</v>
      </c>
      <c r="E120" s="4" t="s">
        <v>238</v>
      </c>
      <c r="F120" s="5" t="n">
        <v>45688</v>
      </c>
      <c r="G120" s="4" t="s">
        <v>271</v>
      </c>
      <c r="H120" s="0" t="n">
        <v>1.2</v>
      </c>
      <c r="I120" s="0" t="n">
        <v>0.001</v>
      </c>
      <c r="J120" s="0" t="n">
        <v>2</v>
      </c>
      <c r="K120" s="0" t="n">
        <v>8</v>
      </c>
      <c r="L120" s="0" t="n">
        <v>2</v>
      </c>
      <c r="M120" s="0" t="n">
        <v>4</v>
      </c>
      <c r="N120" s="4" t="s">
        <v>272</v>
      </c>
      <c r="O120" s="4" t="s">
        <v>238</v>
      </c>
      <c r="P120" s="4" t="s">
        <v>241</v>
      </c>
      <c r="Q120" s="4" t="s">
        <v>241</v>
      </c>
      <c r="R120" s="4" t="s">
        <v>242</v>
      </c>
      <c r="S120" s="0" t="n">
        <v>10</v>
      </c>
      <c r="T120" s="4" t="s">
        <v>243</v>
      </c>
      <c r="U120" s="4" t="s">
        <v>241</v>
      </c>
      <c r="V120" s="4" t="s">
        <v>244</v>
      </c>
      <c r="X120" s="4" t="s">
        <v>241</v>
      </c>
      <c r="Y120" s="4" t="s">
        <v>241</v>
      </c>
    </row>
    <row r="121" customFormat="false" ht="15" hidden="false" customHeight="false" outlineLevel="0" collapsed="false">
      <c r="A121" s="0" t="s">
        <v>299</v>
      </c>
      <c r="B121" s="5" t="n">
        <v>45292</v>
      </c>
      <c r="C121" s="5" t="n">
        <v>45657</v>
      </c>
      <c r="D121" s="4" t="s">
        <v>237</v>
      </c>
      <c r="E121" s="4" t="s">
        <v>279</v>
      </c>
      <c r="F121" s="5" t="n">
        <v>45688</v>
      </c>
      <c r="G121" s="4" t="s">
        <v>273</v>
      </c>
      <c r="H121" s="0" t="n">
        <v>1.2</v>
      </c>
      <c r="I121" s="0" t="n">
        <v>0.001</v>
      </c>
      <c r="J121" s="0" t="n">
        <v>2</v>
      </c>
      <c r="K121" s="0" t="n">
        <v>8</v>
      </c>
      <c r="L121" s="0" t="n">
        <v>2</v>
      </c>
      <c r="M121" s="0" t="n">
        <v>4</v>
      </c>
      <c r="N121" s="4" t="s">
        <v>274</v>
      </c>
      <c r="O121" s="4" t="s">
        <v>238</v>
      </c>
      <c r="P121" s="4" t="s">
        <v>241</v>
      </c>
      <c r="Q121" s="4" t="s">
        <v>241</v>
      </c>
      <c r="R121" s="4" t="s">
        <v>242</v>
      </c>
      <c r="S121" s="0" t="n">
        <v>10</v>
      </c>
      <c r="T121" s="4" t="s">
        <v>243</v>
      </c>
      <c r="U121" s="4" t="s">
        <v>241</v>
      </c>
      <c r="V121" s="4" t="s">
        <v>244</v>
      </c>
      <c r="X121" s="4" t="s">
        <v>241</v>
      </c>
      <c r="Y121" s="4" t="s">
        <v>241</v>
      </c>
    </row>
    <row r="122" customFormat="false" ht="15" hidden="false" customHeight="false" outlineLevel="0" collapsed="false">
      <c r="A122" s="0" t="s">
        <v>300</v>
      </c>
      <c r="B122" s="5" t="n">
        <v>45292</v>
      </c>
      <c r="C122" s="5" t="n">
        <v>46022</v>
      </c>
      <c r="D122" s="4" t="s">
        <v>237</v>
      </c>
      <c r="E122" s="4" t="s">
        <v>238</v>
      </c>
      <c r="F122" s="5" t="n">
        <v>45688</v>
      </c>
      <c r="G122" s="4" t="s">
        <v>239</v>
      </c>
      <c r="H122" s="0" t="n">
        <v>1.2</v>
      </c>
      <c r="I122" s="0" t="n">
        <v>0.001</v>
      </c>
      <c r="J122" s="0" t="n">
        <v>2</v>
      </c>
      <c r="K122" s="0" t="n">
        <v>8</v>
      </c>
      <c r="L122" s="0" t="n">
        <v>2</v>
      </c>
      <c r="M122" s="0" t="n">
        <v>4</v>
      </c>
      <c r="N122" s="4" t="s">
        <v>240</v>
      </c>
      <c r="O122" s="4" t="s">
        <v>238</v>
      </c>
      <c r="P122" s="4" t="s">
        <v>241</v>
      </c>
      <c r="Q122" s="4" t="s">
        <v>241</v>
      </c>
      <c r="R122" s="4" t="s">
        <v>242</v>
      </c>
      <c r="S122" s="0" t="n">
        <v>10</v>
      </c>
      <c r="T122" s="4" t="s">
        <v>243</v>
      </c>
      <c r="U122" s="4" t="s">
        <v>241</v>
      </c>
      <c r="V122" s="4" t="s">
        <v>244</v>
      </c>
      <c r="X122" s="4" t="s">
        <v>241</v>
      </c>
      <c r="Y122" s="4" t="s">
        <v>241</v>
      </c>
    </row>
    <row r="123" customFormat="false" ht="15" hidden="false" customHeight="false" outlineLevel="0" collapsed="false">
      <c r="A123" s="0" t="s">
        <v>301</v>
      </c>
      <c r="B123" s="5" t="n">
        <v>45292</v>
      </c>
      <c r="C123" s="5" t="n">
        <v>46022</v>
      </c>
      <c r="D123" s="4" t="s">
        <v>237</v>
      </c>
      <c r="E123" s="4" t="s">
        <v>238</v>
      </c>
      <c r="F123" s="5" t="n">
        <v>45688</v>
      </c>
      <c r="G123" s="4" t="s">
        <v>265</v>
      </c>
      <c r="H123" s="0" t="n">
        <v>1.2</v>
      </c>
      <c r="I123" s="0" t="n">
        <v>0.001</v>
      </c>
      <c r="J123" s="0" t="n">
        <v>2</v>
      </c>
      <c r="K123" s="0" t="n">
        <v>8</v>
      </c>
      <c r="L123" s="0" t="n">
        <v>2</v>
      </c>
      <c r="M123" s="0" t="n">
        <v>4</v>
      </c>
      <c r="N123" s="4" t="s">
        <v>266</v>
      </c>
      <c r="O123" s="4" t="s">
        <v>238</v>
      </c>
      <c r="P123" s="4" t="s">
        <v>241</v>
      </c>
      <c r="Q123" s="4" t="s">
        <v>241</v>
      </c>
      <c r="R123" s="4" t="s">
        <v>242</v>
      </c>
      <c r="S123" s="0" t="n">
        <v>10</v>
      </c>
      <c r="T123" s="4" t="s">
        <v>243</v>
      </c>
      <c r="U123" s="4" t="s">
        <v>241</v>
      </c>
      <c r="V123" s="4" t="s">
        <v>244</v>
      </c>
      <c r="X123" s="4" t="s">
        <v>241</v>
      </c>
      <c r="Y123" s="4" t="s">
        <v>241</v>
      </c>
    </row>
    <row r="124" customFormat="false" ht="15" hidden="false" customHeight="false" outlineLevel="0" collapsed="false">
      <c r="A124" s="0" t="s">
        <v>302</v>
      </c>
      <c r="B124" s="5" t="n">
        <v>45292</v>
      </c>
      <c r="C124" s="5" t="n">
        <v>45657</v>
      </c>
      <c r="D124" s="4" t="s">
        <v>237</v>
      </c>
      <c r="E124" s="4" t="s">
        <v>238</v>
      </c>
      <c r="F124" s="5" t="n">
        <v>45688</v>
      </c>
      <c r="G124" s="4" t="s">
        <v>271</v>
      </c>
      <c r="H124" s="0" t="n">
        <v>1.2</v>
      </c>
      <c r="I124" s="0" t="n">
        <v>0.001</v>
      </c>
      <c r="J124" s="0" t="n">
        <v>2</v>
      </c>
      <c r="K124" s="0" t="n">
        <v>8</v>
      </c>
      <c r="L124" s="0" t="n">
        <v>2</v>
      </c>
      <c r="M124" s="0" t="n">
        <v>4</v>
      </c>
      <c r="N124" s="4" t="s">
        <v>272</v>
      </c>
      <c r="O124" s="4" t="s">
        <v>238</v>
      </c>
      <c r="P124" s="4" t="s">
        <v>241</v>
      </c>
      <c r="Q124" s="4" t="s">
        <v>241</v>
      </c>
      <c r="R124" s="4" t="s">
        <v>242</v>
      </c>
      <c r="S124" s="0" t="n">
        <v>10</v>
      </c>
      <c r="T124" s="4" t="s">
        <v>243</v>
      </c>
      <c r="U124" s="4" t="s">
        <v>241</v>
      </c>
      <c r="V124" s="4" t="s">
        <v>244</v>
      </c>
      <c r="X124" s="4" t="s">
        <v>241</v>
      </c>
      <c r="Y124" s="4" t="s">
        <v>241</v>
      </c>
    </row>
    <row r="125" customFormat="false" ht="15" hidden="false" customHeight="false" outlineLevel="0" collapsed="false">
      <c r="A125" s="0" t="s">
        <v>303</v>
      </c>
      <c r="B125" s="5" t="n">
        <v>45292</v>
      </c>
      <c r="C125" s="5" t="n">
        <v>46022</v>
      </c>
      <c r="D125" s="4" t="s">
        <v>237</v>
      </c>
      <c r="E125" s="4" t="s">
        <v>238</v>
      </c>
      <c r="F125" s="5" t="n">
        <v>45688</v>
      </c>
      <c r="G125" s="4" t="s">
        <v>273</v>
      </c>
      <c r="H125" s="0" t="n">
        <v>1.2</v>
      </c>
      <c r="I125" s="0" t="n">
        <v>0.001</v>
      </c>
      <c r="J125" s="0" t="n">
        <v>2</v>
      </c>
      <c r="K125" s="0" t="n">
        <v>8</v>
      </c>
      <c r="L125" s="0" t="n">
        <v>2</v>
      </c>
      <c r="M125" s="0" t="n">
        <v>4</v>
      </c>
      <c r="N125" s="4" t="s">
        <v>274</v>
      </c>
      <c r="O125" s="4" t="s">
        <v>238</v>
      </c>
      <c r="P125" s="4" t="s">
        <v>241</v>
      </c>
      <c r="Q125" s="4" t="s">
        <v>241</v>
      </c>
      <c r="R125" s="4" t="s">
        <v>242</v>
      </c>
      <c r="S125" s="0" t="n">
        <v>10</v>
      </c>
      <c r="T125" s="4" t="s">
        <v>243</v>
      </c>
      <c r="U125" s="4" t="s">
        <v>241</v>
      </c>
      <c r="V125" s="4" t="s">
        <v>244</v>
      </c>
      <c r="X125" s="4" t="s">
        <v>241</v>
      </c>
      <c r="Y125" s="4" t="s">
        <v>241</v>
      </c>
    </row>
    <row r="126" customFormat="false" ht="15" hidden="false" customHeight="false" outlineLevel="0" collapsed="false">
      <c r="A126" s="0" t="s">
        <v>304</v>
      </c>
      <c r="B126" s="5" t="n">
        <v>45292</v>
      </c>
      <c r="C126" s="5" t="n">
        <v>46022</v>
      </c>
      <c r="D126" s="4" t="s">
        <v>237</v>
      </c>
      <c r="E126" s="4" t="s">
        <v>279</v>
      </c>
      <c r="F126" s="5" t="n">
        <v>45688</v>
      </c>
      <c r="G126" s="4" t="s">
        <v>239</v>
      </c>
      <c r="H126" s="0" t="n">
        <v>1.2</v>
      </c>
      <c r="I126" s="0" t="n">
        <v>0.001</v>
      </c>
      <c r="J126" s="0" t="n">
        <v>2</v>
      </c>
      <c r="K126" s="0" t="n">
        <v>8</v>
      </c>
      <c r="L126" s="0" t="n">
        <v>2</v>
      </c>
      <c r="M126" s="0" t="n">
        <v>4</v>
      </c>
      <c r="N126" s="4" t="s">
        <v>240</v>
      </c>
      <c r="O126" s="4" t="s">
        <v>238</v>
      </c>
      <c r="P126" s="4" t="s">
        <v>241</v>
      </c>
      <c r="Q126" s="4" t="s">
        <v>241</v>
      </c>
      <c r="R126" s="4" t="s">
        <v>242</v>
      </c>
      <c r="S126" s="0" t="n">
        <v>10</v>
      </c>
      <c r="T126" s="4" t="s">
        <v>243</v>
      </c>
      <c r="U126" s="4" t="s">
        <v>241</v>
      </c>
      <c r="V126" s="4" t="s">
        <v>244</v>
      </c>
      <c r="X126" s="4" t="s">
        <v>241</v>
      </c>
      <c r="Y126" s="4" t="s">
        <v>241</v>
      </c>
    </row>
    <row r="127" customFormat="false" ht="15" hidden="false" customHeight="false" outlineLevel="0" collapsed="false">
      <c r="A127" s="0" t="s">
        <v>305</v>
      </c>
      <c r="B127" s="5" t="n">
        <v>45292</v>
      </c>
      <c r="C127" s="5" t="n">
        <v>45657</v>
      </c>
      <c r="D127" s="4" t="s">
        <v>241</v>
      </c>
      <c r="E127" s="4" t="s">
        <v>238</v>
      </c>
      <c r="F127" s="5" t="n">
        <v>45688</v>
      </c>
      <c r="G127" s="4" t="s">
        <v>265</v>
      </c>
      <c r="H127" s="0" t="n">
        <v>1.2</v>
      </c>
      <c r="I127" s="0" t="n">
        <v>0.001</v>
      </c>
      <c r="J127" s="0" t="n">
        <v>2</v>
      </c>
      <c r="K127" s="0" t="n">
        <v>8</v>
      </c>
      <c r="L127" s="0" t="n">
        <v>2</v>
      </c>
      <c r="M127" s="0" t="n">
        <v>4</v>
      </c>
      <c r="N127" s="4" t="s">
        <v>266</v>
      </c>
      <c r="O127" s="4" t="s">
        <v>238</v>
      </c>
      <c r="P127" s="4" t="s">
        <v>241</v>
      </c>
      <c r="Q127" s="4" t="s">
        <v>241</v>
      </c>
      <c r="R127" s="4" t="s">
        <v>242</v>
      </c>
      <c r="S127" s="0" t="n">
        <v>10</v>
      </c>
      <c r="T127" s="4" t="s">
        <v>243</v>
      </c>
      <c r="U127" s="4" t="s">
        <v>241</v>
      </c>
      <c r="V127" s="4" t="s">
        <v>244</v>
      </c>
      <c r="X127" s="4" t="s">
        <v>241</v>
      </c>
      <c r="Y127" s="4" t="s">
        <v>241</v>
      </c>
    </row>
    <row r="128" customFormat="false" ht="15" hidden="false" customHeight="false" outlineLevel="0" collapsed="false">
      <c r="A128" s="0" t="s">
        <v>306</v>
      </c>
      <c r="B128" s="5" t="n">
        <v>45292</v>
      </c>
      <c r="C128" s="5" t="n">
        <v>46022</v>
      </c>
      <c r="D128" s="4" t="s">
        <v>237</v>
      </c>
      <c r="E128" s="4" t="s">
        <v>238</v>
      </c>
      <c r="F128" s="5" t="n">
        <v>45688</v>
      </c>
      <c r="G128" s="4" t="s">
        <v>271</v>
      </c>
      <c r="H128" s="0" t="n">
        <v>1.2</v>
      </c>
      <c r="I128" s="0" t="n">
        <v>0.001</v>
      </c>
      <c r="J128" s="0" t="n">
        <v>2</v>
      </c>
      <c r="K128" s="0" t="n">
        <v>8</v>
      </c>
      <c r="L128" s="0" t="n">
        <v>2</v>
      </c>
      <c r="M128" s="0" t="n">
        <v>4</v>
      </c>
      <c r="N128" s="4" t="s">
        <v>272</v>
      </c>
      <c r="O128" s="4" t="s">
        <v>238</v>
      </c>
      <c r="P128" s="4" t="s">
        <v>241</v>
      </c>
      <c r="Q128" s="4" t="s">
        <v>241</v>
      </c>
      <c r="R128" s="4" t="s">
        <v>242</v>
      </c>
      <c r="S128" s="0" t="n">
        <v>10</v>
      </c>
      <c r="T128" s="4" t="s">
        <v>243</v>
      </c>
      <c r="U128" s="4" t="s">
        <v>241</v>
      </c>
      <c r="V128" s="4" t="s">
        <v>244</v>
      </c>
      <c r="X128" s="4" t="s">
        <v>241</v>
      </c>
      <c r="Y128" s="4" t="s">
        <v>241</v>
      </c>
    </row>
    <row r="129" customFormat="false" ht="15" hidden="false" customHeight="false" outlineLevel="0" collapsed="false">
      <c r="A129" s="0" t="s">
        <v>307</v>
      </c>
      <c r="B129" s="5" t="n">
        <v>45292</v>
      </c>
      <c r="C129" s="5" t="n">
        <v>46022</v>
      </c>
      <c r="D129" s="4" t="s">
        <v>237</v>
      </c>
      <c r="E129" s="4" t="s">
        <v>238</v>
      </c>
      <c r="F129" s="5" t="n">
        <v>45688</v>
      </c>
      <c r="G129" s="4" t="s">
        <v>273</v>
      </c>
      <c r="H129" s="0" t="n">
        <v>1.2</v>
      </c>
      <c r="I129" s="0" t="n">
        <v>0.001</v>
      </c>
      <c r="J129" s="0" t="n">
        <v>2</v>
      </c>
      <c r="K129" s="0" t="n">
        <v>8</v>
      </c>
      <c r="L129" s="0" t="n">
        <v>2</v>
      </c>
      <c r="M129" s="0" t="n">
        <v>4</v>
      </c>
      <c r="N129" s="4" t="s">
        <v>274</v>
      </c>
      <c r="O129" s="4" t="s">
        <v>238</v>
      </c>
      <c r="P129" s="4" t="s">
        <v>241</v>
      </c>
      <c r="Q129" s="4" t="s">
        <v>241</v>
      </c>
      <c r="R129" s="4" t="s">
        <v>242</v>
      </c>
      <c r="S129" s="0" t="n">
        <v>10</v>
      </c>
      <c r="T129" s="4" t="s">
        <v>243</v>
      </c>
      <c r="U129" s="4" t="s">
        <v>241</v>
      </c>
      <c r="V129" s="4" t="s">
        <v>244</v>
      </c>
      <c r="X129" s="4" t="s">
        <v>241</v>
      </c>
      <c r="Y129" s="4" t="s">
        <v>241</v>
      </c>
    </row>
    <row r="130" customFormat="false" ht="15" hidden="false" customHeight="false" outlineLevel="0" collapsed="false">
      <c r="A130" s="0" t="s">
        <v>308</v>
      </c>
      <c r="B130" s="5" t="n">
        <v>45292</v>
      </c>
      <c r="C130" s="5" t="n">
        <v>45657</v>
      </c>
      <c r="D130" s="4" t="s">
        <v>237</v>
      </c>
      <c r="E130" s="4" t="s">
        <v>238</v>
      </c>
      <c r="F130" s="5" t="n">
        <v>45688</v>
      </c>
      <c r="G130" s="4" t="s">
        <v>239</v>
      </c>
      <c r="H130" s="0" t="n">
        <v>1.2</v>
      </c>
      <c r="I130" s="0" t="n">
        <v>0.001</v>
      </c>
      <c r="J130" s="0" t="n">
        <v>2</v>
      </c>
      <c r="K130" s="0" t="n">
        <v>8</v>
      </c>
      <c r="L130" s="0" t="n">
        <v>2</v>
      </c>
      <c r="M130" s="0" t="n">
        <v>4</v>
      </c>
      <c r="N130" s="4" t="s">
        <v>240</v>
      </c>
      <c r="O130" s="4" t="s">
        <v>238</v>
      </c>
      <c r="P130" s="4" t="s">
        <v>241</v>
      </c>
      <c r="Q130" s="4" t="s">
        <v>241</v>
      </c>
      <c r="R130" s="4" t="s">
        <v>242</v>
      </c>
      <c r="S130" s="0" t="n">
        <v>10</v>
      </c>
      <c r="T130" s="4" t="s">
        <v>243</v>
      </c>
      <c r="U130" s="4" t="s">
        <v>241</v>
      </c>
      <c r="V130" s="4" t="s">
        <v>244</v>
      </c>
      <c r="X130" s="4" t="s">
        <v>241</v>
      </c>
      <c r="Y130" s="4" t="s">
        <v>241</v>
      </c>
    </row>
    <row r="131" customFormat="false" ht="15" hidden="false" customHeight="false" outlineLevel="0" collapsed="false">
      <c r="A131" s="0" t="s">
        <v>309</v>
      </c>
      <c r="B131" s="5" t="n">
        <v>45292</v>
      </c>
      <c r="C131" s="5" t="n">
        <v>46022</v>
      </c>
      <c r="D131" s="4" t="s">
        <v>237</v>
      </c>
      <c r="E131" s="4" t="s">
        <v>279</v>
      </c>
      <c r="F131" s="5" t="n">
        <v>45688</v>
      </c>
      <c r="G131" s="4" t="s">
        <v>265</v>
      </c>
      <c r="H131" s="0" t="n">
        <v>1.2</v>
      </c>
      <c r="I131" s="0" t="n">
        <v>0.001</v>
      </c>
      <c r="J131" s="0" t="n">
        <v>2</v>
      </c>
      <c r="K131" s="0" t="n">
        <v>8</v>
      </c>
      <c r="L131" s="0" t="n">
        <v>2</v>
      </c>
      <c r="M131" s="0" t="n">
        <v>4</v>
      </c>
      <c r="N131" s="4" t="s">
        <v>266</v>
      </c>
      <c r="O131" s="4" t="s">
        <v>238</v>
      </c>
      <c r="P131" s="4" t="s">
        <v>241</v>
      </c>
      <c r="Q131" s="4" t="s">
        <v>241</v>
      </c>
      <c r="R131" s="4" t="s">
        <v>242</v>
      </c>
      <c r="S131" s="0" t="n">
        <v>10</v>
      </c>
      <c r="T131" s="4" t="s">
        <v>243</v>
      </c>
      <c r="U131" s="4" t="s">
        <v>241</v>
      </c>
      <c r="V131" s="4" t="s">
        <v>244</v>
      </c>
      <c r="X131" s="4" t="s">
        <v>241</v>
      </c>
      <c r="Y131" s="4" t="s">
        <v>241</v>
      </c>
    </row>
    <row r="132" customFormat="false" ht="15" hidden="false" customHeight="false" outlineLevel="0" collapsed="false">
      <c r="A132" s="0" t="s">
        <v>310</v>
      </c>
      <c r="B132" s="5" t="n">
        <v>45292</v>
      </c>
      <c r="C132" s="5" t="n">
        <v>46022</v>
      </c>
      <c r="D132" s="4" t="s">
        <v>237</v>
      </c>
      <c r="E132" s="4" t="s">
        <v>238</v>
      </c>
      <c r="F132" s="5" t="n">
        <v>45688</v>
      </c>
      <c r="G132" s="4" t="s">
        <v>271</v>
      </c>
      <c r="H132" s="0" t="n">
        <v>1.2</v>
      </c>
      <c r="I132" s="0" t="n">
        <v>0.001</v>
      </c>
      <c r="J132" s="0" t="n">
        <v>2</v>
      </c>
      <c r="K132" s="0" t="n">
        <v>8</v>
      </c>
      <c r="L132" s="0" t="n">
        <v>2</v>
      </c>
      <c r="M132" s="0" t="n">
        <v>4</v>
      </c>
      <c r="N132" s="4" t="s">
        <v>272</v>
      </c>
      <c r="O132" s="4" t="s">
        <v>238</v>
      </c>
      <c r="P132" s="4" t="s">
        <v>241</v>
      </c>
      <c r="Q132" s="4" t="s">
        <v>241</v>
      </c>
      <c r="R132" s="4" t="s">
        <v>242</v>
      </c>
      <c r="S132" s="0" t="n">
        <v>10</v>
      </c>
      <c r="T132" s="4" t="s">
        <v>243</v>
      </c>
      <c r="U132" s="4" t="s">
        <v>241</v>
      </c>
      <c r="V132" s="4" t="s">
        <v>244</v>
      </c>
      <c r="X132" s="4" t="s">
        <v>241</v>
      </c>
      <c r="Y132" s="4" t="s">
        <v>241</v>
      </c>
    </row>
    <row r="133" customFormat="false" ht="15" hidden="false" customHeight="false" outlineLevel="0" collapsed="false">
      <c r="A133" s="0" t="s">
        <v>311</v>
      </c>
      <c r="B133" s="5" t="n">
        <v>45292</v>
      </c>
      <c r="C133" s="5" t="n">
        <v>45657</v>
      </c>
      <c r="D133" s="4" t="s">
        <v>237</v>
      </c>
      <c r="E133" s="4" t="s">
        <v>238</v>
      </c>
      <c r="F133" s="5" t="n">
        <v>45688</v>
      </c>
      <c r="G133" s="4" t="s">
        <v>273</v>
      </c>
      <c r="H133" s="0" t="n">
        <v>1.2</v>
      </c>
      <c r="I133" s="0" t="n">
        <v>0.001</v>
      </c>
      <c r="J133" s="0" t="n">
        <v>2</v>
      </c>
      <c r="K133" s="0" t="n">
        <v>8</v>
      </c>
      <c r="L133" s="0" t="n">
        <v>2</v>
      </c>
      <c r="M133" s="0" t="n">
        <v>4</v>
      </c>
      <c r="N133" s="4" t="s">
        <v>274</v>
      </c>
      <c r="O133" s="4" t="s">
        <v>238</v>
      </c>
      <c r="P133" s="4" t="s">
        <v>241</v>
      </c>
      <c r="Q133" s="4" t="s">
        <v>241</v>
      </c>
      <c r="R133" s="4" t="s">
        <v>242</v>
      </c>
      <c r="S133" s="0" t="n">
        <v>10</v>
      </c>
      <c r="T133" s="4" t="s">
        <v>243</v>
      </c>
      <c r="U133" s="4" t="s">
        <v>241</v>
      </c>
      <c r="V133" s="4" t="s">
        <v>244</v>
      </c>
      <c r="X133" s="4" t="s">
        <v>241</v>
      </c>
      <c r="Y133" s="4" t="s">
        <v>241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3</v>
      </c>
      <c r="B1" s="0" t="s">
        <v>2</v>
      </c>
      <c r="C1" s="0" t="s">
        <v>312</v>
      </c>
      <c r="D1" s="0" t="s">
        <v>13</v>
      </c>
      <c r="E1" s="0" t="s">
        <v>313</v>
      </c>
      <c r="F1" s="0" t="s">
        <v>15</v>
      </c>
      <c r="G1" s="0" t="s">
        <v>314</v>
      </c>
      <c r="H1" s="0" t="s">
        <v>315</v>
      </c>
      <c r="I1" s="0" t="s">
        <v>316</v>
      </c>
      <c r="J1" s="0" t="s">
        <v>20</v>
      </c>
      <c r="K1" s="0" t="s">
        <v>230</v>
      </c>
      <c r="L1" s="0" t="s">
        <v>229</v>
      </c>
    </row>
    <row r="2" customFormat="false" ht="15" hidden="false" customHeight="false" outlineLevel="0" collapsed="false">
      <c r="A2" s="0" t="s">
        <v>25</v>
      </c>
      <c r="B2" s="0" t="n">
        <v>1</v>
      </c>
      <c r="C2" s="0" t="s">
        <v>317</v>
      </c>
      <c r="D2" s="0" t="n">
        <v>0.02</v>
      </c>
      <c r="E2" s="0" t="n">
        <v>10</v>
      </c>
      <c r="F2" s="0" t="s">
        <v>318</v>
      </c>
      <c r="G2" s="0" t="s">
        <v>243</v>
      </c>
      <c r="H2" s="0" t="s">
        <v>238</v>
      </c>
      <c r="K2" s="0" t="n">
        <v>30</v>
      </c>
      <c r="L2" s="0" t="s">
        <v>242</v>
      </c>
    </row>
    <row r="3" customFormat="false" ht="15" hidden="false" customHeight="false" outlineLevel="0" collapsed="false">
      <c r="A3" s="0" t="s">
        <v>27</v>
      </c>
      <c r="B3" s="0" t="n">
        <v>2</v>
      </c>
      <c r="C3" s="0" t="s">
        <v>317</v>
      </c>
      <c r="D3" s="0" t="n">
        <v>0.02</v>
      </c>
      <c r="E3" s="0" t="n">
        <v>100</v>
      </c>
      <c r="F3" s="0" t="s">
        <v>318</v>
      </c>
      <c r="G3" s="0" t="s">
        <v>243</v>
      </c>
      <c r="H3" s="0" t="s">
        <v>238</v>
      </c>
      <c r="K3" s="0" t="n">
        <v>30</v>
      </c>
      <c r="L3" s="0" t="s">
        <v>242</v>
      </c>
    </row>
    <row r="4" customFormat="false" ht="15" hidden="false" customHeight="false" outlineLevel="0" collapsed="false">
      <c r="A4" s="0" t="s">
        <v>29</v>
      </c>
      <c r="B4" s="0" t="n">
        <v>3</v>
      </c>
      <c r="C4" s="0" t="s">
        <v>317</v>
      </c>
      <c r="D4" s="0" t="n">
        <v>0.02</v>
      </c>
      <c r="E4" s="0" t="n">
        <v>100</v>
      </c>
      <c r="F4" s="0" t="s">
        <v>318</v>
      </c>
      <c r="G4" s="0" t="s">
        <v>243</v>
      </c>
      <c r="H4" s="0" t="s">
        <v>238</v>
      </c>
      <c r="K4" s="0" t="n">
        <v>30</v>
      </c>
      <c r="L4" s="0" t="s">
        <v>242</v>
      </c>
    </row>
    <row r="5" customFormat="false" ht="15" hidden="false" customHeight="false" outlineLevel="0" collapsed="false">
      <c r="A5" s="0" t="s">
        <v>31</v>
      </c>
      <c r="B5" s="0" t="n">
        <v>4</v>
      </c>
      <c r="C5" s="0" t="s">
        <v>317</v>
      </c>
      <c r="D5" s="0" t="n">
        <v>0.02</v>
      </c>
      <c r="E5" s="0" t="n">
        <v>100</v>
      </c>
      <c r="F5" s="0" t="s">
        <v>318</v>
      </c>
      <c r="G5" s="0" t="s">
        <v>243</v>
      </c>
      <c r="H5" s="0" t="s">
        <v>238</v>
      </c>
      <c r="K5" s="0" t="n">
        <v>30</v>
      </c>
      <c r="L5" s="0" t="s">
        <v>242</v>
      </c>
    </row>
    <row r="6" customFormat="false" ht="15" hidden="false" customHeight="false" outlineLevel="0" collapsed="false">
      <c r="A6" s="0" t="s">
        <v>33</v>
      </c>
      <c r="B6" s="0" t="n">
        <v>5</v>
      </c>
      <c r="C6" s="0" t="s">
        <v>317</v>
      </c>
      <c r="D6" s="0" t="n">
        <v>0.02</v>
      </c>
      <c r="E6" s="0" t="n">
        <v>100</v>
      </c>
      <c r="F6" s="0" t="s">
        <v>318</v>
      </c>
      <c r="G6" s="0" t="s">
        <v>243</v>
      </c>
      <c r="H6" s="0" t="s">
        <v>238</v>
      </c>
      <c r="K6" s="0" t="n">
        <v>30</v>
      </c>
      <c r="L6" s="0" t="s">
        <v>242</v>
      </c>
    </row>
    <row r="7" customFormat="false" ht="15" hidden="false" customHeight="false" outlineLevel="0" collapsed="false">
      <c r="A7" s="0" t="s">
        <v>35</v>
      </c>
      <c r="B7" s="0" t="n">
        <v>6</v>
      </c>
      <c r="C7" s="0" t="s">
        <v>317</v>
      </c>
      <c r="D7" s="0" t="n">
        <v>0.02</v>
      </c>
      <c r="E7" s="0" t="n">
        <v>100</v>
      </c>
      <c r="F7" s="0" t="s">
        <v>318</v>
      </c>
      <c r="G7" s="0" t="s">
        <v>243</v>
      </c>
      <c r="H7" s="0" t="s">
        <v>238</v>
      </c>
      <c r="K7" s="0" t="n">
        <v>30</v>
      </c>
      <c r="L7" s="0" t="s">
        <v>242</v>
      </c>
    </row>
    <row r="8" customFormat="false" ht="15" hidden="false" customHeight="false" outlineLevel="0" collapsed="false">
      <c r="A8" s="0" t="s">
        <v>37</v>
      </c>
      <c r="B8" s="0" t="n">
        <v>7</v>
      </c>
      <c r="C8" s="0" t="s">
        <v>317</v>
      </c>
      <c r="D8" s="0" t="n">
        <v>0.02</v>
      </c>
      <c r="E8" s="0" t="n">
        <v>100</v>
      </c>
      <c r="F8" s="0" t="s">
        <v>318</v>
      </c>
      <c r="G8" s="0" t="s">
        <v>243</v>
      </c>
      <c r="H8" s="0" t="s">
        <v>238</v>
      </c>
      <c r="K8" s="0" t="n">
        <v>30</v>
      </c>
      <c r="L8" s="0" t="s">
        <v>242</v>
      </c>
    </row>
    <row r="9" customFormat="false" ht="15" hidden="false" customHeight="false" outlineLevel="0" collapsed="false">
      <c r="A9" s="0" t="s">
        <v>39</v>
      </c>
      <c r="B9" s="0" t="n">
        <v>8</v>
      </c>
      <c r="C9" s="0" t="s">
        <v>317</v>
      </c>
      <c r="D9" s="0" t="n">
        <v>0.02</v>
      </c>
      <c r="E9" s="0" t="n">
        <v>100</v>
      </c>
      <c r="F9" s="0" t="s">
        <v>318</v>
      </c>
      <c r="G9" s="0" t="s">
        <v>243</v>
      </c>
      <c r="H9" s="0" t="s">
        <v>238</v>
      </c>
      <c r="K9" s="0" t="n">
        <v>30</v>
      </c>
      <c r="L9" s="0" t="s">
        <v>242</v>
      </c>
    </row>
    <row r="10" customFormat="false" ht="15" hidden="false" customHeight="false" outlineLevel="0" collapsed="false">
      <c r="A10" s="0" t="s">
        <v>41</v>
      </c>
      <c r="B10" s="0" t="n">
        <v>9</v>
      </c>
      <c r="C10" s="0" t="s">
        <v>317</v>
      </c>
      <c r="D10" s="0" t="n">
        <v>0.02</v>
      </c>
      <c r="E10" s="0" t="n">
        <v>100</v>
      </c>
      <c r="F10" s="0" t="s">
        <v>318</v>
      </c>
      <c r="G10" s="0" t="s">
        <v>243</v>
      </c>
      <c r="H10" s="0" t="s">
        <v>238</v>
      </c>
      <c r="K10" s="0" t="n">
        <v>30</v>
      </c>
      <c r="L10" s="0" t="s">
        <v>242</v>
      </c>
    </row>
    <row r="11" customFormat="false" ht="15" hidden="false" customHeight="false" outlineLevel="0" collapsed="false">
      <c r="A11" s="0" t="s">
        <v>43</v>
      </c>
      <c r="B11" s="0" t="n">
        <v>10</v>
      </c>
      <c r="C11" s="0" t="s">
        <v>317</v>
      </c>
      <c r="D11" s="0" t="n">
        <v>0.02</v>
      </c>
      <c r="E11" s="0" t="n">
        <v>100</v>
      </c>
      <c r="F11" s="0" t="s">
        <v>318</v>
      </c>
      <c r="G11" s="0" t="s">
        <v>243</v>
      </c>
      <c r="H11" s="0" t="s">
        <v>238</v>
      </c>
      <c r="K11" s="0" t="n">
        <v>30</v>
      </c>
      <c r="L11" s="0" t="s">
        <v>242</v>
      </c>
    </row>
    <row r="12" customFormat="false" ht="15" hidden="false" customHeight="false" outlineLevel="0" collapsed="false">
      <c r="A12" s="0" t="s">
        <v>45</v>
      </c>
      <c r="B12" s="0" t="n">
        <v>11</v>
      </c>
      <c r="C12" s="0" t="s">
        <v>317</v>
      </c>
      <c r="D12" s="0" t="n">
        <v>0.02</v>
      </c>
      <c r="E12" s="0" t="n">
        <v>100</v>
      </c>
      <c r="F12" s="0" t="s">
        <v>318</v>
      </c>
      <c r="G12" s="0" t="s">
        <v>243</v>
      </c>
      <c r="H12" s="0" t="s">
        <v>238</v>
      </c>
      <c r="K12" s="0" t="n">
        <v>30</v>
      </c>
      <c r="L12" s="0" t="s">
        <v>242</v>
      </c>
    </row>
    <row r="13" customFormat="false" ht="15" hidden="false" customHeight="false" outlineLevel="0" collapsed="false">
      <c r="A13" s="0" t="s">
        <v>47</v>
      </c>
      <c r="B13" s="0" t="n">
        <v>12</v>
      </c>
      <c r="C13" s="0" t="s">
        <v>317</v>
      </c>
      <c r="D13" s="0" t="n">
        <v>0.02</v>
      </c>
      <c r="E13" s="0" t="n">
        <v>100</v>
      </c>
      <c r="F13" s="0" t="s">
        <v>318</v>
      </c>
      <c r="G13" s="0" t="s">
        <v>243</v>
      </c>
      <c r="H13" s="0" t="s">
        <v>238</v>
      </c>
      <c r="K13" s="0" t="n">
        <v>30</v>
      </c>
      <c r="L13" s="0" t="s">
        <v>242</v>
      </c>
    </row>
    <row r="14" customFormat="false" ht="15" hidden="false" customHeight="false" outlineLevel="0" collapsed="false">
      <c r="A14" s="0" t="s">
        <v>49</v>
      </c>
      <c r="B14" s="0" t="n">
        <v>13</v>
      </c>
      <c r="C14" s="0" t="s">
        <v>317</v>
      </c>
      <c r="D14" s="0" t="n">
        <v>0.02</v>
      </c>
      <c r="E14" s="0" t="n">
        <v>100</v>
      </c>
      <c r="F14" s="0" t="s">
        <v>318</v>
      </c>
      <c r="G14" s="0" t="s">
        <v>243</v>
      </c>
      <c r="H14" s="0" t="s">
        <v>238</v>
      </c>
      <c r="K14" s="0" t="n">
        <v>30</v>
      </c>
      <c r="L14" s="0" t="s">
        <v>242</v>
      </c>
    </row>
    <row r="15" customFormat="false" ht="15" hidden="false" customHeight="false" outlineLevel="0" collapsed="false">
      <c r="A15" s="0" t="s">
        <v>51</v>
      </c>
      <c r="B15" s="0" t="n">
        <v>14</v>
      </c>
      <c r="C15" s="0" t="s">
        <v>317</v>
      </c>
      <c r="D15" s="0" t="n">
        <v>0.02</v>
      </c>
      <c r="E15" s="0" t="n">
        <v>100</v>
      </c>
      <c r="F15" s="0" t="s">
        <v>318</v>
      </c>
      <c r="G15" s="0" t="s">
        <v>243</v>
      </c>
      <c r="H15" s="0" t="s">
        <v>238</v>
      </c>
      <c r="K15" s="0" t="n">
        <v>30</v>
      </c>
      <c r="L15" s="0" t="s">
        <v>242</v>
      </c>
    </row>
    <row r="16" customFormat="false" ht="15" hidden="false" customHeight="false" outlineLevel="0" collapsed="false">
      <c r="A16" s="0" t="s">
        <v>53</v>
      </c>
      <c r="B16" s="0" t="n">
        <v>15</v>
      </c>
      <c r="C16" s="0" t="s">
        <v>317</v>
      </c>
      <c r="D16" s="0" t="n">
        <v>0.02</v>
      </c>
      <c r="E16" s="0" t="n">
        <v>100</v>
      </c>
      <c r="F16" s="0" t="s">
        <v>318</v>
      </c>
      <c r="G16" s="0" t="s">
        <v>243</v>
      </c>
      <c r="H16" s="0" t="s">
        <v>238</v>
      </c>
      <c r="K16" s="0" t="n">
        <v>30</v>
      </c>
      <c r="L16" s="0" t="s">
        <v>242</v>
      </c>
    </row>
    <row r="17" customFormat="false" ht="15" hidden="false" customHeight="false" outlineLevel="0" collapsed="false">
      <c r="A17" s="0" t="s">
        <v>55</v>
      </c>
      <c r="B17" s="0" t="n">
        <v>16</v>
      </c>
      <c r="C17" s="0" t="s">
        <v>317</v>
      </c>
      <c r="D17" s="0" t="n">
        <v>0.02</v>
      </c>
      <c r="E17" s="0" t="n">
        <v>100</v>
      </c>
      <c r="F17" s="0" t="s">
        <v>318</v>
      </c>
      <c r="G17" s="0" t="s">
        <v>243</v>
      </c>
      <c r="H17" s="0" t="s">
        <v>238</v>
      </c>
      <c r="K17" s="0" t="n">
        <v>30</v>
      </c>
      <c r="L17" s="0" t="s">
        <v>242</v>
      </c>
    </row>
    <row r="18" customFormat="false" ht="15" hidden="false" customHeight="false" outlineLevel="0" collapsed="false">
      <c r="A18" s="0" t="s">
        <v>57</v>
      </c>
      <c r="B18" s="0" t="n">
        <v>17</v>
      </c>
      <c r="C18" s="0" t="s">
        <v>317</v>
      </c>
      <c r="D18" s="0" t="n">
        <v>0.02</v>
      </c>
      <c r="E18" s="0" t="n">
        <v>100</v>
      </c>
      <c r="F18" s="0" t="s">
        <v>318</v>
      </c>
      <c r="G18" s="0" t="s">
        <v>243</v>
      </c>
      <c r="H18" s="0" t="s">
        <v>238</v>
      </c>
      <c r="K18" s="0" t="n">
        <v>30</v>
      </c>
      <c r="L18" s="0" t="s">
        <v>242</v>
      </c>
    </row>
    <row r="19" customFormat="false" ht="15" hidden="false" customHeight="false" outlineLevel="0" collapsed="false">
      <c r="A19" s="0" t="s">
        <v>59</v>
      </c>
      <c r="B19" s="0" t="n">
        <v>18</v>
      </c>
      <c r="C19" s="0" t="s">
        <v>317</v>
      </c>
      <c r="D19" s="0" t="n">
        <v>0.02</v>
      </c>
      <c r="E19" s="0" t="n">
        <v>100</v>
      </c>
      <c r="F19" s="0" t="s">
        <v>318</v>
      </c>
      <c r="G19" s="0" t="s">
        <v>243</v>
      </c>
      <c r="H19" s="0" t="s">
        <v>238</v>
      </c>
      <c r="K19" s="0" t="n">
        <v>30</v>
      </c>
      <c r="L19" s="0" t="s">
        <v>242</v>
      </c>
    </row>
    <row r="20" customFormat="false" ht="15" hidden="false" customHeight="false" outlineLevel="0" collapsed="false">
      <c r="A20" s="0" t="s">
        <v>61</v>
      </c>
      <c r="B20" s="0" t="n">
        <v>19</v>
      </c>
      <c r="C20" s="0" t="s">
        <v>317</v>
      </c>
      <c r="D20" s="0" t="n">
        <v>0.02</v>
      </c>
      <c r="E20" s="0" t="n">
        <v>100</v>
      </c>
      <c r="F20" s="0" t="s">
        <v>318</v>
      </c>
      <c r="G20" s="0" t="s">
        <v>243</v>
      </c>
      <c r="H20" s="0" t="s">
        <v>238</v>
      </c>
      <c r="K20" s="0" t="n">
        <v>30</v>
      </c>
      <c r="L20" s="0" t="s">
        <v>242</v>
      </c>
    </row>
    <row r="21" customFormat="false" ht="15" hidden="false" customHeight="false" outlineLevel="0" collapsed="false">
      <c r="A21" s="0" t="s">
        <v>63</v>
      </c>
      <c r="B21" s="0" t="n">
        <v>20</v>
      </c>
      <c r="C21" s="0" t="s">
        <v>317</v>
      </c>
      <c r="D21" s="0" t="n">
        <v>0.02</v>
      </c>
      <c r="E21" s="0" t="n">
        <v>100</v>
      </c>
      <c r="F21" s="0" t="s">
        <v>318</v>
      </c>
      <c r="G21" s="0" t="s">
        <v>243</v>
      </c>
      <c r="H21" s="0" t="s">
        <v>238</v>
      </c>
      <c r="K21" s="0" t="n">
        <v>30</v>
      </c>
      <c r="L21" s="0" t="s">
        <v>242</v>
      </c>
    </row>
    <row r="22" customFormat="false" ht="15" hidden="false" customHeight="false" outlineLevel="0" collapsed="false">
      <c r="A22" s="0" t="s">
        <v>65</v>
      </c>
      <c r="B22" s="0" t="n">
        <v>21</v>
      </c>
      <c r="C22" s="0" t="s">
        <v>317</v>
      </c>
      <c r="D22" s="0" t="n">
        <v>0.02</v>
      </c>
      <c r="E22" s="0" t="n">
        <v>100</v>
      </c>
      <c r="F22" s="0" t="s">
        <v>318</v>
      </c>
      <c r="G22" s="0" t="s">
        <v>243</v>
      </c>
      <c r="H22" s="0" t="s">
        <v>238</v>
      </c>
      <c r="K22" s="0" t="n">
        <v>30</v>
      </c>
      <c r="L22" s="0" t="s">
        <v>242</v>
      </c>
    </row>
    <row r="23" customFormat="false" ht="15" hidden="false" customHeight="false" outlineLevel="0" collapsed="false">
      <c r="A23" s="0" t="s">
        <v>67</v>
      </c>
      <c r="B23" s="0" t="n">
        <v>22</v>
      </c>
      <c r="C23" s="0" t="s">
        <v>317</v>
      </c>
      <c r="D23" s="0" t="n">
        <v>0.02</v>
      </c>
      <c r="E23" s="0" t="n">
        <v>100</v>
      </c>
      <c r="F23" s="0" t="s">
        <v>318</v>
      </c>
      <c r="G23" s="0" t="s">
        <v>243</v>
      </c>
      <c r="H23" s="0" t="s">
        <v>238</v>
      </c>
      <c r="K23" s="0" t="n">
        <v>30</v>
      </c>
      <c r="L23" s="0" t="s">
        <v>242</v>
      </c>
    </row>
    <row r="24" customFormat="false" ht="15" hidden="false" customHeight="false" outlineLevel="0" collapsed="false">
      <c r="A24" s="0" t="s">
        <v>69</v>
      </c>
      <c r="B24" s="0" t="n">
        <v>23</v>
      </c>
      <c r="C24" s="0" t="s">
        <v>317</v>
      </c>
      <c r="D24" s="0" t="n">
        <v>0.02</v>
      </c>
      <c r="E24" s="0" t="n">
        <v>100</v>
      </c>
      <c r="F24" s="0" t="s">
        <v>318</v>
      </c>
      <c r="G24" s="0" t="s">
        <v>243</v>
      </c>
      <c r="H24" s="0" t="s">
        <v>238</v>
      </c>
      <c r="K24" s="0" t="n">
        <v>30</v>
      </c>
      <c r="L24" s="0" t="s">
        <v>242</v>
      </c>
    </row>
    <row r="25" customFormat="false" ht="15" hidden="false" customHeight="false" outlineLevel="0" collapsed="false">
      <c r="A25" s="0" t="s">
        <v>71</v>
      </c>
      <c r="B25" s="0" t="n">
        <v>24</v>
      </c>
      <c r="C25" s="0" t="s">
        <v>317</v>
      </c>
      <c r="D25" s="0" t="n">
        <v>0.02</v>
      </c>
      <c r="E25" s="0" t="n">
        <v>100</v>
      </c>
      <c r="F25" s="0" t="s">
        <v>318</v>
      </c>
      <c r="G25" s="0" t="s">
        <v>243</v>
      </c>
      <c r="H25" s="0" t="s">
        <v>238</v>
      </c>
      <c r="K25" s="0" t="n">
        <v>30</v>
      </c>
      <c r="L25" s="0" t="s">
        <v>242</v>
      </c>
    </row>
    <row r="26" customFormat="false" ht="15" hidden="false" customHeight="false" outlineLevel="0" collapsed="false">
      <c r="A26" s="0" t="s">
        <v>73</v>
      </c>
      <c r="B26" s="0" t="n">
        <v>25</v>
      </c>
      <c r="C26" s="0" t="s">
        <v>317</v>
      </c>
      <c r="D26" s="0" t="n">
        <v>0.02</v>
      </c>
      <c r="E26" s="0" t="n">
        <v>100</v>
      </c>
      <c r="F26" s="0" t="s">
        <v>318</v>
      </c>
      <c r="G26" s="0" t="s">
        <v>243</v>
      </c>
      <c r="H26" s="0" t="s">
        <v>267</v>
      </c>
      <c r="K26" s="0" t="n">
        <v>30</v>
      </c>
      <c r="L26" s="0" t="s">
        <v>242</v>
      </c>
    </row>
    <row r="27" customFormat="false" ht="15" hidden="false" customHeight="false" outlineLevel="0" collapsed="false">
      <c r="A27" s="0" t="s">
        <v>75</v>
      </c>
      <c r="B27" s="0" t="n">
        <v>26</v>
      </c>
      <c r="C27" s="0" t="s">
        <v>317</v>
      </c>
      <c r="D27" s="0" t="n">
        <v>0.02</v>
      </c>
      <c r="E27" s="0" t="n">
        <v>100</v>
      </c>
      <c r="F27" s="0" t="s">
        <v>318</v>
      </c>
      <c r="G27" s="0" t="s">
        <v>243</v>
      </c>
      <c r="H27" s="0" t="s">
        <v>267</v>
      </c>
      <c r="K27" s="0" t="n">
        <v>30</v>
      </c>
      <c r="L27" s="0" t="s">
        <v>242</v>
      </c>
    </row>
    <row r="28" customFormat="false" ht="15" hidden="false" customHeight="false" outlineLevel="0" collapsed="false">
      <c r="A28" s="0" t="s">
        <v>77</v>
      </c>
      <c r="B28" s="0" t="n">
        <v>27</v>
      </c>
      <c r="C28" s="0" t="s">
        <v>317</v>
      </c>
      <c r="D28" s="0" t="n">
        <v>0.02</v>
      </c>
      <c r="E28" s="0" t="n">
        <v>100</v>
      </c>
      <c r="F28" s="0" t="s">
        <v>318</v>
      </c>
      <c r="G28" s="0" t="s">
        <v>243</v>
      </c>
      <c r="H28" s="0" t="s">
        <v>267</v>
      </c>
      <c r="K28" s="0" t="n">
        <v>30</v>
      </c>
      <c r="L28" s="0" t="s">
        <v>242</v>
      </c>
    </row>
    <row r="29" customFormat="false" ht="15" hidden="false" customHeight="false" outlineLevel="0" collapsed="false">
      <c r="A29" s="0" t="s">
        <v>79</v>
      </c>
      <c r="B29" s="0" t="n">
        <v>28</v>
      </c>
      <c r="C29" s="0" t="s">
        <v>317</v>
      </c>
      <c r="D29" s="0" t="n">
        <v>0.02</v>
      </c>
      <c r="E29" s="0" t="n">
        <v>100</v>
      </c>
      <c r="F29" s="0" t="s">
        <v>318</v>
      </c>
      <c r="G29" s="0" t="s">
        <v>243</v>
      </c>
      <c r="H29" s="0" t="s">
        <v>267</v>
      </c>
      <c r="K29" s="0" t="n">
        <v>30</v>
      </c>
      <c r="L29" s="0" t="s">
        <v>242</v>
      </c>
    </row>
    <row r="30" customFormat="false" ht="15" hidden="false" customHeight="false" outlineLevel="0" collapsed="false">
      <c r="A30" s="0" t="s">
        <v>81</v>
      </c>
      <c r="B30" s="0" t="n">
        <v>29</v>
      </c>
      <c r="C30" s="0" t="s">
        <v>317</v>
      </c>
      <c r="D30" s="0" t="n">
        <v>0.02</v>
      </c>
      <c r="E30" s="0" t="n">
        <v>100</v>
      </c>
      <c r="F30" s="0" t="s">
        <v>318</v>
      </c>
      <c r="G30" s="0" t="s">
        <v>243</v>
      </c>
      <c r="H30" s="0" t="s">
        <v>267</v>
      </c>
      <c r="K30" s="0" t="n">
        <v>30</v>
      </c>
      <c r="L30" s="0" t="s">
        <v>242</v>
      </c>
    </row>
    <row r="31" customFormat="false" ht="15" hidden="false" customHeight="false" outlineLevel="0" collapsed="false">
      <c r="A31" s="0" t="s">
        <v>83</v>
      </c>
      <c r="B31" s="0" t="n">
        <v>30</v>
      </c>
      <c r="C31" s="0" t="s">
        <v>317</v>
      </c>
      <c r="D31" s="0" t="n">
        <v>0.02</v>
      </c>
      <c r="E31" s="0" t="n">
        <v>100</v>
      </c>
      <c r="F31" s="0" t="s">
        <v>318</v>
      </c>
      <c r="G31" s="0" t="s">
        <v>243</v>
      </c>
      <c r="H31" s="0" t="s">
        <v>267</v>
      </c>
      <c r="K31" s="0" t="n">
        <v>30</v>
      </c>
      <c r="L31" s="0" t="s">
        <v>242</v>
      </c>
    </row>
    <row r="32" customFormat="false" ht="15" hidden="false" customHeight="false" outlineLevel="0" collapsed="false">
      <c r="A32" s="0" t="s">
        <v>85</v>
      </c>
      <c r="B32" s="0" t="n">
        <v>31</v>
      </c>
      <c r="C32" s="0" t="s">
        <v>317</v>
      </c>
      <c r="D32" s="0" t="n">
        <v>0.02</v>
      </c>
      <c r="E32" s="0" t="n">
        <v>100</v>
      </c>
      <c r="F32" s="0" t="s">
        <v>318</v>
      </c>
      <c r="G32" s="0" t="s">
        <v>243</v>
      </c>
      <c r="H32" s="0" t="s">
        <v>267</v>
      </c>
      <c r="K32" s="0" t="n">
        <v>30</v>
      </c>
      <c r="L32" s="0" t="s">
        <v>242</v>
      </c>
    </row>
    <row r="33" customFormat="false" ht="15" hidden="false" customHeight="false" outlineLevel="0" collapsed="false">
      <c r="A33" s="0" t="s">
        <v>87</v>
      </c>
      <c r="B33" s="0" t="n">
        <v>32</v>
      </c>
      <c r="C33" s="0" t="s">
        <v>317</v>
      </c>
      <c r="D33" s="0" t="n">
        <v>0.02</v>
      </c>
      <c r="E33" s="0" t="n">
        <v>100</v>
      </c>
      <c r="F33" s="0" t="s">
        <v>318</v>
      </c>
      <c r="G33" s="0" t="s">
        <v>243</v>
      </c>
      <c r="H33" s="0" t="s">
        <v>267</v>
      </c>
      <c r="K33" s="0" t="n">
        <v>30</v>
      </c>
      <c r="L33" s="0" t="s">
        <v>242</v>
      </c>
    </row>
    <row r="34" customFormat="false" ht="15" hidden="false" customHeight="false" outlineLevel="0" collapsed="false">
      <c r="A34" s="0" t="s">
        <v>89</v>
      </c>
      <c r="B34" s="0" t="n">
        <v>33</v>
      </c>
      <c r="C34" s="0" t="s">
        <v>317</v>
      </c>
      <c r="D34" s="0" t="n">
        <v>0.02</v>
      </c>
      <c r="E34" s="0" t="n">
        <v>100</v>
      </c>
      <c r="F34" s="0" t="s">
        <v>318</v>
      </c>
      <c r="G34" s="0" t="s">
        <v>243</v>
      </c>
      <c r="H34" s="0" t="s">
        <v>267</v>
      </c>
      <c r="K34" s="0" t="n">
        <v>30</v>
      </c>
      <c r="L34" s="0" t="s">
        <v>242</v>
      </c>
    </row>
    <row r="35" customFormat="false" ht="15" hidden="false" customHeight="false" outlineLevel="0" collapsed="false">
      <c r="A35" s="0" t="s">
        <v>91</v>
      </c>
      <c r="B35" s="0" t="n">
        <v>34</v>
      </c>
      <c r="C35" s="0" t="s">
        <v>317</v>
      </c>
      <c r="D35" s="0" t="n">
        <v>0.02</v>
      </c>
      <c r="E35" s="0" t="n">
        <v>100</v>
      </c>
      <c r="F35" s="0" t="s">
        <v>318</v>
      </c>
      <c r="G35" s="0" t="s">
        <v>243</v>
      </c>
      <c r="H35" s="0" t="s">
        <v>267</v>
      </c>
      <c r="K35" s="0" t="n">
        <v>30</v>
      </c>
      <c r="L35" s="0" t="s">
        <v>242</v>
      </c>
    </row>
    <row r="36" customFormat="false" ht="15" hidden="false" customHeight="false" outlineLevel="0" collapsed="false">
      <c r="A36" s="0" t="s">
        <v>93</v>
      </c>
      <c r="B36" s="0" t="n">
        <v>35</v>
      </c>
      <c r="C36" s="0" t="s">
        <v>317</v>
      </c>
      <c r="D36" s="0" t="n">
        <v>0.02</v>
      </c>
      <c r="E36" s="0" t="n">
        <v>100</v>
      </c>
      <c r="F36" s="0" t="s">
        <v>318</v>
      </c>
      <c r="G36" s="0" t="s">
        <v>243</v>
      </c>
      <c r="H36" s="0" t="s">
        <v>267</v>
      </c>
      <c r="K36" s="0" t="n">
        <v>30</v>
      </c>
      <c r="L36" s="0" t="s">
        <v>242</v>
      </c>
    </row>
    <row r="37" customFormat="false" ht="15" hidden="false" customHeight="false" outlineLevel="0" collapsed="false">
      <c r="A37" s="0" t="s">
        <v>95</v>
      </c>
      <c r="B37" s="0" t="n">
        <v>36</v>
      </c>
      <c r="C37" s="0" t="s">
        <v>317</v>
      </c>
      <c r="D37" s="0" t="n">
        <v>0.02</v>
      </c>
      <c r="E37" s="0" t="n">
        <v>100</v>
      </c>
      <c r="F37" s="0" t="s">
        <v>318</v>
      </c>
      <c r="G37" s="0" t="s">
        <v>243</v>
      </c>
      <c r="H37" s="0" t="s">
        <v>267</v>
      </c>
      <c r="K37" s="0" t="n">
        <v>30</v>
      </c>
      <c r="L37" s="0" t="s">
        <v>242</v>
      </c>
    </row>
    <row r="38" customFormat="false" ht="15" hidden="false" customHeight="false" outlineLevel="0" collapsed="false">
      <c r="A38" s="0" t="s">
        <v>97</v>
      </c>
      <c r="B38" s="0" t="n">
        <v>37</v>
      </c>
      <c r="C38" s="0" t="s">
        <v>317</v>
      </c>
      <c r="D38" s="0" t="n">
        <v>0.02</v>
      </c>
      <c r="E38" s="0" t="n">
        <v>100</v>
      </c>
      <c r="F38" s="0" t="s">
        <v>318</v>
      </c>
      <c r="G38" s="0" t="s">
        <v>243</v>
      </c>
      <c r="H38" s="0" t="s">
        <v>238</v>
      </c>
      <c r="K38" s="0" t="n">
        <v>30</v>
      </c>
      <c r="L38" s="0" t="s">
        <v>242</v>
      </c>
    </row>
    <row r="39" customFormat="false" ht="15" hidden="false" customHeight="false" outlineLevel="0" collapsed="false">
      <c r="A39" s="0" t="s">
        <v>99</v>
      </c>
      <c r="B39" s="0" t="n">
        <v>38</v>
      </c>
      <c r="C39" s="0" t="s">
        <v>317</v>
      </c>
      <c r="D39" s="0" t="n">
        <v>0.02</v>
      </c>
      <c r="E39" s="0" t="n">
        <v>100</v>
      </c>
      <c r="F39" s="0" t="s">
        <v>318</v>
      </c>
      <c r="G39" s="0" t="s">
        <v>243</v>
      </c>
      <c r="H39" s="0" t="s">
        <v>238</v>
      </c>
      <c r="K39" s="0" t="n">
        <v>30</v>
      </c>
      <c r="L39" s="0" t="s">
        <v>242</v>
      </c>
    </row>
    <row r="40" customFormat="false" ht="15" hidden="false" customHeight="false" outlineLevel="0" collapsed="false">
      <c r="A40" s="0" t="s">
        <v>101</v>
      </c>
      <c r="B40" s="0" t="n">
        <v>39</v>
      </c>
      <c r="C40" s="0" t="s">
        <v>317</v>
      </c>
      <c r="D40" s="0" t="n">
        <v>0.02</v>
      </c>
      <c r="E40" s="0" t="n">
        <v>100</v>
      </c>
      <c r="F40" s="0" t="s">
        <v>318</v>
      </c>
      <c r="G40" s="0" t="s">
        <v>243</v>
      </c>
      <c r="H40" s="0" t="s">
        <v>238</v>
      </c>
      <c r="K40" s="0" t="n">
        <v>30</v>
      </c>
      <c r="L40" s="0" t="s">
        <v>242</v>
      </c>
    </row>
    <row r="41" customFormat="false" ht="15" hidden="false" customHeight="false" outlineLevel="0" collapsed="false">
      <c r="A41" s="0" t="s">
        <v>103</v>
      </c>
      <c r="B41" s="0" t="n">
        <v>40</v>
      </c>
      <c r="C41" s="0" t="s">
        <v>317</v>
      </c>
      <c r="D41" s="0" t="n">
        <v>0.02</v>
      </c>
      <c r="E41" s="0" t="n">
        <v>100</v>
      </c>
      <c r="F41" s="0" t="s">
        <v>318</v>
      </c>
      <c r="G41" s="0" t="s">
        <v>243</v>
      </c>
      <c r="H41" s="0" t="s">
        <v>238</v>
      </c>
      <c r="I41" s="0" t="s">
        <v>319</v>
      </c>
      <c r="J41" s="5" t="n">
        <v>46022</v>
      </c>
      <c r="K41" s="0" t="n">
        <v>30</v>
      </c>
      <c r="L41" s="4" t="s">
        <v>242</v>
      </c>
    </row>
    <row r="42" customFormat="false" ht="15" hidden="false" customHeight="false" outlineLevel="0" collapsed="false">
      <c r="A42" s="0" t="s">
        <v>105</v>
      </c>
      <c r="B42" s="0" t="n">
        <v>41</v>
      </c>
      <c r="C42" s="0" t="s">
        <v>317</v>
      </c>
      <c r="D42" s="0" t="n">
        <v>0.02</v>
      </c>
      <c r="E42" s="0" t="n">
        <v>100</v>
      </c>
      <c r="F42" s="0" t="s">
        <v>318</v>
      </c>
      <c r="G42" s="0" t="s">
        <v>243</v>
      </c>
      <c r="H42" s="0" t="s">
        <v>238</v>
      </c>
      <c r="I42" s="0" t="s">
        <v>319</v>
      </c>
      <c r="J42" s="5" t="n">
        <v>46022</v>
      </c>
      <c r="K42" s="0" t="n">
        <v>30</v>
      </c>
      <c r="L42" s="4" t="s">
        <v>242</v>
      </c>
    </row>
    <row r="43" customFormat="false" ht="15" hidden="false" customHeight="false" outlineLevel="0" collapsed="false">
      <c r="A43" s="0" t="s">
        <v>107</v>
      </c>
      <c r="B43" s="0" t="n">
        <v>42</v>
      </c>
      <c r="C43" s="0" t="s">
        <v>317</v>
      </c>
      <c r="D43" s="0" t="n">
        <v>0.02</v>
      </c>
      <c r="E43" s="0" t="n">
        <v>100</v>
      </c>
      <c r="F43" s="0" t="s">
        <v>318</v>
      </c>
      <c r="G43" s="0" t="s">
        <v>243</v>
      </c>
      <c r="H43" s="0" t="s">
        <v>238</v>
      </c>
      <c r="I43" s="0" t="s">
        <v>319</v>
      </c>
      <c r="J43" s="5" t="n">
        <v>46022</v>
      </c>
      <c r="K43" s="0" t="n">
        <v>30</v>
      </c>
      <c r="L43" s="4" t="s">
        <v>242</v>
      </c>
    </row>
    <row r="44" customFormat="false" ht="15" hidden="false" customHeight="false" outlineLevel="0" collapsed="false">
      <c r="A44" s="0" t="s">
        <v>109</v>
      </c>
      <c r="B44" s="0" t="n">
        <v>43</v>
      </c>
      <c r="C44" s="0" t="s">
        <v>317</v>
      </c>
      <c r="D44" s="0" t="n">
        <v>0.02</v>
      </c>
      <c r="E44" s="0" t="n">
        <v>100</v>
      </c>
      <c r="F44" s="0" t="s">
        <v>318</v>
      </c>
      <c r="G44" s="0" t="s">
        <v>243</v>
      </c>
      <c r="H44" s="0" t="s">
        <v>238</v>
      </c>
      <c r="I44" s="0" t="s">
        <v>319</v>
      </c>
      <c r="J44" s="5" t="n">
        <v>46022</v>
      </c>
      <c r="K44" s="0" t="n">
        <v>30</v>
      </c>
      <c r="L44" s="4" t="s">
        <v>242</v>
      </c>
    </row>
    <row r="45" customFormat="false" ht="15" hidden="false" customHeight="false" outlineLevel="0" collapsed="false">
      <c r="A45" s="0" t="s">
        <v>111</v>
      </c>
      <c r="B45" s="0" t="n">
        <v>44</v>
      </c>
      <c r="C45" s="0" t="s">
        <v>317</v>
      </c>
      <c r="D45" s="0" t="n">
        <v>0.02</v>
      </c>
      <c r="E45" s="0" t="n">
        <v>100</v>
      </c>
      <c r="F45" s="0" t="s">
        <v>318</v>
      </c>
      <c r="G45" s="0" t="s">
        <v>243</v>
      </c>
      <c r="H45" s="0" t="s">
        <v>238</v>
      </c>
      <c r="I45" s="0" t="s">
        <v>319</v>
      </c>
      <c r="J45" s="5" t="n">
        <v>46022</v>
      </c>
      <c r="K45" s="0" t="n">
        <v>30</v>
      </c>
      <c r="L45" s="4" t="s">
        <v>242</v>
      </c>
    </row>
    <row r="46" customFormat="false" ht="15" hidden="false" customHeight="false" outlineLevel="0" collapsed="false">
      <c r="A46" s="0" t="s">
        <v>113</v>
      </c>
      <c r="B46" s="0" t="n">
        <v>45</v>
      </c>
      <c r="C46" s="0" t="s">
        <v>317</v>
      </c>
      <c r="D46" s="0" t="n">
        <v>0.02</v>
      </c>
      <c r="E46" s="0" t="n">
        <v>100</v>
      </c>
      <c r="F46" s="0" t="s">
        <v>318</v>
      </c>
      <c r="G46" s="0" t="s">
        <v>243</v>
      </c>
      <c r="H46" s="0" t="s">
        <v>238</v>
      </c>
      <c r="I46" s="0" t="s">
        <v>319</v>
      </c>
      <c r="J46" s="5" t="n">
        <v>46022</v>
      </c>
      <c r="K46" s="0" t="n">
        <v>30</v>
      </c>
      <c r="L46" s="4" t="s">
        <v>242</v>
      </c>
    </row>
    <row r="47" customFormat="false" ht="15" hidden="false" customHeight="false" outlineLevel="0" collapsed="false">
      <c r="A47" s="0" t="s">
        <v>115</v>
      </c>
      <c r="B47" s="0" t="n">
        <v>46</v>
      </c>
      <c r="C47" s="0" t="s">
        <v>317</v>
      </c>
      <c r="D47" s="0" t="n">
        <v>0.02</v>
      </c>
      <c r="E47" s="0" t="n">
        <v>100</v>
      </c>
      <c r="F47" s="0" t="s">
        <v>318</v>
      </c>
      <c r="G47" s="0" t="s">
        <v>243</v>
      </c>
      <c r="H47" s="0" t="s">
        <v>238</v>
      </c>
      <c r="I47" s="0" t="s">
        <v>319</v>
      </c>
      <c r="J47" s="5" t="n">
        <v>46022</v>
      </c>
      <c r="K47" s="0" t="n">
        <v>30</v>
      </c>
      <c r="L47" s="4" t="s">
        <v>242</v>
      </c>
    </row>
    <row r="48" customFormat="false" ht="15" hidden="false" customHeight="false" outlineLevel="0" collapsed="false">
      <c r="A48" s="0" t="s">
        <v>117</v>
      </c>
      <c r="B48" s="0" t="n">
        <v>47</v>
      </c>
      <c r="C48" s="0" t="s">
        <v>317</v>
      </c>
      <c r="D48" s="0" t="n">
        <v>0.02</v>
      </c>
      <c r="E48" s="0" t="n">
        <v>100</v>
      </c>
      <c r="F48" s="0" t="s">
        <v>318</v>
      </c>
      <c r="G48" s="0" t="s">
        <v>243</v>
      </c>
      <c r="H48" s="0" t="s">
        <v>238</v>
      </c>
      <c r="I48" s="0" t="s">
        <v>319</v>
      </c>
      <c r="J48" s="5" t="n">
        <v>46022</v>
      </c>
      <c r="K48" s="0" t="n">
        <v>30</v>
      </c>
      <c r="L48" s="4" t="s">
        <v>242</v>
      </c>
    </row>
    <row r="49" customFormat="false" ht="15" hidden="false" customHeight="false" outlineLevel="0" collapsed="false">
      <c r="A49" s="0" t="s">
        <v>119</v>
      </c>
      <c r="B49" s="0" t="n">
        <v>48</v>
      </c>
      <c r="C49" s="0" t="s">
        <v>317</v>
      </c>
      <c r="D49" s="0" t="n">
        <v>0.02</v>
      </c>
      <c r="E49" s="0" t="n">
        <v>100</v>
      </c>
      <c r="F49" s="0" t="s">
        <v>318</v>
      </c>
      <c r="G49" s="0" t="s">
        <v>243</v>
      </c>
      <c r="H49" s="0" t="s">
        <v>238</v>
      </c>
      <c r="I49" s="0" t="s">
        <v>319</v>
      </c>
      <c r="J49" s="5" t="n">
        <v>46022</v>
      </c>
      <c r="K49" s="0" t="n">
        <v>30</v>
      </c>
      <c r="L49" s="4" t="s">
        <v>242</v>
      </c>
    </row>
    <row r="50" customFormat="false" ht="15" hidden="false" customHeight="false" outlineLevel="0" collapsed="false">
      <c r="A50" s="0" t="s">
        <v>121</v>
      </c>
      <c r="B50" s="0" t="n">
        <v>49</v>
      </c>
      <c r="C50" s="0" t="s">
        <v>317</v>
      </c>
      <c r="D50" s="0" t="n">
        <v>0.02</v>
      </c>
      <c r="E50" s="0" t="n">
        <v>100</v>
      </c>
      <c r="F50" s="0" t="s">
        <v>318</v>
      </c>
      <c r="G50" s="0" t="s">
        <v>243</v>
      </c>
      <c r="H50" s="0" t="s">
        <v>238</v>
      </c>
      <c r="I50" s="0" t="s">
        <v>319</v>
      </c>
      <c r="J50" s="5" t="n">
        <v>46022</v>
      </c>
      <c r="K50" s="0" t="n">
        <v>30</v>
      </c>
      <c r="L50" s="4" t="s">
        <v>242</v>
      </c>
    </row>
    <row r="51" customFormat="false" ht="15" hidden="false" customHeight="false" outlineLevel="0" collapsed="false">
      <c r="A51" s="0" t="s">
        <v>123</v>
      </c>
      <c r="B51" s="0" t="n">
        <v>50</v>
      </c>
      <c r="C51" s="0" t="s">
        <v>317</v>
      </c>
      <c r="D51" s="0" t="n">
        <v>0.02</v>
      </c>
      <c r="E51" s="0" t="n">
        <v>100</v>
      </c>
      <c r="F51" s="0" t="s">
        <v>318</v>
      </c>
      <c r="G51" s="0" t="s">
        <v>243</v>
      </c>
      <c r="H51" s="0" t="s">
        <v>238</v>
      </c>
      <c r="I51" s="0" t="s">
        <v>319</v>
      </c>
      <c r="J51" s="5" t="n">
        <v>46022</v>
      </c>
      <c r="K51" s="0" t="n">
        <v>30</v>
      </c>
      <c r="L51" s="4" t="s">
        <v>242</v>
      </c>
    </row>
    <row r="52" customFormat="false" ht="15" hidden="false" customHeight="false" outlineLevel="0" collapsed="false">
      <c r="A52" s="0" t="s">
        <v>125</v>
      </c>
      <c r="B52" s="0" t="n">
        <v>51</v>
      </c>
      <c r="C52" s="0" t="s">
        <v>317</v>
      </c>
      <c r="D52" s="0" t="n">
        <v>0.02</v>
      </c>
      <c r="E52" s="0" t="n">
        <v>100</v>
      </c>
      <c r="F52" s="0" t="s">
        <v>318</v>
      </c>
      <c r="G52" s="0" t="s">
        <v>243</v>
      </c>
      <c r="H52" s="0" t="s">
        <v>238</v>
      </c>
      <c r="I52" s="0" t="s">
        <v>319</v>
      </c>
      <c r="J52" s="5" t="n">
        <v>46022</v>
      </c>
      <c r="K52" s="0" t="n">
        <v>30</v>
      </c>
      <c r="L52" s="4" t="s">
        <v>242</v>
      </c>
    </row>
    <row r="53" customFormat="false" ht="15" hidden="false" customHeight="false" outlineLevel="0" collapsed="false">
      <c r="A53" s="0" t="s">
        <v>127</v>
      </c>
      <c r="B53" s="0" t="n">
        <v>52</v>
      </c>
      <c r="C53" s="0" t="s">
        <v>317</v>
      </c>
      <c r="D53" s="0" t="n">
        <v>0.02</v>
      </c>
      <c r="E53" s="0" t="n">
        <v>100</v>
      </c>
      <c r="F53" s="0" t="s">
        <v>318</v>
      </c>
      <c r="G53" s="0" t="s">
        <v>243</v>
      </c>
      <c r="H53" s="0" t="s">
        <v>238</v>
      </c>
      <c r="I53" s="0" t="s">
        <v>319</v>
      </c>
      <c r="J53" s="5" t="n">
        <v>46022</v>
      </c>
      <c r="K53" s="0" t="n">
        <v>30</v>
      </c>
      <c r="L53" s="4" t="s">
        <v>242</v>
      </c>
    </row>
    <row r="54" customFormat="false" ht="15" hidden="false" customHeight="false" outlineLevel="0" collapsed="false">
      <c r="A54" s="0" t="s">
        <v>129</v>
      </c>
      <c r="B54" s="0" t="n">
        <v>53</v>
      </c>
      <c r="C54" s="0" t="s">
        <v>317</v>
      </c>
      <c r="D54" s="0" t="n">
        <v>0.02</v>
      </c>
      <c r="E54" s="0" t="n">
        <v>100</v>
      </c>
      <c r="F54" s="0" t="s">
        <v>318</v>
      </c>
      <c r="G54" s="0" t="s">
        <v>243</v>
      </c>
      <c r="H54" s="0" t="s">
        <v>238</v>
      </c>
      <c r="I54" s="0" t="s">
        <v>319</v>
      </c>
      <c r="J54" s="5" t="n">
        <v>46022</v>
      </c>
      <c r="K54" s="0" t="n">
        <v>30</v>
      </c>
      <c r="L54" s="4" t="s">
        <v>242</v>
      </c>
    </row>
    <row r="55" customFormat="false" ht="15" hidden="false" customHeight="false" outlineLevel="0" collapsed="false">
      <c r="A55" s="0" t="s">
        <v>131</v>
      </c>
      <c r="B55" s="0" t="n">
        <v>54</v>
      </c>
      <c r="C55" s="0" t="s">
        <v>317</v>
      </c>
      <c r="D55" s="0" t="n">
        <v>0.02</v>
      </c>
      <c r="E55" s="0" t="n">
        <v>100</v>
      </c>
      <c r="F55" s="0" t="s">
        <v>320</v>
      </c>
      <c r="G55" s="0" t="s">
        <v>243</v>
      </c>
      <c r="H55" s="0" t="s">
        <v>238</v>
      </c>
      <c r="K55" s="0" t="n">
        <v>30</v>
      </c>
      <c r="L55" s="0" t="s">
        <v>242</v>
      </c>
    </row>
    <row r="56" customFormat="false" ht="15" hidden="false" customHeight="false" outlineLevel="0" collapsed="false">
      <c r="A56" s="0" t="s">
        <v>133</v>
      </c>
      <c r="B56" s="0" t="n">
        <v>55</v>
      </c>
      <c r="C56" s="0" t="s">
        <v>317</v>
      </c>
      <c r="D56" s="0" t="n">
        <v>0.02</v>
      </c>
      <c r="E56" s="0" t="n">
        <v>100</v>
      </c>
      <c r="F56" s="0" t="s">
        <v>320</v>
      </c>
      <c r="G56" s="0" t="s">
        <v>243</v>
      </c>
      <c r="H56" s="0" t="s">
        <v>238</v>
      </c>
      <c r="K56" s="0" t="n">
        <v>30</v>
      </c>
      <c r="L56" s="0" t="s">
        <v>242</v>
      </c>
    </row>
    <row r="57" customFormat="false" ht="15" hidden="false" customHeight="false" outlineLevel="0" collapsed="false">
      <c r="A57" s="0" t="s">
        <v>135</v>
      </c>
      <c r="B57" s="0" t="n">
        <v>56</v>
      </c>
      <c r="C57" s="0" t="s">
        <v>317</v>
      </c>
      <c r="D57" s="0" t="n">
        <v>0.02</v>
      </c>
      <c r="E57" s="0" t="n">
        <v>100</v>
      </c>
      <c r="F57" s="0" t="s">
        <v>320</v>
      </c>
      <c r="G57" s="0" t="s">
        <v>243</v>
      </c>
      <c r="H57" s="0" t="s">
        <v>238</v>
      </c>
      <c r="K57" s="0" t="n">
        <v>30</v>
      </c>
      <c r="L57" s="0" t="s">
        <v>242</v>
      </c>
    </row>
    <row r="58" customFormat="false" ht="15" hidden="false" customHeight="false" outlineLevel="0" collapsed="false">
      <c r="A58" s="0" t="s">
        <v>137</v>
      </c>
      <c r="B58" s="0" t="n">
        <v>57</v>
      </c>
      <c r="C58" s="0" t="s">
        <v>317</v>
      </c>
      <c r="D58" s="0" t="n">
        <v>0.02</v>
      </c>
      <c r="E58" s="0" t="n">
        <v>100</v>
      </c>
      <c r="F58" s="0" t="s">
        <v>320</v>
      </c>
      <c r="G58" s="0" t="s">
        <v>243</v>
      </c>
      <c r="H58" s="0" t="s">
        <v>238</v>
      </c>
      <c r="K58" s="0" t="n">
        <v>30</v>
      </c>
      <c r="L58" s="0" t="s">
        <v>242</v>
      </c>
    </row>
    <row r="59" customFormat="false" ht="15" hidden="false" customHeight="false" outlineLevel="0" collapsed="false">
      <c r="A59" s="0" t="s">
        <v>139</v>
      </c>
      <c r="B59" s="0" t="n">
        <v>58</v>
      </c>
      <c r="C59" s="0" t="s">
        <v>317</v>
      </c>
      <c r="D59" s="0" t="n">
        <v>0.02</v>
      </c>
      <c r="E59" s="0" t="n">
        <v>100</v>
      </c>
      <c r="F59" s="0" t="s">
        <v>320</v>
      </c>
      <c r="G59" s="0" t="s">
        <v>243</v>
      </c>
      <c r="H59" s="0" t="s">
        <v>238</v>
      </c>
      <c r="K59" s="0" t="n">
        <v>30</v>
      </c>
      <c r="L59" s="0" t="s">
        <v>242</v>
      </c>
    </row>
    <row r="60" customFormat="false" ht="15" hidden="false" customHeight="false" outlineLevel="0" collapsed="false">
      <c r="A60" s="0" t="s">
        <v>141</v>
      </c>
      <c r="B60" s="0" t="n">
        <v>59</v>
      </c>
      <c r="C60" s="0" t="s">
        <v>317</v>
      </c>
      <c r="D60" s="0" t="n">
        <v>0.02</v>
      </c>
      <c r="E60" s="0" t="n">
        <v>100</v>
      </c>
      <c r="F60" s="0" t="s">
        <v>320</v>
      </c>
      <c r="G60" s="0" t="s">
        <v>243</v>
      </c>
      <c r="H60" s="0" t="s">
        <v>238</v>
      </c>
      <c r="K60" s="0" t="n">
        <v>30</v>
      </c>
      <c r="L60" s="0" t="s">
        <v>242</v>
      </c>
    </row>
    <row r="61" customFormat="false" ht="15" hidden="false" customHeight="false" outlineLevel="0" collapsed="false">
      <c r="A61" s="0" t="s">
        <v>143</v>
      </c>
      <c r="B61" s="0" t="n">
        <v>60</v>
      </c>
      <c r="C61" s="0" t="s">
        <v>317</v>
      </c>
      <c r="D61" s="0" t="n">
        <v>0.02</v>
      </c>
      <c r="E61" s="0" t="n">
        <v>100</v>
      </c>
      <c r="F61" s="0" t="s">
        <v>320</v>
      </c>
      <c r="G61" s="0" t="s">
        <v>243</v>
      </c>
      <c r="H61" s="0" t="s">
        <v>238</v>
      </c>
      <c r="K61" s="0" t="n">
        <v>30</v>
      </c>
      <c r="L61" s="0" t="s">
        <v>242</v>
      </c>
    </row>
    <row r="62" customFormat="false" ht="15" hidden="false" customHeight="false" outlineLevel="0" collapsed="false">
      <c r="A62" s="0" t="s">
        <v>145</v>
      </c>
      <c r="B62" s="0" t="n">
        <v>61</v>
      </c>
      <c r="C62" s="0" t="s">
        <v>317</v>
      </c>
      <c r="D62" s="0" t="n">
        <v>0.02</v>
      </c>
      <c r="E62" s="0" t="n">
        <v>100</v>
      </c>
      <c r="F62" s="0" t="s">
        <v>320</v>
      </c>
      <c r="G62" s="0" t="s">
        <v>243</v>
      </c>
      <c r="H62" s="0" t="s">
        <v>238</v>
      </c>
      <c r="K62" s="0" t="n">
        <v>30</v>
      </c>
      <c r="L62" s="0" t="s">
        <v>242</v>
      </c>
    </row>
    <row r="63" customFormat="false" ht="15" hidden="false" customHeight="false" outlineLevel="0" collapsed="false">
      <c r="A63" s="0" t="s">
        <v>147</v>
      </c>
      <c r="B63" s="0" t="n">
        <v>62</v>
      </c>
      <c r="C63" s="0" t="s">
        <v>317</v>
      </c>
      <c r="D63" s="0" t="n">
        <v>0.02</v>
      </c>
      <c r="E63" s="0" t="n">
        <v>100</v>
      </c>
      <c r="F63" s="0" t="s">
        <v>320</v>
      </c>
      <c r="G63" s="0" t="s">
        <v>243</v>
      </c>
      <c r="H63" s="0" t="s">
        <v>238</v>
      </c>
      <c r="K63" s="0" t="n">
        <v>30</v>
      </c>
      <c r="L63" s="0" t="s">
        <v>242</v>
      </c>
    </row>
    <row r="64" customFormat="false" ht="15" hidden="false" customHeight="false" outlineLevel="0" collapsed="false">
      <c r="A64" s="0" t="s">
        <v>149</v>
      </c>
      <c r="B64" s="0" t="n">
        <v>63</v>
      </c>
      <c r="C64" s="0" t="s">
        <v>317</v>
      </c>
      <c r="D64" s="0" t="n">
        <v>0.02</v>
      </c>
      <c r="E64" s="0" t="n">
        <v>100</v>
      </c>
      <c r="F64" s="0" t="s">
        <v>320</v>
      </c>
      <c r="G64" s="0" t="s">
        <v>243</v>
      </c>
      <c r="H64" s="0" t="s">
        <v>238</v>
      </c>
      <c r="K64" s="0" t="n">
        <v>30</v>
      </c>
      <c r="L64" s="0" t="s">
        <v>242</v>
      </c>
    </row>
    <row r="65" customFormat="false" ht="15" hidden="false" customHeight="false" outlineLevel="0" collapsed="false">
      <c r="A65" s="0" t="s">
        <v>151</v>
      </c>
      <c r="B65" s="0" t="n">
        <v>64</v>
      </c>
      <c r="C65" s="0" t="s">
        <v>317</v>
      </c>
      <c r="D65" s="0" t="n">
        <v>0.02</v>
      </c>
      <c r="E65" s="0" t="n">
        <v>100</v>
      </c>
      <c r="F65" s="0" t="s">
        <v>320</v>
      </c>
      <c r="G65" s="0" t="s">
        <v>243</v>
      </c>
      <c r="H65" s="0" t="s">
        <v>238</v>
      </c>
      <c r="K65" s="0" t="n">
        <v>30</v>
      </c>
      <c r="L65" s="0" t="s">
        <v>242</v>
      </c>
    </row>
    <row r="66" customFormat="false" ht="15" hidden="false" customHeight="false" outlineLevel="0" collapsed="false">
      <c r="A66" s="0" t="s">
        <v>153</v>
      </c>
      <c r="B66" s="0" t="n">
        <v>65</v>
      </c>
      <c r="C66" s="0" t="s">
        <v>317</v>
      </c>
      <c r="D66" s="0" t="n">
        <v>0.02</v>
      </c>
      <c r="E66" s="0" t="n">
        <v>100</v>
      </c>
      <c r="F66" s="0" t="s">
        <v>320</v>
      </c>
      <c r="G66" s="0" t="s">
        <v>243</v>
      </c>
      <c r="H66" s="0" t="s">
        <v>238</v>
      </c>
      <c r="K66" s="0" t="n">
        <v>30</v>
      </c>
      <c r="L66" s="0" t="s">
        <v>242</v>
      </c>
    </row>
    <row r="67" customFormat="false" ht="15" hidden="false" customHeight="false" outlineLevel="0" collapsed="false">
      <c r="A67" s="0" t="s">
        <v>155</v>
      </c>
      <c r="B67" s="0" t="n">
        <v>66</v>
      </c>
      <c r="C67" s="0" t="s">
        <v>317</v>
      </c>
      <c r="D67" s="0" t="n">
        <v>0.02</v>
      </c>
      <c r="E67" s="0" t="n">
        <v>100</v>
      </c>
      <c r="F67" s="0" t="s">
        <v>320</v>
      </c>
      <c r="G67" s="0" t="s">
        <v>243</v>
      </c>
      <c r="H67" s="0" t="s">
        <v>238</v>
      </c>
      <c r="K67" s="0" t="n">
        <v>30</v>
      </c>
      <c r="L67" s="0" t="s">
        <v>242</v>
      </c>
    </row>
    <row r="68" customFormat="false" ht="15" hidden="false" customHeight="false" outlineLevel="0" collapsed="false">
      <c r="A68" s="0" t="s">
        <v>157</v>
      </c>
      <c r="B68" s="0" t="n">
        <v>67</v>
      </c>
      <c r="C68" s="0" t="s">
        <v>317</v>
      </c>
      <c r="D68" s="0" t="n">
        <v>0.02</v>
      </c>
      <c r="E68" s="0" t="n">
        <v>100</v>
      </c>
      <c r="F68" s="0" t="s">
        <v>320</v>
      </c>
      <c r="G68" s="0" t="s">
        <v>243</v>
      </c>
      <c r="H68" s="0" t="s">
        <v>238</v>
      </c>
      <c r="K68" s="0" t="n">
        <v>30</v>
      </c>
      <c r="L68" s="0" t="s">
        <v>242</v>
      </c>
    </row>
    <row r="69" customFormat="false" ht="15" hidden="false" customHeight="false" outlineLevel="0" collapsed="false">
      <c r="A69" s="0" t="s">
        <v>159</v>
      </c>
      <c r="B69" s="0" t="n">
        <v>68</v>
      </c>
      <c r="C69" s="0" t="s">
        <v>317</v>
      </c>
      <c r="D69" s="0" t="n">
        <v>0.02</v>
      </c>
      <c r="E69" s="0" t="n">
        <v>100</v>
      </c>
      <c r="F69" s="0" t="s">
        <v>320</v>
      </c>
      <c r="G69" s="0" t="s">
        <v>243</v>
      </c>
      <c r="H69" s="0" t="s">
        <v>238</v>
      </c>
      <c r="K69" s="0" t="n">
        <v>30</v>
      </c>
      <c r="L69" s="0" t="s">
        <v>242</v>
      </c>
    </row>
    <row r="70" customFormat="false" ht="15" hidden="false" customHeight="false" outlineLevel="0" collapsed="false">
      <c r="A70" s="0" t="s">
        <v>161</v>
      </c>
      <c r="B70" s="0" t="n">
        <v>69</v>
      </c>
      <c r="C70" s="0" t="s">
        <v>317</v>
      </c>
      <c r="D70" s="0" t="n">
        <v>0.02</v>
      </c>
      <c r="E70" s="0" t="n">
        <v>100</v>
      </c>
      <c r="F70" s="0" t="s">
        <v>320</v>
      </c>
      <c r="G70" s="0" t="s">
        <v>243</v>
      </c>
      <c r="H70" s="0" t="s">
        <v>238</v>
      </c>
      <c r="K70" s="0" t="n">
        <v>30</v>
      </c>
      <c r="L70" s="0" t="s">
        <v>242</v>
      </c>
    </row>
    <row r="71" customFormat="false" ht="15" hidden="false" customHeight="false" outlineLevel="0" collapsed="false">
      <c r="A71" s="0" t="s">
        <v>163</v>
      </c>
      <c r="B71" s="0" t="n">
        <v>70</v>
      </c>
      <c r="C71" s="0" t="s">
        <v>317</v>
      </c>
      <c r="D71" s="0" t="n">
        <v>0.02</v>
      </c>
      <c r="E71" s="0" t="n">
        <v>100</v>
      </c>
      <c r="F71" s="0" t="s">
        <v>320</v>
      </c>
      <c r="G71" s="0" t="s">
        <v>243</v>
      </c>
      <c r="H71" s="0" t="s">
        <v>238</v>
      </c>
      <c r="K71" s="0" t="n">
        <v>30</v>
      </c>
      <c r="L71" s="0" t="s">
        <v>242</v>
      </c>
    </row>
    <row r="72" customFormat="false" ht="15" hidden="false" customHeight="false" outlineLevel="0" collapsed="false">
      <c r="A72" s="0" t="s">
        <v>165</v>
      </c>
      <c r="B72" s="0" t="n">
        <v>71</v>
      </c>
      <c r="C72" s="0" t="s">
        <v>317</v>
      </c>
      <c r="D72" s="0" t="n">
        <v>0.02</v>
      </c>
      <c r="E72" s="0" t="n">
        <v>100</v>
      </c>
      <c r="F72" s="0" t="s">
        <v>320</v>
      </c>
      <c r="G72" s="0" t="s">
        <v>243</v>
      </c>
      <c r="H72" s="0" t="s">
        <v>238</v>
      </c>
      <c r="K72" s="0" t="n">
        <v>30</v>
      </c>
      <c r="L72" s="0" t="s">
        <v>242</v>
      </c>
    </row>
    <row r="73" customFormat="false" ht="15" hidden="false" customHeight="false" outlineLevel="0" collapsed="false">
      <c r="A73" s="0" t="s">
        <v>167</v>
      </c>
      <c r="B73" s="0" t="n">
        <v>72</v>
      </c>
      <c r="C73" s="0" t="s">
        <v>317</v>
      </c>
      <c r="D73" s="0" t="n">
        <v>0.02</v>
      </c>
      <c r="E73" s="0" t="n">
        <v>100</v>
      </c>
      <c r="F73" s="0" t="s">
        <v>320</v>
      </c>
      <c r="G73" s="0" t="s">
        <v>243</v>
      </c>
      <c r="H73" s="0" t="s">
        <v>238</v>
      </c>
      <c r="K73" s="0" t="n">
        <v>30</v>
      </c>
      <c r="L73" s="0" t="s">
        <v>242</v>
      </c>
    </row>
    <row r="74" customFormat="false" ht="15" hidden="false" customHeight="false" outlineLevel="0" collapsed="false">
      <c r="A74" s="0" t="s">
        <v>169</v>
      </c>
      <c r="B74" s="0" t="n">
        <v>73</v>
      </c>
      <c r="C74" s="0" t="s">
        <v>317</v>
      </c>
      <c r="D74" s="0" t="n">
        <v>0.02</v>
      </c>
      <c r="E74" s="0" t="n">
        <v>100</v>
      </c>
      <c r="F74" s="0" t="s">
        <v>318</v>
      </c>
      <c r="G74" s="0" t="s">
        <v>243</v>
      </c>
      <c r="H74" s="0" t="s">
        <v>238</v>
      </c>
      <c r="K74" s="0" t="n">
        <v>30</v>
      </c>
      <c r="L74" s="0" t="s">
        <v>242</v>
      </c>
    </row>
    <row r="75" customFormat="false" ht="15" hidden="false" customHeight="false" outlineLevel="0" collapsed="false">
      <c r="A75" s="0" t="s">
        <v>171</v>
      </c>
      <c r="B75" s="0" t="n">
        <v>74</v>
      </c>
      <c r="C75" s="0" t="s">
        <v>317</v>
      </c>
      <c r="D75" s="0" t="n">
        <v>0.02</v>
      </c>
      <c r="E75" s="0" t="n">
        <v>100</v>
      </c>
      <c r="F75" s="0" t="s">
        <v>318</v>
      </c>
      <c r="G75" s="0" t="s">
        <v>243</v>
      </c>
      <c r="H75" s="0" t="s">
        <v>238</v>
      </c>
      <c r="K75" s="0" t="n">
        <v>30</v>
      </c>
      <c r="L75" s="0" t="s">
        <v>242</v>
      </c>
    </row>
    <row r="76" customFormat="false" ht="15" hidden="false" customHeight="false" outlineLevel="0" collapsed="false">
      <c r="A76" s="0" t="s">
        <v>173</v>
      </c>
      <c r="B76" s="0" t="n">
        <v>75</v>
      </c>
      <c r="C76" s="0" t="s">
        <v>317</v>
      </c>
      <c r="D76" s="0" t="n">
        <v>0.02</v>
      </c>
      <c r="E76" s="0" t="n">
        <v>100</v>
      </c>
      <c r="F76" s="0" t="s">
        <v>318</v>
      </c>
      <c r="G76" s="0" t="s">
        <v>243</v>
      </c>
      <c r="H76" s="0" t="s">
        <v>238</v>
      </c>
      <c r="K76" s="0" t="n">
        <v>30</v>
      </c>
      <c r="L76" s="0" t="s">
        <v>242</v>
      </c>
    </row>
    <row r="77" customFormat="false" ht="15" hidden="false" customHeight="false" outlineLevel="0" collapsed="false">
      <c r="A77" s="0" t="s">
        <v>175</v>
      </c>
      <c r="B77" s="0" t="n">
        <v>76</v>
      </c>
      <c r="C77" s="0" t="s">
        <v>317</v>
      </c>
      <c r="D77" s="0" t="n">
        <v>0.02</v>
      </c>
      <c r="E77" s="0" t="n">
        <v>100</v>
      </c>
      <c r="F77" s="0" t="s">
        <v>318</v>
      </c>
      <c r="G77" s="0" t="s">
        <v>243</v>
      </c>
      <c r="H77" s="0" t="s">
        <v>238</v>
      </c>
      <c r="K77" s="0" t="n">
        <v>30</v>
      </c>
      <c r="L77" s="0" t="s">
        <v>242</v>
      </c>
    </row>
    <row r="78" customFormat="false" ht="15" hidden="false" customHeight="false" outlineLevel="0" collapsed="false">
      <c r="A78" s="0" t="s">
        <v>177</v>
      </c>
      <c r="B78" s="0" t="n">
        <v>77</v>
      </c>
      <c r="C78" s="0" t="s">
        <v>317</v>
      </c>
      <c r="D78" s="0" t="n">
        <v>0.02</v>
      </c>
      <c r="E78" s="0" t="n">
        <v>100</v>
      </c>
      <c r="F78" s="0" t="s">
        <v>318</v>
      </c>
      <c r="G78" s="0" t="s">
        <v>243</v>
      </c>
      <c r="H78" s="0" t="s">
        <v>238</v>
      </c>
      <c r="K78" s="0" t="n">
        <v>30</v>
      </c>
      <c r="L78" s="0" t="s">
        <v>242</v>
      </c>
    </row>
    <row r="79" customFormat="false" ht="15" hidden="false" customHeight="false" outlineLevel="0" collapsed="false">
      <c r="A79" s="0" t="s">
        <v>179</v>
      </c>
      <c r="B79" s="0" t="n">
        <v>78</v>
      </c>
      <c r="C79" s="0" t="s">
        <v>317</v>
      </c>
      <c r="D79" s="0" t="n">
        <v>0.02</v>
      </c>
      <c r="E79" s="0" t="n">
        <v>100</v>
      </c>
      <c r="F79" s="0" t="s">
        <v>318</v>
      </c>
      <c r="G79" s="0" t="s">
        <v>243</v>
      </c>
      <c r="H79" s="0" t="s">
        <v>238</v>
      </c>
      <c r="K79" s="0" t="n">
        <v>30</v>
      </c>
      <c r="L79" s="0" t="s">
        <v>242</v>
      </c>
    </row>
    <row r="80" customFormat="false" ht="15" hidden="false" customHeight="false" outlineLevel="0" collapsed="false">
      <c r="A80" s="0" t="s">
        <v>181</v>
      </c>
      <c r="B80" s="0" t="n">
        <v>79</v>
      </c>
      <c r="C80" s="0" t="s">
        <v>317</v>
      </c>
      <c r="D80" s="0" t="n">
        <v>0.02</v>
      </c>
      <c r="E80" s="0" t="n">
        <v>100</v>
      </c>
      <c r="F80" s="0" t="s">
        <v>318</v>
      </c>
      <c r="G80" s="0" t="s">
        <v>243</v>
      </c>
      <c r="H80" s="0" t="s">
        <v>238</v>
      </c>
      <c r="K80" s="0" t="n">
        <v>30</v>
      </c>
      <c r="L80" s="0" t="s">
        <v>242</v>
      </c>
    </row>
    <row r="81" customFormat="false" ht="15" hidden="false" customHeight="false" outlineLevel="0" collapsed="false">
      <c r="A81" s="0" t="s">
        <v>183</v>
      </c>
      <c r="B81" s="0" t="n">
        <v>80</v>
      </c>
      <c r="C81" s="0" t="s">
        <v>317</v>
      </c>
      <c r="D81" s="0" t="n">
        <v>0.02</v>
      </c>
      <c r="E81" s="0" t="n">
        <v>100</v>
      </c>
      <c r="F81" s="0" t="s">
        <v>318</v>
      </c>
      <c r="G81" s="0" t="s">
        <v>243</v>
      </c>
      <c r="H81" s="0" t="s">
        <v>238</v>
      </c>
      <c r="K81" s="0" t="n">
        <v>30</v>
      </c>
      <c r="L81" s="0" t="s">
        <v>242</v>
      </c>
    </row>
    <row r="82" customFormat="false" ht="15" hidden="false" customHeight="false" outlineLevel="0" collapsed="false">
      <c r="A82" s="0" t="s">
        <v>185</v>
      </c>
      <c r="B82" s="0" t="n">
        <v>81</v>
      </c>
      <c r="C82" s="0" t="s">
        <v>317</v>
      </c>
      <c r="D82" s="0" t="n">
        <v>0.02</v>
      </c>
      <c r="E82" s="0" t="n">
        <v>100</v>
      </c>
      <c r="F82" s="0" t="s">
        <v>318</v>
      </c>
      <c r="G82" s="0" t="s">
        <v>243</v>
      </c>
      <c r="H82" s="0" t="s">
        <v>238</v>
      </c>
      <c r="K82" s="0" t="n">
        <v>30</v>
      </c>
      <c r="L82" s="0" t="s">
        <v>242</v>
      </c>
    </row>
    <row r="83" customFormat="false" ht="15" hidden="false" customHeight="false" outlineLevel="0" collapsed="false">
      <c r="A83" s="0" t="s">
        <v>187</v>
      </c>
      <c r="B83" s="0" t="n">
        <v>82</v>
      </c>
      <c r="C83" s="0" t="s">
        <v>317</v>
      </c>
      <c r="D83" s="0" t="n">
        <v>0.02</v>
      </c>
      <c r="E83" s="0" t="n">
        <v>100</v>
      </c>
      <c r="F83" s="0" t="s">
        <v>318</v>
      </c>
      <c r="G83" s="0" t="s">
        <v>243</v>
      </c>
      <c r="H83" s="0" t="s">
        <v>238</v>
      </c>
      <c r="K83" s="0" t="n">
        <v>30</v>
      </c>
      <c r="L83" s="0" t="s">
        <v>242</v>
      </c>
    </row>
    <row r="84" customFormat="false" ht="15" hidden="false" customHeight="false" outlineLevel="0" collapsed="false">
      <c r="A84" s="0" t="s">
        <v>189</v>
      </c>
      <c r="B84" s="0" t="n">
        <v>83</v>
      </c>
      <c r="C84" s="0" t="s">
        <v>317</v>
      </c>
      <c r="D84" s="0" t="n">
        <v>0.02</v>
      </c>
      <c r="E84" s="0" t="n">
        <v>100</v>
      </c>
      <c r="F84" s="0" t="s">
        <v>318</v>
      </c>
      <c r="G84" s="0" t="s">
        <v>243</v>
      </c>
      <c r="H84" s="0" t="s">
        <v>238</v>
      </c>
      <c r="K84" s="0" t="n">
        <v>30</v>
      </c>
      <c r="L84" s="0" t="s">
        <v>242</v>
      </c>
    </row>
    <row r="85" customFormat="false" ht="15" hidden="false" customHeight="false" outlineLevel="0" collapsed="false">
      <c r="A85" s="0" t="s">
        <v>191</v>
      </c>
      <c r="B85" s="0" t="n">
        <v>84</v>
      </c>
      <c r="C85" s="0" t="s">
        <v>317</v>
      </c>
      <c r="D85" s="0" t="n">
        <v>0.02</v>
      </c>
      <c r="E85" s="0" t="n">
        <v>100</v>
      </c>
      <c r="F85" s="0" t="s">
        <v>318</v>
      </c>
      <c r="G85" s="0" t="s">
        <v>243</v>
      </c>
      <c r="H85" s="0" t="s">
        <v>238</v>
      </c>
      <c r="K85" s="0" t="n">
        <v>30</v>
      </c>
      <c r="L85" s="0" t="s">
        <v>242</v>
      </c>
    </row>
    <row r="86" customFormat="false" ht="15" hidden="false" customHeight="false" outlineLevel="0" collapsed="false">
      <c r="A86" s="0" t="s">
        <v>193</v>
      </c>
      <c r="B86" s="0" t="n">
        <v>85</v>
      </c>
      <c r="C86" s="0" t="s">
        <v>317</v>
      </c>
      <c r="D86" s="0" t="n">
        <v>0.02</v>
      </c>
      <c r="E86" s="0" t="n">
        <v>100</v>
      </c>
      <c r="F86" s="0" t="s">
        <v>318</v>
      </c>
      <c r="G86" s="0" t="s">
        <v>243</v>
      </c>
      <c r="H86" s="0" t="s">
        <v>238</v>
      </c>
      <c r="K86" s="0" t="n">
        <v>30</v>
      </c>
      <c r="L86" s="0" t="s">
        <v>242</v>
      </c>
    </row>
    <row r="87" customFormat="false" ht="15" hidden="false" customHeight="false" outlineLevel="0" collapsed="false">
      <c r="A87" s="0" t="s">
        <v>195</v>
      </c>
      <c r="B87" s="0" t="n">
        <v>86</v>
      </c>
      <c r="C87" s="0" t="s">
        <v>317</v>
      </c>
      <c r="D87" s="0" t="n">
        <v>0.02</v>
      </c>
      <c r="E87" s="0" t="n">
        <v>100</v>
      </c>
      <c r="F87" s="0" t="s">
        <v>318</v>
      </c>
      <c r="G87" s="0" t="s">
        <v>243</v>
      </c>
      <c r="H87" s="0" t="s">
        <v>238</v>
      </c>
      <c r="K87" s="0" t="n">
        <v>30</v>
      </c>
      <c r="L87" s="0" t="s">
        <v>242</v>
      </c>
    </row>
    <row r="88" customFormat="false" ht="15" hidden="false" customHeight="false" outlineLevel="0" collapsed="false">
      <c r="A88" s="0" t="s">
        <v>197</v>
      </c>
      <c r="B88" s="0" t="n">
        <v>87</v>
      </c>
      <c r="C88" s="0" t="s">
        <v>317</v>
      </c>
      <c r="D88" s="0" t="n">
        <v>0.02</v>
      </c>
      <c r="E88" s="0" t="n">
        <v>100</v>
      </c>
      <c r="F88" s="0" t="s">
        <v>318</v>
      </c>
      <c r="G88" s="0" t="s">
        <v>243</v>
      </c>
      <c r="H88" s="0" t="s">
        <v>238</v>
      </c>
      <c r="K88" s="0" t="n">
        <v>30</v>
      </c>
      <c r="L88" s="0" t="s">
        <v>242</v>
      </c>
    </row>
    <row r="89" customFormat="false" ht="15" hidden="false" customHeight="false" outlineLevel="0" collapsed="false">
      <c r="A89" s="0" t="s">
        <v>199</v>
      </c>
      <c r="B89" s="0" t="n">
        <v>88</v>
      </c>
      <c r="C89" s="0" t="s">
        <v>317</v>
      </c>
      <c r="D89" s="0" t="n">
        <v>0.02</v>
      </c>
      <c r="E89" s="0" t="n">
        <v>100</v>
      </c>
      <c r="F89" s="0" t="s">
        <v>318</v>
      </c>
      <c r="G89" s="0" t="s">
        <v>243</v>
      </c>
      <c r="H89" s="0" t="s">
        <v>238</v>
      </c>
      <c r="K89" s="0" t="n">
        <v>30</v>
      </c>
      <c r="L89" s="0" t="s">
        <v>242</v>
      </c>
    </row>
    <row r="90" customFormat="false" ht="15" hidden="false" customHeight="false" outlineLevel="0" collapsed="false">
      <c r="A90" s="0" t="s">
        <v>201</v>
      </c>
      <c r="B90" s="0" t="n">
        <v>89</v>
      </c>
      <c r="C90" s="0" t="s">
        <v>317</v>
      </c>
      <c r="D90" s="0" t="n">
        <v>0.02</v>
      </c>
      <c r="E90" s="0" t="n">
        <v>100</v>
      </c>
      <c r="F90" s="0" t="s">
        <v>318</v>
      </c>
      <c r="G90" s="0" t="s">
        <v>243</v>
      </c>
      <c r="H90" s="0" t="s">
        <v>238</v>
      </c>
      <c r="K90" s="0" t="n">
        <v>30</v>
      </c>
      <c r="L90" s="0" t="s">
        <v>242</v>
      </c>
    </row>
    <row r="91" customFormat="false" ht="15" hidden="false" customHeight="false" outlineLevel="0" collapsed="false">
      <c r="A91" s="0" t="s">
        <v>203</v>
      </c>
      <c r="B91" s="0" t="n">
        <v>90</v>
      </c>
      <c r="C91" s="0" t="s">
        <v>317</v>
      </c>
      <c r="D91" s="0" t="n">
        <v>0.02</v>
      </c>
      <c r="E91" s="0" t="n">
        <v>100</v>
      </c>
      <c r="F91" s="0" t="s">
        <v>318</v>
      </c>
      <c r="G91" s="0" t="s">
        <v>243</v>
      </c>
      <c r="H91" s="0" t="s">
        <v>238</v>
      </c>
      <c r="K91" s="0" t="n">
        <v>30</v>
      </c>
      <c r="L91" s="0" t="s">
        <v>242</v>
      </c>
    </row>
    <row r="92" customFormat="false" ht="15" hidden="false" customHeight="false" outlineLevel="0" collapsed="false">
      <c r="A92" s="0" t="s">
        <v>205</v>
      </c>
      <c r="B92" s="0" t="n">
        <v>91</v>
      </c>
      <c r="C92" s="0" t="s">
        <v>317</v>
      </c>
      <c r="D92" s="0" t="n">
        <v>0.02</v>
      </c>
      <c r="E92" s="0" t="n">
        <v>100</v>
      </c>
      <c r="F92" s="0" t="s">
        <v>318</v>
      </c>
      <c r="G92" s="0" t="s">
        <v>243</v>
      </c>
      <c r="H92" s="0" t="s">
        <v>238</v>
      </c>
      <c r="K92" s="0" t="n">
        <v>30</v>
      </c>
      <c r="L92" s="0" t="s">
        <v>242</v>
      </c>
    </row>
    <row r="93" customFormat="false" ht="15" hidden="false" customHeight="false" outlineLevel="0" collapsed="false">
      <c r="A93" s="0" t="s">
        <v>207</v>
      </c>
      <c r="B93" s="0" t="n">
        <v>92</v>
      </c>
      <c r="C93" s="0" t="s">
        <v>317</v>
      </c>
      <c r="D93" s="0" t="n">
        <v>0.02</v>
      </c>
      <c r="E93" s="0" t="n">
        <v>100</v>
      </c>
      <c r="F93" s="0" t="s">
        <v>318</v>
      </c>
      <c r="G93" s="0" t="s">
        <v>243</v>
      </c>
      <c r="H93" s="0" t="s">
        <v>238</v>
      </c>
      <c r="K93" s="0" t="n">
        <v>30</v>
      </c>
      <c r="L93" s="0" t="s">
        <v>242</v>
      </c>
    </row>
    <row r="94" customFormat="false" ht="15" hidden="false" customHeight="false" outlineLevel="0" collapsed="false">
      <c r="A94" s="0" t="s">
        <v>209</v>
      </c>
      <c r="B94" s="0" t="n">
        <v>93</v>
      </c>
      <c r="C94" s="0" t="s">
        <v>317</v>
      </c>
      <c r="D94" s="0" t="n">
        <v>0.02</v>
      </c>
      <c r="E94" s="0" t="n">
        <v>100</v>
      </c>
      <c r="F94" s="0" t="s">
        <v>318</v>
      </c>
      <c r="G94" s="0" t="s">
        <v>243</v>
      </c>
      <c r="H94" s="0" t="s">
        <v>238</v>
      </c>
      <c r="K94" s="0" t="n">
        <v>30</v>
      </c>
      <c r="L94" s="0" t="s">
        <v>242</v>
      </c>
    </row>
    <row r="95" customFormat="false" ht="15" hidden="false" customHeight="false" outlineLevel="0" collapsed="false">
      <c r="A95" s="0" t="s">
        <v>211</v>
      </c>
      <c r="B95" s="0" t="n">
        <v>94</v>
      </c>
      <c r="C95" s="0" t="s">
        <v>317</v>
      </c>
      <c r="D95" s="0" t="n">
        <v>0.02</v>
      </c>
      <c r="E95" s="0" t="n">
        <v>100</v>
      </c>
      <c r="F95" s="0" t="s">
        <v>318</v>
      </c>
      <c r="G95" s="0" t="s">
        <v>243</v>
      </c>
      <c r="H95" s="0" t="s">
        <v>238</v>
      </c>
      <c r="K95" s="0" t="n">
        <v>30</v>
      </c>
      <c r="L95" s="0" t="s">
        <v>242</v>
      </c>
    </row>
    <row r="96" customFormat="false" ht="15" hidden="false" customHeight="false" outlineLevel="0" collapsed="false">
      <c r="A96" s="0" t="s">
        <v>213</v>
      </c>
      <c r="B96" s="0" t="n">
        <v>95</v>
      </c>
      <c r="C96" s="0" t="s">
        <v>317</v>
      </c>
      <c r="D96" s="0" t="n">
        <v>0.02</v>
      </c>
      <c r="E96" s="0" t="n">
        <v>100</v>
      </c>
      <c r="F96" s="0" t="s">
        <v>318</v>
      </c>
      <c r="G96" s="0" t="s">
        <v>243</v>
      </c>
      <c r="H96" s="0" t="s">
        <v>238</v>
      </c>
      <c r="K96" s="0" t="n">
        <v>30</v>
      </c>
      <c r="L96" s="0" t="s">
        <v>242</v>
      </c>
    </row>
    <row r="97" customFormat="false" ht="15" hidden="false" customHeight="false" outlineLevel="0" collapsed="false">
      <c r="A97" s="0" t="s">
        <v>215</v>
      </c>
      <c r="B97" s="0" t="n">
        <v>96</v>
      </c>
      <c r="C97" s="0" t="s">
        <v>317</v>
      </c>
      <c r="D97" s="0" t="n">
        <v>0.02</v>
      </c>
      <c r="E97" s="0" t="n">
        <v>100</v>
      </c>
      <c r="F97" s="0" t="s">
        <v>318</v>
      </c>
      <c r="G97" s="0" t="s">
        <v>243</v>
      </c>
      <c r="H97" s="0" t="s">
        <v>238</v>
      </c>
      <c r="K97" s="0" t="n">
        <v>30</v>
      </c>
      <c r="L97" s="0" t="s">
        <v>242</v>
      </c>
    </row>
    <row r="98" customFormat="false" ht="15" hidden="false" customHeight="false" outlineLevel="0" collapsed="false">
      <c r="A98" s="0" t="s">
        <v>321</v>
      </c>
      <c r="B98" s="0" t="n">
        <v>101</v>
      </c>
      <c r="C98" s="0" t="s">
        <v>322</v>
      </c>
      <c r="D98" s="0" t="n">
        <v>0.05</v>
      </c>
      <c r="E98" s="0" t="n">
        <v>250</v>
      </c>
      <c r="F98" s="0" t="s">
        <v>320</v>
      </c>
      <c r="G98" s="0" t="s">
        <v>243</v>
      </c>
      <c r="H98" s="0" t="s">
        <v>267</v>
      </c>
      <c r="I98" s="0" t="s">
        <v>319</v>
      </c>
      <c r="J98" s="5" t="n">
        <v>46387</v>
      </c>
      <c r="K98" s="0" t="n">
        <v>50</v>
      </c>
      <c r="L98" s="4" t="s">
        <v>242</v>
      </c>
    </row>
    <row r="99" customFormat="false" ht="15" hidden="false" customHeight="false" outlineLevel="0" collapsed="false">
      <c r="A99" s="0" t="s">
        <v>323</v>
      </c>
      <c r="B99" s="0" t="n">
        <v>102</v>
      </c>
      <c r="C99" s="0" t="s">
        <v>322</v>
      </c>
      <c r="D99" s="0" t="n">
        <v>0.05</v>
      </c>
      <c r="E99" s="0" t="n">
        <v>250</v>
      </c>
      <c r="F99" s="0" t="s">
        <v>320</v>
      </c>
      <c r="G99" s="0" t="s">
        <v>243</v>
      </c>
      <c r="H99" s="0" t="s">
        <v>267</v>
      </c>
      <c r="I99" s="0" t="s">
        <v>319</v>
      </c>
      <c r="J99" s="5" t="n">
        <v>46387</v>
      </c>
      <c r="K99" s="0" t="n">
        <v>50</v>
      </c>
      <c r="L99" s="4" t="s">
        <v>242</v>
      </c>
    </row>
    <row r="100" customFormat="false" ht="15" hidden="false" customHeight="false" outlineLevel="0" collapsed="false">
      <c r="A100" s="0" t="s">
        <v>324</v>
      </c>
      <c r="B100" s="0" t="n">
        <v>103</v>
      </c>
      <c r="C100" s="0" t="s">
        <v>322</v>
      </c>
      <c r="D100" s="0" t="n">
        <v>0.05</v>
      </c>
      <c r="E100" s="0" t="n">
        <v>250</v>
      </c>
      <c r="F100" s="0" t="s">
        <v>320</v>
      </c>
      <c r="G100" s="0" t="s">
        <v>243</v>
      </c>
      <c r="H100" s="0" t="s">
        <v>267</v>
      </c>
      <c r="I100" s="0" t="s">
        <v>319</v>
      </c>
      <c r="J100" s="5" t="n">
        <v>46387</v>
      </c>
      <c r="K100" s="0" t="n">
        <v>50</v>
      </c>
      <c r="L100" s="4" t="s">
        <v>242</v>
      </c>
    </row>
    <row r="101" customFormat="false" ht="15" hidden="false" customHeight="false" outlineLevel="0" collapsed="false">
      <c r="A101" s="0" t="s">
        <v>325</v>
      </c>
      <c r="B101" s="0" t="n">
        <v>104</v>
      </c>
      <c r="C101" s="0" t="s">
        <v>322</v>
      </c>
      <c r="D101" s="0" t="n">
        <v>0.05</v>
      </c>
      <c r="E101" s="0" t="n">
        <v>250</v>
      </c>
      <c r="F101" s="0" t="s">
        <v>320</v>
      </c>
      <c r="G101" s="0" t="s">
        <v>243</v>
      </c>
      <c r="H101" s="0" t="s">
        <v>267</v>
      </c>
      <c r="I101" s="0" t="s">
        <v>319</v>
      </c>
      <c r="J101" s="5" t="n">
        <v>46387</v>
      </c>
      <c r="K101" s="0" t="n">
        <v>50</v>
      </c>
      <c r="L101" s="4" t="s">
        <v>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4</v>
      </c>
      <c r="B1" s="0" t="s">
        <v>326</v>
      </c>
      <c r="C1" s="0" t="s">
        <v>327</v>
      </c>
      <c r="D1" s="0" t="s">
        <v>328</v>
      </c>
      <c r="E1" s="0" t="s">
        <v>329</v>
      </c>
    </row>
    <row r="2" customFormat="false" ht="15" hidden="false" customHeight="false" outlineLevel="0" collapsed="false">
      <c r="A2" s="0" t="s">
        <v>26</v>
      </c>
      <c r="B2" s="0" t="n">
        <v>198</v>
      </c>
      <c r="C2" s="0" t="n">
        <v>198</v>
      </c>
      <c r="D2" s="0" t="n">
        <v>0.198</v>
      </c>
      <c r="E2" s="0" t="n">
        <v>0.198</v>
      </c>
    </row>
    <row r="3" customFormat="false" ht="15" hidden="false" customHeight="false" outlineLevel="0" collapsed="false">
      <c r="A3" s="0" t="s">
        <v>28</v>
      </c>
      <c r="B3" s="0" t="n">
        <v>196</v>
      </c>
      <c r="C3" s="0" t="n">
        <v>196</v>
      </c>
      <c r="D3" s="0" t="n">
        <v>0.196</v>
      </c>
      <c r="E3" s="0" t="n">
        <v>0.196</v>
      </c>
    </row>
    <row r="4" customFormat="false" ht="15" hidden="false" customHeight="false" outlineLevel="0" collapsed="false">
      <c r="A4" s="0" t="s">
        <v>30</v>
      </c>
      <c r="B4" s="0" t="n">
        <v>194</v>
      </c>
      <c r="C4" s="0" t="n">
        <v>195</v>
      </c>
      <c r="D4" s="0" t="n">
        <v>0.194</v>
      </c>
      <c r="E4" s="0" t="n">
        <v>0.195</v>
      </c>
    </row>
    <row r="5" customFormat="false" ht="15" hidden="false" customHeight="false" outlineLevel="0" collapsed="false">
      <c r="A5" s="0" t="s">
        <v>32</v>
      </c>
      <c r="B5" s="0" t="n">
        <v>192</v>
      </c>
      <c r="C5" s="0" t="n">
        <v>192</v>
      </c>
      <c r="D5" s="0" t="n">
        <v>0.192</v>
      </c>
      <c r="E5" s="0" t="n">
        <v>0.192</v>
      </c>
    </row>
    <row r="6" customFormat="false" ht="15" hidden="false" customHeight="false" outlineLevel="0" collapsed="false">
      <c r="A6" s="0" t="s">
        <v>34</v>
      </c>
      <c r="B6" s="0" t="n">
        <v>190</v>
      </c>
      <c r="C6" s="0" t="n">
        <v>192</v>
      </c>
      <c r="D6" s="0" t="n">
        <v>0.19</v>
      </c>
      <c r="E6" s="0" t="n">
        <v>0.192</v>
      </c>
    </row>
    <row r="7" customFormat="false" ht="15" hidden="false" customHeight="false" outlineLevel="0" collapsed="false">
      <c r="A7" s="0" t="s">
        <v>36</v>
      </c>
      <c r="B7" s="0" t="n">
        <v>188</v>
      </c>
      <c r="C7" s="0" t="n">
        <v>189</v>
      </c>
      <c r="D7" s="0" t="n">
        <v>0.188</v>
      </c>
      <c r="E7" s="0" t="n">
        <v>0.189</v>
      </c>
    </row>
    <row r="8" customFormat="false" ht="15" hidden="false" customHeight="false" outlineLevel="0" collapsed="false">
      <c r="A8" s="0" t="s">
        <v>38</v>
      </c>
      <c r="B8" s="0" t="n">
        <v>186</v>
      </c>
      <c r="C8" s="0" t="n">
        <v>186</v>
      </c>
      <c r="D8" s="0" t="n">
        <v>0.186</v>
      </c>
      <c r="E8" s="0" t="n">
        <v>0.186</v>
      </c>
    </row>
    <row r="9" customFormat="false" ht="15" hidden="false" customHeight="false" outlineLevel="0" collapsed="false">
      <c r="A9" s="0" t="s">
        <v>40</v>
      </c>
      <c r="B9" s="0" t="n">
        <v>184</v>
      </c>
      <c r="C9" s="0" t="n">
        <v>184</v>
      </c>
      <c r="D9" s="0" t="n">
        <v>0.184</v>
      </c>
      <c r="E9" s="0" t="n">
        <v>0.184</v>
      </c>
    </row>
    <row r="10" customFormat="false" ht="15" hidden="false" customHeight="false" outlineLevel="0" collapsed="false">
      <c r="A10" s="0" t="s">
        <v>42</v>
      </c>
      <c r="B10" s="0" t="n">
        <v>182</v>
      </c>
      <c r="C10" s="0" t="n">
        <v>183</v>
      </c>
      <c r="D10" s="0" t="n">
        <v>0.182</v>
      </c>
      <c r="E10" s="0" t="n">
        <v>0.183</v>
      </c>
    </row>
    <row r="11" customFormat="false" ht="15" hidden="false" customHeight="false" outlineLevel="0" collapsed="false">
      <c r="A11" s="0" t="s">
        <v>44</v>
      </c>
      <c r="B11" s="0" t="n">
        <v>180</v>
      </c>
      <c r="C11" s="0" t="n">
        <v>182</v>
      </c>
      <c r="D11" s="0" t="n">
        <v>0.18</v>
      </c>
      <c r="E11" s="0" t="n">
        <v>0.182</v>
      </c>
    </row>
    <row r="12" customFormat="false" ht="15" hidden="false" customHeight="false" outlineLevel="0" collapsed="false">
      <c r="A12" s="0" t="s">
        <v>46</v>
      </c>
      <c r="B12" s="0" t="n">
        <v>178</v>
      </c>
      <c r="C12" s="0" t="n">
        <v>178</v>
      </c>
      <c r="D12" s="0" t="n">
        <v>0.178</v>
      </c>
      <c r="E12" s="0" t="n">
        <v>0.178</v>
      </c>
    </row>
    <row r="13" customFormat="false" ht="15" hidden="false" customHeight="false" outlineLevel="0" collapsed="false">
      <c r="A13" s="0" t="s">
        <v>48</v>
      </c>
      <c r="B13" s="0" t="n">
        <v>176</v>
      </c>
      <c r="C13" s="0" t="n">
        <v>177</v>
      </c>
      <c r="D13" s="0" t="n">
        <v>0.176</v>
      </c>
      <c r="E13" s="0" t="n">
        <v>0.177</v>
      </c>
    </row>
    <row r="14" customFormat="false" ht="15" hidden="false" customHeight="false" outlineLevel="0" collapsed="false">
      <c r="A14" s="0" t="s">
        <v>50</v>
      </c>
      <c r="B14" s="0" t="n">
        <v>174</v>
      </c>
      <c r="C14" s="0" t="n">
        <v>174</v>
      </c>
      <c r="D14" s="0" t="n">
        <v>0.174</v>
      </c>
      <c r="E14" s="0" t="n">
        <v>0.174</v>
      </c>
    </row>
    <row r="15" customFormat="false" ht="15" hidden="false" customHeight="false" outlineLevel="0" collapsed="false">
      <c r="A15" s="0" t="s">
        <v>52</v>
      </c>
      <c r="B15" s="0" t="n">
        <v>172</v>
      </c>
      <c r="C15" s="0" t="n">
        <v>172</v>
      </c>
      <c r="D15" s="0" t="n">
        <v>0.172</v>
      </c>
      <c r="E15" s="0" t="n">
        <v>0.172</v>
      </c>
    </row>
    <row r="16" customFormat="false" ht="15" hidden="false" customHeight="false" outlineLevel="0" collapsed="false">
      <c r="A16" s="0" t="s">
        <v>54</v>
      </c>
      <c r="B16" s="0" t="n">
        <v>170</v>
      </c>
      <c r="C16" s="0" t="n">
        <v>172</v>
      </c>
      <c r="D16" s="0" t="n">
        <v>0.17</v>
      </c>
      <c r="E16" s="0" t="n">
        <v>0.172</v>
      </c>
    </row>
    <row r="17" customFormat="false" ht="15" hidden="false" customHeight="false" outlineLevel="0" collapsed="false">
      <c r="A17" s="0" t="s">
        <v>56</v>
      </c>
      <c r="B17" s="0" t="n">
        <v>168</v>
      </c>
      <c r="C17" s="0" t="n">
        <v>168</v>
      </c>
      <c r="D17" s="0" t="n">
        <v>0.168</v>
      </c>
      <c r="E17" s="0" t="n">
        <v>0.168</v>
      </c>
    </row>
    <row r="18" customFormat="false" ht="15" hidden="false" customHeight="false" outlineLevel="0" collapsed="false">
      <c r="A18" s="0" t="s">
        <v>58</v>
      </c>
      <c r="B18" s="0" t="n">
        <v>166</v>
      </c>
      <c r="C18" s="0" t="n">
        <v>166</v>
      </c>
      <c r="D18" s="0" t="n">
        <v>0.166</v>
      </c>
      <c r="E18" s="0" t="n">
        <v>0.166</v>
      </c>
    </row>
    <row r="19" customFormat="false" ht="15" hidden="false" customHeight="false" outlineLevel="0" collapsed="false">
      <c r="A19" s="0" t="s">
        <v>60</v>
      </c>
      <c r="B19" s="0" t="n">
        <v>164</v>
      </c>
      <c r="C19" s="0" t="n">
        <v>165</v>
      </c>
      <c r="D19" s="0" t="n">
        <v>0.164</v>
      </c>
      <c r="E19" s="0" t="n">
        <v>0.165</v>
      </c>
    </row>
    <row r="20" customFormat="false" ht="15" hidden="false" customHeight="false" outlineLevel="0" collapsed="false">
      <c r="A20" s="0" t="s">
        <v>62</v>
      </c>
      <c r="B20" s="0" t="n">
        <v>162</v>
      </c>
      <c r="C20" s="0" t="n">
        <v>162</v>
      </c>
      <c r="D20" s="0" t="n">
        <v>0.162</v>
      </c>
      <c r="E20" s="0" t="n">
        <v>0.162</v>
      </c>
    </row>
    <row r="21" customFormat="false" ht="15" hidden="false" customHeight="false" outlineLevel="0" collapsed="false">
      <c r="A21" s="0" t="s">
        <v>64</v>
      </c>
      <c r="B21" s="0" t="n">
        <v>160</v>
      </c>
      <c r="C21" s="0" t="n">
        <v>162</v>
      </c>
      <c r="D21" s="0" t="n">
        <v>0.16</v>
      </c>
      <c r="E21" s="0" t="n">
        <v>0.162</v>
      </c>
    </row>
    <row r="22" customFormat="false" ht="15" hidden="false" customHeight="false" outlineLevel="0" collapsed="false">
      <c r="A22" s="0" t="s">
        <v>66</v>
      </c>
      <c r="B22" s="0" t="n">
        <v>158</v>
      </c>
      <c r="C22" s="0" t="n">
        <v>159</v>
      </c>
      <c r="D22" s="0" t="n">
        <v>0.158</v>
      </c>
      <c r="E22" s="0" t="n">
        <v>0.159</v>
      </c>
    </row>
    <row r="23" customFormat="false" ht="15" hidden="false" customHeight="false" outlineLevel="0" collapsed="false">
      <c r="A23" s="0" t="s">
        <v>68</v>
      </c>
      <c r="B23" s="0" t="n">
        <v>156</v>
      </c>
      <c r="C23" s="0" t="n">
        <v>156</v>
      </c>
      <c r="D23" s="0" t="n">
        <v>0.156</v>
      </c>
      <c r="E23" s="0" t="n">
        <v>0.156</v>
      </c>
    </row>
    <row r="24" customFormat="false" ht="15" hidden="false" customHeight="false" outlineLevel="0" collapsed="false">
      <c r="A24" s="0" t="s">
        <v>70</v>
      </c>
      <c r="B24" s="0" t="n">
        <v>154</v>
      </c>
      <c r="C24" s="0" t="n">
        <v>154</v>
      </c>
      <c r="D24" s="0" t="n">
        <v>0.154</v>
      </c>
      <c r="E24" s="0" t="n">
        <v>0.154</v>
      </c>
    </row>
    <row r="25" customFormat="false" ht="15" hidden="false" customHeight="false" outlineLevel="0" collapsed="false">
      <c r="A25" s="0" t="s">
        <v>72</v>
      </c>
      <c r="B25" s="0" t="n">
        <v>152</v>
      </c>
      <c r="C25" s="0" t="n">
        <v>153</v>
      </c>
      <c r="D25" s="0" t="n">
        <v>0.152</v>
      </c>
      <c r="E25" s="0" t="n">
        <v>0.153</v>
      </c>
    </row>
    <row r="26" customFormat="false" ht="15" hidden="false" customHeight="false" outlineLevel="0" collapsed="false">
      <c r="A26" s="0" t="s">
        <v>74</v>
      </c>
      <c r="B26" s="0" t="n">
        <v>150</v>
      </c>
      <c r="C26" s="0" t="n">
        <v>152</v>
      </c>
      <c r="D26" s="0" t="n">
        <v>0.15</v>
      </c>
      <c r="E26" s="0" t="n">
        <v>0.152</v>
      </c>
    </row>
    <row r="27" customFormat="false" ht="15" hidden="false" customHeight="false" outlineLevel="0" collapsed="false">
      <c r="A27" s="0" t="s">
        <v>76</v>
      </c>
      <c r="B27" s="0" t="n">
        <v>148</v>
      </c>
      <c r="C27" s="0" t="n">
        <v>148</v>
      </c>
      <c r="D27" s="0" t="n">
        <v>0.148</v>
      </c>
      <c r="E27" s="0" t="n">
        <v>0.148</v>
      </c>
    </row>
    <row r="28" customFormat="false" ht="15" hidden="false" customHeight="false" outlineLevel="0" collapsed="false">
      <c r="A28" s="0" t="s">
        <v>78</v>
      </c>
      <c r="B28" s="0" t="n">
        <v>146</v>
      </c>
      <c r="C28" s="0" t="n">
        <v>147</v>
      </c>
      <c r="D28" s="0" t="n">
        <v>0.146</v>
      </c>
      <c r="E28" s="0" t="n">
        <v>0.147</v>
      </c>
    </row>
    <row r="29" customFormat="false" ht="15" hidden="false" customHeight="false" outlineLevel="0" collapsed="false">
      <c r="A29" s="0" t="s">
        <v>80</v>
      </c>
      <c r="B29" s="0" t="n">
        <v>144</v>
      </c>
      <c r="C29" s="0" t="n">
        <v>144</v>
      </c>
      <c r="D29" s="0" t="n">
        <v>0.144</v>
      </c>
      <c r="E29" s="0" t="n">
        <v>0.144</v>
      </c>
    </row>
    <row r="30" customFormat="false" ht="15" hidden="false" customHeight="false" outlineLevel="0" collapsed="false">
      <c r="A30" s="0" t="s">
        <v>82</v>
      </c>
      <c r="B30" s="0" t="n">
        <v>142</v>
      </c>
      <c r="C30" s="0" t="n">
        <v>142</v>
      </c>
      <c r="D30" s="0" t="n">
        <v>0.142</v>
      </c>
      <c r="E30" s="0" t="n">
        <v>0.142</v>
      </c>
    </row>
    <row r="31" customFormat="false" ht="15" hidden="false" customHeight="false" outlineLevel="0" collapsed="false">
      <c r="A31" s="0" t="s">
        <v>84</v>
      </c>
      <c r="B31" s="0" t="n">
        <v>140</v>
      </c>
      <c r="C31" s="0" t="n">
        <v>142</v>
      </c>
      <c r="D31" s="0" t="n">
        <v>0.14</v>
      </c>
      <c r="E31" s="0" t="n">
        <v>0.142</v>
      </c>
    </row>
    <row r="32" customFormat="false" ht="15" hidden="false" customHeight="false" outlineLevel="0" collapsed="false">
      <c r="A32" s="0" t="s">
        <v>86</v>
      </c>
      <c r="B32" s="0" t="n">
        <v>138</v>
      </c>
      <c r="C32" s="0" t="n">
        <v>138</v>
      </c>
      <c r="D32" s="0" t="n">
        <v>0.138</v>
      </c>
      <c r="E32" s="0" t="n">
        <v>0.138</v>
      </c>
    </row>
    <row r="33" customFormat="false" ht="15" hidden="false" customHeight="false" outlineLevel="0" collapsed="false">
      <c r="A33" s="0" t="s">
        <v>88</v>
      </c>
      <c r="B33" s="0" t="n">
        <v>136</v>
      </c>
      <c r="C33" s="0" t="n">
        <v>136</v>
      </c>
      <c r="D33" s="0" t="n">
        <v>0.136</v>
      </c>
      <c r="E33" s="0" t="n">
        <v>0.136</v>
      </c>
    </row>
    <row r="34" customFormat="false" ht="15" hidden="false" customHeight="false" outlineLevel="0" collapsed="false">
      <c r="A34" s="0" t="s">
        <v>90</v>
      </c>
      <c r="B34" s="0" t="n">
        <v>134</v>
      </c>
      <c r="C34" s="0" t="n">
        <v>135</v>
      </c>
      <c r="D34" s="0" t="n">
        <v>0.134</v>
      </c>
      <c r="E34" s="0" t="n">
        <v>0.135</v>
      </c>
    </row>
    <row r="35" customFormat="false" ht="15" hidden="false" customHeight="false" outlineLevel="0" collapsed="false">
      <c r="A35" s="0" t="s">
        <v>92</v>
      </c>
      <c r="B35" s="0" t="n">
        <v>132</v>
      </c>
      <c r="C35" s="0" t="n">
        <v>132</v>
      </c>
      <c r="D35" s="0" t="n">
        <v>0.132</v>
      </c>
      <c r="E35" s="0" t="n">
        <v>0.132</v>
      </c>
    </row>
    <row r="36" customFormat="false" ht="15" hidden="false" customHeight="false" outlineLevel="0" collapsed="false">
      <c r="A36" s="0" t="s">
        <v>94</v>
      </c>
      <c r="B36" s="0" t="n">
        <v>130</v>
      </c>
      <c r="C36" s="0" t="n">
        <v>132</v>
      </c>
      <c r="D36" s="0" t="n">
        <v>0.13</v>
      </c>
      <c r="E36" s="0" t="n">
        <v>0.132</v>
      </c>
    </row>
    <row r="37" customFormat="false" ht="15" hidden="false" customHeight="false" outlineLevel="0" collapsed="false">
      <c r="A37" s="0" t="s">
        <v>96</v>
      </c>
      <c r="B37" s="0" t="n">
        <v>128</v>
      </c>
      <c r="C37" s="0" t="n">
        <v>129</v>
      </c>
      <c r="D37" s="0" t="n">
        <v>0.128</v>
      </c>
      <c r="E37" s="0" t="n">
        <v>0.129</v>
      </c>
    </row>
    <row r="38" customFormat="false" ht="15" hidden="false" customHeight="false" outlineLevel="0" collapsed="false">
      <c r="A38" s="0" t="s">
        <v>98</v>
      </c>
      <c r="B38" s="0" t="n">
        <v>126</v>
      </c>
      <c r="C38" s="0" t="n">
        <v>126</v>
      </c>
      <c r="D38" s="0" t="n">
        <v>0.126</v>
      </c>
      <c r="E38" s="0" t="n">
        <v>0.126</v>
      </c>
    </row>
    <row r="39" customFormat="false" ht="15" hidden="false" customHeight="false" outlineLevel="0" collapsed="false">
      <c r="A39" s="0" t="s">
        <v>100</v>
      </c>
      <c r="B39" s="0" t="n">
        <v>124</v>
      </c>
      <c r="C39" s="0" t="n">
        <v>124</v>
      </c>
      <c r="D39" s="0" t="n">
        <v>0.124</v>
      </c>
      <c r="E39" s="0" t="n">
        <v>0.124</v>
      </c>
    </row>
    <row r="40" customFormat="false" ht="15" hidden="false" customHeight="false" outlineLevel="0" collapsed="false">
      <c r="A40" s="0" t="s">
        <v>102</v>
      </c>
      <c r="B40" s="0" t="n">
        <v>122</v>
      </c>
      <c r="C40" s="0" t="n">
        <v>123</v>
      </c>
      <c r="D40" s="0" t="n">
        <v>0.122</v>
      </c>
      <c r="E40" s="0" t="n">
        <v>0.123</v>
      </c>
    </row>
    <row r="41" customFormat="false" ht="15" hidden="false" customHeight="false" outlineLevel="0" collapsed="false">
      <c r="A41" s="0" t="s">
        <v>104</v>
      </c>
      <c r="B41" s="0" t="n">
        <v>120</v>
      </c>
      <c r="C41" s="0" t="n">
        <v>122</v>
      </c>
      <c r="D41" s="0" t="n">
        <v>0.12</v>
      </c>
      <c r="E41" s="0" t="n">
        <v>0.122</v>
      </c>
    </row>
    <row r="42" customFormat="false" ht="15" hidden="false" customHeight="false" outlineLevel="0" collapsed="false">
      <c r="A42" s="0" t="s">
        <v>106</v>
      </c>
      <c r="B42" s="0" t="n">
        <v>118</v>
      </c>
      <c r="C42" s="0" t="n">
        <v>118</v>
      </c>
      <c r="D42" s="0" t="n">
        <v>0.118</v>
      </c>
      <c r="E42" s="0" t="n">
        <v>0.118</v>
      </c>
    </row>
    <row r="43" customFormat="false" ht="15" hidden="false" customHeight="false" outlineLevel="0" collapsed="false">
      <c r="A43" s="0" t="s">
        <v>108</v>
      </c>
      <c r="B43" s="0" t="n">
        <v>116</v>
      </c>
      <c r="C43" s="0" t="n">
        <v>117</v>
      </c>
      <c r="D43" s="0" t="n">
        <v>0.116</v>
      </c>
      <c r="E43" s="0" t="n">
        <v>0.117</v>
      </c>
    </row>
    <row r="44" customFormat="false" ht="15" hidden="false" customHeight="false" outlineLevel="0" collapsed="false">
      <c r="A44" s="0" t="s">
        <v>110</v>
      </c>
      <c r="B44" s="0" t="n">
        <v>114</v>
      </c>
      <c r="C44" s="0" t="n">
        <v>114</v>
      </c>
      <c r="D44" s="0" t="n">
        <v>0.114</v>
      </c>
      <c r="E44" s="0" t="n">
        <v>0.114</v>
      </c>
    </row>
    <row r="45" customFormat="false" ht="15" hidden="false" customHeight="false" outlineLevel="0" collapsed="false">
      <c r="A45" s="0" t="s">
        <v>112</v>
      </c>
      <c r="B45" s="0" t="n">
        <v>112</v>
      </c>
      <c r="C45" s="0" t="n">
        <v>112</v>
      </c>
      <c r="D45" s="0" t="n">
        <v>0.112</v>
      </c>
      <c r="E45" s="0" t="n">
        <v>0.112</v>
      </c>
    </row>
    <row r="46" customFormat="false" ht="15" hidden="false" customHeight="false" outlineLevel="0" collapsed="false">
      <c r="A46" s="0" t="s">
        <v>114</v>
      </c>
      <c r="B46" s="0" t="n">
        <v>110</v>
      </c>
      <c r="C46" s="0" t="n">
        <v>112</v>
      </c>
      <c r="D46" s="0" t="n">
        <v>0.11</v>
      </c>
      <c r="E46" s="0" t="n">
        <v>0.112</v>
      </c>
    </row>
    <row r="47" customFormat="false" ht="15" hidden="false" customHeight="false" outlineLevel="0" collapsed="false">
      <c r="A47" s="0" t="s">
        <v>116</v>
      </c>
      <c r="B47" s="0" t="n">
        <v>108</v>
      </c>
      <c r="C47" s="0" t="n">
        <v>108</v>
      </c>
      <c r="D47" s="0" t="n">
        <v>0.108</v>
      </c>
      <c r="E47" s="0" t="n">
        <v>0.108</v>
      </c>
    </row>
    <row r="48" customFormat="false" ht="15" hidden="false" customHeight="false" outlineLevel="0" collapsed="false">
      <c r="A48" s="0" t="s">
        <v>118</v>
      </c>
      <c r="B48" s="0" t="n">
        <v>106</v>
      </c>
      <c r="C48" s="0" t="n">
        <v>106</v>
      </c>
      <c r="D48" s="0" t="n">
        <v>0.106</v>
      </c>
      <c r="E48" s="0" t="n">
        <v>0.106</v>
      </c>
    </row>
    <row r="49" customFormat="false" ht="15" hidden="false" customHeight="false" outlineLevel="0" collapsed="false">
      <c r="A49" s="0" t="s">
        <v>120</v>
      </c>
      <c r="B49" s="0" t="n">
        <v>104</v>
      </c>
      <c r="C49" s="0" t="n">
        <v>105</v>
      </c>
      <c r="D49" s="0" t="n">
        <v>0.104</v>
      </c>
      <c r="E49" s="0" t="n">
        <v>0.105</v>
      </c>
    </row>
    <row r="50" customFormat="false" ht="15" hidden="false" customHeight="false" outlineLevel="0" collapsed="false">
      <c r="A50" s="0" t="s">
        <v>122</v>
      </c>
      <c r="B50" s="0" t="n">
        <v>102</v>
      </c>
      <c r="C50" s="0" t="n">
        <v>102</v>
      </c>
      <c r="D50" s="0" t="n">
        <v>0.102</v>
      </c>
      <c r="E50" s="0" t="n">
        <v>0.102</v>
      </c>
    </row>
    <row r="51" customFormat="false" ht="15" hidden="false" customHeight="false" outlineLevel="0" collapsed="false">
      <c r="A51" s="0" t="s">
        <v>124</v>
      </c>
      <c r="B51" s="0" t="n">
        <v>100</v>
      </c>
      <c r="C51" s="0" t="n">
        <v>102</v>
      </c>
      <c r="D51" s="0" t="n">
        <v>0.1</v>
      </c>
      <c r="E51" s="0" t="n">
        <v>0.102</v>
      </c>
    </row>
    <row r="52" customFormat="false" ht="15" hidden="false" customHeight="false" outlineLevel="0" collapsed="false">
      <c r="A52" s="0" t="s">
        <v>126</v>
      </c>
      <c r="B52" s="0" t="n">
        <v>98</v>
      </c>
      <c r="C52" s="0" t="n">
        <v>99</v>
      </c>
      <c r="D52" s="0" t="n">
        <v>0.098</v>
      </c>
      <c r="E52" s="0" t="n">
        <v>0.099</v>
      </c>
    </row>
    <row r="53" customFormat="false" ht="15" hidden="false" customHeight="false" outlineLevel="0" collapsed="false">
      <c r="A53" s="0" t="s">
        <v>128</v>
      </c>
      <c r="B53" s="0" t="n">
        <v>96</v>
      </c>
      <c r="C53" s="0" t="n">
        <v>96</v>
      </c>
      <c r="D53" s="0" t="n">
        <v>0.096</v>
      </c>
      <c r="E53" s="0" t="n">
        <v>0.096</v>
      </c>
    </row>
    <row r="54" customFormat="false" ht="15" hidden="false" customHeight="false" outlineLevel="0" collapsed="false">
      <c r="A54" s="0" t="s">
        <v>130</v>
      </c>
      <c r="B54" s="0" t="n">
        <v>94</v>
      </c>
      <c r="C54" s="0" t="n">
        <v>94</v>
      </c>
      <c r="D54" s="0" t="n">
        <v>0.094</v>
      </c>
      <c r="E54" s="0" t="n">
        <v>0.094</v>
      </c>
    </row>
    <row r="55" customFormat="false" ht="15" hidden="false" customHeight="false" outlineLevel="0" collapsed="false">
      <c r="A55" s="0" t="s">
        <v>132</v>
      </c>
      <c r="B55" s="0" t="n">
        <v>92</v>
      </c>
      <c r="C55" s="0" t="n">
        <v>93</v>
      </c>
      <c r="D55" s="0" t="n">
        <v>0.092</v>
      </c>
      <c r="E55" s="0" t="n">
        <v>0.093</v>
      </c>
    </row>
    <row r="56" customFormat="false" ht="15" hidden="false" customHeight="false" outlineLevel="0" collapsed="false">
      <c r="A56" s="0" t="s">
        <v>134</v>
      </c>
      <c r="B56" s="0" t="n">
        <v>90</v>
      </c>
      <c r="C56" s="0" t="n">
        <v>92</v>
      </c>
      <c r="D56" s="0" t="n">
        <v>0.09</v>
      </c>
      <c r="E56" s="0" t="n">
        <v>0.092</v>
      </c>
    </row>
    <row r="57" customFormat="false" ht="15" hidden="false" customHeight="false" outlineLevel="0" collapsed="false">
      <c r="A57" s="0" t="s">
        <v>136</v>
      </c>
      <c r="B57" s="0" t="n">
        <v>88</v>
      </c>
      <c r="C57" s="0" t="n">
        <v>88</v>
      </c>
      <c r="D57" s="0" t="n">
        <v>0.088</v>
      </c>
      <c r="E57" s="0" t="n">
        <v>0.088</v>
      </c>
    </row>
    <row r="58" customFormat="false" ht="15" hidden="false" customHeight="false" outlineLevel="0" collapsed="false">
      <c r="A58" s="0" t="s">
        <v>138</v>
      </c>
      <c r="B58" s="0" t="n">
        <v>86</v>
      </c>
      <c r="C58" s="0" t="n">
        <v>87</v>
      </c>
      <c r="D58" s="0" t="n">
        <v>0.086</v>
      </c>
      <c r="E58" s="0" t="n">
        <v>0.087</v>
      </c>
    </row>
    <row r="59" customFormat="false" ht="15" hidden="false" customHeight="false" outlineLevel="0" collapsed="false">
      <c r="A59" s="0" t="s">
        <v>140</v>
      </c>
      <c r="B59" s="0" t="n">
        <v>84</v>
      </c>
      <c r="C59" s="0" t="n">
        <v>84</v>
      </c>
      <c r="D59" s="0" t="n">
        <v>0.084</v>
      </c>
      <c r="E59" s="0" t="n">
        <v>0.084</v>
      </c>
    </row>
    <row r="60" customFormat="false" ht="15" hidden="false" customHeight="false" outlineLevel="0" collapsed="false">
      <c r="A60" s="0" t="s">
        <v>142</v>
      </c>
      <c r="B60" s="0" t="n">
        <v>82</v>
      </c>
      <c r="C60" s="0" t="n">
        <v>82</v>
      </c>
      <c r="D60" s="0" t="n">
        <v>0.082</v>
      </c>
      <c r="E60" s="0" t="n">
        <v>0.082</v>
      </c>
    </row>
    <row r="61" customFormat="false" ht="15" hidden="false" customHeight="false" outlineLevel="0" collapsed="false">
      <c r="A61" s="0" t="s">
        <v>144</v>
      </c>
      <c r="B61" s="0" t="n">
        <v>80</v>
      </c>
      <c r="C61" s="0" t="n">
        <v>82</v>
      </c>
      <c r="D61" s="0" t="n">
        <v>0.08</v>
      </c>
      <c r="E61" s="0" t="n">
        <v>0.082</v>
      </c>
    </row>
    <row r="62" customFormat="false" ht="15" hidden="false" customHeight="false" outlineLevel="0" collapsed="false">
      <c r="A62" s="0" t="s">
        <v>146</v>
      </c>
      <c r="B62" s="0" t="n">
        <v>78</v>
      </c>
      <c r="C62" s="0" t="n">
        <v>78</v>
      </c>
      <c r="D62" s="0" t="n">
        <v>0.078</v>
      </c>
      <c r="E62" s="0" t="n">
        <v>0.078</v>
      </c>
    </row>
    <row r="63" customFormat="false" ht="15" hidden="false" customHeight="false" outlineLevel="0" collapsed="false">
      <c r="A63" s="0" t="s">
        <v>148</v>
      </c>
      <c r="B63" s="0" t="n">
        <v>76</v>
      </c>
      <c r="C63" s="0" t="n">
        <v>76</v>
      </c>
      <c r="D63" s="0" t="n">
        <v>0.076</v>
      </c>
      <c r="E63" s="0" t="n">
        <v>0.076</v>
      </c>
    </row>
    <row r="64" customFormat="false" ht="15" hidden="false" customHeight="false" outlineLevel="0" collapsed="false">
      <c r="A64" s="0" t="s">
        <v>150</v>
      </c>
      <c r="B64" s="0" t="n">
        <v>74</v>
      </c>
      <c r="C64" s="0" t="n">
        <v>75</v>
      </c>
      <c r="D64" s="0" t="n">
        <v>0.074</v>
      </c>
      <c r="E64" s="0" t="n">
        <v>0.075</v>
      </c>
    </row>
    <row r="65" customFormat="false" ht="15" hidden="false" customHeight="false" outlineLevel="0" collapsed="false">
      <c r="A65" s="0" t="s">
        <v>152</v>
      </c>
      <c r="B65" s="0" t="n">
        <v>72</v>
      </c>
      <c r="C65" s="0" t="n">
        <v>72</v>
      </c>
      <c r="D65" s="0" t="n">
        <v>0.072</v>
      </c>
      <c r="E65" s="0" t="n">
        <v>0.072</v>
      </c>
    </row>
    <row r="66" customFormat="false" ht="15" hidden="false" customHeight="false" outlineLevel="0" collapsed="false">
      <c r="A66" s="0" t="s">
        <v>154</v>
      </c>
      <c r="B66" s="0" t="n">
        <v>70</v>
      </c>
      <c r="C66" s="0" t="n">
        <v>72</v>
      </c>
      <c r="D66" s="0" t="n">
        <v>0.07</v>
      </c>
      <c r="E66" s="0" t="n">
        <v>0.072</v>
      </c>
    </row>
    <row r="67" customFormat="false" ht="15" hidden="false" customHeight="false" outlineLevel="0" collapsed="false">
      <c r="A67" s="0" t="s">
        <v>156</v>
      </c>
      <c r="B67" s="0" t="n">
        <v>68</v>
      </c>
      <c r="C67" s="0" t="n">
        <v>69</v>
      </c>
      <c r="D67" s="0" t="n">
        <v>0.068</v>
      </c>
      <c r="E67" s="0" t="n">
        <v>0.069</v>
      </c>
    </row>
    <row r="68" customFormat="false" ht="15" hidden="false" customHeight="false" outlineLevel="0" collapsed="false">
      <c r="A68" s="0" t="s">
        <v>158</v>
      </c>
      <c r="B68" s="0" t="n">
        <v>66</v>
      </c>
      <c r="C68" s="0" t="n">
        <v>66</v>
      </c>
      <c r="D68" s="0" t="n">
        <v>0.066</v>
      </c>
      <c r="E68" s="0" t="n">
        <v>0.066</v>
      </c>
    </row>
    <row r="69" customFormat="false" ht="15" hidden="false" customHeight="false" outlineLevel="0" collapsed="false">
      <c r="A69" s="0" t="s">
        <v>160</v>
      </c>
      <c r="B69" s="0" t="n">
        <v>64</v>
      </c>
      <c r="C69" s="0" t="n">
        <v>64</v>
      </c>
      <c r="D69" s="0" t="n">
        <v>0.064</v>
      </c>
      <c r="E69" s="0" t="n">
        <v>0.064</v>
      </c>
    </row>
    <row r="70" customFormat="false" ht="15" hidden="false" customHeight="false" outlineLevel="0" collapsed="false">
      <c r="A70" s="0" t="s">
        <v>162</v>
      </c>
      <c r="B70" s="0" t="n">
        <v>62</v>
      </c>
      <c r="C70" s="0" t="n">
        <v>63</v>
      </c>
      <c r="D70" s="0" t="n">
        <v>0.062</v>
      </c>
      <c r="E70" s="0" t="n">
        <v>0.063</v>
      </c>
    </row>
    <row r="71" customFormat="false" ht="15" hidden="false" customHeight="false" outlineLevel="0" collapsed="false">
      <c r="A71" s="0" t="s">
        <v>164</v>
      </c>
      <c r="B71" s="0" t="n">
        <v>60</v>
      </c>
      <c r="C71" s="0" t="n">
        <v>62</v>
      </c>
      <c r="D71" s="0" t="n">
        <v>0.06</v>
      </c>
      <c r="E71" s="0" t="n">
        <v>0.062</v>
      </c>
    </row>
    <row r="72" customFormat="false" ht="15" hidden="false" customHeight="false" outlineLevel="0" collapsed="false">
      <c r="A72" s="0" t="s">
        <v>166</v>
      </c>
      <c r="B72" s="0" t="n">
        <v>58</v>
      </c>
      <c r="C72" s="0" t="n">
        <v>58</v>
      </c>
      <c r="D72" s="0" t="n">
        <v>0.058</v>
      </c>
      <c r="E72" s="0" t="n">
        <v>0.058</v>
      </c>
    </row>
    <row r="73" customFormat="false" ht="15" hidden="false" customHeight="false" outlineLevel="0" collapsed="false">
      <c r="A73" s="0" t="s">
        <v>168</v>
      </c>
      <c r="B73" s="0" t="n">
        <v>56</v>
      </c>
      <c r="C73" s="0" t="n">
        <v>57</v>
      </c>
      <c r="D73" s="0" t="n">
        <v>0.056</v>
      </c>
      <c r="E73" s="0" t="n">
        <v>0.057</v>
      </c>
    </row>
    <row r="74" customFormat="false" ht="15" hidden="false" customHeight="false" outlineLevel="0" collapsed="false">
      <c r="A74" s="0" t="s">
        <v>170</v>
      </c>
      <c r="B74" s="0" t="n">
        <v>54</v>
      </c>
      <c r="C74" s="0" t="n">
        <v>54</v>
      </c>
      <c r="D74" s="0" t="n">
        <v>0.054</v>
      </c>
      <c r="E74" s="0" t="n">
        <v>0.054</v>
      </c>
    </row>
    <row r="75" customFormat="false" ht="15" hidden="false" customHeight="false" outlineLevel="0" collapsed="false">
      <c r="A75" s="0" t="s">
        <v>172</v>
      </c>
      <c r="B75" s="0" t="n">
        <v>52</v>
      </c>
      <c r="C75" s="0" t="n">
        <v>52</v>
      </c>
      <c r="D75" s="0" t="n">
        <v>0.052</v>
      </c>
      <c r="E75" s="0" t="n">
        <v>0.052</v>
      </c>
    </row>
    <row r="76" customFormat="false" ht="15" hidden="false" customHeight="false" outlineLevel="0" collapsed="false">
      <c r="A76" s="0" t="s">
        <v>174</v>
      </c>
      <c r="B76" s="0" t="n">
        <v>50</v>
      </c>
      <c r="C76" s="0" t="n">
        <v>52</v>
      </c>
      <c r="D76" s="0" t="n">
        <v>0.05</v>
      </c>
      <c r="E76" s="0" t="n">
        <v>0.052</v>
      </c>
    </row>
    <row r="77" customFormat="false" ht="15" hidden="false" customHeight="false" outlineLevel="0" collapsed="false">
      <c r="A77" s="0" t="s">
        <v>176</v>
      </c>
      <c r="B77" s="0" t="n">
        <v>48</v>
      </c>
      <c r="C77" s="0" t="n">
        <v>48</v>
      </c>
      <c r="D77" s="0" t="n">
        <v>0.048</v>
      </c>
      <c r="E77" s="0" t="n">
        <v>0.048</v>
      </c>
    </row>
    <row r="78" customFormat="false" ht="15" hidden="false" customHeight="false" outlineLevel="0" collapsed="false">
      <c r="A78" s="0" t="s">
        <v>178</v>
      </c>
      <c r="B78" s="0" t="n">
        <v>46</v>
      </c>
      <c r="C78" s="0" t="n">
        <v>46</v>
      </c>
      <c r="D78" s="0" t="n">
        <v>0.046</v>
      </c>
      <c r="E78" s="0" t="n">
        <v>0.046</v>
      </c>
    </row>
    <row r="79" customFormat="false" ht="15" hidden="false" customHeight="false" outlineLevel="0" collapsed="false">
      <c r="A79" s="0" t="s">
        <v>180</v>
      </c>
      <c r="B79" s="0" t="n">
        <v>44</v>
      </c>
      <c r="C79" s="0" t="n">
        <v>45</v>
      </c>
      <c r="D79" s="0" t="n">
        <v>0.044</v>
      </c>
      <c r="E79" s="0" t="n">
        <v>0.045</v>
      </c>
    </row>
    <row r="80" customFormat="false" ht="15" hidden="false" customHeight="false" outlineLevel="0" collapsed="false">
      <c r="A80" s="0" t="s">
        <v>182</v>
      </c>
      <c r="B80" s="0" t="n">
        <v>42</v>
      </c>
      <c r="C80" s="0" t="n">
        <v>42</v>
      </c>
      <c r="D80" s="0" t="n">
        <v>0.042</v>
      </c>
      <c r="E80" s="0" t="n">
        <v>0.042</v>
      </c>
    </row>
    <row r="81" customFormat="false" ht="15" hidden="false" customHeight="false" outlineLevel="0" collapsed="false">
      <c r="A81" s="0" t="s">
        <v>184</v>
      </c>
      <c r="B81" s="0" t="n">
        <v>40</v>
      </c>
      <c r="C81" s="0" t="n">
        <v>42</v>
      </c>
      <c r="D81" s="0" t="n">
        <v>0.04</v>
      </c>
      <c r="E81" s="0" t="n">
        <v>0.042</v>
      </c>
    </row>
    <row r="82" customFormat="false" ht="15" hidden="false" customHeight="false" outlineLevel="0" collapsed="false">
      <c r="A82" s="0" t="s">
        <v>186</v>
      </c>
      <c r="B82" s="0" t="n">
        <v>38</v>
      </c>
      <c r="C82" s="0" t="n">
        <v>39</v>
      </c>
      <c r="D82" s="0" t="n">
        <v>0.038</v>
      </c>
      <c r="E82" s="0" t="n">
        <v>0.039</v>
      </c>
    </row>
    <row r="83" customFormat="false" ht="15" hidden="false" customHeight="false" outlineLevel="0" collapsed="false">
      <c r="A83" s="0" t="s">
        <v>188</v>
      </c>
      <c r="B83" s="0" t="n">
        <v>36</v>
      </c>
      <c r="C83" s="0" t="n">
        <v>36</v>
      </c>
      <c r="D83" s="0" t="n">
        <v>0.036</v>
      </c>
      <c r="E83" s="0" t="n">
        <v>0.036</v>
      </c>
    </row>
    <row r="84" customFormat="false" ht="15" hidden="false" customHeight="false" outlineLevel="0" collapsed="false">
      <c r="A84" s="0" t="s">
        <v>190</v>
      </c>
      <c r="B84" s="0" t="n">
        <v>34</v>
      </c>
      <c r="C84" s="0" t="n">
        <v>34</v>
      </c>
      <c r="D84" s="0" t="n">
        <v>0.034</v>
      </c>
      <c r="E84" s="0" t="n">
        <v>0.034</v>
      </c>
    </row>
    <row r="85" customFormat="false" ht="15" hidden="false" customHeight="false" outlineLevel="0" collapsed="false">
      <c r="A85" s="0" t="s">
        <v>192</v>
      </c>
      <c r="B85" s="0" t="n">
        <v>32</v>
      </c>
      <c r="C85" s="0" t="n">
        <v>33</v>
      </c>
      <c r="D85" s="0" t="n">
        <v>0.032</v>
      </c>
      <c r="E85" s="0" t="n">
        <v>0.033</v>
      </c>
    </row>
    <row r="86" customFormat="false" ht="15" hidden="false" customHeight="false" outlineLevel="0" collapsed="false">
      <c r="A86" s="0" t="s">
        <v>194</v>
      </c>
      <c r="B86" s="0" t="n">
        <v>30</v>
      </c>
      <c r="C86" s="0" t="n">
        <v>32</v>
      </c>
      <c r="D86" s="0" t="n">
        <v>0.03</v>
      </c>
      <c r="E86" s="0" t="n">
        <v>0.032</v>
      </c>
    </row>
    <row r="87" customFormat="false" ht="15" hidden="false" customHeight="false" outlineLevel="0" collapsed="false">
      <c r="A87" s="0" t="s">
        <v>196</v>
      </c>
      <c r="B87" s="0" t="n">
        <v>28</v>
      </c>
      <c r="C87" s="0" t="n">
        <v>28</v>
      </c>
      <c r="D87" s="0" t="n">
        <v>0.028</v>
      </c>
      <c r="E87" s="0" t="n">
        <v>0.028</v>
      </c>
    </row>
    <row r="88" customFormat="false" ht="15" hidden="false" customHeight="false" outlineLevel="0" collapsed="false">
      <c r="A88" s="0" t="s">
        <v>198</v>
      </c>
      <c r="B88" s="0" t="n">
        <v>26</v>
      </c>
      <c r="C88" s="0" t="n">
        <v>27</v>
      </c>
      <c r="D88" s="0" t="n">
        <v>0.026</v>
      </c>
      <c r="E88" s="0" t="n">
        <v>0.027</v>
      </c>
    </row>
    <row r="89" customFormat="false" ht="15" hidden="false" customHeight="false" outlineLevel="0" collapsed="false">
      <c r="A89" s="0" t="s">
        <v>200</v>
      </c>
      <c r="B89" s="0" t="n">
        <v>24</v>
      </c>
      <c r="C89" s="0" t="n">
        <v>24</v>
      </c>
      <c r="D89" s="0" t="n">
        <v>0.024</v>
      </c>
      <c r="E89" s="0" t="n">
        <v>0.024</v>
      </c>
    </row>
    <row r="90" customFormat="false" ht="15" hidden="false" customHeight="false" outlineLevel="0" collapsed="false">
      <c r="A90" s="0" t="s">
        <v>202</v>
      </c>
      <c r="B90" s="0" t="n">
        <v>22</v>
      </c>
      <c r="C90" s="0" t="n">
        <v>22</v>
      </c>
      <c r="D90" s="0" t="n">
        <v>0.022</v>
      </c>
      <c r="E90" s="0" t="n">
        <v>0.022</v>
      </c>
    </row>
    <row r="91" customFormat="false" ht="15" hidden="false" customHeight="false" outlineLevel="0" collapsed="false">
      <c r="A91" s="0" t="s">
        <v>204</v>
      </c>
      <c r="B91" s="0" t="n">
        <v>20</v>
      </c>
      <c r="C91" s="0" t="n">
        <v>22</v>
      </c>
      <c r="D91" s="0" t="n">
        <v>0.02</v>
      </c>
      <c r="E91" s="0" t="n">
        <v>0.022</v>
      </c>
    </row>
    <row r="92" customFormat="false" ht="15" hidden="false" customHeight="false" outlineLevel="0" collapsed="false">
      <c r="A92" s="0" t="s">
        <v>206</v>
      </c>
      <c r="B92" s="0" t="n">
        <v>18</v>
      </c>
      <c r="C92" s="0" t="n">
        <v>18</v>
      </c>
      <c r="D92" s="0" t="n">
        <v>0.018</v>
      </c>
      <c r="E92" s="0" t="n">
        <v>0.018</v>
      </c>
    </row>
    <row r="93" customFormat="false" ht="15" hidden="false" customHeight="false" outlineLevel="0" collapsed="false">
      <c r="A93" s="0" t="s">
        <v>208</v>
      </c>
      <c r="B93" s="0" t="n">
        <v>16</v>
      </c>
      <c r="C93" s="0" t="n">
        <v>16</v>
      </c>
      <c r="D93" s="0" t="n">
        <v>0.016</v>
      </c>
      <c r="E93" s="0" t="n">
        <v>0.016</v>
      </c>
    </row>
    <row r="94" customFormat="false" ht="15" hidden="false" customHeight="false" outlineLevel="0" collapsed="false">
      <c r="A94" s="0" t="s">
        <v>210</v>
      </c>
      <c r="B94" s="0" t="n">
        <v>14</v>
      </c>
      <c r="C94" s="0" t="n">
        <v>15</v>
      </c>
      <c r="D94" s="0" t="n">
        <v>0.014</v>
      </c>
      <c r="E94" s="0" t="n">
        <v>0.015</v>
      </c>
    </row>
    <row r="95" customFormat="false" ht="15" hidden="false" customHeight="false" outlineLevel="0" collapsed="false">
      <c r="A95" s="0" t="s">
        <v>212</v>
      </c>
      <c r="B95" s="0" t="n">
        <v>12</v>
      </c>
      <c r="C95" s="0" t="n">
        <v>12</v>
      </c>
      <c r="D95" s="0" t="n">
        <v>0.012</v>
      </c>
      <c r="E95" s="0" t="n">
        <v>0.012</v>
      </c>
    </row>
    <row r="96" customFormat="false" ht="15" hidden="false" customHeight="false" outlineLevel="0" collapsed="false">
      <c r="A96" s="0" t="s">
        <v>214</v>
      </c>
      <c r="B96" s="0" t="n">
        <v>10</v>
      </c>
      <c r="C96" s="0" t="n">
        <v>12</v>
      </c>
      <c r="D96" s="0" t="n">
        <v>0.01</v>
      </c>
      <c r="E96" s="0" t="n">
        <v>0.012</v>
      </c>
    </row>
    <row r="97" customFormat="false" ht="15" hidden="false" customHeight="false" outlineLevel="0" collapsed="false">
      <c r="A97" s="0" t="s">
        <v>216</v>
      </c>
      <c r="B97" s="0" t="n">
        <v>8</v>
      </c>
      <c r="C97" s="0" t="n">
        <v>9</v>
      </c>
      <c r="D97" s="0" t="n">
        <v>0.008</v>
      </c>
      <c r="E97" s="0" t="n">
        <v>0.009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330</v>
      </c>
      <c r="B1" s="0" t="s">
        <v>331</v>
      </c>
      <c r="C1" s="0" t="s">
        <v>332</v>
      </c>
      <c r="D1" s="0" t="s">
        <v>333</v>
      </c>
      <c r="E1" s="0" t="s">
        <v>334</v>
      </c>
      <c r="F1" s="0" t="s">
        <v>335</v>
      </c>
    </row>
    <row r="2" customFormat="false" ht="15" hidden="false" customHeight="false" outlineLevel="0" collapsed="false">
      <c r="A2" s="0" t="s">
        <v>26</v>
      </c>
      <c r="B2" s="0" t="s">
        <v>28</v>
      </c>
      <c r="C2" s="0" t="n">
        <v>11</v>
      </c>
      <c r="D2" s="0" t="s">
        <v>237</v>
      </c>
      <c r="E2" s="0" t="n">
        <v>65</v>
      </c>
      <c r="F2" s="0" t="n">
        <v>1</v>
      </c>
    </row>
    <row r="3" customFormat="false" ht="15" hidden="false" customHeight="false" outlineLevel="0" collapsed="false">
      <c r="A3" s="0" t="s">
        <v>28</v>
      </c>
      <c r="B3" s="0" t="s">
        <v>30</v>
      </c>
      <c r="C3" s="0" t="n">
        <v>12</v>
      </c>
      <c r="D3" s="0" t="s">
        <v>237</v>
      </c>
      <c r="E3" s="0" t="n">
        <v>15</v>
      </c>
      <c r="F3" s="0" t="n">
        <v>1</v>
      </c>
    </row>
    <row r="4" customFormat="false" ht="15" hidden="false" customHeight="false" outlineLevel="0" collapsed="false">
      <c r="A4" s="0" t="s">
        <v>30</v>
      </c>
      <c r="B4" s="0" t="s">
        <v>32</v>
      </c>
      <c r="C4" s="0" t="n">
        <v>13</v>
      </c>
      <c r="D4" s="0" t="s">
        <v>237</v>
      </c>
      <c r="E4" s="0" t="n">
        <v>36</v>
      </c>
      <c r="F4" s="0" t="n">
        <v>1</v>
      </c>
    </row>
    <row r="5" customFormat="false" ht="15" hidden="false" customHeight="false" outlineLevel="0" collapsed="false">
      <c r="A5" s="0" t="s">
        <v>32</v>
      </c>
      <c r="B5" s="0" t="s">
        <v>34</v>
      </c>
      <c r="C5" s="0" t="n">
        <v>14</v>
      </c>
      <c r="D5" s="0" t="s">
        <v>237</v>
      </c>
      <c r="E5" s="0" t="n">
        <v>1</v>
      </c>
      <c r="F5" s="0" t="n">
        <v>1</v>
      </c>
    </row>
    <row r="6" customFormat="false" ht="15" hidden="false" customHeight="false" outlineLevel="0" collapsed="false">
      <c r="A6" s="0" t="s">
        <v>34</v>
      </c>
      <c r="B6" s="0" t="s">
        <v>36</v>
      </c>
      <c r="C6" s="0" t="n">
        <v>15</v>
      </c>
      <c r="D6" s="0" t="s">
        <v>237</v>
      </c>
      <c r="E6" s="0" t="n">
        <v>1</v>
      </c>
      <c r="F6" s="0" t="n">
        <v>1</v>
      </c>
    </row>
    <row r="7" customFormat="false" ht="15" hidden="false" customHeight="false" outlineLevel="0" collapsed="false">
      <c r="A7" s="0" t="s">
        <v>36</v>
      </c>
      <c r="B7" s="0" t="s">
        <v>38</v>
      </c>
      <c r="C7" s="0" t="n">
        <v>16</v>
      </c>
      <c r="D7" s="0" t="s">
        <v>237</v>
      </c>
      <c r="E7" s="0" t="n">
        <v>1</v>
      </c>
      <c r="F7" s="0" t="n">
        <v>1</v>
      </c>
    </row>
    <row r="8" customFormat="false" ht="15" hidden="false" customHeight="false" outlineLevel="0" collapsed="false">
      <c r="A8" s="0" t="s">
        <v>38</v>
      </c>
      <c r="B8" s="0" t="s">
        <v>40</v>
      </c>
      <c r="C8" s="0" t="n">
        <v>10</v>
      </c>
      <c r="D8" s="0" t="s">
        <v>237</v>
      </c>
      <c r="E8" s="0" t="n">
        <v>1</v>
      </c>
      <c r="F8" s="0" t="n">
        <v>1</v>
      </c>
    </row>
    <row r="9" customFormat="false" ht="15" hidden="false" customHeight="false" outlineLevel="0" collapsed="false">
      <c r="A9" s="0" t="s">
        <v>40</v>
      </c>
      <c r="B9" s="0" t="s">
        <v>42</v>
      </c>
      <c r="C9" s="0" t="n">
        <v>11</v>
      </c>
      <c r="D9" s="0" t="s">
        <v>237</v>
      </c>
      <c r="E9" s="0" t="n">
        <v>1</v>
      </c>
      <c r="F9" s="0" t="n">
        <v>1</v>
      </c>
    </row>
    <row r="10" customFormat="false" ht="15" hidden="false" customHeight="false" outlineLevel="0" collapsed="false">
      <c r="A10" s="0" t="s">
        <v>42</v>
      </c>
      <c r="B10" s="0" t="s">
        <v>44</v>
      </c>
      <c r="C10" s="0" t="n">
        <v>12</v>
      </c>
      <c r="D10" s="0" t="s">
        <v>237</v>
      </c>
      <c r="E10" s="0" t="n">
        <v>1</v>
      </c>
      <c r="F10" s="0" t="n">
        <v>1</v>
      </c>
    </row>
    <row r="11" customFormat="false" ht="15" hidden="false" customHeight="false" outlineLevel="0" collapsed="false">
      <c r="A11" s="0" t="s">
        <v>44</v>
      </c>
      <c r="B11" s="0" t="s">
        <v>46</v>
      </c>
      <c r="C11" s="0" t="n">
        <v>13</v>
      </c>
      <c r="D11" s="0" t="s">
        <v>237</v>
      </c>
      <c r="E11" s="0" t="n">
        <v>1</v>
      </c>
      <c r="F11" s="0" t="n">
        <v>1</v>
      </c>
    </row>
    <row r="12" customFormat="false" ht="15" hidden="false" customHeight="false" outlineLevel="0" collapsed="false">
      <c r="A12" s="0" t="s">
        <v>46</v>
      </c>
      <c r="B12" s="0" t="s">
        <v>48</v>
      </c>
      <c r="C12" s="0" t="n">
        <v>14</v>
      </c>
      <c r="D12" s="0" t="s">
        <v>237</v>
      </c>
      <c r="E12" s="0" t="n">
        <v>85</v>
      </c>
      <c r="F12" s="0" t="n">
        <v>1</v>
      </c>
    </row>
    <row r="13" customFormat="false" ht="15" hidden="false" customHeight="false" outlineLevel="0" collapsed="false">
      <c r="A13" s="0" t="s">
        <v>48</v>
      </c>
      <c r="B13" s="0" t="s">
        <v>50</v>
      </c>
      <c r="C13" s="0" t="n">
        <v>15</v>
      </c>
      <c r="D13" s="0" t="s">
        <v>237</v>
      </c>
      <c r="E13" s="0" t="n">
        <v>83</v>
      </c>
      <c r="F13" s="0" t="n">
        <v>1</v>
      </c>
    </row>
    <row r="14" customFormat="false" ht="15" hidden="false" customHeight="false" outlineLevel="0" collapsed="false">
      <c r="A14" s="0" t="s">
        <v>50</v>
      </c>
      <c r="B14" s="0" t="s">
        <v>52</v>
      </c>
      <c r="C14" s="0" t="n">
        <v>16</v>
      </c>
      <c r="D14" s="0" t="s">
        <v>237</v>
      </c>
      <c r="E14" s="0" t="n">
        <v>1</v>
      </c>
      <c r="F14" s="0" t="n">
        <v>1</v>
      </c>
    </row>
    <row r="15" customFormat="false" ht="15" hidden="false" customHeight="false" outlineLevel="0" collapsed="false">
      <c r="A15" s="0" t="s">
        <v>52</v>
      </c>
      <c r="B15" s="0" t="s">
        <v>54</v>
      </c>
      <c r="C15" s="0" t="n">
        <v>10</v>
      </c>
      <c r="D15" s="0" t="s">
        <v>237</v>
      </c>
      <c r="E15" s="0" t="n">
        <v>1</v>
      </c>
      <c r="F15" s="0" t="n">
        <v>1</v>
      </c>
    </row>
    <row r="16" customFormat="false" ht="15" hidden="false" customHeight="false" outlineLevel="0" collapsed="false">
      <c r="A16" s="0" t="s">
        <v>54</v>
      </c>
      <c r="B16" s="0" t="s">
        <v>56</v>
      </c>
      <c r="C16" s="0" t="n">
        <v>11</v>
      </c>
      <c r="D16" s="0" t="s">
        <v>237</v>
      </c>
      <c r="E16" s="0" t="n">
        <v>1</v>
      </c>
      <c r="F16" s="0" t="n">
        <v>1</v>
      </c>
    </row>
    <row r="17" customFormat="false" ht="15" hidden="false" customHeight="false" outlineLevel="0" collapsed="false">
      <c r="A17" s="0" t="s">
        <v>56</v>
      </c>
      <c r="B17" s="0" t="s">
        <v>58</v>
      </c>
      <c r="C17" s="0" t="n">
        <v>12</v>
      </c>
      <c r="D17" s="0" t="s">
        <v>237</v>
      </c>
      <c r="E17" s="0" t="n">
        <v>1</v>
      </c>
      <c r="F17" s="0" t="n">
        <v>1</v>
      </c>
    </row>
    <row r="18" customFormat="false" ht="15" hidden="false" customHeight="false" outlineLevel="0" collapsed="false">
      <c r="A18" s="0" t="s">
        <v>58</v>
      </c>
      <c r="B18" s="0" t="s">
        <v>60</v>
      </c>
      <c r="C18" s="0" t="n">
        <v>13</v>
      </c>
      <c r="D18" s="0" t="s">
        <v>237</v>
      </c>
      <c r="E18" s="0" t="n">
        <v>1</v>
      </c>
      <c r="F18" s="0" t="n">
        <v>1</v>
      </c>
    </row>
    <row r="19" customFormat="false" ht="15" hidden="false" customHeight="false" outlineLevel="0" collapsed="false">
      <c r="A19" s="0" t="s">
        <v>60</v>
      </c>
      <c r="B19" s="0" t="s">
        <v>62</v>
      </c>
      <c r="C19" s="0" t="n">
        <v>14</v>
      </c>
      <c r="D19" s="0" t="s">
        <v>237</v>
      </c>
      <c r="E19" s="0" t="n">
        <v>1</v>
      </c>
      <c r="F19" s="0" t="n">
        <v>1</v>
      </c>
    </row>
    <row r="20" customFormat="false" ht="15" hidden="false" customHeight="false" outlineLevel="0" collapsed="false">
      <c r="A20" s="0" t="s">
        <v>62</v>
      </c>
      <c r="B20" s="0" t="s">
        <v>64</v>
      </c>
      <c r="C20" s="0" t="n">
        <v>15</v>
      </c>
      <c r="D20" s="0" t="s">
        <v>237</v>
      </c>
      <c r="E20" s="0" t="n">
        <v>1</v>
      </c>
      <c r="F20" s="0" t="n">
        <v>1</v>
      </c>
    </row>
    <row r="21" customFormat="false" ht="15" hidden="false" customHeight="false" outlineLevel="0" collapsed="false">
      <c r="A21" s="0" t="s">
        <v>64</v>
      </c>
      <c r="B21" s="0" t="s">
        <v>66</v>
      </c>
      <c r="C21" s="0" t="n">
        <v>16</v>
      </c>
      <c r="D21" s="0" t="s">
        <v>237</v>
      </c>
      <c r="E21" s="0" t="n">
        <v>1</v>
      </c>
      <c r="F21" s="0" t="n">
        <v>1</v>
      </c>
    </row>
    <row r="22" customFormat="false" ht="15" hidden="false" customHeight="false" outlineLevel="0" collapsed="false">
      <c r="A22" s="0" t="s">
        <v>66</v>
      </c>
      <c r="B22" s="0" t="s">
        <v>68</v>
      </c>
      <c r="C22" s="0" t="n">
        <v>10</v>
      </c>
      <c r="D22" s="0" t="s">
        <v>237</v>
      </c>
      <c r="E22" s="0" t="n">
        <v>1</v>
      </c>
      <c r="F22" s="0" t="n">
        <v>1</v>
      </c>
    </row>
    <row r="23" customFormat="false" ht="15" hidden="false" customHeight="false" outlineLevel="0" collapsed="false">
      <c r="A23" s="0" t="s">
        <v>68</v>
      </c>
      <c r="B23" s="0" t="s">
        <v>70</v>
      </c>
      <c r="C23" s="0" t="n">
        <v>11</v>
      </c>
      <c r="D23" s="0" t="s">
        <v>237</v>
      </c>
      <c r="E23" s="0" t="n">
        <v>1</v>
      </c>
      <c r="F23" s="0" t="n">
        <v>1</v>
      </c>
    </row>
    <row r="24" customFormat="false" ht="15" hidden="false" customHeight="false" outlineLevel="0" collapsed="false">
      <c r="A24" s="0" t="s">
        <v>70</v>
      </c>
      <c r="B24" s="0" t="s">
        <v>72</v>
      </c>
      <c r="C24" s="0" t="n">
        <v>12</v>
      </c>
      <c r="D24" s="0" t="s">
        <v>237</v>
      </c>
      <c r="E24" s="0" t="n">
        <v>1</v>
      </c>
      <c r="F24" s="0" t="n">
        <v>1</v>
      </c>
    </row>
    <row r="25" customFormat="false" ht="15" hidden="false" customHeight="false" outlineLevel="0" collapsed="false">
      <c r="A25" s="0" t="s">
        <v>72</v>
      </c>
      <c r="B25" s="0" t="s">
        <v>74</v>
      </c>
      <c r="C25" s="0" t="n">
        <v>13</v>
      </c>
      <c r="D25" s="0" t="s">
        <v>237</v>
      </c>
      <c r="E25" s="0" t="n">
        <v>22</v>
      </c>
      <c r="F25" s="0" t="n">
        <v>1</v>
      </c>
    </row>
    <row r="26" customFormat="false" ht="15" hidden="false" customHeight="false" outlineLevel="0" collapsed="false">
      <c r="A26" s="0" t="s">
        <v>74</v>
      </c>
      <c r="B26" s="0" t="s">
        <v>76</v>
      </c>
      <c r="C26" s="0" t="n">
        <v>14</v>
      </c>
      <c r="D26" s="0" t="s">
        <v>237</v>
      </c>
      <c r="E26" s="0" t="n">
        <v>24</v>
      </c>
      <c r="F26" s="0" t="n">
        <v>1</v>
      </c>
    </row>
    <row r="27" customFormat="false" ht="15" hidden="false" customHeight="false" outlineLevel="0" collapsed="false">
      <c r="A27" s="0" t="s">
        <v>76</v>
      </c>
      <c r="B27" s="0" t="s">
        <v>78</v>
      </c>
      <c r="C27" s="0" t="n">
        <v>15</v>
      </c>
      <c r="D27" s="0" t="s">
        <v>237</v>
      </c>
      <c r="E27" s="0" t="n">
        <v>1</v>
      </c>
      <c r="F27" s="0" t="n">
        <v>1</v>
      </c>
    </row>
    <row r="28" customFormat="false" ht="15" hidden="false" customHeight="false" outlineLevel="0" collapsed="false">
      <c r="A28" s="0" t="s">
        <v>78</v>
      </c>
      <c r="B28" s="0" t="s">
        <v>80</v>
      </c>
      <c r="C28" s="0" t="n">
        <v>16</v>
      </c>
      <c r="D28" s="0" t="s">
        <v>237</v>
      </c>
      <c r="E28" s="0" t="n">
        <v>1</v>
      </c>
      <c r="F28" s="0" t="n">
        <v>1</v>
      </c>
    </row>
    <row r="29" customFormat="false" ht="15" hidden="false" customHeight="false" outlineLevel="0" collapsed="false">
      <c r="A29" s="0" t="s">
        <v>80</v>
      </c>
      <c r="B29" s="0" t="s">
        <v>82</v>
      </c>
      <c r="C29" s="0" t="n">
        <v>10</v>
      </c>
      <c r="D29" s="0" t="s">
        <v>237</v>
      </c>
      <c r="E29" s="0" t="n">
        <v>1</v>
      </c>
      <c r="F29" s="0" t="n">
        <v>1</v>
      </c>
    </row>
    <row r="30" customFormat="false" ht="15" hidden="false" customHeight="false" outlineLevel="0" collapsed="false">
      <c r="A30" s="0" t="s">
        <v>82</v>
      </c>
      <c r="B30" s="0" t="s">
        <v>84</v>
      </c>
      <c r="C30" s="0" t="n">
        <v>11</v>
      </c>
      <c r="D30" s="0" t="s">
        <v>237</v>
      </c>
      <c r="E30" s="0" t="n">
        <v>1</v>
      </c>
      <c r="F30" s="0" t="n">
        <v>1</v>
      </c>
    </row>
    <row r="31" customFormat="false" ht="15" hidden="false" customHeight="false" outlineLevel="0" collapsed="false">
      <c r="A31" s="0" t="s">
        <v>84</v>
      </c>
      <c r="B31" s="0" t="s">
        <v>86</v>
      </c>
      <c r="C31" s="0" t="n">
        <v>12</v>
      </c>
      <c r="D31" s="0" t="s">
        <v>237</v>
      </c>
      <c r="E31" s="0" t="n">
        <v>1</v>
      </c>
      <c r="F31" s="0" t="n">
        <v>1</v>
      </c>
    </row>
    <row r="32" customFormat="false" ht="15" hidden="false" customHeight="false" outlineLevel="0" collapsed="false">
      <c r="A32" s="0" t="s">
        <v>26</v>
      </c>
      <c r="B32" s="0" t="s">
        <v>30</v>
      </c>
      <c r="C32" s="0" t="n">
        <v>5</v>
      </c>
      <c r="D32" s="0" t="s">
        <v>237</v>
      </c>
      <c r="E32" s="0" t="n">
        <v>50</v>
      </c>
      <c r="F32" s="0" t="n">
        <v>2</v>
      </c>
    </row>
    <row r="33" customFormat="false" ht="15" hidden="false" customHeight="false" outlineLevel="0" collapsed="false">
      <c r="A33" s="0" t="s">
        <v>30</v>
      </c>
      <c r="B33" s="0" t="s">
        <v>34</v>
      </c>
      <c r="C33" s="0" t="n">
        <v>7</v>
      </c>
      <c r="D33" s="0" t="s">
        <v>237</v>
      </c>
      <c r="E33" s="0" t="n">
        <v>35</v>
      </c>
      <c r="F33" s="0" t="n">
        <v>2</v>
      </c>
    </row>
    <row r="34" customFormat="false" ht="15" hidden="false" customHeight="false" outlineLevel="0" collapsed="false">
      <c r="A34" s="0" t="s">
        <v>34</v>
      </c>
      <c r="B34" s="0" t="s">
        <v>38</v>
      </c>
      <c r="C34" s="0" t="n">
        <v>5</v>
      </c>
      <c r="D34" s="0" t="s">
        <v>237</v>
      </c>
      <c r="E34" s="0" t="n">
        <v>2</v>
      </c>
      <c r="F34" s="0" t="n">
        <v>2</v>
      </c>
    </row>
    <row r="35" customFormat="false" ht="15" hidden="false" customHeight="false" outlineLevel="0" collapsed="false">
      <c r="A35" s="0" t="s">
        <v>38</v>
      </c>
      <c r="B35" s="0" t="s">
        <v>42</v>
      </c>
      <c r="C35" s="0" t="n">
        <v>7</v>
      </c>
      <c r="D35" s="0" t="s">
        <v>237</v>
      </c>
      <c r="E35" s="0" t="n">
        <v>2</v>
      </c>
      <c r="F35" s="0" t="n">
        <v>2</v>
      </c>
    </row>
    <row r="36" customFormat="false" ht="15" hidden="false" customHeight="false" outlineLevel="0" collapsed="false">
      <c r="A36" s="0" t="s">
        <v>42</v>
      </c>
      <c r="B36" s="0" t="s">
        <v>46</v>
      </c>
      <c r="C36" s="0" t="n">
        <v>5</v>
      </c>
      <c r="D36" s="0" t="s">
        <v>237</v>
      </c>
      <c r="E36" s="0" t="n">
        <v>2</v>
      </c>
      <c r="F36" s="0" t="n">
        <v>2</v>
      </c>
    </row>
    <row r="37" customFormat="false" ht="15" hidden="false" customHeight="false" outlineLevel="0" collapsed="false">
      <c r="A37" s="0" t="s">
        <v>46</v>
      </c>
      <c r="B37" s="0" t="s">
        <v>50</v>
      </c>
      <c r="C37" s="0" t="n">
        <v>7</v>
      </c>
      <c r="D37" s="0" t="s">
        <v>237</v>
      </c>
      <c r="E37" s="0" t="n">
        <v>2</v>
      </c>
      <c r="F37" s="0" t="n">
        <v>2</v>
      </c>
    </row>
    <row r="38" customFormat="false" ht="15" hidden="false" customHeight="false" outlineLevel="0" collapsed="false">
      <c r="A38" s="0" t="s">
        <v>50</v>
      </c>
      <c r="B38" s="0" t="s">
        <v>54</v>
      </c>
      <c r="C38" s="0" t="n">
        <v>5</v>
      </c>
      <c r="D38" s="0" t="s">
        <v>237</v>
      </c>
      <c r="E38" s="0" t="n">
        <v>2</v>
      </c>
      <c r="F38" s="0" t="n">
        <v>2</v>
      </c>
    </row>
    <row r="39" customFormat="false" ht="15" hidden="false" customHeight="false" outlineLevel="0" collapsed="false">
      <c r="A39" s="0" t="s">
        <v>54</v>
      </c>
      <c r="B39" s="0" t="s">
        <v>58</v>
      </c>
      <c r="C39" s="0" t="n">
        <v>7</v>
      </c>
      <c r="D39" s="0" t="s">
        <v>237</v>
      </c>
      <c r="E39" s="0" t="n">
        <v>2</v>
      </c>
      <c r="F39" s="0" t="n">
        <v>2</v>
      </c>
    </row>
    <row r="40" customFormat="false" ht="15" hidden="false" customHeight="false" outlineLevel="0" collapsed="false">
      <c r="A40" s="0" t="s">
        <v>58</v>
      </c>
      <c r="B40" s="0" t="s">
        <v>62</v>
      </c>
      <c r="C40" s="0" t="n">
        <v>5</v>
      </c>
      <c r="D40" s="0" t="s">
        <v>237</v>
      </c>
      <c r="E40" s="0" t="n">
        <v>2</v>
      </c>
      <c r="F40" s="0" t="n">
        <v>2</v>
      </c>
    </row>
    <row r="41" customFormat="false" ht="15" hidden="false" customHeight="false" outlineLevel="0" collapsed="false">
      <c r="A41" s="0" t="s">
        <v>62</v>
      </c>
      <c r="B41" s="0" t="s">
        <v>66</v>
      </c>
      <c r="C41" s="0" t="n">
        <v>7</v>
      </c>
      <c r="D41" s="0" t="s">
        <v>237</v>
      </c>
      <c r="E41" s="0" t="n">
        <v>2</v>
      </c>
      <c r="F41" s="0"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4</v>
      </c>
      <c r="B1" s="0" t="s">
        <v>336</v>
      </c>
      <c r="C1" s="0" t="s">
        <v>337</v>
      </c>
    </row>
    <row r="2" customFormat="false" ht="15" hidden="false" customHeight="false" outlineLevel="0" collapsed="false">
      <c r="A2" s="0" t="s">
        <v>26</v>
      </c>
      <c r="B2" s="0" t="s">
        <v>244</v>
      </c>
      <c r="C2" s="0" t="s">
        <v>237</v>
      </c>
    </row>
    <row r="3" customFormat="false" ht="15" hidden="false" customHeight="false" outlineLevel="0" collapsed="false">
      <c r="A3" s="0" t="s">
        <v>28</v>
      </c>
      <c r="B3" s="0" t="s">
        <v>245</v>
      </c>
      <c r="C3" s="0" t="s">
        <v>237</v>
      </c>
    </row>
    <row r="4" customFormat="false" ht="15" hidden="false" customHeight="false" outlineLevel="0" collapsed="false">
      <c r="A4" s="0" t="s">
        <v>30</v>
      </c>
      <c r="B4" s="0" t="s">
        <v>246</v>
      </c>
      <c r="C4" s="0" t="s">
        <v>237</v>
      </c>
    </row>
    <row r="5" customFormat="false" ht="15" hidden="false" customHeight="false" outlineLevel="0" collapsed="false">
      <c r="A5" s="0" t="s">
        <v>32</v>
      </c>
      <c r="B5" s="0" t="s">
        <v>247</v>
      </c>
      <c r="C5" s="0" t="s">
        <v>237</v>
      </c>
    </row>
    <row r="6" customFormat="false" ht="15" hidden="false" customHeight="false" outlineLevel="0" collapsed="false">
      <c r="A6" s="0" t="s">
        <v>34</v>
      </c>
      <c r="B6" s="0" t="s">
        <v>248</v>
      </c>
      <c r="C6" s="0" t="s">
        <v>237</v>
      </c>
    </row>
    <row r="7" customFormat="false" ht="15" hidden="false" customHeight="false" outlineLevel="0" collapsed="false">
      <c r="A7" s="0" t="s">
        <v>36</v>
      </c>
      <c r="B7" s="0" t="s">
        <v>249</v>
      </c>
      <c r="C7" s="0" t="s">
        <v>237</v>
      </c>
    </row>
    <row r="8" customFormat="false" ht="15" hidden="false" customHeight="false" outlineLevel="0" collapsed="false">
      <c r="A8" s="0" t="s">
        <v>38</v>
      </c>
      <c r="B8" s="0" t="s">
        <v>250</v>
      </c>
      <c r="C8" s="0" t="s">
        <v>237</v>
      </c>
    </row>
    <row r="9" customFormat="false" ht="15" hidden="false" customHeight="false" outlineLevel="0" collapsed="false">
      <c r="A9" s="0" t="s">
        <v>40</v>
      </c>
      <c r="B9" s="0" t="s">
        <v>251</v>
      </c>
      <c r="C9" s="0" t="s">
        <v>237</v>
      </c>
    </row>
    <row r="10" customFormat="false" ht="15" hidden="false" customHeight="false" outlineLevel="0" collapsed="false">
      <c r="A10" s="0" t="s">
        <v>42</v>
      </c>
      <c r="B10" s="0" t="s">
        <v>252</v>
      </c>
      <c r="C10" s="0" t="s">
        <v>237</v>
      </c>
    </row>
    <row r="11" customFormat="false" ht="15" hidden="false" customHeight="false" outlineLevel="0" collapsed="false">
      <c r="A11" s="0" t="s">
        <v>44</v>
      </c>
      <c r="B11" s="0" t="s">
        <v>253</v>
      </c>
      <c r="C11" s="0" t="s">
        <v>237</v>
      </c>
    </row>
    <row r="12" customFormat="false" ht="15" hidden="false" customHeight="false" outlineLevel="0" collapsed="false">
      <c r="A12" s="0" t="s">
        <v>46</v>
      </c>
      <c r="B12" s="0" t="s">
        <v>254</v>
      </c>
      <c r="C12" s="0" t="s">
        <v>237</v>
      </c>
    </row>
    <row r="13" customFormat="false" ht="15" hidden="false" customHeight="false" outlineLevel="0" collapsed="false">
      <c r="A13" s="0" t="s">
        <v>48</v>
      </c>
      <c r="B13" s="0" t="s">
        <v>256</v>
      </c>
      <c r="C13" s="0" t="s">
        <v>237</v>
      </c>
    </row>
    <row r="14" customFormat="false" ht="15" hidden="false" customHeight="false" outlineLevel="0" collapsed="false">
      <c r="A14" s="0" t="s">
        <v>50</v>
      </c>
      <c r="B14" s="0" t="s">
        <v>257</v>
      </c>
      <c r="C14" s="0" t="s">
        <v>237</v>
      </c>
    </row>
    <row r="15" customFormat="false" ht="15" hidden="false" customHeight="false" outlineLevel="0" collapsed="false">
      <c r="A15" s="0" t="s">
        <v>52</v>
      </c>
      <c r="B15" s="0" t="s">
        <v>259</v>
      </c>
      <c r="C15" s="0" t="s">
        <v>237</v>
      </c>
    </row>
    <row r="16" customFormat="false" ht="15" hidden="false" customHeight="false" outlineLevel="0" collapsed="false">
      <c r="A16" s="0" t="s">
        <v>54</v>
      </c>
      <c r="B16" s="0" t="s">
        <v>244</v>
      </c>
      <c r="C16" s="0" t="s">
        <v>237</v>
      </c>
    </row>
    <row r="17" customFormat="false" ht="15" hidden="false" customHeight="false" outlineLevel="0" collapsed="false">
      <c r="A17" s="0" t="s">
        <v>56</v>
      </c>
      <c r="B17" s="0" t="s">
        <v>244</v>
      </c>
      <c r="C17" s="0" t="s">
        <v>237</v>
      </c>
    </row>
    <row r="18" customFormat="false" ht="15" hidden="false" customHeight="false" outlineLevel="0" collapsed="false">
      <c r="A18" s="0" t="s">
        <v>58</v>
      </c>
      <c r="B18" s="0" t="s">
        <v>244</v>
      </c>
      <c r="C18" s="0" t="s">
        <v>237</v>
      </c>
    </row>
    <row r="19" customFormat="false" ht="15" hidden="false" customHeight="false" outlineLevel="0" collapsed="false">
      <c r="A19" s="0" t="s">
        <v>60</v>
      </c>
      <c r="B19" s="0" t="s">
        <v>244</v>
      </c>
      <c r="C19" s="0" t="s">
        <v>237</v>
      </c>
    </row>
    <row r="20" customFormat="false" ht="15" hidden="false" customHeight="false" outlineLevel="0" collapsed="false">
      <c r="A20" s="0" t="s">
        <v>62</v>
      </c>
      <c r="B20" s="0" t="s">
        <v>244</v>
      </c>
      <c r="C20" s="0" t="s">
        <v>237</v>
      </c>
    </row>
    <row r="21" customFormat="false" ht="15" hidden="false" customHeight="false" outlineLevel="0" collapsed="false">
      <c r="A21" s="0" t="s">
        <v>64</v>
      </c>
      <c r="B21" s="0" t="s">
        <v>244</v>
      </c>
      <c r="C21" s="0" t="s">
        <v>237</v>
      </c>
    </row>
    <row r="22" customFormat="false" ht="15" hidden="false" customHeight="false" outlineLevel="0" collapsed="false">
      <c r="A22" s="0" t="s">
        <v>66</v>
      </c>
      <c r="B22" s="0" t="s">
        <v>244</v>
      </c>
      <c r="C22" s="0" t="s">
        <v>237</v>
      </c>
    </row>
    <row r="23" customFormat="false" ht="15" hidden="false" customHeight="false" outlineLevel="0" collapsed="false">
      <c r="A23" s="0" t="s">
        <v>68</v>
      </c>
      <c r="B23" s="0" t="s">
        <v>244</v>
      </c>
      <c r="C23" s="0" t="s">
        <v>237</v>
      </c>
    </row>
    <row r="24" customFormat="false" ht="15" hidden="false" customHeight="false" outlineLevel="0" collapsed="false">
      <c r="A24" s="0" t="s">
        <v>70</v>
      </c>
      <c r="B24" s="0" t="s">
        <v>244</v>
      </c>
      <c r="C24" s="0" t="s">
        <v>237</v>
      </c>
    </row>
    <row r="25" customFormat="false" ht="15" hidden="false" customHeight="false" outlineLevel="0" collapsed="false">
      <c r="A25" s="0" t="s">
        <v>72</v>
      </c>
      <c r="B25" s="0" t="s">
        <v>244</v>
      </c>
      <c r="C25" s="0" t="s">
        <v>237</v>
      </c>
    </row>
    <row r="26" customFormat="false" ht="15" hidden="false" customHeight="false" outlineLevel="0" collapsed="false">
      <c r="A26" s="0" t="s">
        <v>74</v>
      </c>
      <c r="B26" s="0" t="s">
        <v>244</v>
      </c>
      <c r="C26" s="0" t="s">
        <v>237</v>
      </c>
    </row>
    <row r="27" customFormat="false" ht="15" hidden="false" customHeight="false" outlineLevel="0" collapsed="false">
      <c r="A27" s="0" t="s">
        <v>76</v>
      </c>
      <c r="B27" s="0" t="s">
        <v>244</v>
      </c>
      <c r="C27" s="0" t="s">
        <v>237</v>
      </c>
    </row>
    <row r="28" customFormat="false" ht="15" hidden="false" customHeight="false" outlineLevel="0" collapsed="false">
      <c r="A28" s="0" t="s">
        <v>78</v>
      </c>
      <c r="B28" s="0" t="s">
        <v>244</v>
      </c>
      <c r="C28" s="0" t="s">
        <v>237</v>
      </c>
    </row>
    <row r="29" customFormat="false" ht="15" hidden="false" customHeight="false" outlineLevel="0" collapsed="false">
      <c r="A29" s="0" t="s">
        <v>80</v>
      </c>
      <c r="B29" s="0" t="s">
        <v>244</v>
      </c>
      <c r="C29" s="0" t="s">
        <v>237</v>
      </c>
    </row>
    <row r="30" customFormat="false" ht="15" hidden="false" customHeight="false" outlineLevel="0" collapsed="false">
      <c r="A30" s="0" t="s">
        <v>82</v>
      </c>
      <c r="B30" s="0" t="s">
        <v>244</v>
      </c>
      <c r="C30" s="0" t="s">
        <v>237</v>
      </c>
    </row>
    <row r="31" customFormat="false" ht="15" hidden="false" customHeight="false" outlineLevel="0" collapsed="false">
      <c r="A31" s="0" t="s">
        <v>84</v>
      </c>
      <c r="B31" s="0" t="s">
        <v>244</v>
      </c>
      <c r="C31" s="0" t="s">
        <v>237</v>
      </c>
    </row>
    <row r="32" customFormat="false" ht="15" hidden="false" customHeight="false" outlineLevel="0" collapsed="false">
      <c r="A32" s="0" t="s">
        <v>86</v>
      </c>
      <c r="B32" s="0" t="s">
        <v>244</v>
      </c>
      <c r="C32" s="0" t="s">
        <v>237</v>
      </c>
    </row>
    <row r="33" customFormat="false" ht="15" hidden="false" customHeight="false" outlineLevel="0" collapsed="false">
      <c r="A33" s="0" t="s">
        <v>88</v>
      </c>
      <c r="B33" s="0" t="s">
        <v>244</v>
      </c>
      <c r="C33" s="0" t="s">
        <v>237</v>
      </c>
    </row>
    <row r="34" customFormat="false" ht="15" hidden="false" customHeight="false" outlineLevel="0" collapsed="false">
      <c r="A34" s="0" t="s">
        <v>90</v>
      </c>
      <c r="B34" s="0" t="s">
        <v>244</v>
      </c>
      <c r="C34" s="0" t="s">
        <v>237</v>
      </c>
    </row>
    <row r="35" customFormat="false" ht="15" hidden="false" customHeight="false" outlineLevel="0" collapsed="false">
      <c r="A35" s="0" t="s">
        <v>92</v>
      </c>
      <c r="B35" s="0" t="s">
        <v>244</v>
      </c>
      <c r="C35" s="0" t="s">
        <v>237</v>
      </c>
    </row>
    <row r="36" customFormat="false" ht="15" hidden="false" customHeight="false" outlineLevel="0" collapsed="false">
      <c r="A36" s="0" t="s">
        <v>94</v>
      </c>
      <c r="B36" s="0" t="s">
        <v>244</v>
      </c>
      <c r="C36" s="0" t="s">
        <v>237</v>
      </c>
    </row>
    <row r="37" customFormat="false" ht="15" hidden="false" customHeight="false" outlineLevel="0" collapsed="false">
      <c r="A37" s="0" t="s">
        <v>96</v>
      </c>
      <c r="B37" s="0" t="s">
        <v>244</v>
      </c>
      <c r="C37" s="0" t="s">
        <v>237</v>
      </c>
    </row>
    <row r="38" customFormat="false" ht="15" hidden="false" customHeight="false" outlineLevel="0" collapsed="false">
      <c r="A38" s="0" t="s">
        <v>98</v>
      </c>
      <c r="B38" s="0" t="s">
        <v>244</v>
      </c>
      <c r="C38" s="0" t="s">
        <v>237</v>
      </c>
    </row>
    <row r="39" customFormat="false" ht="15" hidden="false" customHeight="false" outlineLevel="0" collapsed="false">
      <c r="A39" s="0" t="s">
        <v>100</v>
      </c>
      <c r="B39" s="0" t="s">
        <v>244</v>
      </c>
      <c r="C39" s="0" t="s">
        <v>237</v>
      </c>
    </row>
    <row r="40" customFormat="false" ht="15" hidden="false" customHeight="false" outlineLevel="0" collapsed="false">
      <c r="A40" s="0" t="s">
        <v>102</v>
      </c>
      <c r="B40" s="0" t="s">
        <v>244</v>
      </c>
      <c r="C40" s="0" t="s">
        <v>237</v>
      </c>
    </row>
    <row r="41" customFormat="false" ht="15" hidden="false" customHeight="false" outlineLevel="0" collapsed="false">
      <c r="A41" s="0" t="s">
        <v>104</v>
      </c>
      <c r="B41" s="0" t="s">
        <v>244</v>
      </c>
      <c r="C41" s="0" t="s">
        <v>237</v>
      </c>
    </row>
    <row r="42" customFormat="false" ht="15" hidden="false" customHeight="false" outlineLevel="0" collapsed="false">
      <c r="A42" s="0" t="s">
        <v>106</v>
      </c>
      <c r="B42" s="0" t="s">
        <v>244</v>
      </c>
      <c r="C42" s="0" t="s">
        <v>237</v>
      </c>
    </row>
    <row r="43" customFormat="false" ht="15" hidden="false" customHeight="false" outlineLevel="0" collapsed="false">
      <c r="A43" s="0" t="s">
        <v>108</v>
      </c>
      <c r="B43" s="0" t="s">
        <v>244</v>
      </c>
      <c r="C43" s="0" t="s">
        <v>237</v>
      </c>
    </row>
    <row r="44" customFormat="false" ht="15" hidden="false" customHeight="false" outlineLevel="0" collapsed="false">
      <c r="A44" s="0" t="s">
        <v>110</v>
      </c>
      <c r="B44" s="0" t="s">
        <v>244</v>
      </c>
      <c r="C44" s="0" t="s">
        <v>237</v>
      </c>
    </row>
    <row r="45" customFormat="false" ht="15" hidden="false" customHeight="false" outlineLevel="0" collapsed="false">
      <c r="A45" s="0" t="s">
        <v>112</v>
      </c>
      <c r="B45" s="0" t="s">
        <v>244</v>
      </c>
      <c r="C45" s="0" t="s">
        <v>237</v>
      </c>
    </row>
    <row r="46" customFormat="false" ht="15" hidden="false" customHeight="false" outlineLevel="0" collapsed="false">
      <c r="A46" s="0" t="s">
        <v>114</v>
      </c>
      <c r="B46" s="0" t="s">
        <v>244</v>
      </c>
      <c r="C46" s="0" t="s">
        <v>237</v>
      </c>
    </row>
    <row r="47" customFormat="false" ht="15" hidden="false" customHeight="false" outlineLevel="0" collapsed="false">
      <c r="A47" s="0" t="s">
        <v>116</v>
      </c>
      <c r="B47" s="0" t="s">
        <v>244</v>
      </c>
      <c r="C47" s="0" t="s">
        <v>237</v>
      </c>
    </row>
    <row r="48" customFormat="false" ht="15" hidden="false" customHeight="false" outlineLevel="0" collapsed="false">
      <c r="A48" s="0" t="s">
        <v>118</v>
      </c>
      <c r="B48" s="0" t="s">
        <v>244</v>
      </c>
      <c r="C48" s="0" t="s">
        <v>237</v>
      </c>
    </row>
    <row r="49" customFormat="false" ht="15" hidden="false" customHeight="false" outlineLevel="0" collapsed="false">
      <c r="A49" s="0" t="s">
        <v>120</v>
      </c>
      <c r="B49" s="0" t="s">
        <v>244</v>
      </c>
      <c r="C49" s="0" t="s">
        <v>237</v>
      </c>
    </row>
    <row r="50" customFormat="false" ht="15" hidden="false" customHeight="false" outlineLevel="0" collapsed="false">
      <c r="A50" s="0" t="s">
        <v>122</v>
      </c>
      <c r="B50" s="0" t="s">
        <v>244</v>
      </c>
      <c r="C50" s="0" t="s">
        <v>237</v>
      </c>
    </row>
    <row r="51" customFormat="false" ht="15" hidden="false" customHeight="false" outlineLevel="0" collapsed="false">
      <c r="A51" s="0" t="s">
        <v>124</v>
      </c>
      <c r="B51" s="0" t="s">
        <v>244</v>
      </c>
      <c r="C51" s="0" t="s">
        <v>237</v>
      </c>
    </row>
    <row r="52" customFormat="false" ht="15" hidden="false" customHeight="false" outlineLevel="0" collapsed="false">
      <c r="A52" s="0" t="s">
        <v>126</v>
      </c>
      <c r="B52" s="0" t="s">
        <v>244</v>
      </c>
      <c r="C52" s="0" t="s">
        <v>237</v>
      </c>
    </row>
    <row r="53" customFormat="false" ht="15" hidden="false" customHeight="false" outlineLevel="0" collapsed="false">
      <c r="A53" s="0" t="s">
        <v>128</v>
      </c>
      <c r="B53" s="0" t="s">
        <v>244</v>
      </c>
      <c r="C53" s="0" t="s">
        <v>237</v>
      </c>
    </row>
    <row r="54" customFormat="false" ht="15" hidden="false" customHeight="false" outlineLevel="0" collapsed="false">
      <c r="A54" s="0" t="s">
        <v>130</v>
      </c>
      <c r="B54" s="0" t="s">
        <v>244</v>
      </c>
      <c r="C54" s="0" t="s">
        <v>237</v>
      </c>
    </row>
    <row r="55" customFormat="false" ht="15" hidden="false" customHeight="false" outlineLevel="0" collapsed="false">
      <c r="A55" s="0" t="s">
        <v>132</v>
      </c>
      <c r="B55" s="0" t="s">
        <v>244</v>
      </c>
      <c r="C55" s="0" t="s">
        <v>237</v>
      </c>
    </row>
    <row r="56" customFormat="false" ht="15" hidden="false" customHeight="false" outlineLevel="0" collapsed="false">
      <c r="A56" s="0" t="s">
        <v>134</v>
      </c>
      <c r="B56" s="0" t="s">
        <v>244</v>
      </c>
      <c r="C56" s="0" t="s">
        <v>237</v>
      </c>
    </row>
    <row r="57" customFormat="false" ht="15" hidden="false" customHeight="false" outlineLevel="0" collapsed="false">
      <c r="A57" s="0" t="s">
        <v>136</v>
      </c>
      <c r="B57" s="0" t="s">
        <v>244</v>
      </c>
      <c r="C57" s="0" t="s">
        <v>237</v>
      </c>
    </row>
    <row r="58" customFormat="false" ht="15" hidden="false" customHeight="false" outlineLevel="0" collapsed="false">
      <c r="A58" s="0" t="s">
        <v>138</v>
      </c>
      <c r="B58" s="0" t="s">
        <v>244</v>
      </c>
      <c r="C58" s="0" t="s">
        <v>237</v>
      </c>
    </row>
    <row r="59" customFormat="false" ht="15" hidden="false" customHeight="false" outlineLevel="0" collapsed="false">
      <c r="A59" s="0" t="s">
        <v>140</v>
      </c>
      <c r="B59" s="0" t="s">
        <v>244</v>
      </c>
      <c r="C59" s="0" t="s">
        <v>237</v>
      </c>
    </row>
    <row r="60" customFormat="false" ht="15" hidden="false" customHeight="false" outlineLevel="0" collapsed="false">
      <c r="A60" s="0" t="s">
        <v>142</v>
      </c>
      <c r="B60" s="0" t="s">
        <v>244</v>
      </c>
      <c r="C60" s="0" t="s">
        <v>237</v>
      </c>
    </row>
    <row r="61" customFormat="false" ht="15" hidden="false" customHeight="false" outlineLevel="0" collapsed="false">
      <c r="A61" s="0" t="s">
        <v>144</v>
      </c>
      <c r="B61" s="0" t="s">
        <v>244</v>
      </c>
      <c r="C61" s="0" t="s">
        <v>237</v>
      </c>
    </row>
    <row r="62" customFormat="false" ht="15" hidden="false" customHeight="false" outlineLevel="0" collapsed="false">
      <c r="A62" s="0" t="s">
        <v>146</v>
      </c>
      <c r="B62" s="0" t="s">
        <v>244</v>
      </c>
      <c r="C62" s="0" t="s">
        <v>237</v>
      </c>
    </row>
    <row r="63" customFormat="false" ht="15" hidden="false" customHeight="false" outlineLevel="0" collapsed="false">
      <c r="A63" s="0" t="s">
        <v>148</v>
      </c>
      <c r="B63" s="0" t="s">
        <v>244</v>
      </c>
      <c r="C63" s="0" t="s">
        <v>237</v>
      </c>
    </row>
    <row r="64" customFormat="false" ht="15" hidden="false" customHeight="false" outlineLevel="0" collapsed="false">
      <c r="A64" s="0" t="s">
        <v>150</v>
      </c>
      <c r="B64" s="0" t="s">
        <v>244</v>
      </c>
      <c r="C64" s="0" t="s">
        <v>237</v>
      </c>
    </row>
    <row r="65" customFormat="false" ht="15" hidden="false" customHeight="false" outlineLevel="0" collapsed="false">
      <c r="A65" s="0" t="s">
        <v>152</v>
      </c>
      <c r="B65" s="0" t="s">
        <v>244</v>
      </c>
      <c r="C65" s="0" t="s">
        <v>237</v>
      </c>
    </row>
    <row r="66" customFormat="false" ht="15" hidden="false" customHeight="false" outlineLevel="0" collapsed="false">
      <c r="A66" s="0" t="s">
        <v>154</v>
      </c>
      <c r="B66" s="0" t="s">
        <v>244</v>
      </c>
      <c r="C66" s="0" t="s">
        <v>237</v>
      </c>
    </row>
    <row r="67" customFormat="false" ht="15" hidden="false" customHeight="false" outlineLevel="0" collapsed="false">
      <c r="A67" s="0" t="s">
        <v>156</v>
      </c>
      <c r="B67" s="0" t="s">
        <v>244</v>
      </c>
      <c r="C67" s="0" t="s">
        <v>237</v>
      </c>
    </row>
    <row r="68" customFormat="false" ht="15" hidden="false" customHeight="false" outlineLevel="0" collapsed="false">
      <c r="A68" s="0" t="s">
        <v>158</v>
      </c>
      <c r="B68" s="0" t="s">
        <v>244</v>
      </c>
      <c r="C68" s="0" t="s">
        <v>237</v>
      </c>
    </row>
    <row r="69" customFormat="false" ht="15" hidden="false" customHeight="false" outlineLevel="0" collapsed="false">
      <c r="A69" s="0" t="s">
        <v>160</v>
      </c>
      <c r="B69" s="0" t="s">
        <v>244</v>
      </c>
      <c r="C69" s="0" t="s">
        <v>237</v>
      </c>
    </row>
    <row r="70" customFormat="false" ht="15" hidden="false" customHeight="false" outlineLevel="0" collapsed="false">
      <c r="A70" s="0" t="s">
        <v>162</v>
      </c>
      <c r="B70" s="0" t="s">
        <v>244</v>
      </c>
      <c r="C70" s="0" t="s">
        <v>237</v>
      </c>
    </row>
    <row r="71" customFormat="false" ht="15" hidden="false" customHeight="false" outlineLevel="0" collapsed="false">
      <c r="A71" s="0" t="s">
        <v>164</v>
      </c>
      <c r="B71" s="0" t="s">
        <v>244</v>
      </c>
      <c r="C71" s="0" t="s">
        <v>237</v>
      </c>
    </row>
    <row r="72" customFormat="false" ht="15" hidden="false" customHeight="false" outlineLevel="0" collapsed="false">
      <c r="A72" s="0" t="s">
        <v>166</v>
      </c>
      <c r="B72" s="0" t="s">
        <v>244</v>
      </c>
      <c r="C72" s="0" t="s">
        <v>237</v>
      </c>
    </row>
    <row r="73" customFormat="false" ht="15" hidden="false" customHeight="false" outlineLevel="0" collapsed="false">
      <c r="A73" s="0" t="s">
        <v>168</v>
      </c>
      <c r="B73" s="0" t="s">
        <v>244</v>
      </c>
      <c r="C73" s="0" t="s">
        <v>237</v>
      </c>
    </row>
    <row r="74" customFormat="false" ht="15" hidden="false" customHeight="false" outlineLevel="0" collapsed="false">
      <c r="A74" s="0" t="s">
        <v>170</v>
      </c>
      <c r="B74" s="0" t="s">
        <v>244</v>
      </c>
      <c r="C74" s="0" t="s">
        <v>237</v>
      </c>
    </row>
    <row r="75" customFormat="false" ht="15" hidden="false" customHeight="false" outlineLevel="0" collapsed="false">
      <c r="A75" s="0" t="s">
        <v>172</v>
      </c>
      <c r="B75" s="0" t="s">
        <v>244</v>
      </c>
      <c r="C75" s="0" t="s">
        <v>237</v>
      </c>
    </row>
    <row r="76" customFormat="false" ht="15" hidden="false" customHeight="false" outlineLevel="0" collapsed="false">
      <c r="A76" s="0" t="s">
        <v>174</v>
      </c>
      <c r="B76" s="0" t="s">
        <v>244</v>
      </c>
      <c r="C76" s="0" t="s">
        <v>237</v>
      </c>
    </row>
    <row r="77" customFormat="false" ht="15" hidden="false" customHeight="false" outlineLevel="0" collapsed="false">
      <c r="A77" s="0" t="s">
        <v>176</v>
      </c>
      <c r="B77" s="0" t="s">
        <v>244</v>
      </c>
      <c r="C77" s="0" t="s">
        <v>237</v>
      </c>
    </row>
    <row r="78" customFormat="false" ht="15" hidden="false" customHeight="false" outlineLevel="0" collapsed="false">
      <c r="A78" s="0" t="s">
        <v>178</v>
      </c>
      <c r="B78" s="0" t="s">
        <v>244</v>
      </c>
      <c r="C78" s="0" t="s">
        <v>237</v>
      </c>
    </row>
    <row r="79" customFormat="false" ht="15" hidden="false" customHeight="false" outlineLevel="0" collapsed="false">
      <c r="A79" s="0" t="s">
        <v>180</v>
      </c>
      <c r="B79" s="0" t="s">
        <v>244</v>
      </c>
      <c r="C79" s="0" t="s">
        <v>237</v>
      </c>
    </row>
    <row r="80" customFormat="false" ht="15" hidden="false" customHeight="false" outlineLevel="0" collapsed="false">
      <c r="A80" s="0" t="s">
        <v>182</v>
      </c>
      <c r="B80" s="0" t="s">
        <v>244</v>
      </c>
      <c r="C80" s="0" t="s">
        <v>237</v>
      </c>
    </row>
    <row r="81" customFormat="false" ht="15" hidden="false" customHeight="false" outlineLevel="0" collapsed="false">
      <c r="A81" s="0" t="s">
        <v>184</v>
      </c>
      <c r="B81" s="0" t="s">
        <v>244</v>
      </c>
      <c r="C81" s="0" t="s">
        <v>237</v>
      </c>
    </row>
    <row r="82" customFormat="false" ht="15" hidden="false" customHeight="false" outlineLevel="0" collapsed="false">
      <c r="A82" s="0" t="s">
        <v>186</v>
      </c>
      <c r="B82" s="0" t="s">
        <v>244</v>
      </c>
      <c r="C82" s="0" t="s">
        <v>237</v>
      </c>
    </row>
    <row r="83" customFormat="false" ht="15" hidden="false" customHeight="false" outlineLevel="0" collapsed="false">
      <c r="A83" s="0" t="s">
        <v>188</v>
      </c>
      <c r="B83" s="0" t="s">
        <v>244</v>
      </c>
      <c r="C83" s="0" t="s">
        <v>237</v>
      </c>
    </row>
    <row r="84" customFormat="false" ht="15" hidden="false" customHeight="false" outlineLevel="0" collapsed="false">
      <c r="A84" s="0" t="s">
        <v>190</v>
      </c>
      <c r="B84" s="0" t="s">
        <v>244</v>
      </c>
      <c r="C84" s="0" t="s">
        <v>237</v>
      </c>
    </row>
    <row r="85" customFormat="false" ht="15" hidden="false" customHeight="false" outlineLevel="0" collapsed="false">
      <c r="A85" s="0" t="s">
        <v>192</v>
      </c>
      <c r="B85" s="0" t="s">
        <v>244</v>
      </c>
      <c r="C85" s="0" t="s">
        <v>237</v>
      </c>
    </row>
    <row r="86" customFormat="false" ht="15" hidden="false" customHeight="false" outlineLevel="0" collapsed="false">
      <c r="A86" s="0" t="s">
        <v>194</v>
      </c>
      <c r="B86" s="0" t="s">
        <v>244</v>
      </c>
      <c r="C86" s="0" t="s">
        <v>237</v>
      </c>
    </row>
    <row r="87" customFormat="false" ht="15" hidden="false" customHeight="false" outlineLevel="0" collapsed="false">
      <c r="A87" s="0" t="s">
        <v>196</v>
      </c>
      <c r="B87" s="0" t="s">
        <v>244</v>
      </c>
      <c r="C87" s="0" t="s">
        <v>237</v>
      </c>
    </row>
    <row r="88" customFormat="false" ht="15" hidden="false" customHeight="false" outlineLevel="0" collapsed="false">
      <c r="A88" s="0" t="s">
        <v>198</v>
      </c>
      <c r="B88" s="0" t="s">
        <v>244</v>
      </c>
      <c r="C88" s="0" t="s">
        <v>237</v>
      </c>
    </row>
    <row r="89" customFormat="false" ht="15" hidden="false" customHeight="false" outlineLevel="0" collapsed="false">
      <c r="A89" s="0" t="s">
        <v>200</v>
      </c>
      <c r="B89" s="0" t="s">
        <v>244</v>
      </c>
      <c r="C89" s="0" t="s">
        <v>237</v>
      </c>
    </row>
    <row r="90" customFormat="false" ht="15" hidden="false" customHeight="false" outlineLevel="0" collapsed="false">
      <c r="A90" s="0" t="s">
        <v>202</v>
      </c>
      <c r="B90" s="0" t="s">
        <v>244</v>
      </c>
      <c r="C90" s="0" t="s">
        <v>237</v>
      </c>
    </row>
    <row r="91" customFormat="false" ht="15" hidden="false" customHeight="false" outlineLevel="0" collapsed="false">
      <c r="A91" s="0" t="s">
        <v>204</v>
      </c>
      <c r="B91" s="0" t="s">
        <v>244</v>
      </c>
      <c r="C91" s="0" t="s">
        <v>237</v>
      </c>
    </row>
    <row r="92" customFormat="false" ht="15" hidden="false" customHeight="false" outlineLevel="0" collapsed="false">
      <c r="A92" s="0" t="s">
        <v>206</v>
      </c>
      <c r="B92" s="0" t="s">
        <v>244</v>
      </c>
      <c r="C92" s="0" t="s">
        <v>237</v>
      </c>
    </row>
    <row r="93" customFormat="false" ht="15" hidden="false" customHeight="false" outlineLevel="0" collapsed="false">
      <c r="A93" s="0" t="s">
        <v>208</v>
      </c>
      <c r="B93" s="0" t="s">
        <v>244</v>
      </c>
      <c r="C93" s="0" t="s">
        <v>237</v>
      </c>
    </row>
    <row r="94" customFormat="false" ht="15" hidden="false" customHeight="false" outlineLevel="0" collapsed="false">
      <c r="A94" s="0" t="s">
        <v>210</v>
      </c>
      <c r="B94" s="0" t="s">
        <v>244</v>
      </c>
      <c r="C94" s="0" t="s">
        <v>237</v>
      </c>
    </row>
    <row r="95" customFormat="false" ht="15" hidden="false" customHeight="false" outlineLevel="0" collapsed="false">
      <c r="A95" s="0" t="s">
        <v>212</v>
      </c>
      <c r="B95" s="0" t="s">
        <v>244</v>
      </c>
      <c r="C95" s="0" t="s">
        <v>237</v>
      </c>
    </row>
    <row r="96" customFormat="false" ht="15" hidden="false" customHeight="false" outlineLevel="0" collapsed="false">
      <c r="A96" s="0" t="s">
        <v>214</v>
      </c>
      <c r="B96" s="0" t="s">
        <v>244</v>
      </c>
      <c r="C96" s="0" t="s">
        <v>237</v>
      </c>
    </row>
    <row r="97" customFormat="false" ht="15" hidden="false" customHeight="false" outlineLevel="0" collapsed="false">
      <c r="A97" s="0" t="s">
        <v>216</v>
      </c>
      <c r="B97" s="0" t="s">
        <v>244</v>
      </c>
      <c r="C97" s="0" t="s">
        <v>237</v>
      </c>
    </row>
    <row r="98" customFormat="false" ht="15" hidden="false" customHeight="false" outlineLevel="0" collapsed="false">
      <c r="A98" s="0" t="s">
        <v>275</v>
      </c>
      <c r="B98" s="0" t="s">
        <v>259</v>
      </c>
      <c r="C98" s="0" t="s">
        <v>241</v>
      </c>
    </row>
    <row r="99" customFormat="false" ht="15" hidden="false" customHeight="false" outlineLevel="0" collapsed="false">
      <c r="A99" s="0" t="s">
        <v>276</v>
      </c>
      <c r="B99" s="0" t="s">
        <v>259</v>
      </c>
      <c r="C99" s="0" t="s">
        <v>241</v>
      </c>
    </row>
    <row r="100" customFormat="false" ht="15" hidden="false" customHeight="false" outlineLevel="0" collapsed="false">
      <c r="A100" s="0" t="s">
        <v>277</v>
      </c>
      <c r="B100" s="0" t="s">
        <v>259</v>
      </c>
      <c r="C100" s="0" t="s">
        <v>241</v>
      </c>
    </row>
    <row r="101" customFormat="false" ht="15" hidden="false" customHeight="false" outlineLevel="0" collapsed="false">
      <c r="A101" s="0" t="s">
        <v>278</v>
      </c>
      <c r="B101" s="0" t="s">
        <v>259</v>
      </c>
      <c r="C101" s="0" t="s">
        <v>241</v>
      </c>
    </row>
    <row r="102" customFormat="false" ht="15" hidden="false" customHeight="false" outlineLevel="0" collapsed="false">
      <c r="A102" s="0" t="s">
        <v>280</v>
      </c>
      <c r="B102" s="0" t="s">
        <v>259</v>
      </c>
      <c r="C102" s="0" t="s">
        <v>241</v>
      </c>
    </row>
    <row r="103" customFormat="false" ht="15" hidden="false" customHeight="false" outlineLevel="0" collapsed="false">
      <c r="A103" s="0" t="s">
        <v>281</v>
      </c>
      <c r="B103" s="0" t="s">
        <v>259</v>
      </c>
      <c r="C103" s="0" t="s">
        <v>241</v>
      </c>
    </row>
    <row r="104" customFormat="false" ht="15" hidden="false" customHeight="false" outlineLevel="0" collapsed="false">
      <c r="A104" s="0" t="s">
        <v>282</v>
      </c>
      <c r="B104" s="0" t="s">
        <v>259</v>
      </c>
      <c r="C104" s="0" t="s">
        <v>241</v>
      </c>
    </row>
    <row r="105" customFormat="false" ht="15" hidden="false" customHeight="false" outlineLevel="0" collapsed="false">
      <c r="A105" s="0" t="s">
        <v>283</v>
      </c>
      <c r="B105" s="0" t="s">
        <v>259</v>
      </c>
      <c r="C105" s="0" t="s">
        <v>241</v>
      </c>
    </row>
    <row r="106" customFormat="false" ht="15" hidden="false" customHeight="false" outlineLevel="0" collapsed="false">
      <c r="A106" s="0" t="s">
        <v>284</v>
      </c>
      <c r="B106" s="0" t="s">
        <v>259</v>
      </c>
      <c r="C106" s="0" t="s">
        <v>241</v>
      </c>
    </row>
    <row r="107" customFormat="false" ht="15" hidden="false" customHeight="false" outlineLevel="0" collapsed="false">
      <c r="A107" s="0" t="s">
        <v>285</v>
      </c>
      <c r="B107" s="0" t="s">
        <v>259</v>
      </c>
      <c r="C107" s="0" t="s">
        <v>241</v>
      </c>
    </row>
    <row r="108" customFormat="false" ht="15" hidden="false" customHeight="false" outlineLevel="0" collapsed="false">
      <c r="A108" s="0" t="s">
        <v>286</v>
      </c>
      <c r="B108" s="0" t="s">
        <v>259</v>
      </c>
      <c r="C108" s="0" t="s">
        <v>241</v>
      </c>
    </row>
    <row r="109" customFormat="false" ht="15" hidden="false" customHeight="false" outlineLevel="0" collapsed="false">
      <c r="A109" s="0" t="s">
        <v>287</v>
      </c>
      <c r="B109" s="0" t="s">
        <v>259</v>
      </c>
      <c r="C109" s="0" t="s">
        <v>241</v>
      </c>
    </row>
    <row r="110" customFormat="false" ht="15" hidden="false" customHeight="false" outlineLevel="0" collapsed="false">
      <c r="A110" s="0" t="s">
        <v>288</v>
      </c>
      <c r="B110" s="0" t="s">
        <v>259</v>
      </c>
      <c r="C110" s="0" t="s">
        <v>241</v>
      </c>
    </row>
    <row r="111" customFormat="false" ht="15" hidden="false" customHeight="false" outlineLevel="0" collapsed="false">
      <c r="A111" s="0" t="s">
        <v>289</v>
      </c>
      <c r="B111" s="0" t="s">
        <v>259</v>
      </c>
      <c r="C111" s="0" t="s">
        <v>241</v>
      </c>
    </row>
    <row r="112" customFormat="false" ht="15" hidden="false" customHeight="false" outlineLevel="0" collapsed="false">
      <c r="A112" s="0" t="s">
        <v>290</v>
      </c>
      <c r="B112" s="0" t="s">
        <v>259</v>
      </c>
      <c r="C112" s="0" t="s">
        <v>241</v>
      </c>
    </row>
    <row r="113" customFormat="false" ht="15" hidden="false" customHeight="false" outlineLevel="0" collapsed="false">
      <c r="A113" s="0" t="s">
        <v>291</v>
      </c>
      <c r="B113" s="0" t="s">
        <v>259</v>
      </c>
      <c r="C113" s="0" t="s">
        <v>241</v>
      </c>
    </row>
    <row r="114" customFormat="false" ht="15" hidden="false" customHeight="false" outlineLevel="0" collapsed="false">
      <c r="A114" s="0" t="s">
        <v>292</v>
      </c>
      <c r="B114" s="0" t="s">
        <v>259</v>
      </c>
      <c r="C114" s="0" t="s">
        <v>241</v>
      </c>
    </row>
    <row r="115" customFormat="false" ht="15" hidden="false" customHeight="false" outlineLevel="0" collapsed="false">
      <c r="A115" s="0" t="s">
        <v>293</v>
      </c>
      <c r="B115" s="0" t="s">
        <v>259</v>
      </c>
      <c r="C115" s="0" t="s">
        <v>241</v>
      </c>
    </row>
    <row r="116" customFormat="false" ht="15" hidden="false" customHeight="false" outlineLevel="0" collapsed="false">
      <c r="A116" s="0" t="s">
        <v>294</v>
      </c>
      <c r="B116" s="0" t="s">
        <v>259</v>
      </c>
      <c r="C116" s="0" t="s">
        <v>241</v>
      </c>
    </row>
    <row r="117" customFormat="false" ht="15" hidden="false" customHeight="false" outlineLevel="0" collapsed="false">
      <c r="A117" s="0" t="s">
        <v>295</v>
      </c>
      <c r="B117" s="0" t="s">
        <v>259</v>
      </c>
      <c r="C117" s="0" t="s">
        <v>241</v>
      </c>
    </row>
    <row r="118" customFormat="false" ht="15" hidden="false" customHeight="false" outlineLevel="0" collapsed="false">
      <c r="A118" s="0" t="s">
        <v>296</v>
      </c>
      <c r="B118" s="0" t="s">
        <v>259</v>
      </c>
      <c r="C118" s="0" t="s">
        <v>241</v>
      </c>
    </row>
    <row r="119" customFormat="false" ht="15" hidden="false" customHeight="false" outlineLevel="0" collapsed="false">
      <c r="A119" s="0" t="s">
        <v>297</v>
      </c>
      <c r="B119" s="0" t="s">
        <v>259</v>
      </c>
      <c r="C119" s="0" t="s">
        <v>241</v>
      </c>
    </row>
    <row r="120" customFormat="false" ht="15" hidden="false" customHeight="false" outlineLevel="0" collapsed="false">
      <c r="A120" s="0" t="s">
        <v>298</v>
      </c>
      <c r="B120" s="0" t="s">
        <v>259</v>
      </c>
      <c r="C120" s="0" t="s">
        <v>241</v>
      </c>
    </row>
    <row r="121" customFormat="false" ht="15" hidden="false" customHeight="false" outlineLevel="0" collapsed="false">
      <c r="A121" s="0" t="s">
        <v>299</v>
      </c>
      <c r="B121" s="0" t="s">
        <v>259</v>
      </c>
      <c r="C121" s="0" t="s">
        <v>241</v>
      </c>
    </row>
    <row r="122" customFormat="false" ht="15" hidden="false" customHeight="false" outlineLevel="0" collapsed="false">
      <c r="A122" s="0" t="s">
        <v>300</v>
      </c>
      <c r="B122" s="0" t="s">
        <v>259</v>
      </c>
      <c r="C122" s="0" t="s">
        <v>241</v>
      </c>
    </row>
    <row r="123" customFormat="false" ht="15" hidden="false" customHeight="false" outlineLevel="0" collapsed="false">
      <c r="A123" s="0" t="s">
        <v>301</v>
      </c>
      <c r="B123" s="0" t="s">
        <v>259</v>
      </c>
      <c r="C123" s="0" t="s">
        <v>241</v>
      </c>
    </row>
    <row r="124" customFormat="false" ht="15" hidden="false" customHeight="false" outlineLevel="0" collapsed="false">
      <c r="A124" s="0" t="s">
        <v>302</v>
      </c>
      <c r="B124" s="0" t="s">
        <v>259</v>
      </c>
      <c r="C124" s="0" t="s">
        <v>241</v>
      </c>
    </row>
    <row r="125" customFormat="false" ht="15" hidden="false" customHeight="false" outlineLevel="0" collapsed="false">
      <c r="A125" s="0" t="s">
        <v>303</v>
      </c>
      <c r="B125" s="0" t="s">
        <v>259</v>
      </c>
      <c r="C125" s="0" t="s">
        <v>241</v>
      </c>
    </row>
    <row r="126" customFormat="false" ht="15" hidden="false" customHeight="false" outlineLevel="0" collapsed="false">
      <c r="A126" s="0" t="s">
        <v>304</v>
      </c>
      <c r="B126" s="0" t="s">
        <v>259</v>
      </c>
      <c r="C126" s="0" t="s">
        <v>241</v>
      </c>
    </row>
    <row r="127" customFormat="false" ht="15" hidden="false" customHeight="false" outlineLevel="0" collapsed="false">
      <c r="A127" s="0" t="s">
        <v>305</v>
      </c>
      <c r="B127" s="0" t="s">
        <v>259</v>
      </c>
      <c r="C127" s="0" t="s">
        <v>241</v>
      </c>
    </row>
    <row r="128" customFormat="false" ht="15" hidden="false" customHeight="false" outlineLevel="0" collapsed="false">
      <c r="A128" s="0" t="s">
        <v>306</v>
      </c>
      <c r="B128" s="0" t="s">
        <v>259</v>
      </c>
      <c r="C128" s="0" t="s">
        <v>241</v>
      </c>
    </row>
    <row r="129" customFormat="false" ht="15" hidden="false" customHeight="false" outlineLevel="0" collapsed="false">
      <c r="A129" s="0" t="s">
        <v>307</v>
      </c>
      <c r="B129" s="0" t="s">
        <v>259</v>
      </c>
      <c r="C129" s="0" t="s">
        <v>241</v>
      </c>
    </row>
    <row r="130" customFormat="false" ht="15" hidden="false" customHeight="false" outlineLevel="0" collapsed="false">
      <c r="A130" s="0" t="s">
        <v>308</v>
      </c>
      <c r="B130" s="0" t="s">
        <v>259</v>
      </c>
      <c r="C130" s="0" t="s">
        <v>241</v>
      </c>
    </row>
    <row r="131" customFormat="false" ht="15" hidden="false" customHeight="false" outlineLevel="0" collapsed="false">
      <c r="A131" s="0" t="s">
        <v>309</v>
      </c>
      <c r="B131" s="0" t="s">
        <v>259</v>
      </c>
      <c r="C131" s="0" t="s">
        <v>241</v>
      </c>
    </row>
    <row r="132" customFormat="false" ht="15" hidden="false" customHeight="false" outlineLevel="0" collapsed="false">
      <c r="A132" s="0" t="s">
        <v>310</v>
      </c>
      <c r="B132" s="0" t="s">
        <v>259</v>
      </c>
      <c r="C132" s="0" t="s">
        <v>241</v>
      </c>
    </row>
    <row r="133" customFormat="false" ht="15" hidden="false" customHeight="false" outlineLevel="0" collapsed="false">
      <c r="A133" s="0" t="s">
        <v>311</v>
      </c>
      <c r="B133" s="0" t="s">
        <v>259</v>
      </c>
      <c r="C133" s="0" t="s">
        <v>241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4</v>
      </c>
      <c r="B1" s="0" t="s">
        <v>2</v>
      </c>
      <c r="C1" s="0" t="s">
        <v>3</v>
      </c>
    </row>
    <row r="2" customFormat="false" ht="15" hidden="false" customHeight="false" outlineLevel="0" collapsed="false">
      <c r="A2" s="0" t="s">
        <v>204</v>
      </c>
      <c r="B2" s="0" t="n">
        <v>1</v>
      </c>
      <c r="C2" s="0" t="s">
        <v>25</v>
      </c>
    </row>
    <row r="3" customFormat="false" ht="15" hidden="false" customHeight="false" outlineLevel="0" collapsed="false">
      <c r="A3" s="0" t="s">
        <v>74</v>
      </c>
      <c r="B3" s="0" t="n">
        <v>2</v>
      </c>
      <c r="C3" s="0" t="s">
        <v>27</v>
      </c>
    </row>
    <row r="4" customFormat="false" ht="15" hidden="false" customHeight="false" outlineLevel="0" collapsed="false">
      <c r="A4" s="0" t="s">
        <v>104</v>
      </c>
      <c r="B4" s="0" t="n">
        <v>3</v>
      </c>
      <c r="C4" s="0" t="s">
        <v>29</v>
      </c>
    </row>
    <row r="5" customFormat="false" ht="15" hidden="false" customHeight="false" outlineLevel="0" collapsed="false">
      <c r="A5" s="0" t="s">
        <v>32</v>
      </c>
      <c r="B5" s="0" t="n">
        <v>4</v>
      </c>
      <c r="C5" s="0" t="s">
        <v>31</v>
      </c>
    </row>
    <row r="6" customFormat="false" ht="15" hidden="false" customHeight="false" outlineLevel="0" collapsed="false">
      <c r="A6" s="0" t="s">
        <v>34</v>
      </c>
      <c r="B6" s="0" t="n">
        <v>5</v>
      </c>
      <c r="C6" s="0" t="s">
        <v>33</v>
      </c>
    </row>
    <row r="7" customFormat="false" ht="15" hidden="false" customHeight="false" outlineLevel="0" collapsed="false">
      <c r="A7" s="0" t="s">
        <v>36</v>
      </c>
      <c r="B7" s="0" t="n">
        <v>6</v>
      </c>
      <c r="C7" s="0" t="s">
        <v>35</v>
      </c>
    </row>
    <row r="8" customFormat="false" ht="15" hidden="false" customHeight="false" outlineLevel="0" collapsed="false">
      <c r="A8" s="0" t="s">
        <v>38</v>
      </c>
      <c r="B8" s="0" t="n">
        <v>7</v>
      </c>
      <c r="C8" s="0" t="s">
        <v>37</v>
      </c>
    </row>
    <row r="9" customFormat="false" ht="15" hidden="false" customHeight="false" outlineLevel="0" collapsed="false">
      <c r="A9" s="0" t="s">
        <v>40</v>
      </c>
      <c r="B9" s="0" t="n">
        <v>8</v>
      </c>
      <c r="C9" s="0" t="s">
        <v>39</v>
      </c>
    </row>
    <row r="10" customFormat="false" ht="15" hidden="false" customHeight="false" outlineLevel="0" collapsed="false">
      <c r="A10" s="0" t="s">
        <v>42</v>
      </c>
      <c r="B10" s="0" t="n">
        <v>9</v>
      </c>
      <c r="C10" s="0" t="s">
        <v>41</v>
      </c>
    </row>
    <row r="11" customFormat="false" ht="15" hidden="false" customHeight="false" outlineLevel="0" collapsed="false">
      <c r="A11" s="0" t="s">
        <v>44</v>
      </c>
      <c r="B11" s="0" t="n">
        <v>10</v>
      </c>
      <c r="C11" s="0" t="s">
        <v>43</v>
      </c>
    </row>
    <row r="12" customFormat="false" ht="15" hidden="false" customHeight="false" outlineLevel="0" collapsed="false">
      <c r="A12" s="0" t="s">
        <v>46</v>
      </c>
      <c r="B12" s="0" t="n">
        <v>11</v>
      </c>
      <c r="C12" s="0" t="s">
        <v>45</v>
      </c>
    </row>
    <row r="13" customFormat="false" ht="15" hidden="false" customHeight="false" outlineLevel="0" collapsed="false">
      <c r="A13" s="0" t="s">
        <v>216</v>
      </c>
      <c r="B13" s="0" t="n">
        <v>12</v>
      </c>
      <c r="C13" s="0" t="s">
        <v>47</v>
      </c>
    </row>
    <row r="14" customFormat="false" ht="15" hidden="false" customHeight="false" outlineLevel="0" collapsed="false">
      <c r="A14" s="0" t="s">
        <v>50</v>
      </c>
      <c r="B14" s="0" t="n">
        <v>13</v>
      </c>
      <c r="C14" s="0" t="s">
        <v>49</v>
      </c>
    </row>
    <row r="15" customFormat="false" ht="15" hidden="false" customHeight="false" outlineLevel="0" collapsed="false">
      <c r="A15" s="0" t="s">
        <v>52</v>
      </c>
      <c r="B15" s="0" t="n">
        <v>14</v>
      </c>
      <c r="C15" s="0" t="s">
        <v>51</v>
      </c>
    </row>
    <row r="16" customFormat="false" ht="15" hidden="false" customHeight="false" outlineLevel="0" collapsed="false">
      <c r="A16" s="0" t="s">
        <v>54</v>
      </c>
      <c r="B16" s="0" t="n">
        <v>15</v>
      </c>
      <c r="C16" s="0" t="s">
        <v>53</v>
      </c>
    </row>
    <row r="17" customFormat="false" ht="15" hidden="false" customHeight="false" outlineLevel="0" collapsed="false">
      <c r="A17" s="0" t="s">
        <v>56</v>
      </c>
      <c r="B17" s="0" t="n">
        <v>16</v>
      </c>
      <c r="C17" s="0" t="s">
        <v>55</v>
      </c>
    </row>
    <row r="18" customFormat="false" ht="15" hidden="false" customHeight="false" outlineLevel="0" collapsed="false">
      <c r="A18" s="0" t="s">
        <v>58</v>
      </c>
      <c r="B18" s="0" t="n">
        <v>17</v>
      </c>
      <c r="C18" s="0" t="s">
        <v>57</v>
      </c>
    </row>
    <row r="19" customFormat="false" ht="15" hidden="false" customHeight="false" outlineLevel="0" collapsed="false">
      <c r="A19" s="0" t="s">
        <v>60</v>
      </c>
      <c r="B19" s="0" t="n">
        <v>18</v>
      </c>
      <c r="C19" s="0" t="s">
        <v>59</v>
      </c>
    </row>
    <row r="20" customFormat="false" ht="15" hidden="false" customHeight="false" outlineLevel="0" collapsed="false">
      <c r="A20" s="0" t="s">
        <v>62</v>
      </c>
      <c r="B20" s="0" t="n">
        <v>19</v>
      </c>
      <c r="C20" s="0" t="s">
        <v>61</v>
      </c>
    </row>
    <row r="21" customFormat="false" ht="15" hidden="false" customHeight="false" outlineLevel="0" collapsed="false">
      <c r="A21" s="0" t="s">
        <v>64</v>
      </c>
      <c r="B21" s="0" t="n">
        <v>20</v>
      </c>
      <c r="C21" s="0" t="s">
        <v>63</v>
      </c>
    </row>
    <row r="22" customFormat="false" ht="15" hidden="false" customHeight="false" outlineLevel="0" collapsed="false">
      <c r="A22" s="0" t="s">
        <v>66</v>
      </c>
      <c r="B22" s="0" t="n">
        <v>21</v>
      </c>
      <c r="C22" s="0" t="s">
        <v>65</v>
      </c>
    </row>
    <row r="23" customFormat="false" ht="15" hidden="false" customHeight="false" outlineLevel="0" collapsed="false">
      <c r="A23" s="0" t="s">
        <v>68</v>
      </c>
      <c r="B23" s="0" t="n">
        <v>22</v>
      </c>
      <c r="C23" s="0" t="s">
        <v>67</v>
      </c>
    </row>
    <row r="24" customFormat="false" ht="15" hidden="false" customHeight="false" outlineLevel="0" collapsed="false">
      <c r="A24" s="0" t="s">
        <v>70</v>
      </c>
      <c r="B24" s="0" t="n">
        <v>23</v>
      </c>
      <c r="C24" s="0" t="s">
        <v>69</v>
      </c>
    </row>
    <row r="25" customFormat="false" ht="15" hidden="false" customHeight="false" outlineLevel="0" collapsed="false">
      <c r="A25" s="0" t="s">
        <v>72</v>
      </c>
      <c r="B25" s="0" t="n">
        <v>24</v>
      </c>
      <c r="C25" s="0" t="s">
        <v>71</v>
      </c>
    </row>
    <row r="26" customFormat="false" ht="15" hidden="false" customHeight="false" outlineLevel="0" collapsed="false">
      <c r="A26" s="0" t="s">
        <v>28</v>
      </c>
      <c r="B26" s="0" t="n">
        <v>25</v>
      </c>
      <c r="C26" s="0" t="s">
        <v>73</v>
      </c>
    </row>
    <row r="27" customFormat="false" ht="15" hidden="false" customHeight="false" outlineLevel="0" collapsed="false">
      <c r="A27" s="0" t="s">
        <v>76</v>
      </c>
      <c r="B27" s="0" t="n">
        <v>26</v>
      </c>
      <c r="C27" s="0" t="s">
        <v>75</v>
      </c>
    </row>
    <row r="28" customFormat="false" ht="15" hidden="false" customHeight="false" outlineLevel="0" collapsed="false">
      <c r="A28" s="0" t="s">
        <v>78</v>
      </c>
      <c r="B28" s="0" t="n">
        <v>27</v>
      </c>
      <c r="C28" s="0" t="s">
        <v>77</v>
      </c>
    </row>
    <row r="29" customFormat="false" ht="15" hidden="false" customHeight="false" outlineLevel="0" collapsed="false">
      <c r="A29" s="0" t="s">
        <v>80</v>
      </c>
      <c r="B29" s="0" t="n">
        <v>28</v>
      </c>
      <c r="C29" s="0" t="s">
        <v>79</v>
      </c>
    </row>
    <row r="30" customFormat="false" ht="15" hidden="false" customHeight="false" outlineLevel="0" collapsed="false">
      <c r="A30" s="0" t="s">
        <v>82</v>
      </c>
      <c r="B30" s="0" t="n">
        <v>29</v>
      </c>
      <c r="C30" s="0" t="s">
        <v>81</v>
      </c>
    </row>
    <row r="31" customFormat="false" ht="15" hidden="false" customHeight="false" outlineLevel="0" collapsed="false">
      <c r="A31" s="0" t="s">
        <v>84</v>
      </c>
      <c r="B31" s="0" t="n">
        <v>30</v>
      </c>
      <c r="C31" s="0" t="s">
        <v>83</v>
      </c>
    </row>
    <row r="32" customFormat="false" ht="15" hidden="false" customHeight="false" outlineLevel="0" collapsed="false">
      <c r="A32" s="0" t="s">
        <v>86</v>
      </c>
      <c r="B32" s="0" t="n">
        <v>31</v>
      </c>
      <c r="C32" s="0" t="s">
        <v>85</v>
      </c>
    </row>
    <row r="33" customFormat="false" ht="15" hidden="false" customHeight="false" outlineLevel="0" collapsed="false">
      <c r="A33" s="0" t="s">
        <v>88</v>
      </c>
      <c r="B33" s="0" t="n">
        <v>32</v>
      </c>
      <c r="C33" s="0" t="s">
        <v>87</v>
      </c>
    </row>
    <row r="34" customFormat="false" ht="15" hidden="false" customHeight="false" outlineLevel="0" collapsed="false">
      <c r="A34" s="0" t="s">
        <v>90</v>
      </c>
      <c r="B34" s="0" t="n">
        <v>33</v>
      </c>
      <c r="C34" s="0" t="s">
        <v>89</v>
      </c>
    </row>
    <row r="35" customFormat="false" ht="15" hidden="false" customHeight="false" outlineLevel="0" collapsed="false">
      <c r="A35" s="0" t="s">
        <v>92</v>
      </c>
      <c r="B35" s="0" t="n">
        <v>34</v>
      </c>
      <c r="C35" s="0" t="s">
        <v>91</v>
      </c>
    </row>
    <row r="36" customFormat="false" ht="15" hidden="false" customHeight="false" outlineLevel="0" collapsed="false">
      <c r="A36" s="0" t="s">
        <v>94</v>
      </c>
      <c r="B36" s="0" t="n">
        <v>35</v>
      </c>
      <c r="C36" s="0" t="s">
        <v>93</v>
      </c>
    </row>
    <row r="37" customFormat="false" ht="15" hidden="false" customHeight="false" outlineLevel="0" collapsed="false">
      <c r="A37" s="0" t="s">
        <v>96</v>
      </c>
      <c r="B37" s="0" t="n">
        <v>36</v>
      </c>
      <c r="C37" s="0" t="s">
        <v>95</v>
      </c>
    </row>
    <row r="38" customFormat="false" ht="15" hidden="false" customHeight="false" outlineLevel="0" collapsed="false">
      <c r="A38" s="0" t="s">
        <v>98</v>
      </c>
      <c r="B38" s="0" t="n">
        <v>37</v>
      </c>
      <c r="C38" s="0" t="s">
        <v>97</v>
      </c>
    </row>
    <row r="39" customFormat="false" ht="15" hidden="false" customHeight="false" outlineLevel="0" collapsed="false">
      <c r="A39" s="0" t="s">
        <v>100</v>
      </c>
      <c r="B39" s="0" t="n">
        <v>38</v>
      </c>
      <c r="C39" s="0" t="s">
        <v>99</v>
      </c>
    </row>
    <row r="40" customFormat="false" ht="15" hidden="false" customHeight="false" outlineLevel="0" collapsed="false">
      <c r="A40" s="0" t="s">
        <v>102</v>
      </c>
      <c r="B40" s="0" t="n">
        <v>39</v>
      </c>
      <c r="C40" s="0" t="s">
        <v>101</v>
      </c>
    </row>
    <row r="41" customFormat="false" ht="15" hidden="false" customHeight="false" outlineLevel="0" collapsed="false">
      <c r="A41" s="0" t="s">
        <v>30</v>
      </c>
      <c r="B41" s="0" t="n">
        <v>40</v>
      </c>
      <c r="C41" s="0" t="s">
        <v>103</v>
      </c>
    </row>
    <row r="42" customFormat="false" ht="15" hidden="false" customHeight="false" outlineLevel="0" collapsed="false">
      <c r="A42" s="0" t="s">
        <v>106</v>
      </c>
      <c r="B42" s="0" t="n">
        <v>41</v>
      </c>
      <c r="C42" s="0" t="s">
        <v>105</v>
      </c>
    </row>
    <row r="43" customFormat="false" ht="15" hidden="false" customHeight="false" outlineLevel="0" collapsed="false">
      <c r="A43" s="0" t="s">
        <v>108</v>
      </c>
      <c r="B43" s="0" t="n">
        <v>42</v>
      </c>
      <c r="C43" s="0" t="s">
        <v>107</v>
      </c>
    </row>
    <row r="44" customFormat="false" ht="15" hidden="false" customHeight="false" outlineLevel="0" collapsed="false">
      <c r="A44" s="0" t="s">
        <v>110</v>
      </c>
      <c r="B44" s="0" t="n">
        <v>43</v>
      </c>
      <c r="C44" s="0" t="s">
        <v>109</v>
      </c>
    </row>
    <row r="45" customFormat="false" ht="15" hidden="false" customHeight="false" outlineLevel="0" collapsed="false">
      <c r="A45" s="0" t="s">
        <v>112</v>
      </c>
      <c r="B45" s="0" t="n">
        <v>44</v>
      </c>
      <c r="C45" s="0" t="s">
        <v>111</v>
      </c>
    </row>
    <row r="46" customFormat="false" ht="15" hidden="false" customHeight="false" outlineLevel="0" collapsed="false">
      <c r="A46" s="0" t="s">
        <v>114</v>
      </c>
      <c r="B46" s="0" t="n">
        <v>45</v>
      </c>
      <c r="C46" s="0" t="s">
        <v>113</v>
      </c>
    </row>
    <row r="47" customFormat="false" ht="15" hidden="false" customHeight="false" outlineLevel="0" collapsed="false">
      <c r="A47" s="0" t="s">
        <v>116</v>
      </c>
      <c r="B47" s="0" t="n">
        <v>46</v>
      </c>
      <c r="C47" s="0" t="s">
        <v>115</v>
      </c>
    </row>
    <row r="48" customFormat="false" ht="15" hidden="false" customHeight="false" outlineLevel="0" collapsed="false">
      <c r="A48" s="0" t="s">
        <v>118</v>
      </c>
      <c r="B48" s="0" t="n">
        <v>47</v>
      </c>
      <c r="C48" s="0" t="s">
        <v>117</v>
      </c>
    </row>
    <row r="49" customFormat="false" ht="15" hidden="false" customHeight="false" outlineLevel="0" collapsed="false">
      <c r="A49" s="0" t="s">
        <v>120</v>
      </c>
      <c r="B49" s="0" t="n">
        <v>48</v>
      </c>
      <c r="C49" s="0" t="s">
        <v>119</v>
      </c>
    </row>
    <row r="50" customFormat="false" ht="15" hidden="false" customHeight="false" outlineLevel="0" collapsed="false">
      <c r="A50" s="0" t="s">
        <v>122</v>
      </c>
      <c r="B50" s="0" t="n">
        <v>49</v>
      </c>
      <c r="C50" s="0" t="s">
        <v>121</v>
      </c>
    </row>
    <row r="51" customFormat="false" ht="15" hidden="false" customHeight="false" outlineLevel="0" collapsed="false">
      <c r="A51" s="0" t="s">
        <v>124</v>
      </c>
      <c r="B51" s="0" t="n">
        <v>50</v>
      </c>
      <c r="C51" s="0" t="s">
        <v>123</v>
      </c>
    </row>
    <row r="52" customFormat="false" ht="15" hidden="false" customHeight="false" outlineLevel="0" collapsed="false">
      <c r="A52" s="0" t="s">
        <v>126</v>
      </c>
      <c r="B52" s="0" t="n">
        <v>51</v>
      </c>
      <c r="C52" s="0" t="s">
        <v>125</v>
      </c>
    </row>
    <row r="53" customFormat="false" ht="15" hidden="false" customHeight="false" outlineLevel="0" collapsed="false">
      <c r="A53" s="0" t="s">
        <v>128</v>
      </c>
      <c r="B53" s="0" t="n">
        <v>52</v>
      </c>
      <c r="C53" s="0" t="s">
        <v>127</v>
      </c>
    </row>
    <row r="54" customFormat="false" ht="15" hidden="false" customHeight="false" outlineLevel="0" collapsed="false">
      <c r="A54" s="0" t="s">
        <v>130</v>
      </c>
      <c r="B54" s="0" t="n">
        <v>53</v>
      </c>
      <c r="C54" s="0" t="s">
        <v>129</v>
      </c>
    </row>
    <row r="55" customFormat="false" ht="15" hidden="false" customHeight="false" outlineLevel="0" collapsed="false">
      <c r="A55" s="0" t="s">
        <v>132</v>
      </c>
      <c r="B55" s="0" t="n">
        <v>54</v>
      </c>
      <c r="C55" s="0" t="s">
        <v>131</v>
      </c>
    </row>
    <row r="56" customFormat="false" ht="15" hidden="false" customHeight="false" outlineLevel="0" collapsed="false">
      <c r="A56" s="0" t="s">
        <v>134</v>
      </c>
      <c r="B56" s="0" t="n">
        <v>55</v>
      </c>
      <c r="C56" s="0" t="s">
        <v>133</v>
      </c>
    </row>
    <row r="57" customFormat="false" ht="15" hidden="false" customHeight="false" outlineLevel="0" collapsed="false">
      <c r="A57" s="0" t="s">
        <v>136</v>
      </c>
      <c r="B57" s="0" t="n">
        <v>56</v>
      </c>
      <c r="C57" s="0" t="s">
        <v>135</v>
      </c>
    </row>
    <row r="58" customFormat="false" ht="15" hidden="false" customHeight="false" outlineLevel="0" collapsed="false">
      <c r="A58" s="0" t="s">
        <v>138</v>
      </c>
      <c r="B58" s="0" t="n">
        <v>57</v>
      </c>
      <c r="C58" s="0" t="s">
        <v>137</v>
      </c>
    </row>
    <row r="59" customFormat="false" ht="15" hidden="false" customHeight="false" outlineLevel="0" collapsed="false">
      <c r="A59" s="0" t="s">
        <v>140</v>
      </c>
      <c r="B59" s="0" t="n">
        <v>58</v>
      </c>
      <c r="C59" s="0" t="s">
        <v>139</v>
      </c>
    </row>
    <row r="60" customFormat="false" ht="15" hidden="false" customHeight="false" outlineLevel="0" collapsed="false">
      <c r="A60" s="0" t="s">
        <v>142</v>
      </c>
      <c r="B60" s="0" t="n">
        <v>59</v>
      </c>
      <c r="C60" s="0" t="s">
        <v>141</v>
      </c>
    </row>
    <row r="61" customFormat="false" ht="15" hidden="false" customHeight="false" outlineLevel="0" collapsed="false">
      <c r="A61" s="0" t="s">
        <v>144</v>
      </c>
      <c r="B61" s="0" t="n">
        <v>60</v>
      </c>
      <c r="C61" s="0" t="s">
        <v>143</v>
      </c>
    </row>
    <row r="62" customFormat="false" ht="15" hidden="false" customHeight="false" outlineLevel="0" collapsed="false">
      <c r="A62" s="0" t="s">
        <v>146</v>
      </c>
      <c r="B62" s="0" t="n">
        <v>61</v>
      </c>
      <c r="C62" s="0" t="s">
        <v>145</v>
      </c>
    </row>
    <row r="63" customFormat="false" ht="15" hidden="false" customHeight="false" outlineLevel="0" collapsed="false">
      <c r="A63" s="0" t="s">
        <v>148</v>
      </c>
      <c r="B63" s="0" t="n">
        <v>62</v>
      </c>
      <c r="C63" s="0" t="s">
        <v>147</v>
      </c>
    </row>
    <row r="64" customFormat="false" ht="15" hidden="false" customHeight="false" outlineLevel="0" collapsed="false">
      <c r="A64" s="0" t="s">
        <v>150</v>
      </c>
      <c r="B64" s="0" t="n">
        <v>63</v>
      </c>
      <c r="C64" s="0" t="s">
        <v>149</v>
      </c>
    </row>
    <row r="65" customFormat="false" ht="15" hidden="false" customHeight="false" outlineLevel="0" collapsed="false">
      <c r="A65" s="0" t="s">
        <v>152</v>
      </c>
      <c r="B65" s="0" t="n">
        <v>64</v>
      </c>
      <c r="C65" s="0" t="s">
        <v>151</v>
      </c>
    </row>
    <row r="66" customFormat="false" ht="15" hidden="false" customHeight="false" outlineLevel="0" collapsed="false">
      <c r="A66" s="0" t="s">
        <v>154</v>
      </c>
      <c r="B66" s="0" t="n">
        <v>65</v>
      </c>
      <c r="C66" s="0" t="s">
        <v>153</v>
      </c>
    </row>
    <row r="67" customFormat="false" ht="15" hidden="false" customHeight="false" outlineLevel="0" collapsed="false">
      <c r="A67" s="0" t="s">
        <v>156</v>
      </c>
      <c r="B67" s="0" t="n">
        <v>66</v>
      </c>
      <c r="C67" s="0" t="s">
        <v>155</v>
      </c>
    </row>
    <row r="68" customFormat="false" ht="15" hidden="false" customHeight="false" outlineLevel="0" collapsed="false">
      <c r="A68" s="0" t="s">
        <v>158</v>
      </c>
      <c r="B68" s="0" t="n">
        <v>67</v>
      </c>
      <c r="C68" s="0" t="s">
        <v>157</v>
      </c>
    </row>
    <row r="69" customFormat="false" ht="15" hidden="false" customHeight="false" outlineLevel="0" collapsed="false">
      <c r="A69" s="0" t="s">
        <v>160</v>
      </c>
      <c r="B69" s="0" t="n">
        <v>68</v>
      </c>
      <c r="C69" s="0" t="s">
        <v>159</v>
      </c>
    </row>
    <row r="70" customFormat="false" ht="15" hidden="false" customHeight="false" outlineLevel="0" collapsed="false">
      <c r="A70" s="0" t="s">
        <v>162</v>
      </c>
      <c r="B70" s="0" t="n">
        <v>69</v>
      </c>
      <c r="C70" s="0" t="s">
        <v>161</v>
      </c>
    </row>
    <row r="71" customFormat="false" ht="15" hidden="false" customHeight="false" outlineLevel="0" collapsed="false">
      <c r="A71" s="0" t="s">
        <v>164</v>
      </c>
      <c r="B71" s="0" t="n">
        <v>70</v>
      </c>
      <c r="C71" s="0" t="s">
        <v>163</v>
      </c>
    </row>
    <row r="72" customFormat="false" ht="15" hidden="false" customHeight="false" outlineLevel="0" collapsed="false">
      <c r="A72" s="0" t="s">
        <v>166</v>
      </c>
      <c r="B72" s="0" t="n">
        <v>71</v>
      </c>
      <c r="C72" s="0" t="s">
        <v>165</v>
      </c>
    </row>
    <row r="73" customFormat="false" ht="15" hidden="false" customHeight="false" outlineLevel="0" collapsed="false">
      <c r="A73" s="0" t="s">
        <v>168</v>
      </c>
      <c r="B73" s="0" t="n">
        <v>72</v>
      </c>
      <c r="C73" s="0" t="s">
        <v>167</v>
      </c>
    </row>
    <row r="74" customFormat="false" ht="15" hidden="false" customHeight="false" outlineLevel="0" collapsed="false">
      <c r="A74" s="0" t="s">
        <v>170</v>
      </c>
      <c r="B74" s="0" t="n">
        <v>73</v>
      </c>
      <c r="C74" s="0" t="s">
        <v>169</v>
      </c>
    </row>
    <row r="75" customFormat="false" ht="15" hidden="false" customHeight="false" outlineLevel="0" collapsed="false">
      <c r="A75" s="0" t="s">
        <v>172</v>
      </c>
      <c r="B75" s="0" t="n">
        <v>74</v>
      </c>
      <c r="C75" s="0" t="s">
        <v>171</v>
      </c>
    </row>
    <row r="76" customFormat="false" ht="15" hidden="false" customHeight="false" outlineLevel="0" collapsed="false">
      <c r="A76" s="0" t="s">
        <v>174</v>
      </c>
      <c r="B76" s="0" t="n">
        <v>75</v>
      </c>
      <c r="C76" s="0" t="s">
        <v>173</v>
      </c>
    </row>
    <row r="77" customFormat="false" ht="15" hidden="false" customHeight="false" outlineLevel="0" collapsed="false">
      <c r="A77" s="0" t="s">
        <v>176</v>
      </c>
      <c r="B77" s="0" t="n">
        <v>76</v>
      </c>
      <c r="C77" s="0" t="s">
        <v>175</v>
      </c>
    </row>
    <row r="78" customFormat="false" ht="15" hidden="false" customHeight="false" outlineLevel="0" collapsed="false">
      <c r="A78" s="0" t="s">
        <v>178</v>
      </c>
      <c r="B78" s="0" t="n">
        <v>77</v>
      </c>
      <c r="C78" s="0" t="s">
        <v>177</v>
      </c>
    </row>
    <row r="79" customFormat="false" ht="15" hidden="false" customHeight="false" outlineLevel="0" collapsed="false">
      <c r="A79" s="0" t="s">
        <v>180</v>
      </c>
      <c r="B79" s="0" t="n">
        <v>78</v>
      </c>
      <c r="C79" s="0" t="s">
        <v>179</v>
      </c>
    </row>
    <row r="80" customFormat="false" ht="15" hidden="false" customHeight="false" outlineLevel="0" collapsed="false">
      <c r="A80" s="0" t="s">
        <v>182</v>
      </c>
      <c r="B80" s="0" t="n">
        <v>79</v>
      </c>
      <c r="C80" s="0" t="s">
        <v>181</v>
      </c>
    </row>
    <row r="81" customFormat="false" ht="15" hidden="false" customHeight="false" outlineLevel="0" collapsed="false">
      <c r="A81" s="0" t="s">
        <v>184</v>
      </c>
      <c r="B81" s="0" t="n">
        <v>80</v>
      </c>
      <c r="C81" s="0" t="s">
        <v>183</v>
      </c>
    </row>
    <row r="82" customFormat="false" ht="15" hidden="false" customHeight="false" outlineLevel="0" collapsed="false">
      <c r="A82" s="0" t="s">
        <v>186</v>
      </c>
      <c r="B82" s="0" t="n">
        <v>81</v>
      </c>
      <c r="C82" s="0" t="s">
        <v>185</v>
      </c>
    </row>
    <row r="83" customFormat="false" ht="15" hidden="false" customHeight="false" outlineLevel="0" collapsed="false">
      <c r="A83" s="0" t="s">
        <v>188</v>
      </c>
      <c r="B83" s="0" t="n">
        <v>82</v>
      </c>
      <c r="C83" s="0" t="s">
        <v>187</v>
      </c>
    </row>
    <row r="84" customFormat="false" ht="15" hidden="false" customHeight="false" outlineLevel="0" collapsed="false">
      <c r="A84" s="0" t="s">
        <v>190</v>
      </c>
      <c r="B84" s="0" t="n">
        <v>83</v>
      </c>
      <c r="C84" s="0" t="s">
        <v>189</v>
      </c>
    </row>
    <row r="85" customFormat="false" ht="15" hidden="false" customHeight="false" outlineLevel="0" collapsed="false">
      <c r="A85" s="0" t="s">
        <v>192</v>
      </c>
      <c r="B85" s="0" t="n">
        <v>84</v>
      </c>
      <c r="C85" s="0" t="s">
        <v>191</v>
      </c>
    </row>
    <row r="86" customFormat="false" ht="15" hidden="false" customHeight="false" outlineLevel="0" collapsed="false">
      <c r="A86" s="0" t="s">
        <v>194</v>
      </c>
      <c r="B86" s="0" t="n">
        <v>85</v>
      </c>
      <c r="C86" s="0" t="s">
        <v>193</v>
      </c>
    </row>
    <row r="87" customFormat="false" ht="15" hidden="false" customHeight="false" outlineLevel="0" collapsed="false">
      <c r="A87" s="0" t="s">
        <v>196</v>
      </c>
      <c r="B87" s="0" t="n">
        <v>86</v>
      </c>
      <c r="C87" s="0" t="s">
        <v>195</v>
      </c>
    </row>
    <row r="88" customFormat="false" ht="15" hidden="false" customHeight="false" outlineLevel="0" collapsed="false">
      <c r="A88" s="0" t="s">
        <v>198</v>
      </c>
      <c r="B88" s="0" t="n">
        <v>87</v>
      </c>
      <c r="C88" s="0" t="s">
        <v>197</v>
      </c>
    </row>
    <row r="89" customFormat="false" ht="15" hidden="false" customHeight="false" outlineLevel="0" collapsed="false">
      <c r="A89" s="0" t="s">
        <v>200</v>
      </c>
      <c r="B89" s="0" t="n">
        <v>88</v>
      </c>
      <c r="C89" s="0" t="s">
        <v>199</v>
      </c>
    </row>
    <row r="90" customFormat="false" ht="15" hidden="false" customHeight="false" outlineLevel="0" collapsed="false">
      <c r="A90" s="0" t="s">
        <v>202</v>
      </c>
      <c r="B90" s="0" t="n">
        <v>89</v>
      </c>
      <c r="C90" s="0" t="s">
        <v>201</v>
      </c>
    </row>
    <row r="91" customFormat="false" ht="15" hidden="false" customHeight="false" outlineLevel="0" collapsed="false">
      <c r="A91" s="0" t="s">
        <v>26</v>
      </c>
      <c r="B91" s="0" t="n">
        <v>90</v>
      </c>
      <c r="C91" s="0" t="s">
        <v>203</v>
      </c>
    </row>
    <row r="92" customFormat="false" ht="15" hidden="false" customHeight="false" outlineLevel="0" collapsed="false">
      <c r="A92" s="0" t="s">
        <v>206</v>
      </c>
      <c r="B92" s="0" t="n">
        <v>91</v>
      </c>
      <c r="C92" s="0" t="s">
        <v>205</v>
      </c>
    </row>
    <row r="93" customFormat="false" ht="15" hidden="false" customHeight="false" outlineLevel="0" collapsed="false">
      <c r="A93" s="0" t="s">
        <v>208</v>
      </c>
      <c r="B93" s="0" t="n">
        <v>92</v>
      </c>
      <c r="C93" s="0" t="s">
        <v>207</v>
      </c>
    </row>
    <row r="94" customFormat="false" ht="15" hidden="false" customHeight="false" outlineLevel="0" collapsed="false">
      <c r="A94" s="0" t="s">
        <v>210</v>
      </c>
      <c r="B94" s="0" t="n">
        <v>93</v>
      </c>
      <c r="C94" s="0" t="s">
        <v>209</v>
      </c>
    </row>
    <row r="95" customFormat="false" ht="15" hidden="false" customHeight="false" outlineLevel="0" collapsed="false">
      <c r="A95" s="0" t="s">
        <v>212</v>
      </c>
      <c r="B95" s="0" t="n">
        <v>94</v>
      </c>
      <c r="C95" s="0" t="s">
        <v>211</v>
      </c>
    </row>
    <row r="96" customFormat="false" ht="15" hidden="false" customHeight="false" outlineLevel="0" collapsed="false">
      <c r="A96" s="0" t="s">
        <v>214</v>
      </c>
      <c r="B96" s="0" t="n">
        <v>95</v>
      </c>
      <c r="C96" s="0" t="s">
        <v>213</v>
      </c>
    </row>
    <row r="97" customFormat="false" ht="15" hidden="false" customHeight="false" outlineLevel="0" collapsed="false">
      <c r="A97" s="0" t="s">
        <v>48</v>
      </c>
      <c r="B97" s="0" t="n">
        <v>96</v>
      </c>
      <c r="C97" s="0"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338</v>
      </c>
      <c r="B1" s="0" t="s">
        <v>339</v>
      </c>
      <c r="C1" s="0" t="s">
        <v>340</v>
      </c>
    </row>
    <row r="2" customFormat="false" ht="15" hidden="false" customHeight="false" outlineLevel="0" collapsed="false">
      <c r="A2" s="0" t="s">
        <v>341</v>
      </c>
      <c r="B2" s="0" t="s">
        <v>342</v>
      </c>
      <c r="C2" s="0" t="s">
        <v>343</v>
      </c>
    </row>
    <row r="3" customFormat="false" ht="15" hidden="false" customHeight="false" outlineLevel="0" collapsed="false">
      <c r="A3" s="0" t="s">
        <v>344</v>
      </c>
      <c r="B3" s="0" t="s">
        <v>345</v>
      </c>
      <c r="C3" s="0" t="s">
        <v>346</v>
      </c>
    </row>
    <row r="4" customFormat="false" ht="15" hidden="false" customHeight="false" outlineLevel="0" collapsed="false">
      <c r="A4" s="0" t="s">
        <v>347</v>
      </c>
      <c r="B4" s="0" t="s">
        <v>320</v>
      </c>
      <c r="C4" s="0" t="s">
        <v>348</v>
      </c>
    </row>
    <row r="5" customFormat="false" ht="15" hidden="false" customHeight="false" outlineLevel="0" collapsed="false">
      <c r="A5" s="0" t="s">
        <v>349</v>
      </c>
      <c r="B5" s="0" t="s">
        <v>350</v>
      </c>
      <c r="C5" s="0" t="s">
        <v>351</v>
      </c>
    </row>
    <row r="6" customFormat="false" ht="15" hidden="false" customHeight="false" outlineLevel="0" collapsed="false">
      <c r="A6" s="0" t="s">
        <v>352</v>
      </c>
      <c r="B6" s="0" t="s">
        <v>353</v>
      </c>
      <c r="C6" s="0" t="s">
        <v>354</v>
      </c>
    </row>
    <row r="7" customFormat="false" ht="15" hidden="false" customHeight="false" outlineLevel="0" collapsed="false">
      <c r="A7" s="0" t="s">
        <v>355</v>
      </c>
      <c r="B7" s="0" t="s">
        <v>356</v>
      </c>
      <c r="C7" s="0" t="s">
        <v>357</v>
      </c>
    </row>
    <row r="8" customFormat="false" ht="15" hidden="false" customHeight="false" outlineLevel="0" collapsed="false">
      <c r="A8" s="0" t="s">
        <v>358</v>
      </c>
      <c r="B8" s="0" t="s">
        <v>359</v>
      </c>
      <c r="C8" s="0" t="s">
        <v>360</v>
      </c>
    </row>
    <row r="9" customFormat="false" ht="15" hidden="false" customHeight="false" outlineLevel="0" collapsed="false">
      <c r="A9" s="0" t="s">
        <v>361</v>
      </c>
      <c r="B9" s="0" t="s">
        <v>362</v>
      </c>
      <c r="C9" s="0" t="s">
        <v>363</v>
      </c>
    </row>
    <row r="10" customFormat="false" ht="15" hidden="false" customHeight="false" outlineLevel="0" collapsed="false">
      <c r="A10" s="0" t="s">
        <v>364</v>
      </c>
      <c r="B10" s="0" t="s">
        <v>365</v>
      </c>
      <c r="C10" s="0" t="s">
        <v>366</v>
      </c>
    </row>
    <row r="11" customFormat="false" ht="15" hidden="false" customHeight="false" outlineLevel="0" collapsed="false">
      <c r="A11" s="0" t="s">
        <v>235</v>
      </c>
      <c r="B11" s="0" t="s">
        <v>367</v>
      </c>
      <c r="C11" s="0" t="s">
        <v>368</v>
      </c>
    </row>
    <row r="12" customFormat="false" ht="15" hidden="false" customHeight="false" outlineLevel="0" collapsed="false">
      <c r="A12" s="0" t="s">
        <v>369</v>
      </c>
      <c r="B12" s="0" t="s">
        <v>370</v>
      </c>
      <c r="C12" s="0" t="s">
        <v>371</v>
      </c>
    </row>
    <row r="13" customFormat="false" ht="15" hidden="false" customHeight="false" outlineLevel="0" collapsed="false">
      <c r="A13" s="0" t="s">
        <v>372</v>
      </c>
      <c r="B13" s="0" t="s">
        <v>373</v>
      </c>
      <c r="C13" s="0" t="s">
        <v>374</v>
      </c>
    </row>
    <row r="14" customFormat="false" ht="15" hidden="false" customHeight="false" outlineLevel="0" collapsed="false">
      <c r="A14" s="0" t="s">
        <v>375</v>
      </c>
      <c r="B14" s="0" t="s">
        <v>376</v>
      </c>
      <c r="C14" s="0" t="s">
        <v>377</v>
      </c>
    </row>
    <row r="15" customFormat="false" ht="15" hidden="false" customHeight="false" outlineLevel="0" collapsed="false">
      <c r="A15" s="0" t="s">
        <v>378</v>
      </c>
      <c r="B15" s="0" t="s">
        <v>379</v>
      </c>
      <c r="C15" s="0" t="s">
        <v>380</v>
      </c>
    </row>
    <row r="16" customFormat="false" ht="15" hidden="false" customHeight="false" outlineLevel="0" collapsed="false">
      <c r="A16" s="0" t="s">
        <v>381</v>
      </c>
      <c r="B16" s="0" t="s">
        <v>382</v>
      </c>
      <c r="C16" s="0" t="s">
        <v>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34"/>
    <col collapsed="false" customWidth="true" hidden="false" outlineLevel="0" max="4" min="4" style="0" width="32"/>
    <col collapsed="false" customWidth="true" hidden="false" outlineLevel="0" max="5" min="5" style="0" width="11"/>
    <col collapsed="false" customWidth="true" hidden="false" outlineLevel="0" max="6" min="6" style="0" width="18"/>
    <col collapsed="false" customWidth="true" hidden="false" outlineLevel="0" max="7" min="7" style="0" width="19"/>
    <col collapsed="false" customWidth="true" hidden="false" outlineLevel="0" max="8" min="8" style="0" width="18"/>
  </cols>
  <sheetData>
    <row r="1" customFormat="false" ht="17.35" hidden="false" customHeight="false" outlineLevel="0" collapsed="false">
      <c r="A1" s="1" t="s">
        <v>384</v>
      </c>
    </row>
    <row r="2" customFormat="false" ht="15" hidden="false" customHeight="false" outlineLevel="0" collapsed="false">
      <c r="A2" s="0" t="s">
        <v>385</v>
      </c>
    </row>
    <row r="4" customFormat="false" ht="15" hidden="false" customHeight="false" outlineLevel="0" collapsed="false">
      <c r="A4" s="3" t="s">
        <v>336</v>
      </c>
      <c r="B4" s="3" t="s">
        <v>340</v>
      </c>
      <c r="C4" s="3" t="s">
        <v>386</v>
      </c>
      <c r="D4" s="3" t="s">
        <v>387</v>
      </c>
      <c r="F4" s="3" t="s">
        <v>388</v>
      </c>
      <c r="G4" s="3" t="s">
        <v>389</v>
      </c>
      <c r="H4" s="3" t="s">
        <v>336</v>
      </c>
    </row>
    <row r="5" customFormat="false" ht="15" hidden="false" customHeight="false" outlineLevel="0" collapsed="false">
      <c r="A5" s="0" t="s">
        <v>244</v>
      </c>
      <c r="B5" s="0" t="s">
        <v>390</v>
      </c>
      <c r="C5" s="0" t="n">
        <f aca="false">COUNTIF(Assignment!$E$5:$E$100,A5)</f>
        <v>83</v>
      </c>
      <c r="D5" s="0" t="str">
        <f aca="false">IF(C5&gt;0,"COVERED","MISSING")</f>
        <v>COVERED</v>
      </c>
      <c r="F5" s="0" t="str">
        <f aca="false">Assignment!C5</f>
        <v>SKU001</v>
      </c>
      <c r="G5" s="4" t="s">
        <v>237</v>
      </c>
      <c r="H5" s="0" t="str">
        <f aca="false">Assignment!E5</f>
        <v>C01</v>
      </c>
    </row>
    <row r="6" customFormat="false" ht="15" hidden="false" customHeight="false" outlineLevel="0" collapsed="false">
      <c r="A6" s="0" t="s">
        <v>245</v>
      </c>
      <c r="B6" s="0" t="s">
        <v>391</v>
      </c>
      <c r="C6" s="0" t="n">
        <f aca="false">COUNTIF(Assignment!$E$5:$E$100,A6)</f>
        <v>1</v>
      </c>
      <c r="D6" s="0" t="str">
        <f aca="false">IF(C6&gt;0,"COVERED","MISSING")</f>
        <v>COVERED</v>
      </c>
      <c r="F6" s="0" t="str">
        <f aca="false">Assignment!C6</f>
        <v>SKU002</v>
      </c>
      <c r="G6" s="4" t="s">
        <v>237</v>
      </c>
      <c r="H6" s="0" t="str">
        <f aca="false">Assignment!E6</f>
        <v>C02</v>
      </c>
    </row>
    <row r="7" customFormat="false" ht="15" hidden="false" customHeight="false" outlineLevel="0" collapsed="false">
      <c r="A7" s="0" t="s">
        <v>246</v>
      </c>
      <c r="B7" s="0" t="s">
        <v>392</v>
      </c>
      <c r="C7" s="0" t="n">
        <f aca="false">COUNTIF(Assignment!$E$5:$E$100,A7)</f>
        <v>1</v>
      </c>
      <c r="D7" s="0" t="str">
        <f aca="false">IF(C7&gt;0,"COVERED","MISSING")</f>
        <v>COVERED</v>
      </c>
      <c r="F7" s="0" t="str">
        <f aca="false">Assignment!C7</f>
        <v>SKU003</v>
      </c>
      <c r="G7" s="4" t="s">
        <v>237</v>
      </c>
      <c r="H7" s="0" t="str">
        <f aca="false">Assignment!E7</f>
        <v>C03</v>
      </c>
    </row>
    <row r="8" customFormat="false" ht="15" hidden="false" customHeight="false" outlineLevel="0" collapsed="false">
      <c r="A8" s="0" t="s">
        <v>247</v>
      </c>
      <c r="B8" s="0" t="s">
        <v>393</v>
      </c>
      <c r="C8" s="0" t="n">
        <f aca="false">COUNTIF(Assignment!$E$5:$E$100,A8)</f>
        <v>1</v>
      </c>
      <c r="D8" s="0" t="str">
        <f aca="false">IF(C8&gt;0,"COVERED","MISSING")</f>
        <v>COVERED</v>
      </c>
      <c r="F8" s="0" t="str">
        <f aca="false">Assignment!C8</f>
        <v>SKU004</v>
      </c>
      <c r="G8" s="4" t="s">
        <v>237</v>
      </c>
      <c r="H8" s="0" t="str">
        <f aca="false">Assignment!E8</f>
        <v>C04</v>
      </c>
    </row>
    <row r="9" customFormat="false" ht="15" hidden="false" customHeight="false" outlineLevel="0" collapsed="false">
      <c r="A9" s="0" t="s">
        <v>248</v>
      </c>
      <c r="B9" s="0" t="s">
        <v>394</v>
      </c>
      <c r="C9" s="0" t="n">
        <f aca="false">COUNTIF(Assignment!$E$5:$E$100,A9)</f>
        <v>1</v>
      </c>
      <c r="D9" s="0" t="str">
        <f aca="false">IF(C9&gt;0,"COVERED","MISSING")</f>
        <v>COVERED</v>
      </c>
      <c r="F9" s="0" t="str">
        <f aca="false">Assignment!C9</f>
        <v>SKU005</v>
      </c>
      <c r="G9" s="4" t="s">
        <v>237</v>
      </c>
      <c r="H9" s="0" t="str">
        <f aca="false">Assignment!E9</f>
        <v>C05</v>
      </c>
    </row>
    <row r="10" customFormat="false" ht="15" hidden="false" customHeight="false" outlineLevel="0" collapsed="false">
      <c r="A10" s="0" t="s">
        <v>249</v>
      </c>
      <c r="B10" s="0" t="s">
        <v>395</v>
      </c>
      <c r="C10" s="0" t="n">
        <f aca="false">COUNTIF(Assignment!$E$5:$E$100,A10)</f>
        <v>1</v>
      </c>
      <c r="D10" s="0" t="str">
        <f aca="false">IF(C10&gt;0,"COVERED","MISSING")</f>
        <v>COVERED</v>
      </c>
      <c r="F10" s="0" t="str">
        <f aca="false">Assignment!C10</f>
        <v>SKU006</v>
      </c>
      <c r="G10" s="4" t="s">
        <v>237</v>
      </c>
      <c r="H10" s="0" t="str">
        <f aca="false">Assignment!E10</f>
        <v>C06</v>
      </c>
    </row>
    <row r="11" customFormat="false" ht="15" hidden="false" customHeight="false" outlineLevel="0" collapsed="false">
      <c r="A11" s="0" t="s">
        <v>250</v>
      </c>
      <c r="B11" s="0" t="s">
        <v>396</v>
      </c>
      <c r="C11" s="0" t="n">
        <f aca="false">COUNTIF(Assignment!$E$5:$E$100,A11)</f>
        <v>1</v>
      </c>
      <c r="D11" s="0" t="str">
        <f aca="false">IF(C11&gt;0,"COVERED","MISSING")</f>
        <v>COVERED</v>
      </c>
      <c r="F11" s="0" t="str">
        <f aca="false">Assignment!C11</f>
        <v>SKU007</v>
      </c>
      <c r="G11" s="4" t="s">
        <v>237</v>
      </c>
      <c r="H11" s="0" t="str">
        <f aca="false">Assignment!E11</f>
        <v>C07</v>
      </c>
    </row>
    <row r="12" customFormat="false" ht="15" hidden="false" customHeight="false" outlineLevel="0" collapsed="false">
      <c r="A12" s="0" t="s">
        <v>251</v>
      </c>
      <c r="B12" s="0" t="s">
        <v>397</v>
      </c>
      <c r="C12" s="0" t="n">
        <f aca="false">COUNTIF(Assignment!$E$5:$E$100,A12)</f>
        <v>1</v>
      </c>
      <c r="D12" s="0" t="str">
        <f aca="false">IF(C12&gt;0,"COVERED","MISSING")</f>
        <v>COVERED</v>
      </c>
      <c r="F12" s="0" t="str">
        <f aca="false">Assignment!C12</f>
        <v>SKU008</v>
      </c>
      <c r="G12" s="4" t="s">
        <v>237</v>
      </c>
      <c r="H12" s="0" t="str">
        <f aca="false">Assignment!E12</f>
        <v>C08</v>
      </c>
    </row>
    <row r="13" customFormat="false" ht="15" hidden="false" customHeight="false" outlineLevel="0" collapsed="false">
      <c r="A13" s="0" t="s">
        <v>252</v>
      </c>
      <c r="B13" s="0" t="s">
        <v>398</v>
      </c>
      <c r="C13" s="0" t="n">
        <f aca="false">COUNTIF(Assignment!$E$5:$E$100,A13)</f>
        <v>1</v>
      </c>
      <c r="D13" s="0" t="str">
        <f aca="false">IF(C13&gt;0,"COVERED","MISSING")</f>
        <v>COVERED</v>
      </c>
      <c r="F13" s="0" t="str">
        <f aca="false">Assignment!C13</f>
        <v>SKU009</v>
      </c>
      <c r="G13" s="4" t="s">
        <v>237</v>
      </c>
      <c r="H13" s="0" t="str">
        <f aca="false">Assignment!E13</f>
        <v>C09</v>
      </c>
    </row>
    <row r="14" customFormat="false" ht="15" hidden="false" customHeight="false" outlineLevel="0" collapsed="false">
      <c r="A14" s="0" t="s">
        <v>253</v>
      </c>
      <c r="B14" s="0" t="s">
        <v>399</v>
      </c>
      <c r="C14" s="0" t="n">
        <f aca="false">COUNTIF(Assignment!$E$5:$E$100,A14)</f>
        <v>1</v>
      </c>
      <c r="D14" s="0" t="str">
        <f aca="false">IF(C14&gt;0,"COVERED","MISSING")</f>
        <v>COVERED</v>
      </c>
      <c r="F14" s="0" t="str">
        <f aca="false">Assignment!C14</f>
        <v>SKU010</v>
      </c>
      <c r="G14" s="4" t="s">
        <v>237</v>
      </c>
      <c r="H14" s="0" t="str">
        <f aca="false">Assignment!E14</f>
        <v>C10</v>
      </c>
    </row>
    <row r="15" customFormat="false" ht="15" hidden="false" customHeight="false" outlineLevel="0" collapsed="false">
      <c r="A15" s="0" t="s">
        <v>254</v>
      </c>
      <c r="B15" s="0" t="s">
        <v>400</v>
      </c>
      <c r="C15" s="0" t="n">
        <f aca="false">COUNTIF(Assignment!$E$5:$E$100,A15)</f>
        <v>1</v>
      </c>
      <c r="D15" s="0" t="str">
        <f aca="false">IF(C15&gt;0,"COVERED","MISSING")</f>
        <v>COVERED</v>
      </c>
      <c r="F15" s="0" t="str">
        <f aca="false">Assignment!C15</f>
        <v>SKU011</v>
      </c>
      <c r="G15" s="4" t="s">
        <v>237</v>
      </c>
      <c r="H15" s="0" t="str">
        <f aca="false">Assignment!E15</f>
        <v>C11</v>
      </c>
    </row>
    <row r="16" customFormat="false" ht="15" hidden="false" customHeight="false" outlineLevel="0" collapsed="false">
      <c r="A16" s="0" t="s">
        <v>256</v>
      </c>
      <c r="B16" s="0" t="s">
        <v>401</v>
      </c>
      <c r="C16" s="0" t="n">
        <f aca="false">COUNTIF(Assignment!$E$5:$E$100,A16)</f>
        <v>1</v>
      </c>
      <c r="D16" s="0" t="str">
        <f aca="false">IF(C16&gt;0,"COVERED","MISSING")</f>
        <v>COVERED</v>
      </c>
      <c r="F16" s="0" t="str">
        <f aca="false">Assignment!C16</f>
        <v>SKU012</v>
      </c>
      <c r="G16" s="4" t="s">
        <v>237</v>
      </c>
      <c r="H16" s="0" t="str">
        <f aca="false">Assignment!E16</f>
        <v>C12</v>
      </c>
    </row>
    <row r="17" customFormat="false" ht="15" hidden="false" customHeight="false" outlineLevel="0" collapsed="false">
      <c r="A17" s="0" t="s">
        <v>257</v>
      </c>
      <c r="B17" s="0" t="s">
        <v>402</v>
      </c>
      <c r="C17" s="0" t="n">
        <f aca="false">COUNTIF(Assignment!$E$5:$E$100,A17)</f>
        <v>1</v>
      </c>
      <c r="D17" s="0" t="str">
        <f aca="false">IF(C17&gt;0,"COVERED","MISSING")</f>
        <v>COVERED</v>
      </c>
      <c r="F17" s="0" t="str">
        <f aca="false">Assignment!C17</f>
        <v>SKU013</v>
      </c>
      <c r="G17" s="4" t="s">
        <v>237</v>
      </c>
      <c r="H17" s="0" t="str">
        <f aca="false">Assignment!E17</f>
        <v>C13</v>
      </c>
    </row>
    <row r="18" customFormat="false" ht="15" hidden="false" customHeight="false" outlineLevel="0" collapsed="false">
      <c r="A18" s="0" t="s">
        <v>259</v>
      </c>
      <c r="B18" s="0" t="s">
        <v>403</v>
      </c>
      <c r="C18" s="0" t="n">
        <f aca="false">COUNTIF(Assignment!$E$5:$E$100,A18)</f>
        <v>1</v>
      </c>
      <c r="D18" s="0" t="str">
        <f aca="false">IF(C18&gt;0,"COVERED","MISSING")</f>
        <v>COVERED</v>
      </c>
      <c r="F18" s="0" t="str">
        <f aca="false">Assignment!C18</f>
        <v>SKU014</v>
      </c>
      <c r="G18" s="4" t="s">
        <v>237</v>
      </c>
      <c r="H18" s="0" t="str">
        <f aca="false">Assignment!E18</f>
        <v>C14</v>
      </c>
    </row>
    <row r="19" customFormat="false" ht="15" hidden="false" customHeight="false" outlineLevel="0" collapsed="false">
      <c r="F19" s="0" t="str">
        <f aca="false">Assignment!C19</f>
        <v>SKU015</v>
      </c>
      <c r="G19" s="0" t="s">
        <v>237</v>
      </c>
      <c r="H19" s="0" t="str">
        <f aca="false">Assignment!E19</f>
        <v>C01</v>
      </c>
    </row>
    <row r="20" customFormat="false" ht="15" hidden="false" customHeight="false" outlineLevel="0" collapsed="false">
      <c r="F20" s="0" t="str">
        <f aca="false">Assignment!C20</f>
        <v>SKU016</v>
      </c>
      <c r="G20" s="0" t="s">
        <v>237</v>
      </c>
      <c r="H20" s="0" t="str">
        <f aca="false">Assignment!E20</f>
        <v>C01</v>
      </c>
    </row>
    <row r="21" customFormat="false" ht="15" hidden="false" customHeight="false" outlineLevel="0" collapsed="false">
      <c r="F21" s="0" t="str">
        <f aca="false">Assignment!C21</f>
        <v>SKU017</v>
      </c>
      <c r="G21" s="0" t="s">
        <v>237</v>
      </c>
      <c r="H21" s="0" t="str">
        <f aca="false">Assignment!E21</f>
        <v>C01</v>
      </c>
    </row>
    <row r="22" customFormat="false" ht="15" hidden="false" customHeight="false" outlineLevel="0" collapsed="false">
      <c r="F22" s="0" t="str">
        <f aca="false">Assignment!C22</f>
        <v>SKU018</v>
      </c>
      <c r="G22" s="0" t="s">
        <v>237</v>
      </c>
      <c r="H22" s="0" t="str">
        <f aca="false">Assignment!E22</f>
        <v>C01</v>
      </c>
    </row>
    <row r="23" customFormat="false" ht="15" hidden="false" customHeight="false" outlineLevel="0" collapsed="false">
      <c r="F23" s="0" t="str">
        <f aca="false">Assignment!C23</f>
        <v>SKU019</v>
      </c>
      <c r="G23" s="0" t="s">
        <v>237</v>
      </c>
      <c r="H23" s="0" t="str">
        <f aca="false">Assignment!E23</f>
        <v>C01</v>
      </c>
    </row>
    <row r="24" customFormat="false" ht="15" hidden="false" customHeight="false" outlineLevel="0" collapsed="false">
      <c r="F24" s="0" t="str">
        <f aca="false">Assignment!C24</f>
        <v>SKU020</v>
      </c>
      <c r="G24" s="0" t="s">
        <v>237</v>
      </c>
      <c r="H24" s="0" t="str">
        <f aca="false">Assignment!E24</f>
        <v>C01</v>
      </c>
    </row>
    <row r="25" customFormat="false" ht="15" hidden="false" customHeight="false" outlineLevel="0" collapsed="false">
      <c r="F25" s="0" t="str">
        <f aca="false">Assignment!C25</f>
        <v>SKU021</v>
      </c>
      <c r="G25" s="0" t="s">
        <v>237</v>
      </c>
      <c r="H25" s="0" t="str">
        <f aca="false">Assignment!E25</f>
        <v>C01</v>
      </c>
    </row>
    <row r="26" customFormat="false" ht="15" hidden="false" customHeight="false" outlineLevel="0" collapsed="false">
      <c r="F26" s="0" t="str">
        <f aca="false">Assignment!C26</f>
        <v>SKU022</v>
      </c>
      <c r="G26" s="0" t="s">
        <v>237</v>
      </c>
      <c r="H26" s="0" t="str">
        <f aca="false">Assignment!E26</f>
        <v>C01</v>
      </c>
    </row>
    <row r="27" customFormat="false" ht="15" hidden="false" customHeight="false" outlineLevel="0" collapsed="false">
      <c r="F27" s="0" t="str">
        <f aca="false">Assignment!C27</f>
        <v>SKU023</v>
      </c>
      <c r="G27" s="0" t="s">
        <v>237</v>
      </c>
      <c r="H27" s="0" t="str">
        <f aca="false">Assignment!E27</f>
        <v>C01</v>
      </c>
    </row>
    <row r="28" customFormat="false" ht="15" hidden="false" customHeight="false" outlineLevel="0" collapsed="false">
      <c r="F28" s="0" t="str">
        <f aca="false">Assignment!C28</f>
        <v>SKU024</v>
      </c>
      <c r="G28" s="0" t="s">
        <v>237</v>
      </c>
      <c r="H28" s="0" t="str">
        <f aca="false">Assignment!E28</f>
        <v>C01</v>
      </c>
    </row>
    <row r="29" customFormat="false" ht="15" hidden="false" customHeight="false" outlineLevel="0" collapsed="false">
      <c r="F29" s="0" t="str">
        <f aca="false">Assignment!C29</f>
        <v>SKU025</v>
      </c>
      <c r="G29" s="0" t="s">
        <v>237</v>
      </c>
      <c r="H29" s="0" t="str">
        <f aca="false">Assignment!E29</f>
        <v>C01</v>
      </c>
    </row>
    <row r="30" customFormat="false" ht="15" hidden="false" customHeight="false" outlineLevel="0" collapsed="false">
      <c r="F30" s="0" t="str">
        <f aca="false">Assignment!C30</f>
        <v>SKU026</v>
      </c>
      <c r="G30" s="0" t="s">
        <v>237</v>
      </c>
      <c r="H30" s="0" t="str">
        <f aca="false">Assignment!E30</f>
        <v>C01</v>
      </c>
    </row>
    <row r="31" customFormat="false" ht="15" hidden="false" customHeight="false" outlineLevel="0" collapsed="false">
      <c r="F31" s="0" t="str">
        <f aca="false">Assignment!C31</f>
        <v>SKU027</v>
      </c>
      <c r="G31" s="0" t="s">
        <v>237</v>
      </c>
      <c r="H31" s="0" t="str">
        <f aca="false">Assignment!E31</f>
        <v>C01</v>
      </c>
    </row>
    <row r="32" customFormat="false" ht="15" hidden="false" customHeight="false" outlineLevel="0" collapsed="false">
      <c r="F32" s="0" t="str">
        <f aca="false">Assignment!C32</f>
        <v>SKU028</v>
      </c>
      <c r="G32" s="0" t="s">
        <v>237</v>
      </c>
      <c r="H32" s="0" t="str">
        <f aca="false">Assignment!E32</f>
        <v>C01</v>
      </c>
    </row>
    <row r="33" customFormat="false" ht="15" hidden="false" customHeight="false" outlineLevel="0" collapsed="false">
      <c r="F33" s="0" t="str">
        <f aca="false">Assignment!C33</f>
        <v>SKU029</v>
      </c>
      <c r="G33" s="0" t="s">
        <v>237</v>
      </c>
      <c r="H33" s="0" t="str">
        <f aca="false">Assignment!E33</f>
        <v>C01</v>
      </c>
    </row>
    <row r="34" customFormat="false" ht="15" hidden="false" customHeight="false" outlineLevel="0" collapsed="false">
      <c r="F34" s="0" t="str">
        <f aca="false">Assignment!C34</f>
        <v>SKU030</v>
      </c>
      <c r="G34" s="0" t="s">
        <v>237</v>
      </c>
      <c r="H34" s="0" t="str">
        <f aca="false">Assignment!E34</f>
        <v>C01</v>
      </c>
    </row>
    <row r="35" customFormat="false" ht="15" hidden="false" customHeight="false" outlineLevel="0" collapsed="false">
      <c r="F35" s="0" t="str">
        <f aca="false">Assignment!C35</f>
        <v>SKU031</v>
      </c>
      <c r="G35" s="0" t="s">
        <v>237</v>
      </c>
      <c r="H35" s="0" t="str">
        <f aca="false">Assignment!E35</f>
        <v>C01</v>
      </c>
    </row>
    <row r="36" customFormat="false" ht="15" hidden="false" customHeight="false" outlineLevel="0" collapsed="false">
      <c r="F36" s="0" t="str">
        <f aca="false">Assignment!C36</f>
        <v>SKU032</v>
      </c>
      <c r="G36" s="0" t="s">
        <v>237</v>
      </c>
      <c r="H36" s="0" t="str">
        <f aca="false">Assignment!E36</f>
        <v>C01</v>
      </c>
    </row>
    <row r="37" customFormat="false" ht="15" hidden="false" customHeight="false" outlineLevel="0" collapsed="false">
      <c r="F37" s="0" t="str">
        <f aca="false">Assignment!C37</f>
        <v>SKU033</v>
      </c>
      <c r="G37" s="0" t="s">
        <v>237</v>
      </c>
      <c r="H37" s="0" t="str">
        <f aca="false">Assignment!E37</f>
        <v>C01</v>
      </c>
    </row>
    <row r="38" customFormat="false" ht="15" hidden="false" customHeight="false" outlineLevel="0" collapsed="false">
      <c r="F38" s="0" t="str">
        <f aca="false">Assignment!C38</f>
        <v>SKU034</v>
      </c>
      <c r="G38" s="0" t="s">
        <v>237</v>
      </c>
      <c r="H38" s="0" t="str">
        <f aca="false">Assignment!E38</f>
        <v>C01</v>
      </c>
    </row>
    <row r="39" customFormat="false" ht="15" hidden="false" customHeight="false" outlineLevel="0" collapsed="false">
      <c r="F39" s="0" t="str">
        <f aca="false">Assignment!C39</f>
        <v>SKU035</v>
      </c>
      <c r="G39" s="0" t="s">
        <v>237</v>
      </c>
      <c r="H39" s="0" t="str">
        <f aca="false">Assignment!E39</f>
        <v>C01</v>
      </c>
    </row>
    <row r="40" customFormat="false" ht="15" hidden="false" customHeight="false" outlineLevel="0" collapsed="false">
      <c r="F40" s="0" t="str">
        <f aca="false">Assignment!C40</f>
        <v>SKU036</v>
      </c>
      <c r="G40" s="0" t="s">
        <v>237</v>
      </c>
      <c r="H40" s="0" t="str">
        <f aca="false">Assignment!E40</f>
        <v>C01</v>
      </c>
    </row>
    <row r="41" customFormat="false" ht="15" hidden="false" customHeight="false" outlineLevel="0" collapsed="false">
      <c r="F41" s="0" t="str">
        <f aca="false">Assignment!C41</f>
        <v>SKU037</v>
      </c>
      <c r="G41" s="0" t="s">
        <v>237</v>
      </c>
      <c r="H41" s="0" t="str">
        <f aca="false">Assignment!E41</f>
        <v>C01</v>
      </c>
    </row>
    <row r="42" customFormat="false" ht="15" hidden="false" customHeight="false" outlineLevel="0" collapsed="false">
      <c r="F42" s="0" t="str">
        <f aca="false">Assignment!C42</f>
        <v>SKU038</v>
      </c>
      <c r="G42" s="0" t="s">
        <v>237</v>
      </c>
      <c r="H42" s="0" t="str">
        <f aca="false">Assignment!E42</f>
        <v>C01</v>
      </c>
    </row>
    <row r="43" customFormat="false" ht="15" hidden="false" customHeight="false" outlineLevel="0" collapsed="false">
      <c r="F43" s="0" t="str">
        <f aca="false">Assignment!C43</f>
        <v>SKU039</v>
      </c>
      <c r="G43" s="0" t="s">
        <v>237</v>
      </c>
      <c r="H43" s="0" t="str">
        <f aca="false">Assignment!E43</f>
        <v>C01</v>
      </c>
    </row>
    <row r="44" customFormat="false" ht="15" hidden="false" customHeight="false" outlineLevel="0" collapsed="false">
      <c r="F44" s="0" t="str">
        <f aca="false">Assignment!C44</f>
        <v>SKU040</v>
      </c>
      <c r="G44" s="0" t="s">
        <v>237</v>
      </c>
      <c r="H44" s="0" t="str">
        <f aca="false">Assignment!E44</f>
        <v>C01</v>
      </c>
    </row>
    <row r="45" customFormat="false" ht="15" hidden="false" customHeight="false" outlineLevel="0" collapsed="false">
      <c r="F45" s="0" t="str">
        <f aca="false">Assignment!C45</f>
        <v>SKU041</v>
      </c>
      <c r="G45" s="0" t="s">
        <v>237</v>
      </c>
      <c r="H45" s="0" t="str">
        <f aca="false">Assignment!E45</f>
        <v>C01</v>
      </c>
    </row>
    <row r="46" customFormat="false" ht="15" hidden="false" customHeight="false" outlineLevel="0" collapsed="false">
      <c r="F46" s="0" t="str">
        <f aca="false">Assignment!C46</f>
        <v>SKU042</v>
      </c>
      <c r="G46" s="0" t="s">
        <v>237</v>
      </c>
      <c r="H46" s="0" t="str">
        <f aca="false">Assignment!E46</f>
        <v>C01</v>
      </c>
    </row>
    <row r="47" customFormat="false" ht="15" hidden="false" customHeight="false" outlineLevel="0" collapsed="false">
      <c r="F47" s="0" t="str">
        <f aca="false">Assignment!C47</f>
        <v>SKU043</v>
      </c>
      <c r="G47" s="0" t="s">
        <v>237</v>
      </c>
      <c r="H47" s="0" t="str">
        <f aca="false">Assignment!E47</f>
        <v>C01</v>
      </c>
    </row>
    <row r="48" customFormat="false" ht="15" hidden="false" customHeight="false" outlineLevel="0" collapsed="false">
      <c r="F48" s="0" t="str">
        <f aca="false">Assignment!C48</f>
        <v>SKU044</v>
      </c>
      <c r="G48" s="0" t="s">
        <v>237</v>
      </c>
      <c r="H48" s="0" t="str">
        <f aca="false">Assignment!E48</f>
        <v>C01</v>
      </c>
    </row>
    <row r="49" customFormat="false" ht="15" hidden="false" customHeight="false" outlineLevel="0" collapsed="false">
      <c r="F49" s="0" t="str">
        <f aca="false">Assignment!C49</f>
        <v>SKU045</v>
      </c>
      <c r="G49" s="0" t="s">
        <v>237</v>
      </c>
      <c r="H49" s="0" t="str">
        <f aca="false">Assignment!E49</f>
        <v>C01</v>
      </c>
    </row>
    <row r="50" customFormat="false" ht="15" hidden="false" customHeight="false" outlineLevel="0" collapsed="false">
      <c r="F50" s="0" t="str">
        <f aca="false">Assignment!C50</f>
        <v>SKU046</v>
      </c>
      <c r="G50" s="0" t="s">
        <v>237</v>
      </c>
      <c r="H50" s="0" t="str">
        <f aca="false">Assignment!E50</f>
        <v>C01</v>
      </c>
    </row>
    <row r="51" customFormat="false" ht="15" hidden="false" customHeight="false" outlineLevel="0" collapsed="false">
      <c r="F51" s="0" t="str">
        <f aca="false">Assignment!C51</f>
        <v>SKU047</v>
      </c>
      <c r="G51" s="0" t="s">
        <v>237</v>
      </c>
      <c r="H51" s="0" t="str">
        <f aca="false">Assignment!E51</f>
        <v>C01</v>
      </c>
    </row>
    <row r="52" customFormat="false" ht="15" hidden="false" customHeight="false" outlineLevel="0" collapsed="false">
      <c r="F52" s="0" t="str">
        <f aca="false">Assignment!C52</f>
        <v>SKU048</v>
      </c>
      <c r="G52" s="0" t="s">
        <v>237</v>
      </c>
      <c r="H52" s="0" t="str">
        <f aca="false">Assignment!E52</f>
        <v>C01</v>
      </c>
    </row>
    <row r="53" customFormat="false" ht="15" hidden="false" customHeight="false" outlineLevel="0" collapsed="false">
      <c r="F53" s="0" t="str">
        <f aca="false">Assignment!C53</f>
        <v>SKU049</v>
      </c>
      <c r="G53" s="0" t="s">
        <v>237</v>
      </c>
      <c r="H53" s="0" t="str">
        <f aca="false">Assignment!E53</f>
        <v>C01</v>
      </c>
    </row>
    <row r="54" customFormat="false" ht="15" hidden="false" customHeight="false" outlineLevel="0" collapsed="false">
      <c r="F54" s="0" t="str">
        <f aca="false">Assignment!C54</f>
        <v>SKU050</v>
      </c>
      <c r="G54" s="0" t="s">
        <v>237</v>
      </c>
      <c r="H54" s="0" t="str">
        <f aca="false">Assignment!E54</f>
        <v>C01</v>
      </c>
    </row>
    <row r="55" customFormat="false" ht="15" hidden="false" customHeight="false" outlineLevel="0" collapsed="false">
      <c r="F55" s="0" t="str">
        <f aca="false">Assignment!C55</f>
        <v>SKU051</v>
      </c>
      <c r="G55" s="0" t="s">
        <v>237</v>
      </c>
      <c r="H55" s="0" t="str">
        <f aca="false">Assignment!E55</f>
        <v>C01</v>
      </c>
    </row>
    <row r="56" customFormat="false" ht="15" hidden="false" customHeight="false" outlineLevel="0" collapsed="false">
      <c r="F56" s="0" t="str">
        <f aca="false">Assignment!C56</f>
        <v>SKU052</v>
      </c>
      <c r="G56" s="0" t="s">
        <v>237</v>
      </c>
      <c r="H56" s="0" t="str">
        <f aca="false">Assignment!E56</f>
        <v>C01</v>
      </c>
    </row>
    <row r="57" customFormat="false" ht="15" hidden="false" customHeight="false" outlineLevel="0" collapsed="false">
      <c r="F57" s="0" t="str">
        <f aca="false">Assignment!C57</f>
        <v>SKU053</v>
      </c>
      <c r="G57" s="0" t="s">
        <v>237</v>
      </c>
      <c r="H57" s="0" t="str">
        <f aca="false">Assignment!E57</f>
        <v>C01</v>
      </c>
    </row>
    <row r="58" customFormat="false" ht="15" hidden="false" customHeight="false" outlineLevel="0" collapsed="false">
      <c r="F58" s="0" t="str">
        <f aca="false">Assignment!C58</f>
        <v>SKU054</v>
      </c>
      <c r="G58" s="0" t="s">
        <v>237</v>
      </c>
      <c r="H58" s="0" t="str">
        <f aca="false">Assignment!E58</f>
        <v>C01</v>
      </c>
    </row>
    <row r="59" customFormat="false" ht="15" hidden="false" customHeight="false" outlineLevel="0" collapsed="false">
      <c r="F59" s="0" t="str">
        <f aca="false">Assignment!C59</f>
        <v>SKU055</v>
      </c>
      <c r="G59" s="0" t="s">
        <v>237</v>
      </c>
      <c r="H59" s="0" t="str">
        <f aca="false">Assignment!E59</f>
        <v>C01</v>
      </c>
    </row>
    <row r="60" customFormat="false" ht="15" hidden="false" customHeight="false" outlineLevel="0" collapsed="false">
      <c r="F60" s="0" t="str">
        <f aca="false">Assignment!C60</f>
        <v>SKU056</v>
      </c>
      <c r="G60" s="0" t="s">
        <v>237</v>
      </c>
      <c r="H60" s="0" t="str">
        <f aca="false">Assignment!E60</f>
        <v>C01</v>
      </c>
    </row>
    <row r="61" customFormat="false" ht="15" hidden="false" customHeight="false" outlineLevel="0" collapsed="false">
      <c r="F61" s="0" t="str">
        <f aca="false">Assignment!C61</f>
        <v>SKU057</v>
      </c>
      <c r="G61" s="0" t="s">
        <v>237</v>
      </c>
      <c r="H61" s="0" t="str">
        <f aca="false">Assignment!E61</f>
        <v>C01</v>
      </c>
    </row>
    <row r="62" customFormat="false" ht="15" hidden="false" customHeight="false" outlineLevel="0" collapsed="false">
      <c r="F62" s="0" t="str">
        <f aca="false">Assignment!C62</f>
        <v>SKU058</v>
      </c>
      <c r="G62" s="0" t="s">
        <v>237</v>
      </c>
      <c r="H62" s="0" t="str">
        <f aca="false">Assignment!E62</f>
        <v>C01</v>
      </c>
    </row>
    <row r="63" customFormat="false" ht="15" hidden="false" customHeight="false" outlineLevel="0" collapsed="false">
      <c r="F63" s="0" t="str">
        <f aca="false">Assignment!C63</f>
        <v>SKU059</v>
      </c>
      <c r="G63" s="0" t="s">
        <v>237</v>
      </c>
      <c r="H63" s="0" t="str">
        <f aca="false">Assignment!E63</f>
        <v>C01</v>
      </c>
    </row>
    <row r="64" customFormat="false" ht="15" hidden="false" customHeight="false" outlineLevel="0" collapsed="false">
      <c r="F64" s="0" t="str">
        <f aca="false">Assignment!C64</f>
        <v>SKU060</v>
      </c>
      <c r="G64" s="0" t="s">
        <v>237</v>
      </c>
      <c r="H64" s="0" t="str">
        <f aca="false">Assignment!E64</f>
        <v>C01</v>
      </c>
    </row>
    <row r="65" customFormat="false" ht="15" hidden="false" customHeight="false" outlineLevel="0" collapsed="false">
      <c r="F65" s="0" t="str">
        <f aca="false">Assignment!C65</f>
        <v>SKU061</v>
      </c>
      <c r="G65" s="0" t="s">
        <v>237</v>
      </c>
      <c r="H65" s="0" t="str">
        <f aca="false">Assignment!E65</f>
        <v>C01</v>
      </c>
    </row>
    <row r="66" customFormat="false" ht="15" hidden="false" customHeight="false" outlineLevel="0" collapsed="false">
      <c r="F66" s="0" t="str">
        <f aca="false">Assignment!C66</f>
        <v>SKU062</v>
      </c>
      <c r="G66" s="0" t="s">
        <v>237</v>
      </c>
      <c r="H66" s="0" t="str">
        <f aca="false">Assignment!E66</f>
        <v>C01</v>
      </c>
    </row>
    <row r="67" customFormat="false" ht="15" hidden="false" customHeight="false" outlineLevel="0" collapsed="false">
      <c r="F67" s="0" t="str">
        <f aca="false">Assignment!C67</f>
        <v>SKU063</v>
      </c>
      <c r="G67" s="0" t="s">
        <v>237</v>
      </c>
      <c r="H67" s="0" t="str">
        <f aca="false">Assignment!E67</f>
        <v>C01</v>
      </c>
    </row>
    <row r="68" customFormat="false" ht="15" hidden="false" customHeight="false" outlineLevel="0" collapsed="false">
      <c r="F68" s="0" t="str">
        <f aca="false">Assignment!C68</f>
        <v>SKU064</v>
      </c>
      <c r="G68" s="0" t="s">
        <v>237</v>
      </c>
      <c r="H68" s="0" t="str">
        <f aca="false">Assignment!E68</f>
        <v>C01</v>
      </c>
    </row>
    <row r="69" customFormat="false" ht="15" hidden="false" customHeight="false" outlineLevel="0" collapsed="false">
      <c r="F69" s="0" t="str">
        <f aca="false">Assignment!C69</f>
        <v>SKU065</v>
      </c>
      <c r="G69" s="0" t="s">
        <v>237</v>
      </c>
      <c r="H69" s="0" t="str">
        <f aca="false">Assignment!E69</f>
        <v>C01</v>
      </c>
    </row>
    <row r="70" customFormat="false" ht="15" hidden="false" customHeight="false" outlineLevel="0" collapsed="false">
      <c r="F70" s="0" t="str">
        <f aca="false">Assignment!C70</f>
        <v>SKU066</v>
      </c>
      <c r="G70" s="0" t="s">
        <v>237</v>
      </c>
      <c r="H70" s="0" t="str">
        <f aca="false">Assignment!E70</f>
        <v>C01</v>
      </c>
    </row>
    <row r="71" customFormat="false" ht="15" hidden="false" customHeight="false" outlineLevel="0" collapsed="false">
      <c r="F71" s="0" t="str">
        <f aca="false">Assignment!C71</f>
        <v>SKU067</v>
      </c>
      <c r="G71" s="0" t="s">
        <v>237</v>
      </c>
      <c r="H71" s="0" t="str">
        <f aca="false">Assignment!E71</f>
        <v>C01</v>
      </c>
    </row>
    <row r="72" customFormat="false" ht="15" hidden="false" customHeight="false" outlineLevel="0" collapsed="false">
      <c r="F72" s="0" t="str">
        <f aca="false">Assignment!C72</f>
        <v>SKU068</v>
      </c>
      <c r="G72" s="0" t="s">
        <v>237</v>
      </c>
      <c r="H72" s="0" t="str">
        <f aca="false">Assignment!E72</f>
        <v>C01</v>
      </c>
    </row>
    <row r="73" customFormat="false" ht="15" hidden="false" customHeight="false" outlineLevel="0" collapsed="false">
      <c r="F73" s="0" t="str">
        <f aca="false">Assignment!C73</f>
        <v>SKU069</v>
      </c>
      <c r="G73" s="0" t="s">
        <v>237</v>
      </c>
      <c r="H73" s="0" t="str">
        <f aca="false">Assignment!E73</f>
        <v>C01</v>
      </c>
    </row>
    <row r="74" customFormat="false" ht="15" hidden="false" customHeight="false" outlineLevel="0" collapsed="false">
      <c r="F74" s="0" t="str">
        <f aca="false">Assignment!C74</f>
        <v>SKU070</v>
      </c>
      <c r="G74" s="0" t="s">
        <v>237</v>
      </c>
      <c r="H74" s="0" t="str">
        <f aca="false">Assignment!E74</f>
        <v>C01</v>
      </c>
    </row>
    <row r="75" customFormat="false" ht="15" hidden="false" customHeight="false" outlineLevel="0" collapsed="false">
      <c r="F75" s="0" t="str">
        <f aca="false">Assignment!C75</f>
        <v>SKU071</v>
      </c>
      <c r="G75" s="0" t="s">
        <v>237</v>
      </c>
      <c r="H75" s="0" t="str">
        <f aca="false">Assignment!E75</f>
        <v>C01</v>
      </c>
    </row>
    <row r="76" customFormat="false" ht="15" hidden="false" customHeight="false" outlineLevel="0" collapsed="false">
      <c r="F76" s="0" t="str">
        <f aca="false">Assignment!C76</f>
        <v>SKU072</v>
      </c>
      <c r="G76" s="0" t="s">
        <v>237</v>
      </c>
      <c r="H76" s="0" t="str">
        <f aca="false">Assignment!E76</f>
        <v>C01</v>
      </c>
    </row>
    <row r="77" customFormat="false" ht="15" hidden="false" customHeight="false" outlineLevel="0" collapsed="false">
      <c r="F77" s="0" t="str">
        <f aca="false">Assignment!C77</f>
        <v>SKU073</v>
      </c>
      <c r="G77" s="0" t="s">
        <v>237</v>
      </c>
      <c r="H77" s="0" t="str">
        <f aca="false">Assignment!E77</f>
        <v>C01</v>
      </c>
    </row>
    <row r="78" customFormat="false" ht="15" hidden="false" customHeight="false" outlineLevel="0" collapsed="false">
      <c r="F78" s="0" t="str">
        <f aca="false">Assignment!C78</f>
        <v>SKU074</v>
      </c>
      <c r="G78" s="0" t="s">
        <v>237</v>
      </c>
      <c r="H78" s="0" t="str">
        <f aca="false">Assignment!E78</f>
        <v>C01</v>
      </c>
    </row>
    <row r="79" customFormat="false" ht="15" hidden="false" customHeight="false" outlineLevel="0" collapsed="false">
      <c r="F79" s="0" t="str">
        <f aca="false">Assignment!C79</f>
        <v>SKU075</v>
      </c>
      <c r="G79" s="0" t="s">
        <v>237</v>
      </c>
      <c r="H79" s="0" t="str">
        <f aca="false">Assignment!E79</f>
        <v>C01</v>
      </c>
    </row>
    <row r="80" customFormat="false" ht="15" hidden="false" customHeight="false" outlineLevel="0" collapsed="false">
      <c r="F80" s="0" t="str">
        <f aca="false">Assignment!C80</f>
        <v>SKU076</v>
      </c>
      <c r="G80" s="0" t="s">
        <v>237</v>
      </c>
      <c r="H80" s="0" t="str">
        <f aca="false">Assignment!E80</f>
        <v>C01</v>
      </c>
    </row>
    <row r="81" customFormat="false" ht="15" hidden="false" customHeight="false" outlineLevel="0" collapsed="false">
      <c r="F81" s="0" t="str">
        <f aca="false">Assignment!C81</f>
        <v>SKU077</v>
      </c>
      <c r="G81" s="0" t="s">
        <v>237</v>
      </c>
      <c r="H81" s="0" t="str">
        <f aca="false">Assignment!E81</f>
        <v>C01</v>
      </c>
    </row>
    <row r="82" customFormat="false" ht="15" hidden="false" customHeight="false" outlineLevel="0" collapsed="false">
      <c r="F82" s="0" t="str">
        <f aca="false">Assignment!C82</f>
        <v>SKU078</v>
      </c>
      <c r="G82" s="0" t="s">
        <v>237</v>
      </c>
      <c r="H82" s="0" t="str">
        <f aca="false">Assignment!E82</f>
        <v>C01</v>
      </c>
    </row>
    <row r="83" customFormat="false" ht="15" hidden="false" customHeight="false" outlineLevel="0" collapsed="false">
      <c r="F83" s="0" t="str">
        <f aca="false">Assignment!C83</f>
        <v>SKU079</v>
      </c>
      <c r="G83" s="0" t="s">
        <v>237</v>
      </c>
      <c r="H83" s="0" t="str">
        <f aca="false">Assignment!E83</f>
        <v>C01</v>
      </c>
    </row>
    <row r="84" customFormat="false" ht="15" hidden="false" customHeight="false" outlineLevel="0" collapsed="false">
      <c r="F84" s="0" t="str">
        <f aca="false">Assignment!C84</f>
        <v>SKU080</v>
      </c>
      <c r="G84" s="0" t="s">
        <v>237</v>
      </c>
      <c r="H84" s="0" t="str">
        <f aca="false">Assignment!E84</f>
        <v>C01</v>
      </c>
    </row>
    <row r="85" customFormat="false" ht="15" hidden="false" customHeight="false" outlineLevel="0" collapsed="false">
      <c r="F85" s="0" t="str">
        <f aca="false">Assignment!C85</f>
        <v>SKU081</v>
      </c>
      <c r="G85" s="0" t="s">
        <v>237</v>
      </c>
      <c r="H85" s="0" t="str">
        <f aca="false">Assignment!E85</f>
        <v>C01</v>
      </c>
    </row>
    <row r="86" customFormat="false" ht="15" hidden="false" customHeight="false" outlineLevel="0" collapsed="false">
      <c r="F86" s="0" t="str">
        <f aca="false">Assignment!C86</f>
        <v>SKU082</v>
      </c>
      <c r="G86" s="0" t="s">
        <v>237</v>
      </c>
      <c r="H86" s="0" t="str">
        <f aca="false">Assignment!E86</f>
        <v>C01</v>
      </c>
    </row>
    <row r="87" customFormat="false" ht="15" hidden="false" customHeight="false" outlineLevel="0" collapsed="false">
      <c r="F87" s="0" t="str">
        <f aca="false">Assignment!C87</f>
        <v>SKU083</v>
      </c>
      <c r="G87" s="0" t="s">
        <v>237</v>
      </c>
      <c r="H87" s="0" t="str">
        <f aca="false">Assignment!E87</f>
        <v>C01</v>
      </c>
    </row>
    <row r="88" customFormat="false" ht="15" hidden="false" customHeight="false" outlineLevel="0" collapsed="false">
      <c r="F88" s="0" t="str">
        <f aca="false">Assignment!C88</f>
        <v>SKU084</v>
      </c>
      <c r="G88" s="0" t="s">
        <v>237</v>
      </c>
      <c r="H88" s="0" t="str">
        <f aca="false">Assignment!E88</f>
        <v>C01</v>
      </c>
    </row>
    <row r="89" customFormat="false" ht="15" hidden="false" customHeight="false" outlineLevel="0" collapsed="false">
      <c r="F89" s="0" t="str">
        <f aca="false">Assignment!C89</f>
        <v>SKU085</v>
      </c>
      <c r="G89" s="0" t="s">
        <v>237</v>
      </c>
      <c r="H89" s="0" t="str">
        <f aca="false">Assignment!E89</f>
        <v>C01</v>
      </c>
    </row>
    <row r="90" customFormat="false" ht="15" hidden="false" customHeight="false" outlineLevel="0" collapsed="false">
      <c r="F90" s="0" t="str">
        <f aca="false">Assignment!C90</f>
        <v>SKU086</v>
      </c>
      <c r="G90" s="0" t="s">
        <v>237</v>
      </c>
      <c r="H90" s="0" t="str">
        <f aca="false">Assignment!E90</f>
        <v>C01</v>
      </c>
    </row>
    <row r="91" customFormat="false" ht="15" hidden="false" customHeight="false" outlineLevel="0" collapsed="false">
      <c r="F91" s="0" t="str">
        <f aca="false">Assignment!C91</f>
        <v>SKU087</v>
      </c>
      <c r="G91" s="0" t="s">
        <v>237</v>
      </c>
      <c r="H91" s="0" t="str">
        <f aca="false">Assignment!E91</f>
        <v>C01</v>
      </c>
    </row>
    <row r="92" customFormat="false" ht="15" hidden="false" customHeight="false" outlineLevel="0" collapsed="false">
      <c r="F92" s="0" t="str">
        <f aca="false">Assignment!C92</f>
        <v>SKU088</v>
      </c>
      <c r="G92" s="0" t="s">
        <v>237</v>
      </c>
      <c r="H92" s="0" t="str">
        <f aca="false">Assignment!E92</f>
        <v>C01</v>
      </c>
    </row>
    <row r="93" customFormat="false" ht="15" hidden="false" customHeight="false" outlineLevel="0" collapsed="false">
      <c r="F93" s="0" t="str">
        <f aca="false">Assignment!C93</f>
        <v>SKU089</v>
      </c>
      <c r="G93" s="0" t="s">
        <v>237</v>
      </c>
      <c r="H93" s="0" t="str">
        <f aca="false">Assignment!E93</f>
        <v>C01</v>
      </c>
    </row>
    <row r="94" customFormat="false" ht="15" hidden="false" customHeight="false" outlineLevel="0" collapsed="false">
      <c r="F94" s="0" t="str">
        <f aca="false">Assignment!C94</f>
        <v>SKU090</v>
      </c>
      <c r="G94" s="0" t="s">
        <v>237</v>
      </c>
      <c r="H94" s="0" t="str">
        <f aca="false">Assignment!E94</f>
        <v>C01</v>
      </c>
    </row>
    <row r="95" customFormat="false" ht="15" hidden="false" customHeight="false" outlineLevel="0" collapsed="false">
      <c r="F95" s="0" t="str">
        <f aca="false">Assignment!C95</f>
        <v>SKU091</v>
      </c>
      <c r="G95" s="0" t="s">
        <v>237</v>
      </c>
      <c r="H95" s="0" t="str">
        <f aca="false">Assignment!E95</f>
        <v>C01</v>
      </c>
    </row>
    <row r="96" customFormat="false" ht="15" hidden="false" customHeight="false" outlineLevel="0" collapsed="false">
      <c r="F96" s="0" t="str">
        <f aca="false">Assignment!C96</f>
        <v>SKU092</v>
      </c>
      <c r="G96" s="0" t="s">
        <v>237</v>
      </c>
      <c r="H96" s="0" t="str">
        <f aca="false">Assignment!E96</f>
        <v>C01</v>
      </c>
    </row>
    <row r="97" customFormat="false" ht="15" hidden="false" customHeight="false" outlineLevel="0" collapsed="false">
      <c r="F97" s="0" t="str">
        <f aca="false">Assignment!C97</f>
        <v>SKU093</v>
      </c>
      <c r="G97" s="0" t="s">
        <v>237</v>
      </c>
      <c r="H97" s="0" t="str">
        <f aca="false">Assignment!E97</f>
        <v>C01</v>
      </c>
    </row>
    <row r="98" customFormat="false" ht="15" hidden="false" customHeight="false" outlineLevel="0" collapsed="false">
      <c r="F98" s="0" t="str">
        <f aca="false">Assignment!C98</f>
        <v>SKU094</v>
      </c>
      <c r="G98" s="0" t="s">
        <v>237</v>
      </c>
      <c r="H98" s="0" t="str">
        <f aca="false">Assignment!E98</f>
        <v>C01</v>
      </c>
    </row>
    <row r="99" customFormat="false" ht="15" hidden="false" customHeight="false" outlineLevel="0" collapsed="false">
      <c r="F99" s="0" t="str">
        <f aca="false">Assignment!C99</f>
        <v>SKU095</v>
      </c>
      <c r="G99" s="0" t="s">
        <v>237</v>
      </c>
      <c r="H99" s="0" t="str">
        <f aca="false">Assignment!E99</f>
        <v>C01</v>
      </c>
    </row>
    <row r="100" customFormat="false" ht="15" hidden="false" customHeight="false" outlineLevel="0" collapsed="false">
      <c r="F100" s="0" t="str">
        <f aca="false">Assignment!C100</f>
        <v>SKU096</v>
      </c>
      <c r="G100" s="0" t="s">
        <v>237</v>
      </c>
      <c r="H100" s="0" t="str">
        <f aca="false">Assignment!E100</f>
        <v>C01</v>
      </c>
    </row>
  </sheetData>
  <conditionalFormatting sqref="D5:D18">
    <cfRule type="expression" priority="2" aboveAverage="0" equalAverage="0" bottom="0" percent="0" rank="0" text="" dxfId="2">
      <formula>$D5="MISSING"</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34"/>
    <col collapsed="false" customWidth="true" hidden="false" outlineLevel="0" max="3" min="3" style="0" width="13"/>
  </cols>
  <sheetData>
    <row r="1" customFormat="false" ht="17.35" hidden="false" customHeight="false" outlineLevel="0" collapsed="false">
      <c r="A1" s="1" t="s">
        <v>404</v>
      </c>
    </row>
    <row r="2" customFormat="false" ht="15" hidden="false" customHeight="false" outlineLevel="0" collapsed="false">
      <c r="A2" s="0" t="s">
        <v>405</v>
      </c>
    </row>
    <row r="4" customFormat="false" ht="15" hidden="false" customHeight="false" outlineLevel="0" collapsed="false">
      <c r="A4" s="3" t="s">
        <v>406</v>
      </c>
      <c r="B4" s="3" t="s">
        <v>339</v>
      </c>
      <c r="C4" s="3" t="s">
        <v>407</v>
      </c>
    </row>
    <row r="5" customFormat="false" ht="15" hidden="false" customHeight="false" outlineLevel="0" collapsed="false">
      <c r="A5" s="0" t="s">
        <v>408</v>
      </c>
      <c r="B5" s="0" t="n">
        <f aca="false">COUNTA(Assignment!B5:B100)</f>
        <v>96</v>
      </c>
      <c r="C5" s="0" t="s">
        <v>409</v>
      </c>
    </row>
    <row r="6" customFormat="false" ht="15" hidden="false" customHeight="false" outlineLevel="0" collapsed="false">
      <c r="A6" s="0" t="s">
        <v>410</v>
      </c>
      <c r="B6" s="0" t="n">
        <f aca="false">SUMPRODUCT(1/COUNTIF(Assignment!B5:B100,Assignment!B5:B100))</f>
        <v>96</v>
      </c>
      <c r="C6" s="0" t="s">
        <v>409</v>
      </c>
    </row>
    <row r="7" customFormat="false" ht="15" hidden="false" customHeight="false" outlineLevel="0" collapsed="false">
      <c r="A7" s="0" t="s">
        <v>411</v>
      </c>
      <c r="B7" s="0" t="n">
        <f aca="false">SUMPRODUCT(1/COUNTIF(Assignment!C5:C100,Assignment!C5:C100))</f>
        <v>96</v>
      </c>
      <c r="C7" s="0" t="s">
        <v>409</v>
      </c>
    </row>
    <row r="8" customFormat="false" ht="15" hidden="false" customHeight="false" outlineLevel="0" collapsed="false">
      <c r="A8" s="0" t="s">
        <v>412</v>
      </c>
      <c r="B8" s="0" t="n">
        <f aca="false">COUNTIF(Assignment!J5:J100,"&lt;&gt;OK")</f>
        <v>0</v>
      </c>
      <c r="C8" s="0" t="s">
        <v>413</v>
      </c>
    </row>
    <row r="9" customFormat="false" ht="15" hidden="false" customHeight="false" outlineLevel="0" collapsed="false">
      <c r="A9" s="0" t="s">
        <v>414</v>
      </c>
      <c r="B9" s="0" t="n">
        <f aca="false">COUNTIF(Assignment!M5:M100,"&lt;&gt;OK")</f>
        <v>0</v>
      </c>
      <c r="C9" s="0" t="s">
        <v>413</v>
      </c>
    </row>
    <row r="10" customFormat="false" ht="15" hidden="false" customHeight="false" outlineLevel="0" collapsed="false">
      <c r="A10" s="0" t="s">
        <v>415</v>
      </c>
      <c r="B10" s="0" t="n">
        <f aca="false">COUNTIF(Assignment!T5:T100,"&lt;&gt;ELIGIBLE")</f>
        <v>0</v>
      </c>
      <c r="C10" s="0" t="s">
        <v>413</v>
      </c>
    </row>
    <row r="11" customFormat="false" ht="15" hidden="false" customHeight="false" outlineLevel="0" collapsed="false">
      <c r="A11" s="0" t="s">
        <v>416</v>
      </c>
      <c r="B11" s="0" t="n">
        <f aca="false">COUNTIF(Assignment!U5:U100,"&lt;&gt;CLEAR")</f>
        <v>0</v>
      </c>
      <c r="C11" s="0" t="s">
        <v>413</v>
      </c>
    </row>
    <row r="12" customFormat="false" ht="15" hidden="false" customHeight="false" outlineLevel="0" collapsed="false">
      <c r="A12" s="0" t="s">
        <v>417</v>
      </c>
      <c r="B12" s="0" t="n">
        <f aca="false">COUNTIF(Coverage!D5:D18,"MISSING")</f>
        <v>0</v>
      </c>
      <c r="C12" s="0" t="s">
        <v>413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3" min="1" style="0" width="34"/>
    <col collapsed="false" customWidth="true" hidden="false" outlineLevel="0" max="4" min="4" style="0" width="12"/>
    <col collapsed="false" customWidth="true" hidden="false" outlineLevel="0" max="5" min="5" style="0" width="34"/>
    <col collapsed="false" customWidth="true" hidden="false" outlineLevel="0" max="6" min="6" style="0" width="19"/>
    <col collapsed="false" customWidth="true" hidden="false" outlineLevel="0" max="7" min="7" style="0" width="18"/>
    <col collapsed="false" customWidth="true" hidden="false" outlineLevel="0" max="9" min="8" style="0" width="34"/>
  </cols>
  <sheetData>
    <row r="1" customFormat="false" ht="17.35" hidden="false" customHeight="false" outlineLevel="0" collapsed="false">
      <c r="A1" s="1" t="s">
        <v>418</v>
      </c>
    </row>
    <row r="2" customFormat="false" ht="15" hidden="false" customHeight="false" outlineLevel="0" collapsed="false">
      <c r="A2" s="0" t="s">
        <v>419</v>
      </c>
    </row>
    <row r="4" customFormat="false" ht="15" hidden="false" customHeight="false" outlineLevel="0" collapsed="false">
      <c r="A4" s="3" t="s">
        <v>420</v>
      </c>
      <c r="B4" s="3" t="s">
        <v>421</v>
      </c>
      <c r="C4" s="3" t="s">
        <v>422</v>
      </c>
      <c r="D4" s="3" t="s">
        <v>423</v>
      </c>
      <c r="E4" s="3" t="s">
        <v>424</v>
      </c>
      <c r="F4" s="3" t="s">
        <v>425</v>
      </c>
    </row>
    <row r="5" customFormat="false" ht="15" hidden="false" customHeight="false" outlineLevel="0" collapsed="false">
      <c r="A5" s="0" t="s">
        <v>426</v>
      </c>
      <c r="B5" s="0" t="n">
        <f aca="false">SUMPRODUCT(Data_Demand!$C$2:$C$97,1+0.5*(VLOOKUP(Data_Demand!$A$2:$A$97,Data_Current!$A$2:$B$97,2,FALSE())-1))</f>
        <v>189369</v>
      </c>
      <c r="C5" s="0" t="n">
        <f aca="false">SUMPRODUCT(Data_Demand!$C$2:$C$97,1+0.5*(Assignment!$A$5:$A$100-1))</f>
        <v>172624.5</v>
      </c>
      <c r="D5" s="0" t="n">
        <v>0.6</v>
      </c>
      <c r="E5" s="0" t="n">
        <f aca="false">B5*D5</f>
        <v>113621.4</v>
      </c>
      <c r="F5" s="0" t="n">
        <f aca="false">C5*D5</f>
        <v>103574.7</v>
      </c>
    </row>
    <row r="6" customFormat="false" ht="15" hidden="false" customHeight="false" outlineLevel="0" collapsed="false">
      <c r="A6" s="0" t="s">
        <v>427</v>
      </c>
      <c r="B6" s="0" t="n">
        <f aca="false">SUMPRODUCT(Data_CoPick!$C$2:$C$50,Data_CoPick!$E$2:$E$50)</f>
        <v>5306</v>
      </c>
      <c r="C6" s="0" t="n">
        <f aca="false">SUMPRODUCT(Data_CoPick!$C$2:$C$50,Data_CoPick!$F$2:$F$50)</f>
        <v>507</v>
      </c>
      <c r="D6" s="0" t="n">
        <v>0.15</v>
      </c>
      <c r="E6" s="0" t="n">
        <f aca="false">B6*D6</f>
        <v>795.9</v>
      </c>
      <c r="F6" s="0" t="n">
        <f aca="false">C6*D6</f>
        <v>76.05</v>
      </c>
    </row>
    <row r="7" customFormat="false" ht="15" hidden="false" customHeight="false" outlineLevel="0" collapsed="false">
      <c r="A7" s="0" t="s">
        <v>428</v>
      </c>
      <c r="B7" s="0" t="n">
        <f aca="false">SUM(Data_Demand!$E$2:$E$97/0.02)</f>
        <v>9.45</v>
      </c>
      <c r="C7" s="0" t="n">
        <f aca="false">SUM(Data_Demand!$E$2:$E$97/0.02)</f>
        <v>9.45</v>
      </c>
      <c r="D7" s="0" t="n">
        <v>0.15</v>
      </c>
      <c r="E7" s="0" t="n">
        <f aca="false">B7*D7</f>
        <v>1.4175</v>
      </c>
      <c r="F7" s="0" t="n">
        <f aca="false">C7*D7</f>
        <v>1.4175</v>
      </c>
    </row>
    <row r="8" customFormat="false" ht="15" hidden="false" customHeight="false" outlineLevel="0" collapsed="false">
      <c r="A8" s="0" t="s">
        <v>429</v>
      </c>
      <c r="B8" s="0" t="n">
        <f aca="false">SUMPRODUCT(--(Data_Candidates!$N$2:$N$97&lt;&gt;Data_Candidates!$N$3:$N$98))</f>
        <v>4</v>
      </c>
      <c r="C8" s="0" t="n">
        <f aca="false">SUM(Assignment!W5:W100)</f>
        <v>3</v>
      </c>
      <c r="D8" s="0" t="n">
        <v>0.1</v>
      </c>
      <c r="E8" s="0" t="n">
        <f aca="false">B8*D8</f>
        <v>0.4</v>
      </c>
      <c r="F8" s="0" t="n">
        <f aca="false">C8*D8</f>
        <v>0.3</v>
      </c>
    </row>
    <row r="10" customFormat="false" ht="15" hidden="false" customHeight="false" outlineLevel="0" collapsed="false">
      <c r="A10" s="0" t="s">
        <v>430</v>
      </c>
      <c r="B10" s="0" t="n">
        <f aca="false">SUM(E5:E8)</f>
        <v>114419.1175</v>
      </c>
      <c r="C10" s="0" t="n">
        <f aca="false">SUM(F5:F8)</f>
        <v>103652.4675</v>
      </c>
    </row>
    <row r="11" customFormat="false" ht="15" hidden="false" customHeight="false" outlineLevel="0" collapsed="false">
      <c r="A11" s="0" t="s">
        <v>431</v>
      </c>
      <c r="C11" s="0" t="n">
        <f aca="false">C10</f>
        <v>103652.4675</v>
      </c>
    </row>
    <row r="12" customFormat="false" ht="15" hidden="false" customHeight="false" outlineLevel="0" collapsed="false">
      <c r="A12" s="0" t="s">
        <v>432</v>
      </c>
      <c r="C12" s="0" t="n">
        <f aca="false">IF(C11=0,0,(C10-C11)/C11)</f>
        <v>0</v>
      </c>
    </row>
    <row r="13" customFormat="false" ht="15" hidden="false" customHeight="false" outlineLevel="0" collapsed="false">
      <c r="A13" s="0" t="s">
        <v>433</v>
      </c>
      <c r="C13" s="0" t="n">
        <f aca="false">B10-C10</f>
        <v>10766.65</v>
      </c>
    </row>
    <row r="16" customFormat="false" ht="15" hidden="false" customHeight="false" outlineLevel="0" collapsed="false">
      <c r="A16" s="3" t="s">
        <v>4</v>
      </c>
      <c r="B16" s="3" t="s">
        <v>434</v>
      </c>
      <c r="C16" s="3" t="s">
        <v>435</v>
      </c>
      <c r="D16" s="3" t="s">
        <v>436</v>
      </c>
      <c r="E16" s="3" t="s">
        <v>437</v>
      </c>
      <c r="F16" s="3" t="s">
        <v>438</v>
      </c>
      <c r="G16" s="3" t="s">
        <v>439</v>
      </c>
      <c r="H16" s="3" t="s">
        <v>440</v>
      </c>
      <c r="I16" s="3" t="s">
        <v>441</v>
      </c>
    </row>
    <row r="17" customFormat="false" ht="15" hidden="false" customHeight="false" outlineLevel="0" collapsed="false">
      <c r="A17" s="0" t="str">
        <f aca="false">Data_Demand!A2</f>
        <v>SKU001</v>
      </c>
      <c r="B17" s="0" t="n">
        <f aca="false">Data_Demand!B2</f>
        <v>198</v>
      </c>
      <c r="C17" s="0" t="n">
        <f aca="false">Data_Demand!C2</f>
        <v>198</v>
      </c>
      <c r="D17" s="0" t="n">
        <f aca="false">C17-B17</f>
        <v>0</v>
      </c>
      <c r="E17" s="0" t="n">
        <f aca="false">IF(B17=0,IF(C17&gt;0,1,0),D17/B17)</f>
        <v>0</v>
      </c>
      <c r="F17" s="0" t="n">
        <f aca="false">Data_Demand!D2</f>
        <v>0.198</v>
      </c>
      <c r="G17" s="0" t="n">
        <f aca="false">Data_Demand!E2</f>
        <v>0.198</v>
      </c>
      <c r="H17" s="0" t="str">
        <f aca="false">IF(OR(ABS(D17)&gt;=3,AND(B17&gt;=4,ABS(E17)&gt;=0.25)),"MATERIAL","Context")</f>
        <v>Context</v>
      </c>
      <c r="I17" s="0" t="str">
        <f aca="false">IF(H17="MATERIAL","Qualifying shipped-event count changed by "&amp;D17&amp;"; record does not establish a cause.","")</f>
        <v/>
      </c>
    </row>
    <row r="18" customFormat="false" ht="15" hidden="false" customHeight="false" outlineLevel="0" collapsed="false">
      <c r="A18" s="0" t="str">
        <f aca="false">Data_Demand!A3</f>
        <v>SKU002</v>
      </c>
      <c r="B18" s="0" t="n">
        <f aca="false">Data_Demand!B3</f>
        <v>196</v>
      </c>
      <c r="C18" s="0" t="n">
        <f aca="false">Data_Demand!C3</f>
        <v>196</v>
      </c>
      <c r="D18" s="0" t="n">
        <f aca="false">C18-B18</f>
        <v>0</v>
      </c>
      <c r="E18" s="0" t="n">
        <f aca="false">IF(B18=0,IF(C18&gt;0,1,0),D18/B18)</f>
        <v>0</v>
      </c>
      <c r="F18" s="0" t="n">
        <f aca="false">Data_Demand!D3</f>
        <v>0.196</v>
      </c>
      <c r="G18" s="0" t="n">
        <f aca="false">Data_Demand!E3</f>
        <v>0.196</v>
      </c>
      <c r="H18" s="0" t="str">
        <f aca="false">IF(OR(ABS(D18)&gt;=3,AND(B18&gt;=4,ABS(E18)&gt;=0.25)),"MATERIAL","Context")</f>
        <v>Context</v>
      </c>
      <c r="I18" s="0" t="str">
        <f aca="false">IF(H18="MATERIAL","Qualifying shipped-event count changed by "&amp;D18&amp;"; record does not establish a cause.","")</f>
        <v/>
      </c>
    </row>
    <row r="19" customFormat="false" ht="15" hidden="false" customHeight="false" outlineLevel="0" collapsed="false">
      <c r="A19" s="0" t="str">
        <f aca="false">Data_Demand!A4</f>
        <v>SKU003</v>
      </c>
      <c r="B19" s="0" t="n">
        <f aca="false">Data_Demand!B4</f>
        <v>194</v>
      </c>
      <c r="C19" s="0" t="n">
        <f aca="false">Data_Demand!C4</f>
        <v>195</v>
      </c>
      <c r="D19" s="0" t="n">
        <f aca="false">C19-B19</f>
        <v>1</v>
      </c>
      <c r="E19" s="0" t="n">
        <f aca="false">IF(B19=0,IF(C19&gt;0,1,0),D19/B19)</f>
        <v>0.00515463917525773</v>
      </c>
      <c r="F19" s="0" t="n">
        <f aca="false">Data_Demand!D4</f>
        <v>0.194</v>
      </c>
      <c r="G19" s="0" t="n">
        <f aca="false">Data_Demand!E4</f>
        <v>0.195</v>
      </c>
      <c r="H19" s="0" t="str">
        <f aca="false">IF(OR(ABS(D19)&gt;=3,AND(B19&gt;=4,ABS(E19)&gt;=0.25)),"MATERIAL","Context")</f>
        <v>Context</v>
      </c>
      <c r="I19" s="0" t="str">
        <f aca="false">IF(H19="MATERIAL","Qualifying shipped-event count changed by "&amp;D19&amp;"; record does not establish a cause.","")</f>
        <v/>
      </c>
    </row>
    <row r="20" customFormat="false" ht="15" hidden="false" customHeight="false" outlineLevel="0" collapsed="false">
      <c r="A20" s="0" t="str">
        <f aca="false">Data_Demand!A5</f>
        <v>SKU004</v>
      </c>
      <c r="B20" s="0" t="n">
        <f aca="false">Data_Demand!B5</f>
        <v>192</v>
      </c>
      <c r="C20" s="0" t="n">
        <f aca="false">Data_Demand!C5</f>
        <v>192</v>
      </c>
      <c r="D20" s="0" t="n">
        <f aca="false">C20-B20</f>
        <v>0</v>
      </c>
      <c r="E20" s="0" t="n">
        <f aca="false">IF(B20=0,IF(C20&gt;0,1,0),D20/B20)</f>
        <v>0</v>
      </c>
      <c r="F20" s="0" t="n">
        <f aca="false">Data_Demand!D5</f>
        <v>0.192</v>
      </c>
      <c r="G20" s="0" t="n">
        <f aca="false">Data_Demand!E5</f>
        <v>0.192</v>
      </c>
      <c r="H20" s="0" t="str">
        <f aca="false">IF(OR(ABS(D20)&gt;=3,AND(B20&gt;=4,ABS(E20)&gt;=0.25)),"MATERIAL","Context")</f>
        <v>Context</v>
      </c>
      <c r="I20" s="0" t="str">
        <f aca="false">IF(H20="MATERIAL","Qualifying shipped-event count changed by "&amp;D20&amp;"; record does not establish a cause.","")</f>
        <v/>
      </c>
    </row>
    <row r="21" customFormat="false" ht="15" hidden="false" customHeight="false" outlineLevel="0" collapsed="false">
      <c r="A21" s="0" t="str">
        <f aca="false">Data_Demand!A6</f>
        <v>SKU005</v>
      </c>
      <c r="B21" s="0" t="n">
        <f aca="false">Data_Demand!B6</f>
        <v>190</v>
      </c>
      <c r="C21" s="0" t="n">
        <f aca="false">Data_Demand!C6</f>
        <v>192</v>
      </c>
      <c r="D21" s="0" t="n">
        <f aca="false">C21-B21</f>
        <v>2</v>
      </c>
      <c r="E21" s="0" t="n">
        <f aca="false">IF(B21=0,IF(C21&gt;0,1,0),D21/B21)</f>
        <v>0.0105263157894737</v>
      </c>
      <c r="F21" s="0" t="n">
        <f aca="false">Data_Demand!D6</f>
        <v>0.19</v>
      </c>
      <c r="G21" s="0" t="n">
        <f aca="false">Data_Demand!E6</f>
        <v>0.192</v>
      </c>
      <c r="H21" s="0" t="str">
        <f aca="false">IF(OR(ABS(D21)&gt;=3,AND(B21&gt;=4,ABS(E21)&gt;=0.25)),"MATERIAL","Context")</f>
        <v>Context</v>
      </c>
      <c r="I21" s="0" t="str">
        <f aca="false">IF(H21="MATERIAL","Qualifying shipped-event count changed by "&amp;D21&amp;"; record does not establish a cause.","")</f>
        <v/>
      </c>
    </row>
    <row r="22" customFormat="false" ht="15" hidden="false" customHeight="false" outlineLevel="0" collapsed="false">
      <c r="A22" s="0" t="str">
        <f aca="false">Data_Demand!A7</f>
        <v>SKU006</v>
      </c>
      <c r="B22" s="0" t="n">
        <f aca="false">Data_Demand!B7</f>
        <v>188</v>
      </c>
      <c r="C22" s="0" t="n">
        <f aca="false">Data_Demand!C7</f>
        <v>189</v>
      </c>
      <c r="D22" s="0" t="n">
        <f aca="false">C22-B22</f>
        <v>1</v>
      </c>
      <c r="E22" s="0" t="n">
        <f aca="false">IF(B22=0,IF(C22&gt;0,1,0),D22/B22)</f>
        <v>0.00531914893617021</v>
      </c>
      <c r="F22" s="0" t="n">
        <f aca="false">Data_Demand!D7</f>
        <v>0.188</v>
      </c>
      <c r="G22" s="0" t="n">
        <f aca="false">Data_Demand!E7</f>
        <v>0.189</v>
      </c>
      <c r="H22" s="0" t="str">
        <f aca="false">IF(OR(ABS(D22)&gt;=3,AND(B22&gt;=4,ABS(E22)&gt;=0.25)),"MATERIAL","Context")</f>
        <v>Context</v>
      </c>
      <c r="I22" s="0" t="str">
        <f aca="false">IF(H22="MATERIAL","Qualifying shipped-event count changed by "&amp;D22&amp;"; record does not establish a cause.","")</f>
        <v/>
      </c>
    </row>
    <row r="23" customFormat="false" ht="15" hidden="false" customHeight="false" outlineLevel="0" collapsed="false">
      <c r="A23" s="0" t="str">
        <f aca="false">Data_Demand!A8</f>
        <v>SKU007</v>
      </c>
      <c r="B23" s="0" t="n">
        <f aca="false">Data_Demand!B8</f>
        <v>186</v>
      </c>
      <c r="C23" s="0" t="n">
        <f aca="false">Data_Demand!C8</f>
        <v>186</v>
      </c>
      <c r="D23" s="0" t="n">
        <f aca="false">C23-B23</f>
        <v>0</v>
      </c>
      <c r="E23" s="0" t="n">
        <f aca="false">IF(B23=0,IF(C23&gt;0,1,0),D23/B23)</f>
        <v>0</v>
      </c>
      <c r="F23" s="0" t="n">
        <f aca="false">Data_Demand!D8</f>
        <v>0.186</v>
      </c>
      <c r="G23" s="0" t="n">
        <f aca="false">Data_Demand!E8</f>
        <v>0.186</v>
      </c>
      <c r="H23" s="0" t="str">
        <f aca="false">IF(OR(ABS(D23)&gt;=3,AND(B23&gt;=4,ABS(E23)&gt;=0.25)),"MATERIAL","Context")</f>
        <v>Context</v>
      </c>
      <c r="I23" s="0" t="str">
        <f aca="false">IF(H23="MATERIAL","Qualifying shipped-event count changed by "&amp;D23&amp;"; record does not establish a cause.","")</f>
        <v/>
      </c>
    </row>
    <row r="24" customFormat="false" ht="15" hidden="false" customHeight="false" outlineLevel="0" collapsed="false">
      <c r="A24" s="0" t="str">
        <f aca="false">Data_Demand!A9</f>
        <v>SKU008</v>
      </c>
      <c r="B24" s="0" t="n">
        <f aca="false">Data_Demand!B9</f>
        <v>184</v>
      </c>
      <c r="C24" s="0" t="n">
        <f aca="false">Data_Demand!C9</f>
        <v>184</v>
      </c>
      <c r="D24" s="0" t="n">
        <f aca="false">C24-B24</f>
        <v>0</v>
      </c>
      <c r="E24" s="0" t="n">
        <f aca="false">IF(B24=0,IF(C24&gt;0,1,0),D24/B24)</f>
        <v>0</v>
      </c>
      <c r="F24" s="0" t="n">
        <f aca="false">Data_Demand!D9</f>
        <v>0.184</v>
      </c>
      <c r="G24" s="0" t="n">
        <f aca="false">Data_Demand!E9</f>
        <v>0.184</v>
      </c>
      <c r="H24" s="0" t="str">
        <f aca="false">IF(OR(ABS(D24)&gt;=3,AND(B24&gt;=4,ABS(E24)&gt;=0.25)),"MATERIAL","Context")</f>
        <v>Context</v>
      </c>
      <c r="I24" s="0" t="str">
        <f aca="false">IF(H24="MATERIAL","Qualifying shipped-event count changed by "&amp;D24&amp;"; record does not establish a cause.","")</f>
        <v/>
      </c>
    </row>
    <row r="25" customFormat="false" ht="15" hidden="false" customHeight="false" outlineLevel="0" collapsed="false">
      <c r="A25" s="0" t="str">
        <f aca="false">Data_Demand!A10</f>
        <v>SKU009</v>
      </c>
      <c r="B25" s="0" t="n">
        <f aca="false">Data_Demand!B10</f>
        <v>182</v>
      </c>
      <c r="C25" s="0" t="n">
        <f aca="false">Data_Demand!C10</f>
        <v>183</v>
      </c>
      <c r="D25" s="0" t="n">
        <f aca="false">C25-B25</f>
        <v>1</v>
      </c>
      <c r="E25" s="0" t="n">
        <f aca="false">IF(B25=0,IF(C25&gt;0,1,0),D25/B25)</f>
        <v>0.0054945054945055</v>
      </c>
      <c r="F25" s="0" t="n">
        <f aca="false">Data_Demand!D10</f>
        <v>0.182</v>
      </c>
      <c r="G25" s="0" t="n">
        <f aca="false">Data_Demand!E10</f>
        <v>0.183</v>
      </c>
      <c r="H25" s="0" t="str">
        <f aca="false">IF(OR(ABS(D25)&gt;=3,AND(B25&gt;=4,ABS(E25)&gt;=0.25)),"MATERIAL","Context")</f>
        <v>Context</v>
      </c>
      <c r="I25" s="0" t="str">
        <f aca="false">IF(H25="MATERIAL","Qualifying shipped-event count changed by "&amp;D25&amp;"; record does not establish a cause.","")</f>
        <v/>
      </c>
    </row>
    <row r="26" customFormat="false" ht="15" hidden="false" customHeight="false" outlineLevel="0" collapsed="false">
      <c r="A26" s="0" t="str">
        <f aca="false">Data_Demand!A11</f>
        <v>SKU010</v>
      </c>
      <c r="B26" s="0" t="n">
        <f aca="false">Data_Demand!B11</f>
        <v>180</v>
      </c>
      <c r="C26" s="0" t="n">
        <f aca="false">Data_Demand!C11</f>
        <v>182</v>
      </c>
      <c r="D26" s="0" t="n">
        <f aca="false">C26-B26</f>
        <v>2</v>
      </c>
      <c r="E26" s="0" t="n">
        <f aca="false">IF(B26=0,IF(C26&gt;0,1,0),D26/B26)</f>
        <v>0.0111111111111111</v>
      </c>
      <c r="F26" s="0" t="n">
        <f aca="false">Data_Demand!D11</f>
        <v>0.18</v>
      </c>
      <c r="G26" s="0" t="n">
        <f aca="false">Data_Demand!E11</f>
        <v>0.182</v>
      </c>
      <c r="H26" s="0" t="str">
        <f aca="false">IF(OR(ABS(D26)&gt;=3,AND(B26&gt;=4,ABS(E26)&gt;=0.25)),"MATERIAL","Context")</f>
        <v>Context</v>
      </c>
      <c r="I26" s="0" t="str">
        <f aca="false">IF(H26="MATERIAL","Qualifying shipped-event count changed by "&amp;D26&amp;"; record does not establish a cause.","")</f>
        <v/>
      </c>
    </row>
    <row r="27" customFormat="false" ht="15" hidden="false" customHeight="false" outlineLevel="0" collapsed="false">
      <c r="A27" s="0" t="str">
        <f aca="false">Data_Demand!A12</f>
        <v>SKU011</v>
      </c>
      <c r="B27" s="0" t="n">
        <f aca="false">Data_Demand!B12</f>
        <v>178</v>
      </c>
      <c r="C27" s="0" t="n">
        <f aca="false">Data_Demand!C12</f>
        <v>178</v>
      </c>
      <c r="D27" s="0" t="n">
        <f aca="false">C27-B27</f>
        <v>0</v>
      </c>
      <c r="E27" s="0" t="n">
        <f aca="false">IF(B27=0,IF(C27&gt;0,1,0),D27/B27)</f>
        <v>0</v>
      </c>
      <c r="F27" s="0" t="n">
        <f aca="false">Data_Demand!D12</f>
        <v>0.178</v>
      </c>
      <c r="G27" s="0" t="n">
        <f aca="false">Data_Demand!E12</f>
        <v>0.178</v>
      </c>
      <c r="H27" s="0" t="str">
        <f aca="false">IF(OR(ABS(D27)&gt;=3,AND(B27&gt;=4,ABS(E27)&gt;=0.25)),"MATERIAL","Context")</f>
        <v>Context</v>
      </c>
      <c r="I27" s="0" t="str">
        <f aca="false">IF(H27="MATERIAL","Qualifying shipped-event count changed by "&amp;D27&amp;"; record does not establish a cause.","")</f>
        <v/>
      </c>
    </row>
    <row r="28" customFormat="false" ht="15" hidden="false" customHeight="false" outlineLevel="0" collapsed="false">
      <c r="A28" s="0" t="str">
        <f aca="false">Data_Demand!A13</f>
        <v>SKU012</v>
      </c>
      <c r="B28" s="0" t="n">
        <f aca="false">Data_Demand!B13</f>
        <v>176</v>
      </c>
      <c r="C28" s="0" t="n">
        <f aca="false">Data_Demand!C13</f>
        <v>177</v>
      </c>
      <c r="D28" s="0" t="n">
        <f aca="false">C28-B28</f>
        <v>1</v>
      </c>
      <c r="E28" s="0" t="n">
        <f aca="false">IF(B28=0,IF(C28&gt;0,1,0),D28/B28)</f>
        <v>0.00568181818181818</v>
      </c>
      <c r="F28" s="0" t="n">
        <f aca="false">Data_Demand!D13</f>
        <v>0.176</v>
      </c>
      <c r="G28" s="0" t="n">
        <f aca="false">Data_Demand!E13</f>
        <v>0.177</v>
      </c>
      <c r="H28" s="0" t="str">
        <f aca="false">IF(OR(ABS(D28)&gt;=3,AND(B28&gt;=4,ABS(E28)&gt;=0.25)),"MATERIAL","Context")</f>
        <v>Context</v>
      </c>
      <c r="I28" s="0" t="str">
        <f aca="false">IF(H28="MATERIAL","Qualifying shipped-event count changed by "&amp;D28&amp;"; record does not establish a cause.","")</f>
        <v/>
      </c>
    </row>
    <row r="29" customFormat="false" ht="15" hidden="false" customHeight="false" outlineLevel="0" collapsed="false">
      <c r="A29" s="0" t="str">
        <f aca="false">Data_Demand!A14</f>
        <v>SKU013</v>
      </c>
      <c r="B29" s="0" t="n">
        <f aca="false">Data_Demand!B14</f>
        <v>174</v>
      </c>
      <c r="C29" s="0" t="n">
        <f aca="false">Data_Demand!C14</f>
        <v>174</v>
      </c>
      <c r="D29" s="0" t="n">
        <f aca="false">C29-B29</f>
        <v>0</v>
      </c>
      <c r="E29" s="0" t="n">
        <f aca="false">IF(B29=0,IF(C29&gt;0,1,0),D29/B29)</f>
        <v>0</v>
      </c>
      <c r="F29" s="0" t="n">
        <f aca="false">Data_Demand!D14</f>
        <v>0.174</v>
      </c>
      <c r="G29" s="0" t="n">
        <f aca="false">Data_Demand!E14</f>
        <v>0.174</v>
      </c>
      <c r="H29" s="0" t="str">
        <f aca="false">IF(OR(ABS(D29)&gt;=3,AND(B29&gt;=4,ABS(E29)&gt;=0.25)),"MATERIAL","Context")</f>
        <v>Context</v>
      </c>
      <c r="I29" s="0" t="str">
        <f aca="false">IF(H29="MATERIAL","Qualifying shipped-event count changed by "&amp;D29&amp;"; record does not establish a cause.","")</f>
        <v/>
      </c>
    </row>
    <row r="30" customFormat="false" ht="15" hidden="false" customHeight="false" outlineLevel="0" collapsed="false">
      <c r="A30" s="0" t="str">
        <f aca="false">Data_Demand!A15</f>
        <v>SKU014</v>
      </c>
      <c r="B30" s="0" t="n">
        <f aca="false">Data_Demand!B15</f>
        <v>172</v>
      </c>
      <c r="C30" s="0" t="n">
        <f aca="false">Data_Demand!C15</f>
        <v>172</v>
      </c>
      <c r="D30" s="0" t="n">
        <f aca="false">C30-B30</f>
        <v>0</v>
      </c>
      <c r="E30" s="0" t="n">
        <f aca="false">IF(B30=0,IF(C30&gt;0,1,0),D30/B30)</f>
        <v>0</v>
      </c>
      <c r="F30" s="0" t="n">
        <f aca="false">Data_Demand!D15</f>
        <v>0.172</v>
      </c>
      <c r="G30" s="0" t="n">
        <f aca="false">Data_Demand!E15</f>
        <v>0.172</v>
      </c>
      <c r="H30" s="0" t="str">
        <f aca="false">IF(OR(ABS(D30)&gt;=3,AND(B30&gt;=4,ABS(E30)&gt;=0.25)),"MATERIAL","Context")</f>
        <v>Context</v>
      </c>
      <c r="I30" s="0" t="str">
        <f aca="false">IF(H30="MATERIAL","Qualifying shipped-event count changed by "&amp;D30&amp;"; record does not establish a cause.","")</f>
        <v/>
      </c>
    </row>
    <row r="31" customFormat="false" ht="15" hidden="false" customHeight="false" outlineLevel="0" collapsed="false">
      <c r="A31" s="0" t="str">
        <f aca="false">Data_Demand!A16</f>
        <v>SKU015</v>
      </c>
      <c r="B31" s="0" t="n">
        <f aca="false">Data_Demand!B16</f>
        <v>170</v>
      </c>
      <c r="C31" s="0" t="n">
        <f aca="false">Data_Demand!C16</f>
        <v>172</v>
      </c>
      <c r="D31" s="0" t="n">
        <f aca="false">C31-B31</f>
        <v>2</v>
      </c>
      <c r="E31" s="0" t="n">
        <f aca="false">IF(B31=0,IF(C31&gt;0,1,0),D31/B31)</f>
        <v>0.0117647058823529</v>
      </c>
      <c r="F31" s="0" t="n">
        <f aca="false">Data_Demand!D16</f>
        <v>0.17</v>
      </c>
      <c r="G31" s="0" t="n">
        <f aca="false">Data_Demand!E16</f>
        <v>0.172</v>
      </c>
      <c r="H31" s="0" t="str">
        <f aca="false">IF(OR(ABS(D31)&gt;=3,AND(B31&gt;=4,ABS(E31)&gt;=0.25)),"MATERIAL","Context")</f>
        <v>Context</v>
      </c>
      <c r="I31" s="0" t="str">
        <f aca="false">IF(H31="MATERIAL","Qualifying shipped-event count changed by "&amp;D31&amp;"; record does not establish a cause.","")</f>
        <v/>
      </c>
    </row>
    <row r="32" customFormat="false" ht="15" hidden="false" customHeight="false" outlineLevel="0" collapsed="false">
      <c r="A32" s="0" t="str">
        <f aca="false">Data_Demand!A17</f>
        <v>SKU016</v>
      </c>
      <c r="B32" s="0" t="n">
        <f aca="false">Data_Demand!B17</f>
        <v>168</v>
      </c>
      <c r="C32" s="0" t="n">
        <f aca="false">Data_Demand!C17</f>
        <v>168</v>
      </c>
      <c r="D32" s="0" t="n">
        <f aca="false">C32-B32</f>
        <v>0</v>
      </c>
      <c r="E32" s="0" t="n">
        <f aca="false">IF(B32=0,IF(C32&gt;0,1,0),D32/B32)</f>
        <v>0</v>
      </c>
      <c r="F32" s="0" t="n">
        <f aca="false">Data_Demand!D17</f>
        <v>0.168</v>
      </c>
      <c r="G32" s="0" t="n">
        <f aca="false">Data_Demand!E17</f>
        <v>0.168</v>
      </c>
      <c r="H32" s="0" t="str">
        <f aca="false">IF(OR(ABS(D32)&gt;=3,AND(B32&gt;=4,ABS(E32)&gt;=0.25)),"MATERIAL","Context")</f>
        <v>Context</v>
      </c>
      <c r="I32" s="0" t="str">
        <f aca="false">IF(H32="MATERIAL","Qualifying shipped-event count changed by "&amp;D32&amp;"; record does not establish a cause.","")</f>
        <v/>
      </c>
    </row>
    <row r="33" customFormat="false" ht="15" hidden="false" customHeight="false" outlineLevel="0" collapsed="false">
      <c r="A33" s="0" t="str">
        <f aca="false">Data_Demand!A18</f>
        <v>SKU017</v>
      </c>
      <c r="B33" s="0" t="n">
        <f aca="false">Data_Demand!B18</f>
        <v>166</v>
      </c>
      <c r="C33" s="0" t="n">
        <f aca="false">Data_Demand!C18</f>
        <v>166</v>
      </c>
      <c r="D33" s="0" t="n">
        <f aca="false">C33-B33</f>
        <v>0</v>
      </c>
      <c r="E33" s="0" t="n">
        <f aca="false">IF(B33=0,IF(C33&gt;0,1,0),D33/B33)</f>
        <v>0</v>
      </c>
      <c r="F33" s="0" t="n">
        <f aca="false">Data_Demand!D18</f>
        <v>0.166</v>
      </c>
      <c r="G33" s="0" t="n">
        <f aca="false">Data_Demand!E18</f>
        <v>0.166</v>
      </c>
      <c r="H33" s="0" t="str">
        <f aca="false">IF(OR(ABS(D33)&gt;=3,AND(B33&gt;=4,ABS(E33)&gt;=0.25)),"MATERIAL","Context")</f>
        <v>Context</v>
      </c>
      <c r="I33" s="0" t="str">
        <f aca="false">IF(H33="MATERIAL","Qualifying shipped-event count changed by "&amp;D33&amp;"; record does not establish a cause.","")</f>
        <v/>
      </c>
    </row>
    <row r="34" customFormat="false" ht="15" hidden="false" customHeight="false" outlineLevel="0" collapsed="false">
      <c r="A34" s="0" t="str">
        <f aca="false">Data_Demand!A19</f>
        <v>SKU018</v>
      </c>
      <c r="B34" s="0" t="n">
        <f aca="false">Data_Demand!B19</f>
        <v>164</v>
      </c>
      <c r="C34" s="0" t="n">
        <f aca="false">Data_Demand!C19</f>
        <v>165</v>
      </c>
      <c r="D34" s="0" t="n">
        <f aca="false">C34-B34</f>
        <v>1</v>
      </c>
      <c r="E34" s="0" t="n">
        <f aca="false">IF(B34=0,IF(C34&gt;0,1,0),D34/B34)</f>
        <v>0.00609756097560976</v>
      </c>
      <c r="F34" s="0" t="n">
        <f aca="false">Data_Demand!D19</f>
        <v>0.164</v>
      </c>
      <c r="G34" s="0" t="n">
        <f aca="false">Data_Demand!E19</f>
        <v>0.165</v>
      </c>
      <c r="H34" s="0" t="str">
        <f aca="false">IF(OR(ABS(D34)&gt;=3,AND(B34&gt;=4,ABS(E34)&gt;=0.25)),"MATERIAL","Context")</f>
        <v>Context</v>
      </c>
      <c r="I34" s="0" t="str">
        <f aca="false">IF(H34="MATERIAL","Qualifying shipped-event count changed by "&amp;D34&amp;"; record does not establish a cause.","")</f>
        <v/>
      </c>
    </row>
    <row r="35" customFormat="false" ht="15" hidden="false" customHeight="false" outlineLevel="0" collapsed="false">
      <c r="A35" s="0" t="str">
        <f aca="false">Data_Demand!A20</f>
        <v>SKU019</v>
      </c>
      <c r="B35" s="0" t="n">
        <f aca="false">Data_Demand!B20</f>
        <v>162</v>
      </c>
      <c r="C35" s="0" t="n">
        <f aca="false">Data_Demand!C20</f>
        <v>162</v>
      </c>
      <c r="D35" s="0" t="n">
        <f aca="false">C35-B35</f>
        <v>0</v>
      </c>
      <c r="E35" s="0" t="n">
        <f aca="false">IF(B35=0,IF(C35&gt;0,1,0),D35/B35)</f>
        <v>0</v>
      </c>
      <c r="F35" s="0" t="n">
        <f aca="false">Data_Demand!D20</f>
        <v>0.162</v>
      </c>
      <c r="G35" s="0" t="n">
        <f aca="false">Data_Demand!E20</f>
        <v>0.162</v>
      </c>
      <c r="H35" s="0" t="str">
        <f aca="false">IF(OR(ABS(D35)&gt;=3,AND(B35&gt;=4,ABS(E35)&gt;=0.25)),"MATERIAL","Context")</f>
        <v>Context</v>
      </c>
      <c r="I35" s="0" t="str">
        <f aca="false">IF(H35="MATERIAL","Qualifying shipped-event count changed by "&amp;D35&amp;"; record does not establish a cause.","")</f>
        <v/>
      </c>
    </row>
    <row r="36" customFormat="false" ht="15" hidden="false" customHeight="false" outlineLevel="0" collapsed="false">
      <c r="A36" s="0" t="str">
        <f aca="false">Data_Demand!A21</f>
        <v>SKU020</v>
      </c>
      <c r="B36" s="0" t="n">
        <f aca="false">Data_Demand!B21</f>
        <v>160</v>
      </c>
      <c r="C36" s="0" t="n">
        <f aca="false">Data_Demand!C21</f>
        <v>162</v>
      </c>
      <c r="D36" s="0" t="n">
        <f aca="false">C36-B36</f>
        <v>2</v>
      </c>
      <c r="E36" s="0" t="n">
        <f aca="false">IF(B36=0,IF(C36&gt;0,1,0),D36/B36)</f>
        <v>0.0125</v>
      </c>
      <c r="F36" s="0" t="n">
        <f aca="false">Data_Demand!D21</f>
        <v>0.16</v>
      </c>
      <c r="G36" s="0" t="n">
        <f aca="false">Data_Demand!E21</f>
        <v>0.162</v>
      </c>
      <c r="H36" s="0" t="str">
        <f aca="false">IF(OR(ABS(D36)&gt;=3,AND(B36&gt;=4,ABS(E36)&gt;=0.25)),"MATERIAL","Context")</f>
        <v>Context</v>
      </c>
      <c r="I36" s="0" t="str">
        <f aca="false">IF(H36="MATERIAL","Qualifying shipped-event count changed by "&amp;D36&amp;"; record does not establish a cause.","")</f>
        <v/>
      </c>
    </row>
    <row r="37" customFormat="false" ht="15" hidden="false" customHeight="false" outlineLevel="0" collapsed="false">
      <c r="A37" s="0" t="str">
        <f aca="false">Data_Demand!A22</f>
        <v>SKU021</v>
      </c>
      <c r="B37" s="0" t="n">
        <f aca="false">Data_Demand!B22</f>
        <v>158</v>
      </c>
      <c r="C37" s="0" t="n">
        <f aca="false">Data_Demand!C22</f>
        <v>159</v>
      </c>
      <c r="D37" s="0" t="n">
        <f aca="false">C37-B37</f>
        <v>1</v>
      </c>
      <c r="E37" s="0" t="n">
        <f aca="false">IF(B37=0,IF(C37&gt;0,1,0),D37/B37)</f>
        <v>0.00632911392405063</v>
      </c>
      <c r="F37" s="0" t="n">
        <f aca="false">Data_Demand!D22</f>
        <v>0.158</v>
      </c>
      <c r="G37" s="0" t="n">
        <f aca="false">Data_Demand!E22</f>
        <v>0.159</v>
      </c>
      <c r="H37" s="0" t="str">
        <f aca="false">IF(OR(ABS(D37)&gt;=3,AND(B37&gt;=4,ABS(E37)&gt;=0.25)),"MATERIAL","Context")</f>
        <v>Context</v>
      </c>
      <c r="I37" s="0" t="str">
        <f aca="false">IF(H37="MATERIAL","Qualifying shipped-event count changed by "&amp;D37&amp;"; record does not establish a cause.","")</f>
        <v/>
      </c>
    </row>
    <row r="38" customFormat="false" ht="15" hidden="false" customHeight="false" outlineLevel="0" collapsed="false">
      <c r="A38" s="0" t="str">
        <f aca="false">Data_Demand!A23</f>
        <v>SKU022</v>
      </c>
      <c r="B38" s="0" t="n">
        <f aca="false">Data_Demand!B23</f>
        <v>156</v>
      </c>
      <c r="C38" s="0" t="n">
        <f aca="false">Data_Demand!C23</f>
        <v>156</v>
      </c>
      <c r="D38" s="0" t="n">
        <f aca="false">C38-B38</f>
        <v>0</v>
      </c>
      <c r="E38" s="0" t="n">
        <f aca="false">IF(B38=0,IF(C38&gt;0,1,0),D38/B38)</f>
        <v>0</v>
      </c>
      <c r="F38" s="0" t="n">
        <f aca="false">Data_Demand!D23</f>
        <v>0.156</v>
      </c>
      <c r="G38" s="0" t="n">
        <f aca="false">Data_Demand!E23</f>
        <v>0.156</v>
      </c>
      <c r="H38" s="0" t="str">
        <f aca="false">IF(OR(ABS(D38)&gt;=3,AND(B38&gt;=4,ABS(E38)&gt;=0.25)),"MATERIAL","Context")</f>
        <v>Context</v>
      </c>
      <c r="I38" s="0" t="str">
        <f aca="false">IF(H38="MATERIAL","Qualifying shipped-event count changed by "&amp;D38&amp;"; record does not establish a cause.","")</f>
        <v/>
      </c>
    </row>
    <row r="39" customFormat="false" ht="15" hidden="false" customHeight="false" outlineLevel="0" collapsed="false">
      <c r="A39" s="0" t="str">
        <f aca="false">Data_Demand!A24</f>
        <v>SKU023</v>
      </c>
      <c r="B39" s="0" t="n">
        <f aca="false">Data_Demand!B24</f>
        <v>154</v>
      </c>
      <c r="C39" s="0" t="n">
        <f aca="false">Data_Demand!C24</f>
        <v>154</v>
      </c>
      <c r="D39" s="0" t="n">
        <f aca="false">C39-B39</f>
        <v>0</v>
      </c>
      <c r="E39" s="0" t="n">
        <f aca="false">IF(B39=0,IF(C39&gt;0,1,0),D39/B39)</f>
        <v>0</v>
      </c>
      <c r="F39" s="0" t="n">
        <f aca="false">Data_Demand!D24</f>
        <v>0.154</v>
      </c>
      <c r="G39" s="0" t="n">
        <f aca="false">Data_Demand!E24</f>
        <v>0.154</v>
      </c>
      <c r="H39" s="0" t="str">
        <f aca="false">IF(OR(ABS(D39)&gt;=3,AND(B39&gt;=4,ABS(E39)&gt;=0.25)),"MATERIAL","Context")</f>
        <v>Context</v>
      </c>
      <c r="I39" s="0" t="str">
        <f aca="false">IF(H39="MATERIAL","Qualifying shipped-event count changed by "&amp;D39&amp;"; record does not establish a cause.","")</f>
        <v/>
      </c>
    </row>
    <row r="40" customFormat="false" ht="15" hidden="false" customHeight="false" outlineLevel="0" collapsed="false">
      <c r="A40" s="0" t="str">
        <f aca="false">Data_Demand!A25</f>
        <v>SKU024</v>
      </c>
      <c r="B40" s="0" t="n">
        <f aca="false">Data_Demand!B25</f>
        <v>152</v>
      </c>
      <c r="C40" s="0" t="n">
        <f aca="false">Data_Demand!C25</f>
        <v>153</v>
      </c>
      <c r="D40" s="0" t="n">
        <f aca="false">C40-B40</f>
        <v>1</v>
      </c>
      <c r="E40" s="0" t="n">
        <f aca="false">IF(B40=0,IF(C40&gt;0,1,0),D40/B40)</f>
        <v>0.00657894736842105</v>
      </c>
      <c r="F40" s="0" t="n">
        <f aca="false">Data_Demand!D25</f>
        <v>0.152</v>
      </c>
      <c r="G40" s="0" t="n">
        <f aca="false">Data_Demand!E25</f>
        <v>0.153</v>
      </c>
      <c r="H40" s="0" t="str">
        <f aca="false">IF(OR(ABS(D40)&gt;=3,AND(B40&gt;=4,ABS(E40)&gt;=0.25)),"MATERIAL","Context")</f>
        <v>Context</v>
      </c>
      <c r="I40" s="0" t="str">
        <f aca="false">IF(H40="MATERIAL","Qualifying shipped-event count changed by "&amp;D40&amp;"; record does not establish a cause.","")</f>
        <v/>
      </c>
    </row>
    <row r="41" customFormat="false" ht="15" hidden="false" customHeight="false" outlineLevel="0" collapsed="false">
      <c r="A41" s="0" t="str">
        <f aca="false">Data_Demand!A26</f>
        <v>SKU025</v>
      </c>
      <c r="B41" s="0" t="n">
        <f aca="false">Data_Demand!B26</f>
        <v>150</v>
      </c>
      <c r="C41" s="0" t="n">
        <f aca="false">Data_Demand!C26</f>
        <v>152</v>
      </c>
      <c r="D41" s="0" t="n">
        <f aca="false">C41-B41</f>
        <v>2</v>
      </c>
      <c r="E41" s="0" t="n">
        <f aca="false">IF(B41=0,IF(C41&gt;0,1,0),D41/B41)</f>
        <v>0.0133333333333333</v>
      </c>
      <c r="F41" s="0" t="n">
        <f aca="false">Data_Demand!D26</f>
        <v>0.15</v>
      </c>
      <c r="G41" s="0" t="n">
        <f aca="false">Data_Demand!E26</f>
        <v>0.152</v>
      </c>
      <c r="H41" s="0" t="str">
        <f aca="false">IF(OR(ABS(D41)&gt;=3,AND(B41&gt;=4,ABS(E41)&gt;=0.25)),"MATERIAL","Context")</f>
        <v>Context</v>
      </c>
      <c r="I41" s="0" t="str">
        <f aca="false">IF(H41="MATERIAL","Qualifying shipped-event count changed by "&amp;D41&amp;"; record does not establish a cause.","")</f>
        <v/>
      </c>
    </row>
    <row r="42" customFormat="false" ht="15" hidden="false" customHeight="false" outlineLevel="0" collapsed="false">
      <c r="A42" s="0" t="str">
        <f aca="false">Data_Demand!A27</f>
        <v>SKU026</v>
      </c>
      <c r="B42" s="0" t="n">
        <f aca="false">Data_Demand!B27</f>
        <v>148</v>
      </c>
      <c r="C42" s="0" t="n">
        <f aca="false">Data_Demand!C27</f>
        <v>148</v>
      </c>
      <c r="D42" s="0" t="n">
        <f aca="false">C42-B42</f>
        <v>0</v>
      </c>
      <c r="E42" s="0" t="n">
        <f aca="false">IF(B42=0,IF(C42&gt;0,1,0),D42/B42)</f>
        <v>0</v>
      </c>
      <c r="F42" s="0" t="n">
        <f aca="false">Data_Demand!D27</f>
        <v>0.148</v>
      </c>
      <c r="G42" s="0" t="n">
        <f aca="false">Data_Demand!E27</f>
        <v>0.148</v>
      </c>
      <c r="H42" s="0" t="str">
        <f aca="false">IF(OR(ABS(D42)&gt;=3,AND(B42&gt;=4,ABS(E42)&gt;=0.25)),"MATERIAL","Context")</f>
        <v>Context</v>
      </c>
      <c r="I42" s="0" t="str">
        <f aca="false">IF(H42="MATERIAL","Qualifying shipped-event count changed by "&amp;D42&amp;"; record does not establish a cause.","")</f>
        <v/>
      </c>
    </row>
    <row r="43" customFormat="false" ht="15" hidden="false" customHeight="false" outlineLevel="0" collapsed="false">
      <c r="A43" s="0" t="str">
        <f aca="false">Data_Demand!A28</f>
        <v>SKU027</v>
      </c>
      <c r="B43" s="0" t="n">
        <f aca="false">Data_Demand!B28</f>
        <v>146</v>
      </c>
      <c r="C43" s="0" t="n">
        <f aca="false">Data_Demand!C28</f>
        <v>147</v>
      </c>
      <c r="D43" s="0" t="n">
        <f aca="false">C43-B43</f>
        <v>1</v>
      </c>
      <c r="E43" s="0" t="n">
        <f aca="false">IF(B43=0,IF(C43&gt;0,1,0),D43/B43)</f>
        <v>0.00684931506849315</v>
      </c>
      <c r="F43" s="0" t="n">
        <f aca="false">Data_Demand!D28</f>
        <v>0.146</v>
      </c>
      <c r="G43" s="0" t="n">
        <f aca="false">Data_Demand!E28</f>
        <v>0.147</v>
      </c>
      <c r="H43" s="0" t="str">
        <f aca="false">IF(OR(ABS(D43)&gt;=3,AND(B43&gt;=4,ABS(E43)&gt;=0.25)),"MATERIAL","Context")</f>
        <v>Context</v>
      </c>
      <c r="I43" s="0" t="str">
        <f aca="false">IF(H43="MATERIAL","Qualifying shipped-event count changed by "&amp;D43&amp;"; record does not establish a cause.","")</f>
        <v/>
      </c>
    </row>
    <row r="44" customFormat="false" ht="15" hidden="false" customHeight="false" outlineLevel="0" collapsed="false">
      <c r="A44" s="0" t="str">
        <f aca="false">Data_Demand!A29</f>
        <v>SKU028</v>
      </c>
      <c r="B44" s="0" t="n">
        <f aca="false">Data_Demand!B29</f>
        <v>144</v>
      </c>
      <c r="C44" s="0" t="n">
        <f aca="false">Data_Demand!C29</f>
        <v>144</v>
      </c>
      <c r="D44" s="0" t="n">
        <f aca="false">C44-B44</f>
        <v>0</v>
      </c>
      <c r="E44" s="0" t="n">
        <f aca="false">IF(B44=0,IF(C44&gt;0,1,0),D44/B44)</f>
        <v>0</v>
      </c>
      <c r="F44" s="0" t="n">
        <f aca="false">Data_Demand!D29</f>
        <v>0.144</v>
      </c>
      <c r="G44" s="0" t="n">
        <f aca="false">Data_Demand!E29</f>
        <v>0.144</v>
      </c>
      <c r="H44" s="0" t="str">
        <f aca="false">IF(OR(ABS(D44)&gt;=3,AND(B44&gt;=4,ABS(E44)&gt;=0.25)),"MATERIAL","Context")</f>
        <v>Context</v>
      </c>
      <c r="I44" s="0" t="str">
        <f aca="false">IF(H44="MATERIAL","Qualifying shipped-event count changed by "&amp;D44&amp;"; record does not establish a cause.","")</f>
        <v/>
      </c>
    </row>
    <row r="45" customFormat="false" ht="15" hidden="false" customHeight="false" outlineLevel="0" collapsed="false">
      <c r="A45" s="0" t="str">
        <f aca="false">Data_Demand!A30</f>
        <v>SKU029</v>
      </c>
      <c r="B45" s="0" t="n">
        <f aca="false">Data_Demand!B30</f>
        <v>142</v>
      </c>
      <c r="C45" s="0" t="n">
        <f aca="false">Data_Demand!C30</f>
        <v>142</v>
      </c>
      <c r="D45" s="0" t="n">
        <f aca="false">C45-B45</f>
        <v>0</v>
      </c>
      <c r="E45" s="0" t="n">
        <f aca="false">IF(B45=0,IF(C45&gt;0,1,0),D45/B45)</f>
        <v>0</v>
      </c>
      <c r="F45" s="0" t="n">
        <f aca="false">Data_Demand!D30</f>
        <v>0.142</v>
      </c>
      <c r="G45" s="0" t="n">
        <f aca="false">Data_Demand!E30</f>
        <v>0.142</v>
      </c>
      <c r="H45" s="0" t="str">
        <f aca="false">IF(OR(ABS(D45)&gt;=3,AND(B45&gt;=4,ABS(E45)&gt;=0.25)),"MATERIAL","Context")</f>
        <v>Context</v>
      </c>
      <c r="I45" s="0" t="str">
        <f aca="false">IF(H45="MATERIAL","Qualifying shipped-event count changed by "&amp;D45&amp;"; record does not establish a cause.","")</f>
        <v/>
      </c>
    </row>
    <row r="46" customFormat="false" ht="15" hidden="false" customHeight="false" outlineLevel="0" collapsed="false">
      <c r="A46" s="0" t="str">
        <f aca="false">Data_Demand!A31</f>
        <v>SKU030</v>
      </c>
      <c r="B46" s="0" t="n">
        <f aca="false">Data_Demand!B31</f>
        <v>140</v>
      </c>
      <c r="C46" s="0" t="n">
        <f aca="false">Data_Demand!C31</f>
        <v>142</v>
      </c>
      <c r="D46" s="0" t="n">
        <f aca="false">C46-B46</f>
        <v>2</v>
      </c>
      <c r="E46" s="0" t="n">
        <f aca="false">IF(B46=0,IF(C46&gt;0,1,0),D46/B46)</f>
        <v>0.0142857142857143</v>
      </c>
      <c r="F46" s="0" t="n">
        <f aca="false">Data_Demand!D31</f>
        <v>0.14</v>
      </c>
      <c r="G46" s="0" t="n">
        <f aca="false">Data_Demand!E31</f>
        <v>0.142</v>
      </c>
      <c r="H46" s="0" t="str">
        <f aca="false">IF(OR(ABS(D46)&gt;=3,AND(B46&gt;=4,ABS(E46)&gt;=0.25)),"MATERIAL","Context")</f>
        <v>Context</v>
      </c>
      <c r="I46" s="0" t="str">
        <f aca="false">IF(H46="MATERIAL","Qualifying shipped-event count changed by "&amp;D46&amp;"; record does not establish a cause.","")</f>
        <v/>
      </c>
    </row>
    <row r="47" customFormat="false" ht="15" hidden="false" customHeight="false" outlineLevel="0" collapsed="false">
      <c r="A47" s="0" t="str">
        <f aca="false">Data_Demand!A32</f>
        <v>SKU031</v>
      </c>
      <c r="B47" s="0" t="n">
        <f aca="false">Data_Demand!B32</f>
        <v>138</v>
      </c>
      <c r="C47" s="0" t="n">
        <f aca="false">Data_Demand!C32</f>
        <v>138</v>
      </c>
      <c r="D47" s="0" t="n">
        <f aca="false">C47-B47</f>
        <v>0</v>
      </c>
      <c r="E47" s="0" t="n">
        <f aca="false">IF(B47=0,IF(C47&gt;0,1,0),D47/B47)</f>
        <v>0</v>
      </c>
      <c r="F47" s="0" t="n">
        <f aca="false">Data_Demand!D32</f>
        <v>0.138</v>
      </c>
      <c r="G47" s="0" t="n">
        <f aca="false">Data_Demand!E32</f>
        <v>0.138</v>
      </c>
      <c r="H47" s="0" t="str">
        <f aca="false">IF(OR(ABS(D47)&gt;=3,AND(B47&gt;=4,ABS(E47)&gt;=0.25)),"MATERIAL","Context")</f>
        <v>Context</v>
      </c>
      <c r="I47" s="0" t="str">
        <f aca="false">IF(H47="MATERIAL","Qualifying shipped-event count changed by "&amp;D47&amp;"; record does not establish a cause.","")</f>
        <v/>
      </c>
    </row>
    <row r="48" customFormat="false" ht="15" hidden="false" customHeight="false" outlineLevel="0" collapsed="false">
      <c r="A48" s="0" t="str">
        <f aca="false">Data_Demand!A33</f>
        <v>SKU032</v>
      </c>
      <c r="B48" s="0" t="n">
        <f aca="false">Data_Demand!B33</f>
        <v>136</v>
      </c>
      <c r="C48" s="0" t="n">
        <f aca="false">Data_Demand!C33</f>
        <v>136</v>
      </c>
      <c r="D48" s="0" t="n">
        <f aca="false">C48-B48</f>
        <v>0</v>
      </c>
      <c r="E48" s="0" t="n">
        <f aca="false">IF(B48=0,IF(C48&gt;0,1,0),D48/B48)</f>
        <v>0</v>
      </c>
      <c r="F48" s="0" t="n">
        <f aca="false">Data_Demand!D33</f>
        <v>0.136</v>
      </c>
      <c r="G48" s="0" t="n">
        <f aca="false">Data_Demand!E33</f>
        <v>0.136</v>
      </c>
      <c r="H48" s="0" t="str">
        <f aca="false">IF(OR(ABS(D48)&gt;=3,AND(B48&gt;=4,ABS(E48)&gt;=0.25)),"MATERIAL","Context")</f>
        <v>Context</v>
      </c>
      <c r="I48" s="0" t="str">
        <f aca="false">IF(H48="MATERIAL","Qualifying shipped-event count changed by "&amp;D48&amp;"; record does not establish a cause.","")</f>
        <v/>
      </c>
    </row>
    <row r="49" customFormat="false" ht="15" hidden="false" customHeight="false" outlineLevel="0" collapsed="false">
      <c r="A49" s="0" t="str">
        <f aca="false">Data_Demand!A34</f>
        <v>SKU033</v>
      </c>
      <c r="B49" s="0" t="n">
        <f aca="false">Data_Demand!B34</f>
        <v>134</v>
      </c>
      <c r="C49" s="0" t="n">
        <f aca="false">Data_Demand!C34</f>
        <v>135</v>
      </c>
      <c r="D49" s="0" t="n">
        <f aca="false">C49-B49</f>
        <v>1</v>
      </c>
      <c r="E49" s="0" t="n">
        <f aca="false">IF(B49=0,IF(C49&gt;0,1,0),D49/B49)</f>
        <v>0.00746268656716418</v>
      </c>
      <c r="F49" s="0" t="n">
        <f aca="false">Data_Demand!D34</f>
        <v>0.134</v>
      </c>
      <c r="G49" s="0" t="n">
        <f aca="false">Data_Demand!E34</f>
        <v>0.135</v>
      </c>
      <c r="H49" s="0" t="str">
        <f aca="false">IF(OR(ABS(D49)&gt;=3,AND(B49&gt;=4,ABS(E49)&gt;=0.25)),"MATERIAL","Context")</f>
        <v>Context</v>
      </c>
      <c r="I49" s="0" t="str">
        <f aca="false">IF(H49="MATERIAL","Qualifying shipped-event count changed by "&amp;D49&amp;"; record does not establish a cause.","")</f>
        <v/>
      </c>
    </row>
    <row r="50" customFormat="false" ht="15" hidden="false" customHeight="false" outlineLevel="0" collapsed="false">
      <c r="A50" s="0" t="str">
        <f aca="false">Data_Demand!A35</f>
        <v>SKU034</v>
      </c>
      <c r="B50" s="0" t="n">
        <f aca="false">Data_Demand!B35</f>
        <v>132</v>
      </c>
      <c r="C50" s="0" t="n">
        <f aca="false">Data_Demand!C35</f>
        <v>132</v>
      </c>
      <c r="D50" s="0" t="n">
        <f aca="false">C50-B50</f>
        <v>0</v>
      </c>
      <c r="E50" s="0" t="n">
        <f aca="false">IF(B50=0,IF(C50&gt;0,1,0),D50/B50)</f>
        <v>0</v>
      </c>
      <c r="F50" s="0" t="n">
        <f aca="false">Data_Demand!D35</f>
        <v>0.132</v>
      </c>
      <c r="G50" s="0" t="n">
        <f aca="false">Data_Demand!E35</f>
        <v>0.132</v>
      </c>
      <c r="H50" s="0" t="str">
        <f aca="false">IF(OR(ABS(D50)&gt;=3,AND(B50&gt;=4,ABS(E50)&gt;=0.25)),"MATERIAL","Context")</f>
        <v>Context</v>
      </c>
      <c r="I50" s="0" t="str">
        <f aca="false">IF(H50="MATERIAL","Qualifying shipped-event count changed by "&amp;D50&amp;"; record does not establish a cause.","")</f>
        <v/>
      </c>
    </row>
    <row r="51" customFormat="false" ht="15" hidden="false" customHeight="false" outlineLevel="0" collapsed="false">
      <c r="A51" s="0" t="str">
        <f aca="false">Data_Demand!A36</f>
        <v>SKU035</v>
      </c>
      <c r="B51" s="0" t="n">
        <f aca="false">Data_Demand!B36</f>
        <v>130</v>
      </c>
      <c r="C51" s="0" t="n">
        <f aca="false">Data_Demand!C36</f>
        <v>132</v>
      </c>
      <c r="D51" s="0" t="n">
        <f aca="false">C51-B51</f>
        <v>2</v>
      </c>
      <c r="E51" s="0" t="n">
        <f aca="false">IF(B51=0,IF(C51&gt;0,1,0),D51/B51)</f>
        <v>0.0153846153846154</v>
      </c>
      <c r="F51" s="0" t="n">
        <f aca="false">Data_Demand!D36</f>
        <v>0.13</v>
      </c>
      <c r="G51" s="0" t="n">
        <f aca="false">Data_Demand!E36</f>
        <v>0.132</v>
      </c>
      <c r="H51" s="0" t="str">
        <f aca="false">IF(OR(ABS(D51)&gt;=3,AND(B51&gt;=4,ABS(E51)&gt;=0.25)),"MATERIAL","Context")</f>
        <v>Context</v>
      </c>
      <c r="I51" s="0" t="str">
        <f aca="false">IF(H51="MATERIAL","Qualifying shipped-event count changed by "&amp;D51&amp;"; record does not establish a cause.","")</f>
        <v/>
      </c>
    </row>
    <row r="52" customFormat="false" ht="15" hidden="false" customHeight="false" outlineLevel="0" collapsed="false">
      <c r="A52" s="0" t="str">
        <f aca="false">Data_Demand!A37</f>
        <v>SKU036</v>
      </c>
      <c r="B52" s="0" t="n">
        <f aca="false">Data_Demand!B37</f>
        <v>128</v>
      </c>
      <c r="C52" s="0" t="n">
        <f aca="false">Data_Demand!C37</f>
        <v>129</v>
      </c>
      <c r="D52" s="0" t="n">
        <f aca="false">C52-B52</f>
        <v>1</v>
      </c>
      <c r="E52" s="0" t="n">
        <f aca="false">IF(B52=0,IF(C52&gt;0,1,0),D52/B52)</f>
        <v>0.0078125</v>
      </c>
      <c r="F52" s="0" t="n">
        <f aca="false">Data_Demand!D37</f>
        <v>0.128</v>
      </c>
      <c r="G52" s="0" t="n">
        <f aca="false">Data_Demand!E37</f>
        <v>0.129</v>
      </c>
      <c r="H52" s="0" t="str">
        <f aca="false">IF(OR(ABS(D52)&gt;=3,AND(B52&gt;=4,ABS(E52)&gt;=0.25)),"MATERIAL","Context")</f>
        <v>Context</v>
      </c>
      <c r="I52" s="0" t="str">
        <f aca="false">IF(H52="MATERIAL","Qualifying shipped-event count changed by "&amp;D52&amp;"; record does not establish a cause.","")</f>
        <v/>
      </c>
    </row>
    <row r="53" customFormat="false" ht="15" hidden="false" customHeight="false" outlineLevel="0" collapsed="false">
      <c r="A53" s="0" t="str">
        <f aca="false">Data_Demand!A38</f>
        <v>SKU037</v>
      </c>
      <c r="B53" s="0" t="n">
        <f aca="false">Data_Demand!B38</f>
        <v>126</v>
      </c>
      <c r="C53" s="0" t="n">
        <f aca="false">Data_Demand!C38</f>
        <v>126</v>
      </c>
      <c r="D53" s="0" t="n">
        <f aca="false">C53-B53</f>
        <v>0</v>
      </c>
      <c r="E53" s="0" t="n">
        <f aca="false">IF(B53=0,IF(C53&gt;0,1,0),D53/B53)</f>
        <v>0</v>
      </c>
      <c r="F53" s="0" t="n">
        <f aca="false">Data_Demand!D38</f>
        <v>0.126</v>
      </c>
      <c r="G53" s="0" t="n">
        <f aca="false">Data_Demand!E38</f>
        <v>0.126</v>
      </c>
      <c r="H53" s="0" t="str">
        <f aca="false">IF(OR(ABS(D53)&gt;=3,AND(B53&gt;=4,ABS(E53)&gt;=0.25)),"MATERIAL","Context")</f>
        <v>Context</v>
      </c>
      <c r="I53" s="0" t="str">
        <f aca="false">IF(H53="MATERIAL","Qualifying shipped-event count changed by "&amp;D53&amp;"; record does not establish a cause.","")</f>
        <v/>
      </c>
    </row>
    <row r="54" customFormat="false" ht="15" hidden="false" customHeight="false" outlineLevel="0" collapsed="false">
      <c r="A54" s="0" t="str">
        <f aca="false">Data_Demand!A39</f>
        <v>SKU038</v>
      </c>
      <c r="B54" s="0" t="n">
        <f aca="false">Data_Demand!B39</f>
        <v>124</v>
      </c>
      <c r="C54" s="0" t="n">
        <f aca="false">Data_Demand!C39</f>
        <v>124</v>
      </c>
      <c r="D54" s="0" t="n">
        <f aca="false">C54-B54</f>
        <v>0</v>
      </c>
      <c r="E54" s="0" t="n">
        <f aca="false">IF(B54=0,IF(C54&gt;0,1,0),D54/B54)</f>
        <v>0</v>
      </c>
      <c r="F54" s="0" t="n">
        <f aca="false">Data_Demand!D39</f>
        <v>0.124</v>
      </c>
      <c r="G54" s="0" t="n">
        <f aca="false">Data_Demand!E39</f>
        <v>0.124</v>
      </c>
      <c r="H54" s="0" t="str">
        <f aca="false">IF(OR(ABS(D54)&gt;=3,AND(B54&gt;=4,ABS(E54)&gt;=0.25)),"MATERIAL","Context")</f>
        <v>Context</v>
      </c>
      <c r="I54" s="0" t="str">
        <f aca="false">IF(H54="MATERIAL","Qualifying shipped-event count changed by "&amp;D54&amp;"; record does not establish a cause.","")</f>
        <v/>
      </c>
    </row>
    <row r="55" customFormat="false" ht="15" hidden="false" customHeight="false" outlineLevel="0" collapsed="false">
      <c r="A55" s="0" t="str">
        <f aca="false">Data_Demand!A40</f>
        <v>SKU039</v>
      </c>
      <c r="B55" s="0" t="n">
        <f aca="false">Data_Demand!B40</f>
        <v>122</v>
      </c>
      <c r="C55" s="0" t="n">
        <f aca="false">Data_Demand!C40</f>
        <v>123</v>
      </c>
      <c r="D55" s="0" t="n">
        <f aca="false">C55-B55</f>
        <v>1</v>
      </c>
      <c r="E55" s="0" t="n">
        <f aca="false">IF(B55=0,IF(C55&gt;0,1,0),D55/B55)</f>
        <v>0.00819672131147541</v>
      </c>
      <c r="F55" s="0" t="n">
        <f aca="false">Data_Demand!D40</f>
        <v>0.122</v>
      </c>
      <c r="G55" s="0" t="n">
        <f aca="false">Data_Demand!E40</f>
        <v>0.123</v>
      </c>
      <c r="H55" s="0" t="str">
        <f aca="false">IF(OR(ABS(D55)&gt;=3,AND(B55&gt;=4,ABS(E55)&gt;=0.25)),"MATERIAL","Context")</f>
        <v>Context</v>
      </c>
      <c r="I55" s="0" t="str">
        <f aca="false">IF(H55="MATERIAL","Qualifying shipped-event count changed by "&amp;D55&amp;"; record does not establish a cause.","")</f>
        <v/>
      </c>
    </row>
    <row r="56" customFormat="false" ht="15" hidden="false" customHeight="false" outlineLevel="0" collapsed="false">
      <c r="A56" s="0" t="str">
        <f aca="false">Data_Demand!A41</f>
        <v>SKU040</v>
      </c>
      <c r="B56" s="0" t="n">
        <f aca="false">Data_Demand!B41</f>
        <v>120</v>
      </c>
      <c r="C56" s="0" t="n">
        <f aca="false">Data_Demand!C41</f>
        <v>122</v>
      </c>
      <c r="D56" s="0" t="n">
        <f aca="false">C56-B56</f>
        <v>2</v>
      </c>
      <c r="E56" s="0" t="n">
        <f aca="false">IF(B56=0,IF(C56&gt;0,1,0),D56/B56)</f>
        <v>0.0166666666666667</v>
      </c>
      <c r="F56" s="0" t="n">
        <f aca="false">Data_Demand!D41</f>
        <v>0.12</v>
      </c>
      <c r="G56" s="0" t="n">
        <f aca="false">Data_Demand!E41</f>
        <v>0.122</v>
      </c>
      <c r="H56" s="0" t="str">
        <f aca="false">IF(OR(ABS(D56)&gt;=3,AND(B56&gt;=4,ABS(E56)&gt;=0.25)),"MATERIAL","Context")</f>
        <v>Context</v>
      </c>
      <c r="I56" s="0" t="str">
        <f aca="false">IF(H56="MATERIAL","Qualifying shipped-event count changed by "&amp;D56&amp;"; record does not establish a cause.","")</f>
        <v/>
      </c>
    </row>
    <row r="57" customFormat="false" ht="15" hidden="false" customHeight="false" outlineLevel="0" collapsed="false">
      <c r="A57" s="0" t="str">
        <f aca="false">Data_Demand!A42</f>
        <v>SKU041</v>
      </c>
      <c r="B57" s="0" t="n">
        <f aca="false">Data_Demand!B42</f>
        <v>118</v>
      </c>
      <c r="C57" s="0" t="n">
        <f aca="false">Data_Demand!C42</f>
        <v>118</v>
      </c>
      <c r="D57" s="0" t="n">
        <f aca="false">C57-B57</f>
        <v>0</v>
      </c>
      <c r="E57" s="0" t="n">
        <f aca="false">IF(B57=0,IF(C57&gt;0,1,0),D57/B57)</f>
        <v>0</v>
      </c>
      <c r="F57" s="0" t="n">
        <f aca="false">Data_Demand!D42</f>
        <v>0.118</v>
      </c>
      <c r="G57" s="0" t="n">
        <f aca="false">Data_Demand!E42</f>
        <v>0.118</v>
      </c>
      <c r="H57" s="0" t="str">
        <f aca="false">IF(OR(ABS(D57)&gt;=3,AND(B57&gt;=4,ABS(E57)&gt;=0.25)),"MATERIAL","Context")</f>
        <v>Context</v>
      </c>
      <c r="I57" s="0" t="str">
        <f aca="false">IF(H57="MATERIAL","Qualifying shipped-event count changed by "&amp;D57&amp;"; record does not establish a cause.","")</f>
        <v/>
      </c>
    </row>
    <row r="58" customFormat="false" ht="15" hidden="false" customHeight="false" outlineLevel="0" collapsed="false">
      <c r="A58" s="0" t="str">
        <f aca="false">Data_Demand!A43</f>
        <v>SKU042</v>
      </c>
      <c r="B58" s="0" t="n">
        <f aca="false">Data_Demand!B43</f>
        <v>116</v>
      </c>
      <c r="C58" s="0" t="n">
        <f aca="false">Data_Demand!C43</f>
        <v>117</v>
      </c>
      <c r="D58" s="0" t="n">
        <f aca="false">C58-B58</f>
        <v>1</v>
      </c>
      <c r="E58" s="0" t="n">
        <f aca="false">IF(B58=0,IF(C58&gt;0,1,0),D58/B58)</f>
        <v>0.00862068965517241</v>
      </c>
      <c r="F58" s="0" t="n">
        <f aca="false">Data_Demand!D43</f>
        <v>0.116</v>
      </c>
      <c r="G58" s="0" t="n">
        <f aca="false">Data_Demand!E43</f>
        <v>0.117</v>
      </c>
      <c r="H58" s="0" t="str">
        <f aca="false">IF(OR(ABS(D58)&gt;=3,AND(B58&gt;=4,ABS(E58)&gt;=0.25)),"MATERIAL","Context")</f>
        <v>Context</v>
      </c>
      <c r="I58" s="0" t="str">
        <f aca="false">IF(H58="MATERIAL","Qualifying shipped-event count changed by "&amp;D58&amp;"; record does not establish a cause.","")</f>
        <v/>
      </c>
    </row>
    <row r="59" customFormat="false" ht="15" hidden="false" customHeight="false" outlineLevel="0" collapsed="false">
      <c r="A59" s="0" t="str">
        <f aca="false">Data_Demand!A44</f>
        <v>SKU043</v>
      </c>
      <c r="B59" s="0" t="n">
        <f aca="false">Data_Demand!B44</f>
        <v>114</v>
      </c>
      <c r="C59" s="0" t="n">
        <f aca="false">Data_Demand!C44</f>
        <v>114</v>
      </c>
      <c r="D59" s="0" t="n">
        <f aca="false">C59-B59</f>
        <v>0</v>
      </c>
      <c r="E59" s="0" t="n">
        <f aca="false">IF(B59=0,IF(C59&gt;0,1,0),D59/B59)</f>
        <v>0</v>
      </c>
      <c r="F59" s="0" t="n">
        <f aca="false">Data_Demand!D44</f>
        <v>0.114</v>
      </c>
      <c r="G59" s="0" t="n">
        <f aca="false">Data_Demand!E44</f>
        <v>0.114</v>
      </c>
      <c r="H59" s="0" t="str">
        <f aca="false">IF(OR(ABS(D59)&gt;=3,AND(B59&gt;=4,ABS(E59)&gt;=0.25)),"MATERIAL","Context")</f>
        <v>Context</v>
      </c>
      <c r="I59" s="0" t="str">
        <f aca="false">IF(H59="MATERIAL","Qualifying shipped-event count changed by "&amp;D59&amp;"; record does not establish a cause.","")</f>
        <v/>
      </c>
    </row>
    <row r="60" customFormat="false" ht="15" hidden="false" customHeight="false" outlineLevel="0" collapsed="false">
      <c r="A60" s="0" t="str">
        <f aca="false">Data_Demand!A45</f>
        <v>SKU044</v>
      </c>
      <c r="B60" s="0" t="n">
        <f aca="false">Data_Demand!B45</f>
        <v>112</v>
      </c>
      <c r="C60" s="0" t="n">
        <f aca="false">Data_Demand!C45</f>
        <v>112</v>
      </c>
      <c r="D60" s="0" t="n">
        <f aca="false">C60-B60</f>
        <v>0</v>
      </c>
      <c r="E60" s="0" t="n">
        <f aca="false">IF(B60=0,IF(C60&gt;0,1,0),D60/B60)</f>
        <v>0</v>
      </c>
      <c r="F60" s="0" t="n">
        <f aca="false">Data_Demand!D45</f>
        <v>0.112</v>
      </c>
      <c r="G60" s="0" t="n">
        <f aca="false">Data_Demand!E45</f>
        <v>0.112</v>
      </c>
      <c r="H60" s="0" t="str">
        <f aca="false">IF(OR(ABS(D60)&gt;=3,AND(B60&gt;=4,ABS(E60)&gt;=0.25)),"MATERIAL","Context")</f>
        <v>Context</v>
      </c>
      <c r="I60" s="0" t="str">
        <f aca="false">IF(H60="MATERIAL","Qualifying shipped-event count changed by "&amp;D60&amp;"; record does not establish a cause.","")</f>
        <v/>
      </c>
    </row>
    <row r="61" customFormat="false" ht="15" hidden="false" customHeight="false" outlineLevel="0" collapsed="false">
      <c r="A61" s="0" t="str">
        <f aca="false">Data_Demand!A46</f>
        <v>SKU045</v>
      </c>
      <c r="B61" s="0" t="n">
        <f aca="false">Data_Demand!B46</f>
        <v>110</v>
      </c>
      <c r="C61" s="0" t="n">
        <f aca="false">Data_Demand!C46</f>
        <v>112</v>
      </c>
      <c r="D61" s="0" t="n">
        <f aca="false">C61-B61</f>
        <v>2</v>
      </c>
      <c r="E61" s="0" t="n">
        <f aca="false">IF(B61=0,IF(C61&gt;0,1,0),D61/B61)</f>
        <v>0.0181818181818182</v>
      </c>
      <c r="F61" s="0" t="n">
        <f aca="false">Data_Demand!D46</f>
        <v>0.11</v>
      </c>
      <c r="G61" s="0" t="n">
        <f aca="false">Data_Demand!E46</f>
        <v>0.112</v>
      </c>
      <c r="H61" s="0" t="str">
        <f aca="false">IF(OR(ABS(D61)&gt;=3,AND(B61&gt;=4,ABS(E61)&gt;=0.25)),"MATERIAL","Context")</f>
        <v>Context</v>
      </c>
      <c r="I61" s="0" t="str">
        <f aca="false">IF(H61="MATERIAL","Qualifying shipped-event count changed by "&amp;D61&amp;"; record does not establish a cause.","")</f>
        <v/>
      </c>
    </row>
    <row r="62" customFormat="false" ht="15" hidden="false" customHeight="false" outlineLevel="0" collapsed="false">
      <c r="A62" s="0" t="str">
        <f aca="false">Data_Demand!A47</f>
        <v>SKU046</v>
      </c>
      <c r="B62" s="0" t="n">
        <f aca="false">Data_Demand!B47</f>
        <v>108</v>
      </c>
      <c r="C62" s="0" t="n">
        <f aca="false">Data_Demand!C47</f>
        <v>108</v>
      </c>
      <c r="D62" s="0" t="n">
        <f aca="false">C62-B62</f>
        <v>0</v>
      </c>
      <c r="E62" s="0" t="n">
        <f aca="false">IF(B62=0,IF(C62&gt;0,1,0),D62/B62)</f>
        <v>0</v>
      </c>
      <c r="F62" s="0" t="n">
        <f aca="false">Data_Demand!D47</f>
        <v>0.108</v>
      </c>
      <c r="G62" s="0" t="n">
        <f aca="false">Data_Demand!E47</f>
        <v>0.108</v>
      </c>
      <c r="H62" s="0" t="str">
        <f aca="false">IF(OR(ABS(D62)&gt;=3,AND(B62&gt;=4,ABS(E62)&gt;=0.25)),"MATERIAL","Context")</f>
        <v>Context</v>
      </c>
      <c r="I62" s="0" t="str">
        <f aca="false">IF(H62="MATERIAL","Qualifying shipped-event count changed by "&amp;D62&amp;"; record does not establish a cause.","")</f>
        <v/>
      </c>
    </row>
    <row r="63" customFormat="false" ht="15" hidden="false" customHeight="false" outlineLevel="0" collapsed="false">
      <c r="A63" s="0" t="str">
        <f aca="false">Data_Demand!A48</f>
        <v>SKU047</v>
      </c>
      <c r="B63" s="0" t="n">
        <f aca="false">Data_Demand!B48</f>
        <v>106</v>
      </c>
      <c r="C63" s="0" t="n">
        <f aca="false">Data_Demand!C48</f>
        <v>106</v>
      </c>
      <c r="D63" s="0" t="n">
        <f aca="false">C63-B63</f>
        <v>0</v>
      </c>
      <c r="E63" s="0" t="n">
        <f aca="false">IF(B63=0,IF(C63&gt;0,1,0),D63/B63)</f>
        <v>0</v>
      </c>
      <c r="F63" s="0" t="n">
        <f aca="false">Data_Demand!D48</f>
        <v>0.106</v>
      </c>
      <c r="G63" s="0" t="n">
        <f aca="false">Data_Demand!E48</f>
        <v>0.106</v>
      </c>
      <c r="H63" s="0" t="str">
        <f aca="false">IF(OR(ABS(D63)&gt;=3,AND(B63&gt;=4,ABS(E63)&gt;=0.25)),"MATERIAL","Context")</f>
        <v>Context</v>
      </c>
      <c r="I63" s="0" t="str">
        <f aca="false">IF(H63="MATERIAL","Qualifying shipped-event count changed by "&amp;D63&amp;"; record does not establish a cause.","")</f>
        <v/>
      </c>
    </row>
    <row r="64" customFormat="false" ht="15" hidden="false" customHeight="false" outlineLevel="0" collapsed="false">
      <c r="A64" s="0" t="str">
        <f aca="false">Data_Demand!A49</f>
        <v>SKU048</v>
      </c>
      <c r="B64" s="0" t="n">
        <f aca="false">Data_Demand!B49</f>
        <v>104</v>
      </c>
      <c r="C64" s="0" t="n">
        <f aca="false">Data_Demand!C49</f>
        <v>105</v>
      </c>
      <c r="D64" s="0" t="n">
        <f aca="false">C64-B64</f>
        <v>1</v>
      </c>
      <c r="E64" s="0" t="n">
        <f aca="false">IF(B64=0,IF(C64&gt;0,1,0),D64/B64)</f>
        <v>0.00961538461538462</v>
      </c>
      <c r="F64" s="0" t="n">
        <f aca="false">Data_Demand!D49</f>
        <v>0.104</v>
      </c>
      <c r="G64" s="0" t="n">
        <f aca="false">Data_Demand!E49</f>
        <v>0.105</v>
      </c>
      <c r="H64" s="0" t="str">
        <f aca="false">IF(OR(ABS(D64)&gt;=3,AND(B64&gt;=4,ABS(E64)&gt;=0.25)),"MATERIAL","Context")</f>
        <v>Context</v>
      </c>
      <c r="I64" s="0" t="str">
        <f aca="false">IF(H64="MATERIAL","Qualifying shipped-event count changed by "&amp;D64&amp;"; record does not establish a cause.","")</f>
        <v/>
      </c>
    </row>
    <row r="65" customFormat="false" ht="15" hidden="false" customHeight="false" outlineLevel="0" collapsed="false">
      <c r="A65" s="0" t="str">
        <f aca="false">Data_Demand!A50</f>
        <v>SKU049</v>
      </c>
      <c r="B65" s="0" t="n">
        <f aca="false">Data_Demand!B50</f>
        <v>102</v>
      </c>
      <c r="C65" s="0" t="n">
        <f aca="false">Data_Demand!C50</f>
        <v>102</v>
      </c>
      <c r="D65" s="0" t="n">
        <f aca="false">C65-B65</f>
        <v>0</v>
      </c>
      <c r="E65" s="0" t="n">
        <f aca="false">IF(B65=0,IF(C65&gt;0,1,0),D65/B65)</f>
        <v>0</v>
      </c>
      <c r="F65" s="0" t="n">
        <f aca="false">Data_Demand!D50</f>
        <v>0.102</v>
      </c>
      <c r="G65" s="0" t="n">
        <f aca="false">Data_Demand!E50</f>
        <v>0.102</v>
      </c>
      <c r="H65" s="0" t="str">
        <f aca="false">IF(OR(ABS(D65)&gt;=3,AND(B65&gt;=4,ABS(E65)&gt;=0.25)),"MATERIAL","Context")</f>
        <v>Context</v>
      </c>
      <c r="I65" s="0" t="str">
        <f aca="false">IF(H65="MATERIAL","Qualifying shipped-event count changed by "&amp;D65&amp;"; record does not establish a cause.","")</f>
        <v/>
      </c>
    </row>
    <row r="66" customFormat="false" ht="15" hidden="false" customHeight="false" outlineLevel="0" collapsed="false">
      <c r="A66" s="0" t="str">
        <f aca="false">Data_Demand!A51</f>
        <v>SKU050</v>
      </c>
      <c r="B66" s="0" t="n">
        <f aca="false">Data_Demand!B51</f>
        <v>100</v>
      </c>
      <c r="C66" s="0" t="n">
        <f aca="false">Data_Demand!C51</f>
        <v>102</v>
      </c>
      <c r="D66" s="0" t="n">
        <f aca="false">C66-B66</f>
        <v>2</v>
      </c>
      <c r="E66" s="0" t="n">
        <f aca="false">IF(B66=0,IF(C66&gt;0,1,0),D66/B66)</f>
        <v>0.02</v>
      </c>
      <c r="F66" s="0" t="n">
        <f aca="false">Data_Demand!D51</f>
        <v>0.1</v>
      </c>
      <c r="G66" s="0" t="n">
        <f aca="false">Data_Demand!E51</f>
        <v>0.102</v>
      </c>
      <c r="H66" s="0" t="str">
        <f aca="false">IF(OR(ABS(D66)&gt;=3,AND(B66&gt;=4,ABS(E66)&gt;=0.25)),"MATERIAL","Context")</f>
        <v>Context</v>
      </c>
      <c r="I66" s="0" t="str">
        <f aca="false">IF(H66="MATERIAL","Qualifying shipped-event count changed by "&amp;D66&amp;"; record does not establish a cause.","")</f>
        <v/>
      </c>
    </row>
    <row r="67" customFormat="false" ht="15" hidden="false" customHeight="false" outlineLevel="0" collapsed="false">
      <c r="A67" s="0" t="str">
        <f aca="false">Data_Demand!A52</f>
        <v>SKU051</v>
      </c>
      <c r="B67" s="0" t="n">
        <f aca="false">Data_Demand!B52</f>
        <v>98</v>
      </c>
      <c r="C67" s="0" t="n">
        <f aca="false">Data_Demand!C52</f>
        <v>99</v>
      </c>
      <c r="D67" s="0" t="n">
        <f aca="false">C67-B67</f>
        <v>1</v>
      </c>
      <c r="E67" s="0" t="n">
        <f aca="false">IF(B67=0,IF(C67&gt;0,1,0),D67/B67)</f>
        <v>0.0102040816326531</v>
      </c>
      <c r="F67" s="0" t="n">
        <f aca="false">Data_Demand!D52</f>
        <v>0.098</v>
      </c>
      <c r="G67" s="0" t="n">
        <f aca="false">Data_Demand!E52</f>
        <v>0.099</v>
      </c>
      <c r="H67" s="0" t="str">
        <f aca="false">IF(OR(ABS(D67)&gt;=3,AND(B67&gt;=4,ABS(E67)&gt;=0.25)),"MATERIAL","Context")</f>
        <v>Context</v>
      </c>
      <c r="I67" s="0" t="str">
        <f aca="false">IF(H67="MATERIAL","Qualifying shipped-event count changed by "&amp;D67&amp;"; record does not establish a cause.","")</f>
        <v/>
      </c>
    </row>
    <row r="68" customFormat="false" ht="15" hidden="false" customHeight="false" outlineLevel="0" collapsed="false">
      <c r="A68" s="0" t="str">
        <f aca="false">Data_Demand!A53</f>
        <v>SKU052</v>
      </c>
      <c r="B68" s="0" t="n">
        <f aca="false">Data_Demand!B53</f>
        <v>96</v>
      </c>
      <c r="C68" s="0" t="n">
        <f aca="false">Data_Demand!C53</f>
        <v>96</v>
      </c>
      <c r="D68" s="0" t="n">
        <f aca="false">C68-B68</f>
        <v>0</v>
      </c>
      <c r="E68" s="0" t="n">
        <f aca="false">IF(B68=0,IF(C68&gt;0,1,0),D68/B68)</f>
        <v>0</v>
      </c>
      <c r="F68" s="0" t="n">
        <f aca="false">Data_Demand!D53</f>
        <v>0.096</v>
      </c>
      <c r="G68" s="0" t="n">
        <f aca="false">Data_Demand!E53</f>
        <v>0.096</v>
      </c>
      <c r="H68" s="0" t="str">
        <f aca="false">IF(OR(ABS(D68)&gt;=3,AND(B68&gt;=4,ABS(E68)&gt;=0.25)),"MATERIAL","Context")</f>
        <v>Context</v>
      </c>
      <c r="I68" s="0" t="str">
        <f aca="false">IF(H68="MATERIAL","Qualifying shipped-event count changed by "&amp;D68&amp;"; record does not establish a cause.","")</f>
        <v/>
      </c>
    </row>
    <row r="69" customFormat="false" ht="15" hidden="false" customHeight="false" outlineLevel="0" collapsed="false">
      <c r="A69" s="0" t="str">
        <f aca="false">Data_Demand!A54</f>
        <v>SKU053</v>
      </c>
      <c r="B69" s="0" t="n">
        <f aca="false">Data_Demand!B54</f>
        <v>94</v>
      </c>
      <c r="C69" s="0" t="n">
        <f aca="false">Data_Demand!C54</f>
        <v>94</v>
      </c>
      <c r="D69" s="0" t="n">
        <f aca="false">C69-B69</f>
        <v>0</v>
      </c>
      <c r="E69" s="0" t="n">
        <f aca="false">IF(B69=0,IF(C69&gt;0,1,0),D69/B69)</f>
        <v>0</v>
      </c>
      <c r="F69" s="0" t="n">
        <f aca="false">Data_Demand!D54</f>
        <v>0.094</v>
      </c>
      <c r="G69" s="0" t="n">
        <f aca="false">Data_Demand!E54</f>
        <v>0.094</v>
      </c>
      <c r="H69" s="0" t="str">
        <f aca="false">IF(OR(ABS(D69)&gt;=3,AND(B69&gt;=4,ABS(E69)&gt;=0.25)),"MATERIAL","Context")</f>
        <v>Context</v>
      </c>
      <c r="I69" s="0" t="str">
        <f aca="false">IF(H69="MATERIAL","Qualifying shipped-event count changed by "&amp;D69&amp;"; record does not establish a cause.","")</f>
        <v/>
      </c>
    </row>
    <row r="70" customFormat="false" ht="15" hidden="false" customHeight="false" outlineLevel="0" collapsed="false">
      <c r="A70" s="0" t="str">
        <f aca="false">Data_Demand!A55</f>
        <v>SKU054</v>
      </c>
      <c r="B70" s="0" t="n">
        <f aca="false">Data_Demand!B55</f>
        <v>92</v>
      </c>
      <c r="C70" s="0" t="n">
        <f aca="false">Data_Demand!C55</f>
        <v>93</v>
      </c>
      <c r="D70" s="0" t="n">
        <f aca="false">C70-B70</f>
        <v>1</v>
      </c>
      <c r="E70" s="0" t="n">
        <f aca="false">IF(B70=0,IF(C70&gt;0,1,0),D70/B70)</f>
        <v>0.0108695652173913</v>
      </c>
      <c r="F70" s="0" t="n">
        <f aca="false">Data_Demand!D55</f>
        <v>0.092</v>
      </c>
      <c r="G70" s="0" t="n">
        <f aca="false">Data_Demand!E55</f>
        <v>0.093</v>
      </c>
      <c r="H70" s="0" t="str">
        <f aca="false">IF(OR(ABS(D70)&gt;=3,AND(B70&gt;=4,ABS(E70)&gt;=0.25)),"MATERIAL","Context")</f>
        <v>Context</v>
      </c>
      <c r="I70" s="0" t="str">
        <f aca="false">IF(H70="MATERIAL","Qualifying shipped-event count changed by "&amp;D70&amp;"; record does not establish a cause.","")</f>
        <v/>
      </c>
    </row>
    <row r="71" customFormat="false" ht="15" hidden="false" customHeight="false" outlineLevel="0" collapsed="false">
      <c r="A71" s="0" t="str">
        <f aca="false">Data_Demand!A56</f>
        <v>SKU055</v>
      </c>
      <c r="B71" s="0" t="n">
        <f aca="false">Data_Demand!B56</f>
        <v>90</v>
      </c>
      <c r="C71" s="0" t="n">
        <f aca="false">Data_Demand!C56</f>
        <v>92</v>
      </c>
      <c r="D71" s="0" t="n">
        <f aca="false">C71-B71</f>
        <v>2</v>
      </c>
      <c r="E71" s="0" t="n">
        <f aca="false">IF(B71=0,IF(C71&gt;0,1,0),D71/B71)</f>
        <v>0.0222222222222222</v>
      </c>
      <c r="F71" s="0" t="n">
        <f aca="false">Data_Demand!D56</f>
        <v>0.09</v>
      </c>
      <c r="G71" s="0" t="n">
        <f aca="false">Data_Demand!E56</f>
        <v>0.092</v>
      </c>
      <c r="H71" s="0" t="str">
        <f aca="false">IF(OR(ABS(D71)&gt;=3,AND(B71&gt;=4,ABS(E71)&gt;=0.25)),"MATERIAL","Context")</f>
        <v>Context</v>
      </c>
      <c r="I71" s="0" t="str">
        <f aca="false">IF(H71="MATERIAL","Qualifying shipped-event count changed by "&amp;D71&amp;"; record does not establish a cause.","")</f>
        <v/>
      </c>
    </row>
    <row r="72" customFormat="false" ht="15" hidden="false" customHeight="false" outlineLevel="0" collapsed="false">
      <c r="A72" s="0" t="str">
        <f aca="false">Data_Demand!A57</f>
        <v>SKU056</v>
      </c>
      <c r="B72" s="0" t="n">
        <f aca="false">Data_Demand!B57</f>
        <v>88</v>
      </c>
      <c r="C72" s="0" t="n">
        <f aca="false">Data_Demand!C57</f>
        <v>88</v>
      </c>
      <c r="D72" s="0" t="n">
        <f aca="false">C72-B72</f>
        <v>0</v>
      </c>
      <c r="E72" s="0" t="n">
        <f aca="false">IF(B72=0,IF(C72&gt;0,1,0),D72/B72)</f>
        <v>0</v>
      </c>
      <c r="F72" s="0" t="n">
        <f aca="false">Data_Demand!D57</f>
        <v>0.088</v>
      </c>
      <c r="G72" s="0" t="n">
        <f aca="false">Data_Demand!E57</f>
        <v>0.088</v>
      </c>
      <c r="H72" s="0" t="str">
        <f aca="false">IF(OR(ABS(D72)&gt;=3,AND(B72&gt;=4,ABS(E72)&gt;=0.25)),"MATERIAL","Context")</f>
        <v>Context</v>
      </c>
      <c r="I72" s="0" t="str">
        <f aca="false">IF(H72="MATERIAL","Qualifying shipped-event count changed by "&amp;D72&amp;"; record does not establish a cause.","")</f>
        <v/>
      </c>
    </row>
    <row r="73" customFormat="false" ht="15" hidden="false" customHeight="false" outlineLevel="0" collapsed="false">
      <c r="A73" s="0" t="str">
        <f aca="false">Data_Demand!A58</f>
        <v>SKU057</v>
      </c>
      <c r="B73" s="0" t="n">
        <f aca="false">Data_Demand!B58</f>
        <v>86</v>
      </c>
      <c r="C73" s="0" t="n">
        <f aca="false">Data_Demand!C58</f>
        <v>87</v>
      </c>
      <c r="D73" s="0" t="n">
        <f aca="false">C73-B73</f>
        <v>1</v>
      </c>
      <c r="E73" s="0" t="n">
        <f aca="false">IF(B73=0,IF(C73&gt;0,1,0),D73/B73)</f>
        <v>0.0116279069767442</v>
      </c>
      <c r="F73" s="0" t="n">
        <f aca="false">Data_Demand!D58</f>
        <v>0.086</v>
      </c>
      <c r="G73" s="0" t="n">
        <f aca="false">Data_Demand!E58</f>
        <v>0.087</v>
      </c>
      <c r="H73" s="0" t="str">
        <f aca="false">IF(OR(ABS(D73)&gt;=3,AND(B73&gt;=4,ABS(E73)&gt;=0.25)),"MATERIAL","Context")</f>
        <v>Context</v>
      </c>
      <c r="I73" s="0" t="str">
        <f aca="false">IF(H73="MATERIAL","Qualifying shipped-event count changed by "&amp;D73&amp;"; record does not establish a cause.","")</f>
        <v/>
      </c>
    </row>
    <row r="74" customFormat="false" ht="15" hidden="false" customHeight="false" outlineLevel="0" collapsed="false">
      <c r="A74" s="0" t="str">
        <f aca="false">Data_Demand!A59</f>
        <v>SKU058</v>
      </c>
      <c r="B74" s="0" t="n">
        <f aca="false">Data_Demand!B59</f>
        <v>84</v>
      </c>
      <c r="C74" s="0" t="n">
        <f aca="false">Data_Demand!C59</f>
        <v>84</v>
      </c>
      <c r="D74" s="0" t="n">
        <f aca="false">C74-B74</f>
        <v>0</v>
      </c>
      <c r="E74" s="0" t="n">
        <f aca="false">IF(B74=0,IF(C74&gt;0,1,0),D74/B74)</f>
        <v>0</v>
      </c>
      <c r="F74" s="0" t="n">
        <f aca="false">Data_Demand!D59</f>
        <v>0.084</v>
      </c>
      <c r="G74" s="0" t="n">
        <f aca="false">Data_Demand!E59</f>
        <v>0.084</v>
      </c>
      <c r="H74" s="0" t="str">
        <f aca="false">IF(OR(ABS(D74)&gt;=3,AND(B74&gt;=4,ABS(E74)&gt;=0.25)),"MATERIAL","Context")</f>
        <v>Context</v>
      </c>
      <c r="I74" s="0" t="str">
        <f aca="false">IF(H74="MATERIAL","Qualifying shipped-event count changed by "&amp;D74&amp;"; record does not establish a cause.","")</f>
        <v/>
      </c>
    </row>
    <row r="75" customFormat="false" ht="15" hidden="false" customHeight="false" outlineLevel="0" collapsed="false">
      <c r="A75" s="0" t="str">
        <f aca="false">Data_Demand!A60</f>
        <v>SKU059</v>
      </c>
      <c r="B75" s="0" t="n">
        <f aca="false">Data_Demand!B60</f>
        <v>82</v>
      </c>
      <c r="C75" s="0" t="n">
        <f aca="false">Data_Demand!C60</f>
        <v>82</v>
      </c>
      <c r="D75" s="0" t="n">
        <f aca="false">C75-B75</f>
        <v>0</v>
      </c>
      <c r="E75" s="0" t="n">
        <f aca="false">IF(B75=0,IF(C75&gt;0,1,0),D75/B75)</f>
        <v>0</v>
      </c>
      <c r="F75" s="0" t="n">
        <f aca="false">Data_Demand!D60</f>
        <v>0.082</v>
      </c>
      <c r="G75" s="0" t="n">
        <f aca="false">Data_Demand!E60</f>
        <v>0.082</v>
      </c>
      <c r="H75" s="0" t="str">
        <f aca="false">IF(OR(ABS(D75)&gt;=3,AND(B75&gt;=4,ABS(E75)&gt;=0.25)),"MATERIAL","Context")</f>
        <v>Context</v>
      </c>
      <c r="I75" s="0" t="str">
        <f aca="false">IF(H75="MATERIAL","Qualifying shipped-event count changed by "&amp;D75&amp;"; record does not establish a cause.","")</f>
        <v/>
      </c>
    </row>
    <row r="76" customFormat="false" ht="15" hidden="false" customHeight="false" outlineLevel="0" collapsed="false">
      <c r="A76" s="0" t="str">
        <f aca="false">Data_Demand!A61</f>
        <v>SKU060</v>
      </c>
      <c r="B76" s="0" t="n">
        <f aca="false">Data_Demand!B61</f>
        <v>80</v>
      </c>
      <c r="C76" s="0" t="n">
        <f aca="false">Data_Demand!C61</f>
        <v>82</v>
      </c>
      <c r="D76" s="0" t="n">
        <f aca="false">C76-B76</f>
        <v>2</v>
      </c>
      <c r="E76" s="0" t="n">
        <f aca="false">IF(B76=0,IF(C76&gt;0,1,0),D76/B76)</f>
        <v>0.025</v>
      </c>
      <c r="F76" s="0" t="n">
        <f aca="false">Data_Demand!D61</f>
        <v>0.08</v>
      </c>
      <c r="G76" s="0" t="n">
        <f aca="false">Data_Demand!E61</f>
        <v>0.082</v>
      </c>
      <c r="H76" s="0" t="str">
        <f aca="false">IF(OR(ABS(D76)&gt;=3,AND(B76&gt;=4,ABS(E76)&gt;=0.25)),"MATERIAL","Context")</f>
        <v>Context</v>
      </c>
      <c r="I76" s="0" t="str">
        <f aca="false">IF(H76="MATERIAL","Qualifying shipped-event count changed by "&amp;D76&amp;"; record does not establish a cause.","")</f>
        <v/>
      </c>
    </row>
    <row r="77" customFormat="false" ht="15" hidden="false" customHeight="false" outlineLevel="0" collapsed="false">
      <c r="A77" s="0" t="str">
        <f aca="false">Data_Demand!A62</f>
        <v>SKU061</v>
      </c>
      <c r="B77" s="0" t="n">
        <f aca="false">Data_Demand!B62</f>
        <v>78</v>
      </c>
      <c r="C77" s="0" t="n">
        <f aca="false">Data_Demand!C62</f>
        <v>78</v>
      </c>
      <c r="D77" s="0" t="n">
        <f aca="false">C77-B77</f>
        <v>0</v>
      </c>
      <c r="E77" s="0" t="n">
        <f aca="false">IF(B77=0,IF(C77&gt;0,1,0),D77/B77)</f>
        <v>0</v>
      </c>
      <c r="F77" s="0" t="n">
        <f aca="false">Data_Demand!D62</f>
        <v>0.078</v>
      </c>
      <c r="G77" s="0" t="n">
        <f aca="false">Data_Demand!E62</f>
        <v>0.078</v>
      </c>
      <c r="H77" s="0" t="str">
        <f aca="false">IF(OR(ABS(D77)&gt;=3,AND(B77&gt;=4,ABS(E77)&gt;=0.25)),"MATERIAL","Context")</f>
        <v>Context</v>
      </c>
      <c r="I77" s="0" t="str">
        <f aca="false">IF(H77="MATERIAL","Qualifying shipped-event count changed by "&amp;D77&amp;"; record does not establish a cause.","")</f>
        <v/>
      </c>
    </row>
    <row r="78" customFormat="false" ht="15" hidden="false" customHeight="false" outlineLevel="0" collapsed="false">
      <c r="A78" s="0" t="str">
        <f aca="false">Data_Demand!A63</f>
        <v>SKU062</v>
      </c>
      <c r="B78" s="0" t="n">
        <f aca="false">Data_Demand!B63</f>
        <v>76</v>
      </c>
      <c r="C78" s="0" t="n">
        <f aca="false">Data_Demand!C63</f>
        <v>76</v>
      </c>
      <c r="D78" s="0" t="n">
        <f aca="false">C78-B78</f>
        <v>0</v>
      </c>
      <c r="E78" s="0" t="n">
        <f aca="false">IF(B78=0,IF(C78&gt;0,1,0),D78/B78)</f>
        <v>0</v>
      </c>
      <c r="F78" s="0" t="n">
        <f aca="false">Data_Demand!D63</f>
        <v>0.076</v>
      </c>
      <c r="G78" s="0" t="n">
        <f aca="false">Data_Demand!E63</f>
        <v>0.076</v>
      </c>
      <c r="H78" s="0" t="str">
        <f aca="false">IF(OR(ABS(D78)&gt;=3,AND(B78&gt;=4,ABS(E78)&gt;=0.25)),"MATERIAL","Context")</f>
        <v>Context</v>
      </c>
      <c r="I78" s="0" t="str">
        <f aca="false">IF(H78="MATERIAL","Qualifying shipped-event count changed by "&amp;D78&amp;"; record does not establish a cause.","")</f>
        <v/>
      </c>
    </row>
    <row r="79" customFormat="false" ht="15" hidden="false" customHeight="false" outlineLevel="0" collapsed="false">
      <c r="A79" s="0" t="str">
        <f aca="false">Data_Demand!A64</f>
        <v>SKU063</v>
      </c>
      <c r="B79" s="0" t="n">
        <f aca="false">Data_Demand!B64</f>
        <v>74</v>
      </c>
      <c r="C79" s="0" t="n">
        <f aca="false">Data_Demand!C64</f>
        <v>75</v>
      </c>
      <c r="D79" s="0" t="n">
        <f aca="false">C79-B79</f>
        <v>1</v>
      </c>
      <c r="E79" s="0" t="n">
        <f aca="false">IF(B79=0,IF(C79&gt;0,1,0),D79/B79)</f>
        <v>0.0135135135135135</v>
      </c>
      <c r="F79" s="0" t="n">
        <f aca="false">Data_Demand!D64</f>
        <v>0.074</v>
      </c>
      <c r="G79" s="0" t="n">
        <f aca="false">Data_Demand!E64</f>
        <v>0.075</v>
      </c>
      <c r="H79" s="0" t="str">
        <f aca="false">IF(OR(ABS(D79)&gt;=3,AND(B79&gt;=4,ABS(E79)&gt;=0.25)),"MATERIAL","Context")</f>
        <v>Context</v>
      </c>
      <c r="I79" s="0" t="str">
        <f aca="false">IF(H79="MATERIAL","Qualifying shipped-event count changed by "&amp;D79&amp;"; record does not establish a cause.","")</f>
        <v/>
      </c>
    </row>
    <row r="80" customFormat="false" ht="15" hidden="false" customHeight="false" outlineLevel="0" collapsed="false">
      <c r="A80" s="0" t="str">
        <f aca="false">Data_Demand!A65</f>
        <v>SKU064</v>
      </c>
      <c r="B80" s="0" t="n">
        <f aca="false">Data_Demand!B65</f>
        <v>72</v>
      </c>
      <c r="C80" s="0" t="n">
        <f aca="false">Data_Demand!C65</f>
        <v>72</v>
      </c>
      <c r="D80" s="0" t="n">
        <f aca="false">C80-B80</f>
        <v>0</v>
      </c>
      <c r="E80" s="0" t="n">
        <f aca="false">IF(B80=0,IF(C80&gt;0,1,0),D80/B80)</f>
        <v>0</v>
      </c>
      <c r="F80" s="0" t="n">
        <f aca="false">Data_Demand!D65</f>
        <v>0.072</v>
      </c>
      <c r="G80" s="0" t="n">
        <f aca="false">Data_Demand!E65</f>
        <v>0.072</v>
      </c>
      <c r="H80" s="0" t="str">
        <f aca="false">IF(OR(ABS(D80)&gt;=3,AND(B80&gt;=4,ABS(E80)&gt;=0.25)),"MATERIAL","Context")</f>
        <v>Context</v>
      </c>
      <c r="I80" s="0" t="str">
        <f aca="false">IF(H80="MATERIAL","Qualifying shipped-event count changed by "&amp;D80&amp;"; record does not establish a cause.","")</f>
        <v/>
      </c>
    </row>
    <row r="81" customFormat="false" ht="15" hidden="false" customHeight="false" outlineLevel="0" collapsed="false">
      <c r="A81" s="0" t="str">
        <f aca="false">Data_Demand!A66</f>
        <v>SKU065</v>
      </c>
      <c r="B81" s="0" t="n">
        <f aca="false">Data_Demand!B66</f>
        <v>70</v>
      </c>
      <c r="C81" s="0" t="n">
        <f aca="false">Data_Demand!C66</f>
        <v>72</v>
      </c>
      <c r="D81" s="0" t="n">
        <f aca="false">C81-B81</f>
        <v>2</v>
      </c>
      <c r="E81" s="0" t="n">
        <f aca="false">IF(B81=0,IF(C81&gt;0,1,0),D81/B81)</f>
        <v>0.0285714285714286</v>
      </c>
      <c r="F81" s="0" t="n">
        <f aca="false">Data_Demand!D66</f>
        <v>0.07</v>
      </c>
      <c r="G81" s="0" t="n">
        <f aca="false">Data_Demand!E66</f>
        <v>0.072</v>
      </c>
      <c r="H81" s="0" t="str">
        <f aca="false">IF(OR(ABS(D81)&gt;=3,AND(B81&gt;=4,ABS(E81)&gt;=0.25)),"MATERIAL","Context")</f>
        <v>Context</v>
      </c>
      <c r="I81" s="0" t="str">
        <f aca="false">IF(H81="MATERIAL","Qualifying shipped-event count changed by "&amp;D81&amp;"; record does not establish a cause.","")</f>
        <v/>
      </c>
    </row>
    <row r="82" customFormat="false" ht="15" hidden="false" customHeight="false" outlineLevel="0" collapsed="false">
      <c r="A82" s="0" t="str">
        <f aca="false">Data_Demand!A67</f>
        <v>SKU066</v>
      </c>
      <c r="B82" s="0" t="n">
        <f aca="false">Data_Demand!B67</f>
        <v>68</v>
      </c>
      <c r="C82" s="0" t="n">
        <f aca="false">Data_Demand!C67</f>
        <v>69</v>
      </c>
      <c r="D82" s="0" t="n">
        <f aca="false">C82-B82</f>
        <v>1</v>
      </c>
      <c r="E82" s="0" t="n">
        <f aca="false">IF(B82=0,IF(C82&gt;0,1,0),D82/B82)</f>
        <v>0.0147058823529412</v>
      </c>
      <c r="F82" s="0" t="n">
        <f aca="false">Data_Demand!D67</f>
        <v>0.068</v>
      </c>
      <c r="G82" s="0" t="n">
        <f aca="false">Data_Demand!E67</f>
        <v>0.069</v>
      </c>
      <c r="H82" s="0" t="str">
        <f aca="false">IF(OR(ABS(D82)&gt;=3,AND(B82&gt;=4,ABS(E82)&gt;=0.25)),"MATERIAL","Context")</f>
        <v>Context</v>
      </c>
      <c r="I82" s="0" t="str">
        <f aca="false">IF(H82="MATERIAL","Qualifying shipped-event count changed by "&amp;D82&amp;"; record does not establish a cause.","")</f>
        <v/>
      </c>
    </row>
    <row r="83" customFormat="false" ht="15" hidden="false" customHeight="false" outlineLevel="0" collapsed="false">
      <c r="A83" s="0" t="str">
        <f aca="false">Data_Demand!A68</f>
        <v>SKU067</v>
      </c>
      <c r="B83" s="0" t="n">
        <f aca="false">Data_Demand!B68</f>
        <v>66</v>
      </c>
      <c r="C83" s="0" t="n">
        <f aca="false">Data_Demand!C68</f>
        <v>66</v>
      </c>
      <c r="D83" s="0" t="n">
        <f aca="false">C83-B83</f>
        <v>0</v>
      </c>
      <c r="E83" s="0" t="n">
        <f aca="false">IF(B83=0,IF(C83&gt;0,1,0),D83/B83)</f>
        <v>0</v>
      </c>
      <c r="F83" s="0" t="n">
        <f aca="false">Data_Demand!D68</f>
        <v>0.066</v>
      </c>
      <c r="G83" s="0" t="n">
        <f aca="false">Data_Demand!E68</f>
        <v>0.066</v>
      </c>
      <c r="H83" s="0" t="str">
        <f aca="false">IF(OR(ABS(D83)&gt;=3,AND(B83&gt;=4,ABS(E83)&gt;=0.25)),"MATERIAL","Context")</f>
        <v>Context</v>
      </c>
      <c r="I83" s="0" t="str">
        <f aca="false">IF(H83="MATERIAL","Qualifying shipped-event count changed by "&amp;D83&amp;"; record does not establish a cause.","")</f>
        <v/>
      </c>
    </row>
    <row r="84" customFormat="false" ht="15" hidden="false" customHeight="false" outlineLevel="0" collapsed="false">
      <c r="A84" s="0" t="str">
        <f aca="false">Data_Demand!A69</f>
        <v>SKU068</v>
      </c>
      <c r="B84" s="0" t="n">
        <f aca="false">Data_Demand!B69</f>
        <v>64</v>
      </c>
      <c r="C84" s="0" t="n">
        <f aca="false">Data_Demand!C69</f>
        <v>64</v>
      </c>
      <c r="D84" s="0" t="n">
        <f aca="false">C84-B84</f>
        <v>0</v>
      </c>
      <c r="E84" s="0" t="n">
        <f aca="false">IF(B84=0,IF(C84&gt;0,1,0),D84/B84)</f>
        <v>0</v>
      </c>
      <c r="F84" s="0" t="n">
        <f aca="false">Data_Demand!D69</f>
        <v>0.064</v>
      </c>
      <c r="G84" s="0" t="n">
        <f aca="false">Data_Demand!E69</f>
        <v>0.064</v>
      </c>
      <c r="H84" s="0" t="str">
        <f aca="false">IF(OR(ABS(D84)&gt;=3,AND(B84&gt;=4,ABS(E84)&gt;=0.25)),"MATERIAL","Context")</f>
        <v>Context</v>
      </c>
      <c r="I84" s="0" t="str">
        <f aca="false">IF(H84="MATERIAL","Qualifying shipped-event count changed by "&amp;D84&amp;"; record does not establish a cause.","")</f>
        <v/>
      </c>
    </row>
    <row r="85" customFormat="false" ht="15" hidden="false" customHeight="false" outlineLevel="0" collapsed="false">
      <c r="A85" s="0" t="str">
        <f aca="false">Data_Demand!A70</f>
        <v>SKU069</v>
      </c>
      <c r="B85" s="0" t="n">
        <f aca="false">Data_Demand!B70</f>
        <v>62</v>
      </c>
      <c r="C85" s="0" t="n">
        <f aca="false">Data_Demand!C70</f>
        <v>63</v>
      </c>
      <c r="D85" s="0" t="n">
        <f aca="false">C85-B85</f>
        <v>1</v>
      </c>
      <c r="E85" s="0" t="n">
        <f aca="false">IF(B85=0,IF(C85&gt;0,1,0),D85/B85)</f>
        <v>0.0161290322580645</v>
      </c>
      <c r="F85" s="0" t="n">
        <f aca="false">Data_Demand!D70</f>
        <v>0.062</v>
      </c>
      <c r="G85" s="0" t="n">
        <f aca="false">Data_Demand!E70</f>
        <v>0.063</v>
      </c>
      <c r="H85" s="0" t="str">
        <f aca="false">IF(OR(ABS(D85)&gt;=3,AND(B85&gt;=4,ABS(E85)&gt;=0.25)),"MATERIAL","Context")</f>
        <v>Context</v>
      </c>
      <c r="I85" s="0" t="str">
        <f aca="false">IF(H85="MATERIAL","Qualifying shipped-event count changed by "&amp;D85&amp;"; record does not establish a cause.","")</f>
        <v/>
      </c>
    </row>
    <row r="86" customFormat="false" ht="15" hidden="false" customHeight="false" outlineLevel="0" collapsed="false">
      <c r="A86" s="0" t="str">
        <f aca="false">Data_Demand!A71</f>
        <v>SKU070</v>
      </c>
      <c r="B86" s="0" t="n">
        <f aca="false">Data_Demand!B71</f>
        <v>60</v>
      </c>
      <c r="C86" s="0" t="n">
        <f aca="false">Data_Demand!C71</f>
        <v>62</v>
      </c>
      <c r="D86" s="0" t="n">
        <f aca="false">C86-B86</f>
        <v>2</v>
      </c>
      <c r="E86" s="0" t="n">
        <f aca="false">IF(B86=0,IF(C86&gt;0,1,0),D86/B86)</f>
        <v>0.0333333333333333</v>
      </c>
      <c r="F86" s="0" t="n">
        <f aca="false">Data_Demand!D71</f>
        <v>0.06</v>
      </c>
      <c r="G86" s="0" t="n">
        <f aca="false">Data_Demand!E71</f>
        <v>0.062</v>
      </c>
      <c r="H86" s="0" t="str">
        <f aca="false">IF(OR(ABS(D86)&gt;=3,AND(B86&gt;=4,ABS(E86)&gt;=0.25)),"MATERIAL","Context")</f>
        <v>Context</v>
      </c>
      <c r="I86" s="0" t="str">
        <f aca="false">IF(H86="MATERIAL","Qualifying shipped-event count changed by "&amp;D86&amp;"; record does not establish a cause.","")</f>
        <v/>
      </c>
    </row>
    <row r="87" customFormat="false" ht="15" hidden="false" customHeight="false" outlineLevel="0" collapsed="false">
      <c r="A87" s="0" t="str">
        <f aca="false">Data_Demand!A72</f>
        <v>SKU071</v>
      </c>
      <c r="B87" s="0" t="n">
        <f aca="false">Data_Demand!B72</f>
        <v>58</v>
      </c>
      <c r="C87" s="0" t="n">
        <f aca="false">Data_Demand!C72</f>
        <v>58</v>
      </c>
      <c r="D87" s="0" t="n">
        <f aca="false">C87-B87</f>
        <v>0</v>
      </c>
      <c r="E87" s="0" t="n">
        <f aca="false">IF(B87=0,IF(C87&gt;0,1,0),D87/B87)</f>
        <v>0</v>
      </c>
      <c r="F87" s="0" t="n">
        <f aca="false">Data_Demand!D72</f>
        <v>0.058</v>
      </c>
      <c r="G87" s="0" t="n">
        <f aca="false">Data_Demand!E72</f>
        <v>0.058</v>
      </c>
      <c r="H87" s="0" t="str">
        <f aca="false">IF(OR(ABS(D87)&gt;=3,AND(B87&gt;=4,ABS(E87)&gt;=0.25)),"MATERIAL","Context")</f>
        <v>Context</v>
      </c>
      <c r="I87" s="0" t="str">
        <f aca="false">IF(H87="MATERIAL","Qualifying shipped-event count changed by "&amp;D87&amp;"; record does not establish a cause.","")</f>
        <v/>
      </c>
    </row>
    <row r="88" customFormat="false" ht="15" hidden="false" customHeight="false" outlineLevel="0" collapsed="false">
      <c r="A88" s="0" t="str">
        <f aca="false">Data_Demand!A73</f>
        <v>SKU072</v>
      </c>
      <c r="B88" s="0" t="n">
        <f aca="false">Data_Demand!B73</f>
        <v>56</v>
      </c>
      <c r="C88" s="0" t="n">
        <f aca="false">Data_Demand!C73</f>
        <v>57</v>
      </c>
      <c r="D88" s="0" t="n">
        <f aca="false">C88-B88</f>
        <v>1</v>
      </c>
      <c r="E88" s="0" t="n">
        <f aca="false">IF(B88=0,IF(C88&gt;0,1,0),D88/B88)</f>
        <v>0.0178571428571429</v>
      </c>
      <c r="F88" s="0" t="n">
        <f aca="false">Data_Demand!D73</f>
        <v>0.056</v>
      </c>
      <c r="G88" s="0" t="n">
        <f aca="false">Data_Demand!E73</f>
        <v>0.057</v>
      </c>
      <c r="H88" s="0" t="str">
        <f aca="false">IF(OR(ABS(D88)&gt;=3,AND(B88&gt;=4,ABS(E88)&gt;=0.25)),"MATERIAL","Context")</f>
        <v>Context</v>
      </c>
      <c r="I88" s="0" t="str">
        <f aca="false">IF(H88="MATERIAL","Qualifying shipped-event count changed by "&amp;D88&amp;"; record does not establish a cause.","")</f>
        <v/>
      </c>
    </row>
    <row r="89" customFormat="false" ht="15" hidden="false" customHeight="false" outlineLevel="0" collapsed="false">
      <c r="A89" s="0" t="str">
        <f aca="false">Data_Demand!A74</f>
        <v>SKU073</v>
      </c>
      <c r="B89" s="0" t="n">
        <f aca="false">Data_Demand!B74</f>
        <v>54</v>
      </c>
      <c r="C89" s="0" t="n">
        <f aca="false">Data_Demand!C74</f>
        <v>54</v>
      </c>
      <c r="D89" s="0" t="n">
        <f aca="false">C89-B89</f>
        <v>0</v>
      </c>
      <c r="E89" s="0" t="n">
        <f aca="false">IF(B89=0,IF(C89&gt;0,1,0),D89/B89)</f>
        <v>0</v>
      </c>
      <c r="F89" s="0" t="n">
        <f aca="false">Data_Demand!D74</f>
        <v>0.054</v>
      </c>
      <c r="G89" s="0" t="n">
        <f aca="false">Data_Demand!E74</f>
        <v>0.054</v>
      </c>
      <c r="H89" s="0" t="str">
        <f aca="false">IF(OR(ABS(D89)&gt;=3,AND(B89&gt;=4,ABS(E89)&gt;=0.25)),"MATERIAL","Context")</f>
        <v>Context</v>
      </c>
      <c r="I89" s="0" t="str">
        <f aca="false">IF(H89="MATERIAL","Qualifying shipped-event count changed by "&amp;D89&amp;"; record does not establish a cause.","")</f>
        <v/>
      </c>
    </row>
    <row r="90" customFormat="false" ht="15" hidden="false" customHeight="false" outlineLevel="0" collapsed="false">
      <c r="A90" s="0" t="str">
        <f aca="false">Data_Demand!A75</f>
        <v>SKU074</v>
      </c>
      <c r="B90" s="0" t="n">
        <f aca="false">Data_Demand!B75</f>
        <v>52</v>
      </c>
      <c r="C90" s="0" t="n">
        <f aca="false">Data_Demand!C75</f>
        <v>52</v>
      </c>
      <c r="D90" s="0" t="n">
        <f aca="false">C90-B90</f>
        <v>0</v>
      </c>
      <c r="E90" s="0" t="n">
        <f aca="false">IF(B90=0,IF(C90&gt;0,1,0),D90/B90)</f>
        <v>0</v>
      </c>
      <c r="F90" s="0" t="n">
        <f aca="false">Data_Demand!D75</f>
        <v>0.052</v>
      </c>
      <c r="G90" s="0" t="n">
        <f aca="false">Data_Demand!E75</f>
        <v>0.052</v>
      </c>
      <c r="H90" s="0" t="str">
        <f aca="false">IF(OR(ABS(D90)&gt;=3,AND(B90&gt;=4,ABS(E90)&gt;=0.25)),"MATERIAL","Context")</f>
        <v>Context</v>
      </c>
      <c r="I90" s="0" t="str">
        <f aca="false">IF(H90="MATERIAL","Qualifying shipped-event count changed by "&amp;D90&amp;"; record does not establish a cause.","")</f>
        <v/>
      </c>
    </row>
    <row r="91" customFormat="false" ht="15" hidden="false" customHeight="false" outlineLevel="0" collapsed="false">
      <c r="A91" s="0" t="str">
        <f aca="false">Data_Demand!A76</f>
        <v>SKU075</v>
      </c>
      <c r="B91" s="0" t="n">
        <f aca="false">Data_Demand!B76</f>
        <v>50</v>
      </c>
      <c r="C91" s="0" t="n">
        <f aca="false">Data_Demand!C76</f>
        <v>52</v>
      </c>
      <c r="D91" s="0" t="n">
        <f aca="false">C91-B91</f>
        <v>2</v>
      </c>
      <c r="E91" s="0" t="n">
        <f aca="false">IF(B91=0,IF(C91&gt;0,1,0),D91/B91)</f>
        <v>0.04</v>
      </c>
      <c r="F91" s="0" t="n">
        <f aca="false">Data_Demand!D76</f>
        <v>0.05</v>
      </c>
      <c r="G91" s="0" t="n">
        <f aca="false">Data_Demand!E76</f>
        <v>0.052</v>
      </c>
      <c r="H91" s="0" t="str">
        <f aca="false">IF(OR(ABS(D91)&gt;=3,AND(B91&gt;=4,ABS(E91)&gt;=0.25)),"MATERIAL","Context")</f>
        <v>Context</v>
      </c>
      <c r="I91" s="0" t="str">
        <f aca="false">IF(H91="MATERIAL","Qualifying shipped-event count changed by "&amp;D91&amp;"; record does not establish a cause.","")</f>
        <v/>
      </c>
    </row>
    <row r="92" customFormat="false" ht="15" hidden="false" customHeight="false" outlineLevel="0" collapsed="false">
      <c r="A92" s="0" t="str">
        <f aca="false">Data_Demand!A77</f>
        <v>SKU076</v>
      </c>
      <c r="B92" s="0" t="n">
        <f aca="false">Data_Demand!B77</f>
        <v>48</v>
      </c>
      <c r="C92" s="0" t="n">
        <f aca="false">Data_Demand!C77</f>
        <v>48</v>
      </c>
      <c r="D92" s="0" t="n">
        <f aca="false">C92-B92</f>
        <v>0</v>
      </c>
      <c r="E92" s="0" t="n">
        <f aca="false">IF(B92=0,IF(C92&gt;0,1,0),D92/B92)</f>
        <v>0</v>
      </c>
      <c r="F92" s="0" t="n">
        <f aca="false">Data_Demand!D77</f>
        <v>0.048</v>
      </c>
      <c r="G92" s="0" t="n">
        <f aca="false">Data_Demand!E77</f>
        <v>0.048</v>
      </c>
      <c r="H92" s="0" t="str">
        <f aca="false">IF(OR(ABS(D92)&gt;=3,AND(B92&gt;=4,ABS(E92)&gt;=0.25)),"MATERIAL","Context")</f>
        <v>Context</v>
      </c>
      <c r="I92" s="0" t="str">
        <f aca="false">IF(H92="MATERIAL","Qualifying shipped-event count changed by "&amp;D92&amp;"; record does not establish a cause.","")</f>
        <v/>
      </c>
    </row>
    <row r="93" customFormat="false" ht="15" hidden="false" customHeight="false" outlineLevel="0" collapsed="false">
      <c r="A93" s="0" t="str">
        <f aca="false">Data_Demand!A78</f>
        <v>SKU077</v>
      </c>
      <c r="B93" s="0" t="n">
        <f aca="false">Data_Demand!B78</f>
        <v>46</v>
      </c>
      <c r="C93" s="0" t="n">
        <f aca="false">Data_Demand!C78</f>
        <v>46</v>
      </c>
      <c r="D93" s="0" t="n">
        <f aca="false">C93-B93</f>
        <v>0</v>
      </c>
      <c r="E93" s="0" t="n">
        <f aca="false">IF(B93=0,IF(C93&gt;0,1,0),D93/B93)</f>
        <v>0</v>
      </c>
      <c r="F93" s="0" t="n">
        <f aca="false">Data_Demand!D78</f>
        <v>0.046</v>
      </c>
      <c r="G93" s="0" t="n">
        <f aca="false">Data_Demand!E78</f>
        <v>0.046</v>
      </c>
      <c r="H93" s="0" t="str">
        <f aca="false">IF(OR(ABS(D93)&gt;=3,AND(B93&gt;=4,ABS(E93)&gt;=0.25)),"MATERIAL","Context")</f>
        <v>Context</v>
      </c>
      <c r="I93" s="0" t="str">
        <f aca="false">IF(H93="MATERIAL","Qualifying shipped-event count changed by "&amp;D93&amp;"; record does not establish a cause.","")</f>
        <v/>
      </c>
    </row>
    <row r="94" customFormat="false" ht="15" hidden="false" customHeight="false" outlineLevel="0" collapsed="false">
      <c r="A94" s="0" t="str">
        <f aca="false">Data_Demand!A79</f>
        <v>SKU078</v>
      </c>
      <c r="B94" s="0" t="n">
        <f aca="false">Data_Demand!B79</f>
        <v>44</v>
      </c>
      <c r="C94" s="0" t="n">
        <f aca="false">Data_Demand!C79</f>
        <v>45</v>
      </c>
      <c r="D94" s="0" t="n">
        <f aca="false">C94-B94</f>
        <v>1</v>
      </c>
      <c r="E94" s="0" t="n">
        <f aca="false">IF(B94=0,IF(C94&gt;0,1,0),D94/B94)</f>
        <v>0.0227272727272727</v>
      </c>
      <c r="F94" s="0" t="n">
        <f aca="false">Data_Demand!D79</f>
        <v>0.044</v>
      </c>
      <c r="G94" s="0" t="n">
        <f aca="false">Data_Demand!E79</f>
        <v>0.045</v>
      </c>
      <c r="H94" s="0" t="str">
        <f aca="false">IF(OR(ABS(D94)&gt;=3,AND(B94&gt;=4,ABS(E94)&gt;=0.25)),"MATERIAL","Context")</f>
        <v>Context</v>
      </c>
      <c r="I94" s="0" t="str">
        <f aca="false">IF(H94="MATERIAL","Qualifying shipped-event count changed by "&amp;D94&amp;"; record does not establish a cause.","")</f>
        <v/>
      </c>
    </row>
    <row r="95" customFormat="false" ht="15" hidden="false" customHeight="false" outlineLevel="0" collapsed="false">
      <c r="A95" s="0" t="str">
        <f aca="false">Data_Demand!A80</f>
        <v>SKU079</v>
      </c>
      <c r="B95" s="0" t="n">
        <f aca="false">Data_Demand!B80</f>
        <v>42</v>
      </c>
      <c r="C95" s="0" t="n">
        <f aca="false">Data_Demand!C80</f>
        <v>42</v>
      </c>
      <c r="D95" s="0" t="n">
        <f aca="false">C95-B95</f>
        <v>0</v>
      </c>
      <c r="E95" s="0" t="n">
        <f aca="false">IF(B95=0,IF(C95&gt;0,1,0),D95/B95)</f>
        <v>0</v>
      </c>
      <c r="F95" s="0" t="n">
        <f aca="false">Data_Demand!D80</f>
        <v>0.042</v>
      </c>
      <c r="G95" s="0" t="n">
        <f aca="false">Data_Demand!E80</f>
        <v>0.042</v>
      </c>
      <c r="H95" s="0" t="str">
        <f aca="false">IF(OR(ABS(D95)&gt;=3,AND(B95&gt;=4,ABS(E95)&gt;=0.25)),"MATERIAL","Context")</f>
        <v>Context</v>
      </c>
      <c r="I95" s="0" t="str">
        <f aca="false">IF(H95="MATERIAL","Qualifying shipped-event count changed by "&amp;D95&amp;"; record does not establish a cause.","")</f>
        <v/>
      </c>
    </row>
    <row r="96" customFormat="false" ht="15" hidden="false" customHeight="false" outlineLevel="0" collapsed="false">
      <c r="A96" s="0" t="str">
        <f aca="false">Data_Demand!A81</f>
        <v>SKU080</v>
      </c>
      <c r="B96" s="0" t="n">
        <f aca="false">Data_Demand!B81</f>
        <v>40</v>
      </c>
      <c r="C96" s="0" t="n">
        <f aca="false">Data_Demand!C81</f>
        <v>42</v>
      </c>
      <c r="D96" s="0" t="n">
        <f aca="false">C96-B96</f>
        <v>2</v>
      </c>
      <c r="E96" s="0" t="n">
        <f aca="false">IF(B96=0,IF(C96&gt;0,1,0),D96/B96)</f>
        <v>0.05</v>
      </c>
      <c r="F96" s="0" t="n">
        <f aca="false">Data_Demand!D81</f>
        <v>0.04</v>
      </c>
      <c r="G96" s="0" t="n">
        <f aca="false">Data_Demand!E81</f>
        <v>0.042</v>
      </c>
      <c r="H96" s="0" t="str">
        <f aca="false">IF(OR(ABS(D96)&gt;=3,AND(B96&gt;=4,ABS(E96)&gt;=0.25)),"MATERIAL","Context")</f>
        <v>Context</v>
      </c>
      <c r="I96" s="0" t="str">
        <f aca="false">IF(H96="MATERIAL","Qualifying shipped-event count changed by "&amp;D96&amp;"; record does not establish a cause.","")</f>
        <v/>
      </c>
    </row>
    <row r="97" customFormat="false" ht="15" hidden="false" customHeight="false" outlineLevel="0" collapsed="false">
      <c r="A97" s="0" t="str">
        <f aca="false">Data_Demand!A82</f>
        <v>SKU081</v>
      </c>
      <c r="B97" s="0" t="n">
        <f aca="false">Data_Demand!B82</f>
        <v>38</v>
      </c>
      <c r="C97" s="0" t="n">
        <f aca="false">Data_Demand!C82</f>
        <v>39</v>
      </c>
      <c r="D97" s="0" t="n">
        <f aca="false">C97-B97</f>
        <v>1</v>
      </c>
      <c r="E97" s="0" t="n">
        <f aca="false">IF(B97=0,IF(C97&gt;0,1,0),D97/B97)</f>
        <v>0.0263157894736842</v>
      </c>
      <c r="F97" s="0" t="n">
        <f aca="false">Data_Demand!D82</f>
        <v>0.038</v>
      </c>
      <c r="G97" s="0" t="n">
        <f aca="false">Data_Demand!E82</f>
        <v>0.039</v>
      </c>
      <c r="H97" s="0" t="str">
        <f aca="false">IF(OR(ABS(D97)&gt;=3,AND(B97&gt;=4,ABS(E97)&gt;=0.25)),"MATERIAL","Context")</f>
        <v>Context</v>
      </c>
      <c r="I97" s="0" t="str">
        <f aca="false">IF(H97="MATERIAL","Qualifying shipped-event count changed by "&amp;D97&amp;"; record does not establish a cause.","")</f>
        <v/>
      </c>
    </row>
    <row r="98" customFormat="false" ht="15" hidden="false" customHeight="false" outlineLevel="0" collapsed="false">
      <c r="A98" s="0" t="str">
        <f aca="false">Data_Demand!A83</f>
        <v>SKU082</v>
      </c>
      <c r="B98" s="0" t="n">
        <f aca="false">Data_Demand!B83</f>
        <v>36</v>
      </c>
      <c r="C98" s="0" t="n">
        <f aca="false">Data_Demand!C83</f>
        <v>36</v>
      </c>
      <c r="D98" s="0" t="n">
        <f aca="false">C98-B98</f>
        <v>0</v>
      </c>
      <c r="E98" s="0" t="n">
        <f aca="false">IF(B98=0,IF(C98&gt;0,1,0),D98/B98)</f>
        <v>0</v>
      </c>
      <c r="F98" s="0" t="n">
        <f aca="false">Data_Demand!D83</f>
        <v>0.036</v>
      </c>
      <c r="G98" s="0" t="n">
        <f aca="false">Data_Demand!E83</f>
        <v>0.036</v>
      </c>
      <c r="H98" s="0" t="str">
        <f aca="false">IF(OR(ABS(D98)&gt;=3,AND(B98&gt;=4,ABS(E98)&gt;=0.25)),"MATERIAL","Context")</f>
        <v>Context</v>
      </c>
      <c r="I98" s="0" t="str">
        <f aca="false">IF(H98="MATERIAL","Qualifying shipped-event count changed by "&amp;D98&amp;"; record does not establish a cause.","")</f>
        <v/>
      </c>
    </row>
    <row r="99" customFormat="false" ht="15" hidden="false" customHeight="false" outlineLevel="0" collapsed="false">
      <c r="A99" s="0" t="str">
        <f aca="false">Data_Demand!A84</f>
        <v>SKU083</v>
      </c>
      <c r="B99" s="0" t="n">
        <f aca="false">Data_Demand!B84</f>
        <v>34</v>
      </c>
      <c r="C99" s="0" t="n">
        <f aca="false">Data_Demand!C84</f>
        <v>34</v>
      </c>
      <c r="D99" s="0" t="n">
        <f aca="false">C99-B99</f>
        <v>0</v>
      </c>
      <c r="E99" s="0" t="n">
        <f aca="false">IF(B99=0,IF(C99&gt;0,1,0),D99/B99)</f>
        <v>0</v>
      </c>
      <c r="F99" s="0" t="n">
        <f aca="false">Data_Demand!D84</f>
        <v>0.034</v>
      </c>
      <c r="G99" s="0" t="n">
        <f aca="false">Data_Demand!E84</f>
        <v>0.034</v>
      </c>
      <c r="H99" s="0" t="str">
        <f aca="false">IF(OR(ABS(D99)&gt;=3,AND(B99&gt;=4,ABS(E99)&gt;=0.25)),"MATERIAL","Context")</f>
        <v>Context</v>
      </c>
      <c r="I99" s="0" t="str">
        <f aca="false">IF(H99="MATERIAL","Qualifying shipped-event count changed by "&amp;D99&amp;"; record does not establish a cause.","")</f>
        <v/>
      </c>
    </row>
    <row r="100" customFormat="false" ht="15" hidden="false" customHeight="false" outlineLevel="0" collapsed="false">
      <c r="A100" s="0" t="str">
        <f aca="false">Data_Demand!A85</f>
        <v>SKU084</v>
      </c>
      <c r="B100" s="0" t="n">
        <f aca="false">Data_Demand!B85</f>
        <v>32</v>
      </c>
      <c r="C100" s="0" t="n">
        <f aca="false">Data_Demand!C85</f>
        <v>33</v>
      </c>
      <c r="D100" s="0" t="n">
        <f aca="false">C100-B100</f>
        <v>1</v>
      </c>
      <c r="E100" s="0" t="n">
        <f aca="false">IF(B100=0,IF(C100&gt;0,1,0),D100/B100)</f>
        <v>0.03125</v>
      </c>
      <c r="F100" s="0" t="n">
        <f aca="false">Data_Demand!D85</f>
        <v>0.032</v>
      </c>
      <c r="G100" s="0" t="n">
        <f aca="false">Data_Demand!E85</f>
        <v>0.033</v>
      </c>
      <c r="H100" s="0" t="str">
        <f aca="false">IF(OR(ABS(D100)&gt;=3,AND(B100&gt;=4,ABS(E100)&gt;=0.25)),"MATERIAL","Context")</f>
        <v>Context</v>
      </c>
      <c r="I100" s="0" t="str">
        <f aca="false">IF(H100="MATERIAL","Qualifying shipped-event count changed by "&amp;D100&amp;"; record does not establish a cause.","")</f>
        <v/>
      </c>
    </row>
    <row r="101" customFormat="false" ht="15" hidden="false" customHeight="false" outlineLevel="0" collapsed="false">
      <c r="A101" s="0" t="str">
        <f aca="false">Data_Demand!A86</f>
        <v>SKU085</v>
      </c>
      <c r="B101" s="0" t="n">
        <f aca="false">Data_Demand!B86</f>
        <v>30</v>
      </c>
      <c r="C101" s="0" t="n">
        <f aca="false">Data_Demand!C86</f>
        <v>32</v>
      </c>
      <c r="D101" s="0" t="n">
        <f aca="false">C101-B101</f>
        <v>2</v>
      </c>
      <c r="E101" s="0" t="n">
        <f aca="false">IF(B101=0,IF(C101&gt;0,1,0),D101/B101)</f>
        <v>0.0666666666666667</v>
      </c>
      <c r="F101" s="0" t="n">
        <f aca="false">Data_Demand!D86</f>
        <v>0.03</v>
      </c>
      <c r="G101" s="0" t="n">
        <f aca="false">Data_Demand!E86</f>
        <v>0.032</v>
      </c>
      <c r="H101" s="0" t="str">
        <f aca="false">IF(OR(ABS(D101)&gt;=3,AND(B101&gt;=4,ABS(E101)&gt;=0.25)),"MATERIAL","Context")</f>
        <v>Context</v>
      </c>
      <c r="I101" s="0" t="str">
        <f aca="false">IF(H101="MATERIAL","Qualifying shipped-event count changed by "&amp;D101&amp;"; record does not establish a cause.","")</f>
        <v/>
      </c>
    </row>
    <row r="102" customFormat="false" ht="15" hidden="false" customHeight="false" outlineLevel="0" collapsed="false">
      <c r="A102" s="0" t="str">
        <f aca="false">Data_Demand!A87</f>
        <v>SKU086</v>
      </c>
      <c r="B102" s="0" t="n">
        <f aca="false">Data_Demand!B87</f>
        <v>28</v>
      </c>
      <c r="C102" s="0" t="n">
        <f aca="false">Data_Demand!C87</f>
        <v>28</v>
      </c>
      <c r="D102" s="0" t="n">
        <f aca="false">C102-B102</f>
        <v>0</v>
      </c>
      <c r="E102" s="0" t="n">
        <f aca="false">IF(B102=0,IF(C102&gt;0,1,0),D102/B102)</f>
        <v>0</v>
      </c>
      <c r="F102" s="0" t="n">
        <f aca="false">Data_Demand!D87</f>
        <v>0.028</v>
      </c>
      <c r="G102" s="0" t="n">
        <f aca="false">Data_Demand!E87</f>
        <v>0.028</v>
      </c>
      <c r="H102" s="0" t="str">
        <f aca="false">IF(OR(ABS(D102)&gt;=3,AND(B102&gt;=4,ABS(E102)&gt;=0.25)),"MATERIAL","Context")</f>
        <v>Context</v>
      </c>
      <c r="I102" s="0" t="str">
        <f aca="false">IF(H102="MATERIAL","Qualifying shipped-event count changed by "&amp;D102&amp;"; record does not establish a cause.","")</f>
        <v/>
      </c>
    </row>
    <row r="103" customFormat="false" ht="15" hidden="false" customHeight="false" outlineLevel="0" collapsed="false">
      <c r="A103" s="0" t="str">
        <f aca="false">Data_Demand!A88</f>
        <v>SKU087</v>
      </c>
      <c r="B103" s="0" t="n">
        <f aca="false">Data_Demand!B88</f>
        <v>26</v>
      </c>
      <c r="C103" s="0" t="n">
        <f aca="false">Data_Demand!C88</f>
        <v>27</v>
      </c>
      <c r="D103" s="0" t="n">
        <f aca="false">C103-B103</f>
        <v>1</v>
      </c>
      <c r="E103" s="0" t="n">
        <f aca="false">IF(B103=0,IF(C103&gt;0,1,0),D103/B103)</f>
        <v>0.0384615384615385</v>
      </c>
      <c r="F103" s="0" t="n">
        <f aca="false">Data_Demand!D88</f>
        <v>0.026</v>
      </c>
      <c r="G103" s="0" t="n">
        <f aca="false">Data_Demand!E88</f>
        <v>0.027</v>
      </c>
      <c r="H103" s="0" t="str">
        <f aca="false">IF(OR(ABS(D103)&gt;=3,AND(B103&gt;=4,ABS(E103)&gt;=0.25)),"MATERIAL","Context")</f>
        <v>Context</v>
      </c>
      <c r="I103" s="0" t="str">
        <f aca="false">IF(H103="MATERIAL","Qualifying shipped-event count changed by "&amp;D103&amp;"; record does not establish a cause.","")</f>
        <v/>
      </c>
    </row>
    <row r="104" customFormat="false" ht="15" hidden="false" customHeight="false" outlineLevel="0" collapsed="false">
      <c r="A104" s="0" t="str">
        <f aca="false">Data_Demand!A89</f>
        <v>SKU088</v>
      </c>
      <c r="B104" s="0" t="n">
        <f aca="false">Data_Demand!B89</f>
        <v>24</v>
      </c>
      <c r="C104" s="0" t="n">
        <f aca="false">Data_Demand!C89</f>
        <v>24</v>
      </c>
      <c r="D104" s="0" t="n">
        <f aca="false">C104-B104</f>
        <v>0</v>
      </c>
      <c r="E104" s="0" t="n">
        <f aca="false">IF(B104=0,IF(C104&gt;0,1,0),D104/B104)</f>
        <v>0</v>
      </c>
      <c r="F104" s="0" t="n">
        <f aca="false">Data_Demand!D89</f>
        <v>0.024</v>
      </c>
      <c r="G104" s="0" t="n">
        <f aca="false">Data_Demand!E89</f>
        <v>0.024</v>
      </c>
      <c r="H104" s="0" t="str">
        <f aca="false">IF(OR(ABS(D104)&gt;=3,AND(B104&gt;=4,ABS(E104)&gt;=0.25)),"MATERIAL","Context")</f>
        <v>Context</v>
      </c>
      <c r="I104" s="0" t="str">
        <f aca="false">IF(H104="MATERIAL","Qualifying shipped-event count changed by "&amp;D104&amp;"; record does not establish a cause.","")</f>
        <v/>
      </c>
    </row>
    <row r="105" customFormat="false" ht="15" hidden="false" customHeight="false" outlineLevel="0" collapsed="false">
      <c r="A105" s="0" t="str">
        <f aca="false">Data_Demand!A90</f>
        <v>SKU089</v>
      </c>
      <c r="B105" s="0" t="n">
        <f aca="false">Data_Demand!B90</f>
        <v>22</v>
      </c>
      <c r="C105" s="0" t="n">
        <f aca="false">Data_Demand!C90</f>
        <v>22</v>
      </c>
      <c r="D105" s="0" t="n">
        <f aca="false">C105-B105</f>
        <v>0</v>
      </c>
      <c r="E105" s="0" t="n">
        <f aca="false">IF(B105=0,IF(C105&gt;0,1,0),D105/B105)</f>
        <v>0</v>
      </c>
      <c r="F105" s="0" t="n">
        <f aca="false">Data_Demand!D90</f>
        <v>0.022</v>
      </c>
      <c r="G105" s="0" t="n">
        <f aca="false">Data_Demand!E90</f>
        <v>0.022</v>
      </c>
      <c r="H105" s="0" t="str">
        <f aca="false">IF(OR(ABS(D105)&gt;=3,AND(B105&gt;=4,ABS(E105)&gt;=0.25)),"MATERIAL","Context")</f>
        <v>Context</v>
      </c>
      <c r="I105" s="0" t="str">
        <f aca="false">IF(H105="MATERIAL","Qualifying shipped-event count changed by "&amp;D105&amp;"; record does not establish a cause.","")</f>
        <v/>
      </c>
    </row>
    <row r="106" customFormat="false" ht="15" hidden="false" customHeight="false" outlineLevel="0" collapsed="false">
      <c r="A106" s="0" t="str">
        <f aca="false">Data_Demand!A91</f>
        <v>SKU090</v>
      </c>
      <c r="B106" s="0" t="n">
        <f aca="false">Data_Demand!B91</f>
        <v>20</v>
      </c>
      <c r="C106" s="0" t="n">
        <f aca="false">Data_Demand!C91</f>
        <v>22</v>
      </c>
      <c r="D106" s="0" t="n">
        <f aca="false">C106-B106</f>
        <v>2</v>
      </c>
      <c r="E106" s="0" t="n">
        <f aca="false">IF(B106=0,IF(C106&gt;0,1,0),D106/B106)</f>
        <v>0.1</v>
      </c>
      <c r="F106" s="0" t="n">
        <f aca="false">Data_Demand!D91</f>
        <v>0.02</v>
      </c>
      <c r="G106" s="0" t="n">
        <f aca="false">Data_Demand!E91</f>
        <v>0.022</v>
      </c>
      <c r="H106" s="0" t="str">
        <f aca="false">IF(OR(ABS(D106)&gt;=3,AND(B106&gt;=4,ABS(E106)&gt;=0.25)),"MATERIAL","Context")</f>
        <v>Context</v>
      </c>
      <c r="I106" s="0" t="str">
        <f aca="false">IF(H106="MATERIAL","Qualifying shipped-event count changed by "&amp;D106&amp;"; record does not establish a cause.","")</f>
        <v/>
      </c>
    </row>
    <row r="107" customFormat="false" ht="15" hidden="false" customHeight="false" outlineLevel="0" collapsed="false">
      <c r="A107" s="0" t="str">
        <f aca="false">Data_Demand!A92</f>
        <v>SKU091</v>
      </c>
      <c r="B107" s="0" t="n">
        <f aca="false">Data_Demand!B92</f>
        <v>18</v>
      </c>
      <c r="C107" s="0" t="n">
        <f aca="false">Data_Demand!C92</f>
        <v>18</v>
      </c>
      <c r="D107" s="0" t="n">
        <f aca="false">C107-B107</f>
        <v>0</v>
      </c>
      <c r="E107" s="0" t="n">
        <f aca="false">IF(B107=0,IF(C107&gt;0,1,0),D107/B107)</f>
        <v>0</v>
      </c>
      <c r="F107" s="0" t="n">
        <f aca="false">Data_Demand!D92</f>
        <v>0.018</v>
      </c>
      <c r="G107" s="0" t="n">
        <f aca="false">Data_Demand!E92</f>
        <v>0.018</v>
      </c>
      <c r="H107" s="0" t="str">
        <f aca="false">IF(OR(ABS(D107)&gt;=3,AND(B107&gt;=4,ABS(E107)&gt;=0.25)),"MATERIAL","Context")</f>
        <v>Context</v>
      </c>
      <c r="I107" s="0" t="str">
        <f aca="false">IF(H107="MATERIAL","Qualifying shipped-event count changed by "&amp;D107&amp;"; record does not establish a cause.","")</f>
        <v/>
      </c>
    </row>
    <row r="108" customFormat="false" ht="15" hidden="false" customHeight="false" outlineLevel="0" collapsed="false">
      <c r="A108" s="0" t="str">
        <f aca="false">Data_Demand!A93</f>
        <v>SKU092</v>
      </c>
      <c r="B108" s="0" t="n">
        <f aca="false">Data_Demand!B93</f>
        <v>16</v>
      </c>
      <c r="C108" s="0" t="n">
        <f aca="false">Data_Demand!C93</f>
        <v>16</v>
      </c>
      <c r="D108" s="0" t="n">
        <f aca="false">C108-B108</f>
        <v>0</v>
      </c>
      <c r="E108" s="0" t="n">
        <f aca="false">IF(B108=0,IF(C108&gt;0,1,0),D108/B108)</f>
        <v>0</v>
      </c>
      <c r="F108" s="0" t="n">
        <f aca="false">Data_Demand!D93</f>
        <v>0.016</v>
      </c>
      <c r="G108" s="0" t="n">
        <f aca="false">Data_Demand!E93</f>
        <v>0.016</v>
      </c>
      <c r="H108" s="0" t="str">
        <f aca="false">IF(OR(ABS(D108)&gt;=3,AND(B108&gt;=4,ABS(E108)&gt;=0.25)),"MATERIAL","Context")</f>
        <v>Context</v>
      </c>
      <c r="I108" s="0" t="str">
        <f aca="false">IF(H108="MATERIAL","Qualifying shipped-event count changed by "&amp;D108&amp;"; record does not establish a cause.","")</f>
        <v/>
      </c>
    </row>
    <row r="109" customFormat="false" ht="15" hidden="false" customHeight="false" outlineLevel="0" collapsed="false">
      <c r="A109" s="0" t="str">
        <f aca="false">Data_Demand!A94</f>
        <v>SKU093</v>
      </c>
      <c r="B109" s="0" t="n">
        <f aca="false">Data_Demand!B94</f>
        <v>14</v>
      </c>
      <c r="C109" s="0" t="n">
        <f aca="false">Data_Demand!C94</f>
        <v>15</v>
      </c>
      <c r="D109" s="0" t="n">
        <f aca="false">C109-B109</f>
        <v>1</v>
      </c>
      <c r="E109" s="0" t="n">
        <f aca="false">IF(B109=0,IF(C109&gt;0,1,0),D109/B109)</f>
        <v>0.0714285714285714</v>
      </c>
      <c r="F109" s="0" t="n">
        <f aca="false">Data_Demand!D94</f>
        <v>0.014</v>
      </c>
      <c r="G109" s="0" t="n">
        <f aca="false">Data_Demand!E94</f>
        <v>0.015</v>
      </c>
      <c r="H109" s="0" t="str">
        <f aca="false">IF(OR(ABS(D109)&gt;=3,AND(B109&gt;=4,ABS(E109)&gt;=0.25)),"MATERIAL","Context")</f>
        <v>Context</v>
      </c>
      <c r="I109" s="0" t="str">
        <f aca="false">IF(H109="MATERIAL","Qualifying shipped-event count changed by "&amp;D109&amp;"; record does not establish a cause.","")</f>
        <v/>
      </c>
    </row>
    <row r="110" customFormat="false" ht="15" hidden="false" customHeight="false" outlineLevel="0" collapsed="false">
      <c r="A110" s="0" t="str">
        <f aca="false">Data_Demand!A95</f>
        <v>SKU094</v>
      </c>
      <c r="B110" s="0" t="n">
        <f aca="false">Data_Demand!B95</f>
        <v>12</v>
      </c>
      <c r="C110" s="0" t="n">
        <f aca="false">Data_Demand!C95</f>
        <v>12</v>
      </c>
      <c r="D110" s="0" t="n">
        <f aca="false">C110-B110</f>
        <v>0</v>
      </c>
      <c r="E110" s="0" t="n">
        <f aca="false">IF(B110=0,IF(C110&gt;0,1,0),D110/B110)</f>
        <v>0</v>
      </c>
      <c r="F110" s="0" t="n">
        <f aca="false">Data_Demand!D95</f>
        <v>0.012</v>
      </c>
      <c r="G110" s="0" t="n">
        <f aca="false">Data_Demand!E95</f>
        <v>0.012</v>
      </c>
      <c r="H110" s="0" t="str">
        <f aca="false">IF(OR(ABS(D110)&gt;=3,AND(B110&gt;=4,ABS(E110)&gt;=0.25)),"MATERIAL","Context")</f>
        <v>Context</v>
      </c>
      <c r="I110" s="0" t="str">
        <f aca="false">IF(H110="MATERIAL","Qualifying shipped-event count changed by "&amp;D110&amp;"; record does not establish a cause.","")</f>
        <v/>
      </c>
    </row>
    <row r="111" customFormat="false" ht="15" hidden="false" customHeight="false" outlineLevel="0" collapsed="false">
      <c r="A111" s="0" t="str">
        <f aca="false">Data_Demand!A96</f>
        <v>SKU095</v>
      </c>
      <c r="B111" s="0" t="n">
        <f aca="false">Data_Demand!B96</f>
        <v>10</v>
      </c>
      <c r="C111" s="0" t="n">
        <f aca="false">Data_Demand!C96</f>
        <v>12</v>
      </c>
      <c r="D111" s="0" t="n">
        <f aca="false">C111-B111</f>
        <v>2</v>
      </c>
      <c r="E111" s="0" t="n">
        <f aca="false">IF(B111=0,IF(C111&gt;0,1,0),D111/B111)</f>
        <v>0.2</v>
      </c>
      <c r="F111" s="0" t="n">
        <f aca="false">Data_Demand!D96</f>
        <v>0.01</v>
      </c>
      <c r="G111" s="0" t="n">
        <f aca="false">Data_Demand!E96</f>
        <v>0.012</v>
      </c>
      <c r="H111" s="0" t="str">
        <f aca="false">IF(OR(ABS(D111)&gt;=3,AND(B111&gt;=4,ABS(E111)&gt;=0.25)),"MATERIAL","Context")</f>
        <v>Context</v>
      </c>
      <c r="I111" s="0" t="str">
        <f aca="false">IF(H111="MATERIAL","Qualifying shipped-event count changed by "&amp;D111&amp;"; record does not establish a cause.","")</f>
        <v/>
      </c>
    </row>
    <row r="112" customFormat="false" ht="15" hidden="false" customHeight="false" outlineLevel="0" collapsed="false">
      <c r="A112" s="0" t="str">
        <f aca="false">Data_Demand!A97</f>
        <v>SKU096</v>
      </c>
      <c r="B112" s="0" t="n">
        <f aca="false">Data_Demand!B97</f>
        <v>8</v>
      </c>
      <c r="C112" s="0" t="n">
        <f aca="false">Data_Demand!C97</f>
        <v>9</v>
      </c>
      <c r="D112" s="0" t="n">
        <f aca="false">C112-B112</f>
        <v>1</v>
      </c>
      <c r="E112" s="0" t="n">
        <f aca="false">IF(B112=0,IF(C112&gt;0,1,0),D112/B112)</f>
        <v>0.125</v>
      </c>
      <c r="F112" s="0" t="n">
        <f aca="false">Data_Demand!D97</f>
        <v>0.008</v>
      </c>
      <c r="G112" s="0" t="n">
        <f aca="false">Data_Demand!E97</f>
        <v>0.009</v>
      </c>
      <c r="H112" s="0" t="str">
        <f aca="false">IF(OR(ABS(D112)&gt;=3,AND(B112&gt;=4,ABS(E112)&gt;=0.25)),"MATERIAL","Context")</f>
        <v>Context</v>
      </c>
      <c r="I112" s="0" t="str">
        <f aca="false">IF(H112="MATERIAL","Qualifying shipped-event count changed by "&amp;D112&amp;"; record does not establish a cause.","")</f>
        <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3" min="2" style="0" width="23"/>
    <col collapsed="false" customWidth="true" hidden="false" outlineLevel="0" max="4" min="4" style="0" width="11"/>
    <col collapsed="false" customWidth="true" hidden="false" outlineLevel="0" max="5" min="5" style="0" width="34"/>
    <col collapsed="false" customWidth="true" hidden="false" outlineLevel="0" max="6" min="6" style="0" width="11"/>
  </cols>
  <sheetData>
    <row r="1" customFormat="false" ht="17.35" hidden="false" customHeight="false" outlineLevel="0" collapsed="false">
      <c r="A1" s="1" t="s">
        <v>442</v>
      </c>
    </row>
    <row r="2" customFormat="false" ht="15" hidden="false" customHeight="false" outlineLevel="0" collapsed="false">
      <c r="A2" s="0" t="s">
        <v>443</v>
      </c>
    </row>
    <row r="4" customFormat="false" ht="15" hidden="false" customHeight="false" outlineLevel="0" collapsed="false">
      <c r="A4" s="3" t="s">
        <v>444</v>
      </c>
      <c r="B4" s="3" t="s">
        <v>445</v>
      </c>
      <c r="C4" s="3" t="s">
        <v>3</v>
      </c>
      <c r="D4" s="3" t="s">
        <v>4</v>
      </c>
      <c r="E4" s="3" t="s">
        <v>446</v>
      </c>
      <c r="F4" s="3" t="s">
        <v>447</v>
      </c>
    </row>
    <row r="5" customFormat="false" ht="15" hidden="false" customHeight="false" outlineLevel="0" collapsed="false">
      <c r="A5" s="0" t="s">
        <v>448</v>
      </c>
      <c r="B5" s="0" t="s">
        <v>449</v>
      </c>
      <c r="C5" s="0" t="s">
        <v>25</v>
      </c>
      <c r="D5" s="0" t="s">
        <v>204</v>
      </c>
      <c r="E5" s="0" t="s">
        <v>450</v>
      </c>
      <c r="F5" s="0" t="s">
        <v>451</v>
      </c>
    </row>
    <row r="6" customFormat="false" ht="15" hidden="false" customHeight="false" outlineLevel="0" collapsed="false">
      <c r="A6" s="0" t="s">
        <v>452</v>
      </c>
      <c r="B6" s="0" t="s">
        <v>453</v>
      </c>
      <c r="C6" s="0" t="s">
        <v>27</v>
      </c>
      <c r="D6" s="0" t="s">
        <v>74</v>
      </c>
      <c r="E6" s="0" t="s">
        <v>454</v>
      </c>
      <c r="F6" s="0" t="s">
        <v>451</v>
      </c>
    </row>
    <row r="7" customFormat="false" ht="15" hidden="false" customHeight="false" outlineLevel="0" collapsed="false">
      <c r="A7" s="0" t="s">
        <v>455</v>
      </c>
      <c r="B7" s="0" t="s">
        <v>456</v>
      </c>
      <c r="C7" s="0" t="s">
        <v>29</v>
      </c>
      <c r="D7" s="0" t="s">
        <v>104</v>
      </c>
      <c r="E7" s="0" t="s">
        <v>457</v>
      </c>
      <c r="F7" s="0" t="s">
        <v>451</v>
      </c>
    </row>
    <row r="8" customFormat="false" ht="15" hidden="false" customHeight="false" outlineLevel="0" collapsed="false">
      <c r="A8" s="0" t="s">
        <v>458</v>
      </c>
      <c r="B8" s="0" t="s">
        <v>459</v>
      </c>
      <c r="C8" s="0" t="s">
        <v>215</v>
      </c>
      <c r="D8" s="0" t="s">
        <v>48</v>
      </c>
      <c r="E8" s="0" t="s">
        <v>460</v>
      </c>
      <c r="F8" s="0" t="s">
        <v>451</v>
      </c>
    </row>
    <row r="11" customFormat="false" ht="15" hidden="false" customHeight="false" outlineLevel="0" collapsed="false">
      <c r="A11" s="0" t="s">
        <v>461</v>
      </c>
      <c r="B11" s="0" t="n">
        <f aca="false">Validation!B11</f>
        <v>0</v>
      </c>
      <c r="C11" s="0" t="s">
        <v>462</v>
      </c>
    </row>
  </sheetData>
  <conditionalFormatting sqref="F5:F8">
    <cfRule type="expression" priority="2" aboveAverage="0" equalAverage="0" bottom="0" percent="0" rank="0" text="" dxfId="4">
      <formula>$F5="OBSERVED"</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7.35" hidden="false" customHeight="false" outlineLevel="0" collapsed="false">
      <c r="A1" s="1" t="s">
        <v>463</v>
      </c>
    </row>
    <row r="2" customFormat="false" ht="15" hidden="false" customHeight="false" outlineLevel="0" collapsed="false">
      <c r="A2" s="3" t="s">
        <v>464</v>
      </c>
      <c r="B2" s="3" t="s">
        <v>465</v>
      </c>
    </row>
    <row r="3" customFormat="false" ht="36" hidden="false" customHeight="true" outlineLevel="0" collapsed="false">
      <c r="A3" s="0" t="s">
        <v>466</v>
      </c>
      <c r="B3" s="6" t="s">
        <v>467</v>
      </c>
    </row>
    <row r="4" customFormat="false" ht="36" hidden="false" customHeight="true" outlineLevel="0" collapsed="false">
      <c r="A4" s="0" t="s">
        <v>468</v>
      </c>
      <c r="B4" s="6" t="s">
        <v>469</v>
      </c>
    </row>
    <row r="5" customFormat="false" ht="36" hidden="false" customHeight="true" outlineLevel="0" collapsed="false">
      <c r="A5" s="0" t="s">
        <v>470</v>
      </c>
      <c r="B5" s="6" t="s">
        <v>471</v>
      </c>
    </row>
    <row r="6" customFormat="false" ht="36" hidden="false" customHeight="true" outlineLevel="0" collapsed="false">
      <c r="A6" s="0" t="s">
        <v>472</v>
      </c>
      <c r="B6" s="6" t="s">
        <v>473</v>
      </c>
    </row>
    <row r="7" customFormat="false" ht="36" hidden="false" customHeight="true" outlineLevel="0" collapsed="false">
      <c r="A7" s="0" t="s">
        <v>474</v>
      </c>
      <c r="B7" s="6" t="s">
        <v>475</v>
      </c>
    </row>
    <row r="8" customFormat="false" ht="36" hidden="false" customHeight="true" outlineLevel="0" collapsed="false">
      <c r="A8" s="0" t="s">
        <v>476</v>
      </c>
      <c r="B8" s="6" t="s">
        <v>477</v>
      </c>
    </row>
    <row r="9" customFormat="false" ht="36" hidden="false" customHeight="true" outlineLevel="0" collapsed="false">
      <c r="A9" s="0" t="s">
        <v>478</v>
      </c>
      <c r="B9" s="6" t="s">
        <v>479</v>
      </c>
    </row>
    <row r="10" customFormat="false" ht="36" hidden="false" customHeight="true" outlineLevel="0" collapsed="false">
      <c r="A10" s="0" t="s">
        <v>480</v>
      </c>
      <c r="B10" s="6" t="s">
        <v>481</v>
      </c>
    </row>
    <row r="11" customFormat="false" ht="36" hidden="false" customHeight="true" outlineLevel="0" collapsed="false">
      <c r="A11" s="0" t="s">
        <v>482</v>
      </c>
      <c r="B11" s="6" t="s">
        <v>483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2026-08-20T19:26:54Z</dcterms:created>
  <dc:creator>openpyxl</dc:creator>
  <dc:description/>
  <dc:language>en-US</dc:language>
  <cp:lastModifiedBy/>
  <dcterms:modified xsi:type="dcterms:W3CDTF">2026-08-20T19:26:55Z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