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Participants" sheetId="2" state="visible" r:id="rId4"/>
    <sheet name="Readout" sheetId="3" state="visible" r:id="rId5"/>
    <sheet name="QC &amp; Balance" sheetId="4" state="visible" r:id="rId6"/>
    <sheet name="Data Dictionary" sheetId="5" state="visible" r:id="rId7"/>
    <sheet name="Assumptions" sheetId="6" state="visible" r:id="rId8"/>
    <sheet name="Assignment Log" sheetId="7" state="visible" r:id="rId9"/>
  </sheets>
  <definedNames>
    <definedName function="false" hidden="true" localSheetId="1" name="_xlnm._FilterDatabase" vbProcedure="false">Participants!$A$4:$X$64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<sst xmlns="http://schemas.openxmlformats.org/spreadsheetml/2006/main" count="1141" uniqueCount="344">
  <si>
    <t xml:space="preserve">Pilot measurement instrument | Roth conversion review</t>
  </si>
  <si>
    <t xml:space="preserve">Version 1.0 • launch configuration • yellow = editable input / green = formula • no individual conversion advice</t>
  </si>
  <si>
    <t xml:space="preserve">Operating purpose</t>
  </si>
  <si>
    <t xml:space="preserve">Track the randomized proactive guided-review offer and produce the Dec 2026 assigned-group (intention-to-treat) readout. All eligible participants keep standard education and may decline a meeting.</t>
  </si>
  <si>
    <t xml:space="preserve">Control</t>
  </si>
  <si>
    <t xml:space="preserve">Configured standard</t>
  </si>
  <si>
    <t xml:space="preserve">How to use / source</t>
  </si>
  <si>
    <t xml:space="preserve">Analysis population</t>
  </si>
  <si>
    <t xml:space="preserve">60 distinct eligible participants</t>
  </si>
  <si>
    <t xml:space="preserve">Derived from roster: Plan eligible Yes + Hourly + retirement date in 2026.</t>
  </si>
  <si>
    <t xml:space="preserve">Offer / comparison</t>
  </si>
  <si>
    <t xml:space="preserve">30 guided offers / 30 standard education</t>
  </si>
  <si>
    <t xml:space="preserve">Offer count equals supplied Apr–Sep capacity; no hand-picking.</t>
  </si>
  <si>
    <t xml:space="preserve">Primary outcome</t>
  </si>
  <si>
    <t xml:space="preserve">Any confirmed Roth conversion by Dec 15, 2026</t>
  </si>
  <si>
    <t xml:space="preserve">One binary participant event; all assigned eligible people remain in the denominator.</t>
  </si>
  <si>
    <t xml:space="preserve">Primary estimand</t>
  </si>
  <si>
    <t xml:space="preserve">Intention-to-treat: assigned-offer rate minus assigned-comparison rate</t>
  </si>
  <si>
    <t xml:space="preserve">Regardless of offer receipt, scheduling, attendance, refusal, crossover, or outside exposure.</t>
  </si>
  <si>
    <t xml:space="preserve">Missing status rule</t>
  </si>
  <si>
    <t xml:space="preserve">Unknown status remains distinct; primary readout counts it as no confirmed conversion</t>
  </si>
  <si>
    <t xml:space="preserve">Sensitivity bounds treat all unresolved status as no conversion / as conversion.</t>
  </si>
  <si>
    <t xml:space="preserve">How to operate</t>
  </si>
  <si>
    <t xml:space="preserve">Enter yellow participant-status fields; review QC before readout</t>
  </si>
  <si>
    <t xml:space="preserve">Do not alter Original assigned arm. Log any correction in Assignment Log.</t>
  </si>
  <si>
    <t xml:space="preserve">Source scope</t>
  </si>
  <si>
    <t xml:space="preserve">Supplied policy and jurisdiction language only</t>
  </si>
  <si>
    <t xml:space="preserve">Measurement and education governance, not a legal determination or individualized advice.</t>
  </si>
  <si>
    <t xml:space="preserve">Participant-level assignment and outcome entry</t>
  </si>
  <si>
    <t xml:space="preserve">One row per supplied participant key. Original assignment is fixed; enter yellow implementation/outcome fields only.</t>
  </si>
  <si>
    <t xml:space="preserve">Participant Key</t>
  </si>
  <si>
    <t xml:space="preserve">Eligible?</t>
  </si>
  <si>
    <t xml:space="preserve">Eligibility rule result</t>
  </si>
  <si>
    <t xml:space="preserve">Site</t>
  </si>
  <si>
    <t xml:space="preserve">Shift</t>
  </si>
  <si>
    <t xml:space="preserve">Retirement date</t>
  </si>
  <si>
    <t xml:space="preserve">Prior interest source</t>
  </si>
  <si>
    <t xml:space="preserve">Prior interest category</t>
  </si>
  <si>
    <t xml:space="preserve">Assignment block</t>
  </si>
  <si>
    <t xml:space="preserve">Random score</t>
  </si>
  <si>
    <t xml:space="preserve">Allocation quota</t>
  </si>
  <si>
    <t xml:space="preserve">Original assigned arm</t>
  </si>
  <si>
    <t xml:space="preserve">Offer delivery status</t>
  </si>
  <si>
    <t xml:space="preserve">Offer delivery date</t>
  </si>
  <si>
    <t xml:space="preserve">Scheduling status</t>
  </si>
  <si>
    <t xml:space="preserve">Scheduled date</t>
  </si>
  <si>
    <t xml:space="preserve">Attendance status</t>
  </si>
  <si>
    <t xml:space="preserve">Attendance date</t>
  </si>
  <si>
    <t xml:space="preserve">Outside guided exposure</t>
  </si>
  <si>
    <t xml:space="preserve">Outside exposure date</t>
  </si>
  <si>
    <t xml:space="preserve">Primary outcome status</t>
  </si>
  <si>
    <t xml:space="preserve">Outcome date</t>
  </si>
  <si>
    <t xml:space="preserve">Conversion amount</t>
  </si>
  <si>
    <t xml:space="preserve">Record note</t>
  </si>
  <si>
    <t xml:space="preserve">PU-1001</t>
  </si>
  <si>
    <t xml:space="preserve">Yes</t>
  </si>
  <si>
    <t xml:space="preserve">Meets supplied eligibility rule</t>
  </si>
  <si>
    <t xml:space="preserve">North Yard</t>
  </si>
  <si>
    <t xml:space="preserve">Day</t>
  </si>
  <si>
    <t xml:space="preserve">Interested</t>
  </si>
  <si>
    <t xml:space="preserve">North Yard | Interested</t>
  </si>
  <si>
    <t xml:space="preserve">Standard education</t>
  </si>
  <si>
    <t xml:space="preserve">Not sent</t>
  </si>
  <si>
    <t xml:space="preserve">Not scheduled</t>
  </si>
  <si>
    <t xml:space="preserve">Not attended</t>
  </si>
  <si>
    <t xml:space="preserve">No</t>
  </si>
  <si>
    <t xml:space="preserve">Unknown—unresolved</t>
  </si>
  <si>
    <t xml:space="preserve">PU-1002</t>
  </si>
  <si>
    <t xml:space="preserve">Swing</t>
  </si>
  <si>
    <t xml:space="preserve">PU-1003</t>
  </si>
  <si>
    <t xml:space="preserve">Night</t>
  </si>
  <si>
    <t xml:space="preserve">Guided offer</t>
  </si>
  <si>
    <t xml:space="preserve">PU-1004</t>
  </si>
  <si>
    <t xml:space="preserve">PU-1005</t>
  </si>
  <si>
    <t xml:space="preserve">PU-1006</t>
  </si>
  <si>
    <t xml:space="preserve">PU-1007</t>
  </si>
  <si>
    <t xml:space="preserve">PU-1008</t>
  </si>
  <si>
    <t xml:space="preserve">Not interested</t>
  </si>
  <si>
    <t xml:space="preserve">North Yard | Not interested</t>
  </si>
  <si>
    <t xml:space="preserve">PU-1009</t>
  </si>
  <si>
    <t xml:space="preserve">PU-1010</t>
  </si>
  <si>
    <t xml:space="preserve">PU-1011</t>
  </si>
  <si>
    <t xml:space="preserve">PU-1012</t>
  </si>
  <si>
    <t xml:space="preserve">PU-1013</t>
  </si>
  <si>
    <t xml:space="preserve">PU-1014</t>
  </si>
  <si>
    <t xml:space="preserve">PU-1015</t>
  </si>
  <si>
    <t xml:space="preserve">Unknown</t>
  </si>
  <si>
    <t xml:space="preserve">North Yard | Unknown</t>
  </si>
  <si>
    <t xml:space="preserve">PU-1016</t>
  </si>
  <si>
    <t xml:space="preserve">PU-1017</t>
  </si>
  <si>
    <t xml:space="preserve">PU-1018</t>
  </si>
  <si>
    <t xml:space="preserve">PU-1019</t>
  </si>
  <si>
    <t xml:space="preserve">PU-1020</t>
  </si>
  <si>
    <t xml:space="preserve">PU-1021</t>
  </si>
  <si>
    <t xml:space="preserve">Central Plant</t>
  </si>
  <si>
    <t xml:space="preserve">Central Plant | Interested</t>
  </si>
  <si>
    <t xml:space="preserve">PU-1022</t>
  </si>
  <si>
    <t xml:space="preserve">PU-1023</t>
  </si>
  <si>
    <t xml:space="preserve">PU-1024</t>
  </si>
  <si>
    <t xml:space="preserve">PU-1025</t>
  </si>
  <si>
    <t xml:space="preserve">PU-1026</t>
  </si>
  <si>
    <t xml:space="preserve">PU-1027</t>
  </si>
  <si>
    <t xml:space="preserve">PU-1028</t>
  </si>
  <si>
    <t xml:space="preserve">Central Plant | Not interested</t>
  </si>
  <si>
    <t xml:space="preserve">PU-1029</t>
  </si>
  <si>
    <t xml:space="preserve">PU-1030</t>
  </si>
  <si>
    <t xml:space="preserve">PU-1031</t>
  </si>
  <si>
    <t xml:space="preserve">PU-1032</t>
  </si>
  <si>
    <t xml:space="preserve">PU-1033</t>
  </si>
  <si>
    <t xml:space="preserve">PU-1034</t>
  </si>
  <si>
    <t xml:space="preserve">PU-1035</t>
  </si>
  <si>
    <t xml:space="preserve">Central Plant | Unknown</t>
  </si>
  <si>
    <t xml:space="preserve">PU-1036</t>
  </si>
  <si>
    <t xml:space="preserve">PU-1037</t>
  </si>
  <si>
    <t xml:space="preserve">PU-1038</t>
  </si>
  <si>
    <t xml:space="preserve">PU-1039</t>
  </si>
  <si>
    <t xml:space="preserve">PU-1040</t>
  </si>
  <si>
    <t xml:space="preserve">PU-1041</t>
  </si>
  <si>
    <t xml:space="preserve">South Works</t>
  </si>
  <si>
    <t xml:space="preserve">South Works | Interested</t>
  </si>
  <si>
    <t xml:space="preserve">PU-1042</t>
  </si>
  <si>
    <t xml:space="preserve">PU-1043</t>
  </si>
  <si>
    <t xml:space="preserve">PU-1044</t>
  </si>
  <si>
    <t xml:space="preserve">PU-1045</t>
  </si>
  <si>
    <t xml:space="preserve">PU-1046</t>
  </si>
  <si>
    <t xml:space="preserve">PU-1047</t>
  </si>
  <si>
    <t xml:space="preserve">PU-1048</t>
  </si>
  <si>
    <t xml:space="preserve">South Works | Not interested</t>
  </si>
  <si>
    <t xml:space="preserve">PU-1049</t>
  </si>
  <si>
    <t xml:space="preserve">PU-1050</t>
  </si>
  <si>
    <t xml:space="preserve">PU-1051</t>
  </si>
  <si>
    <t xml:space="preserve">PU-1052</t>
  </si>
  <si>
    <t xml:space="preserve">PU-1053</t>
  </si>
  <si>
    <t xml:space="preserve">PU-1054</t>
  </si>
  <si>
    <t xml:space="preserve">PU-1055</t>
  </si>
  <si>
    <t xml:space="preserve">South Works | Unknown</t>
  </si>
  <si>
    <t xml:space="preserve">PU-1056</t>
  </si>
  <si>
    <t xml:space="preserve">PU-1057</t>
  </si>
  <si>
    <t xml:space="preserve">PU-1058</t>
  </si>
  <si>
    <t xml:space="preserve">PU-1059</t>
  </si>
  <si>
    <t xml:space="preserve">PU-1060</t>
  </si>
  <si>
    <t xml:space="preserve">Year-end causal readout</t>
  </si>
  <si>
    <t xml:space="preserve">Primary analysis is intention-to-treat (assigned offer group), regardless of attendance. Launch-stage statuses are unresolved until outcome capture.</t>
  </si>
  <si>
    <t xml:space="preserve">Metric</t>
  </si>
  <si>
    <t xml:space="preserve">Difference / check</t>
  </si>
  <si>
    <t xml:space="preserve">Interpretation</t>
  </si>
  <si>
    <t xml:space="preserve">Eligible assigned denominator</t>
  </si>
  <si>
    <t xml:space="preserve">All eligible assigned people; original arm controls.</t>
  </si>
  <si>
    <t xml:space="preserve">Confirmed conversion count</t>
  </si>
  <si>
    <t xml:space="preserve">Participant-level numerator event by deadline.</t>
  </si>
  <si>
    <t xml:space="preserve">Primary rate (unknown = no confirmed conversion)</t>
  </si>
  <si>
    <t xml:space="preserve">Primary ITT rate difference, percentage points.</t>
  </si>
  <si>
    <t xml:space="preserve">95% Wald CI — lower</t>
  </si>
  <si>
    <t xml:space="preserve">Binary-outcome uncertainty on the same pp scale.</t>
  </si>
  <si>
    <t xml:space="preserve">95% Wald CI — upper</t>
  </si>
  <si>
    <t xml:space="preserve">Interpret with modest-pilot precision, not p-value alone.</t>
  </si>
  <si>
    <t xml:space="preserve">Unknown outcome status</t>
  </si>
  <si>
    <t xml:space="preserve">Distinct from confirmed non-conversion; QC escalation at deadline.</t>
  </si>
  <si>
    <t xml:space="preserve">Sensitivity upper rate (all unknown = converted)</t>
  </si>
  <si>
    <t xml:space="preserve">Sensitivity range: lower bound is primary rate; upper bound assumes every unresolved record converted.</t>
  </si>
  <si>
    <t xml:space="preserve">Offer delivered</t>
  </si>
  <si>
    <t xml:space="preserve">Implementation outcome; not a substitute for assignment.</t>
  </si>
  <si>
    <t xml:space="preserve">Attended guided review</t>
  </si>
  <si>
    <t xml:space="preserve">Secondary/process measure only. Attendee comparisons are non-randomized and assumption-dependent.</t>
  </si>
  <si>
    <t xml:space="preserve">Crossover retained in ITT denominator; changes learning about meeting receipt.</t>
  </si>
  <si>
    <t xml:space="preserve">Prospective precision (planning inputs — editable)</t>
  </si>
  <si>
    <t xml:space="preserve">Planning assumption</t>
  </si>
  <si>
    <t xml:space="preserve">Value</t>
  </si>
  <si>
    <t xml:space="preserve">Formula / result</t>
  </si>
  <si>
    <t xml:space="preserve">Use</t>
  </si>
  <si>
    <t xml:space="preserve">Owner</t>
  </si>
  <si>
    <t xml:space="preserve">Baseline conversion rate</t>
  </si>
  <si>
    <t xml:space="preserve">Supplied-data gap: analyst planning assumption, not participant forecast.</t>
  </si>
  <si>
    <t xml:space="preserve">Mirela Danforth</t>
  </si>
  <si>
    <t xml:space="preserve">Planned offer n</t>
  </si>
  <si>
    <t xml:space="preserve">Derived randomized group size.</t>
  </si>
  <si>
    <t xml:space="preserve">Benefits Analytics</t>
  </si>
  <si>
    <t xml:space="preserve">Planned comparison n</t>
  </si>
  <si>
    <t xml:space="preserve">Two-sided confidence level</t>
  </si>
  <si>
    <t xml:space="preserve">Assumption for approximate precision.</t>
  </si>
  <si>
    <t xml:space="preserve">Approx. 95% half-width (pp)</t>
  </si>
  <si>
    <t xml:space="preserve">Updates with n or planning rate; modest pilot likely wide.</t>
  </si>
  <si>
    <t xml:space="preserve">Approx. 80% MDE (pp)</t>
  </si>
  <si>
    <t xml:space="preserve">Screening-scale planning calculation, not a claim of power.</t>
  </si>
  <si>
    <t xml:space="preserve">Scenario context from supplied inputs</t>
  </si>
  <si>
    <t xml:space="preserve">Stable / market movement / bracket environment shift</t>
  </si>
  <si>
    <t xml:space="preserve">Report as shared 2026 context for both arms. Scenarios never generate conversions, forecast tax effects, or replace observed outcomes.</t>
  </si>
  <si>
    <t xml:space="preserve">Quality controls and baseline balance</t>
  </si>
  <si>
    <t xml:space="preserve">Review before release. Any failure requires Benefits Analytics review; do not silently replace original assignments.</t>
  </si>
  <si>
    <t xml:space="preserve">Automated check</t>
  </si>
  <si>
    <t xml:space="preserve">Count / result</t>
  </si>
  <si>
    <t xml:space="preserve">Pass standard</t>
  </si>
  <si>
    <t xml:space="preserve">Action if failed</t>
  </si>
  <si>
    <t xml:space="preserve">Duplicate participant keys</t>
  </si>
  <si>
    <t xml:space="preserve">0</t>
  </si>
  <si>
    <t xml:space="preserve">Stop; deduplicate to supplied participant key before analysis.</t>
  </si>
  <si>
    <t xml:space="preserve">Invalid arm values</t>
  </si>
  <si>
    <t xml:space="preserve">Stop; Original assigned arm must be one configured code.</t>
  </si>
  <si>
    <t xml:space="preserve">Assignment-count reconciliation</t>
  </si>
  <si>
    <t xml:space="preserve">Stop; reconcile roster and allocation log.</t>
  </si>
  <si>
    <t xml:space="preserve">Capacity breach</t>
  </si>
  <si>
    <t xml:space="preserve">Stop; do not send excess offers.</t>
  </si>
  <si>
    <t xml:space="preserve">Advisor Operations</t>
  </si>
  <si>
    <t xml:space="preserve">Offer before allocation approval</t>
  </si>
  <si>
    <t xml:space="preserve">Investigate chronology; preserve log.</t>
  </si>
  <si>
    <t xml:space="preserve">Benefits Operations</t>
  </si>
  <si>
    <t xml:space="preserve">Attendance before scheduled date</t>
  </si>
  <si>
    <t xml:space="preserve">Correct entry with dated reason in correction log.</t>
  </si>
  <si>
    <t xml:space="preserve">Outcome after deadline</t>
  </si>
  <si>
    <t xml:space="preserve">Do not count in primary endpoint.</t>
  </si>
  <si>
    <t xml:space="preserve">Unresolved primary status</t>
  </si>
  <si>
    <t xml:space="preserve">0 at Dec 15</t>
  </si>
  <si>
    <t xml:space="preserve">Escalate; retain as unknown and show sensitivity bounds.</t>
  </si>
  <si>
    <t xml:space="preserve">Baseline arm balance (magnitude checks; no significance-test gate)</t>
  </si>
  <si>
    <t xml:space="preserve">Baseline category</t>
  </si>
  <si>
    <t xml:space="preserve">Guided offer n</t>
  </si>
  <si>
    <t xml:space="preserve">Standard education n</t>
  </si>
  <si>
    <t xml:space="preserve">Guided proportion</t>
  </si>
  <si>
    <t xml:space="preserve">Comparison proportion</t>
  </si>
  <si>
    <t xml:space="preserve">Absolute difference</t>
  </si>
  <si>
    <t xml:space="preserve">Review threshold</t>
  </si>
  <si>
    <t xml:space="preserve">Site: North Yard</t>
  </si>
  <si>
    <t xml:space="preserve">Flag if &gt;20 pp; explain, do not reassign</t>
  </si>
  <si>
    <t xml:space="preserve">Site: Central Plant</t>
  </si>
  <si>
    <t xml:space="preserve">Site: South Works</t>
  </si>
  <si>
    <t xml:space="preserve">Shift: Day</t>
  </si>
  <si>
    <t xml:space="preserve">Shift: Swing</t>
  </si>
  <si>
    <t xml:space="preserve">Shift: Night</t>
  </si>
  <si>
    <t xml:space="preserve">Prior interest: Interested</t>
  </si>
  <si>
    <t xml:space="preserve">Prior interest: Not interested</t>
  </si>
  <si>
    <t xml:space="preserve">Prior interest: Unknown</t>
  </si>
  <si>
    <t xml:space="preserve">Data dictionary</t>
  </si>
  <si>
    <t xml:space="preserve">Analysis-critical fields, allowed values, timing, and missing-value meaning.</t>
  </si>
  <si>
    <t xml:space="preserve">Field</t>
  </si>
  <si>
    <t xml:space="preserve">Allowed values / format</t>
  </si>
  <si>
    <t xml:space="preserve">Timing</t>
  </si>
  <si>
    <t xml:space="preserve">Missing value means</t>
  </si>
  <si>
    <t xml:space="preserve">Operational definition</t>
  </si>
  <si>
    <t xml:space="preserve">Supplied key, unique</t>
  </si>
  <si>
    <t xml:space="preserve">Roster freeze</t>
  </si>
  <si>
    <t xml:space="preserve">Not permitted</t>
  </si>
  <si>
    <t xml:space="preserve">Assignment unit; one row per eligible person.</t>
  </si>
  <si>
    <t xml:space="preserve">Yes / No</t>
  </si>
  <si>
    <t xml:space="preserve">At roster freeze</t>
  </si>
  <si>
    <t xml:space="preserve">Not eligible only if supplied rule fails</t>
  </si>
  <si>
    <t xml:space="preserve">Plan eligible Yes + Hourly + retirement date in 2026.</t>
  </si>
  <si>
    <t xml:space="preserve">Interested / Not interested / Unknown</t>
  </si>
  <si>
    <t xml:space="preserve">Baseline before allocation</t>
  </si>
  <si>
    <t xml:space="preserve">Unknown = source blank; not unwilling</t>
  </si>
  <si>
    <t xml:space="preserve">Blocking and balance variable; never exclusion.</t>
  </si>
  <si>
    <t xml:space="preserve">Guided offer / Standard education</t>
  </si>
  <si>
    <t xml:space="preserve">Allocation, 24 Mar 2026</t>
  </si>
  <si>
    <t xml:space="preserve">Fixed randomized offer assignment; never overwrite.</t>
  </si>
  <si>
    <t xml:space="preserve">Not sent / Sent / Undeliverable</t>
  </si>
  <si>
    <t xml:space="preserve">Apr–Sep 2026</t>
  </si>
  <si>
    <t xml:space="preserve">Not sent = no recorded delivery</t>
  </si>
  <si>
    <t xml:space="preserve">Separate from assignment and attendance.</t>
  </si>
  <si>
    <t xml:space="preserve">Not scheduled / Scheduled / Declined</t>
  </si>
  <si>
    <t xml:space="preserve">Not scheduled = no scheduling record</t>
  </si>
  <si>
    <t xml:space="preserve">Decline is permitted, not protocol failure.</t>
  </si>
  <si>
    <t xml:space="preserve">Not attended / Attended / Declined / No-show</t>
  </si>
  <si>
    <t xml:space="preserve">Meeting window</t>
  </si>
  <si>
    <t xml:space="preserve">Not attended = no meeting recorded</t>
  </si>
  <si>
    <t xml:space="preserve">Secondary process outcome; no causal attendee analysis.</t>
  </si>
  <si>
    <t xml:space="preserve">No / Yes / Unknown</t>
  </si>
  <si>
    <t xml:space="preserve">Through Dec 15</t>
  </si>
  <si>
    <t xml:space="preserve">Unknown = exposure not ascertained</t>
  </si>
  <si>
    <t xml:space="preserve">Capture crossover in either arm; retain ITT.</t>
  </si>
  <si>
    <t xml:space="preserve">Converted / Not converted / Unknown—unresolved</t>
  </si>
  <si>
    <t xml:space="preserve">By Dec 15, 2026</t>
  </si>
  <si>
    <t xml:space="preserve">Unknown is neither confirmed conversion nor non-conversion</t>
  </si>
  <si>
    <t xml:space="preserve">Any confirmed Roth conversion event by deadline.</t>
  </si>
  <si>
    <t xml:space="preserve">m/d/yy</t>
  </si>
  <si>
    <t xml:space="preserve">Blank when no confirmed event or status unresolved</t>
  </si>
  <si>
    <t xml:space="preserve">Date of confirmed conversion event.</t>
  </si>
  <si>
    <t xml:space="preserve">currency</t>
  </si>
  <si>
    <t xml:space="preserve">If conversion confirmed</t>
  </si>
  <si>
    <t xml:space="preserve">Blank means amount not captured; not zero</t>
  </si>
  <si>
    <t xml:space="preserve">Secondary, descriptive only; no advice.</t>
  </si>
  <si>
    <t xml:space="preserve">Assumptions, exclusions, approvals</t>
  </si>
  <si>
    <t xml:space="preserve">Supplied facts are distinct from analyst choices. Changes require documented governance approval before outcome review.</t>
  </si>
  <si>
    <t xml:space="preserve">Type</t>
  </si>
  <si>
    <t xml:space="preserve">Item</t>
  </si>
  <si>
    <t xml:space="preserve">Value / rule</t>
  </si>
  <si>
    <t xml:space="preserve">Rationale / source</t>
  </si>
  <si>
    <t xml:space="preserve">Approval / status</t>
  </si>
  <si>
    <t xml:space="preserve">Supplied fact</t>
  </si>
  <si>
    <t xml:space="preserve">Eligibility</t>
  </si>
  <si>
    <t xml:space="preserve">Plan eligible Yes; Hourly; retirement date in 2026</t>
  </si>
  <si>
    <t xml:space="preserve">Operating constraints</t>
  </si>
  <si>
    <t xml:space="preserve">Benefits Governance</t>
  </si>
  <si>
    <t xml:space="preserve">Freeze at 20 Mar 2026</t>
  </si>
  <si>
    <t xml:space="preserve">Capacity</t>
  </si>
  <si>
    <t xml:space="preserve">30 proactive offers Apr–Sep 2026</t>
  </si>
  <si>
    <t xml:space="preserve">Configured</t>
  </si>
  <si>
    <t xml:space="preserve">Outcome deadline</t>
  </si>
  <si>
    <t xml:space="preserve">15 Dec 2026</t>
  </si>
  <si>
    <t xml:space="preserve">Analyst choice</t>
  </si>
  <si>
    <t xml:space="preserve">Random seed</t>
  </si>
  <si>
    <t xml:space="preserve">HPC-2026-PEATMOOR-041</t>
  </si>
  <si>
    <t xml:space="preserve">Reproducible SHA-256 rank within Site × prior-interest category; quota 30</t>
  </si>
  <si>
    <t xml:space="preserve">Approve 24 Mar 2026</t>
  </si>
  <si>
    <t xml:space="preserve">Missing prior interest</t>
  </si>
  <si>
    <t xml:space="preserve">Retain as Unknown</t>
  </si>
  <si>
    <t xml:space="preserve">Source has blanks; no basis to infer willingness</t>
  </si>
  <si>
    <t xml:space="preserve">Prespecified</t>
  </si>
  <si>
    <t xml:space="preserve">Missing outcome primary rule</t>
  </si>
  <si>
    <t xml:space="preserve">Unknown counts as no confirmed conversion; show upper sensitivity</t>
  </si>
  <si>
    <t xml:space="preserve">Preserves all eligible assigned denominators and distinguishes status</t>
  </si>
  <si>
    <t xml:space="preserve">Exclusion</t>
  </si>
  <si>
    <t xml:space="preserve">Ineligible workforce records</t>
  </si>
  <si>
    <t xml:space="preserve">Excluded only if supplied eligibility rule fails</t>
  </si>
  <si>
    <t xml:space="preserve">No exclusion for missing prior interest</t>
  </si>
  <si>
    <t xml:space="preserve">Documented</t>
  </si>
  <si>
    <t xml:space="preserve">Limitation</t>
  </si>
  <si>
    <t xml:space="preserve">Attendance effect</t>
  </si>
  <si>
    <t xml:space="preserve">Not primary causal result</t>
  </si>
  <si>
    <t xml:space="preserve">Voluntary attendance / crossover are non-randomized</t>
  </si>
  <si>
    <t xml:space="preserve">Readout label required</t>
  </si>
  <si>
    <t xml:space="preserve">Approval lock</t>
  </si>
  <si>
    <t xml:space="preserve">Prospective freeze</t>
  </si>
  <si>
    <t xml:space="preserve">Population, assignment, outcome, and interpretation standard</t>
  </si>
  <si>
    <t xml:space="preserve">Must occur before outcome observation</t>
  </si>
  <si>
    <t xml:space="preserve">Clara Almeida + Counsel</t>
  </si>
  <si>
    <t xml:space="preserve">Pending launch approval</t>
  </si>
  <si>
    <t xml:space="preserve">Assignment provenance and correction log</t>
  </si>
  <si>
    <t xml:space="preserve">Original allocation is recorded below. Add a dated correction request; never overwrite Original assigned arm.</t>
  </si>
  <si>
    <t xml:space="preserve">Allocation run</t>
  </si>
  <si>
    <t xml:space="preserve">Allocation approval</t>
  </si>
  <si>
    <t xml:space="preserve">Random mechanism</t>
  </si>
  <si>
    <t xml:space="preserve">Seed / audit value</t>
  </si>
  <si>
    <t xml:space="preserve">Source roster count</t>
  </si>
  <si>
    <t xml:space="preserve">Eligible count</t>
  </si>
  <si>
    <t xml:space="preserve">Offer count</t>
  </si>
  <si>
    <t xml:space="preserve">ALLOC-2026-03-24-A</t>
  </si>
  <si>
    <t xml:space="preserve">SHA-256 rank within Site × prior-interest category; fixed quota</t>
  </si>
  <si>
    <t xml:space="preserve">Correction requests (append-only)</t>
  </si>
  <si>
    <t xml:space="preserve">Request date</t>
  </si>
  <si>
    <t xml:space="preserve">Field affected</t>
  </si>
  <si>
    <t xml:space="preserve">Original value</t>
  </si>
  <si>
    <t xml:space="preserve">Proposed value</t>
  </si>
  <si>
    <t xml:space="preserve">Reason</t>
  </si>
  <si>
    <t xml:space="preserve">Approved by</t>
  </si>
  <si>
    <t xml:space="preserve">Decision date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</si>
</sst>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"/>
    <numFmt numFmtId="166" formatCode="\$#,##0"/>
    <numFmt numFmtId="167" formatCode="General"/>
    <numFmt numFmtId="168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i val="true"/>
      <sz val="10"/>
      <color rgb="FF5E6B75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007C83"/>
        <bgColor rgb="FF008080"/>
      </patternFill>
    </fill>
    <fill>
      <patternFill patternType="solid">
        <fgColor rgb="FFE2F0D9"/>
        <bgColor rgb="FFFFF2CC"/>
      </patternFill>
    </fill>
    <fill>
      <patternFill patternType="solid">
        <fgColor rgb="FFFFF2CC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7C83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C83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E6B75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articipantData" displayName="ParticipantData" ref="A4:X64" headerRowCount="1" totalsRowCount="0" totalsRowShown="0">
  <autoFilter ref="A4:X64"/>
  <tableColumns count="24">
    <tableColumn id="1" name="Participant Key"/>
    <tableColumn id="2" name="Eligible?"/>
    <tableColumn id="3" name="Eligibility rule result"/>
    <tableColumn id="4" name="Site"/>
    <tableColumn id="5" name="Shift"/>
    <tableColumn id="6" name="Retirement date"/>
    <tableColumn id="7" name="Prior interest source"/>
    <tableColumn id="8" name="Prior interest category"/>
    <tableColumn id="9" name="Assignment block"/>
    <tableColumn id="10" name="Random score"/>
    <tableColumn id="11" name="Allocation quota"/>
    <tableColumn id="12" name="Original assigned arm"/>
    <tableColumn id="13" name="Offer delivery status"/>
    <tableColumn id="14" name="Offer delivery date"/>
    <tableColumn id="15" name="Scheduling status"/>
    <tableColumn id="16" name="Scheduled date"/>
    <tableColumn id="17" name="Attendance status"/>
    <tableColumn id="18" name="Attendance date"/>
    <tableColumn id="19" name="Outside guided exposure"/>
    <tableColumn id="20" name="Outside exposure date"/>
    <tableColumn id="21" name="Primary outcome status"/>
    <tableColumn id="22" name="Outcome date"/>
    <tableColumn id="23" name="Conversion amount"/>
    <tableColumn id="24" name="Record 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2"/>
    <col collapsed="false" customWidth="true" hidden="false" outlineLevel="0" max="8" min="4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8.35" hidden="false" customHeight="true" outlineLevel="0" collapsed="false">
      <c r="A4" s="4" t="s">
        <v>2</v>
      </c>
      <c r="B4" s="5" t="s">
        <v>3</v>
      </c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31.5" hidden="false" customHeight="true" outlineLevel="0" collapsed="false">
      <c r="A6" s="4" t="s">
        <v>4</v>
      </c>
      <c r="B6" s="4" t="s">
        <v>5</v>
      </c>
      <c r="C6" s="4" t="s">
        <v>6</v>
      </c>
      <c r="D6" s="3"/>
      <c r="E6" s="3"/>
      <c r="F6" s="3"/>
      <c r="G6" s="3"/>
      <c r="H6" s="3"/>
    </row>
    <row r="7" customFormat="false" ht="15" hidden="false" customHeight="false" outlineLevel="0" collapsed="false">
      <c r="A7" s="3" t="s">
        <v>7</v>
      </c>
      <c r="B7" s="3" t="s">
        <v>8</v>
      </c>
      <c r="C7" s="3" t="s">
        <v>9</v>
      </c>
      <c r="D7" s="3"/>
      <c r="E7" s="3"/>
      <c r="F7" s="3"/>
      <c r="G7" s="3"/>
      <c r="H7" s="3"/>
    </row>
    <row r="8" customFormat="false" ht="15" hidden="false" customHeight="false" outlineLevel="0" collapsed="false">
      <c r="A8" s="3" t="s">
        <v>10</v>
      </c>
      <c r="B8" s="3" t="s">
        <v>11</v>
      </c>
      <c r="C8" s="3" t="s">
        <v>12</v>
      </c>
      <c r="D8" s="3"/>
      <c r="E8" s="3"/>
      <c r="F8" s="3"/>
      <c r="G8" s="3"/>
      <c r="H8" s="3"/>
    </row>
    <row r="9" customFormat="false" ht="15" hidden="false" customHeight="false" outlineLevel="0" collapsed="false">
      <c r="A9" s="3" t="s">
        <v>13</v>
      </c>
      <c r="B9" s="3" t="s">
        <v>14</v>
      </c>
      <c r="C9" s="3" t="s">
        <v>15</v>
      </c>
      <c r="D9" s="3"/>
      <c r="E9" s="3"/>
      <c r="F9" s="3"/>
      <c r="G9" s="3"/>
      <c r="H9" s="3"/>
    </row>
    <row r="10" customFormat="false" ht="28.35" hidden="false" customHeight="false" outlineLevel="0" collapsed="false">
      <c r="A10" s="3" t="s">
        <v>16</v>
      </c>
      <c r="B10" s="3" t="s">
        <v>17</v>
      </c>
      <c r="C10" s="3" t="s">
        <v>18</v>
      </c>
      <c r="D10" s="3"/>
      <c r="E10" s="3"/>
      <c r="F10" s="3"/>
      <c r="G10" s="3"/>
      <c r="H10" s="3"/>
    </row>
    <row r="11" customFormat="false" ht="28.35" hidden="false" customHeight="false" outlineLevel="0" collapsed="false">
      <c r="A11" s="3" t="s">
        <v>19</v>
      </c>
      <c r="B11" s="3" t="s">
        <v>20</v>
      </c>
      <c r="C11" s="3" t="s">
        <v>21</v>
      </c>
      <c r="D11" s="3"/>
      <c r="E11" s="3"/>
      <c r="F11" s="3"/>
      <c r="G11" s="3"/>
      <c r="H11" s="3"/>
    </row>
    <row r="12" customFormat="false" ht="15" hidden="false" customHeight="false" outlineLevel="0" collapsed="false">
      <c r="A12" s="3" t="s">
        <v>22</v>
      </c>
      <c r="B12" s="3" t="s">
        <v>23</v>
      </c>
      <c r="C12" s="3" t="s">
        <v>24</v>
      </c>
      <c r="D12" s="3"/>
      <c r="E12" s="3"/>
      <c r="F12" s="3"/>
      <c r="G12" s="3"/>
      <c r="H12" s="3"/>
    </row>
    <row r="13" customFormat="false" ht="28.35" hidden="false" customHeight="false" outlineLevel="0" collapsed="false">
      <c r="A13" s="3" t="s">
        <v>25</v>
      </c>
      <c r="B13" s="3" t="s">
        <v>26</v>
      </c>
      <c r="C13" s="3" t="s">
        <v>27</v>
      </c>
      <c r="D13" s="3"/>
      <c r="E13" s="3"/>
      <c r="F13" s="3"/>
      <c r="G13" s="3"/>
      <c r="H13" s="3"/>
    </row>
  </sheetData>
  <mergeCells count="3">
    <mergeCell ref="A1:H1"/>
    <mergeCell ref="A2:H2"/>
    <mergeCell ref="B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25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8" min="7" style="0" width="20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18"/>
    <col collapsed="false" customWidth="true" hidden="false" outlineLevel="0" max="16" min="16" style="0" width="15"/>
    <col collapsed="false" customWidth="true" hidden="false" outlineLevel="0" max="17" min="17" style="0" width="18"/>
    <col collapsed="false" customWidth="true" hidden="false" outlineLevel="0" max="18" min="18" style="0" width="15"/>
    <col collapsed="false" customWidth="true" hidden="false" outlineLevel="0" max="19" min="19" style="0" width="20"/>
    <col collapsed="false" customWidth="true" hidden="false" outlineLevel="0" max="20" min="20" style="0" width="15"/>
    <col collapsed="false" customWidth="true" hidden="false" outlineLevel="0" max="21" min="21" style="0" width="23"/>
    <col collapsed="false" customWidth="true" hidden="false" outlineLevel="0" max="22" min="22" style="0" width="15"/>
    <col collapsed="false" customWidth="true" hidden="false" outlineLevel="0" max="23" min="23" style="0" width="16"/>
    <col collapsed="false" customWidth="true" hidden="false" outlineLevel="0" max="24" min="24" style="0" width="28"/>
  </cols>
  <sheetData>
    <row r="1" customFormat="false" ht="30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25.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31.5" hidden="false" customHeight="true" outlineLevel="0" collapsed="false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4" t="s">
        <v>40</v>
      </c>
      <c r="L4" s="4" t="s">
        <v>41</v>
      </c>
      <c r="M4" s="4" t="s">
        <v>42</v>
      </c>
      <c r="N4" s="4" t="s">
        <v>43</v>
      </c>
      <c r="O4" s="4" t="s">
        <v>44</v>
      </c>
      <c r="P4" s="4" t="s">
        <v>45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4" t="s">
        <v>52</v>
      </c>
      <c r="X4" s="4" t="s">
        <v>53</v>
      </c>
    </row>
    <row r="5" customFormat="false" ht="15" hidden="false" customHeight="false" outlineLevel="0" collapsed="false">
      <c r="A5" s="6" t="s">
        <v>54</v>
      </c>
      <c r="B5" s="6" t="s">
        <v>55</v>
      </c>
      <c r="C5" s="6" t="s">
        <v>56</v>
      </c>
      <c r="D5" s="6" t="s">
        <v>57</v>
      </c>
      <c r="E5" s="6" t="s">
        <v>58</v>
      </c>
      <c r="F5" s="7" t="n">
        <v>46089</v>
      </c>
      <c r="G5" s="6" t="s">
        <v>59</v>
      </c>
      <c r="H5" s="6" t="s">
        <v>59</v>
      </c>
      <c r="I5" s="6" t="s">
        <v>60</v>
      </c>
      <c r="J5" s="6" t="n">
        <v>137737511603094</v>
      </c>
      <c r="K5" s="6" t="n">
        <v>4</v>
      </c>
      <c r="L5" s="6" t="s">
        <v>61</v>
      </c>
      <c r="M5" s="8" t="s">
        <v>62</v>
      </c>
      <c r="N5" s="9"/>
      <c r="O5" s="8" t="s">
        <v>63</v>
      </c>
      <c r="P5" s="9"/>
      <c r="Q5" s="8" t="s">
        <v>64</v>
      </c>
      <c r="R5" s="9"/>
      <c r="S5" s="8" t="s">
        <v>65</v>
      </c>
      <c r="T5" s="9"/>
      <c r="U5" s="8" t="s">
        <v>66</v>
      </c>
      <c r="V5" s="9"/>
      <c r="W5" s="10"/>
      <c r="X5" s="11"/>
    </row>
    <row r="6" customFormat="false" ht="15" hidden="false" customHeight="false" outlineLevel="0" collapsed="false">
      <c r="A6" s="6" t="s">
        <v>67</v>
      </c>
      <c r="B6" s="6" t="s">
        <v>55</v>
      </c>
      <c r="C6" s="6" t="s">
        <v>56</v>
      </c>
      <c r="D6" s="6" t="s">
        <v>57</v>
      </c>
      <c r="E6" s="6" t="s">
        <v>68</v>
      </c>
      <c r="F6" s="7" t="n">
        <v>46123</v>
      </c>
      <c r="G6" s="6" t="s">
        <v>59</v>
      </c>
      <c r="H6" s="6" t="s">
        <v>59</v>
      </c>
      <c r="I6" s="6" t="s">
        <v>60</v>
      </c>
      <c r="J6" s="6" t="n">
        <v>131099755127710</v>
      </c>
      <c r="K6" s="6" t="n">
        <v>4</v>
      </c>
      <c r="L6" s="6" t="s">
        <v>61</v>
      </c>
      <c r="M6" s="8" t="s">
        <v>62</v>
      </c>
      <c r="N6" s="9"/>
      <c r="O6" s="8" t="s">
        <v>63</v>
      </c>
      <c r="P6" s="9"/>
      <c r="Q6" s="8" t="s">
        <v>64</v>
      </c>
      <c r="R6" s="9"/>
      <c r="S6" s="8" t="s">
        <v>65</v>
      </c>
      <c r="T6" s="9"/>
      <c r="U6" s="8" t="s">
        <v>66</v>
      </c>
      <c r="V6" s="9"/>
      <c r="W6" s="10"/>
      <c r="X6" s="11"/>
    </row>
    <row r="7" customFormat="false" ht="15" hidden="false" customHeight="false" outlineLevel="0" collapsed="false">
      <c r="A7" s="6" t="s">
        <v>69</v>
      </c>
      <c r="B7" s="6" t="s">
        <v>55</v>
      </c>
      <c r="C7" s="6" t="s">
        <v>56</v>
      </c>
      <c r="D7" s="6" t="s">
        <v>57</v>
      </c>
      <c r="E7" s="6" t="s">
        <v>70</v>
      </c>
      <c r="F7" s="7" t="n">
        <v>46156</v>
      </c>
      <c r="G7" s="6" t="s">
        <v>59</v>
      </c>
      <c r="H7" s="6" t="s">
        <v>59</v>
      </c>
      <c r="I7" s="6" t="s">
        <v>60</v>
      </c>
      <c r="J7" s="6" t="n">
        <v>10621727917897</v>
      </c>
      <c r="K7" s="6" t="n">
        <v>4</v>
      </c>
      <c r="L7" s="6" t="s">
        <v>71</v>
      </c>
      <c r="M7" s="8" t="s">
        <v>62</v>
      </c>
      <c r="N7" s="9"/>
      <c r="O7" s="8" t="s">
        <v>63</v>
      </c>
      <c r="P7" s="9"/>
      <c r="Q7" s="8" t="s">
        <v>64</v>
      </c>
      <c r="R7" s="9"/>
      <c r="S7" s="8" t="s">
        <v>65</v>
      </c>
      <c r="T7" s="9"/>
      <c r="U7" s="8" t="s">
        <v>66</v>
      </c>
      <c r="V7" s="9"/>
      <c r="W7" s="10"/>
      <c r="X7" s="11"/>
    </row>
    <row r="8" customFormat="false" ht="15" hidden="false" customHeight="false" outlineLevel="0" collapsed="false">
      <c r="A8" s="6" t="s">
        <v>72</v>
      </c>
      <c r="B8" s="6" t="s">
        <v>55</v>
      </c>
      <c r="C8" s="6" t="s">
        <v>56</v>
      </c>
      <c r="D8" s="6" t="s">
        <v>57</v>
      </c>
      <c r="E8" s="6" t="s">
        <v>58</v>
      </c>
      <c r="F8" s="7" t="n">
        <v>46190</v>
      </c>
      <c r="G8" s="6" t="s">
        <v>59</v>
      </c>
      <c r="H8" s="6" t="s">
        <v>59</v>
      </c>
      <c r="I8" s="6" t="s">
        <v>60</v>
      </c>
      <c r="J8" s="6" t="n">
        <v>225822471090875</v>
      </c>
      <c r="K8" s="6" t="n">
        <v>4</v>
      </c>
      <c r="L8" s="6" t="s">
        <v>61</v>
      </c>
      <c r="M8" s="8" t="s">
        <v>62</v>
      </c>
      <c r="N8" s="9"/>
      <c r="O8" s="8" t="s">
        <v>63</v>
      </c>
      <c r="P8" s="9"/>
      <c r="Q8" s="8" t="s">
        <v>64</v>
      </c>
      <c r="R8" s="9"/>
      <c r="S8" s="8" t="s">
        <v>65</v>
      </c>
      <c r="T8" s="9"/>
      <c r="U8" s="8" t="s">
        <v>66</v>
      </c>
      <c r="V8" s="9"/>
      <c r="W8" s="10"/>
      <c r="X8" s="11"/>
    </row>
    <row r="9" customFormat="false" ht="15" hidden="false" customHeight="false" outlineLevel="0" collapsed="false">
      <c r="A9" s="6" t="s">
        <v>73</v>
      </c>
      <c r="B9" s="6" t="s">
        <v>55</v>
      </c>
      <c r="C9" s="6" t="s">
        <v>56</v>
      </c>
      <c r="D9" s="6" t="s">
        <v>57</v>
      </c>
      <c r="E9" s="6" t="s">
        <v>68</v>
      </c>
      <c r="F9" s="7" t="n">
        <v>46223</v>
      </c>
      <c r="G9" s="6" t="s">
        <v>59</v>
      </c>
      <c r="H9" s="6" t="s">
        <v>59</v>
      </c>
      <c r="I9" s="6" t="s">
        <v>60</v>
      </c>
      <c r="J9" s="6" t="n">
        <v>43752203397147</v>
      </c>
      <c r="K9" s="6" t="n">
        <v>4</v>
      </c>
      <c r="L9" s="6" t="s">
        <v>71</v>
      </c>
      <c r="M9" s="8" t="s">
        <v>62</v>
      </c>
      <c r="N9" s="9"/>
      <c r="O9" s="8" t="s">
        <v>63</v>
      </c>
      <c r="P9" s="9"/>
      <c r="Q9" s="8" t="s">
        <v>64</v>
      </c>
      <c r="R9" s="9"/>
      <c r="S9" s="8" t="s">
        <v>65</v>
      </c>
      <c r="T9" s="9"/>
      <c r="U9" s="8" t="s">
        <v>66</v>
      </c>
      <c r="V9" s="9"/>
      <c r="W9" s="10"/>
      <c r="X9" s="11"/>
    </row>
    <row r="10" customFormat="false" ht="15" hidden="false" customHeight="false" outlineLevel="0" collapsed="false">
      <c r="A10" s="6" t="s">
        <v>74</v>
      </c>
      <c r="B10" s="6" t="s">
        <v>55</v>
      </c>
      <c r="C10" s="6" t="s">
        <v>56</v>
      </c>
      <c r="D10" s="6" t="s">
        <v>57</v>
      </c>
      <c r="E10" s="6" t="s">
        <v>70</v>
      </c>
      <c r="F10" s="7" t="n">
        <v>46257</v>
      </c>
      <c r="G10" s="6" t="s">
        <v>59</v>
      </c>
      <c r="H10" s="6" t="s">
        <v>59</v>
      </c>
      <c r="I10" s="6" t="s">
        <v>60</v>
      </c>
      <c r="J10" s="6" t="n">
        <v>65149256050649</v>
      </c>
      <c r="K10" s="6" t="n">
        <v>4</v>
      </c>
      <c r="L10" s="6" t="s">
        <v>71</v>
      </c>
      <c r="M10" s="8" t="s">
        <v>62</v>
      </c>
      <c r="N10" s="9"/>
      <c r="O10" s="8" t="s">
        <v>63</v>
      </c>
      <c r="P10" s="9"/>
      <c r="Q10" s="8" t="s">
        <v>64</v>
      </c>
      <c r="R10" s="9"/>
      <c r="S10" s="8" t="s">
        <v>65</v>
      </c>
      <c r="T10" s="9"/>
      <c r="U10" s="8" t="s">
        <v>66</v>
      </c>
      <c r="V10" s="9"/>
      <c r="W10" s="10"/>
      <c r="X10" s="11"/>
    </row>
    <row r="11" customFormat="false" ht="15" hidden="false" customHeight="false" outlineLevel="0" collapsed="false">
      <c r="A11" s="6" t="s">
        <v>75</v>
      </c>
      <c r="B11" s="6" t="s">
        <v>55</v>
      </c>
      <c r="C11" s="6" t="s">
        <v>56</v>
      </c>
      <c r="D11" s="6" t="s">
        <v>57</v>
      </c>
      <c r="E11" s="6" t="s">
        <v>58</v>
      </c>
      <c r="F11" s="7" t="n">
        <v>46291</v>
      </c>
      <c r="G11" s="6" t="s">
        <v>59</v>
      </c>
      <c r="H11" s="6" t="s">
        <v>59</v>
      </c>
      <c r="I11" s="6" t="s">
        <v>60</v>
      </c>
      <c r="J11" s="6" t="n">
        <v>27552612692584</v>
      </c>
      <c r="K11" s="6" t="n">
        <v>4</v>
      </c>
      <c r="L11" s="6" t="s">
        <v>71</v>
      </c>
      <c r="M11" s="8" t="s">
        <v>62</v>
      </c>
      <c r="N11" s="9"/>
      <c r="O11" s="8" t="s">
        <v>63</v>
      </c>
      <c r="P11" s="9"/>
      <c r="Q11" s="8" t="s">
        <v>64</v>
      </c>
      <c r="R11" s="9"/>
      <c r="S11" s="8" t="s">
        <v>65</v>
      </c>
      <c r="T11" s="9"/>
      <c r="U11" s="8" t="s">
        <v>66</v>
      </c>
      <c r="V11" s="9"/>
      <c r="W11" s="10"/>
      <c r="X11" s="11"/>
    </row>
    <row r="12" customFormat="false" ht="15" hidden="false" customHeight="false" outlineLevel="0" collapsed="false">
      <c r="A12" s="6" t="s">
        <v>76</v>
      </c>
      <c r="B12" s="6" t="s">
        <v>55</v>
      </c>
      <c r="C12" s="6" t="s">
        <v>56</v>
      </c>
      <c r="D12" s="6" t="s">
        <v>57</v>
      </c>
      <c r="E12" s="6" t="s">
        <v>68</v>
      </c>
      <c r="F12" s="7" t="n">
        <v>46305</v>
      </c>
      <c r="G12" s="6" t="s">
        <v>77</v>
      </c>
      <c r="H12" s="6" t="s">
        <v>77</v>
      </c>
      <c r="I12" s="6" t="s">
        <v>78</v>
      </c>
      <c r="J12" s="6" t="n">
        <v>60683451549020</v>
      </c>
      <c r="K12" s="6" t="n">
        <v>3</v>
      </c>
      <c r="L12" s="6" t="s">
        <v>71</v>
      </c>
      <c r="M12" s="8" t="s">
        <v>62</v>
      </c>
      <c r="N12" s="9"/>
      <c r="O12" s="8" t="s">
        <v>63</v>
      </c>
      <c r="P12" s="9"/>
      <c r="Q12" s="8" t="s">
        <v>64</v>
      </c>
      <c r="R12" s="9"/>
      <c r="S12" s="8" t="s">
        <v>65</v>
      </c>
      <c r="T12" s="9"/>
      <c r="U12" s="8" t="s">
        <v>66</v>
      </c>
      <c r="V12" s="9"/>
      <c r="W12" s="10"/>
      <c r="X12" s="11"/>
    </row>
    <row r="13" customFormat="false" ht="15" hidden="false" customHeight="false" outlineLevel="0" collapsed="false">
      <c r="A13" s="6" t="s">
        <v>79</v>
      </c>
      <c r="B13" s="6" t="s">
        <v>55</v>
      </c>
      <c r="C13" s="6" t="s">
        <v>56</v>
      </c>
      <c r="D13" s="6" t="s">
        <v>57</v>
      </c>
      <c r="E13" s="6" t="s">
        <v>70</v>
      </c>
      <c r="F13" s="7" t="n">
        <v>46339</v>
      </c>
      <c r="G13" s="6" t="s">
        <v>77</v>
      </c>
      <c r="H13" s="6" t="s">
        <v>77</v>
      </c>
      <c r="I13" s="6" t="s">
        <v>78</v>
      </c>
      <c r="J13" s="6" t="n">
        <v>179432734713592</v>
      </c>
      <c r="K13" s="6" t="n">
        <v>3</v>
      </c>
      <c r="L13" s="6" t="s">
        <v>61</v>
      </c>
      <c r="M13" s="8" t="s">
        <v>62</v>
      </c>
      <c r="N13" s="9"/>
      <c r="O13" s="8" t="s">
        <v>63</v>
      </c>
      <c r="P13" s="9"/>
      <c r="Q13" s="8" t="s">
        <v>64</v>
      </c>
      <c r="R13" s="9"/>
      <c r="S13" s="8" t="s">
        <v>65</v>
      </c>
      <c r="T13" s="9"/>
      <c r="U13" s="8" t="s">
        <v>66</v>
      </c>
      <c r="V13" s="9"/>
      <c r="W13" s="10"/>
      <c r="X13" s="11"/>
    </row>
    <row r="14" customFormat="false" ht="15" hidden="false" customHeight="false" outlineLevel="0" collapsed="false">
      <c r="A14" s="6" t="s">
        <v>80</v>
      </c>
      <c r="B14" s="6" t="s">
        <v>55</v>
      </c>
      <c r="C14" s="6" t="s">
        <v>56</v>
      </c>
      <c r="D14" s="6" t="s">
        <v>57</v>
      </c>
      <c r="E14" s="6" t="s">
        <v>58</v>
      </c>
      <c r="F14" s="7" t="n">
        <v>46097</v>
      </c>
      <c r="G14" s="6" t="s">
        <v>77</v>
      </c>
      <c r="H14" s="6" t="s">
        <v>77</v>
      </c>
      <c r="I14" s="6" t="s">
        <v>78</v>
      </c>
      <c r="J14" s="6" t="n">
        <v>116953416753412</v>
      </c>
      <c r="K14" s="6" t="n">
        <v>3</v>
      </c>
      <c r="L14" s="6" t="s">
        <v>71</v>
      </c>
      <c r="M14" s="8" t="s">
        <v>62</v>
      </c>
      <c r="N14" s="9"/>
      <c r="O14" s="8" t="s">
        <v>63</v>
      </c>
      <c r="P14" s="9"/>
      <c r="Q14" s="8" t="s">
        <v>64</v>
      </c>
      <c r="R14" s="9"/>
      <c r="S14" s="8" t="s">
        <v>65</v>
      </c>
      <c r="T14" s="9"/>
      <c r="U14" s="8" t="s">
        <v>66</v>
      </c>
      <c r="V14" s="9"/>
      <c r="W14" s="10"/>
      <c r="X14" s="11"/>
    </row>
    <row r="15" customFormat="false" ht="15" hidden="false" customHeight="false" outlineLevel="0" collapsed="false">
      <c r="A15" s="6" t="s">
        <v>81</v>
      </c>
      <c r="B15" s="6" t="s">
        <v>55</v>
      </c>
      <c r="C15" s="6" t="s">
        <v>56</v>
      </c>
      <c r="D15" s="6" t="s">
        <v>57</v>
      </c>
      <c r="E15" s="6" t="s">
        <v>68</v>
      </c>
      <c r="F15" s="7" t="n">
        <v>46131</v>
      </c>
      <c r="G15" s="6" t="s">
        <v>77</v>
      </c>
      <c r="H15" s="6" t="s">
        <v>77</v>
      </c>
      <c r="I15" s="6" t="s">
        <v>78</v>
      </c>
      <c r="J15" s="6" t="n">
        <v>117876754669293</v>
      </c>
      <c r="K15" s="6" t="n">
        <v>3</v>
      </c>
      <c r="L15" s="6" t="s">
        <v>61</v>
      </c>
      <c r="M15" s="8" t="s">
        <v>62</v>
      </c>
      <c r="N15" s="9"/>
      <c r="O15" s="8" t="s">
        <v>63</v>
      </c>
      <c r="P15" s="9"/>
      <c r="Q15" s="8" t="s">
        <v>64</v>
      </c>
      <c r="R15" s="9"/>
      <c r="S15" s="8" t="s">
        <v>65</v>
      </c>
      <c r="T15" s="9"/>
      <c r="U15" s="8" t="s">
        <v>66</v>
      </c>
      <c r="V15" s="9"/>
      <c r="W15" s="10"/>
      <c r="X15" s="11"/>
    </row>
    <row r="16" customFormat="false" ht="15" hidden="false" customHeight="false" outlineLevel="0" collapsed="false">
      <c r="A16" s="6" t="s">
        <v>82</v>
      </c>
      <c r="B16" s="6" t="s">
        <v>55</v>
      </c>
      <c r="C16" s="6" t="s">
        <v>56</v>
      </c>
      <c r="D16" s="6" t="s">
        <v>57</v>
      </c>
      <c r="E16" s="6" t="s">
        <v>70</v>
      </c>
      <c r="F16" s="7" t="n">
        <v>46164</v>
      </c>
      <c r="G16" s="6" t="s">
        <v>77</v>
      </c>
      <c r="H16" s="6" t="s">
        <v>77</v>
      </c>
      <c r="I16" s="6" t="s">
        <v>78</v>
      </c>
      <c r="J16" s="6" t="n">
        <v>251634009081825</v>
      </c>
      <c r="K16" s="6" t="n">
        <v>3</v>
      </c>
      <c r="L16" s="6" t="s">
        <v>61</v>
      </c>
      <c r="M16" s="8" t="s">
        <v>62</v>
      </c>
      <c r="N16" s="9"/>
      <c r="O16" s="8" t="s">
        <v>63</v>
      </c>
      <c r="P16" s="9"/>
      <c r="Q16" s="8" t="s">
        <v>64</v>
      </c>
      <c r="R16" s="9"/>
      <c r="S16" s="8" t="s">
        <v>65</v>
      </c>
      <c r="T16" s="9"/>
      <c r="U16" s="8" t="s">
        <v>66</v>
      </c>
      <c r="V16" s="9"/>
      <c r="W16" s="10"/>
      <c r="X16" s="11"/>
    </row>
    <row r="17" customFormat="false" ht="15" hidden="false" customHeight="false" outlineLevel="0" collapsed="false">
      <c r="A17" s="6" t="s">
        <v>83</v>
      </c>
      <c r="B17" s="6" t="s">
        <v>55</v>
      </c>
      <c r="C17" s="6" t="s">
        <v>56</v>
      </c>
      <c r="D17" s="6" t="s">
        <v>57</v>
      </c>
      <c r="E17" s="6" t="s">
        <v>58</v>
      </c>
      <c r="F17" s="7" t="n">
        <v>46198</v>
      </c>
      <c r="G17" s="6" t="s">
        <v>77</v>
      </c>
      <c r="H17" s="6" t="s">
        <v>77</v>
      </c>
      <c r="I17" s="6" t="s">
        <v>78</v>
      </c>
      <c r="J17" s="6" t="n">
        <v>191048075799591</v>
      </c>
      <c r="K17" s="6" t="n">
        <v>3</v>
      </c>
      <c r="L17" s="6" t="s">
        <v>61</v>
      </c>
      <c r="M17" s="8" t="s">
        <v>62</v>
      </c>
      <c r="N17" s="9"/>
      <c r="O17" s="8" t="s">
        <v>63</v>
      </c>
      <c r="P17" s="9"/>
      <c r="Q17" s="8" t="s">
        <v>64</v>
      </c>
      <c r="R17" s="9"/>
      <c r="S17" s="8" t="s">
        <v>65</v>
      </c>
      <c r="T17" s="9"/>
      <c r="U17" s="8" t="s">
        <v>66</v>
      </c>
      <c r="V17" s="9"/>
      <c r="W17" s="10"/>
      <c r="X17" s="11"/>
    </row>
    <row r="18" customFormat="false" ht="15" hidden="false" customHeight="false" outlineLevel="0" collapsed="false">
      <c r="A18" s="6" t="s">
        <v>84</v>
      </c>
      <c r="B18" s="6" t="s">
        <v>55</v>
      </c>
      <c r="C18" s="6" t="s">
        <v>56</v>
      </c>
      <c r="D18" s="6" t="s">
        <v>57</v>
      </c>
      <c r="E18" s="6" t="s">
        <v>68</v>
      </c>
      <c r="F18" s="7" t="n">
        <v>46212</v>
      </c>
      <c r="G18" s="6" t="s">
        <v>77</v>
      </c>
      <c r="H18" s="6" t="s">
        <v>77</v>
      </c>
      <c r="I18" s="6" t="s">
        <v>78</v>
      </c>
      <c r="J18" s="6" t="n">
        <v>6982505896046</v>
      </c>
      <c r="K18" s="6" t="n">
        <v>3</v>
      </c>
      <c r="L18" s="6" t="s">
        <v>71</v>
      </c>
      <c r="M18" s="8" t="s">
        <v>62</v>
      </c>
      <c r="N18" s="9"/>
      <c r="O18" s="8" t="s">
        <v>63</v>
      </c>
      <c r="P18" s="9"/>
      <c r="Q18" s="8" t="s">
        <v>64</v>
      </c>
      <c r="R18" s="9"/>
      <c r="S18" s="8" t="s">
        <v>65</v>
      </c>
      <c r="T18" s="9"/>
      <c r="U18" s="8" t="s">
        <v>66</v>
      </c>
      <c r="V18" s="9"/>
      <c r="W18" s="10"/>
      <c r="X18" s="11"/>
    </row>
    <row r="19" customFormat="false" ht="15" hidden="false" customHeight="false" outlineLevel="0" collapsed="false">
      <c r="A19" s="6" t="s">
        <v>85</v>
      </c>
      <c r="B19" s="6" t="s">
        <v>55</v>
      </c>
      <c r="C19" s="6" t="s">
        <v>56</v>
      </c>
      <c r="D19" s="6" t="s">
        <v>57</v>
      </c>
      <c r="E19" s="6" t="s">
        <v>70</v>
      </c>
      <c r="F19" s="7" t="n">
        <v>46246</v>
      </c>
      <c r="G19" s="6"/>
      <c r="H19" s="6" t="s">
        <v>86</v>
      </c>
      <c r="I19" s="6" t="s">
        <v>87</v>
      </c>
      <c r="J19" s="6" t="n">
        <v>23326490011888</v>
      </c>
      <c r="K19" s="6" t="n">
        <v>3</v>
      </c>
      <c r="L19" s="6" t="s">
        <v>71</v>
      </c>
      <c r="M19" s="8" t="s">
        <v>62</v>
      </c>
      <c r="N19" s="9"/>
      <c r="O19" s="8" t="s">
        <v>63</v>
      </c>
      <c r="P19" s="9"/>
      <c r="Q19" s="8" t="s">
        <v>64</v>
      </c>
      <c r="R19" s="9"/>
      <c r="S19" s="8" t="s">
        <v>65</v>
      </c>
      <c r="T19" s="9"/>
      <c r="U19" s="8" t="s">
        <v>66</v>
      </c>
      <c r="V19" s="9"/>
      <c r="W19" s="10"/>
      <c r="X19" s="11"/>
    </row>
    <row r="20" customFormat="false" ht="15" hidden="false" customHeight="false" outlineLevel="0" collapsed="false">
      <c r="A20" s="6" t="s">
        <v>88</v>
      </c>
      <c r="B20" s="6" t="s">
        <v>55</v>
      </c>
      <c r="C20" s="6" t="s">
        <v>56</v>
      </c>
      <c r="D20" s="6" t="s">
        <v>57</v>
      </c>
      <c r="E20" s="6" t="s">
        <v>58</v>
      </c>
      <c r="F20" s="7" t="n">
        <v>46280</v>
      </c>
      <c r="G20" s="6"/>
      <c r="H20" s="6" t="s">
        <v>86</v>
      </c>
      <c r="I20" s="6" t="s">
        <v>87</v>
      </c>
      <c r="J20" s="6" t="n">
        <v>65602187878132</v>
      </c>
      <c r="K20" s="6" t="n">
        <v>3</v>
      </c>
      <c r="L20" s="6" t="s">
        <v>61</v>
      </c>
      <c r="M20" s="8" t="s">
        <v>62</v>
      </c>
      <c r="N20" s="9"/>
      <c r="O20" s="8" t="s">
        <v>63</v>
      </c>
      <c r="P20" s="9"/>
      <c r="Q20" s="8" t="s">
        <v>64</v>
      </c>
      <c r="R20" s="9"/>
      <c r="S20" s="8" t="s">
        <v>65</v>
      </c>
      <c r="T20" s="9"/>
      <c r="U20" s="8" t="s">
        <v>66</v>
      </c>
      <c r="V20" s="9"/>
      <c r="W20" s="10"/>
      <c r="X20" s="11"/>
    </row>
    <row r="21" customFormat="false" ht="15" hidden="false" customHeight="false" outlineLevel="0" collapsed="false">
      <c r="A21" s="6" t="s">
        <v>89</v>
      </c>
      <c r="B21" s="6" t="s">
        <v>55</v>
      </c>
      <c r="C21" s="6" t="s">
        <v>56</v>
      </c>
      <c r="D21" s="6" t="s">
        <v>57</v>
      </c>
      <c r="E21" s="6" t="s">
        <v>68</v>
      </c>
      <c r="F21" s="7" t="n">
        <v>46313</v>
      </c>
      <c r="G21" s="6"/>
      <c r="H21" s="6" t="s">
        <v>86</v>
      </c>
      <c r="I21" s="6" t="s">
        <v>87</v>
      </c>
      <c r="J21" s="6" t="n">
        <v>63199732920604</v>
      </c>
      <c r="K21" s="6" t="n">
        <v>3</v>
      </c>
      <c r="L21" s="6" t="s">
        <v>71</v>
      </c>
      <c r="M21" s="8" t="s">
        <v>62</v>
      </c>
      <c r="N21" s="9"/>
      <c r="O21" s="8" t="s">
        <v>63</v>
      </c>
      <c r="P21" s="9"/>
      <c r="Q21" s="8" t="s">
        <v>64</v>
      </c>
      <c r="R21" s="9"/>
      <c r="S21" s="8" t="s">
        <v>65</v>
      </c>
      <c r="T21" s="9"/>
      <c r="U21" s="8" t="s">
        <v>66</v>
      </c>
      <c r="V21" s="9"/>
      <c r="W21" s="10"/>
      <c r="X21" s="11"/>
    </row>
    <row r="22" customFormat="false" ht="15" hidden="false" customHeight="false" outlineLevel="0" collapsed="false">
      <c r="A22" s="6" t="s">
        <v>90</v>
      </c>
      <c r="B22" s="6" t="s">
        <v>55</v>
      </c>
      <c r="C22" s="6" t="s">
        <v>56</v>
      </c>
      <c r="D22" s="6" t="s">
        <v>57</v>
      </c>
      <c r="E22" s="6" t="s">
        <v>70</v>
      </c>
      <c r="F22" s="7" t="n">
        <v>46347</v>
      </c>
      <c r="G22" s="6"/>
      <c r="H22" s="6" t="s">
        <v>86</v>
      </c>
      <c r="I22" s="6" t="s">
        <v>87</v>
      </c>
      <c r="J22" s="6" t="n">
        <v>230186501380851</v>
      </c>
      <c r="K22" s="6" t="n">
        <v>3</v>
      </c>
      <c r="L22" s="6" t="s">
        <v>61</v>
      </c>
      <c r="M22" s="8" t="s">
        <v>62</v>
      </c>
      <c r="N22" s="9"/>
      <c r="O22" s="8" t="s">
        <v>63</v>
      </c>
      <c r="P22" s="9"/>
      <c r="Q22" s="8" t="s">
        <v>64</v>
      </c>
      <c r="R22" s="9"/>
      <c r="S22" s="8" t="s">
        <v>65</v>
      </c>
      <c r="T22" s="9"/>
      <c r="U22" s="8" t="s">
        <v>66</v>
      </c>
      <c r="V22" s="9"/>
      <c r="W22" s="10"/>
      <c r="X22" s="11"/>
    </row>
    <row r="23" customFormat="false" ht="15" hidden="false" customHeight="false" outlineLevel="0" collapsed="false">
      <c r="A23" s="6" t="s">
        <v>91</v>
      </c>
      <c r="B23" s="6" t="s">
        <v>55</v>
      </c>
      <c r="C23" s="6" t="s">
        <v>56</v>
      </c>
      <c r="D23" s="6" t="s">
        <v>57</v>
      </c>
      <c r="E23" s="6" t="s">
        <v>58</v>
      </c>
      <c r="F23" s="7" t="n">
        <v>46105</v>
      </c>
      <c r="G23" s="6"/>
      <c r="H23" s="6" t="s">
        <v>86</v>
      </c>
      <c r="I23" s="6" t="s">
        <v>87</v>
      </c>
      <c r="J23" s="6" t="n">
        <v>140500547380156</v>
      </c>
      <c r="K23" s="6" t="n">
        <v>3</v>
      </c>
      <c r="L23" s="6" t="s">
        <v>61</v>
      </c>
      <c r="M23" s="8" t="s">
        <v>62</v>
      </c>
      <c r="N23" s="9"/>
      <c r="O23" s="8" t="s">
        <v>63</v>
      </c>
      <c r="P23" s="9"/>
      <c r="Q23" s="8" t="s">
        <v>64</v>
      </c>
      <c r="R23" s="9"/>
      <c r="S23" s="8" t="s">
        <v>65</v>
      </c>
      <c r="T23" s="9"/>
      <c r="U23" s="8" t="s">
        <v>66</v>
      </c>
      <c r="V23" s="9"/>
      <c r="W23" s="10"/>
      <c r="X23" s="11"/>
    </row>
    <row r="24" customFormat="false" ht="15" hidden="false" customHeight="false" outlineLevel="0" collapsed="false">
      <c r="A24" s="6" t="s">
        <v>92</v>
      </c>
      <c r="B24" s="6" t="s">
        <v>55</v>
      </c>
      <c r="C24" s="6" t="s">
        <v>56</v>
      </c>
      <c r="D24" s="6" t="s">
        <v>57</v>
      </c>
      <c r="E24" s="6" t="s">
        <v>68</v>
      </c>
      <c r="F24" s="7" t="n">
        <v>46120</v>
      </c>
      <c r="G24" s="6"/>
      <c r="H24" s="6" t="s">
        <v>86</v>
      </c>
      <c r="I24" s="6" t="s">
        <v>87</v>
      </c>
      <c r="J24" s="6" t="n">
        <v>19349353598149</v>
      </c>
      <c r="K24" s="6" t="n">
        <v>3</v>
      </c>
      <c r="L24" s="6" t="s">
        <v>71</v>
      </c>
      <c r="M24" s="8" t="s">
        <v>62</v>
      </c>
      <c r="N24" s="9"/>
      <c r="O24" s="8" t="s">
        <v>63</v>
      </c>
      <c r="P24" s="9"/>
      <c r="Q24" s="8" t="s">
        <v>64</v>
      </c>
      <c r="R24" s="9"/>
      <c r="S24" s="8" t="s">
        <v>65</v>
      </c>
      <c r="T24" s="9"/>
      <c r="U24" s="8" t="s">
        <v>66</v>
      </c>
      <c r="V24" s="9"/>
      <c r="W24" s="10"/>
      <c r="X24" s="11"/>
    </row>
    <row r="25" customFormat="false" ht="15" hidden="false" customHeight="false" outlineLevel="0" collapsed="false">
      <c r="A25" s="6" t="s">
        <v>93</v>
      </c>
      <c r="B25" s="6" t="s">
        <v>55</v>
      </c>
      <c r="C25" s="6" t="s">
        <v>56</v>
      </c>
      <c r="D25" s="6" t="s">
        <v>94</v>
      </c>
      <c r="E25" s="6" t="s">
        <v>68</v>
      </c>
      <c r="F25" s="7" t="n">
        <v>46089</v>
      </c>
      <c r="G25" s="6" t="s">
        <v>59</v>
      </c>
      <c r="H25" s="6" t="s">
        <v>59</v>
      </c>
      <c r="I25" s="6" t="s">
        <v>95</v>
      </c>
      <c r="J25" s="6" t="n">
        <v>157474302047150</v>
      </c>
      <c r="K25" s="6" t="n">
        <v>3</v>
      </c>
      <c r="L25" s="6" t="s">
        <v>61</v>
      </c>
      <c r="M25" s="8" t="s">
        <v>62</v>
      </c>
      <c r="N25" s="9"/>
      <c r="O25" s="8" t="s">
        <v>63</v>
      </c>
      <c r="P25" s="9"/>
      <c r="Q25" s="8" t="s">
        <v>64</v>
      </c>
      <c r="R25" s="9"/>
      <c r="S25" s="8" t="s">
        <v>65</v>
      </c>
      <c r="T25" s="9"/>
      <c r="U25" s="8" t="s">
        <v>66</v>
      </c>
      <c r="V25" s="9"/>
      <c r="W25" s="10"/>
      <c r="X25" s="11"/>
    </row>
    <row r="26" customFormat="false" ht="15" hidden="false" customHeight="false" outlineLevel="0" collapsed="false">
      <c r="A26" s="6" t="s">
        <v>96</v>
      </c>
      <c r="B26" s="6" t="s">
        <v>55</v>
      </c>
      <c r="C26" s="6" t="s">
        <v>56</v>
      </c>
      <c r="D26" s="6" t="s">
        <v>94</v>
      </c>
      <c r="E26" s="6" t="s">
        <v>70</v>
      </c>
      <c r="F26" s="7" t="n">
        <v>46123</v>
      </c>
      <c r="G26" s="6" t="s">
        <v>59</v>
      </c>
      <c r="H26" s="6" t="s">
        <v>59</v>
      </c>
      <c r="I26" s="6" t="s">
        <v>95</v>
      </c>
      <c r="J26" s="6" t="n">
        <v>44066583038144</v>
      </c>
      <c r="K26" s="6" t="n">
        <v>3</v>
      </c>
      <c r="L26" s="6" t="s">
        <v>71</v>
      </c>
      <c r="M26" s="8" t="s">
        <v>62</v>
      </c>
      <c r="N26" s="9"/>
      <c r="O26" s="8" t="s">
        <v>63</v>
      </c>
      <c r="P26" s="9"/>
      <c r="Q26" s="8" t="s">
        <v>64</v>
      </c>
      <c r="R26" s="9"/>
      <c r="S26" s="8" t="s">
        <v>65</v>
      </c>
      <c r="T26" s="9"/>
      <c r="U26" s="8" t="s">
        <v>66</v>
      </c>
      <c r="V26" s="9"/>
      <c r="W26" s="10"/>
      <c r="X26" s="11"/>
    </row>
    <row r="27" customFormat="false" ht="15" hidden="false" customHeight="false" outlineLevel="0" collapsed="false">
      <c r="A27" s="6" t="s">
        <v>97</v>
      </c>
      <c r="B27" s="6" t="s">
        <v>55</v>
      </c>
      <c r="C27" s="6" t="s">
        <v>56</v>
      </c>
      <c r="D27" s="6" t="s">
        <v>94</v>
      </c>
      <c r="E27" s="6" t="s">
        <v>58</v>
      </c>
      <c r="F27" s="7" t="n">
        <v>46156</v>
      </c>
      <c r="G27" s="6" t="s">
        <v>59</v>
      </c>
      <c r="H27" s="6" t="s">
        <v>59</v>
      </c>
      <c r="I27" s="6" t="s">
        <v>95</v>
      </c>
      <c r="J27" s="6" t="n">
        <v>1048032117521</v>
      </c>
      <c r="K27" s="6" t="n">
        <v>3</v>
      </c>
      <c r="L27" s="6" t="s">
        <v>71</v>
      </c>
      <c r="M27" s="8" t="s">
        <v>62</v>
      </c>
      <c r="N27" s="9"/>
      <c r="O27" s="8" t="s">
        <v>63</v>
      </c>
      <c r="P27" s="9"/>
      <c r="Q27" s="8" t="s">
        <v>64</v>
      </c>
      <c r="R27" s="9"/>
      <c r="S27" s="8" t="s">
        <v>65</v>
      </c>
      <c r="T27" s="9"/>
      <c r="U27" s="8" t="s">
        <v>66</v>
      </c>
      <c r="V27" s="9"/>
      <c r="W27" s="10"/>
      <c r="X27" s="11"/>
    </row>
    <row r="28" customFormat="false" ht="15" hidden="false" customHeight="false" outlineLevel="0" collapsed="false">
      <c r="A28" s="6" t="s">
        <v>98</v>
      </c>
      <c r="B28" s="6" t="s">
        <v>55</v>
      </c>
      <c r="C28" s="6" t="s">
        <v>56</v>
      </c>
      <c r="D28" s="6" t="s">
        <v>94</v>
      </c>
      <c r="E28" s="6" t="s">
        <v>68</v>
      </c>
      <c r="F28" s="7" t="n">
        <v>46190</v>
      </c>
      <c r="G28" s="6" t="s">
        <v>59</v>
      </c>
      <c r="H28" s="6" t="s">
        <v>59</v>
      </c>
      <c r="I28" s="6" t="s">
        <v>95</v>
      </c>
      <c r="J28" s="6" t="n">
        <v>206898379340112</v>
      </c>
      <c r="K28" s="6" t="n">
        <v>3</v>
      </c>
      <c r="L28" s="6" t="s">
        <v>61</v>
      </c>
      <c r="M28" s="8" t="s">
        <v>62</v>
      </c>
      <c r="N28" s="9"/>
      <c r="O28" s="8" t="s">
        <v>63</v>
      </c>
      <c r="P28" s="9"/>
      <c r="Q28" s="8" t="s">
        <v>64</v>
      </c>
      <c r="R28" s="9"/>
      <c r="S28" s="8" t="s">
        <v>65</v>
      </c>
      <c r="T28" s="9"/>
      <c r="U28" s="8" t="s">
        <v>66</v>
      </c>
      <c r="V28" s="9"/>
      <c r="W28" s="10"/>
      <c r="X28" s="11"/>
    </row>
    <row r="29" customFormat="false" ht="15" hidden="false" customHeight="false" outlineLevel="0" collapsed="false">
      <c r="A29" s="6" t="s">
        <v>99</v>
      </c>
      <c r="B29" s="6" t="s">
        <v>55</v>
      </c>
      <c r="C29" s="6" t="s">
        <v>56</v>
      </c>
      <c r="D29" s="6" t="s">
        <v>94</v>
      </c>
      <c r="E29" s="6" t="s">
        <v>70</v>
      </c>
      <c r="F29" s="7" t="n">
        <v>46223</v>
      </c>
      <c r="G29" s="6" t="s">
        <v>59</v>
      </c>
      <c r="H29" s="6" t="s">
        <v>59</v>
      </c>
      <c r="I29" s="6" t="s">
        <v>95</v>
      </c>
      <c r="J29" s="6" t="n">
        <v>265570218254206</v>
      </c>
      <c r="K29" s="6" t="n">
        <v>3</v>
      </c>
      <c r="L29" s="6" t="s">
        <v>61</v>
      </c>
      <c r="M29" s="8" t="s">
        <v>62</v>
      </c>
      <c r="N29" s="9"/>
      <c r="O29" s="8" t="s">
        <v>63</v>
      </c>
      <c r="P29" s="9"/>
      <c r="Q29" s="8" t="s">
        <v>64</v>
      </c>
      <c r="R29" s="9"/>
      <c r="S29" s="8" t="s">
        <v>65</v>
      </c>
      <c r="T29" s="9"/>
      <c r="U29" s="8" t="s">
        <v>66</v>
      </c>
      <c r="V29" s="9"/>
      <c r="W29" s="10"/>
      <c r="X29" s="11"/>
    </row>
    <row r="30" customFormat="false" ht="15" hidden="false" customHeight="false" outlineLevel="0" collapsed="false">
      <c r="A30" s="6" t="s">
        <v>100</v>
      </c>
      <c r="B30" s="6" t="s">
        <v>55</v>
      </c>
      <c r="C30" s="6" t="s">
        <v>56</v>
      </c>
      <c r="D30" s="6" t="s">
        <v>94</v>
      </c>
      <c r="E30" s="6" t="s">
        <v>58</v>
      </c>
      <c r="F30" s="7" t="n">
        <v>46257</v>
      </c>
      <c r="G30" s="6" t="s">
        <v>59</v>
      </c>
      <c r="H30" s="6" t="s">
        <v>59</v>
      </c>
      <c r="I30" s="6" t="s">
        <v>95</v>
      </c>
      <c r="J30" s="6" t="n">
        <v>149784490824154</v>
      </c>
      <c r="K30" s="6" t="n">
        <v>3</v>
      </c>
      <c r="L30" s="6" t="s">
        <v>61</v>
      </c>
      <c r="M30" s="8" t="s">
        <v>62</v>
      </c>
      <c r="N30" s="9"/>
      <c r="O30" s="8" t="s">
        <v>63</v>
      </c>
      <c r="P30" s="9"/>
      <c r="Q30" s="8" t="s">
        <v>64</v>
      </c>
      <c r="R30" s="9"/>
      <c r="S30" s="8" t="s">
        <v>65</v>
      </c>
      <c r="T30" s="9"/>
      <c r="U30" s="8" t="s">
        <v>66</v>
      </c>
      <c r="V30" s="9"/>
      <c r="W30" s="10"/>
      <c r="X30" s="11"/>
    </row>
    <row r="31" customFormat="false" ht="15" hidden="false" customHeight="false" outlineLevel="0" collapsed="false">
      <c r="A31" s="6" t="s">
        <v>101</v>
      </c>
      <c r="B31" s="6" t="s">
        <v>55</v>
      </c>
      <c r="C31" s="6" t="s">
        <v>56</v>
      </c>
      <c r="D31" s="6" t="s">
        <v>94</v>
      </c>
      <c r="E31" s="6" t="s">
        <v>68</v>
      </c>
      <c r="F31" s="7" t="n">
        <v>46291</v>
      </c>
      <c r="G31" s="6" t="s">
        <v>59</v>
      </c>
      <c r="H31" s="6" t="s">
        <v>59</v>
      </c>
      <c r="I31" s="6" t="s">
        <v>95</v>
      </c>
      <c r="J31" s="6" t="n">
        <v>37910934208828</v>
      </c>
      <c r="K31" s="6" t="n">
        <v>3</v>
      </c>
      <c r="L31" s="6" t="s">
        <v>71</v>
      </c>
      <c r="M31" s="8" t="s">
        <v>62</v>
      </c>
      <c r="N31" s="9"/>
      <c r="O31" s="8" t="s">
        <v>63</v>
      </c>
      <c r="P31" s="9"/>
      <c r="Q31" s="8" t="s">
        <v>64</v>
      </c>
      <c r="R31" s="9"/>
      <c r="S31" s="8" t="s">
        <v>65</v>
      </c>
      <c r="T31" s="9"/>
      <c r="U31" s="8" t="s">
        <v>66</v>
      </c>
      <c r="V31" s="9"/>
      <c r="W31" s="10"/>
      <c r="X31" s="11"/>
    </row>
    <row r="32" customFormat="false" ht="15" hidden="false" customHeight="false" outlineLevel="0" collapsed="false">
      <c r="A32" s="6" t="s">
        <v>102</v>
      </c>
      <c r="B32" s="6" t="s">
        <v>55</v>
      </c>
      <c r="C32" s="6" t="s">
        <v>56</v>
      </c>
      <c r="D32" s="6" t="s">
        <v>94</v>
      </c>
      <c r="E32" s="6" t="s">
        <v>70</v>
      </c>
      <c r="F32" s="7" t="n">
        <v>46305</v>
      </c>
      <c r="G32" s="6" t="s">
        <v>77</v>
      </c>
      <c r="H32" s="6" t="s">
        <v>77</v>
      </c>
      <c r="I32" s="6" t="s">
        <v>103</v>
      </c>
      <c r="J32" s="6" t="n">
        <v>97349107930778</v>
      </c>
      <c r="K32" s="6" t="n">
        <v>4</v>
      </c>
      <c r="L32" s="6" t="s">
        <v>71</v>
      </c>
      <c r="M32" s="8" t="s">
        <v>62</v>
      </c>
      <c r="N32" s="9"/>
      <c r="O32" s="8" t="s">
        <v>63</v>
      </c>
      <c r="P32" s="9"/>
      <c r="Q32" s="8" t="s">
        <v>64</v>
      </c>
      <c r="R32" s="9"/>
      <c r="S32" s="8" t="s">
        <v>65</v>
      </c>
      <c r="T32" s="9"/>
      <c r="U32" s="8" t="s">
        <v>66</v>
      </c>
      <c r="V32" s="9"/>
      <c r="W32" s="10"/>
      <c r="X32" s="11"/>
    </row>
    <row r="33" customFormat="false" ht="15" hidden="false" customHeight="false" outlineLevel="0" collapsed="false">
      <c r="A33" s="6" t="s">
        <v>104</v>
      </c>
      <c r="B33" s="6" t="s">
        <v>55</v>
      </c>
      <c r="C33" s="6" t="s">
        <v>56</v>
      </c>
      <c r="D33" s="6" t="s">
        <v>94</v>
      </c>
      <c r="E33" s="6" t="s">
        <v>58</v>
      </c>
      <c r="F33" s="7" t="n">
        <v>46339</v>
      </c>
      <c r="G33" s="6" t="s">
        <v>77</v>
      </c>
      <c r="H33" s="6" t="s">
        <v>77</v>
      </c>
      <c r="I33" s="6" t="s">
        <v>103</v>
      </c>
      <c r="J33" s="6" t="n">
        <v>247155986992263</v>
      </c>
      <c r="K33" s="6" t="n">
        <v>4</v>
      </c>
      <c r="L33" s="6" t="s">
        <v>61</v>
      </c>
      <c r="M33" s="8" t="s">
        <v>62</v>
      </c>
      <c r="N33" s="9"/>
      <c r="O33" s="8" t="s">
        <v>63</v>
      </c>
      <c r="P33" s="9"/>
      <c r="Q33" s="8" t="s">
        <v>64</v>
      </c>
      <c r="R33" s="9"/>
      <c r="S33" s="8" t="s">
        <v>65</v>
      </c>
      <c r="T33" s="9"/>
      <c r="U33" s="8" t="s">
        <v>66</v>
      </c>
      <c r="V33" s="9"/>
      <c r="W33" s="10"/>
      <c r="X33" s="11"/>
    </row>
    <row r="34" customFormat="false" ht="15" hidden="false" customHeight="false" outlineLevel="0" collapsed="false">
      <c r="A34" s="6" t="s">
        <v>105</v>
      </c>
      <c r="B34" s="6" t="s">
        <v>55</v>
      </c>
      <c r="C34" s="6" t="s">
        <v>56</v>
      </c>
      <c r="D34" s="6" t="s">
        <v>94</v>
      </c>
      <c r="E34" s="6" t="s">
        <v>68</v>
      </c>
      <c r="F34" s="7" t="n">
        <v>46097</v>
      </c>
      <c r="G34" s="6" t="s">
        <v>77</v>
      </c>
      <c r="H34" s="6" t="s">
        <v>77</v>
      </c>
      <c r="I34" s="6" t="s">
        <v>103</v>
      </c>
      <c r="J34" s="6" t="n">
        <v>48867755265748</v>
      </c>
      <c r="K34" s="6" t="n">
        <v>4</v>
      </c>
      <c r="L34" s="6" t="s">
        <v>71</v>
      </c>
      <c r="M34" s="8" t="s">
        <v>62</v>
      </c>
      <c r="N34" s="9"/>
      <c r="O34" s="8" t="s">
        <v>63</v>
      </c>
      <c r="P34" s="9"/>
      <c r="Q34" s="8" t="s">
        <v>64</v>
      </c>
      <c r="R34" s="9"/>
      <c r="S34" s="8" t="s">
        <v>65</v>
      </c>
      <c r="T34" s="9"/>
      <c r="U34" s="8" t="s">
        <v>66</v>
      </c>
      <c r="V34" s="9"/>
      <c r="W34" s="10"/>
      <c r="X34" s="11"/>
    </row>
    <row r="35" customFormat="false" ht="15" hidden="false" customHeight="false" outlineLevel="0" collapsed="false">
      <c r="A35" s="6" t="s">
        <v>106</v>
      </c>
      <c r="B35" s="6" t="s">
        <v>55</v>
      </c>
      <c r="C35" s="6" t="s">
        <v>56</v>
      </c>
      <c r="D35" s="6" t="s">
        <v>94</v>
      </c>
      <c r="E35" s="6" t="s">
        <v>70</v>
      </c>
      <c r="F35" s="7" t="n">
        <v>46131</v>
      </c>
      <c r="G35" s="6" t="s">
        <v>77</v>
      </c>
      <c r="H35" s="6" t="s">
        <v>77</v>
      </c>
      <c r="I35" s="6" t="s">
        <v>103</v>
      </c>
      <c r="J35" s="6" t="n">
        <v>218441575224777</v>
      </c>
      <c r="K35" s="6" t="n">
        <v>4</v>
      </c>
      <c r="L35" s="6" t="s">
        <v>61</v>
      </c>
      <c r="M35" s="8" t="s">
        <v>62</v>
      </c>
      <c r="N35" s="9"/>
      <c r="O35" s="8" t="s">
        <v>63</v>
      </c>
      <c r="P35" s="9"/>
      <c r="Q35" s="8" t="s">
        <v>64</v>
      </c>
      <c r="R35" s="9"/>
      <c r="S35" s="8" t="s">
        <v>65</v>
      </c>
      <c r="T35" s="9"/>
      <c r="U35" s="8" t="s">
        <v>66</v>
      </c>
      <c r="V35" s="9"/>
      <c r="W35" s="10"/>
      <c r="X35" s="11"/>
    </row>
    <row r="36" customFormat="false" ht="15" hidden="false" customHeight="false" outlineLevel="0" collapsed="false">
      <c r="A36" s="6" t="s">
        <v>107</v>
      </c>
      <c r="B36" s="6" t="s">
        <v>55</v>
      </c>
      <c r="C36" s="6" t="s">
        <v>56</v>
      </c>
      <c r="D36" s="6" t="s">
        <v>94</v>
      </c>
      <c r="E36" s="6" t="s">
        <v>58</v>
      </c>
      <c r="F36" s="7" t="n">
        <v>46164</v>
      </c>
      <c r="G36" s="6" t="s">
        <v>77</v>
      </c>
      <c r="H36" s="6" t="s">
        <v>77</v>
      </c>
      <c r="I36" s="6" t="s">
        <v>103</v>
      </c>
      <c r="J36" s="6" t="n">
        <v>17857276304710</v>
      </c>
      <c r="K36" s="6" t="n">
        <v>4</v>
      </c>
      <c r="L36" s="6" t="s">
        <v>71</v>
      </c>
      <c r="M36" s="8" t="s">
        <v>62</v>
      </c>
      <c r="N36" s="9"/>
      <c r="O36" s="8" t="s">
        <v>63</v>
      </c>
      <c r="P36" s="9"/>
      <c r="Q36" s="8" t="s">
        <v>64</v>
      </c>
      <c r="R36" s="9"/>
      <c r="S36" s="8" t="s">
        <v>65</v>
      </c>
      <c r="T36" s="9"/>
      <c r="U36" s="8" t="s">
        <v>66</v>
      </c>
      <c r="V36" s="9"/>
      <c r="W36" s="10"/>
      <c r="X36" s="11"/>
    </row>
    <row r="37" customFormat="false" ht="15" hidden="false" customHeight="false" outlineLevel="0" collapsed="false">
      <c r="A37" s="6" t="s">
        <v>108</v>
      </c>
      <c r="B37" s="6" t="s">
        <v>55</v>
      </c>
      <c r="C37" s="6" t="s">
        <v>56</v>
      </c>
      <c r="D37" s="6" t="s">
        <v>94</v>
      </c>
      <c r="E37" s="6" t="s">
        <v>68</v>
      </c>
      <c r="F37" s="7" t="n">
        <v>46198</v>
      </c>
      <c r="G37" s="6" t="s">
        <v>77</v>
      </c>
      <c r="H37" s="6" t="s">
        <v>77</v>
      </c>
      <c r="I37" s="6" t="s">
        <v>103</v>
      </c>
      <c r="J37" s="6" t="n">
        <v>114486411474471</v>
      </c>
      <c r="K37" s="6" t="n">
        <v>4</v>
      </c>
      <c r="L37" s="6" t="s">
        <v>71</v>
      </c>
      <c r="M37" s="8" t="s">
        <v>62</v>
      </c>
      <c r="N37" s="9"/>
      <c r="O37" s="8" t="s">
        <v>63</v>
      </c>
      <c r="P37" s="9"/>
      <c r="Q37" s="8" t="s">
        <v>64</v>
      </c>
      <c r="R37" s="9"/>
      <c r="S37" s="8" t="s">
        <v>65</v>
      </c>
      <c r="T37" s="9"/>
      <c r="U37" s="8" t="s">
        <v>66</v>
      </c>
      <c r="V37" s="9"/>
      <c r="W37" s="10"/>
      <c r="X37" s="11"/>
    </row>
    <row r="38" customFormat="false" ht="15" hidden="false" customHeight="false" outlineLevel="0" collapsed="false">
      <c r="A38" s="6" t="s">
        <v>109</v>
      </c>
      <c r="B38" s="6" t="s">
        <v>55</v>
      </c>
      <c r="C38" s="6" t="s">
        <v>56</v>
      </c>
      <c r="D38" s="6" t="s">
        <v>94</v>
      </c>
      <c r="E38" s="6" t="s">
        <v>70</v>
      </c>
      <c r="F38" s="7" t="n">
        <v>46212</v>
      </c>
      <c r="G38" s="6" t="s">
        <v>77</v>
      </c>
      <c r="H38" s="6" t="s">
        <v>77</v>
      </c>
      <c r="I38" s="6" t="s">
        <v>103</v>
      </c>
      <c r="J38" s="6" t="n">
        <v>245196134462137</v>
      </c>
      <c r="K38" s="6" t="n">
        <v>4</v>
      </c>
      <c r="L38" s="6" t="s">
        <v>61</v>
      </c>
      <c r="M38" s="8" t="s">
        <v>62</v>
      </c>
      <c r="N38" s="9"/>
      <c r="O38" s="8" t="s">
        <v>63</v>
      </c>
      <c r="P38" s="9"/>
      <c r="Q38" s="8" t="s">
        <v>64</v>
      </c>
      <c r="R38" s="9"/>
      <c r="S38" s="8" t="s">
        <v>65</v>
      </c>
      <c r="T38" s="9"/>
      <c r="U38" s="8" t="s">
        <v>66</v>
      </c>
      <c r="V38" s="9"/>
      <c r="W38" s="10"/>
      <c r="X38" s="11"/>
    </row>
    <row r="39" customFormat="false" ht="15" hidden="false" customHeight="false" outlineLevel="0" collapsed="false">
      <c r="A39" s="6" t="s">
        <v>110</v>
      </c>
      <c r="B39" s="6" t="s">
        <v>55</v>
      </c>
      <c r="C39" s="6" t="s">
        <v>56</v>
      </c>
      <c r="D39" s="6" t="s">
        <v>94</v>
      </c>
      <c r="E39" s="6" t="s">
        <v>58</v>
      </c>
      <c r="F39" s="7" t="n">
        <v>46246</v>
      </c>
      <c r="G39" s="6"/>
      <c r="H39" s="6" t="s">
        <v>86</v>
      </c>
      <c r="I39" s="6" t="s">
        <v>111</v>
      </c>
      <c r="J39" s="6" t="n">
        <v>203145074727104</v>
      </c>
      <c r="K39" s="6" t="n">
        <v>3</v>
      </c>
      <c r="L39" s="6" t="s">
        <v>61</v>
      </c>
      <c r="M39" s="8" t="s">
        <v>62</v>
      </c>
      <c r="N39" s="9"/>
      <c r="O39" s="8" t="s">
        <v>63</v>
      </c>
      <c r="P39" s="9"/>
      <c r="Q39" s="8" t="s">
        <v>64</v>
      </c>
      <c r="R39" s="9"/>
      <c r="S39" s="8" t="s">
        <v>65</v>
      </c>
      <c r="T39" s="9"/>
      <c r="U39" s="8" t="s">
        <v>66</v>
      </c>
      <c r="V39" s="9"/>
      <c r="W39" s="10"/>
      <c r="X39" s="11"/>
    </row>
    <row r="40" customFormat="false" ht="15" hidden="false" customHeight="false" outlineLevel="0" collapsed="false">
      <c r="A40" s="6" t="s">
        <v>112</v>
      </c>
      <c r="B40" s="6" t="s">
        <v>55</v>
      </c>
      <c r="C40" s="6" t="s">
        <v>56</v>
      </c>
      <c r="D40" s="6" t="s">
        <v>94</v>
      </c>
      <c r="E40" s="6" t="s">
        <v>68</v>
      </c>
      <c r="F40" s="7" t="n">
        <v>46280</v>
      </c>
      <c r="G40" s="6"/>
      <c r="H40" s="6" t="s">
        <v>86</v>
      </c>
      <c r="I40" s="6" t="s">
        <v>111</v>
      </c>
      <c r="J40" s="6" t="n">
        <v>94216147081047</v>
      </c>
      <c r="K40" s="6" t="n">
        <v>3</v>
      </c>
      <c r="L40" s="6" t="s">
        <v>71</v>
      </c>
      <c r="M40" s="8" t="s">
        <v>62</v>
      </c>
      <c r="N40" s="9"/>
      <c r="O40" s="8" t="s">
        <v>63</v>
      </c>
      <c r="P40" s="9"/>
      <c r="Q40" s="8" t="s">
        <v>64</v>
      </c>
      <c r="R40" s="9"/>
      <c r="S40" s="8" t="s">
        <v>65</v>
      </c>
      <c r="T40" s="9"/>
      <c r="U40" s="8" t="s">
        <v>66</v>
      </c>
      <c r="V40" s="9"/>
      <c r="W40" s="10"/>
      <c r="X40" s="11"/>
    </row>
    <row r="41" customFormat="false" ht="15" hidden="false" customHeight="false" outlineLevel="0" collapsed="false">
      <c r="A41" s="6" t="s">
        <v>113</v>
      </c>
      <c r="B41" s="6" t="s">
        <v>55</v>
      </c>
      <c r="C41" s="6" t="s">
        <v>56</v>
      </c>
      <c r="D41" s="6" t="s">
        <v>94</v>
      </c>
      <c r="E41" s="6" t="s">
        <v>70</v>
      </c>
      <c r="F41" s="7" t="n">
        <v>46313</v>
      </c>
      <c r="G41" s="6"/>
      <c r="H41" s="6" t="s">
        <v>86</v>
      </c>
      <c r="I41" s="6" t="s">
        <v>111</v>
      </c>
      <c r="J41" s="6" t="n">
        <v>22603268160579</v>
      </c>
      <c r="K41" s="6" t="n">
        <v>3</v>
      </c>
      <c r="L41" s="6" t="s">
        <v>71</v>
      </c>
      <c r="M41" s="8" t="s">
        <v>62</v>
      </c>
      <c r="N41" s="9"/>
      <c r="O41" s="8" t="s">
        <v>63</v>
      </c>
      <c r="P41" s="9"/>
      <c r="Q41" s="8" t="s">
        <v>64</v>
      </c>
      <c r="R41" s="9"/>
      <c r="S41" s="8" t="s">
        <v>65</v>
      </c>
      <c r="T41" s="9"/>
      <c r="U41" s="8" t="s">
        <v>66</v>
      </c>
      <c r="V41" s="9"/>
      <c r="W41" s="10"/>
      <c r="X41" s="11"/>
    </row>
    <row r="42" customFormat="false" ht="15" hidden="false" customHeight="false" outlineLevel="0" collapsed="false">
      <c r="A42" s="6" t="s">
        <v>114</v>
      </c>
      <c r="B42" s="6" t="s">
        <v>55</v>
      </c>
      <c r="C42" s="6" t="s">
        <v>56</v>
      </c>
      <c r="D42" s="6" t="s">
        <v>94</v>
      </c>
      <c r="E42" s="6" t="s">
        <v>58</v>
      </c>
      <c r="F42" s="7" t="n">
        <v>46347</v>
      </c>
      <c r="G42" s="6"/>
      <c r="H42" s="6" t="s">
        <v>86</v>
      </c>
      <c r="I42" s="6" t="s">
        <v>111</v>
      </c>
      <c r="J42" s="6" t="n">
        <v>190126255005578</v>
      </c>
      <c r="K42" s="6" t="n">
        <v>3</v>
      </c>
      <c r="L42" s="6" t="s">
        <v>61</v>
      </c>
      <c r="M42" s="8" t="s">
        <v>62</v>
      </c>
      <c r="N42" s="9"/>
      <c r="O42" s="8" t="s">
        <v>63</v>
      </c>
      <c r="P42" s="9"/>
      <c r="Q42" s="8" t="s">
        <v>64</v>
      </c>
      <c r="R42" s="9"/>
      <c r="S42" s="8" t="s">
        <v>65</v>
      </c>
      <c r="T42" s="9"/>
      <c r="U42" s="8" t="s">
        <v>66</v>
      </c>
      <c r="V42" s="9"/>
      <c r="W42" s="10"/>
      <c r="X42" s="11"/>
    </row>
    <row r="43" customFormat="false" ht="15" hidden="false" customHeight="false" outlineLevel="0" collapsed="false">
      <c r="A43" s="6" t="s">
        <v>115</v>
      </c>
      <c r="B43" s="6" t="s">
        <v>55</v>
      </c>
      <c r="C43" s="6" t="s">
        <v>56</v>
      </c>
      <c r="D43" s="6" t="s">
        <v>94</v>
      </c>
      <c r="E43" s="6" t="s">
        <v>68</v>
      </c>
      <c r="F43" s="7" t="n">
        <v>46105</v>
      </c>
      <c r="G43" s="6"/>
      <c r="H43" s="6" t="s">
        <v>86</v>
      </c>
      <c r="I43" s="6" t="s">
        <v>111</v>
      </c>
      <c r="J43" s="6" t="n">
        <v>88836480069598</v>
      </c>
      <c r="K43" s="6" t="n">
        <v>3</v>
      </c>
      <c r="L43" s="6" t="s">
        <v>71</v>
      </c>
      <c r="M43" s="8" t="s">
        <v>62</v>
      </c>
      <c r="N43" s="9"/>
      <c r="O43" s="8" t="s">
        <v>63</v>
      </c>
      <c r="P43" s="9"/>
      <c r="Q43" s="8" t="s">
        <v>64</v>
      </c>
      <c r="R43" s="9"/>
      <c r="S43" s="8" t="s">
        <v>65</v>
      </c>
      <c r="T43" s="9"/>
      <c r="U43" s="8" t="s">
        <v>66</v>
      </c>
      <c r="V43" s="9"/>
      <c r="W43" s="10"/>
      <c r="X43" s="11"/>
    </row>
    <row r="44" customFormat="false" ht="15" hidden="false" customHeight="false" outlineLevel="0" collapsed="false">
      <c r="A44" s="6" t="s">
        <v>116</v>
      </c>
      <c r="B44" s="6" t="s">
        <v>55</v>
      </c>
      <c r="C44" s="6" t="s">
        <v>56</v>
      </c>
      <c r="D44" s="6" t="s">
        <v>94</v>
      </c>
      <c r="E44" s="6" t="s">
        <v>70</v>
      </c>
      <c r="F44" s="7" t="n">
        <v>46120</v>
      </c>
      <c r="G44" s="6"/>
      <c r="H44" s="6" t="s">
        <v>86</v>
      </c>
      <c r="I44" s="6" t="s">
        <v>111</v>
      </c>
      <c r="J44" s="6" t="n">
        <v>168852981601719</v>
      </c>
      <c r="K44" s="6" t="n">
        <v>3</v>
      </c>
      <c r="L44" s="6" t="s">
        <v>61</v>
      </c>
      <c r="M44" s="8" t="s">
        <v>62</v>
      </c>
      <c r="N44" s="9"/>
      <c r="O44" s="8" t="s">
        <v>63</v>
      </c>
      <c r="P44" s="9"/>
      <c r="Q44" s="8" t="s">
        <v>64</v>
      </c>
      <c r="R44" s="9"/>
      <c r="S44" s="8" t="s">
        <v>65</v>
      </c>
      <c r="T44" s="9"/>
      <c r="U44" s="8" t="s">
        <v>66</v>
      </c>
      <c r="V44" s="9"/>
      <c r="W44" s="10"/>
      <c r="X44" s="11"/>
    </row>
    <row r="45" customFormat="false" ht="15" hidden="false" customHeight="false" outlineLevel="0" collapsed="false">
      <c r="A45" s="6" t="s">
        <v>117</v>
      </c>
      <c r="B45" s="6" t="s">
        <v>55</v>
      </c>
      <c r="C45" s="6" t="s">
        <v>56</v>
      </c>
      <c r="D45" s="6" t="s">
        <v>118</v>
      </c>
      <c r="E45" s="6" t="s">
        <v>70</v>
      </c>
      <c r="F45" s="7" t="n">
        <v>46089</v>
      </c>
      <c r="G45" s="6" t="s">
        <v>59</v>
      </c>
      <c r="H45" s="6" t="s">
        <v>59</v>
      </c>
      <c r="I45" s="6" t="s">
        <v>119</v>
      </c>
      <c r="J45" s="6" t="n">
        <v>46702423834866</v>
      </c>
      <c r="K45" s="6" t="n">
        <v>3</v>
      </c>
      <c r="L45" s="6" t="s">
        <v>71</v>
      </c>
      <c r="M45" s="8" t="s">
        <v>62</v>
      </c>
      <c r="N45" s="9"/>
      <c r="O45" s="8" t="s">
        <v>63</v>
      </c>
      <c r="P45" s="9"/>
      <c r="Q45" s="8" t="s">
        <v>64</v>
      </c>
      <c r="R45" s="9"/>
      <c r="S45" s="8" t="s">
        <v>65</v>
      </c>
      <c r="T45" s="9"/>
      <c r="U45" s="8" t="s">
        <v>66</v>
      </c>
      <c r="V45" s="9"/>
      <c r="W45" s="10"/>
      <c r="X45" s="11"/>
    </row>
    <row r="46" customFormat="false" ht="15" hidden="false" customHeight="false" outlineLevel="0" collapsed="false">
      <c r="A46" s="6" t="s">
        <v>120</v>
      </c>
      <c r="B46" s="6" t="s">
        <v>55</v>
      </c>
      <c r="C46" s="6" t="s">
        <v>56</v>
      </c>
      <c r="D46" s="6" t="s">
        <v>118</v>
      </c>
      <c r="E46" s="6" t="s">
        <v>58</v>
      </c>
      <c r="F46" s="7" t="n">
        <v>46123</v>
      </c>
      <c r="G46" s="6" t="s">
        <v>59</v>
      </c>
      <c r="H46" s="6" t="s">
        <v>59</v>
      </c>
      <c r="I46" s="6" t="s">
        <v>119</v>
      </c>
      <c r="J46" s="6" t="n">
        <v>177268809934988</v>
      </c>
      <c r="K46" s="6" t="n">
        <v>3</v>
      </c>
      <c r="L46" s="6" t="s">
        <v>61</v>
      </c>
      <c r="M46" s="8" t="s">
        <v>62</v>
      </c>
      <c r="N46" s="9"/>
      <c r="O46" s="8" t="s">
        <v>63</v>
      </c>
      <c r="P46" s="9"/>
      <c r="Q46" s="8" t="s">
        <v>64</v>
      </c>
      <c r="R46" s="9"/>
      <c r="S46" s="8" t="s">
        <v>65</v>
      </c>
      <c r="T46" s="9"/>
      <c r="U46" s="8" t="s">
        <v>66</v>
      </c>
      <c r="V46" s="9"/>
      <c r="W46" s="10"/>
      <c r="X46" s="11"/>
    </row>
    <row r="47" customFormat="false" ht="15" hidden="false" customHeight="false" outlineLevel="0" collapsed="false">
      <c r="A47" s="6" t="s">
        <v>121</v>
      </c>
      <c r="B47" s="6" t="s">
        <v>55</v>
      </c>
      <c r="C47" s="6" t="s">
        <v>56</v>
      </c>
      <c r="D47" s="6" t="s">
        <v>118</v>
      </c>
      <c r="E47" s="6" t="s">
        <v>68</v>
      </c>
      <c r="F47" s="7" t="n">
        <v>46156</v>
      </c>
      <c r="G47" s="6" t="s">
        <v>59</v>
      </c>
      <c r="H47" s="6" t="s">
        <v>59</v>
      </c>
      <c r="I47" s="6" t="s">
        <v>119</v>
      </c>
      <c r="J47" s="6" t="n">
        <v>14077069965488</v>
      </c>
      <c r="K47" s="6" t="n">
        <v>3</v>
      </c>
      <c r="L47" s="6" t="s">
        <v>71</v>
      </c>
      <c r="M47" s="8" t="s">
        <v>62</v>
      </c>
      <c r="N47" s="9"/>
      <c r="O47" s="8" t="s">
        <v>63</v>
      </c>
      <c r="P47" s="9"/>
      <c r="Q47" s="8" t="s">
        <v>64</v>
      </c>
      <c r="R47" s="9"/>
      <c r="S47" s="8" t="s">
        <v>65</v>
      </c>
      <c r="T47" s="9"/>
      <c r="U47" s="8" t="s">
        <v>66</v>
      </c>
      <c r="V47" s="9"/>
      <c r="W47" s="10"/>
      <c r="X47" s="11"/>
    </row>
    <row r="48" customFormat="false" ht="15" hidden="false" customHeight="false" outlineLevel="0" collapsed="false">
      <c r="A48" s="6" t="s">
        <v>122</v>
      </c>
      <c r="B48" s="6" t="s">
        <v>55</v>
      </c>
      <c r="C48" s="6" t="s">
        <v>56</v>
      </c>
      <c r="D48" s="6" t="s">
        <v>118</v>
      </c>
      <c r="E48" s="6" t="s">
        <v>70</v>
      </c>
      <c r="F48" s="7" t="n">
        <v>46190</v>
      </c>
      <c r="G48" s="6" t="s">
        <v>59</v>
      </c>
      <c r="H48" s="6" t="s">
        <v>59</v>
      </c>
      <c r="I48" s="6" t="s">
        <v>119</v>
      </c>
      <c r="J48" s="6" t="n">
        <v>250131995406328</v>
      </c>
      <c r="K48" s="6" t="n">
        <v>3</v>
      </c>
      <c r="L48" s="6" t="s">
        <v>61</v>
      </c>
      <c r="M48" s="8" t="s">
        <v>62</v>
      </c>
      <c r="N48" s="9"/>
      <c r="O48" s="8" t="s">
        <v>63</v>
      </c>
      <c r="P48" s="9"/>
      <c r="Q48" s="8" t="s">
        <v>64</v>
      </c>
      <c r="R48" s="9"/>
      <c r="S48" s="8" t="s">
        <v>65</v>
      </c>
      <c r="T48" s="9"/>
      <c r="U48" s="8" t="s">
        <v>66</v>
      </c>
      <c r="V48" s="9"/>
      <c r="W48" s="10"/>
      <c r="X48" s="11"/>
    </row>
    <row r="49" customFormat="false" ht="15" hidden="false" customHeight="false" outlineLevel="0" collapsed="false">
      <c r="A49" s="6" t="s">
        <v>123</v>
      </c>
      <c r="B49" s="6" t="s">
        <v>55</v>
      </c>
      <c r="C49" s="6" t="s">
        <v>56</v>
      </c>
      <c r="D49" s="6" t="s">
        <v>118</v>
      </c>
      <c r="E49" s="6" t="s">
        <v>58</v>
      </c>
      <c r="F49" s="7" t="n">
        <v>46223</v>
      </c>
      <c r="G49" s="6" t="s">
        <v>59</v>
      </c>
      <c r="H49" s="6" t="s">
        <v>59</v>
      </c>
      <c r="I49" s="6" t="s">
        <v>119</v>
      </c>
      <c r="J49" s="6" t="n">
        <v>140083833596702</v>
      </c>
      <c r="K49" s="6" t="n">
        <v>3</v>
      </c>
      <c r="L49" s="6" t="s">
        <v>61</v>
      </c>
      <c r="M49" s="8" t="s">
        <v>62</v>
      </c>
      <c r="N49" s="9"/>
      <c r="O49" s="8" t="s">
        <v>63</v>
      </c>
      <c r="P49" s="9"/>
      <c r="Q49" s="8" t="s">
        <v>64</v>
      </c>
      <c r="R49" s="9"/>
      <c r="S49" s="8" t="s">
        <v>65</v>
      </c>
      <c r="T49" s="9"/>
      <c r="U49" s="8" t="s">
        <v>66</v>
      </c>
      <c r="V49" s="9"/>
      <c r="W49" s="10"/>
      <c r="X49" s="11"/>
    </row>
    <row r="50" customFormat="false" ht="15" hidden="false" customHeight="false" outlineLevel="0" collapsed="false">
      <c r="A50" s="6" t="s">
        <v>124</v>
      </c>
      <c r="B50" s="6" t="s">
        <v>55</v>
      </c>
      <c r="C50" s="6" t="s">
        <v>56</v>
      </c>
      <c r="D50" s="6" t="s">
        <v>118</v>
      </c>
      <c r="E50" s="6" t="s">
        <v>68</v>
      </c>
      <c r="F50" s="7" t="n">
        <v>46257</v>
      </c>
      <c r="G50" s="6" t="s">
        <v>59</v>
      </c>
      <c r="H50" s="6" t="s">
        <v>59</v>
      </c>
      <c r="I50" s="6" t="s">
        <v>119</v>
      </c>
      <c r="J50" s="6" t="n">
        <v>66353400255363</v>
      </c>
      <c r="K50" s="6" t="n">
        <v>3</v>
      </c>
      <c r="L50" s="6" t="s">
        <v>61</v>
      </c>
      <c r="M50" s="8" t="s">
        <v>62</v>
      </c>
      <c r="N50" s="9"/>
      <c r="O50" s="8" t="s">
        <v>63</v>
      </c>
      <c r="P50" s="9"/>
      <c r="Q50" s="8" t="s">
        <v>64</v>
      </c>
      <c r="R50" s="9"/>
      <c r="S50" s="8" t="s">
        <v>65</v>
      </c>
      <c r="T50" s="9"/>
      <c r="U50" s="8" t="s">
        <v>66</v>
      </c>
      <c r="V50" s="9"/>
      <c r="W50" s="10"/>
      <c r="X50" s="11"/>
    </row>
    <row r="51" customFormat="false" ht="15" hidden="false" customHeight="false" outlineLevel="0" collapsed="false">
      <c r="A51" s="6" t="s">
        <v>125</v>
      </c>
      <c r="B51" s="6" t="s">
        <v>55</v>
      </c>
      <c r="C51" s="6" t="s">
        <v>56</v>
      </c>
      <c r="D51" s="6" t="s">
        <v>118</v>
      </c>
      <c r="E51" s="6" t="s">
        <v>70</v>
      </c>
      <c r="F51" s="7" t="n">
        <v>46291</v>
      </c>
      <c r="G51" s="6" t="s">
        <v>59</v>
      </c>
      <c r="H51" s="6" t="s">
        <v>59</v>
      </c>
      <c r="I51" s="6" t="s">
        <v>119</v>
      </c>
      <c r="J51" s="6" t="n">
        <v>42806420762908</v>
      </c>
      <c r="K51" s="6" t="n">
        <v>3</v>
      </c>
      <c r="L51" s="6" t="s">
        <v>71</v>
      </c>
      <c r="M51" s="8" t="s">
        <v>62</v>
      </c>
      <c r="N51" s="9"/>
      <c r="O51" s="8" t="s">
        <v>63</v>
      </c>
      <c r="P51" s="9"/>
      <c r="Q51" s="8" t="s">
        <v>64</v>
      </c>
      <c r="R51" s="9"/>
      <c r="S51" s="8" t="s">
        <v>65</v>
      </c>
      <c r="T51" s="9"/>
      <c r="U51" s="8" t="s">
        <v>66</v>
      </c>
      <c r="V51" s="9"/>
      <c r="W51" s="10"/>
      <c r="X51" s="11"/>
    </row>
    <row r="52" customFormat="false" ht="15" hidden="false" customHeight="false" outlineLevel="0" collapsed="false">
      <c r="A52" s="6" t="s">
        <v>126</v>
      </c>
      <c r="B52" s="6" t="s">
        <v>55</v>
      </c>
      <c r="C52" s="6" t="s">
        <v>56</v>
      </c>
      <c r="D52" s="6" t="s">
        <v>118</v>
      </c>
      <c r="E52" s="6" t="s">
        <v>58</v>
      </c>
      <c r="F52" s="7" t="n">
        <v>46305</v>
      </c>
      <c r="G52" s="6" t="s">
        <v>77</v>
      </c>
      <c r="H52" s="6" t="s">
        <v>77</v>
      </c>
      <c r="I52" s="6" t="s">
        <v>127</v>
      </c>
      <c r="J52" s="6" t="n">
        <v>140303440594243</v>
      </c>
      <c r="K52" s="6" t="n">
        <v>3</v>
      </c>
      <c r="L52" s="6" t="s">
        <v>61</v>
      </c>
      <c r="M52" s="8" t="s">
        <v>62</v>
      </c>
      <c r="N52" s="9"/>
      <c r="O52" s="8" t="s">
        <v>63</v>
      </c>
      <c r="P52" s="9"/>
      <c r="Q52" s="8" t="s">
        <v>64</v>
      </c>
      <c r="R52" s="9"/>
      <c r="S52" s="8" t="s">
        <v>65</v>
      </c>
      <c r="T52" s="9"/>
      <c r="U52" s="8" t="s">
        <v>66</v>
      </c>
      <c r="V52" s="9"/>
      <c r="W52" s="10"/>
      <c r="X52" s="11"/>
    </row>
    <row r="53" customFormat="false" ht="15" hidden="false" customHeight="false" outlineLevel="0" collapsed="false">
      <c r="A53" s="6" t="s">
        <v>128</v>
      </c>
      <c r="B53" s="6" t="s">
        <v>55</v>
      </c>
      <c r="C53" s="6" t="s">
        <v>56</v>
      </c>
      <c r="D53" s="6" t="s">
        <v>118</v>
      </c>
      <c r="E53" s="6" t="s">
        <v>68</v>
      </c>
      <c r="F53" s="7" t="n">
        <v>46339</v>
      </c>
      <c r="G53" s="6" t="s">
        <v>77</v>
      </c>
      <c r="H53" s="6" t="s">
        <v>77</v>
      </c>
      <c r="I53" s="6" t="s">
        <v>127</v>
      </c>
      <c r="J53" s="6" t="n">
        <v>178777119828249</v>
      </c>
      <c r="K53" s="6" t="n">
        <v>3</v>
      </c>
      <c r="L53" s="6" t="s">
        <v>61</v>
      </c>
      <c r="M53" s="8" t="s">
        <v>62</v>
      </c>
      <c r="N53" s="9"/>
      <c r="O53" s="8" t="s">
        <v>63</v>
      </c>
      <c r="P53" s="9"/>
      <c r="Q53" s="8" t="s">
        <v>64</v>
      </c>
      <c r="R53" s="9"/>
      <c r="S53" s="8" t="s">
        <v>65</v>
      </c>
      <c r="T53" s="9"/>
      <c r="U53" s="8" t="s">
        <v>66</v>
      </c>
      <c r="V53" s="9"/>
      <c r="W53" s="10"/>
      <c r="X53" s="11"/>
    </row>
    <row r="54" customFormat="false" ht="15" hidden="false" customHeight="false" outlineLevel="0" collapsed="false">
      <c r="A54" s="6" t="s">
        <v>129</v>
      </c>
      <c r="B54" s="6" t="s">
        <v>55</v>
      </c>
      <c r="C54" s="6" t="s">
        <v>56</v>
      </c>
      <c r="D54" s="6" t="s">
        <v>118</v>
      </c>
      <c r="E54" s="6" t="s">
        <v>70</v>
      </c>
      <c r="F54" s="7" t="n">
        <v>46097</v>
      </c>
      <c r="G54" s="6" t="s">
        <v>77</v>
      </c>
      <c r="H54" s="6" t="s">
        <v>77</v>
      </c>
      <c r="I54" s="6" t="s">
        <v>127</v>
      </c>
      <c r="J54" s="6" t="n">
        <v>231378855205937</v>
      </c>
      <c r="K54" s="6" t="n">
        <v>3</v>
      </c>
      <c r="L54" s="6" t="s">
        <v>61</v>
      </c>
      <c r="M54" s="8" t="s">
        <v>62</v>
      </c>
      <c r="N54" s="9"/>
      <c r="O54" s="8" t="s">
        <v>63</v>
      </c>
      <c r="P54" s="9"/>
      <c r="Q54" s="8" t="s">
        <v>64</v>
      </c>
      <c r="R54" s="9"/>
      <c r="S54" s="8" t="s">
        <v>65</v>
      </c>
      <c r="T54" s="9"/>
      <c r="U54" s="8" t="s">
        <v>66</v>
      </c>
      <c r="V54" s="9"/>
      <c r="W54" s="10"/>
      <c r="X54" s="11"/>
    </row>
    <row r="55" customFormat="false" ht="15" hidden="false" customHeight="false" outlineLevel="0" collapsed="false">
      <c r="A55" s="6" t="s">
        <v>130</v>
      </c>
      <c r="B55" s="6" t="s">
        <v>55</v>
      </c>
      <c r="C55" s="6" t="s">
        <v>56</v>
      </c>
      <c r="D55" s="6" t="s">
        <v>118</v>
      </c>
      <c r="E55" s="6" t="s">
        <v>58</v>
      </c>
      <c r="F55" s="7" t="n">
        <v>46131</v>
      </c>
      <c r="G55" s="6" t="s">
        <v>77</v>
      </c>
      <c r="H55" s="6" t="s">
        <v>77</v>
      </c>
      <c r="I55" s="6" t="s">
        <v>127</v>
      </c>
      <c r="J55" s="6" t="n">
        <v>89656577781269</v>
      </c>
      <c r="K55" s="6" t="n">
        <v>3</v>
      </c>
      <c r="L55" s="6" t="s">
        <v>71</v>
      </c>
      <c r="M55" s="8" t="s">
        <v>62</v>
      </c>
      <c r="N55" s="9"/>
      <c r="O55" s="8" t="s">
        <v>63</v>
      </c>
      <c r="P55" s="9"/>
      <c r="Q55" s="8" t="s">
        <v>64</v>
      </c>
      <c r="R55" s="9"/>
      <c r="S55" s="8" t="s">
        <v>65</v>
      </c>
      <c r="T55" s="9"/>
      <c r="U55" s="8" t="s">
        <v>66</v>
      </c>
      <c r="V55" s="9"/>
      <c r="W55" s="10"/>
      <c r="X55" s="11"/>
    </row>
    <row r="56" customFormat="false" ht="15" hidden="false" customHeight="false" outlineLevel="0" collapsed="false">
      <c r="A56" s="6" t="s">
        <v>131</v>
      </c>
      <c r="B56" s="6" t="s">
        <v>55</v>
      </c>
      <c r="C56" s="6" t="s">
        <v>56</v>
      </c>
      <c r="D56" s="6" t="s">
        <v>118</v>
      </c>
      <c r="E56" s="6" t="s">
        <v>68</v>
      </c>
      <c r="F56" s="7" t="n">
        <v>46164</v>
      </c>
      <c r="G56" s="6" t="s">
        <v>77</v>
      </c>
      <c r="H56" s="6" t="s">
        <v>77</v>
      </c>
      <c r="I56" s="6" t="s">
        <v>127</v>
      </c>
      <c r="J56" s="6" t="n">
        <v>59397706210773</v>
      </c>
      <c r="K56" s="6" t="n">
        <v>3</v>
      </c>
      <c r="L56" s="6" t="s">
        <v>71</v>
      </c>
      <c r="M56" s="8" t="s">
        <v>62</v>
      </c>
      <c r="N56" s="9"/>
      <c r="O56" s="8" t="s">
        <v>63</v>
      </c>
      <c r="P56" s="9"/>
      <c r="Q56" s="8" t="s">
        <v>64</v>
      </c>
      <c r="R56" s="9"/>
      <c r="S56" s="8" t="s">
        <v>65</v>
      </c>
      <c r="T56" s="9"/>
      <c r="U56" s="8" t="s">
        <v>66</v>
      </c>
      <c r="V56" s="9"/>
      <c r="W56" s="10"/>
      <c r="X56" s="11"/>
    </row>
    <row r="57" customFormat="false" ht="15" hidden="false" customHeight="false" outlineLevel="0" collapsed="false">
      <c r="A57" s="6" t="s">
        <v>132</v>
      </c>
      <c r="B57" s="6" t="s">
        <v>55</v>
      </c>
      <c r="C57" s="6" t="s">
        <v>56</v>
      </c>
      <c r="D57" s="6" t="s">
        <v>118</v>
      </c>
      <c r="E57" s="6" t="s">
        <v>70</v>
      </c>
      <c r="F57" s="7" t="n">
        <v>46198</v>
      </c>
      <c r="G57" s="6" t="s">
        <v>77</v>
      </c>
      <c r="H57" s="6" t="s">
        <v>77</v>
      </c>
      <c r="I57" s="6" t="s">
        <v>127</v>
      </c>
      <c r="J57" s="6" t="n">
        <v>97210164301914</v>
      </c>
      <c r="K57" s="6" t="n">
        <v>3</v>
      </c>
      <c r="L57" s="6" t="s">
        <v>71</v>
      </c>
      <c r="M57" s="8" t="s">
        <v>62</v>
      </c>
      <c r="N57" s="9"/>
      <c r="O57" s="8" t="s">
        <v>63</v>
      </c>
      <c r="P57" s="9"/>
      <c r="Q57" s="8" t="s">
        <v>64</v>
      </c>
      <c r="R57" s="9"/>
      <c r="S57" s="8" t="s">
        <v>65</v>
      </c>
      <c r="T57" s="9"/>
      <c r="U57" s="8" t="s">
        <v>66</v>
      </c>
      <c r="V57" s="9"/>
      <c r="W57" s="10"/>
      <c r="X57" s="11"/>
    </row>
    <row r="58" customFormat="false" ht="15" hidden="false" customHeight="false" outlineLevel="0" collapsed="false">
      <c r="A58" s="6" t="s">
        <v>133</v>
      </c>
      <c r="B58" s="6" t="s">
        <v>55</v>
      </c>
      <c r="C58" s="6" t="s">
        <v>56</v>
      </c>
      <c r="D58" s="6" t="s">
        <v>118</v>
      </c>
      <c r="E58" s="6" t="s">
        <v>58</v>
      </c>
      <c r="F58" s="7" t="n">
        <v>46212</v>
      </c>
      <c r="G58" s="6" t="s">
        <v>77</v>
      </c>
      <c r="H58" s="6" t="s">
        <v>77</v>
      </c>
      <c r="I58" s="6" t="s">
        <v>127</v>
      </c>
      <c r="J58" s="6" t="n">
        <v>242918872786842</v>
      </c>
      <c r="K58" s="6" t="n">
        <v>3</v>
      </c>
      <c r="L58" s="6" t="s">
        <v>61</v>
      </c>
      <c r="M58" s="8" t="s">
        <v>62</v>
      </c>
      <c r="N58" s="9"/>
      <c r="O58" s="8" t="s">
        <v>63</v>
      </c>
      <c r="P58" s="9"/>
      <c r="Q58" s="8" t="s">
        <v>64</v>
      </c>
      <c r="R58" s="9"/>
      <c r="S58" s="8" t="s">
        <v>65</v>
      </c>
      <c r="T58" s="9"/>
      <c r="U58" s="8" t="s">
        <v>66</v>
      </c>
      <c r="V58" s="9"/>
      <c r="W58" s="10"/>
      <c r="X58" s="11"/>
    </row>
    <row r="59" customFormat="false" ht="15" hidden="false" customHeight="false" outlineLevel="0" collapsed="false">
      <c r="A59" s="6" t="s">
        <v>134</v>
      </c>
      <c r="B59" s="6" t="s">
        <v>55</v>
      </c>
      <c r="C59" s="6" t="s">
        <v>56</v>
      </c>
      <c r="D59" s="6" t="s">
        <v>118</v>
      </c>
      <c r="E59" s="6" t="s">
        <v>68</v>
      </c>
      <c r="F59" s="7" t="n">
        <v>46246</v>
      </c>
      <c r="G59" s="6"/>
      <c r="H59" s="6" t="s">
        <v>86</v>
      </c>
      <c r="I59" s="6" t="s">
        <v>135</v>
      </c>
      <c r="J59" s="6" t="n">
        <v>147317013808670</v>
      </c>
      <c r="K59" s="6" t="n">
        <v>4</v>
      </c>
      <c r="L59" s="6" t="s">
        <v>71</v>
      </c>
      <c r="M59" s="8" t="s">
        <v>62</v>
      </c>
      <c r="N59" s="9"/>
      <c r="O59" s="8" t="s">
        <v>63</v>
      </c>
      <c r="P59" s="9"/>
      <c r="Q59" s="8" t="s">
        <v>64</v>
      </c>
      <c r="R59" s="9"/>
      <c r="S59" s="8" t="s">
        <v>65</v>
      </c>
      <c r="T59" s="9"/>
      <c r="U59" s="8" t="s">
        <v>66</v>
      </c>
      <c r="V59" s="9"/>
      <c r="W59" s="10"/>
      <c r="X59" s="11"/>
    </row>
    <row r="60" customFormat="false" ht="15" hidden="false" customHeight="false" outlineLevel="0" collapsed="false">
      <c r="A60" s="6" t="s">
        <v>136</v>
      </c>
      <c r="B60" s="6" t="s">
        <v>55</v>
      </c>
      <c r="C60" s="6" t="s">
        <v>56</v>
      </c>
      <c r="D60" s="6" t="s">
        <v>118</v>
      </c>
      <c r="E60" s="6" t="s">
        <v>70</v>
      </c>
      <c r="F60" s="7" t="n">
        <v>46280</v>
      </c>
      <c r="G60" s="6"/>
      <c r="H60" s="6" t="s">
        <v>86</v>
      </c>
      <c r="I60" s="6" t="s">
        <v>135</v>
      </c>
      <c r="J60" s="6" t="n">
        <v>280825105173875</v>
      </c>
      <c r="K60" s="6" t="n">
        <v>4</v>
      </c>
      <c r="L60" s="6" t="s">
        <v>61</v>
      </c>
      <c r="M60" s="8" t="s">
        <v>62</v>
      </c>
      <c r="N60" s="9"/>
      <c r="O60" s="8" t="s">
        <v>63</v>
      </c>
      <c r="P60" s="9"/>
      <c r="Q60" s="8" t="s">
        <v>64</v>
      </c>
      <c r="R60" s="9"/>
      <c r="S60" s="8" t="s">
        <v>65</v>
      </c>
      <c r="T60" s="9"/>
      <c r="U60" s="8" t="s">
        <v>66</v>
      </c>
      <c r="V60" s="9"/>
      <c r="W60" s="10"/>
      <c r="X60" s="11"/>
    </row>
    <row r="61" customFormat="false" ht="15" hidden="false" customHeight="false" outlineLevel="0" collapsed="false">
      <c r="A61" s="6" t="s">
        <v>137</v>
      </c>
      <c r="B61" s="6" t="s">
        <v>55</v>
      </c>
      <c r="C61" s="6" t="s">
        <v>56</v>
      </c>
      <c r="D61" s="6" t="s">
        <v>118</v>
      </c>
      <c r="E61" s="6" t="s">
        <v>58</v>
      </c>
      <c r="F61" s="7" t="n">
        <v>46313</v>
      </c>
      <c r="G61" s="6"/>
      <c r="H61" s="6" t="s">
        <v>86</v>
      </c>
      <c r="I61" s="6" t="s">
        <v>135</v>
      </c>
      <c r="J61" s="6" t="n">
        <v>134737155661177</v>
      </c>
      <c r="K61" s="6" t="n">
        <v>4</v>
      </c>
      <c r="L61" s="6" t="s">
        <v>71</v>
      </c>
      <c r="M61" s="8" t="s">
        <v>62</v>
      </c>
      <c r="N61" s="9"/>
      <c r="O61" s="8" t="s">
        <v>63</v>
      </c>
      <c r="P61" s="9"/>
      <c r="Q61" s="8" t="s">
        <v>64</v>
      </c>
      <c r="R61" s="9"/>
      <c r="S61" s="8" t="s">
        <v>65</v>
      </c>
      <c r="T61" s="9"/>
      <c r="U61" s="8" t="s">
        <v>66</v>
      </c>
      <c r="V61" s="9"/>
      <c r="W61" s="10"/>
      <c r="X61" s="11"/>
    </row>
    <row r="62" customFormat="false" ht="15" hidden="false" customHeight="false" outlineLevel="0" collapsed="false">
      <c r="A62" s="6" t="s">
        <v>138</v>
      </c>
      <c r="B62" s="6" t="s">
        <v>55</v>
      </c>
      <c r="C62" s="6" t="s">
        <v>56</v>
      </c>
      <c r="D62" s="6" t="s">
        <v>118</v>
      </c>
      <c r="E62" s="6" t="s">
        <v>68</v>
      </c>
      <c r="F62" s="7" t="n">
        <v>46347</v>
      </c>
      <c r="G62" s="6"/>
      <c r="H62" s="6" t="s">
        <v>86</v>
      </c>
      <c r="I62" s="6" t="s">
        <v>135</v>
      </c>
      <c r="J62" s="6" t="n">
        <v>123430877581688</v>
      </c>
      <c r="K62" s="6" t="n">
        <v>4</v>
      </c>
      <c r="L62" s="6" t="s">
        <v>71</v>
      </c>
      <c r="M62" s="8" t="s">
        <v>62</v>
      </c>
      <c r="N62" s="9"/>
      <c r="O62" s="8" t="s">
        <v>63</v>
      </c>
      <c r="P62" s="9"/>
      <c r="Q62" s="8" t="s">
        <v>64</v>
      </c>
      <c r="R62" s="9"/>
      <c r="S62" s="8" t="s">
        <v>65</v>
      </c>
      <c r="T62" s="9"/>
      <c r="U62" s="8" t="s">
        <v>66</v>
      </c>
      <c r="V62" s="9"/>
      <c r="W62" s="10"/>
      <c r="X62" s="11"/>
    </row>
    <row r="63" customFormat="false" ht="15" hidden="false" customHeight="false" outlineLevel="0" collapsed="false">
      <c r="A63" s="6" t="s">
        <v>139</v>
      </c>
      <c r="B63" s="6" t="s">
        <v>55</v>
      </c>
      <c r="C63" s="6" t="s">
        <v>56</v>
      </c>
      <c r="D63" s="6" t="s">
        <v>118</v>
      </c>
      <c r="E63" s="6" t="s">
        <v>70</v>
      </c>
      <c r="F63" s="7" t="n">
        <v>46105</v>
      </c>
      <c r="G63" s="6"/>
      <c r="H63" s="6" t="s">
        <v>86</v>
      </c>
      <c r="I63" s="6" t="s">
        <v>135</v>
      </c>
      <c r="J63" s="6" t="n">
        <v>190557480055099</v>
      </c>
      <c r="K63" s="6" t="n">
        <v>4</v>
      </c>
      <c r="L63" s="6" t="s">
        <v>71</v>
      </c>
      <c r="M63" s="8" t="s">
        <v>62</v>
      </c>
      <c r="N63" s="9"/>
      <c r="O63" s="8" t="s">
        <v>63</v>
      </c>
      <c r="P63" s="9"/>
      <c r="Q63" s="8" t="s">
        <v>64</v>
      </c>
      <c r="R63" s="9"/>
      <c r="S63" s="8" t="s">
        <v>65</v>
      </c>
      <c r="T63" s="9"/>
      <c r="U63" s="8" t="s">
        <v>66</v>
      </c>
      <c r="V63" s="9"/>
      <c r="W63" s="10"/>
      <c r="X63" s="11"/>
    </row>
    <row r="64" customFormat="false" ht="15" hidden="false" customHeight="false" outlineLevel="0" collapsed="false">
      <c r="A64" s="6" t="s">
        <v>140</v>
      </c>
      <c r="B64" s="6" t="s">
        <v>55</v>
      </c>
      <c r="C64" s="6" t="s">
        <v>56</v>
      </c>
      <c r="D64" s="6" t="s">
        <v>118</v>
      </c>
      <c r="E64" s="6" t="s">
        <v>58</v>
      </c>
      <c r="F64" s="7" t="n">
        <v>46120</v>
      </c>
      <c r="G64" s="6"/>
      <c r="H64" s="6" t="s">
        <v>86</v>
      </c>
      <c r="I64" s="6" t="s">
        <v>135</v>
      </c>
      <c r="J64" s="6" t="n">
        <v>209494090186923</v>
      </c>
      <c r="K64" s="6" t="n">
        <v>4</v>
      </c>
      <c r="L64" s="6" t="s">
        <v>61</v>
      </c>
      <c r="M64" s="8" t="s">
        <v>62</v>
      </c>
      <c r="N64" s="9"/>
      <c r="O64" s="8" t="s">
        <v>63</v>
      </c>
      <c r="P64" s="9"/>
      <c r="Q64" s="8" t="s">
        <v>64</v>
      </c>
      <c r="R64" s="9"/>
      <c r="S64" s="8" t="s">
        <v>65</v>
      </c>
      <c r="T64" s="9"/>
      <c r="U64" s="8" t="s">
        <v>66</v>
      </c>
      <c r="V64" s="9"/>
      <c r="W64" s="10"/>
      <c r="X64" s="11"/>
    </row>
  </sheetData>
  <autoFilter ref="A4:X64"/>
  <mergeCells count="2">
    <mergeCell ref="A1:X1"/>
    <mergeCell ref="A2:X2"/>
  </mergeCells>
  <conditionalFormatting sqref="A5:X64">
    <cfRule type="expression" priority="2" aboveAverage="0" equalAverage="0" bottom="0" percent="0" rank="0" text="" dxfId="5">
      <formula>COUNTIF($A$5:$A$64,$A5)&gt;1</formula>
    </cfRule>
  </conditionalFormatting>
  <dataValidations count="5">
    <dataValidation allowBlank="false" errorStyle="stop" operator="between" showDropDown="false" showErrorMessage="false" showInputMessage="false" sqref="M5:M64" type="list">
      <formula1>"Not sent,Sent,Undeliverable"</formula1>
      <formula2>0</formula2>
    </dataValidation>
    <dataValidation allowBlank="false" errorStyle="stop" operator="between" showDropDown="false" showErrorMessage="false" showInputMessage="false" sqref="O5:O64" type="list">
      <formula1>"Not scheduled,Scheduled,Declined"</formula1>
      <formula2>0</formula2>
    </dataValidation>
    <dataValidation allowBlank="false" errorStyle="stop" operator="between" showDropDown="false" showErrorMessage="false" showInputMessage="false" sqref="Q5:Q64" type="list">
      <formula1>"Not attended,Attended,Declined,No-show"</formula1>
      <formula2>0</formula2>
    </dataValidation>
    <dataValidation allowBlank="false" errorStyle="stop" operator="between" showDropDown="false" showErrorMessage="false" showInputMessage="false" sqref="S5:S64" type="list">
      <formula1>"No,Yes,Unknown"</formula1>
      <formula2>0</formula2>
    </dataValidation>
    <dataValidation allowBlank="false" errorStyle="stop" operator="between" showDropDown="false" showErrorMessage="false" showInputMessage="false" sqref="U5:U64" type="list">
      <formula1>"Converted,Not converted,Unknown—unresolved"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8"/>
    <col collapsed="false" customWidth="true" hidden="false" outlineLevel="0" max="3" min="3" style="0" width="21"/>
    <col collapsed="false" customWidth="true" hidden="false" outlineLevel="0" max="4" min="4" style="0" width="23"/>
    <col collapsed="false" customWidth="true" hidden="false" outlineLevel="0" max="5" min="5" style="0" width="56"/>
    <col collapsed="false" customWidth="true" hidden="false" outlineLevel="0" max="9" min="6" style="0" width="3"/>
  </cols>
  <sheetData>
    <row r="1" customFormat="false" ht="30" hidden="false" customHeight="true" outlineLevel="0" collapsed="false">
      <c r="A1" s="1" t="s">
        <v>141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142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31.5" hidden="false" customHeight="true" outlineLevel="0" collapsed="false">
      <c r="A4" s="4" t="s">
        <v>143</v>
      </c>
      <c r="B4" s="4" t="s">
        <v>71</v>
      </c>
      <c r="C4" s="4" t="s">
        <v>61</v>
      </c>
      <c r="D4" s="4" t="s">
        <v>144</v>
      </c>
      <c r="E4" s="4" t="s">
        <v>145</v>
      </c>
      <c r="F4" s="3"/>
      <c r="G4" s="3"/>
      <c r="H4" s="3"/>
      <c r="I4" s="3"/>
    </row>
    <row r="5" customFormat="false" ht="15" hidden="false" customHeight="false" outlineLevel="0" collapsed="false">
      <c r="A5" s="3" t="s">
        <v>146</v>
      </c>
      <c r="B5" s="12" t="n">
        <f aca="false">COUNTIFS(Participants!$B$5:$B$64,"Yes",Participants!$L$5:$L$64,"Guided offer")</f>
        <v>30</v>
      </c>
      <c r="C5" s="12" t="n">
        <f aca="false">COUNTIFS(Participants!$B$5:$B$64,"Yes",Participants!$L$5:$L$64,"Standard education")</f>
        <v>30</v>
      </c>
      <c r="D5" s="12" t="n">
        <f aca="false">B5+C5</f>
        <v>60</v>
      </c>
      <c r="E5" s="3" t="s">
        <v>147</v>
      </c>
      <c r="F5" s="3"/>
      <c r="G5" s="3"/>
      <c r="H5" s="3"/>
      <c r="I5" s="3"/>
    </row>
    <row r="6" customFormat="false" ht="15" hidden="false" customHeight="false" outlineLevel="0" collapsed="false">
      <c r="A6" s="3" t="s">
        <v>148</v>
      </c>
      <c r="B6" s="12" t="n">
        <f aca="false">COUNTIFS(Participants!$B$5:$B$64,"Yes",Participants!$L$5:$L$64,"Guided offer",Participants!$U$5:$U$64,"Converted")</f>
        <v>0</v>
      </c>
      <c r="C6" s="12" t="n">
        <f aca="false">COUNTIFS(Participants!$B$5:$B$64,"Yes",Participants!$L$5:$L$64,"Standard education",Participants!$U$5:$U$64,"Converted")</f>
        <v>0</v>
      </c>
      <c r="D6" s="12" t="n">
        <f aca="false">B6-C6</f>
        <v>0</v>
      </c>
      <c r="E6" s="3" t="s">
        <v>149</v>
      </c>
      <c r="F6" s="3"/>
      <c r="G6" s="3"/>
      <c r="H6" s="3"/>
      <c r="I6" s="3"/>
    </row>
    <row r="7" customFormat="false" ht="28.35" hidden="false" customHeight="false" outlineLevel="0" collapsed="false">
      <c r="A7" s="3" t="s">
        <v>150</v>
      </c>
      <c r="B7" s="13" t="n">
        <f aca="false">IFERROR(B6/B5,0)</f>
        <v>0</v>
      </c>
      <c r="C7" s="13" t="n">
        <f aca="false">IFERROR(C6/C5,0)</f>
        <v>0</v>
      </c>
      <c r="D7" s="13" t="n">
        <f aca="false">B7-C7</f>
        <v>0</v>
      </c>
      <c r="E7" s="3" t="s">
        <v>151</v>
      </c>
      <c r="F7" s="3"/>
      <c r="G7" s="3"/>
      <c r="H7" s="3"/>
      <c r="I7" s="3"/>
    </row>
    <row r="8" customFormat="false" ht="15" hidden="false" customHeight="false" outlineLevel="0" collapsed="false">
      <c r="A8" s="3" t="s">
        <v>152</v>
      </c>
      <c r="B8" s="12"/>
      <c r="C8" s="12"/>
      <c r="D8" s="13" t="n">
        <f aca="false">D7-1.96*SQRT(B7*(1-B7)/B5+C7*(1-C7)/C5)</f>
        <v>0</v>
      </c>
      <c r="E8" s="3" t="s">
        <v>153</v>
      </c>
      <c r="F8" s="3"/>
      <c r="G8" s="3"/>
      <c r="H8" s="3"/>
      <c r="I8" s="3"/>
    </row>
    <row r="9" customFormat="false" ht="15" hidden="false" customHeight="false" outlineLevel="0" collapsed="false">
      <c r="A9" s="3" t="s">
        <v>154</v>
      </c>
      <c r="B9" s="12"/>
      <c r="C9" s="12"/>
      <c r="D9" s="13" t="n">
        <f aca="false">D7+1.96*SQRT(B7*(1-B7)/B5+C7*(1-C7)/C5)</f>
        <v>0</v>
      </c>
      <c r="E9" s="3" t="s">
        <v>155</v>
      </c>
      <c r="F9" s="3"/>
      <c r="G9" s="3"/>
      <c r="H9" s="3"/>
      <c r="I9" s="3"/>
    </row>
    <row r="10" customFormat="false" ht="28.35" hidden="false" customHeight="false" outlineLevel="0" collapsed="false">
      <c r="A10" s="3" t="s">
        <v>156</v>
      </c>
      <c r="B10" s="12" t="n">
        <f aca="false">COUNTIFS(Participants!$L$5:$L$64,"Guided offer",Participants!$U$5:$U$64,"Unknown—unresolved")</f>
        <v>30</v>
      </c>
      <c r="C10" s="12" t="n">
        <f aca="false">COUNTIFS(Participants!$L$5:$L$64,"Standard education",Participants!$U$5:$U$64,"Unknown—unresolved")</f>
        <v>30</v>
      </c>
      <c r="D10" s="12" t="n">
        <f aca="false">B10+C10</f>
        <v>60</v>
      </c>
      <c r="E10" s="3" t="s">
        <v>157</v>
      </c>
      <c r="F10" s="3"/>
      <c r="G10" s="3"/>
      <c r="H10" s="3"/>
      <c r="I10" s="3"/>
    </row>
    <row r="11" customFormat="false" ht="28.35" hidden="false" customHeight="false" outlineLevel="0" collapsed="false">
      <c r="A11" s="3" t="s">
        <v>158</v>
      </c>
      <c r="B11" s="13" t="n">
        <f aca="false">IFERROR((B6+B10)/B5,0)</f>
        <v>1</v>
      </c>
      <c r="C11" s="13" t="n">
        <f aca="false">IFERROR((C6+C10)/C5,0)</f>
        <v>1</v>
      </c>
      <c r="D11" s="13" t="n">
        <f aca="false">B11-C11</f>
        <v>0</v>
      </c>
      <c r="E11" s="3" t="s">
        <v>159</v>
      </c>
      <c r="F11" s="3"/>
      <c r="G11" s="3"/>
      <c r="H11" s="3"/>
      <c r="I11" s="3"/>
    </row>
    <row r="12" customFormat="false" ht="15" hidden="false" customHeight="false" outlineLevel="0" collapsed="false">
      <c r="A12" s="3" t="s">
        <v>160</v>
      </c>
      <c r="B12" s="12" t="n">
        <f aca="false">COUNTIFS(Participants!$L$5:$L$64,"Guided offer",Participants!$M$5:$M$64,"Sent")</f>
        <v>0</v>
      </c>
      <c r="C12" s="12" t="n">
        <f aca="false">COUNTIFS(Participants!$L$5:$L$64,"Standard education",Participants!$M$5:$M$64,"Sent")</f>
        <v>0</v>
      </c>
      <c r="D12" s="13" t="n">
        <f aca="false">B12/B5</f>
        <v>0</v>
      </c>
      <c r="E12" s="3" t="s">
        <v>161</v>
      </c>
      <c r="F12" s="3"/>
      <c r="G12" s="3"/>
      <c r="H12" s="3"/>
      <c r="I12" s="3"/>
    </row>
    <row r="13" customFormat="false" ht="28.35" hidden="false" customHeight="false" outlineLevel="0" collapsed="false">
      <c r="A13" s="3" t="s">
        <v>162</v>
      </c>
      <c r="B13" s="12" t="n">
        <f aca="false">COUNTIFS(Participants!$L$5:$L$64,"Guided offer",Participants!$Q$5:$Q$64,"Attended")</f>
        <v>0</v>
      </c>
      <c r="C13" s="12" t="n">
        <f aca="false">COUNTIFS(Participants!$L$5:$L$64,"Standard education",Participants!$Q$5:$Q$64,"Attended")</f>
        <v>0</v>
      </c>
      <c r="D13" s="13" t="n">
        <f aca="false">B13/B5</f>
        <v>0</v>
      </c>
      <c r="E13" s="3" t="s">
        <v>163</v>
      </c>
      <c r="F13" s="3"/>
      <c r="G13" s="3"/>
      <c r="H13" s="3"/>
      <c r="I13" s="3"/>
    </row>
    <row r="14" customFormat="false" ht="28.35" hidden="false" customHeight="false" outlineLevel="0" collapsed="false">
      <c r="A14" s="3" t="s">
        <v>48</v>
      </c>
      <c r="B14" s="12" t="n">
        <f aca="false">COUNTIFS(Participants!$L$5:$L$64,"Guided offer",Participants!$S$5:$S$64,"Yes")</f>
        <v>0</v>
      </c>
      <c r="C14" s="12" t="n">
        <f aca="false">COUNTIFS(Participants!$L$5:$L$64,"Standard education",Participants!$S$5:$S$64,"Yes")</f>
        <v>0</v>
      </c>
      <c r="D14" s="12" t="n">
        <f aca="false">B14+C14</f>
        <v>0</v>
      </c>
      <c r="E14" s="3" t="s">
        <v>164</v>
      </c>
      <c r="F14" s="3"/>
      <c r="G14" s="3"/>
      <c r="H14" s="3"/>
      <c r="I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28.35" hidden="false" customHeight="false" outlineLevel="0" collapsed="false">
      <c r="A17" s="4" t="s">
        <v>165</v>
      </c>
      <c r="B17" s="3"/>
      <c r="C17" s="3"/>
      <c r="D17" s="3"/>
      <c r="E17" s="3"/>
      <c r="F17" s="3"/>
      <c r="G17" s="3"/>
      <c r="H17" s="3"/>
      <c r="I17" s="3"/>
    </row>
    <row r="18" customFormat="false" ht="31.5" hidden="false" customHeight="true" outlineLevel="0" collapsed="false">
      <c r="A18" s="4" t="s">
        <v>166</v>
      </c>
      <c r="B18" s="4" t="s">
        <v>167</v>
      </c>
      <c r="C18" s="4" t="s">
        <v>168</v>
      </c>
      <c r="D18" s="4" t="s">
        <v>169</v>
      </c>
      <c r="E18" s="4" t="s">
        <v>170</v>
      </c>
      <c r="F18" s="3"/>
      <c r="G18" s="3"/>
      <c r="H18" s="3"/>
      <c r="I18" s="3"/>
    </row>
    <row r="19" customFormat="false" ht="41.75" hidden="false" customHeight="false" outlineLevel="0" collapsed="false">
      <c r="A19" s="3" t="s">
        <v>171</v>
      </c>
      <c r="B19" s="14" t="n">
        <v>0.2</v>
      </c>
      <c r="C19" s="3"/>
      <c r="D19" s="3" t="s">
        <v>172</v>
      </c>
      <c r="E19" s="3" t="s">
        <v>173</v>
      </c>
      <c r="F19" s="3"/>
      <c r="G19" s="3"/>
      <c r="H19" s="3"/>
      <c r="I19" s="3"/>
    </row>
    <row r="20" customFormat="false" ht="28.35" hidden="false" customHeight="false" outlineLevel="0" collapsed="false">
      <c r="A20" s="3" t="s">
        <v>174</v>
      </c>
      <c r="B20" s="12" t="n">
        <f aca="false">B5</f>
        <v>30</v>
      </c>
      <c r="C20" s="3"/>
      <c r="D20" s="3" t="s">
        <v>175</v>
      </c>
      <c r="E20" s="3" t="s">
        <v>176</v>
      </c>
      <c r="F20" s="3"/>
      <c r="G20" s="3"/>
      <c r="H20" s="3"/>
      <c r="I20" s="3"/>
    </row>
    <row r="21" customFormat="false" ht="28.35" hidden="false" customHeight="false" outlineLevel="0" collapsed="false">
      <c r="A21" s="3" t="s">
        <v>177</v>
      </c>
      <c r="B21" s="12" t="n">
        <f aca="false">C5</f>
        <v>30</v>
      </c>
      <c r="C21" s="3"/>
      <c r="D21" s="3" t="s">
        <v>175</v>
      </c>
      <c r="E21" s="3" t="s">
        <v>176</v>
      </c>
      <c r="F21" s="3"/>
      <c r="G21" s="3"/>
      <c r="H21" s="3"/>
      <c r="I21" s="3"/>
    </row>
    <row r="22" customFormat="false" ht="28.35" hidden="false" customHeight="false" outlineLevel="0" collapsed="false">
      <c r="A22" s="3" t="s">
        <v>178</v>
      </c>
      <c r="B22" s="14" t="n">
        <v>0.95</v>
      </c>
      <c r="C22" s="3"/>
      <c r="D22" s="3" t="s">
        <v>179</v>
      </c>
      <c r="E22" s="3" t="s">
        <v>176</v>
      </c>
      <c r="F22" s="3"/>
      <c r="G22" s="3"/>
      <c r="H22" s="3"/>
      <c r="I22" s="3"/>
    </row>
    <row r="23" customFormat="false" ht="41.75" hidden="false" customHeight="false" outlineLevel="0" collapsed="false">
      <c r="A23" s="3" t="s">
        <v>180</v>
      </c>
      <c r="B23" s="3"/>
      <c r="C23" s="13" t="n">
        <f aca="false">1.96*SQRT(B19*(1-B19)/B20+B19*(1-B19)/B21)</f>
        <v>0.202427929561774</v>
      </c>
      <c r="D23" s="3" t="s">
        <v>181</v>
      </c>
      <c r="E23" s="3" t="s">
        <v>176</v>
      </c>
      <c r="F23" s="3"/>
      <c r="G23" s="3"/>
      <c r="H23" s="3"/>
      <c r="I23" s="3"/>
    </row>
    <row r="24" customFormat="false" ht="41.75" hidden="false" customHeight="false" outlineLevel="0" collapsed="false">
      <c r="A24" s="3" t="s">
        <v>182</v>
      </c>
      <c r="B24" s="3"/>
      <c r="C24" s="13" t="n">
        <f aca="false">(1.96+0.84)*SQRT(2*B19*(1-B19)/MIN(B20,B21))</f>
        <v>0.28918275651682</v>
      </c>
      <c r="D24" s="3" t="s">
        <v>183</v>
      </c>
      <c r="E24" s="3" t="s">
        <v>176</v>
      </c>
      <c r="F24" s="3"/>
      <c r="G24" s="3"/>
      <c r="H24" s="3"/>
      <c r="I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4" t="s">
        <v>184</v>
      </c>
      <c r="B27" s="3"/>
      <c r="C27" s="3"/>
      <c r="D27" s="3"/>
      <c r="E27" s="3"/>
      <c r="F27" s="3"/>
      <c r="G27" s="3"/>
      <c r="H27" s="3"/>
      <c r="I27" s="3"/>
    </row>
    <row r="28" customFormat="false" ht="28.35" hidden="false" customHeight="true" outlineLevel="0" collapsed="false">
      <c r="A28" s="3" t="s">
        <v>185</v>
      </c>
      <c r="B28" s="5" t="s">
        <v>186</v>
      </c>
      <c r="C28" s="5"/>
      <c r="D28" s="5"/>
      <c r="E28" s="5"/>
      <c r="F28" s="3"/>
      <c r="G28" s="3"/>
      <c r="H28" s="3"/>
      <c r="I28" s="3"/>
    </row>
  </sheetData>
  <mergeCells count="3">
    <mergeCell ref="A1:I1"/>
    <mergeCell ref="A2:I2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4"/>
    <col collapsed="false" customWidth="true" hidden="false" outlineLevel="0" max="5" min="5" style="0" width="25"/>
    <col collapsed="false" customWidth="true" hidden="false" outlineLevel="0" max="6" min="6" style="0" width="19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188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</row>
    <row r="4" customFormat="false" ht="31.5" hidden="false" customHeight="true" outlineLevel="0" collapsed="false">
      <c r="A4" s="4" t="s">
        <v>189</v>
      </c>
      <c r="B4" s="4" t="s">
        <v>190</v>
      </c>
      <c r="C4" s="4" t="s">
        <v>191</v>
      </c>
      <c r="D4" s="4" t="s">
        <v>192</v>
      </c>
      <c r="E4" s="4" t="s">
        <v>170</v>
      </c>
      <c r="F4" s="4"/>
      <c r="G4" s="4"/>
    </row>
    <row r="5" customFormat="false" ht="28.35" hidden="false" customHeight="false" outlineLevel="0" collapsed="false">
      <c r="A5" s="3" t="s">
        <v>193</v>
      </c>
      <c r="B5" s="12" t="n">
        <f aca="false">SUMPRODUCT(--(COUNTIF(Participants!$A$5:$A$64,Participants!$A$5:$A$64)&gt;1))</f>
        <v>0</v>
      </c>
      <c r="C5" s="3" t="s">
        <v>194</v>
      </c>
      <c r="D5" s="3" t="s">
        <v>195</v>
      </c>
      <c r="E5" s="3" t="s">
        <v>176</v>
      </c>
      <c r="F5" s="3"/>
      <c r="G5" s="3"/>
    </row>
    <row r="6" customFormat="false" ht="28.35" hidden="false" customHeight="false" outlineLevel="0" collapsed="false">
      <c r="A6" s="3" t="s">
        <v>196</v>
      </c>
      <c r="B6" s="12" t="n">
        <f aca="false">COUNTIFS(Participants!$L$5:$L$64,"&lt;&gt;Guided offer",Participants!$L$5:$L$64,"&lt;&gt;Standard education")</f>
        <v>0</v>
      </c>
      <c r="C6" s="3" t="s">
        <v>194</v>
      </c>
      <c r="D6" s="3" t="s">
        <v>197</v>
      </c>
      <c r="E6" s="3" t="s">
        <v>176</v>
      </c>
      <c r="F6" s="3"/>
      <c r="G6" s="3"/>
    </row>
    <row r="7" customFormat="false" ht="15" hidden="false" customHeight="false" outlineLevel="0" collapsed="false">
      <c r="A7" s="3" t="s">
        <v>198</v>
      </c>
      <c r="B7" s="12" t="n">
        <f aca="false">ABS(COUNTIF(Participants!$L$5:$L$64,"Guided offer")+COUNTIF(Participants!$L$5:$L$64,"Standard education")-60)</f>
        <v>0</v>
      </c>
      <c r="C7" s="3" t="s">
        <v>194</v>
      </c>
      <c r="D7" s="3" t="s">
        <v>199</v>
      </c>
      <c r="E7" s="3" t="s">
        <v>176</v>
      </c>
      <c r="F7" s="3"/>
      <c r="G7" s="3"/>
    </row>
    <row r="8" customFormat="false" ht="15" hidden="false" customHeight="false" outlineLevel="0" collapsed="false">
      <c r="A8" s="3" t="s">
        <v>200</v>
      </c>
      <c r="B8" s="12" t="n">
        <f aca="false">MAX(0,COUNTIF(Participants!$L$5:$L$64,"Guided offer")-30)</f>
        <v>0</v>
      </c>
      <c r="C8" s="3" t="s">
        <v>194</v>
      </c>
      <c r="D8" s="3" t="s">
        <v>201</v>
      </c>
      <c r="E8" s="3" t="s">
        <v>202</v>
      </c>
      <c r="F8" s="3"/>
      <c r="G8" s="3"/>
    </row>
    <row r="9" customFormat="false" ht="15" hidden="false" customHeight="false" outlineLevel="0" collapsed="false">
      <c r="A9" s="3" t="s">
        <v>203</v>
      </c>
      <c r="B9" s="12" t="n">
        <f aca="false">COUNTIFS(Participants!$N$5:$N$64,"&lt;"&amp;DATE(2026,3,24))</f>
        <v>0</v>
      </c>
      <c r="C9" s="3" t="s">
        <v>194</v>
      </c>
      <c r="D9" s="3" t="s">
        <v>204</v>
      </c>
      <c r="E9" s="3" t="s">
        <v>205</v>
      </c>
      <c r="F9" s="3"/>
      <c r="G9" s="3"/>
    </row>
    <row r="10" customFormat="false" ht="15" hidden="false" customHeight="false" outlineLevel="0" collapsed="false">
      <c r="A10" s="3" t="s">
        <v>206</v>
      </c>
      <c r="B10" s="12" t="n">
        <f aca="false">SUMPRODUCT(--(Participants!$R$5:$R$64&lt;&gt;""),--(Participants!$P$5:$P$64&lt;&gt;""),--(Participants!$R$5:$R$64&lt;Participants!$P$5:$P$64))</f>
        <v>0</v>
      </c>
      <c r="C10" s="3" t="s">
        <v>194</v>
      </c>
      <c r="D10" s="3" t="s">
        <v>207</v>
      </c>
      <c r="E10" s="3" t="s">
        <v>202</v>
      </c>
      <c r="F10" s="3"/>
      <c r="G10" s="3"/>
    </row>
    <row r="11" customFormat="false" ht="15" hidden="false" customHeight="false" outlineLevel="0" collapsed="false">
      <c r="A11" s="3" t="s">
        <v>208</v>
      </c>
      <c r="B11" s="12" t="n">
        <f aca="false">COUNTIFS(Participants!$V$5:$V$64,"&gt;"&amp;DATE(2026,12,15))</f>
        <v>0</v>
      </c>
      <c r="C11" s="3" t="s">
        <v>194</v>
      </c>
      <c r="D11" s="3" t="s">
        <v>209</v>
      </c>
      <c r="E11" s="3" t="s">
        <v>205</v>
      </c>
      <c r="F11" s="3"/>
      <c r="G11" s="3"/>
    </row>
    <row r="12" customFormat="false" ht="28.35" hidden="false" customHeight="false" outlineLevel="0" collapsed="false">
      <c r="A12" s="3" t="s">
        <v>210</v>
      </c>
      <c r="B12" s="12" t="n">
        <f aca="false">COUNTIF(Participants!$U$5:$U$64,"Unknown—unresolved")</f>
        <v>60</v>
      </c>
      <c r="C12" s="3" t="s">
        <v>211</v>
      </c>
      <c r="D12" s="3" t="s">
        <v>212</v>
      </c>
      <c r="E12" s="3" t="s">
        <v>205</v>
      </c>
      <c r="F12" s="3"/>
      <c r="G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</row>
    <row r="15" customFormat="false" ht="28.35" hidden="false" customHeight="false" outlineLevel="0" collapsed="false">
      <c r="A15" s="4" t="s">
        <v>213</v>
      </c>
      <c r="B15" s="3"/>
      <c r="C15" s="3"/>
      <c r="D15" s="3"/>
      <c r="E15" s="3"/>
      <c r="F15" s="3"/>
      <c r="G15" s="3"/>
    </row>
    <row r="16" customFormat="false" ht="31.5" hidden="false" customHeight="true" outlineLevel="0" collapsed="false">
      <c r="A16" s="4" t="s">
        <v>214</v>
      </c>
      <c r="B16" s="4" t="s">
        <v>215</v>
      </c>
      <c r="C16" s="4" t="s">
        <v>216</v>
      </c>
      <c r="D16" s="4" t="s">
        <v>217</v>
      </c>
      <c r="E16" s="4" t="s">
        <v>218</v>
      </c>
      <c r="F16" s="4" t="s">
        <v>219</v>
      </c>
      <c r="G16" s="4" t="s">
        <v>220</v>
      </c>
    </row>
    <row r="17" customFormat="false" ht="15" hidden="false" customHeight="false" outlineLevel="0" collapsed="false">
      <c r="A17" s="3" t="s">
        <v>221</v>
      </c>
      <c r="B17" s="12" t="n">
        <f aca="false">COUNTIFS(Participants!$L$5:$L$64,"Guided offer",Participants!$D$5:$D$64,"North Yard")</f>
        <v>10</v>
      </c>
      <c r="C17" s="12" t="n">
        <f aca="false">COUNTIFS(Participants!$L$5:$L$64,"Standard education",Participants!$D$5:$D$64,"North Yard")</f>
        <v>10</v>
      </c>
      <c r="D17" s="13" t="n">
        <f aca="false">B17/30</f>
        <v>0.333333333333333</v>
      </c>
      <c r="E17" s="13" t="n">
        <f aca="false">C17/30</f>
        <v>0.333333333333333</v>
      </c>
      <c r="F17" s="13" t="n">
        <f aca="false">ABS(D17-E17)</f>
        <v>0</v>
      </c>
      <c r="G17" s="3" t="s">
        <v>222</v>
      </c>
    </row>
    <row r="18" customFormat="false" ht="15" hidden="false" customHeight="false" outlineLevel="0" collapsed="false">
      <c r="A18" s="3" t="s">
        <v>223</v>
      </c>
      <c r="B18" s="12" t="n">
        <f aca="false">COUNTIFS(Participants!$L$5:$L$64,"Guided offer",Participants!$D$5:$D$64,"Central Plant")</f>
        <v>10</v>
      </c>
      <c r="C18" s="12" t="n">
        <f aca="false">COUNTIFS(Participants!$L$5:$L$64,"Standard education",Participants!$D$5:$D$64,"Central Plant")</f>
        <v>10</v>
      </c>
      <c r="D18" s="13" t="n">
        <f aca="false">B18/30</f>
        <v>0.333333333333333</v>
      </c>
      <c r="E18" s="13" t="n">
        <f aca="false">C18/30</f>
        <v>0.333333333333333</v>
      </c>
      <c r="F18" s="13" t="n">
        <f aca="false">ABS(D18-E18)</f>
        <v>0</v>
      </c>
      <c r="G18" s="3" t="s">
        <v>222</v>
      </c>
    </row>
    <row r="19" customFormat="false" ht="15" hidden="false" customHeight="false" outlineLevel="0" collapsed="false">
      <c r="A19" s="3" t="s">
        <v>224</v>
      </c>
      <c r="B19" s="12" t="n">
        <f aca="false">COUNTIFS(Participants!$L$5:$L$64,"Guided offer",Participants!$D$5:$D$64,"South Works")</f>
        <v>10</v>
      </c>
      <c r="C19" s="12" t="n">
        <f aca="false">COUNTIFS(Participants!$L$5:$L$64,"Standard education",Participants!$D$5:$D$64,"South Works")</f>
        <v>10</v>
      </c>
      <c r="D19" s="13" t="n">
        <f aca="false">B19/30</f>
        <v>0.333333333333333</v>
      </c>
      <c r="E19" s="13" t="n">
        <f aca="false">C19/30</f>
        <v>0.333333333333333</v>
      </c>
      <c r="F19" s="13" t="n">
        <f aca="false">ABS(D19-E19)</f>
        <v>0</v>
      </c>
      <c r="G19" s="3" t="s">
        <v>222</v>
      </c>
    </row>
    <row r="20" customFormat="false" ht="15" hidden="false" customHeight="false" outlineLevel="0" collapsed="false">
      <c r="A20" s="3" t="s">
        <v>225</v>
      </c>
      <c r="B20" s="12" t="n">
        <f aca="false">COUNTIFS(Participants!$L$5:$L$64,"Guided offer",Participants!$E$5:$E$64,"Day")</f>
        <v>6</v>
      </c>
      <c r="C20" s="12" t="n">
        <f aca="false">COUNTIFS(Participants!$L$5:$L$64,"Standard education",Participants!$E$5:$E$64,"Day")</f>
        <v>14</v>
      </c>
      <c r="D20" s="13" t="n">
        <f aca="false">B20/30</f>
        <v>0.2</v>
      </c>
      <c r="E20" s="13" t="n">
        <f aca="false">C20/30</f>
        <v>0.466666666666667</v>
      </c>
      <c r="F20" s="13" t="n">
        <f aca="false">ABS(D20-E20)</f>
        <v>0.266666666666667</v>
      </c>
      <c r="G20" s="3" t="s">
        <v>222</v>
      </c>
    </row>
    <row r="21" customFormat="false" ht="15" hidden="false" customHeight="false" outlineLevel="0" collapsed="false">
      <c r="A21" s="3" t="s">
        <v>226</v>
      </c>
      <c r="B21" s="12" t="n">
        <f aca="false">COUNTIFS(Participants!$L$5:$L$64,"Guided offer",Participants!$E$5:$E$64,"Swing")</f>
        <v>14</v>
      </c>
      <c r="C21" s="12" t="n">
        <f aca="false">COUNTIFS(Participants!$L$5:$L$64,"Standard education",Participants!$E$5:$E$64,"Swing")</f>
        <v>6</v>
      </c>
      <c r="D21" s="13" t="n">
        <f aca="false">B21/30</f>
        <v>0.466666666666667</v>
      </c>
      <c r="E21" s="13" t="n">
        <f aca="false">C21/30</f>
        <v>0.2</v>
      </c>
      <c r="F21" s="13" t="n">
        <f aca="false">ABS(D21-E21)</f>
        <v>0.266666666666667</v>
      </c>
      <c r="G21" s="3" t="s">
        <v>222</v>
      </c>
    </row>
    <row r="22" customFormat="false" ht="15" hidden="false" customHeight="false" outlineLevel="0" collapsed="false">
      <c r="A22" s="3" t="s">
        <v>227</v>
      </c>
      <c r="B22" s="12" t="n">
        <f aca="false">COUNTIFS(Participants!$L$5:$L$64,"Guided offer",Participants!$E$5:$E$64,"Night")</f>
        <v>10</v>
      </c>
      <c r="C22" s="12" t="n">
        <f aca="false">COUNTIFS(Participants!$L$5:$L$64,"Standard education",Participants!$E$5:$E$64,"Night")</f>
        <v>10</v>
      </c>
      <c r="D22" s="13" t="n">
        <f aca="false">B22/30</f>
        <v>0.333333333333333</v>
      </c>
      <c r="E22" s="13" t="n">
        <f aca="false">C22/30</f>
        <v>0.333333333333333</v>
      </c>
      <c r="F22" s="13" t="n">
        <f aca="false">ABS(D22-E22)</f>
        <v>0</v>
      </c>
      <c r="G22" s="3" t="s">
        <v>222</v>
      </c>
    </row>
    <row r="23" customFormat="false" ht="15" hidden="false" customHeight="false" outlineLevel="0" collapsed="false">
      <c r="A23" s="3" t="s">
        <v>228</v>
      </c>
      <c r="B23" s="12" t="n">
        <f aca="false">COUNTIFS(Participants!$L$5:$L$64,"Guided offer",Participants!$H$5:$H$64,"Interested")</f>
        <v>10</v>
      </c>
      <c r="C23" s="12" t="n">
        <f aca="false">COUNTIFS(Participants!$L$5:$L$64,"Standard education",Participants!$H$5:$H$64,"Interested")</f>
        <v>11</v>
      </c>
      <c r="D23" s="13" t="n">
        <f aca="false">B23/30</f>
        <v>0.333333333333333</v>
      </c>
      <c r="E23" s="13" t="n">
        <f aca="false">C23/30</f>
        <v>0.366666666666667</v>
      </c>
      <c r="F23" s="13" t="n">
        <f aca="false">ABS(D23-E23)</f>
        <v>0.0333333333333333</v>
      </c>
      <c r="G23" s="3" t="s">
        <v>222</v>
      </c>
    </row>
    <row r="24" customFormat="false" ht="15" hidden="false" customHeight="false" outlineLevel="0" collapsed="false">
      <c r="A24" s="3" t="s">
        <v>229</v>
      </c>
      <c r="B24" s="12" t="n">
        <f aca="false">COUNTIFS(Participants!$L$5:$L$64,"Guided offer",Participants!$H$5:$H$64,"Not interested")</f>
        <v>10</v>
      </c>
      <c r="C24" s="12" t="n">
        <f aca="false">COUNTIFS(Participants!$L$5:$L$64,"Standard education",Participants!$H$5:$H$64,"Not interested")</f>
        <v>11</v>
      </c>
      <c r="D24" s="13" t="n">
        <f aca="false">B24/30</f>
        <v>0.333333333333333</v>
      </c>
      <c r="E24" s="13" t="n">
        <f aca="false">C24/30</f>
        <v>0.366666666666667</v>
      </c>
      <c r="F24" s="13" t="n">
        <f aca="false">ABS(D24-E24)</f>
        <v>0.0333333333333333</v>
      </c>
      <c r="G24" s="3" t="s">
        <v>222</v>
      </c>
    </row>
    <row r="25" customFormat="false" ht="15" hidden="false" customHeight="false" outlineLevel="0" collapsed="false">
      <c r="A25" s="3" t="s">
        <v>230</v>
      </c>
      <c r="B25" s="12" t="n">
        <f aca="false">COUNTIFS(Participants!$L$5:$L$64,"Guided offer",Participants!$H$5:$H$64,"Unknown")</f>
        <v>10</v>
      </c>
      <c r="C25" s="12" t="n">
        <f aca="false">COUNTIFS(Participants!$L$5:$L$64,"Standard education",Participants!$H$5:$H$64,"Unknown")</f>
        <v>8</v>
      </c>
      <c r="D25" s="13" t="n">
        <f aca="false">B25/30</f>
        <v>0.333333333333333</v>
      </c>
      <c r="E25" s="13" t="n">
        <f aca="false">C25/30</f>
        <v>0.266666666666667</v>
      </c>
      <c r="F25" s="13" t="n">
        <f aca="false">ABS(D25-E25)</f>
        <v>0.0666666666666667</v>
      </c>
      <c r="G25" s="3" t="s">
        <v>222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2"/>
    <col collapsed="false" customWidth="true" hidden="false" outlineLevel="0" max="3" min="3" style="0" width="25"/>
    <col collapsed="false" customWidth="true" hidden="false" outlineLevel="0" max="4" min="4" style="0" width="46"/>
    <col collapsed="false" customWidth="true" hidden="false" outlineLevel="0" max="5" min="5" style="0" width="58"/>
  </cols>
  <sheetData>
    <row r="1" customFormat="false" ht="30" hidden="false" customHeight="true" outlineLevel="0" collapsed="false">
      <c r="A1" s="1" t="s">
        <v>231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232</v>
      </c>
      <c r="B2" s="2"/>
      <c r="C2" s="2"/>
      <c r="D2" s="2"/>
      <c r="E2" s="2"/>
    </row>
    <row r="3" customFormat="false" ht="15" hidden="false" customHeight="false" outlineLevel="0" collapsed="false">
      <c r="A3" s="3"/>
      <c r="B3" s="3"/>
      <c r="C3" s="3"/>
      <c r="D3" s="3"/>
      <c r="E3" s="3"/>
    </row>
    <row r="4" customFormat="false" ht="31.5" hidden="false" customHeight="true" outlineLevel="0" collapsed="false">
      <c r="A4" s="4" t="s">
        <v>233</v>
      </c>
      <c r="B4" s="4" t="s">
        <v>234</v>
      </c>
      <c r="C4" s="4" t="s">
        <v>235</v>
      </c>
      <c r="D4" s="4" t="s">
        <v>236</v>
      </c>
      <c r="E4" s="4" t="s">
        <v>237</v>
      </c>
    </row>
    <row r="5" customFormat="false" ht="15" hidden="false" customHeight="false" outlineLevel="0" collapsed="false">
      <c r="A5" s="3" t="s">
        <v>30</v>
      </c>
      <c r="B5" s="3" t="s">
        <v>238</v>
      </c>
      <c r="C5" s="3" t="s">
        <v>239</v>
      </c>
      <c r="D5" s="3" t="s">
        <v>240</v>
      </c>
      <c r="E5" s="3" t="s">
        <v>241</v>
      </c>
    </row>
    <row r="6" customFormat="false" ht="15" hidden="false" customHeight="false" outlineLevel="0" collapsed="false">
      <c r="A6" s="3" t="s">
        <v>31</v>
      </c>
      <c r="B6" s="3" t="s">
        <v>242</v>
      </c>
      <c r="C6" s="3" t="s">
        <v>243</v>
      </c>
      <c r="D6" s="3" t="s">
        <v>244</v>
      </c>
      <c r="E6" s="3" t="s">
        <v>245</v>
      </c>
    </row>
    <row r="7" customFormat="false" ht="15" hidden="false" customHeight="false" outlineLevel="0" collapsed="false">
      <c r="A7" s="3" t="s">
        <v>37</v>
      </c>
      <c r="B7" s="3" t="s">
        <v>246</v>
      </c>
      <c r="C7" s="3" t="s">
        <v>247</v>
      </c>
      <c r="D7" s="3" t="s">
        <v>248</v>
      </c>
      <c r="E7" s="3" t="s">
        <v>249</v>
      </c>
    </row>
    <row r="8" customFormat="false" ht="15" hidden="false" customHeight="false" outlineLevel="0" collapsed="false">
      <c r="A8" s="3" t="s">
        <v>41</v>
      </c>
      <c r="B8" s="3" t="s">
        <v>250</v>
      </c>
      <c r="C8" s="3" t="s">
        <v>251</v>
      </c>
      <c r="D8" s="3" t="s">
        <v>240</v>
      </c>
      <c r="E8" s="3" t="s">
        <v>252</v>
      </c>
    </row>
    <row r="9" customFormat="false" ht="15" hidden="false" customHeight="false" outlineLevel="0" collapsed="false">
      <c r="A9" s="3" t="s">
        <v>42</v>
      </c>
      <c r="B9" s="3" t="s">
        <v>253</v>
      </c>
      <c r="C9" s="3" t="s">
        <v>254</v>
      </c>
      <c r="D9" s="3" t="s">
        <v>255</v>
      </c>
      <c r="E9" s="3" t="s">
        <v>256</v>
      </c>
    </row>
    <row r="10" customFormat="false" ht="15" hidden="false" customHeight="false" outlineLevel="0" collapsed="false">
      <c r="A10" s="3" t="s">
        <v>44</v>
      </c>
      <c r="B10" s="3" t="s">
        <v>257</v>
      </c>
      <c r="C10" s="3" t="s">
        <v>254</v>
      </c>
      <c r="D10" s="3" t="s">
        <v>258</v>
      </c>
      <c r="E10" s="3" t="s">
        <v>259</v>
      </c>
    </row>
    <row r="11" customFormat="false" ht="15" hidden="false" customHeight="false" outlineLevel="0" collapsed="false">
      <c r="A11" s="3" t="s">
        <v>46</v>
      </c>
      <c r="B11" s="3" t="s">
        <v>260</v>
      </c>
      <c r="C11" s="3" t="s">
        <v>261</v>
      </c>
      <c r="D11" s="3" t="s">
        <v>262</v>
      </c>
      <c r="E11" s="3" t="s">
        <v>263</v>
      </c>
    </row>
    <row r="12" customFormat="false" ht="15" hidden="false" customHeight="false" outlineLevel="0" collapsed="false">
      <c r="A12" s="3" t="s">
        <v>48</v>
      </c>
      <c r="B12" s="3" t="s">
        <v>264</v>
      </c>
      <c r="C12" s="3" t="s">
        <v>265</v>
      </c>
      <c r="D12" s="3" t="s">
        <v>266</v>
      </c>
      <c r="E12" s="3" t="s">
        <v>267</v>
      </c>
    </row>
    <row r="13" customFormat="false" ht="28.35" hidden="false" customHeight="false" outlineLevel="0" collapsed="false">
      <c r="A13" s="3" t="s">
        <v>50</v>
      </c>
      <c r="B13" s="3" t="s">
        <v>268</v>
      </c>
      <c r="C13" s="3" t="s">
        <v>269</v>
      </c>
      <c r="D13" s="3" t="s">
        <v>270</v>
      </c>
      <c r="E13" s="3" t="s">
        <v>271</v>
      </c>
    </row>
    <row r="14" customFormat="false" ht="15" hidden="false" customHeight="false" outlineLevel="0" collapsed="false">
      <c r="A14" s="3" t="s">
        <v>51</v>
      </c>
      <c r="B14" s="3" t="s">
        <v>272</v>
      </c>
      <c r="C14" s="3" t="s">
        <v>269</v>
      </c>
      <c r="D14" s="3" t="s">
        <v>273</v>
      </c>
      <c r="E14" s="3" t="s">
        <v>274</v>
      </c>
    </row>
    <row r="15" customFormat="false" ht="15" hidden="false" customHeight="false" outlineLevel="0" collapsed="false">
      <c r="A15" s="3" t="s">
        <v>52</v>
      </c>
      <c r="B15" s="3" t="s">
        <v>275</v>
      </c>
      <c r="C15" s="3" t="s">
        <v>276</v>
      </c>
      <c r="D15" s="3" t="s">
        <v>277</v>
      </c>
      <c r="E15" s="3" t="s">
        <v>278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47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279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280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31.5" hidden="false" customHeight="true" outlineLevel="0" collapsed="false">
      <c r="A4" s="4" t="s">
        <v>281</v>
      </c>
      <c r="B4" s="4" t="s">
        <v>282</v>
      </c>
      <c r="C4" s="4" t="s">
        <v>283</v>
      </c>
      <c r="D4" s="4" t="s">
        <v>284</v>
      </c>
      <c r="E4" s="4" t="s">
        <v>170</v>
      </c>
      <c r="F4" s="4" t="s">
        <v>285</v>
      </c>
    </row>
    <row r="5" customFormat="false" ht="15" hidden="false" customHeight="false" outlineLevel="0" collapsed="false">
      <c r="A5" s="3" t="s">
        <v>286</v>
      </c>
      <c r="B5" s="3" t="s">
        <v>287</v>
      </c>
      <c r="C5" s="3" t="s">
        <v>288</v>
      </c>
      <c r="D5" s="3" t="s">
        <v>289</v>
      </c>
      <c r="E5" s="3" t="s">
        <v>290</v>
      </c>
      <c r="F5" s="3" t="s">
        <v>291</v>
      </c>
    </row>
    <row r="6" customFormat="false" ht="15" hidden="false" customHeight="false" outlineLevel="0" collapsed="false">
      <c r="A6" s="3" t="s">
        <v>286</v>
      </c>
      <c r="B6" s="3" t="s">
        <v>292</v>
      </c>
      <c r="C6" s="3" t="s">
        <v>293</v>
      </c>
      <c r="D6" s="3" t="s">
        <v>289</v>
      </c>
      <c r="E6" s="3" t="s">
        <v>202</v>
      </c>
      <c r="F6" s="3" t="s">
        <v>294</v>
      </c>
    </row>
    <row r="7" customFormat="false" ht="15" hidden="false" customHeight="false" outlineLevel="0" collapsed="false">
      <c r="A7" s="3" t="s">
        <v>286</v>
      </c>
      <c r="B7" s="3" t="s">
        <v>295</v>
      </c>
      <c r="C7" s="3" t="s">
        <v>296</v>
      </c>
      <c r="D7" s="3" t="s">
        <v>289</v>
      </c>
      <c r="E7" s="3" t="s">
        <v>205</v>
      </c>
      <c r="F7" s="3" t="s">
        <v>294</v>
      </c>
    </row>
    <row r="8" customFormat="false" ht="28.35" hidden="false" customHeight="false" outlineLevel="0" collapsed="false">
      <c r="A8" s="3" t="s">
        <v>297</v>
      </c>
      <c r="B8" s="3" t="s">
        <v>298</v>
      </c>
      <c r="C8" s="3" t="s">
        <v>299</v>
      </c>
      <c r="D8" s="3" t="s">
        <v>300</v>
      </c>
      <c r="E8" s="3" t="s">
        <v>176</v>
      </c>
      <c r="F8" s="3" t="s">
        <v>301</v>
      </c>
    </row>
    <row r="9" customFormat="false" ht="15" hidden="false" customHeight="false" outlineLevel="0" collapsed="false">
      <c r="A9" s="3" t="s">
        <v>297</v>
      </c>
      <c r="B9" s="3" t="s">
        <v>302</v>
      </c>
      <c r="C9" s="3" t="s">
        <v>303</v>
      </c>
      <c r="D9" s="3" t="s">
        <v>304</v>
      </c>
      <c r="E9" s="3" t="s">
        <v>176</v>
      </c>
      <c r="F9" s="3" t="s">
        <v>305</v>
      </c>
    </row>
    <row r="10" customFormat="false" ht="28.35" hidden="false" customHeight="false" outlineLevel="0" collapsed="false">
      <c r="A10" s="3" t="s">
        <v>297</v>
      </c>
      <c r="B10" s="3" t="s">
        <v>306</v>
      </c>
      <c r="C10" s="3" t="s">
        <v>307</v>
      </c>
      <c r="D10" s="3" t="s">
        <v>308</v>
      </c>
      <c r="E10" s="3" t="s">
        <v>173</v>
      </c>
      <c r="F10" s="3" t="s">
        <v>305</v>
      </c>
    </row>
    <row r="11" customFormat="false" ht="15" hidden="false" customHeight="false" outlineLevel="0" collapsed="false">
      <c r="A11" s="3" t="s">
        <v>309</v>
      </c>
      <c r="B11" s="3" t="s">
        <v>310</v>
      </c>
      <c r="C11" s="3" t="s">
        <v>311</v>
      </c>
      <c r="D11" s="3" t="s">
        <v>312</v>
      </c>
      <c r="E11" s="3" t="s">
        <v>290</v>
      </c>
      <c r="F11" s="3" t="s">
        <v>313</v>
      </c>
    </row>
    <row r="12" customFormat="false" ht="15" hidden="false" customHeight="false" outlineLevel="0" collapsed="false">
      <c r="A12" s="3" t="s">
        <v>314</v>
      </c>
      <c r="B12" s="3" t="s">
        <v>315</v>
      </c>
      <c r="C12" s="3" t="s">
        <v>316</v>
      </c>
      <c r="D12" s="3" t="s">
        <v>317</v>
      </c>
      <c r="E12" s="3" t="s">
        <v>173</v>
      </c>
      <c r="F12" s="3" t="s">
        <v>318</v>
      </c>
    </row>
    <row r="13" customFormat="false" ht="28.35" hidden="false" customHeight="false" outlineLevel="0" collapsed="false">
      <c r="A13" s="3" t="s">
        <v>319</v>
      </c>
      <c r="B13" s="3" t="s">
        <v>320</v>
      </c>
      <c r="C13" s="3" t="s">
        <v>321</v>
      </c>
      <c r="D13" s="3" t="s">
        <v>322</v>
      </c>
      <c r="E13" s="3" t="s">
        <v>323</v>
      </c>
      <c r="F13" s="3" t="s">
        <v>324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5" min="3" style="0" width="22"/>
    <col collapsed="false" customWidth="true" hidden="false" outlineLevel="0" max="6" min="6" style="0" width="45"/>
    <col collapsed="false" customWidth="true" hidden="false" outlineLevel="0" max="7" min="7" style="0" width="28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325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326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31.5" hidden="false" customHeight="true" outlineLevel="0" collapsed="false">
      <c r="A4" s="4" t="s">
        <v>327</v>
      </c>
      <c r="B4" s="4" t="s">
        <v>239</v>
      </c>
      <c r="C4" s="4" t="s">
        <v>328</v>
      </c>
      <c r="D4" s="4" t="s">
        <v>329</v>
      </c>
      <c r="E4" s="4" t="s">
        <v>330</v>
      </c>
      <c r="F4" s="4" t="s">
        <v>331</v>
      </c>
      <c r="G4" s="4" t="s">
        <v>332</v>
      </c>
      <c r="H4" s="4" t="s">
        <v>333</v>
      </c>
    </row>
    <row r="5" customFormat="false" ht="41.75" hidden="false" customHeight="false" outlineLevel="0" collapsed="false">
      <c r="A5" s="3" t="s">
        <v>334</v>
      </c>
      <c r="B5" s="15" t="n">
        <v>46101</v>
      </c>
      <c r="C5" s="15" t="n">
        <v>46105</v>
      </c>
      <c r="D5" s="3" t="s">
        <v>335</v>
      </c>
      <c r="E5" s="3" t="s">
        <v>299</v>
      </c>
      <c r="F5" s="3" t="n">
        <v>72</v>
      </c>
      <c r="G5" s="3" t="n">
        <v>60</v>
      </c>
      <c r="H5" s="3" t="n">
        <v>30</v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41.75" hidden="false" customHeight="false" outlineLevel="0" collapsed="false">
      <c r="A8" s="4" t="s">
        <v>336</v>
      </c>
      <c r="B8" s="3"/>
      <c r="C8" s="3"/>
      <c r="D8" s="3"/>
      <c r="E8" s="3"/>
      <c r="F8" s="3"/>
      <c r="G8" s="3"/>
      <c r="H8" s="3"/>
    </row>
    <row r="9" customFormat="false" ht="31.5" hidden="false" customHeight="true" outlineLevel="0" collapsed="false">
      <c r="A9" s="4" t="s">
        <v>337</v>
      </c>
      <c r="B9" s="4" t="s">
        <v>30</v>
      </c>
      <c r="C9" s="4" t="s">
        <v>338</v>
      </c>
      <c r="D9" s="4" t="s">
        <v>339</v>
      </c>
      <c r="E9" s="4" t="s">
        <v>340</v>
      </c>
      <c r="F9" s="4" t="s">
        <v>341</v>
      </c>
      <c r="G9" s="4" t="s">
        <v>342</v>
      </c>
      <c r="H9" s="4" t="s">
        <v>343</v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2026-08-20T18:49:24Z</dcterms:created>
  <dc:creator>openpyxl</dc:creator>
  <dc:description/>
  <dc:language>en-US</dc:language>
  <cp:lastModifiedBy/>
  <dcterms:modified xsi:type="dcterms:W3CDTF">2026-08-20T18:49:24Z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