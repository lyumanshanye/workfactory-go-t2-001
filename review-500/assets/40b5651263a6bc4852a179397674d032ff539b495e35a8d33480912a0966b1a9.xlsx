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ption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<sst xmlns="http://schemas.openxmlformats.org/spreadsheetml/2006/main" count="113" uniqueCount="83">
  <si>
    <t xml:space="preserve">JUNO MARCHETTI — CROSS-BORDER OPTION MODEL</t>
  </si>
  <si>
    <t xml:space="preserve">Northgale Institute mobility &amp; legal review | valuation date 1 January 2026</t>
  </si>
  <si>
    <t xml:space="preserve">Case inputs &amp; boundaries</t>
  </si>
  <si>
    <t xml:space="preserve">Customer</t>
  </si>
  <si>
    <t xml:space="preserve">Juno Marchetti</t>
  </si>
  <si>
    <t xml:space="preserve">Review sponsor</t>
  </si>
  <si>
    <t xml:space="preserve">Ayana Laurent / Northgale Institute</t>
  </si>
  <si>
    <t xml:space="preserve">Prior status</t>
  </si>
  <si>
    <t xml:space="preserve">Pending review</t>
  </si>
  <si>
    <t xml:space="preserve">Authorized status</t>
  </si>
  <si>
    <t xml:space="preserve">Conditional implementation</t>
  </si>
  <si>
    <t xml:space="preserve">Planning residency start (unconfirmed assumption)</t>
  </si>
  <si>
    <t xml:space="preserve">Valuation date</t>
  </si>
  <si>
    <t xml:space="preserve">Dutch-platform-eligible assets (EUR)</t>
  </si>
  <si>
    <t xml:space="preserve">German fund market value (EUR)</t>
  </si>
  <si>
    <t xml:space="preserve">German fund original cost (EUR)</t>
  </si>
  <si>
    <t xml:space="preserve">Cash reserve (EUR)</t>
  </si>
  <si>
    <t xml:space="preserve">Opening portfolio total (EUR)</t>
  </si>
  <si>
    <t xml:space="preserve">Economic shortfall: cost less market value (EUR)</t>
  </si>
  <si>
    <t xml:space="preserve">Reported calendar-year return 2024</t>
  </si>
  <si>
    <t xml:space="preserve">Reported calendar-year return 2025</t>
  </si>
  <si>
    <t xml:space="preserve">Boundary note</t>
  </si>
  <si>
    <t xml:space="preserve">Reported returns lack cash-flow/attribution detail; no causal explanation or reconstructed performance is asserted.</t>
  </si>
  <si>
    <t xml:space="preserve">Rules, fees &amp; scenario assumptions</t>
  </si>
  <si>
    <t xml:space="preserve">GLC-4</t>
  </si>
  <si>
    <t xml:space="preserve">No in-specie transfer; legacy retention allowed; full redemption only (no partial redemption).</t>
  </si>
  <si>
    <t xml:space="preserve">DPC-2</t>
  </si>
  <si>
    <t xml:space="preserve">Entire investable portfolio on supported Dutch platform by 31 March 2026.</t>
  </si>
  <si>
    <t xml:space="preserve">Recorded mandate</t>
  </si>
  <si>
    <t xml:space="preserve">Do not crystallise the fund’s current investment loss.</t>
  </si>
  <si>
    <t xml:space="preserve">Dutch platform charge</t>
  </si>
  <si>
    <t xml:space="preserve">Legacy custody charge</t>
  </si>
  <si>
    <t xml:space="preserve">Legacy fixed annual charge (EUR)</t>
  </si>
  <si>
    <t xml:space="preserve">Full-redemption charge at start of 2026</t>
  </si>
  <si>
    <t xml:space="preserve">Cash return</t>
  </si>
  <si>
    <t xml:space="preserve">Projection years</t>
  </si>
  <si>
    <t xml:space="preserve">2026, 2027, 2028</t>
  </si>
  <si>
    <t xml:space="preserve">Excluded variables</t>
  </si>
  <si>
    <t xml:space="preserve">No contributions, withdrawals, tax, foreign exchange effect, inflation or unstated charges.</t>
  </si>
  <si>
    <t xml:space="preserve">Scenario</t>
  </si>
  <si>
    <t xml:space="preserve">Dutch gross return</t>
  </si>
  <si>
    <t xml:space="preserve">German fund gross return</t>
  </si>
  <si>
    <t xml:space="preserve">Downside</t>
  </si>
  <si>
    <t xml:space="preserve">Base</t>
  </si>
  <si>
    <t xml:space="preserve">Upside</t>
  </si>
  <si>
    <t xml:space="preserve">Option definitions &amp; opening allocation</t>
  </si>
  <si>
    <t xml:space="preserve">Option</t>
  </si>
  <si>
    <t xml:space="preserve">Dutch opening (EUR)</t>
  </si>
  <si>
    <t xml:space="preserve">German opening (EUR)</t>
  </si>
  <si>
    <t xml:space="preserve">Cash opening (EUR)</t>
  </si>
  <si>
    <t xml:space="preserve">Redemption fee (EUR)</t>
  </si>
  <si>
    <t xml:space="preserve">Requirement fit / unresolved point</t>
  </si>
  <si>
    <t xml:space="preserve">Full redemption &amp; consolidation</t>
  </si>
  <si>
    <t xml:space="preserve">Meets DPC-2; conflicts with recorded no-crystallisation mandate.</t>
  </si>
  <si>
    <t xml:space="preserve">Retention + eligible-asset consolidation</t>
  </si>
  <si>
    <t xml:space="preserve">Respects mandate; needs documented DPC-2 exception / variance.</t>
  </si>
  <si>
    <t xml:space="preserve">Net fund proceeds under full redemption (EUR)</t>
  </si>
  <si>
    <t xml:space="preserve">2028 terminal values by scenario (formula-driven)</t>
  </si>
  <si>
    <t xml:space="preserve">Full redemption less retention</t>
  </si>
  <si>
    <t xml:space="preserve">Annual roll-forward detail (ending = opening + gross return − percentage charge − fixed charge)</t>
  </si>
  <si>
    <t xml:space="preserve">Full redemption &amp; consolidation | Downside</t>
  </si>
  <si>
    <t xml:space="preserve">Dutch ending</t>
  </si>
  <si>
    <t xml:space="preserve">German ending</t>
  </si>
  <si>
    <t xml:space="preserve">Cash ending</t>
  </si>
  <si>
    <t xml:space="preserve">Total ending</t>
  </si>
  <si>
    <t xml:space="preserve">Full redemption &amp; consolidation | Base</t>
  </si>
  <si>
    <t xml:space="preserve">Full redemption &amp; consolidation | Upside</t>
  </si>
  <si>
    <t xml:space="preserve">Retention + eligible-asset consolidation | Downside</t>
  </si>
  <si>
    <t xml:space="preserve">Retention + eligible-asset consolidation | Base</t>
  </si>
  <si>
    <t xml:space="preserve">Retention + eligible-asset consolidation | Upside</t>
  </si>
  <si>
    <t xml:space="preserve">Retention: 2028 German fund and remaining gap to original cost</t>
  </si>
  <si>
    <t xml:space="preserve">2028 German fund (EUR)</t>
  </si>
  <si>
    <t xml:space="preserve">Gap to €220,000 original cost (EUR)</t>
  </si>
  <si>
    <t xml:space="preserve">Decision record</t>
  </si>
  <si>
    <t xml:space="preserve">Recommended treatment</t>
  </si>
  <si>
    <t xml:space="preserve">Retention + eligible-asset consolidation — conditional; no German-fund redemption authority.</t>
  </si>
  <si>
    <t xml:space="preserve">Status change</t>
  </si>
  <si>
    <t xml:space="preserve">Pending review → Conditional implementation</t>
  </si>
  <si>
    <t xml:space="preserve">Implementation owner</t>
  </si>
  <si>
    <t xml:space="preserve">Damaris Macaulay</t>
  </si>
  <si>
    <t xml:space="preserve">Conditions</t>
  </si>
  <si>
    <t xml:space="preserve">Confirm residency facts; obtain written tax/legal view, GLC-4 confirmation, DPC-2 exception decision and Juno acknowledgement before an irreversible transaction.</t>
  </si>
  <si>
    <t xml:space="preserve">Prepared for Friday 9 January 2026 review | Owner: Damaris Macaulay | Financial advice only; tax/legal determinations reserved.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</si>
</sst>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m\ yyyy"/>
    <numFmt numFmtId="166" formatCode="\€#,##0"/>
    <numFmt numFmtId="167" formatCode="0.0%"/>
    <numFmt numFmtId="168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7324D"/>
      <name val="Cambria"/>
      <family val="0"/>
      <charset val="1"/>
    </font>
    <font>
      <b val="true"/>
      <sz val="11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0E749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5"/>
    <col collapsed="false" customWidth="true" hidden="false" outlineLevel="0" max="5" min="3" style="0" width="24"/>
    <col collapsed="false" customWidth="true" hidden="false" outlineLevel="0" max="6" min="6" style="0" width="30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/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8" hidden="false" customHeight="true" outlineLevel="0" collapsed="false">
      <c r="A5" s="4" t="s">
        <v>3</v>
      </c>
      <c r="B5" s="5" t="s">
        <v>4</v>
      </c>
    </row>
    <row r="6" customFormat="false" ht="18" hidden="false" customHeight="true" outlineLevel="0" collapsed="false">
      <c r="A6" s="4" t="s">
        <v>5</v>
      </c>
      <c r="B6" s="5" t="s">
        <v>6</v>
      </c>
    </row>
    <row r="7" customFormat="false" ht="18" hidden="false" customHeight="true" outlineLevel="0" collapsed="false">
      <c r="A7" s="4" t="s">
        <v>7</v>
      </c>
      <c r="B7" s="5" t="s">
        <v>8</v>
      </c>
    </row>
    <row r="8" customFormat="false" ht="18" hidden="false" customHeight="true" outlineLevel="0" collapsed="false">
      <c r="A8" s="4" t="s">
        <v>9</v>
      </c>
      <c r="B8" s="5" t="s">
        <v>10</v>
      </c>
    </row>
    <row r="9" customFormat="false" ht="18" hidden="false" customHeight="true" outlineLevel="0" collapsed="false">
      <c r="A9" s="4" t="s">
        <v>11</v>
      </c>
      <c r="B9" s="6" t="n">
        <v>45839</v>
      </c>
    </row>
    <row r="10" customFormat="false" ht="18" hidden="false" customHeight="true" outlineLevel="0" collapsed="false">
      <c r="A10" s="4" t="s">
        <v>12</v>
      </c>
      <c r="B10" s="6" t="n">
        <v>46023</v>
      </c>
    </row>
    <row r="11" customFormat="false" ht="18" hidden="false" customHeight="true" outlineLevel="0" collapsed="false">
      <c r="A11" s="4" t="s">
        <v>13</v>
      </c>
      <c r="B11" s="7" t="n">
        <v>780000</v>
      </c>
    </row>
    <row r="12" customFormat="false" ht="18" hidden="false" customHeight="true" outlineLevel="0" collapsed="false">
      <c r="A12" s="4" t="s">
        <v>14</v>
      </c>
      <c r="B12" s="7" t="n">
        <v>150000</v>
      </c>
    </row>
    <row r="13" customFormat="false" ht="18" hidden="false" customHeight="true" outlineLevel="0" collapsed="false">
      <c r="A13" s="4" t="s">
        <v>15</v>
      </c>
      <c r="B13" s="7" t="n">
        <v>220000</v>
      </c>
    </row>
    <row r="14" customFormat="false" ht="18" hidden="false" customHeight="true" outlineLevel="0" collapsed="false">
      <c r="A14" s="4" t="s">
        <v>16</v>
      </c>
      <c r="B14" s="7" t="n">
        <v>60000</v>
      </c>
    </row>
    <row r="15" customFormat="false" ht="18" hidden="false" customHeight="true" outlineLevel="0" collapsed="false">
      <c r="A15" s="4" t="s">
        <v>17</v>
      </c>
      <c r="B15" s="7" t="n">
        <f aca="false">B11+B12+B14</f>
        <v>990000</v>
      </c>
    </row>
    <row r="16" customFormat="false" ht="18" hidden="false" customHeight="true" outlineLevel="0" collapsed="false">
      <c r="A16" s="4" t="s">
        <v>18</v>
      </c>
      <c r="B16" s="7" t="n">
        <f aca="false">B13-B12</f>
        <v>70000</v>
      </c>
    </row>
    <row r="17" customFormat="false" ht="18" hidden="false" customHeight="true" outlineLevel="0" collapsed="false">
      <c r="A17" s="4" t="s">
        <v>19</v>
      </c>
      <c r="B17" s="8" t="n">
        <v>0.118</v>
      </c>
    </row>
    <row r="18" customFormat="false" ht="18" hidden="false" customHeight="true" outlineLevel="0" collapsed="false">
      <c r="A18" s="4" t="s">
        <v>20</v>
      </c>
      <c r="B18" s="8" t="n">
        <v>-0.026</v>
      </c>
    </row>
    <row r="19" customFormat="false" ht="18" hidden="false" customHeight="true" outlineLevel="0" collapsed="false">
      <c r="A19" s="4" t="s">
        <v>21</v>
      </c>
      <c r="B19" s="5" t="s">
        <v>22</v>
      </c>
      <c r="C19" s="5"/>
      <c r="D19" s="5"/>
      <c r="E19" s="5"/>
      <c r="F19" s="5"/>
    </row>
    <row r="20" customFormat="false" ht="18" hidden="false" customHeight="true" outlineLevel="0" collapsed="false"/>
    <row r="21" customFormat="false" ht="18" hidden="false" customHeight="true" outlineLevel="0" collapsed="false">
      <c r="A21" s="3" t="s">
        <v>23</v>
      </c>
      <c r="B21" s="3"/>
      <c r="C21" s="3"/>
      <c r="D21" s="3"/>
      <c r="E21" s="3"/>
      <c r="F21" s="3"/>
    </row>
    <row r="22" customFormat="false" ht="18" hidden="false" customHeight="true" outlineLevel="0" collapsed="false">
      <c r="A22" s="4" t="s">
        <v>24</v>
      </c>
      <c r="B22" s="5" t="s">
        <v>25</v>
      </c>
    </row>
    <row r="23" customFormat="false" ht="18" hidden="false" customHeight="true" outlineLevel="0" collapsed="false">
      <c r="A23" s="4" t="s">
        <v>26</v>
      </c>
      <c r="B23" s="5" t="s">
        <v>27</v>
      </c>
    </row>
    <row r="24" customFormat="false" ht="18" hidden="false" customHeight="true" outlineLevel="0" collapsed="false">
      <c r="A24" s="4" t="s">
        <v>28</v>
      </c>
      <c r="B24" s="5" t="s">
        <v>29</v>
      </c>
    </row>
    <row r="25" customFormat="false" ht="18" hidden="false" customHeight="true" outlineLevel="0" collapsed="false">
      <c r="A25" s="4" t="s">
        <v>30</v>
      </c>
      <c r="B25" s="9" t="n">
        <v>0.0055</v>
      </c>
    </row>
    <row r="26" customFormat="false" ht="18" hidden="false" customHeight="true" outlineLevel="0" collapsed="false">
      <c r="A26" s="4" t="s">
        <v>31</v>
      </c>
      <c r="B26" s="9" t="n">
        <v>0.0085</v>
      </c>
    </row>
    <row r="27" customFormat="false" ht="18" hidden="false" customHeight="true" outlineLevel="0" collapsed="false">
      <c r="A27" s="4" t="s">
        <v>32</v>
      </c>
      <c r="B27" s="7" t="n">
        <v>1200</v>
      </c>
    </row>
    <row r="28" customFormat="false" ht="18" hidden="false" customHeight="true" outlineLevel="0" collapsed="false">
      <c r="A28" s="4" t="s">
        <v>33</v>
      </c>
      <c r="B28" s="9" t="n">
        <v>0.01</v>
      </c>
    </row>
    <row r="29" customFormat="false" ht="18" hidden="false" customHeight="true" outlineLevel="0" collapsed="false">
      <c r="A29" s="4" t="s">
        <v>34</v>
      </c>
      <c r="B29" s="9" t="n">
        <v>0.015</v>
      </c>
    </row>
    <row r="30" customFormat="false" ht="18" hidden="false" customHeight="true" outlineLevel="0" collapsed="false">
      <c r="A30" s="4" t="s">
        <v>35</v>
      </c>
      <c r="B30" s="5" t="s">
        <v>36</v>
      </c>
    </row>
    <row r="31" customFormat="false" ht="18" hidden="false" customHeight="true" outlineLevel="0" collapsed="false">
      <c r="A31" s="4" t="s">
        <v>37</v>
      </c>
      <c r="B31" s="5" t="s">
        <v>38</v>
      </c>
    </row>
    <row r="32" customFormat="false" ht="18" hidden="false" customHeight="true" outlineLevel="0" collapsed="false">
      <c r="A32" s="3" t="s">
        <v>39</v>
      </c>
      <c r="B32" s="3" t="s">
        <v>40</v>
      </c>
      <c r="C32" s="3" t="s">
        <v>41</v>
      </c>
    </row>
    <row r="33" customFormat="false" ht="18" hidden="false" customHeight="true" outlineLevel="0" collapsed="false">
      <c r="A33" s="5" t="s">
        <v>42</v>
      </c>
      <c r="B33" s="9" t="n">
        <v>-0.05</v>
      </c>
      <c r="C33" s="9" t="n">
        <v>-0.08</v>
      </c>
    </row>
    <row r="34" customFormat="false" ht="18" hidden="false" customHeight="true" outlineLevel="0" collapsed="false">
      <c r="A34" s="5" t="s">
        <v>43</v>
      </c>
      <c r="B34" s="9" t="n">
        <v>0.05</v>
      </c>
      <c r="C34" s="9" t="n">
        <v>0.03</v>
      </c>
    </row>
    <row r="35" customFormat="false" ht="18" hidden="false" customHeight="true" outlineLevel="0" collapsed="false">
      <c r="A35" s="5" t="s">
        <v>44</v>
      </c>
      <c r="B35" s="9" t="n">
        <v>0.08</v>
      </c>
      <c r="C35" s="9" t="n">
        <v>0.07</v>
      </c>
    </row>
    <row r="36" customFormat="false" ht="18" hidden="false" customHeight="true" outlineLevel="0" collapsed="false"/>
    <row r="37" customFormat="false" ht="18" hidden="false" customHeight="true" outlineLevel="0" collapsed="false">
      <c r="A37" s="3" t="s">
        <v>45</v>
      </c>
      <c r="B37" s="3"/>
      <c r="C37" s="3"/>
      <c r="D37" s="3"/>
      <c r="E37" s="3"/>
      <c r="F37" s="3"/>
    </row>
    <row r="38" customFormat="false" ht="18" hidden="false" customHeight="true" outlineLevel="0" collapsed="false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</row>
    <row r="39" customFormat="false" ht="18" hidden="false" customHeight="true" outlineLevel="0" collapsed="false">
      <c r="A39" s="5" t="s">
        <v>52</v>
      </c>
      <c r="B39" s="7" t="n">
        <f aca="false">B11+B12*(1-B28)</f>
        <v>928500</v>
      </c>
      <c r="C39" s="7" t="n">
        <v>0</v>
      </c>
      <c r="D39" s="7" t="n">
        <f aca="false">B14</f>
        <v>60000</v>
      </c>
      <c r="E39" s="7" t="n">
        <f aca="false">B12*B28</f>
        <v>1500</v>
      </c>
      <c r="F39" s="5" t="s">
        <v>53</v>
      </c>
    </row>
    <row r="40" customFormat="false" ht="18" hidden="false" customHeight="true" outlineLevel="0" collapsed="false">
      <c r="A40" s="5" t="s">
        <v>54</v>
      </c>
      <c r="B40" s="7" t="n">
        <f aca="false">B11</f>
        <v>780000</v>
      </c>
      <c r="C40" s="7" t="n">
        <f aca="false">B12</f>
        <v>150000</v>
      </c>
      <c r="D40" s="7" t="n">
        <f aca="false">B14</f>
        <v>60000</v>
      </c>
      <c r="E40" s="7" t="n">
        <v>0</v>
      </c>
      <c r="F40" s="5" t="s">
        <v>55</v>
      </c>
    </row>
    <row r="41" customFormat="false" ht="18" hidden="false" customHeight="true" outlineLevel="0" collapsed="false"/>
    <row r="42" customFormat="false" ht="18" hidden="false" customHeight="true" outlineLevel="0" collapsed="false">
      <c r="A42" s="4" t="s">
        <v>56</v>
      </c>
      <c r="B42" s="7" t="n">
        <f aca="false">B12*(1-B28)</f>
        <v>148500</v>
      </c>
    </row>
    <row r="43" customFormat="false" ht="18" hidden="false" customHeight="true" outlineLevel="0" collapsed="false">
      <c r="A43" s="3" t="s">
        <v>57</v>
      </c>
      <c r="B43" s="3"/>
      <c r="C43" s="3"/>
      <c r="D43" s="3"/>
      <c r="E43" s="3"/>
      <c r="F43" s="3"/>
    </row>
    <row r="44" customFormat="false" ht="18" hidden="false" customHeight="true" outlineLevel="0" collapsed="false">
      <c r="A44" s="3" t="s">
        <v>39</v>
      </c>
      <c r="B44" s="3" t="s">
        <v>52</v>
      </c>
      <c r="C44" s="3" t="s">
        <v>54</v>
      </c>
      <c r="D44" s="3" t="s">
        <v>58</v>
      </c>
    </row>
    <row r="45" customFormat="false" ht="18" hidden="false" customHeight="true" outlineLevel="0" collapsed="false">
      <c r="A45" s="5" t="s">
        <v>42</v>
      </c>
      <c r="B45" s="7" t="n">
        <f aca="false">D54</f>
        <v>845066.758202063</v>
      </c>
      <c r="C45" s="7" t="n">
        <f aca="false">D72</f>
        <v>830249.88415875</v>
      </c>
      <c r="D45" s="7" t="n">
        <f aca="false">B45-C45</f>
        <v>14816.8740433126</v>
      </c>
    </row>
    <row r="46" customFormat="false" ht="18" hidden="false" customHeight="true" outlineLevel="0" collapsed="false">
      <c r="A46" s="5" t="s">
        <v>43</v>
      </c>
      <c r="B46" s="7" t="n">
        <f aca="false">D60</f>
        <v>1120793.25933956</v>
      </c>
      <c r="C46" s="7" t="n">
        <f aca="false">D78</f>
        <v>1107779.77053375</v>
      </c>
      <c r="D46" s="7" t="n">
        <f aca="false">B46-C46</f>
        <v>13013.4888058123</v>
      </c>
    </row>
    <row r="47" customFormat="false" ht="18" hidden="false" customHeight="true" outlineLevel="0" collapsed="false">
      <c r="A47" s="5" t="s">
        <v>44</v>
      </c>
      <c r="B47" s="7" t="n">
        <f aca="false">D66</f>
        <v>1214604.60270581</v>
      </c>
      <c r="C47" s="7" t="n">
        <f aca="false">D84</f>
        <v>1205966.77758375</v>
      </c>
      <c r="D47" s="7" t="n">
        <f aca="false">B47-C47</f>
        <v>8637.82512206235</v>
      </c>
    </row>
    <row r="48" customFormat="false" ht="18" hidden="false" customHeight="true" outlineLevel="0" collapsed="false"/>
    <row r="49" customFormat="false" ht="18" hidden="false" customHeight="true" outlineLevel="0" collapsed="false">
      <c r="A49" s="3" t="s">
        <v>59</v>
      </c>
      <c r="B49" s="3"/>
      <c r="C49" s="3"/>
      <c r="D49" s="3"/>
      <c r="E49" s="3"/>
      <c r="F49" s="3"/>
    </row>
    <row r="50" customFormat="false" ht="18" hidden="false" customHeight="true" outlineLevel="0" collapsed="false">
      <c r="A50" s="4" t="s">
        <v>60</v>
      </c>
      <c r="B50" s="10" t="n">
        <v>2026</v>
      </c>
      <c r="C50" s="10" t="n">
        <v>2027</v>
      </c>
      <c r="D50" s="10" t="n">
        <v>2028</v>
      </c>
    </row>
    <row r="51" customFormat="false" ht="18" hidden="false" customHeight="true" outlineLevel="0" collapsed="false">
      <c r="A51" s="5" t="s">
        <v>61</v>
      </c>
      <c r="B51" s="7" t="n">
        <f aca="false">$B$39*(1+$B$33-$B$25)</f>
        <v>876968.25</v>
      </c>
      <c r="C51" s="7" t="n">
        <f aca="false">B51*(1+$B$33-$B$25)</f>
        <v>828296.512125</v>
      </c>
      <c r="D51" s="7" t="n">
        <f aca="false">C51*(1+$B$33-$B$25)</f>
        <v>782326.055702063</v>
      </c>
    </row>
    <row r="52" customFormat="false" ht="18" hidden="false" customHeight="true" outlineLevel="0" collapsed="false">
      <c r="A52" s="5" t="s">
        <v>62</v>
      </c>
      <c r="B52" s="7" t="n">
        <v>0</v>
      </c>
      <c r="C52" s="7" t="n">
        <v>0</v>
      </c>
      <c r="D52" s="7" t="n">
        <v>0</v>
      </c>
    </row>
    <row r="53" customFormat="false" ht="18" hidden="false" customHeight="true" outlineLevel="0" collapsed="false">
      <c r="A53" s="5" t="s">
        <v>63</v>
      </c>
      <c r="B53" s="7" t="n">
        <f aca="false">$B$14*(1+$B$29)</f>
        <v>60900</v>
      </c>
      <c r="C53" s="7" t="n">
        <f aca="false">B53*(1+$B$29)</f>
        <v>61813.5</v>
      </c>
      <c r="D53" s="7" t="n">
        <f aca="false">C53*(1+$B$29)</f>
        <v>62740.7025</v>
      </c>
    </row>
    <row r="54" customFormat="false" ht="18" hidden="false" customHeight="true" outlineLevel="0" collapsed="false">
      <c r="A54" s="5" t="s">
        <v>64</v>
      </c>
      <c r="B54" s="7" t="n">
        <f aca="false">SUM(B51:B53)</f>
        <v>937868.25</v>
      </c>
      <c r="C54" s="7" t="n">
        <f aca="false">SUM(C51:C53)</f>
        <v>890110.012125</v>
      </c>
      <c r="D54" s="7" t="n">
        <f aca="false">SUM(D51:D53)</f>
        <v>845066.758202063</v>
      </c>
    </row>
    <row r="55" customFormat="false" ht="18" hidden="false" customHeight="true" outlineLevel="0" collapsed="false"/>
    <row r="56" customFormat="false" ht="18" hidden="false" customHeight="true" outlineLevel="0" collapsed="false">
      <c r="A56" s="4" t="s">
        <v>65</v>
      </c>
      <c r="B56" s="10" t="n">
        <v>2026</v>
      </c>
      <c r="C56" s="10" t="n">
        <v>2027</v>
      </c>
      <c r="D56" s="10" t="n">
        <v>2028</v>
      </c>
    </row>
    <row r="57" customFormat="false" ht="18" hidden="false" customHeight="true" outlineLevel="0" collapsed="false">
      <c r="A57" s="5" t="s">
        <v>61</v>
      </c>
      <c r="B57" s="7" t="n">
        <f aca="false">$B$39*(1+$B$34-$B$25)</f>
        <v>969818.25</v>
      </c>
      <c r="C57" s="7" t="n">
        <f aca="false">B57*(1+$B$34-$B$25)</f>
        <v>1012975.162125</v>
      </c>
      <c r="D57" s="7" t="n">
        <f aca="false">C57*(1+$B$34-$B$25)</f>
        <v>1058052.55683956</v>
      </c>
    </row>
    <row r="58" customFormat="false" ht="18" hidden="false" customHeight="true" outlineLevel="0" collapsed="false">
      <c r="A58" s="5" t="s">
        <v>62</v>
      </c>
      <c r="B58" s="7" t="n">
        <v>0</v>
      </c>
      <c r="C58" s="7" t="n">
        <v>0</v>
      </c>
      <c r="D58" s="7" t="n">
        <v>0</v>
      </c>
    </row>
    <row r="59" customFormat="false" ht="18" hidden="false" customHeight="true" outlineLevel="0" collapsed="false">
      <c r="A59" s="5" t="s">
        <v>63</v>
      </c>
      <c r="B59" s="7" t="n">
        <f aca="false">$B$14*(1+$B$29)</f>
        <v>60900</v>
      </c>
      <c r="C59" s="7" t="n">
        <f aca="false">B59*(1+$B$29)</f>
        <v>61813.5</v>
      </c>
      <c r="D59" s="7" t="n">
        <f aca="false">C59*(1+$B$29)</f>
        <v>62740.7025</v>
      </c>
    </row>
    <row r="60" customFormat="false" ht="18" hidden="false" customHeight="true" outlineLevel="0" collapsed="false">
      <c r="A60" s="5" t="s">
        <v>64</v>
      </c>
      <c r="B60" s="7" t="n">
        <f aca="false">SUM(B57:B59)</f>
        <v>1030718.25</v>
      </c>
      <c r="C60" s="7" t="n">
        <f aca="false">SUM(C57:C59)</f>
        <v>1074788.662125</v>
      </c>
      <c r="D60" s="7" t="n">
        <f aca="false">SUM(D57:D59)</f>
        <v>1120793.25933956</v>
      </c>
    </row>
    <row r="61" customFormat="false" ht="18" hidden="false" customHeight="true" outlineLevel="0" collapsed="false"/>
    <row r="62" customFormat="false" ht="18" hidden="false" customHeight="true" outlineLevel="0" collapsed="false">
      <c r="A62" s="4" t="s">
        <v>66</v>
      </c>
      <c r="B62" s="10" t="n">
        <v>2026</v>
      </c>
      <c r="C62" s="10" t="n">
        <v>2027</v>
      </c>
      <c r="D62" s="10" t="n">
        <v>2028</v>
      </c>
    </row>
    <row r="63" customFormat="false" ht="18" hidden="false" customHeight="true" outlineLevel="0" collapsed="false">
      <c r="A63" s="5" t="s">
        <v>61</v>
      </c>
      <c r="B63" s="7" t="n">
        <f aca="false">$B$39*(1+$B$35-$B$25)</f>
        <v>997673.25</v>
      </c>
      <c r="C63" s="7" t="n">
        <f aca="false">B63*(1+$B$35-$B$25)</f>
        <v>1071999.907125</v>
      </c>
      <c r="D63" s="7" t="n">
        <f aca="false">C63*(1+$B$35-$B$25)</f>
        <v>1151863.90020581</v>
      </c>
    </row>
    <row r="64" customFormat="false" ht="18" hidden="false" customHeight="true" outlineLevel="0" collapsed="false">
      <c r="A64" s="5" t="s">
        <v>62</v>
      </c>
      <c r="B64" s="7" t="n">
        <v>0</v>
      </c>
      <c r="C64" s="7" t="n">
        <v>0</v>
      </c>
      <c r="D64" s="7" t="n">
        <v>0</v>
      </c>
    </row>
    <row r="65" customFormat="false" ht="18" hidden="false" customHeight="true" outlineLevel="0" collapsed="false">
      <c r="A65" s="5" t="s">
        <v>63</v>
      </c>
      <c r="B65" s="7" t="n">
        <f aca="false">$B$14*(1+$B$29)</f>
        <v>60900</v>
      </c>
      <c r="C65" s="7" t="n">
        <f aca="false">B65*(1+$B$29)</f>
        <v>61813.5</v>
      </c>
      <c r="D65" s="7" t="n">
        <f aca="false">C65*(1+$B$29)</f>
        <v>62740.7025</v>
      </c>
    </row>
    <row r="66" customFormat="false" ht="18" hidden="false" customHeight="true" outlineLevel="0" collapsed="false">
      <c r="A66" s="5" t="s">
        <v>64</v>
      </c>
      <c r="B66" s="7" t="n">
        <f aca="false">SUM(B63:B65)</f>
        <v>1058573.25</v>
      </c>
      <c r="C66" s="7" t="n">
        <f aca="false">SUM(C63:C65)</f>
        <v>1133813.407125</v>
      </c>
      <c r="D66" s="7" t="n">
        <f aca="false">SUM(D63:D65)</f>
        <v>1214604.60270581</v>
      </c>
    </row>
    <row r="67" customFormat="false" ht="18" hidden="false" customHeight="true" outlineLevel="0" collapsed="false"/>
    <row r="68" customFormat="false" ht="18" hidden="false" customHeight="true" outlineLevel="0" collapsed="false">
      <c r="A68" s="4" t="s">
        <v>67</v>
      </c>
      <c r="B68" s="10" t="n">
        <v>2026</v>
      </c>
      <c r="C68" s="10" t="n">
        <v>2027</v>
      </c>
      <c r="D68" s="10" t="n">
        <v>2028</v>
      </c>
    </row>
    <row r="69" customFormat="false" ht="18" hidden="false" customHeight="true" outlineLevel="0" collapsed="false">
      <c r="A69" s="5" t="s">
        <v>61</v>
      </c>
      <c r="B69" s="7" t="n">
        <f aca="false">$B$40*(1+$B$33-$B$25)</f>
        <v>736710</v>
      </c>
      <c r="C69" s="7" t="n">
        <f aca="false">B69*(1+$B$33-$B$25)</f>
        <v>695822.595</v>
      </c>
      <c r="D69" s="7" t="n">
        <f aca="false">C69*(1+$B$33-$B$25)</f>
        <v>657204.4409775</v>
      </c>
    </row>
    <row r="70" customFormat="false" ht="18" hidden="false" customHeight="true" outlineLevel="0" collapsed="false">
      <c r="A70" s="5" t="s">
        <v>62</v>
      </c>
      <c r="B70" s="7" t="n">
        <f aca="false">$C$40*(1+$C$33-$B$26)-$B$27</f>
        <v>135525</v>
      </c>
      <c r="C70" s="7" t="n">
        <f aca="false">B70*(1+$C$33-$B$26)-$B$27</f>
        <v>122331.0375</v>
      </c>
      <c r="D70" s="7" t="n">
        <f aca="false">C70*(1+$C$33-$B$26)-$B$27</f>
        <v>110304.74068125</v>
      </c>
    </row>
    <row r="71" customFormat="false" ht="18" hidden="false" customHeight="true" outlineLevel="0" collapsed="false">
      <c r="A71" s="5" t="s">
        <v>63</v>
      </c>
      <c r="B71" s="7" t="n">
        <f aca="false">$B$14*(1+$B$29)</f>
        <v>60900</v>
      </c>
      <c r="C71" s="7" t="n">
        <f aca="false">B71*(1+$B$29)</f>
        <v>61813.5</v>
      </c>
      <c r="D71" s="7" t="n">
        <f aca="false">C71*(1+$B$29)</f>
        <v>62740.7025</v>
      </c>
    </row>
    <row r="72" customFormat="false" ht="18" hidden="false" customHeight="true" outlineLevel="0" collapsed="false">
      <c r="A72" s="5" t="s">
        <v>64</v>
      </c>
      <c r="B72" s="7" t="n">
        <f aca="false">SUM(B69:B71)</f>
        <v>933135</v>
      </c>
      <c r="C72" s="7" t="n">
        <f aca="false">SUM(C69:C71)</f>
        <v>879967.1325</v>
      </c>
      <c r="D72" s="7" t="n">
        <f aca="false">SUM(D69:D71)</f>
        <v>830249.88415875</v>
      </c>
    </row>
    <row r="73" customFormat="false" ht="18" hidden="false" customHeight="true" outlineLevel="0" collapsed="false"/>
    <row r="74" customFormat="false" ht="18" hidden="false" customHeight="true" outlineLevel="0" collapsed="false">
      <c r="A74" s="4" t="s">
        <v>68</v>
      </c>
      <c r="B74" s="10" t="n">
        <v>2026</v>
      </c>
      <c r="C74" s="10" t="n">
        <v>2027</v>
      </c>
      <c r="D74" s="10" t="n">
        <v>2028</v>
      </c>
    </row>
    <row r="75" customFormat="false" ht="18" hidden="false" customHeight="true" outlineLevel="0" collapsed="false">
      <c r="A75" s="5" t="s">
        <v>61</v>
      </c>
      <c r="B75" s="7" t="n">
        <f aca="false">$B$40*(1+$B$34-$B$25)</f>
        <v>814710</v>
      </c>
      <c r="C75" s="7" t="n">
        <f aca="false">B75*(1+$B$34-$B$25)</f>
        <v>850964.595</v>
      </c>
      <c r="D75" s="7" t="n">
        <f aca="false">C75*(1+$B$34-$B$25)</f>
        <v>888832.5194775</v>
      </c>
    </row>
    <row r="76" customFormat="false" ht="18" hidden="false" customHeight="true" outlineLevel="0" collapsed="false">
      <c r="A76" s="5" t="s">
        <v>62</v>
      </c>
      <c r="B76" s="7" t="n">
        <f aca="false">$C$40*(1+$C$34-$B$26)-$B$27</f>
        <v>152025</v>
      </c>
      <c r="C76" s="7" t="n">
        <f aca="false">B76*(1+$C$34-$B$26)-$B$27</f>
        <v>154093.5375</v>
      </c>
      <c r="D76" s="7" t="n">
        <f aca="false">C76*(1+$C$34-$B$26)-$B$27</f>
        <v>156206.54855625</v>
      </c>
    </row>
    <row r="77" customFormat="false" ht="18" hidden="false" customHeight="true" outlineLevel="0" collapsed="false">
      <c r="A77" s="5" t="s">
        <v>63</v>
      </c>
      <c r="B77" s="7" t="n">
        <f aca="false">$B$14*(1+$B$29)</f>
        <v>60900</v>
      </c>
      <c r="C77" s="7" t="n">
        <f aca="false">B77*(1+$B$29)</f>
        <v>61813.5</v>
      </c>
      <c r="D77" s="7" t="n">
        <f aca="false">C77*(1+$B$29)</f>
        <v>62740.7025</v>
      </c>
    </row>
    <row r="78" customFormat="false" ht="18" hidden="false" customHeight="true" outlineLevel="0" collapsed="false">
      <c r="A78" s="5" t="s">
        <v>64</v>
      </c>
      <c r="B78" s="7" t="n">
        <f aca="false">SUM(B75:B77)</f>
        <v>1027635</v>
      </c>
      <c r="C78" s="7" t="n">
        <f aca="false">SUM(C75:C77)</f>
        <v>1066871.6325</v>
      </c>
      <c r="D78" s="7" t="n">
        <f aca="false">SUM(D75:D77)</f>
        <v>1107779.77053375</v>
      </c>
    </row>
    <row r="79" customFormat="false" ht="18" hidden="false" customHeight="true" outlineLevel="0" collapsed="false"/>
    <row r="80" customFormat="false" ht="18" hidden="false" customHeight="true" outlineLevel="0" collapsed="false">
      <c r="A80" s="4" t="s">
        <v>69</v>
      </c>
      <c r="B80" s="10" t="n">
        <v>2026</v>
      </c>
      <c r="C80" s="10" t="n">
        <v>2027</v>
      </c>
      <c r="D80" s="10" t="n">
        <v>2028</v>
      </c>
    </row>
    <row r="81" customFormat="false" ht="18" hidden="false" customHeight="true" outlineLevel="0" collapsed="false">
      <c r="A81" s="5" t="s">
        <v>61</v>
      </c>
      <c r="B81" s="7" t="n">
        <f aca="false">$B$40*(1+$B$35-$B$25)</f>
        <v>838110</v>
      </c>
      <c r="C81" s="7" t="n">
        <f aca="false">B81*(1+$B$35-$B$25)</f>
        <v>900549.195</v>
      </c>
      <c r="D81" s="7" t="n">
        <f aca="false">C81*(1+$B$35-$B$25)</f>
        <v>967640.1100275</v>
      </c>
    </row>
    <row r="82" customFormat="false" ht="18" hidden="false" customHeight="true" outlineLevel="0" collapsed="false">
      <c r="A82" s="5" t="s">
        <v>62</v>
      </c>
      <c r="B82" s="7" t="n">
        <f aca="false">$C$40*(1+$C$35-$B$26)-$B$27</f>
        <v>158025</v>
      </c>
      <c r="C82" s="7" t="n">
        <f aca="false">B82*(1+$C$35-$B$26)-$B$27</f>
        <v>166543.5375</v>
      </c>
      <c r="D82" s="7" t="n">
        <f aca="false">C82*(1+$C$35-$B$26)-$B$27</f>
        <v>175585.96505625</v>
      </c>
    </row>
    <row r="83" customFormat="false" ht="18" hidden="false" customHeight="true" outlineLevel="0" collapsed="false">
      <c r="A83" s="5" t="s">
        <v>63</v>
      </c>
      <c r="B83" s="7" t="n">
        <f aca="false">$B$14*(1+$B$29)</f>
        <v>60900</v>
      </c>
      <c r="C83" s="7" t="n">
        <f aca="false">B83*(1+$B$29)</f>
        <v>61813.5</v>
      </c>
      <c r="D83" s="7" t="n">
        <f aca="false">C83*(1+$B$29)</f>
        <v>62740.7025</v>
      </c>
    </row>
    <row r="84" customFormat="false" ht="18" hidden="false" customHeight="true" outlineLevel="0" collapsed="false">
      <c r="A84" s="5" t="s">
        <v>64</v>
      </c>
      <c r="B84" s="7" t="n">
        <f aca="false">SUM(B81:B83)</f>
        <v>1057035</v>
      </c>
      <c r="C84" s="7" t="n">
        <f aca="false">SUM(C81:C83)</f>
        <v>1128906.2325</v>
      </c>
      <c r="D84" s="7" t="n">
        <f aca="false">SUM(D81:D83)</f>
        <v>1205966.77758375</v>
      </c>
    </row>
    <row r="85" customFormat="false" ht="18" hidden="false" customHeight="true" outlineLevel="0" collapsed="false"/>
    <row r="86" customFormat="false" ht="18" hidden="false" customHeight="true" outlineLevel="0" collapsed="false">
      <c r="A86" s="3" t="s">
        <v>70</v>
      </c>
      <c r="B86" s="3"/>
      <c r="C86" s="3"/>
      <c r="D86" s="3"/>
      <c r="E86" s="3"/>
      <c r="F86" s="3"/>
    </row>
    <row r="87" customFormat="false" ht="18" hidden="false" customHeight="true" outlineLevel="0" collapsed="false">
      <c r="A87" s="3" t="s">
        <v>39</v>
      </c>
      <c r="B87" s="3" t="s">
        <v>71</v>
      </c>
      <c r="C87" s="3" t="s">
        <v>72</v>
      </c>
    </row>
    <row r="88" customFormat="false" ht="18" hidden="false" customHeight="true" outlineLevel="0" collapsed="false">
      <c r="A88" s="5" t="s">
        <v>42</v>
      </c>
      <c r="B88" s="7" t="n">
        <f aca="false">D70</f>
        <v>110304.74068125</v>
      </c>
      <c r="C88" s="7" t="n">
        <f aca="false">$B$13-B88</f>
        <v>109695.25931875</v>
      </c>
    </row>
    <row r="89" customFormat="false" ht="18" hidden="false" customHeight="true" outlineLevel="0" collapsed="false">
      <c r="A89" s="5" t="s">
        <v>43</v>
      </c>
      <c r="B89" s="7" t="n">
        <f aca="false">D76</f>
        <v>156206.54855625</v>
      </c>
      <c r="C89" s="7" t="n">
        <f aca="false">$B$13-B89</f>
        <v>63793.45144375</v>
      </c>
    </row>
    <row r="90" customFormat="false" ht="18" hidden="false" customHeight="true" outlineLevel="0" collapsed="false">
      <c r="A90" s="5" t="s">
        <v>44</v>
      </c>
      <c r="B90" s="7" t="n">
        <f aca="false">D82</f>
        <v>175585.96505625</v>
      </c>
      <c r="C90" s="7" t="n">
        <f aca="false">$B$13-B90</f>
        <v>44414.03494375</v>
      </c>
    </row>
    <row r="91" customFormat="false" ht="18" hidden="false" customHeight="true" outlineLevel="0" collapsed="false"/>
    <row r="92" customFormat="false" ht="18" hidden="false" customHeight="true" outlineLevel="0" collapsed="false">
      <c r="A92" s="3" t="s">
        <v>73</v>
      </c>
      <c r="B92" s="3"/>
      <c r="C92" s="3"/>
      <c r="D92" s="3"/>
      <c r="E92" s="3"/>
      <c r="F92" s="3"/>
    </row>
    <row r="93" customFormat="false" ht="18" hidden="false" customHeight="true" outlineLevel="0" collapsed="false">
      <c r="A93" s="4" t="s">
        <v>74</v>
      </c>
      <c r="B93" s="5" t="s">
        <v>75</v>
      </c>
      <c r="C93" s="5"/>
      <c r="D93" s="5"/>
      <c r="E93" s="5"/>
      <c r="F93" s="5"/>
    </row>
    <row r="94" customFormat="false" ht="18" hidden="false" customHeight="true" outlineLevel="0" collapsed="false">
      <c r="A94" s="4" t="s">
        <v>76</v>
      </c>
      <c r="B94" s="5" t="s">
        <v>77</v>
      </c>
      <c r="C94" s="5"/>
      <c r="D94" s="5"/>
      <c r="E94" s="5"/>
      <c r="F94" s="5"/>
    </row>
    <row r="95" customFormat="false" ht="18" hidden="false" customHeight="true" outlineLevel="0" collapsed="false">
      <c r="A95" s="4" t="s">
        <v>78</v>
      </c>
      <c r="B95" s="5" t="s">
        <v>79</v>
      </c>
      <c r="C95" s="5"/>
      <c r="D95" s="5"/>
      <c r="E95" s="5"/>
      <c r="F95" s="5"/>
    </row>
    <row r="96" customFormat="false" ht="18" hidden="false" customHeight="true" outlineLevel="0" collapsed="false">
      <c r="A96" s="4" t="s">
        <v>80</v>
      </c>
      <c r="B96" s="5" t="s">
        <v>81</v>
      </c>
      <c r="C96" s="5"/>
      <c r="D96" s="5"/>
      <c r="E96" s="5"/>
      <c r="F96" s="5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</row>
    <row r="100" customFormat="false" ht="15" hidden="false" customHeight="false" outlineLevel="0" collapsed="false">
      <c r="A100" s="12" t="s">
        <v>82</v>
      </c>
    </row>
  </sheetData>
  <mergeCells count="15">
    <mergeCell ref="A1:F1"/>
    <mergeCell ref="A2:F2"/>
    <mergeCell ref="A4:F4"/>
    <mergeCell ref="B19:F19"/>
    <mergeCell ref="A21:F21"/>
    <mergeCell ref="A37:F37"/>
    <mergeCell ref="A43:F43"/>
    <mergeCell ref="A49:F49"/>
    <mergeCell ref="A86:F86"/>
    <mergeCell ref="A92:F92"/>
    <mergeCell ref="B93:F93"/>
    <mergeCell ref="B94:F94"/>
    <mergeCell ref="B95:F95"/>
    <mergeCell ref="B96:F96"/>
    <mergeCell ref="A98:F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2026-08-17T08:04:40Z</dcterms:created>
  <dc:creator>openpyxl</dc:creator>
  <dc:description/>
  <dc:language>en-US</dc:language>
  <cp:lastModifiedBy/>
  <dcterms:modified xsi:type="dcterms:W3CDTF">2026-08-17T08:04:40Z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