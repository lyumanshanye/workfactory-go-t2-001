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records" sheetId="1" state="visible" r:id="rId1"/>
  </sheets>
  <definedNames>
    <definedName name="_xlnm.Print_Titles" localSheetId="0">'Case records'!$1:$8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 mmm yyyy"/>
    <numFmt numFmtId="166" formatCode="$#,##0.00"/>
  </numFmts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b val="1"/>
      <color rgb="0017365D"/>
      <sz val="12"/>
    </font>
    <font>
      <name val="Aptos"/>
      <color rgb="004A4A4A"/>
      <sz val="10"/>
    </font>
    <font>
      <name val="Aptos"/>
      <i val="1"/>
      <color rgb="004A4A4A"/>
      <sz val="9"/>
    </font>
    <font>
      <name val="Aptos"/>
      <b val="1"/>
      <color rgb="00FFFFFF"/>
      <sz val="11"/>
    </font>
    <font>
      <name val="Aptos"/>
      <b val="1"/>
      <color rgb="00FFFFFF"/>
      <sz val="9"/>
    </font>
    <font>
      <name val="Aptos"/>
      <sz val="9"/>
    </font>
    <font>
      <name val="Aptos"/>
      <b val="1"/>
      <sz val="9"/>
    </font>
    <font>
      <name val="Aptos"/>
      <i val="1"/>
      <color rgb="004A4A4A"/>
      <sz val="8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7A8C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left"/>
    </xf>
    <xf numFmtId="0" fontId="4" fillId="0" borderId="0" applyAlignment="1" pivotButton="0" quotePrefix="0" xfId="0">
      <alignment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165" fontId="7" fillId="0" borderId="1" applyAlignment="1" pivotButton="0" quotePrefix="0" xfId="0">
      <alignment vertical="top"/>
    </xf>
    <xf numFmtId="0" fontId="7" fillId="0" borderId="1" applyAlignment="1" pivotButton="0" quotePrefix="0" xfId="0">
      <alignment horizontal="right" vertical="top"/>
    </xf>
    <xf numFmtId="0" fontId="5" fillId="3" borderId="0" pivotButton="0" quotePrefix="0" xfId="0"/>
    <xf numFmtId="166" fontId="7" fillId="0" borderId="1" applyAlignment="1" pivotButton="0" quotePrefix="0" xfId="0">
      <alignment vertical="top"/>
    </xf>
    <xf numFmtId="0" fontId="5" fillId="4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/>
    </xf>
    <xf numFmtId="166" fontId="8" fillId="0" borderId="1" applyAlignment="1" pivotButton="0" quotePrefix="0" xfId="0">
      <alignment vertical="top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BookingEvidence" displayName="BookingEvidence" ref="A8:K15" headerRowCount="1">
  <autoFilter ref="A8:K15"/>
  <tableColumns count="11">
    <tableColumn id="1" name="Booking Line Key"/>
    <tableColumn id="2" name="Cust ID / Booking"/>
    <tableColumn id="3" name="service_description"/>
    <tableColumn id="4" name="Date of svc"/>
    <tableColumn id="5" name="Qty"/>
    <tableColumn id="6" name="Unit"/>
    <tableColumn id="7" name="Tariff code"/>
    <tableColumn id="8" name="Tenant covers"/>
    <tableColumn id="9" name="All covers"/>
    <tableColumn id="10" name="svc note"/>
    <tableColumn id="11" name="recorded_fro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ssuedRates" displayName="IssuedRates" ref="A20:F26" headerRowCount="1">
  <autoFilter ref="A20:F26"/>
  <tableColumns count="6">
    <tableColumn id="1" name="Rate code"/>
    <tableColumn id="2" name="Charge description"/>
    <tableColumn id="3" name="Issued unit rate"/>
    <tableColumn id="4" name="Billing unit"/>
    <tableColumn id="5" name="Valid from"/>
    <tableColumn id="6" name="Tariff shee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LegacyHelper" displayName="LegacyHelper" ref="A31:E40" headerRowCount="1">
  <autoFilter ref="A31:E40"/>
  <tableColumns count="5">
    <tableColumn id="1" name="Legacy line"/>
    <tableColumn id="2" name="Legacy Qty"/>
    <tableColumn id="3" name="Legacy rate"/>
    <tableColumn id="4" name="Legacy extension"/>
    <tableColumn id="5" name="memo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42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4" customWidth="1" min="3" max="3"/>
    <col width="14" customWidth="1" min="4" max="4"/>
    <col width="10" customWidth="1" min="5" max="5"/>
    <col width="15" customWidth="1" min="6" max="6"/>
    <col width="13" customWidth="1" min="7" max="7"/>
    <col width="15" customWidth="1" min="8" max="8"/>
    <col width="18" customWidth="1" min="9" max="9"/>
    <col width="50" customWidth="1" min="10" max="10"/>
    <col width="19" customWidth="1" min="11" max="11"/>
  </cols>
  <sheetData>
    <row r="1" ht="27" customHeight="1">
      <c r="A1" s="1" t="inlineStr">
        <is>
          <t>WEXMOOR FOUNDRY</t>
        </is>
      </c>
    </row>
    <row r="2">
      <c r="A2" s="2" t="inlineStr">
        <is>
          <t>Facilities recharge booking extract</t>
        </is>
      </c>
    </row>
    <row r="3">
      <c r="A3" s="3" t="inlineStr">
        <is>
          <t>Tanneryside Associates | Case FR-60291 | Tenant conference</t>
        </is>
      </c>
    </row>
    <row r="4">
      <c r="A4" s="4" t="inlineStr">
        <is>
          <t>Frozen operational view - exported 20 Jun 2026 16:42</t>
        </is>
      </c>
    </row>
    <row r="6">
      <c r="A6" s="5" t="inlineStr">
        <is>
          <t>Booking evidence</t>
        </is>
      </c>
    </row>
    <row r="7">
      <c r="A7" s="6" t="inlineStr">
        <is>
          <t>Reconciliation control: Booking Line Key is the single-record reconciliation key for this extract.</t>
        </is>
      </c>
    </row>
    <row r="8" ht="31" customHeight="1">
      <c r="A8" s="7" t="inlineStr">
        <is>
          <t>Booking Line Key</t>
        </is>
      </c>
      <c r="B8" s="7" t="inlineStr">
        <is>
          <t>Cust ID / Booking</t>
        </is>
      </c>
      <c r="C8" s="7" t="inlineStr">
        <is>
          <t>service_description</t>
        </is>
      </c>
      <c r="D8" s="7" t="inlineStr">
        <is>
          <t>Date of svc</t>
        </is>
      </c>
      <c r="E8" s="7" t="inlineStr">
        <is>
          <t>Qty</t>
        </is>
      </c>
      <c r="F8" s="7" t="inlineStr">
        <is>
          <t>Unit</t>
        </is>
      </c>
      <c r="G8" s="7" t="inlineStr">
        <is>
          <t>Tariff code</t>
        </is>
      </c>
      <c r="H8" s="7" t="inlineStr">
        <is>
          <t>Tenant covers</t>
        </is>
      </c>
      <c r="I8" s="7" t="inlineStr">
        <is>
          <t>All covers</t>
        </is>
      </c>
      <c r="J8" s="7" t="inlineStr">
        <is>
          <t>svc note</t>
        </is>
      </c>
      <c r="K8" s="7" t="inlineStr">
        <is>
          <t>recorded_from</t>
        </is>
      </c>
    </row>
    <row r="9" ht="20" customHeight="1">
      <c r="A9" s="8" t="inlineStr">
        <is>
          <t>FS-60291-01</t>
        </is>
      </c>
      <c r="B9" s="8" t="inlineStr">
        <is>
          <t>TSA-771</t>
        </is>
      </c>
      <c r="C9" s="9" t="inlineStr">
        <is>
          <t>Conference suite day hire</t>
        </is>
      </c>
      <c r="D9" s="10" t="n">
        <v>46190</v>
      </c>
      <c r="E9" s="11" t="n">
        <v>1</v>
      </c>
      <c r="F9" s="8" t="inlineStr">
        <is>
          <t>day</t>
        </is>
      </c>
      <c r="G9" s="8" t="inlineStr">
        <is>
          <t>R-101</t>
        </is>
      </c>
      <c r="H9" s="11" t="n"/>
      <c r="I9" s="11" t="n"/>
      <c r="J9" s="9" t="inlineStr"/>
      <c r="K9" s="9" t="inlineStr">
        <is>
          <t>booking export</t>
        </is>
      </c>
    </row>
    <row r="10" ht="20" customHeight="1">
      <c r="A10" s="8" t="inlineStr">
        <is>
          <t>FS-60291-02</t>
        </is>
      </c>
      <c r="B10" s="8" t="inlineStr">
        <is>
          <t>TSA-771</t>
        </is>
      </c>
      <c r="C10" s="9" t="inlineStr">
        <is>
          <t>AV and screen package</t>
        </is>
      </c>
      <c r="D10" s="10" t="n">
        <v>46190</v>
      </c>
      <c r="E10" s="11" t="n">
        <v>1</v>
      </c>
      <c r="F10" s="8" t="inlineStr">
        <is>
          <t>package</t>
        </is>
      </c>
      <c r="G10" s="8" t="inlineStr">
        <is>
          <t>R-118</t>
        </is>
      </c>
      <c r="H10" s="11" t="n"/>
      <c r="I10" s="11" t="n"/>
      <c r="J10" s="9" t="inlineStr"/>
      <c r="K10" s="9" t="inlineStr">
        <is>
          <t>booking export</t>
        </is>
      </c>
    </row>
    <row r="11" ht="30" customHeight="1">
      <c r="A11" s="8" t="inlineStr">
        <is>
          <t>FS-60291-03</t>
        </is>
      </c>
      <c r="B11" s="8" t="inlineStr">
        <is>
          <t>TSA-771</t>
        </is>
      </c>
      <c r="C11" s="9" t="inlineStr">
        <is>
          <t>Room service - working lunch</t>
        </is>
      </c>
      <c r="D11" s="10" t="n">
        <v>46190</v>
      </c>
      <c r="E11" s="11" t="n">
        <v>42</v>
      </c>
      <c r="F11" s="8" t="inlineStr">
        <is>
          <t>covers</t>
        </is>
      </c>
      <c r="G11" s="8" t="inlineStr">
        <is>
          <t>R-207</t>
        </is>
      </c>
      <c r="H11" s="11" t="n"/>
      <c r="I11" s="11" t="n"/>
      <c r="J11" s="9" t="inlineStr">
        <is>
          <t>Post-service count: 37 covers served; recharge 37.</t>
        </is>
      </c>
      <c r="K11" s="9" t="inlineStr">
        <is>
          <t>booking export</t>
        </is>
      </c>
    </row>
    <row r="12" ht="30" customHeight="1">
      <c r="A12" s="8" t="inlineStr">
        <is>
          <t>FS-60291-04</t>
        </is>
      </c>
      <c r="B12" s="8" t="inlineStr">
        <is>
          <t>TSA-771</t>
        </is>
      </c>
      <c r="C12" s="9" t="inlineStr">
        <is>
          <t>Room service - afternoon refreshment</t>
        </is>
      </c>
      <c r="D12" s="10" t="n">
        <v>46190</v>
      </c>
      <c r="E12" s="11" t="n">
        <v>32</v>
      </c>
      <c r="F12" s="8" t="inlineStr">
        <is>
          <t>covers</t>
        </is>
      </c>
      <c r="G12" s="8" t="inlineStr">
        <is>
          <t>R-213</t>
        </is>
      </c>
      <c r="H12" s="11" t="n"/>
      <c r="I12" s="11" t="n"/>
      <c r="J12" s="9" t="inlineStr">
        <is>
          <t>Final trolley sheet: 28 covers served; use 28.</t>
        </is>
      </c>
      <c r="K12" s="9" t="inlineStr">
        <is>
          <t>booking export</t>
        </is>
      </c>
    </row>
    <row r="13" ht="20" customHeight="1">
      <c r="A13" s="8" t="inlineStr">
        <is>
          <t>FS-60291-04</t>
        </is>
      </c>
      <c r="B13" s="8" t="inlineStr">
        <is>
          <t>TSA-771</t>
        </is>
      </c>
      <c r="C13" s="9" t="inlineStr">
        <is>
          <t>Room service - afternoon refreshment</t>
        </is>
      </c>
      <c r="D13" s="10" t="n">
        <v>46191</v>
      </c>
      <c r="E13" s="11" t="n">
        <v>32</v>
      </c>
      <c r="F13" s="8" t="inlineStr">
        <is>
          <t>covers</t>
        </is>
      </c>
      <c r="G13" s="8" t="inlineStr">
        <is>
          <t>R-213</t>
        </is>
      </c>
      <c r="H13" s="11" t="n"/>
      <c r="I13" s="11" t="n"/>
      <c r="J13" s="9" t="inlineStr"/>
      <c r="K13" s="9" t="inlineStr">
        <is>
          <t>concierge handoff</t>
        </is>
      </c>
    </row>
    <row r="14" ht="30" customHeight="1">
      <c r="A14" s="8" t="inlineStr">
        <is>
          <t>FS-60291-05</t>
        </is>
      </c>
      <c r="B14" s="8" t="inlineStr">
        <is>
          <t>TSA-771</t>
        </is>
      </c>
      <c r="C14" s="9" t="inlineStr">
        <is>
          <t>Turnaround cleaning</t>
        </is>
      </c>
      <c r="D14" s="10" t="n">
        <v>46191</v>
      </c>
      <c r="E14" s="11" t="n">
        <v>1</v>
      </c>
      <c r="F14" s="8" t="inlineStr">
        <is>
          <t>fixed service</t>
        </is>
      </c>
      <c r="G14" s="8" t="inlineStr">
        <is>
          <t>R-316</t>
        </is>
      </c>
      <c r="H14" s="11" t="n">
        <v>0</v>
      </c>
      <c r="I14" s="11" t="n">
        <v>0</v>
      </c>
      <c r="J14" s="9" t="inlineStr">
        <is>
          <t>Fixed booked-service charge; attendance allocation unavailable in source.</t>
        </is>
      </c>
      <c r="K14" s="9" t="inlineStr">
        <is>
          <t>booking export</t>
        </is>
      </c>
    </row>
    <row r="15" ht="20" customHeight="1">
      <c r="A15" s="8" t="inlineStr">
        <is>
          <t>FS-60291-06</t>
        </is>
      </c>
      <c r="B15" s="8" t="inlineStr">
        <is>
          <t>TSA-771</t>
        </is>
      </c>
      <c r="C15" s="9" t="inlineStr">
        <is>
          <t>Evening access steward</t>
        </is>
      </c>
      <c r="D15" s="10" t="n">
        <v>46191</v>
      </c>
      <c r="E15" s="11" t="n">
        <v>1</v>
      </c>
      <c r="F15" s="8" t="inlineStr">
        <is>
          <t>shift</t>
        </is>
      </c>
      <c r="G15" s="8" t="inlineStr">
        <is>
          <t>R-411</t>
        </is>
      </c>
      <c r="H15" s="11" t="n"/>
      <c r="I15" s="11" t="n"/>
      <c r="J15" s="9" t="inlineStr"/>
      <c r="K15" s="9" t="inlineStr">
        <is>
          <t>booking export</t>
        </is>
      </c>
    </row>
    <row r="18">
      <c r="A18" s="12" t="inlineStr">
        <is>
          <t>Issued facilities rates</t>
        </is>
      </c>
    </row>
    <row r="19">
      <c r="A19" s="4" t="inlineStr">
        <is>
          <t>Rate release FW-06 | issued 01 Jun 2026</t>
        </is>
      </c>
    </row>
    <row r="20" ht="24" customHeight="1">
      <c r="A20" s="7" t="inlineStr">
        <is>
          <t>Rate code</t>
        </is>
      </c>
      <c r="B20" s="7" t="inlineStr">
        <is>
          <t>Charge description</t>
        </is>
      </c>
      <c r="C20" s="7" t="inlineStr">
        <is>
          <t>Issued unit rate</t>
        </is>
      </c>
      <c r="D20" s="7" t="inlineStr">
        <is>
          <t>Billing unit</t>
        </is>
      </c>
      <c r="E20" s="7" t="inlineStr">
        <is>
          <t>Valid from</t>
        </is>
      </c>
      <c r="F20" s="7" t="inlineStr">
        <is>
          <t>Tariff sheet</t>
        </is>
      </c>
    </row>
    <row r="21">
      <c r="A21" s="8" t="inlineStr">
        <is>
          <t>R-101</t>
        </is>
      </c>
      <c r="B21" s="9" t="inlineStr">
        <is>
          <t>Conference suite day hire</t>
        </is>
      </c>
      <c r="C21" s="13" t="n">
        <v>650</v>
      </c>
      <c r="D21" s="8" t="inlineStr">
        <is>
          <t>day</t>
        </is>
      </c>
      <c r="E21" s="10" t="n">
        <v>46174</v>
      </c>
      <c r="F21" s="8" t="inlineStr">
        <is>
          <t>FW-06</t>
        </is>
      </c>
    </row>
    <row r="22">
      <c r="A22" s="8" t="inlineStr">
        <is>
          <t>R-118</t>
        </is>
      </c>
      <c r="B22" s="9" t="inlineStr">
        <is>
          <t>AV and screen package</t>
        </is>
      </c>
      <c r="C22" s="13" t="n">
        <v>325</v>
      </c>
      <c r="D22" s="8" t="inlineStr">
        <is>
          <t>package</t>
        </is>
      </c>
      <c r="E22" s="10" t="n">
        <v>46174</v>
      </c>
      <c r="F22" s="8" t="inlineStr">
        <is>
          <t>FW-06</t>
        </is>
      </c>
    </row>
    <row r="23">
      <c r="A23" s="8" t="inlineStr">
        <is>
          <t>R-207</t>
        </is>
      </c>
      <c r="B23" s="9" t="inlineStr">
        <is>
          <t>Room service - working lunch</t>
        </is>
      </c>
      <c r="C23" s="13" t="n">
        <v>18.5</v>
      </c>
      <c r="D23" s="8" t="inlineStr">
        <is>
          <t>cover</t>
        </is>
      </c>
      <c r="E23" s="10" t="n">
        <v>46174</v>
      </c>
      <c r="F23" s="8" t="inlineStr">
        <is>
          <t>FW-06</t>
        </is>
      </c>
    </row>
    <row r="24">
      <c r="A24" s="8" t="inlineStr">
        <is>
          <t>R-213</t>
        </is>
      </c>
      <c r="B24" s="9" t="inlineStr">
        <is>
          <t>Room service - afternoon refreshment</t>
        </is>
      </c>
      <c r="C24" s="13" t="n">
        <v>9.75</v>
      </c>
      <c r="D24" s="8" t="inlineStr">
        <is>
          <t>cover</t>
        </is>
      </c>
      <c r="E24" s="10" t="n">
        <v>46174</v>
      </c>
      <c r="F24" s="8" t="inlineStr">
        <is>
          <t>FW-06</t>
        </is>
      </c>
    </row>
    <row r="25">
      <c r="A25" s="8" t="inlineStr">
        <is>
          <t>R-316</t>
        </is>
      </c>
      <c r="B25" s="9" t="inlineStr">
        <is>
          <t>Turnaround cleaning (fixed booked service)</t>
        </is>
      </c>
      <c r="C25" s="13" t="n">
        <v>190</v>
      </c>
      <c r="D25" s="8" t="inlineStr">
        <is>
          <t>fixed service</t>
        </is>
      </c>
      <c r="E25" s="10" t="n">
        <v>46174</v>
      </c>
      <c r="F25" s="8" t="inlineStr">
        <is>
          <t>FW-06</t>
        </is>
      </c>
    </row>
    <row r="26">
      <c r="A26" s="8" t="inlineStr">
        <is>
          <t>R-411</t>
        </is>
      </c>
      <c r="B26" s="9" t="inlineStr">
        <is>
          <t>Evening access steward</t>
        </is>
      </c>
      <c r="C26" s="13" t="n">
        <v>145</v>
      </c>
      <c r="D26" s="8" t="inlineStr">
        <is>
          <t>shift</t>
        </is>
      </c>
      <c r="E26" s="10" t="n">
        <v>46174</v>
      </c>
      <c r="F26" s="8" t="inlineStr">
        <is>
          <t>FW-06</t>
        </is>
      </c>
    </row>
    <row r="29">
      <c r="A29" s="14" t="inlineStr">
        <is>
          <t>Legacy helper calc (retired)</t>
        </is>
      </c>
    </row>
    <row r="30">
      <c r="A30" s="4" t="inlineStr">
        <is>
          <t>Archived working values carried into the earlier response; retained with the case extract.</t>
        </is>
      </c>
    </row>
    <row r="31">
      <c r="A31" s="15" t="inlineStr">
        <is>
          <t>Legacy line</t>
        </is>
      </c>
      <c r="B31" s="15" t="inlineStr">
        <is>
          <t>Legacy Qty</t>
        </is>
      </c>
      <c r="C31" s="15" t="inlineStr">
        <is>
          <t>Legacy rate</t>
        </is>
      </c>
      <c r="D31" s="15" t="inlineStr">
        <is>
          <t>Legacy extension</t>
        </is>
      </c>
      <c r="E31" s="15" t="inlineStr">
        <is>
          <t>memo</t>
        </is>
      </c>
    </row>
    <row r="32">
      <c r="A32" s="9" t="inlineStr">
        <is>
          <t>Conference suite</t>
        </is>
      </c>
      <c r="B32" s="8" t="n">
        <v>1</v>
      </c>
      <c r="C32" s="13" t="n">
        <v>700</v>
      </c>
      <c r="D32" s="13" t="n">
        <v>700</v>
      </c>
      <c r="E32" s="9" t="inlineStr">
        <is>
          <t>prior tariff</t>
        </is>
      </c>
    </row>
    <row r="33">
      <c r="A33" s="9" t="inlineStr">
        <is>
          <t>AV and screen</t>
        </is>
      </c>
      <c r="B33" s="8" t="n">
        <v>1</v>
      </c>
      <c r="C33" s="13" t="n">
        <v>325</v>
      </c>
      <c r="D33" s="13" t="n">
        <v>325</v>
      </c>
      <c r="E33" s="9" t="inlineStr"/>
    </row>
    <row r="34">
      <c r="A34" s="9" t="inlineStr">
        <is>
          <t>Working lunch</t>
        </is>
      </c>
      <c r="B34" s="8" t="n">
        <v>42</v>
      </c>
      <c r="C34" s="13" t="n">
        <v>18.5</v>
      </c>
      <c r="D34" s="13" t="n">
        <v>777</v>
      </c>
      <c r="E34" s="9" t="inlineStr">
        <is>
          <t>booked count</t>
        </is>
      </c>
    </row>
    <row r="35">
      <c r="A35" s="9" t="inlineStr">
        <is>
          <t>Afternoon refreshment</t>
        </is>
      </c>
      <c r="B35" s="8" t="n">
        <v>32</v>
      </c>
      <c r="C35" s="13" t="n">
        <v>9.75</v>
      </c>
      <c r="D35" s="13" t="n">
        <v>312</v>
      </c>
      <c r="E35" s="9" t="inlineStr">
        <is>
          <t>booking export</t>
        </is>
      </c>
    </row>
    <row r="36">
      <c r="A36" s="9" t="inlineStr">
        <is>
          <t>Afternoon refreshment</t>
        </is>
      </c>
      <c r="B36" s="8" t="n">
        <v>32</v>
      </c>
      <c r="C36" s="13" t="n">
        <v>9.75</v>
      </c>
      <c r="D36" s="13" t="n">
        <v>312</v>
      </c>
      <c r="E36" s="9" t="inlineStr">
        <is>
          <t>handoff</t>
        </is>
      </c>
    </row>
    <row r="37">
      <c r="A37" s="9" t="inlineStr">
        <is>
          <t>Turnaround cleaning</t>
        </is>
      </c>
      <c r="B37" s="8" t="n">
        <v>1</v>
      </c>
      <c r="C37" s="13" t="n">
        <v>190</v>
      </c>
      <c r="D37" s="13" t="n">
        <v>190</v>
      </c>
      <c r="E37" s="9" t="inlineStr"/>
    </row>
    <row r="38">
      <c r="A38" s="9" t="inlineStr">
        <is>
          <t>Evening access steward</t>
        </is>
      </c>
      <c r="B38" s="8" t="n">
        <v>1</v>
      </c>
      <c r="C38" s="13" t="n">
        <v>145</v>
      </c>
      <c r="D38" s="13" t="n">
        <v>145</v>
      </c>
      <c r="E38" s="9" t="inlineStr"/>
    </row>
    <row r="39">
      <c r="A39" s="16" t="inlineStr">
        <is>
          <t>Draft total carried forward</t>
        </is>
      </c>
      <c r="B39" s="17" t="n"/>
      <c r="C39" s="18" t="n"/>
      <c r="D39" s="18" t="n">
        <v>2761</v>
      </c>
      <c r="E39" s="16" t="inlineStr">
        <is>
          <t>copy used by reply</t>
        </is>
      </c>
    </row>
    <row r="40">
      <c r="A40" s="9" t="inlineStr">
        <is>
          <t>Legacy ref check</t>
        </is>
      </c>
      <c r="B40" s="8" t="n"/>
      <c r="C40" s="8" t="n"/>
      <c r="D40" s="8">
        <f>#REF!</f>
        <v/>
      </c>
      <c r="E40" s="9" t="inlineStr">
        <is>
          <t>old link</t>
        </is>
      </c>
    </row>
    <row r="42">
      <c r="A42" s="19" t="inlineStr">
        <is>
          <t>End of frozen case extract</t>
        </is>
      </c>
    </row>
  </sheetData>
  <mergeCells count="11">
    <mergeCell ref="A6:K6"/>
    <mergeCell ref="A18:K18"/>
    <mergeCell ref="A4:K4"/>
    <mergeCell ref="A3:K3"/>
    <mergeCell ref="A30:K30"/>
    <mergeCell ref="A29:K29"/>
    <mergeCell ref="A7:K7"/>
    <mergeCell ref="A2:K2"/>
    <mergeCell ref="A19:K19"/>
    <mergeCell ref="A42:K42"/>
    <mergeCell ref="A1:K1"/>
  </mergeCells>
  <pageMargins left="0.75" right="0.75" top="1" bottom="1" header="0.5" footer="0.5"/>
  <pageSetup orientation="landscape" fitToHeight="0" fitToWidth="1"/>
  <headerFooter>
    <oddHeader/>
    <oddFooter>&amp;CWexmoor Foundry | Frozen case extract | Page &amp;P of &amp;N</oddFooter>
    <evenHeader/>
    <evenFooter/>
    <firstHeader/>
    <firstFooter/>
  </headerFooter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2026-08-16T15:23:47Z</dcterms:created>
  <dcterms:modified xmlns:dcterms="http://purl.org/dc/terms/" xmlns:xsi="http://www.w3.org/2001/XMLSchema-instance" xsi:type="dcterms:W3CDTF">2026-08-16T15:23:47Z</dcterms:modified>
</cp:coreProperties>
</file>