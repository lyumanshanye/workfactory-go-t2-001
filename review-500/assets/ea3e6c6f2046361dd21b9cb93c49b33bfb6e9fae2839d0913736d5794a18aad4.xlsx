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Compatibility="false"/>
  <ns0:workbookProtection/>
  <ns0:bookViews>
    <ns0:workbookView showHorizontalScroll="true" showVerticalScroll="true" showSheetTabs="true" xWindow="0" yWindow="0" windowWidth="16384" windowHeight="8192" tabRatio="600" firstSheet="0" activeTab="3"/>
  </ns0:bookViews>
  <ns0:sheets>
    <ns0:sheet name="Instructions" sheetId="1" state="visible" ns1:id="rId3"/>
    <ns0:sheet name="Input Evidence" sheetId="2" state="visible" ns1:id="rId4"/>
    <ns0:sheet name="Analysis Detail" sheetId="3" state="visible" ns1:id="rId5"/>
    <ns0:sheet name="Model" sheetId="4" state="visible" ns1:id="rId6"/>
    <ns0:sheet name="Key &amp; Guide" sheetId="5" state="visible" ns1:id="rId7"/>
  </ns0:sheets>
  <ns0:definedNames>
    <ns0:definedName function="false" hidden="false" localSheetId="2" name="_xlnm.Print_Area" vbProcedure="false">'Analysis Detail'!$A$1:$O$22</ns0:definedName>
    <ns0:definedName function="false" hidden="false" localSheetId="2" name="_xlnm.Print_Titles" vbProcedure="false">'Analysis Detail'!$4:$4</ns0:definedName>
    <ns0:definedName function="false" hidden="true" localSheetId="2" name="_xlnm._FilterDatabase" vbProcedure="false">'Analysis Detail'!$A$4:$Q$104</ns0:definedName>
    <ns0:definedName function="false" hidden="false" localSheetId="1" name="_xlnm.Print_Area" vbProcedure="false">'Input Evidence'!$A$1:$H$23</ns0:definedName>
    <ns0:definedName function="false" hidden="false" localSheetId="1" name="_xlnm.Print_Titles" vbProcedure="false">'Input Evidence'!$4:$4</ns0:definedName>
    <ns0:definedName function="false" hidden="true" localSheetId="1" name="_xlnm._FilterDatabase" vbProcedure="false">'Input Evidence'!$A$4:$H$20</ns0:definedName>
    <ns0:definedName function="false" hidden="false" localSheetId="0" name="_xlnm.Print_Area" vbProcedure="false">Instructions!$A$1:$H$21</ns0:definedName>
    <ns0:definedName function="false" hidden="false" localSheetId="0" name="_xlnm.Print_Titles" vbProcedure="false">Instructions!$4:$4</ns0:definedName>
    <ns0:definedName function="false" hidden="false" localSheetId="4" name="_xlnm.Print_Area" vbProcedure="false">'Key &amp; Guide'!$A$1:$D$16</ns0:definedName>
    <ns0:definedName function="false" hidden="false" localSheetId="4" name="_xlnm.Print_Titles" vbProcedure="false">'Key &amp; Guide'!$4:$4</ns0:definedName>
    <ns0:definedName function="false" hidden="false" localSheetId="3" name="_xlnm.Print_Area" vbProcedure="false">Model!$A$1:$H$35</ns0:definedName>
    <ns0:definedName function="false" hidden="false" localSheetId="3" name="_xlnm.Print_Titles" vbProcedure="false">Model!$1:$8</ns0:definedName>
    <ns0:definedName function="false" hidden="true" localSheetId="3" name="_xlnm._FilterDatabase" vbProcedure="false">Model!$A$28:$H$48</ns0:definedName>
    <ns0:definedName function="false" hidden="false" name="AnalysisCounted" vbProcedure="false">OFFSET('Analysis Detail'!$F$5,0,0,MAX(1,COUNTA('Input Evidence'!$A:$A)-2),1)</ns0:definedName>
    <ns0:definedName function="false" hidden="false" name="AnalysisExpected" vbProcedure="false">OFFSET('Analysis Detail'!$G$5,0,0,MAX(1,COUNTA('Input Evidence'!$A:$A)-2),1)</ns0:definedName>
    <ns0:definedName function="false" hidden="false" name="AnalysisFirstIncludedStore" vbProcedure="false">OFFSET('Analysis Detail'!$P$5,0,0,MAX(1,COUNTA('Input Evidence'!$A:$A)-2),1)</ns0:definedName>
    <ns0:definedName function="false" hidden="false" name="AnalysisFirstMaterialStore" vbProcedure="false">OFFSET('Analysis Detail'!$Q$5,0,0,MAX(1,COUNTA('Input Evidence'!$A:$A)-2),1)</ns0:definedName>
    <ns0:definedName function="false" hidden="false" name="AnalysisID" vbProcedure="false">OFFSET('Analysis Detail'!$B$5,0,0,MAX(1,COUNTA('Input Evidence'!$A:$A)-2),1)</ns0:definedName>
    <ns0:definedName function="false" hidden="false" name="AnalysisIncluded" vbProcedure="false">OFFSET('Analysis Detail'!$M$5,0,0,MAX(1,COUNTA('Input Evidence'!$A:$A)-2),1)</ns0:definedName>
    <ns0:definedName function="false" hidden="false" name="AnalysisMaterial" vbProcedure="false">OFFSET('Analysis Detail'!$N$5,0,0,MAX(1,COUNTA('Input Evidence'!$A:$A)-2),1)</ns0:definedName>
    <ns0:definedName function="false" hidden="false" name="AnalysisPeriod" vbProcedure="false">OFFSET('Analysis Detail'!$C$5,0,0,MAX(1,COUNTA('Input Evidence'!$A:$A)-2),1)</ns0:definedName>
    <ns0:definedName function="false" hidden="false" name="AnalysisStore" vbProcedure="false">OFFSET('Analysis Detail'!$D$5,0,0,MAX(1,COUNTA('Input Evidence'!$A:$A)-2),1)</ns0:definedName>
    <ns0:definedName function="false" hidden="false" name="AnalysisTreatment" vbProcedure="false">OFFSET('Analysis Detail'!$L$5,0,0,MAX(1,COUNTA('Input Evidence'!$A:$A)-2),1)</ns0:definedName>
    <ns0:definedName function="false" hidden="false" name="AnalysisVariancePct" vbProcedure="false">OFFSET('Analysis Detail'!$K$5,0,0,MAX(1,COUNTA('Input Evidence'!$A:$A)-2),1)</ns0:definedName>
    <ns0:definedName function="false" hidden="false" name="AnalysisVarianceUnits" vbProcedure="false">OFFSET('Analysis Detail'!$J$5,0,0,MAX(1,COUNTA('Input Evidence'!$A:$A)-2),1)</ns0:definedName>
    <ns0:definedName function="false" hidden="false" name="InputCounted" vbProcedure="false">OFFSET('Input Evidence'!$E$5,0,0,MAX(1,COUNTA('Input Evidence'!$A:$A)-2),1)</ns0:definedName>
    <ns0:definedName function="false" hidden="false" name="InputDepartment" vbProcedure="false">OFFSET('Input Evidence'!$D$5,0,0,MAX(1,COUNTA('Input Evidence'!$A:$A)-2),1)</ns0:definedName>
    <ns0:definedName function="false" hidden="false" name="InputExpected" vbProcedure="false">OFFSET('Input Evidence'!$F$5,0,0,MAX(1,COUNTA('Input Evidence'!$A:$A)-2),1)</ns0:definedName>
    <ns0:definedName function="false" hidden="false" name="InputIDs" vbProcedure="false">OFFSET('Input Evidence'!$A$5,0,0,MAX(1,COUNTA('Input Evidence'!$A:$A)-2),1)</ns0:definedName>
    <ns0:definedName function="false" hidden="false" name="InputNote" vbProcedure="false">OFFSET('Input Evidence'!$H$5,0,0,MAX(1,COUNTA('Input Evidence'!$A:$A)-2),1)</ns0:definedName>
    <ns0:definedName function="false" hidden="false" name="InputPeriods" vbProcedure="false">OFFSET('Input Evidence'!$B$5,0,0,MAX(1,COUNTA('Input Evidence'!$A:$A)-2),1)</ns0:definedName>
    <ns0:definedName function="false" hidden="false" name="InputStatus" vbProcedure="false">OFFSET('Input Evidence'!$G$5,0,0,MAX(1,COUNTA('Input Evidence'!$A:$A)-2),1)</ns0:definedName>
    <ns0:definedName function="false" hidden="false" name="InputStore" vbProcedure="false">OFFSET('Input Evidence'!$C$5,0,0,MAX(1,COUNTA('Input Evidence'!$A:$A)-2),1)</ns0:definedName>
    <ns0:definedName function="false" hidden="false" name="MaterialThreshold" vbProcedure="false">Model!$B$5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ExcelA1"/>
    </ns0:ext>
  </ns0:extLst>
</ns0: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14" authorId="0">
      <text>
        <r>
          <rPr>
            <sz val="10"/>
            <rFont val="DejaVu Sans"/>
            <family val="2"/>
          </rPr>
          <t xml:space="preserve">Percentage-point change: Current period weighted variance minus Prior period weighted variance.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-57</xdr:colOff>
                <xdr:row>3</xdr:row>
                <xdr:rowOff>26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<sst xmlns="http://schemas.openxmlformats.org/spreadsheetml/2006/main" count="215" uniqueCount="159">
  <si>
    <t xml:space="preserve">Ballantry Provisions - Quality Inspection Model</t>
  </si>
  <si>
    <t xml:space="preserve">For store leads and the department head | clear comparison, traceable source evidence</t>
  </si>
  <si>
    <t xml:space="preserve">Use this workbook</t>
  </si>
  <si>
    <t xml:space="preserve">Start here</t>
  </si>
  <si>
    <t xml:space="preserve">Open Model first. It shows both periods, the recommendation, and the short evidence reading.</t>
  </si>
  <si>
    <t xml:space="preserve">Trace a result</t>
  </si>
  <si>
    <t xml:space="preserve">Use Analysis Detail to see how each inspection was treated. It keeps unusual, missing, and non-included records visible.</t>
  </si>
  <si>
    <t xml:space="preserve">Enter source evidence</t>
  </si>
  <si>
    <t xml:space="preserve">Only pale-yellow cells on Input Evidence are source-entry cells. Blue cells are formula calculations and are locked.</t>
  </si>
  <si>
    <t xml:space="preserve">Add a future inspection</t>
  </si>
  <si>
    <t xml:space="preserve">On Input Evidence, type in the first row directly below the InspectionInput table. The table expands; use the Period and Inspection Status dropdowns. Do not overwrite Analysis Detail, Model, or Key &amp; Guide.</t>
  </si>
  <si>
    <t xml:space="preserve">Plain-language legend</t>
  </si>
  <si>
    <t xml:space="preserve">Included</t>
  </si>
  <si>
    <t xml:space="preserve">A Complete inspection with both counts present and expected units above zero. It is used in numeric totals.</t>
  </si>
  <si>
    <t xml:space="preserve">Missing-data</t>
  </si>
  <si>
    <t xml:space="preserve">A counted or expected value is blank. It is not treated as zero and does not enter numeric comparison totals.</t>
  </si>
  <si>
    <t xml:space="preserve">Non-included</t>
  </si>
  <si>
    <t xml:space="preserve">An Incomplete or Not inspected record stays visible in detail, but does not affect performance totals.</t>
  </si>
  <si>
    <t xml:space="preserve">Material variance</t>
  </si>
  <si>
    <t xml:space="preserve">An Included inspection whose absolute variance is at least the visible 20% Ontario threshold.</t>
  </si>
  <si>
    <t xml:space="preserve">Source and guidance</t>
  </si>
  <si>
    <t xml:space="preserve">Evidence source</t>
  </si>
  <si>
    <t xml:space="preserve">inspection_evidence.xlsx - frozen internal inspection records used as source entry evidence.</t>
  </si>
  <si>
    <t xml:space="preserve">Draft reviewed</t>
  </si>
  <si>
    <t xml:space="preserve">draft_quality_model.xlsx - returned working copy reviewed for former range and interpretation issues.</t>
  </si>
  <si>
    <t xml:space="preserve">Ontario guidance</t>
  </si>
  <si>
    <t xml:space="preserve">Ontario guidance current as of 30 June 2025. Material threshold: 20%.</t>
  </si>
  <si>
    <t xml:space="preserve">Exception approach</t>
  </si>
  <si>
    <t xml:space="preserve">A large supported result remains evidence. The 118% result is not changed, capped, or called invalid solely because it is unusual.</t>
  </si>
  <si>
    <t xml:space="preserve">Input Evidence - Editable Source Records</t>
  </si>
  <si>
    <t xml:space="preserve">Pale-yellow cells are editable source entries. Preserve blanks from inspection records; do not calculate in this sheet.</t>
  </si>
  <si>
    <t xml:space="preserve">Inspection ID</t>
  </si>
  <si>
    <t xml:space="preserve">Period</t>
  </si>
  <si>
    <t xml:space="preserve">Store</t>
  </si>
  <si>
    <t xml:space="preserve">Department</t>
  </si>
  <si>
    <t xml:space="preserve">Counted Units</t>
  </si>
  <si>
    <t xml:space="preserve">Expected Units</t>
  </si>
  <si>
    <t xml:space="preserve">Inspection Status</t>
  </si>
  <si>
    <t xml:space="preserve">Inspector Note</t>
  </si>
  <si>
    <t xml:space="preserve">IQ-2501</t>
  </si>
  <si>
    <t xml:space="preserve">Prior period</t>
  </si>
  <si>
    <t xml:space="preserve">ST-014 Larchfield Marketplace</t>
  </si>
  <si>
    <t xml:space="preserve">Ambient Grocery</t>
  </si>
  <si>
    <t xml:space="preserve">Complete</t>
  </si>
  <si>
    <t xml:space="preserve">Aisle 3 re-count at close.</t>
  </si>
  <si>
    <t xml:space="preserve">IQ-2502</t>
  </si>
  <si>
    <t xml:space="preserve">ST-027 West Dock</t>
  </si>
  <si>
    <t xml:space="preserve">Dairy</t>
  </si>
  <si>
    <t xml:space="preserve">Cold-room count sheet attached.</t>
  </si>
  <si>
    <t xml:space="preserve">IQ-2503</t>
  </si>
  <si>
    <t xml:space="preserve">Bakery</t>
  </si>
  <si>
    <t xml:space="preserve">Counter sheet not received with packet.</t>
  </si>
  <si>
    <t xml:space="preserve">IQ-2504</t>
  </si>
  <si>
    <t xml:space="preserve">ST-039 Cedar Park</t>
  </si>
  <si>
    <t xml:space="preserve">Household</t>
  </si>
  <si>
    <t xml:space="preserve">Incomplete</t>
  </si>
  <si>
    <t xml:space="preserve">Supervisor signed partial walk.</t>
  </si>
  <si>
    <t xml:space="preserve">IQ-2505</t>
  </si>
  <si>
    <t xml:space="preserve">ST-052 Northline</t>
  </si>
  <si>
    <t xml:space="preserve">Fresh Produce</t>
  </si>
  <si>
    <t xml:space="preserve">Two crates held for transfer.</t>
  </si>
  <si>
    <t xml:space="preserve">IQ-2506</t>
  </si>
  <si>
    <t xml:space="preserve">ST-063 Quarry Gate</t>
  </si>
  <si>
    <t xml:space="preserve">Frozen</t>
  </si>
  <si>
    <t xml:space="preserve">Not inspected</t>
  </si>
  <si>
    <t xml:space="preserve">Store closed before inspection.</t>
  </si>
  <si>
    <t xml:space="preserve">IQ-2507</t>
  </si>
  <si>
    <t xml:space="preserve">Beverages</t>
  </si>
  <si>
    <t xml:space="preserve">Delivery bay count amended before close.</t>
  </si>
  <si>
    <t xml:space="preserve">IQ-2508</t>
  </si>
  <si>
    <t xml:space="preserve">Current period</t>
  </si>
  <si>
    <t xml:space="preserve">Count sheet and receiving log attached.</t>
  </si>
  <si>
    <t xml:space="preserve">IQ-2509</t>
  </si>
  <si>
    <t xml:space="preserve">Late delivery checked against docket.</t>
  </si>
  <si>
    <t xml:space="preserve">IQ-2510</t>
  </si>
  <si>
    <t xml:space="preserve">Back-stock bay re-counted.</t>
  </si>
  <si>
    <t xml:space="preserve">IQ-2511</t>
  </si>
  <si>
    <t xml:space="preserve">Count sheet not received with packet.</t>
  </si>
  <si>
    <t xml:space="preserve">IQ-2512</t>
  </si>
  <si>
    <t xml:space="preserve">Expected stock extract unavailable.</t>
  </si>
  <si>
    <t xml:space="preserve">IQ-2513</t>
  </si>
  <si>
    <t xml:space="preserve">Bakery close count signed.</t>
  </si>
  <si>
    <t xml:space="preserve">IQ-2514</t>
  </si>
  <si>
    <t xml:space="preserve">Shelf label scan incomplete.</t>
  </si>
  <si>
    <t xml:space="preserve">IQ-2515</t>
  </si>
  <si>
    <t xml:space="preserve">Shelf Stable</t>
  </si>
  <si>
    <t xml:space="preserve">Inspection not completed.</t>
  </si>
  <si>
    <t xml:space="preserve">IQ-2516</t>
  </si>
  <si>
    <t xml:space="preserve">Personal Care</t>
  </si>
  <si>
    <t xml:space="preserve">Personal-care bay re-counted.</t>
  </si>
  <si>
    <t xml:space="preserve">Future rows: enter only under the table. Analysis Detail and Model calculate from this input table; blank counts remain blank.</t>
  </si>
  <si>
    <t xml:space="preserve">Analysis Detail - Formula-Driven Row Treatment</t>
  </si>
  <si>
    <t xml:space="preserve">Gray fields mirror source evidence; blue fields calculate treatment and are protected. Add source rows only on Input Evidence.</t>
  </si>
  <si>
    <t xml:space="preserve">Source Row</t>
  </si>
  <si>
    <t xml:space="preserve">Variance Units</t>
  </si>
  <si>
    <t xml:space="preserve">Variance %</t>
  </si>
  <si>
    <t xml:space="preserve">Treatment</t>
  </si>
  <si>
    <t xml:space="preserve">Included?</t>
  </si>
  <si>
    <t xml:space="preserve">Material Flag</t>
  </si>
  <si>
    <t xml:space="preserve">Interpretation</t>
  </si>
  <si>
    <t xml:space="preserve">First Included Store?</t>
  </si>
  <si>
    <t xml:space="preserve">First Material Store?</t>
  </si>
  <si>
    <t xml:space="preserve">Ballantry Provisions - Store Quality Comparison</t>
  </si>
  <si>
    <t xml:space="preserve">Public-facing model | formula-driven from Input Evidence | Ontario guidance current as of 30 June 2025</t>
  </si>
  <si>
    <t xml:space="preserve">Visible guidance assumption</t>
  </si>
  <si>
    <t xml:space="preserve">Material variance threshold</t>
  </si>
  <si>
    <t xml:space="preserve">Ontario guidance: included absolute variances at or above this threshold are material.</t>
  </si>
  <si>
    <t xml:space="preserve">Period comparison - included records only</t>
  </si>
  <si>
    <t xml:space="preserve">Metric</t>
  </si>
  <si>
    <t xml:space="preserve">Current minus prior (percentage points for %)</t>
  </si>
  <si>
    <t xml:space="preserve">Included inspections</t>
  </si>
  <si>
    <t xml:space="preserve">Distinct included stores</t>
  </si>
  <si>
    <t xml:space="preserve">Counted units</t>
  </si>
  <si>
    <t xml:space="preserve">Expected units</t>
  </si>
  <si>
    <t xml:space="preserve">Variance units</t>
  </si>
  <si>
    <t xml:space="preserve">Weighted variance %</t>
  </si>
  <si>
    <t xml:space="preserve">Material included inspections</t>
  </si>
  <si>
    <t xml:space="preserve">Material distinct-store count</t>
  </si>
  <si>
    <t xml:space="preserve">Missing / non-included records</t>
  </si>
  <si>
    <t xml:space="preserve">Decision and evidence reading</t>
  </si>
  <si>
    <t xml:space="preserve">Recommendation</t>
  </si>
  <si>
    <t xml:space="preserve">Why</t>
  </si>
  <si>
    <t xml:space="preserve">Evidence limit</t>
  </si>
  <si>
    <t xml:space="preserve">Store comparison - calculated from source stores</t>
  </si>
  <si>
    <t xml:space="preserve">Prior period included n</t>
  </si>
  <si>
    <t xml:space="preserve">Prior period weighted variance</t>
  </si>
  <si>
    <t xml:space="preserve">Prior period material indicator</t>
  </si>
  <si>
    <t xml:space="preserve">Current period included n</t>
  </si>
  <si>
    <t xml:space="preserve">Current period weighted variance</t>
  </si>
  <si>
    <t xml:space="preserve">Current period material indicator</t>
  </si>
  <si>
    <t xml:space="preserve">Comparison reading</t>
  </si>
  <si>
    <t xml:space="preserve">Manager Review Key and Scoring Guide</t>
  </si>
  <si>
    <t xml:space="preserve">Use this internal key after reviewing the Model and Analysis Detail. Award one point for each answer that follows the workbook evidence and rationale.</t>
  </si>
  <si>
    <t xml:space="preserve">Review question</t>
  </si>
  <si>
    <t xml:space="preserve">Answer</t>
  </si>
  <si>
    <t xml:space="preserve">Rationale</t>
  </si>
  <si>
    <t xml:space="preserve">Points</t>
  </si>
  <si>
    <t xml:space="preserve">What periods are compared?</t>
  </si>
  <si>
    <t xml:space="preserve">The comparison header uses the two period labels supplied with the evidence.</t>
  </si>
  <si>
    <t xml:space="preserve">What does the 118% result mean in this model?</t>
  </si>
  <si>
    <t xml:space="preserve">It is an unusual but valid included material result retained at its original source counts.</t>
  </si>
  <si>
    <t xml:space="preserve">The complete row has present positive expected units, so the Ontario exception guidance keeps it in the comparison rather than labelling it invalid.</t>
  </si>
  <si>
    <t xml:space="preserve">How are missing counted and expected units treated?</t>
  </si>
  <si>
    <t xml:space="preserve">They remain blank and visible, are not inferred as zero, and are excluded from numeric totals.</t>
  </si>
  <si>
    <t xml:space="preserve">Analysis Detail uses separate missing-counted and missing-expected treatment messages before the inclusion calculation.</t>
  </si>
  <si>
    <t xml:space="preserve">Which records enter the numeric comparison?</t>
  </si>
  <si>
    <t xml:space="preserve">Only Complete records with both counts present and expected units greater than zero.</t>
  </si>
  <si>
    <t xml:space="preserve">That is the visible inclusion definition and the rule used by the Included? field.</t>
  </si>
  <si>
    <t xml:space="preserve">What changed between the two periods?</t>
  </si>
  <si>
    <t xml:space="preserve">Weighted variance uses total variance units divided by total expected units for included records in each period.</t>
  </si>
  <si>
    <t xml:space="preserve">What action is recommended under the supplied guidance?</t>
  </si>
  <si>
    <t xml:space="preserve">The Current period has material included results at two distinct stores, meeting the decision rule for this action.</t>
  </si>
  <si>
    <t xml:space="preserve">What limitation should a manager keep in mind?</t>
  </si>
  <si>
    <t xml:space="preserve">Those records remain visible for follow-up, but they do not support numeric performance comparison or the decision count.</t>
  </si>
  <si>
    <t xml:space="preserve">Scoring guide</t>
  </si>
  <si>
    <t xml:space="preserve">Total available</t>
  </si>
  <si>
    <t xml:space="preserve">1 point per item. Award a point when the answer and rationale match the visible model evidence.</t>
  </si>
  <si>
    <t xml:space="preserve">Guidance source</t>
  </si>
  <si>
    <t xml:space="preserve">Ontario retail-quality guidance current as of 30 June 2025; source evidence retained in Input Evidence.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</si>
</sst>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%"/>
    <numFmt numFmtId="168" formatCode="0%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10"/>
      <color rgb="FF595959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1F1F1F"/>
      <name val="Aptos"/>
      <family val="0"/>
      <charset val="1"/>
    </font>
    <font>
      <sz val="10"/>
      <color rgb="FF1F1F1F"/>
      <name val="Aptos"/>
      <family val="0"/>
      <charset val="1"/>
    </font>
    <font>
      <b val="true"/>
      <sz val="10"/>
      <name val="Aptos"/>
      <family val="0"/>
      <charset val="1"/>
    </font>
    <font>
      <sz val="10"/>
      <name val="Aptos"/>
      <family val="0"/>
      <charset val="1"/>
    </font>
    <font>
      <b val="true"/>
      <sz val="9"/>
      <color rgb="FFFFFFFF"/>
      <name val="Aptos"/>
      <family val="0"/>
      <charset val="1"/>
    </font>
    <font>
      <i val="true"/>
      <sz val="9"/>
      <color rgb="FF595959"/>
      <name val="Aptos"/>
      <family val="0"/>
      <charset val="1"/>
    </font>
    <font>
      <b val="true"/>
      <sz val="11"/>
      <color rgb="FF1F1F1F"/>
      <name val="Aptos"/>
      <family val="0"/>
      <charset val="1"/>
    </font>
    <font>
      <b val="true"/>
      <sz val="13"/>
      <color rgb="FF9C0006"/>
      <name val="Aptos"/>
      <family val="0"/>
      <charset val="1"/>
    </font>
    <font>
      <sz val="10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F6B78"/>
      </patternFill>
    </fill>
    <fill>
      <patternFill patternType="solid">
        <fgColor rgb="FF0F6B78"/>
        <bgColor rgb="FF008080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7E6E6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8" fillId="5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C9A227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InspectionAnalysis" displayName="InspectionAnalysis" ref="A4:Q104" headerRowCount="1" totalsRowCount="0" totalsRowShown="0">
  <autoFilter ref="A4:Q104"/>
  <tableColumns count="17">
    <tableColumn id="1" name="Source Row"/>
    <tableColumn id="2" name="Inspection ID"/>
    <tableColumn id="3" name="Period"/>
    <tableColumn id="4" name="Store"/>
    <tableColumn id="5" name="Department"/>
    <tableColumn id="6" name="Counted Units"/>
    <tableColumn id="7" name="Expected Units"/>
    <tableColumn id="8" name="Inspection Status"/>
    <tableColumn id="9" name="Inspector Note"/>
    <tableColumn id="10" name="Variance Units"/>
    <tableColumn id="11" name="Variance %"/>
    <tableColumn id="12" name="Treatment"/>
    <tableColumn id="13" name="Included?"/>
    <tableColumn id="14" name="Material Flag"/>
    <tableColumn id="15" name="Interpretation"/>
    <tableColumn id="16" name="First Included Store?"/>
    <tableColumn id="17" name="First Material Store?"/>
  </tableColumns>
</table>
</file>

<file path=xl/tables/table2.xml><?xml version="1.0" encoding="utf-8"?>
<table xmlns="http://schemas.openxmlformats.org/spreadsheetml/2006/main" id="2" name="InspectionInput" displayName="InspectionInput" ref="A4:H20" headerRowCount="1" totalsRowCount="0" totalsRowShown="0">
  <autoFilter ref="A4:H20"/>
  <tableColumns count="8">
    <tableColumn id="1" name="Inspection ID"/>
    <tableColumn id="2" name="Period"/>
    <tableColumn id="3" name="Store"/>
    <tableColumn id="4" name="Department"/>
    <tableColumn id="5" name="Counted Units"/>
    <tableColumn id="6" name="Expected Units"/>
    <tableColumn id="7" name="Inspection Status"/>
    <tableColumn id="8" name="Inspector 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4"/>
    <col collapsed="false" customWidth="true" hidden="false" outlineLevel="0" max="8" min="3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5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33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</row>
    <row r="10" customFormat="false" ht="21" hidden="false" customHeight="true" outlineLevel="0" collapsed="false">
      <c r="A10" s="3" t="s">
        <v>11</v>
      </c>
      <c r="B10" s="3"/>
      <c r="C10" s="3"/>
      <c r="D10" s="3"/>
      <c r="E10" s="3"/>
      <c r="F10" s="3"/>
      <c r="G10" s="3"/>
      <c r="H10" s="3"/>
    </row>
    <row r="11" customFormat="false" ht="30" hidden="false" customHeight="true" outlineLevel="0" collapsed="false">
      <c r="A11" s="6" t="s">
        <v>12</v>
      </c>
      <c r="B11" s="7" t="s">
        <v>13</v>
      </c>
      <c r="C11" s="7"/>
      <c r="D11" s="7"/>
      <c r="E11" s="7"/>
      <c r="F11" s="7"/>
      <c r="G11" s="7"/>
      <c r="H11" s="7"/>
    </row>
    <row r="12" customFormat="false" ht="30" hidden="false" customHeight="true" outlineLevel="0" collapsed="false">
      <c r="A12" s="8" t="s">
        <v>14</v>
      </c>
      <c r="B12" s="9" t="s">
        <v>15</v>
      </c>
      <c r="C12" s="9"/>
      <c r="D12" s="9"/>
      <c r="E12" s="9"/>
      <c r="F12" s="9"/>
      <c r="G12" s="9"/>
      <c r="H12" s="9"/>
    </row>
    <row r="13" customFormat="false" ht="30" hidden="false" customHeight="true" outlineLevel="0" collapsed="false">
      <c r="A13" s="10" t="s">
        <v>16</v>
      </c>
      <c r="B13" s="11" t="s">
        <v>17</v>
      </c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18</v>
      </c>
      <c r="B14" s="13" t="s">
        <v>19</v>
      </c>
      <c r="C14" s="13"/>
      <c r="D14" s="13"/>
      <c r="E14" s="13"/>
      <c r="F14" s="13"/>
      <c r="G14" s="13"/>
      <c r="H14" s="13"/>
    </row>
    <row r="16" customFormat="false" ht="21" hidden="false" customHeight="true" outlineLevel="0" collapsed="false">
      <c r="A16" s="3" t="s">
        <v>20</v>
      </c>
      <c r="B16" s="3"/>
      <c r="C16" s="3"/>
      <c r="D16" s="3"/>
      <c r="E16" s="3"/>
      <c r="F16" s="3"/>
      <c r="G16" s="3"/>
      <c r="H16" s="3"/>
    </row>
    <row r="17" customFormat="false" ht="25.5" hidden="false" customHeight="true" outlineLevel="0" collapsed="false">
      <c r="A17" s="14" t="s">
        <v>21</v>
      </c>
      <c r="B17" s="15" t="s">
        <v>22</v>
      </c>
      <c r="C17" s="15"/>
      <c r="D17" s="15"/>
      <c r="E17" s="15"/>
      <c r="F17" s="15"/>
      <c r="G17" s="15"/>
      <c r="H17" s="15"/>
    </row>
    <row r="18" customFormat="false" ht="31.5" hidden="false" customHeight="true" outlineLevel="0" collapsed="false">
      <c r="A18" s="14" t="s">
        <v>23</v>
      </c>
      <c r="B18" s="15" t="s">
        <v>24</v>
      </c>
      <c r="C18" s="15"/>
      <c r="D18" s="15"/>
      <c r="E18" s="15"/>
      <c r="F18" s="15"/>
      <c r="G18" s="15"/>
      <c r="H18" s="15"/>
    </row>
    <row r="19" customFormat="false" ht="25.5" hidden="false" customHeight="true" outlineLevel="0" collapsed="false">
      <c r="A19" s="14" t="s">
        <v>25</v>
      </c>
      <c r="B19" s="15" t="s">
        <v>26</v>
      </c>
      <c r="C19" s="15"/>
      <c r="D19" s="15"/>
      <c r="E19" s="15"/>
      <c r="F19" s="15"/>
      <c r="G19" s="15"/>
      <c r="H19" s="15"/>
    </row>
    <row r="20" customFormat="false" ht="31.5" hidden="false" customHeight="true" outlineLevel="0" collapsed="false">
      <c r="A20" s="14" t="s">
        <v>27</v>
      </c>
      <c r="B20" s="15" t="s">
        <v>28</v>
      </c>
      <c r="C20" s="15"/>
      <c r="D20" s="15"/>
      <c r="E20" s="15"/>
      <c r="F20" s="15"/>
      <c r="G20" s="15"/>
      <c r="H20" s="15"/>
    </row>
  </sheetData>
  <sheetProtection sheet="true" formatCells="false" formatColumns="false" formatRows="false" insertColumns="false" insertRows="false" deleteColumns="false" deleteRows="false" selectLockedCells="true" sort="false" autoFilter="false" selectUnlockedCells="true"/>
  <mergeCells count="17">
    <mergeCell ref="A1:H1"/>
    <mergeCell ref="A2:H2"/>
    <mergeCell ref="A4:H4"/>
    <mergeCell ref="B5:H5"/>
    <mergeCell ref="B6:H6"/>
    <mergeCell ref="B7:H7"/>
    <mergeCell ref="B8:H8"/>
    <mergeCell ref="A10:H10"/>
    <mergeCell ref="B11:H11"/>
    <mergeCell ref="B12:H12"/>
    <mergeCell ref="B13:H13"/>
    <mergeCell ref="B14:H14"/>
    <mergeCell ref="A16:H16"/>
    <mergeCell ref="B17:H17"/>
    <mergeCell ref="B18:H18"/>
    <mergeCell ref="B19:H19"/>
    <mergeCell ref="B20:H20"/>
  </mergeCells>
  <printOptions headings="false" gridLines="false" gridLinesSet="true" horizontalCentered="false" verticalCentered="false"/>
  <pageMargins left="0.240277777777778" right="0.240277777777778" top="0.420138888888889" bottom="0.4201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31"/>
    <col collapsed="false" customWidth="true" hidden="false" outlineLevel="0" max="4" min="4" style="0" width="19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43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30</v>
      </c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6" t="s">
        <v>31</v>
      </c>
      <c r="B4" s="16" t="s">
        <v>32</v>
      </c>
      <c r="C4" s="16" t="s">
        <v>33</v>
      </c>
      <c r="D4" s="16" t="s">
        <v>34</v>
      </c>
      <c r="E4" s="16" t="s">
        <v>35</v>
      </c>
      <c r="F4" s="16" t="s">
        <v>36</v>
      </c>
      <c r="G4" s="16" t="s">
        <v>37</v>
      </c>
      <c r="H4" s="16" t="s">
        <v>38</v>
      </c>
    </row>
    <row r="5" customFormat="false" ht="27" hidden="false" customHeight="true" outlineLevel="0" collapsed="false">
      <c r="A5" s="17" t="s">
        <v>39</v>
      </c>
      <c r="B5" s="17" t="s">
        <v>40</v>
      </c>
      <c r="C5" s="17" t="s">
        <v>41</v>
      </c>
      <c r="D5" s="18" t="s">
        <v>42</v>
      </c>
      <c r="E5" s="17" t="n">
        <v>990</v>
      </c>
      <c r="F5" s="17" t="n">
        <v>1000</v>
      </c>
      <c r="G5" s="17" t="s">
        <v>43</v>
      </c>
      <c r="H5" s="18" t="s">
        <v>44</v>
      </c>
    </row>
    <row r="6" customFormat="false" ht="27" hidden="false" customHeight="true" outlineLevel="0" collapsed="false">
      <c r="A6" s="17" t="s">
        <v>45</v>
      </c>
      <c r="B6" s="17" t="s">
        <v>40</v>
      </c>
      <c r="C6" s="17" t="s">
        <v>46</v>
      </c>
      <c r="D6" s="18" t="s">
        <v>47</v>
      </c>
      <c r="E6" s="17" t="n">
        <v>476</v>
      </c>
      <c r="F6" s="17" t="n">
        <v>500</v>
      </c>
      <c r="G6" s="17" t="s">
        <v>43</v>
      </c>
      <c r="H6" s="18" t="s">
        <v>48</v>
      </c>
    </row>
    <row r="7" customFormat="false" ht="27" hidden="false" customHeight="true" outlineLevel="0" collapsed="false">
      <c r="A7" s="17" t="s">
        <v>49</v>
      </c>
      <c r="B7" s="17" t="s">
        <v>40</v>
      </c>
      <c r="C7" s="17" t="s">
        <v>41</v>
      </c>
      <c r="D7" s="18" t="s">
        <v>50</v>
      </c>
      <c r="E7" s="17"/>
      <c r="F7" s="17" t="n">
        <v>320</v>
      </c>
      <c r="G7" s="17" t="s">
        <v>43</v>
      </c>
      <c r="H7" s="18" t="s">
        <v>51</v>
      </c>
    </row>
    <row r="8" customFormat="false" ht="27" hidden="false" customHeight="true" outlineLevel="0" collapsed="false">
      <c r="A8" s="17" t="s">
        <v>52</v>
      </c>
      <c r="B8" s="17" t="s">
        <v>40</v>
      </c>
      <c r="C8" s="17" t="s">
        <v>53</v>
      </c>
      <c r="D8" s="18" t="s">
        <v>54</v>
      </c>
      <c r="E8" s="17" t="n">
        <v>310</v>
      </c>
      <c r="F8" s="17" t="n">
        <v>300</v>
      </c>
      <c r="G8" s="17" t="s">
        <v>55</v>
      </c>
      <c r="H8" s="18" t="s">
        <v>56</v>
      </c>
    </row>
    <row r="9" customFormat="false" ht="27" hidden="false" customHeight="true" outlineLevel="0" collapsed="false">
      <c r="A9" s="17" t="s">
        <v>57</v>
      </c>
      <c r="B9" s="17" t="s">
        <v>40</v>
      </c>
      <c r="C9" s="17" t="s">
        <v>58</v>
      </c>
      <c r="D9" s="18" t="s">
        <v>59</v>
      </c>
      <c r="E9" s="17" t="n">
        <v>608</v>
      </c>
      <c r="F9" s="17" t="n">
        <v>600</v>
      </c>
      <c r="G9" s="17" t="s">
        <v>43</v>
      </c>
      <c r="H9" s="18" t="s">
        <v>60</v>
      </c>
    </row>
    <row r="10" customFormat="false" ht="27" hidden="false" customHeight="true" outlineLevel="0" collapsed="false">
      <c r="A10" s="17" t="s">
        <v>61</v>
      </c>
      <c r="B10" s="17" t="s">
        <v>40</v>
      </c>
      <c r="C10" s="17" t="s">
        <v>62</v>
      </c>
      <c r="D10" s="18" t="s">
        <v>63</v>
      </c>
      <c r="E10" s="17"/>
      <c r="F10" s="17"/>
      <c r="G10" s="17" t="s">
        <v>64</v>
      </c>
      <c r="H10" s="18" t="s">
        <v>65</v>
      </c>
    </row>
    <row r="11" customFormat="false" ht="27" hidden="false" customHeight="true" outlineLevel="0" collapsed="false">
      <c r="A11" s="17" t="s">
        <v>66</v>
      </c>
      <c r="B11" s="17" t="s">
        <v>40</v>
      </c>
      <c r="C11" s="17" t="s">
        <v>46</v>
      </c>
      <c r="D11" s="18" t="s">
        <v>67</v>
      </c>
      <c r="E11" s="17" t="n">
        <v>715</v>
      </c>
      <c r="F11" s="17" t="n">
        <v>700</v>
      </c>
      <c r="G11" s="17" t="s">
        <v>43</v>
      </c>
      <c r="H11" s="18" t="s">
        <v>68</v>
      </c>
    </row>
    <row r="12" customFormat="false" ht="27" hidden="false" customHeight="true" outlineLevel="0" collapsed="false">
      <c r="A12" s="17" t="s">
        <v>69</v>
      </c>
      <c r="B12" s="17" t="s">
        <v>70</v>
      </c>
      <c r="C12" s="17" t="s">
        <v>41</v>
      </c>
      <c r="D12" s="18" t="s">
        <v>42</v>
      </c>
      <c r="E12" s="17" t="n">
        <v>218</v>
      </c>
      <c r="F12" s="17" t="n">
        <v>100</v>
      </c>
      <c r="G12" s="17" t="s">
        <v>43</v>
      </c>
      <c r="H12" s="18" t="s">
        <v>71</v>
      </c>
    </row>
    <row r="13" customFormat="false" ht="27" hidden="false" customHeight="true" outlineLevel="0" collapsed="false">
      <c r="A13" s="17" t="s">
        <v>72</v>
      </c>
      <c r="B13" s="17" t="s">
        <v>70</v>
      </c>
      <c r="C13" s="17" t="s">
        <v>46</v>
      </c>
      <c r="D13" s="18" t="s">
        <v>47</v>
      </c>
      <c r="E13" s="17" t="n">
        <v>420</v>
      </c>
      <c r="F13" s="17" t="n">
        <v>500</v>
      </c>
      <c r="G13" s="17" t="s">
        <v>43</v>
      </c>
      <c r="H13" s="18" t="s">
        <v>73</v>
      </c>
    </row>
    <row r="14" customFormat="false" ht="27" hidden="false" customHeight="true" outlineLevel="0" collapsed="false">
      <c r="A14" s="17" t="s">
        <v>74</v>
      </c>
      <c r="B14" s="17" t="s">
        <v>70</v>
      </c>
      <c r="C14" s="17" t="s">
        <v>53</v>
      </c>
      <c r="D14" s="18" t="s">
        <v>54</v>
      </c>
      <c r="E14" s="17" t="n">
        <v>740</v>
      </c>
      <c r="F14" s="17" t="n">
        <v>600</v>
      </c>
      <c r="G14" s="17" t="s">
        <v>43</v>
      </c>
      <c r="H14" s="18" t="s">
        <v>75</v>
      </c>
    </row>
    <row r="15" customFormat="false" ht="27" hidden="false" customHeight="true" outlineLevel="0" collapsed="false">
      <c r="A15" s="17" t="s">
        <v>76</v>
      </c>
      <c r="B15" s="17" t="s">
        <v>70</v>
      </c>
      <c r="C15" s="17" t="s">
        <v>58</v>
      </c>
      <c r="D15" s="18" t="s">
        <v>59</v>
      </c>
      <c r="E15" s="17"/>
      <c r="F15" s="17" t="n">
        <v>620</v>
      </c>
      <c r="G15" s="17" t="s">
        <v>43</v>
      </c>
      <c r="H15" s="18" t="s">
        <v>77</v>
      </c>
    </row>
    <row r="16" customFormat="false" ht="27" hidden="false" customHeight="true" outlineLevel="0" collapsed="false">
      <c r="A16" s="17" t="s">
        <v>78</v>
      </c>
      <c r="B16" s="17" t="s">
        <v>70</v>
      </c>
      <c r="C16" s="17" t="s">
        <v>62</v>
      </c>
      <c r="D16" s="18" t="s">
        <v>63</v>
      </c>
      <c r="E16" s="17" t="n">
        <v>560</v>
      </c>
      <c r="F16" s="17"/>
      <c r="G16" s="17" t="s">
        <v>43</v>
      </c>
      <c r="H16" s="18" t="s">
        <v>79</v>
      </c>
    </row>
    <row r="17" customFormat="false" ht="27" hidden="false" customHeight="true" outlineLevel="0" collapsed="false">
      <c r="A17" s="17" t="s">
        <v>80</v>
      </c>
      <c r="B17" s="17" t="s">
        <v>70</v>
      </c>
      <c r="C17" s="17" t="s">
        <v>41</v>
      </c>
      <c r="D17" s="18" t="s">
        <v>50</v>
      </c>
      <c r="E17" s="17" t="n">
        <v>720</v>
      </c>
      <c r="F17" s="17" t="n">
        <v>700</v>
      </c>
      <c r="G17" s="17" t="s">
        <v>43</v>
      </c>
      <c r="H17" s="18" t="s">
        <v>81</v>
      </c>
    </row>
    <row r="18" customFormat="false" ht="27" hidden="false" customHeight="true" outlineLevel="0" collapsed="false">
      <c r="A18" s="17" t="s">
        <v>82</v>
      </c>
      <c r="B18" s="17" t="s">
        <v>70</v>
      </c>
      <c r="C18" s="17" t="s">
        <v>46</v>
      </c>
      <c r="D18" s="18" t="s">
        <v>67</v>
      </c>
      <c r="E18" s="17" t="n">
        <v>450</v>
      </c>
      <c r="F18" s="17" t="n">
        <v>500</v>
      </c>
      <c r="G18" s="17" t="s">
        <v>55</v>
      </c>
      <c r="H18" s="18" t="s">
        <v>83</v>
      </c>
    </row>
    <row r="19" customFormat="false" ht="27" hidden="false" customHeight="true" outlineLevel="0" collapsed="false">
      <c r="A19" s="17" t="s">
        <v>84</v>
      </c>
      <c r="B19" s="17" t="s">
        <v>70</v>
      </c>
      <c r="C19" s="17" t="s">
        <v>58</v>
      </c>
      <c r="D19" s="18" t="s">
        <v>85</v>
      </c>
      <c r="E19" s="17"/>
      <c r="F19" s="17"/>
      <c r="G19" s="17" t="s">
        <v>64</v>
      </c>
      <c r="H19" s="18" t="s">
        <v>86</v>
      </c>
    </row>
    <row r="20" customFormat="false" ht="27" hidden="false" customHeight="true" outlineLevel="0" collapsed="false">
      <c r="A20" s="17" t="s">
        <v>87</v>
      </c>
      <c r="B20" s="17" t="s">
        <v>70</v>
      </c>
      <c r="C20" s="17" t="s">
        <v>53</v>
      </c>
      <c r="D20" s="18" t="s">
        <v>88</v>
      </c>
      <c r="E20" s="17" t="n">
        <v>104</v>
      </c>
      <c r="F20" s="17" t="n">
        <v>100</v>
      </c>
      <c r="G20" s="17" t="s">
        <v>43</v>
      </c>
      <c r="H20" s="18" t="s">
        <v>89</v>
      </c>
    </row>
    <row r="23" customFormat="false" ht="15" hidden="false" customHeight="false" outlineLevel="0" collapsed="false">
      <c r="B23" s="19" t="s">
        <v>90</v>
      </c>
      <c r="C23" s="19"/>
      <c r="D23" s="19"/>
      <c r="E23" s="19"/>
      <c r="F23" s="19"/>
      <c r="G23" s="19"/>
      <c r="H23" s="19"/>
    </row>
  </sheetData>
  <autoFilter ref="A4:H20"/>
  <mergeCells count="3">
    <mergeCell ref="A1:H1"/>
    <mergeCell ref="B2:H2"/>
    <mergeCell ref="B23:H23"/>
  </mergeCells>
  <dataValidations count="4">
    <dataValidation allowBlank="true" error="Choose one of the two period labels from the list." errorStyle="stop" errorTitle="Choose a supplied period" operator="between" prompt="Use the supplied period wording." promptTitle="Period" showDropDown="false" showErrorMessage="false" showInputMessage="false" sqref="B5:B1023" type="list">
      <formula1>"Prior period,Current period"</formula1>
      <formula2>0</formula2>
    </dataValidation>
    <dataValidation allowBlank="true" error="Choose a status from the supplied list." errorStyle="stop" errorTitle="Choose a supplied status" operator="between" prompt="Use the supplied status wording." promptTitle="Inspection Status" showDropDown="false" showErrorMessage="false" showInputMessage="false" sqref="G5:G1023" type="list">
      <formula1>"Complete,Incomplete,Not inspected"</formula1>
      <formula2>0</formula2>
    </dataValidation>
    <dataValidation allowBlank="true" error="Enter zero or a positive number, or leave the source value blank where it is missing." errorStyle="stop" errorTitle="Counted Units cannot be negative" operator="greaterThanOrEqual" showDropDown="false" showErrorMessage="false" showInputMessage="false" sqref="E5:E1023" type="decimal">
      <formula1>0</formula1>
      <formula2>0</formula2>
    </dataValidation>
    <dataValidation allowBlank="true" error="Enter zero or a positive number, or leave the source value blank where it is missing." errorStyle="stop" errorTitle="Expected Units cannot be negative" operator="greaterThanOrEqual" showDropDown="false" showErrorMessage="false" showInputMessage="false" sqref="F5:F1023" type="decimal">
      <formula1>0</formula1>
      <formula2>0</formula2>
    </dataValidation>
  </dataValidations>
  <printOptions headings="false" gridLines="false" gridLinesSet="true" horizontalCentered="false" verticalCentered="false"/>
  <pageMargins left="0.240277777777778" right="0.240277777777778" top="0.420138888888889" bottom="0.4201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31"/>
    <col collapsed="false" customWidth="true" hidden="false" outlineLevel="0" max="5" min="5" style="0" width="19"/>
    <col collapsed="false" customWidth="true" hidden="false" outlineLevel="0" max="7" min="6" style="0" width="15"/>
    <col collapsed="false" customWidth="true" hidden="false" outlineLevel="0" max="8" min="8" style="0" width="18"/>
    <col collapsed="false" customWidth="true" hidden="false" outlineLevel="0" max="9" min="9" style="0" width="39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38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44"/>
    <col collapsed="false" customWidth="true" hidden="true" outlineLevel="0" max="17" min="16" style="0" width="14"/>
  </cols>
  <sheetData>
    <row r="1" customFormat="false" ht="27.7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1.5" hidden="false" customHeight="true" outlineLevel="0" collapsed="false">
      <c r="A4" s="16" t="s">
        <v>93</v>
      </c>
      <c r="B4" s="16" t="s">
        <v>31</v>
      </c>
      <c r="C4" s="16" t="s">
        <v>32</v>
      </c>
      <c r="D4" s="16" t="s">
        <v>33</v>
      </c>
      <c r="E4" s="16" t="s">
        <v>34</v>
      </c>
      <c r="F4" s="16" t="s">
        <v>35</v>
      </c>
      <c r="G4" s="16" t="s">
        <v>36</v>
      </c>
      <c r="H4" s="16" t="s">
        <v>37</v>
      </c>
      <c r="I4" s="16" t="s">
        <v>38</v>
      </c>
      <c r="J4" s="16" t="s">
        <v>94</v>
      </c>
      <c r="K4" s="16" t="s">
        <v>95</v>
      </c>
      <c r="L4" s="16" t="s">
        <v>96</v>
      </c>
      <c r="M4" s="16" t="s">
        <v>97</v>
      </c>
      <c r="N4" s="16" t="s">
        <v>98</v>
      </c>
      <c r="O4" s="16" t="s">
        <v>99</v>
      </c>
      <c r="P4" s="16" t="s">
        <v>100</v>
      </c>
      <c r="Q4" s="16" t="s">
        <v>101</v>
      </c>
    </row>
    <row r="5" customFormat="false" ht="27.75" hidden="false" customHeight="true" outlineLevel="0" collapsed="false">
      <c r="A5" s="20" t="n">
        <f aca="false">IF(B5="","",ROW()-4)</f>
        <v>1</v>
      </c>
      <c r="B5" s="21" t="str">
        <f aca="true">IFERROR(INDEX(InputIDs,ROW()-4),"")</f>
        <v>IQ-2501</v>
      </c>
      <c r="C5" s="21" t="str">
        <f aca="true">IFERROR(INDEX(InputPeriods,ROW()-4),"")</f>
        <v>Prior period</v>
      </c>
      <c r="D5" s="21" t="str">
        <f aca="true">IFERROR(INDEX(InputStore,ROW()-4),"")</f>
        <v>ST-014 Larchfield Marketplace</v>
      </c>
      <c r="E5" s="21" t="str">
        <f aca="true">IFERROR(INDEX(InputDepartment,ROW()-4),"")</f>
        <v>Ambient Grocery</v>
      </c>
      <c r="F5" s="22" t="n">
        <f aca="true">IFERROR(IF(ISBLANK(INDEX(InputCounted,ROW()-4)),"",INDEX(InputCounted,ROW()-4)),"")</f>
        <v>990</v>
      </c>
      <c r="G5" s="22" t="n">
        <f aca="true">IFERROR(IF(ISBLANK(INDEX(InputExpected,ROW()-4)),"",INDEX(InputExpected,ROW()-4)),"")</f>
        <v>1000</v>
      </c>
      <c r="H5" s="21" t="str">
        <f aca="true">IFERROR(INDEX(InputStatus,ROW()-4),"")</f>
        <v>Complete</v>
      </c>
      <c r="I5" s="21" t="str">
        <f aca="true">IFERROR(IF(ISBLANK(INDEX(InputNote,ROW()-4)),"",INDEX(InputNote,ROW()-4)),"")</f>
        <v>Aisle 3 re-count at close.</v>
      </c>
      <c r="J5" s="23" t="n">
        <f aca="false">IF(B5="","",IF(OR(F5="",G5=""),"",F5-G5))</f>
        <v>-10</v>
      </c>
      <c r="K5" s="24" t="n">
        <f aca="false">IF(B5="","",IF(OR(F5="",G5="",G5&lt;=0),"",J5/G5))</f>
        <v>-0.01</v>
      </c>
      <c r="L5" s="25" t="str">
        <f aca="false">IF(B5="","",IF(H5&lt;&gt;"Complete",IF(H5="Not inspected","Not inspected; retain visibly but exclude from performance metrics.","Incomplete; exclude from performance metrics."),IF(F5="","Missing counted units; do not infer zero.",IF(G5="","Missing expected units; percentage cannot be calculated.",IF(G5&lt;=0,"Expected units are zero; exclude from numeric comparison.","Included")))))</f>
        <v>Included</v>
      </c>
      <c r="M5" s="25" t="str">
        <f aca="false">IF(B5="","",IF(L5="Included","Included","Not included"))</f>
        <v>Included</v>
      </c>
      <c r="N5" s="25" t="str">
        <f aca="false">IF(B5="","",IF(M5&lt;&gt;"Included","Not applicable",IF(ABS(K5)&gt;=MaterialThreshold,"Material","Not material")))</f>
        <v>Not material</v>
      </c>
      <c r="O5" s="25" t="str">
        <f aca="false">IF(B5="","",IF(M5&lt;&gt;"Included",L5,IF(ROUND(K5*100,0)=118,"Unusual but valid 118% result; retain source counts.",IF(N5="Material","Included material variance.","Included; ordinary variance."))))</f>
        <v>Included; ordinary variance.</v>
      </c>
      <c r="P5" s="26" t="n">
        <f aca="false">IF(B5="","",IF(M5&lt;&gt;"Included",0,IF(COUNTIFS($C$5:C5,C5,$D$5:D5,D5,$M$5:M5,"Included")=1,1,0)))</f>
        <v>1</v>
      </c>
      <c r="Q5" s="26" t="n">
        <f aca="false">IF(B5="","",IF(N5&lt;&gt;"Material",0,IF(COUNTIFS($C$5:C5,C5,$D$5:D5,D5,$N$5:N5,"Material")=1,1,0)))</f>
        <v>0</v>
      </c>
    </row>
    <row r="6" customFormat="false" ht="27.75" hidden="false" customHeight="true" outlineLevel="0" collapsed="false">
      <c r="A6" s="20" t="n">
        <f aca="false">IF(B6="","",ROW()-4)</f>
        <v>2</v>
      </c>
      <c r="B6" s="21" t="str">
        <f aca="true">IFERROR(INDEX(InputIDs,ROW()-4),"")</f>
        <v>IQ-2502</v>
      </c>
      <c r="C6" s="21" t="str">
        <f aca="true">IFERROR(INDEX(InputPeriods,ROW()-4),"")</f>
        <v>Prior period</v>
      </c>
      <c r="D6" s="21" t="str">
        <f aca="true">IFERROR(INDEX(InputStore,ROW()-4),"")</f>
        <v>ST-027 West Dock</v>
      </c>
      <c r="E6" s="21" t="str">
        <f aca="true">IFERROR(INDEX(InputDepartment,ROW()-4),"")</f>
        <v>Dairy</v>
      </c>
      <c r="F6" s="22" t="n">
        <f aca="true">IFERROR(IF(ISBLANK(INDEX(InputCounted,ROW()-4)),"",INDEX(InputCounted,ROW()-4)),"")</f>
        <v>476</v>
      </c>
      <c r="G6" s="22" t="n">
        <f aca="true">IFERROR(IF(ISBLANK(INDEX(InputExpected,ROW()-4)),"",INDEX(InputExpected,ROW()-4)),"")</f>
        <v>500</v>
      </c>
      <c r="H6" s="21" t="str">
        <f aca="true">IFERROR(INDEX(InputStatus,ROW()-4),"")</f>
        <v>Complete</v>
      </c>
      <c r="I6" s="21" t="str">
        <f aca="true">IFERROR(IF(ISBLANK(INDEX(InputNote,ROW()-4)),"",INDEX(InputNote,ROW()-4)),"")</f>
        <v>Cold-room count sheet attached.</v>
      </c>
      <c r="J6" s="23" t="n">
        <f aca="false">IF(B6="","",IF(OR(F6="",G6=""),"",F6-G6))</f>
        <v>-24</v>
      </c>
      <c r="K6" s="24" t="n">
        <f aca="false">IF(B6="","",IF(OR(F6="",G6="",G6&lt;=0),"",J6/G6))</f>
        <v>-0.048</v>
      </c>
      <c r="L6" s="25" t="str">
        <f aca="false">IF(B6="","",IF(H6&lt;&gt;"Complete",IF(H6="Not inspected","Not inspected; retain visibly but exclude from performance metrics.","Incomplete; exclude from performance metrics."),IF(F6="","Missing counted units; do not infer zero.",IF(G6="","Missing expected units; percentage cannot be calculated.",IF(G6&lt;=0,"Expected units are zero; exclude from numeric comparison.","Included")))))</f>
        <v>Included</v>
      </c>
      <c r="M6" s="25" t="str">
        <f aca="false">IF(B6="","",IF(L6="Included","Included","Not included"))</f>
        <v>Included</v>
      </c>
      <c r="N6" s="25" t="str">
        <f aca="false">IF(B6="","",IF(M6&lt;&gt;"Included","Not applicable",IF(ABS(K6)&gt;=MaterialThreshold,"Material","Not material")))</f>
        <v>Not material</v>
      </c>
      <c r="O6" s="25" t="str">
        <f aca="false">IF(B6="","",IF(M6&lt;&gt;"Included",L6,IF(ROUND(K6*100,0)=118,"Unusual but valid 118% result; retain source counts.",IF(N6="Material","Included material variance.","Included; ordinary variance."))))</f>
        <v>Included; ordinary variance.</v>
      </c>
      <c r="P6" s="26" t="n">
        <f aca="false">IF(B6="","",IF(M6&lt;&gt;"Included",0,IF(COUNTIFS($C$5:C6,C6,$D$5:D6,D6,$M$5:M6,"Included")=1,1,0)))</f>
        <v>1</v>
      </c>
      <c r="Q6" s="26" t="n">
        <f aca="false">IF(B6="","",IF(N6&lt;&gt;"Material",0,IF(COUNTIFS($C$5:C6,C6,$D$5:D6,D6,$N$5:N6,"Material")=1,1,0)))</f>
        <v>0</v>
      </c>
    </row>
    <row r="7" customFormat="false" ht="27.75" hidden="false" customHeight="true" outlineLevel="0" collapsed="false">
      <c r="A7" s="20" t="n">
        <f aca="false">IF(B7="","",ROW()-4)</f>
        <v>3</v>
      </c>
      <c r="B7" s="21" t="str">
        <f aca="true">IFERROR(INDEX(InputIDs,ROW()-4),"")</f>
        <v>IQ-2503</v>
      </c>
      <c r="C7" s="21" t="str">
        <f aca="true">IFERROR(INDEX(InputPeriods,ROW()-4),"")</f>
        <v>Prior period</v>
      </c>
      <c r="D7" s="21" t="str">
        <f aca="true">IFERROR(INDEX(InputStore,ROW()-4),"")</f>
        <v>ST-014 Larchfield Marketplace</v>
      </c>
      <c r="E7" s="21" t="str">
        <f aca="true">IFERROR(INDEX(InputDepartment,ROW()-4),"")</f>
        <v>Bakery</v>
      </c>
      <c r="F7" s="22" t="str">
        <f aca="true">IFERROR(IF(ISBLANK(INDEX(InputCounted,ROW()-4)),"",INDEX(InputCounted,ROW()-4)),"")</f>
        <v/>
      </c>
      <c r="G7" s="22" t="n">
        <f aca="true">IFERROR(IF(ISBLANK(INDEX(InputExpected,ROW()-4)),"",INDEX(InputExpected,ROW()-4)),"")</f>
        <v>320</v>
      </c>
      <c r="H7" s="21" t="str">
        <f aca="true">IFERROR(INDEX(InputStatus,ROW()-4),"")</f>
        <v>Complete</v>
      </c>
      <c r="I7" s="21" t="str">
        <f aca="true">IFERROR(IF(ISBLANK(INDEX(InputNote,ROW()-4)),"",INDEX(InputNote,ROW()-4)),"")</f>
        <v>Counter sheet not received with packet.</v>
      </c>
      <c r="J7" s="23" t="str">
        <f aca="false">IF(B7="","",IF(OR(F7="",G7=""),"",F7-G7))</f>
        <v/>
      </c>
      <c r="K7" s="24" t="str">
        <f aca="false">IF(B7="","",IF(OR(F7="",G7="",G7&lt;=0),"",J7/G7))</f>
        <v/>
      </c>
      <c r="L7" s="25" t="str">
        <f aca="false">IF(B7="","",IF(H7&lt;&gt;"Complete",IF(H7="Not inspected","Not inspected; retain visibly but exclude from performance metrics.","Incomplete; exclude from performance metrics."),IF(F7="","Missing counted units; do not infer zero.",IF(G7="","Missing expected units; percentage cannot be calculated.",IF(G7&lt;=0,"Expected units are zero; exclude from numeric comparison.","Included")))))</f>
        <v>Missing counted units; do not infer zero.</v>
      </c>
      <c r="M7" s="25" t="str">
        <f aca="false">IF(B7="","",IF(L7="Included","Included","Not included"))</f>
        <v>Not included</v>
      </c>
      <c r="N7" s="25" t="str">
        <f aca="false">IF(B7="","",IF(M7&lt;&gt;"Included","Not applicable",IF(ABS(K7)&gt;=MaterialThreshold,"Material","Not material")))</f>
        <v>Not applicable</v>
      </c>
      <c r="O7" s="25" t="str">
        <f aca="false">IF(B7="","",IF(M7&lt;&gt;"Included",L7,IF(ROUND(K7*100,0)=118,"Unusual but valid 118% result; retain source counts.",IF(N7="Material","Included material variance.","Included; ordinary variance."))))</f>
        <v>Missing counted units; do not infer zero.</v>
      </c>
      <c r="P7" s="26" t="n">
        <f aca="false">IF(B7="","",IF(M7&lt;&gt;"Included",0,IF(COUNTIFS($C$5:C7,C7,$D$5:D7,D7,$M$5:M7,"Included")=1,1,0)))</f>
        <v>0</v>
      </c>
      <c r="Q7" s="26" t="n">
        <f aca="false">IF(B7="","",IF(N7&lt;&gt;"Material",0,IF(COUNTIFS($C$5:C7,C7,$D$5:D7,D7,$N$5:N7,"Material")=1,1,0)))</f>
        <v>0</v>
      </c>
    </row>
    <row r="8" customFormat="false" ht="27.75" hidden="false" customHeight="true" outlineLevel="0" collapsed="false">
      <c r="A8" s="20" t="n">
        <f aca="false">IF(B8="","",ROW()-4)</f>
        <v>4</v>
      </c>
      <c r="B8" s="21" t="str">
        <f aca="true">IFERROR(INDEX(InputIDs,ROW()-4),"")</f>
        <v>IQ-2504</v>
      </c>
      <c r="C8" s="21" t="str">
        <f aca="true">IFERROR(INDEX(InputPeriods,ROW()-4),"")</f>
        <v>Prior period</v>
      </c>
      <c r="D8" s="21" t="str">
        <f aca="true">IFERROR(INDEX(InputStore,ROW()-4),"")</f>
        <v>ST-039 Cedar Park</v>
      </c>
      <c r="E8" s="21" t="str">
        <f aca="true">IFERROR(INDEX(InputDepartment,ROW()-4),"")</f>
        <v>Household</v>
      </c>
      <c r="F8" s="22" t="n">
        <f aca="true">IFERROR(IF(ISBLANK(INDEX(InputCounted,ROW()-4)),"",INDEX(InputCounted,ROW()-4)),"")</f>
        <v>310</v>
      </c>
      <c r="G8" s="22" t="n">
        <f aca="true">IFERROR(IF(ISBLANK(INDEX(InputExpected,ROW()-4)),"",INDEX(InputExpected,ROW()-4)),"")</f>
        <v>300</v>
      </c>
      <c r="H8" s="21" t="str">
        <f aca="true">IFERROR(INDEX(InputStatus,ROW()-4),"")</f>
        <v>Incomplete</v>
      </c>
      <c r="I8" s="21" t="str">
        <f aca="true">IFERROR(IF(ISBLANK(INDEX(InputNote,ROW()-4)),"",INDEX(InputNote,ROW()-4)),"")</f>
        <v>Supervisor signed partial walk.</v>
      </c>
      <c r="J8" s="23" t="n">
        <f aca="false">IF(B8="","",IF(OR(F8="",G8=""),"",F8-G8))</f>
        <v>10</v>
      </c>
      <c r="K8" s="24" t="n">
        <f aca="false">IF(B8="","",IF(OR(F8="",G8="",G8&lt;=0),"",J8/G8))</f>
        <v>0.0333333333333333</v>
      </c>
      <c r="L8" s="25" t="str">
        <f aca="false">IF(B8="","",IF(H8&lt;&gt;"Complete",IF(H8="Not inspected","Not inspected; retain visibly but exclude from performance metrics.","Incomplete; exclude from performance metrics."),IF(F8="","Missing counted units; do not infer zero.",IF(G8="","Missing expected units; percentage cannot be calculated.",IF(G8&lt;=0,"Expected units are zero; exclude from numeric comparison.","Included")))))</f>
        <v>Incomplete; exclude from performance metrics.</v>
      </c>
      <c r="M8" s="25" t="str">
        <f aca="false">IF(B8="","",IF(L8="Included","Included","Not included"))</f>
        <v>Not included</v>
      </c>
      <c r="N8" s="25" t="str">
        <f aca="false">IF(B8="","",IF(M8&lt;&gt;"Included","Not applicable",IF(ABS(K8)&gt;=MaterialThreshold,"Material","Not material")))</f>
        <v>Not applicable</v>
      </c>
      <c r="O8" s="25" t="str">
        <f aca="false">IF(B8="","",IF(M8&lt;&gt;"Included",L8,IF(ROUND(K8*100,0)=118,"Unusual but valid 118% result; retain source counts.",IF(N8="Material","Included material variance.","Included; ordinary variance."))))</f>
        <v>Incomplete; exclude from performance metrics.</v>
      </c>
      <c r="P8" s="26" t="n">
        <f aca="false">IF(B8="","",IF(M8&lt;&gt;"Included",0,IF(COUNTIFS($C$5:C8,C8,$D$5:D8,D8,$M$5:M8,"Included")=1,1,0)))</f>
        <v>0</v>
      </c>
      <c r="Q8" s="26" t="n">
        <f aca="false">IF(B8="","",IF(N8&lt;&gt;"Material",0,IF(COUNTIFS($C$5:C8,C8,$D$5:D8,D8,$N$5:N8,"Material")=1,1,0)))</f>
        <v>0</v>
      </c>
    </row>
    <row r="9" customFormat="false" ht="27.75" hidden="false" customHeight="true" outlineLevel="0" collapsed="false">
      <c r="A9" s="20" t="n">
        <f aca="false">IF(B9="","",ROW()-4)</f>
        <v>5</v>
      </c>
      <c r="B9" s="21" t="str">
        <f aca="true">IFERROR(INDEX(InputIDs,ROW()-4),"")</f>
        <v>IQ-2505</v>
      </c>
      <c r="C9" s="21" t="str">
        <f aca="true">IFERROR(INDEX(InputPeriods,ROW()-4),"")</f>
        <v>Prior period</v>
      </c>
      <c r="D9" s="21" t="str">
        <f aca="true">IFERROR(INDEX(InputStore,ROW()-4),"")</f>
        <v>ST-052 Northline</v>
      </c>
      <c r="E9" s="21" t="str">
        <f aca="true">IFERROR(INDEX(InputDepartment,ROW()-4),"")</f>
        <v>Fresh Produce</v>
      </c>
      <c r="F9" s="22" t="n">
        <f aca="true">IFERROR(IF(ISBLANK(INDEX(InputCounted,ROW()-4)),"",INDEX(InputCounted,ROW()-4)),"")</f>
        <v>608</v>
      </c>
      <c r="G9" s="22" t="n">
        <f aca="true">IFERROR(IF(ISBLANK(INDEX(InputExpected,ROW()-4)),"",INDEX(InputExpected,ROW()-4)),"")</f>
        <v>600</v>
      </c>
      <c r="H9" s="21" t="str">
        <f aca="true">IFERROR(INDEX(InputStatus,ROW()-4),"")</f>
        <v>Complete</v>
      </c>
      <c r="I9" s="21" t="str">
        <f aca="true">IFERROR(IF(ISBLANK(INDEX(InputNote,ROW()-4)),"",INDEX(InputNote,ROW()-4)),"")</f>
        <v>Two crates held for transfer.</v>
      </c>
      <c r="J9" s="23" t="n">
        <f aca="false">IF(B9="","",IF(OR(F9="",G9=""),"",F9-G9))</f>
        <v>8</v>
      </c>
      <c r="K9" s="24" t="n">
        <f aca="false">IF(B9="","",IF(OR(F9="",G9="",G9&lt;=0),"",J9/G9))</f>
        <v>0.0133333333333333</v>
      </c>
      <c r="L9" s="25" t="str">
        <f aca="false">IF(B9="","",IF(H9&lt;&gt;"Complete",IF(H9="Not inspected","Not inspected; retain visibly but exclude from performance metrics.","Incomplete; exclude from performance metrics."),IF(F9="","Missing counted units; do not infer zero.",IF(G9="","Missing expected units; percentage cannot be calculated.",IF(G9&lt;=0,"Expected units are zero; exclude from numeric comparison.","Included")))))</f>
        <v>Included</v>
      </c>
      <c r="M9" s="25" t="str">
        <f aca="false">IF(B9="","",IF(L9="Included","Included","Not included"))</f>
        <v>Included</v>
      </c>
      <c r="N9" s="25" t="str">
        <f aca="false">IF(B9="","",IF(M9&lt;&gt;"Included","Not applicable",IF(ABS(K9)&gt;=MaterialThreshold,"Material","Not material")))</f>
        <v>Not material</v>
      </c>
      <c r="O9" s="25" t="str">
        <f aca="false">IF(B9="","",IF(M9&lt;&gt;"Included",L9,IF(ROUND(K9*100,0)=118,"Unusual but valid 118% result; retain source counts.",IF(N9="Material","Included material variance.","Included; ordinary variance."))))</f>
        <v>Included; ordinary variance.</v>
      </c>
      <c r="P9" s="26" t="n">
        <f aca="false">IF(B9="","",IF(M9&lt;&gt;"Included",0,IF(COUNTIFS($C$5:C9,C9,$D$5:D9,D9,$M$5:M9,"Included")=1,1,0)))</f>
        <v>1</v>
      </c>
      <c r="Q9" s="26" t="n">
        <f aca="false">IF(B9="","",IF(N9&lt;&gt;"Material",0,IF(COUNTIFS($C$5:C9,C9,$D$5:D9,D9,$N$5:N9,"Material")=1,1,0)))</f>
        <v>0</v>
      </c>
    </row>
    <row r="10" customFormat="false" ht="27.75" hidden="false" customHeight="true" outlineLevel="0" collapsed="false">
      <c r="A10" s="20" t="n">
        <f aca="false">IF(B10="","",ROW()-4)</f>
        <v>6</v>
      </c>
      <c r="B10" s="21" t="str">
        <f aca="true">IFERROR(INDEX(InputIDs,ROW()-4),"")</f>
        <v>IQ-2506</v>
      </c>
      <c r="C10" s="21" t="str">
        <f aca="true">IFERROR(INDEX(InputPeriods,ROW()-4),"")</f>
        <v>Prior period</v>
      </c>
      <c r="D10" s="21" t="str">
        <f aca="true">IFERROR(INDEX(InputStore,ROW()-4),"")</f>
        <v>ST-063 Quarry Gate</v>
      </c>
      <c r="E10" s="21" t="str">
        <f aca="true">IFERROR(INDEX(InputDepartment,ROW()-4),"")</f>
        <v>Frozen</v>
      </c>
      <c r="F10" s="22" t="str">
        <f aca="true">IFERROR(IF(ISBLANK(INDEX(InputCounted,ROW()-4)),"",INDEX(InputCounted,ROW()-4)),"")</f>
        <v/>
      </c>
      <c r="G10" s="22" t="str">
        <f aca="true">IFERROR(IF(ISBLANK(INDEX(InputExpected,ROW()-4)),"",INDEX(InputExpected,ROW()-4)),"")</f>
        <v/>
      </c>
      <c r="H10" s="21" t="str">
        <f aca="true">IFERROR(INDEX(InputStatus,ROW()-4),"")</f>
        <v>Not inspected</v>
      </c>
      <c r="I10" s="21" t="str">
        <f aca="true">IFERROR(IF(ISBLANK(INDEX(InputNote,ROW()-4)),"",INDEX(InputNote,ROW()-4)),"")</f>
        <v>Store closed before inspection.</v>
      </c>
      <c r="J10" s="23" t="str">
        <f aca="false">IF(B10="","",IF(OR(F10="",G10=""),"",F10-G10))</f>
        <v/>
      </c>
      <c r="K10" s="24" t="str">
        <f aca="false">IF(B10="","",IF(OR(F10="",G10="",G10&lt;=0),"",J10/G10))</f>
        <v/>
      </c>
      <c r="L10" s="25" t="str">
        <f aca="false">IF(B10="","",IF(H10&lt;&gt;"Complete",IF(H10="Not inspected","Not inspected; retain visibly but exclude from performance metrics.","Incomplete; exclude from performance metrics."),IF(F10="","Missing counted units; do not infer zero.",IF(G10="","Missing expected units; percentage cannot be calculated.",IF(G10&lt;=0,"Expected units are zero; exclude from numeric comparison.","Included")))))</f>
        <v>Not inspected; retain visibly but exclude from performance metrics.</v>
      </c>
      <c r="M10" s="25" t="str">
        <f aca="false">IF(B10="","",IF(L10="Included","Included","Not included"))</f>
        <v>Not included</v>
      </c>
      <c r="N10" s="25" t="str">
        <f aca="false">IF(B10="","",IF(M10&lt;&gt;"Included","Not applicable",IF(ABS(K10)&gt;=MaterialThreshold,"Material","Not material")))</f>
        <v>Not applicable</v>
      </c>
      <c r="O10" s="25" t="str">
        <f aca="false">IF(B10="","",IF(M10&lt;&gt;"Included",L10,IF(ROUND(K10*100,0)=118,"Unusual but valid 118% result; retain source counts.",IF(N10="Material","Included material variance.","Included; ordinary variance."))))</f>
        <v>Not inspected; retain visibly but exclude from performance metrics.</v>
      </c>
      <c r="P10" s="26" t="n">
        <f aca="false">IF(B10="","",IF(M10&lt;&gt;"Included",0,IF(COUNTIFS($C$5:C10,C10,$D$5:D10,D10,$M$5:M10,"Included")=1,1,0)))</f>
        <v>0</v>
      </c>
      <c r="Q10" s="26" t="n">
        <f aca="false">IF(B10="","",IF(N10&lt;&gt;"Material",0,IF(COUNTIFS($C$5:C10,C10,$D$5:D10,D10,$N$5:N10,"Material")=1,1,0)))</f>
        <v>0</v>
      </c>
    </row>
    <row r="11" customFormat="false" ht="27.75" hidden="false" customHeight="true" outlineLevel="0" collapsed="false">
      <c r="A11" s="20" t="n">
        <f aca="false">IF(B11="","",ROW()-4)</f>
        <v>7</v>
      </c>
      <c r="B11" s="21" t="str">
        <f aca="true">IFERROR(INDEX(InputIDs,ROW()-4),"")</f>
        <v>IQ-2507</v>
      </c>
      <c r="C11" s="21" t="str">
        <f aca="true">IFERROR(INDEX(InputPeriods,ROW()-4),"")</f>
        <v>Prior period</v>
      </c>
      <c r="D11" s="21" t="str">
        <f aca="true">IFERROR(INDEX(InputStore,ROW()-4),"")</f>
        <v>ST-027 West Dock</v>
      </c>
      <c r="E11" s="21" t="str">
        <f aca="true">IFERROR(INDEX(InputDepartment,ROW()-4),"")</f>
        <v>Beverages</v>
      </c>
      <c r="F11" s="22" t="n">
        <f aca="true">IFERROR(IF(ISBLANK(INDEX(InputCounted,ROW()-4)),"",INDEX(InputCounted,ROW()-4)),"")</f>
        <v>715</v>
      </c>
      <c r="G11" s="22" t="n">
        <f aca="true">IFERROR(IF(ISBLANK(INDEX(InputExpected,ROW()-4)),"",INDEX(InputExpected,ROW()-4)),"")</f>
        <v>700</v>
      </c>
      <c r="H11" s="21" t="str">
        <f aca="true">IFERROR(INDEX(InputStatus,ROW()-4),"")</f>
        <v>Complete</v>
      </c>
      <c r="I11" s="21" t="str">
        <f aca="true">IFERROR(IF(ISBLANK(INDEX(InputNote,ROW()-4)),"",INDEX(InputNote,ROW()-4)),"")</f>
        <v>Delivery bay count amended before close.</v>
      </c>
      <c r="J11" s="23" t="n">
        <f aca="false">IF(B11="","",IF(OR(F11="",G11=""),"",F11-G11))</f>
        <v>15</v>
      </c>
      <c r="K11" s="24" t="n">
        <f aca="false">IF(B11="","",IF(OR(F11="",G11="",G11&lt;=0),"",J11/G11))</f>
        <v>0.0214285714285714</v>
      </c>
      <c r="L11" s="25" t="str">
        <f aca="false">IF(B11="","",IF(H11&lt;&gt;"Complete",IF(H11="Not inspected","Not inspected; retain visibly but exclude from performance metrics.","Incomplete; exclude from performance metrics."),IF(F11="","Missing counted units; do not infer zero.",IF(G11="","Missing expected units; percentage cannot be calculated.",IF(G11&lt;=0,"Expected units are zero; exclude from numeric comparison.","Included")))))</f>
        <v>Included</v>
      </c>
      <c r="M11" s="25" t="str">
        <f aca="false">IF(B11="","",IF(L11="Included","Included","Not included"))</f>
        <v>Included</v>
      </c>
      <c r="N11" s="25" t="str">
        <f aca="false">IF(B11="","",IF(M11&lt;&gt;"Included","Not applicable",IF(ABS(K11)&gt;=MaterialThreshold,"Material","Not material")))</f>
        <v>Not material</v>
      </c>
      <c r="O11" s="25" t="str">
        <f aca="false">IF(B11="","",IF(M11&lt;&gt;"Included",L11,IF(ROUND(K11*100,0)=118,"Unusual but valid 118% result; retain source counts.",IF(N11="Material","Included material variance.","Included; ordinary variance."))))</f>
        <v>Included; ordinary variance.</v>
      </c>
      <c r="P11" s="26" t="n">
        <f aca="false">IF(B11="","",IF(M11&lt;&gt;"Included",0,IF(COUNTIFS($C$5:C11,C11,$D$5:D11,D11,$M$5:M11,"Included")=1,1,0)))</f>
        <v>0</v>
      </c>
      <c r="Q11" s="26" t="n">
        <f aca="false">IF(B11="","",IF(N11&lt;&gt;"Material",0,IF(COUNTIFS($C$5:C11,C11,$D$5:D11,D11,$N$5:N11,"Material")=1,1,0)))</f>
        <v>0</v>
      </c>
    </row>
    <row r="12" customFormat="false" ht="27.75" hidden="false" customHeight="true" outlineLevel="0" collapsed="false">
      <c r="A12" s="20" t="n">
        <f aca="false">IF(B12="","",ROW()-4)</f>
        <v>8</v>
      </c>
      <c r="B12" s="21" t="str">
        <f aca="true">IFERROR(INDEX(InputIDs,ROW()-4),"")</f>
        <v>IQ-2508</v>
      </c>
      <c r="C12" s="21" t="str">
        <f aca="true">IFERROR(INDEX(InputPeriods,ROW()-4),"")</f>
        <v>Current period</v>
      </c>
      <c r="D12" s="21" t="str">
        <f aca="true">IFERROR(INDEX(InputStore,ROW()-4),"")</f>
        <v>ST-014 Larchfield Marketplace</v>
      </c>
      <c r="E12" s="21" t="str">
        <f aca="true">IFERROR(INDEX(InputDepartment,ROW()-4),"")</f>
        <v>Ambient Grocery</v>
      </c>
      <c r="F12" s="22" t="n">
        <f aca="true">IFERROR(IF(ISBLANK(INDEX(InputCounted,ROW()-4)),"",INDEX(InputCounted,ROW()-4)),"")</f>
        <v>218</v>
      </c>
      <c r="G12" s="22" t="n">
        <f aca="true">IFERROR(IF(ISBLANK(INDEX(InputExpected,ROW()-4)),"",INDEX(InputExpected,ROW()-4)),"")</f>
        <v>100</v>
      </c>
      <c r="H12" s="21" t="str">
        <f aca="true">IFERROR(INDEX(InputStatus,ROW()-4),"")</f>
        <v>Complete</v>
      </c>
      <c r="I12" s="21" t="str">
        <f aca="true">IFERROR(IF(ISBLANK(INDEX(InputNote,ROW()-4)),"",INDEX(InputNote,ROW()-4)),"")</f>
        <v>Count sheet and receiving log attached.</v>
      </c>
      <c r="J12" s="23" t="n">
        <f aca="false">IF(B12="","",IF(OR(F12="",G12=""),"",F12-G12))</f>
        <v>118</v>
      </c>
      <c r="K12" s="24" t="n">
        <f aca="false">IF(B12="","",IF(OR(F12="",G12="",G12&lt;=0),"",J12/G12))</f>
        <v>1.18</v>
      </c>
      <c r="L12" s="25" t="str">
        <f aca="false">IF(B12="","",IF(H12&lt;&gt;"Complete",IF(H12="Not inspected","Not inspected; retain visibly but exclude from performance metrics.","Incomplete; exclude from performance metrics."),IF(F12="","Missing counted units; do not infer zero.",IF(G12="","Missing expected units; percentage cannot be calculated.",IF(G12&lt;=0,"Expected units are zero; exclude from numeric comparison.","Included")))))</f>
        <v>Included</v>
      </c>
      <c r="M12" s="25" t="str">
        <f aca="false">IF(B12="","",IF(L12="Included","Included","Not included"))</f>
        <v>Included</v>
      </c>
      <c r="N12" s="25" t="str">
        <f aca="false">IF(B12="","",IF(M12&lt;&gt;"Included","Not applicable",IF(ABS(K12)&gt;=MaterialThreshold,"Material","Not material")))</f>
        <v>Material</v>
      </c>
      <c r="O12" s="25" t="str">
        <f aca="false">IF(B12="","",IF(M12&lt;&gt;"Included",L12,IF(ROUND(K12*100,0)=118,"Unusual but valid 118% result; retain source counts.",IF(N12="Material","Included material variance.","Included; ordinary variance."))))</f>
        <v>Unusual but valid 118% result; retain source counts.</v>
      </c>
      <c r="P12" s="26" t="n">
        <f aca="false">IF(B12="","",IF(M12&lt;&gt;"Included",0,IF(COUNTIFS($C$5:C12,C12,$D$5:D12,D12,$M$5:M12,"Included")=1,1,0)))</f>
        <v>1</v>
      </c>
      <c r="Q12" s="26" t="n">
        <f aca="false">IF(B12="","",IF(N12&lt;&gt;"Material",0,IF(COUNTIFS($C$5:C12,C12,$D$5:D12,D12,$N$5:N12,"Material")=1,1,0)))</f>
        <v>1</v>
      </c>
    </row>
    <row r="13" customFormat="false" ht="27.75" hidden="false" customHeight="true" outlineLevel="0" collapsed="false">
      <c r="A13" s="20" t="n">
        <f aca="false">IF(B13="","",ROW()-4)</f>
        <v>9</v>
      </c>
      <c r="B13" s="21" t="str">
        <f aca="true">IFERROR(INDEX(InputIDs,ROW()-4),"")</f>
        <v>IQ-2509</v>
      </c>
      <c r="C13" s="21" t="str">
        <f aca="true">IFERROR(INDEX(InputPeriods,ROW()-4),"")</f>
        <v>Current period</v>
      </c>
      <c r="D13" s="21" t="str">
        <f aca="true">IFERROR(INDEX(InputStore,ROW()-4),"")</f>
        <v>ST-027 West Dock</v>
      </c>
      <c r="E13" s="21" t="str">
        <f aca="true">IFERROR(INDEX(InputDepartment,ROW()-4),"")</f>
        <v>Dairy</v>
      </c>
      <c r="F13" s="22" t="n">
        <f aca="true">IFERROR(IF(ISBLANK(INDEX(InputCounted,ROW()-4)),"",INDEX(InputCounted,ROW()-4)),"")</f>
        <v>420</v>
      </c>
      <c r="G13" s="22" t="n">
        <f aca="true">IFERROR(IF(ISBLANK(INDEX(InputExpected,ROW()-4)),"",INDEX(InputExpected,ROW()-4)),"")</f>
        <v>500</v>
      </c>
      <c r="H13" s="21" t="str">
        <f aca="true">IFERROR(INDEX(InputStatus,ROW()-4),"")</f>
        <v>Complete</v>
      </c>
      <c r="I13" s="21" t="str">
        <f aca="true">IFERROR(IF(ISBLANK(INDEX(InputNote,ROW()-4)),"",INDEX(InputNote,ROW()-4)),"")</f>
        <v>Late delivery checked against docket.</v>
      </c>
      <c r="J13" s="23" t="n">
        <f aca="false">IF(B13="","",IF(OR(F13="",G13=""),"",F13-G13))</f>
        <v>-80</v>
      </c>
      <c r="K13" s="24" t="n">
        <f aca="false">IF(B13="","",IF(OR(F13="",G13="",G13&lt;=0),"",J13/G13))</f>
        <v>-0.16</v>
      </c>
      <c r="L13" s="25" t="str">
        <f aca="false">IF(B13="","",IF(H13&lt;&gt;"Complete",IF(H13="Not inspected","Not inspected; retain visibly but exclude from performance metrics.","Incomplete; exclude from performance metrics."),IF(F13="","Missing counted units; do not infer zero.",IF(G13="","Missing expected units; percentage cannot be calculated.",IF(G13&lt;=0,"Expected units are zero; exclude from numeric comparison.","Included")))))</f>
        <v>Included</v>
      </c>
      <c r="M13" s="25" t="str">
        <f aca="false">IF(B13="","",IF(L13="Included","Included","Not included"))</f>
        <v>Included</v>
      </c>
      <c r="N13" s="25" t="str">
        <f aca="false">IF(B13="","",IF(M13&lt;&gt;"Included","Not applicable",IF(ABS(K13)&gt;=MaterialThreshold,"Material","Not material")))</f>
        <v>Not material</v>
      </c>
      <c r="O13" s="25" t="str">
        <f aca="false">IF(B13="","",IF(M13&lt;&gt;"Included",L13,IF(ROUND(K13*100,0)=118,"Unusual but valid 118% result; retain source counts.",IF(N13="Material","Included material variance.","Included; ordinary variance."))))</f>
        <v>Included; ordinary variance.</v>
      </c>
      <c r="P13" s="26" t="n">
        <f aca="false">IF(B13="","",IF(M13&lt;&gt;"Included",0,IF(COUNTIFS($C$5:C13,C13,$D$5:D13,D13,$M$5:M13,"Included")=1,1,0)))</f>
        <v>1</v>
      </c>
      <c r="Q13" s="26" t="n">
        <f aca="false">IF(B13="","",IF(N13&lt;&gt;"Material",0,IF(COUNTIFS($C$5:C13,C13,$D$5:D13,D13,$N$5:N13,"Material")=1,1,0)))</f>
        <v>0</v>
      </c>
    </row>
    <row r="14" customFormat="false" ht="27.75" hidden="false" customHeight="true" outlineLevel="0" collapsed="false">
      <c r="A14" s="20" t="n">
        <f aca="false">IF(B14="","",ROW()-4)</f>
        <v>10</v>
      </c>
      <c r="B14" s="21" t="str">
        <f aca="true">IFERROR(INDEX(InputIDs,ROW()-4),"")</f>
        <v>IQ-2510</v>
      </c>
      <c r="C14" s="21" t="str">
        <f aca="true">IFERROR(INDEX(InputPeriods,ROW()-4),"")</f>
        <v>Current period</v>
      </c>
      <c r="D14" s="21" t="str">
        <f aca="true">IFERROR(INDEX(InputStore,ROW()-4),"")</f>
        <v>ST-039 Cedar Park</v>
      </c>
      <c r="E14" s="21" t="str">
        <f aca="true">IFERROR(INDEX(InputDepartment,ROW()-4),"")</f>
        <v>Household</v>
      </c>
      <c r="F14" s="22" t="n">
        <f aca="true">IFERROR(IF(ISBLANK(INDEX(InputCounted,ROW()-4)),"",INDEX(InputCounted,ROW()-4)),"")</f>
        <v>740</v>
      </c>
      <c r="G14" s="22" t="n">
        <f aca="true">IFERROR(IF(ISBLANK(INDEX(InputExpected,ROW()-4)),"",INDEX(InputExpected,ROW()-4)),"")</f>
        <v>600</v>
      </c>
      <c r="H14" s="21" t="str">
        <f aca="true">IFERROR(INDEX(InputStatus,ROW()-4),"")</f>
        <v>Complete</v>
      </c>
      <c r="I14" s="21" t="str">
        <f aca="true">IFERROR(IF(ISBLANK(INDEX(InputNote,ROW()-4)),"",INDEX(InputNote,ROW()-4)),"")</f>
        <v>Back-stock bay re-counted.</v>
      </c>
      <c r="J14" s="23" t="n">
        <f aca="false">IF(B14="","",IF(OR(F14="",G14=""),"",F14-G14))</f>
        <v>140</v>
      </c>
      <c r="K14" s="24" t="n">
        <f aca="false">IF(B14="","",IF(OR(F14="",G14="",G14&lt;=0),"",J14/G14))</f>
        <v>0.233333333333333</v>
      </c>
      <c r="L14" s="25" t="str">
        <f aca="false">IF(B14="","",IF(H14&lt;&gt;"Complete",IF(H14="Not inspected","Not inspected; retain visibly but exclude from performance metrics.","Incomplete; exclude from performance metrics."),IF(F14="","Missing counted units; do not infer zero.",IF(G14="","Missing expected units; percentage cannot be calculated.",IF(G14&lt;=0,"Expected units are zero; exclude from numeric comparison.","Included")))))</f>
        <v>Included</v>
      </c>
      <c r="M14" s="25" t="str">
        <f aca="false">IF(B14="","",IF(L14="Included","Included","Not included"))</f>
        <v>Included</v>
      </c>
      <c r="N14" s="25" t="str">
        <f aca="false">IF(B14="","",IF(M14&lt;&gt;"Included","Not applicable",IF(ABS(K14)&gt;=MaterialThreshold,"Material","Not material")))</f>
        <v>Material</v>
      </c>
      <c r="O14" s="25" t="str">
        <f aca="false">IF(B14="","",IF(M14&lt;&gt;"Included",L14,IF(ROUND(K14*100,0)=118,"Unusual but valid 118% result; retain source counts.",IF(N14="Material","Included material variance.","Included; ordinary variance."))))</f>
        <v>Included material variance.</v>
      </c>
      <c r="P14" s="26" t="n">
        <f aca="false">IF(B14="","",IF(M14&lt;&gt;"Included",0,IF(COUNTIFS($C$5:C14,C14,$D$5:D14,D14,$M$5:M14,"Included")=1,1,0)))</f>
        <v>1</v>
      </c>
      <c r="Q14" s="26" t="n">
        <f aca="false">IF(B14="","",IF(N14&lt;&gt;"Material",0,IF(COUNTIFS($C$5:C14,C14,$D$5:D14,D14,$N$5:N14,"Material")=1,1,0)))</f>
        <v>1</v>
      </c>
    </row>
    <row r="15" customFormat="false" ht="27.75" hidden="false" customHeight="true" outlineLevel="0" collapsed="false">
      <c r="A15" s="20" t="n">
        <f aca="false">IF(B15="","",ROW()-4)</f>
        <v>11</v>
      </c>
      <c r="B15" s="21" t="str">
        <f aca="true">IFERROR(INDEX(InputIDs,ROW()-4),"")</f>
        <v>IQ-2511</v>
      </c>
      <c r="C15" s="21" t="str">
        <f aca="true">IFERROR(INDEX(InputPeriods,ROW()-4),"")</f>
        <v>Current period</v>
      </c>
      <c r="D15" s="21" t="str">
        <f aca="true">IFERROR(INDEX(InputStore,ROW()-4),"")</f>
        <v>ST-052 Northline</v>
      </c>
      <c r="E15" s="21" t="str">
        <f aca="true">IFERROR(INDEX(InputDepartment,ROW()-4),"")</f>
        <v>Fresh Produce</v>
      </c>
      <c r="F15" s="22" t="str">
        <f aca="true">IFERROR(IF(ISBLANK(INDEX(InputCounted,ROW()-4)),"",INDEX(InputCounted,ROW()-4)),"")</f>
        <v/>
      </c>
      <c r="G15" s="22" t="n">
        <f aca="true">IFERROR(IF(ISBLANK(INDEX(InputExpected,ROW()-4)),"",INDEX(InputExpected,ROW()-4)),"")</f>
        <v>620</v>
      </c>
      <c r="H15" s="21" t="str">
        <f aca="true">IFERROR(INDEX(InputStatus,ROW()-4),"")</f>
        <v>Complete</v>
      </c>
      <c r="I15" s="21" t="str">
        <f aca="true">IFERROR(IF(ISBLANK(INDEX(InputNote,ROW()-4)),"",INDEX(InputNote,ROW()-4)),"")</f>
        <v>Count sheet not received with packet.</v>
      </c>
      <c r="J15" s="23" t="str">
        <f aca="false">IF(B15="","",IF(OR(F15="",G15=""),"",F15-G15))</f>
        <v/>
      </c>
      <c r="K15" s="24" t="str">
        <f aca="false">IF(B15="","",IF(OR(F15="",G15="",G15&lt;=0),"",J15/G15))</f>
        <v/>
      </c>
      <c r="L15" s="25" t="str">
        <f aca="false">IF(B15="","",IF(H15&lt;&gt;"Complete",IF(H15="Not inspected","Not inspected; retain visibly but exclude from performance metrics.","Incomplete; exclude from performance metrics."),IF(F15="","Missing counted units; do not infer zero.",IF(G15="","Missing expected units; percentage cannot be calculated.",IF(G15&lt;=0,"Expected units are zero; exclude from numeric comparison.","Included")))))</f>
        <v>Missing counted units; do not infer zero.</v>
      </c>
      <c r="M15" s="25" t="str">
        <f aca="false">IF(B15="","",IF(L15="Included","Included","Not included"))</f>
        <v>Not included</v>
      </c>
      <c r="N15" s="25" t="str">
        <f aca="false">IF(B15="","",IF(M15&lt;&gt;"Included","Not applicable",IF(ABS(K15)&gt;=MaterialThreshold,"Material","Not material")))</f>
        <v>Not applicable</v>
      </c>
      <c r="O15" s="25" t="str">
        <f aca="false">IF(B15="","",IF(M15&lt;&gt;"Included",L15,IF(ROUND(K15*100,0)=118,"Unusual but valid 118% result; retain source counts.",IF(N15="Material","Included material variance.","Included; ordinary variance."))))</f>
        <v>Missing counted units; do not infer zero.</v>
      </c>
      <c r="P15" s="26" t="n">
        <f aca="false">IF(B15="","",IF(M15&lt;&gt;"Included",0,IF(COUNTIFS($C$5:C15,C15,$D$5:D15,D15,$M$5:M15,"Included")=1,1,0)))</f>
        <v>0</v>
      </c>
      <c r="Q15" s="26" t="n">
        <f aca="false">IF(B15="","",IF(N15&lt;&gt;"Material",0,IF(COUNTIFS($C$5:C15,C15,$D$5:D15,D15,$N$5:N15,"Material")=1,1,0)))</f>
        <v>0</v>
      </c>
    </row>
    <row r="16" customFormat="false" ht="27.75" hidden="false" customHeight="true" outlineLevel="0" collapsed="false">
      <c r="A16" s="20" t="n">
        <f aca="false">IF(B16="","",ROW()-4)</f>
        <v>12</v>
      </c>
      <c r="B16" s="21" t="str">
        <f aca="true">IFERROR(INDEX(InputIDs,ROW()-4),"")</f>
        <v>IQ-2512</v>
      </c>
      <c r="C16" s="21" t="str">
        <f aca="true">IFERROR(INDEX(InputPeriods,ROW()-4),"")</f>
        <v>Current period</v>
      </c>
      <c r="D16" s="21" t="str">
        <f aca="true">IFERROR(INDEX(InputStore,ROW()-4),"")</f>
        <v>ST-063 Quarry Gate</v>
      </c>
      <c r="E16" s="21" t="str">
        <f aca="true">IFERROR(INDEX(InputDepartment,ROW()-4),"")</f>
        <v>Frozen</v>
      </c>
      <c r="F16" s="22" t="n">
        <f aca="true">IFERROR(IF(ISBLANK(INDEX(InputCounted,ROW()-4)),"",INDEX(InputCounted,ROW()-4)),"")</f>
        <v>560</v>
      </c>
      <c r="G16" s="22" t="str">
        <f aca="true">IFERROR(IF(ISBLANK(INDEX(InputExpected,ROW()-4)),"",INDEX(InputExpected,ROW()-4)),"")</f>
        <v/>
      </c>
      <c r="H16" s="21" t="str">
        <f aca="true">IFERROR(INDEX(InputStatus,ROW()-4),"")</f>
        <v>Complete</v>
      </c>
      <c r="I16" s="21" t="str">
        <f aca="true">IFERROR(IF(ISBLANK(INDEX(InputNote,ROW()-4)),"",INDEX(InputNote,ROW()-4)),"")</f>
        <v>Expected stock extract unavailable.</v>
      </c>
      <c r="J16" s="23" t="str">
        <f aca="false">IF(B16="","",IF(OR(F16="",G16=""),"",F16-G16))</f>
        <v/>
      </c>
      <c r="K16" s="24" t="str">
        <f aca="false">IF(B16="","",IF(OR(F16="",G16="",G16&lt;=0),"",J16/G16))</f>
        <v/>
      </c>
      <c r="L16" s="25" t="str">
        <f aca="false">IF(B16="","",IF(H16&lt;&gt;"Complete",IF(H16="Not inspected","Not inspected; retain visibly but exclude from performance metrics.","Incomplete; exclude from performance metrics."),IF(F16="","Missing counted units; do not infer zero.",IF(G16="","Missing expected units; percentage cannot be calculated.",IF(G16&lt;=0,"Expected units are zero; exclude from numeric comparison.","Included")))))</f>
        <v>Missing expected units; percentage cannot be calculated.</v>
      </c>
      <c r="M16" s="25" t="str">
        <f aca="false">IF(B16="","",IF(L16="Included","Included","Not included"))</f>
        <v>Not included</v>
      </c>
      <c r="N16" s="25" t="str">
        <f aca="false">IF(B16="","",IF(M16&lt;&gt;"Included","Not applicable",IF(ABS(K16)&gt;=MaterialThreshold,"Material","Not material")))</f>
        <v>Not applicable</v>
      </c>
      <c r="O16" s="25" t="str">
        <f aca="false">IF(B16="","",IF(M16&lt;&gt;"Included",L16,IF(ROUND(K16*100,0)=118,"Unusual but valid 118% result; retain source counts.",IF(N16="Material","Included material variance.","Included; ordinary variance."))))</f>
        <v>Missing expected units; percentage cannot be calculated.</v>
      </c>
      <c r="P16" s="26" t="n">
        <f aca="false">IF(B16="","",IF(M16&lt;&gt;"Included",0,IF(COUNTIFS($C$5:C16,C16,$D$5:D16,D16,$M$5:M16,"Included")=1,1,0)))</f>
        <v>0</v>
      </c>
      <c r="Q16" s="26" t="n">
        <f aca="false">IF(B16="","",IF(N16&lt;&gt;"Material",0,IF(COUNTIFS($C$5:C16,C16,$D$5:D16,D16,$N$5:N16,"Material")=1,1,0)))</f>
        <v>0</v>
      </c>
    </row>
    <row r="17" customFormat="false" ht="27.75" hidden="false" customHeight="true" outlineLevel="0" collapsed="false">
      <c r="A17" s="20" t="n">
        <f aca="false">IF(B17="","",ROW()-4)</f>
        <v>13</v>
      </c>
      <c r="B17" s="21" t="str">
        <f aca="true">IFERROR(INDEX(InputIDs,ROW()-4),"")</f>
        <v>IQ-2513</v>
      </c>
      <c r="C17" s="21" t="str">
        <f aca="true">IFERROR(INDEX(InputPeriods,ROW()-4),"")</f>
        <v>Current period</v>
      </c>
      <c r="D17" s="21" t="str">
        <f aca="true">IFERROR(INDEX(InputStore,ROW()-4),"")</f>
        <v>ST-014 Larchfield Marketplace</v>
      </c>
      <c r="E17" s="21" t="str">
        <f aca="true">IFERROR(INDEX(InputDepartment,ROW()-4),"")</f>
        <v>Bakery</v>
      </c>
      <c r="F17" s="22" t="n">
        <f aca="true">IFERROR(IF(ISBLANK(INDEX(InputCounted,ROW()-4)),"",INDEX(InputCounted,ROW()-4)),"")</f>
        <v>720</v>
      </c>
      <c r="G17" s="22" t="n">
        <f aca="true">IFERROR(IF(ISBLANK(INDEX(InputExpected,ROW()-4)),"",INDEX(InputExpected,ROW()-4)),"")</f>
        <v>700</v>
      </c>
      <c r="H17" s="21" t="str">
        <f aca="true">IFERROR(INDEX(InputStatus,ROW()-4),"")</f>
        <v>Complete</v>
      </c>
      <c r="I17" s="21" t="str">
        <f aca="true">IFERROR(IF(ISBLANK(INDEX(InputNote,ROW()-4)),"",INDEX(InputNote,ROW()-4)),"")</f>
        <v>Bakery close count signed.</v>
      </c>
      <c r="J17" s="23" t="n">
        <f aca="false">IF(B17="","",IF(OR(F17="",G17=""),"",F17-G17))</f>
        <v>20</v>
      </c>
      <c r="K17" s="24" t="n">
        <f aca="false">IF(B17="","",IF(OR(F17="",G17="",G17&lt;=0),"",J17/G17))</f>
        <v>0.0285714285714286</v>
      </c>
      <c r="L17" s="25" t="str">
        <f aca="false">IF(B17="","",IF(H17&lt;&gt;"Complete",IF(H17="Not inspected","Not inspected; retain visibly but exclude from performance metrics.","Incomplete; exclude from performance metrics."),IF(F17="","Missing counted units; do not infer zero.",IF(G17="","Missing expected units; percentage cannot be calculated.",IF(G17&lt;=0,"Expected units are zero; exclude from numeric comparison.","Included")))))</f>
        <v>Included</v>
      </c>
      <c r="M17" s="25" t="str">
        <f aca="false">IF(B17="","",IF(L17="Included","Included","Not included"))</f>
        <v>Included</v>
      </c>
      <c r="N17" s="25" t="str">
        <f aca="false">IF(B17="","",IF(M17&lt;&gt;"Included","Not applicable",IF(ABS(K17)&gt;=MaterialThreshold,"Material","Not material")))</f>
        <v>Not material</v>
      </c>
      <c r="O17" s="25" t="str">
        <f aca="false">IF(B17="","",IF(M17&lt;&gt;"Included",L17,IF(ROUND(K17*100,0)=118,"Unusual but valid 118% result; retain source counts.",IF(N17="Material","Included material variance.","Included; ordinary variance."))))</f>
        <v>Included; ordinary variance.</v>
      </c>
      <c r="P17" s="26" t="n">
        <f aca="false">IF(B17="","",IF(M17&lt;&gt;"Included",0,IF(COUNTIFS($C$5:C17,C17,$D$5:D17,D17,$M$5:M17,"Included")=1,1,0)))</f>
        <v>0</v>
      </c>
      <c r="Q17" s="26" t="n">
        <f aca="false">IF(B17="","",IF(N17&lt;&gt;"Material",0,IF(COUNTIFS($C$5:C17,C17,$D$5:D17,D17,$N$5:N17,"Material")=1,1,0)))</f>
        <v>0</v>
      </c>
    </row>
    <row r="18" customFormat="false" ht="27.75" hidden="false" customHeight="true" outlineLevel="0" collapsed="false">
      <c r="A18" s="20" t="n">
        <f aca="false">IF(B18="","",ROW()-4)</f>
        <v>14</v>
      </c>
      <c r="B18" s="21" t="str">
        <f aca="true">IFERROR(INDEX(InputIDs,ROW()-4),"")</f>
        <v>IQ-2514</v>
      </c>
      <c r="C18" s="21" t="str">
        <f aca="true">IFERROR(INDEX(InputPeriods,ROW()-4),"")</f>
        <v>Current period</v>
      </c>
      <c r="D18" s="21" t="str">
        <f aca="true">IFERROR(INDEX(InputStore,ROW()-4),"")</f>
        <v>ST-027 West Dock</v>
      </c>
      <c r="E18" s="21" t="str">
        <f aca="true">IFERROR(INDEX(InputDepartment,ROW()-4),"")</f>
        <v>Beverages</v>
      </c>
      <c r="F18" s="22" t="n">
        <f aca="true">IFERROR(IF(ISBLANK(INDEX(InputCounted,ROW()-4)),"",INDEX(InputCounted,ROW()-4)),"")</f>
        <v>450</v>
      </c>
      <c r="G18" s="22" t="n">
        <f aca="true">IFERROR(IF(ISBLANK(INDEX(InputExpected,ROW()-4)),"",INDEX(InputExpected,ROW()-4)),"")</f>
        <v>500</v>
      </c>
      <c r="H18" s="21" t="str">
        <f aca="true">IFERROR(INDEX(InputStatus,ROW()-4),"")</f>
        <v>Incomplete</v>
      </c>
      <c r="I18" s="21" t="str">
        <f aca="true">IFERROR(IF(ISBLANK(INDEX(InputNote,ROW()-4)),"",INDEX(InputNote,ROW()-4)),"")</f>
        <v>Shelf label scan incomplete.</v>
      </c>
      <c r="J18" s="23" t="n">
        <f aca="false">IF(B18="","",IF(OR(F18="",G18=""),"",F18-G18))</f>
        <v>-50</v>
      </c>
      <c r="K18" s="24" t="n">
        <f aca="false">IF(B18="","",IF(OR(F18="",G18="",G18&lt;=0),"",J18/G18))</f>
        <v>-0.1</v>
      </c>
      <c r="L18" s="25" t="str">
        <f aca="false">IF(B18="","",IF(H18&lt;&gt;"Complete",IF(H18="Not inspected","Not inspected; retain visibly but exclude from performance metrics.","Incomplete; exclude from performance metrics."),IF(F18="","Missing counted units; do not infer zero.",IF(G18="","Missing expected units; percentage cannot be calculated.",IF(G18&lt;=0,"Expected units are zero; exclude from numeric comparison.","Included")))))</f>
        <v>Incomplete; exclude from performance metrics.</v>
      </c>
      <c r="M18" s="25" t="str">
        <f aca="false">IF(B18="","",IF(L18="Included","Included","Not included"))</f>
        <v>Not included</v>
      </c>
      <c r="N18" s="25" t="str">
        <f aca="false">IF(B18="","",IF(M18&lt;&gt;"Included","Not applicable",IF(ABS(K18)&gt;=MaterialThreshold,"Material","Not material")))</f>
        <v>Not applicable</v>
      </c>
      <c r="O18" s="25" t="str">
        <f aca="false">IF(B18="","",IF(M18&lt;&gt;"Included",L18,IF(ROUND(K18*100,0)=118,"Unusual but valid 118% result; retain source counts.",IF(N18="Material","Included material variance.","Included; ordinary variance."))))</f>
        <v>Incomplete; exclude from performance metrics.</v>
      </c>
      <c r="P18" s="26" t="n">
        <f aca="false">IF(B18="","",IF(M18&lt;&gt;"Included",0,IF(COUNTIFS($C$5:C18,C18,$D$5:D18,D18,$M$5:M18,"Included")=1,1,0)))</f>
        <v>0</v>
      </c>
      <c r="Q18" s="26" t="n">
        <f aca="false">IF(B18="","",IF(N18&lt;&gt;"Material",0,IF(COUNTIFS($C$5:C18,C18,$D$5:D18,D18,$N$5:N18,"Material")=1,1,0)))</f>
        <v>0</v>
      </c>
    </row>
    <row r="19" customFormat="false" ht="27.75" hidden="false" customHeight="true" outlineLevel="0" collapsed="false">
      <c r="A19" s="20" t="n">
        <f aca="false">IF(B19="","",ROW()-4)</f>
        <v>15</v>
      </c>
      <c r="B19" s="21" t="str">
        <f aca="true">IFERROR(INDEX(InputIDs,ROW()-4),"")</f>
        <v>IQ-2515</v>
      </c>
      <c r="C19" s="21" t="str">
        <f aca="true">IFERROR(INDEX(InputPeriods,ROW()-4),"")</f>
        <v>Current period</v>
      </c>
      <c r="D19" s="21" t="str">
        <f aca="true">IFERROR(INDEX(InputStore,ROW()-4),"")</f>
        <v>ST-052 Northline</v>
      </c>
      <c r="E19" s="21" t="str">
        <f aca="true">IFERROR(INDEX(InputDepartment,ROW()-4),"")</f>
        <v>Shelf Stable</v>
      </c>
      <c r="F19" s="22" t="str">
        <f aca="true">IFERROR(IF(ISBLANK(INDEX(InputCounted,ROW()-4)),"",INDEX(InputCounted,ROW()-4)),"")</f>
        <v/>
      </c>
      <c r="G19" s="22" t="str">
        <f aca="true">IFERROR(IF(ISBLANK(INDEX(InputExpected,ROW()-4)),"",INDEX(InputExpected,ROW()-4)),"")</f>
        <v/>
      </c>
      <c r="H19" s="21" t="str">
        <f aca="true">IFERROR(INDEX(InputStatus,ROW()-4),"")</f>
        <v>Not inspected</v>
      </c>
      <c r="I19" s="21" t="str">
        <f aca="true">IFERROR(IF(ISBLANK(INDEX(InputNote,ROW()-4)),"",INDEX(InputNote,ROW()-4)),"")</f>
        <v>Inspection not completed.</v>
      </c>
      <c r="J19" s="23" t="str">
        <f aca="false">IF(B19="","",IF(OR(F19="",G19=""),"",F19-G19))</f>
        <v/>
      </c>
      <c r="K19" s="24" t="str">
        <f aca="false">IF(B19="","",IF(OR(F19="",G19="",G19&lt;=0),"",J19/G19))</f>
        <v/>
      </c>
      <c r="L19" s="25" t="str">
        <f aca="false">IF(B19="","",IF(H19&lt;&gt;"Complete",IF(H19="Not inspected","Not inspected; retain visibly but exclude from performance metrics.","Incomplete; exclude from performance metrics."),IF(F19="","Missing counted units; do not infer zero.",IF(G19="","Missing expected units; percentage cannot be calculated.",IF(G19&lt;=0,"Expected units are zero; exclude from numeric comparison.","Included")))))</f>
        <v>Not inspected; retain visibly but exclude from performance metrics.</v>
      </c>
      <c r="M19" s="25" t="str">
        <f aca="false">IF(B19="","",IF(L19="Included","Included","Not included"))</f>
        <v>Not included</v>
      </c>
      <c r="N19" s="25" t="str">
        <f aca="false">IF(B19="","",IF(M19&lt;&gt;"Included","Not applicable",IF(ABS(K19)&gt;=MaterialThreshold,"Material","Not material")))</f>
        <v>Not applicable</v>
      </c>
      <c r="O19" s="25" t="str">
        <f aca="false">IF(B19="","",IF(M19&lt;&gt;"Included",L19,IF(ROUND(K19*100,0)=118,"Unusual but valid 118% result; retain source counts.",IF(N19="Material","Included material variance.","Included; ordinary variance."))))</f>
        <v>Not inspected; retain visibly but exclude from performance metrics.</v>
      </c>
      <c r="P19" s="26" t="n">
        <f aca="false">IF(B19="","",IF(M19&lt;&gt;"Included",0,IF(COUNTIFS($C$5:C19,C19,$D$5:D19,D19,$M$5:M19,"Included")=1,1,0)))</f>
        <v>0</v>
      </c>
      <c r="Q19" s="26" t="n">
        <f aca="false">IF(B19="","",IF(N19&lt;&gt;"Material",0,IF(COUNTIFS($C$5:C19,C19,$D$5:D19,D19,$N$5:N19,"Material")=1,1,0)))</f>
        <v>0</v>
      </c>
    </row>
    <row r="20" customFormat="false" ht="27.75" hidden="false" customHeight="true" outlineLevel="0" collapsed="false">
      <c r="A20" s="20" t="n">
        <f aca="false">IF(B20="","",ROW()-4)</f>
        <v>16</v>
      </c>
      <c r="B20" s="21" t="str">
        <f aca="true">IFERROR(INDEX(InputIDs,ROW()-4),"")</f>
        <v>IQ-2516</v>
      </c>
      <c r="C20" s="21" t="str">
        <f aca="true">IFERROR(INDEX(InputPeriods,ROW()-4),"")</f>
        <v>Current period</v>
      </c>
      <c r="D20" s="21" t="str">
        <f aca="true">IFERROR(INDEX(InputStore,ROW()-4),"")</f>
        <v>ST-039 Cedar Park</v>
      </c>
      <c r="E20" s="21" t="str">
        <f aca="true">IFERROR(INDEX(InputDepartment,ROW()-4),"")</f>
        <v>Personal Care</v>
      </c>
      <c r="F20" s="22" t="n">
        <f aca="true">IFERROR(IF(ISBLANK(INDEX(InputCounted,ROW()-4)),"",INDEX(InputCounted,ROW()-4)),"")</f>
        <v>104</v>
      </c>
      <c r="G20" s="22" t="n">
        <f aca="true">IFERROR(IF(ISBLANK(INDEX(InputExpected,ROW()-4)),"",INDEX(InputExpected,ROW()-4)),"")</f>
        <v>100</v>
      </c>
      <c r="H20" s="21" t="str">
        <f aca="true">IFERROR(INDEX(InputStatus,ROW()-4),"")</f>
        <v>Complete</v>
      </c>
      <c r="I20" s="21" t="str">
        <f aca="true">IFERROR(IF(ISBLANK(INDEX(InputNote,ROW()-4)),"",INDEX(InputNote,ROW()-4)),"")</f>
        <v>Personal-care bay re-counted.</v>
      </c>
      <c r="J20" s="23" t="n">
        <f aca="false">IF(B20="","",IF(OR(F20="",G20=""),"",F20-G20))</f>
        <v>4</v>
      </c>
      <c r="K20" s="24" t="n">
        <f aca="false">IF(B20="","",IF(OR(F20="",G20="",G20&lt;=0),"",J20/G20))</f>
        <v>0.04</v>
      </c>
      <c r="L20" s="25" t="str">
        <f aca="false">IF(B20="","",IF(H20&lt;&gt;"Complete",IF(H20="Not inspected","Not inspected; retain visibly but exclude from performance metrics.","Incomplete; exclude from performance metrics."),IF(F20="","Missing counted units; do not infer zero.",IF(G20="","Missing expected units; percentage cannot be calculated.",IF(G20&lt;=0,"Expected units are zero; exclude from numeric comparison.","Included")))))</f>
        <v>Included</v>
      </c>
      <c r="M20" s="25" t="str">
        <f aca="false">IF(B20="","",IF(L20="Included","Included","Not included"))</f>
        <v>Included</v>
      </c>
      <c r="N20" s="25" t="str">
        <f aca="false">IF(B20="","",IF(M20&lt;&gt;"Included","Not applicable",IF(ABS(K20)&gt;=MaterialThreshold,"Material","Not material")))</f>
        <v>Not material</v>
      </c>
      <c r="O20" s="25" t="str">
        <f aca="false">IF(B20="","",IF(M20&lt;&gt;"Included",L20,IF(ROUND(K20*100,0)=118,"Unusual but valid 118% result; retain source counts.",IF(N20="Material","Included material variance.","Included; ordinary variance."))))</f>
        <v>Included; ordinary variance.</v>
      </c>
      <c r="P20" s="26" t="n">
        <f aca="false">IF(B20="","",IF(M20&lt;&gt;"Included",0,IF(COUNTIFS($C$5:C20,C20,$D$5:D20,D20,$M$5:M20,"Included")=1,1,0)))</f>
        <v>0</v>
      </c>
      <c r="Q20" s="26" t="n">
        <f aca="false">IF(B20="","",IF(N20&lt;&gt;"Material",0,IF(COUNTIFS($C$5:C20,C20,$D$5:D20,D20,$N$5:N20,"Material")=1,1,0)))</f>
        <v>0</v>
      </c>
    </row>
    <row r="21" customFormat="false" ht="27.75" hidden="false" customHeight="true" outlineLevel="0" collapsed="false">
      <c r="A21" s="20" t="str">
        <f aca="false">IF(B21="","",ROW()-4)</f>
        <v/>
      </c>
      <c r="B21" s="21" t="str">
        <f aca="true">IFERROR(INDEX(InputIDs,ROW()-4),"")</f>
        <v/>
      </c>
      <c r="C21" s="21" t="str">
        <f aca="true">IFERROR(INDEX(InputPeriods,ROW()-4),"")</f>
        <v/>
      </c>
      <c r="D21" s="21" t="str">
        <f aca="true">IFERROR(INDEX(InputStore,ROW()-4),"")</f>
        <v/>
      </c>
      <c r="E21" s="21" t="str">
        <f aca="true">IFERROR(INDEX(InputDepartment,ROW()-4),"")</f>
        <v/>
      </c>
      <c r="F21" s="22" t="str">
        <f aca="true">IFERROR(IF(ISBLANK(INDEX(InputCounted,ROW()-4)),"",INDEX(InputCounted,ROW()-4)),"")</f>
        <v/>
      </c>
      <c r="G21" s="22" t="str">
        <f aca="true">IFERROR(IF(ISBLANK(INDEX(InputExpected,ROW()-4)),"",INDEX(InputExpected,ROW()-4)),"")</f>
        <v/>
      </c>
      <c r="H21" s="21" t="str">
        <f aca="true">IFERROR(INDEX(InputStatus,ROW()-4),"")</f>
        <v/>
      </c>
      <c r="I21" s="21" t="str">
        <f aca="true">IFERROR(IF(ISBLANK(INDEX(InputNote,ROW()-4)),"",INDEX(InputNote,ROW()-4)),"")</f>
        <v/>
      </c>
      <c r="J21" s="23" t="str">
        <f aca="false">IF(B21="","",IF(OR(F21="",G21=""),"",F21-G21))</f>
        <v/>
      </c>
      <c r="K21" s="24" t="str">
        <f aca="false">IF(B21="","",IF(OR(F21="",G21="",G21&lt;=0),"",J21/G21))</f>
        <v/>
      </c>
      <c r="L21" s="25" t="str">
        <f aca="false">IF(B21="","",IF(H21&lt;&gt;"Complete",IF(H21="Not inspected","Not inspected; retain visibly but exclude from performance metrics.","Incomplete; exclude from performance metrics."),IF(F21="","Missing counted units; do not infer zero.",IF(G21="","Missing expected units; percentage cannot be calculated.",IF(G21&lt;=0,"Expected units are zero; exclude from numeric comparison.","Included")))))</f>
        <v/>
      </c>
      <c r="M21" s="25" t="str">
        <f aca="false">IF(B21="","",IF(L21="Included","Included","Not included"))</f>
        <v/>
      </c>
      <c r="N21" s="25" t="str">
        <f aca="false">IF(B21="","",IF(M21&lt;&gt;"Included","Not applicable",IF(ABS(K21)&gt;=MaterialThreshold,"Material","Not material")))</f>
        <v/>
      </c>
      <c r="O21" s="25" t="str">
        <f aca="false">IF(B21="","",IF(M21&lt;&gt;"Included",L21,IF(ROUND(K21*100,0)=118,"Unusual but valid 118% result; retain source counts.",IF(N21="Material","Included material variance.","Included; ordinary variance."))))</f>
        <v/>
      </c>
      <c r="P21" s="26" t="str">
        <f aca="false">IF(B21="","",IF(M21&lt;&gt;"Included",0,IF(COUNTIFS($C$5:C21,C21,$D$5:D21,D21,$M$5:M21,"Included")=1,1,0)))</f>
        <v/>
      </c>
      <c r="Q21" s="26" t="str">
        <f aca="false">IF(B21="","",IF(N21&lt;&gt;"Material",0,IF(COUNTIFS($C$5:C21,C21,$D$5:D21,D21,$N$5:N21,"Material")=1,1,0)))</f>
        <v/>
      </c>
    </row>
    <row r="22" customFormat="false" ht="27.75" hidden="false" customHeight="true" outlineLevel="0" collapsed="false">
      <c r="A22" s="20" t="str">
        <f aca="false">IF(B22="","",ROW()-4)</f>
        <v/>
      </c>
      <c r="B22" s="21" t="str">
        <f aca="true">IFERROR(INDEX(InputIDs,ROW()-4),"")</f>
        <v/>
      </c>
      <c r="C22" s="21" t="str">
        <f aca="true">IFERROR(INDEX(InputPeriods,ROW()-4),"")</f>
        <v/>
      </c>
      <c r="D22" s="21" t="str">
        <f aca="true">IFERROR(INDEX(InputStore,ROW()-4),"")</f>
        <v/>
      </c>
      <c r="E22" s="21" t="str">
        <f aca="true">IFERROR(INDEX(InputDepartment,ROW()-4),"")</f>
        <v/>
      </c>
      <c r="F22" s="22" t="str">
        <f aca="true">IFERROR(IF(ISBLANK(INDEX(InputCounted,ROW()-4)),"",INDEX(InputCounted,ROW()-4)),"")</f>
        <v/>
      </c>
      <c r="G22" s="22" t="str">
        <f aca="true">IFERROR(IF(ISBLANK(INDEX(InputExpected,ROW()-4)),"",INDEX(InputExpected,ROW()-4)),"")</f>
        <v/>
      </c>
      <c r="H22" s="21" t="str">
        <f aca="true">IFERROR(INDEX(InputStatus,ROW()-4),"")</f>
        <v/>
      </c>
      <c r="I22" s="21" t="str">
        <f aca="true">IFERROR(IF(ISBLANK(INDEX(InputNote,ROW()-4)),"",INDEX(InputNote,ROW()-4)),"")</f>
        <v/>
      </c>
      <c r="J22" s="23" t="str">
        <f aca="false">IF(B22="","",IF(OR(F22="",G22=""),"",F22-G22))</f>
        <v/>
      </c>
      <c r="K22" s="24" t="str">
        <f aca="false">IF(B22="","",IF(OR(F22="",G22="",G22&lt;=0),"",J22/G22))</f>
        <v/>
      </c>
      <c r="L22" s="25" t="str">
        <f aca="false">IF(B22="","",IF(H22&lt;&gt;"Complete",IF(H22="Not inspected","Not inspected; retain visibly but exclude from performance metrics.","Incomplete; exclude from performance metrics."),IF(F22="","Missing counted units; do not infer zero.",IF(G22="","Missing expected units; percentage cannot be calculated.",IF(G22&lt;=0,"Expected units are zero; exclude from numeric comparison.","Included")))))</f>
        <v/>
      </c>
      <c r="M22" s="25" t="str">
        <f aca="false">IF(B22="","",IF(L22="Included","Included","Not included"))</f>
        <v/>
      </c>
      <c r="N22" s="25" t="str">
        <f aca="false">IF(B22="","",IF(M22&lt;&gt;"Included","Not applicable",IF(ABS(K22)&gt;=MaterialThreshold,"Material","Not material")))</f>
        <v/>
      </c>
      <c r="O22" s="25" t="str">
        <f aca="false">IF(B22="","",IF(M22&lt;&gt;"Included",L22,IF(ROUND(K22*100,0)=118,"Unusual but valid 118% result; retain source counts.",IF(N22="Material","Included material variance.","Included; ordinary variance."))))</f>
        <v/>
      </c>
      <c r="P22" s="26" t="str">
        <f aca="false">IF(B22="","",IF(M22&lt;&gt;"Included",0,IF(COUNTIFS($C$5:C22,C22,$D$5:D22,D22,$M$5:M22,"Included")=1,1,0)))</f>
        <v/>
      </c>
      <c r="Q22" s="26" t="str">
        <f aca="false">IF(B22="","",IF(N22&lt;&gt;"Material",0,IF(COUNTIFS($C$5:C22,C22,$D$5:D22,D22,$N$5:N22,"Material")=1,1,0)))</f>
        <v/>
      </c>
    </row>
    <row r="23" customFormat="false" ht="27.75" hidden="false" customHeight="true" outlineLevel="0" collapsed="false">
      <c r="A23" s="20" t="str">
        <f aca="false">IF(B23="","",ROW()-4)</f>
        <v/>
      </c>
      <c r="B23" s="21" t="str">
        <f aca="true">IFERROR(INDEX(InputIDs,ROW()-4),"")</f>
        <v/>
      </c>
      <c r="C23" s="21" t="str">
        <f aca="true">IFERROR(INDEX(InputPeriods,ROW()-4),"")</f>
        <v/>
      </c>
      <c r="D23" s="21" t="str">
        <f aca="true">IFERROR(INDEX(InputStore,ROW()-4),"")</f>
        <v/>
      </c>
      <c r="E23" s="21" t="str">
        <f aca="true">IFERROR(INDEX(InputDepartment,ROW()-4),"")</f>
        <v/>
      </c>
      <c r="F23" s="22" t="str">
        <f aca="true">IFERROR(IF(ISBLANK(INDEX(InputCounted,ROW()-4)),"",INDEX(InputCounted,ROW()-4)),"")</f>
        <v/>
      </c>
      <c r="G23" s="22" t="str">
        <f aca="true">IFERROR(IF(ISBLANK(INDEX(InputExpected,ROW()-4)),"",INDEX(InputExpected,ROW()-4)),"")</f>
        <v/>
      </c>
      <c r="H23" s="21" t="str">
        <f aca="true">IFERROR(INDEX(InputStatus,ROW()-4),"")</f>
        <v/>
      </c>
      <c r="I23" s="21" t="str">
        <f aca="true">IFERROR(IF(ISBLANK(INDEX(InputNote,ROW()-4)),"",INDEX(InputNote,ROW()-4)),"")</f>
        <v/>
      </c>
      <c r="J23" s="23" t="str">
        <f aca="false">IF(B23="","",IF(OR(F23="",G23=""),"",F23-G23))</f>
        <v/>
      </c>
      <c r="K23" s="24" t="str">
        <f aca="false">IF(B23="","",IF(OR(F23="",G23="",G23&lt;=0),"",J23/G23))</f>
        <v/>
      </c>
      <c r="L23" s="25" t="str">
        <f aca="false">IF(B23="","",IF(H23&lt;&gt;"Complete",IF(H23="Not inspected","Not inspected; retain visibly but exclude from performance metrics.","Incomplete; exclude from performance metrics."),IF(F23="","Missing counted units; do not infer zero.",IF(G23="","Missing expected units; percentage cannot be calculated.",IF(G23&lt;=0,"Expected units are zero; exclude from numeric comparison.","Included")))))</f>
        <v/>
      </c>
      <c r="M23" s="25" t="str">
        <f aca="false">IF(B23="","",IF(L23="Included","Included","Not included"))</f>
        <v/>
      </c>
      <c r="N23" s="25" t="str">
        <f aca="false">IF(B23="","",IF(M23&lt;&gt;"Included","Not applicable",IF(ABS(K23)&gt;=MaterialThreshold,"Material","Not material")))</f>
        <v/>
      </c>
      <c r="O23" s="25" t="str">
        <f aca="false">IF(B23="","",IF(M23&lt;&gt;"Included",L23,IF(ROUND(K23*100,0)=118,"Unusual but valid 118% result; retain source counts.",IF(N23="Material","Included material variance.","Included; ordinary variance."))))</f>
        <v/>
      </c>
      <c r="P23" s="26" t="str">
        <f aca="false">IF(B23="","",IF(M23&lt;&gt;"Included",0,IF(COUNTIFS($C$5:C23,C23,$D$5:D23,D23,$M$5:M23,"Included")=1,1,0)))</f>
        <v/>
      </c>
      <c r="Q23" s="26" t="str">
        <f aca="false">IF(B23="","",IF(N23&lt;&gt;"Material",0,IF(COUNTIFS($C$5:C23,C23,$D$5:D23,D23,$N$5:N23,"Material")=1,1,0)))</f>
        <v/>
      </c>
    </row>
    <row r="24" customFormat="false" ht="27.75" hidden="false" customHeight="true" outlineLevel="0" collapsed="false">
      <c r="A24" s="20" t="str">
        <f aca="false">IF(B24="","",ROW()-4)</f>
        <v/>
      </c>
      <c r="B24" s="21" t="str">
        <f aca="true">IFERROR(INDEX(InputIDs,ROW()-4),"")</f>
        <v/>
      </c>
      <c r="C24" s="21" t="str">
        <f aca="true">IFERROR(INDEX(InputPeriods,ROW()-4),"")</f>
        <v/>
      </c>
      <c r="D24" s="21" t="str">
        <f aca="true">IFERROR(INDEX(InputStore,ROW()-4),"")</f>
        <v/>
      </c>
      <c r="E24" s="21" t="str">
        <f aca="true">IFERROR(INDEX(InputDepartment,ROW()-4),"")</f>
        <v/>
      </c>
      <c r="F24" s="22" t="str">
        <f aca="true">IFERROR(IF(ISBLANK(INDEX(InputCounted,ROW()-4)),"",INDEX(InputCounted,ROW()-4)),"")</f>
        <v/>
      </c>
      <c r="G24" s="22" t="str">
        <f aca="true">IFERROR(IF(ISBLANK(INDEX(InputExpected,ROW()-4)),"",INDEX(InputExpected,ROW()-4)),"")</f>
        <v/>
      </c>
      <c r="H24" s="21" t="str">
        <f aca="true">IFERROR(INDEX(InputStatus,ROW()-4),"")</f>
        <v/>
      </c>
      <c r="I24" s="21" t="str">
        <f aca="true">IFERROR(IF(ISBLANK(INDEX(InputNote,ROW()-4)),"",INDEX(InputNote,ROW()-4)),"")</f>
        <v/>
      </c>
      <c r="J24" s="23" t="str">
        <f aca="false">IF(B24="","",IF(OR(F24="",G24=""),"",F24-G24))</f>
        <v/>
      </c>
      <c r="K24" s="24" t="str">
        <f aca="false">IF(B24="","",IF(OR(F24="",G24="",G24&lt;=0),"",J24/G24))</f>
        <v/>
      </c>
      <c r="L24" s="25" t="str">
        <f aca="false">IF(B24="","",IF(H24&lt;&gt;"Complete",IF(H24="Not inspected","Not inspected; retain visibly but exclude from performance metrics.","Incomplete; exclude from performance metrics."),IF(F24="","Missing counted units; do not infer zero.",IF(G24="","Missing expected units; percentage cannot be calculated.",IF(G24&lt;=0,"Expected units are zero; exclude from numeric comparison.","Included")))))</f>
        <v/>
      </c>
      <c r="M24" s="25" t="str">
        <f aca="false">IF(B24="","",IF(L24="Included","Included","Not included"))</f>
        <v/>
      </c>
      <c r="N24" s="25" t="str">
        <f aca="false">IF(B24="","",IF(M24&lt;&gt;"Included","Not applicable",IF(ABS(K24)&gt;=MaterialThreshold,"Material","Not material")))</f>
        <v/>
      </c>
      <c r="O24" s="25" t="str">
        <f aca="false">IF(B24="","",IF(M24&lt;&gt;"Included",L24,IF(ROUND(K24*100,0)=118,"Unusual but valid 118% result; retain source counts.",IF(N24="Material","Included material variance.","Included; ordinary variance."))))</f>
        <v/>
      </c>
      <c r="P24" s="26" t="str">
        <f aca="false">IF(B24="","",IF(M24&lt;&gt;"Included",0,IF(COUNTIFS($C$5:C24,C24,$D$5:D24,D24,$M$5:M24,"Included")=1,1,0)))</f>
        <v/>
      </c>
      <c r="Q24" s="26" t="str">
        <f aca="false">IF(B24="","",IF(N24&lt;&gt;"Material",0,IF(COUNTIFS($C$5:C24,C24,$D$5:D24,D24,$N$5:N24,"Material")=1,1,0)))</f>
        <v/>
      </c>
    </row>
    <row r="25" customFormat="false" ht="27.75" hidden="false" customHeight="true" outlineLevel="0" collapsed="false">
      <c r="A25" s="20" t="str">
        <f aca="false">IF(B25="","",ROW()-4)</f>
        <v/>
      </c>
      <c r="B25" s="21" t="str">
        <f aca="true">IFERROR(INDEX(InputIDs,ROW()-4),"")</f>
        <v/>
      </c>
      <c r="C25" s="21" t="str">
        <f aca="true">IFERROR(INDEX(InputPeriods,ROW()-4),"")</f>
        <v/>
      </c>
      <c r="D25" s="21" t="str">
        <f aca="true">IFERROR(INDEX(InputStore,ROW()-4),"")</f>
        <v/>
      </c>
      <c r="E25" s="21" t="str">
        <f aca="true">IFERROR(INDEX(InputDepartment,ROW()-4),"")</f>
        <v/>
      </c>
      <c r="F25" s="22" t="str">
        <f aca="true">IFERROR(IF(ISBLANK(INDEX(InputCounted,ROW()-4)),"",INDEX(InputCounted,ROW()-4)),"")</f>
        <v/>
      </c>
      <c r="G25" s="22" t="str">
        <f aca="true">IFERROR(IF(ISBLANK(INDEX(InputExpected,ROW()-4)),"",INDEX(InputExpected,ROW()-4)),"")</f>
        <v/>
      </c>
      <c r="H25" s="21" t="str">
        <f aca="true">IFERROR(INDEX(InputStatus,ROW()-4),"")</f>
        <v/>
      </c>
      <c r="I25" s="21" t="str">
        <f aca="true">IFERROR(IF(ISBLANK(INDEX(InputNote,ROW()-4)),"",INDEX(InputNote,ROW()-4)),"")</f>
        <v/>
      </c>
      <c r="J25" s="23" t="str">
        <f aca="false">IF(B25="","",IF(OR(F25="",G25=""),"",F25-G25))</f>
        <v/>
      </c>
      <c r="K25" s="24" t="str">
        <f aca="false">IF(B25="","",IF(OR(F25="",G25="",G25&lt;=0),"",J25/G25))</f>
        <v/>
      </c>
      <c r="L25" s="25" t="str">
        <f aca="false">IF(B25="","",IF(H25&lt;&gt;"Complete",IF(H25="Not inspected","Not inspected; retain visibly but exclude from performance metrics.","Incomplete; exclude from performance metrics."),IF(F25="","Missing counted units; do not infer zero.",IF(G25="","Missing expected units; percentage cannot be calculated.",IF(G25&lt;=0,"Expected units are zero; exclude from numeric comparison.","Included")))))</f>
        <v/>
      </c>
      <c r="M25" s="25" t="str">
        <f aca="false">IF(B25="","",IF(L25="Included","Included","Not included"))</f>
        <v/>
      </c>
      <c r="N25" s="25" t="str">
        <f aca="false">IF(B25="","",IF(M25&lt;&gt;"Included","Not applicable",IF(ABS(K25)&gt;=MaterialThreshold,"Material","Not material")))</f>
        <v/>
      </c>
      <c r="O25" s="25" t="str">
        <f aca="false">IF(B25="","",IF(M25&lt;&gt;"Included",L25,IF(ROUND(K25*100,0)=118,"Unusual but valid 118% result; retain source counts.",IF(N25="Material","Included material variance.","Included; ordinary variance."))))</f>
        <v/>
      </c>
      <c r="P25" s="26" t="str">
        <f aca="false">IF(B25="","",IF(M25&lt;&gt;"Included",0,IF(COUNTIFS($C$5:C25,C25,$D$5:D25,D25,$M$5:M25,"Included")=1,1,0)))</f>
        <v/>
      </c>
      <c r="Q25" s="26" t="str">
        <f aca="false">IF(B25="","",IF(N25&lt;&gt;"Material",0,IF(COUNTIFS($C$5:C25,C25,$D$5:D25,D25,$N$5:N25,"Material")=1,1,0)))</f>
        <v/>
      </c>
    </row>
    <row r="26" customFormat="false" ht="27.75" hidden="false" customHeight="true" outlineLevel="0" collapsed="false">
      <c r="A26" s="20" t="str">
        <f aca="false">IF(B26="","",ROW()-4)</f>
        <v/>
      </c>
      <c r="B26" s="21" t="str">
        <f aca="true">IFERROR(INDEX(InputIDs,ROW()-4),"")</f>
        <v/>
      </c>
      <c r="C26" s="21" t="str">
        <f aca="true">IFERROR(INDEX(InputPeriods,ROW()-4),"")</f>
        <v/>
      </c>
      <c r="D26" s="21" t="str">
        <f aca="true">IFERROR(INDEX(InputStore,ROW()-4),"")</f>
        <v/>
      </c>
      <c r="E26" s="21" t="str">
        <f aca="true">IFERROR(INDEX(InputDepartment,ROW()-4),"")</f>
        <v/>
      </c>
      <c r="F26" s="22" t="str">
        <f aca="true">IFERROR(IF(ISBLANK(INDEX(InputCounted,ROW()-4)),"",INDEX(InputCounted,ROW()-4)),"")</f>
        <v/>
      </c>
      <c r="G26" s="22" t="str">
        <f aca="true">IFERROR(IF(ISBLANK(INDEX(InputExpected,ROW()-4)),"",INDEX(InputExpected,ROW()-4)),"")</f>
        <v/>
      </c>
      <c r="H26" s="21" t="str">
        <f aca="true">IFERROR(INDEX(InputStatus,ROW()-4),"")</f>
        <v/>
      </c>
      <c r="I26" s="21" t="str">
        <f aca="true">IFERROR(IF(ISBLANK(INDEX(InputNote,ROW()-4)),"",INDEX(InputNote,ROW()-4)),"")</f>
        <v/>
      </c>
      <c r="J26" s="23" t="str">
        <f aca="false">IF(B26="","",IF(OR(F26="",G26=""),"",F26-G26))</f>
        <v/>
      </c>
      <c r="K26" s="24" t="str">
        <f aca="false">IF(B26="","",IF(OR(F26="",G26="",G26&lt;=0),"",J26/G26))</f>
        <v/>
      </c>
      <c r="L26" s="25" t="str">
        <f aca="false">IF(B26="","",IF(H26&lt;&gt;"Complete",IF(H26="Not inspected","Not inspected; retain visibly but exclude from performance metrics.","Incomplete; exclude from performance metrics."),IF(F26="","Missing counted units; do not infer zero.",IF(G26="","Missing expected units; percentage cannot be calculated.",IF(G26&lt;=0,"Expected units are zero; exclude from numeric comparison.","Included")))))</f>
        <v/>
      </c>
      <c r="M26" s="25" t="str">
        <f aca="false">IF(B26="","",IF(L26="Included","Included","Not included"))</f>
        <v/>
      </c>
      <c r="N26" s="25" t="str">
        <f aca="false">IF(B26="","",IF(M26&lt;&gt;"Included","Not applicable",IF(ABS(K26)&gt;=MaterialThreshold,"Material","Not material")))</f>
        <v/>
      </c>
      <c r="O26" s="25" t="str">
        <f aca="false">IF(B26="","",IF(M26&lt;&gt;"Included",L26,IF(ROUND(K26*100,0)=118,"Unusual but valid 118% result; retain source counts.",IF(N26="Material","Included material variance.","Included; ordinary variance."))))</f>
        <v/>
      </c>
      <c r="P26" s="26" t="str">
        <f aca="false">IF(B26="","",IF(M26&lt;&gt;"Included",0,IF(COUNTIFS($C$5:C26,C26,$D$5:D26,D26,$M$5:M26,"Included")=1,1,0)))</f>
        <v/>
      </c>
      <c r="Q26" s="26" t="str">
        <f aca="false">IF(B26="","",IF(N26&lt;&gt;"Material",0,IF(COUNTIFS($C$5:C26,C26,$D$5:D26,D26,$N$5:N26,"Material")=1,1,0)))</f>
        <v/>
      </c>
    </row>
    <row r="27" customFormat="false" ht="27.75" hidden="false" customHeight="true" outlineLevel="0" collapsed="false">
      <c r="A27" s="20" t="str">
        <f aca="false">IF(B27="","",ROW()-4)</f>
        <v/>
      </c>
      <c r="B27" s="21" t="str">
        <f aca="true">IFERROR(INDEX(InputIDs,ROW()-4),"")</f>
        <v/>
      </c>
      <c r="C27" s="21" t="str">
        <f aca="true">IFERROR(INDEX(InputPeriods,ROW()-4),"")</f>
        <v/>
      </c>
      <c r="D27" s="21" t="str">
        <f aca="true">IFERROR(INDEX(InputStore,ROW()-4),"")</f>
        <v/>
      </c>
      <c r="E27" s="21" t="str">
        <f aca="true">IFERROR(INDEX(InputDepartment,ROW()-4),"")</f>
        <v/>
      </c>
      <c r="F27" s="22" t="str">
        <f aca="true">IFERROR(IF(ISBLANK(INDEX(InputCounted,ROW()-4)),"",INDEX(InputCounted,ROW()-4)),"")</f>
        <v/>
      </c>
      <c r="G27" s="22" t="str">
        <f aca="true">IFERROR(IF(ISBLANK(INDEX(InputExpected,ROW()-4)),"",INDEX(InputExpected,ROW()-4)),"")</f>
        <v/>
      </c>
      <c r="H27" s="21" t="str">
        <f aca="true">IFERROR(INDEX(InputStatus,ROW()-4),"")</f>
        <v/>
      </c>
      <c r="I27" s="21" t="str">
        <f aca="true">IFERROR(IF(ISBLANK(INDEX(InputNote,ROW()-4)),"",INDEX(InputNote,ROW()-4)),"")</f>
        <v/>
      </c>
      <c r="J27" s="23" t="str">
        <f aca="false">IF(B27="","",IF(OR(F27="",G27=""),"",F27-G27))</f>
        <v/>
      </c>
      <c r="K27" s="24" t="str">
        <f aca="false">IF(B27="","",IF(OR(F27="",G27="",G27&lt;=0),"",J27/G27))</f>
        <v/>
      </c>
      <c r="L27" s="25" t="str">
        <f aca="false">IF(B27="","",IF(H27&lt;&gt;"Complete",IF(H27="Not inspected","Not inspected; retain visibly but exclude from performance metrics.","Incomplete; exclude from performance metrics."),IF(F27="","Missing counted units; do not infer zero.",IF(G27="","Missing expected units; percentage cannot be calculated.",IF(G27&lt;=0,"Expected units are zero; exclude from numeric comparison.","Included")))))</f>
        <v/>
      </c>
      <c r="M27" s="25" t="str">
        <f aca="false">IF(B27="","",IF(L27="Included","Included","Not included"))</f>
        <v/>
      </c>
      <c r="N27" s="25" t="str">
        <f aca="false">IF(B27="","",IF(M27&lt;&gt;"Included","Not applicable",IF(ABS(K27)&gt;=MaterialThreshold,"Material","Not material")))</f>
        <v/>
      </c>
      <c r="O27" s="25" t="str">
        <f aca="false">IF(B27="","",IF(M27&lt;&gt;"Included",L27,IF(ROUND(K27*100,0)=118,"Unusual but valid 118% result; retain source counts.",IF(N27="Material","Included material variance.","Included; ordinary variance."))))</f>
        <v/>
      </c>
      <c r="P27" s="26" t="str">
        <f aca="false">IF(B27="","",IF(M27&lt;&gt;"Included",0,IF(COUNTIFS($C$5:C27,C27,$D$5:D27,D27,$M$5:M27,"Included")=1,1,0)))</f>
        <v/>
      </c>
      <c r="Q27" s="26" t="str">
        <f aca="false">IF(B27="","",IF(N27&lt;&gt;"Material",0,IF(COUNTIFS($C$5:C27,C27,$D$5:D27,D27,$N$5:N27,"Material")=1,1,0)))</f>
        <v/>
      </c>
    </row>
    <row r="28" customFormat="false" ht="27.75" hidden="false" customHeight="true" outlineLevel="0" collapsed="false">
      <c r="A28" s="20" t="str">
        <f aca="false">IF(B28="","",ROW()-4)</f>
        <v/>
      </c>
      <c r="B28" s="21" t="str">
        <f aca="true">IFERROR(INDEX(InputIDs,ROW()-4),"")</f>
        <v/>
      </c>
      <c r="C28" s="21" t="str">
        <f aca="true">IFERROR(INDEX(InputPeriods,ROW()-4),"")</f>
        <v/>
      </c>
      <c r="D28" s="21" t="str">
        <f aca="true">IFERROR(INDEX(InputStore,ROW()-4),"")</f>
        <v/>
      </c>
      <c r="E28" s="21" t="str">
        <f aca="true">IFERROR(INDEX(InputDepartment,ROW()-4),"")</f>
        <v/>
      </c>
      <c r="F28" s="22" t="str">
        <f aca="true">IFERROR(IF(ISBLANK(INDEX(InputCounted,ROW()-4)),"",INDEX(InputCounted,ROW()-4)),"")</f>
        <v/>
      </c>
      <c r="G28" s="22" t="str">
        <f aca="true">IFERROR(IF(ISBLANK(INDEX(InputExpected,ROW()-4)),"",INDEX(InputExpected,ROW()-4)),"")</f>
        <v/>
      </c>
      <c r="H28" s="21" t="str">
        <f aca="true">IFERROR(INDEX(InputStatus,ROW()-4),"")</f>
        <v/>
      </c>
      <c r="I28" s="21" t="str">
        <f aca="true">IFERROR(IF(ISBLANK(INDEX(InputNote,ROW()-4)),"",INDEX(InputNote,ROW()-4)),"")</f>
        <v/>
      </c>
      <c r="J28" s="23" t="str">
        <f aca="false">IF(B28="","",IF(OR(F28="",G28=""),"",F28-G28))</f>
        <v/>
      </c>
      <c r="K28" s="24" t="str">
        <f aca="false">IF(B28="","",IF(OR(F28="",G28="",G28&lt;=0),"",J28/G28))</f>
        <v/>
      </c>
      <c r="L28" s="25" t="str">
        <f aca="false">IF(B28="","",IF(H28&lt;&gt;"Complete",IF(H28="Not inspected","Not inspected; retain visibly but exclude from performance metrics.","Incomplete; exclude from performance metrics."),IF(F28="","Missing counted units; do not infer zero.",IF(G28="","Missing expected units; percentage cannot be calculated.",IF(G28&lt;=0,"Expected units are zero; exclude from numeric comparison.","Included")))))</f>
        <v/>
      </c>
      <c r="M28" s="25" t="str">
        <f aca="false">IF(B28="","",IF(L28="Included","Included","Not included"))</f>
        <v/>
      </c>
      <c r="N28" s="25" t="str">
        <f aca="false">IF(B28="","",IF(M28&lt;&gt;"Included","Not applicable",IF(ABS(K28)&gt;=MaterialThreshold,"Material","Not material")))</f>
        <v/>
      </c>
      <c r="O28" s="25" t="str">
        <f aca="false">IF(B28="","",IF(M28&lt;&gt;"Included",L28,IF(ROUND(K28*100,0)=118,"Unusual but valid 118% result; retain source counts.",IF(N28="Material","Included material variance.","Included; ordinary variance."))))</f>
        <v/>
      </c>
      <c r="P28" s="26" t="str">
        <f aca="false">IF(B28="","",IF(M28&lt;&gt;"Included",0,IF(COUNTIFS($C$5:C28,C28,$D$5:D28,D28,$M$5:M28,"Included")=1,1,0)))</f>
        <v/>
      </c>
      <c r="Q28" s="26" t="str">
        <f aca="false">IF(B28="","",IF(N28&lt;&gt;"Material",0,IF(COUNTIFS($C$5:C28,C28,$D$5:D28,D28,$N$5:N28,"Material")=1,1,0)))</f>
        <v/>
      </c>
    </row>
    <row r="29" customFormat="false" ht="27.75" hidden="false" customHeight="true" outlineLevel="0" collapsed="false">
      <c r="A29" s="20" t="str">
        <f aca="false">IF(B29="","",ROW()-4)</f>
        <v/>
      </c>
      <c r="B29" s="21" t="str">
        <f aca="true">IFERROR(INDEX(InputIDs,ROW()-4),"")</f>
        <v/>
      </c>
      <c r="C29" s="21" t="str">
        <f aca="true">IFERROR(INDEX(InputPeriods,ROW()-4),"")</f>
        <v/>
      </c>
      <c r="D29" s="21" t="str">
        <f aca="true">IFERROR(INDEX(InputStore,ROW()-4),"")</f>
        <v/>
      </c>
      <c r="E29" s="21" t="str">
        <f aca="true">IFERROR(INDEX(InputDepartment,ROW()-4),"")</f>
        <v/>
      </c>
      <c r="F29" s="22" t="str">
        <f aca="true">IFERROR(IF(ISBLANK(INDEX(InputCounted,ROW()-4)),"",INDEX(InputCounted,ROW()-4)),"")</f>
        <v/>
      </c>
      <c r="G29" s="22" t="str">
        <f aca="true">IFERROR(IF(ISBLANK(INDEX(InputExpected,ROW()-4)),"",INDEX(InputExpected,ROW()-4)),"")</f>
        <v/>
      </c>
      <c r="H29" s="21" t="str">
        <f aca="true">IFERROR(INDEX(InputStatus,ROW()-4),"")</f>
        <v/>
      </c>
      <c r="I29" s="21" t="str">
        <f aca="true">IFERROR(IF(ISBLANK(INDEX(InputNote,ROW()-4)),"",INDEX(InputNote,ROW()-4)),"")</f>
        <v/>
      </c>
      <c r="J29" s="23" t="str">
        <f aca="false">IF(B29="","",IF(OR(F29="",G29=""),"",F29-G29))</f>
        <v/>
      </c>
      <c r="K29" s="24" t="str">
        <f aca="false">IF(B29="","",IF(OR(F29="",G29="",G29&lt;=0),"",J29/G29))</f>
        <v/>
      </c>
      <c r="L29" s="25" t="str">
        <f aca="false">IF(B29="","",IF(H29&lt;&gt;"Complete",IF(H29="Not inspected","Not inspected; retain visibly but exclude from performance metrics.","Incomplete; exclude from performance metrics."),IF(F29="","Missing counted units; do not infer zero.",IF(G29="","Missing expected units; percentage cannot be calculated.",IF(G29&lt;=0,"Expected units are zero; exclude from numeric comparison.","Included")))))</f>
        <v/>
      </c>
      <c r="M29" s="25" t="str">
        <f aca="false">IF(B29="","",IF(L29="Included","Included","Not included"))</f>
        <v/>
      </c>
      <c r="N29" s="25" t="str">
        <f aca="false">IF(B29="","",IF(M29&lt;&gt;"Included","Not applicable",IF(ABS(K29)&gt;=MaterialThreshold,"Material","Not material")))</f>
        <v/>
      </c>
      <c r="O29" s="25" t="str">
        <f aca="false">IF(B29="","",IF(M29&lt;&gt;"Included",L29,IF(ROUND(K29*100,0)=118,"Unusual but valid 118% result; retain source counts.",IF(N29="Material","Included material variance.","Included; ordinary variance."))))</f>
        <v/>
      </c>
      <c r="P29" s="26" t="str">
        <f aca="false">IF(B29="","",IF(M29&lt;&gt;"Included",0,IF(COUNTIFS($C$5:C29,C29,$D$5:D29,D29,$M$5:M29,"Included")=1,1,0)))</f>
        <v/>
      </c>
      <c r="Q29" s="26" t="str">
        <f aca="false">IF(B29="","",IF(N29&lt;&gt;"Material",0,IF(COUNTIFS($C$5:C29,C29,$D$5:D29,D29,$N$5:N29,"Material")=1,1,0)))</f>
        <v/>
      </c>
    </row>
    <row r="30" customFormat="false" ht="27.75" hidden="false" customHeight="true" outlineLevel="0" collapsed="false">
      <c r="A30" s="20" t="str">
        <f aca="false">IF(B30="","",ROW()-4)</f>
        <v/>
      </c>
      <c r="B30" s="21" t="str">
        <f aca="true">IFERROR(INDEX(InputIDs,ROW()-4),"")</f>
        <v/>
      </c>
      <c r="C30" s="21" t="str">
        <f aca="true">IFERROR(INDEX(InputPeriods,ROW()-4),"")</f>
        <v/>
      </c>
      <c r="D30" s="21" t="str">
        <f aca="true">IFERROR(INDEX(InputStore,ROW()-4),"")</f>
        <v/>
      </c>
      <c r="E30" s="21" t="str">
        <f aca="true">IFERROR(INDEX(InputDepartment,ROW()-4),"")</f>
        <v/>
      </c>
      <c r="F30" s="22" t="str">
        <f aca="true">IFERROR(IF(ISBLANK(INDEX(InputCounted,ROW()-4)),"",INDEX(InputCounted,ROW()-4)),"")</f>
        <v/>
      </c>
      <c r="G30" s="22" t="str">
        <f aca="true">IFERROR(IF(ISBLANK(INDEX(InputExpected,ROW()-4)),"",INDEX(InputExpected,ROW()-4)),"")</f>
        <v/>
      </c>
      <c r="H30" s="21" t="str">
        <f aca="true">IFERROR(INDEX(InputStatus,ROW()-4),"")</f>
        <v/>
      </c>
      <c r="I30" s="21" t="str">
        <f aca="true">IFERROR(IF(ISBLANK(INDEX(InputNote,ROW()-4)),"",INDEX(InputNote,ROW()-4)),"")</f>
        <v/>
      </c>
      <c r="J30" s="23" t="str">
        <f aca="false">IF(B30="","",IF(OR(F30="",G30=""),"",F30-G30))</f>
        <v/>
      </c>
      <c r="K30" s="24" t="str">
        <f aca="false">IF(B30="","",IF(OR(F30="",G30="",G30&lt;=0),"",J30/G30))</f>
        <v/>
      </c>
      <c r="L30" s="25" t="str">
        <f aca="false">IF(B30="","",IF(H30&lt;&gt;"Complete",IF(H30="Not inspected","Not inspected; retain visibly but exclude from performance metrics.","Incomplete; exclude from performance metrics."),IF(F30="","Missing counted units; do not infer zero.",IF(G30="","Missing expected units; percentage cannot be calculated.",IF(G30&lt;=0,"Expected units are zero; exclude from numeric comparison.","Included")))))</f>
        <v/>
      </c>
      <c r="M30" s="25" t="str">
        <f aca="false">IF(B30="","",IF(L30="Included","Included","Not included"))</f>
        <v/>
      </c>
      <c r="N30" s="25" t="str">
        <f aca="false">IF(B30="","",IF(M30&lt;&gt;"Included","Not applicable",IF(ABS(K30)&gt;=MaterialThreshold,"Material","Not material")))</f>
        <v/>
      </c>
      <c r="O30" s="25" t="str">
        <f aca="false">IF(B30="","",IF(M30&lt;&gt;"Included",L30,IF(ROUND(K30*100,0)=118,"Unusual but valid 118% result; retain source counts.",IF(N30="Material","Included material variance.","Included; ordinary variance."))))</f>
        <v/>
      </c>
      <c r="P30" s="26" t="str">
        <f aca="false">IF(B30="","",IF(M30&lt;&gt;"Included",0,IF(COUNTIFS($C$5:C30,C30,$D$5:D30,D30,$M$5:M30,"Included")=1,1,0)))</f>
        <v/>
      </c>
      <c r="Q30" s="26" t="str">
        <f aca="false">IF(B30="","",IF(N30&lt;&gt;"Material",0,IF(COUNTIFS($C$5:C30,C30,$D$5:D30,D30,$N$5:N30,"Material")=1,1,0)))</f>
        <v/>
      </c>
    </row>
    <row r="31" customFormat="false" ht="27.75" hidden="false" customHeight="true" outlineLevel="0" collapsed="false">
      <c r="A31" s="20" t="str">
        <f aca="false">IF(B31="","",ROW()-4)</f>
        <v/>
      </c>
      <c r="B31" s="21" t="str">
        <f aca="true">IFERROR(INDEX(InputIDs,ROW()-4),"")</f>
        <v/>
      </c>
      <c r="C31" s="21" t="str">
        <f aca="true">IFERROR(INDEX(InputPeriods,ROW()-4),"")</f>
        <v/>
      </c>
      <c r="D31" s="21" t="str">
        <f aca="true">IFERROR(INDEX(InputStore,ROW()-4),"")</f>
        <v/>
      </c>
      <c r="E31" s="21" t="str">
        <f aca="true">IFERROR(INDEX(InputDepartment,ROW()-4),"")</f>
        <v/>
      </c>
      <c r="F31" s="22" t="str">
        <f aca="true">IFERROR(IF(ISBLANK(INDEX(InputCounted,ROW()-4)),"",INDEX(InputCounted,ROW()-4)),"")</f>
        <v/>
      </c>
      <c r="G31" s="22" t="str">
        <f aca="true">IFERROR(IF(ISBLANK(INDEX(InputExpected,ROW()-4)),"",INDEX(InputExpected,ROW()-4)),"")</f>
        <v/>
      </c>
      <c r="H31" s="21" t="str">
        <f aca="true">IFERROR(INDEX(InputStatus,ROW()-4),"")</f>
        <v/>
      </c>
      <c r="I31" s="21" t="str">
        <f aca="true">IFERROR(IF(ISBLANK(INDEX(InputNote,ROW()-4)),"",INDEX(InputNote,ROW()-4)),"")</f>
        <v/>
      </c>
      <c r="J31" s="23" t="str">
        <f aca="false">IF(B31="","",IF(OR(F31="",G31=""),"",F31-G31))</f>
        <v/>
      </c>
      <c r="K31" s="24" t="str">
        <f aca="false">IF(B31="","",IF(OR(F31="",G31="",G31&lt;=0),"",J31/G31))</f>
        <v/>
      </c>
      <c r="L31" s="25" t="str">
        <f aca="false">IF(B31="","",IF(H31&lt;&gt;"Complete",IF(H31="Not inspected","Not inspected; retain visibly but exclude from performance metrics.","Incomplete; exclude from performance metrics."),IF(F31="","Missing counted units; do not infer zero.",IF(G31="","Missing expected units; percentage cannot be calculated.",IF(G31&lt;=0,"Expected units are zero; exclude from numeric comparison.","Included")))))</f>
        <v/>
      </c>
      <c r="M31" s="25" t="str">
        <f aca="false">IF(B31="","",IF(L31="Included","Included","Not included"))</f>
        <v/>
      </c>
      <c r="N31" s="25" t="str">
        <f aca="false">IF(B31="","",IF(M31&lt;&gt;"Included","Not applicable",IF(ABS(K31)&gt;=MaterialThreshold,"Material","Not material")))</f>
        <v/>
      </c>
      <c r="O31" s="25" t="str">
        <f aca="false">IF(B31="","",IF(M31&lt;&gt;"Included",L31,IF(ROUND(K31*100,0)=118,"Unusual but valid 118% result; retain source counts.",IF(N31="Material","Included material variance.","Included; ordinary variance."))))</f>
        <v/>
      </c>
      <c r="P31" s="26" t="str">
        <f aca="false">IF(B31="","",IF(M31&lt;&gt;"Included",0,IF(COUNTIFS($C$5:C31,C31,$D$5:D31,D31,$M$5:M31,"Included")=1,1,0)))</f>
        <v/>
      </c>
      <c r="Q31" s="26" t="str">
        <f aca="false">IF(B31="","",IF(N31&lt;&gt;"Material",0,IF(COUNTIFS($C$5:C31,C31,$D$5:D31,D31,$N$5:N31,"Material")=1,1,0)))</f>
        <v/>
      </c>
    </row>
    <row r="32" customFormat="false" ht="27.75" hidden="false" customHeight="true" outlineLevel="0" collapsed="false">
      <c r="A32" s="20" t="str">
        <f aca="false">IF(B32="","",ROW()-4)</f>
        <v/>
      </c>
      <c r="B32" s="21" t="str">
        <f aca="true">IFERROR(INDEX(InputIDs,ROW()-4),"")</f>
        <v/>
      </c>
      <c r="C32" s="21" t="str">
        <f aca="true">IFERROR(INDEX(InputPeriods,ROW()-4),"")</f>
        <v/>
      </c>
      <c r="D32" s="21" t="str">
        <f aca="true">IFERROR(INDEX(InputStore,ROW()-4),"")</f>
        <v/>
      </c>
      <c r="E32" s="21" t="str">
        <f aca="true">IFERROR(INDEX(InputDepartment,ROW()-4),"")</f>
        <v/>
      </c>
      <c r="F32" s="22" t="str">
        <f aca="true">IFERROR(IF(ISBLANK(INDEX(InputCounted,ROW()-4)),"",INDEX(InputCounted,ROW()-4)),"")</f>
        <v/>
      </c>
      <c r="G32" s="22" t="str">
        <f aca="true">IFERROR(IF(ISBLANK(INDEX(InputExpected,ROW()-4)),"",INDEX(InputExpected,ROW()-4)),"")</f>
        <v/>
      </c>
      <c r="H32" s="21" t="str">
        <f aca="true">IFERROR(INDEX(InputStatus,ROW()-4),"")</f>
        <v/>
      </c>
      <c r="I32" s="21" t="str">
        <f aca="true">IFERROR(IF(ISBLANK(INDEX(InputNote,ROW()-4)),"",INDEX(InputNote,ROW()-4)),"")</f>
        <v/>
      </c>
      <c r="J32" s="23" t="str">
        <f aca="false">IF(B32="","",IF(OR(F32="",G32=""),"",F32-G32))</f>
        <v/>
      </c>
      <c r="K32" s="24" t="str">
        <f aca="false">IF(B32="","",IF(OR(F32="",G32="",G32&lt;=0),"",J32/G32))</f>
        <v/>
      </c>
      <c r="L32" s="25" t="str">
        <f aca="false">IF(B32="","",IF(H32&lt;&gt;"Complete",IF(H32="Not inspected","Not inspected; retain visibly but exclude from performance metrics.","Incomplete; exclude from performance metrics."),IF(F32="","Missing counted units; do not infer zero.",IF(G32="","Missing expected units; percentage cannot be calculated.",IF(G32&lt;=0,"Expected units are zero; exclude from numeric comparison.","Included")))))</f>
        <v/>
      </c>
      <c r="M32" s="25" t="str">
        <f aca="false">IF(B32="","",IF(L32="Included","Included","Not included"))</f>
        <v/>
      </c>
      <c r="N32" s="25" t="str">
        <f aca="false">IF(B32="","",IF(M32&lt;&gt;"Included","Not applicable",IF(ABS(K32)&gt;=MaterialThreshold,"Material","Not material")))</f>
        <v/>
      </c>
      <c r="O32" s="25" t="str">
        <f aca="false">IF(B32="","",IF(M32&lt;&gt;"Included",L32,IF(ROUND(K32*100,0)=118,"Unusual but valid 118% result; retain source counts.",IF(N32="Material","Included material variance.","Included; ordinary variance."))))</f>
        <v/>
      </c>
      <c r="P32" s="26" t="str">
        <f aca="false">IF(B32="","",IF(M32&lt;&gt;"Included",0,IF(COUNTIFS($C$5:C32,C32,$D$5:D32,D32,$M$5:M32,"Included")=1,1,0)))</f>
        <v/>
      </c>
      <c r="Q32" s="26" t="str">
        <f aca="false">IF(B32="","",IF(N32&lt;&gt;"Material",0,IF(COUNTIFS($C$5:C32,C32,$D$5:D32,D32,$N$5:N32,"Material")=1,1,0)))</f>
        <v/>
      </c>
    </row>
    <row r="33" customFormat="false" ht="27.75" hidden="false" customHeight="true" outlineLevel="0" collapsed="false">
      <c r="A33" s="20" t="str">
        <f aca="false">IF(B33="","",ROW()-4)</f>
        <v/>
      </c>
      <c r="B33" s="21" t="str">
        <f aca="true">IFERROR(INDEX(InputIDs,ROW()-4),"")</f>
        <v/>
      </c>
      <c r="C33" s="21" t="str">
        <f aca="true">IFERROR(INDEX(InputPeriods,ROW()-4),"")</f>
        <v/>
      </c>
      <c r="D33" s="21" t="str">
        <f aca="true">IFERROR(INDEX(InputStore,ROW()-4),"")</f>
        <v/>
      </c>
      <c r="E33" s="21" t="str">
        <f aca="true">IFERROR(INDEX(InputDepartment,ROW()-4),"")</f>
        <v/>
      </c>
      <c r="F33" s="22" t="str">
        <f aca="true">IFERROR(IF(ISBLANK(INDEX(InputCounted,ROW()-4)),"",INDEX(InputCounted,ROW()-4)),"")</f>
        <v/>
      </c>
      <c r="G33" s="22" t="str">
        <f aca="true">IFERROR(IF(ISBLANK(INDEX(InputExpected,ROW()-4)),"",INDEX(InputExpected,ROW()-4)),"")</f>
        <v/>
      </c>
      <c r="H33" s="21" t="str">
        <f aca="true">IFERROR(INDEX(InputStatus,ROW()-4),"")</f>
        <v/>
      </c>
      <c r="I33" s="21" t="str">
        <f aca="true">IFERROR(IF(ISBLANK(INDEX(InputNote,ROW()-4)),"",INDEX(InputNote,ROW()-4)),"")</f>
        <v/>
      </c>
      <c r="J33" s="23" t="str">
        <f aca="false">IF(B33="","",IF(OR(F33="",G33=""),"",F33-G33))</f>
        <v/>
      </c>
      <c r="K33" s="24" t="str">
        <f aca="false">IF(B33="","",IF(OR(F33="",G33="",G33&lt;=0),"",J33/G33))</f>
        <v/>
      </c>
      <c r="L33" s="25" t="str">
        <f aca="false">IF(B33="","",IF(H33&lt;&gt;"Complete",IF(H33="Not inspected","Not inspected; retain visibly but exclude from performance metrics.","Incomplete; exclude from performance metrics."),IF(F33="","Missing counted units; do not infer zero.",IF(G33="","Missing expected units; percentage cannot be calculated.",IF(G33&lt;=0,"Expected units are zero; exclude from numeric comparison.","Included")))))</f>
        <v/>
      </c>
      <c r="M33" s="25" t="str">
        <f aca="false">IF(B33="","",IF(L33="Included","Included","Not included"))</f>
        <v/>
      </c>
      <c r="N33" s="25" t="str">
        <f aca="false">IF(B33="","",IF(M33&lt;&gt;"Included","Not applicable",IF(ABS(K33)&gt;=MaterialThreshold,"Material","Not material")))</f>
        <v/>
      </c>
      <c r="O33" s="25" t="str">
        <f aca="false">IF(B33="","",IF(M33&lt;&gt;"Included",L33,IF(ROUND(K33*100,0)=118,"Unusual but valid 118% result; retain source counts.",IF(N33="Material","Included material variance.","Included; ordinary variance."))))</f>
        <v/>
      </c>
      <c r="P33" s="26" t="str">
        <f aca="false">IF(B33="","",IF(M33&lt;&gt;"Included",0,IF(COUNTIFS($C$5:C33,C33,$D$5:D33,D33,$M$5:M33,"Included")=1,1,0)))</f>
        <v/>
      </c>
      <c r="Q33" s="26" t="str">
        <f aca="false">IF(B33="","",IF(N33&lt;&gt;"Material",0,IF(COUNTIFS($C$5:C33,C33,$D$5:D33,D33,$N$5:N33,"Material")=1,1,0)))</f>
        <v/>
      </c>
    </row>
    <row r="34" customFormat="false" ht="27.75" hidden="false" customHeight="true" outlineLevel="0" collapsed="false">
      <c r="A34" s="20" t="str">
        <f aca="false">IF(B34="","",ROW()-4)</f>
        <v/>
      </c>
      <c r="B34" s="21" t="str">
        <f aca="true">IFERROR(INDEX(InputIDs,ROW()-4),"")</f>
        <v/>
      </c>
      <c r="C34" s="21" t="str">
        <f aca="true">IFERROR(INDEX(InputPeriods,ROW()-4),"")</f>
        <v/>
      </c>
      <c r="D34" s="21" t="str">
        <f aca="true">IFERROR(INDEX(InputStore,ROW()-4),"")</f>
        <v/>
      </c>
      <c r="E34" s="21" t="str">
        <f aca="true">IFERROR(INDEX(InputDepartment,ROW()-4),"")</f>
        <v/>
      </c>
      <c r="F34" s="22" t="str">
        <f aca="true">IFERROR(IF(ISBLANK(INDEX(InputCounted,ROW()-4)),"",INDEX(InputCounted,ROW()-4)),"")</f>
        <v/>
      </c>
      <c r="G34" s="22" t="str">
        <f aca="true">IFERROR(IF(ISBLANK(INDEX(InputExpected,ROW()-4)),"",INDEX(InputExpected,ROW()-4)),"")</f>
        <v/>
      </c>
      <c r="H34" s="21" t="str">
        <f aca="true">IFERROR(INDEX(InputStatus,ROW()-4),"")</f>
        <v/>
      </c>
      <c r="I34" s="21" t="str">
        <f aca="true">IFERROR(IF(ISBLANK(INDEX(InputNote,ROW()-4)),"",INDEX(InputNote,ROW()-4)),"")</f>
        <v/>
      </c>
      <c r="J34" s="23" t="str">
        <f aca="false">IF(B34="","",IF(OR(F34="",G34=""),"",F34-G34))</f>
        <v/>
      </c>
      <c r="K34" s="24" t="str">
        <f aca="false">IF(B34="","",IF(OR(F34="",G34="",G34&lt;=0),"",J34/G34))</f>
        <v/>
      </c>
      <c r="L34" s="25" t="str">
        <f aca="false">IF(B34="","",IF(H34&lt;&gt;"Complete",IF(H34="Not inspected","Not inspected; retain visibly but exclude from performance metrics.","Incomplete; exclude from performance metrics."),IF(F34="","Missing counted units; do not infer zero.",IF(G34="","Missing expected units; percentage cannot be calculated.",IF(G34&lt;=0,"Expected units are zero; exclude from numeric comparison.","Included")))))</f>
        <v/>
      </c>
      <c r="M34" s="25" t="str">
        <f aca="false">IF(B34="","",IF(L34="Included","Included","Not included"))</f>
        <v/>
      </c>
      <c r="N34" s="25" t="str">
        <f aca="false">IF(B34="","",IF(M34&lt;&gt;"Included","Not applicable",IF(ABS(K34)&gt;=MaterialThreshold,"Material","Not material")))</f>
        <v/>
      </c>
      <c r="O34" s="25" t="str">
        <f aca="false">IF(B34="","",IF(M34&lt;&gt;"Included",L34,IF(ROUND(K34*100,0)=118,"Unusual but valid 118% result; retain source counts.",IF(N34="Material","Included material variance.","Included; ordinary variance."))))</f>
        <v/>
      </c>
      <c r="P34" s="26" t="str">
        <f aca="false">IF(B34="","",IF(M34&lt;&gt;"Included",0,IF(COUNTIFS($C$5:C34,C34,$D$5:D34,D34,$M$5:M34,"Included")=1,1,0)))</f>
        <v/>
      </c>
      <c r="Q34" s="26" t="str">
        <f aca="false">IF(B34="","",IF(N34&lt;&gt;"Material",0,IF(COUNTIFS($C$5:C34,C34,$D$5:D34,D34,$N$5:N34,"Material")=1,1,0)))</f>
        <v/>
      </c>
    </row>
    <row r="35" customFormat="false" ht="27.75" hidden="false" customHeight="true" outlineLevel="0" collapsed="false">
      <c r="A35" s="20" t="str">
        <f aca="false">IF(B35="","",ROW()-4)</f>
        <v/>
      </c>
      <c r="B35" s="21" t="str">
        <f aca="true">IFERROR(INDEX(InputIDs,ROW()-4),"")</f>
        <v/>
      </c>
      <c r="C35" s="21" t="str">
        <f aca="true">IFERROR(INDEX(InputPeriods,ROW()-4),"")</f>
        <v/>
      </c>
      <c r="D35" s="21" t="str">
        <f aca="true">IFERROR(INDEX(InputStore,ROW()-4),"")</f>
        <v/>
      </c>
      <c r="E35" s="21" t="str">
        <f aca="true">IFERROR(INDEX(InputDepartment,ROW()-4),"")</f>
        <v/>
      </c>
      <c r="F35" s="22" t="str">
        <f aca="true">IFERROR(IF(ISBLANK(INDEX(InputCounted,ROW()-4)),"",INDEX(InputCounted,ROW()-4)),"")</f>
        <v/>
      </c>
      <c r="G35" s="22" t="str">
        <f aca="true">IFERROR(IF(ISBLANK(INDEX(InputExpected,ROW()-4)),"",INDEX(InputExpected,ROW()-4)),"")</f>
        <v/>
      </c>
      <c r="H35" s="21" t="str">
        <f aca="true">IFERROR(INDEX(InputStatus,ROW()-4),"")</f>
        <v/>
      </c>
      <c r="I35" s="21" t="str">
        <f aca="true">IFERROR(IF(ISBLANK(INDEX(InputNote,ROW()-4)),"",INDEX(InputNote,ROW()-4)),"")</f>
        <v/>
      </c>
      <c r="J35" s="23" t="str">
        <f aca="false">IF(B35="","",IF(OR(F35="",G35=""),"",F35-G35))</f>
        <v/>
      </c>
      <c r="K35" s="24" t="str">
        <f aca="false">IF(B35="","",IF(OR(F35="",G35="",G35&lt;=0),"",J35/G35))</f>
        <v/>
      </c>
      <c r="L35" s="25" t="str">
        <f aca="false">IF(B35="","",IF(H35&lt;&gt;"Complete",IF(H35="Not inspected","Not inspected; retain visibly but exclude from performance metrics.","Incomplete; exclude from performance metrics."),IF(F35="","Missing counted units; do not infer zero.",IF(G35="","Missing expected units; percentage cannot be calculated.",IF(G35&lt;=0,"Expected units are zero; exclude from numeric comparison.","Included")))))</f>
        <v/>
      </c>
      <c r="M35" s="25" t="str">
        <f aca="false">IF(B35="","",IF(L35="Included","Included","Not included"))</f>
        <v/>
      </c>
      <c r="N35" s="25" t="str">
        <f aca="false">IF(B35="","",IF(M35&lt;&gt;"Included","Not applicable",IF(ABS(K35)&gt;=MaterialThreshold,"Material","Not material")))</f>
        <v/>
      </c>
      <c r="O35" s="25" t="str">
        <f aca="false">IF(B35="","",IF(M35&lt;&gt;"Included",L35,IF(ROUND(K35*100,0)=118,"Unusual but valid 118% result; retain source counts.",IF(N35="Material","Included material variance.","Included; ordinary variance."))))</f>
        <v/>
      </c>
      <c r="P35" s="26" t="str">
        <f aca="false">IF(B35="","",IF(M35&lt;&gt;"Included",0,IF(COUNTIFS($C$5:C35,C35,$D$5:D35,D35,$M$5:M35,"Included")=1,1,0)))</f>
        <v/>
      </c>
      <c r="Q35" s="26" t="str">
        <f aca="false">IF(B35="","",IF(N35&lt;&gt;"Material",0,IF(COUNTIFS($C$5:C35,C35,$D$5:D35,D35,$N$5:N35,"Material")=1,1,0)))</f>
        <v/>
      </c>
    </row>
    <row r="36" customFormat="false" ht="27.75" hidden="false" customHeight="true" outlineLevel="0" collapsed="false">
      <c r="A36" s="20" t="str">
        <f aca="false">IF(B36="","",ROW()-4)</f>
        <v/>
      </c>
      <c r="B36" s="21" t="str">
        <f aca="true">IFERROR(INDEX(InputIDs,ROW()-4),"")</f>
        <v/>
      </c>
      <c r="C36" s="21" t="str">
        <f aca="true">IFERROR(INDEX(InputPeriods,ROW()-4),"")</f>
        <v/>
      </c>
      <c r="D36" s="21" t="str">
        <f aca="true">IFERROR(INDEX(InputStore,ROW()-4),"")</f>
        <v/>
      </c>
      <c r="E36" s="21" t="str">
        <f aca="true">IFERROR(INDEX(InputDepartment,ROW()-4),"")</f>
        <v/>
      </c>
      <c r="F36" s="22" t="str">
        <f aca="true">IFERROR(IF(ISBLANK(INDEX(InputCounted,ROW()-4)),"",INDEX(InputCounted,ROW()-4)),"")</f>
        <v/>
      </c>
      <c r="G36" s="22" t="str">
        <f aca="true">IFERROR(IF(ISBLANK(INDEX(InputExpected,ROW()-4)),"",INDEX(InputExpected,ROW()-4)),"")</f>
        <v/>
      </c>
      <c r="H36" s="21" t="str">
        <f aca="true">IFERROR(INDEX(InputStatus,ROW()-4),"")</f>
        <v/>
      </c>
      <c r="I36" s="21" t="str">
        <f aca="true">IFERROR(IF(ISBLANK(INDEX(InputNote,ROW()-4)),"",INDEX(InputNote,ROW()-4)),"")</f>
        <v/>
      </c>
      <c r="J36" s="23" t="str">
        <f aca="false">IF(B36="","",IF(OR(F36="",G36=""),"",F36-G36))</f>
        <v/>
      </c>
      <c r="K36" s="24" t="str">
        <f aca="false">IF(B36="","",IF(OR(F36="",G36="",G36&lt;=0),"",J36/G36))</f>
        <v/>
      </c>
      <c r="L36" s="25" t="str">
        <f aca="false">IF(B36="","",IF(H36&lt;&gt;"Complete",IF(H36="Not inspected","Not inspected; retain visibly but exclude from performance metrics.","Incomplete; exclude from performance metrics."),IF(F36="","Missing counted units; do not infer zero.",IF(G36="","Missing expected units; percentage cannot be calculated.",IF(G36&lt;=0,"Expected units are zero; exclude from numeric comparison.","Included")))))</f>
        <v/>
      </c>
      <c r="M36" s="25" t="str">
        <f aca="false">IF(B36="","",IF(L36="Included","Included","Not included"))</f>
        <v/>
      </c>
      <c r="N36" s="25" t="str">
        <f aca="false">IF(B36="","",IF(M36&lt;&gt;"Included","Not applicable",IF(ABS(K36)&gt;=MaterialThreshold,"Material","Not material")))</f>
        <v/>
      </c>
      <c r="O36" s="25" t="str">
        <f aca="false">IF(B36="","",IF(M36&lt;&gt;"Included",L36,IF(ROUND(K36*100,0)=118,"Unusual but valid 118% result; retain source counts.",IF(N36="Material","Included material variance.","Included; ordinary variance."))))</f>
        <v/>
      </c>
      <c r="P36" s="26" t="str">
        <f aca="false">IF(B36="","",IF(M36&lt;&gt;"Included",0,IF(COUNTIFS($C$5:C36,C36,$D$5:D36,D36,$M$5:M36,"Included")=1,1,0)))</f>
        <v/>
      </c>
      <c r="Q36" s="26" t="str">
        <f aca="false">IF(B36="","",IF(N36&lt;&gt;"Material",0,IF(COUNTIFS($C$5:C36,C36,$D$5:D36,D36,$N$5:N36,"Material")=1,1,0)))</f>
        <v/>
      </c>
    </row>
    <row r="37" customFormat="false" ht="27.75" hidden="false" customHeight="true" outlineLevel="0" collapsed="false">
      <c r="A37" s="20" t="str">
        <f aca="false">IF(B37="","",ROW()-4)</f>
        <v/>
      </c>
      <c r="B37" s="21" t="str">
        <f aca="true">IFERROR(INDEX(InputIDs,ROW()-4),"")</f>
        <v/>
      </c>
      <c r="C37" s="21" t="str">
        <f aca="true">IFERROR(INDEX(InputPeriods,ROW()-4),"")</f>
        <v/>
      </c>
      <c r="D37" s="21" t="str">
        <f aca="true">IFERROR(INDEX(InputStore,ROW()-4),"")</f>
        <v/>
      </c>
      <c r="E37" s="21" t="str">
        <f aca="true">IFERROR(INDEX(InputDepartment,ROW()-4),"")</f>
        <v/>
      </c>
      <c r="F37" s="22" t="str">
        <f aca="true">IFERROR(IF(ISBLANK(INDEX(InputCounted,ROW()-4)),"",INDEX(InputCounted,ROW()-4)),"")</f>
        <v/>
      </c>
      <c r="G37" s="22" t="str">
        <f aca="true">IFERROR(IF(ISBLANK(INDEX(InputExpected,ROW()-4)),"",INDEX(InputExpected,ROW()-4)),"")</f>
        <v/>
      </c>
      <c r="H37" s="21" t="str">
        <f aca="true">IFERROR(INDEX(InputStatus,ROW()-4),"")</f>
        <v/>
      </c>
      <c r="I37" s="21" t="str">
        <f aca="true">IFERROR(IF(ISBLANK(INDEX(InputNote,ROW()-4)),"",INDEX(InputNote,ROW()-4)),"")</f>
        <v/>
      </c>
      <c r="J37" s="23" t="str">
        <f aca="false">IF(B37="","",IF(OR(F37="",G37=""),"",F37-G37))</f>
        <v/>
      </c>
      <c r="K37" s="24" t="str">
        <f aca="false">IF(B37="","",IF(OR(F37="",G37="",G37&lt;=0),"",J37/G37))</f>
        <v/>
      </c>
      <c r="L37" s="25" t="str">
        <f aca="false">IF(B37="","",IF(H37&lt;&gt;"Complete",IF(H37="Not inspected","Not inspected; retain visibly but exclude from performance metrics.","Incomplete; exclude from performance metrics."),IF(F37="","Missing counted units; do not infer zero.",IF(G37="","Missing expected units; percentage cannot be calculated.",IF(G37&lt;=0,"Expected units are zero; exclude from numeric comparison.","Included")))))</f>
        <v/>
      </c>
      <c r="M37" s="25" t="str">
        <f aca="false">IF(B37="","",IF(L37="Included","Included","Not included"))</f>
        <v/>
      </c>
      <c r="N37" s="25" t="str">
        <f aca="false">IF(B37="","",IF(M37&lt;&gt;"Included","Not applicable",IF(ABS(K37)&gt;=MaterialThreshold,"Material","Not material")))</f>
        <v/>
      </c>
      <c r="O37" s="25" t="str">
        <f aca="false">IF(B37="","",IF(M37&lt;&gt;"Included",L37,IF(ROUND(K37*100,0)=118,"Unusual but valid 118% result; retain source counts.",IF(N37="Material","Included material variance.","Included; ordinary variance."))))</f>
        <v/>
      </c>
      <c r="P37" s="26" t="str">
        <f aca="false">IF(B37="","",IF(M37&lt;&gt;"Included",0,IF(COUNTIFS($C$5:C37,C37,$D$5:D37,D37,$M$5:M37,"Included")=1,1,0)))</f>
        <v/>
      </c>
      <c r="Q37" s="26" t="str">
        <f aca="false">IF(B37="","",IF(N37&lt;&gt;"Material",0,IF(COUNTIFS($C$5:C37,C37,$D$5:D37,D37,$N$5:N37,"Material")=1,1,0)))</f>
        <v/>
      </c>
    </row>
    <row r="38" customFormat="false" ht="27.75" hidden="false" customHeight="true" outlineLevel="0" collapsed="false">
      <c r="A38" s="20" t="str">
        <f aca="false">IF(B38="","",ROW()-4)</f>
        <v/>
      </c>
      <c r="B38" s="21" t="str">
        <f aca="true">IFERROR(INDEX(InputIDs,ROW()-4),"")</f>
        <v/>
      </c>
      <c r="C38" s="21" t="str">
        <f aca="true">IFERROR(INDEX(InputPeriods,ROW()-4),"")</f>
        <v/>
      </c>
      <c r="D38" s="21" t="str">
        <f aca="true">IFERROR(INDEX(InputStore,ROW()-4),"")</f>
        <v/>
      </c>
      <c r="E38" s="21" t="str">
        <f aca="true">IFERROR(INDEX(InputDepartment,ROW()-4),"")</f>
        <v/>
      </c>
      <c r="F38" s="22" t="str">
        <f aca="true">IFERROR(IF(ISBLANK(INDEX(InputCounted,ROW()-4)),"",INDEX(InputCounted,ROW()-4)),"")</f>
        <v/>
      </c>
      <c r="G38" s="22" t="str">
        <f aca="true">IFERROR(IF(ISBLANK(INDEX(InputExpected,ROW()-4)),"",INDEX(InputExpected,ROW()-4)),"")</f>
        <v/>
      </c>
      <c r="H38" s="21" t="str">
        <f aca="true">IFERROR(INDEX(InputStatus,ROW()-4),"")</f>
        <v/>
      </c>
      <c r="I38" s="21" t="str">
        <f aca="true">IFERROR(IF(ISBLANK(INDEX(InputNote,ROW()-4)),"",INDEX(InputNote,ROW()-4)),"")</f>
        <v/>
      </c>
      <c r="J38" s="23" t="str">
        <f aca="false">IF(B38="","",IF(OR(F38="",G38=""),"",F38-G38))</f>
        <v/>
      </c>
      <c r="K38" s="24" t="str">
        <f aca="false">IF(B38="","",IF(OR(F38="",G38="",G38&lt;=0),"",J38/G38))</f>
        <v/>
      </c>
      <c r="L38" s="25" t="str">
        <f aca="false">IF(B38="","",IF(H38&lt;&gt;"Complete",IF(H38="Not inspected","Not inspected; retain visibly but exclude from performance metrics.","Incomplete; exclude from performance metrics."),IF(F38="","Missing counted units; do not infer zero.",IF(G38="","Missing expected units; percentage cannot be calculated.",IF(G38&lt;=0,"Expected units are zero; exclude from numeric comparison.","Included")))))</f>
        <v/>
      </c>
      <c r="M38" s="25" t="str">
        <f aca="false">IF(B38="","",IF(L38="Included","Included","Not included"))</f>
        <v/>
      </c>
      <c r="N38" s="25" t="str">
        <f aca="false">IF(B38="","",IF(M38&lt;&gt;"Included","Not applicable",IF(ABS(K38)&gt;=MaterialThreshold,"Material","Not material")))</f>
        <v/>
      </c>
      <c r="O38" s="25" t="str">
        <f aca="false">IF(B38="","",IF(M38&lt;&gt;"Included",L38,IF(ROUND(K38*100,0)=118,"Unusual but valid 118% result; retain source counts.",IF(N38="Material","Included material variance.","Included; ordinary variance."))))</f>
        <v/>
      </c>
      <c r="P38" s="26" t="str">
        <f aca="false">IF(B38="","",IF(M38&lt;&gt;"Included",0,IF(COUNTIFS($C$5:C38,C38,$D$5:D38,D38,$M$5:M38,"Included")=1,1,0)))</f>
        <v/>
      </c>
      <c r="Q38" s="26" t="str">
        <f aca="false">IF(B38="","",IF(N38&lt;&gt;"Material",0,IF(COUNTIFS($C$5:C38,C38,$D$5:D38,D38,$N$5:N38,"Material")=1,1,0)))</f>
        <v/>
      </c>
    </row>
    <row r="39" customFormat="false" ht="27.75" hidden="false" customHeight="true" outlineLevel="0" collapsed="false">
      <c r="A39" s="20" t="str">
        <f aca="false">IF(B39="","",ROW()-4)</f>
        <v/>
      </c>
      <c r="B39" s="21" t="str">
        <f aca="true">IFERROR(INDEX(InputIDs,ROW()-4),"")</f>
        <v/>
      </c>
      <c r="C39" s="21" t="str">
        <f aca="true">IFERROR(INDEX(InputPeriods,ROW()-4),"")</f>
        <v/>
      </c>
      <c r="D39" s="21" t="str">
        <f aca="true">IFERROR(INDEX(InputStore,ROW()-4),"")</f>
        <v/>
      </c>
      <c r="E39" s="21" t="str">
        <f aca="true">IFERROR(INDEX(InputDepartment,ROW()-4),"")</f>
        <v/>
      </c>
      <c r="F39" s="22" t="str">
        <f aca="true">IFERROR(IF(ISBLANK(INDEX(InputCounted,ROW()-4)),"",INDEX(InputCounted,ROW()-4)),"")</f>
        <v/>
      </c>
      <c r="G39" s="22" t="str">
        <f aca="true">IFERROR(IF(ISBLANK(INDEX(InputExpected,ROW()-4)),"",INDEX(InputExpected,ROW()-4)),"")</f>
        <v/>
      </c>
      <c r="H39" s="21" t="str">
        <f aca="true">IFERROR(INDEX(InputStatus,ROW()-4),"")</f>
        <v/>
      </c>
      <c r="I39" s="21" t="str">
        <f aca="true">IFERROR(IF(ISBLANK(INDEX(InputNote,ROW()-4)),"",INDEX(InputNote,ROW()-4)),"")</f>
        <v/>
      </c>
      <c r="J39" s="23" t="str">
        <f aca="false">IF(B39="","",IF(OR(F39="",G39=""),"",F39-G39))</f>
        <v/>
      </c>
      <c r="K39" s="24" t="str">
        <f aca="false">IF(B39="","",IF(OR(F39="",G39="",G39&lt;=0),"",J39/G39))</f>
        <v/>
      </c>
      <c r="L39" s="25" t="str">
        <f aca="false">IF(B39="","",IF(H39&lt;&gt;"Complete",IF(H39="Not inspected","Not inspected; retain visibly but exclude from performance metrics.","Incomplete; exclude from performance metrics."),IF(F39="","Missing counted units; do not infer zero.",IF(G39="","Missing expected units; percentage cannot be calculated.",IF(G39&lt;=0,"Expected units are zero; exclude from numeric comparison.","Included")))))</f>
        <v/>
      </c>
      <c r="M39" s="25" t="str">
        <f aca="false">IF(B39="","",IF(L39="Included","Included","Not included"))</f>
        <v/>
      </c>
      <c r="N39" s="25" t="str">
        <f aca="false">IF(B39="","",IF(M39&lt;&gt;"Included","Not applicable",IF(ABS(K39)&gt;=MaterialThreshold,"Material","Not material")))</f>
        <v/>
      </c>
      <c r="O39" s="25" t="str">
        <f aca="false">IF(B39="","",IF(M39&lt;&gt;"Included",L39,IF(ROUND(K39*100,0)=118,"Unusual but valid 118% result; retain source counts.",IF(N39="Material","Included material variance.","Included; ordinary variance."))))</f>
        <v/>
      </c>
      <c r="P39" s="26" t="str">
        <f aca="false">IF(B39="","",IF(M39&lt;&gt;"Included",0,IF(COUNTIFS($C$5:C39,C39,$D$5:D39,D39,$M$5:M39,"Included")=1,1,0)))</f>
        <v/>
      </c>
      <c r="Q39" s="26" t="str">
        <f aca="false">IF(B39="","",IF(N39&lt;&gt;"Material",0,IF(COUNTIFS($C$5:C39,C39,$D$5:D39,D39,$N$5:N39,"Material")=1,1,0)))</f>
        <v/>
      </c>
    </row>
    <row r="40" customFormat="false" ht="27.75" hidden="false" customHeight="true" outlineLevel="0" collapsed="false">
      <c r="A40" s="20" t="str">
        <f aca="false">IF(B40="","",ROW()-4)</f>
        <v/>
      </c>
      <c r="B40" s="21" t="str">
        <f aca="true">IFERROR(INDEX(InputIDs,ROW()-4),"")</f>
        <v/>
      </c>
      <c r="C40" s="21" t="str">
        <f aca="true">IFERROR(INDEX(InputPeriods,ROW()-4),"")</f>
        <v/>
      </c>
      <c r="D40" s="21" t="str">
        <f aca="true">IFERROR(INDEX(InputStore,ROW()-4),"")</f>
        <v/>
      </c>
      <c r="E40" s="21" t="str">
        <f aca="true">IFERROR(INDEX(InputDepartment,ROW()-4),"")</f>
        <v/>
      </c>
      <c r="F40" s="22" t="str">
        <f aca="true">IFERROR(IF(ISBLANK(INDEX(InputCounted,ROW()-4)),"",INDEX(InputCounted,ROW()-4)),"")</f>
        <v/>
      </c>
      <c r="G40" s="22" t="str">
        <f aca="true">IFERROR(IF(ISBLANK(INDEX(InputExpected,ROW()-4)),"",INDEX(InputExpected,ROW()-4)),"")</f>
        <v/>
      </c>
      <c r="H40" s="21" t="str">
        <f aca="true">IFERROR(INDEX(InputStatus,ROW()-4),"")</f>
        <v/>
      </c>
      <c r="I40" s="21" t="str">
        <f aca="true">IFERROR(IF(ISBLANK(INDEX(InputNote,ROW()-4)),"",INDEX(InputNote,ROW()-4)),"")</f>
        <v/>
      </c>
      <c r="J40" s="23" t="str">
        <f aca="false">IF(B40="","",IF(OR(F40="",G40=""),"",F40-G40))</f>
        <v/>
      </c>
      <c r="K40" s="24" t="str">
        <f aca="false">IF(B40="","",IF(OR(F40="",G40="",G40&lt;=0),"",J40/G40))</f>
        <v/>
      </c>
      <c r="L40" s="25" t="str">
        <f aca="false">IF(B40="","",IF(H40&lt;&gt;"Complete",IF(H40="Not inspected","Not inspected; retain visibly but exclude from performance metrics.","Incomplete; exclude from performance metrics."),IF(F40="","Missing counted units; do not infer zero.",IF(G40="","Missing expected units; percentage cannot be calculated.",IF(G40&lt;=0,"Expected units are zero; exclude from numeric comparison.","Included")))))</f>
        <v/>
      </c>
      <c r="M40" s="25" t="str">
        <f aca="false">IF(B40="","",IF(L40="Included","Included","Not included"))</f>
        <v/>
      </c>
      <c r="N40" s="25" t="str">
        <f aca="false">IF(B40="","",IF(M40&lt;&gt;"Included","Not applicable",IF(ABS(K40)&gt;=MaterialThreshold,"Material","Not material")))</f>
        <v/>
      </c>
      <c r="O40" s="25" t="str">
        <f aca="false">IF(B40="","",IF(M40&lt;&gt;"Included",L40,IF(ROUND(K40*100,0)=118,"Unusual but valid 118% result; retain source counts.",IF(N40="Material","Included material variance.","Included; ordinary variance."))))</f>
        <v/>
      </c>
      <c r="P40" s="26" t="str">
        <f aca="false">IF(B40="","",IF(M40&lt;&gt;"Included",0,IF(COUNTIFS($C$5:C40,C40,$D$5:D40,D40,$M$5:M40,"Included")=1,1,0)))</f>
        <v/>
      </c>
      <c r="Q40" s="26" t="str">
        <f aca="false">IF(B40="","",IF(N40&lt;&gt;"Material",0,IF(COUNTIFS($C$5:C40,C40,$D$5:D40,D40,$N$5:N40,"Material")=1,1,0)))</f>
        <v/>
      </c>
    </row>
    <row r="41" customFormat="false" ht="27.75" hidden="false" customHeight="true" outlineLevel="0" collapsed="false">
      <c r="A41" s="20" t="str">
        <f aca="false">IF(B41="","",ROW()-4)</f>
        <v/>
      </c>
      <c r="B41" s="21" t="str">
        <f aca="true">IFERROR(INDEX(InputIDs,ROW()-4),"")</f>
        <v/>
      </c>
      <c r="C41" s="21" t="str">
        <f aca="true">IFERROR(INDEX(InputPeriods,ROW()-4),"")</f>
        <v/>
      </c>
      <c r="D41" s="21" t="str">
        <f aca="true">IFERROR(INDEX(InputStore,ROW()-4),"")</f>
        <v/>
      </c>
      <c r="E41" s="21" t="str">
        <f aca="true">IFERROR(INDEX(InputDepartment,ROW()-4),"")</f>
        <v/>
      </c>
      <c r="F41" s="22" t="str">
        <f aca="true">IFERROR(IF(ISBLANK(INDEX(InputCounted,ROW()-4)),"",INDEX(InputCounted,ROW()-4)),"")</f>
        <v/>
      </c>
      <c r="G41" s="22" t="str">
        <f aca="true">IFERROR(IF(ISBLANK(INDEX(InputExpected,ROW()-4)),"",INDEX(InputExpected,ROW()-4)),"")</f>
        <v/>
      </c>
      <c r="H41" s="21" t="str">
        <f aca="true">IFERROR(INDEX(InputStatus,ROW()-4),"")</f>
        <v/>
      </c>
      <c r="I41" s="21" t="str">
        <f aca="true">IFERROR(IF(ISBLANK(INDEX(InputNote,ROW()-4)),"",INDEX(InputNote,ROW()-4)),"")</f>
        <v/>
      </c>
      <c r="J41" s="23" t="str">
        <f aca="false">IF(B41="","",IF(OR(F41="",G41=""),"",F41-G41))</f>
        <v/>
      </c>
      <c r="K41" s="24" t="str">
        <f aca="false">IF(B41="","",IF(OR(F41="",G41="",G41&lt;=0),"",J41/G41))</f>
        <v/>
      </c>
      <c r="L41" s="25" t="str">
        <f aca="false">IF(B41="","",IF(H41&lt;&gt;"Complete",IF(H41="Not inspected","Not inspected; retain visibly but exclude from performance metrics.","Incomplete; exclude from performance metrics."),IF(F41="","Missing counted units; do not infer zero.",IF(G41="","Missing expected units; percentage cannot be calculated.",IF(G41&lt;=0,"Expected units are zero; exclude from numeric comparison.","Included")))))</f>
        <v/>
      </c>
      <c r="M41" s="25" t="str">
        <f aca="false">IF(B41="","",IF(L41="Included","Included","Not included"))</f>
        <v/>
      </c>
      <c r="N41" s="25" t="str">
        <f aca="false">IF(B41="","",IF(M41&lt;&gt;"Included","Not applicable",IF(ABS(K41)&gt;=MaterialThreshold,"Material","Not material")))</f>
        <v/>
      </c>
      <c r="O41" s="25" t="str">
        <f aca="false">IF(B41="","",IF(M41&lt;&gt;"Included",L41,IF(ROUND(K41*100,0)=118,"Unusual but valid 118% result; retain source counts.",IF(N41="Material","Included material variance.","Included; ordinary variance."))))</f>
        <v/>
      </c>
      <c r="P41" s="26" t="str">
        <f aca="false">IF(B41="","",IF(M41&lt;&gt;"Included",0,IF(COUNTIFS($C$5:C41,C41,$D$5:D41,D41,$M$5:M41,"Included")=1,1,0)))</f>
        <v/>
      </c>
      <c r="Q41" s="26" t="str">
        <f aca="false">IF(B41="","",IF(N41&lt;&gt;"Material",0,IF(COUNTIFS($C$5:C41,C41,$D$5:D41,D41,$N$5:N41,"Material")=1,1,0)))</f>
        <v/>
      </c>
    </row>
    <row r="42" customFormat="false" ht="27.75" hidden="false" customHeight="true" outlineLevel="0" collapsed="false">
      <c r="A42" s="20" t="str">
        <f aca="false">IF(B42="","",ROW()-4)</f>
        <v/>
      </c>
      <c r="B42" s="21" t="str">
        <f aca="true">IFERROR(INDEX(InputIDs,ROW()-4),"")</f>
        <v/>
      </c>
      <c r="C42" s="21" t="str">
        <f aca="true">IFERROR(INDEX(InputPeriods,ROW()-4),"")</f>
        <v/>
      </c>
      <c r="D42" s="21" t="str">
        <f aca="true">IFERROR(INDEX(InputStore,ROW()-4),"")</f>
        <v/>
      </c>
      <c r="E42" s="21" t="str">
        <f aca="true">IFERROR(INDEX(InputDepartment,ROW()-4),"")</f>
        <v/>
      </c>
      <c r="F42" s="22" t="str">
        <f aca="true">IFERROR(IF(ISBLANK(INDEX(InputCounted,ROW()-4)),"",INDEX(InputCounted,ROW()-4)),"")</f>
        <v/>
      </c>
      <c r="G42" s="22" t="str">
        <f aca="true">IFERROR(IF(ISBLANK(INDEX(InputExpected,ROW()-4)),"",INDEX(InputExpected,ROW()-4)),"")</f>
        <v/>
      </c>
      <c r="H42" s="21" t="str">
        <f aca="true">IFERROR(INDEX(InputStatus,ROW()-4),"")</f>
        <v/>
      </c>
      <c r="I42" s="21" t="str">
        <f aca="true">IFERROR(IF(ISBLANK(INDEX(InputNote,ROW()-4)),"",INDEX(InputNote,ROW()-4)),"")</f>
        <v/>
      </c>
      <c r="J42" s="23" t="str">
        <f aca="false">IF(B42="","",IF(OR(F42="",G42=""),"",F42-G42))</f>
        <v/>
      </c>
      <c r="K42" s="24" t="str">
        <f aca="false">IF(B42="","",IF(OR(F42="",G42="",G42&lt;=0),"",J42/G42))</f>
        <v/>
      </c>
      <c r="L42" s="25" t="str">
        <f aca="false">IF(B42="","",IF(H42&lt;&gt;"Complete",IF(H42="Not inspected","Not inspected; retain visibly but exclude from performance metrics.","Incomplete; exclude from performance metrics."),IF(F42="","Missing counted units; do not infer zero.",IF(G42="","Missing expected units; percentage cannot be calculated.",IF(G42&lt;=0,"Expected units are zero; exclude from numeric comparison.","Included")))))</f>
        <v/>
      </c>
      <c r="M42" s="25" t="str">
        <f aca="false">IF(B42="","",IF(L42="Included","Included","Not included"))</f>
        <v/>
      </c>
      <c r="N42" s="25" t="str">
        <f aca="false">IF(B42="","",IF(M42&lt;&gt;"Included","Not applicable",IF(ABS(K42)&gt;=MaterialThreshold,"Material","Not material")))</f>
        <v/>
      </c>
      <c r="O42" s="25" t="str">
        <f aca="false">IF(B42="","",IF(M42&lt;&gt;"Included",L42,IF(ROUND(K42*100,0)=118,"Unusual but valid 118% result; retain source counts.",IF(N42="Material","Included material variance.","Included; ordinary variance."))))</f>
        <v/>
      </c>
      <c r="P42" s="26" t="str">
        <f aca="false">IF(B42="","",IF(M42&lt;&gt;"Included",0,IF(COUNTIFS($C$5:C42,C42,$D$5:D42,D42,$M$5:M42,"Included")=1,1,0)))</f>
        <v/>
      </c>
      <c r="Q42" s="26" t="str">
        <f aca="false">IF(B42="","",IF(N42&lt;&gt;"Material",0,IF(COUNTIFS($C$5:C42,C42,$D$5:D42,D42,$N$5:N42,"Material")=1,1,0)))</f>
        <v/>
      </c>
    </row>
    <row r="43" customFormat="false" ht="27.75" hidden="false" customHeight="true" outlineLevel="0" collapsed="false">
      <c r="A43" s="20" t="str">
        <f aca="false">IF(B43="","",ROW()-4)</f>
        <v/>
      </c>
      <c r="B43" s="21" t="str">
        <f aca="true">IFERROR(INDEX(InputIDs,ROW()-4),"")</f>
        <v/>
      </c>
      <c r="C43" s="21" t="str">
        <f aca="true">IFERROR(INDEX(InputPeriods,ROW()-4),"")</f>
        <v/>
      </c>
      <c r="D43" s="21" t="str">
        <f aca="true">IFERROR(INDEX(InputStore,ROW()-4),"")</f>
        <v/>
      </c>
      <c r="E43" s="21" t="str">
        <f aca="true">IFERROR(INDEX(InputDepartment,ROW()-4),"")</f>
        <v/>
      </c>
      <c r="F43" s="22" t="str">
        <f aca="true">IFERROR(IF(ISBLANK(INDEX(InputCounted,ROW()-4)),"",INDEX(InputCounted,ROW()-4)),"")</f>
        <v/>
      </c>
      <c r="G43" s="22" t="str">
        <f aca="true">IFERROR(IF(ISBLANK(INDEX(InputExpected,ROW()-4)),"",INDEX(InputExpected,ROW()-4)),"")</f>
        <v/>
      </c>
      <c r="H43" s="21" t="str">
        <f aca="true">IFERROR(INDEX(InputStatus,ROW()-4),"")</f>
        <v/>
      </c>
      <c r="I43" s="21" t="str">
        <f aca="true">IFERROR(IF(ISBLANK(INDEX(InputNote,ROW()-4)),"",INDEX(InputNote,ROW()-4)),"")</f>
        <v/>
      </c>
      <c r="J43" s="23" t="str">
        <f aca="false">IF(B43="","",IF(OR(F43="",G43=""),"",F43-G43))</f>
        <v/>
      </c>
      <c r="K43" s="24" t="str">
        <f aca="false">IF(B43="","",IF(OR(F43="",G43="",G43&lt;=0),"",J43/G43))</f>
        <v/>
      </c>
      <c r="L43" s="25" t="str">
        <f aca="false">IF(B43="","",IF(H43&lt;&gt;"Complete",IF(H43="Not inspected","Not inspected; retain visibly but exclude from performance metrics.","Incomplete; exclude from performance metrics."),IF(F43="","Missing counted units; do not infer zero.",IF(G43="","Missing expected units; percentage cannot be calculated.",IF(G43&lt;=0,"Expected units are zero; exclude from numeric comparison.","Included")))))</f>
        <v/>
      </c>
      <c r="M43" s="25" t="str">
        <f aca="false">IF(B43="","",IF(L43="Included","Included","Not included"))</f>
        <v/>
      </c>
      <c r="N43" s="25" t="str">
        <f aca="false">IF(B43="","",IF(M43&lt;&gt;"Included","Not applicable",IF(ABS(K43)&gt;=MaterialThreshold,"Material","Not material")))</f>
        <v/>
      </c>
      <c r="O43" s="25" t="str">
        <f aca="false">IF(B43="","",IF(M43&lt;&gt;"Included",L43,IF(ROUND(K43*100,0)=118,"Unusual but valid 118% result; retain source counts.",IF(N43="Material","Included material variance.","Included; ordinary variance."))))</f>
        <v/>
      </c>
      <c r="P43" s="26" t="str">
        <f aca="false">IF(B43="","",IF(M43&lt;&gt;"Included",0,IF(COUNTIFS($C$5:C43,C43,$D$5:D43,D43,$M$5:M43,"Included")=1,1,0)))</f>
        <v/>
      </c>
      <c r="Q43" s="26" t="str">
        <f aca="false">IF(B43="","",IF(N43&lt;&gt;"Material",0,IF(COUNTIFS($C$5:C43,C43,$D$5:D43,D43,$N$5:N43,"Material")=1,1,0)))</f>
        <v/>
      </c>
    </row>
    <row r="44" customFormat="false" ht="27.75" hidden="false" customHeight="true" outlineLevel="0" collapsed="false">
      <c r="A44" s="20" t="str">
        <f aca="false">IF(B44="","",ROW()-4)</f>
        <v/>
      </c>
      <c r="B44" s="21" t="str">
        <f aca="true">IFERROR(INDEX(InputIDs,ROW()-4),"")</f>
        <v/>
      </c>
      <c r="C44" s="21" t="str">
        <f aca="true">IFERROR(INDEX(InputPeriods,ROW()-4),"")</f>
        <v/>
      </c>
      <c r="D44" s="21" t="str">
        <f aca="true">IFERROR(INDEX(InputStore,ROW()-4),"")</f>
        <v/>
      </c>
      <c r="E44" s="21" t="str">
        <f aca="true">IFERROR(INDEX(InputDepartment,ROW()-4),"")</f>
        <v/>
      </c>
      <c r="F44" s="22" t="str">
        <f aca="true">IFERROR(IF(ISBLANK(INDEX(InputCounted,ROW()-4)),"",INDEX(InputCounted,ROW()-4)),"")</f>
        <v/>
      </c>
      <c r="G44" s="22" t="str">
        <f aca="true">IFERROR(IF(ISBLANK(INDEX(InputExpected,ROW()-4)),"",INDEX(InputExpected,ROW()-4)),"")</f>
        <v/>
      </c>
      <c r="H44" s="21" t="str">
        <f aca="true">IFERROR(INDEX(InputStatus,ROW()-4),"")</f>
        <v/>
      </c>
      <c r="I44" s="21" t="str">
        <f aca="true">IFERROR(IF(ISBLANK(INDEX(InputNote,ROW()-4)),"",INDEX(InputNote,ROW()-4)),"")</f>
        <v/>
      </c>
      <c r="J44" s="23" t="str">
        <f aca="false">IF(B44="","",IF(OR(F44="",G44=""),"",F44-G44))</f>
        <v/>
      </c>
      <c r="K44" s="24" t="str">
        <f aca="false">IF(B44="","",IF(OR(F44="",G44="",G44&lt;=0),"",J44/G44))</f>
        <v/>
      </c>
      <c r="L44" s="25" t="str">
        <f aca="false">IF(B44="","",IF(H44&lt;&gt;"Complete",IF(H44="Not inspected","Not inspected; retain visibly but exclude from performance metrics.","Incomplete; exclude from performance metrics."),IF(F44="","Missing counted units; do not infer zero.",IF(G44="","Missing expected units; percentage cannot be calculated.",IF(G44&lt;=0,"Expected units are zero; exclude from numeric comparison.","Included")))))</f>
        <v/>
      </c>
      <c r="M44" s="25" t="str">
        <f aca="false">IF(B44="","",IF(L44="Included","Included","Not included"))</f>
        <v/>
      </c>
      <c r="N44" s="25" t="str">
        <f aca="false">IF(B44="","",IF(M44&lt;&gt;"Included","Not applicable",IF(ABS(K44)&gt;=MaterialThreshold,"Material","Not material")))</f>
        <v/>
      </c>
      <c r="O44" s="25" t="str">
        <f aca="false">IF(B44="","",IF(M44&lt;&gt;"Included",L44,IF(ROUND(K44*100,0)=118,"Unusual but valid 118% result; retain source counts.",IF(N44="Material","Included material variance.","Included; ordinary variance."))))</f>
        <v/>
      </c>
      <c r="P44" s="26" t="str">
        <f aca="false">IF(B44="","",IF(M44&lt;&gt;"Included",0,IF(COUNTIFS($C$5:C44,C44,$D$5:D44,D44,$M$5:M44,"Included")=1,1,0)))</f>
        <v/>
      </c>
      <c r="Q44" s="26" t="str">
        <f aca="false">IF(B44="","",IF(N44&lt;&gt;"Material",0,IF(COUNTIFS($C$5:C44,C44,$D$5:D44,D44,$N$5:N44,"Material")=1,1,0)))</f>
        <v/>
      </c>
    </row>
    <row r="45" customFormat="false" ht="27.75" hidden="false" customHeight="true" outlineLevel="0" collapsed="false">
      <c r="A45" s="20" t="str">
        <f aca="false">IF(B45="","",ROW()-4)</f>
        <v/>
      </c>
      <c r="B45" s="21" t="str">
        <f aca="true">IFERROR(INDEX(InputIDs,ROW()-4),"")</f>
        <v/>
      </c>
      <c r="C45" s="21" t="str">
        <f aca="true">IFERROR(INDEX(InputPeriods,ROW()-4),"")</f>
        <v/>
      </c>
      <c r="D45" s="21" t="str">
        <f aca="true">IFERROR(INDEX(InputStore,ROW()-4),"")</f>
        <v/>
      </c>
      <c r="E45" s="21" t="str">
        <f aca="true">IFERROR(INDEX(InputDepartment,ROW()-4),"")</f>
        <v/>
      </c>
      <c r="F45" s="22" t="str">
        <f aca="true">IFERROR(IF(ISBLANK(INDEX(InputCounted,ROW()-4)),"",INDEX(InputCounted,ROW()-4)),"")</f>
        <v/>
      </c>
      <c r="G45" s="22" t="str">
        <f aca="true">IFERROR(IF(ISBLANK(INDEX(InputExpected,ROW()-4)),"",INDEX(InputExpected,ROW()-4)),"")</f>
        <v/>
      </c>
      <c r="H45" s="21" t="str">
        <f aca="true">IFERROR(INDEX(InputStatus,ROW()-4),"")</f>
        <v/>
      </c>
      <c r="I45" s="21" t="str">
        <f aca="true">IFERROR(IF(ISBLANK(INDEX(InputNote,ROW()-4)),"",INDEX(InputNote,ROW()-4)),"")</f>
        <v/>
      </c>
      <c r="J45" s="23" t="str">
        <f aca="false">IF(B45="","",IF(OR(F45="",G45=""),"",F45-G45))</f>
        <v/>
      </c>
      <c r="K45" s="24" t="str">
        <f aca="false">IF(B45="","",IF(OR(F45="",G45="",G45&lt;=0),"",J45/G45))</f>
        <v/>
      </c>
      <c r="L45" s="25" t="str">
        <f aca="false">IF(B45="","",IF(H45&lt;&gt;"Complete",IF(H45="Not inspected","Not inspected; retain visibly but exclude from performance metrics.","Incomplete; exclude from performance metrics."),IF(F45="","Missing counted units; do not infer zero.",IF(G45="","Missing expected units; percentage cannot be calculated.",IF(G45&lt;=0,"Expected units are zero; exclude from numeric comparison.","Included")))))</f>
        <v/>
      </c>
      <c r="M45" s="25" t="str">
        <f aca="false">IF(B45="","",IF(L45="Included","Included","Not included"))</f>
        <v/>
      </c>
      <c r="N45" s="25" t="str">
        <f aca="false">IF(B45="","",IF(M45&lt;&gt;"Included","Not applicable",IF(ABS(K45)&gt;=MaterialThreshold,"Material","Not material")))</f>
        <v/>
      </c>
      <c r="O45" s="25" t="str">
        <f aca="false">IF(B45="","",IF(M45&lt;&gt;"Included",L45,IF(ROUND(K45*100,0)=118,"Unusual but valid 118% result; retain source counts.",IF(N45="Material","Included material variance.","Included; ordinary variance."))))</f>
        <v/>
      </c>
      <c r="P45" s="26" t="str">
        <f aca="false">IF(B45="","",IF(M45&lt;&gt;"Included",0,IF(COUNTIFS($C$5:C45,C45,$D$5:D45,D45,$M$5:M45,"Included")=1,1,0)))</f>
        <v/>
      </c>
      <c r="Q45" s="26" t="str">
        <f aca="false">IF(B45="","",IF(N45&lt;&gt;"Material",0,IF(COUNTIFS($C$5:C45,C45,$D$5:D45,D45,$N$5:N45,"Material")=1,1,0)))</f>
        <v/>
      </c>
    </row>
    <row r="46" customFormat="false" ht="27.75" hidden="false" customHeight="true" outlineLevel="0" collapsed="false">
      <c r="A46" s="20" t="str">
        <f aca="false">IF(B46="","",ROW()-4)</f>
        <v/>
      </c>
      <c r="B46" s="21" t="str">
        <f aca="true">IFERROR(INDEX(InputIDs,ROW()-4),"")</f>
        <v/>
      </c>
      <c r="C46" s="21" t="str">
        <f aca="true">IFERROR(INDEX(InputPeriods,ROW()-4),"")</f>
        <v/>
      </c>
      <c r="D46" s="21" t="str">
        <f aca="true">IFERROR(INDEX(InputStore,ROW()-4),"")</f>
        <v/>
      </c>
      <c r="E46" s="21" t="str">
        <f aca="true">IFERROR(INDEX(InputDepartment,ROW()-4),"")</f>
        <v/>
      </c>
      <c r="F46" s="22" t="str">
        <f aca="true">IFERROR(IF(ISBLANK(INDEX(InputCounted,ROW()-4)),"",INDEX(InputCounted,ROW()-4)),"")</f>
        <v/>
      </c>
      <c r="G46" s="22" t="str">
        <f aca="true">IFERROR(IF(ISBLANK(INDEX(InputExpected,ROW()-4)),"",INDEX(InputExpected,ROW()-4)),"")</f>
        <v/>
      </c>
      <c r="H46" s="21" t="str">
        <f aca="true">IFERROR(INDEX(InputStatus,ROW()-4),"")</f>
        <v/>
      </c>
      <c r="I46" s="21" t="str">
        <f aca="true">IFERROR(IF(ISBLANK(INDEX(InputNote,ROW()-4)),"",INDEX(InputNote,ROW()-4)),"")</f>
        <v/>
      </c>
      <c r="J46" s="23" t="str">
        <f aca="false">IF(B46="","",IF(OR(F46="",G46=""),"",F46-G46))</f>
        <v/>
      </c>
      <c r="K46" s="24" t="str">
        <f aca="false">IF(B46="","",IF(OR(F46="",G46="",G46&lt;=0),"",J46/G46))</f>
        <v/>
      </c>
      <c r="L46" s="25" t="str">
        <f aca="false">IF(B46="","",IF(H46&lt;&gt;"Complete",IF(H46="Not inspected","Not inspected; retain visibly but exclude from performance metrics.","Incomplete; exclude from performance metrics."),IF(F46="","Missing counted units; do not infer zero.",IF(G46="","Missing expected units; percentage cannot be calculated.",IF(G46&lt;=0,"Expected units are zero; exclude from numeric comparison.","Included")))))</f>
        <v/>
      </c>
      <c r="M46" s="25" t="str">
        <f aca="false">IF(B46="","",IF(L46="Included","Included","Not included"))</f>
        <v/>
      </c>
      <c r="N46" s="25" t="str">
        <f aca="false">IF(B46="","",IF(M46&lt;&gt;"Included","Not applicable",IF(ABS(K46)&gt;=MaterialThreshold,"Material","Not material")))</f>
        <v/>
      </c>
      <c r="O46" s="25" t="str">
        <f aca="false">IF(B46="","",IF(M46&lt;&gt;"Included",L46,IF(ROUND(K46*100,0)=118,"Unusual but valid 118% result; retain source counts.",IF(N46="Material","Included material variance.","Included; ordinary variance."))))</f>
        <v/>
      </c>
      <c r="P46" s="26" t="str">
        <f aca="false">IF(B46="","",IF(M46&lt;&gt;"Included",0,IF(COUNTIFS($C$5:C46,C46,$D$5:D46,D46,$M$5:M46,"Included")=1,1,0)))</f>
        <v/>
      </c>
      <c r="Q46" s="26" t="str">
        <f aca="false">IF(B46="","",IF(N46&lt;&gt;"Material",0,IF(COUNTIFS($C$5:C46,C46,$D$5:D46,D46,$N$5:N46,"Material")=1,1,0)))</f>
        <v/>
      </c>
    </row>
    <row r="47" customFormat="false" ht="27.75" hidden="false" customHeight="true" outlineLevel="0" collapsed="false">
      <c r="A47" s="20" t="str">
        <f aca="false">IF(B47="","",ROW()-4)</f>
        <v/>
      </c>
      <c r="B47" s="21" t="str">
        <f aca="true">IFERROR(INDEX(InputIDs,ROW()-4),"")</f>
        <v/>
      </c>
      <c r="C47" s="21" t="str">
        <f aca="true">IFERROR(INDEX(InputPeriods,ROW()-4),"")</f>
        <v/>
      </c>
      <c r="D47" s="21" t="str">
        <f aca="true">IFERROR(INDEX(InputStore,ROW()-4),"")</f>
        <v/>
      </c>
      <c r="E47" s="21" t="str">
        <f aca="true">IFERROR(INDEX(InputDepartment,ROW()-4),"")</f>
        <v/>
      </c>
      <c r="F47" s="22" t="str">
        <f aca="true">IFERROR(IF(ISBLANK(INDEX(InputCounted,ROW()-4)),"",INDEX(InputCounted,ROW()-4)),"")</f>
        <v/>
      </c>
      <c r="G47" s="22" t="str">
        <f aca="true">IFERROR(IF(ISBLANK(INDEX(InputExpected,ROW()-4)),"",INDEX(InputExpected,ROW()-4)),"")</f>
        <v/>
      </c>
      <c r="H47" s="21" t="str">
        <f aca="true">IFERROR(INDEX(InputStatus,ROW()-4),"")</f>
        <v/>
      </c>
      <c r="I47" s="21" t="str">
        <f aca="true">IFERROR(IF(ISBLANK(INDEX(InputNote,ROW()-4)),"",INDEX(InputNote,ROW()-4)),"")</f>
        <v/>
      </c>
      <c r="J47" s="23" t="str">
        <f aca="false">IF(B47="","",IF(OR(F47="",G47=""),"",F47-G47))</f>
        <v/>
      </c>
      <c r="K47" s="24" t="str">
        <f aca="false">IF(B47="","",IF(OR(F47="",G47="",G47&lt;=0),"",J47/G47))</f>
        <v/>
      </c>
      <c r="L47" s="25" t="str">
        <f aca="false">IF(B47="","",IF(H47&lt;&gt;"Complete",IF(H47="Not inspected","Not inspected; retain visibly but exclude from performance metrics.","Incomplete; exclude from performance metrics."),IF(F47="","Missing counted units; do not infer zero.",IF(G47="","Missing expected units; percentage cannot be calculated.",IF(G47&lt;=0,"Expected units are zero; exclude from numeric comparison.","Included")))))</f>
        <v/>
      </c>
      <c r="M47" s="25" t="str">
        <f aca="false">IF(B47="","",IF(L47="Included","Included","Not included"))</f>
        <v/>
      </c>
      <c r="N47" s="25" t="str">
        <f aca="false">IF(B47="","",IF(M47&lt;&gt;"Included","Not applicable",IF(ABS(K47)&gt;=MaterialThreshold,"Material","Not material")))</f>
        <v/>
      </c>
      <c r="O47" s="25" t="str">
        <f aca="false">IF(B47="","",IF(M47&lt;&gt;"Included",L47,IF(ROUND(K47*100,0)=118,"Unusual but valid 118% result; retain source counts.",IF(N47="Material","Included material variance.","Included; ordinary variance."))))</f>
        <v/>
      </c>
      <c r="P47" s="26" t="str">
        <f aca="false">IF(B47="","",IF(M47&lt;&gt;"Included",0,IF(COUNTIFS($C$5:C47,C47,$D$5:D47,D47,$M$5:M47,"Included")=1,1,0)))</f>
        <v/>
      </c>
      <c r="Q47" s="26" t="str">
        <f aca="false">IF(B47="","",IF(N47&lt;&gt;"Material",0,IF(COUNTIFS($C$5:C47,C47,$D$5:D47,D47,$N$5:N47,"Material")=1,1,0)))</f>
        <v/>
      </c>
    </row>
    <row r="48" customFormat="false" ht="27.75" hidden="false" customHeight="true" outlineLevel="0" collapsed="false">
      <c r="A48" s="20" t="str">
        <f aca="false">IF(B48="","",ROW()-4)</f>
        <v/>
      </c>
      <c r="B48" s="21" t="str">
        <f aca="true">IFERROR(INDEX(InputIDs,ROW()-4),"")</f>
        <v/>
      </c>
      <c r="C48" s="21" t="str">
        <f aca="true">IFERROR(INDEX(InputPeriods,ROW()-4),"")</f>
        <v/>
      </c>
      <c r="D48" s="21" t="str">
        <f aca="true">IFERROR(INDEX(InputStore,ROW()-4),"")</f>
        <v/>
      </c>
      <c r="E48" s="21" t="str">
        <f aca="true">IFERROR(INDEX(InputDepartment,ROW()-4),"")</f>
        <v/>
      </c>
      <c r="F48" s="22" t="str">
        <f aca="true">IFERROR(IF(ISBLANK(INDEX(InputCounted,ROW()-4)),"",INDEX(InputCounted,ROW()-4)),"")</f>
        <v/>
      </c>
      <c r="G48" s="22" t="str">
        <f aca="true">IFERROR(IF(ISBLANK(INDEX(InputExpected,ROW()-4)),"",INDEX(InputExpected,ROW()-4)),"")</f>
        <v/>
      </c>
      <c r="H48" s="21" t="str">
        <f aca="true">IFERROR(INDEX(InputStatus,ROW()-4),"")</f>
        <v/>
      </c>
      <c r="I48" s="21" t="str">
        <f aca="true">IFERROR(IF(ISBLANK(INDEX(InputNote,ROW()-4)),"",INDEX(InputNote,ROW()-4)),"")</f>
        <v/>
      </c>
      <c r="J48" s="23" t="str">
        <f aca="false">IF(B48="","",IF(OR(F48="",G48=""),"",F48-G48))</f>
        <v/>
      </c>
      <c r="K48" s="24" t="str">
        <f aca="false">IF(B48="","",IF(OR(F48="",G48="",G48&lt;=0),"",J48/G48))</f>
        <v/>
      </c>
      <c r="L48" s="25" t="str">
        <f aca="false">IF(B48="","",IF(H48&lt;&gt;"Complete",IF(H48="Not inspected","Not inspected; retain visibly but exclude from performance metrics.","Incomplete; exclude from performance metrics."),IF(F48="","Missing counted units; do not infer zero.",IF(G48="","Missing expected units; percentage cannot be calculated.",IF(G48&lt;=0,"Expected units are zero; exclude from numeric comparison.","Included")))))</f>
        <v/>
      </c>
      <c r="M48" s="25" t="str">
        <f aca="false">IF(B48="","",IF(L48="Included","Included","Not included"))</f>
        <v/>
      </c>
      <c r="N48" s="25" t="str">
        <f aca="false">IF(B48="","",IF(M48&lt;&gt;"Included","Not applicable",IF(ABS(K48)&gt;=MaterialThreshold,"Material","Not material")))</f>
        <v/>
      </c>
      <c r="O48" s="25" t="str">
        <f aca="false">IF(B48="","",IF(M48&lt;&gt;"Included",L48,IF(ROUND(K48*100,0)=118,"Unusual but valid 118% result; retain source counts.",IF(N48="Material","Included material variance.","Included; ordinary variance."))))</f>
        <v/>
      </c>
      <c r="P48" s="26" t="str">
        <f aca="false">IF(B48="","",IF(M48&lt;&gt;"Included",0,IF(COUNTIFS($C$5:C48,C48,$D$5:D48,D48,$M$5:M48,"Included")=1,1,0)))</f>
        <v/>
      </c>
      <c r="Q48" s="26" t="str">
        <f aca="false">IF(B48="","",IF(N48&lt;&gt;"Material",0,IF(COUNTIFS($C$5:C48,C48,$D$5:D48,D48,$N$5:N48,"Material")=1,1,0)))</f>
        <v/>
      </c>
    </row>
    <row r="49" customFormat="false" ht="27.75" hidden="false" customHeight="true" outlineLevel="0" collapsed="false">
      <c r="A49" s="20" t="str">
        <f aca="false">IF(B49="","",ROW()-4)</f>
        <v/>
      </c>
      <c r="B49" s="21" t="str">
        <f aca="true">IFERROR(INDEX(InputIDs,ROW()-4),"")</f>
        <v/>
      </c>
      <c r="C49" s="21" t="str">
        <f aca="true">IFERROR(INDEX(InputPeriods,ROW()-4),"")</f>
        <v/>
      </c>
      <c r="D49" s="21" t="str">
        <f aca="true">IFERROR(INDEX(InputStore,ROW()-4),"")</f>
        <v/>
      </c>
      <c r="E49" s="21" t="str">
        <f aca="true">IFERROR(INDEX(InputDepartment,ROW()-4),"")</f>
        <v/>
      </c>
      <c r="F49" s="22" t="str">
        <f aca="true">IFERROR(IF(ISBLANK(INDEX(InputCounted,ROW()-4)),"",INDEX(InputCounted,ROW()-4)),"")</f>
        <v/>
      </c>
      <c r="G49" s="22" t="str">
        <f aca="true">IFERROR(IF(ISBLANK(INDEX(InputExpected,ROW()-4)),"",INDEX(InputExpected,ROW()-4)),"")</f>
        <v/>
      </c>
      <c r="H49" s="21" t="str">
        <f aca="true">IFERROR(INDEX(InputStatus,ROW()-4),"")</f>
        <v/>
      </c>
      <c r="I49" s="21" t="str">
        <f aca="true">IFERROR(IF(ISBLANK(INDEX(InputNote,ROW()-4)),"",INDEX(InputNote,ROW()-4)),"")</f>
        <v/>
      </c>
      <c r="J49" s="23" t="str">
        <f aca="false">IF(B49="","",IF(OR(F49="",G49=""),"",F49-G49))</f>
        <v/>
      </c>
      <c r="K49" s="24" t="str">
        <f aca="false">IF(B49="","",IF(OR(F49="",G49="",G49&lt;=0),"",J49/G49))</f>
        <v/>
      </c>
      <c r="L49" s="25" t="str">
        <f aca="false">IF(B49="","",IF(H49&lt;&gt;"Complete",IF(H49="Not inspected","Not inspected; retain visibly but exclude from performance metrics.","Incomplete; exclude from performance metrics."),IF(F49="","Missing counted units; do not infer zero.",IF(G49="","Missing expected units; percentage cannot be calculated.",IF(G49&lt;=0,"Expected units are zero; exclude from numeric comparison.","Included")))))</f>
        <v/>
      </c>
      <c r="M49" s="25" t="str">
        <f aca="false">IF(B49="","",IF(L49="Included","Included","Not included"))</f>
        <v/>
      </c>
      <c r="N49" s="25" t="str">
        <f aca="false">IF(B49="","",IF(M49&lt;&gt;"Included","Not applicable",IF(ABS(K49)&gt;=MaterialThreshold,"Material","Not material")))</f>
        <v/>
      </c>
      <c r="O49" s="25" t="str">
        <f aca="false">IF(B49="","",IF(M49&lt;&gt;"Included",L49,IF(ROUND(K49*100,0)=118,"Unusual but valid 118% result; retain source counts.",IF(N49="Material","Included material variance.","Included; ordinary variance."))))</f>
        <v/>
      </c>
      <c r="P49" s="26" t="str">
        <f aca="false">IF(B49="","",IF(M49&lt;&gt;"Included",0,IF(COUNTIFS($C$5:C49,C49,$D$5:D49,D49,$M$5:M49,"Included")=1,1,0)))</f>
        <v/>
      </c>
      <c r="Q49" s="26" t="str">
        <f aca="false">IF(B49="","",IF(N49&lt;&gt;"Material",0,IF(COUNTIFS($C$5:C49,C49,$D$5:D49,D49,$N$5:N49,"Material")=1,1,0)))</f>
        <v/>
      </c>
    </row>
    <row r="50" customFormat="false" ht="27.75" hidden="false" customHeight="true" outlineLevel="0" collapsed="false">
      <c r="A50" s="20" t="str">
        <f aca="false">IF(B50="","",ROW()-4)</f>
        <v/>
      </c>
      <c r="B50" s="21" t="str">
        <f aca="true">IFERROR(INDEX(InputIDs,ROW()-4),"")</f>
        <v/>
      </c>
      <c r="C50" s="21" t="str">
        <f aca="true">IFERROR(INDEX(InputPeriods,ROW()-4),"")</f>
        <v/>
      </c>
      <c r="D50" s="21" t="str">
        <f aca="true">IFERROR(INDEX(InputStore,ROW()-4),"")</f>
        <v/>
      </c>
      <c r="E50" s="21" t="str">
        <f aca="true">IFERROR(INDEX(InputDepartment,ROW()-4),"")</f>
        <v/>
      </c>
      <c r="F50" s="22" t="str">
        <f aca="true">IFERROR(IF(ISBLANK(INDEX(InputCounted,ROW()-4)),"",INDEX(InputCounted,ROW()-4)),"")</f>
        <v/>
      </c>
      <c r="G50" s="22" t="str">
        <f aca="true">IFERROR(IF(ISBLANK(INDEX(InputExpected,ROW()-4)),"",INDEX(InputExpected,ROW()-4)),"")</f>
        <v/>
      </c>
      <c r="H50" s="21" t="str">
        <f aca="true">IFERROR(INDEX(InputStatus,ROW()-4),"")</f>
        <v/>
      </c>
      <c r="I50" s="21" t="str">
        <f aca="true">IFERROR(IF(ISBLANK(INDEX(InputNote,ROW()-4)),"",INDEX(InputNote,ROW()-4)),"")</f>
        <v/>
      </c>
      <c r="J50" s="23" t="str">
        <f aca="false">IF(B50="","",IF(OR(F50="",G50=""),"",F50-G50))</f>
        <v/>
      </c>
      <c r="K50" s="24" t="str">
        <f aca="false">IF(B50="","",IF(OR(F50="",G50="",G50&lt;=0),"",J50/G50))</f>
        <v/>
      </c>
      <c r="L50" s="25" t="str">
        <f aca="false">IF(B50="","",IF(H50&lt;&gt;"Complete",IF(H50="Not inspected","Not inspected; retain visibly but exclude from performance metrics.","Incomplete; exclude from performance metrics."),IF(F50="","Missing counted units; do not infer zero.",IF(G50="","Missing expected units; percentage cannot be calculated.",IF(G50&lt;=0,"Expected units are zero; exclude from numeric comparison.","Included")))))</f>
        <v/>
      </c>
      <c r="M50" s="25" t="str">
        <f aca="false">IF(B50="","",IF(L50="Included","Included","Not included"))</f>
        <v/>
      </c>
      <c r="N50" s="25" t="str">
        <f aca="false">IF(B50="","",IF(M50&lt;&gt;"Included","Not applicable",IF(ABS(K50)&gt;=MaterialThreshold,"Material","Not material")))</f>
        <v/>
      </c>
      <c r="O50" s="25" t="str">
        <f aca="false">IF(B50="","",IF(M50&lt;&gt;"Included",L50,IF(ROUND(K50*100,0)=118,"Unusual but valid 118% result; retain source counts.",IF(N50="Material","Included material variance.","Included; ordinary variance."))))</f>
        <v/>
      </c>
      <c r="P50" s="26" t="str">
        <f aca="false">IF(B50="","",IF(M50&lt;&gt;"Included",0,IF(COUNTIFS($C$5:C50,C50,$D$5:D50,D50,$M$5:M50,"Included")=1,1,0)))</f>
        <v/>
      </c>
      <c r="Q50" s="26" t="str">
        <f aca="false">IF(B50="","",IF(N50&lt;&gt;"Material",0,IF(COUNTIFS($C$5:C50,C50,$D$5:D50,D50,$N$5:N50,"Material")=1,1,0)))</f>
        <v/>
      </c>
    </row>
    <row r="51" customFormat="false" ht="27.75" hidden="false" customHeight="true" outlineLevel="0" collapsed="false">
      <c r="A51" s="20" t="str">
        <f aca="false">IF(B51="","",ROW()-4)</f>
        <v/>
      </c>
      <c r="B51" s="21" t="str">
        <f aca="true">IFERROR(INDEX(InputIDs,ROW()-4),"")</f>
        <v/>
      </c>
      <c r="C51" s="21" t="str">
        <f aca="true">IFERROR(INDEX(InputPeriods,ROW()-4),"")</f>
        <v/>
      </c>
      <c r="D51" s="21" t="str">
        <f aca="true">IFERROR(INDEX(InputStore,ROW()-4),"")</f>
        <v/>
      </c>
      <c r="E51" s="21" t="str">
        <f aca="true">IFERROR(INDEX(InputDepartment,ROW()-4),"")</f>
        <v/>
      </c>
      <c r="F51" s="22" t="str">
        <f aca="true">IFERROR(IF(ISBLANK(INDEX(InputCounted,ROW()-4)),"",INDEX(InputCounted,ROW()-4)),"")</f>
        <v/>
      </c>
      <c r="G51" s="22" t="str">
        <f aca="true">IFERROR(IF(ISBLANK(INDEX(InputExpected,ROW()-4)),"",INDEX(InputExpected,ROW()-4)),"")</f>
        <v/>
      </c>
      <c r="H51" s="21" t="str">
        <f aca="true">IFERROR(INDEX(InputStatus,ROW()-4),"")</f>
        <v/>
      </c>
      <c r="I51" s="21" t="str">
        <f aca="true">IFERROR(IF(ISBLANK(INDEX(InputNote,ROW()-4)),"",INDEX(InputNote,ROW()-4)),"")</f>
        <v/>
      </c>
      <c r="J51" s="23" t="str">
        <f aca="false">IF(B51="","",IF(OR(F51="",G51=""),"",F51-G51))</f>
        <v/>
      </c>
      <c r="K51" s="24" t="str">
        <f aca="false">IF(B51="","",IF(OR(F51="",G51="",G51&lt;=0),"",J51/G51))</f>
        <v/>
      </c>
      <c r="L51" s="25" t="str">
        <f aca="false">IF(B51="","",IF(H51&lt;&gt;"Complete",IF(H51="Not inspected","Not inspected; retain visibly but exclude from performance metrics.","Incomplete; exclude from performance metrics."),IF(F51="","Missing counted units; do not infer zero.",IF(G51="","Missing expected units; percentage cannot be calculated.",IF(G51&lt;=0,"Expected units are zero; exclude from numeric comparison.","Included")))))</f>
        <v/>
      </c>
      <c r="M51" s="25" t="str">
        <f aca="false">IF(B51="","",IF(L51="Included","Included","Not included"))</f>
        <v/>
      </c>
      <c r="N51" s="25" t="str">
        <f aca="false">IF(B51="","",IF(M51&lt;&gt;"Included","Not applicable",IF(ABS(K51)&gt;=MaterialThreshold,"Material","Not material")))</f>
        <v/>
      </c>
      <c r="O51" s="25" t="str">
        <f aca="false">IF(B51="","",IF(M51&lt;&gt;"Included",L51,IF(ROUND(K51*100,0)=118,"Unusual but valid 118% result; retain source counts.",IF(N51="Material","Included material variance.","Included; ordinary variance."))))</f>
        <v/>
      </c>
      <c r="P51" s="26" t="str">
        <f aca="false">IF(B51="","",IF(M51&lt;&gt;"Included",0,IF(COUNTIFS($C$5:C51,C51,$D$5:D51,D51,$M$5:M51,"Included")=1,1,0)))</f>
        <v/>
      </c>
      <c r="Q51" s="26" t="str">
        <f aca="false">IF(B51="","",IF(N51&lt;&gt;"Material",0,IF(COUNTIFS($C$5:C51,C51,$D$5:D51,D51,$N$5:N51,"Material")=1,1,0)))</f>
        <v/>
      </c>
    </row>
    <row r="52" customFormat="false" ht="27.75" hidden="false" customHeight="true" outlineLevel="0" collapsed="false">
      <c r="A52" s="20" t="str">
        <f aca="false">IF(B52="","",ROW()-4)</f>
        <v/>
      </c>
      <c r="B52" s="21" t="str">
        <f aca="true">IFERROR(INDEX(InputIDs,ROW()-4),"")</f>
        <v/>
      </c>
      <c r="C52" s="21" t="str">
        <f aca="true">IFERROR(INDEX(InputPeriods,ROW()-4),"")</f>
        <v/>
      </c>
      <c r="D52" s="21" t="str">
        <f aca="true">IFERROR(INDEX(InputStore,ROW()-4),"")</f>
        <v/>
      </c>
      <c r="E52" s="21" t="str">
        <f aca="true">IFERROR(INDEX(InputDepartment,ROW()-4),"")</f>
        <v/>
      </c>
      <c r="F52" s="22" t="str">
        <f aca="true">IFERROR(IF(ISBLANK(INDEX(InputCounted,ROW()-4)),"",INDEX(InputCounted,ROW()-4)),"")</f>
        <v/>
      </c>
      <c r="G52" s="22" t="str">
        <f aca="true">IFERROR(IF(ISBLANK(INDEX(InputExpected,ROW()-4)),"",INDEX(InputExpected,ROW()-4)),"")</f>
        <v/>
      </c>
      <c r="H52" s="21" t="str">
        <f aca="true">IFERROR(INDEX(InputStatus,ROW()-4),"")</f>
        <v/>
      </c>
      <c r="I52" s="21" t="str">
        <f aca="true">IFERROR(IF(ISBLANK(INDEX(InputNote,ROW()-4)),"",INDEX(InputNote,ROW()-4)),"")</f>
        <v/>
      </c>
      <c r="J52" s="23" t="str">
        <f aca="false">IF(B52="","",IF(OR(F52="",G52=""),"",F52-G52))</f>
        <v/>
      </c>
      <c r="K52" s="24" t="str">
        <f aca="false">IF(B52="","",IF(OR(F52="",G52="",G52&lt;=0),"",J52/G52))</f>
        <v/>
      </c>
      <c r="L52" s="25" t="str">
        <f aca="false">IF(B52="","",IF(H52&lt;&gt;"Complete",IF(H52="Not inspected","Not inspected; retain visibly but exclude from performance metrics.","Incomplete; exclude from performance metrics."),IF(F52="","Missing counted units; do not infer zero.",IF(G52="","Missing expected units; percentage cannot be calculated.",IF(G52&lt;=0,"Expected units are zero; exclude from numeric comparison.","Included")))))</f>
        <v/>
      </c>
      <c r="M52" s="25" t="str">
        <f aca="false">IF(B52="","",IF(L52="Included","Included","Not included"))</f>
        <v/>
      </c>
      <c r="N52" s="25" t="str">
        <f aca="false">IF(B52="","",IF(M52&lt;&gt;"Included","Not applicable",IF(ABS(K52)&gt;=MaterialThreshold,"Material","Not material")))</f>
        <v/>
      </c>
      <c r="O52" s="25" t="str">
        <f aca="false">IF(B52="","",IF(M52&lt;&gt;"Included",L52,IF(ROUND(K52*100,0)=118,"Unusual but valid 118% result; retain source counts.",IF(N52="Material","Included material variance.","Included; ordinary variance."))))</f>
        <v/>
      </c>
      <c r="P52" s="26" t="str">
        <f aca="false">IF(B52="","",IF(M52&lt;&gt;"Included",0,IF(COUNTIFS($C$5:C52,C52,$D$5:D52,D52,$M$5:M52,"Included")=1,1,0)))</f>
        <v/>
      </c>
      <c r="Q52" s="26" t="str">
        <f aca="false">IF(B52="","",IF(N52&lt;&gt;"Material",0,IF(COUNTIFS($C$5:C52,C52,$D$5:D52,D52,$N$5:N52,"Material")=1,1,0)))</f>
        <v/>
      </c>
    </row>
    <row r="53" customFormat="false" ht="27.75" hidden="false" customHeight="true" outlineLevel="0" collapsed="false">
      <c r="A53" s="20" t="str">
        <f aca="false">IF(B53="","",ROW()-4)</f>
        <v/>
      </c>
      <c r="B53" s="21" t="str">
        <f aca="true">IFERROR(INDEX(InputIDs,ROW()-4),"")</f>
        <v/>
      </c>
      <c r="C53" s="21" t="str">
        <f aca="true">IFERROR(INDEX(InputPeriods,ROW()-4),"")</f>
        <v/>
      </c>
      <c r="D53" s="21" t="str">
        <f aca="true">IFERROR(INDEX(InputStore,ROW()-4),"")</f>
        <v/>
      </c>
      <c r="E53" s="21" t="str">
        <f aca="true">IFERROR(INDEX(InputDepartment,ROW()-4),"")</f>
        <v/>
      </c>
      <c r="F53" s="22" t="str">
        <f aca="true">IFERROR(IF(ISBLANK(INDEX(InputCounted,ROW()-4)),"",INDEX(InputCounted,ROW()-4)),"")</f>
        <v/>
      </c>
      <c r="G53" s="22" t="str">
        <f aca="true">IFERROR(IF(ISBLANK(INDEX(InputExpected,ROW()-4)),"",INDEX(InputExpected,ROW()-4)),"")</f>
        <v/>
      </c>
      <c r="H53" s="21" t="str">
        <f aca="true">IFERROR(INDEX(InputStatus,ROW()-4),"")</f>
        <v/>
      </c>
      <c r="I53" s="21" t="str">
        <f aca="true">IFERROR(IF(ISBLANK(INDEX(InputNote,ROW()-4)),"",INDEX(InputNote,ROW()-4)),"")</f>
        <v/>
      </c>
      <c r="J53" s="23" t="str">
        <f aca="false">IF(B53="","",IF(OR(F53="",G53=""),"",F53-G53))</f>
        <v/>
      </c>
      <c r="K53" s="24" t="str">
        <f aca="false">IF(B53="","",IF(OR(F53="",G53="",G53&lt;=0),"",J53/G53))</f>
        <v/>
      </c>
      <c r="L53" s="25" t="str">
        <f aca="false">IF(B53="","",IF(H53&lt;&gt;"Complete",IF(H53="Not inspected","Not inspected; retain visibly but exclude from performance metrics.","Incomplete; exclude from performance metrics."),IF(F53="","Missing counted units; do not infer zero.",IF(G53="","Missing expected units; percentage cannot be calculated.",IF(G53&lt;=0,"Expected units are zero; exclude from numeric comparison.","Included")))))</f>
        <v/>
      </c>
      <c r="M53" s="25" t="str">
        <f aca="false">IF(B53="","",IF(L53="Included","Included","Not included"))</f>
        <v/>
      </c>
      <c r="N53" s="25" t="str">
        <f aca="false">IF(B53="","",IF(M53&lt;&gt;"Included","Not applicable",IF(ABS(K53)&gt;=MaterialThreshold,"Material","Not material")))</f>
        <v/>
      </c>
      <c r="O53" s="25" t="str">
        <f aca="false">IF(B53="","",IF(M53&lt;&gt;"Included",L53,IF(ROUND(K53*100,0)=118,"Unusual but valid 118% result; retain source counts.",IF(N53="Material","Included material variance.","Included; ordinary variance."))))</f>
        <v/>
      </c>
      <c r="P53" s="26" t="str">
        <f aca="false">IF(B53="","",IF(M53&lt;&gt;"Included",0,IF(COUNTIFS($C$5:C53,C53,$D$5:D53,D53,$M$5:M53,"Included")=1,1,0)))</f>
        <v/>
      </c>
      <c r="Q53" s="26" t="str">
        <f aca="false">IF(B53="","",IF(N53&lt;&gt;"Material",0,IF(COUNTIFS($C$5:C53,C53,$D$5:D53,D53,$N$5:N53,"Material")=1,1,0)))</f>
        <v/>
      </c>
    </row>
    <row r="54" customFormat="false" ht="27.75" hidden="false" customHeight="true" outlineLevel="0" collapsed="false">
      <c r="A54" s="20" t="str">
        <f aca="false">IF(B54="","",ROW()-4)</f>
        <v/>
      </c>
      <c r="B54" s="21" t="str">
        <f aca="true">IFERROR(INDEX(InputIDs,ROW()-4),"")</f>
        <v/>
      </c>
      <c r="C54" s="21" t="str">
        <f aca="true">IFERROR(INDEX(InputPeriods,ROW()-4),"")</f>
        <v/>
      </c>
      <c r="D54" s="21" t="str">
        <f aca="true">IFERROR(INDEX(InputStore,ROW()-4),"")</f>
        <v/>
      </c>
      <c r="E54" s="21" t="str">
        <f aca="true">IFERROR(INDEX(InputDepartment,ROW()-4),"")</f>
        <v/>
      </c>
      <c r="F54" s="22" t="str">
        <f aca="true">IFERROR(IF(ISBLANK(INDEX(InputCounted,ROW()-4)),"",INDEX(InputCounted,ROW()-4)),"")</f>
        <v/>
      </c>
      <c r="G54" s="22" t="str">
        <f aca="true">IFERROR(IF(ISBLANK(INDEX(InputExpected,ROW()-4)),"",INDEX(InputExpected,ROW()-4)),"")</f>
        <v/>
      </c>
      <c r="H54" s="21" t="str">
        <f aca="true">IFERROR(INDEX(InputStatus,ROW()-4),"")</f>
        <v/>
      </c>
      <c r="I54" s="21" t="str">
        <f aca="true">IFERROR(IF(ISBLANK(INDEX(InputNote,ROW()-4)),"",INDEX(InputNote,ROW()-4)),"")</f>
        <v/>
      </c>
      <c r="J54" s="23" t="str">
        <f aca="false">IF(B54="","",IF(OR(F54="",G54=""),"",F54-G54))</f>
        <v/>
      </c>
      <c r="K54" s="24" t="str">
        <f aca="false">IF(B54="","",IF(OR(F54="",G54="",G54&lt;=0),"",J54/G54))</f>
        <v/>
      </c>
      <c r="L54" s="25" t="str">
        <f aca="false">IF(B54="","",IF(H54&lt;&gt;"Complete",IF(H54="Not inspected","Not inspected; retain visibly but exclude from performance metrics.","Incomplete; exclude from performance metrics."),IF(F54="","Missing counted units; do not infer zero.",IF(G54="","Missing expected units; percentage cannot be calculated.",IF(G54&lt;=0,"Expected units are zero; exclude from numeric comparison.","Included")))))</f>
        <v/>
      </c>
      <c r="M54" s="25" t="str">
        <f aca="false">IF(B54="","",IF(L54="Included","Included","Not included"))</f>
        <v/>
      </c>
      <c r="N54" s="25" t="str">
        <f aca="false">IF(B54="","",IF(M54&lt;&gt;"Included","Not applicable",IF(ABS(K54)&gt;=MaterialThreshold,"Material","Not material")))</f>
        <v/>
      </c>
      <c r="O54" s="25" t="str">
        <f aca="false">IF(B54="","",IF(M54&lt;&gt;"Included",L54,IF(ROUND(K54*100,0)=118,"Unusual but valid 118% result; retain source counts.",IF(N54="Material","Included material variance.","Included; ordinary variance."))))</f>
        <v/>
      </c>
      <c r="P54" s="26" t="str">
        <f aca="false">IF(B54="","",IF(M54&lt;&gt;"Included",0,IF(COUNTIFS($C$5:C54,C54,$D$5:D54,D54,$M$5:M54,"Included")=1,1,0)))</f>
        <v/>
      </c>
      <c r="Q54" s="26" t="str">
        <f aca="false">IF(B54="","",IF(N54&lt;&gt;"Material",0,IF(COUNTIFS($C$5:C54,C54,$D$5:D54,D54,$N$5:N54,"Material")=1,1,0)))</f>
        <v/>
      </c>
    </row>
    <row r="55" customFormat="false" ht="27.75" hidden="false" customHeight="true" outlineLevel="0" collapsed="false">
      <c r="A55" s="20" t="str">
        <f aca="false">IF(B55="","",ROW()-4)</f>
        <v/>
      </c>
      <c r="B55" s="21" t="str">
        <f aca="true">IFERROR(INDEX(InputIDs,ROW()-4),"")</f>
        <v/>
      </c>
      <c r="C55" s="21" t="str">
        <f aca="true">IFERROR(INDEX(InputPeriods,ROW()-4),"")</f>
        <v/>
      </c>
      <c r="D55" s="21" t="str">
        <f aca="true">IFERROR(INDEX(InputStore,ROW()-4),"")</f>
        <v/>
      </c>
      <c r="E55" s="21" t="str">
        <f aca="true">IFERROR(INDEX(InputDepartment,ROW()-4),"")</f>
        <v/>
      </c>
      <c r="F55" s="22" t="str">
        <f aca="true">IFERROR(IF(ISBLANK(INDEX(InputCounted,ROW()-4)),"",INDEX(InputCounted,ROW()-4)),"")</f>
        <v/>
      </c>
      <c r="G55" s="22" t="str">
        <f aca="true">IFERROR(IF(ISBLANK(INDEX(InputExpected,ROW()-4)),"",INDEX(InputExpected,ROW()-4)),"")</f>
        <v/>
      </c>
      <c r="H55" s="21" t="str">
        <f aca="true">IFERROR(INDEX(InputStatus,ROW()-4),"")</f>
        <v/>
      </c>
      <c r="I55" s="21" t="str">
        <f aca="true">IFERROR(IF(ISBLANK(INDEX(InputNote,ROW()-4)),"",INDEX(InputNote,ROW()-4)),"")</f>
        <v/>
      </c>
      <c r="J55" s="23" t="str">
        <f aca="false">IF(B55="","",IF(OR(F55="",G55=""),"",F55-G55))</f>
        <v/>
      </c>
      <c r="K55" s="24" t="str">
        <f aca="false">IF(B55="","",IF(OR(F55="",G55="",G55&lt;=0),"",J55/G55))</f>
        <v/>
      </c>
      <c r="L55" s="25" t="str">
        <f aca="false">IF(B55="","",IF(H55&lt;&gt;"Complete",IF(H55="Not inspected","Not inspected; retain visibly but exclude from performance metrics.","Incomplete; exclude from performance metrics."),IF(F55="","Missing counted units; do not infer zero.",IF(G55="","Missing expected units; percentage cannot be calculated.",IF(G55&lt;=0,"Expected units are zero; exclude from numeric comparison.","Included")))))</f>
        <v/>
      </c>
      <c r="M55" s="25" t="str">
        <f aca="false">IF(B55="","",IF(L55="Included","Included","Not included"))</f>
        <v/>
      </c>
      <c r="N55" s="25" t="str">
        <f aca="false">IF(B55="","",IF(M55&lt;&gt;"Included","Not applicable",IF(ABS(K55)&gt;=MaterialThreshold,"Material","Not material")))</f>
        <v/>
      </c>
      <c r="O55" s="25" t="str">
        <f aca="false">IF(B55="","",IF(M55&lt;&gt;"Included",L55,IF(ROUND(K55*100,0)=118,"Unusual but valid 118% result; retain source counts.",IF(N55="Material","Included material variance.","Included; ordinary variance."))))</f>
        <v/>
      </c>
      <c r="P55" s="26" t="str">
        <f aca="false">IF(B55="","",IF(M55&lt;&gt;"Included",0,IF(COUNTIFS($C$5:C55,C55,$D$5:D55,D55,$M$5:M55,"Included")=1,1,0)))</f>
        <v/>
      </c>
      <c r="Q55" s="26" t="str">
        <f aca="false">IF(B55="","",IF(N55&lt;&gt;"Material",0,IF(COUNTIFS($C$5:C55,C55,$D$5:D55,D55,$N$5:N55,"Material")=1,1,0)))</f>
        <v/>
      </c>
    </row>
    <row r="56" customFormat="false" ht="27.75" hidden="false" customHeight="true" outlineLevel="0" collapsed="false">
      <c r="A56" s="20" t="str">
        <f aca="false">IF(B56="","",ROW()-4)</f>
        <v/>
      </c>
      <c r="B56" s="21" t="str">
        <f aca="true">IFERROR(INDEX(InputIDs,ROW()-4),"")</f>
        <v/>
      </c>
      <c r="C56" s="21" t="str">
        <f aca="true">IFERROR(INDEX(InputPeriods,ROW()-4),"")</f>
        <v/>
      </c>
      <c r="D56" s="21" t="str">
        <f aca="true">IFERROR(INDEX(InputStore,ROW()-4),"")</f>
        <v/>
      </c>
      <c r="E56" s="21" t="str">
        <f aca="true">IFERROR(INDEX(InputDepartment,ROW()-4),"")</f>
        <v/>
      </c>
      <c r="F56" s="22" t="str">
        <f aca="true">IFERROR(IF(ISBLANK(INDEX(InputCounted,ROW()-4)),"",INDEX(InputCounted,ROW()-4)),"")</f>
        <v/>
      </c>
      <c r="G56" s="22" t="str">
        <f aca="true">IFERROR(IF(ISBLANK(INDEX(InputExpected,ROW()-4)),"",INDEX(InputExpected,ROW()-4)),"")</f>
        <v/>
      </c>
      <c r="H56" s="21" t="str">
        <f aca="true">IFERROR(INDEX(InputStatus,ROW()-4),"")</f>
        <v/>
      </c>
      <c r="I56" s="21" t="str">
        <f aca="true">IFERROR(IF(ISBLANK(INDEX(InputNote,ROW()-4)),"",INDEX(InputNote,ROW()-4)),"")</f>
        <v/>
      </c>
      <c r="J56" s="23" t="str">
        <f aca="false">IF(B56="","",IF(OR(F56="",G56=""),"",F56-G56))</f>
        <v/>
      </c>
      <c r="K56" s="24" t="str">
        <f aca="false">IF(B56="","",IF(OR(F56="",G56="",G56&lt;=0),"",J56/G56))</f>
        <v/>
      </c>
      <c r="L56" s="25" t="str">
        <f aca="false">IF(B56="","",IF(H56&lt;&gt;"Complete",IF(H56="Not inspected","Not inspected; retain visibly but exclude from performance metrics.","Incomplete; exclude from performance metrics."),IF(F56="","Missing counted units; do not infer zero.",IF(G56="","Missing expected units; percentage cannot be calculated.",IF(G56&lt;=0,"Expected units are zero; exclude from numeric comparison.","Included")))))</f>
        <v/>
      </c>
      <c r="M56" s="25" t="str">
        <f aca="false">IF(B56="","",IF(L56="Included","Included","Not included"))</f>
        <v/>
      </c>
      <c r="N56" s="25" t="str">
        <f aca="false">IF(B56="","",IF(M56&lt;&gt;"Included","Not applicable",IF(ABS(K56)&gt;=MaterialThreshold,"Material","Not material")))</f>
        <v/>
      </c>
      <c r="O56" s="25" t="str">
        <f aca="false">IF(B56="","",IF(M56&lt;&gt;"Included",L56,IF(ROUND(K56*100,0)=118,"Unusual but valid 118% result; retain source counts.",IF(N56="Material","Included material variance.","Included; ordinary variance."))))</f>
        <v/>
      </c>
      <c r="P56" s="26" t="str">
        <f aca="false">IF(B56="","",IF(M56&lt;&gt;"Included",0,IF(COUNTIFS($C$5:C56,C56,$D$5:D56,D56,$M$5:M56,"Included")=1,1,0)))</f>
        <v/>
      </c>
      <c r="Q56" s="26" t="str">
        <f aca="false">IF(B56="","",IF(N56&lt;&gt;"Material",0,IF(COUNTIFS($C$5:C56,C56,$D$5:D56,D56,$N$5:N56,"Material")=1,1,0)))</f>
        <v/>
      </c>
    </row>
    <row r="57" customFormat="false" ht="27.75" hidden="false" customHeight="true" outlineLevel="0" collapsed="false">
      <c r="A57" s="20" t="str">
        <f aca="false">IF(B57="","",ROW()-4)</f>
        <v/>
      </c>
      <c r="B57" s="21" t="str">
        <f aca="true">IFERROR(INDEX(InputIDs,ROW()-4),"")</f>
        <v/>
      </c>
      <c r="C57" s="21" t="str">
        <f aca="true">IFERROR(INDEX(InputPeriods,ROW()-4),"")</f>
        <v/>
      </c>
      <c r="D57" s="21" t="str">
        <f aca="true">IFERROR(INDEX(InputStore,ROW()-4),"")</f>
        <v/>
      </c>
      <c r="E57" s="21" t="str">
        <f aca="true">IFERROR(INDEX(InputDepartment,ROW()-4),"")</f>
        <v/>
      </c>
      <c r="F57" s="22" t="str">
        <f aca="true">IFERROR(IF(ISBLANK(INDEX(InputCounted,ROW()-4)),"",INDEX(InputCounted,ROW()-4)),"")</f>
        <v/>
      </c>
      <c r="G57" s="22" t="str">
        <f aca="true">IFERROR(IF(ISBLANK(INDEX(InputExpected,ROW()-4)),"",INDEX(InputExpected,ROW()-4)),"")</f>
        <v/>
      </c>
      <c r="H57" s="21" t="str">
        <f aca="true">IFERROR(INDEX(InputStatus,ROW()-4),"")</f>
        <v/>
      </c>
      <c r="I57" s="21" t="str">
        <f aca="true">IFERROR(IF(ISBLANK(INDEX(InputNote,ROW()-4)),"",INDEX(InputNote,ROW()-4)),"")</f>
        <v/>
      </c>
      <c r="J57" s="23" t="str">
        <f aca="false">IF(B57="","",IF(OR(F57="",G57=""),"",F57-G57))</f>
        <v/>
      </c>
      <c r="K57" s="24" t="str">
        <f aca="false">IF(B57="","",IF(OR(F57="",G57="",G57&lt;=0),"",J57/G57))</f>
        <v/>
      </c>
      <c r="L57" s="25" t="str">
        <f aca="false">IF(B57="","",IF(H57&lt;&gt;"Complete",IF(H57="Not inspected","Not inspected; retain visibly but exclude from performance metrics.","Incomplete; exclude from performance metrics."),IF(F57="","Missing counted units; do not infer zero.",IF(G57="","Missing expected units; percentage cannot be calculated.",IF(G57&lt;=0,"Expected units are zero; exclude from numeric comparison.","Included")))))</f>
        <v/>
      </c>
      <c r="M57" s="25" t="str">
        <f aca="false">IF(B57="","",IF(L57="Included","Included","Not included"))</f>
        <v/>
      </c>
      <c r="N57" s="25" t="str">
        <f aca="false">IF(B57="","",IF(M57&lt;&gt;"Included","Not applicable",IF(ABS(K57)&gt;=MaterialThreshold,"Material","Not material")))</f>
        <v/>
      </c>
      <c r="O57" s="25" t="str">
        <f aca="false">IF(B57="","",IF(M57&lt;&gt;"Included",L57,IF(ROUND(K57*100,0)=118,"Unusual but valid 118% result; retain source counts.",IF(N57="Material","Included material variance.","Included; ordinary variance."))))</f>
        <v/>
      </c>
      <c r="P57" s="26" t="str">
        <f aca="false">IF(B57="","",IF(M57&lt;&gt;"Included",0,IF(COUNTIFS($C$5:C57,C57,$D$5:D57,D57,$M$5:M57,"Included")=1,1,0)))</f>
        <v/>
      </c>
      <c r="Q57" s="26" t="str">
        <f aca="false">IF(B57="","",IF(N57&lt;&gt;"Material",0,IF(COUNTIFS($C$5:C57,C57,$D$5:D57,D57,$N$5:N57,"Material")=1,1,0)))</f>
        <v/>
      </c>
    </row>
    <row r="58" customFormat="false" ht="27.75" hidden="false" customHeight="true" outlineLevel="0" collapsed="false">
      <c r="A58" s="20" t="str">
        <f aca="false">IF(B58="","",ROW()-4)</f>
        <v/>
      </c>
      <c r="B58" s="21" t="str">
        <f aca="true">IFERROR(INDEX(InputIDs,ROW()-4),"")</f>
        <v/>
      </c>
      <c r="C58" s="21" t="str">
        <f aca="true">IFERROR(INDEX(InputPeriods,ROW()-4),"")</f>
        <v/>
      </c>
      <c r="D58" s="21" t="str">
        <f aca="true">IFERROR(INDEX(InputStore,ROW()-4),"")</f>
        <v/>
      </c>
      <c r="E58" s="21" t="str">
        <f aca="true">IFERROR(INDEX(InputDepartment,ROW()-4),"")</f>
        <v/>
      </c>
      <c r="F58" s="22" t="str">
        <f aca="true">IFERROR(IF(ISBLANK(INDEX(InputCounted,ROW()-4)),"",INDEX(InputCounted,ROW()-4)),"")</f>
        <v/>
      </c>
      <c r="G58" s="22" t="str">
        <f aca="true">IFERROR(IF(ISBLANK(INDEX(InputExpected,ROW()-4)),"",INDEX(InputExpected,ROW()-4)),"")</f>
        <v/>
      </c>
      <c r="H58" s="21" t="str">
        <f aca="true">IFERROR(INDEX(InputStatus,ROW()-4),"")</f>
        <v/>
      </c>
      <c r="I58" s="21" t="str">
        <f aca="true">IFERROR(IF(ISBLANK(INDEX(InputNote,ROW()-4)),"",INDEX(InputNote,ROW()-4)),"")</f>
        <v/>
      </c>
      <c r="J58" s="23" t="str">
        <f aca="false">IF(B58="","",IF(OR(F58="",G58=""),"",F58-G58))</f>
        <v/>
      </c>
      <c r="K58" s="24" t="str">
        <f aca="false">IF(B58="","",IF(OR(F58="",G58="",G58&lt;=0),"",J58/G58))</f>
        <v/>
      </c>
      <c r="L58" s="25" t="str">
        <f aca="false">IF(B58="","",IF(H58&lt;&gt;"Complete",IF(H58="Not inspected","Not inspected; retain visibly but exclude from performance metrics.","Incomplete; exclude from performance metrics."),IF(F58="","Missing counted units; do not infer zero.",IF(G58="","Missing expected units; percentage cannot be calculated.",IF(G58&lt;=0,"Expected units are zero; exclude from numeric comparison.","Included")))))</f>
        <v/>
      </c>
      <c r="M58" s="25" t="str">
        <f aca="false">IF(B58="","",IF(L58="Included","Included","Not included"))</f>
        <v/>
      </c>
      <c r="N58" s="25" t="str">
        <f aca="false">IF(B58="","",IF(M58&lt;&gt;"Included","Not applicable",IF(ABS(K58)&gt;=MaterialThreshold,"Material","Not material")))</f>
        <v/>
      </c>
      <c r="O58" s="25" t="str">
        <f aca="false">IF(B58="","",IF(M58&lt;&gt;"Included",L58,IF(ROUND(K58*100,0)=118,"Unusual but valid 118% result; retain source counts.",IF(N58="Material","Included material variance.","Included; ordinary variance."))))</f>
        <v/>
      </c>
      <c r="P58" s="26" t="str">
        <f aca="false">IF(B58="","",IF(M58&lt;&gt;"Included",0,IF(COUNTIFS($C$5:C58,C58,$D$5:D58,D58,$M$5:M58,"Included")=1,1,0)))</f>
        <v/>
      </c>
      <c r="Q58" s="26" t="str">
        <f aca="false">IF(B58="","",IF(N58&lt;&gt;"Material",0,IF(COUNTIFS($C$5:C58,C58,$D$5:D58,D58,$N$5:N58,"Material")=1,1,0)))</f>
        <v/>
      </c>
    </row>
    <row r="59" customFormat="false" ht="27.75" hidden="false" customHeight="true" outlineLevel="0" collapsed="false">
      <c r="A59" s="20" t="str">
        <f aca="false">IF(B59="","",ROW()-4)</f>
        <v/>
      </c>
      <c r="B59" s="21" t="str">
        <f aca="true">IFERROR(INDEX(InputIDs,ROW()-4),"")</f>
        <v/>
      </c>
      <c r="C59" s="21" t="str">
        <f aca="true">IFERROR(INDEX(InputPeriods,ROW()-4),"")</f>
        <v/>
      </c>
      <c r="D59" s="21" t="str">
        <f aca="true">IFERROR(INDEX(InputStore,ROW()-4),"")</f>
        <v/>
      </c>
      <c r="E59" s="21" t="str">
        <f aca="true">IFERROR(INDEX(InputDepartment,ROW()-4),"")</f>
        <v/>
      </c>
      <c r="F59" s="22" t="str">
        <f aca="true">IFERROR(IF(ISBLANK(INDEX(InputCounted,ROW()-4)),"",INDEX(InputCounted,ROW()-4)),"")</f>
        <v/>
      </c>
      <c r="G59" s="22" t="str">
        <f aca="true">IFERROR(IF(ISBLANK(INDEX(InputExpected,ROW()-4)),"",INDEX(InputExpected,ROW()-4)),"")</f>
        <v/>
      </c>
      <c r="H59" s="21" t="str">
        <f aca="true">IFERROR(INDEX(InputStatus,ROW()-4),"")</f>
        <v/>
      </c>
      <c r="I59" s="21" t="str">
        <f aca="true">IFERROR(IF(ISBLANK(INDEX(InputNote,ROW()-4)),"",INDEX(InputNote,ROW()-4)),"")</f>
        <v/>
      </c>
      <c r="J59" s="23" t="str">
        <f aca="false">IF(B59="","",IF(OR(F59="",G59=""),"",F59-G59))</f>
        <v/>
      </c>
      <c r="K59" s="24" t="str">
        <f aca="false">IF(B59="","",IF(OR(F59="",G59="",G59&lt;=0),"",J59/G59))</f>
        <v/>
      </c>
      <c r="L59" s="25" t="str">
        <f aca="false">IF(B59="","",IF(H59&lt;&gt;"Complete",IF(H59="Not inspected","Not inspected; retain visibly but exclude from performance metrics.","Incomplete; exclude from performance metrics."),IF(F59="","Missing counted units; do not infer zero.",IF(G59="","Missing expected units; percentage cannot be calculated.",IF(G59&lt;=0,"Expected units are zero; exclude from numeric comparison.","Included")))))</f>
        <v/>
      </c>
      <c r="M59" s="25" t="str">
        <f aca="false">IF(B59="","",IF(L59="Included","Included","Not included"))</f>
        <v/>
      </c>
      <c r="N59" s="25" t="str">
        <f aca="false">IF(B59="","",IF(M59&lt;&gt;"Included","Not applicable",IF(ABS(K59)&gt;=MaterialThreshold,"Material","Not material")))</f>
        <v/>
      </c>
      <c r="O59" s="25" t="str">
        <f aca="false">IF(B59="","",IF(M59&lt;&gt;"Included",L59,IF(ROUND(K59*100,0)=118,"Unusual but valid 118% result; retain source counts.",IF(N59="Material","Included material variance.","Included; ordinary variance."))))</f>
        <v/>
      </c>
      <c r="P59" s="26" t="str">
        <f aca="false">IF(B59="","",IF(M59&lt;&gt;"Included",0,IF(COUNTIFS($C$5:C59,C59,$D$5:D59,D59,$M$5:M59,"Included")=1,1,0)))</f>
        <v/>
      </c>
      <c r="Q59" s="26" t="str">
        <f aca="false">IF(B59="","",IF(N59&lt;&gt;"Material",0,IF(COUNTIFS($C$5:C59,C59,$D$5:D59,D59,$N$5:N59,"Material")=1,1,0)))</f>
        <v/>
      </c>
    </row>
    <row r="60" customFormat="false" ht="27.75" hidden="false" customHeight="true" outlineLevel="0" collapsed="false">
      <c r="A60" s="20" t="str">
        <f aca="false">IF(B60="","",ROW()-4)</f>
        <v/>
      </c>
      <c r="B60" s="21" t="str">
        <f aca="true">IFERROR(INDEX(InputIDs,ROW()-4),"")</f>
        <v/>
      </c>
      <c r="C60" s="21" t="str">
        <f aca="true">IFERROR(INDEX(InputPeriods,ROW()-4),"")</f>
        <v/>
      </c>
      <c r="D60" s="21" t="str">
        <f aca="true">IFERROR(INDEX(InputStore,ROW()-4),"")</f>
        <v/>
      </c>
      <c r="E60" s="21" t="str">
        <f aca="true">IFERROR(INDEX(InputDepartment,ROW()-4),"")</f>
        <v/>
      </c>
      <c r="F60" s="22" t="str">
        <f aca="true">IFERROR(IF(ISBLANK(INDEX(InputCounted,ROW()-4)),"",INDEX(InputCounted,ROW()-4)),"")</f>
        <v/>
      </c>
      <c r="G60" s="22" t="str">
        <f aca="true">IFERROR(IF(ISBLANK(INDEX(InputExpected,ROW()-4)),"",INDEX(InputExpected,ROW()-4)),"")</f>
        <v/>
      </c>
      <c r="H60" s="21" t="str">
        <f aca="true">IFERROR(INDEX(InputStatus,ROW()-4),"")</f>
        <v/>
      </c>
      <c r="I60" s="21" t="str">
        <f aca="true">IFERROR(IF(ISBLANK(INDEX(InputNote,ROW()-4)),"",INDEX(InputNote,ROW()-4)),"")</f>
        <v/>
      </c>
      <c r="J60" s="23" t="str">
        <f aca="false">IF(B60="","",IF(OR(F60="",G60=""),"",F60-G60))</f>
        <v/>
      </c>
      <c r="K60" s="24" t="str">
        <f aca="false">IF(B60="","",IF(OR(F60="",G60="",G60&lt;=0),"",J60/G60))</f>
        <v/>
      </c>
      <c r="L60" s="25" t="str">
        <f aca="false">IF(B60="","",IF(H60&lt;&gt;"Complete",IF(H60="Not inspected","Not inspected; retain visibly but exclude from performance metrics.","Incomplete; exclude from performance metrics."),IF(F60="","Missing counted units; do not infer zero.",IF(G60="","Missing expected units; percentage cannot be calculated.",IF(G60&lt;=0,"Expected units are zero; exclude from numeric comparison.","Included")))))</f>
        <v/>
      </c>
      <c r="M60" s="25" t="str">
        <f aca="false">IF(B60="","",IF(L60="Included","Included","Not included"))</f>
        <v/>
      </c>
      <c r="N60" s="25" t="str">
        <f aca="false">IF(B60="","",IF(M60&lt;&gt;"Included","Not applicable",IF(ABS(K60)&gt;=MaterialThreshold,"Material","Not material")))</f>
        <v/>
      </c>
      <c r="O60" s="25" t="str">
        <f aca="false">IF(B60="","",IF(M60&lt;&gt;"Included",L60,IF(ROUND(K60*100,0)=118,"Unusual but valid 118% result; retain source counts.",IF(N60="Material","Included material variance.","Included; ordinary variance."))))</f>
        <v/>
      </c>
      <c r="P60" s="26" t="str">
        <f aca="false">IF(B60="","",IF(M60&lt;&gt;"Included",0,IF(COUNTIFS($C$5:C60,C60,$D$5:D60,D60,$M$5:M60,"Included")=1,1,0)))</f>
        <v/>
      </c>
      <c r="Q60" s="26" t="str">
        <f aca="false">IF(B60="","",IF(N60&lt;&gt;"Material",0,IF(COUNTIFS($C$5:C60,C60,$D$5:D60,D60,$N$5:N60,"Material")=1,1,0)))</f>
        <v/>
      </c>
    </row>
    <row r="61" customFormat="false" ht="27.75" hidden="false" customHeight="true" outlineLevel="0" collapsed="false">
      <c r="A61" s="20" t="str">
        <f aca="false">IF(B61="","",ROW()-4)</f>
        <v/>
      </c>
      <c r="B61" s="21" t="str">
        <f aca="true">IFERROR(INDEX(InputIDs,ROW()-4),"")</f>
        <v/>
      </c>
      <c r="C61" s="21" t="str">
        <f aca="true">IFERROR(INDEX(InputPeriods,ROW()-4),"")</f>
        <v/>
      </c>
      <c r="D61" s="21" t="str">
        <f aca="true">IFERROR(INDEX(InputStore,ROW()-4),"")</f>
        <v/>
      </c>
      <c r="E61" s="21" t="str">
        <f aca="true">IFERROR(INDEX(InputDepartment,ROW()-4),"")</f>
        <v/>
      </c>
      <c r="F61" s="22" t="str">
        <f aca="true">IFERROR(IF(ISBLANK(INDEX(InputCounted,ROW()-4)),"",INDEX(InputCounted,ROW()-4)),"")</f>
        <v/>
      </c>
      <c r="G61" s="22" t="str">
        <f aca="true">IFERROR(IF(ISBLANK(INDEX(InputExpected,ROW()-4)),"",INDEX(InputExpected,ROW()-4)),"")</f>
        <v/>
      </c>
      <c r="H61" s="21" t="str">
        <f aca="true">IFERROR(INDEX(InputStatus,ROW()-4),"")</f>
        <v/>
      </c>
      <c r="I61" s="21" t="str">
        <f aca="true">IFERROR(IF(ISBLANK(INDEX(InputNote,ROW()-4)),"",INDEX(InputNote,ROW()-4)),"")</f>
        <v/>
      </c>
      <c r="J61" s="23" t="str">
        <f aca="false">IF(B61="","",IF(OR(F61="",G61=""),"",F61-G61))</f>
        <v/>
      </c>
      <c r="K61" s="24" t="str">
        <f aca="false">IF(B61="","",IF(OR(F61="",G61="",G61&lt;=0),"",J61/G61))</f>
        <v/>
      </c>
      <c r="L61" s="25" t="str">
        <f aca="false">IF(B61="","",IF(H61&lt;&gt;"Complete",IF(H61="Not inspected","Not inspected; retain visibly but exclude from performance metrics.","Incomplete; exclude from performance metrics."),IF(F61="","Missing counted units; do not infer zero.",IF(G61="","Missing expected units; percentage cannot be calculated.",IF(G61&lt;=0,"Expected units are zero; exclude from numeric comparison.","Included")))))</f>
        <v/>
      </c>
      <c r="M61" s="25" t="str">
        <f aca="false">IF(B61="","",IF(L61="Included","Included","Not included"))</f>
        <v/>
      </c>
      <c r="N61" s="25" t="str">
        <f aca="false">IF(B61="","",IF(M61&lt;&gt;"Included","Not applicable",IF(ABS(K61)&gt;=MaterialThreshold,"Material","Not material")))</f>
        <v/>
      </c>
      <c r="O61" s="25" t="str">
        <f aca="false">IF(B61="","",IF(M61&lt;&gt;"Included",L61,IF(ROUND(K61*100,0)=118,"Unusual but valid 118% result; retain source counts.",IF(N61="Material","Included material variance.","Included; ordinary variance."))))</f>
        <v/>
      </c>
      <c r="P61" s="26" t="str">
        <f aca="false">IF(B61="","",IF(M61&lt;&gt;"Included",0,IF(COUNTIFS($C$5:C61,C61,$D$5:D61,D61,$M$5:M61,"Included")=1,1,0)))</f>
        <v/>
      </c>
      <c r="Q61" s="26" t="str">
        <f aca="false">IF(B61="","",IF(N61&lt;&gt;"Material",0,IF(COUNTIFS($C$5:C61,C61,$D$5:D61,D61,$N$5:N61,"Material")=1,1,0)))</f>
        <v/>
      </c>
    </row>
    <row r="62" customFormat="false" ht="27.75" hidden="false" customHeight="true" outlineLevel="0" collapsed="false">
      <c r="A62" s="20" t="str">
        <f aca="false">IF(B62="","",ROW()-4)</f>
        <v/>
      </c>
      <c r="B62" s="21" t="str">
        <f aca="true">IFERROR(INDEX(InputIDs,ROW()-4),"")</f>
        <v/>
      </c>
      <c r="C62" s="21" t="str">
        <f aca="true">IFERROR(INDEX(InputPeriods,ROW()-4),"")</f>
        <v/>
      </c>
      <c r="D62" s="21" t="str">
        <f aca="true">IFERROR(INDEX(InputStore,ROW()-4),"")</f>
        <v/>
      </c>
      <c r="E62" s="21" t="str">
        <f aca="true">IFERROR(INDEX(InputDepartment,ROW()-4),"")</f>
        <v/>
      </c>
      <c r="F62" s="22" t="str">
        <f aca="true">IFERROR(IF(ISBLANK(INDEX(InputCounted,ROW()-4)),"",INDEX(InputCounted,ROW()-4)),"")</f>
        <v/>
      </c>
      <c r="G62" s="22" t="str">
        <f aca="true">IFERROR(IF(ISBLANK(INDEX(InputExpected,ROW()-4)),"",INDEX(InputExpected,ROW()-4)),"")</f>
        <v/>
      </c>
      <c r="H62" s="21" t="str">
        <f aca="true">IFERROR(INDEX(InputStatus,ROW()-4),"")</f>
        <v/>
      </c>
      <c r="I62" s="21" t="str">
        <f aca="true">IFERROR(IF(ISBLANK(INDEX(InputNote,ROW()-4)),"",INDEX(InputNote,ROW()-4)),"")</f>
        <v/>
      </c>
      <c r="J62" s="23" t="str">
        <f aca="false">IF(B62="","",IF(OR(F62="",G62=""),"",F62-G62))</f>
        <v/>
      </c>
      <c r="K62" s="24" t="str">
        <f aca="false">IF(B62="","",IF(OR(F62="",G62="",G62&lt;=0),"",J62/G62))</f>
        <v/>
      </c>
      <c r="L62" s="25" t="str">
        <f aca="false">IF(B62="","",IF(H62&lt;&gt;"Complete",IF(H62="Not inspected","Not inspected; retain visibly but exclude from performance metrics.","Incomplete; exclude from performance metrics."),IF(F62="","Missing counted units; do not infer zero.",IF(G62="","Missing expected units; percentage cannot be calculated.",IF(G62&lt;=0,"Expected units are zero; exclude from numeric comparison.","Included")))))</f>
        <v/>
      </c>
      <c r="M62" s="25" t="str">
        <f aca="false">IF(B62="","",IF(L62="Included","Included","Not included"))</f>
        <v/>
      </c>
      <c r="N62" s="25" t="str">
        <f aca="false">IF(B62="","",IF(M62&lt;&gt;"Included","Not applicable",IF(ABS(K62)&gt;=MaterialThreshold,"Material","Not material")))</f>
        <v/>
      </c>
      <c r="O62" s="25" t="str">
        <f aca="false">IF(B62="","",IF(M62&lt;&gt;"Included",L62,IF(ROUND(K62*100,0)=118,"Unusual but valid 118% result; retain source counts.",IF(N62="Material","Included material variance.","Included; ordinary variance."))))</f>
        <v/>
      </c>
      <c r="P62" s="26" t="str">
        <f aca="false">IF(B62="","",IF(M62&lt;&gt;"Included",0,IF(COUNTIFS($C$5:C62,C62,$D$5:D62,D62,$M$5:M62,"Included")=1,1,0)))</f>
        <v/>
      </c>
      <c r="Q62" s="26" t="str">
        <f aca="false">IF(B62="","",IF(N62&lt;&gt;"Material",0,IF(COUNTIFS($C$5:C62,C62,$D$5:D62,D62,$N$5:N62,"Material")=1,1,0)))</f>
        <v/>
      </c>
    </row>
    <row r="63" customFormat="false" ht="27.75" hidden="false" customHeight="true" outlineLevel="0" collapsed="false">
      <c r="A63" s="20" t="str">
        <f aca="false">IF(B63="","",ROW()-4)</f>
        <v/>
      </c>
      <c r="B63" s="21" t="str">
        <f aca="true">IFERROR(INDEX(InputIDs,ROW()-4),"")</f>
        <v/>
      </c>
      <c r="C63" s="21" t="str">
        <f aca="true">IFERROR(INDEX(InputPeriods,ROW()-4),"")</f>
        <v/>
      </c>
      <c r="D63" s="21" t="str">
        <f aca="true">IFERROR(INDEX(InputStore,ROW()-4),"")</f>
        <v/>
      </c>
      <c r="E63" s="21" t="str">
        <f aca="true">IFERROR(INDEX(InputDepartment,ROW()-4),"")</f>
        <v/>
      </c>
      <c r="F63" s="22" t="str">
        <f aca="true">IFERROR(IF(ISBLANK(INDEX(InputCounted,ROW()-4)),"",INDEX(InputCounted,ROW()-4)),"")</f>
        <v/>
      </c>
      <c r="G63" s="22" t="str">
        <f aca="true">IFERROR(IF(ISBLANK(INDEX(InputExpected,ROW()-4)),"",INDEX(InputExpected,ROW()-4)),"")</f>
        <v/>
      </c>
      <c r="H63" s="21" t="str">
        <f aca="true">IFERROR(INDEX(InputStatus,ROW()-4),"")</f>
        <v/>
      </c>
      <c r="I63" s="21" t="str">
        <f aca="true">IFERROR(IF(ISBLANK(INDEX(InputNote,ROW()-4)),"",INDEX(InputNote,ROW()-4)),"")</f>
        <v/>
      </c>
      <c r="J63" s="23" t="str">
        <f aca="false">IF(B63="","",IF(OR(F63="",G63=""),"",F63-G63))</f>
        <v/>
      </c>
      <c r="K63" s="24" t="str">
        <f aca="false">IF(B63="","",IF(OR(F63="",G63="",G63&lt;=0),"",J63/G63))</f>
        <v/>
      </c>
      <c r="L63" s="25" t="str">
        <f aca="false">IF(B63="","",IF(H63&lt;&gt;"Complete",IF(H63="Not inspected","Not inspected; retain visibly but exclude from performance metrics.","Incomplete; exclude from performance metrics."),IF(F63="","Missing counted units; do not infer zero.",IF(G63="","Missing expected units; percentage cannot be calculated.",IF(G63&lt;=0,"Expected units are zero; exclude from numeric comparison.","Included")))))</f>
        <v/>
      </c>
      <c r="M63" s="25" t="str">
        <f aca="false">IF(B63="","",IF(L63="Included","Included","Not included"))</f>
        <v/>
      </c>
      <c r="N63" s="25" t="str">
        <f aca="false">IF(B63="","",IF(M63&lt;&gt;"Included","Not applicable",IF(ABS(K63)&gt;=MaterialThreshold,"Material","Not material")))</f>
        <v/>
      </c>
      <c r="O63" s="25" t="str">
        <f aca="false">IF(B63="","",IF(M63&lt;&gt;"Included",L63,IF(ROUND(K63*100,0)=118,"Unusual but valid 118% result; retain source counts.",IF(N63="Material","Included material variance.","Included; ordinary variance."))))</f>
        <v/>
      </c>
      <c r="P63" s="26" t="str">
        <f aca="false">IF(B63="","",IF(M63&lt;&gt;"Included",0,IF(COUNTIFS($C$5:C63,C63,$D$5:D63,D63,$M$5:M63,"Included")=1,1,0)))</f>
        <v/>
      </c>
      <c r="Q63" s="26" t="str">
        <f aca="false">IF(B63="","",IF(N63&lt;&gt;"Material",0,IF(COUNTIFS($C$5:C63,C63,$D$5:D63,D63,$N$5:N63,"Material")=1,1,0)))</f>
        <v/>
      </c>
    </row>
    <row r="64" customFormat="false" ht="27.75" hidden="false" customHeight="true" outlineLevel="0" collapsed="false">
      <c r="A64" s="20" t="str">
        <f aca="false">IF(B64="","",ROW()-4)</f>
        <v/>
      </c>
      <c r="B64" s="21" t="str">
        <f aca="true">IFERROR(INDEX(InputIDs,ROW()-4),"")</f>
        <v/>
      </c>
      <c r="C64" s="21" t="str">
        <f aca="true">IFERROR(INDEX(InputPeriods,ROW()-4),"")</f>
        <v/>
      </c>
      <c r="D64" s="21" t="str">
        <f aca="true">IFERROR(INDEX(InputStore,ROW()-4),"")</f>
        <v/>
      </c>
      <c r="E64" s="21" t="str">
        <f aca="true">IFERROR(INDEX(InputDepartment,ROW()-4),"")</f>
        <v/>
      </c>
      <c r="F64" s="22" t="str">
        <f aca="true">IFERROR(IF(ISBLANK(INDEX(InputCounted,ROW()-4)),"",INDEX(InputCounted,ROW()-4)),"")</f>
        <v/>
      </c>
      <c r="G64" s="22" t="str">
        <f aca="true">IFERROR(IF(ISBLANK(INDEX(InputExpected,ROW()-4)),"",INDEX(InputExpected,ROW()-4)),"")</f>
        <v/>
      </c>
      <c r="H64" s="21" t="str">
        <f aca="true">IFERROR(INDEX(InputStatus,ROW()-4),"")</f>
        <v/>
      </c>
      <c r="I64" s="21" t="str">
        <f aca="true">IFERROR(IF(ISBLANK(INDEX(InputNote,ROW()-4)),"",INDEX(InputNote,ROW()-4)),"")</f>
        <v/>
      </c>
      <c r="J64" s="23" t="str">
        <f aca="false">IF(B64="","",IF(OR(F64="",G64=""),"",F64-G64))</f>
        <v/>
      </c>
      <c r="K64" s="24" t="str">
        <f aca="false">IF(B64="","",IF(OR(F64="",G64="",G64&lt;=0),"",J64/G64))</f>
        <v/>
      </c>
      <c r="L64" s="25" t="str">
        <f aca="false">IF(B64="","",IF(H64&lt;&gt;"Complete",IF(H64="Not inspected","Not inspected; retain visibly but exclude from performance metrics.","Incomplete; exclude from performance metrics."),IF(F64="","Missing counted units; do not infer zero.",IF(G64="","Missing expected units; percentage cannot be calculated.",IF(G64&lt;=0,"Expected units are zero; exclude from numeric comparison.","Included")))))</f>
        <v/>
      </c>
      <c r="M64" s="25" t="str">
        <f aca="false">IF(B64="","",IF(L64="Included","Included","Not included"))</f>
        <v/>
      </c>
      <c r="N64" s="25" t="str">
        <f aca="false">IF(B64="","",IF(M64&lt;&gt;"Included","Not applicable",IF(ABS(K64)&gt;=MaterialThreshold,"Material","Not material")))</f>
        <v/>
      </c>
      <c r="O64" s="25" t="str">
        <f aca="false">IF(B64="","",IF(M64&lt;&gt;"Included",L64,IF(ROUND(K64*100,0)=118,"Unusual but valid 118% result; retain source counts.",IF(N64="Material","Included material variance.","Included; ordinary variance."))))</f>
        <v/>
      </c>
      <c r="P64" s="26" t="str">
        <f aca="false">IF(B64="","",IF(M64&lt;&gt;"Included",0,IF(COUNTIFS($C$5:C64,C64,$D$5:D64,D64,$M$5:M64,"Included")=1,1,0)))</f>
        <v/>
      </c>
      <c r="Q64" s="26" t="str">
        <f aca="false">IF(B64="","",IF(N64&lt;&gt;"Material",0,IF(COUNTIFS($C$5:C64,C64,$D$5:D64,D64,$N$5:N64,"Material")=1,1,0)))</f>
        <v/>
      </c>
    </row>
    <row r="65" customFormat="false" ht="27.75" hidden="false" customHeight="true" outlineLevel="0" collapsed="false">
      <c r="A65" s="20" t="str">
        <f aca="false">IF(B65="","",ROW()-4)</f>
        <v/>
      </c>
      <c r="B65" s="21" t="str">
        <f aca="true">IFERROR(INDEX(InputIDs,ROW()-4),"")</f>
        <v/>
      </c>
      <c r="C65" s="21" t="str">
        <f aca="true">IFERROR(INDEX(InputPeriods,ROW()-4),"")</f>
        <v/>
      </c>
      <c r="D65" s="21" t="str">
        <f aca="true">IFERROR(INDEX(InputStore,ROW()-4),"")</f>
        <v/>
      </c>
      <c r="E65" s="21" t="str">
        <f aca="true">IFERROR(INDEX(InputDepartment,ROW()-4),"")</f>
        <v/>
      </c>
      <c r="F65" s="22" t="str">
        <f aca="true">IFERROR(IF(ISBLANK(INDEX(InputCounted,ROW()-4)),"",INDEX(InputCounted,ROW()-4)),"")</f>
        <v/>
      </c>
      <c r="G65" s="22" t="str">
        <f aca="true">IFERROR(IF(ISBLANK(INDEX(InputExpected,ROW()-4)),"",INDEX(InputExpected,ROW()-4)),"")</f>
        <v/>
      </c>
      <c r="H65" s="21" t="str">
        <f aca="true">IFERROR(INDEX(InputStatus,ROW()-4),"")</f>
        <v/>
      </c>
      <c r="I65" s="21" t="str">
        <f aca="true">IFERROR(IF(ISBLANK(INDEX(InputNote,ROW()-4)),"",INDEX(InputNote,ROW()-4)),"")</f>
        <v/>
      </c>
      <c r="J65" s="23" t="str">
        <f aca="false">IF(B65="","",IF(OR(F65="",G65=""),"",F65-G65))</f>
        <v/>
      </c>
      <c r="K65" s="24" t="str">
        <f aca="false">IF(B65="","",IF(OR(F65="",G65="",G65&lt;=0),"",J65/G65))</f>
        <v/>
      </c>
      <c r="L65" s="25" t="str">
        <f aca="false">IF(B65="","",IF(H65&lt;&gt;"Complete",IF(H65="Not inspected","Not inspected; retain visibly but exclude from performance metrics.","Incomplete; exclude from performance metrics."),IF(F65="","Missing counted units; do not infer zero.",IF(G65="","Missing expected units; percentage cannot be calculated.",IF(G65&lt;=0,"Expected units are zero; exclude from numeric comparison.","Included")))))</f>
        <v/>
      </c>
      <c r="M65" s="25" t="str">
        <f aca="false">IF(B65="","",IF(L65="Included","Included","Not included"))</f>
        <v/>
      </c>
      <c r="N65" s="25" t="str">
        <f aca="false">IF(B65="","",IF(M65&lt;&gt;"Included","Not applicable",IF(ABS(K65)&gt;=MaterialThreshold,"Material","Not material")))</f>
        <v/>
      </c>
      <c r="O65" s="25" t="str">
        <f aca="false">IF(B65="","",IF(M65&lt;&gt;"Included",L65,IF(ROUND(K65*100,0)=118,"Unusual but valid 118% result; retain source counts.",IF(N65="Material","Included material variance.","Included; ordinary variance."))))</f>
        <v/>
      </c>
      <c r="P65" s="26" t="str">
        <f aca="false">IF(B65="","",IF(M65&lt;&gt;"Included",0,IF(COUNTIFS($C$5:C65,C65,$D$5:D65,D65,$M$5:M65,"Included")=1,1,0)))</f>
        <v/>
      </c>
      <c r="Q65" s="26" t="str">
        <f aca="false">IF(B65="","",IF(N65&lt;&gt;"Material",0,IF(COUNTIFS($C$5:C65,C65,$D$5:D65,D65,$N$5:N65,"Material")=1,1,0)))</f>
        <v/>
      </c>
    </row>
    <row r="66" customFormat="false" ht="27.75" hidden="false" customHeight="true" outlineLevel="0" collapsed="false">
      <c r="A66" s="20" t="str">
        <f aca="false">IF(B66="","",ROW()-4)</f>
        <v/>
      </c>
      <c r="B66" s="21" t="str">
        <f aca="true">IFERROR(INDEX(InputIDs,ROW()-4),"")</f>
        <v/>
      </c>
      <c r="C66" s="21" t="str">
        <f aca="true">IFERROR(INDEX(InputPeriods,ROW()-4),"")</f>
        <v/>
      </c>
      <c r="D66" s="21" t="str">
        <f aca="true">IFERROR(INDEX(InputStore,ROW()-4),"")</f>
        <v/>
      </c>
      <c r="E66" s="21" t="str">
        <f aca="true">IFERROR(INDEX(InputDepartment,ROW()-4),"")</f>
        <v/>
      </c>
      <c r="F66" s="22" t="str">
        <f aca="true">IFERROR(IF(ISBLANK(INDEX(InputCounted,ROW()-4)),"",INDEX(InputCounted,ROW()-4)),"")</f>
        <v/>
      </c>
      <c r="G66" s="22" t="str">
        <f aca="true">IFERROR(IF(ISBLANK(INDEX(InputExpected,ROW()-4)),"",INDEX(InputExpected,ROW()-4)),"")</f>
        <v/>
      </c>
      <c r="H66" s="21" t="str">
        <f aca="true">IFERROR(INDEX(InputStatus,ROW()-4),"")</f>
        <v/>
      </c>
      <c r="I66" s="21" t="str">
        <f aca="true">IFERROR(IF(ISBLANK(INDEX(InputNote,ROW()-4)),"",INDEX(InputNote,ROW()-4)),"")</f>
        <v/>
      </c>
      <c r="J66" s="23" t="str">
        <f aca="false">IF(B66="","",IF(OR(F66="",G66=""),"",F66-G66))</f>
        <v/>
      </c>
      <c r="K66" s="24" t="str">
        <f aca="false">IF(B66="","",IF(OR(F66="",G66="",G66&lt;=0),"",J66/G66))</f>
        <v/>
      </c>
      <c r="L66" s="25" t="str">
        <f aca="false">IF(B66="","",IF(H66&lt;&gt;"Complete",IF(H66="Not inspected","Not inspected; retain visibly but exclude from performance metrics.","Incomplete; exclude from performance metrics."),IF(F66="","Missing counted units; do not infer zero.",IF(G66="","Missing expected units; percentage cannot be calculated.",IF(G66&lt;=0,"Expected units are zero; exclude from numeric comparison.","Included")))))</f>
        <v/>
      </c>
      <c r="M66" s="25" t="str">
        <f aca="false">IF(B66="","",IF(L66="Included","Included","Not included"))</f>
        <v/>
      </c>
      <c r="N66" s="25" t="str">
        <f aca="false">IF(B66="","",IF(M66&lt;&gt;"Included","Not applicable",IF(ABS(K66)&gt;=MaterialThreshold,"Material","Not material")))</f>
        <v/>
      </c>
      <c r="O66" s="25" t="str">
        <f aca="false">IF(B66="","",IF(M66&lt;&gt;"Included",L66,IF(ROUND(K66*100,0)=118,"Unusual but valid 118% result; retain source counts.",IF(N66="Material","Included material variance.","Included; ordinary variance."))))</f>
        <v/>
      </c>
      <c r="P66" s="26" t="str">
        <f aca="false">IF(B66="","",IF(M66&lt;&gt;"Included",0,IF(COUNTIFS($C$5:C66,C66,$D$5:D66,D66,$M$5:M66,"Included")=1,1,0)))</f>
        <v/>
      </c>
      <c r="Q66" s="26" t="str">
        <f aca="false">IF(B66="","",IF(N66&lt;&gt;"Material",0,IF(COUNTIFS($C$5:C66,C66,$D$5:D66,D66,$N$5:N66,"Material")=1,1,0)))</f>
        <v/>
      </c>
    </row>
    <row r="67" customFormat="false" ht="27.75" hidden="false" customHeight="true" outlineLevel="0" collapsed="false">
      <c r="A67" s="20" t="str">
        <f aca="false">IF(B67="","",ROW()-4)</f>
        <v/>
      </c>
      <c r="B67" s="21" t="str">
        <f aca="true">IFERROR(INDEX(InputIDs,ROW()-4),"")</f>
        <v/>
      </c>
      <c r="C67" s="21" t="str">
        <f aca="true">IFERROR(INDEX(InputPeriods,ROW()-4),"")</f>
        <v/>
      </c>
      <c r="D67" s="21" t="str">
        <f aca="true">IFERROR(INDEX(InputStore,ROW()-4),"")</f>
        <v/>
      </c>
      <c r="E67" s="21" t="str">
        <f aca="true">IFERROR(INDEX(InputDepartment,ROW()-4),"")</f>
        <v/>
      </c>
      <c r="F67" s="22" t="str">
        <f aca="true">IFERROR(IF(ISBLANK(INDEX(InputCounted,ROW()-4)),"",INDEX(InputCounted,ROW()-4)),"")</f>
        <v/>
      </c>
      <c r="G67" s="22" t="str">
        <f aca="true">IFERROR(IF(ISBLANK(INDEX(InputExpected,ROW()-4)),"",INDEX(InputExpected,ROW()-4)),"")</f>
        <v/>
      </c>
      <c r="H67" s="21" t="str">
        <f aca="true">IFERROR(INDEX(InputStatus,ROW()-4),"")</f>
        <v/>
      </c>
      <c r="I67" s="21" t="str">
        <f aca="true">IFERROR(IF(ISBLANK(INDEX(InputNote,ROW()-4)),"",INDEX(InputNote,ROW()-4)),"")</f>
        <v/>
      </c>
      <c r="J67" s="23" t="str">
        <f aca="false">IF(B67="","",IF(OR(F67="",G67=""),"",F67-G67))</f>
        <v/>
      </c>
      <c r="K67" s="24" t="str">
        <f aca="false">IF(B67="","",IF(OR(F67="",G67="",G67&lt;=0),"",J67/G67))</f>
        <v/>
      </c>
      <c r="L67" s="25" t="str">
        <f aca="false">IF(B67="","",IF(H67&lt;&gt;"Complete",IF(H67="Not inspected","Not inspected; retain visibly but exclude from performance metrics.","Incomplete; exclude from performance metrics."),IF(F67="","Missing counted units; do not infer zero.",IF(G67="","Missing expected units; percentage cannot be calculated.",IF(G67&lt;=0,"Expected units are zero; exclude from numeric comparison.","Included")))))</f>
        <v/>
      </c>
      <c r="M67" s="25" t="str">
        <f aca="false">IF(B67="","",IF(L67="Included","Included","Not included"))</f>
        <v/>
      </c>
      <c r="N67" s="25" t="str">
        <f aca="false">IF(B67="","",IF(M67&lt;&gt;"Included","Not applicable",IF(ABS(K67)&gt;=MaterialThreshold,"Material","Not material")))</f>
        <v/>
      </c>
      <c r="O67" s="25" t="str">
        <f aca="false">IF(B67="","",IF(M67&lt;&gt;"Included",L67,IF(ROUND(K67*100,0)=118,"Unusual but valid 118% result; retain source counts.",IF(N67="Material","Included material variance.","Included; ordinary variance."))))</f>
        <v/>
      </c>
      <c r="P67" s="26" t="str">
        <f aca="false">IF(B67="","",IF(M67&lt;&gt;"Included",0,IF(COUNTIFS($C$5:C67,C67,$D$5:D67,D67,$M$5:M67,"Included")=1,1,0)))</f>
        <v/>
      </c>
      <c r="Q67" s="26" t="str">
        <f aca="false">IF(B67="","",IF(N67&lt;&gt;"Material",0,IF(COUNTIFS($C$5:C67,C67,$D$5:D67,D67,$N$5:N67,"Material")=1,1,0)))</f>
        <v/>
      </c>
    </row>
    <row r="68" customFormat="false" ht="27.75" hidden="false" customHeight="true" outlineLevel="0" collapsed="false">
      <c r="A68" s="20" t="str">
        <f aca="false">IF(B68="","",ROW()-4)</f>
        <v/>
      </c>
      <c r="B68" s="21" t="str">
        <f aca="true">IFERROR(INDEX(InputIDs,ROW()-4),"")</f>
        <v/>
      </c>
      <c r="C68" s="21" t="str">
        <f aca="true">IFERROR(INDEX(InputPeriods,ROW()-4),"")</f>
        <v/>
      </c>
      <c r="D68" s="21" t="str">
        <f aca="true">IFERROR(INDEX(InputStore,ROW()-4),"")</f>
        <v/>
      </c>
      <c r="E68" s="21" t="str">
        <f aca="true">IFERROR(INDEX(InputDepartment,ROW()-4),"")</f>
        <v/>
      </c>
      <c r="F68" s="22" t="str">
        <f aca="true">IFERROR(IF(ISBLANK(INDEX(InputCounted,ROW()-4)),"",INDEX(InputCounted,ROW()-4)),"")</f>
        <v/>
      </c>
      <c r="G68" s="22" t="str">
        <f aca="true">IFERROR(IF(ISBLANK(INDEX(InputExpected,ROW()-4)),"",INDEX(InputExpected,ROW()-4)),"")</f>
        <v/>
      </c>
      <c r="H68" s="21" t="str">
        <f aca="true">IFERROR(INDEX(InputStatus,ROW()-4),"")</f>
        <v/>
      </c>
      <c r="I68" s="21" t="str">
        <f aca="true">IFERROR(IF(ISBLANK(INDEX(InputNote,ROW()-4)),"",INDEX(InputNote,ROW()-4)),"")</f>
        <v/>
      </c>
      <c r="J68" s="23" t="str">
        <f aca="false">IF(B68="","",IF(OR(F68="",G68=""),"",F68-G68))</f>
        <v/>
      </c>
      <c r="K68" s="24" t="str">
        <f aca="false">IF(B68="","",IF(OR(F68="",G68="",G68&lt;=0),"",J68/G68))</f>
        <v/>
      </c>
      <c r="L68" s="25" t="str">
        <f aca="false">IF(B68="","",IF(H68&lt;&gt;"Complete",IF(H68="Not inspected","Not inspected; retain visibly but exclude from performance metrics.","Incomplete; exclude from performance metrics."),IF(F68="","Missing counted units; do not infer zero.",IF(G68="","Missing expected units; percentage cannot be calculated.",IF(G68&lt;=0,"Expected units are zero; exclude from numeric comparison.","Included")))))</f>
        <v/>
      </c>
      <c r="M68" s="25" t="str">
        <f aca="false">IF(B68="","",IF(L68="Included","Included","Not included"))</f>
        <v/>
      </c>
      <c r="N68" s="25" t="str">
        <f aca="false">IF(B68="","",IF(M68&lt;&gt;"Included","Not applicable",IF(ABS(K68)&gt;=MaterialThreshold,"Material","Not material")))</f>
        <v/>
      </c>
      <c r="O68" s="25" t="str">
        <f aca="false">IF(B68="","",IF(M68&lt;&gt;"Included",L68,IF(ROUND(K68*100,0)=118,"Unusual but valid 118% result; retain source counts.",IF(N68="Material","Included material variance.","Included; ordinary variance."))))</f>
        <v/>
      </c>
      <c r="P68" s="26" t="str">
        <f aca="false">IF(B68="","",IF(M68&lt;&gt;"Included",0,IF(COUNTIFS($C$5:C68,C68,$D$5:D68,D68,$M$5:M68,"Included")=1,1,0)))</f>
        <v/>
      </c>
      <c r="Q68" s="26" t="str">
        <f aca="false">IF(B68="","",IF(N68&lt;&gt;"Material",0,IF(COUNTIFS($C$5:C68,C68,$D$5:D68,D68,$N$5:N68,"Material")=1,1,0)))</f>
        <v/>
      </c>
    </row>
    <row r="69" customFormat="false" ht="27.75" hidden="false" customHeight="true" outlineLevel="0" collapsed="false">
      <c r="A69" s="20" t="str">
        <f aca="false">IF(B69="","",ROW()-4)</f>
        <v/>
      </c>
      <c r="B69" s="21" t="str">
        <f aca="true">IFERROR(INDEX(InputIDs,ROW()-4),"")</f>
        <v/>
      </c>
      <c r="C69" s="21" t="str">
        <f aca="true">IFERROR(INDEX(InputPeriods,ROW()-4),"")</f>
        <v/>
      </c>
      <c r="D69" s="21" t="str">
        <f aca="true">IFERROR(INDEX(InputStore,ROW()-4),"")</f>
        <v/>
      </c>
      <c r="E69" s="21" t="str">
        <f aca="true">IFERROR(INDEX(InputDepartment,ROW()-4),"")</f>
        <v/>
      </c>
      <c r="F69" s="22" t="str">
        <f aca="true">IFERROR(IF(ISBLANK(INDEX(InputCounted,ROW()-4)),"",INDEX(InputCounted,ROW()-4)),"")</f>
        <v/>
      </c>
      <c r="G69" s="22" t="str">
        <f aca="true">IFERROR(IF(ISBLANK(INDEX(InputExpected,ROW()-4)),"",INDEX(InputExpected,ROW()-4)),"")</f>
        <v/>
      </c>
      <c r="H69" s="21" t="str">
        <f aca="true">IFERROR(INDEX(InputStatus,ROW()-4),"")</f>
        <v/>
      </c>
      <c r="I69" s="21" t="str">
        <f aca="true">IFERROR(IF(ISBLANK(INDEX(InputNote,ROW()-4)),"",INDEX(InputNote,ROW()-4)),"")</f>
        <v/>
      </c>
      <c r="J69" s="23" t="str">
        <f aca="false">IF(B69="","",IF(OR(F69="",G69=""),"",F69-G69))</f>
        <v/>
      </c>
      <c r="K69" s="24" t="str">
        <f aca="false">IF(B69="","",IF(OR(F69="",G69="",G69&lt;=0),"",J69/G69))</f>
        <v/>
      </c>
      <c r="L69" s="25" t="str">
        <f aca="false">IF(B69="","",IF(H69&lt;&gt;"Complete",IF(H69="Not inspected","Not inspected; retain visibly but exclude from performance metrics.","Incomplete; exclude from performance metrics."),IF(F69="","Missing counted units; do not infer zero.",IF(G69="","Missing expected units; percentage cannot be calculated.",IF(G69&lt;=0,"Expected units are zero; exclude from numeric comparison.","Included")))))</f>
        <v/>
      </c>
      <c r="M69" s="25" t="str">
        <f aca="false">IF(B69="","",IF(L69="Included","Included","Not included"))</f>
        <v/>
      </c>
      <c r="N69" s="25" t="str">
        <f aca="false">IF(B69="","",IF(M69&lt;&gt;"Included","Not applicable",IF(ABS(K69)&gt;=MaterialThreshold,"Material","Not material")))</f>
        <v/>
      </c>
      <c r="O69" s="25" t="str">
        <f aca="false">IF(B69="","",IF(M69&lt;&gt;"Included",L69,IF(ROUND(K69*100,0)=118,"Unusual but valid 118% result; retain source counts.",IF(N69="Material","Included material variance.","Included; ordinary variance."))))</f>
        <v/>
      </c>
      <c r="P69" s="26" t="str">
        <f aca="false">IF(B69="","",IF(M69&lt;&gt;"Included",0,IF(COUNTIFS($C$5:C69,C69,$D$5:D69,D69,$M$5:M69,"Included")=1,1,0)))</f>
        <v/>
      </c>
      <c r="Q69" s="26" t="str">
        <f aca="false">IF(B69="","",IF(N69&lt;&gt;"Material",0,IF(COUNTIFS($C$5:C69,C69,$D$5:D69,D69,$N$5:N69,"Material")=1,1,0)))</f>
        <v/>
      </c>
    </row>
    <row r="70" customFormat="false" ht="27.75" hidden="false" customHeight="true" outlineLevel="0" collapsed="false">
      <c r="A70" s="20" t="str">
        <f aca="false">IF(B70="","",ROW()-4)</f>
        <v/>
      </c>
      <c r="B70" s="21" t="str">
        <f aca="true">IFERROR(INDEX(InputIDs,ROW()-4),"")</f>
        <v/>
      </c>
      <c r="C70" s="21" t="str">
        <f aca="true">IFERROR(INDEX(InputPeriods,ROW()-4),"")</f>
        <v/>
      </c>
      <c r="D70" s="21" t="str">
        <f aca="true">IFERROR(INDEX(InputStore,ROW()-4),"")</f>
        <v/>
      </c>
      <c r="E70" s="21" t="str">
        <f aca="true">IFERROR(INDEX(InputDepartment,ROW()-4),"")</f>
        <v/>
      </c>
      <c r="F70" s="22" t="str">
        <f aca="true">IFERROR(IF(ISBLANK(INDEX(InputCounted,ROW()-4)),"",INDEX(InputCounted,ROW()-4)),"")</f>
        <v/>
      </c>
      <c r="G70" s="22" t="str">
        <f aca="true">IFERROR(IF(ISBLANK(INDEX(InputExpected,ROW()-4)),"",INDEX(InputExpected,ROW()-4)),"")</f>
        <v/>
      </c>
      <c r="H70" s="21" t="str">
        <f aca="true">IFERROR(INDEX(InputStatus,ROW()-4),"")</f>
        <v/>
      </c>
      <c r="I70" s="21" t="str">
        <f aca="true">IFERROR(IF(ISBLANK(INDEX(InputNote,ROW()-4)),"",INDEX(InputNote,ROW()-4)),"")</f>
        <v/>
      </c>
      <c r="J70" s="23" t="str">
        <f aca="false">IF(B70="","",IF(OR(F70="",G70=""),"",F70-G70))</f>
        <v/>
      </c>
      <c r="K70" s="24" t="str">
        <f aca="false">IF(B70="","",IF(OR(F70="",G70="",G70&lt;=0),"",J70/G70))</f>
        <v/>
      </c>
      <c r="L70" s="25" t="str">
        <f aca="false">IF(B70="","",IF(H70&lt;&gt;"Complete",IF(H70="Not inspected","Not inspected; retain visibly but exclude from performance metrics.","Incomplete; exclude from performance metrics."),IF(F70="","Missing counted units; do not infer zero.",IF(G70="","Missing expected units; percentage cannot be calculated.",IF(G70&lt;=0,"Expected units are zero; exclude from numeric comparison.","Included")))))</f>
        <v/>
      </c>
      <c r="M70" s="25" t="str">
        <f aca="false">IF(B70="","",IF(L70="Included","Included","Not included"))</f>
        <v/>
      </c>
      <c r="N70" s="25" t="str">
        <f aca="false">IF(B70="","",IF(M70&lt;&gt;"Included","Not applicable",IF(ABS(K70)&gt;=MaterialThreshold,"Material","Not material")))</f>
        <v/>
      </c>
      <c r="O70" s="25" t="str">
        <f aca="false">IF(B70="","",IF(M70&lt;&gt;"Included",L70,IF(ROUND(K70*100,0)=118,"Unusual but valid 118% result; retain source counts.",IF(N70="Material","Included material variance.","Included; ordinary variance."))))</f>
        <v/>
      </c>
      <c r="P70" s="26" t="str">
        <f aca="false">IF(B70="","",IF(M70&lt;&gt;"Included",0,IF(COUNTIFS($C$5:C70,C70,$D$5:D70,D70,$M$5:M70,"Included")=1,1,0)))</f>
        <v/>
      </c>
      <c r="Q70" s="26" t="str">
        <f aca="false">IF(B70="","",IF(N70&lt;&gt;"Material",0,IF(COUNTIFS($C$5:C70,C70,$D$5:D70,D70,$N$5:N70,"Material")=1,1,0)))</f>
        <v/>
      </c>
    </row>
    <row r="71" customFormat="false" ht="27.75" hidden="false" customHeight="true" outlineLevel="0" collapsed="false">
      <c r="A71" s="20" t="str">
        <f aca="false">IF(B71="","",ROW()-4)</f>
        <v/>
      </c>
      <c r="B71" s="21" t="str">
        <f aca="true">IFERROR(INDEX(InputIDs,ROW()-4),"")</f>
        <v/>
      </c>
      <c r="C71" s="21" t="str">
        <f aca="true">IFERROR(INDEX(InputPeriods,ROW()-4),"")</f>
        <v/>
      </c>
      <c r="D71" s="21" t="str">
        <f aca="true">IFERROR(INDEX(InputStore,ROW()-4),"")</f>
        <v/>
      </c>
      <c r="E71" s="21" t="str">
        <f aca="true">IFERROR(INDEX(InputDepartment,ROW()-4),"")</f>
        <v/>
      </c>
      <c r="F71" s="22" t="str">
        <f aca="true">IFERROR(IF(ISBLANK(INDEX(InputCounted,ROW()-4)),"",INDEX(InputCounted,ROW()-4)),"")</f>
        <v/>
      </c>
      <c r="G71" s="22" t="str">
        <f aca="true">IFERROR(IF(ISBLANK(INDEX(InputExpected,ROW()-4)),"",INDEX(InputExpected,ROW()-4)),"")</f>
        <v/>
      </c>
      <c r="H71" s="21" t="str">
        <f aca="true">IFERROR(INDEX(InputStatus,ROW()-4),"")</f>
        <v/>
      </c>
      <c r="I71" s="21" t="str">
        <f aca="true">IFERROR(IF(ISBLANK(INDEX(InputNote,ROW()-4)),"",INDEX(InputNote,ROW()-4)),"")</f>
        <v/>
      </c>
      <c r="J71" s="23" t="str">
        <f aca="false">IF(B71="","",IF(OR(F71="",G71=""),"",F71-G71))</f>
        <v/>
      </c>
      <c r="K71" s="24" t="str">
        <f aca="false">IF(B71="","",IF(OR(F71="",G71="",G71&lt;=0),"",J71/G71))</f>
        <v/>
      </c>
      <c r="L71" s="25" t="str">
        <f aca="false">IF(B71="","",IF(H71&lt;&gt;"Complete",IF(H71="Not inspected","Not inspected; retain visibly but exclude from performance metrics.","Incomplete; exclude from performance metrics."),IF(F71="","Missing counted units; do not infer zero.",IF(G71="","Missing expected units; percentage cannot be calculated.",IF(G71&lt;=0,"Expected units are zero; exclude from numeric comparison.","Included")))))</f>
        <v/>
      </c>
      <c r="M71" s="25" t="str">
        <f aca="false">IF(B71="","",IF(L71="Included","Included","Not included"))</f>
        <v/>
      </c>
      <c r="N71" s="25" t="str">
        <f aca="false">IF(B71="","",IF(M71&lt;&gt;"Included","Not applicable",IF(ABS(K71)&gt;=MaterialThreshold,"Material","Not material")))</f>
        <v/>
      </c>
      <c r="O71" s="25" t="str">
        <f aca="false">IF(B71="","",IF(M71&lt;&gt;"Included",L71,IF(ROUND(K71*100,0)=118,"Unusual but valid 118% result; retain source counts.",IF(N71="Material","Included material variance.","Included; ordinary variance."))))</f>
        <v/>
      </c>
      <c r="P71" s="26" t="str">
        <f aca="false">IF(B71="","",IF(M71&lt;&gt;"Included",0,IF(COUNTIFS($C$5:C71,C71,$D$5:D71,D71,$M$5:M71,"Included")=1,1,0)))</f>
        <v/>
      </c>
      <c r="Q71" s="26" t="str">
        <f aca="false">IF(B71="","",IF(N71&lt;&gt;"Material",0,IF(COUNTIFS($C$5:C71,C71,$D$5:D71,D71,$N$5:N71,"Material")=1,1,0)))</f>
        <v/>
      </c>
    </row>
    <row r="72" customFormat="false" ht="27.75" hidden="false" customHeight="true" outlineLevel="0" collapsed="false">
      <c r="A72" s="20" t="str">
        <f aca="false">IF(B72="","",ROW()-4)</f>
        <v/>
      </c>
      <c r="B72" s="21" t="str">
        <f aca="true">IFERROR(INDEX(InputIDs,ROW()-4),"")</f>
        <v/>
      </c>
      <c r="C72" s="21" t="str">
        <f aca="true">IFERROR(INDEX(InputPeriods,ROW()-4),"")</f>
        <v/>
      </c>
      <c r="D72" s="21" t="str">
        <f aca="true">IFERROR(INDEX(InputStore,ROW()-4),"")</f>
        <v/>
      </c>
      <c r="E72" s="21" t="str">
        <f aca="true">IFERROR(INDEX(InputDepartment,ROW()-4),"")</f>
        <v/>
      </c>
      <c r="F72" s="22" t="str">
        <f aca="true">IFERROR(IF(ISBLANK(INDEX(InputCounted,ROW()-4)),"",INDEX(InputCounted,ROW()-4)),"")</f>
        <v/>
      </c>
      <c r="G72" s="22" t="str">
        <f aca="true">IFERROR(IF(ISBLANK(INDEX(InputExpected,ROW()-4)),"",INDEX(InputExpected,ROW()-4)),"")</f>
        <v/>
      </c>
      <c r="H72" s="21" t="str">
        <f aca="true">IFERROR(INDEX(InputStatus,ROW()-4),"")</f>
        <v/>
      </c>
      <c r="I72" s="21" t="str">
        <f aca="true">IFERROR(IF(ISBLANK(INDEX(InputNote,ROW()-4)),"",INDEX(InputNote,ROW()-4)),"")</f>
        <v/>
      </c>
      <c r="J72" s="23" t="str">
        <f aca="false">IF(B72="","",IF(OR(F72="",G72=""),"",F72-G72))</f>
        <v/>
      </c>
      <c r="K72" s="24" t="str">
        <f aca="false">IF(B72="","",IF(OR(F72="",G72="",G72&lt;=0),"",J72/G72))</f>
        <v/>
      </c>
      <c r="L72" s="25" t="str">
        <f aca="false">IF(B72="","",IF(H72&lt;&gt;"Complete",IF(H72="Not inspected","Not inspected; retain visibly but exclude from performance metrics.","Incomplete; exclude from performance metrics."),IF(F72="","Missing counted units; do not infer zero.",IF(G72="","Missing expected units; percentage cannot be calculated.",IF(G72&lt;=0,"Expected units are zero; exclude from numeric comparison.","Included")))))</f>
        <v/>
      </c>
      <c r="M72" s="25" t="str">
        <f aca="false">IF(B72="","",IF(L72="Included","Included","Not included"))</f>
        <v/>
      </c>
      <c r="N72" s="25" t="str">
        <f aca="false">IF(B72="","",IF(M72&lt;&gt;"Included","Not applicable",IF(ABS(K72)&gt;=MaterialThreshold,"Material","Not material")))</f>
        <v/>
      </c>
      <c r="O72" s="25" t="str">
        <f aca="false">IF(B72="","",IF(M72&lt;&gt;"Included",L72,IF(ROUND(K72*100,0)=118,"Unusual but valid 118% result; retain source counts.",IF(N72="Material","Included material variance.","Included; ordinary variance."))))</f>
        <v/>
      </c>
      <c r="P72" s="26" t="str">
        <f aca="false">IF(B72="","",IF(M72&lt;&gt;"Included",0,IF(COUNTIFS($C$5:C72,C72,$D$5:D72,D72,$M$5:M72,"Included")=1,1,0)))</f>
        <v/>
      </c>
      <c r="Q72" s="26" t="str">
        <f aca="false">IF(B72="","",IF(N72&lt;&gt;"Material",0,IF(COUNTIFS($C$5:C72,C72,$D$5:D72,D72,$N$5:N72,"Material")=1,1,0)))</f>
        <v/>
      </c>
    </row>
    <row r="73" customFormat="false" ht="27.75" hidden="false" customHeight="true" outlineLevel="0" collapsed="false">
      <c r="A73" s="20" t="str">
        <f aca="false">IF(B73="","",ROW()-4)</f>
        <v/>
      </c>
      <c r="B73" s="21" t="str">
        <f aca="true">IFERROR(INDEX(InputIDs,ROW()-4),"")</f>
        <v/>
      </c>
      <c r="C73" s="21" t="str">
        <f aca="true">IFERROR(INDEX(InputPeriods,ROW()-4),"")</f>
        <v/>
      </c>
      <c r="D73" s="21" t="str">
        <f aca="true">IFERROR(INDEX(InputStore,ROW()-4),"")</f>
        <v/>
      </c>
      <c r="E73" s="21" t="str">
        <f aca="true">IFERROR(INDEX(InputDepartment,ROW()-4),"")</f>
        <v/>
      </c>
      <c r="F73" s="22" t="str">
        <f aca="true">IFERROR(IF(ISBLANK(INDEX(InputCounted,ROW()-4)),"",INDEX(InputCounted,ROW()-4)),"")</f>
        <v/>
      </c>
      <c r="G73" s="22" t="str">
        <f aca="true">IFERROR(IF(ISBLANK(INDEX(InputExpected,ROW()-4)),"",INDEX(InputExpected,ROW()-4)),"")</f>
        <v/>
      </c>
      <c r="H73" s="21" t="str">
        <f aca="true">IFERROR(INDEX(InputStatus,ROW()-4),"")</f>
        <v/>
      </c>
      <c r="I73" s="21" t="str">
        <f aca="true">IFERROR(IF(ISBLANK(INDEX(InputNote,ROW()-4)),"",INDEX(InputNote,ROW()-4)),"")</f>
        <v/>
      </c>
      <c r="J73" s="23" t="str">
        <f aca="false">IF(B73="","",IF(OR(F73="",G73=""),"",F73-G73))</f>
        <v/>
      </c>
      <c r="K73" s="24" t="str">
        <f aca="false">IF(B73="","",IF(OR(F73="",G73="",G73&lt;=0),"",J73/G73))</f>
        <v/>
      </c>
      <c r="L73" s="25" t="str">
        <f aca="false">IF(B73="","",IF(H73&lt;&gt;"Complete",IF(H73="Not inspected","Not inspected; retain visibly but exclude from performance metrics.","Incomplete; exclude from performance metrics."),IF(F73="","Missing counted units; do not infer zero.",IF(G73="","Missing expected units; percentage cannot be calculated.",IF(G73&lt;=0,"Expected units are zero; exclude from numeric comparison.","Included")))))</f>
        <v/>
      </c>
      <c r="M73" s="25" t="str">
        <f aca="false">IF(B73="","",IF(L73="Included","Included","Not included"))</f>
        <v/>
      </c>
      <c r="N73" s="25" t="str">
        <f aca="false">IF(B73="","",IF(M73&lt;&gt;"Included","Not applicable",IF(ABS(K73)&gt;=MaterialThreshold,"Material","Not material")))</f>
        <v/>
      </c>
      <c r="O73" s="25" t="str">
        <f aca="false">IF(B73="","",IF(M73&lt;&gt;"Included",L73,IF(ROUND(K73*100,0)=118,"Unusual but valid 118% result; retain source counts.",IF(N73="Material","Included material variance.","Included; ordinary variance."))))</f>
        <v/>
      </c>
      <c r="P73" s="26" t="str">
        <f aca="false">IF(B73="","",IF(M73&lt;&gt;"Included",0,IF(COUNTIFS($C$5:C73,C73,$D$5:D73,D73,$M$5:M73,"Included")=1,1,0)))</f>
        <v/>
      </c>
      <c r="Q73" s="26" t="str">
        <f aca="false">IF(B73="","",IF(N73&lt;&gt;"Material",0,IF(COUNTIFS($C$5:C73,C73,$D$5:D73,D73,$N$5:N73,"Material")=1,1,0)))</f>
        <v/>
      </c>
    </row>
    <row r="74" customFormat="false" ht="27.75" hidden="false" customHeight="true" outlineLevel="0" collapsed="false">
      <c r="A74" s="20" t="str">
        <f aca="false">IF(B74="","",ROW()-4)</f>
        <v/>
      </c>
      <c r="B74" s="21" t="str">
        <f aca="true">IFERROR(INDEX(InputIDs,ROW()-4),"")</f>
        <v/>
      </c>
      <c r="C74" s="21" t="str">
        <f aca="true">IFERROR(INDEX(InputPeriods,ROW()-4),"")</f>
        <v/>
      </c>
      <c r="D74" s="21" t="str">
        <f aca="true">IFERROR(INDEX(InputStore,ROW()-4),"")</f>
        <v/>
      </c>
      <c r="E74" s="21" t="str">
        <f aca="true">IFERROR(INDEX(InputDepartment,ROW()-4),"")</f>
        <v/>
      </c>
      <c r="F74" s="22" t="str">
        <f aca="true">IFERROR(IF(ISBLANK(INDEX(InputCounted,ROW()-4)),"",INDEX(InputCounted,ROW()-4)),"")</f>
        <v/>
      </c>
      <c r="G74" s="22" t="str">
        <f aca="true">IFERROR(IF(ISBLANK(INDEX(InputExpected,ROW()-4)),"",INDEX(InputExpected,ROW()-4)),"")</f>
        <v/>
      </c>
      <c r="H74" s="21" t="str">
        <f aca="true">IFERROR(INDEX(InputStatus,ROW()-4),"")</f>
        <v/>
      </c>
      <c r="I74" s="21" t="str">
        <f aca="true">IFERROR(IF(ISBLANK(INDEX(InputNote,ROW()-4)),"",INDEX(InputNote,ROW()-4)),"")</f>
        <v/>
      </c>
      <c r="J74" s="23" t="str">
        <f aca="false">IF(B74="","",IF(OR(F74="",G74=""),"",F74-G74))</f>
        <v/>
      </c>
      <c r="K74" s="24" t="str">
        <f aca="false">IF(B74="","",IF(OR(F74="",G74="",G74&lt;=0),"",J74/G74))</f>
        <v/>
      </c>
      <c r="L74" s="25" t="str">
        <f aca="false">IF(B74="","",IF(H74&lt;&gt;"Complete",IF(H74="Not inspected","Not inspected; retain visibly but exclude from performance metrics.","Incomplete; exclude from performance metrics."),IF(F74="","Missing counted units; do not infer zero.",IF(G74="","Missing expected units; percentage cannot be calculated.",IF(G74&lt;=0,"Expected units are zero; exclude from numeric comparison.","Included")))))</f>
        <v/>
      </c>
      <c r="M74" s="25" t="str">
        <f aca="false">IF(B74="","",IF(L74="Included","Included","Not included"))</f>
        <v/>
      </c>
      <c r="N74" s="25" t="str">
        <f aca="false">IF(B74="","",IF(M74&lt;&gt;"Included","Not applicable",IF(ABS(K74)&gt;=MaterialThreshold,"Material","Not material")))</f>
        <v/>
      </c>
      <c r="O74" s="25" t="str">
        <f aca="false">IF(B74="","",IF(M74&lt;&gt;"Included",L74,IF(ROUND(K74*100,0)=118,"Unusual but valid 118% result; retain source counts.",IF(N74="Material","Included material variance.","Included; ordinary variance."))))</f>
        <v/>
      </c>
      <c r="P74" s="26" t="str">
        <f aca="false">IF(B74="","",IF(M74&lt;&gt;"Included",0,IF(COUNTIFS($C$5:C74,C74,$D$5:D74,D74,$M$5:M74,"Included")=1,1,0)))</f>
        <v/>
      </c>
      <c r="Q74" s="26" t="str">
        <f aca="false">IF(B74="","",IF(N74&lt;&gt;"Material",0,IF(COUNTIFS($C$5:C74,C74,$D$5:D74,D74,$N$5:N74,"Material")=1,1,0)))</f>
        <v/>
      </c>
    </row>
    <row r="75" customFormat="false" ht="27.75" hidden="false" customHeight="true" outlineLevel="0" collapsed="false">
      <c r="A75" s="20" t="str">
        <f aca="false">IF(B75="","",ROW()-4)</f>
        <v/>
      </c>
      <c r="B75" s="21" t="str">
        <f aca="true">IFERROR(INDEX(InputIDs,ROW()-4),"")</f>
        <v/>
      </c>
      <c r="C75" s="21" t="str">
        <f aca="true">IFERROR(INDEX(InputPeriods,ROW()-4),"")</f>
        <v/>
      </c>
      <c r="D75" s="21" t="str">
        <f aca="true">IFERROR(INDEX(InputStore,ROW()-4),"")</f>
        <v/>
      </c>
      <c r="E75" s="21" t="str">
        <f aca="true">IFERROR(INDEX(InputDepartment,ROW()-4),"")</f>
        <v/>
      </c>
      <c r="F75" s="22" t="str">
        <f aca="true">IFERROR(IF(ISBLANK(INDEX(InputCounted,ROW()-4)),"",INDEX(InputCounted,ROW()-4)),"")</f>
        <v/>
      </c>
      <c r="G75" s="22" t="str">
        <f aca="true">IFERROR(IF(ISBLANK(INDEX(InputExpected,ROW()-4)),"",INDEX(InputExpected,ROW()-4)),"")</f>
        <v/>
      </c>
      <c r="H75" s="21" t="str">
        <f aca="true">IFERROR(INDEX(InputStatus,ROW()-4),"")</f>
        <v/>
      </c>
      <c r="I75" s="21" t="str">
        <f aca="true">IFERROR(IF(ISBLANK(INDEX(InputNote,ROW()-4)),"",INDEX(InputNote,ROW()-4)),"")</f>
        <v/>
      </c>
      <c r="J75" s="23" t="str">
        <f aca="false">IF(B75="","",IF(OR(F75="",G75=""),"",F75-G75))</f>
        <v/>
      </c>
      <c r="K75" s="24" t="str">
        <f aca="false">IF(B75="","",IF(OR(F75="",G75="",G75&lt;=0),"",J75/G75))</f>
        <v/>
      </c>
      <c r="L75" s="25" t="str">
        <f aca="false">IF(B75="","",IF(H75&lt;&gt;"Complete",IF(H75="Not inspected","Not inspected; retain visibly but exclude from performance metrics.","Incomplete; exclude from performance metrics."),IF(F75="","Missing counted units; do not infer zero.",IF(G75="","Missing expected units; percentage cannot be calculated.",IF(G75&lt;=0,"Expected units are zero; exclude from numeric comparison.","Included")))))</f>
        <v/>
      </c>
      <c r="M75" s="25" t="str">
        <f aca="false">IF(B75="","",IF(L75="Included","Included","Not included"))</f>
        <v/>
      </c>
      <c r="N75" s="25" t="str">
        <f aca="false">IF(B75="","",IF(M75&lt;&gt;"Included","Not applicable",IF(ABS(K75)&gt;=MaterialThreshold,"Material","Not material")))</f>
        <v/>
      </c>
      <c r="O75" s="25" t="str">
        <f aca="false">IF(B75="","",IF(M75&lt;&gt;"Included",L75,IF(ROUND(K75*100,0)=118,"Unusual but valid 118% result; retain source counts.",IF(N75="Material","Included material variance.","Included; ordinary variance."))))</f>
        <v/>
      </c>
      <c r="P75" s="26" t="str">
        <f aca="false">IF(B75="","",IF(M75&lt;&gt;"Included",0,IF(COUNTIFS($C$5:C75,C75,$D$5:D75,D75,$M$5:M75,"Included")=1,1,0)))</f>
        <v/>
      </c>
      <c r="Q75" s="26" t="str">
        <f aca="false">IF(B75="","",IF(N75&lt;&gt;"Material",0,IF(COUNTIFS($C$5:C75,C75,$D$5:D75,D75,$N$5:N75,"Material")=1,1,0)))</f>
        <v/>
      </c>
    </row>
    <row r="76" customFormat="false" ht="27.75" hidden="false" customHeight="true" outlineLevel="0" collapsed="false">
      <c r="A76" s="20" t="str">
        <f aca="false">IF(B76="","",ROW()-4)</f>
        <v/>
      </c>
      <c r="B76" s="21" t="str">
        <f aca="true">IFERROR(INDEX(InputIDs,ROW()-4),"")</f>
        <v/>
      </c>
      <c r="C76" s="21" t="str">
        <f aca="true">IFERROR(INDEX(InputPeriods,ROW()-4),"")</f>
        <v/>
      </c>
      <c r="D76" s="21" t="str">
        <f aca="true">IFERROR(INDEX(InputStore,ROW()-4),"")</f>
        <v/>
      </c>
      <c r="E76" s="21" t="str">
        <f aca="true">IFERROR(INDEX(InputDepartment,ROW()-4),"")</f>
        <v/>
      </c>
      <c r="F76" s="22" t="str">
        <f aca="true">IFERROR(IF(ISBLANK(INDEX(InputCounted,ROW()-4)),"",INDEX(InputCounted,ROW()-4)),"")</f>
        <v/>
      </c>
      <c r="G76" s="22" t="str">
        <f aca="true">IFERROR(IF(ISBLANK(INDEX(InputExpected,ROW()-4)),"",INDEX(InputExpected,ROW()-4)),"")</f>
        <v/>
      </c>
      <c r="H76" s="21" t="str">
        <f aca="true">IFERROR(INDEX(InputStatus,ROW()-4),"")</f>
        <v/>
      </c>
      <c r="I76" s="21" t="str">
        <f aca="true">IFERROR(IF(ISBLANK(INDEX(InputNote,ROW()-4)),"",INDEX(InputNote,ROW()-4)),"")</f>
        <v/>
      </c>
      <c r="J76" s="23" t="str">
        <f aca="false">IF(B76="","",IF(OR(F76="",G76=""),"",F76-G76))</f>
        <v/>
      </c>
      <c r="K76" s="24" t="str">
        <f aca="false">IF(B76="","",IF(OR(F76="",G76="",G76&lt;=0),"",J76/G76))</f>
        <v/>
      </c>
      <c r="L76" s="25" t="str">
        <f aca="false">IF(B76="","",IF(H76&lt;&gt;"Complete",IF(H76="Not inspected","Not inspected; retain visibly but exclude from performance metrics.","Incomplete; exclude from performance metrics."),IF(F76="","Missing counted units; do not infer zero.",IF(G76="","Missing expected units; percentage cannot be calculated.",IF(G76&lt;=0,"Expected units are zero; exclude from numeric comparison.","Included")))))</f>
        <v/>
      </c>
      <c r="M76" s="25" t="str">
        <f aca="false">IF(B76="","",IF(L76="Included","Included","Not included"))</f>
        <v/>
      </c>
      <c r="N76" s="25" t="str">
        <f aca="false">IF(B76="","",IF(M76&lt;&gt;"Included","Not applicable",IF(ABS(K76)&gt;=MaterialThreshold,"Material","Not material")))</f>
        <v/>
      </c>
      <c r="O76" s="25" t="str">
        <f aca="false">IF(B76="","",IF(M76&lt;&gt;"Included",L76,IF(ROUND(K76*100,0)=118,"Unusual but valid 118% result; retain source counts.",IF(N76="Material","Included material variance.","Included; ordinary variance."))))</f>
        <v/>
      </c>
      <c r="P76" s="26" t="str">
        <f aca="false">IF(B76="","",IF(M76&lt;&gt;"Included",0,IF(COUNTIFS($C$5:C76,C76,$D$5:D76,D76,$M$5:M76,"Included")=1,1,0)))</f>
        <v/>
      </c>
      <c r="Q76" s="26" t="str">
        <f aca="false">IF(B76="","",IF(N76&lt;&gt;"Material",0,IF(COUNTIFS($C$5:C76,C76,$D$5:D76,D76,$N$5:N76,"Material")=1,1,0)))</f>
        <v/>
      </c>
    </row>
    <row r="77" customFormat="false" ht="27.75" hidden="false" customHeight="true" outlineLevel="0" collapsed="false">
      <c r="A77" s="20" t="str">
        <f aca="false">IF(B77="","",ROW()-4)</f>
        <v/>
      </c>
      <c r="B77" s="21" t="str">
        <f aca="true">IFERROR(INDEX(InputIDs,ROW()-4),"")</f>
        <v/>
      </c>
      <c r="C77" s="21" t="str">
        <f aca="true">IFERROR(INDEX(InputPeriods,ROW()-4),"")</f>
        <v/>
      </c>
      <c r="D77" s="21" t="str">
        <f aca="true">IFERROR(INDEX(InputStore,ROW()-4),"")</f>
        <v/>
      </c>
      <c r="E77" s="21" t="str">
        <f aca="true">IFERROR(INDEX(InputDepartment,ROW()-4),"")</f>
        <v/>
      </c>
      <c r="F77" s="22" t="str">
        <f aca="true">IFERROR(IF(ISBLANK(INDEX(InputCounted,ROW()-4)),"",INDEX(InputCounted,ROW()-4)),"")</f>
        <v/>
      </c>
      <c r="G77" s="22" t="str">
        <f aca="true">IFERROR(IF(ISBLANK(INDEX(InputExpected,ROW()-4)),"",INDEX(InputExpected,ROW()-4)),"")</f>
        <v/>
      </c>
      <c r="H77" s="21" t="str">
        <f aca="true">IFERROR(INDEX(InputStatus,ROW()-4),"")</f>
        <v/>
      </c>
      <c r="I77" s="21" t="str">
        <f aca="true">IFERROR(IF(ISBLANK(INDEX(InputNote,ROW()-4)),"",INDEX(InputNote,ROW()-4)),"")</f>
        <v/>
      </c>
      <c r="J77" s="23" t="str">
        <f aca="false">IF(B77="","",IF(OR(F77="",G77=""),"",F77-G77))</f>
        <v/>
      </c>
      <c r="K77" s="24" t="str">
        <f aca="false">IF(B77="","",IF(OR(F77="",G77="",G77&lt;=0),"",J77/G77))</f>
        <v/>
      </c>
      <c r="L77" s="25" t="str">
        <f aca="false">IF(B77="","",IF(H77&lt;&gt;"Complete",IF(H77="Not inspected","Not inspected; retain visibly but exclude from performance metrics.","Incomplete; exclude from performance metrics."),IF(F77="","Missing counted units; do not infer zero.",IF(G77="","Missing expected units; percentage cannot be calculated.",IF(G77&lt;=0,"Expected units are zero; exclude from numeric comparison.","Included")))))</f>
        <v/>
      </c>
      <c r="M77" s="25" t="str">
        <f aca="false">IF(B77="","",IF(L77="Included","Included","Not included"))</f>
        <v/>
      </c>
      <c r="N77" s="25" t="str">
        <f aca="false">IF(B77="","",IF(M77&lt;&gt;"Included","Not applicable",IF(ABS(K77)&gt;=MaterialThreshold,"Material","Not material")))</f>
        <v/>
      </c>
      <c r="O77" s="25" t="str">
        <f aca="false">IF(B77="","",IF(M77&lt;&gt;"Included",L77,IF(ROUND(K77*100,0)=118,"Unusual but valid 118% result; retain source counts.",IF(N77="Material","Included material variance.","Included; ordinary variance."))))</f>
        <v/>
      </c>
      <c r="P77" s="26" t="str">
        <f aca="false">IF(B77="","",IF(M77&lt;&gt;"Included",0,IF(COUNTIFS($C$5:C77,C77,$D$5:D77,D77,$M$5:M77,"Included")=1,1,0)))</f>
        <v/>
      </c>
      <c r="Q77" s="26" t="str">
        <f aca="false">IF(B77="","",IF(N77&lt;&gt;"Material",0,IF(COUNTIFS($C$5:C77,C77,$D$5:D77,D77,$N$5:N77,"Material")=1,1,0)))</f>
        <v/>
      </c>
    </row>
    <row r="78" customFormat="false" ht="27.75" hidden="false" customHeight="true" outlineLevel="0" collapsed="false">
      <c r="A78" s="20" t="str">
        <f aca="false">IF(B78="","",ROW()-4)</f>
        <v/>
      </c>
      <c r="B78" s="21" t="str">
        <f aca="true">IFERROR(INDEX(InputIDs,ROW()-4),"")</f>
        <v/>
      </c>
      <c r="C78" s="21" t="str">
        <f aca="true">IFERROR(INDEX(InputPeriods,ROW()-4),"")</f>
        <v/>
      </c>
      <c r="D78" s="21" t="str">
        <f aca="true">IFERROR(INDEX(InputStore,ROW()-4),"")</f>
        <v/>
      </c>
      <c r="E78" s="21" t="str">
        <f aca="true">IFERROR(INDEX(InputDepartment,ROW()-4),"")</f>
        <v/>
      </c>
      <c r="F78" s="22" t="str">
        <f aca="true">IFERROR(IF(ISBLANK(INDEX(InputCounted,ROW()-4)),"",INDEX(InputCounted,ROW()-4)),"")</f>
        <v/>
      </c>
      <c r="G78" s="22" t="str">
        <f aca="true">IFERROR(IF(ISBLANK(INDEX(InputExpected,ROW()-4)),"",INDEX(InputExpected,ROW()-4)),"")</f>
        <v/>
      </c>
      <c r="H78" s="21" t="str">
        <f aca="true">IFERROR(INDEX(InputStatus,ROW()-4),"")</f>
        <v/>
      </c>
      <c r="I78" s="21" t="str">
        <f aca="true">IFERROR(IF(ISBLANK(INDEX(InputNote,ROW()-4)),"",INDEX(InputNote,ROW()-4)),"")</f>
        <v/>
      </c>
      <c r="J78" s="23" t="str">
        <f aca="false">IF(B78="","",IF(OR(F78="",G78=""),"",F78-G78))</f>
        <v/>
      </c>
      <c r="K78" s="24" t="str">
        <f aca="false">IF(B78="","",IF(OR(F78="",G78="",G78&lt;=0),"",J78/G78))</f>
        <v/>
      </c>
      <c r="L78" s="25" t="str">
        <f aca="false">IF(B78="","",IF(H78&lt;&gt;"Complete",IF(H78="Not inspected","Not inspected; retain visibly but exclude from performance metrics.","Incomplete; exclude from performance metrics."),IF(F78="","Missing counted units; do not infer zero.",IF(G78="","Missing expected units; percentage cannot be calculated.",IF(G78&lt;=0,"Expected units are zero; exclude from numeric comparison.","Included")))))</f>
        <v/>
      </c>
      <c r="M78" s="25" t="str">
        <f aca="false">IF(B78="","",IF(L78="Included","Included","Not included"))</f>
        <v/>
      </c>
      <c r="N78" s="25" t="str">
        <f aca="false">IF(B78="","",IF(M78&lt;&gt;"Included","Not applicable",IF(ABS(K78)&gt;=MaterialThreshold,"Material","Not material")))</f>
        <v/>
      </c>
      <c r="O78" s="25" t="str">
        <f aca="false">IF(B78="","",IF(M78&lt;&gt;"Included",L78,IF(ROUND(K78*100,0)=118,"Unusual but valid 118% result; retain source counts.",IF(N78="Material","Included material variance.","Included; ordinary variance."))))</f>
        <v/>
      </c>
      <c r="P78" s="26" t="str">
        <f aca="false">IF(B78="","",IF(M78&lt;&gt;"Included",0,IF(COUNTIFS($C$5:C78,C78,$D$5:D78,D78,$M$5:M78,"Included")=1,1,0)))</f>
        <v/>
      </c>
      <c r="Q78" s="26" t="str">
        <f aca="false">IF(B78="","",IF(N78&lt;&gt;"Material",0,IF(COUNTIFS($C$5:C78,C78,$D$5:D78,D78,$N$5:N78,"Material")=1,1,0)))</f>
        <v/>
      </c>
    </row>
    <row r="79" customFormat="false" ht="27.75" hidden="false" customHeight="true" outlineLevel="0" collapsed="false">
      <c r="A79" s="20" t="str">
        <f aca="false">IF(B79="","",ROW()-4)</f>
        <v/>
      </c>
      <c r="B79" s="21" t="str">
        <f aca="true">IFERROR(INDEX(InputIDs,ROW()-4),"")</f>
        <v/>
      </c>
      <c r="C79" s="21" t="str">
        <f aca="true">IFERROR(INDEX(InputPeriods,ROW()-4),"")</f>
        <v/>
      </c>
      <c r="D79" s="21" t="str">
        <f aca="true">IFERROR(INDEX(InputStore,ROW()-4),"")</f>
        <v/>
      </c>
      <c r="E79" s="21" t="str">
        <f aca="true">IFERROR(INDEX(InputDepartment,ROW()-4),"")</f>
        <v/>
      </c>
      <c r="F79" s="22" t="str">
        <f aca="true">IFERROR(IF(ISBLANK(INDEX(InputCounted,ROW()-4)),"",INDEX(InputCounted,ROW()-4)),"")</f>
        <v/>
      </c>
      <c r="G79" s="22" t="str">
        <f aca="true">IFERROR(IF(ISBLANK(INDEX(InputExpected,ROW()-4)),"",INDEX(InputExpected,ROW()-4)),"")</f>
        <v/>
      </c>
      <c r="H79" s="21" t="str">
        <f aca="true">IFERROR(INDEX(InputStatus,ROW()-4),"")</f>
        <v/>
      </c>
      <c r="I79" s="21" t="str">
        <f aca="true">IFERROR(IF(ISBLANK(INDEX(InputNote,ROW()-4)),"",INDEX(InputNote,ROW()-4)),"")</f>
        <v/>
      </c>
      <c r="J79" s="23" t="str">
        <f aca="false">IF(B79="","",IF(OR(F79="",G79=""),"",F79-G79))</f>
        <v/>
      </c>
      <c r="K79" s="24" t="str">
        <f aca="false">IF(B79="","",IF(OR(F79="",G79="",G79&lt;=0),"",J79/G79))</f>
        <v/>
      </c>
      <c r="L79" s="25" t="str">
        <f aca="false">IF(B79="","",IF(H79&lt;&gt;"Complete",IF(H79="Not inspected","Not inspected; retain visibly but exclude from performance metrics.","Incomplete; exclude from performance metrics."),IF(F79="","Missing counted units; do not infer zero.",IF(G79="","Missing expected units; percentage cannot be calculated.",IF(G79&lt;=0,"Expected units are zero; exclude from numeric comparison.","Included")))))</f>
        <v/>
      </c>
      <c r="M79" s="25" t="str">
        <f aca="false">IF(B79="","",IF(L79="Included","Included","Not included"))</f>
        <v/>
      </c>
      <c r="N79" s="25" t="str">
        <f aca="false">IF(B79="","",IF(M79&lt;&gt;"Included","Not applicable",IF(ABS(K79)&gt;=MaterialThreshold,"Material","Not material")))</f>
        <v/>
      </c>
      <c r="O79" s="25" t="str">
        <f aca="false">IF(B79="","",IF(M79&lt;&gt;"Included",L79,IF(ROUND(K79*100,0)=118,"Unusual but valid 118% result; retain source counts.",IF(N79="Material","Included material variance.","Included; ordinary variance."))))</f>
        <v/>
      </c>
      <c r="P79" s="26" t="str">
        <f aca="false">IF(B79="","",IF(M79&lt;&gt;"Included",0,IF(COUNTIFS($C$5:C79,C79,$D$5:D79,D79,$M$5:M79,"Included")=1,1,0)))</f>
        <v/>
      </c>
      <c r="Q79" s="26" t="str">
        <f aca="false">IF(B79="","",IF(N79&lt;&gt;"Material",0,IF(COUNTIFS($C$5:C79,C79,$D$5:D79,D79,$N$5:N79,"Material")=1,1,0)))</f>
        <v/>
      </c>
    </row>
    <row r="80" customFormat="false" ht="27.75" hidden="false" customHeight="true" outlineLevel="0" collapsed="false">
      <c r="A80" s="20" t="str">
        <f aca="false">IF(B80="","",ROW()-4)</f>
        <v/>
      </c>
      <c r="B80" s="21" t="str">
        <f aca="true">IFERROR(INDEX(InputIDs,ROW()-4),"")</f>
        <v/>
      </c>
      <c r="C80" s="21" t="str">
        <f aca="true">IFERROR(INDEX(InputPeriods,ROW()-4),"")</f>
        <v/>
      </c>
      <c r="D80" s="21" t="str">
        <f aca="true">IFERROR(INDEX(InputStore,ROW()-4),"")</f>
        <v/>
      </c>
      <c r="E80" s="21" t="str">
        <f aca="true">IFERROR(INDEX(InputDepartment,ROW()-4),"")</f>
        <v/>
      </c>
      <c r="F80" s="22" t="str">
        <f aca="true">IFERROR(IF(ISBLANK(INDEX(InputCounted,ROW()-4)),"",INDEX(InputCounted,ROW()-4)),"")</f>
        <v/>
      </c>
      <c r="G80" s="22" t="str">
        <f aca="true">IFERROR(IF(ISBLANK(INDEX(InputExpected,ROW()-4)),"",INDEX(InputExpected,ROW()-4)),"")</f>
        <v/>
      </c>
      <c r="H80" s="21" t="str">
        <f aca="true">IFERROR(INDEX(InputStatus,ROW()-4),"")</f>
        <v/>
      </c>
      <c r="I80" s="21" t="str">
        <f aca="true">IFERROR(IF(ISBLANK(INDEX(InputNote,ROW()-4)),"",INDEX(InputNote,ROW()-4)),"")</f>
        <v/>
      </c>
      <c r="J80" s="23" t="str">
        <f aca="false">IF(B80="","",IF(OR(F80="",G80=""),"",F80-G80))</f>
        <v/>
      </c>
      <c r="K80" s="24" t="str">
        <f aca="false">IF(B80="","",IF(OR(F80="",G80="",G80&lt;=0),"",J80/G80))</f>
        <v/>
      </c>
      <c r="L80" s="25" t="str">
        <f aca="false">IF(B80="","",IF(H80&lt;&gt;"Complete",IF(H80="Not inspected","Not inspected; retain visibly but exclude from performance metrics.","Incomplete; exclude from performance metrics."),IF(F80="","Missing counted units; do not infer zero.",IF(G80="","Missing expected units; percentage cannot be calculated.",IF(G80&lt;=0,"Expected units are zero; exclude from numeric comparison.","Included")))))</f>
        <v/>
      </c>
      <c r="M80" s="25" t="str">
        <f aca="false">IF(B80="","",IF(L80="Included","Included","Not included"))</f>
        <v/>
      </c>
      <c r="N80" s="25" t="str">
        <f aca="false">IF(B80="","",IF(M80&lt;&gt;"Included","Not applicable",IF(ABS(K80)&gt;=MaterialThreshold,"Material","Not material")))</f>
        <v/>
      </c>
      <c r="O80" s="25" t="str">
        <f aca="false">IF(B80="","",IF(M80&lt;&gt;"Included",L80,IF(ROUND(K80*100,0)=118,"Unusual but valid 118% result; retain source counts.",IF(N80="Material","Included material variance.","Included; ordinary variance."))))</f>
        <v/>
      </c>
      <c r="P80" s="26" t="str">
        <f aca="false">IF(B80="","",IF(M80&lt;&gt;"Included",0,IF(COUNTIFS($C$5:C80,C80,$D$5:D80,D80,$M$5:M80,"Included")=1,1,0)))</f>
        <v/>
      </c>
      <c r="Q80" s="26" t="str">
        <f aca="false">IF(B80="","",IF(N80&lt;&gt;"Material",0,IF(COUNTIFS($C$5:C80,C80,$D$5:D80,D80,$N$5:N80,"Material")=1,1,0)))</f>
        <v/>
      </c>
    </row>
    <row r="81" customFormat="false" ht="27.75" hidden="false" customHeight="true" outlineLevel="0" collapsed="false">
      <c r="A81" s="20" t="str">
        <f aca="false">IF(B81="","",ROW()-4)</f>
        <v/>
      </c>
      <c r="B81" s="21" t="str">
        <f aca="true">IFERROR(INDEX(InputIDs,ROW()-4),"")</f>
        <v/>
      </c>
      <c r="C81" s="21" t="str">
        <f aca="true">IFERROR(INDEX(InputPeriods,ROW()-4),"")</f>
        <v/>
      </c>
      <c r="D81" s="21" t="str">
        <f aca="true">IFERROR(INDEX(InputStore,ROW()-4),"")</f>
        <v/>
      </c>
      <c r="E81" s="21" t="str">
        <f aca="true">IFERROR(INDEX(InputDepartment,ROW()-4),"")</f>
        <v/>
      </c>
      <c r="F81" s="22" t="str">
        <f aca="true">IFERROR(IF(ISBLANK(INDEX(InputCounted,ROW()-4)),"",INDEX(InputCounted,ROW()-4)),"")</f>
        <v/>
      </c>
      <c r="G81" s="22" t="str">
        <f aca="true">IFERROR(IF(ISBLANK(INDEX(InputExpected,ROW()-4)),"",INDEX(InputExpected,ROW()-4)),"")</f>
        <v/>
      </c>
      <c r="H81" s="21" t="str">
        <f aca="true">IFERROR(INDEX(InputStatus,ROW()-4),"")</f>
        <v/>
      </c>
      <c r="I81" s="21" t="str">
        <f aca="true">IFERROR(IF(ISBLANK(INDEX(InputNote,ROW()-4)),"",INDEX(InputNote,ROW()-4)),"")</f>
        <v/>
      </c>
      <c r="J81" s="23" t="str">
        <f aca="false">IF(B81="","",IF(OR(F81="",G81=""),"",F81-G81))</f>
        <v/>
      </c>
      <c r="K81" s="24" t="str">
        <f aca="false">IF(B81="","",IF(OR(F81="",G81="",G81&lt;=0),"",J81/G81))</f>
        <v/>
      </c>
      <c r="L81" s="25" t="str">
        <f aca="false">IF(B81="","",IF(H81&lt;&gt;"Complete",IF(H81="Not inspected","Not inspected; retain visibly but exclude from performance metrics.","Incomplete; exclude from performance metrics."),IF(F81="","Missing counted units; do not infer zero.",IF(G81="","Missing expected units; percentage cannot be calculated.",IF(G81&lt;=0,"Expected units are zero; exclude from numeric comparison.","Included")))))</f>
        <v/>
      </c>
      <c r="M81" s="25" t="str">
        <f aca="false">IF(B81="","",IF(L81="Included","Included","Not included"))</f>
        <v/>
      </c>
      <c r="N81" s="25" t="str">
        <f aca="false">IF(B81="","",IF(M81&lt;&gt;"Included","Not applicable",IF(ABS(K81)&gt;=MaterialThreshold,"Material","Not material")))</f>
        <v/>
      </c>
      <c r="O81" s="25" t="str">
        <f aca="false">IF(B81="","",IF(M81&lt;&gt;"Included",L81,IF(ROUND(K81*100,0)=118,"Unusual but valid 118% result; retain source counts.",IF(N81="Material","Included material variance.","Included; ordinary variance."))))</f>
        <v/>
      </c>
      <c r="P81" s="26" t="str">
        <f aca="false">IF(B81="","",IF(M81&lt;&gt;"Included",0,IF(COUNTIFS($C$5:C81,C81,$D$5:D81,D81,$M$5:M81,"Included")=1,1,0)))</f>
        <v/>
      </c>
      <c r="Q81" s="26" t="str">
        <f aca="false">IF(B81="","",IF(N81&lt;&gt;"Material",0,IF(COUNTIFS($C$5:C81,C81,$D$5:D81,D81,$N$5:N81,"Material")=1,1,0)))</f>
        <v/>
      </c>
    </row>
    <row r="82" customFormat="false" ht="27.75" hidden="false" customHeight="true" outlineLevel="0" collapsed="false">
      <c r="A82" s="20" t="str">
        <f aca="false">IF(B82="","",ROW()-4)</f>
        <v/>
      </c>
      <c r="B82" s="21" t="str">
        <f aca="true">IFERROR(INDEX(InputIDs,ROW()-4),"")</f>
        <v/>
      </c>
      <c r="C82" s="21" t="str">
        <f aca="true">IFERROR(INDEX(InputPeriods,ROW()-4),"")</f>
        <v/>
      </c>
      <c r="D82" s="21" t="str">
        <f aca="true">IFERROR(INDEX(InputStore,ROW()-4),"")</f>
        <v/>
      </c>
      <c r="E82" s="21" t="str">
        <f aca="true">IFERROR(INDEX(InputDepartment,ROW()-4),"")</f>
        <v/>
      </c>
      <c r="F82" s="22" t="str">
        <f aca="true">IFERROR(IF(ISBLANK(INDEX(InputCounted,ROW()-4)),"",INDEX(InputCounted,ROW()-4)),"")</f>
        <v/>
      </c>
      <c r="G82" s="22" t="str">
        <f aca="true">IFERROR(IF(ISBLANK(INDEX(InputExpected,ROW()-4)),"",INDEX(InputExpected,ROW()-4)),"")</f>
        <v/>
      </c>
      <c r="H82" s="21" t="str">
        <f aca="true">IFERROR(INDEX(InputStatus,ROW()-4),"")</f>
        <v/>
      </c>
      <c r="I82" s="21" t="str">
        <f aca="true">IFERROR(IF(ISBLANK(INDEX(InputNote,ROW()-4)),"",INDEX(InputNote,ROW()-4)),"")</f>
        <v/>
      </c>
      <c r="J82" s="23" t="str">
        <f aca="false">IF(B82="","",IF(OR(F82="",G82=""),"",F82-G82))</f>
        <v/>
      </c>
      <c r="K82" s="24" t="str">
        <f aca="false">IF(B82="","",IF(OR(F82="",G82="",G82&lt;=0),"",J82/G82))</f>
        <v/>
      </c>
      <c r="L82" s="25" t="str">
        <f aca="false">IF(B82="","",IF(H82&lt;&gt;"Complete",IF(H82="Not inspected","Not inspected; retain visibly but exclude from performance metrics.","Incomplete; exclude from performance metrics."),IF(F82="","Missing counted units; do not infer zero.",IF(G82="","Missing expected units; percentage cannot be calculated.",IF(G82&lt;=0,"Expected units are zero; exclude from numeric comparison.","Included")))))</f>
        <v/>
      </c>
      <c r="M82" s="25" t="str">
        <f aca="false">IF(B82="","",IF(L82="Included","Included","Not included"))</f>
        <v/>
      </c>
      <c r="N82" s="25" t="str">
        <f aca="false">IF(B82="","",IF(M82&lt;&gt;"Included","Not applicable",IF(ABS(K82)&gt;=MaterialThreshold,"Material","Not material")))</f>
        <v/>
      </c>
      <c r="O82" s="25" t="str">
        <f aca="false">IF(B82="","",IF(M82&lt;&gt;"Included",L82,IF(ROUND(K82*100,0)=118,"Unusual but valid 118% result; retain source counts.",IF(N82="Material","Included material variance.","Included; ordinary variance."))))</f>
        <v/>
      </c>
      <c r="P82" s="26" t="str">
        <f aca="false">IF(B82="","",IF(M82&lt;&gt;"Included",0,IF(COUNTIFS($C$5:C82,C82,$D$5:D82,D82,$M$5:M82,"Included")=1,1,0)))</f>
        <v/>
      </c>
      <c r="Q82" s="26" t="str">
        <f aca="false">IF(B82="","",IF(N82&lt;&gt;"Material",0,IF(COUNTIFS($C$5:C82,C82,$D$5:D82,D82,$N$5:N82,"Material")=1,1,0)))</f>
        <v/>
      </c>
    </row>
    <row r="83" customFormat="false" ht="27.75" hidden="false" customHeight="true" outlineLevel="0" collapsed="false">
      <c r="A83" s="20" t="str">
        <f aca="false">IF(B83="","",ROW()-4)</f>
        <v/>
      </c>
      <c r="B83" s="21" t="str">
        <f aca="true">IFERROR(INDEX(InputIDs,ROW()-4),"")</f>
        <v/>
      </c>
      <c r="C83" s="21" t="str">
        <f aca="true">IFERROR(INDEX(InputPeriods,ROW()-4),"")</f>
        <v/>
      </c>
      <c r="D83" s="21" t="str">
        <f aca="true">IFERROR(INDEX(InputStore,ROW()-4),"")</f>
        <v/>
      </c>
      <c r="E83" s="21" t="str">
        <f aca="true">IFERROR(INDEX(InputDepartment,ROW()-4),"")</f>
        <v/>
      </c>
      <c r="F83" s="22" t="str">
        <f aca="true">IFERROR(IF(ISBLANK(INDEX(InputCounted,ROW()-4)),"",INDEX(InputCounted,ROW()-4)),"")</f>
        <v/>
      </c>
      <c r="G83" s="22" t="str">
        <f aca="true">IFERROR(IF(ISBLANK(INDEX(InputExpected,ROW()-4)),"",INDEX(InputExpected,ROW()-4)),"")</f>
        <v/>
      </c>
      <c r="H83" s="21" t="str">
        <f aca="true">IFERROR(INDEX(InputStatus,ROW()-4),"")</f>
        <v/>
      </c>
      <c r="I83" s="21" t="str">
        <f aca="true">IFERROR(IF(ISBLANK(INDEX(InputNote,ROW()-4)),"",INDEX(InputNote,ROW()-4)),"")</f>
        <v/>
      </c>
      <c r="J83" s="23" t="str">
        <f aca="false">IF(B83="","",IF(OR(F83="",G83=""),"",F83-G83))</f>
        <v/>
      </c>
      <c r="K83" s="24" t="str">
        <f aca="false">IF(B83="","",IF(OR(F83="",G83="",G83&lt;=0),"",J83/G83))</f>
        <v/>
      </c>
      <c r="L83" s="25" t="str">
        <f aca="false">IF(B83="","",IF(H83&lt;&gt;"Complete",IF(H83="Not inspected","Not inspected; retain visibly but exclude from performance metrics.","Incomplete; exclude from performance metrics."),IF(F83="","Missing counted units; do not infer zero.",IF(G83="","Missing expected units; percentage cannot be calculated.",IF(G83&lt;=0,"Expected units are zero; exclude from numeric comparison.","Included")))))</f>
        <v/>
      </c>
      <c r="M83" s="25" t="str">
        <f aca="false">IF(B83="","",IF(L83="Included","Included","Not included"))</f>
        <v/>
      </c>
      <c r="N83" s="25" t="str">
        <f aca="false">IF(B83="","",IF(M83&lt;&gt;"Included","Not applicable",IF(ABS(K83)&gt;=MaterialThreshold,"Material","Not material")))</f>
        <v/>
      </c>
      <c r="O83" s="25" t="str">
        <f aca="false">IF(B83="","",IF(M83&lt;&gt;"Included",L83,IF(ROUND(K83*100,0)=118,"Unusual but valid 118% result; retain source counts.",IF(N83="Material","Included material variance.","Included; ordinary variance."))))</f>
        <v/>
      </c>
      <c r="P83" s="26" t="str">
        <f aca="false">IF(B83="","",IF(M83&lt;&gt;"Included",0,IF(COUNTIFS($C$5:C83,C83,$D$5:D83,D83,$M$5:M83,"Included")=1,1,0)))</f>
        <v/>
      </c>
      <c r="Q83" s="26" t="str">
        <f aca="false">IF(B83="","",IF(N83&lt;&gt;"Material",0,IF(COUNTIFS($C$5:C83,C83,$D$5:D83,D83,$N$5:N83,"Material")=1,1,0)))</f>
        <v/>
      </c>
    </row>
    <row r="84" customFormat="false" ht="27.75" hidden="false" customHeight="true" outlineLevel="0" collapsed="false">
      <c r="A84" s="20" t="str">
        <f aca="false">IF(B84="","",ROW()-4)</f>
        <v/>
      </c>
      <c r="B84" s="21" t="str">
        <f aca="true">IFERROR(INDEX(InputIDs,ROW()-4),"")</f>
        <v/>
      </c>
      <c r="C84" s="21" t="str">
        <f aca="true">IFERROR(INDEX(InputPeriods,ROW()-4),"")</f>
        <v/>
      </c>
      <c r="D84" s="21" t="str">
        <f aca="true">IFERROR(INDEX(InputStore,ROW()-4),"")</f>
        <v/>
      </c>
      <c r="E84" s="21" t="str">
        <f aca="true">IFERROR(INDEX(InputDepartment,ROW()-4),"")</f>
        <v/>
      </c>
      <c r="F84" s="22" t="str">
        <f aca="true">IFERROR(IF(ISBLANK(INDEX(InputCounted,ROW()-4)),"",INDEX(InputCounted,ROW()-4)),"")</f>
        <v/>
      </c>
      <c r="G84" s="22" t="str">
        <f aca="true">IFERROR(IF(ISBLANK(INDEX(InputExpected,ROW()-4)),"",INDEX(InputExpected,ROW()-4)),"")</f>
        <v/>
      </c>
      <c r="H84" s="21" t="str">
        <f aca="true">IFERROR(INDEX(InputStatus,ROW()-4),"")</f>
        <v/>
      </c>
      <c r="I84" s="21" t="str">
        <f aca="true">IFERROR(IF(ISBLANK(INDEX(InputNote,ROW()-4)),"",INDEX(InputNote,ROW()-4)),"")</f>
        <v/>
      </c>
      <c r="J84" s="23" t="str">
        <f aca="false">IF(B84="","",IF(OR(F84="",G84=""),"",F84-G84))</f>
        <v/>
      </c>
      <c r="K84" s="24" t="str">
        <f aca="false">IF(B84="","",IF(OR(F84="",G84="",G84&lt;=0),"",J84/G84))</f>
        <v/>
      </c>
      <c r="L84" s="25" t="str">
        <f aca="false">IF(B84="","",IF(H84&lt;&gt;"Complete",IF(H84="Not inspected","Not inspected; retain visibly but exclude from performance metrics.","Incomplete; exclude from performance metrics."),IF(F84="","Missing counted units; do not infer zero.",IF(G84="","Missing expected units; percentage cannot be calculated.",IF(G84&lt;=0,"Expected units are zero; exclude from numeric comparison.","Included")))))</f>
        <v/>
      </c>
      <c r="M84" s="25" t="str">
        <f aca="false">IF(B84="","",IF(L84="Included","Included","Not included"))</f>
        <v/>
      </c>
      <c r="N84" s="25" t="str">
        <f aca="false">IF(B84="","",IF(M84&lt;&gt;"Included","Not applicable",IF(ABS(K84)&gt;=MaterialThreshold,"Material","Not material")))</f>
        <v/>
      </c>
      <c r="O84" s="25" t="str">
        <f aca="false">IF(B84="","",IF(M84&lt;&gt;"Included",L84,IF(ROUND(K84*100,0)=118,"Unusual but valid 118% result; retain source counts.",IF(N84="Material","Included material variance.","Included; ordinary variance."))))</f>
        <v/>
      </c>
      <c r="P84" s="26" t="str">
        <f aca="false">IF(B84="","",IF(M84&lt;&gt;"Included",0,IF(COUNTIFS($C$5:C84,C84,$D$5:D84,D84,$M$5:M84,"Included")=1,1,0)))</f>
        <v/>
      </c>
      <c r="Q84" s="26" t="str">
        <f aca="false">IF(B84="","",IF(N84&lt;&gt;"Material",0,IF(COUNTIFS($C$5:C84,C84,$D$5:D84,D84,$N$5:N84,"Material")=1,1,0)))</f>
        <v/>
      </c>
    </row>
    <row r="85" customFormat="false" ht="27.75" hidden="false" customHeight="true" outlineLevel="0" collapsed="false">
      <c r="A85" s="20" t="str">
        <f aca="false">IF(B85="","",ROW()-4)</f>
        <v/>
      </c>
      <c r="B85" s="21" t="str">
        <f aca="true">IFERROR(INDEX(InputIDs,ROW()-4),"")</f>
        <v/>
      </c>
      <c r="C85" s="21" t="str">
        <f aca="true">IFERROR(INDEX(InputPeriods,ROW()-4),"")</f>
        <v/>
      </c>
      <c r="D85" s="21" t="str">
        <f aca="true">IFERROR(INDEX(InputStore,ROW()-4),"")</f>
        <v/>
      </c>
      <c r="E85" s="21" t="str">
        <f aca="true">IFERROR(INDEX(InputDepartment,ROW()-4),"")</f>
        <v/>
      </c>
      <c r="F85" s="22" t="str">
        <f aca="true">IFERROR(IF(ISBLANK(INDEX(InputCounted,ROW()-4)),"",INDEX(InputCounted,ROW()-4)),"")</f>
        <v/>
      </c>
      <c r="G85" s="22" t="str">
        <f aca="true">IFERROR(IF(ISBLANK(INDEX(InputExpected,ROW()-4)),"",INDEX(InputExpected,ROW()-4)),"")</f>
        <v/>
      </c>
      <c r="H85" s="21" t="str">
        <f aca="true">IFERROR(INDEX(InputStatus,ROW()-4),"")</f>
        <v/>
      </c>
      <c r="I85" s="21" t="str">
        <f aca="true">IFERROR(IF(ISBLANK(INDEX(InputNote,ROW()-4)),"",INDEX(InputNote,ROW()-4)),"")</f>
        <v/>
      </c>
      <c r="J85" s="23" t="str">
        <f aca="false">IF(B85="","",IF(OR(F85="",G85=""),"",F85-G85))</f>
        <v/>
      </c>
      <c r="K85" s="24" t="str">
        <f aca="false">IF(B85="","",IF(OR(F85="",G85="",G85&lt;=0),"",J85/G85))</f>
        <v/>
      </c>
      <c r="L85" s="25" t="str">
        <f aca="false">IF(B85="","",IF(H85&lt;&gt;"Complete",IF(H85="Not inspected","Not inspected; retain visibly but exclude from performance metrics.","Incomplete; exclude from performance metrics."),IF(F85="","Missing counted units; do not infer zero.",IF(G85="","Missing expected units; percentage cannot be calculated.",IF(G85&lt;=0,"Expected units are zero; exclude from numeric comparison.","Included")))))</f>
        <v/>
      </c>
      <c r="M85" s="25" t="str">
        <f aca="false">IF(B85="","",IF(L85="Included","Included","Not included"))</f>
        <v/>
      </c>
      <c r="N85" s="25" t="str">
        <f aca="false">IF(B85="","",IF(M85&lt;&gt;"Included","Not applicable",IF(ABS(K85)&gt;=MaterialThreshold,"Material","Not material")))</f>
        <v/>
      </c>
      <c r="O85" s="25" t="str">
        <f aca="false">IF(B85="","",IF(M85&lt;&gt;"Included",L85,IF(ROUND(K85*100,0)=118,"Unusual but valid 118% result; retain source counts.",IF(N85="Material","Included material variance.","Included; ordinary variance."))))</f>
        <v/>
      </c>
      <c r="P85" s="26" t="str">
        <f aca="false">IF(B85="","",IF(M85&lt;&gt;"Included",0,IF(COUNTIFS($C$5:C85,C85,$D$5:D85,D85,$M$5:M85,"Included")=1,1,0)))</f>
        <v/>
      </c>
      <c r="Q85" s="26" t="str">
        <f aca="false">IF(B85="","",IF(N85&lt;&gt;"Material",0,IF(COUNTIFS($C$5:C85,C85,$D$5:D85,D85,$N$5:N85,"Material")=1,1,0)))</f>
        <v/>
      </c>
    </row>
    <row r="86" customFormat="false" ht="27.75" hidden="false" customHeight="true" outlineLevel="0" collapsed="false">
      <c r="A86" s="20" t="str">
        <f aca="false">IF(B86="","",ROW()-4)</f>
        <v/>
      </c>
      <c r="B86" s="21" t="str">
        <f aca="true">IFERROR(INDEX(InputIDs,ROW()-4),"")</f>
        <v/>
      </c>
      <c r="C86" s="21" t="str">
        <f aca="true">IFERROR(INDEX(InputPeriods,ROW()-4),"")</f>
        <v/>
      </c>
      <c r="D86" s="21" t="str">
        <f aca="true">IFERROR(INDEX(InputStore,ROW()-4),"")</f>
        <v/>
      </c>
      <c r="E86" s="21" t="str">
        <f aca="true">IFERROR(INDEX(InputDepartment,ROW()-4),"")</f>
        <v/>
      </c>
      <c r="F86" s="22" t="str">
        <f aca="true">IFERROR(IF(ISBLANK(INDEX(InputCounted,ROW()-4)),"",INDEX(InputCounted,ROW()-4)),"")</f>
        <v/>
      </c>
      <c r="G86" s="22" t="str">
        <f aca="true">IFERROR(IF(ISBLANK(INDEX(InputExpected,ROW()-4)),"",INDEX(InputExpected,ROW()-4)),"")</f>
        <v/>
      </c>
      <c r="H86" s="21" t="str">
        <f aca="true">IFERROR(INDEX(InputStatus,ROW()-4),"")</f>
        <v/>
      </c>
      <c r="I86" s="21" t="str">
        <f aca="true">IFERROR(IF(ISBLANK(INDEX(InputNote,ROW()-4)),"",INDEX(InputNote,ROW()-4)),"")</f>
        <v/>
      </c>
      <c r="J86" s="23" t="str">
        <f aca="false">IF(B86="","",IF(OR(F86="",G86=""),"",F86-G86))</f>
        <v/>
      </c>
      <c r="K86" s="24" t="str">
        <f aca="false">IF(B86="","",IF(OR(F86="",G86="",G86&lt;=0),"",J86/G86))</f>
        <v/>
      </c>
      <c r="L86" s="25" t="str">
        <f aca="false">IF(B86="","",IF(H86&lt;&gt;"Complete",IF(H86="Not inspected","Not inspected; retain visibly but exclude from performance metrics.","Incomplete; exclude from performance metrics."),IF(F86="","Missing counted units; do not infer zero.",IF(G86="","Missing expected units; percentage cannot be calculated.",IF(G86&lt;=0,"Expected units are zero; exclude from numeric comparison.","Included")))))</f>
        <v/>
      </c>
      <c r="M86" s="25" t="str">
        <f aca="false">IF(B86="","",IF(L86="Included","Included","Not included"))</f>
        <v/>
      </c>
      <c r="N86" s="25" t="str">
        <f aca="false">IF(B86="","",IF(M86&lt;&gt;"Included","Not applicable",IF(ABS(K86)&gt;=MaterialThreshold,"Material","Not material")))</f>
        <v/>
      </c>
      <c r="O86" s="25" t="str">
        <f aca="false">IF(B86="","",IF(M86&lt;&gt;"Included",L86,IF(ROUND(K86*100,0)=118,"Unusual but valid 118% result; retain source counts.",IF(N86="Material","Included material variance.","Included; ordinary variance."))))</f>
        <v/>
      </c>
      <c r="P86" s="26" t="str">
        <f aca="false">IF(B86="","",IF(M86&lt;&gt;"Included",0,IF(COUNTIFS($C$5:C86,C86,$D$5:D86,D86,$M$5:M86,"Included")=1,1,0)))</f>
        <v/>
      </c>
      <c r="Q86" s="26" t="str">
        <f aca="false">IF(B86="","",IF(N86&lt;&gt;"Material",0,IF(COUNTIFS($C$5:C86,C86,$D$5:D86,D86,$N$5:N86,"Material")=1,1,0)))</f>
        <v/>
      </c>
    </row>
    <row r="87" customFormat="false" ht="27.75" hidden="false" customHeight="true" outlineLevel="0" collapsed="false">
      <c r="A87" s="20" t="str">
        <f aca="false">IF(B87="","",ROW()-4)</f>
        <v/>
      </c>
      <c r="B87" s="21" t="str">
        <f aca="true">IFERROR(INDEX(InputIDs,ROW()-4),"")</f>
        <v/>
      </c>
      <c r="C87" s="21" t="str">
        <f aca="true">IFERROR(INDEX(InputPeriods,ROW()-4),"")</f>
        <v/>
      </c>
      <c r="D87" s="21" t="str">
        <f aca="true">IFERROR(INDEX(InputStore,ROW()-4),"")</f>
        <v/>
      </c>
      <c r="E87" s="21" t="str">
        <f aca="true">IFERROR(INDEX(InputDepartment,ROW()-4),"")</f>
        <v/>
      </c>
      <c r="F87" s="22" t="str">
        <f aca="true">IFERROR(IF(ISBLANK(INDEX(InputCounted,ROW()-4)),"",INDEX(InputCounted,ROW()-4)),"")</f>
        <v/>
      </c>
      <c r="G87" s="22" t="str">
        <f aca="true">IFERROR(IF(ISBLANK(INDEX(InputExpected,ROW()-4)),"",INDEX(InputExpected,ROW()-4)),"")</f>
        <v/>
      </c>
      <c r="H87" s="21" t="str">
        <f aca="true">IFERROR(INDEX(InputStatus,ROW()-4),"")</f>
        <v/>
      </c>
      <c r="I87" s="21" t="str">
        <f aca="true">IFERROR(IF(ISBLANK(INDEX(InputNote,ROW()-4)),"",INDEX(InputNote,ROW()-4)),"")</f>
        <v/>
      </c>
      <c r="J87" s="23" t="str">
        <f aca="false">IF(B87="","",IF(OR(F87="",G87=""),"",F87-G87))</f>
        <v/>
      </c>
      <c r="K87" s="24" t="str">
        <f aca="false">IF(B87="","",IF(OR(F87="",G87="",G87&lt;=0),"",J87/G87))</f>
        <v/>
      </c>
      <c r="L87" s="25" t="str">
        <f aca="false">IF(B87="","",IF(H87&lt;&gt;"Complete",IF(H87="Not inspected","Not inspected; retain visibly but exclude from performance metrics.","Incomplete; exclude from performance metrics."),IF(F87="","Missing counted units; do not infer zero.",IF(G87="","Missing expected units; percentage cannot be calculated.",IF(G87&lt;=0,"Expected units are zero; exclude from numeric comparison.","Included")))))</f>
        <v/>
      </c>
      <c r="M87" s="25" t="str">
        <f aca="false">IF(B87="","",IF(L87="Included","Included","Not included"))</f>
        <v/>
      </c>
      <c r="N87" s="25" t="str">
        <f aca="false">IF(B87="","",IF(M87&lt;&gt;"Included","Not applicable",IF(ABS(K87)&gt;=MaterialThreshold,"Material","Not material")))</f>
        <v/>
      </c>
      <c r="O87" s="25" t="str">
        <f aca="false">IF(B87="","",IF(M87&lt;&gt;"Included",L87,IF(ROUND(K87*100,0)=118,"Unusual but valid 118% result; retain source counts.",IF(N87="Material","Included material variance.","Included; ordinary variance."))))</f>
        <v/>
      </c>
      <c r="P87" s="26" t="str">
        <f aca="false">IF(B87="","",IF(M87&lt;&gt;"Included",0,IF(COUNTIFS($C$5:C87,C87,$D$5:D87,D87,$M$5:M87,"Included")=1,1,0)))</f>
        <v/>
      </c>
      <c r="Q87" s="26" t="str">
        <f aca="false">IF(B87="","",IF(N87&lt;&gt;"Material",0,IF(COUNTIFS($C$5:C87,C87,$D$5:D87,D87,$N$5:N87,"Material")=1,1,0)))</f>
        <v/>
      </c>
    </row>
    <row r="88" customFormat="false" ht="27.75" hidden="false" customHeight="true" outlineLevel="0" collapsed="false">
      <c r="A88" s="20" t="str">
        <f aca="false">IF(B88="","",ROW()-4)</f>
        <v/>
      </c>
      <c r="B88" s="21" t="str">
        <f aca="true">IFERROR(INDEX(InputIDs,ROW()-4),"")</f>
        <v/>
      </c>
      <c r="C88" s="21" t="str">
        <f aca="true">IFERROR(INDEX(InputPeriods,ROW()-4),"")</f>
        <v/>
      </c>
      <c r="D88" s="21" t="str">
        <f aca="true">IFERROR(INDEX(InputStore,ROW()-4),"")</f>
        <v/>
      </c>
      <c r="E88" s="21" t="str">
        <f aca="true">IFERROR(INDEX(InputDepartment,ROW()-4),"")</f>
        <v/>
      </c>
      <c r="F88" s="22" t="str">
        <f aca="true">IFERROR(IF(ISBLANK(INDEX(InputCounted,ROW()-4)),"",INDEX(InputCounted,ROW()-4)),"")</f>
        <v/>
      </c>
      <c r="G88" s="22" t="str">
        <f aca="true">IFERROR(IF(ISBLANK(INDEX(InputExpected,ROW()-4)),"",INDEX(InputExpected,ROW()-4)),"")</f>
        <v/>
      </c>
      <c r="H88" s="21" t="str">
        <f aca="true">IFERROR(INDEX(InputStatus,ROW()-4),"")</f>
        <v/>
      </c>
      <c r="I88" s="21" t="str">
        <f aca="true">IFERROR(IF(ISBLANK(INDEX(InputNote,ROW()-4)),"",INDEX(InputNote,ROW()-4)),"")</f>
        <v/>
      </c>
      <c r="J88" s="23" t="str">
        <f aca="false">IF(B88="","",IF(OR(F88="",G88=""),"",F88-G88))</f>
        <v/>
      </c>
      <c r="K88" s="24" t="str">
        <f aca="false">IF(B88="","",IF(OR(F88="",G88="",G88&lt;=0),"",J88/G88))</f>
        <v/>
      </c>
      <c r="L88" s="25" t="str">
        <f aca="false">IF(B88="","",IF(H88&lt;&gt;"Complete",IF(H88="Not inspected","Not inspected; retain visibly but exclude from performance metrics.","Incomplete; exclude from performance metrics."),IF(F88="","Missing counted units; do not infer zero.",IF(G88="","Missing expected units; percentage cannot be calculated.",IF(G88&lt;=0,"Expected units are zero; exclude from numeric comparison.","Included")))))</f>
        <v/>
      </c>
      <c r="M88" s="25" t="str">
        <f aca="false">IF(B88="","",IF(L88="Included","Included","Not included"))</f>
        <v/>
      </c>
      <c r="N88" s="25" t="str">
        <f aca="false">IF(B88="","",IF(M88&lt;&gt;"Included","Not applicable",IF(ABS(K88)&gt;=MaterialThreshold,"Material","Not material")))</f>
        <v/>
      </c>
      <c r="O88" s="25" t="str">
        <f aca="false">IF(B88="","",IF(M88&lt;&gt;"Included",L88,IF(ROUND(K88*100,0)=118,"Unusual but valid 118% result; retain source counts.",IF(N88="Material","Included material variance.","Included; ordinary variance."))))</f>
        <v/>
      </c>
      <c r="P88" s="26" t="str">
        <f aca="false">IF(B88="","",IF(M88&lt;&gt;"Included",0,IF(COUNTIFS($C$5:C88,C88,$D$5:D88,D88,$M$5:M88,"Included")=1,1,0)))</f>
        <v/>
      </c>
      <c r="Q88" s="26" t="str">
        <f aca="false">IF(B88="","",IF(N88&lt;&gt;"Material",0,IF(COUNTIFS($C$5:C88,C88,$D$5:D88,D88,$N$5:N88,"Material")=1,1,0)))</f>
        <v/>
      </c>
    </row>
    <row r="89" customFormat="false" ht="27.75" hidden="false" customHeight="true" outlineLevel="0" collapsed="false">
      <c r="A89" s="20" t="str">
        <f aca="false">IF(B89="","",ROW()-4)</f>
        <v/>
      </c>
      <c r="B89" s="21" t="str">
        <f aca="true">IFERROR(INDEX(InputIDs,ROW()-4),"")</f>
        <v/>
      </c>
      <c r="C89" s="21" t="str">
        <f aca="true">IFERROR(INDEX(InputPeriods,ROW()-4),"")</f>
        <v/>
      </c>
      <c r="D89" s="21" t="str">
        <f aca="true">IFERROR(INDEX(InputStore,ROW()-4),"")</f>
        <v/>
      </c>
      <c r="E89" s="21" t="str">
        <f aca="true">IFERROR(INDEX(InputDepartment,ROW()-4),"")</f>
        <v/>
      </c>
      <c r="F89" s="22" t="str">
        <f aca="true">IFERROR(IF(ISBLANK(INDEX(InputCounted,ROW()-4)),"",INDEX(InputCounted,ROW()-4)),"")</f>
        <v/>
      </c>
      <c r="G89" s="22" t="str">
        <f aca="true">IFERROR(IF(ISBLANK(INDEX(InputExpected,ROW()-4)),"",INDEX(InputExpected,ROW()-4)),"")</f>
        <v/>
      </c>
      <c r="H89" s="21" t="str">
        <f aca="true">IFERROR(INDEX(InputStatus,ROW()-4),"")</f>
        <v/>
      </c>
      <c r="I89" s="21" t="str">
        <f aca="true">IFERROR(IF(ISBLANK(INDEX(InputNote,ROW()-4)),"",INDEX(InputNote,ROW()-4)),"")</f>
        <v/>
      </c>
      <c r="J89" s="23" t="str">
        <f aca="false">IF(B89="","",IF(OR(F89="",G89=""),"",F89-G89))</f>
        <v/>
      </c>
      <c r="K89" s="24" t="str">
        <f aca="false">IF(B89="","",IF(OR(F89="",G89="",G89&lt;=0),"",J89/G89))</f>
        <v/>
      </c>
      <c r="L89" s="25" t="str">
        <f aca="false">IF(B89="","",IF(H89&lt;&gt;"Complete",IF(H89="Not inspected","Not inspected; retain visibly but exclude from performance metrics.","Incomplete; exclude from performance metrics."),IF(F89="","Missing counted units; do not infer zero.",IF(G89="","Missing expected units; percentage cannot be calculated.",IF(G89&lt;=0,"Expected units are zero; exclude from numeric comparison.","Included")))))</f>
        <v/>
      </c>
      <c r="M89" s="25" t="str">
        <f aca="false">IF(B89="","",IF(L89="Included","Included","Not included"))</f>
        <v/>
      </c>
      <c r="N89" s="25" t="str">
        <f aca="false">IF(B89="","",IF(M89&lt;&gt;"Included","Not applicable",IF(ABS(K89)&gt;=MaterialThreshold,"Material","Not material")))</f>
        <v/>
      </c>
      <c r="O89" s="25" t="str">
        <f aca="false">IF(B89="","",IF(M89&lt;&gt;"Included",L89,IF(ROUND(K89*100,0)=118,"Unusual but valid 118% result; retain source counts.",IF(N89="Material","Included material variance.","Included; ordinary variance."))))</f>
        <v/>
      </c>
      <c r="P89" s="26" t="str">
        <f aca="false">IF(B89="","",IF(M89&lt;&gt;"Included",0,IF(COUNTIFS($C$5:C89,C89,$D$5:D89,D89,$M$5:M89,"Included")=1,1,0)))</f>
        <v/>
      </c>
      <c r="Q89" s="26" t="str">
        <f aca="false">IF(B89="","",IF(N89&lt;&gt;"Material",0,IF(COUNTIFS($C$5:C89,C89,$D$5:D89,D89,$N$5:N89,"Material")=1,1,0)))</f>
        <v/>
      </c>
    </row>
    <row r="90" customFormat="false" ht="27.75" hidden="false" customHeight="true" outlineLevel="0" collapsed="false">
      <c r="A90" s="20" t="str">
        <f aca="false">IF(B90="","",ROW()-4)</f>
        <v/>
      </c>
      <c r="B90" s="21" t="str">
        <f aca="true">IFERROR(INDEX(InputIDs,ROW()-4),"")</f>
        <v/>
      </c>
      <c r="C90" s="21" t="str">
        <f aca="true">IFERROR(INDEX(InputPeriods,ROW()-4),"")</f>
        <v/>
      </c>
      <c r="D90" s="21" t="str">
        <f aca="true">IFERROR(INDEX(InputStore,ROW()-4),"")</f>
        <v/>
      </c>
      <c r="E90" s="21" t="str">
        <f aca="true">IFERROR(INDEX(InputDepartment,ROW()-4),"")</f>
        <v/>
      </c>
      <c r="F90" s="22" t="str">
        <f aca="true">IFERROR(IF(ISBLANK(INDEX(InputCounted,ROW()-4)),"",INDEX(InputCounted,ROW()-4)),"")</f>
        <v/>
      </c>
      <c r="G90" s="22" t="str">
        <f aca="true">IFERROR(IF(ISBLANK(INDEX(InputExpected,ROW()-4)),"",INDEX(InputExpected,ROW()-4)),"")</f>
        <v/>
      </c>
      <c r="H90" s="21" t="str">
        <f aca="true">IFERROR(INDEX(InputStatus,ROW()-4),"")</f>
        <v/>
      </c>
      <c r="I90" s="21" t="str">
        <f aca="true">IFERROR(IF(ISBLANK(INDEX(InputNote,ROW()-4)),"",INDEX(InputNote,ROW()-4)),"")</f>
        <v/>
      </c>
      <c r="J90" s="23" t="str">
        <f aca="false">IF(B90="","",IF(OR(F90="",G90=""),"",F90-G90))</f>
        <v/>
      </c>
      <c r="K90" s="24" t="str">
        <f aca="false">IF(B90="","",IF(OR(F90="",G90="",G90&lt;=0),"",J90/G90))</f>
        <v/>
      </c>
      <c r="L90" s="25" t="str">
        <f aca="false">IF(B90="","",IF(H90&lt;&gt;"Complete",IF(H90="Not inspected","Not inspected; retain visibly but exclude from performance metrics.","Incomplete; exclude from performance metrics."),IF(F90="","Missing counted units; do not infer zero.",IF(G90="","Missing expected units; percentage cannot be calculated.",IF(G90&lt;=0,"Expected units are zero; exclude from numeric comparison.","Included")))))</f>
        <v/>
      </c>
      <c r="M90" s="25" t="str">
        <f aca="false">IF(B90="","",IF(L90="Included","Included","Not included"))</f>
        <v/>
      </c>
      <c r="N90" s="25" t="str">
        <f aca="false">IF(B90="","",IF(M90&lt;&gt;"Included","Not applicable",IF(ABS(K90)&gt;=MaterialThreshold,"Material","Not material")))</f>
        <v/>
      </c>
      <c r="O90" s="25" t="str">
        <f aca="false">IF(B90="","",IF(M90&lt;&gt;"Included",L90,IF(ROUND(K90*100,0)=118,"Unusual but valid 118% result; retain source counts.",IF(N90="Material","Included material variance.","Included; ordinary variance."))))</f>
        <v/>
      </c>
      <c r="P90" s="26" t="str">
        <f aca="false">IF(B90="","",IF(M90&lt;&gt;"Included",0,IF(COUNTIFS($C$5:C90,C90,$D$5:D90,D90,$M$5:M90,"Included")=1,1,0)))</f>
        <v/>
      </c>
      <c r="Q90" s="26" t="str">
        <f aca="false">IF(B90="","",IF(N90&lt;&gt;"Material",0,IF(COUNTIFS($C$5:C90,C90,$D$5:D90,D90,$N$5:N90,"Material")=1,1,0)))</f>
        <v/>
      </c>
    </row>
    <row r="91" customFormat="false" ht="27.75" hidden="false" customHeight="true" outlineLevel="0" collapsed="false">
      <c r="A91" s="20" t="str">
        <f aca="false">IF(B91="","",ROW()-4)</f>
        <v/>
      </c>
      <c r="B91" s="21" t="str">
        <f aca="true">IFERROR(INDEX(InputIDs,ROW()-4),"")</f>
        <v/>
      </c>
      <c r="C91" s="21" t="str">
        <f aca="true">IFERROR(INDEX(InputPeriods,ROW()-4),"")</f>
        <v/>
      </c>
      <c r="D91" s="21" t="str">
        <f aca="true">IFERROR(INDEX(InputStore,ROW()-4),"")</f>
        <v/>
      </c>
      <c r="E91" s="21" t="str">
        <f aca="true">IFERROR(INDEX(InputDepartment,ROW()-4),"")</f>
        <v/>
      </c>
      <c r="F91" s="22" t="str">
        <f aca="true">IFERROR(IF(ISBLANK(INDEX(InputCounted,ROW()-4)),"",INDEX(InputCounted,ROW()-4)),"")</f>
        <v/>
      </c>
      <c r="G91" s="22" t="str">
        <f aca="true">IFERROR(IF(ISBLANK(INDEX(InputExpected,ROW()-4)),"",INDEX(InputExpected,ROW()-4)),"")</f>
        <v/>
      </c>
      <c r="H91" s="21" t="str">
        <f aca="true">IFERROR(INDEX(InputStatus,ROW()-4),"")</f>
        <v/>
      </c>
      <c r="I91" s="21" t="str">
        <f aca="true">IFERROR(IF(ISBLANK(INDEX(InputNote,ROW()-4)),"",INDEX(InputNote,ROW()-4)),"")</f>
        <v/>
      </c>
      <c r="J91" s="23" t="str">
        <f aca="false">IF(B91="","",IF(OR(F91="",G91=""),"",F91-G91))</f>
        <v/>
      </c>
      <c r="K91" s="24" t="str">
        <f aca="false">IF(B91="","",IF(OR(F91="",G91="",G91&lt;=0),"",J91/G91))</f>
        <v/>
      </c>
      <c r="L91" s="25" t="str">
        <f aca="false">IF(B91="","",IF(H91&lt;&gt;"Complete",IF(H91="Not inspected","Not inspected; retain visibly but exclude from performance metrics.","Incomplete; exclude from performance metrics."),IF(F91="","Missing counted units; do not infer zero.",IF(G91="","Missing expected units; percentage cannot be calculated.",IF(G91&lt;=0,"Expected units are zero; exclude from numeric comparison.","Included")))))</f>
        <v/>
      </c>
      <c r="M91" s="25" t="str">
        <f aca="false">IF(B91="","",IF(L91="Included","Included","Not included"))</f>
        <v/>
      </c>
      <c r="N91" s="25" t="str">
        <f aca="false">IF(B91="","",IF(M91&lt;&gt;"Included","Not applicable",IF(ABS(K91)&gt;=MaterialThreshold,"Material","Not material")))</f>
        <v/>
      </c>
      <c r="O91" s="25" t="str">
        <f aca="false">IF(B91="","",IF(M91&lt;&gt;"Included",L91,IF(ROUND(K91*100,0)=118,"Unusual but valid 118% result; retain source counts.",IF(N91="Material","Included material variance.","Included; ordinary variance."))))</f>
        <v/>
      </c>
      <c r="P91" s="26" t="str">
        <f aca="false">IF(B91="","",IF(M91&lt;&gt;"Included",0,IF(COUNTIFS($C$5:C91,C91,$D$5:D91,D91,$M$5:M91,"Included")=1,1,0)))</f>
        <v/>
      </c>
      <c r="Q91" s="26" t="str">
        <f aca="false">IF(B91="","",IF(N91&lt;&gt;"Material",0,IF(COUNTIFS($C$5:C91,C91,$D$5:D91,D91,$N$5:N91,"Material")=1,1,0)))</f>
        <v/>
      </c>
    </row>
    <row r="92" customFormat="false" ht="27.75" hidden="false" customHeight="true" outlineLevel="0" collapsed="false">
      <c r="A92" s="20" t="str">
        <f aca="false">IF(B92="","",ROW()-4)</f>
        <v/>
      </c>
      <c r="B92" s="21" t="str">
        <f aca="true">IFERROR(INDEX(InputIDs,ROW()-4),"")</f>
        <v/>
      </c>
      <c r="C92" s="21" t="str">
        <f aca="true">IFERROR(INDEX(InputPeriods,ROW()-4),"")</f>
        <v/>
      </c>
      <c r="D92" s="21" t="str">
        <f aca="true">IFERROR(INDEX(InputStore,ROW()-4),"")</f>
        <v/>
      </c>
      <c r="E92" s="21" t="str">
        <f aca="true">IFERROR(INDEX(InputDepartment,ROW()-4),"")</f>
        <v/>
      </c>
      <c r="F92" s="22" t="str">
        <f aca="true">IFERROR(IF(ISBLANK(INDEX(InputCounted,ROW()-4)),"",INDEX(InputCounted,ROW()-4)),"")</f>
        <v/>
      </c>
      <c r="G92" s="22" t="str">
        <f aca="true">IFERROR(IF(ISBLANK(INDEX(InputExpected,ROW()-4)),"",INDEX(InputExpected,ROW()-4)),"")</f>
        <v/>
      </c>
      <c r="H92" s="21" t="str">
        <f aca="true">IFERROR(INDEX(InputStatus,ROW()-4),"")</f>
        <v/>
      </c>
      <c r="I92" s="21" t="str">
        <f aca="true">IFERROR(IF(ISBLANK(INDEX(InputNote,ROW()-4)),"",INDEX(InputNote,ROW()-4)),"")</f>
        <v/>
      </c>
      <c r="J92" s="23" t="str">
        <f aca="false">IF(B92="","",IF(OR(F92="",G92=""),"",F92-G92))</f>
        <v/>
      </c>
      <c r="K92" s="24" t="str">
        <f aca="false">IF(B92="","",IF(OR(F92="",G92="",G92&lt;=0),"",J92/G92))</f>
        <v/>
      </c>
      <c r="L92" s="25" t="str">
        <f aca="false">IF(B92="","",IF(H92&lt;&gt;"Complete",IF(H92="Not inspected","Not inspected; retain visibly but exclude from performance metrics.","Incomplete; exclude from performance metrics."),IF(F92="","Missing counted units; do not infer zero.",IF(G92="","Missing expected units; percentage cannot be calculated.",IF(G92&lt;=0,"Expected units are zero; exclude from numeric comparison.","Included")))))</f>
        <v/>
      </c>
      <c r="M92" s="25" t="str">
        <f aca="false">IF(B92="","",IF(L92="Included","Included","Not included"))</f>
        <v/>
      </c>
      <c r="N92" s="25" t="str">
        <f aca="false">IF(B92="","",IF(M92&lt;&gt;"Included","Not applicable",IF(ABS(K92)&gt;=MaterialThreshold,"Material","Not material")))</f>
        <v/>
      </c>
      <c r="O92" s="25" t="str">
        <f aca="false">IF(B92="","",IF(M92&lt;&gt;"Included",L92,IF(ROUND(K92*100,0)=118,"Unusual but valid 118% result; retain source counts.",IF(N92="Material","Included material variance.","Included; ordinary variance."))))</f>
        <v/>
      </c>
      <c r="P92" s="26" t="str">
        <f aca="false">IF(B92="","",IF(M92&lt;&gt;"Included",0,IF(COUNTIFS($C$5:C92,C92,$D$5:D92,D92,$M$5:M92,"Included")=1,1,0)))</f>
        <v/>
      </c>
      <c r="Q92" s="26" t="str">
        <f aca="false">IF(B92="","",IF(N92&lt;&gt;"Material",0,IF(COUNTIFS($C$5:C92,C92,$D$5:D92,D92,$N$5:N92,"Material")=1,1,0)))</f>
        <v/>
      </c>
    </row>
    <row r="93" customFormat="false" ht="27.75" hidden="false" customHeight="true" outlineLevel="0" collapsed="false">
      <c r="A93" s="20" t="str">
        <f aca="false">IF(B93="","",ROW()-4)</f>
        <v/>
      </c>
      <c r="B93" s="21" t="str">
        <f aca="true">IFERROR(INDEX(InputIDs,ROW()-4),"")</f>
        <v/>
      </c>
      <c r="C93" s="21" t="str">
        <f aca="true">IFERROR(INDEX(InputPeriods,ROW()-4),"")</f>
        <v/>
      </c>
      <c r="D93" s="21" t="str">
        <f aca="true">IFERROR(INDEX(InputStore,ROW()-4),"")</f>
        <v/>
      </c>
      <c r="E93" s="21" t="str">
        <f aca="true">IFERROR(INDEX(InputDepartment,ROW()-4),"")</f>
        <v/>
      </c>
      <c r="F93" s="22" t="str">
        <f aca="true">IFERROR(IF(ISBLANK(INDEX(InputCounted,ROW()-4)),"",INDEX(InputCounted,ROW()-4)),"")</f>
        <v/>
      </c>
      <c r="G93" s="22" t="str">
        <f aca="true">IFERROR(IF(ISBLANK(INDEX(InputExpected,ROW()-4)),"",INDEX(InputExpected,ROW()-4)),"")</f>
        <v/>
      </c>
      <c r="H93" s="21" t="str">
        <f aca="true">IFERROR(INDEX(InputStatus,ROW()-4),"")</f>
        <v/>
      </c>
      <c r="I93" s="21" t="str">
        <f aca="true">IFERROR(IF(ISBLANK(INDEX(InputNote,ROW()-4)),"",INDEX(InputNote,ROW()-4)),"")</f>
        <v/>
      </c>
      <c r="J93" s="23" t="str">
        <f aca="false">IF(B93="","",IF(OR(F93="",G93=""),"",F93-G93))</f>
        <v/>
      </c>
      <c r="K93" s="24" t="str">
        <f aca="false">IF(B93="","",IF(OR(F93="",G93="",G93&lt;=0),"",J93/G93))</f>
        <v/>
      </c>
      <c r="L93" s="25" t="str">
        <f aca="false">IF(B93="","",IF(H93&lt;&gt;"Complete",IF(H93="Not inspected","Not inspected; retain visibly but exclude from performance metrics.","Incomplete; exclude from performance metrics."),IF(F93="","Missing counted units; do not infer zero.",IF(G93="","Missing expected units; percentage cannot be calculated.",IF(G93&lt;=0,"Expected units are zero; exclude from numeric comparison.","Included")))))</f>
        <v/>
      </c>
      <c r="M93" s="25" t="str">
        <f aca="false">IF(B93="","",IF(L93="Included","Included","Not included"))</f>
        <v/>
      </c>
      <c r="N93" s="25" t="str">
        <f aca="false">IF(B93="","",IF(M93&lt;&gt;"Included","Not applicable",IF(ABS(K93)&gt;=MaterialThreshold,"Material","Not material")))</f>
        <v/>
      </c>
      <c r="O93" s="25" t="str">
        <f aca="false">IF(B93="","",IF(M93&lt;&gt;"Included",L93,IF(ROUND(K93*100,0)=118,"Unusual but valid 118% result; retain source counts.",IF(N93="Material","Included material variance.","Included; ordinary variance."))))</f>
        <v/>
      </c>
      <c r="P93" s="26" t="str">
        <f aca="false">IF(B93="","",IF(M93&lt;&gt;"Included",0,IF(COUNTIFS($C$5:C93,C93,$D$5:D93,D93,$M$5:M93,"Included")=1,1,0)))</f>
        <v/>
      </c>
      <c r="Q93" s="26" t="str">
        <f aca="false">IF(B93="","",IF(N93&lt;&gt;"Material",0,IF(COUNTIFS($C$5:C93,C93,$D$5:D93,D93,$N$5:N93,"Material")=1,1,0)))</f>
        <v/>
      </c>
    </row>
    <row r="94" customFormat="false" ht="27.75" hidden="false" customHeight="true" outlineLevel="0" collapsed="false">
      <c r="A94" s="20" t="str">
        <f aca="false">IF(B94="","",ROW()-4)</f>
        <v/>
      </c>
      <c r="B94" s="21" t="str">
        <f aca="true">IFERROR(INDEX(InputIDs,ROW()-4),"")</f>
        <v/>
      </c>
      <c r="C94" s="21" t="str">
        <f aca="true">IFERROR(INDEX(InputPeriods,ROW()-4),"")</f>
        <v/>
      </c>
      <c r="D94" s="21" t="str">
        <f aca="true">IFERROR(INDEX(InputStore,ROW()-4),"")</f>
        <v/>
      </c>
      <c r="E94" s="21" t="str">
        <f aca="true">IFERROR(INDEX(InputDepartment,ROW()-4),"")</f>
        <v/>
      </c>
      <c r="F94" s="22" t="str">
        <f aca="true">IFERROR(IF(ISBLANK(INDEX(InputCounted,ROW()-4)),"",INDEX(InputCounted,ROW()-4)),"")</f>
        <v/>
      </c>
      <c r="G94" s="22" t="str">
        <f aca="true">IFERROR(IF(ISBLANK(INDEX(InputExpected,ROW()-4)),"",INDEX(InputExpected,ROW()-4)),"")</f>
        <v/>
      </c>
      <c r="H94" s="21" t="str">
        <f aca="true">IFERROR(INDEX(InputStatus,ROW()-4),"")</f>
        <v/>
      </c>
      <c r="I94" s="21" t="str">
        <f aca="true">IFERROR(IF(ISBLANK(INDEX(InputNote,ROW()-4)),"",INDEX(InputNote,ROW()-4)),"")</f>
        <v/>
      </c>
      <c r="J94" s="23" t="str">
        <f aca="false">IF(B94="","",IF(OR(F94="",G94=""),"",F94-G94))</f>
        <v/>
      </c>
      <c r="K94" s="24" t="str">
        <f aca="false">IF(B94="","",IF(OR(F94="",G94="",G94&lt;=0),"",J94/G94))</f>
        <v/>
      </c>
      <c r="L94" s="25" t="str">
        <f aca="false">IF(B94="","",IF(H94&lt;&gt;"Complete",IF(H94="Not inspected","Not inspected; retain visibly but exclude from performance metrics.","Incomplete; exclude from performance metrics."),IF(F94="","Missing counted units; do not infer zero.",IF(G94="","Missing expected units; percentage cannot be calculated.",IF(G94&lt;=0,"Expected units are zero; exclude from numeric comparison.","Included")))))</f>
        <v/>
      </c>
      <c r="M94" s="25" t="str">
        <f aca="false">IF(B94="","",IF(L94="Included","Included","Not included"))</f>
        <v/>
      </c>
      <c r="N94" s="25" t="str">
        <f aca="false">IF(B94="","",IF(M94&lt;&gt;"Included","Not applicable",IF(ABS(K94)&gt;=MaterialThreshold,"Material","Not material")))</f>
        <v/>
      </c>
      <c r="O94" s="25" t="str">
        <f aca="false">IF(B94="","",IF(M94&lt;&gt;"Included",L94,IF(ROUND(K94*100,0)=118,"Unusual but valid 118% result; retain source counts.",IF(N94="Material","Included material variance.","Included; ordinary variance."))))</f>
        <v/>
      </c>
      <c r="P94" s="26" t="str">
        <f aca="false">IF(B94="","",IF(M94&lt;&gt;"Included",0,IF(COUNTIFS($C$5:C94,C94,$D$5:D94,D94,$M$5:M94,"Included")=1,1,0)))</f>
        <v/>
      </c>
      <c r="Q94" s="26" t="str">
        <f aca="false">IF(B94="","",IF(N94&lt;&gt;"Material",0,IF(COUNTIFS($C$5:C94,C94,$D$5:D94,D94,$N$5:N94,"Material")=1,1,0)))</f>
        <v/>
      </c>
    </row>
    <row r="95" customFormat="false" ht="27.75" hidden="false" customHeight="true" outlineLevel="0" collapsed="false">
      <c r="A95" s="20" t="str">
        <f aca="false">IF(B95="","",ROW()-4)</f>
        <v/>
      </c>
      <c r="B95" s="21" t="str">
        <f aca="true">IFERROR(INDEX(InputIDs,ROW()-4),"")</f>
        <v/>
      </c>
      <c r="C95" s="21" t="str">
        <f aca="true">IFERROR(INDEX(InputPeriods,ROW()-4),"")</f>
        <v/>
      </c>
      <c r="D95" s="21" t="str">
        <f aca="true">IFERROR(INDEX(InputStore,ROW()-4),"")</f>
        <v/>
      </c>
      <c r="E95" s="21" t="str">
        <f aca="true">IFERROR(INDEX(InputDepartment,ROW()-4),"")</f>
        <v/>
      </c>
      <c r="F95" s="22" t="str">
        <f aca="true">IFERROR(IF(ISBLANK(INDEX(InputCounted,ROW()-4)),"",INDEX(InputCounted,ROW()-4)),"")</f>
        <v/>
      </c>
      <c r="G95" s="22" t="str">
        <f aca="true">IFERROR(IF(ISBLANK(INDEX(InputExpected,ROW()-4)),"",INDEX(InputExpected,ROW()-4)),"")</f>
        <v/>
      </c>
      <c r="H95" s="21" t="str">
        <f aca="true">IFERROR(INDEX(InputStatus,ROW()-4),"")</f>
        <v/>
      </c>
      <c r="I95" s="21" t="str">
        <f aca="true">IFERROR(IF(ISBLANK(INDEX(InputNote,ROW()-4)),"",INDEX(InputNote,ROW()-4)),"")</f>
        <v/>
      </c>
      <c r="J95" s="23" t="str">
        <f aca="false">IF(B95="","",IF(OR(F95="",G95=""),"",F95-G95))</f>
        <v/>
      </c>
      <c r="K95" s="24" t="str">
        <f aca="false">IF(B95="","",IF(OR(F95="",G95="",G95&lt;=0),"",J95/G95))</f>
        <v/>
      </c>
      <c r="L95" s="25" t="str">
        <f aca="false">IF(B95="","",IF(H95&lt;&gt;"Complete",IF(H95="Not inspected","Not inspected; retain visibly but exclude from performance metrics.","Incomplete; exclude from performance metrics."),IF(F95="","Missing counted units; do not infer zero.",IF(G95="","Missing expected units; percentage cannot be calculated.",IF(G95&lt;=0,"Expected units are zero; exclude from numeric comparison.","Included")))))</f>
        <v/>
      </c>
      <c r="M95" s="25" t="str">
        <f aca="false">IF(B95="","",IF(L95="Included","Included","Not included"))</f>
        <v/>
      </c>
      <c r="N95" s="25" t="str">
        <f aca="false">IF(B95="","",IF(M95&lt;&gt;"Included","Not applicable",IF(ABS(K95)&gt;=MaterialThreshold,"Material","Not material")))</f>
        <v/>
      </c>
      <c r="O95" s="25" t="str">
        <f aca="false">IF(B95="","",IF(M95&lt;&gt;"Included",L95,IF(ROUND(K95*100,0)=118,"Unusual but valid 118% result; retain source counts.",IF(N95="Material","Included material variance.","Included; ordinary variance."))))</f>
        <v/>
      </c>
      <c r="P95" s="26" t="str">
        <f aca="false">IF(B95="","",IF(M95&lt;&gt;"Included",0,IF(COUNTIFS($C$5:C95,C95,$D$5:D95,D95,$M$5:M95,"Included")=1,1,0)))</f>
        <v/>
      </c>
      <c r="Q95" s="26" t="str">
        <f aca="false">IF(B95="","",IF(N95&lt;&gt;"Material",0,IF(COUNTIFS($C$5:C95,C95,$D$5:D95,D95,$N$5:N95,"Material")=1,1,0)))</f>
        <v/>
      </c>
    </row>
    <row r="96" customFormat="false" ht="27.75" hidden="false" customHeight="true" outlineLevel="0" collapsed="false">
      <c r="A96" s="20" t="str">
        <f aca="false">IF(B96="","",ROW()-4)</f>
        <v/>
      </c>
      <c r="B96" s="21" t="str">
        <f aca="true">IFERROR(INDEX(InputIDs,ROW()-4),"")</f>
        <v/>
      </c>
      <c r="C96" s="21" t="str">
        <f aca="true">IFERROR(INDEX(InputPeriods,ROW()-4),"")</f>
        <v/>
      </c>
      <c r="D96" s="21" t="str">
        <f aca="true">IFERROR(INDEX(InputStore,ROW()-4),"")</f>
        <v/>
      </c>
      <c r="E96" s="21" t="str">
        <f aca="true">IFERROR(INDEX(InputDepartment,ROW()-4),"")</f>
        <v/>
      </c>
      <c r="F96" s="22" t="str">
        <f aca="true">IFERROR(IF(ISBLANK(INDEX(InputCounted,ROW()-4)),"",INDEX(InputCounted,ROW()-4)),"")</f>
        <v/>
      </c>
      <c r="G96" s="22" t="str">
        <f aca="true">IFERROR(IF(ISBLANK(INDEX(InputExpected,ROW()-4)),"",INDEX(InputExpected,ROW()-4)),"")</f>
        <v/>
      </c>
      <c r="H96" s="21" t="str">
        <f aca="true">IFERROR(INDEX(InputStatus,ROW()-4),"")</f>
        <v/>
      </c>
      <c r="I96" s="21" t="str">
        <f aca="true">IFERROR(IF(ISBLANK(INDEX(InputNote,ROW()-4)),"",INDEX(InputNote,ROW()-4)),"")</f>
        <v/>
      </c>
      <c r="J96" s="23" t="str">
        <f aca="false">IF(B96="","",IF(OR(F96="",G96=""),"",F96-G96))</f>
        <v/>
      </c>
      <c r="K96" s="24" t="str">
        <f aca="false">IF(B96="","",IF(OR(F96="",G96="",G96&lt;=0),"",J96/G96))</f>
        <v/>
      </c>
      <c r="L96" s="25" t="str">
        <f aca="false">IF(B96="","",IF(H96&lt;&gt;"Complete",IF(H96="Not inspected","Not inspected; retain visibly but exclude from performance metrics.","Incomplete; exclude from performance metrics."),IF(F96="","Missing counted units; do not infer zero.",IF(G96="","Missing expected units; percentage cannot be calculated.",IF(G96&lt;=0,"Expected units are zero; exclude from numeric comparison.","Included")))))</f>
        <v/>
      </c>
      <c r="M96" s="25" t="str">
        <f aca="false">IF(B96="","",IF(L96="Included","Included","Not included"))</f>
        <v/>
      </c>
      <c r="N96" s="25" t="str">
        <f aca="false">IF(B96="","",IF(M96&lt;&gt;"Included","Not applicable",IF(ABS(K96)&gt;=MaterialThreshold,"Material","Not material")))</f>
        <v/>
      </c>
      <c r="O96" s="25" t="str">
        <f aca="false">IF(B96="","",IF(M96&lt;&gt;"Included",L96,IF(ROUND(K96*100,0)=118,"Unusual but valid 118% result; retain source counts.",IF(N96="Material","Included material variance.","Included; ordinary variance."))))</f>
        <v/>
      </c>
      <c r="P96" s="26" t="str">
        <f aca="false">IF(B96="","",IF(M96&lt;&gt;"Included",0,IF(COUNTIFS($C$5:C96,C96,$D$5:D96,D96,$M$5:M96,"Included")=1,1,0)))</f>
        <v/>
      </c>
      <c r="Q96" s="26" t="str">
        <f aca="false">IF(B96="","",IF(N96&lt;&gt;"Material",0,IF(COUNTIFS($C$5:C96,C96,$D$5:D96,D96,$N$5:N96,"Material")=1,1,0)))</f>
        <v/>
      </c>
    </row>
    <row r="97" customFormat="false" ht="27.75" hidden="false" customHeight="true" outlineLevel="0" collapsed="false">
      <c r="A97" s="20" t="str">
        <f aca="false">IF(B97="","",ROW()-4)</f>
        <v/>
      </c>
      <c r="B97" s="21" t="str">
        <f aca="true">IFERROR(INDEX(InputIDs,ROW()-4),"")</f>
        <v/>
      </c>
      <c r="C97" s="21" t="str">
        <f aca="true">IFERROR(INDEX(InputPeriods,ROW()-4),"")</f>
        <v/>
      </c>
      <c r="D97" s="21" t="str">
        <f aca="true">IFERROR(INDEX(InputStore,ROW()-4),"")</f>
        <v/>
      </c>
      <c r="E97" s="21" t="str">
        <f aca="true">IFERROR(INDEX(InputDepartment,ROW()-4),"")</f>
        <v/>
      </c>
      <c r="F97" s="22" t="str">
        <f aca="true">IFERROR(IF(ISBLANK(INDEX(InputCounted,ROW()-4)),"",INDEX(InputCounted,ROW()-4)),"")</f>
        <v/>
      </c>
      <c r="G97" s="22" t="str">
        <f aca="true">IFERROR(IF(ISBLANK(INDEX(InputExpected,ROW()-4)),"",INDEX(InputExpected,ROW()-4)),"")</f>
        <v/>
      </c>
      <c r="H97" s="21" t="str">
        <f aca="true">IFERROR(INDEX(InputStatus,ROW()-4),"")</f>
        <v/>
      </c>
      <c r="I97" s="21" t="str">
        <f aca="true">IFERROR(IF(ISBLANK(INDEX(InputNote,ROW()-4)),"",INDEX(InputNote,ROW()-4)),"")</f>
        <v/>
      </c>
      <c r="J97" s="23" t="str">
        <f aca="false">IF(B97="","",IF(OR(F97="",G97=""),"",F97-G97))</f>
        <v/>
      </c>
      <c r="K97" s="24" t="str">
        <f aca="false">IF(B97="","",IF(OR(F97="",G97="",G97&lt;=0),"",J97/G97))</f>
        <v/>
      </c>
      <c r="L97" s="25" t="str">
        <f aca="false">IF(B97="","",IF(H97&lt;&gt;"Complete",IF(H97="Not inspected","Not inspected; retain visibly but exclude from performance metrics.","Incomplete; exclude from performance metrics."),IF(F97="","Missing counted units; do not infer zero.",IF(G97="","Missing expected units; percentage cannot be calculated.",IF(G97&lt;=0,"Expected units are zero; exclude from numeric comparison.","Included")))))</f>
        <v/>
      </c>
      <c r="M97" s="25" t="str">
        <f aca="false">IF(B97="","",IF(L97="Included","Included","Not included"))</f>
        <v/>
      </c>
      <c r="N97" s="25" t="str">
        <f aca="false">IF(B97="","",IF(M97&lt;&gt;"Included","Not applicable",IF(ABS(K97)&gt;=MaterialThreshold,"Material","Not material")))</f>
        <v/>
      </c>
      <c r="O97" s="25" t="str">
        <f aca="false">IF(B97="","",IF(M97&lt;&gt;"Included",L97,IF(ROUND(K97*100,0)=118,"Unusual but valid 118% result; retain source counts.",IF(N97="Material","Included material variance.","Included; ordinary variance."))))</f>
        <v/>
      </c>
      <c r="P97" s="26" t="str">
        <f aca="false">IF(B97="","",IF(M97&lt;&gt;"Included",0,IF(COUNTIFS($C$5:C97,C97,$D$5:D97,D97,$M$5:M97,"Included")=1,1,0)))</f>
        <v/>
      </c>
      <c r="Q97" s="26" t="str">
        <f aca="false">IF(B97="","",IF(N97&lt;&gt;"Material",0,IF(COUNTIFS($C$5:C97,C97,$D$5:D97,D97,$N$5:N97,"Material")=1,1,0)))</f>
        <v/>
      </c>
    </row>
    <row r="98" customFormat="false" ht="27.75" hidden="false" customHeight="true" outlineLevel="0" collapsed="false">
      <c r="A98" s="20" t="str">
        <f aca="false">IF(B98="","",ROW()-4)</f>
        <v/>
      </c>
      <c r="B98" s="21" t="str">
        <f aca="true">IFERROR(INDEX(InputIDs,ROW()-4),"")</f>
        <v/>
      </c>
      <c r="C98" s="21" t="str">
        <f aca="true">IFERROR(INDEX(InputPeriods,ROW()-4),"")</f>
        <v/>
      </c>
      <c r="D98" s="21" t="str">
        <f aca="true">IFERROR(INDEX(InputStore,ROW()-4),"")</f>
        <v/>
      </c>
      <c r="E98" s="21" t="str">
        <f aca="true">IFERROR(INDEX(InputDepartment,ROW()-4),"")</f>
        <v/>
      </c>
      <c r="F98" s="22" t="str">
        <f aca="true">IFERROR(IF(ISBLANK(INDEX(InputCounted,ROW()-4)),"",INDEX(InputCounted,ROW()-4)),"")</f>
        <v/>
      </c>
      <c r="G98" s="22" t="str">
        <f aca="true">IFERROR(IF(ISBLANK(INDEX(InputExpected,ROW()-4)),"",INDEX(InputExpected,ROW()-4)),"")</f>
        <v/>
      </c>
      <c r="H98" s="21" t="str">
        <f aca="true">IFERROR(INDEX(InputStatus,ROW()-4),"")</f>
        <v/>
      </c>
      <c r="I98" s="21" t="str">
        <f aca="true">IFERROR(IF(ISBLANK(INDEX(InputNote,ROW()-4)),"",INDEX(InputNote,ROW()-4)),"")</f>
        <v/>
      </c>
      <c r="J98" s="23" t="str">
        <f aca="false">IF(B98="","",IF(OR(F98="",G98=""),"",F98-G98))</f>
        <v/>
      </c>
      <c r="K98" s="24" t="str">
        <f aca="false">IF(B98="","",IF(OR(F98="",G98="",G98&lt;=0),"",J98/G98))</f>
        <v/>
      </c>
      <c r="L98" s="25" t="str">
        <f aca="false">IF(B98="","",IF(H98&lt;&gt;"Complete",IF(H98="Not inspected","Not inspected; retain visibly but exclude from performance metrics.","Incomplete; exclude from performance metrics."),IF(F98="","Missing counted units; do not infer zero.",IF(G98="","Missing expected units; percentage cannot be calculated.",IF(G98&lt;=0,"Expected units are zero; exclude from numeric comparison.","Included")))))</f>
        <v/>
      </c>
      <c r="M98" s="25" t="str">
        <f aca="false">IF(B98="","",IF(L98="Included","Included","Not included"))</f>
        <v/>
      </c>
      <c r="N98" s="25" t="str">
        <f aca="false">IF(B98="","",IF(M98&lt;&gt;"Included","Not applicable",IF(ABS(K98)&gt;=MaterialThreshold,"Material","Not material")))</f>
        <v/>
      </c>
      <c r="O98" s="25" t="str">
        <f aca="false">IF(B98="","",IF(M98&lt;&gt;"Included",L98,IF(ROUND(K98*100,0)=118,"Unusual but valid 118% result; retain source counts.",IF(N98="Material","Included material variance.","Included; ordinary variance."))))</f>
        <v/>
      </c>
      <c r="P98" s="26" t="str">
        <f aca="false">IF(B98="","",IF(M98&lt;&gt;"Included",0,IF(COUNTIFS($C$5:C98,C98,$D$5:D98,D98,$M$5:M98,"Included")=1,1,0)))</f>
        <v/>
      </c>
      <c r="Q98" s="26" t="str">
        <f aca="false">IF(B98="","",IF(N98&lt;&gt;"Material",0,IF(COUNTIFS($C$5:C98,C98,$D$5:D98,D98,$N$5:N98,"Material")=1,1,0)))</f>
        <v/>
      </c>
    </row>
    <row r="99" customFormat="false" ht="27.75" hidden="false" customHeight="true" outlineLevel="0" collapsed="false">
      <c r="A99" s="20" t="str">
        <f aca="false">IF(B99="","",ROW()-4)</f>
        <v/>
      </c>
      <c r="B99" s="21" t="str">
        <f aca="true">IFERROR(INDEX(InputIDs,ROW()-4),"")</f>
        <v/>
      </c>
      <c r="C99" s="21" t="str">
        <f aca="true">IFERROR(INDEX(InputPeriods,ROW()-4),"")</f>
        <v/>
      </c>
      <c r="D99" s="21" t="str">
        <f aca="true">IFERROR(INDEX(InputStore,ROW()-4),"")</f>
        <v/>
      </c>
      <c r="E99" s="21" t="str">
        <f aca="true">IFERROR(INDEX(InputDepartment,ROW()-4),"")</f>
        <v/>
      </c>
      <c r="F99" s="22" t="str">
        <f aca="true">IFERROR(IF(ISBLANK(INDEX(InputCounted,ROW()-4)),"",INDEX(InputCounted,ROW()-4)),"")</f>
        <v/>
      </c>
      <c r="G99" s="22" t="str">
        <f aca="true">IFERROR(IF(ISBLANK(INDEX(InputExpected,ROW()-4)),"",INDEX(InputExpected,ROW()-4)),"")</f>
        <v/>
      </c>
      <c r="H99" s="21" t="str">
        <f aca="true">IFERROR(INDEX(InputStatus,ROW()-4),"")</f>
        <v/>
      </c>
      <c r="I99" s="21" t="str">
        <f aca="true">IFERROR(IF(ISBLANK(INDEX(InputNote,ROW()-4)),"",INDEX(InputNote,ROW()-4)),"")</f>
        <v/>
      </c>
      <c r="J99" s="23" t="str">
        <f aca="false">IF(B99="","",IF(OR(F99="",G99=""),"",F99-G99))</f>
        <v/>
      </c>
      <c r="K99" s="24" t="str">
        <f aca="false">IF(B99="","",IF(OR(F99="",G99="",G99&lt;=0),"",J99/G99))</f>
        <v/>
      </c>
      <c r="L99" s="25" t="str">
        <f aca="false">IF(B99="","",IF(H99&lt;&gt;"Complete",IF(H99="Not inspected","Not inspected; retain visibly but exclude from performance metrics.","Incomplete; exclude from performance metrics."),IF(F99="","Missing counted units; do not infer zero.",IF(G99="","Missing expected units; percentage cannot be calculated.",IF(G99&lt;=0,"Expected units are zero; exclude from numeric comparison.","Included")))))</f>
        <v/>
      </c>
      <c r="M99" s="25" t="str">
        <f aca="false">IF(B99="","",IF(L99="Included","Included","Not included"))</f>
        <v/>
      </c>
      <c r="N99" s="25" t="str">
        <f aca="false">IF(B99="","",IF(M99&lt;&gt;"Included","Not applicable",IF(ABS(K99)&gt;=MaterialThreshold,"Material","Not material")))</f>
        <v/>
      </c>
      <c r="O99" s="25" t="str">
        <f aca="false">IF(B99="","",IF(M99&lt;&gt;"Included",L99,IF(ROUND(K99*100,0)=118,"Unusual but valid 118% result; retain source counts.",IF(N99="Material","Included material variance.","Included; ordinary variance."))))</f>
        <v/>
      </c>
      <c r="P99" s="26" t="str">
        <f aca="false">IF(B99="","",IF(M99&lt;&gt;"Included",0,IF(COUNTIFS($C$5:C99,C99,$D$5:D99,D99,$M$5:M99,"Included")=1,1,0)))</f>
        <v/>
      </c>
      <c r="Q99" s="26" t="str">
        <f aca="false">IF(B99="","",IF(N99&lt;&gt;"Material",0,IF(COUNTIFS($C$5:C99,C99,$D$5:D99,D99,$N$5:N99,"Material")=1,1,0)))</f>
        <v/>
      </c>
    </row>
    <row r="100" customFormat="false" ht="27.75" hidden="false" customHeight="true" outlineLevel="0" collapsed="false">
      <c r="A100" s="20" t="str">
        <f aca="false">IF(B100="","",ROW()-4)</f>
        <v/>
      </c>
      <c r="B100" s="21" t="str">
        <f aca="true">IFERROR(INDEX(InputIDs,ROW()-4),"")</f>
        <v/>
      </c>
      <c r="C100" s="21" t="str">
        <f aca="true">IFERROR(INDEX(InputPeriods,ROW()-4),"")</f>
        <v/>
      </c>
      <c r="D100" s="21" t="str">
        <f aca="true">IFERROR(INDEX(InputStore,ROW()-4),"")</f>
        <v/>
      </c>
      <c r="E100" s="21" t="str">
        <f aca="true">IFERROR(INDEX(InputDepartment,ROW()-4),"")</f>
        <v/>
      </c>
      <c r="F100" s="22" t="str">
        <f aca="true">IFERROR(IF(ISBLANK(INDEX(InputCounted,ROW()-4)),"",INDEX(InputCounted,ROW()-4)),"")</f>
        <v/>
      </c>
      <c r="G100" s="22" t="str">
        <f aca="true">IFERROR(IF(ISBLANK(INDEX(InputExpected,ROW()-4)),"",INDEX(InputExpected,ROW()-4)),"")</f>
        <v/>
      </c>
      <c r="H100" s="21" t="str">
        <f aca="true">IFERROR(INDEX(InputStatus,ROW()-4),"")</f>
        <v/>
      </c>
      <c r="I100" s="21" t="str">
        <f aca="true">IFERROR(IF(ISBLANK(INDEX(InputNote,ROW()-4)),"",INDEX(InputNote,ROW()-4)),"")</f>
        <v/>
      </c>
      <c r="J100" s="23" t="str">
        <f aca="false">IF(B100="","",IF(OR(F100="",G100=""),"",F100-G100))</f>
        <v/>
      </c>
      <c r="K100" s="24" t="str">
        <f aca="false">IF(B100="","",IF(OR(F100="",G100="",G100&lt;=0),"",J100/G100))</f>
        <v/>
      </c>
      <c r="L100" s="25" t="str">
        <f aca="false">IF(B100="","",IF(H100&lt;&gt;"Complete",IF(H100="Not inspected","Not inspected; retain visibly but exclude from performance metrics.","Incomplete; exclude from performance metrics."),IF(F100="","Missing counted units; do not infer zero.",IF(G100="","Missing expected units; percentage cannot be calculated.",IF(G100&lt;=0,"Expected units are zero; exclude from numeric comparison.","Included")))))</f>
        <v/>
      </c>
      <c r="M100" s="25" t="str">
        <f aca="false">IF(B100="","",IF(L100="Included","Included","Not included"))</f>
        <v/>
      </c>
      <c r="N100" s="25" t="str">
        <f aca="false">IF(B100="","",IF(M100&lt;&gt;"Included","Not applicable",IF(ABS(K100)&gt;=MaterialThreshold,"Material","Not material")))</f>
        <v/>
      </c>
      <c r="O100" s="25" t="str">
        <f aca="false">IF(B100="","",IF(M100&lt;&gt;"Included",L100,IF(ROUND(K100*100,0)=118,"Unusual but valid 118% result; retain source counts.",IF(N100="Material","Included material variance.","Included; ordinary variance."))))</f>
        <v/>
      </c>
      <c r="P100" s="26" t="str">
        <f aca="false">IF(B100="","",IF(M100&lt;&gt;"Included",0,IF(COUNTIFS($C$5:C100,C100,$D$5:D100,D100,$M$5:M100,"Included")=1,1,0)))</f>
        <v/>
      </c>
      <c r="Q100" s="26" t="str">
        <f aca="false">IF(B100="","",IF(N100&lt;&gt;"Material",0,IF(COUNTIFS($C$5:C100,C100,$D$5:D100,D100,$N$5:N100,"Material")=1,1,0)))</f>
        <v/>
      </c>
    </row>
    <row r="101" customFormat="false" ht="27.75" hidden="false" customHeight="true" outlineLevel="0" collapsed="false">
      <c r="A101" s="20" t="str">
        <f aca="false">IF(B101="","",ROW()-4)</f>
        <v/>
      </c>
      <c r="B101" s="21" t="str">
        <f aca="true">IFERROR(INDEX(InputIDs,ROW()-4),"")</f>
        <v/>
      </c>
      <c r="C101" s="21" t="str">
        <f aca="true">IFERROR(INDEX(InputPeriods,ROW()-4),"")</f>
        <v/>
      </c>
      <c r="D101" s="21" t="str">
        <f aca="true">IFERROR(INDEX(InputStore,ROW()-4),"")</f>
        <v/>
      </c>
      <c r="E101" s="21" t="str">
        <f aca="true">IFERROR(INDEX(InputDepartment,ROW()-4),"")</f>
        <v/>
      </c>
      <c r="F101" s="22" t="str">
        <f aca="true">IFERROR(IF(ISBLANK(INDEX(InputCounted,ROW()-4)),"",INDEX(InputCounted,ROW()-4)),"")</f>
        <v/>
      </c>
      <c r="G101" s="22" t="str">
        <f aca="true">IFERROR(IF(ISBLANK(INDEX(InputExpected,ROW()-4)),"",INDEX(InputExpected,ROW()-4)),"")</f>
        <v/>
      </c>
      <c r="H101" s="21" t="str">
        <f aca="true">IFERROR(INDEX(InputStatus,ROW()-4),"")</f>
        <v/>
      </c>
      <c r="I101" s="21" t="str">
        <f aca="true">IFERROR(IF(ISBLANK(INDEX(InputNote,ROW()-4)),"",INDEX(InputNote,ROW()-4)),"")</f>
        <v/>
      </c>
      <c r="J101" s="23" t="str">
        <f aca="false">IF(B101="","",IF(OR(F101="",G101=""),"",F101-G101))</f>
        <v/>
      </c>
      <c r="K101" s="24" t="str">
        <f aca="false">IF(B101="","",IF(OR(F101="",G101="",G101&lt;=0),"",J101/G101))</f>
        <v/>
      </c>
      <c r="L101" s="25" t="str">
        <f aca="false">IF(B101="","",IF(H101&lt;&gt;"Complete",IF(H101="Not inspected","Not inspected; retain visibly but exclude from performance metrics.","Incomplete; exclude from performance metrics."),IF(F101="","Missing counted units; do not infer zero.",IF(G101="","Missing expected units; percentage cannot be calculated.",IF(G101&lt;=0,"Expected units are zero; exclude from numeric comparison.","Included")))))</f>
        <v/>
      </c>
      <c r="M101" s="25" t="str">
        <f aca="false">IF(B101="","",IF(L101="Included","Included","Not included"))</f>
        <v/>
      </c>
      <c r="N101" s="25" t="str">
        <f aca="false">IF(B101="","",IF(M101&lt;&gt;"Included","Not applicable",IF(ABS(K101)&gt;=MaterialThreshold,"Material","Not material")))</f>
        <v/>
      </c>
      <c r="O101" s="25" t="str">
        <f aca="false">IF(B101="","",IF(M101&lt;&gt;"Included",L101,IF(ROUND(K101*100,0)=118,"Unusual but valid 118% result; retain source counts.",IF(N101="Material","Included material variance.","Included; ordinary variance."))))</f>
        <v/>
      </c>
      <c r="P101" s="26" t="str">
        <f aca="false">IF(B101="","",IF(M101&lt;&gt;"Included",0,IF(COUNTIFS($C$5:C101,C101,$D$5:D101,D101,$M$5:M101,"Included")=1,1,0)))</f>
        <v/>
      </c>
      <c r="Q101" s="26" t="str">
        <f aca="false">IF(B101="","",IF(N101&lt;&gt;"Material",0,IF(COUNTIFS($C$5:C101,C101,$D$5:D101,D101,$N$5:N101,"Material")=1,1,0)))</f>
        <v/>
      </c>
    </row>
    <row r="102" customFormat="false" ht="27.75" hidden="false" customHeight="true" outlineLevel="0" collapsed="false">
      <c r="A102" s="20" t="str">
        <f aca="false">IF(B102="","",ROW()-4)</f>
        <v/>
      </c>
      <c r="B102" s="21" t="str">
        <f aca="true">IFERROR(INDEX(InputIDs,ROW()-4),"")</f>
        <v/>
      </c>
      <c r="C102" s="21" t="str">
        <f aca="true">IFERROR(INDEX(InputPeriods,ROW()-4),"")</f>
        <v/>
      </c>
      <c r="D102" s="21" t="str">
        <f aca="true">IFERROR(INDEX(InputStore,ROW()-4),"")</f>
        <v/>
      </c>
      <c r="E102" s="21" t="str">
        <f aca="true">IFERROR(INDEX(InputDepartment,ROW()-4),"")</f>
        <v/>
      </c>
      <c r="F102" s="22" t="str">
        <f aca="true">IFERROR(IF(ISBLANK(INDEX(InputCounted,ROW()-4)),"",INDEX(InputCounted,ROW()-4)),"")</f>
        <v/>
      </c>
      <c r="G102" s="22" t="str">
        <f aca="true">IFERROR(IF(ISBLANK(INDEX(InputExpected,ROW()-4)),"",INDEX(InputExpected,ROW()-4)),"")</f>
        <v/>
      </c>
      <c r="H102" s="21" t="str">
        <f aca="true">IFERROR(INDEX(InputStatus,ROW()-4),"")</f>
        <v/>
      </c>
      <c r="I102" s="21" t="str">
        <f aca="true">IFERROR(IF(ISBLANK(INDEX(InputNote,ROW()-4)),"",INDEX(InputNote,ROW()-4)),"")</f>
        <v/>
      </c>
      <c r="J102" s="23" t="str">
        <f aca="false">IF(B102="","",IF(OR(F102="",G102=""),"",F102-G102))</f>
        <v/>
      </c>
      <c r="K102" s="24" t="str">
        <f aca="false">IF(B102="","",IF(OR(F102="",G102="",G102&lt;=0),"",J102/G102))</f>
        <v/>
      </c>
      <c r="L102" s="25" t="str">
        <f aca="false">IF(B102="","",IF(H102&lt;&gt;"Complete",IF(H102="Not inspected","Not inspected; retain visibly but exclude from performance metrics.","Incomplete; exclude from performance metrics."),IF(F102="","Missing counted units; do not infer zero.",IF(G102="","Missing expected units; percentage cannot be calculated.",IF(G102&lt;=0,"Expected units are zero; exclude from numeric comparison.","Included")))))</f>
        <v/>
      </c>
      <c r="M102" s="25" t="str">
        <f aca="false">IF(B102="","",IF(L102="Included","Included","Not included"))</f>
        <v/>
      </c>
      <c r="N102" s="25" t="str">
        <f aca="false">IF(B102="","",IF(M102&lt;&gt;"Included","Not applicable",IF(ABS(K102)&gt;=MaterialThreshold,"Material","Not material")))</f>
        <v/>
      </c>
      <c r="O102" s="25" t="str">
        <f aca="false">IF(B102="","",IF(M102&lt;&gt;"Included",L102,IF(ROUND(K102*100,0)=118,"Unusual but valid 118% result; retain source counts.",IF(N102="Material","Included material variance.","Included; ordinary variance."))))</f>
        <v/>
      </c>
      <c r="P102" s="26" t="str">
        <f aca="false">IF(B102="","",IF(M102&lt;&gt;"Included",0,IF(COUNTIFS($C$5:C102,C102,$D$5:D102,D102,$M$5:M102,"Included")=1,1,0)))</f>
        <v/>
      </c>
      <c r="Q102" s="26" t="str">
        <f aca="false">IF(B102="","",IF(N102&lt;&gt;"Material",0,IF(COUNTIFS($C$5:C102,C102,$D$5:D102,D102,$N$5:N102,"Material")=1,1,0)))</f>
        <v/>
      </c>
    </row>
    <row r="103" customFormat="false" ht="27.75" hidden="false" customHeight="true" outlineLevel="0" collapsed="false">
      <c r="A103" s="20" t="str">
        <f aca="false">IF(B103="","",ROW()-4)</f>
        <v/>
      </c>
      <c r="B103" s="21" t="str">
        <f aca="true">IFERROR(INDEX(InputIDs,ROW()-4),"")</f>
        <v/>
      </c>
      <c r="C103" s="21" t="str">
        <f aca="true">IFERROR(INDEX(InputPeriods,ROW()-4),"")</f>
        <v/>
      </c>
      <c r="D103" s="21" t="str">
        <f aca="true">IFERROR(INDEX(InputStore,ROW()-4),"")</f>
        <v/>
      </c>
      <c r="E103" s="21" t="str">
        <f aca="true">IFERROR(INDEX(InputDepartment,ROW()-4),"")</f>
        <v/>
      </c>
      <c r="F103" s="22" t="str">
        <f aca="true">IFERROR(IF(ISBLANK(INDEX(InputCounted,ROW()-4)),"",INDEX(InputCounted,ROW()-4)),"")</f>
        <v/>
      </c>
      <c r="G103" s="22" t="str">
        <f aca="true">IFERROR(IF(ISBLANK(INDEX(InputExpected,ROW()-4)),"",INDEX(InputExpected,ROW()-4)),"")</f>
        <v/>
      </c>
      <c r="H103" s="21" t="str">
        <f aca="true">IFERROR(INDEX(InputStatus,ROW()-4),"")</f>
        <v/>
      </c>
      <c r="I103" s="21" t="str">
        <f aca="true">IFERROR(IF(ISBLANK(INDEX(InputNote,ROW()-4)),"",INDEX(InputNote,ROW()-4)),"")</f>
        <v/>
      </c>
      <c r="J103" s="23" t="str">
        <f aca="false">IF(B103="","",IF(OR(F103="",G103=""),"",F103-G103))</f>
        <v/>
      </c>
      <c r="K103" s="24" t="str">
        <f aca="false">IF(B103="","",IF(OR(F103="",G103="",G103&lt;=0),"",J103/G103))</f>
        <v/>
      </c>
      <c r="L103" s="25" t="str">
        <f aca="false">IF(B103="","",IF(H103&lt;&gt;"Complete",IF(H103="Not inspected","Not inspected; retain visibly but exclude from performance metrics.","Incomplete; exclude from performance metrics."),IF(F103="","Missing counted units; do not infer zero.",IF(G103="","Missing expected units; percentage cannot be calculated.",IF(G103&lt;=0,"Expected units are zero; exclude from numeric comparison.","Included")))))</f>
        <v/>
      </c>
      <c r="M103" s="25" t="str">
        <f aca="false">IF(B103="","",IF(L103="Included","Included","Not included"))</f>
        <v/>
      </c>
      <c r="N103" s="25" t="str">
        <f aca="false">IF(B103="","",IF(M103&lt;&gt;"Included","Not applicable",IF(ABS(K103)&gt;=MaterialThreshold,"Material","Not material")))</f>
        <v/>
      </c>
      <c r="O103" s="25" t="str">
        <f aca="false">IF(B103="","",IF(M103&lt;&gt;"Included",L103,IF(ROUND(K103*100,0)=118,"Unusual but valid 118% result; retain source counts.",IF(N103="Material","Included material variance.","Included; ordinary variance."))))</f>
        <v/>
      </c>
      <c r="P103" s="26" t="str">
        <f aca="false">IF(B103="","",IF(M103&lt;&gt;"Included",0,IF(COUNTIFS($C$5:C103,C103,$D$5:D103,D103,$M$5:M103,"Included")=1,1,0)))</f>
        <v/>
      </c>
      <c r="Q103" s="26" t="str">
        <f aca="false">IF(B103="","",IF(N103&lt;&gt;"Material",0,IF(COUNTIFS($C$5:C103,C103,$D$5:D103,D103,$N$5:N103,"Material")=1,1,0)))</f>
        <v/>
      </c>
    </row>
    <row r="104" customFormat="false" ht="27.75" hidden="false" customHeight="true" outlineLevel="0" collapsed="false">
      <c r="A104" s="20" t="str">
        <f aca="false">IF(B104="","",ROW()-4)</f>
        <v/>
      </c>
      <c r="B104" s="21" t="str">
        <f aca="true">IFERROR(INDEX(InputIDs,ROW()-4),"")</f>
        <v/>
      </c>
      <c r="C104" s="21" t="str">
        <f aca="true">IFERROR(INDEX(InputPeriods,ROW()-4),"")</f>
        <v/>
      </c>
      <c r="D104" s="21" t="str">
        <f aca="true">IFERROR(INDEX(InputStore,ROW()-4),"")</f>
        <v/>
      </c>
      <c r="E104" s="21" t="str">
        <f aca="true">IFERROR(INDEX(InputDepartment,ROW()-4),"")</f>
        <v/>
      </c>
      <c r="F104" s="22" t="str">
        <f aca="true">IFERROR(IF(ISBLANK(INDEX(InputCounted,ROW()-4)),"",INDEX(InputCounted,ROW()-4)),"")</f>
        <v/>
      </c>
      <c r="G104" s="22" t="str">
        <f aca="true">IFERROR(IF(ISBLANK(INDEX(InputExpected,ROW()-4)),"",INDEX(InputExpected,ROW()-4)),"")</f>
        <v/>
      </c>
      <c r="H104" s="21" t="str">
        <f aca="true">IFERROR(INDEX(InputStatus,ROW()-4),"")</f>
        <v/>
      </c>
      <c r="I104" s="21" t="str">
        <f aca="true">IFERROR(IF(ISBLANK(INDEX(InputNote,ROW()-4)),"",INDEX(InputNote,ROW()-4)),"")</f>
        <v/>
      </c>
      <c r="J104" s="23" t="str">
        <f aca="false">IF(B104="","",IF(OR(F104="",G104=""),"",F104-G104))</f>
        <v/>
      </c>
      <c r="K104" s="24" t="str">
        <f aca="false">IF(B104="","",IF(OR(F104="",G104="",G104&lt;=0),"",J104/G104))</f>
        <v/>
      </c>
      <c r="L104" s="25" t="str">
        <f aca="false">IF(B104="","",IF(H104&lt;&gt;"Complete",IF(H104="Not inspected","Not inspected; retain visibly but exclude from performance metrics.","Incomplete; exclude from performance metrics."),IF(F104="","Missing counted units; do not infer zero.",IF(G104="","Missing expected units; percentage cannot be calculated.",IF(G104&lt;=0,"Expected units are zero; exclude from numeric comparison.","Included")))))</f>
        <v/>
      </c>
      <c r="M104" s="25" t="str">
        <f aca="false">IF(B104="","",IF(L104="Included","Included","Not included"))</f>
        <v/>
      </c>
      <c r="N104" s="25" t="str">
        <f aca="false">IF(B104="","",IF(M104&lt;&gt;"Included","Not applicable",IF(ABS(K104)&gt;=MaterialThreshold,"Material","Not material")))</f>
        <v/>
      </c>
      <c r="O104" s="25" t="str">
        <f aca="false">IF(B104="","",IF(M104&lt;&gt;"Included",L104,IF(ROUND(K104*100,0)=118,"Unusual but valid 118% result; retain source counts.",IF(N104="Material","Included material variance.","Included; ordinary variance."))))</f>
        <v/>
      </c>
      <c r="P104" s="26" t="str">
        <f aca="false">IF(B104="","",IF(M104&lt;&gt;"Included",0,IF(COUNTIFS($C$5:C104,C104,$D$5:D104,D104,$M$5:M104,"Included")=1,1,0)))</f>
        <v/>
      </c>
      <c r="Q104" s="26" t="str">
        <f aca="false">IF(B104="","",IF(N104&lt;&gt;"Material",0,IF(COUNTIFS($C$5:C104,C104,$D$5:D104,D104,$N$5:N104,"Material")=1,1,0)))</f>
        <v/>
      </c>
    </row>
  </sheetData>
  <sheetProtection sheet="true" formatCells="false" formatColumns="false" formatRows="false" insertColumns="false" insertRows="false" deleteColumns="false" deleteRows="false" selectLockedCells="true" sort="false" autoFilter="false" selectUnlockedCells="true"/>
  <autoFilter ref="A4:Q104"/>
  <mergeCells count="2">
    <mergeCell ref="A1:Q1"/>
    <mergeCell ref="A2:Q2"/>
  </mergeCells>
  <conditionalFormatting sqref="A5:O104">
    <cfRule type="expression" priority="2" aboveAverage="0" equalAverage="0" bottom="0" percent="0" rank="0" text="" dxfId="8">
      <formula>$N5="Material"</formula>
    </cfRule>
    <cfRule type="expression" priority="3" aboveAverage="0" equalAverage="0" bottom="0" percent="0" rank="0" text="" dxfId="9">
      <formula>LEFT($L5,7)="Missing"</formula>
    </cfRule>
    <cfRule type="expression" priority="4" aboveAverage="0" equalAverage="0" bottom="0" percent="0" rank="0" text="" dxfId="10">
      <formula>OR(LEFT($L5,10)="Incomplete",LEFT($L5,13)="Not inspected",LEFT($L5,14)="Expected units")</formula>
    </cfRule>
  </conditionalFormatting>
  <printOptions headings="false" gridLines="false" gridLinesSet="true" horizontalCentered="false" verticalCentered="false"/>
  <pageMargins left="0.240277777777778" right="0.240277777777778" top="0.420138888888889" bottom="0.4201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21"/>
    <col collapsed="false" customWidth="true" hidden="false" outlineLevel="0" max="4" min="4" style="0" width="27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27"/>
  </cols>
  <sheetData>
    <row r="1" customFormat="false" ht="27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103</v>
      </c>
      <c r="B2" s="2"/>
      <c r="C2" s="2"/>
      <c r="D2" s="2"/>
      <c r="E2" s="2"/>
      <c r="F2" s="2"/>
      <c r="G2" s="2"/>
      <c r="H2" s="2"/>
    </row>
    <row r="4" customFormat="false" ht="21" hidden="false" customHeight="true" outlineLevel="0" collapsed="false">
      <c r="A4" s="3" t="s">
        <v>104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14" t="s">
        <v>105</v>
      </c>
      <c r="B5" s="27" t="n">
        <v>0.2</v>
      </c>
      <c r="C5" s="28" t="s">
        <v>106</v>
      </c>
      <c r="D5" s="28"/>
      <c r="E5" s="28"/>
      <c r="F5" s="28"/>
      <c r="G5" s="28"/>
      <c r="H5" s="28"/>
    </row>
    <row r="7" customFormat="false" ht="21" hidden="false" customHeight="true" outlineLevel="0" collapsed="false">
      <c r="A7" s="3" t="s">
        <v>107</v>
      </c>
      <c r="B7" s="3"/>
      <c r="C7" s="3"/>
      <c r="D7" s="3"/>
      <c r="E7" s="3"/>
      <c r="F7" s="3"/>
      <c r="G7" s="3"/>
      <c r="H7" s="3"/>
    </row>
    <row r="8" customFormat="false" ht="31.5" hidden="false" customHeight="true" outlineLevel="0" collapsed="false">
      <c r="A8" s="16" t="s">
        <v>108</v>
      </c>
      <c r="B8" s="16" t="s">
        <v>40</v>
      </c>
      <c r="C8" s="16" t="s">
        <v>70</v>
      </c>
      <c r="D8" s="29" t="s">
        <v>109</v>
      </c>
      <c r="E8" s="29"/>
      <c r="F8" s="29"/>
      <c r="G8" s="29"/>
      <c r="H8" s="29"/>
    </row>
    <row r="9" customFormat="false" ht="21.75" hidden="false" customHeight="true" outlineLevel="0" collapsed="false">
      <c r="A9" s="30" t="s">
        <v>110</v>
      </c>
      <c r="B9" s="26" t="n">
        <f aca="true">COUNTIFS(AnalysisPeriod,B$8,AnalysisIncluded,"Included")</f>
        <v>4</v>
      </c>
      <c r="C9" s="26" t="n">
        <f aca="true">COUNTIFS(AnalysisPeriod,C$8,AnalysisIncluded,"Included")</f>
        <v>5</v>
      </c>
      <c r="D9" s="31" t="n">
        <f aca="false">C9-B9</f>
        <v>1</v>
      </c>
      <c r="E9" s="31"/>
      <c r="F9" s="31"/>
      <c r="G9" s="31"/>
      <c r="H9" s="31"/>
    </row>
    <row r="10" customFormat="false" ht="21.75" hidden="false" customHeight="true" outlineLevel="0" collapsed="false">
      <c r="A10" s="30" t="s">
        <v>111</v>
      </c>
      <c r="B10" s="26" t="n">
        <f aca="true">SUMIFS(AnalysisFirstIncludedStore,AnalysisPeriod,B$8)</f>
        <v>3</v>
      </c>
      <c r="C10" s="26" t="n">
        <f aca="true">SUMIFS(AnalysisFirstIncludedStore,AnalysisPeriod,C$8)</f>
        <v>3</v>
      </c>
      <c r="D10" s="31" t="n">
        <f aca="false">C10-B10</f>
        <v>0</v>
      </c>
      <c r="E10" s="31"/>
      <c r="F10" s="31"/>
      <c r="G10" s="31"/>
      <c r="H10" s="31"/>
    </row>
    <row r="11" customFormat="false" ht="21.75" hidden="false" customHeight="true" outlineLevel="0" collapsed="false">
      <c r="A11" s="30" t="s">
        <v>112</v>
      </c>
      <c r="B11" s="23" t="n">
        <f aca="true">SUMIFS(AnalysisCounted,AnalysisPeriod,B$8,AnalysisIncluded,"Included")</f>
        <v>2789</v>
      </c>
      <c r="C11" s="23" t="n">
        <f aca="true">SUMIFS(AnalysisCounted,AnalysisPeriod,C$8,AnalysisIncluded,"Included")</f>
        <v>2202</v>
      </c>
      <c r="D11" s="32" t="n">
        <f aca="false">C11-B11</f>
        <v>-587</v>
      </c>
      <c r="E11" s="32"/>
      <c r="F11" s="32"/>
      <c r="G11" s="32"/>
      <c r="H11" s="32"/>
    </row>
    <row r="12" customFormat="false" ht="21.75" hidden="false" customHeight="true" outlineLevel="0" collapsed="false">
      <c r="A12" s="30" t="s">
        <v>113</v>
      </c>
      <c r="B12" s="23" t="n">
        <f aca="true">SUMIFS(AnalysisExpected,AnalysisPeriod,B$8,AnalysisIncluded,"Included")</f>
        <v>2800</v>
      </c>
      <c r="C12" s="23" t="n">
        <f aca="true">SUMIFS(AnalysisExpected,AnalysisPeriod,C$8,AnalysisIncluded,"Included")</f>
        <v>2000</v>
      </c>
      <c r="D12" s="32" t="n">
        <f aca="false">C12-B12</f>
        <v>-800</v>
      </c>
      <c r="E12" s="32"/>
      <c r="F12" s="32"/>
      <c r="G12" s="32"/>
      <c r="H12" s="32"/>
    </row>
    <row r="13" customFormat="false" ht="21.75" hidden="false" customHeight="true" outlineLevel="0" collapsed="false">
      <c r="A13" s="30" t="s">
        <v>114</v>
      </c>
      <c r="B13" s="23" t="n">
        <f aca="true">SUMIFS(AnalysisVarianceUnits,AnalysisPeriod,B$8,AnalysisIncluded,"Included")</f>
        <v>-11</v>
      </c>
      <c r="C13" s="23" t="n">
        <f aca="true">SUMIFS(AnalysisVarianceUnits,AnalysisPeriod,C$8,AnalysisIncluded,"Included")</f>
        <v>202</v>
      </c>
      <c r="D13" s="32" t="n">
        <f aca="false">C13-B13</f>
        <v>213</v>
      </c>
      <c r="E13" s="32"/>
      <c r="F13" s="32"/>
      <c r="G13" s="32"/>
      <c r="H13" s="32"/>
    </row>
    <row r="14" customFormat="false" ht="21.75" hidden="false" customHeight="true" outlineLevel="0" collapsed="false">
      <c r="A14" s="14" t="s">
        <v>115</v>
      </c>
      <c r="B14" s="24" t="n">
        <f aca="false">IFERROR(B13/B12,"")</f>
        <v>-0.00392857142857143</v>
      </c>
      <c r="C14" s="24" t="n">
        <f aca="false">IFERROR(C13/C12,"")</f>
        <v>0.101</v>
      </c>
      <c r="D14" s="33" t="n">
        <f aca="false">C14-B14</f>
        <v>0.104928571428571</v>
      </c>
      <c r="E14" s="33"/>
      <c r="F14" s="33"/>
      <c r="G14" s="33"/>
      <c r="H14" s="33"/>
    </row>
    <row r="15" customFormat="false" ht="21.75" hidden="false" customHeight="true" outlineLevel="0" collapsed="false">
      <c r="A15" s="30" t="s">
        <v>116</v>
      </c>
      <c r="B15" s="26" t="n">
        <f aca="true">COUNTIFS(AnalysisPeriod,B$8,AnalysisMaterial,"Material")</f>
        <v>0</v>
      </c>
      <c r="C15" s="26" t="n">
        <f aca="true">COUNTIFS(AnalysisPeriod,C$8,AnalysisMaterial,"Material")</f>
        <v>2</v>
      </c>
      <c r="D15" s="31" t="n">
        <f aca="false">C15-B15</f>
        <v>2</v>
      </c>
      <c r="E15" s="31"/>
      <c r="F15" s="31"/>
      <c r="G15" s="31"/>
      <c r="H15" s="31"/>
    </row>
    <row r="16" customFormat="false" ht="21.75" hidden="false" customHeight="true" outlineLevel="0" collapsed="false">
      <c r="A16" s="14" t="s">
        <v>117</v>
      </c>
      <c r="B16" s="26" t="n">
        <f aca="true">SUMIFS(AnalysisFirstMaterialStore,AnalysisPeriod,B$8)</f>
        <v>0</v>
      </c>
      <c r="C16" s="26" t="n">
        <f aca="true">SUMIFS(AnalysisFirstMaterialStore,AnalysisPeriod,C$8)</f>
        <v>2</v>
      </c>
      <c r="D16" s="31" t="n">
        <f aca="false">C16-B16</f>
        <v>2</v>
      </c>
      <c r="E16" s="31"/>
      <c r="F16" s="31"/>
      <c r="G16" s="31"/>
      <c r="H16" s="31"/>
    </row>
    <row r="17" customFormat="false" ht="21.75" hidden="false" customHeight="true" outlineLevel="0" collapsed="false">
      <c r="A17" s="30" t="s">
        <v>118</v>
      </c>
      <c r="B17" s="26" t="n">
        <f aca="true">COUNTIF(AnalysisPeriod,B$8)-COUNTIFS(AnalysisPeriod,B$8,AnalysisIncluded,"Included")</f>
        <v>3</v>
      </c>
      <c r="C17" s="26" t="n">
        <f aca="true">COUNTIF(AnalysisPeriod,C$8)-COUNTIFS(AnalysisPeriod,C$8,AnalysisIncluded,"Included")</f>
        <v>4</v>
      </c>
      <c r="D17" s="31" t="n">
        <f aca="false">C17-B17</f>
        <v>1</v>
      </c>
      <c r="E17" s="31"/>
      <c r="F17" s="31"/>
      <c r="G17" s="31"/>
      <c r="H17" s="31"/>
    </row>
    <row r="19" customFormat="false" ht="21" hidden="false" customHeight="true" outlineLevel="0" collapsed="false">
      <c r="A19" s="3" t="s">
        <v>119</v>
      </c>
      <c r="B19" s="3"/>
      <c r="C19" s="3"/>
      <c r="D19" s="3"/>
      <c r="E19" s="3"/>
      <c r="F19" s="3"/>
      <c r="G19" s="3"/>
      <c r="H19" s="3"/>
    </row>
    <row r="20" customFormat="false" ht="28.5" hidden="false" customHeight="true" outlineLevel="0" collapsed="false">
      <c r="A20" s="34" t="s">
        <v>120</v>
      </c>
      <c r="B20" s="35" t="str">
        <f aca="false">IF(C16&gt;=2,"Investigate counting process","Retrain staff")</f>
        <v>Investigate counting process</v>
      </c>
      <c r="C20" s="35"/>
      <c r="D20" s="35"/>
      <c r="E20" s="35"/>
      <c r="F20" s="35"/>
      <c r="G20" s="35"/>
      <c r="H20" s="35"/>
    </row>
    <row r="21" customFormat="false" ht="30.75" hidden="false" customHeight="true" outlineLevel="0" collapsed="false">
      <c r="A21" s="14" t="s">
        <v>121</v>
      </c>
      <c r="B21" s="36" t="str">
        <f aca="false">"Weighted variance changed from "&amp;TEXT(B14,"0.0%")&amp;" in "&amp;B$8&amp;" to "&amp;TEXT(C14,"0.0%")&amp;" in "&amp;C$8&amp;" ("&amp;TEXT(D14*100,"0.0")&amp;" percentage points). "&amp;TEXT(C16,"0")&amp;" current-period stores have a material included result; the guidance selects "&amp;B20&amp;"."</f>
        <v>Weighted variance changed from -0.4% in Prior period to 10.1% in Current period (10.5 percentage points). 2 current-period stores have a material included result; the guidance selects Investigate counting process.</v>
      </c>
      <c r="C21" s="36"/>
      <c r="D21" s="36"/>
      <c r="E21" s="36"/>
      <c r="F21" s="36"/>
      <c r="G21" s="36"/>
      <c r="H21" s="36"/>
    </row>
    <row r="22" customFormat="false" ht="30.75" hidden="false" customHeight="true" outlineLevel="0" collapsed="false">
      <c r="B22" s="36"/>
      <c r="C22" s="36"/>
      <c r="D22" s="36"/>
      <c r="E22" s="36"/>
      <c r="F22" s="36"/>
      <c r="G22" s="36"/>
      <c r="H22" s="36"/>
    </row>
    <row r="23" customFormat="false" ht="28.5" hidden="false" customHeight="true" outlineLevel="0" collapsed="false">
      <c r="A23" s="14" t="s">
        <v>122</v>
      </c>
      <c r="B23" s="36" t="str">
        <f aca="false">"The 118% result is unusual but supported by its preserved source counts, so it remains included and material rather than invalid. "&amp;TEXT(B17,"0")&amp;" prior and "&amp;TEXT(C17,"0")&amp;" current records are missing or non-included; they stay visible but do not enter the numeric comparison."</f>
        <v>The 118% result is unusual but supported by its preserved source counts, so it remains included and material rather than invalid. 3 prior and 4 current records are missing or non-included; they stay visible but do not enter the numeric comparison.</v>
      </c>
      <c r="C23" s="36"/>
      <c r="D23" s="36"/>
      <c r="E23" s="36"/>
      <c r="F23" s="36"/>
      <c r="G23" s="36"/>
      <c r="H23" s="36"/>
    </row>
    <row r="24" customFormat="false" ht="28.5" hidden="false" customHeight="true" outlineLevel="0" collapsed="false">
      <c r="B24" s="36"/>
      <c r="C24" s="36"/>
      <c r="D24" s="36"/>
      <c r="E24" s="36"/>
      <c r="F24" s="36"/>
      <c r="G24" s="36"/>
      <c r="H24" s="36"/>
    </row>
    <row r="25" customFormat="false" ht="28.5" hidden="false" customHeight="true" outlineLevel="0" collapsed="false">
      <c r="B25" s="36"/>
      <c r="C25" s="36"/>
      <c r="D25" s="36"/>
      <c r="E25" s="36"/>
      <c r="F25" s="36"/>
      <c r="G25" s="36"/>
      <c r="H25" s="36"/>
    </row>
    <row r="27" customFormat="false" ht="21" hidden="false" customHeight="true" outlineLevel="0" collapsed="false">
      <c r="A27" s="3" t="s">
        <v>123</v>
      </c>
      <c r="B27" s="3"/>
      <c r="C27" s="3"/>
      <c r="D27" s="3"/>
      <c r="E27" s="3"/>
      <c r="F27" s="3"/>
      <c r="G27" s="3"/>
      <c r="H27" s="3"/>
    </row>
    <row r="28" customFormat="false" ht="31.5" hidden="false" customHeight="true" outlineLevel="0" collapsed="false">
      <c r="A28" s="16" t="s">
        <v>33</v>
      </c>
      <c r="B28" s="16" t="s">
        <v>124</v>
      </c>
      <c r="C28" s="16" t="s">
        <v>125</v>
      </c>
      <c r="D28" s="16" t="s">
        <v>126</v>
      </c>
      <c r="E28" s="16" t="s">
        <v>127</v>
      </c>
      <c r="F28" s="16" t="s">
        <v>128</v>
      </c>
      <c r="G28" s="16" t="s">
        <v>129</v>
      </c>
      <c r="H28" s="16" t="s">
        <v>130</v>
      </c>
    </row>
    <row r="29" customFormat="false" ht="25.5" hidden="false" customHeight="true" outlineLevel="0" collapsed="false">
      <c r="A29" s="25" t="str">
        <f aca="true">IFERROR(INDEX(InputStore,MATCH(0,COUNTIF($A$28:A28,InputStore),0)),"")</f>
        <v>ST-014 Larchfield Marketplace</v>
      </c>
      <c r="B29" s="26" t="n">
        <f aca="true">IF($A29="","",COUNTIFS(AnalysisStore,$A29,AnalysisPeriod,$B$8,AnalysisIncluded,"Included"))</f>
        <v>1</v>
      </c>
      <c r="C29" s="24" t="n">
        <f aca="true">IF($A29="","",IFERROR(SUMIFS(AnalysisVarianceUnits,AnalysisStore,$A29,AnalysisPeriod,$B$8,AnalysisIncluded,"Included")/SUMIFS(AnalysisExpected,AnalysisStore,$A29,AnalysisPeriod,$B$8,AnalysisIncluded,"Included"),""))</f>
        <v>-0.01</v>
      </c>
      <c r="D29" s="25" t="str">
        <f aca="true">IF($A29="","",IF(COUNTIFS(AnalysisStore,$A29,AnalysisPeriod,$B$8,AnalysisMaterial,"Material")&gt;0,"Material result present","No material included result"))</f>
        <v>No material included result</v>
      </c>
      <c r="E29" s="26" t="n">
        <f aca="true">IF($A29="","",COUNTIFS(AnalysisStore,$A29,AnalysisPeriod,$C$8,AnalysisIncluded,"Included"))</f>
        <v>2</v>
      </c>
      <c r="F29" s="24" t="n">
        <f aca="true">IF($A29="","",IFERROR(SUMIFS(AnalysisVarianceUnits,AnalysisStore,$A29,AnalysisPeriod,$C$8,AnalysisIncluded,"Included")/SUMIFS(AnalysisExpected,AnalysisStore,$A29,AnalysisPeriod,$C$8,AnalysisIncluded,"Included"),""))</f>
        <v>0.1725</v>
      </c>
      <c r="G29" s="25" t="str">
        <f aca="true">IF($A29="","",IF(COUNTIFS(AnalysisStore,$A29,AnalysisPeriod,$C$8,AnalysisMaterial,"Material")&gt;0,"Material result present","No material included result"))</f>
        <v>Material result present</v>
      </c>
      <c r="H29" s="25" t="str">
        <f aca="false">IF($A29="","",IF(AND(D29="Material result present",G29="Material result present"),"Material in both periods",IF(G29="Material result present","Current material result",IF(D29="Material result present","No current material result","No material result"))))</f>
        <v>Current material result</v>
      </c>
    </row>
    <row r="30" customFormat="false" ht="25.5" hidden="false" customHeight="true" outlineLevel="0" collapsed="false">
      <c r="A30" s="25" t="str">
        <f aca="true">IFERROR(INDEX(InputStore,MATCH(0,COUNTIF($A$28:A29,InputStore),0)),"")</f>
        <v>ST-027 West Dock</v>
      </c>
      <c r="B30" s="26" t="n">
        <f aca="true">IF($A30="","",COUNTIFS(AnalysisStore,$A30,AnalysisPeriod,$B$8,AnalysisIncluded,"Included"))</f>
        <v>2</v>
      </c>
      <c r="C30" s="24" t="n">
        <f aca="true">IF($A30="","",IFERROR(SUMIFS(AnalysisVarianceUnits,AnalysisStore,$A30,AnalysisPeriod,$B$8,AnalysisIncluded,"Included")/SUMIFS(AnalysisExpected,AnalysisStore,$A30,AnalysisPeriod,$B$8,AnalysisIncluded,"Included"),""))</f>
        <v>-0.0075</v>
      </c>
      <c r="D30" s="25" t="str">
        <f aca="true">IF($A30="","",IF(COUNTIFS(AnalysisStore,$A30,AnalysisPeriod,$B$8,AnalysisMaterial,"Material")&gt;0,"Material result present","No material included result"))</f>
        <v>No material included result</v>
      </c>
      <c r="E30" s="26" t="n">
        <f aca="true">IF($A30="","",COUNTIFS(AnalysisStore,$A30,AnalysisPeriod,$C$8,AnalysisIncluded,"Included"))</f>
        <v>1</v>
      </c>
      <c r="F30" s="24" t="n">
        <f aca="true">IF($A30="","",IFERROR(SUMIFS(AnalysisVarianceUnits,AnalysisStore,$A30,AnalysisPeriod,$C$8,AnalysisIncluded,"Included")/SUMIFS(AnalysisExpected,AnalysisStore,$A30,AnalysisPeriod,$C$8,AnalysisIncluded,"Included"),""))</f>
        <v>-0.16</v>
      </c>
      <c r="G30" s="25" t="str">
        <f aca="true">IF($A30="","",IF(COUNTIFS(AnalysisStore,$A30,AnalysisPeriod,$C$8,AnalysisMaterial,"Material")&gt;0,"Material result present","No material included result"))</f>
        <v>No material included result</v>
      </c>
      <c r="H30" s="25" t="str">
        <f aca="false">IF($A30="","",IF(AND(D30="Material result present",G30="Material result present"),"Material in both periods",IF(G30="Material result present","Current material result",IF(D30="Material result present","No current material result","No material result"))))</f>
        <v>No material result</v>
      </c>
    </row>
    <row r="31" customFormat="false" ht="25.5" hidden="false" customHeight="true" outlineLevel="0" collapsed="false">
      <c r="A31" s="25" t="str">
        <f aca="true">IFERROR(INDEX(InputStore,MATCH(0,COUNTIF($A$28:A30,InputStore),0)),"")</f>
        <v>ST-039 Cedar Park</v>
      </c>
      <c r="B31" s="26" t="n">
        <f aca="true">IF($A31="","",COUNTIFS(AnalysisStore,$A31,AnalysisPeriod,$B$8,AnalysisIncluded,"Included"))</f>
        <v>0</v>
      </c>
      <c r="C31" s="24" t="str">
        <f aca="true">IF($A31="","",IFERROR(SUMIFS(AnalysisVarianceUnits,AnalysisStore,$A31,AnalysisPeriod,$B$8,AnalysisIncluded,"Included")/SUMIFS(AnalysisExpected,AnalysisStore,$A31,AnalysisPeriod,$B$8,AnalysisIncluded,"Included"),""))</f>
        <v/>
      </c>
      <c r="D31" s="25" t="str">
        <f aca="true">IF($A31="","",IF(COUNTIFS(AnalysisStore,$A31,AnalysisPeriod,$B$8,AnalysisMaterial,"Material")&gt;0,"Material result present","No material included result"))</f>
        <v>No material included result</v>
      </c>
      <c r="E31" s="26" t="n">
        <f aca="true">IF($A31="","",COUNTIFS(AnalysisStore,$A31,AnalysisPeriod,$C$8,AnalysisIncluded,"Included"))</f>
        <v>2</v>
      </c>
      <c r="F31" s="24" t="n">
        <f aca="true">IF($A31="","",IFERROR(SUMIFS(AnalysisVarianceUnits,AnalysisStore,$A31,AnalysisPeriod,$C$8,AnalysisIncluded,"Included")/SUMIFS(AnalysisExpected,AnalysisStore,$A31,AnalysisPeriod,$C$8,AnalysisIncluded,"Included"),""))</f>
        <v>0.205714285714286</v>
      </c>
      <c r="G31" s="25" t="str">
        <f aca="true">IF($A31="","",IF(COUNTIFS(AnalysisStore,$A31,AnalysisPeriod,$C$8,AnalysisMaterial,"Material")&gt;0,"Material result present","No material included result"))</f>
        <v>Material result present</v>
      </c>
      <c r="H31" s="25" t="str">
        <f aca="false">IF($A31="","",IF(AND(D31="Material result present",G31="Material result present"),"Material in both periods",IF(G31="Material result present","Current material result",IF(D31="Material result present","No current material result","No material result"))))</f>
        <v>Current material result</v>
      </c>
    </row>
    <row r="32" customFormat="false" ht="25.5" hidden="false" customHeight="true" outlineLevel="0" collapsed="false">
      <c r="A32" s="25" t="str">
        <f aca="true">IFERROR(INDEX(InputStore,MATCH(0,COUNTIF($A$28:A31,InputStore),0)),"")</f>
        <v>ST-052 Northline</v>
      </c>
      <c r="B32" s="26" t="n">
        <f aca="true">IF($A32="","",COUNTIFS(AnalysisStore,$A32,AnalysisPeriod,$B$8,AnalysisIncluded,"Included"))</f>
        <v>1</v>
      </c>
      <c r="C32" s="24" t="n">
        <f aca="true">IF($A32="","",IFERROR(SUMIFS(AnalysisVarianceUnits,AnalysisStore,$A32,AnalysisPeriod,$B$8,AnalysisIncluded,"Included")/SUMIFS(AnalysisExpected,AnalysisStore,$A32,AnalysisPeriod,$B$8,AnalysisIncluded,"Included"),""))</f>
        <v>0.0133333333333333</v>
      </c>
      <c r="D32" s="25" t="str">
        <f aca="true">IF($A32="","",IF(COUNTIFS(AnalysisStore,$A32,AnalysisPeriod,$B$8,AnalysisMaterial,"Material")&gt;0,"Material result present","No material included result"))</f>
        <v>No material included result</v>
      </c>
      <c r="E32" s="26" t="n">
        <f aca="true">IF($A32="","",COUNTIFS(AnalysisStore,$A32,AnalysisPeriod,$C$8,AnalysisIncluded,"Included"))</f>
        <v>0</v>
      </c>
      <c r="F32" s="24" t="str">
        <f aca="true">IF($A32="","",IFERROR(SUMIFS(AnalysisVarianceUnits,AnalysisStore,$A32,AnalysisPeriod,$C$8,AnalysisIncluded,"Included")/SUMIFS(AnalysisExpected,AnalysisStore,$A32,AnalysisPeriod,$C$8,AnalysisIncluded,"Included"),""))</f>
        <v/>
      </c>
      <c r="G32" s="25" t="str">
        <f aca="true">IF($A32="","",IF(COUNTIFS(AnalysisStore,$A32,AnalysisPeriod,$C$8,AnalysisMaterial,"Material")&gt;0,"Material result present","No material included result"))</f>
        <v>No material included result</v>
      </c>
      <c r="H32" s="25" t="str">
        <f aca="false">IF($A32="","",IF(AND(D32="Material result present",G32="Material result present"),"Material in both periods",IF(G32="Material result present","Current material result",IF(D32="Material result present","No current material result","No material result"))))</f>
        <v>No material result</v>
      </c>
    </row>
    <row r="33" customFormat="false" ht="25.5" hidden="false" customHeight="true" outlineLevel="0" collapsed="false">
      <c r="A33" s="25" t="str">
        <f aca="true">IFERROR(INDEX(InputStore,MATCH(0,COUNTIF($A$28:A32,InputStore),0)),"")</f>
        <v>ST-063 Quarry Gate</v>
      </c>
      <c r="B33" s="26" t="n">
        <f aca="true">IF($A33="","",COUNTIFS(AnalysisStore,$A33,AnalysisPeriod,$B$8,AnalysisIncluded,"Included"))</f>
        <v>0</v>
      </c>
      <c r="C33" s="24" t="str">
        <f aca="true">IF($A33="","",IFERROR(SUMIFS(AnalysisVarianceUnits,AnalysisStore,$A33,AnalysisPeriod,$B$8,AnalysisIncluded,"Included")/SUMIFS(AnalysisExpected,AnalysisStore,$A33,AnalysisPeriod,$B$8,AnalysisIncluded,"Included"),""))</f>
        <v/>
      </c>
      <c r="D33" s="25" t="str">
        <f aca="true">IF($A33="","",IF(COUNTIFS(AnalysisStore,$A33,AnalysisPeriod,$B$8,AnalysisMaterial,"Material")&gt;0,"Material result present","No material included result"))</f>
        <v>No material included result</v>
      </c>
      <c r="E33" s="26" t="n">
        <f aca="true">IF($A33="","",COUNTIFS(AnalysisStore,$A33,AnalysisPeriod,$C$8,AnalysisIncluded,"Included"))</f>
        <v>0</v>
      </c>
      <c r="F33" s="24" t="str">
        <f aca="true">IF($A33="","",IFERROR(SUMIFS(AnalysisVarianceUnits,AnalysisStore,$A33,AnalysisPeriod,$C$8,AnalysisIncluded,"Included")/SUMIFS(AnalysisExpected,AnalysisStore,$A33,AnalysisPeriod,$C$8,AnalysisIncluded,"Included"),""))</f>
        <v/>
      </c>
      <c r="G33" s="25" t="str">
        <f aca="true">IF($A33="","",IF(COUNTIFS(AnalysisStore,$A33,AnalysisPeriod,$C$8,AnalysisMaterial,"Material")&gt;0,"Material result present","No material included result"))</f>
        <v>No material included result</v>
      </c>
      <c r="H33" s="25" t="str">
        <f aca="false">IF($A33="","",IF(AND(D33="Material result present",G33="Material result present"),"Material in both periods",IF(G33="Material result present","Current material result",IF(D33="Material result present","No current material result","No material result"))))</f>
        <v>No material result</v>
      </c>
    </row>
    <row r="34" customFormat="false" ht="25.5" hidden="false" customHeight="true" outlineLevel="0" collapsed="false">
      <c r="A34" s="25" t="str">
        <f aca="true">IFERROR(INDEX(InputStore,MATCH(0,COUNTIF($A$28:A33,InputStore),0)),"")</f>
        <v/>
      </c>
      <c r="B34" s="26" t="str">
        <f aca="true">IF($A34="","",COUNTIFS(AnalysisStore,$A34,AnalysisPeriod,$B$8,AnalysisIncluded,"Included"))</f>
        <v/>
      </c>
      <c r="C34" s="24" t="str">
        <f aca="true">IF($A34="","",IFERROR(SUMIFS(AnalysisVarianceUnits,AnalysisStore,$A34,AnalysisPeriod,$B$8,AnalysisIncluded,"Included")/SUMIFS(AnalysisExpected,AnalysisStore,$A34,AnalysisPeriod,$B$8,AnalysisIncluded,"Included"),""))</f>
        <v/>
      </c>
      <c r="D34" s="25" t="str">
        <f aca="true">IF($A34="","",IF(COUNTIFS(AnalysisStore,$A34,AnalysisPeriod,$B$8,AnalysisMaterial,"Material")&gt;0,"Material result present","No material included result"))</f>
        <v/>
      </c>
      <c r="E34" s="26" t="str">
        <f aca="true">IF($A34="","",COUNTIFS(AnalysisStore,$A34,AnalysisPeriod,$C$8,AnalysisIncluded,"Included"))</f>
        <v/>
      </c>
      <c r="F34" s="24" t="str">
        <f aca="true">IF($A34="","",IFERROR(SUMIFS(AnalysisVarianceUnits,AnalysisStore,$A34,AnalysisPeriod,$C$8,AnalysisIncluded,"Included")/SUMIFS(AnalysisExpected,AnalysisStore,$A34,AnalysisPeriod,$C$8,AnalysisIncluded,"Included"),""))</f>
        <v/>
      </c>
      <c r="G34" s="25" t="str">
        <f aca="true">IF($A34="","",IF(COUNTIFS(AnalysisStore,$A34,AnalysisPeriod,$C$8,AnalysisMaterial,"Material")&gt;0,"Material result present","No material included result"))</f>
        <v/>
      </c>
      <c r="H34" s="25" t="str">
        <f aca="false">IF($A34="","",IF(AND(D34="Material result present",G34="Material result present"),"Material in both periods",IF(G34="Material result present","Current material result",IF(D34="Material result present","No current material result","No material result"))))</f>
        <v/>
      </c>
    </row>
    <row r="35" customFormat="false" ht="25.5" hidden="false" customHeight="true" outlineLevel="0" collapsed="false">
      <c r="A35" s="25" t="str">
        <f aca="true">IFERROR(INDEX(InputStore,MATCH(0,COUNTIF($A$28:A34,InputStore),0)),"")</f>
        <v/>
      </c>
      <c r="B35" s="26" t="str">
        <f aca="true">IF($A35="","",COUNTIFS(AnalysisStore,$A35,AnalysisPeriod,$B$8,AnalysisIncluded,"Included"))</f>
        <v/>
      </c>
      <c r="C35" s="24" t="str">
        <f aca="true">IF($A35="","",IFERROR(SUMIFS(AnalysisVarianceUnits,AnalysisStore,$A35,AnalysisPeriod,$B$8,AnalysisIncluded,"Included")/SUMIFS(AnalysisExpected,AnalysisStore,$A35,AnalysisPeriod,$B$8,AnalysisIncluded,"Included"),""))</f>
        <v/>
      </c>
      <c r="D35" s="25" t="str">
        <f aca="true">IF($A35="","",IF(COUNTIFS(AnalysisStore,$A35,AnalysisPeriod,$B$8,AnalysisMaterial,"Material")&gt;0,"Material result present","No material included result"))</f>
        <v/>
      </c>
      <c r="E35" s="26" t="str">
        <f aca="true">IF($A35="","",COUNTIFS(AnalysisStore,$A35,AnalysisPeriod,$C$8,AnalysisIncluded,"Included"))</f>
        <v/>
      </c>
      <c r="F35" s="24" t="str">
        <f aca="true">IF($A35="","",IFERROR(SUMIFS(AnalysisVarianceUnits,AnalysisStore,$A35,AnalysisPeriod,$C$8,AnalysisIncluded,"Included")/SUMIFS(AnalysisExpected,AnalysisStore,$A35,AnalysisPeriod,$C$8,AnalysisIncluded,"Included"),""))</f>
        <v/>
      </c>
      <c r="G35" s="25" t="str">
        <f aca="true">IF($A35="","",IF(COUNTIFS(AnalysisStore,$A35,AnalysisPeriod,$C$8,AnalysisMaterial,"Material")&gt;0,"Material result present","No material included result"))</f>
        <v/>
      </c>
      <c r="H35" s="25" t="str">
        <f aca="false">IF($A35="","",IF(AND(D35="Material result present",G35="Material result present"),"Material in both periods",IF(G35="Material result present","Current material result",IF(D35="Material result present","No current material result","No material result"))))</f>
        <v/>
      </c>
    </row>
    <row r="36" customFormat="false" ht="25.5" hidden="false" customHeight="true" outlineLevel="0" collapsed="false">
      <c r="A36" s="25" t="str">
        <f aca="true">IFERROR(INDEX(InputStore,MATCH(0,COUNTIF($A$28:A35,InputStore),0)),"")</f>
        <v/>
      </c>
      <c r="B36" s="26" t="str">
        <f aca="true">IF($A36="","",COUNTIFS(AnalysisStore,$A36,AnalysisPeriod,$B$8,AnalysisIncluded,"Included"))</f>
        <v/>
      </c>
      <c r="C36" s="24" t="str">
        <f aca="true">IF($A36="","",IFERROR(SUMIFS(AnalysisVarianceUnits,AnalysisStore,$A36,AnalysisPeriod,$B$8,AnalysisIncluded,"Included")/SUMIFS(AnalysisExpected,AnalysisStore,$A36,AnalysisPeriod,$B$8,AnalysisIncluded,"Included"),""))</f>
        <v/>
      </c>
      <c r="D36" s="25" t="str">
        <f aca="true">IF($A36="","",IF(COUNTIFS(AnalysisStore,$A36,AnalysisPeriod,$B$8,AnalysisMaterial,"Material")&gt;0,"Material result present","No material included result"))</f>
        <v/>
      </c>
      <c r="E36" s="26" t="str">
        <f aca="true">IF($A36="","",COUNTIFS(AnalysisStore,$A36,AnalysisPeriod,$C$8,AnalysisIncluded,"Included"))</f>
        <v/>
      </c>
      <c r="F36" s="24" t="str">
        <f aca="true">IF($A36="","",IFERROR(SUMIFS(AnalysisVarianceUnits,AnalysisStore,$A36,AnalysisPeriod,$C$8,AnalysisIncluded,"Included")/SUMIFS(AnalysisExpected,AnalysisStore,$A36,AnalysisPeriod,$C$8,AnalysisIncluded,"Included"),""))</f>
        <v/>
      </c>
      <c r="G36" s="25" t="str">
        <f aca="true">IF($A36="","",IF(COUNTIFS(AnalysisStore,$A36,AnalysisPeriod,$C$8,AnalysisMaterial,"Material")&gt;0,"Material result present","No material included result"))</f>
        <v/>
      </c>
      <c r="H36" s="25" t="str">
        <f aca="false">IF($A36="","",IF(AND(D36="Material result present",G36="Material result present"),"Material in both periods",IF(G36="Material result present","Current material result",IF(D36="Material result present","No current material result","No material result"))))</f>
        <v/>
      </c>
    </row>
    <row r="37" customFormat="false" ht="25.5" hidden="false" customHeight="true" outlineLevel="0" collapsed="false">
      <c r="A37" s="25" t="str">
        <f aca="true">IFERROR(INDEX(InputStore,MATCH(0,COUNTIF($A$28:A36,InputStore),0)),"")</f>
        <v/>
      </c>
      <c r="B37" s="26" t="str">
        <f aca="true">IF($A37="","",COUNTIFS(AnalysisStore,$A37,AnalysisPeriod,$B$8,AnalysisIncluded,"Included"))</f>
        <v/>
      </c>
      <c r="C37" s="24" t="str">
        <f aca="true">IF($A37="","",IFERROR(SUMIFS(AnalysisVarianceUnits,AnalysisStore,$A37,AnalysisPeriod,$B$8,AnalysisIncluded,"Included")/SUMIFS(AnalysisExpected,AnalysisStore,$A37,AnalysisPeriod,$B$8,AnalysisIncluded,"Included"),""))</f>
        <v/>
      </c>
      <c r="D37" s="25" t="str">
        <f aca="true">IF($A37="","",IF(COUNTIFS(AnalysisStore,$A37,AnalysisPeriod,$B$8,AnalysisMaterial,"Material")&gt;0,"Material result present","No material included result"))</f>
        <v/>
      </c>
      <c r="E37" s="26" t="str">
        <f aca="true">IF($A37="","",COUNTIFS(AnalysisStore,$A37,AnalysisPeriod,$C$8,AnalysisIncluded,"Included"))</f>
        <v/>
      </c>
      <c r="F37" s="24" t="str">
        <f aca="true">IF($A37="","",IFERROR(SUMIFS(AnalysisVarianceUnits,AnalysisStore,$A37,AnalysisPeriod,$C$8,AnalysisIncluded,"Included")/SUMIFS(AnalysisExpected,AnalysisStore,$A37,AnalysisPeriod,$C$8,AnalysisIncluded,"Included"),""))</f>
        <v/>
      </c>
      <c r="G37" s="25" t="str">
        <f aca="true">IF($A37="","",IF(COUNTIFS(AnalysisStore,$A37,AnalysisPeriod,$C$8,AnalysisMaterial,"Material")&gt;0,"Material result present","No material included result"))</f>
        <v/>
      </c>
      <c r="H37" s="25" t="str">
        <f aca="false">IF($A37="","",IF(AND(D37="Material result present",G37="Material result present"),"Material in both periods",IF(G37="Material result present","Current material result",IF(D37="Material result present","No current material result","No material result"))))</f>
        <v/>
      </c>
    </row>
    <row r="38" customFormat="false" ht="25.5" hidden="false" customHeight="true" outlineLevel="0" collapsed="false">
      <c r="A38" s="25" t="str">
        <f aca="true">IFERROR(INDEX(InputStore,MATCH(0,COUNTIF($A$28:A37,InputStore),0)),"")</f>
        <v/>
      </c>
      <c r="B38" s="26" t="str">
        <f aca="true">IF($A38="","",COUNTIFS(AnalysisStore,$A38,AnalysisPeriod,$B$8,AnalysisIncluded,"Included"))</f>
        <v/>
      </c>
      <c r="C38" s="24" t="str">
        <f aca="true">IF($A38="","",IFERROR(SUMIFS(AnalysisVarianceUnits,AnalysisStore,$A38,AnalysisPeriod,$B$8,AnalysisIncluded,"Included")/SUMIFS(AnalysisExpected,AnalysisStore,$A38,AnalysisPeriod,$B$8,AnalysisIncluded,"Included"),""))</f>
        <v/>
      </c>
      <c r="D38" s="25" t="str">
        <f aca="true">IF($A38="","",IF(COUNTIFS(AnalysisStore,$A38,AnalysisPeriod,$B$8,AnalysisMaterial,"Material")&gt;0,"Material result present","No material included result"))</f>
        <v/>
      </c>
      <c r="E38" s="26" t="str">
        <f aca="true">IF($A38="","",COUNTIFS(AnalysisStore,$A38,AnalysisPeriod,$C$8,AnalysisIncluded,"Included"))</f>
        <v/>
      </c>
      <c r="F38" s="24" t="str">
        <f aca="true">IF($A38="","",IFERROR(SUMIFS(AnalysisVarianceUnits,AnalysisStore,$A38,AnalysisPeriod,$C$8,AnalysisIncluded,"Included")/SUMIFS(AnalysisExpected,AnalysisStore,$A38,AnalysisPeriod,$C$8,AnalysisIncluded,"Included"),""))</f>
        <v/>
      </c>
      <c r="G38" s="25" t="str">
        <f aca="true">IF($A38="","",IF(COUNTIFS(AnalysisStore,$A38,AnalysisPeriod,$C$8,AnalysisMaterial,"Material")&gt;0,"Material result present","No material included result"))</f>
        <v/>
      </c>
      <c r="H38" s="25" t="str">
        <f aca="false">IF($A38="","",IF(AND(D38="Material result present",G38="Material result present"),"Material in both periods",IF(G38="Material result present","Current material result",IF(D38="Material result present","No current material result","No material result"))))</f>
        <v/>
      </c>
    </row>
    <row r="39" customFormat="false" ht="25.5" hidden="false" customHeight="true" outlineLevel="0" collapsed="false">
      <c r="A39" s="25" t="str">
        <f aca="true">IFERROR(INDEX(InputStore,MATCH(0,COUNTIF($A$28:A38,InputStore),0)),"")</f>
        <v/>
      </c>
      <c r="B39" s="26" t="str">
        <f aca="true">IF($A39="","",COUNTIFS(AnalysisStore,$A39,AnalysisPeriod,$B$8,AnalysisIncluded,"Included"))</f>
        <v/>
      </c>
      <c r="C39" s="24" t="str">
        <f aca="true">IF($A39="","",IFERROR(SUMIFS(AnalysisVarianceUnits,AnalysisStore,$A39,AnalysisPeriod,$B$8,AnalysisIncluded,"Included")/SUMIFS(AnalysisExpected,AnalysisStore,$A39,AnalysisPeriod,$B$8,AnalysisIncluded,"Included"),""))</f>
        <v/>
      </c>
      <c r="D39" s="25" t="str">
        <f aca="true">IF($A39="","",IF(COUNTIFS(AnalysisStore,$A39,AnalysisPeriod,$B$8,AnalysisMaterial,"Material")&gt;0,"Material result present","No material included result"))</f>
        <v/>
      </c>
      <c r="E39" s="26" t="str">
        <f aca="true">IF($A39="","",COUNTIFS(AnalysisStore,$A39,AnalysisPeriod,$C$8,AnalysisIncluded,"Included"))</f>
        <v/>
      </c>
      <c r="F39" s="24" t="str">
        <f aca="true">IF($A39="","",IFERROR(SUMIFS(AnalysisVarianceUnits,AnalysisStore,$A39,AnalysisPeriod,$C$8,AnalysisIncluded,"Included")/SUMIFS(AnalysisExpected,AnalysisStore,$A39,AnalysisPeriod,$C$8,AnalysisIncluded,"Included"),""))</f>
        <v/>
      </c>
      <c r="G39" s="25" t="str">
        <f aca="true">IF($A39="","",IF(COUNTIFS(AnalysisStore,$A39,AnalysisPeriod,$C$8,AnalysisMaterial,"Material")&gt;0,"Material result present","No material included result"))</f>
        <v/>
      </c>
      <c r="H39" s="25" t="str">
        <f aca="false">IF($A39="","",IF(AND(D39="Material result present",G39="Material result present"),"Material in both periods",IF(G39="Material result present","Current material result",IF(D39="Material result present","No current material result","No material result"))))</f>
        <v/>
      </c>
    </row>
    <row r="40" customFormat="false" ht="25.5" hidden="false" customHeight="true" outlineLevel="0" collapsed="false">
      <c r="A40" s="25" t="str">
        <f aca="true">IFERROR(INDEX(InputStore,MATCH(0,COUNTIF($A$28:A39,InputStore),0)),"")</f>
        <v/>
      </c>
      <c r="B40" s="26" t="str">
        <f aca="true">IF($A40="","",COUNTIFS(AnalysisStore,$A40,AnalysisPeriod,$B$8,AnalysisIncluded,"Included"))</f>
        <v/>
      </c>
      <c r="C40" s="24" t="str">
        <f aca="true">IF($A40="","",IFERROR(SUMIFS(AnalysisVarianceUnits,AnalysisStore,$A40,AnalysisPeriod,$B$8,AnalysisIncluded,"Included")/SUMIFS(AnalysisExpected,AnalysisStore,$A40,AnalysisPeriod,$B$8,AnalysisIncluded,"Included"),""))</f>
        <v/>
      </c>
      <c r="D40" s="25" t="str">
        <f aca="true">IF($A40="","",IF(COUNTIFS(AnalysisStore,$A40,AnalysisPeriod,$B$8,AnalysisMaterial,"Material")&gt;0,"Material result present","No material included result"))</f>
        <v/>
      </c>
      <c r="E40" s="26" t="str">
        <f aca="true">IF($A40="","",COUNTIFS(AnalysisStore,$A40,AnalysisPeriod,$C$8,AnalysisIncluded,"Included"))</f>
        <v/>
      </c>
      <c r="F40" s="24" t="str">
        <f aca="true">IF($A40="","",IFERROR(SUMIFS(AnalysisVarianceUnits,AnalysisStore,$A40,AnalysisPeriod,$C$8,AnalysisIncluded,"Included")/SUMIFS(AnalysisExpected,AnalysisStore,$A40,AnalysisPeriod,$C$8,AnalysisIncluded,"Included"),""))</f>
        <v/>
      </c>
      <c r="G40" s="25" t="str">
        <f aca="true">IF($A40="","",IF(COUNTIFS(AnalysisStore,$A40,AnalysisPeriod,$C$8,AnalysisMaterial,"Material")&gt;0,"Material result present","No material included result"))</f>
        <v/>
      </c>
      <c r="H40" s="25" t="str">
        <f aca="false">IF($A40="","",IF(AND(D40="Material result present",G40="Material result present"),"Material in both periods",IF(G40="Material result present","Current material result",IF(D40="Material result present","No current material result","No material result"))))</f>
        <v/>
      </c>
    </row>
    <row r="41" customFormat="false" ht="25.5" hidden="false" customHeight="true" outlineLevel="0" collapsed="false">
      <c r="A41" s="25" t="str">
        <f aca="true">IFERROR(INDEX(InputStore,MATCH(0,COUNTIF($A$28:A40,InputStore),0)),"")</f>
        <v/>
      </c>
      <c r="B41" s="26" t="str">
        <f aca="true">IF($A41="","",COUNTIFS(AnalysisStore,$A41,AnalysisPeriod,$B$8,AnalysisIncluded,"Included"))</f>
        <v/>
      </c>
      <c r="C41" s="24" t="str">
        <f aca="true">IF($A41="","",IFERROR(SUMIFS(AnalysisVarianceUnits,AnalysisStore,$A41,AnalysisPeriod,$B$8,AnalysisIncluded,"Included")/SUMIFS(AnalysisExpected,AnalysisStore,$A41,AnalysisPeriod,$B$8,AnalysisIncluded,"Included"),""))</f>
        <v/>
      </c>
      <c r="D41" s="25" t="str">
        <f aca="true">IF($A41="","",IF(COUNTIFS(AnalysisStore,$A41,AnalysisPeriod,$B$8,AnalysisMaterial,"Material")&gt;0,"Material result present","No material included result"))</f>
        <v/>
      </c>
      <c r="E41" s="26" t="str">
        <f aca="true">IF($A41="","",COUNTIFS(AnalysisStore,$A41,AnalysisPeriod,$C$8,AnalysisIncluded,"Included"))</f>
        <v/>
      </c>
      <c r="F41" s="24" t="str">
        <f aca="true">IF($A41="","",IFERROR(SUMIFS(AnalysisVarianceUnits,AnalysisStore,$A41,AnalysisPeriod,$C$8,AnalysisIncluded,"Included")/SUMIFS(AnalysisExpected,AnalysisStore,$A41,AnalysisPeriod,$C$8,AnalysisIncluded,"Included"),""))</f>
        <v/>
      </c>
      <c r="G41" s="25" t="str">
        <f aca="true">IF($A41="","",IF(COUNTIFS(AnalysisStore,$A41,AnalysisPeriod,$C$8,AnalysisMaterial,"Material")&gt;0,"Material result present","No material included result"))</f>
        <v/>
      </c>
      <c r="H41" s="25" t="str">
        <f aca="false">IF($A41="","",IF(AND(D41="Material result present",G41="Material result present"),"Material in both periods",IF(G41="Material result present","Current material result",IF(D41="Material result present","No current material result","No material result"))))</f>
        <v/>
      </c>
    </row>
    <row r="42" customFormat="false" ht="25.5" hidden="false" customHeight="true" outlineLevel="0" collapsed="false">
      <c r="A42" s="25" t="str">
        <f aca="true">IFERROR(INDEX(InputStore,MATCH(0,COUNTIF($A$28:A41,InputStore),0)),"")</f>
        <v/>
      </c>
      <c r="B42" s="26" t="str">
        <f aca="true">IF($A42="","",COUNTIFS(AnalysisStore,$A42,AnalysisPeriod,$B$8,AnalysisIncluded,"Included"))</f>
        <v/>
      </c>
      <c r="C42" s="24" t="str">
        <f aca="true">IF($A42="","",IFERROR(SUMIFS(AnalysisVarianceUnits,AnalysisStore,$A42,AnalysisPeriod,$B$8,AnalysisIncluded,"Included")/SUMIFS(AnalysisExpected,AnalysisStore,$A42,AnalysisPeriod,$B$8,AnalysisIncluded,"Included"),""))</f>
        <v/>
      </c>
      <c r="D42" s="25" t="str">
        <f aca="true">IF($A42="","",IF(COUNTIFS(AnalysisStore,$A42,AnalysisPeriod,$B$8,AnalysisMaterial,"Material")&gt;0,"Material result present","No material included result"))</f>
        <v/>
      </c>
      <c r="E42" s="26" t="str">
        <f aca="true">IF($A42="","",COUNTIFS(AnalysisStore,$A42,AnalysisPeriod,$C$8,AnalysisIncluded,"Included"))</f>
        <v/>
      </c>
      <c r="F42" s="24" t="str">
        <f aca="true">IF($A42="","",IFERROR(SUMIFS(AnalysisVarianceUnits,AnalysisStore,$A42,AnalysisPeriod,$C$8,AnalysisIncluded,"Included")/SUMIFS(AnalysisExpected,AnalysisStore,$A42,AnalysisPeriod,$C$8,AnalysisIncluded,"Included"),""))</f>
        <v/>
      </c>
      <c r="G42" s="25" t="str">
        <f aca="true">IF($A42="","",IF(COUNTIFS(AnalysisStore,$A42,AnalysisPeriod,$C$8,AnalysisMaterial,"Material")&gt;0,"Material result present","No material included result"))</f>
        <v/>
      </c>
      <c r="H42" s="25" t="str">
        <f aca="false">IF($A42="","",IF(AND(D42="Material result present",G42="Material result present"),"Material in both periods",IF(G42="Material result present","Current material result",IF(D42="Material result present","No current material result","No material result"))))</f>
        <v/>
      </c>
    </row>
    <row r="43" customFormat="false" ht="25.5" hidden="false" customHeight="true" outlineLevel="0" collapsed="false">
      <c r="A43" s="25" t="str">
        <f aca="true">IFERROR(INDEX(InputStore,MATCH(0,COUNTIF($A$28:A42,InputStore),0)),"")</f>
        <v/>
      </c>
      <c r="B43" s="26" t="str">
        <f aca="true">IF($A43="","",COUNTIFS(AnalysisStore,$A43,AnalysisPeriod,$B$8,AnalysisIncluded,"Included"))</f>
        <v/>
      </c>
      <c r="C43" s="24" t="str">
        <f aca="true">IF($A43="","",IFERROR(SUMIFS(AnalysisVarianceUnits,AnalysisStore,$A43,AnalysisPeriod,$B$8,AnalysisIncluded,"Included")/SUMIFS(AnalysisExpected,AnalysisStore,$A43,AnalysisPeriod,$B$8,AnalysisIncluded,"Included"),""))</f>
        <v/>
      </c>
      <c r="D43" s="25" t="str">
        <f aca="true">IF($A43="","",IF(COUNTIFS(AnalysisStore,$A43,AnalysisPeriod,$B$8,AnalysisMaterial,"Material")&gt;0,"Material result present","No material included result"))</f>
        <v/>
      </c>
      <c r="E43" s="26" t="str">
        <f aca="true">IF($A43="","",COUNTIFS(AnalysisStore,$A43,AnalysisPeriod,$C$8,AnalysisIncluded,"Included"))</f>
        <v/>
      </c>
      <c r="F43" s="24" t="str">
        <f aca="true">IF($A43="","",IFERROR(SUMIFS(AnalysisVarianceUnits,AnalysisStore,$A43,AnalysisPeriod,$C$8,AnalysisIncluded,"Included")/SUMIFS(AnalysisExpected,AnalysisStore,$A43,AnalysisPeriod,$C$8,AnalysisIncluded,"Included"),""))</f>
        <v/>
      </c>
      <c r="G43" s="25" t="str">
        <f aca="true">IF($A43="","",IF(COUNTIFS(AnalysisStore,$A43,AnalysisPeriod,$C$8,AnalysisMaterial,"Material")&gt;0,"Material result present","No material included result"))</f>
        <v/>
      </c>
      <c r="H43" s="25" t="str">
        <f aca="false">IF($A43="","",IF(AND(D43="Material result present",G43="Material result present"),"Material in both periods",IF(G43="Material result present","Current material result",IF(D43="Material result present","No current material result","No material result"))))</f>
        <v/>
      </c>
    </row>
    <row r="44" customFormat="false" ht="25.5" hidden="false" customHeight="true" outlineLevel="0" collapsed="false">
      <c r="A44" s="25" t="str">
        <f aca="true">IFERROR(INDEX(InputStore,MATCH(0,COUNTIF($A$28:A43,InputStore),0)),"")</f>
        <v/>
      </c>
      <c r="B44" s="26" t="str">
        <f aca="true">IF($A44="","",COUNTIFS(AnalysisStore,$A44,AnalysisPeriod,$B$8,AnalysisIncluded,"Included"))</f>
        <v/>
      </c>
      <c r="C44" s="24" t="str">
        <f aca="true">IF($A44="","",IFERROR(SUMIFS(AnalysisVarianceUnits,AnalysisStore,$A44,AnalysisPeriod,$B$8,AnalysisIncluded,"Included")/SUMIFS(AnalysisExpected,AnalysisStore,$A44,AnalysisPeriod,$B$8,AnalysisIncluded,"Included"),""))</f>
        <v/>
      </c>
      <c r="D44" s="25" t="str">
        <f aca="true">IF($A44="","",IF(COUNTIFS(AnalysisStore,$A44,AnalysisPeriod,$B$8,AnalysisMaterial,"Material")&gt;0,"Material result present","No material included result"))</f>
        <v/>
      </c>
      <c r="E44" s="26" t="str">
        <f aca="true">IF($A44="","",COUNTIFS(AnalysisStore,$A44,AnalysisPeriod,$C$8,AnalysisIncluded,"Included"))</f>
        <v/>
      </c>
      <c r="F44" s="24" t="str">
        <f aca="true">IF($A44="","",IFERROR(SUMIFS(AnalysisVarianceUnits,AnalysisStore,$A44,AnalysisPeriod,$C$8,AnalysisIncluded,"Included")/SUMIFS(AnalysisExpected,AnalysisStore,$A44,AnalysisPeriod,$C$8,AnalysisIncluded,"Included"),""))</f>
        <v/>
      </c>
      <c r="G44" s="25" t="str">
        <f aca="true">IF($A44="","",IF(COUNTIFS(AnalysisStore,$A44,AnalysisPeriod,$C$8,AnalysisMaterial,"Material")&gt;0,"Material result present","No material included result"))</f>
        <v/>
      </c>
      <c r="H44" s="25" t="str">
        <f aca="false">IF($A44="","",IF(AND(D44="Material result present",G44="Material result present"),"Material in both periods",IF(G44="Material result present","Current material result",IF(D44="Material result present","No current material result","No material result"))))</f>
        <v/>
      </c>
    </row>
    <row r="45" customFormat="false" ht="25.5" hidden="false" customHeight="true" outlineLevel="0" collapsed="false">
      <c r="A45" s="25" t="str">
        <f aca="true">IFERROR(INDEX(InputStore,MATCH(0,COUNTIF($A$28:A44,InputStore),0)),"")</f>
        <v/>
      </c>
      <c r="B45" s="26" t="str">
        <f aca="true">IF($A45="","",COUNTIFS(AnalysisStore,$A45,AnalysisPeriod,$B$8,AnalysisIncluded,"Included"))</f>
        <v/>
      </c>
      <c r="C45" s="24" t="str">
        <f aca="true">IF($A45="","",IFERROR(SUMIFS(AnalysisVarianceUnits,AnalysisStore,$A45,AnalysisPeriod,$B$8,AnalysisIncluded,"Included")/SUMIFS(AnalysisExpected,AnalysisStore,$A45,AnalysisPeriod,$B$8,AnalysisIncluded,"Included"),""))</f>
        <v/>
      </c>
      <c r="D45" s="25" t="str">
        <f aca="true">IF($A45="","",IF(COUNTIFS(AnalysisStore,$A45,AnalysisPeriod,$B$8,AnalysisMaterial,"Material")&gt;0,"Material result present","No material included result"))</f>
        <v/>
      </c>
      <c r="E45" s="26" t="str">
        <f aca="true">IF($A45="","",COUNTIFS(AnalysisStore,$A45,AnalysisPeriod,$C$8,AnalysisIncluded,"Included"))</f>
        <v/>
      </c>
      <c r="F45" s="24" t="str">
        <f aca="true">IF($A45="","",IFERROR(SUMIFS(AnalysisVarianceUnits,AnalysisStore,$A45,AnalysisPeriod,$C$8,AnalysisIncluded,"Included")/SUMIFS(AnalysisExpected,AnalysisStore,$A45,AnalysisPeriod,$C$8,AnalysisIncluded,"Included"),""))</f>
        <v/>
      </c>
      <c r="G45" s="25" t="str">
        <f aca="true">IF($A45="","",IF(COUNTIFS(AnalysisStore,$A45,AnalysisPeriod,$C$8,AnalysisMaterial,"Material")&gt;0,"Material result present","No material included result"))</f>
        <v/>
      </c>
      <c r="H45" s="25" t="str">
        <f aca="false">IF($A45="","",IF(AND(D45="Material result present",G45="Material result present"),"Material in both periods",IF(G45="Material result present","Current material result",IF(D45="Material result present","No current material result","No material result"))))</f>
        <v/>
      </c>
    </row>
    <row r="46" customFormat="false" ht="25.5" hidden="false" customHeight="true" outlineLevel="0" collapsed="false">
      <c r="A46" s="25" t="str">
        <f aca="true">IFERROR(INDEX(InputStore,MATCH(0,COUNTIF($A$28:A45,InputStore),0)),"")</f>
        <v/>
      </c>
      <c r="B46" s="26" t="str">
        <f aca="true">IF($A46="","",COUNTIFS(AnalysisStore,$A46,AnalysisPeriod,$B$8,AnalysisIncluded,"Included"))</f>
        <v/>
      </c>
      <c r="C46" s="24" t="str">
        <f aca="true">IF($A46="","",IFERROR(SUMIFS(AnalysisVarianceUnits,AnalysisStore,$A46,AnalysisPeriod,$B$8,AnalysisIncluded,"Included")/SUMIFS(AnalysisExpected,AnalysisStore,$A46,AnalysisPeriod,$B$8,AnalysisIncluded,"Included"),""))</f>
        <v/>
      </c>
      <c r="D46" s="25" t="str">
        <f aca="true">IF($A46="","",IF(COUNTIFS(AnalysisStore,$A46,AnalysisPeriod,$B$8,AnalysisMaterial,"Material")&gt;0,"Material result present","No material included result"))</f>
        <v/>
      </c>
      <c r="E46" s="26" t="str">
        <f aca="true">IF($A46="","",COUNTIFS(AnalysisStore,$A46,AnalysisPeriod,$C$8,AnalysisIncluded,"Included"))</f>
        <v/>
      </c>
      <c r="F46" s="24" t="str">
        <f aca="true">IF($A46="","",IFERROR(SUMIFS(AnalysisVarianceUnits,AnalysisStore,$A46,AnalysisPeriod,$C$8,AnalysisIncluded,"Included")/SUMIFS(AnalysisExpected,AnalysisStore,$A46,AnalysisPeriod,$C$8,AnalysisIncluded,"Included"),""))</f>
        <v/>
      </c>
      <c r="G46" s="25" t="str">
        <f aca="true">IF($A46="","",IF(COUNTIFS(AnalysisStore,$A46,AnalysisPeriod,$C$8,AnalysisMaterial,"Material")&gt;0,"Material result present","No material included result"))</f>
        <v/>
      </c>
      <c r="H46" s="25" t="str">
        <f aca="false">IF($A46="","",IF(AND(D46="Material result present",G46="Material result present"),"Material in both periods",IF(G46="Material result present","Current material result",IF(D46="Material result present","No current material result","No material result"))))</f>
        <v/>
      </c>
    </row>
    <row r="47" customFormat="false" ht="25.5" hidden="false" customHeight="true" outlineLevel="0" collapsed="false">
      <c r="A47" s="25" t="str">
        <f aca="true">IFERROR(INDEX(InputStore,MATCH(0,COUNTIF($A$28:A46,InputStore),0)),"")</f>
        <v/>
      </c>
      <c r="B47" s="26" t="str">
        <f aca="true">IF($A47="","",COUNTIFS(AnalysisStore,$A47,AnalysisPeriod,$B$8,AnalysisIncluded,"Included"))</f>
        <v/>
      </c>
      <c r="C47" s="24" t="str">
        <f aca="true">IF($A47="","",IFERROR(SUMIFS(AnalysisVarianceUnits,AnalysisStore,$A47,AnalysisPeriod,$B$8,AnalysisIncluded,"Included")/SUMIFS(AnalysisExpected,AnalysisStore,$A47,AnalysisPeriod,$B$8,AnalysisIncluded,"Included"),""))</f>
        <v/>
      </c>
      <c r="D47" s="25" t="str">
        <f aca="true">IF($A47="","",IF(COUNTIFS(AnalysisStore,$A47,AnalysisPeriod,$B$8,AnalysisMaterial,"Material")&gt;0,"Material result present","No material included result"))</f>
        <v/>
      </c>
      <c r="E47" s="26" t="str">
        <f aca="true">IF($A47="","",COUNTIFS(AnalysisStore,$A47,AnalysisPeriod,$C$8,AnalysisIncluded,"Included"))</f>
        <v/>
      </c>
      <c r="F47" s="24" t="str">
        <f aca="true">IF($A47="","",IFERROR(SUMIFS(AnalysisVarianceUnits,AnalysisStore,$A47,AnalysisPeriod,$C$8,AnalysisIncluded,"Included")/SUMIFS(AnalysisExpected,AnalysisStore,$A47,AnalysisPeriod,$C$8,AnalysisIncluded,"Included"),""))</f>
        <v/>
      </c>
      <c r="G47" s="25" t="str">
        <f aca="true">IF($A47="","",IF(COUNTIFS(AnalysisStore,$A47,AnalysisPeriod,$C$8,AnalysisMaterial,"Material")&gt;0,"Material result present","No material included result"))</f>
        <v/>
      </c>
      <c r="H47" s="25" t="str">
        <f aca="false">IF($A47="","",IF(AND(D47="Material result present",G47="Material result present"),"Material in both periods",IF(G47="Material result present","Current material result",IF(D47="Material result present","No current material result","No material result"))))</f>
        <v/>
      </c>
    </row>
    <row r="48" customFormat="false" ht="25.5" hidden="false" customHeight="true" outlineLevel="0" collapsed="false">
      <c r="A48" s="25" t="str">
        <f aca="true">IFERROR(INDEX(InputStore,MATCH(0,COUNTIF($A$28:A47,InputStore),0)),"")</f>
        <v/>
      </c>
      <c r="B48" s="26" t="str">
        <f aca="true">IF($A48="","",COUNTIFS(AnalysisStore,$A48,AnalysisPeriod,$B$8,AnalysisIncluded,"Included"))</f>
        <v/>
      </c>
      <c r="C48" s="24" t="str">
        <f aca="true">IF($A48="","",IFERROR(SUMIFS(AnalysisVarianceUnits,AnalysisStore,$A48,AnalysisPeriod,$B$8,AnalysisIncluded,"Included")/SUMIFS(AnalysisExpected,AnalysisStore,$A48,AnalysisPeriod,$B$8,AnalysisIncluded,"Included"),""))</f>
        <v/>
      </c>
      <c r="D48" s="25" t="str">
        <f aca="true">IF($A48="","",IF(COUNTIFS(AnalysisStore,$A48,AnalysisPeriod,$B$8,AnalysisMaterial,"Material")&gt;0,"Material result present","No material included result"))</f>
        <v/>
      </c>
      <c r="E48" s="26" t="str">
        <f aca="true">IF($A48="","",COUNTIFS(AnalysisStore,$A48,AnalysisPeriod,$C$8,AnalysisIncluded,"Included"))</f>
        <v/>
      </c>
      <c r="F48" s="24" t="str">
        <f aca="true">IF($A48="","",IFERROR(SUMIFS(AnalysisVarianceUnits,AnalysisStore,$A48,AnalysisPeriod,$C$8,AnalysisIncluded,"Included")/SUMIFS(AnalysisExpected,AnalysisStore,$A48,AnalysisPeriod,$C$8,AnalysisIncluded,"Included"),""))</f>
        <v/>
      </c>
      <c r="G48" s="25" t="str">
        <f aca="true">IF($A48="","",IF(COUNTIFS(AnalysisStore,$A48,AnalysisPeriod,$C$8,AnalysisMaterial,"Material")&gt;0,"Material result present","No material included result"))</f>
        <v/>
      </c>
      <c r="H48" s="25" t="str">
        <f aca="false">IF($A48="","",IF(AND(D48="Material result present",G48="Material result present"),"Material in both periods",IF(G48="Material result present","Current material result",IF(D48="Material result present","No current material result","No material result"))))</f>
        <v/>
      </c>
    </row>
  </sheetData>
  <sheetProtection sheet="true" formatCells="false" formatColumns="false" formatRows="false" insertColumns="false" insertRows="false" deleteColumns="false" deleteRows="false" selectLockedCells="true" sort="false" autoFilter="false" selectUnlockedCells="true"/>
  <autoFilter ref="A28:H48"/>
  <mergeCells count="20">
    <mergeCell ref="A1:H1"/>
    <mergeCell ref="A2:H2"/>
    <mergeCell ref="A4:H4"/>
    <mergeCell ref="C5:H5"/>
    <mergeCell ref="A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A19:H19"/>
    <mergeCell ref="B20:H20"/>
    <mergeCell ref="B21:H22"/>
    <mergeCell ref="B23:H25"/>
    <mergeCell ref="A27:H27"/>
  </mergeCells>
  <printOptions headings="false" gridLines="false" gridLinesSet="true" horizontalCentered="false" verticalCentered="false"/>
  <pageMargins left="0.240277777777778" right="0.240277777777778" top="0.420138888888889" bottom="0.4201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58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1" t="s">
        <v>131</v>
      </c>
      <c r="B1" s="1"/>
      <c r="C1" s="1"/>
      <c r="D1" s="1"/>
    </row>
    <row r="2" customFormat="false" ht="15" hidden="false" customHeight="false" outlineLevel="0" collapsed="false">
      <c r="A2" s="2" t="s">
        <v>132</v>
      </c>
      <c r="B2" s="2"/>
      <c r="C2" s="2"/>
      <c r="D2" s="2"/>
    </row>
    <row r="4" customFormat="false" ht="31.5" hidden="false" customHeight="true" outlineLevel="0" collapsed="false">
      <c r="A4" s="16" t="s">
        <v>133</v>
      </c>
      <c r="B4" s="16" t="s">
        <v>134</v>
      </c>
      <c r="C4" s="16" t="s">
        <v>135</v>
      </c>
      <c r="D4" s="16" t="s">
        <v>136</v>
      </c>
    </row>
    <row r="5" customFormat="false" ht="54" hidden="false" customHeight="true" outlineLevel="0" collapsed="false">
      <c r="A5" s="14" t="s">
        <v>137</v>
      </c>
      <c r="B5" s="25" t="str">
        <f aca="false">Model!B8&amp;" and "&amp;Model!C8</f>
        <v>Prior period and Current period</v>
      </c>
      <c r="C5" s="21" t="s">
        <v>138</v>
      </c>
      <c r="D5" s="26" t="n">
        <f aca="false">1</f>
        <v>1</v>
      </c>
    </row>
    <row r="6" customFormat="false" ht="54" hidden="false" customHeight="true" outlineLevel="0" collapsed="false">
      <c r="A6" s="14" t="s">
        <v>139</v>
      </c>
      <c r="B6" s="25" t="s">
        <v>140</v>
      </c>
      <c r="C6" s="21" t="s">
        <v>141</v>
      </c>
      <c r="D6" s="26" t="n">
        <f aca="false">1</f>
        <v>1</v>
      </c>
    </row>
    <row r="7" customFormat="false" ht="54" hidden="false" customHeight="true" outlineLevel="0" collapsed="false">
      <c r="A7" s="14" t="s">
        <v>142</v>
      </c>
      <c r="B7" s="25" t="s">
        <v>143</v>
      </c>
      <c r="C7" s="21" t="s">
        <v>144</v>
      </c>
      <c r="D7" s="26" t="n">
        <f aca="false">1</f>
        <v>1</v>
      </c>
    </row>
    <row r="8" customFormat="false" ht="54" hidden="false" customHeight="true" outlineLevel="0" collapsed="false">
      <c r="A8" s="14" t="s">
        <v>145</v>
      </c>
      <c r="B8" s="25" t="s">
        <v>146</v>
      </c>
      <c r="C8" s="21" t="s">
        <v>147</v>
      </c>
      <c r="D8" s="26" t="n">
        <f aca="false">1</f>
        <v>1</v>
      </c>
    </row>
    <row r="9" customFormat="false" ht="54" hidden="false" customHeight="true" outlineLevel="0" collapsed="false">
      <c r="A9" s="14" t="s">
        <v>148</v>
      </c>
      <c r="B9" s="25" t="str">
        <f aca="false">TEXT(Model!B14,"0.0%")&amp;" to "&amp;TEXT(Model!C14,"0.0%")&amp;"; "&amp;TEXT(Model!D14*100,"0.0")&amp;" percentage points."</f>
        <v>-0.4% to 10.1%; 10.5 percentage points.</v>
      </c>
      <c r="C9" s="21" t="s">
        <v>149</v>
      </c>
      <c r="D9" s="26" t="n">
        <f aca="false">1</f>
        <v>1</v>
      </c>
    </row>
    <row r="10" customFormat="false" ht="54" hidden="false" customHeight="true" outlineLevel="0" collapsed="false">
      <c r="A10" s="14" t="s">
        <v>150</v>
      </c>
      <c r="B10" s="25" t="str">
        <f aca="false">Model!B20</f>
        <v>Investigate counting process</v>
      </c>
      <c r="C10" s="21" t="s">
        <v>151</v>
      </c>
      <c r="D10" s="26" t="n">
        <f aca="false">1</f>
        <v>1</v>
      </c>
    </row>
    <row r="11" customFormat="false" ht="54" hidden="false" customHeight="true" outlineLevel="0" collapsed="false">
      <c r="A11" s="14" t="s">
        <v>152</v>
      </c>
      <c r="B11" s="25" t="str">
        <f aca="false">TEXT(Model!B17,"0")&amp;" prior and "&amp;TEXT(Model!C17,"0")&amp;" current records are missing or non-included and do not enter totals."</f>
        <v>3 prior and 4 current records are missing or non-included and do not enter totals.</v>
      </c>
      <c r="C11" s="21" t="s">
        <v>153</v>
      </c>
      <c r="D11" s="26" t="n">
        <f aca="false">1</f>
        <v>1</v>
      </c>
    </row>
    <row r="13" customFormat="false" ht="21" hidden="false" customHeight="true" outlineLevel="0" collapsed="false">
      <c r="A13" s="3" t="s">
        <v>154</v>
      </c>
      <c r="B13" s="3"/>
      <c r="C13" s="3"/>
      <c r="D13" s="3"/>
    </row>
    <row r="14" customFormat="false" ht="33.75" hidden="false" customHeight="true" outlineLevel="0" collapsed="false">
      <c r="A14" s="14" t="s">
        <v>155</v>
      </c>
      <c r="B14" s="26" t="n">
        <f aca="false">SUM(D5:D11)</f>
        <v>7</v>
      </c>
      <c r="C14" s="15" t="s">
        <v>156</v>
      </c>
      <c r="D14" s="15"/>
    </row>
    <row r="16" customFormat="false" ht="27.75" hidden="false" customHeight="true" outlineLevel="0" collapsed="false">
      <c r="A16" s="14" t="s">
        <v>157</v>
      </c>
      <c r="B16" s="15" t="s">
        <v>158</v>
      </c>
      <c r="C16" s="15"/>
      <c r="D16" s="15"/>
    </row>
  </sheetData>
  <sheetProtection sheet="true" formatCells="false" formatColumns="false" formatRows="false" insertColumns="false" insertRows="false" deleteColumns="false" deleteRows="false" selectLockedCells="true" sort="false" autoFilter="false" selectUnlockedCells="true"/>
  <mergeCells count="5">
    <mergeCell ref="A1:D1"/>
    <mergeCell ref="A2:D2"/>
    <mergeCell ref="A13:D13"/>
    <mergeCell ref="C14:D14"/>
    <mergeCell ref="B16:D16"/>
  </mergeCells>
  <printOptions headings="false" gridLines="false" gridLinesSet="true" horizontalCentered="false" verticalCentered="false"/>
  <pageMargins left="0.240277777777778" right="0.240277777777778" top="0.420138888888889" bottom="0.4201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2026-08-16T15:15:43Z</dcterms:created>
  <dc:creator>openpyxl</dc:creator>
  <dc:description/>
  <dc:language>en-US</dc:language>
  <cp:lastModifiedBy/>
  <dcterms:modified xsi:type="dcterms:W3CDTF">2026-08-16T15:15:43Z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