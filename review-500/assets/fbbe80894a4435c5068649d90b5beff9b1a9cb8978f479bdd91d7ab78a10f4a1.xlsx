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un Summary" sheetId="1" state="visible" r:id="rId3"/>
    <sheet name="Schedule" sheetId="2" state="visible" r:id="rId4"/>
    <sheet name="Unscheduled" sheetId="3" state="visible" r:id="rId5"/>
    <sheet name="Daily Capacity" sheetId="4" state="visible" r:id="rId6"/>
    <sheet name="Data Quality" sheetId="5" state="visible" r:id="rId7"/>
    <sheet name="Assumptions" sheetId="6" state="visible" r:id="rId8"/>
  </sheets>
  <definedNames>
    <definedName function="false" hidden="false" localSheetId="5" name="_xlnm.Print_Area" vbProcedure="false">Assumptions!$A$1:$D$13</definedName>
    <definedName function="false" hidden="false" localSheetId="3" name="_xlnm.Print_Area" vbProcedure="false">'Daily Capacity'!$A$1:$G$35</definedName>
    <definedName function="false" hidden="true" localSheetId="3" name="_xlnm._FilterDatabase" vbProcedure="false">'Daily Capacity'!$A$4:$G$35</definedName>
    <definedName function="false" hidden="false" localSheetId="4" name="_xlnm.Print_Area" vbProcedure="false">'Data Quality'!$A$1:$F$62</definedName>
    <definedName function="false" hidden="true" localSheetId="4" name="_xlnm._FilterDatabase" vbProcedure="false">'Data Quality'!$A$4:$F$62</definedName>
    <definedName function="false" hidden="false" localSheetId="0" name="_xlnm.Print_Area" vbProcedure="false">'Run Summary'!$A$1:$G$16</definedName>
    <definedName function="false" hidden="false" localSheetId="1" name="_xlnm.Print_Area" vbProcedure="false">Schedule!$A$1:$T$14</definedName>
    <definedName function="false" hidden="true" localSheetId="1" name="_xlnm._FilterDatabase" vbProcedure="false">Schedule!$A$4:$T$14</definedName>
    <definedName function="false" hidden="false" localSheetId="2" name="_xlnm.Print_Area" vbProcedure="false">Unscheduled!$A$1:$H$8</definedName>
    <definedName function="false" hidden="true" localSheetId="2" name="_xlnm._FilterDatabase" vbProcedure="false">Unscheduled!$A$4:$H$8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<sst xmlns="http://schemas.openxmlformats.org/spreadsheetml/2006/main" count="522" uniqueCount="214">
  <si>
    <t xml:space="preserve">Kilnbrook Foundry | July crew and bay capacity</t>
  </si>
  <si>
    <t xml:space="preserve">Decision view generated from the reconciled Cranemoor bookings and the frozen 1 June turnaround snapshot.</t>
  </si>
  <si>
    <t xml:space="preserve">Selected plan</t>
  </si>
  <si>
    <t xml:space="preserve">Selected objective</t>
  </si>
  <si>
    <t xml:space="preserve">coverage</t>
  </si>
  <si>
    <t xml:space="preserve">Recommendation</t>
  </si>
  <si>
    <t xml:space="preserve">Recommended default: coverage-led plan, favoring greatest booking coverage. It schedules 7 of 11 eligible July bookings at $724.81. The cost-led comparison schedules 6 confirmed bookings at $664.25; coverage is the recommended reading because the current decision is whether constrained regional capacity can absorb more work.</t>
  </si>
  <si>
    <t xml:space="preserve">Scheduled bookings</t>
  </si>
  <si>
    <t xml:space="preserve">Eligible denominator</t>
  </si>
  <si>
    <t xml:space="preserve">Booking coverage</t>
  </si>
  <si>
    <t xml:space="preserve">Total labour hours</t>
  </si>
  <si>
    <t xml:space="preserve">Total labour cost</t>
  </si>
  <si>
    <t xml:space="preserve">Coverage-mode comparison</t>
  </si>
  <si>
    <t xml:space="preserve">7 scheduled bookings</t>
  </si>
  <si>
    <t xml:space="preserve">Cost-mode comparison</t>
  </si>
  <si>
    <t xml:space="preserve">664.25 USD total labour cost</t>
  </si>
  <si>
    <t xml:space="preserve">Crew and bay assignments</t>
  </si>
  <si>
    <t xml:space="preserve">One row per assigned employee. Occupied time includes frozen turnaround; rounding and labour cost are spreadsheet formulas.</t>
  </si>
  <si>
    <t xml:space="preserve">Booking ID</t>
  </si>
  <si>
    <t xml:space="preserve">Operation Date</t>
  </si>
  <si>
    <t xml:space="preserve">Status</t>
  </si>
  <si>
    <t xml:space="preserve">Revision</t>
  </si>
  <si>
    <t xml:space="preserve">Requested Start</t>
  </si>
  <si>
    <t xml:space="preserve">Requested End</t>
  </si>
  <si>
    <t xml:space="preserve">Occupied Start</t>
  </si>
  <si>
    <t xml:space="preserve">Occupied End</t>
  </si>
  <si>
    <t xml:space="preserve">Occupied Hours</t>
  </si>
  <si>
    <t xml:space="preserve">Bay ID</t>
  </si>
  <si>
    <t xml:space="preserve">Employee ID</t>
  </si>
  <si>
    <t xml:space="preserve">Employee Name</t>
  </si>
  <si>
    <t xml:space="preserve">Equipment Class</t>
  </si>
  <si>
    <t xml:space="preserve">Required Crew</t>
  </si>
  <si>
    <t xml:space="preserve">Priority</t>
  </si>
  <si>
    <t xml:space="preserve">Hourly Rate</t>
  </si>
  <si>
    <t xml:space="preserve">Rounded Labour Hours</t>
  </si>
  <si>
    <t xml:space="preserve">Labour Cost</t>
  </si>
  <si>
    <t xml:space="preserve">Booking Marker</t>
  </si>
  <si>
    <t xml:space="preserve">Source Row</t>
  </si>
  <si>
    <t xml:space="preserve">CRN-2401</t>
  </si>
  <si>
    <t xml:space="preserve">Confirmed</t>
  </si>
  <si>
    <t xml:space="preserve">Bay-H2</t>
  </si>
  <si>
    <t xml:space="preserve">KB-041</t>
  </si>
  <si>
    <t xml:space="preserve">Alina Rios</t>
  </si>
  <si>
    <t xml:space="preserve">Furnace</t>
  </si>
  <si>
    <t xml:space="preserve">KB-057</t>
  </si>
  <si>
    <t xml:space="preserve">Marek Voss</t>
  </si>
  <si>
    <t xml:space="preserve">CRN-2403</t>
  </si>
  <si>
    <t xml:space="preserve">Bay-H1</t>
  </si>
  <si>
    <t xml:space="preserve">KB-063</t>
  </si>
  <si>
    <t xml:space="preserve">Priya Sen</t>
  </si>
  <si>
    <t xml:space="preserve">KB-111</t>
  </si>
  <si>
    <t xml:space="preserve">Ishan Rao</t>
  </si>
  <si>
    <t xml:space="preserve">CRN-2405</t>
  </si>
  <si>
    <t xml:space="preserve">Provisional</t>
  </si>
  <si>
    <t xml:space="preserve">Bay-S1</t>
  </si>
  <si>
    <t xml:space="preserve">KB-104</t>
  </si>
  <si>
    <t xml:space="preserve">Tessa Wu</t>
  </si>
  <si>
    <t xml:space="preserve">Inspection Rig</t>
  </si>
  <si>
    <t xml:space="preserve">CRN-2406</t>
  </si>
  <si>
    <t xml:space="preserve">Bay-E1</t>
  </si>
  <si>
    <t xml:space="preserve">KB-092</t>
  </si>
  <si>
    <t xml:space="preserve">Owen Park</t>
  </si>
  <si>
    <t xml:space="preserve">Electrical Panel</t>
  </si>
  <si>
    <t xml:space="preserve">CRN-2408</t>
  </si>
  <si>
    <t xml:space="preserve">CRN-2409</t>
  </si>
  <si>
    <t xml:space="preserve">CRN-2413</t>
  </si>
  <si>
    <t xml:space="preserve">KB-088</t>
  </si>
  <si>
    <t xml:space="preserve">Nadia Holt</t>
  </si>
  <si>
    <t xml:space="preserve">Eligible demand not scheduled</t>
  </si>
  <si>
    <t xml:space="preserve">Cancelled and out-of-window records are shown in Data Quality. This list contains only active July demand.</t>
  </si>
  <si>
    <t xml:space="preserve">Reason</t>
  </si>
  <si>
    <t xml:space="preserve">Counts Toward Denominator</t>
  </si>
  <si>
    <t xml:space="preserve">CRN-2402</t>
  </si>
  <si>
    <t xml:space="preserve">RESOURCE_CONFLICT</t>
  </si>
  <si>
    <t xml:space="preserve">Pressure Vessel</t>
  </si>
  <si>
    <t xml:space="preserve">CRN-2404</t>
  </si>
  <si>
    <t xml:space="preserve">CRN-2407</t>
  </si>
  <si>
    <t xml:space="preserve">CRN-2410</t>
  </si>
  <si>
    <t xml:space="preserve">CREW_UNAVAILABLE</t>
  </si>
  <si>
    <t xml:space="preserve">Daily bay capacity</t>
  </si>
  <si>
    <t xml:space="preserve">Available hours are operating-window unions less blackout overlap. Used hours count each occupied bay interval once, without crew multiplication.</t>
  </si>
  <si>
    <t xml:space="preserve">Date</t>
  </si>
  <si>
    <t xml:space="preserve">Scheduled Bookings</t>
  </si>
  <si>
    <t xml:space="preserve">Operating Window Hours</t>
  </si>
  <si>
    <t xml:space="preserve">Blackout Reduction</t>
  </si>
  <si>
    <t xml:space="preserve">Available Bay Hours</t>
  </si>
  <si>
    <t xml:space="preserve">Used Bay Hours</t>
  </si>
  <si>
    <t xml:space="preserve">Bay Use %</t>
  </si>
  <si>
    <t xml:space="preserve">Reconciliation and quality record</t>
  </si>
  <si>
    <t xml:space="preserve">Records below show the source actions taken before the July schedule was generated.</t>
  </si>
  <si>
    <t xml:space="preserve">Source</t>
  </si>
  <si>
    <t xml:space="preserve">Record</t>
  </si>
  <si>
    <t xml:space="preserve">Field</t>
  </si>
  <si>
    <t xml:space="preserve">Observed</t>
  </si>
  <si>
    <t xml:space="preserve">Disposition</t>
  </si>
  <si>
    <t xml:space="preserve">Details</t>
  </si>
  <si>
    <t xml:space="preserve">cranemoor_updated_bookings.xlsx</t>
  </si>
  <si>
    <t xml:space="preserve">2</t>
  </si>
  <si>
    <t xml:space="preserve">DUPLICATE_COLLAPSED</t>
  </si>
  <si>
    <t xml:space="preserve">identical controlling row collapsed</t>
  </si>
  <si>
    <t xml:space="preserve">Requested turnaround / bay</t>
  </si>
  <si>
    <t xml:space="preserve">5 | 10 | Standard</t>
  </si>
  <si>
    <t xml:space="preserve">FROZEN_SNAPSHOT_USED</t>
  </si>
  <si>
    <t xml:space="preserve">used frozen 30/45 minute turnaround and Heavy bay class</t>
  </si>
  <si>
    <t xml:space="preserve"> furnace </t>
  </si>
  <si>
    <t xml:space="preserve">NORMALIZED_LABEL</t>
  </si>
  <si>
    <t xml:space="preserve">normalized to Furnace</t>
  </si>
  <si>
    <t xml:space="preserve">Required Certifications</t>
  </si>
  <si>
    <t xml:space="preserve">Furnace; Crane</t>
  </si>
  <si>
    <t xml:space="preserve">normalized to crane; furnace</t>
  </si>
  <si>
    <t xml:space="preserve"> CONFIRMED </t>
  </si>
  <si>
    <t xml:space="preserve">normalized to Confirmed</t>
  </si>
  <si>
    <t xml:space="preserve">1</t>
  </si>
  <si>
    <t xml:space="preserve">SUPERSEDED_REVISION</t>
  </si>
  <si>
    <t xml:space="preserve">superseded by revision 2</t>
  </si>
  <si>
    <t xml:space="preserve">10 | 5 | Heavy</t>
  </si>
  <si>
    <t xml:space="preserve">used frozen 45/30 minute turnaround and Heavy bay class</t>
  </si>
  <si>
    <t xml:space="preserve">Tentative</t>
  </si>
  <si>
    <t xml:space="preserve">normalized to Provisional</t>
  </si>
  <si>
    <t xml:space="preserve">FURNACE</t>
  </si>
  <si>
    <t xml:space="preserve">locked</t>
  </si>
  <si>
    <t xml:space="preserve">confirmed</t>
  </si>
  <si>
    <t xml:space="preserve">rig</t>
  </si>
  <si>
    <t xml:space="preserve">normalized to Inspection Rig</t>
  </si>
  <si>
    <t xml:space="preserve"> provisional </t>
  </si>
  <si>
    <t xml:space="preserve"> electrical </t>
  </si>
  <si>
    <t xml:space="preserve">normalized to Electrical Panel</t>
  </si>
  <si>
    <t xml:space="preserve">Electrical</t>
  </si>
  <si>
    <t xml:space="preserve">normalized to electrical</t>
  </si>
  <si>
    <t xml:space="preserve">hold</t>
  </si>
  <si>
    <t xml:space="preserve">2 | 2 | Standard</t>
  </si>
  <si>
    <t xml:space="preserve">CRN-2411</t>
  </si>
  <si>
    <t xml:space="preserve">Cancelled</t>
  </si>
  <si>
    <t xml:space="preserve">CANCELLED_EXCLUDED</t>
  </si>
  <si>
    <t xml:space="preserve">cancelled demand excluded from scheduling</t>
  </si>
  <si>
    <t xml:space="preserve"> Cancel </t>
  </si>
  <si>
    <t xml:space="preserve">normalized to Cancelled</t>
  </si>
  <si>
    <t xml:space="preserve">CRN-2412</t>
  </si>
  <si>
    <t xml:space="preserve">2026-06-30</t>
  </si>
  <si>
    <t xml:space="preserve">OUT_OF_SCOPE</t>
  </si>
  <si>
    <t xml:space="preserve">operation date is outside the July planning window</t>
  </si>
  <si>
    <t xml:space="preserve">CRN-2414</t>
  </si>
  <si>
    <t xml:space="preserve">2026-08-01</t>
  </si>
  <si>
    <t xml:space="preserve">kilnbrook_bay_calendar.xlsx</t>
  </si>
  <si>
    <t xml:space="preserve">Availability</t>
  </si>
  <si>
    <t xml:space="preserve">operating</t>
  </si>
  <si>
    <t xml:space="preserve">normalized to available</t>
  </si>
  <si>
    <t xml:space="preserve">Bay Class</t>
  </si>
  <si>
    <t xml:space="preserve">normalized to Electrical</t>
  </si>
  <si>
    <t xml:space="preserve"> Available </t>
  </si>
  <si>
    <t xml:space="preserve">BLACKOUT</t>
  </si>
  <si>
    <t xml:space="preserve">normalized to blackout</t>
  </si>
  <si>
    <t xml:space="preserve"> heavy </t>
  </si>
  <si>
    <t xml:space="preserve">normalized to Heavy</t>
  </si>
  <si>
    <t xml:space="preserve">heavy</t>
  </si>
  <si>
    <t xml:space="preserve">Calendar</t>
  </si>
  <si>
    <t xml:space="preserve">2026-07-06</t>
  </si>
  <si>
    <t xml:space="preserve">identical calendar row collapsed</t>
  </si>
  <si>
    <t xml:space="preserve">Heavy Bay</t>
  </si>
  <si>
    <t xml:space="preserve">open</t>
  </si>
  <si>
    <t xml:space="preserve">standard bay</t>
  </si>
  <si>
    <t xml:space="preserve">normalized to Standard</t>
  </si>
  <si>
    <t xml:space="preserve">kilnbrook_crew_roster.xlsx</t>
  </si>
  <si>
    <t xml:space="preserve">identical availability row collapsed</t>
  </si>
  <si>
    <t xml:space="preserve">Certifications</t>
  </si>
  <si>
    <t xml:space="preserve">FURNACE; CRANE; PRESSURE TEST</t>
  </si>
  <si>
    <t xml:space="preserve">normalized to crane; furnace; pressure-test</t>
  </si>
  <si>
    <t xml:space="preserve">KB-076</t>
  </si>
  <si>
    <t xml:space="preserve">BLANK_CERTIFICATION_INELIGIBLE</t>
  </si>
  <si>
    <t xml:space="preserve">roster row cannot be assigned</t>
  </si>
  <si>
    <t xml:space="preserve">ELECTRICAL; inspection</t>
  </si>
  <si>
    <t xml:space="preserve">normalized to electrical; inspection</t>
  </si>
  <si>
    <t xml:space="preserve">turnaround_snapshot_2026-06-01.xlsx</t>
  </si>
  <si>
    <t xml:space="preserve">duplicate</t>
  </si>
  <si>
    <t xml:space="preserve">identical lookup row collapsed</t>
  </si>
  <si>
    <t xml:space="preserve">row 6</t>
  </si>
  <si>
    <t xml:space="preserve">Compatible Bay Class</t>
  </si>
  <si>
    <t xml:space="preserve">row 7</t>
  </si>
  <si>
    <t xml:space="preserve"> pressure vessel </t>
  </si>
  <si>
    <t xml:space="preserve">normalized to Pressure Vessel</t>
  </si>
  <si>
    <t xml:space="preserve">row 8</t>
  </si>
  <si>
    <t xml:space="preserve">Planning assumptions</t>
  </si>
  <si>
    <t xml:space="preserve">Policy controls are read from the supplied July staffing policy; frozen turnaround controls bay compatibility and occupancy.</t>
  </si>
  <si>
    <t xml:space="preserve">Topic</t>
  </si>
  <si>
    <t xml:space="preserve">Applied rule</t>
  </si>
  <si>
    <t xml:space="preserve">Selected run</t>
  </si>
  <si>
    <t xml:space="preserve">Comparison / source</t>
  </si>
  <si>
    <t xml:space="preserve">Default objective</t>
  </si>
  <si>
    <t xml:space="preserve">Coverage-led recommendation favors greatest booking coverage.</t>
  </si>
  <si>
    <t xml:space="preserve">Planning interval</t>
  </si>
  <si>
    <t xml:space="preserve">2026-07-01 inclusive to 2026-08-01 exclusive</t>
  </si>
  <si>
    <t xml:space="preserve">july_staffing_policy.md</t>
  </si>
  <si>
    <t xml:space="preserve">Concurrent staffing cap</t>
  </si>
  <si>
    <t xml:space="preserve">4</t>
  </si>
  <si>
    <t xml:space="preserve">Includes turnaround-only occupancy.</t>
  </si>
  <si>
    <t xml:space="preserve">Turnaround source</t>
  </si>
  <si>
    <t xml:space="preserve">Frozen pre/post turnaround and compatible bay class</t>
  </si>
  <si>
    <t xml:space="preserve">Certification rule</t>
  </si>
  <si>
    <t xml:space="preserve">Every assigned person holds every required complete token; blank roster certification is ineligible.</t>
  </si>
  <si>
    <t xml:space="preserve">Semicolon-delimited policy vocabulary.</t>
  </si>
  <si>
    <t xml:space="preserve">Overlap rule</t>
  </si>
  <si>
    <t xml:space="preserve">Half-open occupied intervals; exact endpoint hand-offs are permitted.</t>
  </si>
  <si>
    <t xml:space="preserve">Crew and bay windows must fully contain occupied time.</t>
  </si>
  <si>
    <t xml:space="preserve">Labour costing</t>
  </si>
  <si>
    <t xml:space="preserve">Each crew-booking occupied span is rounded upward to a quarter-hour before applying rate.</t>
  </si>
  <si>
    <t xml:space="preserve">USD; hours display to 0.001 and cost to 0.01.</t>
  </si>
  <si>
    <t xml:space="preserve">Coverage comparison</t>
  </si>
  <si>
    <t xml:space="preserve">7 scheduled of 11 eligible</t>
  </si>
  <si>
    <t xml:space="preserve">$724.81</t>
  </si>
  <si>
    <t xml:space="preserve">Confirmed plus provisional demand.</t>
  </si>
  <si>
    <t xml:space="preserve">Cost comparison</t>
  </si>
  <si>
    <t xml:space="preserve">6 scheduled of 8 confirmed</t>
  </si>
  <si>
    <t xml:space="preserve">$664.25</t>
  </si>
  <si>
    <t xml:space="preserve">Provisional demand is NOT_SELECTED.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</si>
</sst>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%"/>
    <numFmt numFmtId="166" formatCode="0.000"/>
    <numFmt numFmtId="167" formatCode="\$#,##0.00"/>
    <numFmt numFmtId="168" formatCode="0"/>
    <numFmt numFmtId="169" formatCode="0.00"/>
    <numFmt numFmtId="170" formatCode="mmm\ d"/>
    <numFmt numFmtId="171" formatCode="dd\ mmm\ yyyy"/>
    <numFmt numFmtId="172" formatCode="dd\ mmm\ yyyy\ hh:mm"/>
    <numFmt numFmtId="173" formatCode="ddd\ dd\ mmm"/>
    <numFmt numFmtId="174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5A6B7A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5B9BD5"/>
        <bgColor rgb="FF96969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E2F0D9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A6B7A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54" hidden="false" customHeight="true" outlineLevel="0" collapsed="false">
      <c r="A6" s="4" t="s">
        <v>5</v>
      </c>
      <c r="B6" s="6" t="s">
        <v>6</v>
      </c>
      <c r="C6" s="6"/>
      <c r="D6" s="6"/>
      <c r="E6" s="6"/>
      <c r="F6" s="6"/>
      <c r="G6" s="6"/>
    </row>
    <row r="8" customFormat="false" ht="15" hidden="false" customHeight="false" outlineLevel="0" collapsed="false">
      <c r="A8" s="7" t="s">
        <v>7</v>
      </c>
      <c r="B8" s="5" t="n">
        <f aca="false">SUM(Schedule!$S$5:$S$14)</f>
        <v>7</v>
      </c>
    </row>
    <row r="9" customFormat="false" ht="15" hidden="false" customHeight="false" outlineLevel="0" collapsed="false">
      <c r="A9" s="7" t="s">
        <v>8</v>
      </c>
      <c r="B9" s="5" t="n">
        <f aca="false">B8+SUM(Unscheduled!$H$5:$H$8)</f>
        <v>11</v>
      </c>
    </row>
    <row r="10" customFormat="false" ht="15" hidden="false" customHeight="false" outlineLevel="0" collapsed="false">
      <c r="A10" s="7" t="s">
        <v>9</v>
      </c>
      <c r="B10" s="8" t="n">
        <f aca="false">IF(B9=0,0,B8/B9)</f>
        <v>0.636363636363636</v>
      </c>
    </row>
    <row r="11" customFormat="false" ht="15" hidden="false" customHeight="false" outlineLevel="0" collapsed="false">
      <c r="A11" s="7" t="s">
        <v>10</v>
      </c>
      <c r="B11" s="9" t="n">
        <f aca="false">SUM(Schedule!$Q$5:$Q$14)</f>
        <v>18.75</v>
      </c>
    </row>
    <row r="12" customFormat="false" ht="15" hidden="false" customHeight="false" outlineLevel="0" collapsed="false">
      <c r="A12" s="7" t="s">
        <v>11</v>
      </c>
      <c r="B12" s="10" t="n">
        <f aca="false">ROUND(SUM(Schedule!$R$5:$R$14),2)</f>
        <v>724.81</v>
      </c>
    </row>
    <row r="14" customFormat="false" ht="15" hidden="false" customHeight="false" outlineLevel="0" collapsed="false">
      <c r="A14" s="7" t="s">
        <v>12</v>
      </c>
      <c r="B14" s="5" t="s">
        <v>13</v>
      </c>
    </row>
    <row r="15" customFormat="false" ht="15" hidden="false" customHeight="false" outlineLevel="0" collapsed="false">
      <c r="A15" s="7" t="s">
        <v>14</v>
      </c>
      <c r="B15" s="11" t="s">
        <v>15</v>
      </c>
    </row>
    <row r="16" customFormat="false" ht="15" hidden="false" customHeight="false" outlineLevel="0" collapsed="false">
      <c r="B16" s="12"/>
    </row>
  </sheetData>
  <mergeCells count="4">
    <mergeCell ref="A1:G1"/>
    <mergeCell ref="A2:G2"/>
    <mergeCell ref="A4:G4"/>
    <mergeCell ref="B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Y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8" min="5" style="0" width="2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9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20"/>
    <col collapsed="false" customWidth="true" hidden="false" outlineLevel="0" max="19" min="18" style="0" width="14"/>
    <col collapsed="false" customWidth="true" hidden="false" outlineLevel="0" max="20" min="20" style="0" width="11"/>
    <col collapsed="false" customWidth="true" hidden="true" outlineLevel="0" max="51" min="21" style="0" width="13"/>
  </cols>
  <sheetData>
    <row r="1" customFormat="false" ht="17.35" hidden="false" customHeight="fals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7.7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0" hidden="false" customHeight="true" outlineLevel="0" collapsed="false">
      <c r="A4" s="13" t="s">
        <v>18</v>
      </c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3" t="s">
        <v>24</v>
      </c>
      <c r="H4" s="13" t="s">
        <v>25</v>
      </c>
      <c r="I4" s="13" t="s">
        <v>26</v>
      </c>
      <c r="J4" s="13" t="s">
        <v>27</v>
      </c>
      <c r="K4" s="13" t="s">
        <v>28</v>
      </c>
      <c r="L4" s="13" t="s">
        <v>29</v>
      </c>
      <c r="M4" s="13" t="s">
        <v>30</v>
      </c>
      <c r="N4" s="13" t="s">
        <v>31</v>
      </c>
      <c r="O4" s="13" t="s">
        <v>32</v>
      </c>
      <c r="P4" s="13" t="s">
        <v>33</v>
      </c>
      <c r="Q4" s="13" t="s">
        <v>34</v>
      </c>
      <c r="R4" s="13" t="s">
        <v>35</v>
      </c>
      <c r="S4" s="13" t="s">
        <v>36</v>
      </c>
      <c r="T4" s="13" t="s">
        <v>37</v>
      </c>
      <c r="U4" s="14" t="n">
        <v>46204</v>
      </c>
      <c r="V4" s="14" t="n">
        <v>46205</v>
      </c>
      <c r="W4" s="14" t="n">
        <v>46206</v>
      </c>
      <c r="X4" s="14" t="n">
        <v>46207</v>
      </c>
      <c r="Y4" s="14" t="n">
        <v>46208</v>
      </c>
      <c r="Z4" s="14" t="n">
        <v>46209</v>
      </c>
      <c r="AA4" s="14" t="n">
        <v>46210</v>
      </c>
      <c r="AB4" s="14" t="n">
        <v>46211</v>
      </c>
      <c r="AC4" s="14" t="n">
        <v>46212</v>
      </c>
      <c r="AD4" s="14" t="n">
        <v>46213</v>
      </c>
      <c r="AE4" s="14" t="n">
        <v>46214</v>
      </c>
      <c r="AF4" s="14" t="n">
        <v>46215</v>
      </c>
      <c r="AG4" s="14" t="n">
        <v>46216</v>
      </c>
      <c r="AH4" s="14" t="n">
        <v>46217</v>
      </c>
      <c r="AI4" s="14" t="n">
        <v>46218</v>
      </c>
      <c r="AJ4" s="14" t="n">
        <v>46219</v>
      </c>
      <c r="AK4" s="14" t="n">
        <v>46220</v>
      </c>
      <c r="AL4" s="14" t="n">
        <v>46221</v>
      </c>
      <c r="AM4" s="14" t="n">
        <v>46222</v>
      </c>
      <c r="AN4" s="14" t="n">
        <v>46223</v>
      </c>
      <c r="AO4" s="14" t="n">
        <v>46224</v>
      </c>
      <c r="AP4" s="14" t="n">
        <v>46225</v>
      </c>
      <c r="AQ4" s="14" t="n">
        <v>46226</v>
      </c>
      <c r="AR4" s="14" t="n">
        <v>46227</v>
      </c>
      <c r="AS4" s="14" t="n">
        <v>46228</v>
      </c>
      <c r="AT4" s="14" t="n">
        <v>46229</v>
      </c>
      <c r="AU4" s="14" t="n">
        <v>46230</v>
      </c>
      <c r="AV4" s="14" t="n">
        <v>46231</v>
      </c>
      <c r="AW4" s="14" t="n">
        <v>46232</v>
      </c>
      <c r="AX4" s="14" t="n">
        <v>46233</v>
      </c>
      <c r="AY4" s="14" t="n">
        <v>46234</v>
      </c>
    </row>
    <row r="5" customFormat="false" ht="15" hidden="false" customHeight="false" outlineLevel="0" collapsed="false">
      <c r="A5" s="5" t="s">
        <v>38</v>
      </c>
      <c r="B5" s="15" t="n">
        <v>46209</v>
      </c>
      <c r="C5" s="5" t="s">
        <v>39</v>
      </c>
      <c r="D5" s="5" t="n">
        <v>2</v>
      </c>
      <c r="E5" s="16" t="n">
        <v>46209.3333333333</v>
      </c>
      <c r="F5" s="16" t="n">
        <v>46209.375</v>
      </c>
      <c r="G5" s="16" t="n">
        <v>46209.3125</v>
      </c>
      <c r="H5" s="16" t="n">
        <v>46209.40625</v>
      </c>
      <c r="I5" s="9" t="n">
        <f aca="false">(H5-G5)*24</f>
        <v>2.25</v>
      </c>
      <c r="J5" s="5" t="s">
        <v>40</v>
      </c>
      <c r="K5" s="5" t="s">
        <v>41</v>
      </c>
      <c r="L5" s="5" t="s">
        <v>42</v>
      </c>
      <c r="M5" s="5" t="s">
        <v>43</v>
      </c>
      <c r="N5" s="5" t="n">
        <v>2</v>
      </c>
      <c r="O5" s="5" t="n">
        <v>9</v>
      </c>
      <c r="P5" s="10" t="n">
        <v>41.5</v>
      </c>
      <c r="Q5" s="9" t="n">
        <f aca="false">ROUNDUP(I5*4,0)/4</f>
        <v>2.25</v>
      </c>
      <c r="R5" s="10" t="n">
        <f aca="false">Q5*P5</f>
        <v>93.375</v>
      </c>
      <c r="S5" s="5" t="n">
        <f aca="false">IF(COUNTIF($A$5:A5,A5)=1,1,0)</f>
        <v>1</v>
      </c>
      <c r="T5" s="5" t="n">
        <v>6</v>
      </c>
      <c r="U5" s="17" t="n">
        <f aca="false">IF(AND($S5=1,$G5&lt;U$4+1,$H5&gt;U$4),(MIN($H5,U$4+1)-MAX($G5,U$4))*24,0)</f>
        <v>0</v>
      </c>
      <c r="V5" s="17" t="n">
        <f aca="false">IF(AND($S5=1,$G5&lt;V$4+1,$H5&gt;V$4),(MIN($H5,V$4+1)-MAX($G5,V$4))*24,0)</f>
        <v>0</v>
      </c>
      <c r="W5" s="17" t="n">
        <f aca="false">IF(AND($S5=1,$G5&lt;W$4+1,$H5&gt;W$4),(MIN($H5,W$4+1)-MAX($G5,W$4))*24,0)</f>
        <v>0</v>
      </c>
      <c r="X5" s="17" t="n">
        <f aca="false">IF(AND($S5=1,$G5&lt;X$4+1,$H5&gt;X$4),(MIN($H5,X$4+1)-MAX($G5,X$4))*24,0)</f>
        <v>0</v>
      </c>
      <c r="Y5" s="17" t="n">
        <f aca="false">IF(AND($S5=1,$G5&lt;Y$4+1,$H5&gt;Y$4),(MIN($H5,Y$4+1)-MAX($G5,Y$4))*24,0)</f>
        <v>0</v>
      </c>
      <c r="Z5" s="17" t="n">
        <f aca="false">IF(AND($S5=1,$G5&lt;Z$4+1,$H5&gt;Z$4),(MIN($H5,Z$4+1)-MAX($G5,Z$4))*24,0)</f>
        <v>2.25</v>
      </c>
      <c r="AA5" s="17" t="n">
        <f aca="false">IF(AND($S5=1,$G5&lt;AA$4+1,$H5&gt;AA$4),(MIN($H5,AA$4+1)-MAX($G5,AA$4))*24,0)</f>
        <v>0</v>
      </c>
      <c r="AB5" s="17" t="n">
        <f aca="false">IF(AND($S5=1,$G5&lt;AB$4+1,$H5&gt;AB$4),(MIN($H5,AB$4+1)-MAX($G5,AB$4))*24,0)</f>
        <v>0</v>
      </c>
      <c r="AC5" s="17" t="n">
        <f aca="false">IF(AND($S5=1,$G5&lt;AC$4+1,$H5&gt;AC$4),(MIN($H5,AC$4+1)-MAX($G5,AC$4))*24,0)</f>
        <v>0</v>
      </c>
      <c r="AD5" s="17" t="n">
        <f aca="false">IF(AND($S5=1,$G5&lt;AD$4+1,$H5&gt;AD$4),(MIN($H5,AD$4+1)-MAX($G5,AD$4))*24,0)</f>
        <v>0</v>
      </c>
      <c r="AE5" s="17" t="n">
        <f aca="false">IF(AND($S5=1,$G5&lt;AE$4+1,$H5&gt;AE$4),(MIN($H5,AE$4+1)-MAX($G5,AE$4))*24,0)</f>
        <v>0</v>
      </c>
      <c r="AF5" s="17" t="n">
        <f aca="false">IF(AND($S5=1,$G5&lt;AF$4+1,$H5&gt;AF$4),(MIN($H5,AF$4+1)-MAX($G5,AF$4))*24,0)</f>
        <v>0</v>
      </c>
      <c r="AG5" s="17" t="n">
        <f aca="false">IF(AND($S5=1,$G5&lt;AG$4+1,$H5&gt;AG$4),(MIN($H5,AG$4+1)-MAX($G5,AG$4))*24,0)</f>
        <v>0</v>
      </c>
      <c r="AH5" s="17" t="n">
        <f aca="false">IF(AND($S5=1,$G5&lt;AH$4+1,$H5&gt;AH$4),(MIN($H5,AH$4+1)-MAX($G5,AH$4))*24,0)</f>
        <v>0</v>
      </c>
      <c r="AI5" s="17" t="n">
        <f aca="false">IF(AND($S5=1,$G5&lt;AI$4+1,$H5&gt;AI$4),(MIN($H5,AI$4+1)-MAX($G5,AI$4))*24,0)</f>
        <v>0</v>
      </c>
      <c r="AJ5" s="17" t="n">
        <f aca="false">IF(AND($S5=1,$G5&lt;AJ$4+1,$H5&gt;AJ$4),(MIN($H5,AJ$4+1)-MAX($G5,AJ$4))*24,0)</f>
        <v>0</v>
      </c>
      <c r="AK5" s="17" t="n">
        <f aca="false">IF(AND($S5=1,$G5&lt;AK$4+1,$H5&gt;AK$4),(MIN($H5,AK$4+1)-MAX($G5,AK$4))*24,0)</f>
        <v>0</v>
      </c>
      <c r="AL5" s="17" t="n">
        <f aca="false">IF(AND($S5=1,$G5&lt;AL$4+1,$H5&gt;AL$4),(MIN($H5,AL$4+1)-MAX($G5,AL$4))*24,0)</f>
        <v>0</v>
      </c>
      <c r="AM5" s="17" t="n">
        <f aca="false">IF(AND($S5=1,$G5&lt;AM$4+1,$H5&gt;AM$4),(MIN($H5,AM$4+1)-MAX($G5,AM$4))*24,0)</f>
        <v>0</v>
      </c>
      <c r="AN5" s="17" t="n">
        <f aca="false">IF(AND($S5=1,$G5&lt;AN$4+1,$H5&gt;AN$4),(MIN($H5,AN$4+1)-MAX($G5,AN$4))*24,0)</f>
        <v>0</v>
      </c>
      <c r="AO5" s="17" t="n">
        <f aca="false">IF(AND($S5=1,$G5&lt;AO$4+1,$H5&gt;AO$4),(MIN($H5,AO$4+1)-MAX($G5,AO$4))*24,0)</f>
        <v>0</v>
      </c>
      <c r="AP5" s="17" t="n">
        <f aca="false">IF(AND($S5=1,$G5&lt;AP$4+1,$H5&gt;AP$4),(MIN($H5,AP$4+1)-MAX($G5,AP$4))*24,0)</f>
        <v>0</v>
      </c>
      <c r="AQ5" s="17" t="n">
        <f aca="false">IF(AND($S5=1,$G5&lt;AQ$4+1,$H5&gt;AQ$4),(MIN($H5,AQ$4+1)-MAX($G5,AQ$4))*24,0)</f>
        <v>0</v>
      </c>
      <c r="AR5" s="17" t="n">
        <f aca="false">IF(AND($S5=1,$G5&lt;AR$4+1,$H5&gt;AR$4),(MIN($H5,AR$4+1)-MAX($G5,AR$4))*24,0)</f>
        <v>0</v>
      </c>
      <c r="AS5" s="17" t="n">
        <f aca="false">IF(AND($S5=1,$G5&lt;AS$4+1,$H5&gt;AS$4),(MIN($H5,AS$4+1)-MAX($G5,AS$4))*24,0)</f>
        <v>0</v>
      </c>
      <c r="AT5" s="17" t="n">
        <f aca="false">IF(AND($S5=1,$G5&lt;AT$4+1,$H5&gt;AT$4),(MIN($H5,AT$4+1)-MAX($G5,AT$4))*24,0)</f>
        <v>0</v>
      </c>
      <c r="AU5" s="17" t="n">
        <f aca="false">IF(AND($S5=1,$G5&lt;AU$4+1,$H5&gt;AU$4),(MIN($H5,AU$4+1)-MAX($G5,AU$4))*24,0)</f>
        <v>0</v>
      </c>
      <c r="AV5" s="17" t="n">
        <f aca="false">IF(AND($S5=1,$G5&lt;AV$4+1,$H5&gt;AV$4),(MIN($H5,AV$4+1)-MAX($G5,AV$4))*24,0)</f>
        <v>0</v>
      </c>
      <c r="AW5" s="17" t="n">
        <f aca="false">IF(AND($S5=1,$G5&lt;AW$4+1,$H5&gt;AW$4),(MIN($H5,AW$4+1)-MAX($G5,AW$4))*24,0)</f>
        <v>0</v>
      </c>
      <c r="AX5" s="17" t="n">
        <f aca="false">IF(AND($S5=1,$G5&lt;AX$4+1,$H5&gt;AX$4),(MIN($H5,AX$4+1)-MAX($G5,AX$4))*24,0)</f>
        <v>0</v>
      </c>
      <c r="AY5" s="17" t="n">
        <f aca="false">IF(AND($S5=1,$G5&lt;AY$4+1,$H5&gt;AY$4),(MIN($H5,AY$4+1)-MAX($G5,AY$4))*24,0)</f>
        <v>0</v>
      </c>
    </row>
    <row r="6" customFormat="false" ht="15" hidden="false" customHeight="false" outlineLevel="0" collapsed="false">
      <c r="A6" s="5" t="s">
        <v>38</v>
      </c>
      <c r="B6" s="15" t="n">
        <v>46209</v>
      </c>
      <c r="C6" s="5" t="s">
        <v>39</v>
      </c>
      <c r="D6" s="5" t="n">
        <v>2</v>
      </c>
      <c r="E6" s="16" t="n">
        <v>46209.3333333333</v>
      </c>
      <c r="F6" s="16" t="n">
        <v>46209.375</v>
      </c>
      <c r="G6" s="16" t="n">
        <v>46209.3125</v>
      </c>
      <c r="H6" s="16" t="n">
        <v>46209.40625</v>
      </c>
      <c r="I6" s="9" t="n">
        <f aca="false">(H6-G6)*24</f>
        <v>2.25</v>
      </c>
      <c r="J6" s="5" t="s">
        <v>40</v>
      </c>
      <c r="K6" s="5" t="s">
        <v>44</v>
      </c>
      <c r="L6" s="5" t="s">
        <v>45</v>
      </c>
      <c r="M6" s="5" t="s">
        <v>43</v>
      </c>
      <c r="N6" s="5" t="n">
        <v>2</v>
      </c>
      <c r="O6" s="5" t="n">
        <v>9</v>
      </c>
      <c r="P6" s="10" t="n">
        <v>34.25</v>
      </c>
      <c r="Q6" s="9" t="n">
        <f aca="false">ROUNDUP(I6*4,0)/4</f>
        <v>2.25</v>
      </c>
      <c r="R6" s="10" t="n">
        <f aca="false">Q6*P6</f>
        <v>77.0625</v>
      </c>
      <c r="S6" s="5" t="n">
        <f aca="false">IF(COUNTIF($A$5:A6,A6)=1,1,0)</f>
        <v>0</v>
      </c>
      <c r="T6" s="5" t="n">
        <v>6</v>
      </c>
      <c r="U6" s="17" t="n">
        <f aca="false">IF(AND($S6=1,$G6&lt;U$4+1,$H6&gt;U$4),(MIN($H6,U$4+1)-MAX($G6,U$4))*24,0)</f>
        <v>0</v>
      </c>
      <c r="V6" s="17" t="n">
        <f aca="false">IF(AND($S6=1,$G6&lt;V$4+1,$H6&gt;V$4),(MIN($H6,V$4+1)-MAX($G6,V$4))*24,0)</f>
        <v>0</v>
      </c>
      <c r="W6" s="17" t="n">
        <f aca="false">IF(AND($S6=1,$G6&lt;W$4+1,$H6&gt;W$4),(MIN($H6,W$4+1)-MAX($G6,W$4))*24,0)</f>
        <v>0</v>
      </c>
      <c r="X6" s="17" t="n">
        <f aca="false">IF(AND($S6=1,$G6&lt;X$4+1,$H6&gt;X$4),(MIN($H6,X$4+1)-MAX($G6,X$4))*24,0)</f>
        <v>0</v>
      </c>
      <c r="Y6" s="17" t="n">
        <f aca="false">IF(AND($S6=1,$G6&lt;Y$4+1,$H6&gt;Y$4),(MIN($H6,Y$4+1)-MAX($G6,Y$4))*24,0)</f>
        <v>0</v>
      </c>
      <c r="Z6" s="17" t="n">
        <f aca="false">IF(AND($S6=1,$G6&lt;Z$4+1,$H6&gt;Z$4),(MIN($H6,Z$4+1)-MAX($G6,Z$4))*24,0)</f>
        <v>0</v>
      </c>
      <c r="AA6" s="17" t="n">
        <f aca="false">IF(AND($S6=1,$G6&lt;AA$4+1,$H6&gt;AA$4),(MIN($H6,AA$4+1)-MAX($G6,AA$4))*24,0)</f>
        <v>0</v>
      </c>
      <c r="AB6" s="17" t="n">
        <f aca="false">IF(AND($S6=1,$G6&lt;AB$4+1,$H6&gt;AB$4),(MIN($H6,AB$4+1)-MAX($G6,AB$4))*24,0)</f>
        <v>0</v>
      </c>
      <c r="AC6" s="17" t="n">
        <f aca="false">IF(AND($S6=1,$G6&lt;AC$4+1,$H6&gt;AC$4),(MIN($H6,AC$4+1)-MAX($G6,AC$4))*24,0)</f>
        <v>0</v>
      </c>
      <c r="AD6" s="17" t="n">
        <f aca="false">IF(AND($S6=1,$G6&lt;AD$4+1,$H6&gt;AD$4),(MIN($H6,AD$4+1)-MAX($G6,AD$4))*24,0)</f>
        <v>0</v>
      </c>
      <c r="AE6" s="17" t="n">
        <f aca="false">IF(AND($S6=1,$G6&lt;AE$4+1,$H6&gt;AE$4),(MIN($H6,AE$4+1)-MAX($G6,AE$4))*24,0)</f>
        <v>0</v>
      </c>
      <c r="AF6" s="17" t="n">
        <f aca="false">IF(AND($S6=1,$G6&lt;AF$4+1,$H6&gt;AF$4),(MIN($H6,AF$4+1)-MAX($G6,AF$4))*24,0)</f>
        <v>0</v>
      </c>
      <c r="AG6" s="17" t="n">
        <f aca="false">IF(AND($S6=1,$G6&lt;AG$4+1,$H6&gt;AG$4),(MIN($H6,AG$4+1)-MAX($G6,AG$4))*24,0)</f>
        <v>0</v>
      </c>
      <c r="AH6" s="17" t="n">
        <f aca="false">IF(AND($S6=1,$G6&lt;AH$4+1,$H6&gt;AH$4),(MIN($H6,AH$4+1)-MAX($G6,AH$4))*24,0)</f>
        <v>0</v>
      </c>
      <c r="AI6" s="17" t="n">
        <f aca="false">IF(AND($S6=1,$G6&lt;AI$4+1,$H6&gt;AI$4),(MIN($H6,AI$4+1)-MAX($G6,AI$4))*24,0)</f>
        <v>0</v>
      </c>
      <c r="AJ6" s="17" t="n">
        <f aca="false">IF(AND($S6=1,$G6&lt;AJ$4+1,$H6&gt;AJ$4),(MIN($H6,AJ$4+1)-MAX($G6,AJ$4))*24,0)</f>
        <v>0</v>
      </c>
      <c r="AK6" s="17" t="n">
        <f aca="false">IF(AND($S6=1,$G6&lt;AK$4+1,$H6&gt;AK$4),(MIN($H6,AK$4+1)-MAX($G6,AK$4))*24,0)</f>
        <v>0</v>
      </c>
      <c r="AL6" s="17" t="n">
        <f aca="false">IF(AND($S6=1,$G6&lt;AL$4+1,$H6&gt;AL$4),(MIN($H6,AL$4+1)-MAX($G6,AL$4))*24,0)</f>
        <v>0</v>
      </c>
      <c r="AM6" s="17" t="n">
        <f aca="false">IF(AND($S6=1,$G6&lt;AM$4+1,$H6&gt;AM$4),(MIN($H6,AM$4+1)-MAX($G6,AM$4))*24,0)</f>
        <v>0</v>
      </c>
      <c r="AN6" s="17" t="n">
        <f aca="false">IF(AND($S6=1,$G6&lt;AN$4+1,$H6&gt;AN$4),(MIN($H6,AN$4+1)-MAX($G6,AN$4))*24,0)</f>
        <v>0</v>
      </c>
      <c r="AO6" s="17" t="n">
        <f aca="false">IF(AND($S6=1,$G6&lt;AO$4+1,$H6&gt;AO$4),(MIN($H6,AO$4+1)-MAX($G6,AO$4))*24,0)</f>
        <v>0</v>
      </c>
      <c r="AP6" s="17" t="n">
        <f aca="false">IF(AND($S6=1,$G6&lt;AP$4+1,$H6&gt;AP$4),(MIN($H6,AP$4+1)-MAX($G6,AP$4))*24,0)</f>
        <v>0</v>
      </c>
      <c r="AQ6" s="17" t="n">
        <f aca="false">IF(AND($S6=1,$G6&lt;AQ$4+1,$H6&gt;AQ$4),(MIN($H6,AQ$4+1)-MAX($G6,AQ$4))*24,0)</f>
        <v>0</v>
      </c>
      <c r="AR6" s="17" t="n">
        <f aca="false">IF(AND($S6=1,$G6&lt;AR$4+1,$H6&gt;AR$4),(MIN($H6,AR$4+1)-MAX($G6,AR$4))*24,0)</f>
        <v>0</v>
      </c>
      <c r="AS6" s="17" t="n">
        <f aca="false">IF(AND($S6=1,$G6&lt;AS$4+1,$H6&gt;AS$4),(MIN($H6,AS$4+1)-MAX($G6,AS$4))*24,0)</f>
        <v>0</v>
      </c>
      <c r="AT6" s="17" t="n">
        <f aca="false">IF(AND($S6=1,$G6&lt;AT$4+1,$H6&gt;AT$4),(MIN($H6,AT$4+1)-MAX($G6,AT$4))*24,0)</f>
        <v>0</v>
      </c>
      <c r="AU6" s="17" t="n">
        <f aca="false">IF(AND($S6=1,$G6&lt;AU$4+1,$H6&gt;AU$4),(MIN($H6,AU$4+1)-MAX($G6,AU$4))*24,0)</f>
        <v>0</v>
      </c>
      <c r="AV6" s="17" t="n">
        <f aca="false">IF(AND($S6=1,$G6&lt;AV$4+1,$H6&gt;AV$4),(MIN($H6,AV$4+1)-MAX($G6,AV$4))*24,0)</f>
        <v>0</v>
      </c>
      <c r="AW6" s="17" t="n">
        <f aca="false">IF(AND($S6=1,$G6&lt;AW$4+1,$H6&gt;AW$4),(MIN($H6,AW$4+1)-MAX($G6,AW$4))*24,0)</f>
        <v>0</v>
      </c>
      <c r="AX6" s="17" t="n">
        <f aca="false">IF(AND($S6=1,$G6&lt;AX$4+1,$H6&gt;AX$4),(MIN($H6,AX$4+1)-MAX($G6,AX$4))*24,0)</f>
        <v>0</v>
      </c>
      <c r="AY6" s="17" t="n">
        <f aca="false">IF(AND($S6=1,$G6&lt;AY$4+1,$H6&gt;AY$4),(MIN($H6,AY$4+1)-MAX($G6,AY$4))*24,0)</f>
        <v>0</v>
      </c>
    </row>
    <row r="7" customFormat="false" ht="15" hidden="false" customHeight="false" outlineLevel="0" collapsed="false">
      <c r="A7" s="5" t="s">
        <v>46</v>
      </c>
      <c r="B7" s="15" t="n">
        <v>46209</v>
      </c>
      <c r="C7" s="5" t="s">
        <v>39</v>
      </c>
      <c r="D7" s="5" t="n">
        <v>0</v>
      </c>
      <c r="E7" s="16" t="n">
        <v>46209.3541666667</v>
      </c>
      <c r="F7" s="16" t="n">
        <v>46209.3958333333</v>
      </c>
      <c r="G7" s="16" t="n">
        <v>46209.3333333333</v>
      </c>
      <c r="H7" s="16" t="n">
        <v>46209.4270833333</v>
      </c>
      <c r="I7" s="9" t="n">
        <f aca="false">(H7-G7)*24</f>
        <v>2.25</v>
      </c>
      <c r="J7" s="5" t="s">
        <v>47</v>
      </c>
      <c r="K7" s="5" t="s">
        <v>48</v>
      </c>
      <c r="L7" s="5" t="s">
        <v>49</v>
      </c>
      <c r="M7" s="5" t="s">
        <v>43</v>
      </c>
      <c r="N7" s="5" t="n">
        <v>2</v>
      </c>
      <c r="O7" s="5" t="n">
        <v>10</v>
      </c>
      <c r="P7" s="10" t="n">
        <v>52.75</v>
      </c>
      <c r="Q7" s="9" t="n">
        <f aca="false">ROUNDUP(I7*4,0)/4</f>
        <v>2.25</v>
      </c>
      <c r="R7" s="10" t="n">
        <f aca="false">Q7*P7</f>
        <v>118.6875</v>
      </c>
      <c r="S7" s="5" t="n">
        <f aca="false">IF(COUNTIF($A$5:A7,A7)=1,1,0)</f>
        <v>1</v>
      </c>
      <c r="T7" s="5" t="n">
        <v>9</v>
      </c>
      <c r="U7" s="17" t="n">
        <f aca="false">IF(AND($S7=1,$G7&lt;U$4+1,$H7&gt;U$4),(MIN($H7,U$4+1)-MAX($G7,U$4))*24,0)</f>
        <v>0</v>
      </c>
      <c r="V7" s="17" t="n">
        <f aca="false">IF(AND($S7=1,$G7&lt;V$4+1,$H7&gt;V$4),(MIN($H7,V$4+1)-MAX($G7,V$4))*24,0)</f>
        <v>0</v>
      </c>
      <c r="W7" s="17" t="n">
        <f aca="false">IF(AND($S7=1,$G7&lt;W$4+1,$H7&gt;W$4),(MIN($H7,W$4+1)-MAX($G7,W$4))*24,0)</f>
        <v>0</v>
      </c>
      <c r="X7" s="17" t="n">
        <f aca="false">IF(AND($S7=1,$G7&lt;X$4+1,$H7&gt;X$4),(MIN($H7,X$4+1)-MAX($G7,X$4))*24,0)</f>
        <v>0</v>
      </c>
      <c r="Y7" s="17" t="n">
        <f aca="false">IF(AND($S7=1,$G7&lt;Y$4+1,$H7&gt;Y$4),(MIN($H7,Y$4+1)-MAX($G7,Y$4))*24,0)</f>
        <v>0</v>
      </c>
      <c r="Z7" s="17" t="n">
        <f aca="false">IF(AND($S7=1,$G7&lt;Z$4+1,$H7&gt;Z$4),(MIN($H7,Z$4+1)-MAX($G7,Z$4))*24,0)</f>
        <v>2.25</v>
      </c>
      <c r="AA7" s="17" t="n">
        <f aca="false">IF(AND($S7=1,$G7&lt;AA$4+1,$H7&gt;AA$4),(MIN($H7,AA$4+1)-MAX($G7,AA$4))*24,0)</f>
        <v>0</v>
      </c>
      <c r="AB7" s="17" t="n">
        <f aca="false">IF(AND($S7=1,$G7&lt;AB$4+1,$H7&gt;AB$4),(MIN($H7,AB$4+1)-MAX($G7,AB$4))*24,0)</f>
        <v>0</v>
      </c>
      <c r="AC7" s="17" t="n">
        <f aca="false">IF(AND($S7=1,$G7&lt;AC$4+1,$H7&gt;AC$4),(MIN($H7,AC$4+1)-MAX($G7,AC$4))*24,0)</f>
        <v>0</v>
      </c>
      <c r="AD7" s="17" t="n">
        <f aca="false">IF(AND($S7=1,$G7&lt;AD$4+1,$H7&gt;AD$4),(MIN($H7,AD$4+1)-MAX($G7,AD$4))*24,0)</f>
        <v>0</v>
      </c>
      <c r="AE7" s="17" t="n">
        <f aca="false">IF(AND($S7=1,$G7&lt;AE$4+1,$H7&gt;AE$4),(MIN($H7,AE$4+1)-MAX($G7,AE$4))*24,0)</f>
        <v>0</v>
      </c>
      <c r="AF7" s="17" t="n">
        <f aca="false">IF(AND($S7=1,$G7&lt;AF$4+1,$H7&gt;AF$4),(MIN($H7,AF$4+1)-MAX($G7,AF$4))*24,0)</f>
        <v>0</v>
      </c>
      <c r="AG7" s="17" t="n">
        <f aca="false">IF(AND($S7=1,$G7&lt;AG$4+1,$H7&gt;AG$4),(MIN($H7,AG$4+1)-MAX($G7,AG$4))*24,0)</f>
        <v>0</v>
      </c>
      <c r="AH7" s="17" t="n">
        <f aca="false">IF(AND($S7=1,$G7&lt;AH$4+1,$H7&gt;AH$4),(MIN($H7,AH$4+1)-MAX($G7,AH$4))*24,0)</f>
        <v>0</v>
      </c>
      <c r="AI7" s="17" t="n">
        <f aca="false">IF(AND($S7=1,$G7&lt;AI$4+1,$H7&gt;AI$4),(MIN($H7,AI$4+1)-MAX($G7,AI$4))*24,0)</f>
        <v>0</v>
      </c>
      <c r="AJ7" s="17" t="n">
        <f aca="false">IF(AND($S7=1,$G7&lt;AJ$4+1,$H7&gt;AJ$4),(MIN($H7,AJ$4+1)-MAX($G7,AJ$4))*24,0)</f>
        <v>0</v>
      </c>
      <c r="AK7" s="17" t="n">
        <f aca="false">IF(AND($S7=1,$G7&lt;AK$4+1,$H7&gt;AK$4),(MIN($H7,AK$4+1)-MAX($G7,AK$4))*24,0)</f>
        <v>0</v>
      </c>
      <c r="AL7" s="17" t="n">
        <f aca="false">IF(AND($S7=1,$G7&lt;AL$4+1,$H7&gt;AL$4),(MIN($H7,AL$4+1)-MAX($G7,AL$4))*24,0)</f>
        <v>0</v>
      </c>
      <c r="AM7" s="17" t="n">
        <f aca="false">IF(AND($S7=1,$G7&lt;AM$4+1,$H7&gt;AM$4),(MIN($H7,AM$4+1)-MAX($G7,AM$4))*24,0)</f>
        <v>0</v>
      </c>
      <c r="AN7" s="17" t="n">
        <f aca="false">IF(AND($S7=1,$G7&lt;AN$4+1,$H7&gt;AN$4),(MIN($H7,AN$4+1)-MAX($G7,AN$4))*24,0)</f>
        <v>0</v>
      </c>
      <c r="AO7" s="17" t="n">
        <f aca="false">IF(AND($S7=1,$G7&lt;AO$4+1,$H7&gt;AO$4),(MIN($H7,AO$4+1)-MAX($G7,AO$4))*24,0)</f>
        <v>0</v>
      </c>
      <c r="AP7" s="17" t="n">
        <f aca="false">IF(AND($S7=1,$G7&lt;AP$4+1,$H7&gt;AP$4),(MIN($H7,AP$4+1)-MAX($G7,AP$4))*24,0)</f>
        <v>0</v>
      </c>
      <c r="AQ7" s="17" t="n">
        <f aca="false">IF(AND($S7=1,$G7&lt;AQ$4+1,$H7&gt;AQ$4),(MIN($H7,AQ$4+1)-MAX($G7,AQ$4))*24,0)</f>
        <v>0</v>
      </c>
      <c r="AR7" s="17" t="n">
        <f aca="false">IF(AND($S7=1,$G7&lt;AR$4+1,$H7&gt;AR$4),(MIN($H7,AR$4+1)-MAX($G7,AR$4))*24,0)</f>
        <v>0</v>
      </c>
      <c r="AS7" s="17" t="n">
        <f aca="false">IF(AND($S7=1,$G7&lt;AS$4+1,$H7&gt;AS$4),(MIN($H7,AS$4+1)-MAX($G7,AS$4))*24,0)</f>
        <v>0</v>
      </c>
      <c r="AT7" s="17" t="n">
        <f aca="false">IF(AND($S7=1,$G7&lt;AT$4+1,$H7&gt;AT$4),(MIN($H7,AT$4+1)-MAX($G7,AT$4))*24,0)</f>
        <v>0</v>
      </c>
      <c r="AU7" s="17" t="n">
        <f aca="false">IF(AND($S7=1,$G7&lt;AU$4+1,$H7&gt;AU$4),(MIN($H7,AU$4+1)-MAX($G7,AU$4))*24,0)</f>
        <v>0</v>
      </c>
      <c r="AV7" s="17" t="n">
        <f aca="false">IF(AND($S7=1,$G7&lt;AV$4+1,$H7&gt;AV$4),(MIN($H7,AV$4+1)-MAX($G7,AV$4))*24,0)</f>
        <v>0</v>
      </c>
      <c r="AW7" s="17" t="n">
        <f aca="false">IF(AND($S7=1,$G7&lt;AW$4+1,$H7&gt;AW$4),(MIN($H7,AW$4+1)-MAX($G7,AW$4))*24,0)</f>
        <v>0</v>
      </c>
      <c r="AX7" s="17" t="n">
        <f aca="false">IF(AND($S7=1,$G7&lt;AX$4+1,$H7&gt;AX$4),(MIN($H7,AX$4+1)-MAX($G7,AX$4))*24,0)</f>
        <v>0</v>
      </c>
      <c r="AY7" s="17" t="n">
        <f aca="false">IF(AND($S7=1,$G7&lt;AY$4+1,$H7&gt;AY$4),(MIN($H7,AY$4+1)-MAX($G7,AY$4))*24,0)</f>
        <v>0</v>
      </c>
    </row>
    <row r="8" customFormat="false" ht="15" hidden="false" customHeight="false" outlineLevel="0" collapsed="false">
      <c r="A8" s="5" t="s">
        <v>46</v>
      </c>
      <c r="B8" s="15" t="n">
        <v>46209</v>
      </c>
      <c r="C8" s="5" t="s">
        <v>39</v>
      </c>
      <c r="D8" s="5" t="n">
        <v>0</v>
      </c>
      <c r="E8" s="16" t="n">
        <v>46209.3541666667</v>
      </c>
      <c r="F8" s="16" t="n">
        <v>46209.3958333333</v>
      </c>
      <c r="G8" s="16" t="n">
        <v>46209.3333333333</v>
      </c>
      <c r="H8" s="16" t="n">
        <v>46209.4270833333</v>
      </c>
      <c r="I8" s="9" t="n">
        <f aca="false">(H8-G8)*24</f>
        <v>2.25</v>
      </c>
      <c r="J8" s="5" t="s">
        <v>47</v>
      </c>
      <c r="K8" s="5" t="s">
        <v>50</v>
      </c>
      <c r="L8" s="5" t="s">
        <v>51</v>
      </c>
      <c r="M8" s="5" t="s">
        <v>43</v>
      </c>
      <c r="N8" s="5" t="n">
        <v>2</v>
      </c>
      <c r="O8" s="5" t="n">
        <v>10</v>
      </c>
      <c r="P8" s="10" t="n">
        <v>38</v>
      </c>
      <c r="Q8" s="9" t="n">
        <f aca="false">ROUNDUP(I8*4,0)/4</f>
        <v>2.25</v>
      </c>
      <c r="R8" s="10" t="n">
        <f aca="false">Q8*P8</f>
        <v>85.5</v>
      </c>
      <c r="S8" s="5" t="n">
        <f aca="false">IF(COUNTIF($A$5:A8,A8)=1,1,0)</f>
        <v>0</v>
      </c>
      <c r="T8" s="5" t="n">
        <v>9</v>
      </c>
      <c r="U8" s="17" t="n">
        <f aca="false">IF(AND($S8=1,$G8&lt;U$4+1,$H8&gt;U$4),(MIN($H8,U$4+1)-MAX($G8,U$4))*24,0)</f>
        <v>0</v>
      </c>
      <c r="V8" s="17" t="n">
        <f aca="false">IF(AND($S8=1,$G8&lt;V$4+1,$H8&gt;V$4),(MIN($H8,V$4+1)-MAX($G8,V$4))*24,0)</f>
        <v>0</v>
      </c>
      <c r="W8" s="17" t="n">
        <f aca="false">IF(AND($S8=1,$G8&lt;W$4+1,$H8&gt;W$4),(MIN($H8,W$4+1)-MAX($G8,W$4))*24,0)</f>
        <v>0</v>
      </c>
      <c r="X8" s="17" t="n">
        <f aca="false">IF(AND($S8=1,$G8&lt;X$4+1,$H8&gt;X$4),(MIN($H8,X$4+1)-MAX($G8,X$4))*24,0)</f>
        <v>0</v>
      </c>
      <c r="Y8" s="17" t="n">
        <f aca="false">IF(AND($S8=1,$G8&lt;Y$4+1,$H8&gt;Y$4),(MIN($H8,Y$4+1)-MAX($G8,Y$4))*24,0)</f>
        <v>0</v>
      </c>
      <c r="Z8" s="17" t="n">
        <f aca="false">IF(AND($S8=1,$G8&lt;Z$4+1,$H8&gt;Z$4),(MIN($H8,Z$4+1)-MAX($G8,Z$4))*24,0)</f>
        <v>0</v>
      </c>
      <c r="AA8" s="17" t="n">
        <f aca="false">IF(AND($S8=1,$G8&lt;AA$4+1,$H8&gt;AA$4),(MIN($H8,AA$4+1)-MAX($G8,AA$4))*24,0)</f>
        <v>0</v>
      </c>
      <c r="AB8" s="17" t="n">
        <f aca="false">IF(AND($S8=1,$G8&lt;AB$4+1,$H8&gt;AB$4),(MIN($H8,AB$4+1)-MAX($G8,AB$4))*24,0)</f>
        <v>0</v>
      </c>
      <c r="AC8" s="17" t="n">
        <f aca="false">IF(AND($S8=1,$G8&lt;AC$4+1,$H8&gt;AC$4),(MIN($H8,AC$4+1)-MAX($G8,AC$4))*24,0)</f>
        <v>0</v>
      </c>
      <c r="AD8" s="17" t="n">
        <f aca="false">IF(AND($S8=1,$G8&lt;AD$4+1,$H8&gt;AD$4),(MIN($H8,AD$4+1)-MAX($G8,AD$4))*24,0)</f>
        <v>0</v>
      </c>
      <c r="AE8" s="17" t="n">
        <f aca="false">IF(AND($S8=1,$G8&lt;AE$4+1,$H8&gt;AE$4),(MIN($H8,AE$4+1)-MAX($G8,AE$4))*24,0)</f>
        <v>0</v>
      </c>
      <c r="AF8" s="17" t="n">
        <f aca="false">IF(AND($S8=1,$G8&lt;AF$4+1,$H8&gt;AF$4),(MIN($H8,AF$4+1)-MAX($G8,AF$4))*24,0)</f>
        <v>0</v>
      </c>
      <c r="AG8" s="17" t="n">
        <f aca="false">IF(AND($S8=1,$G8&lt;AG$4+1,$H8&gt;AG$4),(MIN($H8,AG$4+1)-MAX($G8,AG$4))*24,0)</f>
        <v>0</v>
      </c>
      <c r="AH8" s="17" t="n">
        <f aca="false">IF(AND($S8=1,$G8&lt;AH$4+1,$H8&gt;AH$4),(MIN($H8,AH$4+1)-MAX($G8,AH$4))*24,0)</f>
        <v>0</v>
      </c>
      <c r="AI8" s="17" t="n">
        <f aca="false">IF(AND($S8=1,$G8&lt;AI$4+1,$H8&gt;AI$4),(MIN($H8,AI$4+1)-MAX($G8,AI$4))*24,0)</f>
        <v>0</v>
      </c>
      <c r="AJ8" s="17" t="n">
        <f aca="false">IF(AND($S8=1,$G8&lt;AJ$4+1,$H8&gt;AJ$4),(MIN($H8,AJ$4+1)-MAX($G8,AJ$4))*24,0)</f>
        <v>0</v>
      </c>
      <c r="AK8" s="17" t="n">
        <f aca="false">IF(AND($S8=1,$G8&lt;AK$4+1,$H8&gt;AK$4),(MIN($H8,AK$4+1)-MAX($G8,AK$4))*24,0)</f>
        <v>0</v>
      </c>
      <c r="AL8" s="17" t="n">
        <f aca="false">IF(AND($S8=1,$G8&lt;AL$4+1,$H8&gt;AL$4),(MIN($H8,AL$4+1)-MAX($G8,AL$4))*24,0)</f>
        <v>0</v>
      </c>
      <c r="AM8" s="17" t="n">
        <f aca="false">IF(AND($S8=1,$G8&lt;AM$4+1,$H8&gt;AM$4),(MIN($H8,AM$4+1)-MAX($G8,AM$4))*24,0)</f>
        <v>0</v>
      </c>
      <c r="AN8" s="17" t="n">
        <f aca="false">IF(AND($S8=1,$G8&lt;AN$4+1,$H8&gt;AN$4),(MIN($H8,AN$4+1)-MAX($G8,AN$4))*24,0)</f>
        <v>0</v>
      </c>
      <c r="AO8" s="17" t="n">
        <f aca="false">IF(AND($S8=1,$G8&lt;AO$4+1,$H8&gt;AO$4),(MIN($H8,AO$4+1)-MAX($G8,AO$4))*24,0)</f>
        <v>0</v>
      </c>
      <c r="AP8" s="17" t="n">
        <f aca="false">IF(AND($S8=1,$G8&lt;AP$4+1,$H8&gt;AP$4),(MIN($H8,AP$4+1)-MAX($G8,AP$4))*24,0)</f>
        <v>0</v>
      </c>
      <c r="AQ8" s="17" t="n">
        <f aca="false">IF(AND($S8=1,$G8&lt;AQ$4+1,$H8&gt;AQ$4),(MIN($H8,AQ$4+1)-MAX($G8,AQ$4))*24,0)</f>
        <v>0</v>
      </c>
      <c r="AR8" s="17" t="n">
        <f aca="false">IF(AND($S8=1,$G8&lt;AR$4+1,$H8&gt;AR$4),(MIN($H8,AR$4+1)-MAX($G8,AR$4))*24,0)</f>
        <v>0</v>
      </c>
      <c r="AS8" s="17" t="n">
        <f aca="false">IF(AND($S8=1,$G8&lt;AS$4+1,$H8&gt;AS$4),(MIN($H8,AS$4+1)-MAX($G8,AS$4))*24,0)</f>
        <v>0</v>
      </c>
      <c r="AT8" s="17" t="n">
        <f aca="false">IF(AND($S8=1,$G8&lt;AT$4+1,$H8&gt;AT$4),(MIN($H8,AT$4+1)-MAX($G8,AT$4))*24,0)</f>
        <v>0</v>
      </c>
      <c r="AU8" s="17" t="n">
        <f aca="false">IF(AND($S8=1,$G8&lt;AU$4+1,$H8&gt;AU$4),(MIN($H8,AU$4+1)-MAX($G8,AU$4))*24,0)</f>
        <v>0</v>
      </c>
      <c r="AV8" s="17" t="n">
        <f aca="false">IF(AND($S8=1,$G8&lt;AV$4+1,$H8&gt;AV$4),(MIN($H8,AV$4+1)-MAX($G8,AV$4))*24,0)</f>
        <v>0</v>
      </c>
      <c r="AW8" s="17" t="n">
        <f aca="false">IF(AND($S8=1,$G8&lt;AW$4+1,$H8&gt;AW$4),(MIN($H8,AW$4+1)-MAX($G8,AW$4))*24,0)</f>
        <v>0</v>
      </c>
      <c r="AX8" s="17" t="n">
        <f aca="false">IF(AND($S8=1,$G8&lt;AX$4+1,$H8&gt;AX$4),(MIN($H8,AX$4+1)-MAX($G8,AX$4))*24,0)</f>
        <v>0</v>
      </c>
      <c r="AY8" s="17" t="n">
        <f aca="false">IF(AND($S8=1,$G8&lt;AY$4+1,$H8&gt;AY$4),(MIN($H8,AY$4+1)-MAX($G8,AY$4))*24,0)</f>
        <v>0</v>
      </c>
    </row>
    <row r="9" customFormat="false" ht="15" hidden="false" customHeight="false" outlineLevel="0" collapsed="false">
      <c r="A9" s="5" t="s">
        <v>52</v>
      </c>
      <c r="B9" s="15" t="n">
        <v>46209</v>
      </c>
      <c r="C9" s="5" t="s">
        <v>53</v>
      </c>
      <c r="D9" s="5" t="n">
        <v>0</v>
      </c>
      <c r="E9" s="16" t="n">
        <v>46209.4583333333</v>
      </c>
      <c r="F9" s="16" t="n">
        <v>46209.4840277778</v>
      </c>
      <c r="G9" s="16" t="n">
        <v>46209.4583333333</v>
      </c>
      <c r="H9" s="16" t="n">
        <v>46209.5048611111</v>
      </c>
      <c r="I9" s="9" t="n">
        <f aca="false">(H9-G9)*24</f>
        <v>1.11666666666667</v>
      </c>
      <c r="J9" s="5" t="s">
        <v>54</v>
      </c>
      <c r="K9" s="5" t="s">
        <v>55</v>
      </c>
      <c r="L9" s="5" t="s">
        <v>56</v>
      </c>
      <c r="M9" s="5" t="s">
        <v>57</v>
      </c>
      <c r="N9" s="5" t="n">
        <v>1</v>
      </c>
      <c r="O9" s="5" t="n">
        <v>3</v>
      </c>
      <c r="P9" s="10" t="n">
        <v>37.25</v>
      </c>
      <c r="Q9" s="9" t="n">
        <f aca="false">ROUNDUP(I9*4,0)/4</f>
        <v>1.25</v>
      </c>
      <c r="R9" s="10" t="n">
        <f aca="false">Q9*P9</f>
        <v>46.5625</v>
      </c>
      <c r="S9" s="5" t="n">
        <f aca="false">IF(COUNTIF($A$5:A9,A9)=1,1,0)</f>
        <v>1</v>
      </c>
      <c r="T9" s="5" t="n">
        <v>11</v>
      </c>
      <c r="U9" s="17" t="n">
        <f aca="false">IF(AND($S9=1,$G9&lt;U$4+1,$H9&gt;U$4),(MIN($H9,U$4+1)-MAX($G9,U$4))*24,0)</f>
        <v>0</v>
      </c>
      <c r="V9" s="17" t="n">
        <f aca="false">IF(AND($S9=1,$G9&lt;V$4+1,$H9&gt;V$4),(MIN($H9,V$4+1)-MAX($G9,V$4))*24,0)</f>
        <v>0</v>
      </c>
      <c r="W9" s="17" t="n">
        <f aca="false">IF(AND($S9=1,$G9&lt;W$4+1,$H9&gt;W$4),(MIN($H9,W$4+1)-MAX($G9,W$4))*24,0)</f>
        <v>0</v>
      </c>
      <c r="X9" s="17" t="n">
        <f aca="false">IF(AND($S9=1,$G9&lt;X$4+1,$H9&gt;X$4),(MIN($H9,X$4+1)-MAX($G9,X$4))*24,0)</f>
        <v>0</v>
      </c>
      <c r="Y9" s="17" t="n">
        <f aca="false">IF(AND($S9=1,$G9&lt;Y$4+1,$H9&gt;Y$4),(MIN($H9,Y$4+1)-MAX($G9,Y$4))*24,0)</f>
        <v>0</v>
      </c>
      <c r="Z9" s="17" t="n">
        <f aca="false">IF(AND($S9=1,$G9&lt;Z$4+1,$H9&gt;Z$4),(MIN($H9,Z$4+1)-MAX($G9,Z$4))*24,0)</f>
        <v>1.11666666666667</v>
      </c>
      <c r="AA9" s="17" t="n">
        <f aca="false">IF(AND($S9=1,$G9&lt;AA$4+1,$H9&gt;AA$4),(MIN($H9,AA$4+1)-MAX($G9,AA$4))*24,0)</f>
        <v>0</v>
      </c>
      <c r="AB9" s="17" t="n">
        <f aca="false">IF(AND($S9=1,$G9&lt;AB$4+1,$H9&gt;AB$4),(MIN($H9,AB$4+1)-MAX($G9,AB$4))*24,0)</f>
        <v>0</v>
      </c>
      <c r="AC9" s="17" t="n">
        <f aca="false">IF(AND($S9=1,$G9&lt;AC$4+1,$H9&gt;AC$4),(MIN($H9,AC$4+1)-MAX($G9,AC$4))*24,0)</f>
        <v>0</v>
      </c>
      <c r="AD9" s="17" t="n">
        <f aca="false">IF(AND($S9=1,$G9&lt;AD$4+1,$H9&gt;AD$4),(MIN($H9,AD$4+1)-MAX($G9,AD$4))*24,0)</f>
        <v>0</v>
      </c>
      <c r="AE9" s="17" t="n">
        <f aca="false">IF(AND($S9=1,$G9&lt;AE$4+1,$H9&gt;AE$4),(MIN($H9,AE$4+1)-MAX($G9,AE$4))*24,0)</f>
        <v>0</v>
      </c>
      <c r="AF9" s="17" t="n">
        <f aca="false">IF(AND($S9=1,$G9&lt;AF$4+1,$H9&gt;AF$4),(MIN($H9,AF$4+1)-MAX($G9,AF$4))*24,0)</f>
        <v>0</v>
      </c>
      <c r="AG9" s="17" t="n">
        <f aca="false">IF(AND($S9=1,$G9&lt;AG$4+1,$H9&gt;AG$4),(MIN($H9,AG$4+1)-MAX($G9,AG$4))*24,0)</f>
        <v>0</v>
      </c>
      <c r="AH9" s="17" t="n">
        <f aca="false">IF(AND($S9=1,$G9&lt;AH$4+1,$H9&gt;AH$4),(MIN($H9,AH$4+1)-MAX($G9,AH$4))*24,0)</f>
        <v>0</v>
      </c>
      <c r="AI9" s="17" t="n">
        <f aca="false">IF(AND($S9=1,$G9&lt;AI$4+1,$H9&gt;AI$4),(MIN($H9,AI$4+1)-MAX($G9,AI$4))*24,0)</f>
        <v>0</v>
      </c>
      <c r="AJ9" s="17" t="n">
        <f aca="false">IF(AND($S9=1,$G9&lt;AJ$4+1,$H9&gt;AJ$4),(MIN($H9,AJ$4+1)-MAX($G9,AJ$4))*24,0)</f>
        <v>0</v>
      </c>
      <c r="AK9" s="17" t="n">
        <f aca="false">IF(AND($S9=1,$G9&lt;AK$4+1,$H9&gt;AK$4),(MIN($H9,AK$4+1)-MAX($G9,AK$4))*24,0)</f>
        <v>0</v>
      </c>
      <c r="AL9" s="17" t="n">
        <f aca="false">IF(AND($S9=1,$G9&lt;AL$4+1,$H9&gt;AL$4),(MIN($H9,AL$4+1)-MAX($G9,AL$4))*24,0)</f>
        <v>0</v>
      </c>
      <c r="AM9" s="17" t="n">
        <f aca="false">IF(AND($S9=1,$G9&lt;AM$4+1,$H9&gt;AM$4),(MIN($H9,AM$4+1)-MAX($G9,AM$4))*24,0)</f>
        <v>0</v>
      </c>
      <c r="AN9" s="17" t="n">
        <f aca="false">IF(AND($S9=1,$G9&lt;AN$4+1,$H9&gt;AN$4),(MIN($H9,AN$4+1)-MAX($G9,AN$4))*24,0)</f>
        <v>0</v>
      </c>
      <c r="AO9" s="17" t="n">
        <f aca="false">IF(AND($S9=1,$G9&lt;AO$4+1,$H9&gt;AO$4),(MIN($H9,AO$4+1)-MAX($G9,AO$4))*24,0)</f>
        <v>0</v>
      </c>
      <c r="AP9" s="17" t="n">
        <f aca="false">IF(AND($S9=1,$G9&lt;AP$4+1,$H9&gt;AP$4),(MIN($H9,AP$4+1)-MAX($G9,AP$4))*24,0)</f>
        <v>0</v>
      </c>
      <c r="AQ9" s="17" t="n">
        <f aca="false">IF(AND($S9=1,$G9&lt;AQ$4+1,$H9&gt;AQ$4),(MIN($H9,AQ$4+1)-MAX($G9,AQ$4))*24,0)</f>
        <v>0</v>
      </c>
      <c r="AR9" s="17" t="n">
        <f aca="false">IF(AND($S9=1,$G9&lt;AR$4+1,$H9&gt;AR$4),(MIN($H9,AR$4+1)-MAX($G9,AR$4))*24,0)</f>
        <v>0</v>
      </c>
      <c r="AS9" s="17" t="n">
        <f aca="false">IF(AND($S9=1,$G9&lt;AS$4+1,$H9&gt;AS$4),(MIN($H9,AS$4+1)-MAX($G9,AS$4))*24,0)</f>
        <v>0</v>
      </c>
      <c r="AT9" s="17" t="n">
        <f aca="false">IF(AND($S9=1,$G9&lt;AT$4+1,$H9&gt;AT$4),(MIN($H9,AT$4+1)-MAX($G9,AT$4))*24,0)</f>
        <v>0</v>
      </c>
      <c r="AU9" s="17" t="n">
        <f aca="false">IF(AND($S9=1,$G9&lt;AU$4+1,$H9&gt;AU$4),(MIN($H9,AU$4+1)-MAX($G9,AU$4))*24,0)</f>
        <v>0</v>
      </c>
      <c r="AV9" s="17" t="n">
        <f aca="false">IF(AND($S9=1,$G9&lt;AV$4+1,$H9&gt;AV$4),(MIN($H9,AV$4+1)-MAX($G9,AV$4))*24,0)</f>
        <v>0</v>
      </c>
      <c r="AW9" s="17" t="n">
        <f aca="false">IF(AND($S9=1,$G9&lt;AW$4+1,$H9&gt;AW$4),(MIN($H9,AW$4+1)-MAX($G9,AW$4))*24,0)</f>
        <v>0</v>
      </c>
      <c r="AX9" s="17" t="n">
        <f aca="false">IF(AND($S9=1,$G9&lt;AX$4+1,$H9&gt;AX$4),(MIN($H9,AX$4+1)-MAX($G9,AX$4))*24,0)</f>
        <v>0</v>
      </c>
      <c r="AY9" s="17" t="n">
        <f aca="false">IF(AND($S9=1,$G9&lt;AY$4+1,$H9&gt;AY$4),(MIN($H9,AY$4+1)-MAX($G9,AY$4))*24,0)</f>
        <v>0</v>
      </c>
    </row>
    <row r="10" customFormat="false" ht="15" hidden="false" customHeight="false" outlineLevel="0" collapsed="false">
      <c r="A10" s="5" t="s">
        <v>58</v>
      </c>
      <c r="B10" s="15" t="n">
        <v>46210</v>
      </c>
      <c r="C10" s="5" t="s">
        <v>39</v>
      </c>
      <c r="D10" s="5" t="n">
        <v>0</v>
      </c>
      <c r="E10" s="16" t="n">
        <v>46210.375</v>
      </c>
      <c r="F10" s="16" t="n">
        <v>46210.4375</v>
      </c>
      <c r="G10" s="16" t="n">
        <v>46210.3645833333</v>
      </c>
      <c r="H10" s="16" t="n">
        <v>46210.4479166667</v>
      </c>
      <c r="I10" s="9" t="n">
        <f aca="false">(H10-G10)*24</f>
        <v>1.99999999953417</v>
      </c>
      <c r="J10" s="5" t="s">
        <v>59</v>
      </c>
      <c r="K10" s="5" t="s">
        <v>60</v>
      </c>
      <c r="L10" s="5" t="s">
        <v>61</v>
      </c>
      <c r="M10" s="5" t="s">
        <v>62</v>
      </c>
      <c r="N10" s="5" t="n">
        <v>1</v>
      </c>
      <c r="O10" s="5" t="n">
        <v>9</v>
      </c>
      <c r="P10" s="10" t="n">
        <v>29.5</v>
      </c>
      <c r="Q10" s="9" t="n">
        <f aca="false">ROUNDUP(I10*4,0)/4</f>
        <v>2</v>
      </c>
      <c r="R10" s="10" t="n">
        <f aca="false">Q10*P10</f>
        <v>59</v>
      </c>
      <c r="S10" s="5" t="n">
        <f aca="false">IF(COUNTIF($A$5:A10,A10)=1,1,0)</f>
        <v>1</v>
      </c>
      <c r="T10" s="5" t="n">
        <v>12</v>
      </c>
      <c r="U10" s="17" t="n">
        <f aca="false">IF(AND($S10=1,$G10&lt;U$4+1,$H10&gt;U$4),(MIN($H10,U$4+1)-MAX($G10,U$4))*24,0)</f>
        <v>0</v>
      </c>
      <c r="V10" s="17" t="n">
        <f aca="false">IF(AND($S10=1,$G10&lt;V$4+1,$H10&gt;V$4),(MIN($H10,V$4+1)-MAX($G10,V$4))*24,0)</f>
        <v>0</v>
      </c>
      <c r="W10" s="17" t="n">
        <f aca="false">IF(AND($S10=1,$G10&lt;W$4+1,$H10&gt;W$4),(MIN($H10,W$4+1)-MAX($G10,W$4))*24,0)</f>
        <v>0</v>
      </c>
      <c r="X10" s="17" t="n">
        <f aca="false">IF(AND($S10=1,$G10&lt;X$4+1,$H10&gt;X$4),(MIN($H10,X$4+1)-MAX($G10,X$4))*24,0)</f>
        <v>0</v>
      </c>
      <c r="Y10" s="17" t="n">
        <f aca="false">IF(AND($S10=1,$G10&lt;Y$4+1,$H10&gt;Y$4),(MIN($H10,Y$4+1)-MAX($G10,Y$4))*24,0)</f>
        <v>0</v>
      </c>
      <c r="Z10" s="17" t="n">
        <f aca="false">IF(AND($S10=1,$G10&lt;Z$4+1,$H10&gt;Z$4),(MIN($H10,Z$4+1)-MAX($G10,Z$4))*24,0)</f>
        <v>0</v>
      </c>
      <c r="AA10" s="17" t="n">
        <f aca="false">IF(AND($S10=1,$G10&lt;AA$4+1,$H10&gt;AA$4),(MIN($H10,AA$4+1)-MAX($G10,AA$4))*24,0)</f>
        <v>1.99999999953417</v>
      </c>
      <c r="AB10" s="17" t="n">
        <f aca="false">IF(AND($S10=1,$G10&lt;AB$4+1,$H10&gt;AB$4),(MIN($H10,AB$4+1)-MAX($G10,AB$4))*24,0)</f>
        <v>0</v>
      </c>
      <c r="AC10" s="17" t="n">
        <f aca="false">IF(AND($S10=1,$G10&lt;AC$4+1,$H10&gt;AC$4),(MIN($H10,AC$4+1)-MAX($G10,AC$4))*24,0)</f>
        <v>0</v>
      </c>
      <c r="AD10" s="17" t="n">
        <f aca="false">IF(AND($S10=1,$G10&lt;AD$4+1,$H10&gt;AD$4),(MIN($H10,AD$4+1)-MAX($G10,AD$4))*24,0)</f>
        <v>0</v>
      </c>
      <c r="AE10" s="17" t="n">
        <f aca="false">IF(AND($S10=1,$G10&lt;AE$4+1,$H10&gt;AE$4),(MIN($H10,AE$4+1)-MAX($G10,AE$4))*24,0)</f>
        <v>0</v>
      </c>
      <c r="AF10" s="17" t="n">
        <f aca="false">IF(AND($S10=1,$G10&lt;AF$4+1,$H10&gt;AF$4),(MIN($H10,AF$4+1)-MAX($G10,AF$4))*24,0)</f>
        <v>0</v>
      </c>
      <c r="AG10" s="17" t="n">
        <f aca="false">IF(AND($S10=1,$G10&lt;AG$4+1,$H10&gt;AG$4),(MIN($H10,AG$4+1)-MAX($G10,AG$4))*24,0)</f>
        <v>0</v>
      </c>
      <c r="AH10" s="17" t="n">
        <f aca="false">IF(AND($S10=1,$G10&lt;AH$4+1,$H10&gt;AH$4),(MIN($H10,AH$4+1)-MAX($G10,AH$4))*24,0)</f>
        <v>0</v>
      </c>
      <c r="AI10" s="17" t="n">
        <f aca="false">IF(AND($S10=1,$G10&lt;AI$4+1,$H10&gt;AI$4),(MIN($H10,AI$4+1)-MAX($G10,AI$4))*24,0)</f>
        <v>0</v>
      </c>
      <c r="AJ10" s="17" t="n">
        <f aca="false">IF(AND($S10=1,$G10&lt;AJ$4+1,$H10&gt;AJ$4),(MIN($H10,AJ$4+1)-MAX($G10,AJ$4))*24,0)</f>
        <v>0</v>
      </c>
      <c r="AK10" s="17" t="n">
        <f aca="false">IF(AND($S10=1,$G10&lt;AK$4+1,$H10&gt;AK$4),(MIN($H10,AK$4+1)-MAX($G10,AK$4))*24,0)</f>
        <v>0</v>
      </c>
      <c r="AL10" s="17" t="n">
        <f aca="false">IF(AND($S10=1,$G10&lt;AL$4+1,$H10&gt;AL$4),(MIN($H10,AL$4+1)-MAX($G10,AL$4))*24,0)</f>
        <v>0</v>
      </c>
      <c r="AM10" s="17" t="n">
        <f aca="false">IF(AND($S10=1,$G10&lt;AM$4+1,$H10&gt;AM$4),(MIN($H10,AM$4+1)-MAX($G10,AM$4))*24,0)</f>
        <v>0</v>
      </c>
      <c r="AN10" s="17" t="n">
        <f aca="false">IF(AND($S10=1,$G10&lt;AN$4+1,$H10&gt;AN$4),(MIN($H10,AN$4+1)-MAX($G10,AN$4))*24,0)</f>
        <v>0</v>
      </c>
      <c r="AO10" s="17" t="n">
        <f aca="false">IF(AND($S10=1,$G10&lt;AO$4+1,$H10&gt;AO$4),(MIN($H10,AO$4+1)-MAX($G10,AO$4))*24,0)</f>
        <v>0</v>
      </c>
      <c r="AP10" s="17" t="n">
        <f aca="false">IF(AND($S10=1,$G10&lt;AP$4+1,$H10&gt;AP$4),(MIN($H10,AP$4+1)-MAX($G10,AP$4))*24,0)</f>
        <v>0</v>
      </c>
      <c r="AQ10" s="17" t="n">
        <f aca="false">IF(AND($S10=1,$G10&lt;AQ$4+1,$H10&gt;AQ$4),(MIN($H10,AQ$4+1)-MAX($G10,AQ$4))*24,0)</f>
        <v>0</v>
      </c>
      <c r="AR10" s="17" t="n">
        <f aca="false">IF(AND($S10=1,$G10&lt;AR$4+1,$H10&gt;AR$4),(MIN($H10,AR$4+1)-MAX($G10,AR$4))*24,0)</f>
        <v>0</v>
      </c>
      <c r="AS10" s="17" t="n">
        <f aca="false">IF(AND($S10=1,$G10&lt;AS$4+1,$H10&gt;AS$4),(MIN($H10,AS$4+1)-MAX($G10,AS$4))*24,0)</f>
        <v>0</v>
      </c>
      <c r="AT10" s="17" t="n">
        <f aca="false">IF(AND($S10=1,$G10&lt;AT$4+1,$H10&gt;AT$4),(MIN($H10,AT$4+1)-MAX($G10,AT$4))*24,0)</f>
        <v>0</v>
      </c>
      <c r="AU10" s="17" t="n">
        <f aca="false">IF(AND($S10=1,$G10&lt;AU$4+1,$H10&gt;AU$4),(MIN($H10,AU$4+1)-MAX($G10,AU$4))*24,0)</f>
        <v>0</v>
      </c>
      <c r="AV10" s="17" t="n">
        <f aca="false">IF(AND($S10=1,$G10&lt;AV$4+1,$H10&gt;AV$4),(MIN($H10,AV$4+1)-MAX($G10,AV$4))*24,0)</f>
        <v>0</v>
      </c>
      <c r="AW10" s="17" t="n">
        <f aca="false">IF(AND($S10=1,$G10&lt;AW$4+1,$H10&gt;AW$4),(MIN($H10,AW$4+1)-MAX($G10,AW$4))*24,0)</f>
        <v>0</v>
      </c>
      <c r="AX10" s="17" t="n">
        <f aca="false">IF(AND($S10=1,$G10&lt;AX$4+1,$H10&gt;AX$4),(MIN($H10,AX$4+1)-MAX($G10,AX$4))*24,0)</f>
        <v>0</v>
      </c>
      <c r="AY10" s="17" t="n">
        <f aca="false">IF(AND($S10=1,$G10&lt;AY$4+1,$H10&gt;AY$4),(MIN($H10,AY$4+1)-MAX($G10,AY$4))*24,0)</f>
        <v>0</v>
      </c>
    </row>
    <row r="11" customFormat="false" ht="15" hidden="false" customHeight="false" outlineLevel="0" collapsed="false">
      <c r="A11" s="5" t="s">
        <v>63</v>
      </c>
      <c r="B11" s="15" t="n">
        <v>46210</v>
      </c>
      <c r="C11" s="5" t="s">
        <v>53</v>
      </c>
      <c r="D11" s="5" t="n">
        <v>0</v>
      </c>
      <c r="E11" s="16" t="n">
        <v>46210.4583333333</v>
      </c>
      <c r="F11" s="16" t="n">
        <v>46210.4895833333</v>
      </c>
      <c r="G11" s="16" t="n">
        <v>46210.4583333333</v>
      </c>
      <c r="H11" s="16" t="n">
        <v>46210.5104166667</v>
      </c>
      <c r="I11" s="9" t="n">
        <f aca="false">(H11-G11)*24</f>
        <v>1.24999999953417</v>
      </c>
      <c r="J11" s="5" t="s">
        <v>54</v>
      </c>
      <c r="K11" s="5" t="s">
        <v>60</v>
      </c>
      <c r="L11" s="5" t="s">
        <v>61</v>
      </c>
      <c r="M11" s="5" t="s">
        <v>57</v>
      </c>
      <c r="N11" s="5" t="n">
        <v>1</v>
      </c>
      <c r="O11" s="5" t="n">
        <v>4</v>
      </c>
      <c r="P11" s="10" t="n">
        <v>29.5</v>
      </c>
      <c r="Q11" s="9" t="n">
        <f aca="false">ROUNDUP(I11*4,0)/4</f>
        <v>1.25</v>
      </c>
      <c r="R11" s="10" t="n">
        <f aca="false">Q11*P11</f>
        <v>36.875</v>
      </c>
      <c r="S11" s="5" t="n">
        <f aca="false">IF(COUNTIF($A$5:A11,A11)=1,1,0)</f>
        <v>1</v>
      </c>
      <c r="T11" s="5" t="n">
        <v>14</v>
      </c>
      <c r="U11" s="17" t="n">
        <f aca="false">IF(AND($S11=1,$G11&lt;U$4+1,$H11&gt;U$4),(MIN($H11,U$4+1)-MAX($G11,U$4))*24,0)</f>
        <v>0</v>
      </c>
      <c r="V11" s="17" t="n">
        <f aca="false">IF(AND($S11=1,$G11&lt;V$4+1,$H11&gt;V$4),(MIN($H11,V$4+1)-MAX($G11,V$4))*24,0)</f>
        <v>0</v>
      </c>
      <c r="W11" s="17" t="n">
        <f aca="false">IF(AND($S11=1,$G11&lt;W$4+1,$H11&gt;W$4),(MIN($H11,W$4+1)-MAX($G11,W$4))*24,0)</f>
        <v>0</v>
      </c>
      <c r="X11" s="17" t="n">
        <f aca="false">IF(AND($S11=1,$G11&lt;X$4+1,$H11&gt;X$4),(MIN($H11,X$4+1)-MAX($G11,X$4))*24,0)</f>
        <v>0</v>
      </c>
      <c r="Y11" s="17" t="n">
        <f aca="false">IF(AND($S11=1,$G11&lt;Y$4+1,$H11&gt;Y$4),(MIN($H11,Y$4+1)-MAX($G11,Y$4))*24,0)</f>
        <v>0</v>
      </c>
      <c r="Z11" s="17" t="n">
        <f aca="false">IF(AND($S11=1,$G11&lt;Z$4+1,$H11&gt;Z$4),(MIN($H11,Z$4+1)-MAX($G11,Z$4))*24,0)</f>
        <v>0</v>
      </c>
      <c r="AA11" s="17" t="n">
        <f aca="false">IF(AND($S11=1,$G11&lt;AA$4+1,$H11&gt;AA$4),(MIN($H11,AA$4+1)-MAX($G11,AA$4))*24,0)</f>
        <v>1.24999999953417</v>
      </c>
      <c r="AB11" s="17" t="n">
        <f aca="false">IF(AND($S11=1,$G11&lt;AB$4+1,$H11&gt;AB$4),(MIN($H11,AB$4+1)-MAX($G11,AB$4))*24,0)</f>
        <v>0</v>
      </c>
      <c r="AC11" s="17" t="n">
        <f aca="false">IF(AND($S11=1,$G11&lt;AC$4+1,$H11&gt;AC$4),(MIN($H11,AC$4+1)-MAX($G11,AC$4))*24,0)</f>
        <v>0</v>
      </c>
      <c r="AD11" s="17" t="n">
        <f aca="false">IF(AND($S11=1,$G11&lt;AD$4+1,$H11&gt;AD$4),(MIN($H11,AD$4+1)-MAX($G11,AD$4))*24,0)</f>
        <v>0</v>
      </c>
      <c r="AE11" s="17" t="n">
        <f aca="false">IF(AND($S11=1,$G11&lt;AE$4+1,$H11&gt;AE$4),(MIN($H11,AE$4+1)-MAX($G11,AE$4))*24,0)</f>
        <v>0</v>
      </c>
      <c r="AF11" s="17" t="n">
        <f aca="false">IF(AND($S11=1,$G11&lt;AF$4+1,$H11&gt;AF$4),(MIN($H11,AF$4+1)-MAX($G11,AF$4))*24,0)</f>
        <v>0</v>
      </c>
      <c r="AG11" s="17" t="n">
        <f aca="false">IF(AND($S11=1,$G11&lt;AG$4+1,$H11&gt;AG$4),(MIN($H11,AG$4+1)-MAX($G11,AG$4))*24,0)</f>
        <v>0</v>
      </c>
      <c r="AH11" s="17" t="n">
        <f aca="false">IF(AND($S11=1,$G11&lt;AH$4+1,$H11&gt;AH$4),(MIN($H11,AH$4+1)-MAX($G11,AH$4))*24,0)</f>
        <v>0</v>
      </c>
      <c r="AI11" s="17" t="n">
        <f aca="false">IF(AND($S11=1,$G11&lt;AI$4+1,$H11&gt;AI$4),(MIN($H11,AI$4+1)-MAX($G11,AI$4))*24,0)</f>
        <v>0</v>
      </c>
      <c r="AJ11" s="17" t="n">
        <f aca="false">IF(AND($S11=1,$G11&lt;AJ$4+1,$H11&gt;AJ$4),(MIN($H11,AJ$4+1)-MAX($G11,AJ$4))*24,0)</f>
        <v>0</v>
      </c>
      <c r="AK11" s="17" t="n">
        <f aca="false">IF(AND($S11=1,$G11&lt;AK$4+1,$H11&gt;AK$4),(MIN($H11,AK$4+1)-MAX($G11,AK$4))*24,0)</f>
        <v>0</v>
      </c>
      <c r="AL11" s="17" t="n">
        <f aca="false">IF(AND($S11=1,$G11&lt;AL$4+1,$H11&gt;AL$4),(MIN($H11,AL$4+1)-MAX($G11,AL$4))*24,0)</f>
        <v>0</v>
      </c>
      <c r="AM11" s="17" t="n">
        <f aca="false">IF(AND($S11=1,$G11&lt;AM$4+1,$H11&gt;AM$4),(MIN($H11,AM$4+1)-MAX($G11,AM$4))*24,0)</f>
        <v>0</v>
      </c>
      <c r="AN11" s="17" t="n">
        <f aca="false">IF(AND($S11=1,$G11&lt;AN$4+1,$H11&gt;AN$4),(MIN($H11,AN$4+1)-MAX($G11,AN$4))*24,0)</f>
        <v>0</v>
      </c>
      <c r="AO11" s="17" t="n">
        <f aca="false">IF(AND($S11=1,$G11&lt;AO$4+1,$H11&gt;AO$4),(MIN($H11,AO$4+1)-MAX($G11,AO$4))*24,0)</f>
        <v>0</v>
      </c>
      <c r="AP11" s="17" t="n">
        <f aca="false">IF(AND($S11=1,$G11&lt;AP$4+1,$H11&gt;AP$4),(MIN($H11,AP$4+1)-MAX($G11,AP$4))*24,0)</f>
        <v>0</v>
      </c>
      <c r="AQ11" s="17" t="n">
        <f aca="false">IF(AND($S11=1,$G11&lt;AQ$4+1,$H11&gt;AQ$4),(MIN($H11,AQ$4+1)-MAX($G11,AQ$4))*24,0)</f>
        <v>0</v>
      </c>
      <c r="AR11" s="17" t="n">
        <f aca="false">IF(AND($S11=1,$G11&lt;AR$4+1,$H11&gt;AR$4),(MIN($H11,AR$4+1)-MAX($G11,AR$4))*24,0)</f>
        <v>0</v>
      </c>
      <c r="AS11" s="17" t="n">
        <f aca="false">IF(AND($S11=1,$G11&lt;AS$4+1,$H11&gt;AS$4),(MIN($H11,AS$4+1)-MAX($G11,AS$4))*24,0)</f>
        <v>0</v>
      </c>
      <c r="AT11" s="17" t="n">
        <f aca="false">IF(AND($S11=1,$G11&lt;AT$4+1,$H11&gt;AT$4),(MIN($H11,AT$4+1)-MAX($G11,AT$4))*24,0)</f>
        <v>0</v>
      </c>
      <c r="AU11" s="17" t="n">
        <f aca="false">IF(AND($S11=1,$G11&lt;AU$4+1,$H11&gt;AU$4),(MIN($H11,AU$4+1)-MAX($G11,AU$4))*24,0)</f>
        <v>0</v>
      </c>
      <c r="AV11" s="17" t="n">
        <f aca="false">IF(AND($S11=1,$G11&lt;AV$4+1,$H11&gt;AV$4),(MIN($H11,AV$4+1)-MAX($G11,AV$4))*24,0)</f>
        <v>0</v>
      </c>
      <c r="AW11" s="17" t="n">
        <f aca="false">IF(AND($S11=1,$G11&lt;AW$4+1,$H11&gt;AW$4),(MIN($H11,AW$4+1)-MAX($G11,AW$4))*24,0)</f>
        <v>0</v>
      </c>
      <c r="AX11" s="17" t="n">
        <f aca="false">IF(AND($S11=1,$G11&lt;AX$4+1,$H11&gt;AX$4),(MIN($H11,AX$4+1)-MAX($G11,AX$4))*24,0)</f>
        <v>0</v>
      </c>
      <c r="AY11" s="17" t="n">
        <f aca="false">IF(AND($S11=1,$G11&lt;AY$4+1,$H11&gt;AY$4),(MIN($H11,AY$4+1)-MAX($G11,AY$4))*24,0)</f>
        <v>0</v>
      </c>
    </row>
    <row r="12" customFormat="false" ht="15" hidden="false" customHeight="false" outlineLevel="0" collapsed="false">
      <c r="A12" s="5" t="s">
        <v>64</v>
      </c>
      <c r="B12" s="15" t="n">
        <v>46211</v>
      </c>
      <c r="C12" s="5" t="s">
        <v>39</v>
      </c>
      <c r="D12" s="5" t="n">
        <v>0</v>
      </c>
      <c r="E12" s="16" t="n">
        <v>46211.3333333333</v>
      </c>
      <c r="F12" s="16" t="n">
        <v>46211.3645833333</v>
      </c>
      <c r="G12" s="16" t="n">
        <v>46211.3125</v>
      </c>
      <c r="H12" s="16" t="n">
        <v>46211.3958333333</v>
      </c>
      <c r="I12" s="9" t="n">
        <f aca="false">(H12-G12)*24</f>
        <v>2</v>
      </c>
      <c r="J12" s="5" t="s">
        <v>47</v>
      </c>
      <c r="K12" s="5" t="s">
        <v>41</v>
      </c>
      <c r="L12" s="5" t="s">
        <v>42</v>
      </c>
      <c r="M12" s="5" t="s">
        <v>43</v>
      </c>
      <c r="N12" s="5" t="n">
        <v>2</v>
      </c>
      <c r="O12" s="5" t="n">
        <v>6</v>
      </c>
      <c r="P12" s="10" t="n">
        <v>41.5</v>
      </c>
      <c r="Q12" s="9" t="n">
        <f aca="false">ROUNDUP(I12*4,0)/4</f>
        <v>2</v>
      </c>
      <c r="R12" s="10" t="n">
        <f aca="false">Q12*P12</f>
        <v>83</v>
      </c>
      <c r="S12" s="5" t="n">
        <f aca="false">IF(COUNTIF($A$5:A12,A12)=1,1,0)</f>
        <v>1</v>
      </c>
      <c r="T12" s="5" t="n">
        <v>15</v>
      </c>
      <c r="U12" s="17" t="n">
        <f aca="false">IF(AND($S12=1,$G12&lt;U$4+1,$H12&gt;U$4),(MIN($H12,U$4+1)-MAX($G12,U$4))*24,0)</f>
        <v>0</v>
      </c>
      <c r="V12" s="17" t="n">
        <f aca="false">IF(AND($S12=1,$G12&lt;V$4+1,$H12&gt;V$4),(MIN($H12,V$4+1)-MAX($G12,V$4))*24,0)</f>
        <v>0</v>
      </c>
      <c r="W12" s="17" t="n">
        <f aca="false">IF(AND($S12=1,$G12&lt;W$4+1,$H12&gt;W$4),(MIN($H12,W$4+1)-MAX($G12,W$4))*24,0)</f>
        <v>0</v>
      </c>
      <c r="X12" s="17" t="n">
        <f aca="false">IF(AND($S12=1,$G12&lt;X$4+1,$H12&gt;X$4),(MIN($H12,X$4+1)-MAX($G12,X$4))*24,0)</f>
        <v>0</v>
      </c>
      <c r="Y12" s="17" t="n">
        <f aca="false">IF(AND($S12=1,$G12&lt;Y$4+1,$H12&gt;Y$4),(MIN($H12,Y$4+1)-MAX($G12,Y$4))*24,0)</f>
        <v>0</v>
      </c>
      <c r="Z12" s="17" t="n">
        <f aca="false">IF(AND($S12=1,$G12&lt;Z$4+1,$H12&gt;Z$4),(MIN($H12,Z$4+1)-MAX($G12,Z$4))*24,0)</f>
        <v>0</v>
      </c>
      <c r="AA12" s="17" t="n">
        <f aca="false">IF(AND($S12=1,$G12&lt;AA$4+1,$H12&gt;AA$4),(MIN($H12,AA$4+1)-MAX($G12,AA$4))*24,0)</f>
        <v>0</v>
      </c>
      <c r="AB12" s="17" t="n">
        <f aca="false">IF(AND($S12=1,$G12&lt;AB$4+1,$H12&gt;AB$4),(MIN($H12,AB$4+1)-MAX($G12,AB$4))*24,0)</f>
        <v>2</v>
      </c>
      <c r="AC12" s="17" t="n">
        <f aca="false">IF(AND($S12=1,$G12&lt;AC$4+1,$H12&gt;AC$4),(MIN($H12,AC$4+1)-MAX($G12,AC$4))*24,0)</f>
        <v>0</v>
      </c>
      <c r="AD12" s="17" t="n">
        <f aca="false">IF(AND($S12=1,$G12&lt;AD$4+1,$H12&gt;AD$4),(MIN($H12,AD$4+1)-MAX($G12,AD$4))*24,0)</f>
        <v>0</v>
      </c>
      <c r="AE12" s="17" t="n">
        <f aca="false">IF(AND($S12=1,$G12&lt;AE$4+1,$H12&gt;AE$4),(MIN($H12,AE$4+1)-MAX($G12,AE$4))*24,0)</f>
        <v>0</v>
      </c>
      <c r="AF12" s="17" t="n">
        <f aca="false">IF(AND($S12=1,$G12&lt;AF$4+1,$H12&gt;AF$4),(MIN($H12,AF$4+1)-MAX($G12,AF$4))*24,0)</f>
        <v>0</v>
      </c>
      <c r="AG12" s="17" t="n">
        <f aca="false">IF(AND($S12=1,$G12&lt;AG$4+1,$H12&gt;AG$4),(MIN($H12,AG$4+1)-MAX($G12,AG$4))*24,0)</f>
        <v>0</v>
      </c>
      <c r="AH12" s="17" t="n">
        <f aca="false">IF(AND($S12=1,$G12&lt;AH$4+1,$H12&gt;AH$4),(MIN($H12,AH$4+1)-MAX($G12,AH$4))*24,0)</f>
        <v>0</v>
      </c>
      <c r="AI12" s="17" t="n">
        <f aca="false">IF(AND($S12=1,$G12&lt;AI$4+1,$H12&gt;AI$4),(MIN($H12,AI$4+1)-MAX($G12,AI$4))*24,0)</f>
        <v>0</v>
      </c>
      <c r="AJ12" s="17" t="n">
        <f aca="false">IF(AND($S12=1,$G12&lt;AJ$4+1,$H12&gt;AJ$4),(MIN($H12,AJ$4+1)-MAX($G12,AJ$4))*24,0)</f>
        <v>0</v>
      </c>
      <c r="AK12" s="17" t="n">
        <f aca="false">IF(AND($S12=1,$G12&lt;AK$4+1,$H12&gt;AK$4),(MIN($H12,AK$4+1)-MAX($G12,AK$4))*24,0)</f>
        <v>0</v>
      </c>
      <c r="AL12" s="17" t="n">
        <f aca="false">IF(AND($S12=1,$G12&lt;AL$4+1,$H12&gt;AL$4),(MIN($H12,AL$4+1)-MAX($G12,AL$4))*24,0)</f>
        <v>0</v>
      </c>
      <c r="AM12" s="17" t="n">
        <f aca="false">IF(AND($S12=1,$G12&lt;AM$4+1,$H12&gt;AM$4),(MIN($H12,AM$4+1)-MAX($G12,AM$4))*24,0)</f>
        <v>0</v>
      </c>
      <c r="AN12" s="17" t="n">
        <f aca="false">IF(AND($S12=1,$G12&lt;AN$4+1,$H12&gt;AN$4),(MIN($H12,AN$4+1)-MAX($G12,AN$4))*24,0)</f>
        <v>0</v>
      </c>
      <c r="AO12" s="17" t="n">
        <f aca="false">IF(AND($S12=1,$G12&lt;AO$4+1,$H12&gt;AO$4),(MIN($H12,AO$4+1)-MAX($G12,AO$4))*24,0)</f>
        <v>0</v>
      </c>
      <c r="AP12" s="17" t="n">
        <f aca="false">IF(AND($S12=1,$G12&lt;AP$4+1,$H12&gt;AP$4),(MIN($H12,AP$4+1)-MAX($G12,AP$4))*24,0)</f>
        <v>0</v>
      </c>
      <c r="AQ12" s="17" t="n">
        <f aca="false">IF(AND($S12=1,$G12&lt;AQ$4+1,$H12&gt;AQ$4),(MIN($H12,AQ$4+1)-MAX($G12,AQ$4))*24,0)</f>
        <v>0</v>
      </c>
      <c r="AR12" s="17" t="n">
        <f aca="false">IF(AND($S12=1,$G12&lt;AR$4+1,$H12&gt;AR$4),(MIN($H12,AR$4+1)-MAX($G12,AR$4))*24,0)</f>
        <v>0</v>
      </c>
      <c r="AS12" s="17" t="n">
        <f aca="false">IF(AND($S12=1,$G12&lt;AS$4+1,$H12&gt;AS$4),(MIN($H12,AS$4+1)-MAX($G12,AS$4))*24,0)</f>
        <v>0</v>
      </c>
      <c r="AT12" s="17" t="n">
        <f aca="false">IF(AND($S12=1,$G12&lt;AT$4+1,$H12&gt;AT$4),(MIN($H12,AT$4+1)-MAX($G12,AT$4))*24,0)</f>
        <v>0</v>
      </c>
      <c r="AU12" s="17" t="n">
        <f aca="false">IF(AND($S12=1,$G12&lt;AU$4+1,$H12&gt;AU$4),(MIN($H12,AU$4+1)-MAX($G12,AU$4))*24,0)</f>
        <v>0</v>
      </c>
      <c r="AV12" s="17" t="n">
        <f aca="false">IF(AND($S12=1,$G12&lt;AV$4+1,$H12&gt;AV$4),(MIN($H12,AV$4+1)-MAX($G12,AV$4))*24,0)</f>
        <v>0</v>
      </c>
      <c r="AW12" s="17" t="n">
        <f aca="false">IF(AND($S12=1,$G12&lt;AW$4+1,$H12&gt;AW$4),(MIN($H12,AW$4+1)-MAX($G12,AW$4))*24,0)</f>
        <v>0</v>
      </c>
      <c r="AX12" s="17" t="n">
        <f aca="false">IF(AND($S12=1,$G12&lt;AX$4+1,$H12&gt;AX$4),(MIN($H12,AX$4+1)-MAX($G12,AX$4))*24,0)</f>
        <v>0</v>
      </c>
      <c r="AY12" s="17" t="n">
        <f aca="false">IF(AND($S12=1,$G12&lt;AY$4+1,$H12&gt;AY$4),(MIN($H12,AY$4+1)-MAX($G12,AY$4))*24,0)</f>
        <v>0</v>
      </c>
    </row>
    <row r="13" customFormat="false" ht="15" hidden="false" customHeight="false" outlineLevel="0" collapsed="false">
      <c r="A13" s="5" t="s">
        <v>64</v>
      </c>
      <c r="B13" s="15" t="n">
        <v>46211</v>
      </c>
      <c r="C13" s="5" t="s">
        <v>39</v>
      </c>
      <c r="D13" s="5" t="n">
        <v>0</v>
      </c>
      <c r="E13" s="16" t="n">
        <v>46211.3333333333</v>
      </c>
      <c r="F13" s="16" t="n">
        <v>46211.3645833333</v>
      </c>
      <c r="G13" s="16" t="n">
        <v>46211.3125</v>
      </c>
      <c r="H13" s="16" t="n">
        <v>46211.3958333333</v>
      </c>
      <c r="I13" s="9" t="n">
        <f aca="false">(H13-G13)*24</f>
        <v>2</v>
      </c>
      <c r="J13" s="5" t="s">
        <v>47</v>
      </c>
      <c r="K13" s="5" t="s">
        <v>44</v>
      </c>
      <c r="L13" s="5" t="s">
        <v>45</v>
      </c>
      <c r="M13" s="5" t="s">
        <v>43</v>
      </c>
      <c r="N13" s="5" t="n">
        <v>2</v>
      </c>
      <c r="O13" s="5" t="n">
        <v>6</v>
      </c>
      <c r="P13" s="10" t="n">
        <v>34.25</v>
      </c>
      <c r="Q13" s="9" t="n">
        <f aca="false">ROUNDUP(I13*4,0)/4</f>
        <v>2</v>
      </c>
      <c r="R13" s="10" t="n">
        <f aca="false">Q13*P13</f>
        <v>68.5</v>
      </c>
      <c r="S13" s="5" t="n">
        <f aca="false">IF(COUNTIF($A$5:A13,A13)=1,1,0)</f>
        <v>0</v>
      </c>
      <c r="T13" s="5" t="n">
        <v>15</v>
      </c>
      <c r="U13" s="17" t="n">
        <f aca="false">IF(AND($S13=1,$G13&lt;U$4+1,$H13&gt;U$4),(MIN($H13,U$4+1)-MAX($G13,U$4))*24,0)</f>
        <v>0</v>
      </c>
      <c r="V13" s="17" t="n">
        <f aca="false">IF(AND($S13=1,$G13&lt;V$4+1,$H13&gt;V$4),(MIN($H13,V$4+1)-MAX($G13,V$4))*24,0)</f>
        <v>0</v>
      </c>
      <c r="W13" s="17" t="n">
        <f aca="false">IF(AND($S13=1,$G13&lt;W$4+1,$H13&gt;W$4),(MIN($H13,W$4+1)-MAX($G13,W$4))*24,0)</f>
        <v>0</v>
      </c>
      <c r="X13" s="17" t="n">
        <f aca="false">IF(AND($S13=1,$G13&lt;X$4+1,$H13&gt;X$4),(MIN($H13,X$4+1)-MAX($G13,X$4))*24,0)</f>
        <v>0</v>
      </c>
      <c r="Y13" s="17" t="n">
        <f aca="false">IF(AND($S13=1,$G13&lt;Y$4+1,$H13&gt;Y$4),(MIN($H13,Y$4+1)-MAX($G13,Y$4))*24,0)</f>
        <v>0</v>
      </c>
      <c r="Z13" s="17" t="n">
        <f aca="false">IF(AND($S13=1,$G13&lt;Z$4+1,$H13&gt;Z$4),(MIN($H13,Z$4+1)-MAX($G13,Z$4))*24,0)</f>
        <v>0</v>
      </c>
      <c r="AA13" s="17" t="n">
        <f aca="false">IF(AND($S13=1,$G13&lt;AA$4+1,$H13&gt;AA$4),(MIN($H13,AA$4+1)-MAX($G13,AA$4))*24,0)</f>
        <v>0</v>
      </c>
      <c r="AB13" s="17" t="n">
        <f aca="false">IF(AND($S13=1,$G13&lt;AB$4+1,$H13&gt;AB$4),(MIN($H13,AB$4+1)-MAX($G13,AB$4))*24,0)</f>
        <v>0</v>
      </c>
      <c r="AC13" s="17" t="n">
        <f aca="false">IF(AND($S13=1,$G13&lt;AC$4+1,$H13&gt;AC$4),(MIN($H13,AC$4+1)-MAX($G13,AC$4))*24,0)</f>
        <v>0</v>
      </c>
      <c r="AD13" s="17" t="n">
        <f aca="false">IF(AND($S13=1,$G13&lt;AD$4+1,$H13&gt;AD$4),(MIN($H13,AD$4+1)-MAX($G13,AD$4))*24,0)</f>
        <v>0</v>
      </c>
      <c r="AE13" s="17" t="n">
        <f aca="false">IF(AND($S13=1,$G13&lt;AE$4+1,$H13&gt;AE$4),(MIN($H13,AE$4+1)-MAX($G13,AE$4))*24,0)</f>
        <v>0</v>
      </c>
      <c r="AF13" s="17" t="n">
        <f aca="false">IF(AND($S13=1,$G13&lt;AF$4+1,$H13&gt;AF$4),(MIN($H13,AF$4+1)-MAX($G13,AF$4))*24,0)</f>
        <v>0</v>
      </c>
      <c r="AG13" s="17" t="n">
        <f aca="false">IF(AND($S13=1,$G13&lt;AG$4+1,$H13&gt;AG$4),(MIN($H13,AG$4+1)-MAX($G13,AG$4))*24,0)</f>
        <v>0</v>
      </c>
      <c r="AH13" s="17" t="n">
        <f aca="false">IF(AND($S13=1,$G13&lt;AH$4+1,$H13&gt;AH$4),(MIN($H13,AH$4+1)-MAX($G13,AH$4))*24,0)</f>
        <v>0</v>
      </c>
      <c r="AI13" s="17" t="n">
        <f aca="false">IF(AND($S13=1,$G13&lt;AI$4+1,$H13&gt;AI$4),(MIN($H13,AI$4+1)-MAX($G13,AI$4))*24,0)</f>
        <v>0</v>
      </c>
      <c r="AJ13" s="17" t="n">
        <f aca="false">IF(AND($S13=1,$G13&lt;AJ$4+1,$H13&gt;AJ$4),(MIN($H13,AJ$4+1)-MAX($G13,AJ$4))*24,0)</f>
        <v>0</v>
      </c>
      <c r="AK13" s="17" t="n">
        <f aca="false">IF(AND($S13=1,$G13&lt;AK$4+1,$H13&gt;AK$4),(MIN($H13,AK$4+1)-MAX($G13,AK$4))*24,0)</f>
        <v>0</v>
      </c>
      <c r="AL13" s="17" t="n">
        <f aca="false">IF(AND($S13=1,$G13&lt;AL$4+1,$H13&gt;AL$4),(MIN($H13,AL$4+1)-MAX($G13,AL$4))*24,0)</f>
        <v>0</v>
      </c>
      <c r="AM13" s="17" t="n">
        <f aca="false">IF(AND($S13=1,$G13&lt;AM$4+1,$H13&gt;AM$4),(MIN($H13,AM$4+1)-MAX($G13,AM$4))*24,0)</f>
        <v>0</v>
      </c>
      <c r="AN13" s="17" t="n">
        <f aca="false">IF(AND($S13=1,$G13&lt;AN$4+1,$H13&gt;AN$4),(MIN($H13,AN$4+1)-MAX($G13,AN$4))*24,0)</f>
        <v>0</v>
      </c>
      <c r="AO13" s="17" t="n">
        <f aca="false">IF(AND($S13=1,$G13&lt;AO$4+1,$H13&gt;AO$4),(MIN($H13,AO$4+1)-MAX($G13,AO$4))*24,0)</f>
        <v>0</v>
      </c>
      <c r="AP13" s="17" t="n">
        <f aca="false">IF(AND($S13=1,$G13&lt;AP$4+1,$H13&gt;AP$4),(MIN($H13,AP$4+1)-MAX($G13,AP$4))*24,0)</f>
        <v>0</v>
      </c>
      <c r="AQ13" s="17" t="n">
        <f aca="false">IF(AND($S13=1,$G13&lt;AQ$4+1,$H13&gt;AQ$4),(MIN($H13,AQ$4+1)-MAX($G13,AQ$4))*24,0)</f>
        <v>0</v>
      </c>
      <c r="AR13" s="17" t="n">
        <f aca="false">IF(AND($S13=1,$G13&lt;AR$4+1,$H13&gt;AR$4),(MIN($H13,AR$4+1)-MAX($G13,AR$4))*24,0)</f>
        <v>0</v>
      </c>
      <c r="AS13" s="17" t="n">
        <f aca="false">IF(AND($S13=1,$G13&lt;AS$4+1,$H13&gt;AS$4),(MIN($H13,AS$4+1)-MAX($G13,AS$4))*24,0)</f>
        <v>0</v>
      </c>
      <c r="AT13" s="17" t="n">
        <f aca="false">IF(AND($S13=1,$G13&lt;AT$4+1,$H13&gt;AT$4),(MIN($H13,AT$4+1)-MAX($G13,AT$4))*24,0)</f>
        <v>0</v>
      </c>
      <c r="AU13" s="17" t="n">
        <f aca="false">IF(AND($S13=1,$G13&lt;AU$4+1,$H13&gt;AU$4),(MIN($H13,AU$4+1)-MAX($G13,AU$4))*24,0)</f>
        <v>0</v>
      </c>
      <c r="AV13" s="17" t="n">
        <f aca="false">IF(AND($S13=1,$G13&lt;AV$4+1,$H13&gt;AV$4),(MIN($H13,AV$4+1)-MAX($G13,AV$4))*24,0)</f>
        <v>0</v>
      </c>
      <c r="AW13" s="17" t="n">
        <f aca="false">IF(AND($S13=1,$G13&lt;AW$4+1,$H13&gt;AW$4),(MIN($H13,AW$4+1)-MAX($G13,AW$4))*24,0)</f>
        <v>0</v>
      </c>
      <c r="AX13" s="17" t="n">
        <f aca="false">IF(AND($S13=1,$G13&lt;AX$4+1,$H13&gt;AX$4),(MIN($H13,AX$4+1)-MAX($G13,AX$4))*24,0)</f>
        <v>0</v>
      </c>
      <c r="AY13" s="17" t="n">
        <f aca="false">IF(AND($S13=1,$G13&lt;AY$4+1,$H13&gt;AY$4),(MIN($H13,AY$4+1)-MAX($G13,AY$4))*24,0)</f>
        <v>0</v>
      </c>
    </row>
    <row r="14" customFormat="false" ht="15" hidden="false" customHeight="false" outlineLevel="0" collapsed="false">
      <c r="A14" s="5" t="s">
        <v>65</v>
      </c>
      <c r="B14" s="15" t="n">
        <v>46234</v>
      </c>
      <c r="C14" s="5" t="s">
        <v>39</v>
      </c>
      <c r="D14" s="5" t="n">
        <v>0</v>
      </c>
      <c r="E14" s="16" t="n">
        <v>46234.625</v>
      </c>
      <c r="F14" s="16" t="n">
        <v>46234.6506944444</v>
      </c>
      <c r="G14" s="16" t="n">
        <v>46234.625</v>
      </c>
      <c r="H14" s="16" t="n">
        <v>46234.6715277778</v>
      </c>
      <c r="I14" s="9" t="n">
        <f aca="false">(H14-G14)*24</f>
        <v>1.11666666666667</v>
      </c>
      <c r="J14" s="5" t="s">
        <v>54</v>
      </c>
      <c r="K14" s="5" t="s">
        <v>66</v>
      </c>
      <c r="L14" s="5" t="s">
        <v>67</v>
      </c>
      <c r="M14" s="5" t="s">
        <v>57</v>
      </c>
      <c r="N14" s="5" t="n">
        <v>1</v>
      </c>
      <c r="O14" s="5" t="n">
        <v>4</v>
      </c>
      <c r="P14" s="10" t="n">
        <v>45</v>
      </c>
      <c r="Q14" s="9" t="n">
        <f aca="false">ROUNDUP(I14*4,0)/4</f>
        <v>1.25</v>
      </c>
      <c r="R14" s="10" t="n">
        <f aca="false">Q14*P14</f>
        <v>56.25</v>
      </c>
      <c r="S14" s="5" t="n">
        <f aca="false">IF(COUNTIF($A$5:A14,A14)=1,1,0)</f>
        <v>1</v>
      </c>
      <c r="T14" s="5" t="n">
        <v>19</v>
      </c>
      <c r="U14" s="17" t="n">
        <f aca="false">IF(AND($S14=1,$G14&lt;U$4+1,$H14&gt;U$4),(MIN($H14,U$4+1)-MAX($G14,U$4))*24,0)</f>
        <v>0</v>
      </c>
      <c r="V14" s="17" t="n">
        <f aca="false">IF(AND($S14=1,$G14&lt;V$4+1,$H14&gt;V$4),(MIN($H14,V$4+1)-MAX($G14,V$4))*24,0)</f>
        <v>0</v>
      </c>
      <c r="W14" s="17" t="n">
        <f aca="false">IF(AND($S14=1,$G14&lt;W$4+1,$H14&gt;W$4),(MIN($H14,W$4+1)-MAX($G14,W$4))*24,0)</f>
        <v>0</v>
      </c>
      <c r="X14" s="17" t="n">
        <f aca="false">IF(AND($S14=1,$G14&lt;X$4+1,$H14&gt;X$4),(MIN($H14,X$4+1)-MAX($G14,X$4))*24,0)</f>
        <v>0</v>
      </c>
      <c r="Y14" s="17" t="n">
        <f aca="false">IF(AND($S14=1,$G14&lt;Y$4+1,$H14&gt;Y$4),(MIN($H14,Y$4+1)-MAX($G14,Y$4))*24,0)</f>
        <v>0</v>
      </c>
      <c r="Z14" s="17" t="n">
        <f aca="false">IF(AND($S14=1,$G14&lt;Z$4+1,$H14&gt;Z$4),(MIN($H14,Z$4+1)-MAX($G14,Z$4))*24,0)</f>
        <v>0</v>
      </c>
      <c r="AA14" s="17" t="n">
        <f aca="false">IF(AND($S14=1,$G14&lt;AA$4+1,$H14&gt;AA$4),(MIN($H14,AA$4+1)-MAX($G14,AA$4))*24,0)</f>
        <v>0</v>
      </c>
      <c r="AB14" s="17" t="n">
        <f aca="false">IF(AND($S14=1,$G14&lt;AB$4+1,$H14&gt;AB$4),(MIN($H14,AB$4+1)-MAX($G14,AB$4))*24,0)</f>
        <v>0</v>
      </c>
      <c r="AC14" s="17" t="n">
        <f aca="false">IF(AND($S14=1,$G14&lt;AC$4+1,$H14&gt;AC$4),(MIN($H14,AC$4+1)-MAX($G14,AC$4))*24,0)</f>
        <v>0</v>
      </c>
      <c r="AD14" s="17" t="n">
        <f aca="false">IF(AND($S14=1,$G14&lt;AD$4+1,$H14&gt;AD$4),(MIN($H14,AD$4+1)-MAX($G14,AD$4))*24,0)</f>
        <v>0</v>
      </c>
      <c r="AE14" s="17" t="n">
        <f aca="false">IF(AND($S14=1,$G14&lt;AE$4+1,$H14&gt;AE$4),(MIN($H14,AE$4+1)-MAX($G14,AE$4))*24,0)</f>
        <v>0</v>
      </c>
      <c r="AF14" s="17" t="n">
        <f aca="false">IF(AND($S14=1,$G14&lt;AF$4+1,$H14&gt;AF$4),(MIN($H14,AF$4+1)-MAX($G14,AF$4))*24,0)</f>
        <v>0</v>
      </c>
      <c r="AG14" s="17" t="n">
        <f aca="false">IF(AND($S14=1,$G14&lt;AG$4+1,$H14&gt;AG$4),(MIN($H14,AG$4+1)-MAX($G14,AG$4))*24,0)</f>
        <v>0</v>
      </c>
      <c r="AH14" s="17" t="n">
        <f aca="false">IF(AND($S14=1,$G14&lt;AH$4+1,$H14&gt;AH$4),(MIN($H14,AH$4+1)-MAX($G14,AH$4))*24,0)</f>
        <v>0</v>
      </c>
      <c r="AI14" s="17" t="n">
        <f aca="false">IF(AND($S14=1,$G14&lt;AI$4+1,$H14&gt;AI$4),(MIN($H14,AI$4+1)-MAX($G14,AI$4))*24,0)</f>
        <v>0</v>
      </c>
      <c r="AJ14" s="17" t="n">
        <f aca="false">IF(AND($S14=1,$G14&lt;AJ$4+1,$H14&gt;AJ$4),(MIN($H14,AJ$4+1)-MAX($G14,AJ$4))*24,0)</f>
        <v>0</v>
      </c>
      <c r="AK14" s="17" t="n">
        <f aca="false">IF(AND($S14=1,$G14&lt;AK$4+1,$H14&gt;AK$4),(MIN($H14,AK$4+1)-MAX($G14,AK$4))*24,0)</f>
        <v>0</v>
      </c>
      <c r="AL14" s="17" t="n">
        <f aca="false">IF(AND($S14=1,$G14&lt;AL$4+1,$H14&gt;AL$4),(MIN($H14,AL$4+1)-MAX($G14,AL$4))*24,0)</f>
        <v>0</v>
      </c>
      <c r="AM14" s="17" t="n">
        <f aca="false">IF(AND($S14=1,$G14&lt;AM$4+1,$H14&gt;AM$4),(MIN($H14,AM$4+1)-MAX($G14,AM$4))*24,0)</f>
        <v>0</v>
      </c>
      <c r="AN14" s="17" t="n">
        <f aca="false">IF(AND($S14=1,$G14&lt;AN$4+1,$H14&gt;AN$4),(MIN($H14,AN$4+1)-MAX($G14,AN$4))*24,0)</f>
        <v>0</v>
      </c>
      <c r="AO14" s="17" t="n">
        <f aca="false">IF(AND($S14=1,$G14&lt;AO$4+1,$H14&gt;AO$4),(MIN($H14,AO$4+1)-MAX($G14,AO$4))*24,0)</f>
        <v>0</v>
      </c>
      <c r="AP14" s="17" t="n">
        <f aca="false">IF(AND($S14=1,$G14&lt;AP$4+1,$H14&gt;AP$4),(MIN($H14,AP$4+1)-MAX($G14,AP$4))*24,0)</f>
        <v>0</v>
      </c>
      <c r="AQ14" s="17" t="n">
        <f aca="false">IF(AND($S14=1,$G14&lt;AQ$4+1,$H14&gt;AQ$4),(MIN($H14,AQ$4+1)-MAX($G14,AQ$4))*24,0)</f>
        <v>0</v>
      </c>
      <c r="AR14" s="17" t="n">
        <f aca="false">IF(AND($S14=1,$G14&lt;AR$4+1,$H14&gt;AR$4),(MIN($H14,AR$4+1)-MAX($G14,AR$4))*24,0)</f>
        <v>0</v>
      </c>
      <c r="AS14" s="17" t="n">
        <f aca="false">IF(AND($S14=1,$G14&lt;AS$4+1,$H14&gt;AS$4),(MIN($H14,AS$4+1)-MAX($G14,AS$4))*24,0)</f>
        <v>0</v>
      </c>
      <c r="AT14" s="17" t="n">
        <f aca="false">IF(AND($S14=1,$G14&lt;AT$4+1,$H14&gt;AT$4),(MIN($H14,AT$4+1)-MAX($G14,AT$4))*24,0)</f>
        <v>0</v>
      </c>
      <c r="AU14" s="17" t="n">
        <f aca="false">IF(AND($S14=1,$G14&lt;AU$4+1,$H14&gt;AU$4),(MIN($H14,AU$4+1)-MAX($G14,AU$4))*24,0)</f>
        <v>0</v>
      </c>
      <c r="AV14" s="17" t="n">
        <f aca="false">IF(AND($S14=1,$G14&lt;AV$4+1,$H14&gt;AV$4),(MIN($H14,AV$4+1)-MAX($G14,AV$4))*24,0)</f>
        <v>0</v>
      </c>
      <c r="AW14" s="17" t="n">
        <f aca="false">IF(AND($S14=1,$G14&lt;AW$4+1,$H14&gt;AW$4),(MIN($H14,AW$4+1)-MAX($G14,AW$4))*24,0)</f>
        <v>0</v>
      </c>
      <c r="AX14" s="17" t="n">
        <f aca="false">IF(AND($S14=1,$G14&lt;AX$4+1,$H14&gt;AX$4),(MIN($H14,AX$4+1)-MAX($G14,AX$4))*24,0)</f>
        <v>0</v>
      </c>
      <c r="AY14" s="17" t="n">
        <f aca="false">IF(AND($S14=1,$G14&lt;AY$4+1,$H14&gt;AY$4),(MIN($H14,AY$4+1)-MAX($G14,AY$4))*24,0)</f>
        <v>1.11666666666667</v>
      </c>
    </row>
  </sheetData>
  <autoFilter ref="A4:T14"/>
  <mergeCells count="2">
    <mergeCell ref="A1:T1"/>
    <mergeCell ref="A2:T2"/>
  </mergeCells>
  <conditionalFormatting sqref="R5:R14">
    <cfRule type="cellIs" priority="2" operator="greater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3" t="s">
        <v>18</v>
      </c>
      <c r="B4" s="13" t="s">
        <v>70</v>
      </c>
      <c r="C4" s="13" t="s">
        <v>20</v>
      </c>
      <c r="D4" s="13" t="s">
        <v>19</v>
      </c>
      <c r="E4" s="13" t="s">
        <v>32</v>
      </c>
      <c r="F4" s="13" t="s">
        <v>21</v>
      </c>
      <c r="G4" s="13" t="s">
        <v>30</v>
      </c>
      <c r="H4" s="13" t="s">
        <v>71</v>
      </c>
    </row>
    <row r="5" customFormat="false" ht="15" hidden="false" customHeight="false" outlineLevel="0" collapsed="false">
      <c r="A5" s="18" t="s">
        <v>72</v>
      </c>
      <c r="B5" s="18" t="s">
        <v>73</v>
      </c>
      <c r="C5" s="18" t="s">
        <v>53</v>
      </c>
      <c r="D5" s="19" t="n">
        <v>46209</v>
      </c>
      <c r="E5" s="18" t="n">
        <v>8</v>
      </c>
      <c r="F5" s="18" t="n">
        <v>0</v>
      </c>
      <c r="G5" s="18" t="s">
        <v>74</v>
      </c>
      <c r="H5" s="18" t="n">
        <v>1</v>
      </c>
    </row>
    <row r="6" customFormat="false" ht="15" hidden="false" customHeight="false" outlineLevel="0" collapsed="false">
      <c r="A6" s="18" t="s">
        <v>75</v>
      </c>
      <c r="B6" s="18" t="s">
        <v>73</v>
      </c>
      <c r="C6" s="18" t="s">
        <v>39</v>
      </c>
      <c r="D6" s="19" t="n">
        <v>46209</v>
      </c>
      <c r="E6" s="18" t="n">
        <v>2</v>
      </c>
      <c r="F6" s="18" t="n">
        <v>0</v>
      </c>
      <c r="G6" s="18" t="s">
        <v>57</v>
      </c>
      <c r="H6" s="18" t="n">
        <v>1</v>
      </c>
    </row>
    <row r="7" customFormat="false" ht="15" hidden="false" customHeight="false" outlineLevel="0" collapsed="false">
      <c r="A7" s="18" t="s">
        <v>76</v>
      </c>
      <c r="B7" s="18" t="s">
        <v>73</v>
      </c>
      <c r="C7" s="18" t="s">
        <v>39</v>
      </c>
      <c r="D7" s="19" t="n">
        <v>46210</v>
      </c>
      <c r="E7" s="18" t="n">
        <v>7</v>
      </c>
      <c r="F7" s="18" t="n">
        <v>0</v>
      </c>
      <c r="G7" s="18" t="s">
        <v>62</v>
      </c>
      <c r="H7" s="18" t="n">
        <v>1</v>
      </c>
    </row>
    <row r="8" customFormat="false" ht="15" hidden="false" customHeight="false" outlineLevel="0" collapsed="false">
      <c r="A8" s="18" t="s">
        <v>77</v>
      </c>
      <c r="B8" s="18" t="s">
        <v>78</v>
      </c>
      <c r="C8" s="18" t="s">
        <v>39</v>
      </c>
      <c r="D8" s="19" t="n">
        <v>46211</v>
      </c>
      <c r="E8" s="18" t="n">
        <v>5</v>
      </c>
      <c r="F8" s="18" t="n">
        <v>0</v>
      </c>
      <c r="G8" s="18" t="s">
        <v>62</v>
      </c>
      <c r="H8" s="18" t="n">
        <v>1</v>
      </c>
    </row>
  </sheetData>
  <autoFilter ref="A4:H8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1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3" t="s">
        <v>81</v>
      </c>
      <c r="B4" s="13" t="s">
        <v>82</v>
      </c>
      <c r="C4" s="13" t="s">
        <v>83</v>
      </c>
      <c r="D4" s="13" t="s">
        <v>84</v>
      </c>
      <c r="E4" s="13" t="s">
        <v>85</v>
      </c>
      <c r="F4" s="13" t="s">
        <v>86</v>
      </c>
      <c r="G4" s="13" t="s">
        <v>87</v>
      </c>
    </row>
    <row r="5" customFormat="false" ht="15" hidden="false" customHeight="false" outlineLevel="0" collapsed="false">
      <c r="A5" s="20" t="n">
        <v>46204</v>
      </c>
      <c r="B5" s="5" t="n">
        <f aca="false">SUMIFS(Schedule!$S$5:$S$14,Schedule!$B$5:$B$14,A5)</f>
        <v>0</v>
      </c>
      <c r="C5" s="9" t="n">
        <v>0</v>
      </c>
      <c r="D5" s="9" t="n">
        <v>0</v>
      </c>
      <c r="E5" s="9" t="n">
        <f aca="false">MAX(0,C5-D5)</f>
        <v>0</v>
      </c>
      <c r="F5" s="9" t="n">
        <f aca="false">SUM(Schedule!$U$5:$U$14)</f>
        <v>0</v>
      </c>
      <c r="G5" s="21" t="n">
        <f aca="false">IF(E5=0,0,F5/E5)</f>
        <v>0</v>
      </c>
    </row>
    <row r="6" customFormat="false" ht="15" hidden="false" customHeight="false" outlineLevel="0" collapsed="false">
      <c r="A6" s="20" t="n">
        <v>46205</v>
      </c>
      <c r="B6" s="5" t="n">
        <f aca="false">SUMIFS(Schedule!$S$5:$S$14,Schedule!$B$5:$B$14,A6)</f>
        <v>0</v>
      </c>
      <c r="C6" s="9" t="n">
        <v>0</v>
      </c>
      <c r="D6" s="9" t="n">
        <v>0</v>
      </c>
      <c r="E6" s="9" t="n">
        <f aca="false">MAX(0,C6-D6)</f>
        <v>0</v>
      </c>
      <c r="F6" s="9" t="n">
        <f aca="false">SUM(Schedule!$V$5:$V$14)</f>
        <v>0</v>
      </c>
      <c r="G6" s="21" t="n">
        <f aca="false">IF(E6=0,0,F6/E6)</f>
        <v>0</v>
      </c>
    </row>
    <row r="7" customFormat="false" ht="15" hidden="false" customHeight="false" outlineLevel="0" collapsed="false">
      <c r="A7" s="20" t="n">
        <v>46206</v>
      </c>
      <c r="B7" s="5" t="n">
        <f aca="false">SUMIFS(Schedule!$S$5:$S$14,Schedule!$B$5:$B$14,A7)</f>
        <v>0</v>
      </c>
      <c r="C7" s="9" t="n">
        <v>0</v>
      </c>
      <c r="D7" s="9" t="n">
        <v>0</v>
      </c>
      <c r="E7" s="9" t="n">
        <f aca="false">MAX(0,C7-D7)</f>
        <v>0</v>
      </c>
      <c r="F7" s="9" t="n">
        <f aca="false">SUM(Schedule!$W$5:$W$14)</f>
        <v>0</v>
      </c>
      <c r="G7" s="21" t="n">
        <f aca="false">IF(E7=0,0,F7/E7)</f>
        <v>0</v>
      </c>
    </row>
    <row r="8" customFormat="false" ht="15" hidden="false" customHeight="false" outlineLevel="0" collapsed="false">
      <c r="A8" s="20" t="n">
        <v>46207</v>
      </c>
      <c r="B8" s="5" t="n">
        <f aca="false">SUMIFS(Schedule!$S$5:$S$14,Schedule!$B$5:$B$14,A8)</f>
        <v>0</v>
      </c>
      <c r="C8" s="9" t="n">
        <v>0</v>
      </c>
      <c r="D8" s="9" t="n">
        <v>0</v>
      </c>
      <c r="E8" s="9" t="n">
        <f aca="false">MAX(0,C8-D8)</f>
        <v>0</v>
      </c>
      <c r="F8" s="9" t="n">
        <f aca="false">SUM(Schedule!$X$5:$X$14)</f>
        <v>0</v>
      </c>
      <c r="G8" s="21" t="n">
        <f aca="false">IF(E8=0,0,F8/E8)</f>
        <v>0</v>
      </c>
    </row>
    <row r="9" customFormat="false" ht="15" hidden="false" customHeight="false" outlineLevel="0" collapsed="false">
      <c r="A9" s="20" t="n">
        <v>46208</v>
      </c>
      <c r="B9" s="5" t="n">
        <f aca="false">SUMIFS(Schedule!$S$5:$S$14,Schedule!$B$5:$B$14,A9)</f>
        <v>0</v>
      </c>
      <c r="C9" s="9" t="n">
        <v>0</v>
      </c>
      <c r="D9" s="9" t="n">
        <v>0</v>
      </c>
      <c r="E9" s="9" t="n">
        <f aca="false">MAX(0,C9-D9)</f>
        <v>0</v>
      </c>
      <c r="F9" s="9" t="n">
        <f aca="false">SUM(Schedule!$Y$5:$Y$14)</f>
        <v>0</v>
      </c>
      <c r="G9" s="21" t="n">
        <f aca="false">IF(E9=0,0,F9/E9)</f>
        <v>0</v>
      </c>
    </row>
    <row r="10" customFormat="false" ht="15" hidden="false" customHeight="false" outlineLevel="0" collapsed="false">
      <c r="A10" s="20" t="n">
        <v>46209</v>
      </c>
      <c r="B10" s="5" t="n">
        <f aca="false">SUMIFS(Schedule!$S$5:$S$14,Schedule!$B$5:$B$14,A10)</f>
        <v>3</v>
      </c>
      <c r="C10" s="9" t="n">
        <v>40</v>
      </c>
      <c r="D10" s="9" t="n">
        <v>0.5</v>
      </c>
      <c r="E10" s="9" t="n">
        <f aca="false">MAX(0,C10-D10)</f>
        <v>39.5</v>
      </c>
      <c r="F10" s="9" t="n">
        <f aca="false">SUM(Schedule!$Z$5:$Z$14)</f>
        <v>5.61666666666667</v>
      </c>
      <c r="G10" s="21" t="n">
        <f aca="false">IF(E10=0,0,F10/E10)</f>
        <v>0.142194092827004</v>
      </c>
    </row>
    <row r="11" customFormat="false" ht="15" hidden="false" customHeight="false" outlineLevel="0" collapsed="false">
      <c r="A11" s="20" t="n">
        <v>46210</v>
      </c>
      <c r="B11" s="5" t="n">
        <f aca="false">SUMIFS(Schedule!$S$5:$S$14,Schedule!$B$5:$B$14,A11)</f>
        <v>2</v>
      </c>
      <c r="C11" s="9" t="n">
        <v>40</v>
      </c>
      <c r="D11" s="9" t="n">
        <v>0</v>
      </c>
      <c r="E11" s="9" t="n">
        <f aca="false">MAX(0,C11-D11)</f>
        <v>40</v>
      </c>
      <c r="F11" s="9" t="n">
        <f aca="false">SUM(Schedule!$AA$5:$AA$14)</f>
        <v>3.24999999906833</v>
      </c>
      <c r="G11" s="21" t="n">
        <f aca="false">IF(E11=0,0,F11/E11)</f>
        <v>0.0812499999767083</v>
      </c>
    </row>
    <row r="12" customFormat="false" ht="15" hidden="false" customHeight="false" outlineLevel="0" collapsed="false">
      <c r="A12" s="20" t="n">
        <v>46211</v>
      </c>
      <c r="B12" s="5" t="n">
        <f aca="false">SUMIFS(Schedule!$S$5:$S$14,Schedule!$B$5:$B$14,A12)</f>
        <v>1</v>
      </c>
      <c r="C12" s="9" t="n">
        <v>30</v>
      </c>
      <c r="D12" s="9" t="n">
        <v>0</v>
      </c>
      <c r="E12" s="9" t="n">
        <f aca="false">MAX(0,C12-D12)</f>
        <v>30</v>
      </c>
      <c r="F12" s="9" t="n">
        <f aca="false">SUM(Schedule!$AB$5:$AB$14)</f>
        <v>2</v>
      </c>
      <c r="G12" s="21" t="n">
        <f aca="false">IF(E12=0,0,F12/E12)</f>
        <v>0.0666666666666667</v>
      </c>
    </row>
    <row r="13" customFormat="false" ht="15" hidden="false" customHeight="false" outlineLevel="0" collapsed="false">
      <c r="A13" s="20" t="n">
        <v>46212</v>
      </c>
      <c r="B13" s="5" t="n">
        <f aca="false">SUMIFS(Schedule!$S$5:$S$14,Schedule!$B$5:$B$14,A13)</f>
        <v>0</v>
      </c>
      <c r="C13" s="9" t="n">
        <v>0</v>
      </c>
      <c r="D13" s="9" t="n">
        <v>0</v>
      </c>
      <c r="E13" s="9" t="n">
        <f aca="false">MAX(0,C13-D13)</f>
        <v>0</v>
      </c>
      <c r="F13" s="9" t="n">
        <f aca="false">SUM(Schedule!$AC$5:$AC$14)</f>
        <v>0</v>
      </c>
      <c r="G13" s="21" t="n">
        <f aca="false">IF(E13=0,0,F13/E13)</f>
        <v>0</v>
      </c>
    </row>
    <row r="14" customFormat="false" ht="15" hidden="false" customHeight="false" outlineLevel="0" collapsed="false">
      <c r="A14" s="20" t="n">
        <v>46213</v>
      </c>
      <c r="B14" s="5" t="n">
        <f aca="false">SUMIFS(Schedule!$S$5:$S$14,Schedule!$B$5:$B$14,A14)</f>
        <v>0</v>
      </c>
      <c r="C14" s="9" t="n">
        <v>0</v>
      </c>
      <c r="D14" s="9" t="n">
        <v>0</v>
      </c>
      <c r="E14" s="9" t="n">
        <f aca="false">MAX(0,C14-D14)</f>
        <v>0</v>
      </c>
      <c r="F14" s="9" t="n">
        <f aca="false">SUM(Schedule!$AD$5:$AD$14)</f>
        <v>0</v>
      </c>
      <c r="G14" s="21" t="n">
        <f aca="false">IF(E14=0,0,F14/E14)</f>
        <v>0</v>
      </c>
    </row>
    <row r="15" customFormat="false" ht="15" hidden="false" customHeight="false" outlineLevel="0" collapsed="false">
      <c r="A15" s="20" t="n">
        <v>46214</v>
      </c>
      <c r="B15" s="5" t="n">
        <f aca="false">SUMIFS(Schedule!$S$5:$S$14,Schedule!$B$5:$B$14,A15)</f>
        <v>0</v>
      </c>
      <c r="C15" s="9" t="n">
        <v>0</v>
      </c>
      <c r="D15" s="9" t="n">
        <v>0</v>
      </c>
      <c r="E15" s="9" t="n">
        <f aca="false">MAX(0,C15-D15)</f>
        <v>0</v>
      </c>
      <c r="F15" s="9" t="n">
        <f aca="false">SUM(Schedule!$AE$5:$AE$14)</f>
        <v>0</v>
      </c>
      <c r="G15" s="21" t="n">
        <f aca="false">IF(E15=0,0,F15/E15)</f>
        <v>0</v>
      </c>
    </row>
    <row r="16" customFormat="false" ht="15" hidden="false" customHeight="false" outlineLevel="0" collapsed="false">
      <c r="A16" s="20" t="n">
        <v>46215</v>
      </c>
      <c r="B16" s="5" t="n">
        <f aca="false">SUMIFS(Schedule!$S$5:$S$14,Schedule!$B$5:$B$14,A16)</f>
        <v>0</v>
      </c>
      <c r="C16" s="9" t="n">
        <v>0</v>
      </c>
      <c r="D16" s="9" t="n">
        <v>0</v>
      </c>
      <c r="E16" s="9" t="n">
        <f aca="false">MAX(0,C16-D16)</f>
        <v>0</v>
      </c>
      <c r="F16" s="9" t="n">
        <f aca="false">SUM(Schedule!$AF$5:$AF$14)</f>
        <v>0</v>
      </c>
      <c r="G16" s="21" t="n">
        <f aca="false">IF(E16=0,0,F16/E16)</f>
        <v>0</v>
      </c>
    </row>
    <row r="17" customFormat="false" ht="15" hidden="false" customHeight="false" outlineLevel="0" collapsed="false">
      <c r="A17" s="20" t="n">
        <v>46216</v>
      </c>
      <c r="B17" s="5" t="n">
        <f aca="false">SUMIFS(Schedule!$S$5:$S$14,Schedule!$B$5:$B$14,A17)</f>
        <v>0</v>
      </c>
      <c r="C17" s="9" t="n">
        <v>0</v>
      </c>
      <c r="D17" s="9" t="n">
        <v>0</v>
      </c>
      <c r="E17" s="9" t="n">
        <f aca="false">MAX(0,C17-D17)</f>
        <v>0</v>
      </c>
      <c r="F17" s="9" t="n">
        <f aca="false">SUM(Schedule!$AG$5:$AG$14)</f>
        <v>0</v>
      </c>
      <c r="G17" s="21" t="n">
        <f aca="false">IF(E17=0,0,F17/E17)</f>
        <v>0</v>
      </c>
    </row>
    <row r="18" customFormat="false" ht="15" hidden="false" customHeight="false" outlineLevel="0" collapsed="false">
      <c r="A18" s="20" t="n">
        <v>46217</v>
      </c>
      <c r="B18" s="5" t="n">
        <f aca="false">SUMIFS(Schedule!$S$5:$S$14,Schedule!$B$5:$B$14,A18)</f>
        <v>0</v>
      </c>
      <c r="C18" s="9" t="n">
        <v>0</v>
      </c>
      <c r="D18" s="9" t="n">
        <v>0</v>
      </c>
      <c r="E18" s="9" t="n">
        <f aca="false">MAX(0,C18-D18)</f>
        <v>0</v>
      </c>
      <c r="F18" s="9" t="n">
        <f aca="false">SUM(Schedule!$AH$5:$AH$14)</f>
        <v>0</v>
      </c>
      <c r="G18" s="21" t="n">
        <f aca="false">IF(E18=0,0,F18/E18)</f>
        <v>0</v>
      </c>
    </row>
    <row r="19" customFormat="false" ht="15" hidden="false" customHeight="false" outlineLevel="0" collapsed="false">
      <c r="A19" s="20" t="n">
        <v>46218</v>
      </c>
      <c r="B19" s="5" t="n">
        <f aca="false">SUMIFS(Schedule!$S$5:$S$14,Schedule!$B$5:$B$14,A19)</f>
        <v>0</v>
      </c>
      <c r="C19" s="9" t="n">
        <v>0</v>
      </c>
      <c r="D19" s="9" t="n">
        <v>0</v>
      </c>
      <c r="E19" s="9" t="n">
        <f aca="false">MAX(0,C19-D19)</f>
        <v>0</v>
      </c>
      <c r="F19" s="9" t="n">
        <f aca="false">SUM(Schedule!$AI$5:$AI$14)</f>
        <v>0</v>
      </c>
      <c r="G19" s="21" t="n">
        <f aca="false">IF(E19=0,0,F19/E19)</f>
        <v>0</v>
      </c>
    </row>
    <row r="20" customFormat="false" ht="15" hidden="false" customHeight="false" outlineLevel="0" collapsed="false">
      <c r="A20" s="20" t="n">
        <v>46219</v>
      </c>
      <c r="B20" s="5" t="n">
        <f aca="false">SUMIFS(Schedule!$S$5:$S$14,Schedule!$B$5:$B$14,A20)</f>
        <v>0</v>
      </c>
      <c r="C20" s="9" t="n">
        <v>0</v>
      </c>
      <c r="D20" s="9" t="n">
        <v>0</v>
      </c>
      <c r="E20" s="9" t="n">
        <f aca="false">MAX(0,C20-D20)</f>
        <v>0</v>
      </c>
      <c r="F20" s="9" t="n">
        <f aca="false">SUM(Schedule!$AJ$5:$AJ$14)</f>
        <v>0</v>
      </c>
      <c r="G20" s="21" t="n">
        <f aca="false">IF(E20=0,0,F20/E20)</f>
        <v>0</v>
      </c>
    </row>
    <row r="21" customFormat="false" ht="15" hidden="false" customHeight="false" outlineLevel="0" collapsed="false">
      <c r="A21" s="20" t="n">
        <v>46220</v>
      </c>
      <c r="B21" s="5" t="n">
        <f aca="false">SUMIFS(Schedule!$S$5:$S$14,Schedule!$B$5:$B$14,A21)</f>
        <v>0</v>
      </c>
      <c r="C21" s="9" t="n">
        <v>0</v>
      </c>
      <c r="D21" s="9" t="n">
        <v>0</v>
      </c>
      <c r="E21" s="9" t="n">
        <f aca="false">MAX(0,C21-D21)</f>
        <v>0</v>
      </c>
      <c r="F21" s="9" t="n">
        <f aca="false">SUM(Schedule!$AK$5:$AK$14)</f>
        <v>0</v>
      </c>
      <c r="G21" s="21" t="n">
        <f aca="false">IF(E21=0,0,F21/E21)</f>
        <v>0</v>
      </c>
    </row>
    <row r="22" customFormat="false" ht="15" hidden="false" customHeight="false" outlineLevel="0" collapsed="false">
      <c r="A22" s="20" t="n">
        <v>46221</v>
      </c>
      <c r="B22" s="5" t="n">
        <f aca="false">SUMIFS(Schedule!$S$5:$S$14,Schedule!$B$5:$B$14,A22)</f>
        <v>0</v>
      </c>
      <c r="C22" s="9" t="n">
        <v>0</v>
      </c>
      <c r="D22" s="9" t="n">
        <v>0</v>
      </c>
      <c r="E22" s="9" t="n">
        <f aca="false">MAX(0,C22-D22)</f>
        <v>0</v>
      </c>
      <c r="F22" s="9" t="n">
        <f aca="false">SUM(Schedule!$AL$5:$AL$14)</f>
        <v>0</v>
      </c>
      <c r="G22" s="21" t="n">
        <f aca="false">IF(E22=0,0,F22/E22)</f>
        <v>0</v>
      </c>
    </row>
    <row r="23" customFormat="false" ht="15" hidden="false" customHeight="false" outlineLevel="0" collapsed="false">
      <c r="A23" s="20" t="n">
        <v>46222</v>
      </c>
      <c r="B23" s="5" t="n">
        <f aca="false">SUMIFS(Schedule!$S$5:$S$14,Schedule!$B$5:$B$14,A23)</f>
        <v>0</v>
      </c>
      <c r="C23" s="9" t="n">
        <v>0</v>
      </c>
      <c r="D23" s="9" t="n">
        <v>0</v>
      </c>
      <c r="E23" s="9" t="n">
        <f aca="false">MAX(0,C23-D23)</f>
        <v>0</v>
      </c>
      <c r="F23" s="9" t="n">
        <f aca="false">SUM(Schedule!$AM$5:$AM$14)</f>
        <v>0</v>
      </c>
      <c r="G23" s="21" t="n">
        <f aca="false">IF(E23=0,0,F23/E23)</f>
        <v>0</v>
      </c>
    </row>
    <row r="24" customFormat="false" ht="15" hidden="false" customHeight="false" outlineLevel="0" collapsed="false">
      <c r="A24" s="20" t="n">
        <v>46223</v>
      </c>
      <c r="B24" s="5" t="n">
        <f aca="false">SUMIFS(Schedule!$S$5:$S$14,Schedule!$B$5:$B$14,A24)</f>
        <v>0</v>
      </c>
      <c r="C24" s="9" t="n">
        <v>0</v>
      </c>
      <c r="D24" s="9" t="n">
        <v>0</v>
      </c>
      <c r="E24" s="9" t="n">
        <f aca="false">MAX(0,C24-D24)</f>
        <v>0</v>
      </c>
      <c r="F24" s="9" t="n">
        <f aca="false">SUM(Schedule!$AN$5:$AN$14)</f>
        <v>0</v>
      </c>
      <c r="G24" s="21" t="n">
        <f aca="false">IF(E24=0,0,F24/E24)</f>
        <v>0</v>
      </c>
    </row>
    <row r="25" customFormat="false" ht="15" hidden="false" customHeight="false" outlineLevel="0" collapsed="false">
      <c r="A25" s="20" t="n">
        <v>46224</v>
      </c>
      <c r="B25" s="5" t="n">
        <f aca="false">SUMIFS(Schedule!$S$5:$S$14,Schedule!$B$5:$B$14,A25)</f>
        <v>0</v>
      </c>
      <c r="C25" s="9" t="n">
        <v>0</v>
      </c>
      <c r="D25" s="9" t="n">
        <v>0</v>
      </c>
      <c r="E25" s="9" t="n">
        <f aca="false">MAX(0,C25-D25)</f>
        <v>0</v>
      </c>
      <c r="F25" s="9" t="n">
        <f aca="false">SUM(Schedule!$AO$5:$AO$14)</f>
        <v>0</v>
      </c>
      <c r="G25" s="21" t="n">
        <f aca="false">IF(E25=0,0,F25/E25)</f>
        <v>0</v>
      </c>
    </row>
    <row r="26" customFormat="false" ht="15" hidden="false" customHeight="false" outlineLevel="0" collapsed="false">
      <c r="A26" s="20" t="n">
        <v>46225</v>
      </c>
      <c r="B26" s="5" t="n">
        <f aca="false">SUMIFS(Schedule!$S$5:$S$14,Schedule!$B$5:$B$14,A26)</f>
        <v>0</v>
      </c>
      <c r="C26" s="9" t="n">
        <v>0</v>
      </c>
      <c r="D26" s="9" t="n">
        <v>0</v>
      </c>
      <c r="E26" s="9" t="n">
        <f aca="false">MAX(0,C26-D26)</f>
        <v>0</v>
      </c>
      <c r="F26" s="9" t="n">
        <f aca="false">SUM(Schedule!$AP$5:$AP$14)</f>
        <v>0</v>
      </c>
      <c r="G26" s="21" t="n">
        <f aca="false">IF(E26=0,0,F26/E26)</f>
        <v>0</v>
      </c>
    </row>
    <row r="27" customFormat="false" ht="15" hidden="false" customHeight="false" outlineLevel="0" collapsed="false">
      <c r="A27" s="20" t="n">
        <v>46226</v>
      </c>
      <c r="B27" s="5" t="n">
        <f aca="false">SUMIFS(Schedule!$S$5:$S$14,Schedule!$B$5:$B$14,A27)</f>
        <v>0</v>
      </c>
      <c r="C27" s="9" t="n">
        <v>0</v>
      </c>
      <c r="D27" s="9" t="n">
        <v>0</v>
      </c>
      <c r="E27" s="9" t="n">
        <f aca="false">MAX(0,C27-D27)</f>
        <v>0</v>
      </c>
      <c r="F27" s="9" t="n">
        <f aca="false">SUM(Schedule!$AQ$5:$AQ$14)</f>
        <v>0</v>
      </c>
      <c r="G27" s="21" t="n">
        <f aca="false">IF(E27=0,0,F27/E27)</f>
        <v>0</v>
      </c>
    </row>
    <row r="28" customFormat="false" ht="15" hidden="false" customHeight="false" outlineLevel="0" collapsed="false">
      <c r="A28" s="20" t="n">
        <v>46227</v>
      </c>
      <c r="B28" s="5" t="n">
        <f aca="false">SUMIFS(Schedule!$S$5:$S$14,Schedule!$B$5:$B$14,A28)</f>
        <v>0</v>
      </c>
      <c r="C28" s="9" t="n">
        <v>0</v>
      </c>
      <c r="D28" s="9" t="n">
        <v>0</v>
      </c>
      <c r="E28" s="9" t="n">
        <f aca="false">MAX(0,C28-D28)</f>
        <v>0</v>
      </c>
      <c r="F28" s="9" t="n">
        <f aca="false">SUM(Schedule!$AR$5:$AR$14)</f>
        <v>0</v>
      </c>
      <c r="G28" s="21" t="n">
        <f aca="false">IF(E28=0,0,F28/E28)</f>
        <v>0</v>
      </c>
    </row>
    <row r="29" customFormat="false" ht="15" hidden="false" customHeight="false" outlineLevel="0" collapsed="false">
      <c r="A29" s="20" t="n">
        <v>46228</v>
      </c>
      <c r="B29" s="5" t="n">
        <f aca="false">SUMIFS(Schedule!$S$5:$S$14,Schedule!$B$5:$B$14,A29)</f>
        <v>0</v>
      </c>
      <c r="C29" s="9" t="n">
        <v>0</v>
      </c>
      <c r="D29" s="9" t="n">
        <v>0</v>
      </c>
      <c r="E29" s="9" t="n">
        <f aca="false">MAX(0,C29-D29)</f>
        <v>0</v>
      </c>
      <c r="F29" s="9" t="n">
        <f aca="false">SUM(Schedule!$AS$5:$AS$14)</f>
        <v>0</v>
      </c>
      <c r="G29" s="21" t="n">
        <f aca="false">IF(E29=0,0,F29/E29)</f>
        <v>0</v>
      </c>
    </row>
    <row r="30" customFormat="false" ht="15" hidden="false" customHeight="false" outlineLevel="0" collapsed="false">
      <c r="A30" s="20" t="n">
        <v>46229</v>
      </c>
      <c r="B30" s="5" t="n">
        <f aca="false">SUMIFS(Schedule!$S$5:$S$14,Schedule!$B$5:$B$14,A30)</f>
        <v>0</v>
      </c>
      <c r="C30" s="9" t="n">
        <v>0</v>
      </c>
      <c r="D30" s="9" t="n">
        <v>0</v>
      </c>
      <c r="E30" s="9" t="n">
        <f aca="false">MAX(0,C30-D30)</f>
        <v>0</v>
      </c>
      <c r="F30" s="9" t="n">
        <f aca="false">SUM(Schedule!$AT$5:$AT$14)</f>
        <v>0</v>
      </c>
      <c r="G30" s="21" t="n">
        <f aca="false">IF(E30=0,0,F30/E30)</f>
        <v>0</v>
      </c>
    </row>
    <row r="31" customFormat="false" ht="15" hidden="false" customHeight="false" outlineLevel="0" collapsed="false">
      <c r="A31" s="20" t="n">
        <v>46230</v>
      </c>
      <c r="B31" s="5" t="n">
        <f aca="false">SUMIFS(Schedule!$S$5:$S$14,Schedule!$B$5:$B$14,A31)</f>
        <v>0</v>
      </c>
      <c r="C31" s="9" t="n">
        <v>0</v>
      </c>
      <c r="D31" s="9" t="n">
        <v>0</v>
      </c>
      <c r="E31" s="9" t="n">
        <f aca="false">MAX(0,C31-D31)</f>
        <v>0</v>
      </c>
      <c r="F31" s="9" t="n">
        <f aca="false">SUM(Schedule!$AU$5:$AU$14)</f>
        <v>0</v>
      </c>
      <c r="G31" s="21" t="n">
        <f aca="false">IF(E31=0,0,F31/E31)</f>
        <v>0</v>
      </c>
    </row>
    <row r="32" customFormat="false" ht="15" hidden="false" customHeight="false" outlineLevel="0" collapsed="false">
      <c r="A32" s="20" t="n">
        <v>46231</v>
      </c>
      <c r="B32" s="5" t="n">
        <f aca="false">SUMIFS(Schedule!$S$5:$S$14,Schedule!$B$5:$B$14,A32)</f>
        <v>0</v>
      </c>
      <c r="C32" s="9" t="n">
        <v>0</v>
      </c>
      <c r="D32" s="9" t="n">
        <v>0</v>
      </c>
      <c r="E32" s="9" t="n">
        <f aca="false">MAX(0,C32-D32)</f>
        <v>0</v>
      </c>
      <c r="F32" s="9" t="n">
        <f aca="false">SUM(Schedule!$AV$5:$AV$14)</f>
        <v>0</v>
      </c>
      <c r="G32" s="21" t="n">
        <f aca="false">IF(E32=0,0,F32/E32)</f>
        <v>0</v>
      </c>
    </row>
    <row r="33" customFormat="false" ht="15" hidden="false" customHeight="false" outlineLevel="0" collapsed="false">
      <c r="A33" s="20" t="n">
        <v>46232</v>
      </c>
      <c r="B33" s="5" t="n">
        <f aca="false">SUMIFS(Schedule!$S$5:$S$14,Schedule!$B$5:$B$14,A33)</f>
        <v>0</v>
      </c>
      <c r="C33" s="9" t="n">
        <v>0</v>
      </c>
      <c r="D33" s="9" t="n">
        <v>0</v>
      </c>
      <c r="E33" s="9" t="n">
        <f aca="false">MAX(0,C33-D33)</f>
        <v>0</v>
      </c>
      <c r="F33" s="9" t="n">
        <f aca="false">SUM(Schedule!$AW$5:$AW$14)</f>
        <v>0</v>
      </c>
      <c r="G33" s="21" t="n">
        <f aca="false">IF(E33=0,0,F33/E33)</f>
        <v>0</v>
      </c>
    </row>
    <row r="34" customFormat="false" ht="15" hidden="false" customHeight="false" outlineLevel="0" collapsed="false">
      <c r="A34" s="20" t="n">
        <v>46233</v>
      </c>
      <c r="B34" s="5" t="n">
        <f aca="false">SUMIFS(Schedule!$S$5:$S$14,Schedule!$B$5:$B$14,A34)</f>
        <v>0</v>
      </c>
      <c r="C34" s="9" t="n">
        <v>0</v>
      </c>
      <c r="D34" s="9" t="n">
        <v>0</v>
      </c>
      <c r="E34" s="9" t="n">
        <f aca="false">MAX(0,C34-D34)</f>
        <v>0</v>
      </c>
      <c r="F34" s="9" t="n">
        <f aca="false">SUM(Schedule!$AX$5:$AX$14)</f>
        <v>0</v>
      </c>
      <c r="G34" s="21" t="n">
        <f aca="false">IF(E34=0,0,F34/E34)</f>
        <v>0</v>
      </c>
    </row>
    <row r="35" customFormat="false" ht="15" hidden="false" customHeight="false" outlineLevel="0" collapsed="false">
      <c r="A35" s="20" t="n">
        <v>46234</v>
      </c>
      <c r="B35" s="5" t="n">
        <f aca="false">SUMIFS(Schedule!$S$5:$S$14,Schedule!$B$5:$B$14,A35)</f>
        <v>1</v>
      </c>
      <c r="C35" s="9" t="n">
        <v>10</v>
      </c>
      <c r="D35" s="9" t="n">
        <v>0</v>
      </c>
      <c r="E35" s="9" t="n">
        <f aca="false">MAX(0,C35-D35)</f>
        <v>10</v>
      </c>
      <c r="F35" s="9" t="n">
        <f aca="false">SUM(Schedule!$AY$5:$AY$14)</f>
        <v>1.11666666666667</v>
      </c>
      <c r="G35" s="21" t="n">
        <f aca="false">IF(E35=0,0,F35/E35)</f>
        <v>0.111666666666667</v>
      </c>
    </row>
  </sheetData>
  <autoFilter ref="A4:G35"/>
  <mergeCells count="2">
    <mergeCell ref="A1:G1"/>
    <mergeCell ref="A2:G2"/>
  </mergeCells>
  <conditionalFormatting sqref="G5:G35">
    <cfRule type="cellIs" priority="2" operator="greaterThan" aboveAverage="0" equalAverage="0" bottom="0" percent="0" rank="0" text="" dxfId="7">
      <formula>0.85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0"/>
    <col collapsed="false" customWidth="true" hidden="false" outlineLevel="0" max="4" min="3" style="0" width="24"/>
    <col collapsed="false" customWidth="true" hidden="false" outlineLevel="0" max="5" min="5" style="0" width="30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89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3" t="s">
        <v>90</v>
      </c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</row>
    <row r="5" customFormat="false" ht="15" hidden="false" customHeight="false" outlineLevel="0" collapsed="false">
      <c r="A5" s="5" t="s">
        <v>96</v>
      </c>
      <c r="B5" s="5" t="s">
        <v>38</v>
      </c>
      <c r="C5" s="5" t="s">
        <v>21</v>
      </c>
      <c r="D5" s="5" t="s">
        <v>97</v>
      </c>
      <c r="E5" s="22" t="s">
        <v>98</v>
      </c>
      <c r="F5" s="5" t="s">
        <v>99</v>
      </c>
    </row>
    <row r="6" customFormat="false" ht="15" hidden="false" customHeight="false" outlineLevel="0" collapsed="false">
      <c r="A6" s="5" t="s">
        <v>96</v>
      </c>
      <c r="B6" s="5" t="s">
        <v>38</v>
      </c>
      <c r="C6" s="5" t="s">
        <v>100</v>
      </c>
      <c r="D6" s="5" t="s">
        <v>101</v>
      </c>
      <c r="E6" s="22" t="s">
        <v>102</v>
      </c>
      <c r="F6" s="5" t="s">
        <v>103</v>
      </c>
    </row>
    <row r="7" customFormat="false" ht="15" hidden="false" customHeight="false" outlineLevel="0" collapsed="false">
      <c r="A7" s="5" t="s">
        <v>96</v>
      </c>
      <c r="B7" s="5" t="s">
        <v>38</v>
      </c>
      <c r="C7" s="5" t="s">
        <v>100</v>
      </c>
      <c r="D7" s="5" t="s">
        <v>101</v>
      </c>
      <c r="E7" s="22" t="s">
        <v>102</v>
      </c>
      <c r="F7" s="5" t="s">
        <v>103</v>
      </c>
    </row>
    <row r="8" customFormat="false" ht="15" hidden="false" customHeight="false" outlineLevel="0" collapsed="false">
      <c r="A8" s="5" t="s">
        <v>96</v>
      </c>
      <c r="B8" s="5" t="s">
        <v>38</v>
      </c>
      <c r="C8" s="5" t="s">
        <v>30</v>
      </c>
      <c r="D8" s="5" t="s">
        <v>104</v>
      </c>
      <c r="E8" s="22" t="s">
        <v>105</v>
      </c>
      <c r="F8" s="5" t="s">
        <v>106</v>
      </c>
    </row>
    <row r="9" customFormat="false" ht="15" hidden="false" customHeight="false" outlineLevel="0" collapsed="false">
      <c r="A9" s="5" t="s">
        <v>96</v>
      </c>
      <c r="B9" s="5" t="s">
        <v>38</v>
      </c>
      <c r="C9" s="5" t="s">
        <v>30</v>
      </c>
      <c r="D9" s="5" t="s">
        <v>104</v>
      </c>
      <c r="E9" s="22" t="s">
        <v>105</v>
      </c>
      <c r="F9" s="5" t="s">
        <v>106</v>
      </c>
    </row>
    <row r="10" customFormat="false" ht="15" hidden="false" customHeight="false" outlineLevel="0" collapsed="false">
      <c r="A10" s="5" t="s">
        <v>96</v>
      </c>
      <c r="B10" s="5" t="s">
        <v>38</v>
      </c>
      <c r="C10" s="5" t="s">
        <v>107</v>
      </c>
      <c r="D10" s="5" t="s">
        <v>108</v>
      </c>
      <c r="E10" s="22" t="s">
        <v>105</v>
      </c>
      <c r="F10" s="5" t="s">
        <v>109</v>
      </c>
    </row>
    <row r="11" customFormat="false" ht="15" hidden="false" customHeight="false" outlineLevel="0" collapsed="false">
      <c r="A11" s="5" t="s">
        <v>96</v>
      </c>
      <c r="B11" s="5" t="s">
        <v>38</v>
      </c>
      <c r="C11" s="5" t="s">
        <v>107</v>
      </c>
      <c r="D11" s="5" t="s">
        <v>108</v>
      </c>
      <c r="E11" s="22" t="s">
        <v>105</v>
      </c>
      <c r="F11" s="5" t="s">
        <v>109</v>
      </c>
    </row>
    <row r="12" customFormat="false" ht="15" hidden="false" customHeight="false" outlineLevel="0" collapsed="false">
      <c r="A12" s="5" t="s">
        <v>96</v>
      </c>
      <c r="B12" s="5" t="s">
        <v>38</v>
      </c>
      <c r="C12" s="5" t="s">
        <v>20</v>
      </c>
      <c r="D12" s="5" t="s">
        <v>110</v>
      </c>
      <c r="E12" s="22" t="s">
        <v>105</v>
      </c>
      <c r="F12" s="5" t="s">
        <v>111</v>
      </c>
    </row>
    <row r="13" customFormat="false" ht="15" hidden="false" customHeight="false" outlineLevel="0" collapsed="false">
      <c r="A13" s="5" t="s">
        <v>96</v>
      </c>
      <c r="B13" s="5" t="s">
        <v>38</v>
      </c>
      <c r="C13" s="5" t="s">
        <v>20</v>
      </c>
      <c r="D13" s="5" t="s">
        <v>110</v>
      </c>
      <c r="E13" s="22" t="s">
        <v>105</v>
      </c>
      <c r="F13" s="5" t="s">
        <v>111</v>
      </c>
    </row>
    <row r="14" customFormat="false" ht="15" hidden="false" customHeight="false" outlineLevel="0" collapsed="false">
      <c r="A14" s="5" t="s">
        <v>96</v>
      </c>
      <c r="B14" s="5" t="s">
        <v>38</v>
      </c>
      <c r="C14" s="5" t="s">
        <v>21</v>
      </c>
      <c r="D14" s="5" t="s">
        <v>112</v>
      </c>
      <c r="E14" s="22" t="s">
        <v>113</v>
      </c>
      <c r="F14" s="5" t="s">
        <v>114</v>
      </c>
    </row>
    <row r="15" customFormat="false" ht="15" hidden="false" customHeight="false" outlineLevel="0" collapsed="false">
      <c r="A15" s="5" t="s">
        <v>96</v>
      </c>
      <c r="B15" s="5" t="s">
        <v>72</v>
      </c>
      <c r="C15" s="5" t="s">
        <v>100</v>
      </c>
      <c r="D15" s="5" t="s">
        <v>115</v>
      </c>
      <c r="E15" s="22" t="s">
        <v>102</v>
      </c>
      <c r="F15" s="5" t="s">
        <v>116</v>
      </c>
    </row>
    <row r="16" customFormat="false" ht="15" hidden="false" customHeight="false" outlineLevel="0" collapsed="false">
      <c r="A16" s="5" t="s">
        <v>96</v>
      </c>
      <c r="B16" s="5" t="s">
        <v>72</v>
      </c>
      <c r="C16" s="5" t="s">
        <v>20</v>
      </c>
      <c r="D16" s="5" t="s">
        <v>117</v>
      </c>
      <c r="E16" s="22" t="s">
        <v>105</v>
      </c>
      <c r="F16" s="5" t="s">
        <v>118</v>
      </c>
    </row>
    <row r="17" customFormat="false" ht="15" hidden="false" customHeight="false" outlineLevel="0" collapsed="false">
      <c r="A17" s="5" t="s">
        <v>96</v>
      </c>
      <c r="B17" s="5" t="s">
        <v>46</v>
      </c>
      <c r="C17" s="5" t="s">
        <v>30</v>
      </c>
      <c r="D17" s="5" t="s">
        <v>119</v>
      </c>
      <c r="E17" s="22" t="s">
        <v>105</v>
      </c>
      <c r="F17" s="5" t="s">
        <v>106</v>
      </c>
    </row>
    <row r="18" customFormat="false" ht="15" hidden="false" customHeight="false" outlineLevel="0" collapsed="false">
      <c r="A18" s="5" t="s">
        <v>96</v>
      </c>
      <c r="B18" s="5" t="s">
        <v>46</v>
      </c>
      <c r="C18" s="5" t="s">
        <v>20</v>
      </c>
      <c r="D18" s="5" t="s">
        <v>120</v>
      </c>
      <c r="E18" s="22" t="s">
        <v>105</v>
      </c>
      <c r="F18" s="5" t="s">
        <v>111</v>
      </c>
    </row>
    <row r="19" customFormat="false" ht="15" hidden="false" customHeight="false" outlineLevel="0" collapsed="false">
      <c r="A19" s="5" t="s">
        <v>96</v>
      </c>
      <c r="B19" s="5" t="s">
        <v>75</v>
      </c>
      <c r="C19" s="5" t="s">
        <v>20</v>
      </c>
      <c r="D19" s="5" t="s">
        <v>121</v>
      </c>
      <c r="E19" s="22" t="s">
        <v>105</v>
      </c>
      <c r="F19" s="5" t="s">
        <v>111</v>
      </c>
    </row>
    <row r="20" customFormat="false" ht="15" hidden="false" customHeight="false" outlineLevel="0" collapsed="false">
      <c r="A20" s="5" t="s">
        <v>96</v>
      </c>
      <c r="B20" s="5" t="s">
        <v>52</v>
      </c>
      <c r="C20" s="5" t="s">
        <v>30</v>
      </c>
      <c r="D20" s="5" t="s">
        <v>122</v>
      </c>
      <c r="E20" s="22" t="s">
        <v>105</v>
      </c>
      <c r="F20" s="5" t="s">
        <v>123</v>
      </c>
    </row>
    <row r="21" customFormat="false" ht="15" hidden="false" customHeight="false" outlineLevel="0" collapsed="false">
      <c r="A21" s="5" t="s">
        <v>96</v>
      </c>
      <c r="B21" s="5" t="s">
        <v>52</v>
      </c>
      <c r="C21" s="5" t="s">
        <v>20</v>
      </c>
      <c r="D21" s="5" t="s">
        <v>124</v>
      </c>
      <c r="E21" s="22" t="s">
        <v>105</v>
      </c>
      <c r="F21" s="5" t="s">
        <v>118</v>
      </c>
    </row>
    <row r="22" customFormat="false" ht="15" hidden="false" customHeight="false" outlineLevel="0" collapsed="false">
      <c r="A22" s="5" t="s">
        <v>96</v>
      </c>
      <c r="B22" s="5" t="s">
        <v>58</v>
      </c>
      <c r="C22" s="5" t="s">
        <v>20</v>
      </c>
      <c r="D22" s="5" t="s">
        <v>121</v>
      </c>
      <c r="E22" s="22" t="s">
        <v>105</v>
      </c>
      <c r="F22" s="5" t="s">
        <v>111</v>
      </c>
    </row>
    <row r="23" customFormat="false" ht="15" hidden="false" customHeight="false" outlineLevel="0" collapsed="false">
      <c r="A23" s="5" t="s">
        <v>96</v>
      </c>
      <c r="B23" s="5" t="s">
        <v>76</v>
      </c>
      <c r="C23" s="5" t="s">
        <v>30</v>
      </c>
      <c r="D23" s="5" t="s">
        <v>125</v>
      </c>
      <c r="E23" s="22" t="s">
        <v>105</v>
      </c>
      <c r="F23" s="5" t="s">
        <v>126</v>
      </c>
    </row>
    <row r="24" customFormat="false" ht="15" hidden="false" customHeight="false" outlineLevel="0" collapsed="false">
      <c r="A24" s="5" t="s">
        <v>96</v>
      </c>
      <c r="B24" s="5" t="s">
        <v>76</v>
      </c>
      <c r="C24" s="5" t="s">
        <v>107</v>
      </c>
      <c r="D24" s="5" t="s">
        <v>127</v>
      </c>
      <c r="E24" s="22" t="s">
        <v>105</v>
      </c>
      <c r="F24" s="5" t="s">
        <v>128</v>
      </c>
    </row>
    <row r="25" customFormat="false" ht="15" hidden="false" customHeight="false" outlineLevel="0" collapsed="false">
      <c r="A25" s="5" t="s">
        <v>96</v>
      </c>
      <c r="B25" s="5" t="s">
        <v>63</v>
      </c>
      <c r="C25" s="5" t="s">
        <v>20</v>
      </c>
      <c r="D25" s="5" t="s">
        <v>129</v>
      </c>
      <c r="E25" s="22" t="s">
        <v>105</v>
      </c>
      <c r="F25" s="5" t="s">
        <v>118</v>
      </c>
    </row>
    <row r="26" customFormat="false" ht="15" hidden="false" customHeight="false" outlineLevel="0" collapsed="false">
      <c r="A26" s="5" t="s">
        <v>96</v>
      </c>
      <c r="B26" s="5" t="s">
        <v>64</v>
      </c>
      <c r="C26" s="5" t="s">
        <v>100</v>
      </c>
      <c r="D26" s="5" t="s">
        <v>130</v>
      </c>
      <c r="E26" s="22" t="s">
        <v>102</v>
      </c>
      <c r="F26" s="5" t="s">
        <v>103</v>
      </c>
    </row>
    <row r="27" customFormat="false" ht="15" hidden="false" customHeight="false" outlineLevel="0" collapsed="false">
      <c r="A27" s="5" t="s">
        <v>96</v>
      </c>
      <c r="B27" s="5" t="s">
        <v>64</v>
      </c>
      <c r="C27" s="5" t="s">
        <v>20</v>
      </c>
      <c r="D27" s="5" t="s">
        <v>121</v>
      </c>
      <c r="E27" s="22" t="s">
        <v>105</v>
      </c>
      <c r="F27" s="5" t="s">
        <v>111</v>
      </c>
    </row>
    <row r="28" customFormat="false" ht="15" hidden="false" customHeight="false" outlineLevel="0" collapsed="false">
      <c r="A28" s="5" t="s">
        <v>96</v>
      </c>
      <c r="B28" s="5" t="s">
        <v>77</v>
      </c>
      <c r="C28" s="5" t="s">
        <v>20</v>
      </c>
      <c r="D28" s="5" t="s">
        <v>121</v>
      </c>
      <c r="E28" s="22" t="s">
        <v>105</v>
      </c>
      <c r="F28" s="5" t="s">
        <v>111</v>
      </c>
    </row>
    <row r="29" customFormat="false" ht="15" hidden="false" customHeight="false" outlineLevel="0" collapsed="false">
      <c r="A29" s="5" t="s">
        <v>96</v>
      </c>
      <c r="B29" s="5" t="s">
        <v>131</v>
      </c>
      <c r="C29" s="5" t="s">
        <v>20</v>
      </c>
      <c r="D29" s="5" t="s">
        <v>132</v>
      </c>
      <c r="E29" s="23" t="s">
        <v>133</v>
      </c>
      <c r="F29" s="5" t="s">
        <v>134</v>
      </c>
    </row>
    <row r="30" customFormat="false" ht="15" hidden="false" customHeight="false" outlineLevel="0" collapsed="false">
      <c r="A30" s="5" t="s">
        <v>96</v>
      </c>
      <c r="B30" s="5" t="s">
        <v>131</v>
      </c>
      <c r="C30" s="5" t="s">
        <v>20</v>
      </c>
      <c r="D30" s="5" t="s">
        <v>135</v>
      </c>
      <c r="E30" s="22" t="s">
        <v>105</v>
      </c>
      <c r="F30" s="5" t="s">
        <v>136</v>
      </c>
    </row>
    <row r="31" customFormat="false" ht="15" hidden="false" customHeight="false" outlineLevel="0" collapsed="false">
      <c r="A31" s="5" t="s">
        <v>96</v>
      </c>
      <c r="B31" s="5" t="s">
        <v>137</v>
      </c>
      <c r="C31" s="5" t="s">
        <v>20</v>
      </c>
      <c r="D31" s="5" t="s">
        <v>121</v>
      </c>
      <c r="E31" s="22" t="s">
        <v>105</v>
      </c>
      <c r="F31" s="5" t="s">
        <v>111</v>
      </c>
    </row>
    <row r="32" customFormat="false" ht="15" hidden="false" customHeight="false" outlineLevel="0" collapsed="false">
      <c r="A32" s="5" t="s">
        <v>96</v>
      </c>
      <c r="B32" s="5" t="s">
        <v>137</v>
      </c>
      <c r="C32" s="5" t="s">
        <v>19</v>
      </c>
      <c r="D32" s="5" t="s">
        <v>138</v>
      </c>
      <c r="E32" s="23" t="s">
        <v>139</v>
      </c>
      <c r="F32" s="5" t="s">
        <v>140</v>
      </c>
    </row>
    <row r="33" customFormat="false" ht="15" hidden="false" customHeight="false" outlineLevel="0" collapsed="false">
      <c r="A33" s="5" t="s">
        <v>96</v>
      </c>
      <c r="B33" s="5" t="s">
        <v>65</v>
      </c>
      <c r="C33" s="5" t="s">
        <v>20</v>
      </c>
      <c r="D33" s="5" t="s">
        <v>121</v>
      </c>
      <c r="E33" s="22" t="s">
        <v>105</v>
      </c>
      <c r="F33" s="5" t="s">
        <v>111</v>
      </c>
    </row>
    <row r="34" customFormat="false" ht="15" hidden="false" customHeight="false" outlineLevel="0" collapsed="false">
      <c r="A34" s="5" t="s">
        <v>96</v>
      </c>
      <c r="B34" s="5" t="s">
        <v>141</v>
      </c>
      <c r="C34" s="5" t="s">
        <v>20</v>
      </c>
      <c r="D34" s="5" t="s">
        <v>121</v>
      </c>
      <c r="E34" s="22" t="s">
        <v>105</v>
      </c>
      <c r="F34" s="5" t="s">
        <v>111</v>
      </c>
    </row>
    <row r="35" customFormat="false" ht="15" hidden="false" customHeight="false" outlineLevel="0" collapsed="false">
      <c r="A35" s="5" t="s">
        <v>96</v>
      </c>
      <c r="B35" s="5" t="s">
        <v>141</v>
      </c>
      <c r="C35" s="5" t="s">
        <v>19</v>
      </c>
      <c r="D35" s="5" t="s">
        <v>142</v>
      </c>
      <c r="E35" s="23" t="s">
        <v>139</v>
      </c>
      <c r="F35" s="5" t="s">
        <v>140</v>
      </c>
    </row>
    <row r="36" customFormat="false" ht="15" hidden="false" customHeight="false" outlineLevel="0" collapsed="false">
      <c r="A36" s="5" t="s">
        <v>143</v>
      </c>
      <c r="B36" s="5" t="s">
        <v>59</v>
      </c>
      <c r="C36" s="5" t="s">
        <v>144</v>
      </c>
      <c r="D36" s="5" t="s">
        <v>145</v>
      </c>
      <c r="E36" s="22" t="s">
        <v>105</v>
      </c>
      <c r="F36" s="5" t="s">
        <v>146</v>
      </c>
    </row>
    <row r="37" customFormat="false" ht="15" hidden="false" customHeight="false" outlineLevel="0" collapsed="false">
      <c r="A37" s="5" t="s">
        <v>143</v>
      </c>
      <c r="B37" s="5" t="s">
        <v>59</v>
      </c>
      <c r="C37" s="5" t="s">
        <v>147</v>
      </c>
      <c r="D37" s="5" t="s">
        <v>125</v>
      </c>
      <c r="E37" s="22" t="s">
        <v>105</v>
      </c>
      <c r="F37" s="5" t="s">
        <v>148</v>
      </c>
    </row>
    <row r="38" customFormat="false" ht="15" hidden="false" customHeight="false" outlineLevel="0" collapsed="false">
      <c r="A38" s="5" t="s">
        <v>143</v>
      </c>
      <c r="B38" s="5" t="s">
        <v>47</v>
      </c>
      <c r="C38" s="5" t="s">
        <v>144</v>
      </c>
      <c r="D38" s="5" t="s">
        <v>149</v>
      </c>
      <c r="E38" s="22" t="s">
        <v>105</v>
      </c>
      <c r="F38" s="5" t="s">
        <v>146</v>
      </c>
    </row>
    <row r="39" customFormat="false" ht="15" hidden="false" customHeight="false" outlineLevel="0" collapsed="false">
      <c r="A39" s="5" t="s">
        <v>143</v>
      </c>
      <c r="B39" s="5" t="s">
        <v>47</v>
      </c>
      <c r="C39" s="5" t="s">
        <v>144</v>
      </c>
      <c r="D39" s="5" t="s">
        <v>150</v>
      </c>
      <c r="E39" s="22" t="s">
        <v>105</v>
      </c>
      <c r="F39" s="5" t="s">
        <v>151</v>
      </c>
    </row>
    <row r="40" customFormat="false" ht="15" hidden="false" customHeight="false" outlineLevel="0" collapsed="false">
      <c r="A40" s="5" t="s">
        <v>143</v>
      </c>
      <c r="B40" s="5" t="s">
        <v>47</v>
      </c>
      <c r="C40" s="5" t="s">
        <v>147</v>
      </c>
      <c r="D40" s="5" t="s">
        <v>152</v>
      </c>
      <c r="E40" s="22" t="s">
        <v>105</v>
      </c>
      <c r="F40" s="5" t="s">
        <v>153</v>
      </c>
    </row>
    <row r="41" customFormat="false" ht="15" hidden="false" customHeight="false" outlineLevel="0" collapsed="false">
      <c r="A41" s="5" t="s">
        <v>143</v>
      </c>
      <c r="B41" s="5" t="s">
        <v>47</v>
      </c>
      <c r="C41" s="5" t="s">
        <v>147</v>
      </c>
      <c r="D41" s="5" t="s">
        <v>154</v>
      </c>
      <c r="E41" s="22" t="s">
        <v>105</v>
      </c>
      <c r="F41" s="5" t="s">
        <v>153</v>
      </c>
    </row>
    <row r="42" customFormat="false" ht="15" hidden="false" customHeight="false" outlineLevel="0" collapsed="false">
      <c r="A42" s="5" t="s">
        <v>143</v>
      </c>
      <c r="B42" s="5" t="s">
        <v>40</v>
      </c>
      <c r="C42" s="5" t="s">
        <v>155</v>
      </c>
      <c r="D42" s="5" t="s">
        <v>156</v>
      </c>
      <c r="E42" s="22" t="s">
        <v>98</v>
      </c>
      <c r="F42" s="5" t="s">
        <v>157</v>
      </c>
    </row>
    <row r="43" customFormat="false" ht="15" hidden="false" customHeight="false" outlineLevel="0" collapsed="false">
      <c r="A43" s="5" t="s">
        <v>143</v>
      </c>
      <c r="B43" s="5" t="s">
        <v>40</v>
      </c>
      <c r="C43" s="5" t="s">
        <v>144</v>
      </c>
      <c r="D43" s="5" t="s">
        <v>145</v>
      </c>
      <c r="E43" s="22" t="s">
        <v>105</v>
      </c>
      <c r="F43" s="5" t="s">
        <v>146</v>
      </c>
    </row>
    <row r="44" customFormat="false" ht="15" hidden="false" customHeight="false" outlineLevel="0" collapsed="false">
      <c r="A44" s="5" t="s">
        <v>143</v>
      </c>
      <c r="B44" s="5" t="s">
        <v>40</v>
      </c>
      <c r="C44" s="5" t="s">
        <v>144</v>
      </c>
      <c r="D44" s="5" t="s">
        <v>145</v>
      </c>
      <c r="E44" s="22" t="s">
        <v>105</v>
      </c>
      <c r="F44" s="5" t="s">
        <v>146</v>
      </c>
    </row>
    <row r="45" customFormat="false" ht="15" hidden="false" customHeight="false" outlineLevel="0" collapsed="false">
      <c r="A45" s="5" t="s">
        <v>143</v>
      </c>
      <c r="B45" s="5" t="s">
        <v>40</v>
      </c>
      <c r="C45" s="5" t="s">
        <v>147</v>
      </c>
      <c r="D45" s="5" t="s">
        <v>158</v>
      </c>
      <c r="E45" s="22" t="s">
        <v>105</v>
      </c>
      <c r="F45" s="5" t="s">
        <v>153</v>
      </c>
    </row>
    <row r="46" customFormat="false" ht="15" hidden="false" customHeight="false" outlineLevel="0" collapsed="false">
      <c r="A46" s="5" t="s">
        <v>143</v>
      </c>
      <c r="B46" s="5" t="s">
        <v>40</v>
      </c>
      <c r="C46" s="5" t="s">
        <v>147</v>
      </c>
      <c r="D46" s="5" t="s">
        <v>158</v>
      </c>
      <c r="E46" s="22" t="s">
        <v>105</v>
      </c>
      <c r="F46" s="5" t="s">
        <v>153</v>
      </c>
    </row>
    <row r="47" customFormat="false" ht="15" hidden="false" customHeight="false" outlineLevel="0" collapsed="false">
      <c r="A47" s="5" t="s">
        <v>143</v>
      </c>
      <c r="B47" s="5" t="s">
        <v>40</v>
      </c>
      <c r="C47" s="5" t="s">
        <v>147</v>
      </c>
      <c r="D47" s="5" t="s">
        <v>154</v>
      </c>
      <c r="E47" s="22" t="s">
        <v>105</v>
      </c>
      <c r="F47" s="5" t="s">
        <v>153</v>
      </c>
    </row>
    <row r="48" customFormat="false" ht="15" hidden="false" customHeight="false" outlineLevel="0" collapsed="false">
      <c r="A48" s="5" t="s">
        <v>143</v>
      </c>
      <c r="B48" s="5" t="s">
        <v>54</v>
      </c>
      <c r="C48" s="5" t="s">
        <v>144</v>
      </c>
      <c r="D48" s="5" t="s">
        <v>159</v>
      </c>
      <c r="E48" s="22" t="s">
        <v>105</v>
      </c>
      <c r="F48" s="5" t="s">
        <v>146</v>
      </c>
    </row>
    <row r="49" customFormat="false" ht="15" hidden="false" customHeight="false" outlineLevel="0" collapsed="false">
      <c r="A49" s="5" t="s">
        <v>143</v>
      </c>
      <c r="B49" s="5" t="s">
        <v>54</v>
      </c>
      <c r="C49" s="5" t="s">
        <v>147</v>
      </c>
      <c r="D49" s="5" t="s">
        <v>160</v>
      </c>
      <c r="E49" s="22" t="s">
        <v>105</v>
      </c>
      <c r="F49" s="5" t="s">
        <v>161</v>
      </c>
    </row>
    <row r="50" customFormat="false" ht="15" hidden="false" customHeight="false" outlineLevel="0" collapsed="false">
      <c r="A50" s="5" t="s">
        <v>162</v>
      </c>
      <c r="B50" s="5" t="s">
        <v>44</v>
      </c>
      <c r="C50" s="5" t="s">
        <v>144</v>
      </c>
      <c r="D50" s="5" t="s">
        <v>156</v>
      </c>
      <c r="E50" s="22" t="s">
        <v>98</v>
      </c>
      <c r="F50" s="5" t="s">
        <v>163</v>
      </c>
    </row>
    <row r="51" customFormat="false" ht="15" hidden="false" customHeight="false" outlineLevel="0" collapsed="false">
      <c r="A51" s="5" t="s">
        <v>162</v>
      </c>
      <c r="B51" s="5" t="s">
        <v>44</v>
      </c>
      <c r="C51" s="5" t="s">
        <v>164</v>
      </c>
      <c r="D51" s="5" t="s">
        <v>165</v>
      </c>
      <c r="E51" s="22" t="s">
        <v>105</v>
      </c>
      <c r="F51" s="5" t="s">
        <v>166</v>
      </c>
    </row>
    <row r="52" customFormat="false" ht="15" hidden="false" customHeight="false" outlineLevel="0" collapsed="false">
      <c r="A52" s="5" t="s">
        <v>162</v>
      </c>
      <c r="B52" s="5" t="s">
        <v>44</v>
      </c>
      <c r="C52" s="5" t="s">
        <v>164</v>
      </c>
      <c r="D52" s="5" t="s">
        <v>165</v>
      </c>
      <c r="E52" s="22" t="s">
        <v>105</v>
      </c>
      <c r="F52" s="5" t="s">
        <v>166</v>
      </c>
    </row>
    <row r="53" customFormat="false" ht="15" hidden="false" customHeight="false" outlineLevel="0" collapsed="false">
      <c r="A53" s="5" t="s">
        <v>162</v>
      </c>
      <c r="B53" s="5" t="s">
        <v>167</v>
      </c>
      <c r="C53" s="5" t="s">
        <v>164</v>
      </c>
      <c r="D53" s="5"/>
      <c r="E53" s="18" t="s">
        <v>168</v>
      </c>
      <c r="F53" s="5" t="s">
        <v>169</v>
      </c>
    </row>
    <row r="54" customFormat="false" ht="15" hidden="false" customHeight="false" outlineLevel="0" collapsed="false">
      <c r="A54" s="5" t="s">
        <v>162</v>
      </c>
      <c r="B54" s="5" t="s">
        <v>167</v>
      </c>
      <c r="C54" s="5" t="s">
        <v>164</v>
      </c>
      <c r="D54" s="5"/>
      <c r="E54" s="18" t="s">
        <v>168</v>
      </c>
      <c r="F54" s="5" t="s">
        <v>169</v>
      </c>
    </row>
    <row r="55" customFormat="false" ht="15" hidden="false" customHeight="false" outlineLevel="0" collapsed="false">
      <c r="A55" s="5" t="s">
        <v>162</v>
      </c>
      <c r="B55" s="5" t="s">
        <v>167</v>
      </c>
      <c r="C55" s="5" t="s">
        <v>164</v>
      </c>
      <c r="D55" s="5"/>
      <c r="E55" s="18" t="s">
        <v>168</v>
      </c>
      <c r="F55" s="5" t="s">
        <v>169</v>
      </c>
    </row>
    <row r="56" customFormat="false" ht="15" hidden="false" customHeight="false" outlineLevel="0" collapsed="false">
      <c r="A56" s="5" t="s">
        <v>162</v>
      </c>
      <c r="B56" s="5" t="s">
        <v>60</v>
      </c>
      <c r="C56" s="5" t="s">
        <v>164</v>
      </c>
      <c r="D56" s="5" t="s">
        <v>170</v>
      </c>
      <c r="E56" s="22" t="s">
        <v>105</v>
      </c>
      <c r="F56" s="5" t="s">
        <v>171</v>
      </c>
    </row>
    <row r="57" customFormat="false" ht="15" hidden="false" customHeight="false" outlineLevel="0" collapsed="false">
      <c r="A57" s="5" t="s">
        <v>172</v>
      </c>
      <c r="B57" s="5" t="s">
        <v>43</v>
      </c>
      <c r="C57" s="5" t="s">
        <v>173</v>
      </c>
      <c r="D57" s="5" t="s">
        <v>104</v>
      </c>
      <c r="E57" s="22" t="s">
        <v>98</v>
      </c>
      <c r="F57" s="5" t="s">
        <v>174</v>
      </c>
    </row>
    <row r="58" customFormat="false" ht="15" hidden="false" customHeight="false" outlineLevel="0" collapsed="false">
      <c r="A58" s="5" t="s">
        <v>172</v>
      </c>
      <c r="B58" s="5" t="s">
        <v>175</v>
      </c>
      <c r="C58" s="5" t="s">
        <v>176</v>
      </c>
      <c r="D58" s="5" t="s">
        <v>154</v>
      </c>
      <c r="E58" s="22" t="s">
        <v>105</v>
      </c>
      <c r="F58" s="5" t="s">
        <v>153</v>
      </c>
    </row>
    <row r="59" customFormat="false" ht="15" hidden="false" customHeight="false" outlineLevel="0" collapsed="false">
      <c r="A59" s="5" t="s">
        <v>172</v>
      </c>
      <c r="B59" s="5" t="s">
        <v>175</v>
      </c>
      <c r="C59" s="5" t="s">
        <v>30</v>
      </c>
      <c r="D59" s="5" t="s">
        <v>104</v>
      </c>
      <c r="E59" s="22" t="s">
        <v>105</v>
      </c>
      <c r="F59" s="5" t="s">
        <v>106</v>
      </c>
    </row>
    <row r="60" customFormat="false" ht="15" hidden="false" customHeight="false" outlineLevel="0" collapsed="false">
      <c r="A60" s="5" t="s">
        <v>172</v>
      </c>
      <c r="B60" s="5" t="s">
        <v>177</v>
      </c>
      <c r="C60" s="5" t="s">
        <v>176</v>
      </c>
      <c r="D60" s="5" t="s">
        <v>158</v>
      </c>
      <c r="E60" s="22" t="s">
        <v>105</v>
      </c>
      <c r="F60" s="5" t="s">
        <v>153</v>
      </c>
    </row>
    <row r="61" customFormat="false" ht="15" hidden="false" customHeight="false" outlineLevel="0" collapsed="false">
      <c r="A61" s="5" t="s">
        <v>172</v>
      </c>
      <c r="B61" s="5" t="s">
        <v>177</v>
      </c>
      <c r="C61" s="5" t="s">
        <v>30</v>
      </c>
      <c r="D61" s="5" t="s">
        <v>178</v>
      </c>
      <c r="E61" s="22" t="s">
        <v>105</v>
      </c>
      <c r="F61" s="5" t="s">
        <v>179</v>
      </c>
    </row>
    <row r="62" customFormat="false" ht="15" hidden="false" customHeight="false" outlineLevel="0" collapsed="false">
      <c r="A62" s="5" t="s">
        <v>172</v>
      </c>
      <c r="B62" s="5" t="s">
        <v>180</v>
      </c>
      <c r="C62" s="5" t="s">
        <v>176</v>
      </c>
      <c r="D62" s="5" t="s">
        <v>125</v>
      </c>
      <c r="E62" s="22" t="s">
        <v>105</v>
      </c>
      <c r="F62" s="5" t="s">
        <v>148</v>
      </c>
    </row>
  </sheetData>
  <autoFilter ref="A4:F62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38"/>
  </cols>
  <sheetData>
    <row r="1" customFormat="false" ht="17.35" hidden="false" customHeight="false" outlineLevel="0" collapsed="false">
      <c r="A1" s="1" t="s">
        <v>181</v>
      </c>
      <c r="B1" s="1"/>
      <c r="C1" s="1"/>
      <c r="D1" s="1"/>
    </row>
    <row r="2" customFormat="false" ht="27.75" hidden="false" customHeight="true" outlineLevel="0" collapsed="false">
      <c r="A2" s="2" t="s">
        <v>182</v>
      </c>
      <c r="B2" s="2"/>
      <c r="C2" s="2"/>
      <c r="D2" s="2"/>
    </row>
    <row r="4" customFormat="false" ht="30" hidden="false" customHeight="true" outlineLevel="0" collapsed="false">
      <c r="A4" s="13" t="s">
        <v>183</v>
      </c>
      <c r="B4" s="13" t="s">
        <v>184</v>
      </c>
      <c r="C4" s="13" t="s">
        <v>185</v>
      </c>
      <c r="D4" s="13" t="s">
        <v>186</v>
      </c>
    </row>
    <row r="5" customFormat="false" ht="28.35" hidden="false" customHeight="false" outlineLevel="0" collapsed="false">
      <c r="A5" s="7" t="s">
        <v>187</v>
      </c>
      <c r="B5" s="6" t="s">
        <v>4</v>
      </c>
      <c r="C5" s="5" t="s">
        <v>4</v>
      </c>
      <c r="D5" s="6" t="s">
        <v>188</v>
      </c>
    </row>
    <row r="6" customFormat="false" ht="15" hidden="false" customHeight="false" outlineLevel="0" collapsed="false">
      <c r="A6" s="7" t="s">
        <v>189</v>
      </c>
      <c r="B6" s="6" t="s">
        <v>190</v>
      </c>
      <c r="C6" s="5"/>
      <c r="D6" s="6" t="s">
        <v>191</v>
      </c>
    </row>
    <row r="7" customFormat="false" ht="15" hidden="false" customHeight="false" outlineLevel="0" collapsed="false">
      <c r="A7" s="7" t="s">
        <v>192</v>
      </c>
      <c r="B7" s="6" t="s">
        <v>193</v>
      </c>
      <c r="C7" s="5"/>
      <c r="D7" s="6" t="s">
        <v>194</v>
      </c>
    </row>
    <row r="8" customFormat="false" ht="15" hidden="false" customHeight="false" outlineLevel="0" collapsed="false">
      <c r="A8" s="7" t="s">
        <v>195</v>
      </c>
      <c r="B8" s="6" t="s">
        <v>196</v>
      </c>
      <c r="C8" s="5"/>
      <c r="D8" s="6" t="s">
        <v>172</v>
      </c>
    </row>
    <row r="9" customFormat="false" ht="28.35" hidden="false" customHeight="false" outlineLevel="0" collapsed="false">
      <c r="A9" s="7" t="s">
        <v>197</v>
      </c>
      <c r="B9" s="6" t="s">
        <v>198</v>
      </c>
      <c r="C9" s="5"/>
      <c r="D9" s="6" t="s">
        <v>199</v>
      </c>
    </row>
    <row r="10" customFormat="false" ht="28.35" hidden="false" customHeight="false" outlineLevel="0" collapsed="false">
      <c r="A10" s="7" t="s">
        <v>200</v>
      </c>
      <c r="B10" s="6" t="s">
        <v>201</v>
      </c>
      <c r="C10" s="5"/>
      <c r="D10" s="6" t="s">
        <v>202</v>
      </c>
    </row>
    <row r="11" customFormat="false" ht="28.35" hidden="false" customHeight="false" outlineLevel="0" collapsed="false">
      <c r="A11" s="7" t="s">
        <v>203</v>
      </c>
      <c r="B11" s="6" t="s">
        <v>204</v>
      </c>
      <c r="C11" s="5"/>
      <c r="D11" s="6" t="s">
        <v>205</v>
      </c>
    </row>
    <row r="12" customFormat="false" ht="15" hidden="false" customHeight="false" outlineLevel="0" collapsed="false">
      <c r="A12" s="7" t="s">
        <v>206</v>
      </c>
      <c r="B12" s="6" t="s">
        <v>207</v>
      </c>
      <c r="C12" s="5" t="s">
        <v>208</v>
      </c>
      <c r="D12" s="6" t="s">
        <v>209</v>
      </c>
    </row>
    <row r="13" customFormat="false" ht="15" hidden="false" customHeight="false" outlineLevel="0" collapsed="false">
      <c r="A13" s="7" t="s">
        <v>210</v>
      </c>
      <c r="B13" s="6" t="s">
        <v>211</v>
      </c>
      <c r="C13" s="5" t="s">
        <v>212</v>
      </c>
      <c r="D13" s="6" t="s">
        <v>213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2026-08-16T15:16:25Z</dcterms:created>
  <dc:creator>openpyxl</dc:creator>
  <dc:description/>
  <dc:language>en-US</dc:language>
  <cp:lastModifiedBy/>
  <dcterms:modified xsi:type="dcterms:W3CDTF">2026-08-16T15:16:25Z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