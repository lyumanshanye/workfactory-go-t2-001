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mmittee Memo" sheetId="1" state="visible" r:id="rId3"/>
    <sheet name="Case Evidence" sheetId="2" state="visible" r:id="rId4"/>
    <sheet name="Office &amp; Delivery" sheetId="3" state="visible" r:id="rId5"/>
  </sheets>
  <definedNames>
    <definedName function="false" hidden="true" localSheetId="1" name="_xlnm._FilterDatabase" vbProcedure="false">'Case Evidence'!$A$4:$M$23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<sst xmlns="http://schemas.openxmlformats.org/spreadsheetml/2006/main" count="325" uniqueCount="158">
  <si>
    <t xml:space="preserve">Case-Linkage Memo | Furniture Order Review</t>
  </si>
  <si>
    <t xml:space="preserve">To: Halvard Bruun and Corvale State Employment Bureau Occupational Health Committee</t>
  </si>
  <si>
    <t xml:space="preserve">Prepared by: Dessa Okonjo, Administrative Services Manager | Review date: 01-Dec-2025</t>
  </si>
  <si>
    <t xml:space="preserve">Source: corvale_ohs_case_register.xlsx | Scope: six field offices, 14 ergonomic complaints and 3 accommodation requests over 11 months (Jan-Nov 2025), after source-key de-duplication.</t>
  </si>
  <si>
    <t xml:space="preserve">Committee conclusion</t>
  </si>
  <si>
    <t xml:space="preserve">The records support a bounded, furniture-related connection: 8 distinct cases are at one of the four offices that received Sit-Stand Pro S2 from delivery lot LOT-24-09 and identify that model/lot in the authoritative case fields. The remaining 9 distinct cases are outside that supported office/model/lot population and should not be treated as one incident. The shared model and lot are an observed association, not proof that every linked case has one cause, a mechanical defect, or a medical diagnosis.</t>
  </si>
  <si>
    <t xml:space="preserve">Evidence and counts</t>
  </si>
  <si>
    <t xml:space="preserve">Distinct source events counted</t>
  </si>
  <si>
    <t xml:space="preserve">Ergonomic complaints</t>
  </si>
  <si>
    <t xml:space="preserve">Accommodation requests</t>
  </si>
  <si>
    <t xml:space="preserve">Linked to Sit-Stand Pro S2 / LOT-24-09 at receiving office</t>
  </si>
  <si>
    <t xml:space="preserve">Unlinked / outside supported population</t>
  </si>
  <si>
    <t xml:space="preserve">Receiving offices for identified lot</t>
  </si>
  <si>
    <t xml:space="preserve">All offices in source population</t>
  </si>
  <si>
    <t xml:space="preserve">Linked rate = 8 / 17 = 47.1% of distinct events; denominator is distinct Case ID + Event Date keys.</t>
  </si>
  <si>
    <t xml:space="preserve">What the evidence does and does not establish</t>
  </si>
  <si>
    <t xml:space="preserve">Supports: a reproducible pattern in the four receiving offices and the identified Sit-Stand Pro S2 / LOT-24-09 fields, including both complaints and accommodation requests. Does not establish: a defect, failure mode, medical diagnosis, or that the other nine cases share the same cause.</t>
  </si>
  <si>
    <t xml:space="preserve">Action before the next bulk order</t>
  </si>
  <si>
    <t xml:space="preserve">Before release in three weeks, ask procurement and the four receiving offices to confirm the LOT-24-09 workstation inventory and review the 8 linked case records in Case Evidence. Preserve the current evidence, obtain any available installation/adjustment records, and route unresolved cases through the committee’s normal ergonomic review. This is a targeted review, not a finding that the furniture is defective or a basis to characterize all 17 events as one problem.</t>
  </si>
  <si>
    <t xml:space="preserve">Method and source-handling note</t>
  </si>
  <si>
    <t xml:space="preserve">Authoritative fields used: Case ID, Event Date, Office, Case Type, Body Area / Task or Request, Status / Disposition, Workstation Model, Delivery Lot, and source references. Distinct-event key is the source-stated combination of Case ID + Event Date; overlapping rows C-1005 / 29-May-2025 and C-1011 / 06-Nov-2025 are shown in Case Evidence and counted once. The residual formula error in the source’s retired helper area was ignored and not propagated. The clearly labeled retired helper column was not used; linkage classifications were recomputed from authoritative office, model, lot, and delivery records. Unsupported diagnosis/defect fields are left unfilled.</t>
  </si>
  <si>
    <t xml:space="preserve">See Case Evidence for source-level traceability and Office &amp; Delivery for the six-office receiving comparison.</t>
  </si>
  <si>
    <t xml:space="preserve">Case Evidence | authoritative source fields and linkage treatment</t>
  </si>
  <si>
    <t xml:space="preserve">Raw source rows are retained for traceability; headline counts use one row per distinct Case ID + Event Date key.</t>
  </si>
  <si>
    <t xml:space="preserve">Case ID</t>
  </si>
  <si>
    <t xml:space="preserve">Event Date</t>
  </si>
  <si>
    <t xml:space="preserve">Office</t>
  </si>
  <si>
    <t xml:space="preserve">Case Type</t>
  </si>
  <si>
    <t xml:space="preserve">Body Area / Task or Request</t>
  </si>
  <si>
    <t xml:space="preserve">Status / Disposition</t>
  </si>
  <si>
    <t xml:space="preserve">Source Note / Record Ref</t>
  </si>
  <si>
    <t xml:space="preserve">Workstation Model</t>
  </si>
  <si>
    <t xml:space="preserve">Delivery Lot</t>
  </si>
  <si>
    <t xml:space="preserve">Source Key</t>
  </si>
  <si>
    <t xml:space="preserve">Row Treatment</t>
  </si>
  <si>
    <t xml:space="preserve">Linkage Classification</t>
  </si>
  <si>
    <t xml:space="preserve">Why linked / why outside pattern</t>
  </si>
  <si>
    <t xml:space="preserve">C-1001</t>
  </si>
  <si>
    <t xml:space="preserve">Northfield Field Office</t>
  </si>
  <si>
    <t xml:space="preserve">Ergonomic complaint</t>
  </si>
  <si>
    <t xml:space="preserve">Low back discomfort during seated filing</t>
  </si>
  <si>
    <t xml:space="preserve">Open</t>
  </si>
  <si>
    <t xml:space="preserve">Intake note 1001</t>
  </si>
  <si>
    <t xml:space="preserve">FixedDesk F1</t>
  </si>
  <si>
    <t xml:space="preserve">LOT-24-07</t>
  </si>
  <si>
    <t xml:space="preserve">C-1001 | 2025-01-14</t>
  </si>
  <si>
    <t xml:space="preserve">Distinct event - counted</t>
  </si>
  <si>
    <t xml:space="preserve">Unlinked</t>
  </si>
  <si>
    <t xml:space="preserve">Office, model, or lot outside supported four-office LOT-24-09 population</t>
  </si>
  <si>
    <t xml:space="preserve">C-1002</t>
  </si>
  <si>
    <t xml:space="preserve">Eastgate Field Office</t>
  </si>
  <si>
    <t xml:space="preserve">Shoulder fatigue while adjusting monitor height</t>
  </si>
  <si>
    <t xml:space="preserve">Closed - adjustment</t>
  </si>
  <si>
    <t xml:space="preserve">Intake note 1002</t>
  </si>
  <si>
    <t xml:space="preserve">Sit-Stand Pro S2</t>
  </si>
  <si>
    <t xml:space="preserve">LOT-24-09</t>
  </si>
  <si>
    <t xml:space="preserve">C-1002 | 2025-02-03</t>
  </si>
  <si>
    <t xml:space="preserve">Linked</t>
  </si>
  <si>
    <t xml:space="preserve">Receiving office + authoritative model/lot match</t>
  </si>
  <si>
    <t xml:space="preserve">C-1003</t>
  </si>
  <si>
    <t xml:space="preserve">Lakeside Field Office</t>
  </si>
  <si>
    <t xml:space="preserve">Wrist strain during keyboarding</t>
  </si>
  <si>
    <t xml:space="preserve">Intake note 1003</t>
  </si>
  <si>
    <t xml:space="preserve">C-1003 | 2025-03-18</t>
  </si>
  <si>
    <t xml:space="preserve">C-1004</t>
  </si>
  <si>
    <t xml:space="preserve">Riverton Field Office</t>
  </si>
  <si>
    <t xml:space="preserve">Accommodation request</t>
  </si>
  <si>
    <t xml:space="preserve">Request for alternating sit/stand schedule</t>
  </si>
  <si>
    <t xml:space="preserve">Pending review</t>
  </si>
  <si>
    <t xml:space="preserve">Accommodation form 1004</t>
  </si>
  <si>
    <t xml:space="preserve">C-1004 | 2025-04-22</t>
  </si>
  <si>
    <t xml:space="preserve">C-1005</t>
  </si>
  <si>
    <t xml:space="preserve">Neck fatigue reported after workstation change</t>
  </si>
  <si>
    <t xml:space="preserve">Intake note 1005</t>
  </si>
  <si>
    <t xml:space="preserve">C-1005 | 2025-05-29</t>
  </si>
  <si>
    <t xml:space="preserve">Follow-up log 1005-B</t>
  </si>
  <si>
    <t xml:space="preserve">Overlapping row - counted once</t>
  </si>
  <si>
    <t xml:space="preserve">C-1006</t>
  </si>
  <si>
    <t xml:space="preserve">Forearm discomfort during extended data entry</t>
  </si>
  <si>
    <t xml:space="preserve">Under review</t>
  </si>
  <si>
    <t xml:space="preserve">Intake note 1006</t>
  </si>
  <si>
    <t xml:space="preserve">C-1006 | 2025-06-11</t>
  </si>
  <si>
    <t xml:space="preserve">C-1007</t>
  </si>
  <si>
    <t xml:space="preserve">Request for monitor arm and sit/stand option</t>
  </si>
  <si>
    <t xml:space="preserve">Approved - pending install</t>
  </si>
  <si>
    <t xml:space="preserve">Accommodation form 1007</t>
  </si>
  <si>
    <t xml:space="preserve">C-1007 | 2025-07-08</t>
  </si>
  <si>
    <t xml:space="preserve">C-1008</t>
  </si>
  <si>
    <t xml:space="preserve">Hip discomfort during prolonged sitting</t>
  </si>
  <si>
    <t xml:space="preserve">Intake note 1008</t>
  </si>
  <si>
    <t xml:space="preserve">C-1008 | 2025-08-19</t>
  </si>
  <si>
    <t xml:space="preserve">C-1009</t>
  </si>
  <si>
    <t xml:space="preserve">Westhaven Field Office</t>
  </si>
  <si>
    <t xml:space="preserve">Low back discomfort during records work</t>
  </si>
  <si>
    <t xml:space="preserve">Closed - local adjustment</t>
  </si>
  <si>
    <t xml:space="preserve">Intake note 1009</t>
  </si>
  <si>
    <t xml:space="preserve">C-1009 | 2025-09-02</t>
  </si>
  <si>
    <t xml:space="preserve">C-1010</t>
  </si>
  <si>
    <t xml:space="preserve">Southridge Field Office</t>
  </si>
  <si>
    <t xml:space="preserve">Shoulder fatigue during counter service</t>
  </si>
  <si>
    <t xml:space="preserve">Intake note 1010</t>
  </si>
  <si>
    <t xml:space="preserve">Sit-Stand Pro S1</t>
  </si>
  <si>
    <t xml:space="preserve">LOT-24-06</t>
  </si>
  <si>
    <t xml:space="preserve">C-1010 | 2025-10-14</t>
  </si>
  <si>
    <t xml:space="preserve">C-1011</t>
  </si>
  <si>
    <t xml:space="preserve">Request for sit/stand schedule and footrest</t>
  </si>
  <si>
    <t xml:space="preserve">Committee copy 1011</t>
  </si>
  <si>
    <t xml:space="preserve">C-1011 | 2025-11-06</t>
  </si>
  <si>
    <t xml:space="preserve">Accommodation form 1011</t>
  </si>
  <si>
    <t xml:space="preserve">C-1012</t>
  </si>
  <si>
    <t xml:space="preserve">Hand fatigue during scanning</t>
  </si>
  <si>
    <t xml:space="preserve">Intake note 1012</t>
  </si>
  <si>
    <t xml:space="preserve">C-1012 | 2025-01-29</t>
  </si>
  <si>
    <t xml:space="preserve">C-1013</t>
  </si>
  <si>
    <t xml:space="preserve">Eye strain during screen review</t>
  </si>
  <si>
    <t xml:space="preserve">Closed - education</t>
  </si>
  <si>
    <t xml:space="preserve">Intake note 1013</t>
  </si>
  <si>
    <t xml:space="preserve">C-1013 | 2025-02-28</t>
  </si>
  <si>
    <t xml:space="preserve">C-1014</t>
  </si>
  <si>
    <t xml:space="preserve">Knee discomfort during filing</t>
  </si>
  <si>
    <t xml:space="preserve">Intake note 1014</t>
  </si>
  <si>
    <t xml:space="preserve">C-1014 | 2025-03-30</t>
  </si>
  <si>
    <t xml:space="preserve">C-1015</t>
  </si>
  <si>
    <t xml:space="preserve">Neck fatigue during telephone work</t>
  </si>
  <si>
    <t xml:space="preserve">Intake note 1015</t>
  </si>
  <si>
    <t xml:space="preserve">C-1015 | 2025-04-15</t>
  </si>
  <si>
    <t xml:space="preserve">C-1016</t>
  </si>
  <si>
    <t xml:space="preserve">Wrist discomfort during scheduling</t>
  </si>
  <si>
    <t xml:space="preserve">Intake note 1016</t>
  </si>
  <si>
    <t xml:space="preserve">C-1016 | 2025-06-23</t>
  </si>
  <si>
    <t xml:space="preserve">C-1017</t>
  </si>
  <si>
    <t xml:space="preserve">Shoulder fatigue while changing desk height</t>
  </si>
  <si>
    <t xml:space="preserve">Intake note 1017</t>
  </si>
  <si>
    <t xml:space="preserve">C-1017 | 2025-07-30</t>
  </si>
  <si>
    <t xml:space="preserve">Office &amp; Delivery Summary</t>
  </si>
  <si>
    <t xml:space="preserve">Delivery records and office counts are source-derived. Linked/unlinked counts use distinct events only.</t>
  </si>
  <si>
    <t xml:space="preserve">Delivery records</t>
  </si>
  <si>
    <t xml:space="preserve">Delivery Date</t>
  </si>
  <si>
    <t xml:space="preserve">Units Received</t>
  </si>
  <si>
    <t xml:space="preserve">Source Record</t>
  </si>
  <si>
    <t xml:space="preserve">Receiving log DL-2409-NF</t>
  </si>
  <si>
    <t xml:space="preserve">Receiving log DL-2409-EG</t>
  </si>
  <si>
    <t xml:space="preserve">Receiving log DL-2409-LK</t>
  </si>
  <si>
    <t xml:space="preserve">Receiving log DL-2409-RV</t>
  </si>
  <si>
    <t xml:space="preserve">Receiving log DL-2407-WH</t>
  </si>
  <si>
    <t xml:space="preserve">Receiving log DL-2406-SR</t>
  </si>
  <si>
    <t xml:space="preserve">Six-office population and distinct-event counts</t>
  </si>
  <si>
    <t xml:space="preserve">Received LOT-24-09?</t>
  </si>
  <si>
    <t xml:space="preserve">Distinct events</t>
  </si>
  <si>
    <t xml:space="preserve">Linked events</t>
  </si>
  <si>
    <t xml:space="preserve">Unlinked events</t>
  </si>
  <si>
    <t xml:space="preserve">Yes</t>
  </si>
  <si>
    <t xml:space="preserve">No</t>
  </si>
  <si>
    <t xml:space="preserve">Period comparison (distinct events)</t>
  </si>
  <si>
    <t xml:space="preserve">Period (event date)</t>
  </si>
  <si>
    <t xml:space="preserve">Earlier: 14-Jan-2025 to 31-May-2025</t>
  </si>
  <si>
    <t xml:space="preserve">Later: 01-Jun-2025 to 06-Nov-2025</t>
  </si>
  <si>
    <t xml:space="preserve">Interpretation: later-period events are more concentrated in the identified model/lot receiving offices, but the source does not establish causation.</t>
  </si>
</sst>
</file>

<file path=xl/styles.xml><?xml version="1.0" encoding="utf-8"?>
<styleSheet xmlns="http://schemas.openxmlformats.org/spreadsheetml/2006/main">
  <numFmts count="3">
    <numFmt numFmtId="164" formatCode="General"/>
    <numFmt numFmtId="165" formatCode="0"/>
    <numFmt numFmtId="166" formatCode="dd\-mmm\-yyyy"/>
  </numFmts>
  <fonts count="10">
    <font>
      <sz val="11"/>
      <color theme="1"/>
      <name val="Calibri"/>
      <family val="2"/>
      <charset val="1"/>
    </font>
    <font>
      <sz val="10"/>
      <name val="Arial"/>
      <family val="0"/>
    </font>
    <font>
      <sz val="10"/>
      <name val="Arial"/>
      <family val="0"/>
    </font>
    <font>
      <sz val="10"/>
      <name val="Arial"/>
      <family val="0"/>
    </font>
    <font>
      <b val="true"/>
      <sz val="15"/>
      <color rgb="FF1F4E78"/>
      <name val="Cambria"/>
      <family val="0"/>
      <charset val="1"/>
    </font>
    <font>
      <b val="true"/>
      <sz val="11"/>
      <color rgb="FF1F2937"/>
      <name val="Cambria"/>
      <family val="0"/>
      <charset val="1"/>
    </font>
    <font>
      <b val="true"/>
      <sz val="11"/>
      <name val="Cambria"/>
      <family val="0"/>
      <charset val="1"/>
    </font>
    <font>
      <sz val="11"/>
      <name val="Cambria"/>
      <family val="0"/>
      <charset val="1"/>
    </font>
    <font>
      <i val="true"/>
      <sz val="11"/>
      <color rgb="FF666666"/>
      <name val="Cambria"/>
      <family val="0"/>
      <charset val="1"/>
    </font>
    <font>
      <b val="true"/>
      <sz val="11"/>
      <color rgb="FFFFFFFF"/>
      <name val="Cambria"/>
      <family val="0"/>
      <charset val="1"/>
    </font>
  </fonts>
  <fills count="7">
    <fill>
      <patternFill patternType="none"/>
    </fill>
    <fill>
      <patternFill patternType="gray125"/>
    </fill>
    <fill>
      <patternFill patternType="solid">
        <fgColor rgb="FFFFF2CC"/>
        <bgColor rgb="FFFCE4D6"/>
      </patternFill>
    </fill>
    <fill>
      <patternFill patternType="solid">
        <fgColor rgb="FFD9EAF7"/>
        <bgColor rgb="FFE2F0D9"/>
      </patternFill>
    </fill>
    <fill>
      <patternFill patternType="solid">
        <fgColor rgb="FFE2F0D9"/>
        <bgColor rgb="FFD9EAF7"/>
      </patternFill>
    </fill>
    <fill>
      <patternFill patternType="solid">
        <fgColor rgb="FF1F4E78"/>
        <bgColor rgb="FF003366"/>
      </patternFill>
    </fill>
    <fill>
      <patternFill patternType="solid">
        <fgColor rgb="FFFCE4D6"/>
        <bgColor rgb="FFFFF2CC"/>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6" fontId="0" fillId="6"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FCE4D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seEvidence" displayName="CaseEvidence" ref="A4:M23" headerRowCount="1" totalsRowCount="0" totalsRowShown="0">
  <autoFilter ref="A4:M23"/>
  <tableColumns count="13">
    <tableColumn id="1" name="Case ID"/>
    <tableColumn id="2" name="Event Date"/>
    <tableColumn id="3" name="Office"/>
    <tableColumn id="4" name="Case Type"/>
    <tableColumn id="5" name="Body Area / Task or Request"/>
    <tableColumn id="6" name="Status / Disposition"/>
    <tableColumn id="7" name="Source Note / Record Ref"/>
    <tableColumn id="8" name="Workstation Model"/>
    <tableColumn id="9" name="Delivery Lot"/>
    <tableColumn id="10" name="Source Key"/>
    <tableColumn id="11" name="Row Treatment"/>
    <tableColumn id="12" name="Linkage Classification"/>
    <tableColumn id="13" name="Why linked / why outside patter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5"/>
    <col collapsed="false" customWidth="true" hidden="false" outlineLevel="0" max="2" min="2" style="0" width="18"/>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28.35" hidden="false" customHeight="false" outlineLevel="0" collapsed="false">
      <c r="A4" s="2" t="s">
        <v>3</v>
      </c>
    </row>
    <row r="6" customFormat="false" ht="15" hidden="false" customHeight="false" outlineLevel="0" collapsed="false">
      <c r="A6" s="3" t="s">
        <v>4</v>
      </c>
    </row>
    <row r="7" customFormat="false" ht="55.5" hidden="false" customHeight="true" outlineLevel="0" collapsed="false">
      <c r="A7" s="2" t="s">
        <v>5</v>
      </c>
    </row>
    <row r="9" customFormat="false" ht="15" hidden="false" customHeight="false" outlineLevel="0" collapsed="false">
      <c r="A9" s="4" t="s">
        <v>6</v>
      </c>
    </row>
    <row r="10" customFormat="false" ht="15" hidden="false" customHeight="false" outlineLevel="0" collapsed="false">
      <c r="A10" s="5" t="s">
        <v>7</v>
      </c>
      <c r="B10" s="6" t="n">
        <v>17</v>
      </c>
    </row>
    <row r="11" customFormat="false" ht="15" hidden="false" customHeight="false" outlineLevel="0" collapsed="false">
      <c r="A11" s="7" t="s">
        <v>8</v>
      </c>
      <c r="B11" s="6" t="n">
        <v>14</v>
      </c>
    </row>
    <row r="12" customFormat="false" ht="15" hidden="false" customHeight="false" outlineLevel="0" collapsed="false">
      <c r="A12" s="7" t="s">
        <v>9</v>
      </c>
      <c r="B12" s="6" t="n">
        <v>3</v>
      </c>
    </row>
    <row r="13" customFormat="false" ht="15" hidden="false" customHeight="false" outlineLevel="0" collapsed="false">
      <c r="A13" s="5" t="s">
        <v>10</v>
      </c>
      <c r="B13" s="6" t="n">
        <v>8</v>
      </c>
    </row>
    <row r="14" customFormat="false" ht="15" hidden="false" customHeight="false" outlineLevel="0" collapsed="false">
      <c r="A14" s="5" t="s">
        <v>11</v>
      </c>
      <c r="B14" s="6" t="n">
        <v>9</v>
      </c>
    </row>
    <row r="15" customFormat="false" ht="15" hidden="false" customHeight="false" outlineLevel="0" collapsed="false">
      <c r="A15" s="5" t="s">
        <v>12</v>
      </c>
      <c r="B15" s="6" t="n">
        <v>4</v>
      </c>
    </row>
    <row r="16" customFormat="false" ht="15" hidden="false" customHeight="false" outlineLevel="0" collapsed="false">
      <c r="A16" s="5" t="s">
        <v>13</v>
      </c>
      <c r="B16" s="6" t="n">
        <v>6</v>
      </c>
    </row>
    <row r="18" customFormat="false" ht="15" hidden="false" customHeight="false" outlineLevel="0" collapsed="false">
      <c r="A18" s="8" t="s">
        <v>14</v>
      </c>
    </row>
    <row r="20" customFormat="false" ht="15" hidden="false" customHeight="false" outlineLevel="0" collapsed="false">
      <c r="A20" s="9" t="s">
        <v>15</v>
      </c>
    </row>
    <row r="21" customFormat="false" ht="55.5" hidden="false" customHeight="true" outlineLevel="0" collapsed="false">
      <c r="A21" s="2" t="s">
        <v>16</v>
      </c>
    </row>
    <row r="23" customFormat="false" ht="15" hidden="false" customHeight="false" outlineLevel="0" collapsed="false">
      <c r="A23" s="4" t="s">
        <v>17</v>
      </c>
    </row>
    <row r="24" customFormat="false" ht="55.5" hidden="false" customHeight="true" outlineLevel="0" collapsed="false">
      <c r="A24" s="2" t="s">
        <v>18</v>
      </c>
    </row>
    <row r="26" customFormat="false" ht="15" hidden="false" customHeight="false" outlineLevel="0" collapsed="false">
      <c r="A26" s="3" t="s">
        <v>19</v>
      </c>
    </row>
    <row r="27" customFormat="false" ht="72" hidden="false" customHeight="true" outlineLevel="0" collapsed="false">
      <c r="A27" s="2" t="s">
        <v>20</v>
      </c>
    </row>
    <row r="29" customFormat="false" ht="15" hidden="false" customHeight="false" outlineLevel="0" collapsed="false">
      <c r="A29" s="10" t="s">
        <v>21</v>
      </c>
    </row>
  </sheetData>
  <printOptions headings="false" gridLines="false" gridLinesSet="true" horizontalCentered="false" verticalCentered="false"/>
  <pageMargins left="0.25" right="0.2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5"/>
    <col collapsed="false" customWidth="true" hidden="false" outlineLevel="0" max="4" min="4" style="0" width="20"/>
    <col collapsed="false" customWidth="true" hidden="false" outlineLevel="0" max="5" min="5" style="0" width="42"/>
    <col collapsed="false" customWidth="true" hidden="false" outlineLevel="0" max="6" min="6" style="0" width="21"/>
    <col collapsed="false" customWidth="true" hidden="false" outlineLevel="0" max="7" min="7" style="0" width="26"/>
    <col collapsed="false" customWidth="true" hidden="false" outlineLevel="0" max="8" min="8" style="0" width="22"/>
    <col collapsed="false" customWidth="true" hidden="false" outlineLevel="0" max="9" min="9" style="0" width="16"/>
    <col collapsed="false" customWidth="true" hidden="false" outlineLevel="0" max="10" min="10" style="0" width="24"/>
    <col collapsed="false" customWidth="true" hidden="false" outlineLevel="0" max="11" min="11" style="0" width="22"/>
    <col collapsed="false" customWidth="true" hidden="false" outlineLevel="0" max="12" min="12" style="0" width="18"/>
    <col collapsed="false" customWidth="true" hidden="false" outlineLevel="0" max="13" min="13" style="0" width="46"/>
  </cols>
  <sheetData>
    <row r="1" customFormat="false" ht="18.55" hidden="false" customHeight="false" outlineLevel="0" collapsed="false">
      <c r="A1" s="1" t="s">
        <v>22</v>
      </c>
    </row>
    <row r="2" customFormat="false" ht="30" hidden="false" customHeight="true" outlineLevel="0" collapsed="false">
      <c r="A2" s="8" t="s">
        <v>23</v>
      </c>
    </row>
    <row r="4" customFormat="false" ht="33.75" hidden="false" customHeight="true" outlineLevel="0" collapsed="false">
      <c r="A4" s="11" t="s">
        <v>24</v>
      </c>
      <c r="B4" s="11" t="s">
        <v>25</v>
      </c>
      <c r="C4" s="11" t="s">
        <v>26</v>
      </c>
      <c r="D4" s="11" t="s">
        <v>27</v>
      </c>
      <c r="E4" s="11" t="s">
        <v>28</v>
      </c>
      <c r="F4" s="11" t="s">
        <v>29</v>
      </c>
      <c r="G4" s="11" t="s">
        <v>30</v>
      </c>
      <c r="H4" s="11" t="s">
        <v>31</v>
      </c>
      <c r="I4" s="11" t="s">
        <v>32</v>
      </c>
      <c r="J4" s="11" t="s">
        <v>33</v>
      </c>
      <c r="K4" s="11" t="s">
        <v>34</v>
      </c>
      <c r="L4" s="11" t="s">
        <v>35</v>
      </c>
      <c r="M4" s="11" t="s">
        <v>36</v>
      </c>
    </row>
    <row r="5" customFormat="false" ht="28.35" hidden="false" customHeight="false" outlineLevel="0" collapsed="false">
      <c r="A5" s="2" t="s">
        <v>37</v>
      </c>
      <c r="B5" s="12" t="n">
        <v>45671</v>
      </c>
      <c r="C5" s="2" t="s">
        <v>38</v>
      </c>
      <c r="D5" s="2" t="s">
        <v>39</v>
      </c>
      <c r="E5" s="2" t="s">
        <v>40</v>
      </c>
      <c r="F5" s="2" t="s">
        <v>41</v>
      </c>
      <c r="G5" s="2" t="s">
        <v>42</v>
      </c>
      <c r="H5" s="2" t="s">
        <v>43</v>
      </c>
      <c r="I5" s="2" t="s">
        <v>44</v>
      </c>
      <c r="J5" s="2" t="s">
        <v>45</v>
      </c>
      <c r="K5" s="2" t="s">
        <v>46</v>
      </c>
      <c r="L5" s="2" t="s">
        <v>47</v>
      </c>
      <c r="M5" s="2" t="s">
        <v>48</v>
      </c>
    </row>
    <row r="6" customFormat="false" ht="15" hidden="false" customHeight="false" outlineLevel="0" collapsed="false">
      <c r="A6" s="2" t="s">
        <v>49</v>
      </c>
      <c r="B6" s="12" t="n">
        <v>45691</v>
      </c>
      <c r="C6" s="2" t="s">
        <v>50</v>
      </c>
      <c r="D6" s="2" t="s">
        <v>39</v>
      </c>
      <c r="E6" s="2" t="s">
        <v>51</v>
      </c>
      <c r="F6" s="2" t="s">
        <v>52</v>
      </c>
      <c r="G6" s="2" t="s">
        <v>53</v>
      </c>
      <c r="H6" s="2" t="s">
        <v>54</v>
      </c>
      <c r="I6" s="2" t="s">
        <v>55</v>
      </c>
      <c r="J6" s="2" t="s">
        <v>56</v>
      </c>
      <c r="K6" s="2" t="s">
        <v>46</v>
      </c>
      <c r="L6" s="2" t="s">
        <v>57</v>
      </c>
      <c r="M6" s="2" t="s">
        <v>58</v>
      </c>
    </row>
    <row r="7" customFormat="false" ht="28.35" hidden="false" customHeight="false" outlineLevel="0" collapsed="false">
      <c r="A7" s="2" t="s">
        <v>59</v>
      </c>
      <c r="B7" s="12" t="n">
        <v>45734</v>
      </c>
      <c r="C7" s="2" t="s">
        <v>60</v>
      </c>
      <c r="D7" s="2" t="s">
        <v>39</v>
      </c>
      <c r="E7" s="2" t="s">
        <v>61</v>
      </c>
      <c r="F7" s="2" t="s">
        <v>41</v>
      </c>
      <c r="G7" s="2" t="s">
        <v>62</v>
      </c>
      <c r="H7" s="2" t="s">
        <v>43</v>
      </c>
      <c r="I7" s="2" t="s">
        <v>44</v>
      </c>
      <c r="J7" s="2" t="s">
        <v>63</v>
      </c>
      <c r="K7" s="2" t="s">
        <v>46</v>
      </c>
      <c r="L7" s="2" t="s">
        <v>47</v>
      </c>
      <c r="M7" s="2" t="s">
        <v>48</v>
      </c>
    </row>
    <row r="8" customFormat="false" ht="28.35" hidden="false" customHeight="false" outlineLevel="0" collapsed="false">
      <c r="A8" s="2" t="s">
        <v>64</v>
      </c>
      <c r="B8" s="12" t="n">
        <v>45769</v>
      </c>
      <c r="C8" s="2" t="s">
        <v>65</v>
      </c>
      <c r="D8" s="2" t="s">
        <v>66</v>
      </c>
      <c r="E8" s="2" t="s">
        <v>67</v>
      </c>
      <c r="F8" s="2" t="s">
        <v>68</v>
      </c>
      <c r="G8" s="2" t="s">
        <v>69</v>
      </c>
      <c r="H8" s="2" t="s">
        <v>54</v>
      </c>
      <c r="I8" s="2" t="s">
        <v>55</v>
      </c>
      <c r="J8" s="2" t="s">
        <v>70</v>
      </c>
      <c r="K8" s="2" t="s">
        <v>46</v>
      </c>
      <c r="L8" s="2" t="s">
        <v>57</v>
      </c>
      <c r="M8" s="2" t="s">
        <v>58</v>
      </c>
    </row>
    <row r="9" customFormat="false" ht="15" hidden="false" customHeight="false" outlineLevel="0" collapsed="false">
      <c r="A9" s="2" t="s">
        <v>71</v>
      </c>
      <c r="B9" s="12" t="n">
        <v>45806</v>
      </c>
      <c r="C9" s="2" t="s">
        <v>38</v>
      </c>
      <c r="D9" s="2" t="s">
        <v>39</v>
      </c>
      <c r="E9" s="2" t="s">
        <v>72</v>
      </c>
      <c r="F9" s="2" t="s">
        <v>41</v>
      </c>
      <c r="G9" s="2" t="s">
        <v>73</v>
      </c>
      <c r="H9" s="2" t="s">
        <v>54</v>
      </c>
      <c r="I9" s="2" t="s">
        <v>55</v>
      </c>
      <c r="J9" s="2" t="s">
        <v>74</v>
      </c>
      <c r="K9" s="2" t="s">
        <v>46</v>
      </c>
      <c r="L9" s="2" t="s">
        <v>57</v>
      </c>
      <c r="M9" s="2" t="s">
        <v>58</v>
      </c>
    </row>
    <row r="10" customFormat="false" ht="28.35" hidden="false" customHeight="false" outlineLevel="0" collapsed="false">
      <c r="A10" s="13" t="s">
        <v>71</v>
      </c>
      <c r="B10" s="14" t="n">
        <v>45806</v>
      </c>
      <c r="C10" s="13" t="s">
        <v>38</v>
      </c>
      <c r="D10" s="13" t="s">
        <v>39</v>
      </c>
      <c r="E10" s="13" t="s">
        <v>72</v>
      </c>
      <c r="F10" s="13" t="s">
        <v>41</v>
      </c>
      <c r="G10" s="13" t="s">
        <v>75</v>
      </c>
      <c r="H10" s="13" t="s">
        <v>54</v>
      </c>
      <c r="I10" s="13" t="s">
        <v>55</v>
      </c>
      <c r="J10" s="13" t="s">
        <v>74</v>
      </c>
      <c r="K10" s="13" t="s">
        <v>76</v>
      </c>
      <c r="L10" s="13" t="s">
        <v>57</v>
      </c>
      <c r="M10" s="13" t="s">
        <v>58</v>
      </c>
    </row>
    <row r="11" customFormat="false" ht="15" hidden="false" customHeight="false" outlineLevel="0" collapsed="false">
      <c r="A11" s="2" t="s">
        <v>77</v>
      </c>
      <c r="B11" s="12" t="n">
        <v>45819</v>
      </c>
      <c r="C11" s="2" t="s">
        <v>50</v>
      </c>
      <c r="D11" s="2" t="s">
        <v>39</v>
      </c>
      <c r="E11" s="2" t="s">
        <v>78</v>
      </c>
      <c r="F11" s="2" t="s">
        <v>79</v>
      </c>
      <c r="G11" s="2" t="s">
        <v>80</v>
      </c>
      <c r="H11" s="2" t="s">
        <v>54</v>
      </c>
      <c r="I11" s="2" t="s">
        <v>55</v>
      </c>
      <c r="J11" s="2" t="s">
        <v>81</v>
      </c>
      <c r="K11" s="2" t="s">
        <v>46</v>
      </c>
      <c r="L11" s="2" t="s">
        <v>57</v>
      </c>
      <c r="M11" s="2" t="s">
        <v>58</v>
      </c>
    </row>
    <row r="12" customFormat="false" ht="28.35" hidden="false" customHeight="false" outlineLevel="0" collapsed="false">
      <c r="A12" s="2" t="s">
        <v>82</v>
      </c>
      <c r="B12" s="12" t="n">
        <v>45846</v>
      </c>
      <c r="C12" s="2" t="s">
        <v>60</v>
      </c>
      <c r="D12" s="2" t="s">
        <v>66</v>
      </c>
      <c r="E12" s="2" t="s">
        <v>83</v>
      </c>
      <c r="F12" s="2" t="s">
        <v>84</v>
      </c>
      <c r="G12" s="2" t="s">
        <v>85</v>
      </c>
      <c r="H12" s="2" t="s">
        <v>54</v>
      </c>
      <c r="I12" s="2" t="s">
        <v>55</v>
      </c>
      <c r="J12" s="2" t="s">
        <v>86</v>
      </c>
      <c r="K12" s="2" t="s">
        <v>46</v>
      </c>
      <c r="L12" s="2" t="s">
        <v>57</v>
      </c>
      <c r="M12" s="2" t="s">
        <v>58</v>
      </c>
    </row>
    <row r="13" customFormat="false" ht="15" hidden="false" customHeight="false" outlineLevel="0" collapsed="false">
      <c r="A13" s="2" t="s">
        <v>87</v>
      </c>
      <c r="B13" s="12" t="n">
        <v>45888</v>
      </c>
      <c r="C13" s="2" t="s">
        <v>65</v>
      </c>
      <c r="D13" s="2" t="s">
        <v>39</v>
      </c>
      <c r="E13" s="2" t="s">
        <v>88</v>
      </c>
      <c r="F13" s="2" t="s">
        <v>41</v>
      </c>
      <c r="G13" s="2" t="s">
        <v>89</v>
      </c>
      <c r="H13" s="2" t="s">
        <v>54</v>
      </c>
      <c r="I13" s="2" t="s">
        <v>55</v>
      </c>
      <c r="J13" s="2" t="s">
        <v>90</v>
      </c>
      <c r="K13" s="2" t="s">
        <v>46</v>
      </c>
      <c r="L13" s="2" t="s">
        <v>57</v>
      </c>
      <c r="M13" s="2" t="s">
        <v>58</v>
      </c>
    </row>
    <row r="14" customFormat="false" ht="28.35" hidden="false" customHeight="false" outlineLevel="0" collapsed="false">
      <c r="A14" s="2" t="s">
        <v>91</v>
      </c>
      <c r="B14" s="12" t="n">
        <v>45902</v>
      </c>
      <c r="C14" s="2" t="s">
        <v>92</v>
      </c>
      <c r="D14" s="2" t="s">
        <v>39</v>
      </c>
      <c r="E14" s="2" t="s">
        <v>93</v>
      </c>
      <c r="F14" s="2" t="s">
        <v>94</v>
      </c>
      <c r="G14" s="2" t="s">
        <v>95</v>
      </c>
      <c r="H14" s="2" t="s">
        <v>43</v>
      </c>
      <c r="I14" s="2" t="s">
        <v>44</v>
      </c>
      <c r="J14" s="2" t="s">
        <v>96</v>
      </c>
      <c r="K14" s="2" t="s">
        <v>46</v>
      </c>
      <c r="L14" s="2" t="s">
        <v>47</v>
      </c>
      <c r="M14" s="2" t="s">
        <v>48</v>
      </c>
    </row>
    <row r="15" customFormat="false" ht="28.35" hidden="false" customHeight="false" outlineLevel="0" collapsed="false">
      <c r="A15" s="2" t="s">
        <v>97</v>
      </c>
      <c r="B15" s="12" t="n">
        <v>45944</v>
      </c>
      <c r="C15" s="2" t="s">
        <v>98</v>
      </c>
      <c r="D15" s="2" t="s">
        <v>39</v>
      </c>
      <c r="E15" s="2" t="s">
        <v>99</v>
      </c>
      <c r="F15" s="2" t="s">
        <v>41</v>
      </c>
      <c r="G15" s="2" t="s">
        <v>100</v>
      </c>
      <c r="H15" s="2" t="s">
        <v>101</v>
      </c>
      <c r="I15" s="2" t="s">
        <v>102</v>
      </c>
      <c r="J15" s="2" t="s">
        <v>103</v>
      </c>
      <c r="K15" s="2" t="s">
        <v>46</v>
      </c>
      <c r="L15" s="2" t="s">
        <v>47</v>
      </c>
      <c r="M15" s="2" t="s">
        <v>48</v>
      </c>
    </row>
    <row r="16" customFormat="false" ht="28.35" hidden="false" customHeight="false" outlineLevel="0" collapsed="false">
      <c r="A16" s="2" t="s">
        <v>104</v>
      </c>
      <c r="B16" s="12" t="n">
        <v>45967</v>
      </c>
      <c r="C16" s="2" t="s">
        <v>38</v>
      </c>
      <c r="D16" s="2" t="s">
        <v>66</v>
      </c>
      <c r="E16" s="2" t="s">
        <v>105</v>
      </c>
      <c r="F16" s="2" t="s">
        <v>68</v>
      </c>
      <c r="G16" s="2" t="s">
        <v>106</v>
      </c>
      <c r="H16" s="2" t="s">
        <v>54</v>
      </c>
      <c r="I16" s="2" t="s">
        <v>55</v>
      </c>
      <c r="J16" s="2" t="s">
        <v>107</v>
      </c>
      <c r="K16" s="2" t="s">
        <v>46</v>
      </c>
      <c r="L16" s="2" t="s">
        <v>57</v>
      </c>
      <c r="M16" s="2" t="s">
        <v>58</v>
      </c>
    </row>
    <row r="17" customFormat="false" ht="28.35" hidden="false" customHeight="false" outlineLevel="0" collapsed="false">
      <c r="A17" s="13" t="s">
        <v>104</v>
      </c>
      <c r="B17" s="14" t="n">
        <v>45967</v>
      </c>
      <c r="C17" s="13" t="s">
        <v>38</v>
      </c>
      <c r="D17" s="13" t="s">
        <v>66</v>
      </c>
      <c r="E17" s="13" t="s">
        <v>105</v>
      </c>
      <c r="F17" s="13" t="s">
        <v>68</v>
      </c>
      <c r="G17" s="13" t="s">
        <v>108</v>
      </c>
      <c r="H17" s="13" t="s">
        <v>54</v>
      </c>
      <c r="I17" s="13" t="s">
        <v>55</v>
      </c>
      <c r="J17" s="13" t="s">
        <v>107</v>
      </c>
      <c r="K17" s="13" t="s">
        <v>76</v>
      </c>
      <c r="L17" s="13" t="s">
        <v>57</v>
      </c>
      <c r="M17" s="13" t="s">
        <v>58</v>
      </c>
    </row>
    <row r="18" customFormat="false" ht="28.35" hidden="false" customHeight="false" outlineLevel="0" collapsed="false">
      <c r="A18" s="2" t="s">
        <v>109</v>
      </c>
      <c r="B18" s="12" t="n">
        <v>45686</v>
      </c>
      <c r="C18" s="2" t="s">
        <v>50</v>
      </c>
      <c r="D18" s="2" t="s">
        <v>39</v>
      </c>
      <c r="E18" s="2" t="s">
        <v>110</v>
      </c>
      <c r="F18" s="2" t="s">
        <v>41</v>
      </c>
      <c r="G18" s="2" t="s">
        <v>111</v>
      </c>
      <c r="H18" s="2" t="s">
        <v>43</v>
      </c>
      <c r="I18" s="2" t="s">
        <v>44</v>
      </c>
      <c r="J18" s="2" t="s">
        <v>112</v>
      </c>
      <c r="K18" s="2" t="s">
        <v>46</v>
      </c>
      <c r="L18" s="2" t="s">
        <v>47</v>
      </c>
      <c r="M18" s="2" t="s">
        <v>48</v>
      </c>
    </row>
    <row r="19" customFormat="false" ht="28.35" hidden="false" customHeight="false" outlineLevel="0" collapsed="false">
      <c r="A19" s="2" t="s">
        <v>113</v>
      </c>
      <c r="B19" s="12" t="n">
        <v>45716</v>
      </c>
      <c r="C19" s="2" t="s">
        <v>60</v>
      </c>
      <c r="D19" s="2" t="s">
        <v>39</v>
      </c>
      <c r="E19" s="2" t="s">
        <v>114</v>
      </c>
      <c r="F19" s="2" t="s">
        <v>115</v>
      </c>
      <c r="G19" s="2" t="s">
        <v>116</v>
      </c>
      <c r="H19" s="2" t="s">
        <v>43</v>
      </c>
      <c r="I19" s="2" t="s">
        <v>44</v>
      </c>
      <c r="J19" s="2" t="s">
        <v>117</v>
      </c>
      <c r="K19" s="2" t="s">
        <v>46</v>
      </c>
      <c r="L19" s="2" t="s">
        <v>47</v>
      </c>
      <c r="M19" s="2" t="s">
        <v>48</v>
      </c>
    </row>
    <row r="20" customFormat="false" ht="28.35" hidden="false" customHeight="false" outlineLevel="0" collapsed="false">
      <c r="A20" s="2" t="s">
        <v>118</v>
      </c>
      <c r="B20" s="12" t="n">
        <v>45746</v>
      </c>
      <c r="C20" s="2" t="s">
        <v>65</v>
      </c>
      <c r="D20" s="2" t="s">
        <v>39</v>
      </c>
      <c r="E20" s="2" t="s">
        <v>119</v>
      </c>
      <c r="F20" s="2" t="s">
        <v>41</v>
      </c>
      <c r="G20" s="2" t="s">
        <v>120</v>
      </c>
      <c r="H20" s="2" t="s">
        <v>43</v>
      </c>
      <c r="I20" s="2" t="s">
        <v>44</v>
      </c>
      <c r="J20" s="2" t="s">
        <v>121</v>
      </c>
      <c r="K20" s="2" t="s">
        <v>46</v>
      </c>
      <c r="L20" s="2" t="s">
        <v>47</v>
      </c>
      <c r="M20" s="2" t="s">
        <v>48</v>
      </c>
    </row>
    <row r="21" customFormat="false" ht="28.35" hidden="false" customHeight="false" outlineLevel="0" collapsed="false">
      <c r="A21" s="2" t="s">
        <v>122</v>
      </c>
      <c r="B21" s="12" t="n">
        <v>45762</v>
      </c>
      <c r="C21" s="2" t="s">
        <v>92</v>
      </c>
      <c r="D21" s="2" t="s">
        <v>39</v>
      </c>
      <c r="E21" s="2" t="s">
        <v>123</v>
      </c>
      <c r="F21" s="2" t="s">
        <v>41</v>
      </c>
      <c r="G21" s="2" t="s">
        <v>124</v>
      </c>
      <c r="H21" s="2" t="s">
        <v>43</v>
      </c>
      <c r="I21" s="2" t="s">
        <v>44</v>
      </c>
      <c r="J21" s="2" t="s">
        <v>125</v>
      </c>
      <c r="K21" s="2" t="s">
        <v>46</v>
      </c>
      <c r="L21" s="2" t="s">
        <v>47</v>
      </c>
      <c r="M21" s="2" t="s">
        <v>48</v>
      </c>
    </row>
    <row r="22" customFormat="false" ht="28.35" hidden="false" customHeight="false" outlineLevel="0" collapsed="false">
      <c r="A22" s="2" t="s">
        <v>126</v>
      </c>
      <c r="B22" s="12" t="n">
        <v>45831</v>
      </c>
      <c r="C22" s="2" t="s">
        <v>98</v>
      </c>
      <c r="D22" s="2" t="s">
        <v>39</v>
      </c>
      <c r="E22" s="2" t="s">
        <v>127</v>
      </c>
      <c r="F22" s="2" t="s">
        <v>79</v>
      </c>
      <c r="G22" s="2" t="s">
        <v>128</v>
      </c>
      <c r="H22" s="2" t="s">
        <v>101</v>
      </c>
      <c r="I22" s="2" t="s">
        <v>102</v>
      </c>
      <c r="J22" s="2" t="s">
        <v>129</v>
      </c>
      <c r="K22" s="2" t="s">
        <v>46</v>
      </c>
      <c r="L22" s="2" t="s">
        <v>47</v>
      </c>
      <c r="M22" s="2" t="s">
        <v>48</v>
      </c>
    </row>
    <row r="23" customFormat="false" ht="15" hidden="false" customHeight="false" outlineLevel="0" collapsed="false">
      <c r="A23" s="2" t="s">
        <v>130</v>
      </c>
      <c r="B23" s="12" t="n">
        <v>45868</v>
      </c>
      <c r="C23" s="2" t="s">
        <v>50</v>
      </c>
      <c r="D23" s="2" t="s">
        <v>39</v>
      </c>
      <c r="E23" s="2" t="s">
        <v>131</v>
      </c>
      <c r="F23" s="2" t="s">
        <v>41</v>
      </c>
      <c r="G23" s="2" t="s">
        <v>132</v>
      </c>
      <c r="H23" s="2" t="s">
        <v>54</v>
      </c>
      <c r="I23" s="2" t="s">
        <v>55</v>
      </c>
      <c r="J23" s="2" t="s">
        <v>133</v>
      </c>
      <c r="K23" s="2" t="s">
        <v>46</v>
      </c>
      <c r="L23" s="2" t="s">
        <v>57</v>
      </c>
      <c r="M23" s="2" t="s">
        <v>58</v>
      </c>
    </row>
  </sheetData>
  <autoFilter ref="A4:M23"/>
  <printOptions headings="false" gridLines="false" gridLinesSet="true" horizontalCentered="false" verticalCentered="false"/>
  <pageMargins left="0.25" right="0.2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28"/>
  </cols>
  <sheetData>
    <row r="1" customFormat="false" ht="19.4" hidden="false" customHeight="false" outlineLevel="0" collapsed="false">
      <c r="A1" s="15" t="s">
        <v>134</v>
      </c>
      <c r="B1" s="2"/>
      <c r="C1" s="2"/>
      <c r="D1" s="2"/>
      <c r="E1" s="2"/>
      <c r="F1" s="2"/>
    </row>
    <row r="2" customFormat="false" ht="41.75" hidden="false" customHeight="false" outlineLevel="0" collapsed="false">
      <c r="A2" s="2" t="s">
        <v>135</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16" t="s">
        <v>136</v>
      </c>
      <c r="B4" s="2"/>
      <c r="C4" s="2"/>
      <c r="D4" s="2"/>
      <c r="E4" s="2"/>
      <c r="F4" s="2"/>
    </row>
    <row r="5" customFormat="false" ht="28.35" hidden="false" customHeight="false" outlineLevel="0" collapsed="false">
      <c r="A5" s="17" t="s">
        <v>26</v>
      </c>
      <c r="B5" s="17" t="s">
        <v>137</v>
      </c>
      <c r="C5" s="17" t="s">
        <v>31</v>
      </c>
      <c r="D5" s="17" t="s">
        <v>32</v>
      </c>
      <c r="E5" s="17" t="s">
        <v>138</v>
      </c>
      <c r="F5" s="17" t="s">
        <v>139</v>
      </c>
    </row>
    <row r="6" customFormat="false" ht="15" hidden="false" customHeight="false" outlineLevel="0" collapsed="false">
      <c r="A6" s="2" t="s">
        <v>38</v>
      </c>
      <c r="B6" s="12" t="n">
        <v>45789</v>
      </c>
      <c r="C6" s="2" t="s">
        <v>54</v>
      </c>
      <c r="D6" s="2" t="s">
        <v>55</v>
      </c>
      <c r="E6" s="2" t="n">
        <v>18</v>
      </c>
      <c r="F6" s="2" t="s">
        <v>140</v>
      </c>
    </row>
    <row r="7" customFormat="false" ht="15" hidden="false" customHeight="false" outlineLevel="0" collapsed="false">
      <c r="A7" s="2" t="s">
        <v>50</v>
      </c>
      <c r="B7" s="12" t="n">
        <v>45791</v>
      </c>
      <c r="C7" s="2" t="s">
        <v>54</v>
      </c>
      <c r="D7" s="2" t="s">
        <v>55</v>
      </c>
      <c r="E7" s="2" t="n">
        <v>21</v>
      </c>
      <c r="F7" s="2" t="s">
        <v>141</v>
      </c>
    </row>
    <row r="8" customFormat="false" ht="15" hidden="false" customHeight="false" outlineLevel="0" collapsed="false">
      <c r="A8" s="2" t="s">
        <v>60</v>
      </c>
      <c r="B8" s="12" t="n">
        <v>45797</v>
      </c>
      <c r="C8" s="2" t="s">
        <v>54</v>
      </c>
      <c r="D8" s="2" t="s">
        <v>55</v>
      </c>
      <c r="E8" s="2" t="n">
        <v>16</v>
      </c>
      <c r="F8" s="2" t="s">
        <v>142</v>
      </c>
    </row>
    <row r="9" customFormat="false" ht="15" hidden="false" customHeight="false" outlineLevel="0" collapsed="false">
      <c r="A9" s="2" t="s">
        <v>65</v>
      </c>
      <c r="B9" s="12" t="n">
        <v>45799</v>
      </c>
      <c r="C9" s="2" t="s">
        <v>54</v>
      </c>
      <c r="D9" s="2" t="s">
        <v>55</v>
      </c>
      <c r="E9" s="2" t="n">
        <v>19</v>
      </c>
      <c r="F9" s="2" t="s">
        <v>143</v>
      </c>
    </row>
    <row r="10" customFormat="false" ht="15" hidden="false" customHeight="false" outlineLevel="0" collapsed="false">
      <c r="A10" s="2" t="s">
        <v>92</v>
      </c>
      <c r="B10" s="12" t="n">
        <v>45749</v>
      </c>
      <c r="C10" s="2" t="s">
        <v>43</v>
      </c>
      <c r="D10" s="2" t="s">
        <v>44</v>
      </c>
      <c r="E10" s="2" t="n">
        <v>12</v>
      </c>
      <c r="F10" s="2" t="s">
        <v>144</v>
      </c>
    </row>
    <row r="11" customFormat="false" ht="15" hidden="false" customHeight="false" outlineLevel="0" collapsed="false">
      <c r="A11" s="2" t="s">
        <v>98</v>
      </c>
      <c r="B11" s="12" t="n">
        <v>45744</v>
      </c>
      <c r="C11" s="2" t="s">
        <v>101</v>
      </c>
      <c r="D11" s="2" t="s">
        <v>102</v>
      </c>
      <c r="E11" s="2" t="n">
        <v>14</v>
      </c>
      <c r="F11" s="2" t="s">
        <v>145</v>
      </c>
    </row>
    <row r="12" customFormat="false" ht="15" hidden="false" customHeight="false" outlineLevel="0" collapsed="false">
      <c r="A12" s="2"/>
      <c r="B12" s="2"/>
      <c r="C12" s="2"/>
      <c r="D12" s="2"/>
      <c r="E12" s="2"/>
      <c r="F12" s="2"/>
    </row>
    <row r="13" customFormat="false" ht="15" hidden="false" customHeight="false" outlineLevel="0" collapsed="false">
      <c r="A13" s="2"/>
      <c r="B13" s="2"/>
      <c r="C13" s="2"/>
      <c r="D13" s="2"/>
      <c r="E13" s="2"/>
      <c r="F13" s="2"/>
    </row>
    <row r="14" customFormat="false" ht="28.35" hidden="false" customHeight="false" outlineLevel="0" collapsed="false">
      <c r="A14" s="18" t="s">
        <v>146</v>
      </c>
      <c r="B14" s="2"/>
      <c r="C14" s="2"/>
      <c r="D14" s="2"/>
      <c r="E14" s="2"/>
      <c r="F14" s="2"/>
    </row>
    <row r="15" customFormat="false" ht="28.35" hidden="false" customHeight="false" outlineLevel="0" collapsed="false">
      <c r="A15" s="17" t="s">
        <v>26</v>
      </c>
      <c r="B15" s="17" t="s">
        <v>147</v>
      </c>
      <c r="C15" s="17" t="s">
        <v>137</v>
      </c>
      <c r="D15" s="17" t="s">
        <v>148</v>
      </c>
      <c r="E15" s="17" t="s">
        <v>149</v>
      </c>
      <c r="F15" s="17" t="s">
        <v>150</v>
      </c>
    </row>
    <row r="16" customFormat="false" ht="15" hidden="false" customHeight="false" outlineLevel="0" collapsed="false">
      <c r="A16" s="2" t="s">
        <v>38</v>
      </c>
      <c r="B16" s="2" t="s">
        <v>151</v>
      </c>
      <c r="C16" s="12" t="n">
        <v>45789</v>
      </c>
      <c r="D16" s="2" t="n">
        <f aca="false">COUNTIFS('Case Evidence'!$C$5:$C$23,A16,'Case Evidence'!$K$5:$K$23,"Distinct event - counted")</f>
        <v>3</v>
      </c>
      <c r="E16" s="2" t="n">
        <f aca="false">COUNTIFS('Case Evidence'!$C$5:$C$23,A16,'Case Evidence'!$K$5:$K$23,"Distinct event - counted",'Case Evidence'!$L$5:$L$23,"Linked")</f>
        <v>2</v>
      </c>
      <c r="F16" s="2" t="n">
        <f aca="false">D16-E16</f>
        <v>1</v>
      </c>
    </row>
    <row r="17" customFormat="false" ht="15" hidden="false" customHeight="false" outlineLevel="0" collapsed="false">
      <c r="A17" s="2" t="s">
        <v>50</v>
      </c>
      <c r="B17" s="2" t="s">
        <v>151</v>
      </c>
      <c r="C17" s="12" t="n">
        <v>45791</v>
      </c>
      <c r="D17" s="2" t="n">
        <f aca="false">COUNTIFS('Case Evidence'!$C$5:$C$23,A17,'Case Evidence'!$K$5:$K$23,"Distinct event - counted")</f>
        <v>4</v>
      </c>
      <c r="E17" s="2" t="n">
        <f aca="false">COUNTIFS('Case Evidence'!$C$5:$C$23,A17,'Case Evidence'!$K$5:$K$23,"Distinct event - counted",'Case Evidence'!$L$5:$L$23,"Linked")</f>
        <v>3</v>
      </c>
      <c r="F17" s="2" t="n">
        <f aca="false">D17-E17</f>
        <v>1</v>
      </c>
    </row>
    <row r="18" customFormat="false" ht="15" hidden="false" customHeight="false" outlineLevel="0" collapsed="false">
      <c r="A18" s="2" t="s">
        <v>60</v>
      </c>
      <c r="B18" s="2" t="s">
        <v>151</v>
      </c>
      <c r="C18" s="12" t="n">
        <v>45797</v>
      </c>
      <c r="D18" s="2" t="n">
        <f aca="false">COUNTIFS('Case Evidence'!$C$5:$C$23,A18,'Case Evidence'!$K$5:$K$23,"Distinct event - counted")</f>
        <v>3</v>
      </c>
      <c r="E18" s="2" t="n">
        <f aca="false">COUNTIFS('Case Evidence'!$C$5:$C$23,A18,'Case Evidence'!$K$5:$K$23,"Distinct event - counted",'Case Evidence'!$L$5:$L$23,"Linked")</f>
        <v>1</v>
      </c>
      <c r="F18" s="2" t="n">
        <f aca="false">D18-E18</f>
        <v>2</v>
      </c>
    </row>
    <row r="19" customFormat="false" ht="15" hidden="false" customHeight="false" outlineLevel="0" collapsed="false">
      <c r="A19" s="2" t="s">
        <v>65</v>
      </c>
      <c r="B19" s="2" t="s">
        <v>151</v>
      </c>
      <c r="C19" s="12" t="n">
        <v>45799</v>
      </c>
      <c r="D19" s="2" t="n">
        <f aca="false">COUNTIFS('Case Evidence'!$C$5:$C$23,A19,'Case Evidence'!$K$5:$K$23,"Distinct event - counted")</f>
        <v>3</v>
      </c>
      <c r="E19" s="2" t="n">
        <f aca="false">COUNTIFS('Case Evidence'!$C$5:$C$23,A19,'Case Evidence'!$K$5:$K$23,"Distinct event - counted",'Case Evidence'!$L$5:$L$23,"Linked")</f>
        <v>2</v>
      </c>
      <c r="F19" s="2" t="n">
        <f aca="false">D19-E19</f>
        <v>1</v>
      </c>
    </row>
    <row r="20" customFormat="false" ht="15" hidden="false" customHeight="false" outlineLevel="0" collapsed="false">
      <c r="A20" s="2" t="s">
        <v>92</v>
      </c>
      <c r="B20" s="2" t="s">
        <v>152</v>
      </c>
      <c r="C20" s="12" t="n">
        <v>45749</v>
      </c>
      <c r="D20" s="2" t="n">
        <f aca="false">COUNTIFS('Case Evidence'!$C$5:$C$23,A20,'Case Evidence'!$K$5:$K$23,"Distinct event - counted")</f>
        <v>2</v>
      </c>
      <c r="E20" s="2" t="n">
        <f aca="false">COUNTIFS('Case Evidence'!$C$5:$C$23,A20,'Case Evidence'!$K$5:$K$23,"Distinct event - counted",'Case Evidence'!$L$5:$L$23,"Linked")</f>
        <v>0</v>
      </c>
      <c r="F20" s="2" t="n">
        <f aca="false">D20-E20</f>
        <v>2</v>
      </c>
    </row>
    <row r="21" customFormat="false" ht="15" hidden="false" customHeight="false" outlineLevel="0" collapsed="false">
      <c r="A21" s="2" t="s">
        <v>98</v>
      </c>
      <c r="B21" s="2" t="s">
        <v>152</v>
      </c>
      <c r="C21" s="12" t="n">
        <v>45744</v>
      </c>
      <c r="D21" s="2" t="n">
        <f aca="false">COUNTIFS('Case Evidence'!$C$5:$C$23,A21,'Case Evidence'!$K$5:$K$23,"Distinct event - counted")</f>
        <v>2</v>
      </c>
      <c r="E21" s="2" t="n">
        <f aca="false">COUNTIFS('Case Evidence'!$C$5:$C$23,A21,'Case Evidence'!$K$5:$K$23,"Distinct event - counted",'Case Evidence'!$L$5:$L$23,"Linked")</f>
        <v>0</v>
      </c>
      <c r="F21" s="2" t="n">
        <f aca="false">D21-E21</f>
        <v>2</v>
      </c>
    </row>
    <row r="22" customFormat="false" ht="15" hidden="false" customHeight="false" outlineLevel="0" collapsed="false">
      <c r="A22" s="2"/>
      <c r="B22" s="2"/>
      <c r="C22" s="2"/>
      <c r="D22" s="2"/>
      <c r="E22" s="2"/>
      <c r="F22" s="2"/>
    </row>
    <row r="23" customFormat="false" ht="15" hidden="false" customHeight="false" outlineLevel="0" collapsed="false">
      <c r="A23" s="2"/>
      <c r="B23" s="2"/>
      <c r="C23" s="2"/>
      <c r="D23" s="2"/>
      <c r="E23" s="2"/>
      <c r="F23" s="2"/>
    </row>
    <row r="24" customFormat="false" ht="15" hidden="false" customHeight="false" outlineLevel="0" collapsed="false">
      <c r="A24" s="19" t="s">
        <v>153</v>
      </c>
      <c r="B24" s="2"/>
      <c r="C24" s="2"/>
      <c r="D24" s="2"/>
      <c r="E24" s="2"/>
      <c r="F24" s="2"/>
    </row>
    <row r="25" customFormat="false" ht="15" hidden="false" customHeight="false" outlineLevel="0" collapsed="false">
      <c r="A25" s="17" t="s">
        <v>154</v>
      </c>
      <c r="B25" s="17" t="s">
        <v>148</v>
      </c>
      <c r="C25" s="17" t="s">
        <v>149</v>
      </c>
      <c r="D25" s="17" t="s">
        <v>150</v>
      </c>
      <c r="E25" s="2"/>
      <c r="F25" s="2"/>
    </row>
    <row r="26" customFormat="false" ht="15" hidden="false" customHeight="false" outlineLevel="0" collapsed="false">
      <c r="A26" s="2" t="s">
        <v>155</v>
      </c>
      <c r="B26" s="2" t="n">
        <f aca="false">COUNTIFS('Case Evidence'!$B$5:$B$23,"&gt;="&amp;DATE(2025,1,1),'Case Evidence'!$B$5:$B$23,"&lt;="&amp;DATE(2025,5,31),'Case Evidence'!$K$5:$K$23,"Distinct event - counted")</f>
        <v>9</v>
      </c>
      <c r="C26" s="2" t="n">
        <f aca="false">COUNTIFS('Case Evidence'!$B$5:$B$23,"&gt;="&amp;DATE(2025,1,1),'Case Evidence'!$B$5:$B$23,"&lt;="&amp;DATE(2025,5,31),'Case Evidence'!$K$5:$K$23,"Distinct event - counted",'Case Evidence'!$L$5:$L$23,"Linked")</f>
        <v>3</v>
      </c>
      <c r="D26" s="2" t="n">
        <f aca="false">B26-C26</f>
        <v>6</v>
      </c>
      <c r="E26" s="2"/>
      <c r="F26" s="2"/>
    </row>
    <row r="27" customFormat="false" ht="15" hidden="false" customHeight="false" outlineLevel="0" collapsed="false">
      <c r="A27" s="2" t="s">
        <v>156</v>
      </c>
      <c r="B27" s="2" t="n">
        <f aca="false">COUNTIFS('Case Evidence'!$B$5:$B$23,"&gt;="&amp;DATE(2025,6,1),'Case Evidence'!$B$5:$B$23,"&lt;="&amp;DATE(2025,12,31),'Case Evidence'!$K$5:$K$23,"Distinct event - counted")</f>
        <v>8</v>
      </c>
      <c r="C27" s="2" t="n">
        <f aca="false">COUNTIFS('Case Evidence'!$B$5:$B$23,"&gt;="&amp;DATE(2025,6,1),'Case Evidence'!$B$5:$B$23,"&lt;="&amp;DATE(2025,12,31),'Case Evidence'!$K$5:$K$23,"Distinct event - counted",'Case Evidence'!$L$5:$L$23,"Linked")</f>
        <v>5</v>
      </c>
      <c r="D27" s="2" t="n">
        <f aca="false">B27-C27</f>
        <v>3</v>
      </c>
      <c r="E27" s="2"/>
      <c r="F27" s="2"/>
    </row>
    <row r="28" customFormat="false" ht="15" hidden="false" customHeight="false" outlineLevel="0" collapsed="false">
      <c r="A28" s="2"/>
      <c r="B28" s="2"/>
      <c r="C28" s="2"/>
      <c r="D28" s="2"/>
      <c r="E28" s="2"/>
      <c r="F28" s="2"/>
    </row>
    <row r="29" customFormat="false" ht="55.2" hidden="false" customHeight="false" outlineLevel="0" collapsed="false">
      <c r="A29" s="2" t="s">
        <v>157</v>
      </c>
      <c r="B29" s="2"/>
      <c r="C29" s="2"/>
      <c r="D29" s="2"/>
      <c r="E29" s="2"/>
      <c r="F29" s="2"/>
    </row>
  </sheetData>
  <printOptions headings="false" gridLines="false" gridLinesSet="true" horizontalCentered="false" verticalCentered="false"/>
  <pageMargins left="0.25" right="0.2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2026-08-20T18:52:56Z</dcterms:created>
  <dc:creator>openpyxl</dc:creator>
  <dc:description/>
  <dc:language>en-US</dc:language>
  <cp:lastModifiedBy/>
  <dcterms:modified xsi:type="dcterms:W3CDTF">2026-08-20T18:52:56Z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