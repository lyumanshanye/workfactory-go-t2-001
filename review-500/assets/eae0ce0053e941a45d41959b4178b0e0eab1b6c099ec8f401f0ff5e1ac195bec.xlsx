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ource Register" sheetId="2" state="visible" r:id="rId2"/>
    <sheet xmlns:r="http://schemas.openxmlformats.org/officeDocument/2006/relationships" name="Design Options" sheetId="3" state="visible" r:id="rId3"/>
    <sheet xmlns:r="http://schemas.openxmlformats.org/officeDocument/2006/relationships" name="UOM Crosswalk" sheetId="4" state="visible" r:id="rId4"/>
    <sheet xmlns:r="http://schemas.openxmlformats.org/officeDocument/2006/relationships" name="Approval" sheetId="5" state="visible" r:id="rId5"/>
    <sheet xmlns:r="http://schemas.openxmlformats.org/officeDocument/2006/relationships" name="_Lists" sheetId="6" state="hidden" r:id="rId6"/>
  </sheets>
  <definedNames>
    <definedName name="OptionList">'_Lists'!$A$2:$A$4</definedName>
    <definedName name="EvidenceTypeList">'_Lists'!$B$2:$B$6</definedName>
    <definedName name="FactAssumptionOpenIssueList">'_Lists'!$C$2:$C$4</definedName>
    <definedName name="ReviewStatusList">'_Lists'!$D$2:$D$5</definedName>
    <definedName name="GtinStatusList">'_Lists'!$E$2:$E$5</definedName>
    <definedName name="ApprovalStatusList">'_Lists'!$F$2:$F$5</definedName>
    <definedName name="_xlnm.Print_Titles" localSheetId="0">'Read Me'!$1:$3</definedName>
    <definedName name="_xlnm.Print_Area" localSheetId="0">'Read Me'!$A$1:$D$33</definedName>
    <definedName name="_xlnm._FilterDatabase" localSheetId="1" hidden="1">'Source Register'!$A$4:$E$24</definedName>
    <definedName name="_xlnm.Print_Titles" localSheetId="1">'Source Register'!$4:$4</definedName>
    <definedName name="_xlnm.Print_Area" localSheetId="1">'Source Register'!$A$1:$E$24</definedName>
    <definedName name="_xlnm._FilterDatabase" localSheetId="2" hidden="1">'Design Options'!$A$4:$J$7</definedName>
    <definedName name="_xlnm.Print_Titles" localSheetId="2">'Design Options'!$4:$4</definedName>
    <definedName name="_xlnm.Print_Area" localSheetId="2">'Design Options'!$A$1:$J$16</definedName>
    <definedName name="_xlnm._FilterDatabase" localSheetId="3" hidden="1">'UOM Crosswalk'!$A$4:$K$5</definedName>
    <definedName name="_xlnm.Print_Titles" localSheetId="3">'UOM Crosswalk'!$4:$4</definedName>
    <definedName name="_xlnm.Print_Area" localSheetId="3">'UOM Crosswalk'!$A$1:$K$36</definedName>
    <definedName name="_xlnm.Print_Titles" localSheetId="4">'Approval'!$1:$4</definedName>
    <definedName name="_xlnm.Print_Area" localSheetId="4">'Approval'!$A$1:$C$20</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b val="1"/>
      <color rgb="0017365D"/>
      <sz val="16"/>
    </font>
    <font>
      <color rgb="00666666"/>
      <sz val="9"/>
    </font>
    <font>
      <b val="1"/>
      <color rgb="0017365D"/>
    </font>
    <font>
      <b val="1"/>
    </font>
    <font>
      <b val="1"/>
      <color rgb="00FFFFFF"/>
    </font>
  </fonts>
  <fills count="8">
    <fill>
      <patternFill/>
    </fill>
    <fill>
      <patternFill patternType="gray125"/>
    </fill>
    <fill>
      <patternFill patternType="solid">
        <fgColor rgb="00FCE4D6"/>
      </patternFill>
    </fill>
    <fill>
      <patternFill patternType="solid">
        <fgColor rgb="00E2F0D9"/>
      </patternFill>
    </fill>
    <fill>
      <patternFill patternType="solid">
        <fgColor rgb="00EAF2F8"/>
      </patternFill>
    </fill>
    <fill>
      <patternFill patternType="solid">
        <fgColor rgb="00FFFDF2"/>
      </patternFill>
    </fill>
    <fill>
      <patternFill patternType="solid">
        <fgColor rgb="001F4E78"/>
      </patternFill>
    </fill>
    <fill>
      <patternFill patternType="solid">
        <fgColor rgb="00D9EAF7"/>
      </patternFill>
    </fill>
  </fills>
  <borders count="3">
    <border>
      <left/>
      <right/>
      <top/>
      <bottom/>
      <diagonal/>
    </border>
    <border>
      <bottom style="thin">
        <color rgb="00B7C9D6"/>
      </bottom>
    </border>
    <border>
      <left style="thin">
        <color rgb="00B7C9D6"/>
      </left>
      <right style="thin">
        <color rgb="00B7C9D6"/>
      </right>
      <top style="thin">
        <color rgb="00B7C9D6"/>
      </top>
      <bottom style="thin">
        <color rgb="00B7C9D6"/>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0" fillId="0" borderId="0" applyAlignment="1" pivotButton="0" quotePrefix="0" xfId="0">
      <alignment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5" fillId="6" borderId="2" applyAlignment="1" pivotButton="0" quotePrefix="0" xfId="0">
      <alignment vertical="top" wrapText="1"/>
    </xf>
    <xf numFmtId="0" fontId="0" fillId="5" borderId="2" applyAlignment="1" applyProtection="1" pivotButton="0" quotePrefix="0" xfId="0">
      <alignment vertical="top" wrapText="1"/>
      <protection locked="0" hidden="0"/>
    </xf>
    <xf numFmtId="0" fontId="3" fillId="7" borderId="2" applyAlignment="1" pivotButton="0" quotePrefix="0" xfId="0">
      <alignment vertical="top" wrapText="1"/>
    </xf>
    <xf numFmtId="0" fontId="3" fillId="4" borderId="0" pivotButton="0" quotePrefix="0" xfId="0"/>
    <xf numFmtId="0" fontId="3" fillId="0" borderId="2" applyAlignment="1" pivotButton="0" quotePrefix="0" xfId="0">
      <alignment vertical="top" wrapText="1"/>
    </xf>
    <xf numFmtId="0" fontId="0" fillId="0" borderId="2" applyAlignment="1" pivotButton="0" quotePrefix="0" xfId="0">
      <alignment vertical="top" wrapText="1"/>
    </xf>
    <xf numFmtId="0" fontId="3" fillId="4" borderId="2" applyAlignment="1" pivotButton="0" quotePrefix="0" xfId="0">
      <alignment vertical="top" wrapText="1"/>
    </xf>
  </cellXfs>
  <cellStyles count="1">
    <cellStyle name="Normal" xfId="0" builtinId="0" hidden="0"/>
  </cellStyles>
  <dxfs count="2">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DesignOptionsTable" displayName="DesignOptionsTable" ref="A4:J7" headerRowCount="1">
  <autoFilter ref="A4:J7"/>
  <tableColumns count="10">
    <tableColumn id="1" name="Option"/>
    <tableColumn id="2" name="Operational fit"/>
    <tableColumn id="3" name="Customer impact"/>
    <tableColumn id="4" name="GTIN uniqueness"/>
    <tableColumn id="5" name="Bin and legacy-WMS handling"/>
    <tableColumn id="6" name="EDI implications"/>
    <tableColumn id="7" name="Cutover risk"/>
    <tableColumn id="8" name="Unresolved issue"/>
    <tableColumn id="9" name="Evidence reference"/>
    <tableColumn id="10" name="Reviewer comment"/>
  </tableColumns>
  <tableStyleInfo name="TableStyleMedium2" showRowStripes="1" showColumnStripes="0"/>
</table>
</file>

<file path=xl/tables/table2.xml><?xml version="1.0" encoding="utf-8"?>
<table xmlns="http://schemas.openxmlformats.org/spreadsheetml/2006/main" id="2" name="UOMCrosswalkTable" displayName="UOMCrosswalkTable" ref="A4:K5" headerRowCount="1">
  <autoFilter ref="A4:K5"/>
  <tableColumns count="11">
    <tableColumn id="1" name="Acquired or legacy number"/>
    <tableColumn id="2" name="Golden or parallel item identifier"/>
    <tableColumn id="3" name="Description"/>
    <tableColumn id="4" name="Source UOM"/>
    <tableColumn id="5" name="Target UOM"/>
    <tableColumn id="6" name="Conversion or packaging note"/>
    <tableColumn id="7" name="GTIN status"/>
    <tableColumn id="8" name="Location or bin consequence"/>
    <tableColumn id="9" name="EDI consequence"/>
    <tableColumn id="10" name="Evidence reference"/>
    <tableColumn id="11" name="Review statu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33"/>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33" customWidth="1" min="2" max="2"/>
    <col width="33" customWidth="1" min="3" max="3"/>
    <col width="33" customWidth="1" min="4" max="4"/>
  </cols>
  <sheetData>
    <row r="1">
      <c r="A1" s="1" t="inlineStr">
        <is>
          <t>Aldenmere Item Master &amp; UOM Design Memo</t>
        </is>
      </c>
    </row>
    <row r="2">
      <c r="A2" s="2" t="inlineStr">
        <is>
          <t>Reusable blank decision instrument | complete during design review, then print and staple for Sven Bjarnason approval</t>
        </is>
      </c>
    </row>
    <row r="4">
      <c r="A4" s="3" t="inlineStr">
        <is>
          <t>Purpose</t>
        </is>
      </c>
      <c r="B4" t="inlineStr">
        <is>
          <t>Use this blank workbook to compare the three supplied item-master designs, preserve source wording, track UOM cross-reference evidence, and prepare an approval decision for the January cutover.</t>
        </is>
      </c>
    </row>
    <row r="5"/>
    <row r="7">
      <c r="A7" s="3" t="inlineStr">
        <is>
          <t>How to use</t>
        </is>
      </c>
    </row>
    <row r="8" ht="30" customHeight="1">
      <c r="A8" s="4" t="inlineStr">
        <is>
          <t>1. Start in Source Register. Give each material claim a short evidence reference, select its evidence type and classification, and paste the supporting source passage or record wording unchanged.</t>
        </is>
      </c>
    </row>
    <row r="9" ht="30" customHeight="1">
      <c r="A9" s="4" t="inlineStr">
        <is>
          <t>2. In Design Options, assess every fixed option against operational fit, customer impact, GTIN uniqueness, bin/legacy-WMS handling, EDI implications, and cutover risk. Record unresolved issues, evidence references, and reviewer comments.</t>
        </is>
      </c>
    </row>
    <row r="10" ht="30" customHeight="1">
      <c r="A10" s="4" t="inlineStr">
        <is>
          <t>3. In UOM Crosswalk, add one row per acquired/legacy number and target item relationship. Use the maintained dropdowns for GTIN and review status. The table is expandable; add rows directly below it.</t>
        </is>
      </c>
    </row>
    <row r="11" ht="30" customHeight="1">
      <c r="A11" s="4" t="inlineStr">
        <is>
          <t>4. Review the calculated counts. Missing evidence, non-ready statuses, and GTIN concerns are flagged with both colour and words. Use the Approval sheet only after the evidence and trade-offs are complete.</t>
        </is>
      </c>
    </row>
    <row r="12" ht="30" customHeight="1">
      <c r="A12" s="4" t="inlineStr">
        <is>
          <t>5. On Approval, enter one selected option, rationale, rejected alternatives and reasons, assumptions, dependencies, owner, target decision date, approver, status, comment, and readiness for Sven approval. The completeness indicator is formula-driven and may show incomplete while fields are blank.</t>
        </is>
      </c>
    </row>
    <row r="15">
      <c r="A15" s="3" t="inlineStr">
        <is>
          <t>Source vocabulary and facts</t>
        </is>
      </c>
    </row>
    <row r="16">
      <c r="A16" s="4" t="inlineStr">
        <is>
          <t>Aldenmere Fluid Power is integrating Birchmoor Engineering and Tanneryside Industries hose-and-fittings item masters before the January cutover. Customers may continue quoting old part numbers on purchase orders. Case GTINs must remain unique. Bin labels and the legacy WMS cannot hold two UOMs per location. The cutover has one quiet week.</t>
        </is>
      </c>
    </row>
    <row r="17"/>
    <row r="19">
      <c r="A19" s="3" t="inlineStr">
        <is>
          <t>The three candidate options</t>
        </is>
      </c>
    </row>
    <row r="20">
      <c r="A20" s="5" t="inlineStr">
        <is>
          <t>One golden SKU with an alias table</t>
        </is>
      </c>
      <c r="B20" s="6" t="inlineStr">
        <is>
          <t>Consolidate to one target identifier while retaining aliases for acquired numbers.</t>
        </is>
      </c>
    </row>
    <row r="21">
      <c r="A21" s="5" t="inlineStr">
        <is>
          <t>Parallel SKUs mapped at order entry</t>
        </is>
      </c>
      <c r="B21" s="6" t="inlineStr">
        <is>
          <t>Keep parallel target identifiers and map incoming orders at entry.</t>
        </is>
      </c>
    </row>
    <row r="22">
      <c r="A22" s="5" t="inlineStr">
        <is>
          <t>Retiring the acquired numbers outright</t>
        </is>
      </c>
      <c r="B22" s="6" t="inlineStr">
        <is>
          <t>Stop using acquired numbers in the target design after cutover.</t>
        </is>
      </c>
    </row>
    <row r="24">
      <c r="A24" s="3" t="inlineStr">
        <is>
          <t>Definitions</t>
        </is>
      </c>
    </row>
    <row r="25">
      <c r="A25" s="6" t="inlineStr">
        <is>
          <t>Fact = directly supported by a cited source passage or record. Assumption = a working premise not yet proven by the supplied source. Open issue = a material question or conflict needing evidence, owner, or decision.</t>
        </is>
      </c>
    </row>
    <row r="26"/>
    <row r="28">
      <c r="A28" s="3" t="inlineStr">
        <is>
          <t>Legend</t>
        </is>
      </c>
    </row>
    <row r="29">
      <c r="A29" s="7" t="inlineStr">
        <is>
          <t>Missing evidence</t>
        </is>
      </c>
      <c r="B29" s="6" t="inlineStr">
        <is>
          <t>Evidence reference is blank; add a Source Register key.</t>
        </is>
      </c>
    </row>
    <row r="30">
      <c r="A30" s="7" t="inlineStr">
        <is>
          <t>Non-ready / unresolved</t>
        </is>
      </c>
      <c r="B30" s="6" t="inlineStr">
        <is>
          <t>Review status is not Ready for review or is Blocked; resolve or document the issue.</t>
        </is>
      </c>
    </row>
    <row r="31">
      <c r="A31" s="8" t="inlineStr">
        <is>
          <t>GTIN concern</t>
        </is>
      </c>
      <c r="B31" s="6" t="inlineStr">
        <is>
          <t>GTIN status is Concern - possible duplicate; confirm uniqueness before approval.</t>
        </is>
      </c>
    </row>
    <row r="32">
      <c r="A32" s="9" t="inlineStr">
        <is>
          <t>Blue cells</t>
        </is>
      </c>
      <c r="B32" s="6" t="inlineStr">
        <is>
          <t>Calculated or fixed formula cells; do not overwrite.</t>
        </is>
      </c>
    </row>
    <row r="33">
      <c r="A33" s="10" t="inlineStr">
        <is>
          <t>Cream cells</t>
        </is>
      </c>
      <c r="B33" s="6" t="inlineStr">
        <is>
          <t>User-entry cells; leave blank until the review.</t>
        </is>
      </c>
    </row>
  </sheetData>
  <mergeCells count="17">
    <mergeCell ref="B33:D33"/>
    <mergeCell ref="A9:D9"/>
    <mergeCell ref="A8:D8"/>
    <mergeCell ref="A25:D26"/>
    <mergeCell ref="B31:D31"/>
    <mergeCell ref="A12:D12"/>
    <mergeCell ref="B22:D22"/>
    <mergeCell ref="B32:D32"/>
    <mergeCell ref="B4:D5"/>
    <mergeCell ref="A16:D17"/>
    <mergeCell ref="B21:D21"/>
    <mergeCell ref="B30:D30"/>
    <mergeCell ref="A11:D11"/>
    <mergeCell ref="B29:D29"/>
    <mergeCell ref="A10:D10"/>
    <mergeCell ref="A2:C2"/>
    <mergeCell ref="B20:D20"/>
  </mergeCells>
  <pageMargins left="0.3" right="0.3" top="0.5" bottom="0.5" header="0.2" footer="0.2"/>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E24"/>
  <sheetViews>
    <sheetView showGridLines="0" zoomScale="85" workbookViewId="0">
      <pane ySplit="4" topLeftCell="A5" activePane="bottomLeft" state="frozen"/>
      <selection pane="bottomLeft" activeCell="A1" sqref="A1"/>
    </sheetView>
  </sheetViews>
  <sheetFormatPr baseColWidth="8" defaultRowHeight="15"/>
  <cols>
    <col width="18" customWidth="1" min="1" max="1"/>
    <col width="24" customWidth="1" min="2" max="2"/>
    <col width="58" customWidth="1" min="3" max="3"/>
    <col width="24" customWidth="1" min="4" max="4"/>
    <col width="38" customWidth="1" min="5" max="5"/>
  </cols>
  <sheetData>
    <row r="1">
      <c r="A1" s="1" t="inlineStr">
        <is>
          <t>Source Register</t>
        </is>
      </c>
    </row>
    <row r="2">
      <c r="A2" s="2" t="inlineStr">
        <is>
          <t>Preserve source wording; classify each material claim before using it in the decision memo.</t>
        </is>
      </c>
    </row>
    <row r="4" ht="32" customHeight="1">
      <c r="A4" s="11" t="inlineStr">
        <is>
          <t>Evidence reference</t>
        </is>
      </c>
      <c r="B4" s="11" t="inlineStr">
        <is>
          <t>Evidence type</t>
        </is>
      </c>
      <c r="C4" s="11" t="inlineStr">
        <is>
          <t>Source passage or record</t>
        </is>
      </c>
      <c r="D4" s="11" t="inlineStr">
        <is>
          <t>Fact, assumption, or open issue</t>
        </is>
      </c>
      <c r="E4" s="11" t="inlineStr">
        <is>
          <t>Reviewer note</t>
        </is>
      </c>
    </row>
    <row r="5" ht="32" customHeight="1">
      <c r="A5" s="12" t="n"/>
      <c r="B5" s="12" t="n"/>
      <c r="C5" s="12" t="n"/>
      <c r="D5" s="12" t="n"/>
      <c r="E5" s="12" t="n"/>
    </row>
    <row r="6" ht="32" customHeight="1">
      <c r="A6" s="12" t="n"/>
      <c r="B6" s="12" t="n"/>
      <c r="C6" s="12" t="n"/>
      <c r="D6" s="12" t="n"/>
      <c r="E6" s="12" t="n"/>
    </row>
    <row r="7" ht="32" customHeight="1">
      <c r="A7" s="12" t="n"/>
      <c r="B7" s="12" t="n"/>
      <c r="C7" s="12" t="n"/>
      <c r="D7" s="12" t="n"/>
      <c r="E7" s="12" t="n"/>
    </row>
    <row r="8" ht="32" customHeight="1">
      <c r="A8" s="12" t="n"/>
      <c r="B8" s="12" t="n"/>
      <c r="C8" s="12" t="n"/>
      <c r="D8" s="12" t="n"/>
      <c r="E8" s="12" t="n"/>
    </row>
    <row r="9" ht="32" customHeight="1">
      <c r="A9" s="12" t="n"/>
      <c r="B9" s="12" t="n"/>
      <c r="C9" s="12" t="n"/>
      <c r="D9" s="12" t="n"/>
      <c r="E9" s="12" t="n"/>
    </row>
    <row r="10" ht="32" customHeight="1">
      <c r="A10" s="12" t="n"/>
      <c r="B10" s="12" t="n"/>
      <c r="C10" s="12" t="n"/>
      <c r="D10" s="12" t="n"/>
      <c r="E10" s="12" t="n"/>
    </row>
    <row r="11" ht="32" customHeight="1">
      <c r="A11" s="12" t="n"/>
      <c r="B11" s="12" t="n"/>
      <c r="C11" s="12" t="n"/>
      <c r="D11" s="12" t="n"/>
      <c r="E11" s="12" t="n"/>
    </row>
    <row r="12" ht="32" customHeight="1">
      <c r="A12" s="12" t="n"/>
      <c r="B12" s="12" t="n"/>
      <c r="C12" s="12" t="n"/>
      <c r="D12" s="12" t="n"/>
      <c r="E12" s="12" t="n"/>
    </row>
    <row r="13" ht="32" customHeight="1">
      <c r="A13" s="12" t="n"/>
      <c r="B13" s="12" t="n"/>
      <c r="C13" s="12" t="n"/>
      <c r="D13" s="12" t="n"/>
      <c r="E13" s="12" t="n"/>
    </row>
    <row r="14" ht="32" customHeight="1">
      <c r="A14" s="12" t="n"/>
      <c r="B14" s="12" t="n"/>
      <c r="C14" s="12" t="n"/>
      <c r="D14" s="12" t="n"/>
      <c r="E14" s="12" t="n"/>
    </row>
    <row r="15" ht="32" customHeight="1">
      <c r="A15" s="12" t="n"/>
      <c r="B15" s="12" t="n"/>
      <c r="C15" s="12" t="n"/>
      <c r="D15" s="12" t="n"/>
      <c r="E15" s="12" t="n"/>
    </row>
    <row r="16" ht="32" customHeight="1">
      <c r="A16" s="12" t="n"/>
      <c r="B16" s="12" t="n"/>
      <c r="C16" s="12" t="n"/>
      <c r="D16" s="12" t="n"/>
      <c r="E16" s="12" t="n"/>
    </row>
    <row r="17" ht="32" customHeight="1">
      <c r="A17" s="12" t="n"/>
      <c r="B17" s="12" t="n"/>
      <c r="C17" s="12" t="n"/>
      <c r="D17" s="12" t="n"/>
      <c r="E17" s="12" t="n"/>
    </row>
    <row r="18" ht="32" customHeight="1">
      <c r="A18" s="12" t="n"/>
      <c r="B18" s="12" t="n"/>
      <c r="C18" s="12" t="n"/>
      <c r="D18" s="12" t="n"/>
      <c r="E18" s="12" t="n"/>
    </row>
    <row r="19" ht="32" customHeight="1">
      <c r="A19" s="12" t="n"/>
      <c r="B19" s="12" t="n"/>
      <c r="C19" s="12" t="n"/>
      <c r="D19" s="12" t="n"/>
      <c r="E19" s="12" t="n"/>
    </row>
    <row r="20" ht="32" customHeight="1">
      <c r="A20" s="12" t="n"/>
      <c r="B20" s="12" t="n"/>
      <c r="C20" s="12" t="n"/>
      <c r="D20" s="12" t="n"/>
      <c r="E20" s="12" t="n"/>
    </row>
    <row r="21" ht="32" customHeight="1">
      <c r="A21" s="12" t="n"/>
      <c r="B21" s="12" t="n"/>
      <c r="C21" s="12" t="n"/>
      <c r="D21" s="12" t="n"/>
      <c r="E21" s="12" t="n"/>
    </row>
    <row r="22" ht="32" customHeight="1">
      <c r="A22" s="12" t="n"/>
      <c r="B22" s="12" t="n"/>
      <c r="C22" s="12" t="n"/>
      <c r="D22" s="12" t="n"/>
      <c r="E22" s="12" t="n"/>
    </row>
    <row r="23" ht="32" customHeight="1">
      <c r="A23" s="12" t="n"/>
      <c r="B23" s="12" t="n"/>
      <c r="C23" s="12" t="n"/>
      <c r="D23" s="12" t="n"/>
      <c r="E23" s="12" t="n"/>
    </row>
    <row r="24" ht="32" customHeight="1">
      <c r="A24" s="12" t="n"/>
      <c r="B24" s="12" t="n"/>
      <c r="C24" s="12" t="n"/>
      <c r="D24" s="12" t="n"/>
      <c r="E24" s="12" t="n"/>
    </row>
  </sheetData>
  <autoFilter ref="A4:E24"/>
  <mergeCells count="1">
    <mergeCell ref="A2:C2"/>
  </mergeCells>
  <dataValidations count="2">
    <dataValidation sqref="B5:B1000" showDropDown="0" showInputMessage="0" showErrorMessage="0" allowBlank="1" type="list">
      <formula1>=EvidenceTypeList</formula1>
    </dataValidation>
    <dataValidation sqref="D5:D1000" showDropDown="0" showInputMessage="0" showErrorMessage="0" allowBlank="1" type="list">
      <formula1>=FactAssumptionOpenIssueList</formula1>
    </dataValidation>
  </dataValidations>
  <pageMargins left="0.3" right="0.3" top="0.5" bottom="0.5" header="0.2" footer="0.2"/>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J16"/>
  <sheetViews>
    <sheetView showGridLines="0" zoomScale="85" workbookViewId="0">
      <pane ySplit="4" topLeftCell="A5" activePane="bottomLeft" state="frozen"/>
      <selection pane="bottomLeft" activeCell="A1" sqref="A1"/>
    </sheetView>
  </sheetViews>
  <sheetFormatPr baseColWidth="8" defaultRowHeight="15"/>
  <cols>
    <col width="34" customWidth="1" min="1" max="1"/>
    <col width="19" customWidth="1" min="2" max="2"/>
    <col width="19" customWidth="1" min="3" max="3"/>
    <col width="18" customWidth="1" min="4" max="4"/>
    <col width="22" customWidth="1" min="5" max="5"/>
    <col width="19" customWidth="1" min="6" max="6"/>
    <col width="18" customWidth="1" min="7" max="7"/>
    <col width="20" customWidth="1" min="8" max="8"/>
    <col width="17" customWidth="1" min="9" max="9"/>
    <col width="24" customWidth="1" min="10" max="10"/>
  </cols>
  <sheetData>
    <row r="1">
      <c r="A1" s="1" t="inlineStr">
        <is>
          <t>Design Options</t>
        </is>
      </c>
    </row>
    <row r="2">
      <c r="A2" s="2" t="inlineStr">
        <is>
          <t>Assess all three supplied approaches; leave assessments empty until evidence is reviewed.</t>
        </is>
      </c>
    </row>
    <row r="4" ht="42" customHeight="1">
      <c r="A4" s="11" t="inlineStr">
        <is>
          <t>Option</t>
        </is>
      </c>
      <c r="B4" s="11" t="inlineStr">
        <is>
          <t>Operational fit</t>
        </is>
      </c>
      <c r="C4" s="11" t="inlineStr">
        <is>
          <t>Customer impact</t>
        </is>
      </c>
      <c r="D4" s="11" t="inlineStr">
        <is>
          <t>GTIN uniqueness</t>
        </is>
      </c>
      <c r="E4" s="11" t="inlineStr">
        <is>
          <t>Bin and legacy-WMS handling</t>
        </is>
      </c>
      <c r="F4" s="11" t="inlineStr">
        <is>
          <t>EDI implications</t>
        </is>
      </c>
      <c r="G4" s="11" t="inlineStr">
        <is>
          <t>Cutover risk</t>
        </is>
      </c>
      <c r="H4" s="11" t="inlineStr">
        <is>
          <t>Unresolved issue</t>
        </is>
      </c>
      <c r="I4" s="11" t="inlineStr">
        <is>
          <t>Evidence reference</t>
        </is>
      </c>
      <c r="J4" s="11" t="inlineStr">
        <is>
          <t>Reviewer comment</t>
        </is>
      </c>
    </row>
    <row r="5">
      <c r="A5" s="13" t="inlineStr">
        <is>
          <t>One golden SKU with an alias table</t>
        </is>
      </c>
      <c r="B5" s="12" t="n"/>
      <c r="C5" s="12" t="n"/>
      <c r="D5" s="12" t="n"/>
      <c r="E5" s="12" t="n"/>
      <c r="F5" s="12" t="n"/>
      <c r="G5" s="12" t="n"/>
      <c r="H5" s="12" t="n"/>
      <c r="I5" s="12" t="n"/>
      <c r="J5" s="12" t="n"/>
    </row>
    <row r="6">
      <c r="A6" s="13" t="inlineStr">
        <is>
          <t>Parallel SKUs mapped at order entry</t>
        </is>
      </c>
      <c r="B6" s="12" t="n"/>
      <c r="C6" s="12" t="n"/>
      <c r="D6" s="12" t="n"/>
      <c r="E6" s="12" t="n"/>
      <c r="F6" s="12" t="n"/>
      <c r="G6" s="12" t="n"/>
      <c r="H6" s="12" t="n"/>
      <c r="I6" s="12" t="n"/>
      <c r="J6" s="12" t="n"/>
    </row>
    <row r="7">
      <c r="A7" s="13" t="inlineStr">
        <is>
          <t>Retiring the acquired numbers outright</t>
        </is>
      </c>
      <c r="B7" s="12" t="n"/>
      <c r="C7" s="12" t="n"/>
      <c r="D7" s="12" t="n"/>
      <c r="E7" s="12" t="n"/>
      <c r="F7" s="12" t="n"/>
      <c r="G7" s="12" t="n"/>
      <c r="H7" s="12" t="n"/>
      <c r="I7" s="12" t="n"/>
      <c r="J7" s="12" t="n"/>
    </row>
    <row r="10">
      <c r="A10" s="3" t="inlineStr">
        <is>
          <t>Review summary</t>
        </is>
      </c>
    </row>
    <row r="11">
      <c r="A11" t="inlineStr">
        <is>
          <t>Options with evidence reference</t>
        </is>
      </c>
      <c r="B11" s="14">
        <f>COUNTIF(DesignOptionsTable[Evidence reference],"&lt;&gt;")</f>
        <v/>
      </c>
    </row>
    <row r="12">
      <c r="A12" t="inlineStr">
        <is>
          <t>Options with unresolved issue</t>
        </is>
      </c>
      <c r="B12" s="14">
        <f>COUNTIF(DesignOptionsTable[Unresolved issue],"&lt;&gt;")</f>
        <v/>
      </c>
    </row>
    <row r="13">
      <c r="A13" t="inlineStr">
        <is>
          <t>Option rows in table</t>
        </is>
      </c>
      <c r="B13" s="14">
        <f>ROWS(DesignOptionsTable[Option])</f>
        <v/>
      </c>
    </row>
    <row r="15">
      <c r="A15" t="inlineStr">
        <is>
          <t>Boundary total (formula-driven)</t>
        </is>
      </c>
      <c r="B15" s="14">
        <f>ROWS(DesignOptionsTable[#All])-1</f>
        <v/>
      </c>
    </row>
    <row r="16">
      <c r="A16" s="2" t="inlineStr">
        <is>
          <t>Use the table rows above for the three fixed option identifiers; all other cells are blank entry fields.</t>
        </is>
      </c>
    </row>
  </sheetData>
  <autoFilter ref="A4:J7"/>
  <mergeCells count="2">
    <mergeCell ref="A2:C2"/>
    <mergeCell ref="A16:J16"/>
  </mergeCells>
  <pageMargins left="0.3" right="0.3" top="0.5" bottom="0.5" header="0.2" footer="0.2"/>
  <pageSetup orientation="portrait" paperSize="9"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K36"/>
  <sheetViews>
    <sheetView showGridLines="0" zoomScale="85" workbookViewId="0">
      <pane ySplit="4" topLeftCell="A5" activePane="bottomLeft" state="frozen"/>
      <selection pane="bottomLeft" activeCell="A1" sqref="A1"/>
    </sheetView>
  </sheetViews>
  <sheetFormatPr baseColWidth="8" defaultRowHeight="15"/>
  <cols>
    <col width="20" customWidth="1" min="1" max="1"/>
    <col width="22" customWidth="1" min="2" max="2"/>
    <col width="25" customWidth="1" min="3" max="3"/>
    <col width="12" customWidth="1" min="4" max="4"/>
    <col width="12" customWidth="1" min="5" max="5"/>
    <col width="25" customWidth="1" min="6" max="6"/>
    <col width="22" customWidth="1" min="7" max="7"/>
    <col width="25" customWidth="1" min="8" max="8"/>
    <col width="22" customWidth="1" min="9" max="9"/>
    <col width="18" customWidth="1" min="10" max="10"/>
    <col width="18" customWidth="1" min="11" max="11"/>
  </cols>
  <sheetData>
    <row r="1">
      <c r="A1" s="1" t="inlineStr">
        <is>
          <t>UOM Crosswalk</t>
        </is>
      </c>
    </row>
    <row r="2">
      <c r="A2" s="2" t="inlineStr">
        <is>
          <t>Enter acquired-to-target relationships; add rows directly below the table as the review grows.</t>
        </is>
      </c>
    </row>
    <row r="4" ht="44" customHeight="1">
      <c r="A4" s="11" t="inlineStr">
        <is>
          <t>Acquired or legacy number</t>
        </is>
      </c>
      <c r="B4" s="11" t="inlineStr">
        <is>
          <t>Golden or parallel item identifier</t>
        </is>
      </c>
      <c r="C4" s="11" t="inlineStr">
        <is>
          <t>Description</t>
        </is>
      </c>
      <c r="D4" s="11" t="inlineStr">
        <is>
          <t>Source UOM</t>
        </is>
      </c>
      <c r="E4" s="11" t="inlineStr">
        <is>
          <t>Target UOM</t>
        </is>
      </c>
      <c r="F4" s="11" t="inlineStr">
        <is>
          <t>Conversion or packaging note</t>
        </is>
      </c>
      <c r="G4" s="11" t="inlineStr">
        <is>
          <t>GTIN status</t>
        </is>
      </c>
      <c r="H4" s="11" t="inlineStr">
        <is>
          <t>Location or bin consequence</t>
        </is>
      </c>
      <c r="I4" s="11" t="inlineStr">
        <is>
          <t>EDI consequence</t>
        </is>
      </c>
      <c r="J4" s="11" t="inlineStr">
        <is>
          <t>Evidence reference</t>
        </is>
      </c>
      <c r="K4" s="11" t="inlineStr">
        <is>
          <t>Review status</t>
        </is>
      </c>
    </row>
    <row r="5" ht="34" customHeight="1">
      <c r="A5" s="12" t="n"/>
      <c r="B5" s="12" t="n"/>
      <c r="C5" s="12" t="n"/>
      <c r="D5" s="12" t="n"/>
      <c r="E5" s="12" t="n"/>
      <c r="F5" s="12" t="n"/>
      <c r="G5" s="12" t="n"/>
      <c r="H5" s="12" t="n"/>
      <c r="I5" s="12" t="n"/>
      <c r="J5" s="12" t="n"/>
      <c r="K5" s="12" t="n"/>
    </row>
    <row r="6" ht="34" customHeight="1">
      <c r="A6" s="12" t="n"/>
      <c r="B6" s="12" t="n"/>
      <c r="C6" s="12" t="n"/>
      <c r="D6" s="12" t="n"/>
      <c r="E6" s="12" t="n"/>
      <c r="F6" s="12" t="n"/>
      <c r="G6" s="12" t="n"/>
      <c r="H6" s="12" t="n"/>
      <c r="I6" s="12" t="n"/>
      <c r="J6" s="12" t="n"/>
      <c r="K6" s="12" t="n"/>
    </row>
    <row r="7" ht="34" customHeight="1">
      <c r="A7" s="12" t="n"/>
      <c r="B7" s="12" t="n"/>
      <c r="C7" s="12" t="n"/>
      <c r="D7" s="12" t="n"/>
      <c r="E7" s="12" t="n"/>
      <c r="F7" s="12" t="n"/>
      <c r="G7" s="12" t="n"/>
      <c r="H7" s="12" t="n"/>
      <c r="I7" s="12" t="n"/>
      <c r="J7" s="12" t="n"/>
      <c r="K7" s="12" t="n"/>
    </row>
    <row r="8" ht="34" customHeight="1">
      <c r="A8" s="12" t="n"/>
      <c r="B8" s="12" t="n"/>
      <c r="C8" s="12" t="n"/>
      <c r="D8" s="12" t="n"/>
      <c r="E8" s="12" t="n"/>
      <c r="F8" s="12" t="n"/>
      <c r="G8" s="12" t="n"/>
      <c r="H8" s="12" t="n"/>
      <c r="I8" s="12" t="n"/>
      <c r="J8" s="12" t="n"/>
      <c r="K8" s="12" t="n"/>
    </row>
    <row r="9" ht="34" customHeight="1">
      <c r="A9" s="12" t="n"/>
      <c r="B9" s="12" t="n"/>
      <c r="C9" s="12" t="n"/>
      <c r="D9" s="12" t="n"/>
      <c r="E9" s="12" t="n"/>
      <c r="F9" s="12" t="n"/>
      <c r="G9" s="12" t="n"/>
      <c r="H9" s="12" t="n"/>
      <c r="I9" s="12" t="n"/>
      <c r="J9" s="12" t="n"/>
      <c r="K9" s="12" t="n"/>
    </row>
    <row r="10" ht="34" customHeight="1">
      <c r="A10" s="12" t="n"/>
      <c r="B10" s="12" t="n"/>
      <c r="C10" s="12" t="n"/>
      <c r="D10" s="12" t="n"/>
      <c r="E10" s="12" t="n"/>
      <c r="F10" s="12" t="n"/>
      <c r="G10" s="12" t="n"/>
      <c r="H10" s="12" t="n"/>
      <c r="I10" s="12" t="n"/>
      <c r="J10" s="12" t="n"/>
      <c r="K10" s="12" t="n"/>
    </row>
    <row r="11" ht="34" customHeight="1">
      <c r="A11" s="12" t="n"/>
      <c r="B11" s="12" t="n"/>
      <c r="C11" s="12" t="n"/>
      <c r="D11" s="12" t="n"/>
      <c r="E11" s="12" t="n"/>
      <c r="F11" s="12" t="n"/>
      <c r="G11" s="12" t="n"/>
      <c r="H11" s="12" t="n"/>
      <c r="I11" s="12" t="n"/>
      <c r="J11" s="12" t="n"/>
      <c r="K11" s="12" t="n"/>
    </row>
    <row r="12" ht="34" customHeight="1">
      <c r="A12" s="12" t="n"/>
      <c r="B12" s="12" t="n"/>
      <c r="C12" s="12" t="n"/>
      <c r="D12" s="12" t="n"/>
      <c r="E12" s="12" t="n"/>
      <c r="F12" s="12" t="n"/>
      <c r="G12" s="12" t="n"/>
      <c r="H12" s="12" t="n"/>
      <c r="I12" s="12" t="n"/>
      <c r="J12" s="12" t="n"/>
      <c r="K12" s="12" t="n"/>
    </row>
    <row r="13" ht="34" customHeight="1">
      <c r="A13" s="12" t="n"/>
      <c r="B13" s="12" t="n"/>
      <c r="C13" s="12" t="n"/>
      <c r="D13" s="12" t="n"/>
      <c r="E13" s="12" t="n"/>
      <c r="F13" s="12" t="n"/>
      <c r="G13" s="12" t="n"/>
      <c r="H13" s="12" t="n"/>
      <c r="I13" s="12" t="n"/>
      <c r="J13" s="12" t="n"/>
      <c r="K13" s="12" t="n"/>
    </row>
    <row r="14" ht="34" customHeight="1">
      <c r="A14" s="12" t="n"/>
      <c r="B14" s="12" t="n"/>
      <c r="C14" s="12" t="n"/>
      <c r="D14" s="12" t="n"/>
      <c r="E14" s="12" t="n"/>
      <c r="F14" s="12" t="n"/>
      <c r="G14" s="12" t="n"/>
      <c r="H14" s="12" t="n"/>
      <c r="I14" s="12" t="n"/>
      <c r="J14" s="12" t="n"/>
      <c r="K14" s="12" t="n"/>
    </row>
    <row r="15" ht="34" customHeight="1">
      <c r="A15" s="12" t="n"/>
      <c r="B15" s="12" t="n"/>
      <c r="C15" s="12" t="n"/>
      <c r="D15" s="12" t="n"/>
      <c r="E15" s="12" t="n"/>
      <c r="F15" s="12" t="n"/>
      <c r="G15" s="12" t="n"/>
      <c r="H15" s="12" t="n"/>
      <c r="I15" s="12" t="n"/>
      <c r="J15" s="12" t="n"/>
      <c r="K15" s="12" t="n"/>
    </row>
    <row r="16" ht="34" customHeight="1">
      <c r="A16" s="12" t="n"/>
      <c r="B16" s="12" t="n"/>
      <c r="C16" s="12" t="n"/>
      <c r="D16" s="12" t="n"/>
      <c r="E16" s="12" t="n"/>
      <c r="F16" s="12" t="n"/>
      <c r="G16" s="12" t="n"/>
      <c r="H16" s="12" t="n"/>
      <c r="I16" s="12" t="n"/>
      <c r="J16" s="12" t="n"/>
      <c r="K16" s="12" t="n"/>
    </row>
    <row r="17" ht="34" customHeight="1">
      <c r="A17" s="12" t="n"/>
      <c r="B17" s="12" t="n"/>
      <c r="C17" s="12" t="n"/>
      <c r="D17" s="12" t="n"/>
      <c r="E17" s="12" t="n"/>
      <c r="F17" s="12" t="n"/>
      <c r="G17" s="12" t="n"/>
      <c r="H17" s="12" t="n"/>
      <c r="I17" s="12" t="n"/>
      <c r="J17" s="12" t="n"/>
      <c r="K17" s="12" t="n"/>
    </row>
    <row r="18" ht="34" customHeight="1">
      <c r="A18" s="12" t="n"/>
      <c r="B18" s="12" t="n"/>
      <c r="C18" s="12" t="n"/>
      <c r="D18" s="12" t="n"/>
      <c r="E18" s="12" t="n"/>
      <c r="F18" s="12" t="n"/>
      <c r="G18" s="12" t="n"/>
      <c r="H18" s="12" t="n"/>
      <c r="I18" s="12" t="n"/>
      <c r="J18" s="12" t="n"/>
      <c r="K18" s="12" t="n"/>
    </row>
    <row r="19" ht="34" customHeight="1">
      <c r="A19" s="12" t="n"/>
      <c r="B19" s="12" t="n"/>
      <c r="C19" s="12" t="n"/>
      <c r="D19" s="12" t="n"/>
      <c r="E19" s="12" t="n"/>
      <c r="F19" s="12" t="n"/>
      <c r="G19" s="12" t="n"/>
      <c r="H19" s="12" t="n"/>
      <c r="I19" s="12" t="n"/>
      <c r="J19" s="12" t="n"/>
      <c r="K19" s="12" t="n"/>
    </row>
    <row r="20" ht="34" customHeight="1">
      <c r="A20" s="12" t="n"/>
      <c r="B20" s="12" t="n"/>
      <c r="C20" s="12" t="n"/>
      <c r="D20" s="12" t="n"/>
      <c r="E20" s="12" t="n"/>
      <c r="F20" s="12" t="n"/>
      <c r="G20" s="12" t="n"/>
      <c r="H20" s="12" t="n"/>
      <c r="I20" s="12" t="n"/>
      <c r="J20" s="12" t="n"/>
      <c r="K20" s="12" t="n"/>
    </row>
    <row r="21" ht="34" customHeight="1">
      <c r="A21" s="12" t="n"/>
      <c r="B21" s="12" t="n"/>
      <c r="C21" s="12" t="n"/>
      <c r="D21" s="12" t="n"/>
      <c r="E21" s="12" t="n"/>
      <c r="F21" s="12" t="n"/>
      <c r="G21" s="12" t="n"/>
      <c r="H21" s="12" t="n"/>
      <c r="I21" s="12" t="n"/>
      <c r="J21" s="12" t="n"/>
      <c r="K21" s="12" t="n"/>
    </row>
    <row r="22" ht="34" customHeight="1">
      <c r="A22" s="12" t="n"/>
      <c r="B22" s="12" t="n"/>
      <c r="C22" s="12" t="n"/>
      <c r="D22" s="12" t="n"/>
      <c r="E22" s="12" t="n"/>
      <c r="F22" s="12" t="n"/>
      <c r="G22" s="12" t="n"/>
      <c r="H22" s="12" t="n"/>
      <c r="I22" s="12" t="n"/>
      <c r="J22" s="12" t="n"/>
      <c r="K22" s="12" t="n"/>
    </row>
    <row r="23" ht="34" customHeight="1">
      <c r="A23" s="12" t="n"/>
      <c r="B23" s="12" t="n"/>
      <c r="C23" s="12" t="n"/>
      <c r="D23" s="12" t="n"/>
      <c r="E23" s="12" t="n"/>
      <c r="F23" s="12" t="n"/>
      <c r="G23" s="12" t="n"/>
      <c r="H23" s="12" t="n"/>
      <c r="I23" s="12" t="n"/>
      <c r="J23" s="12" t="n"/>
      <c r="K23" s="12" t="n"/>
    </row>
    <row r="24" ht="34" customHeight="1">
      <c r="A24" s="12" t="n"/>
      <c r="B24" s="12" t="n"/>
      <c r="C24" s="12" t="n"/>
      <c r="D24" s="12" t="n"/>
      <c r="E24" s="12" t="n"/>
      <c r="F24" s="12" t="n"/>
      <c r="G24" s="12" t="n"/>
      <c r="H24" s="12" t="n"/>
      <c r="I24" s="12" t="n"/>
      <c r="J24" s="12" t="n"/>
      <c r="K24" s="12" t="n"/>
    </row>
    <row r="28">
      <c r="A28" s="15" t="inlineStr">
        <is>
          <t>Review counts</t>
        </is>
      </c>
      <c r="B28" s="16" t="n"/>
    </row>
    <row r="29">
      <c r="A29" s="16" t="inlineStr">
        <is>
          <t>Total entered rows</t>
        </is>
      </c>
      <c r="B29" s="17">
        <f>COUNTA(UOMCrosswalkTable[Acquired or legacy number])</f>
        <v/>
      </c>
    </row>
    <row r="30">
      <c r="A30" s="16" t="inlineStr">
        <is>
          <t>Rows ready for review</t>
        </is>
      </c>
      <c r="B30" s="17">
        <f>COUNTIF(UOMCrosswalkTable[Review status],"Ready for review")</f>
        <v/>
      </c>
    </row>
    <row r="31">
      <c r="A31" s="16" t="inlineStr">
        <is>
          <t>Rows unresolved or non-ready</t>
        </is>
      </c>
      <c r="B31" s="17">
        <f>COUNTIFS(UOMCrosswalkTable[Acquired or legacy number],"&lt;&gt;",UOMCrosswalkTable[Review status],"&lt;&gt;Ready for review")</f>
        <v/>
      </c>
    </row>
    <row r="32">
      <c r="A32" s="16" t="inlineStr">
        <is>
          <t>Rows missing evidence reference</t>
        </is>
      </c>
      <c r="B32" s="17">
        <f>COUNTIFS(UOMCrosswalkTable[Acquired or legacy number],"&lt;&gt;",UOMCrosswalkTable[Evidence reference],"")</f>
        <v/>
      </c>
    </row>
    <row r="33">
      <c r="A33" s="16" t="n"/>
      <c r="B33" s="16" t="n"/>
    </row>
    <row r="34">
      <c r="A34" s="16" t="inlineStr">
        <is>
          <t>Boundary total (formula-driven)</t>
        </is>
      </c>
      <c r="B34" s="17">
        <f>ROWS(UOMCrosswalkTable[#All])-1</f>
        <v/>
      </c>
    </row>
    <row r="36">
      <c r="A36" s="2" t="inlineStr">
        <is>
          <t>Flags are intentionally duplicated as text in the Review status and GTIN status cells; colour is an additional cue.</t>
        </is>
      </c>
    </row>
  </sheetData>
  <autoFilter ref="A4:K5"/>
  <mergeCells count="2">
    <mergeCell ref="A2:C2"/>
    <mergeCell ref="A36:K36"/>
  </mergeCells>
  <conditionalFormatting sqref="A5:K1000">
    <cfRule type="expression" priority="1" dxfId="0">
      <formula>AND($A5&lt;&gt;"",$J5="")</formula>
    </cfRule>
  </conditionalFormatting>
  <conditionalFormatting sqref="K5:K1000">
    <cfRule type="expression" priority="2" dxfId="1">
      <formula>AND($A5&lt;&gt;"",$K5&lt;&gt;"Ready for review")</formula>
    </cfRule>
  </conditionalFormatting>
  <conditionalFormatting sqref="G5:G1000">
    <cfRule type="expression" priority="3" dxfId="0">
      <formula>$G5="Concern - possible duplicate"</formula>
    </cfRule>
  </conditionalFormatting>
  <dataValidations count="2">
    <dataValidation sqref="G5:G1000" showDropDown="0" showInputMessage="0" showErrorMessage="0" allowBlank="1" type="list">
      <formula1>=GTINStatusList</formula1>
    </dataValidation>
    <dataValidation sqref="K5:K1000" showDropDown="0" showInputMessage="0" showErrorMessage="0" allowBlank="1" type="list">
      <formula1>=ReviewStatusList</formula1>
    </dataValidation>
  </dataValidations>
  <pageMargins left="0.3" right="0.3" top="0.5" bottom="0.5" header="0.2" footer="0.2"/>
  <pageSetup orientation="portrait" paperSize="9"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C20"/>
  <sheetViews>
    <sheetView showGridLines="0" zoomScale="85" workbookViewId="0">
      <pane ySplit="4" topLeftCell="A5" activePane="bottomLeft" state="frozen"/>
      <selection pane="bottomLeft" activeCell="A1" sqref="A1"/>
    </sheetView>
  </sheetViews>
  <sheetFormatPr baseColWidth="8" defaultRowHeight="15"/>
  <cols>
    <col width="30" customWidth="1" min="1" max="1"/>
    <col width="58" customWidth="1" min="2" max="2"/>
    <col width="20" customWidth="1" min="3" max="3"/>
  </cols>
  <sheetData>
    <row r="1">
      <c r="A1" s="1" t="inlineStr">
        <is>
          <t>Approval</t>
        </is>
      </c>
    </row>
    <row r="2">
      <c r="A2" s="2" t="inlineStr">
        <is>
          <t>Complete after evidence review. Leave all entry fields empty in this blank instrument.</t>
        </is>
      </c>
    </row>
    <row r="4">
      <c r="A4" s="11" t="inlineStr">
        <is>
          <t>Field</t>
        </is>
      </c>
      <c r="B4" s="11" t="inlineStr">
        <is>
          <t>Team entry</t>
        </is>
      </c>
      <c r="C4" s="11" t="inlineStr">
        <is>
          <t>Status / check</t>
        </is>
      </c>
    </row>
    <row r="5" ht="28" customHeight="1">
      <c r="A5" s="13" t="inlineStr">
        <is>
          <t>Selected option</t>
        </is>
      </c>
      <c r="B5" s="12" t="n"/>
      <c r="C5" s="16" t="n"/>
    </row>
    <row r="6" ht="42" customHeight="1">
      <c r="A6" s="13" t="inlineStr">
        <is>
          <t>Recommendation rationale</t>
        </is>
      </c>
      <c r="B6" s="12" t="n"/>
      <c r="C6" s="16" t="n"/>
    </row>
    <row r="7" ht="42" customHeight="1">
      <c r="A7" s="13" t="inlineStr">
        <is>
          <t>Rejected alternatives and reasons</t>
        </is>
      </c>
      <c r="B7" s="12" t="n"/>
      <c r="C7" s="16" t="n"/>
    </row>
    <row r="8" ht="42" customHeight="1">
      <c r="A8" s="13" t="inlineStr">
        <is>
          <t>Assumptions</t>
        </is>
      </c>
      <c r="B8" s="12" t="n"/>
      <c r="C8" s="16" t="n"/>
    </row>
    <row r="9" ht="42" customHeight="1">
      <c r="A9" s="13" t="inlineStr">
        <is>
          <t>Dependencies</t>
        </is>
      </c>
      <c r="B9" s="12" t="n"/>
      <c r="C9" s="16" t="n"/>
    </row>
    <row r="10" ht="28" customHeight="1">
      <c r="A10" s="13" t="inlineStr">
        <is>
          <t>Owner</t>
        </is>
      </c>
      <c r="B10" s="12" t="n"/>
      <c r="C10" s="16" t="n"/>
    </row>
    <row r="11" ht="28" customHeight="1">
      <c r="A11" s="13" t="inlineStr">
        <is>
          <t>Target decision date</t>
        </is>
      </c>
      <c r="B11" s="12" t="n"/>
      <c r="C11" s="16" t="n"/>
    </row>
    <row r="12" ht="28" customHeight="1">
      <c r="A12" s="13" t="inlineStr">
        <is>
          <t>Approver</t>
        </is>
      </c>
      <c r="B12" s="12" t="n"/>
      <c r="C12" s="16" t="n"/>
    </row>
    <row r="13" ht="28" customHeight="1">
      <c r="A13" s="13" t="inlineStr">
        <is>
          <t>Approval status</t>
        </is>
      </c>
      <c r="B13" s="12" t="n"/>
      <c r="C13" s="16" t="n"/>
    </row>
    <row r="14" ht="42" customHeight="1">
      <c r="A14" s="13" t="inlineStr">
        <is>
          <t>Approval comment</t>
        </is>
      </c>
      <c r="B14" s="12" t="n"/>
      <c r="C14" s="16" t="n"/>
    </row>
    <row r="15" ht="28" customHeight="1">
      <c r="A15" s="13" t="inlineStr">
        <is>
          <t>Ready for approval</t>
        </is>
      </c>
      <c r="B15" s="12" t="n"/>
      <c r="C15" s="16" t="n"/>
    </row>
    <row r="17">
      <c r="A17" t="inlineStr">
        <is>
          <t>Completeness indicator</t>
        </is>
      </c>
      <c r="B17" s="14">
        <f>IF(AND(B5&lt;&gt;"",B6&lt;&gt;"",B7&lt;&gt;"",B8&lt;&gt;"",B9&lt;&gt;"",B10&lt;&gt;"",B11&lt;&gt;"",B12&lt;&gt;"",B13&lt;&gt;"",B14&lt;&gt;"",B15&lt;&gt;""),"Complete - ready to check","Incomplete - required fields remain")</f>
        <v/>
      </c>
    </row>
    <row r="18">
      <c r="A18" t="inlineStr">
        <is>
          <t>Evidence and crosswalk check</t>
        </is>
      </c>
      <c r="B18" s="9">
        <f>IF(AND('Design Options'!B11=3,'UOM Crosswalk'!B31=0,'UOM Crosswalk'!B32=0),"Evidence references present; no non-ready crosswalk rows","Review evidence references and crosswalk counts")</f>
        <v/>
      </c>
    </row>
    <row r="20">
      <c r="A20" t="inlineStr">
        <is>
          <t>Reviewer readiness check</t>
        </is>
      </c>
      <c r="B20" s="6" t="inlineStr">
        <is>
          <t>Record whether the workbook is ready for Sven Bjarnason approval in the field above; do not rely on colour alone.</t>
        </is>
      </c>
    </row>
  </sheetData>
  <mergeCells count="2">
    <mergeCell ref="B20:C20"/>
    <mergeCell ref="A2:C2"/>
  </mergeCells>
  <dataValidations count="2">
    <dataValidation sqref="B5" showDropDown="0" showInputMessage="0" showErrorMessage="0" allowBlank="1" type="list">
      <formula1>=OptionList</formula1>
    </dataValidation>
    <dataValidation sqref="B13" showDropDown="0" showInputMessage="0" showErrorMessage="0" allowBlank="1" type="list">
      <formula1>=ApprovalStatusList</formula1>
    </dataValidation>
  </dataValidations>
  <pageMargins left="0.3" right="0.3" top="0.5" bottom="0.5" header="0.2" footer="0.2"/>
  <pageSetup orientation="portrait" paperSize="9" fitToHeight="0" fitToWidth="1"/>
</worksheet>
</file>

<file path=xl/worksheets/sheet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Option</t>
        </is>
      </c>
      <c r="B1" t="inlineStr">
        <is>
          <t>Evidence type</t>
        </is>
      </c>
      <c r="C1" t="inlineStr">
        <is>
          <t>Fact/assumption/open issue</t>
        </is>
      </c>
      <c r="D1" t="inlineStr">
        <is>
          <t>Review status</t>
        </is>
      </c>
      <c r="E1" t="inlineStr">
        <is>
          <t>GTIN status</t>
        </is>
      </c>
      <c r="F1" t="inlineStr">
        <is>
          <t>Approval status</t>
        </is>
      </c>
    </row>
    <row r="2">
      <c r="A2" t="inlineStr">
        <is>
          <t>One golden SKU with an alias table</t>
        </is>
      </c>
      <c r="B2" t="inlineStr">
        <is>
          <t>Source document passage</t>
        </is>
      </c>
      <c r="C2" t="inlineStr">
        <is>
          <t>Fact</t>
        </is>
      </c>
      <c r="D2" t="inlineStr">
        <is>
          <t>Not started</t>
        </is>
      </c>
      <c r="E2" t="inlineStr">
        <is>
          <t>Not checked</t>
        </is>
      </c>
      <c r="F2" t="inlineStr">
        <is>
          <t>Draft</t>
        </is>
      </c>
    </row>
    <row r="3">
      <c r="A3" t="inlineStr">
        <is>
          <t>Parallel SKUs mapped at order entry</t>
        </is>
      </c>
      <c r="B3" t="inlineStr">
        <is>
          <t>System or master-data record</t>
        </is>
      </c>
      <c r="C3" t="inlineStr">
        <is>
          <t>Assumption</t>
        </is>
      </c>
      <c r="D3" t="inlineStr">
        <is>
          <t>In review</t>
        </is>
      </c>
      <c r="E3" t="inlineStr">
        <is>
          <t>Unique</t>
        </is>
      </c>
      <c r="F3" t="inlineStr">
        <is>
          <t>Pending approval</t>
        </is>
      </c>
    </row>
    <row r="4">
      <c r="A4" t="inlineStr">
        <is>
          <t>Retiring the acquired numbers outright</t>
        </is>
      </c>
      <c r="B4" t="inlineStr">
        <is>
          <t>Customer or EDI record</t>
        </is>
      </c>
      <c r="C4" t="inlineStr">
        <is>
          <t>Open issue</t>
        </is>
      </c>
      <c r="D4" t="inlineStr">
        <is>
          <t>Ready for review</t>
        </is>
      </c>
      <c r="E4" t="inlineStr">
        <is>
          <t>Concern - possible duplicate</t>
        </is>
      </c>
      <c r="F4" t="inlineStr">
        <is>
          <t>Approved</t>
        </is>
      </c>
    </row>
    <row r="5">
      <c r="B5" t="inlineStr">
        <is>
          <t>Warehouse observation</t>
        </is>
      </c>
      <c r="D5" t="inlineStr">
        <is>
          <t>Blocked</t>
        </is>
      </c>
      <c r="E5" t="inlineStr">
        <is>
          <t>Not applicable</t>
        </is>
      </c>
      <c r="F5" t="inlineStr">
        <is>
          <t>Returned for revision</t>
        </is>
      </c>
    </row>
    <row r="6">
      <c r="B6" t="inlineStr">
        <is>
          <t>Open issue 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2026-08-24T13:49:58Z</dcterms:created>
  <dcterms:modified xmlns:dcterms="http://purl.org/dc/terms/" xmlns:xsi="http://www.w3.org/2001/XMLSchema-instance" xsi:type="dcterms:W3CDTF">2026-08-24T13:49:58Z</dcterms:modified>
</cp:coreProperties>
</file>