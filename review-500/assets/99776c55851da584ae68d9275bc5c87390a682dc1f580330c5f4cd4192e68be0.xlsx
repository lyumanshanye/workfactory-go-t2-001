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1="http://schemas.openxmlformats.org/officeDocument/2006/relationships" xmlns:ns2="http://schemas.libreoffice.org/">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ns1:id="rId3"/>
    <sheet name="Source Register" sheetId="2" state="visible" ns1:id="rId4"/>
    <sheet name="Evidence Extract" sheetId="3" state="visible" ns1:id="rId5"/>
    <sheet name="Limits" sheetId="4" state="visible" ns1:id="rId6"/>
    <sheet name="Drawing Check" sheetId="5" state="visible" ns1:id="rId7"/>
    <sheet name="Observation Log" sheetId="6" state="visible" ns1:id="rId8"/>
    <sheet name="Scenario Check" sheetId="7" state="visible" ns1:id="rId9"/>
    <sheet name="Approval" sheetId="8" state="visible" ns1:id="rId10"/>
  </sheets>
  <definedNames>
    <definedName function="false" hidden="false" localSheetId="7" name="_xlnm.Print_Area" vbProcedure="false">Approval!$A$1:$F$27</definedName>
    <definedName function="false" hidden="false" localSheetId="4" name="_xlnm.Print_Area" vbProcedure="false">'Drawing Check'!$A$1:$S$23</definedName>
    <definedName function="false" hidden="false" localSheetId="2" name="_xlnm.Print_Area" vbProcedure="false">'Evidence Extract'!$A$1:$J$23</definedName>
    <definedName function="false" hidden="true" localSheetId="2" name="_xlnm._FilterDatabase" vbProcedure="false">'Evidence Extract'!$A$5:$N$23</definedName>
    <definedName function="false" hidden="false" localSheetId="3" name="_xlnm.Print_Area" vbProcedure="false">Limits!$A$1:$N$10</definedName>
    <definedName function="false" hidden="false" localSheetId="5" name="_xlnm.Print_Area" vbProcedure="false">'Observation Log'!$A$1:$O$30</definedName>
    <definedName function="false" hidden="false" localSheetId="5" name="_xlnm.Print_Titles" vbProcedure="false">'Observation Log'!$5:$5</definedName>
    <definedName function="false" hidden="false" localSheetId="0" name="_xlnm.Print_Area" vbProcedure="false">'Read Me'!$A$1:$C$18</definedName>
    <definedName function="false" hidden="false" localSheetId="6" name="_xlnm.Print_Area" vbProcedure="false">'Scenario Check'!$A$1:$K$34</definedName>
    <definedName function="false" hidden="false" localSheetId="1" name="_xlnm.Print_Area" vbProcedure="false">'Source Register'!$A$1:$H$12</definedName>
    <definedName function="false" hidden="false" name="EvidenceIndexTimes" vbProcedure="false">tblEvidence[Index Time (s)]</definedName>
    <definedName function="false" hidden="false" name="EvidencePeakCandidates" vbProcedure="false">tblEvidence[Peak Candidate (s)]</definedName>
    <definedName function="false" hidden="false" name="EvidenceSteadyCandidates" vbProcedure="false">tblEvidence[Steady Candidate (s)]</definedName>
    <definedName function="false" hidden="false" name="ObservationIndexTimes" vbProcedure="false">tblObservations[Index Time (s)]</definedName>
    <definedName function="false" hidden="false" name="ObservationPeakCandidates" vbProcedure="false">tblObservations[Peak Candidate (s)]</definedName>
    <definedName function="false" hidden="false" name="ObservationSteadyCandidates" vbProcedure="false">tblObservations[Steady Candidate (s)]</definedName>
  </definedNames>
  <calcPr iterateCount="100" refMode="A1" iterate="false" iterateDelta="0.0001" calcMode="auto" fullCalcOnLoad="1" forceFullCalc="1" calcOnSave="1"/>
  <extLst>
    <ext uri="{7626C862-2A13-11E5-B345-FEFF819CDC9F}">
      <ns2:extCalcPr stringRefSyntax="ExcelA1"/>
    </ext>
  </extLst>
</workbook>
</file>

<file path=xl/sharedStrings.xml><?xml version="1.0" encoding="utf-8"?>
<sst xmlns="http://schemas.openxmlformats.org/spreadsheetml/2006/main" count="551" uniqueCount="378">
  <si>
    <t xml:space="preserve">Production cell engineering specification</t>
  </si>
  <si>
    <t xml:space="preserve">Current evidence package | controlled blank instrument for later commissioning | Lampwick Instruments</t>
  </si>
  <si>
    <t xml:space="preserve">PACKAGE STATUS</t>
  </si>
  <si>
    <t xml:space="preserve">CURRENT EVIDENCE PACKAGE / CONTROLLED BLANK INSTRUMENT</t>
  </si>
  <si>
    <t xml:space="preserve">SRC-06/CWR-01/p1</t>
  </si>
  <si>
    <t xml:space="preserve">Prepared for</t>
  </si>
  <si>
    <t xml:space="preserve">Brigid Macaulay | Latchford Engineering order gate review</t>
  </si>
  <si>
    <t xml:space="preserve">Internal package context</t>
  </si>
  <si>
    <t xml:space="preserve">Prepared by</t>
  </si>
  <si>
    <t xml:space="preserve">Meera Braithwaite | Industrial Engineer, Lampwick Instruments</t>
  </si>
  <si>
    <t xml:space="preserve">Evidence date</t>
  </si>
  <si>
    <t xml:space="preserve">03 November 2025 (week commencing 03 November 2025); supplier position frozen 31 October 2025</t>
  </si>
  <si>
    <t xml:space="preserve">SRC-01/FAS-07/p1</t>
  </si>
  <si>
    <t xml:space="preserve">Downstream users</t>
  </si>
  <si>
    <t xml:space="preserve">Production, Quality, Controls and Commercial reviewers</t>
  </si>
  <si>
    <t xml:space="preserve">SRC-06/CWR-05/p2</t>
  </si>
  <si>
    <t xml:space="preserve">Purpose</t>
  </si>
  <si>
    <t xml:space="preserve">Present a traceable technical determination across Great Britain and the Republic of Ireland while preserving current source evidence and keeping commissioning and approval completion fields empty for later entry.</t>
  </si>
  <si>
    <t xml:space="preserve">SRC-01..06</t>
  </si>
  <si>
    <t xml:space="preserve">Evidence precedence</t>
  </si>
  <si>
    <t xml:space="preserve">Applicable jurisdictional or site constraints act as floors or ceilings and the stricter applicable bound governs each comparison. The frozen supplier snapshot controls supplier acceptance criteria but does not overwrite controlled drawing geometry or actual observations. The controlled drawing governs nominal dimensions, datums and tolerance envelopes. Time-study and controller-event records test capability; they do not redefine a limit. Raw peak records remain visible and participate in Peak stress.</t>
  </si>
  <si>
    <t xml:space="preserve">Engineering determination | SRC-01..05</t>
  </si>
  <si>
    <t xml:space="preserve">Missing status vocabulary</t>
  </si>
  <si>
    <t xml:space="preserve">NOT OBSERVED means the event or measurement was not captured. NOT APPLICABLE means the datum does not apply to that row or source. NOT SUPPLIED means the source should provide a datum but did not. Missing numeric cells remain empty; they are never zero, a dash or invented text.</t>
  </si>
  <si>
    <t xml:space="preserve">SRC-01/FAS-AC-02; SRC-04/CTRL-006; SRC-06/CWR-03</t>
  </si>
  <si>
    <t xml:space="preserve">Units and signs</t>
  </si>
  <si>
    <t xml:space="preserve">Dimensions, clearance and dimensional deviation are in millimetres (mm); index time is in seconds (s); peak duration is retained in milliseconds (ms). Asymmetric tolerance notation is nominal - minus tolerance / + plus tolerance. Dimensional deviation is signed measured minus nominal: positive is over nominal and negative is under nominal. A positive engineering margin is headroom, zero is exactly at the limit, and a negative margin is a shortfall.</t>
  </si>
  <si>
    <t xml:space="preserve">SRC-01/FAS-AC-05; SRC-03/DWG notes; SRC-05</t>
  </si>
  <si>
    <t xml:space="preserve">Scenario assumptions</t>
  </si>
  <si>
    <t xml:space="preserve">Acceptance basis uses the frozen supplier index criterion of 1.20 s. Observed sustained uses the greatest valid STEADY index time retained in current or later evidence. Peak stress uses the greatest valid INDEX PEAK index time with a positive recorded peak duration; it cannot become less conservative than the most adverse peak-aware event. Net available time is 270 minutes and target output is 12,000 units. Projected output converts minutes to seconds before dividing by cycle basis. Tolerance margin uses the allowed deviation less the greatest absolute valid dimensional deviation.</t>
  </si>
  <si>
    <t xml:space="preserve">SRC-01/FAS-AC-01; SRC-02; SRC-04; SRC-06/CWR-04/p2</t>
  </si>
  <si>
    <t xml:space="preserve">Peak treatment</t>
  </si>
  <si>
    <t xml:space="preserve">A favorable average must not conceal a short-duration indexing peak. Evidence Extract keeps every source record, phase, index time and peak duration at row grain; the Peak stress projection uses the adverse valid peak-aware record rather than a steady-state average.</t>
  </si>
  <si>
    <t xml:space="preserve">SRC-02/ITS-007,ITS-010; SRC-04/CTRL-004,CTRL-006</t>
  </si>
  <si>
    <t xml:space="preserve">Adding observations</t>
  </si>
  <si>
    <t xml:space="preserve">Enter the next reading in the first available pale-yellow row of Observation Log. Leave an unavailable numeric datum empty and choose only one controlled Missing Status value when applicable; Missing Status is row-level, so enter a partial reading on a separate row rather than mixing a status with numeric measurements. Do not type into calculated pass or helper columns. The Excel Table carries formulas, validation and conditional flags, and Scenario Check reads table-based dynamic columns, so no formula, rule or chart range needs to be extended manually.</t>
  </si>
  <si>
    <t xml:space="preserve">SRC-06/CWR-03; tblObservations</t>
  </si>
  <si>
    <t xml:space="preserve">Outcome legend</t>
  </si>
  <si>
    <t xml:space="preserve">Technical outcomes are exactly MEETS, DOES NOT MEET and INDETERMINATE. MEETS means all supported required margins are non-negative; DOES NOT MEET means at least one required margin is negative; INDETERMINATE means required evidence is missing or incomparable. These are technical determinations only. They do not authorize release and do not recommend release, redesign, waiver, purchase or any other action.</t>
  </si>
  <si>
    <t xml:space="preserve">SRC-06/CWR-06; engineering determination</t>
  </si>
  <si>
    <t xml:space="preserve">Blank-field convention</t>
  </si>
  <si>
    <t xml:space="preserve">Pale yellow RGB FFF2CC identifies fields awaiting later entry. Approval carries the banner PENDING COMMISSIONING / APPROVAL outside the empty completion fields. Current evidence, formula-fed determinations and traceability remain populated; commissioning disposition, reviewer identity, initials or signature, review date, conditions and comments remain genuinely empty.</t>
  </si>
  <si>
    <t xml:space="preserve">SRC-06/CWR-03,p2</t>
  </si>
  <si>
    <t xml:space="preserve">Workbook route</t>
  </si>
  <si>
    <t xml:space="preserve">Read Me -&gt; Source Register -&gt; Evidence Extract -&gt; Limits -&gt; Drawing Check -&gt; Observation Log -&gt; Scenario Check -&gt; Approval</t>
  </si>
  <si>
    <t xml:space="preserve">Source Register</t>
  </si>
  <si>
    <t xml:space="preserve">One complete provenance row per supplied reference file; source assertions remain visible even when a governing value is selected.</t>
  </si>
  <si>
    <t xml:space="preserve">Source File</t>
  </si>
  <si>
    <t xml:space="preserve">Revision or Snapshot Date</t>
  </si>
  <si>
    <t xml:space="preserve">Evidence Type</t>
  </si>
  <si>
    <t xml:space="preserve">Jurisdiction</t>
  </si>
  <si>
    <t xml:space="preserve">Governing Subject</t>
  </si>
  <si>
    <t xml:space="preserve">Precedence Role</t>
  </si>
  <si>
    <t xml:space="preserve">Conflict or Gap</t>
  </si>
  <si>
    <t xml:space="preserve">Traceability Key</t>
  </si>
  <si>
    <t xml:space="preserve">Latchford_frozen_acceptance_snapshot_2025-10-31.pdf</t>
  </si>
  <si>
    <t xml:space="preserve">FAS-07 | frozen 2025-10-31</t>
  </si>
  <si>
    <t xml:space="preserve">Frozen supplier acceptance snapshot</t>
  </si>
  <si>
    <t xml:space="preserve">NOT APPLICABLE</t>
  </si>
  <si>
    <t xml:space="preserve">Index acceptance; supplier clearance assertion; dimensional tolerance</t>
  </si>
  <si>
    <t xml:space="preserve">Controls supplier acceptance criteria; does not overwrite geometry or observations</t>
  </si>
  <si>
    <t xml:space="preserve">Clearance claim is 9.00 mm but its datum is NOT SUPPLIED; differs from drawing envelope</t>
  </si>
  <si>
    <t xml:space="preserve">SRC-01 | FAS-AC-01..05 | p1</t>
  </si>
  <si>
    <t xml:space="preserve">Lampwick_internal_time_studies.xlsx</t>
  </si>
  <si>
    <t xml:space="preserve">Study cut 2025-10-29</t>
  </si>
  <si>
    <t xml:space="preserve">Internal time study and dimensional observations</t>
  </si>
  <si>
    <t xml:space="preserve">Observed sustained and peak indexing; dimensional deviation</t>
  </si>
  <si>
    <t xml:space="preserve">Performance evidence at source-row grain; tests capability rather than limits</t>
  </si>
  <si>
    <t xml:space="preserve">Steady values are favorable while brief INDEX PEAK rows exceed the supplier criterion</t>
  </si>
  <si>
    <t xml:space="preserve">SRC-02 | ITS-001..010 | Time Studies rows 6:15</t>
  </si>
  <si>
    <t xml:space="preserve">cell_retrofit_clearance_drawing.pdf</t>
  </si>
  <si>
    <t xml:space="preserve">LCH-CELL-RETROFIT Rev C | 2025-10-28</t>
  </si>
  <si>
    <t xml:space="preserve">Controlled multi-view clearance drawing</t>
  </si>
  <si>
    <t xml:space="preserve">Fixture envelope, datums, nominal dimensions and tolerances</t>
  </si>
  <si>
    <t xml:space="preserve">Governs controlled geometry and derived tolerance envelope</t>
  </si>
  <si>
    <t xml:space="preserve">Worst-case X envelope is 7.20 mm and conflicts with supplier clearance claim</t>
  </si>
  <si>
    <t xml:space="preserve">SRC-03 | DWG-101..206 | sheets 1:2</t>
  </si>
  <si>
    <t xml:space="preserve">controller_cycle_events.csv</t>
  </si>
  <si>
    <t xml:space="preserve">Controller export 2025-10-31</t>
  </si>
  <si>
    <t xml:space="preserve">Timestamped controller event log</t>
  </si>
  <si>
    <t xml:space="preserve">Index events, peak duration and clearance observation status</t>
  </si>
  <si>
    <t xml:space="preserve">Performance evidence at event grain; preserves short excursions and gaps</t>
  </si>
  <si>
    <t xml:space="preserve">CTRL-006 is a 1.65 s / 80 ms peak; clearance is NOT OBSERVED</t>
  </si>
  <si>
    <t xml:space="preserve">SRC-04 | CTRL-001..008 | CSV rows 2:9</t>
  </si>
  <si>
    <t xml:space="preserve">GB_ROI_site_engineering_requirements.pdf</t>
  </si>
  <si>
    <t xml:space="preserve">Frozen profile set 2025-10-30</t>
  </si>
  <si>
    <t xml:space="preserve">Jurisdictional site engineering requirements</t>
  </si>
  <si>
    <t xml:space="preserve">Great Britain; Republic of Ireland</t>
  </si>
  <si>
    <t xml:space="preserve">Index, fixture-clearance and dimensional-deviation limits</t>
  </si>
  <si>
    <t xml:space="preserve">Applicable site constraints; stricter applicable bound governs each comparison</t>
  </si>
  <si>
    <t xml:space="preserve">Republic of Ireland clearance minimum is 7.80 mm versus 7.20 mm drawing envelope</t>
  </si>
  <si>
    <t xml:space="preserve">SRC-05 | GB-01..03; ROI-01..03 | pp1:2</t>
  </si>
  <si>
    <t xml:space="preserve">controlled_workbook_requirements.docx</t>
  </si>
  <si>
    <t xml:space="preserve">CWR-2025-10-27 | Issue C</t>
  </si>
  <si>
    <t xml:space="preserve">Controlled workbook requirements</t>
  </si>
  <si>
    <t xml:space="preserve">Worksheet order, fields, codes, blank marking, assumptions and print use</t>
  </si>
  <si>
    <t xml:space="preserve">Controls package format and future-entry convention; does not decide precedence</t>
  </si>
  <si>
    <t xml:space="preserve">Format convention intentionally leaves reconciliation method to the engineering package</t>
  </si>
  <si>
    <t xml:space="preserve">SRC-06 | CWR-01..08 | pp1:2</t>
  </si>
  <si>
    <t xml:space="preserve">Evidence Extract</t>
  </si>
  <si>
    <t xml:space="preserve">Current source records retained one-for-one from internal time studies and controller events. Blank numeric cells are paired with controlled status text.</t>
  </si>
  <si>
    <t xml:space="preserve">Source-row grain: 10 internal time-study records + 8 controller events. Peak phases and durations are not summarized away.</t>
  </si>
  <si>
    <t xml:space="preserve">Evidence ID</t>
  </si>
  <si>
    <t xml:space="preserve">Source Record</t>
  </si>
  <si>
    <t xml:space="preserve">Timestamp</t>
  </si>
  <si>
    <t xml:space="preserve">Phase</t>
  </si>
  <si>
    <t xml:space="preserve">Index Time (s)</t>
  </si>
  <si>
    <t xml:space="preserve">Peak Duration (ms)</t>
  </si>
  <si>
    <t xml:space="preserve">Measured Clearance (mm)</t>
  </si>
  <si>
    <t xml:space="preserve">Dimensional Deviation (mm)</t>
  </si>
  <si>
    <t xml:space="preserve">Missing Status</t>
  </si>
  <si>
    <t xml:space="preserve">Steady Candidate (s)</t>
  </si>
  <si>
    <t xml:space="preserve">Peak Candidate (s)</t>
  </si>
  <si>
    <t xml:space="preserve">Clearance Candidate (mm)</t>
  </si>
  <si>
    <t xml:space="preserve">Deviation Abs (mm)</t>
  </si>
  <si>
    <t xml:space="preserve">ITS-001</t>
  </si>
  <si>
    <t xml:space="preserve">SRC-02 | ITS-001 | Time Studies row 6</t>
  </si>
  <si>
    <t xml:space="preserve">2025-10-29 08:14:02</t>
  </si>
  <si>
    <t xml:space="preserve">STEADY</t>
  </si>
  <si>
    <t xml:space="preserve">ITS-002</t>
  </si>
  <si>
    <t xml:space="preserve">SRC-02 | ITS-002 | Time Studies row 7</t>
  </si>
  <si>
    <t xml:space="preserve">2025-10-29 08:14:12</t>
  </si>
  <si>
    <t xml:space="preserve">ITS-003</t>
  </si>
  <si>
    <t xml:space="preserve">SRC-02 | ITS-003 | Time Studies row 8</t>
  </si>
  <si>
    <t xml:space="preserve">2025-10-29 08:14:22</t>
  </si>
  <si>
    <t xml:space="preserve">ITS-004</t>
  </si>
  <si>
    <t xml:space="preserve">SRC-02 | ITS-004 | Time Studies row 9</t>
  </si>
  <si>
    <t xml:space="preserve">2025-10-29 08:14:32</t>
  </si>
  <si>
    <t xml:space="preserve">ITS-005</t>
  </si>
  <si>
    <t xml:space="preserve">SRC-02 | ITS-005 | Time Studies row 10</t>
  </si>
  <si>
    <t xml:space="preserve">2025-10-29 08:14:42</t>
  </si>
  <si>
    <t xml:space="preserve">ITS-006</t>
  </si>
  <si>
    <t xml:space="preserve">SRC-02 | ITS-006 | Time Studies row 11</t>
  </si>
  <si>
    <t xml:space="preserve">2025-10-29 08:14:52</t>
  </si>
  <si>
    <t xml:space="preserve">SETUP</t>
  </si>
  <si>
    <t xml:space="preserve">ITS-007</t>
  </si>
  <si>
    <t xml:space="preserve">SRC-02 | ITS-007 | Time Studies row 12</t>
  </si>
  <si>
    <t xml:space="preserve">2025-10-29 08:15:02</t>
  </si>
  <si>
    <t xml:space="preserve">INDEX PEAK</t>
  </si>
  <si>
    <t xml:space="preserve">ITS-008</t>
  </si>
  <si>
    <t xml:space="preserve">SRC-02 | ITS-008 | Time Studies row 13</t>
  </si>
  <si>
    <t xml:space="preserve">2025-10-29 08:15:12</t>
  </si>
  <si>
    <t xml:space="preserve">NOT OBSERVED</t>
  </si>
  <si>
    <t xml:space="preserve">ITS-009</t>
  </si>
  <si>
    <t xml:space="preserve">SRC-02 | ITS-009 | Time Studies row 14</t>
  </si>
  <si>
    <t xml:space="preserve">2025-10-29 08:15:22</t>
  </si>
  <si>
    <t xml:space="preserve">ITS-010</t>
  </si>
  <si>
    <t xml:space="preserve">SRC-02 | ITS-010 | Time Studies row 15</t>
  </si>
  <si>
    <t xml:space="preserve">2025-10-29 08:15:32</t>
  </si>
  <si>
    <t xml:space="preserve">CTRL-001</t>
  </si>
  <si>
    <t xml:space="preserve">SRC-04 | CTRL-001 | CSV row 2</t>
  </si>
  <si>
    <t xml:space="preserve">2025-10-31T10:02:01Z</t>
  </si>
  <si>
    <t xml:space="preserve">CTRL-002</t>
  </si>
  <si>
    <t xml:space="preserve">SRC-04 | CTRL-002 | CSV row 3</t>
  </si>
  <si>
    <t xml:space="preserve">2025-10-31T10:02:06Z</t>
  </si>
  <si>
    <t xml:space="preserve">CTRL-003</t>
  </si>
  <si>
    <t xml:space="preserve">SRC-04 | CTRL-003 | CSV row 4</t>
  </si>
  <si>
    <t xml:space="preserve">2025-10-31T10:02:11Z</t>
  </si>
  <si>
    <t xml:space="preserve">CTRL-004</t>
  </si>
  <si>
    <t xml:space="preserve">SRC-04 | CTRL-004 | CSV row 5</t>
  </si>
  <si>
    <t xml:space="preserve">2025-10-31T10:02:16Z</t>
  </si>
  <si>
    <t xml:space="preserve">CTRL-005</t>
  </si>
  <si>
    <t xml:space="preserve">SRC-04 | CTRL-005 | CSV row 6</t>
  </si>
  <si>
    <t xml:space="preserve">2025-10-31T10:02:21Z</t>
  </si>
  <si>
    <t xml:space="preserve">CTRL-006</t>
  </si>
  <si>
    <t xml:space="preserve">SRC-04 | CTRL-006 | CSV row 7</t>
  </si>
  <si>
    <t xml:space="preserve">2025-10-31T10:02:26Z</t>
  </si>
  <si>
    <t xml:space="preserve">CTRL-007</t>
  </si>
  <si>
    <t xml:space="preserve">SRC-04 | CTRL-007 | CSV row 8</t>
  </si>
  <si>
    <t xml:space="preserve">2025-10-31T10:02:31Z</t>
  </si>
  <si>
    <t xml:space="preserve">CTRL-008</t>
  </si>
  <si>
    <t xml:space="preserve">SRC-04 | CTRL-008 | CSV row 9</t>
  </si>
  <si>
    <t xml:space="preserve">2025-10-31T10:02:36Z</t>
  </si>
  <si>
    <t xml:space="preserve">Limits</t>
  </si>
  <si>
    <t xml:space="preserve">Retained source assertions, jurisdiction-specific requirements and formula-selected governing bounds. No source assertion is overwritten.</t>
  </si>
  <si>
    <t xml:space="preserve">Comparison units are already aligned in the supplied sources: seconds for indexing and millimetres for clearance/deviation. No silent conversion is used.</t>
  </si>
  <si>
    <t xml:space="preserve">Requirement ID</t>
  </si>
  <si>
    <t xml:space="preserve">Metric</t>
  </si>
  <si>
    <t xml:space="preserve">Direction</t>
  </si>
  <si>
    <t xml:space="preserve">Unit</t>
  </si>
  <si>
    <t xml:space="preserve">Frozen Acceptance</t>
  </si>
  <si>
    <t xml:space="preserve">Controlled Drawing</t>
  </si>
  <si>
    <t xml:space="preserve">Great Britain</t>
  </si>
  <si>
    <t xml:space="preserve">Republic of Ireland</t>
  </si>
  <si>
    <t xml:space="preserve">Governing Limit</t>
  </si>
  <si>
    <t xml:space="preserve">Conflict State</t>
  </si>
  <si>
    <t xml:space="preserve">Source Reference</t>
  </si>
  <si>
    <t xml:space="preserve">Supplier Assertion</t>
  </si>
  <si>
    <t xml:space="preserve">Applicability / Missing Status</t>
  </si>
  <si>
    <t xml:space="preserve">Comparison Note</t>
  </si>
  <si>
    <t xml:space="preserve">IDX-01</t>
  </si>
  <si>
    <t xml:space="preserve">Index time</t>
  </si>
  <si>
    <t xml:space="preserve">MAX</t>
  </si>
  <si>
    <t xml:space="preserve">s</t>
  </si>
  <si>
    <t xml:space="preserve">SRC-01/FAS-AC-01/p1; SRC-05/GB-01,ROI-01/p1-2</t>
  </si>
  <si>
    <t xml:space="preserve">Lower upper bound governs</t>
  </si>
  <si>
    <t xml:space="preserve">CLR-01</t>
  </si>
  <si>
    <t xml:space="preserve">Fixture clearance</t>
  </si>
  <si>
    <t xml:space="preserve">MIN</t>
  </si>
  <si>
    <t xml:space="preserve">mm</t>
  </si>
  <si>
    <t xml:space="preserve">SRC-01/FAS-AC-02/p1; SRC-03/DWG-CLR-X/p1-2; SRC-05/GB-02,ROI-02/p1-2</t>
  </si>
  <si>
    <t xml:space="preserve">&gt;= 9.00 mm claimed; datum not supplied</t>
  </si>
  <si>
    <t xml:space="preserve">NOT SUPPLIED</t>
  </si>
  <si>
    <t xml:space="preserve">Greater lower bound governs; supplier claim is incomparable without datum</t>
  </si>
  <si>
    <t xml:space="preserve">TOL-01</t>
  </si>
  <si>
    <t xml:space="preserve">Dimensional deviation (absolute)</t>
  </si>
  <si>
    <t xml:space="preserve">SRC-01/FAS-AC-03,AC-04/p1; SRC-03/DWG-101..206/p1-2; SRC-05/GB-03,ROI-03/p1-2</t>
  </si>
  <si>
    <t xml:space="preserve">TOL-OPEN-X</t>
  </si>
  <si>
    <t xml:space="preserve">Fixture opening X tolerance (absolute)</t>
  </si>
  <si>
    <t xml:space="preserve">SRC-01/FAS-AC-03/p1; SRC-03/DWG-101/p1</t>
  </si>
  <si>
    <t xml:space="preserve">Matched supplier and drawing callout; jurisdiction-specific deviation profile is not callout-specific</t>
  </si>
  <si>
    <t xml:space="preserve">TOL-INSERT-X</t>
  </si>
  <si>
    <t xml:space="preserve">Insert body X tolerance (absolute)</t>
  </si>
  <si>
    <t xml:space="preserve">SRC-01/FAS-AC-04/p1; SRC-03/DWG-102/p1</t>
  </si>
  <si>
    <t xml:space="preserve">Drawing Check</t>
  </si>
  <si>
    <t xml:space="preserve">Controlled multi-view geometry, formula-derived bounds, related-view agreement and jurisdiction-labelled clearance margins.</t>
  </si>
  <si>
    <t xml:space="preserve">All callouts are in mm. Lower = nominal - minus tolerance; upper = nominal + plus tolerance. The controlling envelope is the minimum derived available clearance.</t>
  </si>
  <si>
    <t xml:space="preserve">Dimension ID</t>
  </si>
  <si>
    <t xml:space="preserve">View</t>
  </si>
  <si>
    <t xml:space="preserve">Datum</t>
  </si>
  <si>
    <t xml:space="preserve">Nominal (mm)</t>
  </si>
  <si>
    <t xml:space="preserve">Minus Tolerance (mm)</t>
  </si>
  <si>
    <t xml:space="preserve">Plus Tolerance (mm)</t>
  </si>
  <si>
    <t xml:space="preserve">Lower Bound (mm)</t>
  </si>
  <si>
    <t xml:space="preserve">Upper Bound (mm)</t>
  </si>
  <si>
    <t xml:space="preserve">Related View</t>
  </si>
  <si>
    <t xml:space="preserve">Related Nominal (mm)</t>
  </si>
  <si>
    <t xml:space="preserve">View Agreement</t>
  </si>
  <si>
    <t xml:space="preserve">Available Envelope (mm)</t>
  </si>
  <si>
    <t xml:space="preserve">Required Clearance (mm)</t>
  </si>
  <si>
    <t xml:space="preserve">Clearance Margin (mm)</t>
  </si>
  <si>
    <t xml:space="preserve">Source Assertion</t>
  </si>
  <si>
    <t xml:space="preserve">Units</t>
  </si>
  <si>
    <t xml:space="preserve">D-101</t>
  </si>
  <si>
    <t xml:space="preserve">PLAN</t>
  </si>
  <si>
    <t xml:space="preserve">A|B</t>
  </si>
  <si>
    <t xml:space="preserve">D-201</t>
  </si>
  <si>
    <t xml:space="preserve">SRC-03/DWG-101/p1</t>
  </si>
  <si>
    <t xml:space="preserve">Fixture opening X</t>
  </si>
  <si>
    <t xml:space="preserve">D-102</t>
  </si>
  <si>
    <t xml:space="preserve">D-202</t>
  </si>
  <si>
    <t xml:space="preserve">SRC-03/DWG-102/p1</t>
  </si>
  <si>
    <t xml:space="preserve">Insert body X</t>
  </si>
  <si>
    <t xml:space="preserve">D-103</t>
  </si>
  <si>
    <t xml:space="preserve">A|C</t>
  </si>
  <si>
    <t xml:space="preserve">D-203</t>
  </si>
  <si>
    <t xml:space="preserve">SRC-03/DWG-103/p1</t>
  </si>
  <si>
    <t xml:space="preserve">Fixture opening Y</t>
  </si>
  <si>
    <t xml:space="preserve">D-104</t>
  </si>
  <si>
    <t xml:space="preserve">D-204</t>
  </si>
  <si>
    <t xml:space="preserve">SRC-03/DWG-104/p1</t>
  </si>
  <si>
    <t xml:space="preserve">Insert body Y</t>
  </si>
  <si>
    <t xml:space="preserve">D-105</t>
  </si>
  <si>
    <t xml:space="preserve">SECTION B</t>
  </si>
  <si>
    <t xml:space="preserve">A|D</t>
  </si>
  <si>
    <t xml:space="preserve">D-205</t>
  </si>
  <si>
    <t xml:space="preserve">SRC-03/DWG-105/p2</t>
  </si>
  <si>
    <t xml:space="preserve">Fixture opening Z</t>
  </si>
  <si>
    <t xml:space="preserve">D-106</t>
  </si>
  <si>
    <t xml:space="preserve">D-206</t>
  </si>
  <si>
    <t xml:space="preserve">SRC-03/DWG-106/p2</t>
  </si>
  <si>
    <t xml:space="preserve">Insert body Z</t>
  </si>
  <si>
    <t xml:space="preserve">SRC-03/DWG-201/p2</t>
  </si>
  <si>
    <t xml:space="preserve">Fixture opening X repeat</t>
  </si>
  <si>
    <t xml:space="preserve">SRC-03/DWG-202/p2</t>
  </si>
  <si>
    <t xml:space="preserve">Insert body X repeat</t>
  </si>
  <si>
    <t xml:space="preserve">END C</t>
  </si>
  <si>
    <t xml:space="preserve">SRC-03/DWG-203/p2</t>
  </si>
  <si>
    <t xml:space="preserve">Fixture opening Y repeat</t>
  </si>
  <si>
    <t xml:space="preserve">SRC-03/DWG-204/p2</t>
  </si>
  <si>
    <t xml:space="preserve">Insert body Y repeat</t>
  </si>
  <si>
    <t xml:space="preserve">SRC-03/DWG-205/p2</t>
  </si>
  <si>
    <t xml:space="preserve">Fixture opening Z repeat</t>
  </si>
  <si>
    <t xml:space="preserve">SRC-03/DWG-206/p2</t>
  </si>
  <si>
    <t xml:space="preserve">Insert body Z repeat</t>
  </si>
  <si>
    <t xml:space="preserve">CLR-ENV-X</t>
  </si>
  <si>
    <t xml:space="preserve">PLAN / SECTION B</t>
  </si>
  <si>
    <t xml:space="preserve">X controlling envelope</t>
  </si>
  <si>
    <t xml:space="preserve">D-101 / D-102</t>
  </si>
  <si>
    <t xml:space="preserve">DERIVED ENVELOPE</t>
  </si>
  <si>
    <t xml:space="preserve">SRC-03/DWG-CLR-X/p1-2</t>
  </si>
  <si>
    <t xml:space="preserve">D-101 lower bound less D-102 upper bound</t>
  </si>
  <si>
    <t xml:space="preserve">CLR-ENV-Y</t>
  </si>
  <si>
    <t xml:space="preserve">PLAN / END C</t>
  </si>
  <si>
    <t xml:space="preserve">Y available envelope</t>
  </si>
  <si>
    <t xml:space="preserve">D-103 / D-104</t>
  </si>
  <si>
    <t xml:space="preserve">SRC-03/DWG-CLR-Y/p1-2</t>
  </si>
  <si>
    <t xml:space="preserve">D-103 lower bound less D-104 upper bound</t>
  </si>
  <si>
    <t xml:space="preserve">CLR-ENV-Z</t>
  </si>
  <si>
    <t xml:space="preserve">SECTION B / END C</t>
  </si>
  <si>
    <t xml:space="preserve">Z available envelope</t>
  </si>
  <si>
    <t xml:space="preserve">D-105 / D-106</t>
  </si>
  <si>
    <t xml:space="preserve">SRC-03/DWG-CLR-Z/p2</t>
  </si>
  <si>
    <t xml:space="preserve">D-105 lower bound less D-106 upper bound</t>
  </si>
  <si>
    <t xml:space="preserve">SUP-CLR-CLAIM</t>
  </si>
  <si>
    <t xml:space="preserve">Supplier snapshot</t>
  </si>
  <si>
    <t xml:space="preserve">SRC-01/FAS-AC-02/p1</t>
  </si>
  <si>
    <t xml:space="preserve">&gt;= 9.00 mm claim; datum reference not supplied</t>
  </si>
  <si>
    <t xml:space="preserve">CLR-GB</t>
  </si>
  <si>
    <t xml:space="preserve">Governing clearance</t>
  </si>
  <si>
    <t xml:space="preserve">ASSESSED</t>
  </si>
  <si>
    <t xml:space="preserve">SRC-05/GB-02/p1</t>
  </si>
  <si>
    <t xml:space="preserve">Minimum controlling X envelope compared with jurisdictional lower bound</t>
  </si>
  <si>
    <t xml:space="preserve">CLR-ROI</t>
  </si>
  <si>
    <t xml:space="preserve">SRC-05/ROI-02/p2</t>
  </si>
  <si>
    <t xml:space="preserve">Observation Log</t>
  </si>
  <si>
    <t xml:space="preserve">Controlled blank commissioning instrument. Pale yellow cells are future-entry fields; calculated flags and helper columns are formula-fed.</t>
  </si>
  <si>
    <t xml:space="preserve">Legend: pale yellow (FFF2CC) = Future field entry required. Leave unavailable numeric readings empty and use only the controlled Missing Status vocabulary.</t>
  </si>
  <si>
    <t xml:space="preserve">Observation ID</t>
  </si>
  <si>
    <t xml:space="preserve">Fixture X (mm)</t>
  </si>
  <si>
    <t xml:space="preserve">Fixture Y (mm)</t>
  </si>
  <si>
    <t xml:space="preserve">Fixture Z (mm)</t>
  </si>
  <si>
    <t xml:space="preserve">Source Note</t>
  </si>
  <si>
    <t xml:space="preserve">Index Pass</t>
  </si>
  <si>
    <t xml:space="preserve">Clearance Pass</t>
  </si>
  <si>
    <t xml:space="preserve">Tolerance Pass</t>
  </si>
  <si>
    <t xml:space="preserve">Scenario Check</t>
  </si>
  <si>
    <t xml:space="preserve">Gate-review view | current technical determinations by scenario and jurisdiction | all outputs are formula-fed</t>
  </si>
  <si>
    <t xml:space="preserve">A positive margin is headroom; a negative margin is a shortfall. Outcomes are technical determinations only and do not authorize release or prescribe an action.</t>
  </si>
  <si>
    <t xml:space="preserve">Scenario</t>
  </si>
  <si>
    <t xml:space="preserve">Projected output</t>
  </si>
  <si>
    <t xml:space="preserve">Peak stress projected</t>
  </si>
  <si>
    <t xml:space="preserve">Target</t>
  </si>
  <si>
    <t xml:space="preserve">Net available time (min)</t>
  </si>
  <si>
    <t xml:space="preserve">SRC-06/CWR-04/p2</t>
  </si>
  <si>
    <t xml:space="preserve">Acceptance basis</t>
  </si>
  <si>
    <t xml:space="preserve">Target units</t>
  </si>
  <si>
    <t xml:space="preserve">Observed sustained</t>
  </si>
  <si>
    <t xml:space="preserve">Frozen acceptance cycle (s)</t>
  </si>
  <si>
    <t xml:space="preserve">SRC-01/FAS-AC-01/p1</t>
  </si>
  <si>
    <t xml:space="preserve">Peak stress</t>
  </si>
  <si>
    <t xml:space="preserve">Observed sustained cycle (s)</t>
  </si>
  <si>
    <t xml:space="preserve">SRC-02; SRC-04; tblEvidence + tblObservations</t>
  </si>
  <si>
    <t xml:space="preserve">Peak stress cycle (s)</t>
  </si>
  <si>
    <t xml:space="preserve">SRC-02; SRC-04; duration-aware peak candidates</t>
  </si>
  <si>
    <t xml:space="preserve">Tolerance limit (mm)</t>
  </si>
  <si>
    <t xml:space="preserve">SRC-01; SRC-03; SRC-05</t>
  </si>
  <si>
    <t xml:space="preserve">Controlling envelope (mm)</t>
  </si>
  <si>
    <t xml:space="preserve">Longest retained peak duration (ms)</t>
  </si>
  <si>
    <t xml:space="preserve">SRC-02; SRC-04</t>
  </si>
  <si>
    <t xml:space="preserve">Cycle Basis (s)</t>
  </si>
  <si>
    <t xml:space="preserve">Net Available Time</t>
  </si>
  <si>
    <t xml:space="preserve">Target Units</t>
  </si>
  <si>
    <t xml:space="preserve">Projected Units</t>
  </si>
  <si>
    <t xml:space="preserve">Throughput Margin</t>
  </si>
  <si>
    <t xml:space="preserve">Clearance Margin</t>
  </si>
  <si>
    <t xml:space="preserve">Tolerance Margin</t>
  </si>
  <si>
    <t xml:space="preserve">Technical Outcome</t>
  </si>
  <si>
    <t xml:space="preserve">Assumption Source</t>
  </si>
  <si>
    <t xml:space="preserve">Peak duration remains visible in Evidence Extract; the event record, not a favourable average, is the decision datum for Peak stress.</t>
  </si>
  <si>
    <t xml:space="preserve">Approval</t>
  </si>
  <si>
    <t xml:space="preserve">Gate-review handout page 2 of 2 | technical facts and traceability are current; completion fields remain blank.</t>
  </si>
  <si>
    <t xml:space="preserve">PENDING COMMISSIONING / APPROVAL</t>
  </si>
  <si>
    <t xml:space="preserve">Technical determination from current evidence</t>
  </si>
  <si>
    <t xml:space="preserve">Displayed margins and governing constraint</t>
  </si>
  <si>
    <t xml:space="preserve">Traceability</t>
  </si>
  <si>
    <t xml:space="preserve">SRC-01; SRC-02; SRC-03; SRC-04; SRC-05; SRC-06</t>
  </si>
  <si>
    <t xml:space="preserve">Cross-jurisdiction technical conclusion</t>
  </si>
  <si>
    <t xml:space="preserve">Current evidence supports a factual DOES NOT MEET conclusion across the named jurisdictions; this is not an approval or an action recommendation.</t>
  </si>
  <si>
    <t xml:space="preserve">Governing index</t>
  </si>
  <si>
    <t xml:space="preserve">1.20 s maximum from the frozen supplier criterion; retained GB and ROI profiles are 1.25 s maximum.</t>
  </si>
  <si>
    <t xml:space="preserve">SRC-01/AC-01; SRC-05/GB-01,ROI-01</t>
  </si>
  <si>
    <t xml:space="preserve">Drawing clearance</t>
  </si>
  <si>
    <t xml:space="preserve">Controlled drawing derives 7.20 mm minimum X envelope from D-101 lower and D-102 upper bounds; the 9.00 mm supplier claim has no supplied datum.</t>
  </si>
  <si>
    <t xml:space="preserve">SRC-01/AC-02; SRC-03/CLR-X</t>
  </si>
  <si>
    <t xml:space="preserve">Jurisdictional clearance</t>
  </si>
  <si>
    <t xml:space="preserve">Great Britain minimum 6.00 mm; Republic of Ireland minimum 7.80 mm. Both assertions remain visible in Limits and Drawing Check.</t>
  </si>
  <si>
    <t xml:space="preserve">SRC-05/GB-02,ROI-02</t>
  </si>
  <si>
    <t xml:space="preserve">Peak evidence</t>
  </si>
  <si>
    <t xml:space="preserve">CTRL-006 retains 1.65 s index time and 80 ms peak duration; it is not replaced by a favourable steady average.</t>
  </si>
  <si>
    <t xml:space="preserve">SRC-04/CTRL-006</t>
  </si>
  <si>
    <t xml:space="preserve">Completion fields - leave blank until commissioning / approval</t>
  </si>
  <si>
    <t xml:space="preserve">Commissioning disposition</t>
  </si>
  <si>
    <t xml:space="preserve">Reviewer name</t>
  </si>
  <si>
    <t xml:space="preserve">Reviewer initials or signature</t>
  </si>
  <si>
    <t xml:space="preserve">Review date</t>
  </si>
  <si>
    <t xml:space="preserve">Approval conditions or comments</t>
  </si>
  <si>
    <t xml:space="preserve">Pale yellow RGB FFF2CC = to be completed during commissioning or approval. The technical determination remains separate from these blank fields.</t>
  </si>
</sst>
</file>

<file path=xl/styles.xml><?xml version="1.0" encoding="utf-8"?>
<styleSheet xmlns="http://schemas.openxmlformats.org/spreadsheetml/2006/main">
  <numFmts count="3">
    <numFmt numFmtId="164" formatCode="General"/>
    <numFmt numFmtId="165" formatCode="0.00"/>
    <numFmt numFmtId="166" formatCode="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ptos Display"/>
      <family val="0"/>
      <charset val="1"/>
    </font>
    <font>
      <i val="true"/>
      <sz val="9"/>
      <color rgb="FF5B6573"/>
      <name val="Aptos"/>
      <family val="0"/>
      <charset val="1"/>
    </font>
    <font>
      <b val="true"/>
      <sz val="9"/>
      <color rgb="FF1F4E78"/>
      <name val="Aptos"/>
      <family val="0"/>
      <charset val="1"/>
    </font>
    <font>
      <sz val="9"/>
      <color rgb="FF1F2937"/>
      <name val="Aptos"/>
      <family val="0"/>
      <charset val="1"/>
    </font>
    <font>
      <sz val="8"/>
      <color rgb="FF5B6573"/>
      <name val="Aptos"/>
      <family val="0"/>
      <charset val="1"/>
    </font>
    <font>
      <b val="true"/>
      <sz val="9"/>
      <color rgb="FFFFFFFF"/>
      <name val="Aptos"/>
      <family val="0"/>
      <charset val="1"/>
    </font>
    <font>
      <sz val="8.5"/>
      <color rgb="FF1F2937"/>
      <name val="Aptos"/>
      <family val="0"/>
      <charset val="1"/>
    </font>
    <font>
      <sz val="8"/>
      <color rgb="FF1F2937"/>
      <name val="Aptos"/>
      <family val="0"/>
      <charset val="1"/>
    </font>
    <font>
      <b val="true"/>
      <sz val="10"/>
      <color rgb="FFFFFFFF"/>
      <name val="Aptos"/>
      <family val="0"/>
      <charset val="1"/>
    </font>
    <font>
      <b val="true"/>
      <sz val="8"/>
      <color rgb="FFFFFFFF"/>
      <name val="Cambria"/>
      <family val="0"/>
      <charset val="1"/>
    </font>
    <font>
      <b val="true"/>
      <sz val="8.5"/>
      <color rgb="FF1F4E78"/>
      <name val="Aptos"/>
      <family val="0"/>
      <charset val="1"/>
    </font>
    <font>
      <sz val="8"/>
      <color rgb="FF1F2937"/>
      <name val="Cambria"/>
      <family val="0"/>
      <charset val="1"/>
    </font>
    <font>
      <b val="true"/>
      <sz val="8.5"/>
      <color rgb="FF1F2937"/>
      <name val="Aptos"/>
      <family val="0"/>
      <charset val="1"/>
    </font>
    <font>
      <i val="true"/>
      <sz val="8.5"/>
      <color rgb="FF5B6573"/>
      <name val="Aptos"/>
      <family val="0"/>
      <charset val="1"/>
    </font>
    <font>
      <b val="true"/>
      <sz val="18"/>
      <color rgb="FF000000"/>
      <name val="Calibri"/>
      <family val="2"/>
    </font>
    <font>
      <b val="true"/>
      <sz val="13"/>
      <color rgb="FF9C0006"/>
      <name val="Aptos Display"/>
      <family val="0"/>
      <charset val="1"/>
    </font>
    <font>
      <b val="true"/>
      <sz val="8"/>
      <color rgb="FFFFFFFF"/>
      <name val="Aptos"/>
      <family val="0"/>
      <charset val="1"/>
    </font>
  </fonts>
  <fills count="8">
    <fill>
      <patternFill patternType="none"/>
    </fill>
    <fill>
      <patternFill patternType="gray125"/>
    </fill>
    <fill>
      <patternFill patternType="solid">
        <fgColor rgb="FF1F4E78"/>
        <bgColor rgb="FF003366"/>
      </patternFill>
    </fill>
    <fill>
      <patternFill patternType="solid">
        <fgColor rgb="FFD9EAF7"/>
        <bgColor rgb="FFE2F0D9"/>
      </patternFill>
    </fill>
    <fill>
      <patternFill patternType="solid">
        <fgColor rgb="FFFFF2CC"/>
        <bgColor rgb="FFFCE4D6"/>
      </patternFill>
    </fill>
    <fill>
      <patternFill patternType="solid">
        <fgColor rgb="FF5B9BD5"/>
        <bgColor rgb="FF969696"/>
      </patternFill>
    </fill>
    <fill>
      <patternFill patternType="solid">
        <fgColor rgb="FFF4CCCC"/>
        <bgColor rgb="FFD9D9D9"/>
      </patternFill>
    </fill>
    <fill>
      <patternFill patternType="solid">
        <fgColor rgb="FFFCE4D6"/>
        <bgColor rgb="FFFFF2CC"/>
      </patternFill>
    </fill>
  </fills>
  <borders count="3">
    <border diagonalUp="false" diagonalDown="false">
      <left/>
      <right/>
      <top/>
      <bottom/>
      <diagonal/>
    </border>
    <border diagonalUp="false" diagonalDown="false">
      <left style="thin">
        <color rgb="FFB7C9D6"/>
      </left>
      <right style="thin">
        <color rgb="FFB7C9D6"/>
      </right>
      <top style="thin">
        <color rgb="FFB7C9D6"/>
      </top>
      <bottom style="thin">
        <color rgb="FFB7C9D6"/>
      </bottom>
      <diagonal/>
    </border>
    <border diagonalUp="false" diagonalDown="false">
      <left style="thin">
        <color rgb="FFB7C9D6"/>
      </left>
      <right/>
      <top style="thin">
        <color rgb="FFB7C9D6"/>
      </top>
      <bottom style="thin">
        <color rgb="FFB7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center" textRotation="0" wrapText="true" indent="0" shrinkToFit="false"/>
      <protection locked="true" hidden="false"/>
    </xf>
    <xf numFmtId="166" fontId="10"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10" fillId="4" borderId="1" xfId="0" applyFont="true" applyBorder="true" applyAlignment="true" applyProtection="false">
      <alignment horizontal="general" vertical="center" textRotation="0" wrapText="true" indent="0" shrinkToFit="false"/>
      <protection locked="true" hidden="false"/>
    </xf>
    <xf numFmtId="166" fontId="10" fillId="4"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false" applyProtection="false">
      <alignment horizontal="general" vertical="bottom" textRotation="0" wrapText="false" indent="0" shrinkToFit="false"/>
      <protection locked="true" hidden="false"/>
    </xf>
    <xf numFmtId="164" fontId="19" fillId="7"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FF2CC"/>
          <bgColor rgb="FF000000"/>
        </patternFill>
      </fill>
    </dxf>
    <dxf>
      <fill>
        <patternFill>
          <bgColor rgb="FFFFF2CC"/>
        </patternFill>
      </fill>
    </dxf>
    <dxf>
      <fill>
        <patternFill patternType="solid">
          <fgColor rgb="FFE2F0D9"/>
          <bgColor rgb="FF000000"/>
        </patternFill>
      </fill>
    </dxf>
    <dxf>
      <fill>
        <patternFill patternType="solid">
          <fgColor rgb="FFFCE4D6"/>
          <bgColor rgb="FF000000"/>
        </patternFill>
      </fill>
    </dxf>
    <dxf>
      <fill>
        <patternFill>
          <bgColor rgb="FFE2F0D9"/>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C9D6"/>
      <rgbColor rgb="FF808080"/>
      <rgbColor rgb="FF5B9BD5"/>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CE4D6"/>
      <rgbColor rgb="FF99CCFF"/>
      <rgbColor rgb="FFFF99CC"/>
      <rgbColor rgb="FFCC99FF"/>
      <rgbColor rgb="FFF4CCCC"/>
      <rgbColor rgb="FF3366FF"/>
      <rgbColor rgb="FF33CCCC"/>
      <rgbColor rgb="FF99CC00"/>
      <rgbColor rgb="FFFFCC00"/>
      <rgbColor rgb="FFFF9900"/>
      <rgbColor rgb="FFFF6600"/>
      <rgbColor rgb="FF5B6573"/>
      <rgbColor rgb="FF969696"/>
      <rgbColor rgb="FF003366"/>
      <rgbColor rgb="FF339966"/>
      <rgbColor rgb="FF003300"/>
      <rgbColor rgb="FF333300"/>
      <rgbColor rgb="FF993300"/>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Projected output versus target</a:t>
            </a:r>
          </a:p>
        </c:rich>
      </c:tx>
      <c:overlay val="0"/>
      <c:spPr>
        <a:noFill/>
        <a:ln w="0">
          <a:noFill/>
        </a:ln>
      </c:spPr>
    </c:title>
    <c:autoTitleDeleted val="0"/>
    <c:plotArea>
      <c:barChart>
        <c:barDir val="col"/>
        <c:grouping val="clustered"/>
        <c:varyColors val="0"/>
        <c:ser>
          <c:idx val="0"/>
          <c:order val="0"/>
          <c:spPr>
            <a:solidFill>
              <a:srgbClr val="5b9bd5"/>
            </a:solidFill>
            <a:ln w="9360">
              <a:solidFill>
                <a:srgbClr val="f9f9f9"/>
              </a:solidFill>
              <a:round/>
            </a:ln>
          </c:spPr>
          <c:invertIfNegative val="0"/>
        </c:ser>
        <c:ser>
          <c:idx val="1"/>
          <c:order val="1"/>
          <c:spPr>
            <a:solidFill>
              <a:srgbClr val="c55a11"/>
            </a:solidFill>
            <a:ln w="9360">
              <a:solidFill>
                <a:srgbClr val="f9f9f9"/>
              </a:solidFill>
              <a:round/>
            </a:ln>
          </c:spPr>
          <c:invertIfNegative val="0"/>
        </c:ser>
        <c:ser>
          <c:idx val="2"/>
          <c:order val="2"/>
          <c:spPr>
            <a:solidFill>
              <a:srgbClr val="7f7f7f"/>
            </a:solidFill>
            <a:ln w="9360">
              <a:solidFill>
                <a:srgbClr val="f9f9f9"/>
              </a:solidFill>
              <a:round/>
            </a:ln>
          </c:spPr>
          <c:invertIfNegative val="0"/>
        </c:ser>
        <c:gapWidth val="150"/>
        <c:overlap val="0"/>
        <c:axId val="47451874"/>
        <c:axId val="35665614"/>
      </c:barChart>
      <c:catAx>
        <c:axId val="474518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409]mm/dd/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665614"/>
        <c:crosses val="autoZero"/>
        <c:auto val="1"/>
        <c:lblAlgn val="ctr"/>
        <c:lblOffset val="100"/>
        <c:noMultiLvlLbl val="0"/>
      </c:catAx>
      <c:valAx>
        <c:axId val="3566561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5187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0</xdr:rowOff>
    </xdr:from>
    <xdr:to>
      <xdr:col>5</xdr:col>
      <xdr:colOff>250200</xdr:colOff>
      <xdr:row>35</xdr:row>
      <xdr:rowOff>17640</xdr:rowOff>
    </xdr:to>
    <xdr:graphicFrame>
      <xdr:nvGraphicFramePr>
        <xdr:cNvPr id="0" name="Chart 1"/>
        <xdr:cNvGraphicFramePr/>
      </xdr:nvGraphicFramePr>
      <xdr:xfrm>
        <a:off x="0" y="7686720"/>
        <a:ext cx="5939640" cy="230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DrawingCheck" displayName="tblDrawingCheck" ref="A5:S23" headerRowCount="1" totalsRowCount="0" totalsRowShown="0">
  <tableColumns count="19">
    <tableColumn id="1" name="Dimension ID"/>
    <tableColumn id="2" name="View"/>
    <tableColumn id="3" name="Datum"/>
    <tableColumn id="4" name="Nominal (mm)"/>
    <tableColumn id="5" name="Minus Tolerance (mm)"/>
    <tableColumn id="6" name="Plus Tolerance (mm)"/>
    <tableColumn id="7" name="Lower Bound (mm)"/>
    <tableColumn id="8" name="Upper Bound (mm)"/>
    <tableColumn id="9" name="Related View"/>
    <tableColumn id="10" name="Related Nominal (mm)"/>
    <tableColumn id="11" name="View Agreement"/>
    <tableColumn id="12" name="Available Envelope (mm)"/>
    <tableColumn id="13" name="Required Clearance (mm)"/>
    <tableColumn id="14" name="Clearance Margin (mm)"/>
    <tableColumn id="15" name="Missing Status"/>
    <tableColumn id="16" name="Source Reference"/>
    <tableColumn id="17" name="Source Assertion"/>
    <tableColumn id="18" name="Jurisdiction"/>
    <tableColumn id="19" name="Units"/>
  </tableColumns>
</table>
</file>

<file path=xl/tables/table2.xml><?xml version="1.0" encoding="utf-8"?>
<table xmlns="http://schemas.openxmlformats.org/spreadsheetml/2006/main" id="2" name="tblEvidence" displayName="tblEvidence" ref="A5:N23" headerRowCount="1" totalsRowCount="0" totalsRowShown="0">
  <tableColumns count="14">
    <tableColumn id="1" name="Evidence ID"/>
    <tableColumn id="2" name="Source File"/>
    <tableColumn id="3" name="Source Record"/>
    <tableColumn id="4" name="Timestamp"/>
    <tableColumn id="5" name="Phase"/>
    <tableColumn id="6" name="Index Time (s)"/>
    <tableColumn id="7" name="Peak Duration (ms)"/>
    <tableColumn id="8" name="Measured Clearance (mm)"/>
    <tableColumn id="9" name="Dimensional Deviation (mm)"/>
    <tableColumn id="10" name="Missing Status"/>
    <tableColumn id="11" name="Steady Candidate (s)">
      <calculatedColumnFormula>IF(AND([@[Phase]]="STEADY",ISNUMBER([@[Index Time (s)]]),[@[Index Time (s)]]&gt;0),[@[Index Time (s)]],"")</calculatedColumnFormula>
    </tableColumn>
    <tableColumn id="12" name="Peak Candidate (s)">
      <calculatedColumnFormula>IF(AND([@[Phase]]="INDEX PEAK",ISNUMBER([@[Index Time (s)]]),[@[Index Time (s)]]&gt;0,ISNUMBER([@[Peak Duration (ms)]]),[@[Peak Duration (ms)]]&gt;0),[@[Index Time (s)]],"")</calculatedColumnFormula>
    </tableColumn>
    <tableColumn id="13" name="Clearance Candidate (mm)">
      <calculatedColumnFormula>IF(AND(ISNUMBER([@[Measured Clearance (mm)]]),[@[Missing Status]]=""),[@[Measured Clearance (mm)]],"")</calculatedColumnFormula>
    </tableColumn>
    <tableColumn id="14" name="Deviation Abs (mm)">
      <calculatedColumnFormula>IF(AND(ISNUMBER([@[Dimensional Deviation (mm)]]),[@[Missing Status]]=""),ABS([@[Dimensional Deviation (mm)]]),"")</calculatedColumnFormula>
    </tableColumn>
  </tableColumns>
</table>
</file>

<file path=xl/tables/table3.xml><?xml version="1.0" encoding="utf-8"?>
<table xmlns="http://schemas.openxmlformats.org/spreadsheetml/2006/main" id="3" name="tblLimits" displayName="tblLimits" ref="A5:N10" headerRowCount="1" totalsRowCount="0" totalsRowShown="0">
  <tableColumns count="14">
    <tableColumn id="1" name="Requirement ID"/>
    <tableColumn id="2" name="Metric"/>
    <tableColumn id="3" name="Direction"/>
    <tableColumn id="4" name="Unit"/>
    <tableColumn id="5" name="Frozen Acceptance"/>
    <tableColumn id="6" name="Controlled Drawing"/>
    <tableColumn id="7" name="Great Britain"/>
    <tableColumn id="8" name="Republic of Ireland"/>
    <tableColumn id="9" name="Governing Limit"/>
    <tableColumn id="10" name="Conflict State"/>
    <tableColumn id="11" name="Source Reference"/>
    <tableColumn id="12" name="Supplier Assertion"/>
    <tableColumn id="13" name="Applicability / Missing Status"/>
    <tableColumn id="14" name="Comparison Note"/>
  </tableColumns>
</table>
</file>

<file path=xl/tables/table4.xml><?xml version="1.0" encoding="utf-8"?>
<table xmlns="http://schemas.openxmlformats.org/spreadsheetml/2006/main" id="4" name="tblObservations" displayName="tblObservations" ref="A5:S30" headerRowCount="1" totalsRowCount="0" totalsRowShown="0">
  <tableColumns count="19">
    <tableColumn id="1" name="Observation ID"/>
    <tableColumn id="2" name="Timestamp"/>
    <tableColumn id="3" name="Phase"/>
    <tableColumn id="4" name="Index Time (s)"/>
    <tableColumn id="5" name="Peak Duration (ms)"/>
    <tableColumn id="6" name="Fixture X (mm)"/>
    <tableColumn id="7" name="Fixture Y (mm)"/>
    <tableColumn id="8" name="Fixture Z (mm)"/>
    <tableColumn id="9" name="Measured Clearance (mm)"/>
    <tableColumn id="10" name="Dimensional Deviation (mm)"/>
    <tableColumn id="11" name="Missing Status"/>
    <tableColumn id="12" name="Source Note"/>
    <tableColumn id="13" name="Index Pass">
      <calculatedColumnFormula>IF(OR([@[Index Time (s)]]="",[@[Missing Status]]&lt;&gt;""),"",IF([@[Index Time (s)]]&lt;='Limits'!$I$6,"PASS","FAIL"))</calculatedColumnFormula>
    </tableColumn>
    <tableColumn id="14" name="Clearance Pass">
      <calculatedColumnFormula>IF(OR([@[Measured Clearance (mm)]]="",[@[Missing Status]]&lt;&gt;""),"",IF([@[Measured Clearance (mm)]]&gt;='Limits'!$I$7,"PASS","FAIL"))</calculatedColumnFormula>
    </tableColumn>
    <tableColumn id="15" name="Tolerance Pass">
      <calculatedColumnFormula>IF(OR([@[Dimensional Deviation (mm)]]="",[@[Missing Status]]&lt;&gt;""),"",IF(ABS([@[Dimensional Deviation (mm)]])&lt;='Limits'!$I$8,"PASS","FAIL"))</calculatedColumnFormula>
    </tableColumn>
    <tableColumn id="16" name="Steady Candidate (s)">
      <calculatedColumnFormula>IF(AND([@[Phase]]="STEADY",ISNUMBER([@[Index Time (s)]]),[@[Index Time (s)]]&gt;0),[@[Index Time (s)]],"")</calculatedColumnFormula>
    </tableColumn>
    <tableColumn id="17" name="Peak Candidate (s)">
      <calculatedColumnFormula>IF(AND([@[Phase]]="INDEX PEAK",ISNUMBER([@[Index Time (s)]]),[@[Index Time (s)]]&gt;0,ISNUMBER([@[Peak Duration (ms)]]),[@[Peak Duration (ms)]]&gt;0),[@[Index Time (s)]],"")</calculatedColumnFormula>
    </tableColumn>
    <tableColumn id="18" name="Clearance Candidate (mm)">
      <calculatedColumnFormula>IF(AND(ISNUMBER([@[Measured Clearance (mm)]]),[@[Missing Status]]=""),[@[Measured Clearance (mm)]],"")</calculatedColumnFormula>
    </tableColumn>
    <tableColumn id="19" name="Deviation Abs (mm)">
      <calculatedColumnFormula>IF(AND(ISNUMBER([@[Dimensional Deviation (mm)]]),[@[Missing Status]]=""),ABS([@[Dimensional Deviation (mm)]]),"")</calculatedColumnFormula>
    </tableColumn>
  </tableColumns>
</table>
</file>

<file path=xl/tables/table5.xml><?xml version="1.0" encoding="utf-8"?>
<table xmlns="http://schemas.openxmlformats.org/spreadsheetml/2006/main" id="5" name="tblScenarioCheck" displayName="tblScenarioCheck" ref="A15:K21" headerRowCount="1" totalsRowCount="0" totalsRowShown="0">
  <tableColumns count="11">
    <tableColumn id="1" name="Scenario"/>
    <tableColumn id="2" name="Jurisdiction"/>
    <tableColumn id="3" name="Cycle Basis (s)"/>
    <tableColumn id="4" name="Net Available Time"/>
    <tableColumn id="5" name="Target Units"/>
    <tableColumn id="6" name="Projected Units"/>
    <tableColumn id="7" name="Throughput Margin"/>
    <tableColumn id="8" name="Clearance Margin"/>
    <tableColumn id="9" name="Tolerance Margin"/>
    <tableColumn id="10" name="Technical Outcome"/>
    <tableColumn id="11" name="Assumption Source"/>
  </tableColumns>
</table>
</file>

<file path=xl/tables/table6.xml><?xml version="1.0" encoding="utf-8"?>
<table xmlns="http://schemas.openxmlformats.org/spreadsheetml/2006/main" id="6" name="tblSources" displayName="tblSources" ref="A5:H11" headerRowCount="1" totalsRowCount="0" totalsRowShown="0">
  <tableColumns count="8">
    <tableColumn id="1" name="Source File"/>
    <tableColumn id="2" name="Revision or Snapshot Date"/>
    <tableColumn id="3" name="Evidence Type"/>
    <tableColumn id="4" name="Jurisdiction"/>
    <tableColumn id="5" name="Governing Subject"/>
    <tableColumn id="6" name="Precedence Role"/>
    <tableColumn id="7" name="Conflict or Gap"/>
    <tableColumn id="8" name="Traceability Ke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6.xml"/>
</Relationships>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05"/>
    <col collapsed="false" customWidth="true" hidden="false" outlineLevel="0" max="3" min="3" style="0" width="34"/>
  </cols>
  <sheetData>
    <row r="1" customFormat="false" ht="27.75" hidden="false" customHeight="true" outlineLevel="0" collapsed="false">
      <c r="A1" s="1" t="s">
        <v>0</v>
      </c>
      <c r="B1" s="1"/>
      <c r="C1" s="1"/>
    </row>
    <row r="2" customFormat="false" ht="24" hidden="false" customHeight="true" outlineLevel="0" collapsed="false">
      <c r="A2" s="2" t="s">
        <v>1</v>
      </c>
      <c r="B2" s="2"/>
      <c r="C2" s="2"/>
    </row>
    <row r="4" customFormat="false" ht="27.75" hidden="false" customHeight="true" outlineLevel="0" collapsed="false">
      <c r="A4" s="3" t="s">
        <v>2</v>
      </c>
      <c r="B4" s="4" t="s">
        <v>3</v>
      </c>
      <c r="C4" s="5" t="s">
        <v>4</v>
      </c>
    </row>
    <row r="5" customFormat="false" ht="27.75" hidden="false" customHeight="true" outlineLevel="0" collapsed="false">
      <c r="A5" s="3" t="s">
        <v>5</v>
      </c>
      <c r="B5" s="4" t="s">
        <v>6</v>
      </c>
      <c r="C5" s="5" t="s">
        <v>7</v>
      </c>
    </row>
    <row r="6" customFormat="false" ht="27.75" hidden="false" customHeight="true" outlineLevel="0" collapsed="false">
      <c r="A6" s="3" t="s">
        <v>8</v>
      </c>
      <c r="B6" s="4" t="s">
        <v>9</v>
      </c>
      <c r="C6" s="5" t="s">
        <v>7</v>
      </c>
    </row>
    <row r="7" customFormat="false" ht="27.75" hidden="false" customHeight="true" outlineLevel="0" collapsed="false">
      <c r="A7" s="3" t="s">
        <v>10</v>
      </c>
      <c r="B7" s="4" t="s">
        <v>11</v>
      </c>
      <c r="C7" s="5" t="s">
        <v>12</v>
      </c>
    </row>
    <row r="8" customFormat="false" ht="27.75" hidden="false" customHeight="true" outlineLevel="0" collapsed="false">
      <c r="A8" s="3" t="s">
        <v>13</v>
      </c>
      <c r="B8" s="4" t="s">
        <v>14</v>
      </c>
      <c r="C8" s="5" t="s">
        <v>15</v>
      </c>
    </row>
    <row r="9" customFormat="false" ht="37.5" hidden="false" customHeight="true" outlineLevel="0" collapsed="false">
      <c r="A9" s="3" t="s">
        <v>16</v>
      </c>
      <c r="B9" s="4" t="s">
        <v>17</v>
      </c>
      <c r="C9" s="5" t="s">
        <v>18</v>
      </c>
    </row>
    <row r="10" customFormat="false" ht="37.5" hidden="false" customHeight="true" outlineLevel="0" collapsed="false">
      <c r="A10" s="3" t="s">
        <v>19</v>
      </c>
      <c r="B10" s="4" t="s">
        <v>20</v>
      </c>
      <c r="C10" s="5" t="s">
        <v>21</v>
      </c>
    </row>
    <row r="11" customFormat="false" ht="37.5" hidden="false" customHeight="true" outlineLevel="0" collapsed="false">
      <c r="A11" s="3" t="s">
        <v>22</v>
      </c>
      <c r="B11" s="4" t="s">
        <v>23</v>
      </c>
      <c r="C11" s="5" t="s">
        <v>24</v>
      </c>
    </row>
    <row r="12" customFormat="false" ht="37.5" hidden="false" customHeight="true" outlineLevel="0" collapsed="false">
      <c r="A12" s="3" t="s">
        <v>25</v>
      </c>
      <c r="B12" s="4" t="s">
        <v>26</v>
      </c>
      <c r="C12" s="5" t="s">
        <v>27</v>
      </c>
    </row>
    <row r="13" customFormat="false" ht="37.5" hidden="false" customHeight="true" outlineLevel="0" collapsed="false">
      <c r="A13" s="3" t="s">
        <v>28</v>
      </c>
      <c r="B13" s="4" t="s">
        <v>29</v>
      </c>
      <c r="C13" s="5" t="s">
        <v>30</v>
      </c>
    </row>
    <row r="14" customFormat="false" ht="37.5" hidden="false" customHeight="true" outlineLevel="0" collapsed="false">
      <c r="A14" s="3" t="s">
        <v>31</v>
      </c>
      <c r="B14" s="4" t="s">
        <v>32</v>
      </c>
      <c r="C14" s="5" t="s">
        <v>33</v>
      </c>
    </row>
    <row r="15" customFormat="false" ht="37.5" hidden="false" customHeight="true" outlineLevel="0" collapsed="false">
      <c r="A15" s="3" t="s">
        <v>34</v>
      </c>
      <c r="B15" s="4" t="s">
        <v>35</v>
      </c>
      <c r="C15" s="5" t="s">
        <v>36</v>
      </c>
    </row>
    <row r="16" customFormat="false" ht="27.75" hidden="false" customHeight="true" outlineLevel="0" collapsed="false">
      <c r="A16" s="3" t="s">
        <v>37</v>
      </c>
      <c r="B16" s="4" t="s">
        <v>38</v>
      </c>
      <c r="C16" s="5" t="s">
        <v>39</v>
      </c>
    </row>
    <row r="17" customFormat="false" ht="27.75" hidden="false" customHeight="true" outlineLevel="0" collapsed="false">
      <c r="A17" s="3" t="s">
        <v>40</v>
      </c>
      <c r="B17" s="4" t="s">
        <v>41</v>
      </c>
      <c r="C17" s="5" t="s">
        <v>42</v>
      </c>
    </row>
    <row r="18" customFormat="false" ht="27.75" hidden="false" customHeight="true" outlineLevel="0" collapsed="false">
      <c r="A18" s="3" t="s">
        <v>43</v>
      </c>
      <c r="B18" s="4" t="s">
        <v>44</v>
      </c>
      <c r="C18" s="5" t="s">
        <v>4</v>
      </c>
    </row>
  </sheetData>
  <mergeCells count="2">
    <mergeCell ref="A1:C1"/>
    <mergeCell ref="A2:C2"/>
  </mergeCells>
  <printOptions headings="false" gridLines="false" gridLinesSet="true" horizontalCentered="false" verticalCentered="false"/>
  <pageMargins left="0.279861111111111" right="0.279861111111111" top="0.35" bottom="0.35" header="0.511811023622047" footer="0.179861111111111"/>
  <pageSetup paperSize="9" scale="100" fitToWidth="1" fitToHeight="1"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31"/>
    <col collapsed="false" customWidth="true" hidden="false" outlineLevel="0" max="3" min="3" style="0" width="33"/>
    <col collapsed="false" customWidth="true" hidden="false" outlineLevel="0" max="4" min="4" style="0" width="24"/>
    <col collapsed="false" customWidth="true" hidden="false" outlineLevel="0" max="5" min="5" style="0" width="46"/>
    <col collapsed="false" customWidth="true" hidden="false" outlineLevel="0" max="6" min="6" style="0" width="54"/>
    <col collapsed="false" customWidth="true" hidden="false" outlineLevel="0" max="7" min="7" style="0" width="56"/>
    <col collapsed="false" customWidth="true" hidden="false" outlineLevel="0" max="8" min="8" style="0" width="40"/>
  </cols>
  <sheetData>
    <row r="1" customFormat="false" ht="27.75" hidden="false" customHeight="true" outlineLevel="0" collapsed="false">
      <c r="A1" s="1" t="s">
        <v>45</v>
      </c>
      <c r="B1" s="1"/>
      <c r="C1" s="1"/>
      <c r="D1" s="1"/>
      <c r="E1" s="1"/>
      <c r="F1" s="1"/>
      <c r="G1" s="1"/>
      <c r="H1" s="1"/>
    </row>
    <row r="2" customFormat="false" ht="24" hidden="false" customHeight="true" outlineLevel="0" collapsed="false">
      <c r="A2" s="2" t="s">
        <v>46</v>
      </c>
      <c r="B2" s="2"/>
      <c r="C2" s="2"/>
      <c r="D2" s="2"/>
      <c r="E2" s="2"/>
      <c r="F2" s="2"/>
      <c r="G2" s="2"/>
      <c r="H2" s="2"/>
    </row>
    <row r="5" customFormat="false" ht="33.75" hidden="false" customHeight="true" outlineLevel="0" collapsed="false">
      <c r="A5" s="6" t="s">
        <v>47</v>
      </c>
      <c r="B5" s="6" t="s">
        <v>48</v>
      </c>
      <c r="C5" s="6" t="s">
        <v>49</v>
      </c>
      <c r="D5" s="6" t="s">
        <v>50</v>
      </c>
      <c r="E5" s="6" t="s">
        <v>51</v>
      </c>
      <c r="F5" s="6" t="s">
        <v>52</v>
      </c>
      <c r="G5" s="6" t="s">
        <v>53</v>
      </c>
      <c r="H5" s="6" t="s">
        <v>54</v>
      </c>
    </row>
    <row r="6" customFormat="false" ht="54" hidden="false" customHeight="true" outlineLevel="0" collapsed="false">
      <c r="A6" s="7" t="s">
        <v>55</v>
      </c>
      <c r="B6" s="7" t="s">
        <v>56</v>
      </c>
      <c r="C6" s="7" t="s">
        <v>57</v>
      </c>
      <c r="D6" s="7" t="s">
        <v>58</v>
      </c>
      <c r="E6" s="7" t="s">
        <v>59</v>
      </c>
      <c r="F6" s="7" t="s">
        <v>60</v>
      </c>
      <c r="G6" s="7" t="s">
        <v>61</v>
      </c>
      <c r="H6" s="7" t="s">
        <v>62</v>
      </c>
    </row>
    <row r="7" customFormat="false" ht="54" hidden="false" customHeight="true" outlineLevel="0" collapsed="false">
      <c r="A7" s="7" t="s">
        <v>63</v>
      </c>
      <c r="B7" s="7" t="s">
        <v>64</v>
      </c>
      <c r="C7" s="7" t="s">
        <v>65</v>
      </c>
      <c r="D7" s="7" t="s">
        <v>58</v>
      </c>
      <c r="E7" s="7" t="s">
        <v>66</v>
      </c>
      <c r="F7" s="7" t="s">
        <v>67</v>
      </c>
      <c r="G7" s="7" t="s">
        <v>68</v>
      </c>
      <c r="H7" s="7" t="s">
        <v>69</v>
      </c>
    </row>
    <row r="8" customFormat="false" ht="54" hidden="false" customHeight="true" outlineLevel="0" collapsed="false">
      <c r="A8" s="7" t="s">
        <v>70</v>
      </c>
      <c r="B8" s="7" t="s">
        <v>71</v>
      </c>
      <c r="C8" s="7" t="s">
        <v>72</v>
      </c>
      <c r="D8" s="7" t="s">
        <v>58</v>
      </c>
      <c r="E8" s="7" t="s">
        <v>73</v>
      </c>
      <c r="F8" s="7" t="s">
        <v>74</v>
      </c>
      <c r="G8" s="7" t="s">
        <v>75</v>
      </c>
      <c r="H8" s="7" t="s">
        <v>76</v>
      </c>
    </row>
    <row r="9" customFormat="false" ht="54" hidden="false" customHeight="true" outlineLevel="0" collapsed="false">
      <c r="A9" s="7" t="s">
        <v>77</v>
      </c>
      <c r="B9" s="7" t="s">
        <v>78</v>
      </c>
      <c r="C9" s="7" t="s">
        <v>79</v>
      </c>
      <c r="D9" s="7" t="s">
        <v>58</v>
      </c>
      <c r="E9" s="7" t="s">
        <v>80</v>
      </c>
      <c r="F9" s="7" t="s">
        <v>81</v>
      </c>
      <c r="G9" s="7" t="s">
        <v>82</v>
      </c>
      <c r="H9" s="7" t="s">
        <v>83</v>
      </c>
    </row>
    <row r="10" customFormat="false" ht="54" hidden="false" customHeight="true" outlineLevel="0" collapsed="false">
      <c r="A10" s="7" t="s">
        <v>84</v>
      </c>
      <c r="B10" s="7" t="s">
        <v>85</v>
      </c>
      <c r="C10" s="7" t="s">
        <v>86</v>
      </c>
      <c r="D10" s="7" t="s">
        <v>87</v>
      </c>
      <c r="E10" s="7" t="s">
        <v>88</v>
      </c>
      <c r="F10" s="7" t="s">
        <v>89</v>
      </c>
      <c r="G10" s="7" t="s">
        <v>90</v>
      </c>
      <c r="H10" s="7" t="s">
        <v>91</v>
      </c>
    </row>
    <row r="11" customFormat="false" ht="54" hidden="false" customHeight="true" outlineLevel="0" collapsed="false">
      <c r="A11" s="7" t="s">
        <v>92</v>
      </c>
      <c r="B11" s="7" t="s">
        <v>93</v>
      </c>
      <c r="C11" s="7" t="s">
        <v>94</v>
      </c>
      <c r="D11" s="7" t="s">
        <v>58</v>
      </c>
      <c r="E11" s="7" t="s">
        <v>95</v>
      </c>
      <c r="F11" s="7" t="s">
        <v>96</v>
      </c>
      <c r="G11" s="7" t="s">
        <v>97</v>
      </c>
      <c r="H11" s="7" t="s">
        <v>98</v>
      </c>
    </row>
  </sheetData>
  <mergeCells count="2">
    <mergeCell ref="A1:H1"/>
    <mergeCell ref="A2:H2"/>
  </mergeCells>
  <printOptions headings="false" gridLines="false" gridLinesSet="true" horizontalCentered="false" verticalCentered="false"/>
  <pageMargins left="0.279861111111111" right="0.279861111111111" top="0.35" bottom="0.35" header="0.511811023622047" footer="0.179861111111111"/>
  <pageSetup paperSize="9" scale="100" fitToWidth="1" fitToHeight="1"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3" min="2" style="0" width="42"/>
    <col collapsed="false" customWidth="true" hidden="false" outlineLevel="0" max="4" min="4" style="0" width="23"/>
    <col collapsed="false" customWidth="true" hidden="false" outlineLevel="0" max="5" min="5" style="0" width="14"/>
    <col collapsed="false" customWidth="true" hidden="false" outlineLevel="0" max="6" min="6" style="0" width="16"/>
    <col collapsed="false" customWidth="true" hidden="false" outlineLevel="0" max="7" min="7" style="0" width="18"/>
    <col collapsed="false" customWidth="true" hidden="false" outlineLevel="0" max="8" min="8" style="0" width="23"/>
    <col collapsed="false" customWidth="true" hidden="false" outlineLevel="0" max="9" min="9" style="0" width="25"/>
    <col collapsed="false" customWidth="true" hidden="false" outlineLevel="0" max="10" min="10" style="0" width="18"/>
    <col collapsed="false" customWidth="true" hidden="true" outlineLevel="0" max="11" min="11" style="0" width="18"/>
    <col collapsed="false" customWidth="true" hidden="true" outlineLevel="0" max="12" min="12" style="0" width="17"/>
    <col collapsed="false" customWidth="true" hidden="true" outlineLevel="0" max="13" min="13" style="0" width="23"/>
    <col collapsed="false" customWidth="true" hidden="true" outlineLevel="0" max="14" min="14" style="0" width="18"/>
  </cols>
  <sheetData>
    <row r="1" customFormat="false" ht="27.75" hidden="false" customHeight="true" outlineLevel="0" collapsed="false">
      <c r="A1" s="1" t="s">
        <v>99</v>
      </c>
      <c r="B1" s="1"/>
      <c r="C1" s="1"/>
      <c r="D1" s="1"/>
      <c r="E1" s="1"/>
      <c r="F1" s="1"/>
      <c r="G1" s="1"/>
      <c r="H1" s="1"/>
      <c r="I1" s="1"/>
      <c r="J1" s="1"/>
      <c r="K1" s="1"/>
      <c r="L1" s="1"/>
      <c r="M1" s="1"/>
      <c r="N1" s="1"/>
    </row>
    <row r="2" customFormat="false" ht="24" hidden="false" customHeight="true" outlineLevel="0" collapsed="false">
      <c r="A2" s="2" t="s">
        <v>100</v>
      </c>
      <c r="B2" s="2"/>
      <c r="C2" s="2"/>
      <c r="D2" s="2"/>
      <c r="E2" s="2"/>
      <c r="F2" s="2"/>
      <c r="G2" s="2"/>
      <c r="H2" s="2"/>
      <c r="I2" s="2"/>
      <c r="J2" s="2"/>
      <c r="K2" s="2"/>
      <c r="L2" s="2"/>
      <c r="M2" s="2"/>
      <c r="N2" s="2"/>
    </row>
    <row r="3" customFormat="false" ht="15" hidden="false" customHeight="false" outlineLevel="0" collapsed="false">
      <c r="A3" s="8" t="s">
        <v>101</v>
      </c>
      <c r="B3" s="8"/>
      <c r="C3" s="8"/>
      <c r="D3" s="8"/>
      <c r="E3" s="8"/>
      <c r="F3" s="8"/>
      <c r="G3" s="8"/>
      <c r="H3" s="8"/>
      <c r="I3" s="8"/>
      <c r="J3" s="8"/>
      <c r="K3" s="8"/>
      <c r="L3" s="8"/>
      <c r="M3" s="8"/>
      <c r="N3" s="8"/>
    </row>
    <row r="5" customFormat="false" ht="33.75" hidden="false" customHeight="true" outlineLevel="0" collapsed="false">
      <c r="A5" s="6" t="s">
        <v>102</v>
      </c>
      <c r="B5" s="6" t="s">
        <v>47</v>
      </c>
      <c r="C5" s="6" t="s">
        <v>103</v>
      </c>
      <c r="D5" s="6" t="s">
        <v>104</v>
      </c>
      <c r="E5" s="6" t="s">
        <v>105</v>
      </c>
      <c r="F5" s="6" t="s">
        <v>106</v>
      </c>
      <c r="G5" s="6" t="s">
        <v>107</v>
      </c>
      <c r="H5" s="6" t="s">
        <v>108</v>
      </c>
      <c r="I5" s="6" t="s">
        <v>109</v>
      </c>
      <c r="J5" s="6" t="s">
        <v>110</v>
      </c>
      <c r="K5" s="6" t="s">
        <v>111</v>
      </c>
      <c r="L5" s="6" t="s">
        <v>112</v>
      </c>
      <c r="M5" s="6" t="s">
        <v>113</v>
      </c>
      <c r="N5" s="6" t="s">
        <v>114</v>
      </c>
    </row>
    <row r="6" customFormat="false" ht="15" hidden="false" customHeight="false" outlineLevel="0" collapsed="false">
      <c r="A6" s="9" t="s">
        <v>115</v>
      </c>
      <c r="B6" s="9" t="s">
        <v>63</v>
      </c>
      <c r="C6" s="9" t="s">
        <v>116</v>
      </c>
      <c r="D6" s="9" t="s">
        <v>117</v>
      </c>
      <c r="E6" s="9" t="s">
        <v>118</v>
      </c>
      <c r="F6" s="10" t="n">
        <v>1.08</v>
      </c>
      <c r="G6" s="11"/>
      <c r="H6" s="10" t="n">
        <v>7.35</v>
      </c>
      <c r="I6" s="10" t="n">
        <v>0.06</v>
      </c>
      <c r="J6" s="9"/>
      <c r="K6" s="12" t="n">
        <f aca="false">IF(AND($E6="STEADY",ISNUMBER($F6),$F6&gt;0),$F6,"")</f>
        <v>1.08</v>
      </c>
      <c r="L6" s="12" t="str">
        <f aca="false">IF(AND($E6="INDEX PEAK",ISNUMBER($F6),$F6&gt;0,ISNUMBER($G6),$G6&gt;0),$F6,"")</f>
        <v/>
      </c>
      <c r="M6" s="12" t="n">
        <f aca="false">IF(AND(ISNUMBER($H6),$J6=""),$H6,"")</f>
        <v>7.35</v>
      </c>
      <c r="N6" s="12" t="n">
        <f aca="false">IF(AND(ISNUMBER($I6),$J6=""),ABS($I6),"")</f>
        <v>0.06</v>
      </c>
    </row>
    <row r="7" customFormat="false" ht="15" hidden="false" customHeight="false" outlineLevel="0" collapsed="false">
      <c r="A7" s="9" t="s">
        <v>119</v>
      </c>
      <c r="B7" s="9" t="s">
        <v>63</v>
      </c>
      <c r="C7" s="9" t="s">
        <v>120</v>
      </c>
      <c r="D7" s="9" t="s">
        <v>121</v>
      </c>
      <c r="E7" s="9" t="s">
        <v>118</v>
      </c>
      <c r="F7" s="10" t="n">
        <v>1.1</v>
      </c>
      <c r="G7" s="11"/>
      <c r="H7" s="10" t="n">
        <v>7.3</v>
      </c>
      <c r="I7" s="10" t="n">
        <v>-0.04</v>
      </c>
      <c r="J7" s="9"/>
      <c r="K7" s="12" t="n">
        <f aca="false">IF(AND($E7="STEADY",ISNUMBER($F7),$F7&gt;0),$F7,"")</f>
        <v>1.1</v>
      </c>
      <c r="L7" s="12" t="str">
        <f aca="false">IF(AND($E7="INDEX PEAK",ISNUMBER($F7),$F7&gt;0,ISNUMBER($G7),$G7&gt;0),$F7,"")</f>
        <v/>
      </c>
      <c r="M7" s="12" t="n">
        <f aca="false">IF(AND(ISNUMBER($H7),$J7=""),$H7,"")</f>
        <v>7.3</v>
      </c>
      <c r="N7" s="12" t="n">
        <f aca="false">IF(AND(ISNUMBER($I7),$J7=""),ABS($I7),"")</f>
        <v>0.04</v>
      </c>
    </row>
    <row r="8" customFormat="false" ht="15" hidden="false" customHeight="false" outlineLevel="0" collapsed="false">
      <c r="A8" s="9" t="s">
        <v>122</v>
      </c>
      <c r="B8" s="9" t="s">
        <v>63</v>
      </c>
      <c r="C8" s="9" t="s">
        <v>123</v>
      </c>
      <c r="D8" s="9" t="s">
        <v>124</v>
      </c>
      <c r="E8" s="9" t="s">
        <v>118</v>
      </c>
      <c r="F8" s="10" t="n">
        <v>1.12</v>
      </c>
      <c r="G8" s="11"/>
      <c r="H8" s="10" t="n">
        <v>7.25</v>
      </c>
      <c r="I8" s="10" t="n">
        <v>0.08</v>
      </c>
      <c r="J8" s="9"/>
      <c r="K8" s="12" t="n">
        <f aca="false">IF(AND($E8="STEADY",ISNUMBER($F8),$F8&gt;0),$F8,"")</f>
        <v>1.12</v>
      </c>
      <c r="L8" s="12" t="str">
        <f aca="false">IF(AND($E8="INDEX PEAK",ISNUMBER($F8),$F8&gt;0,ISNUMBER($G8),$G8&gt;0),$F8,"")</f>
        <v/>
      </c>
      <c r="M8" s="12" t="n">
        <f aca="false">IF(AND(ISNUMBER($H8),$J8=""),$H8,"")</f>
        <v>7.25</v>
      </c>
      <c r="N8" s="12" t="n">
        <f aca="false">IF(AND(ISNUMBER($I8),$J8=""),ABS($I8),"")</f>
        <v>0.08</v>
      </c>
    </row>
    <row r="9" customFormat="false" ht="15" hidden="false" customHeight="false" outlineLevel="0" collapsed="false">
      <c r="A9" s="9" t="s">
        <v>125</v>
      </c>
      <c r="B9" s="9" t="s">
        <v>63</v>
      </c>
      <c r="C9" s="9" t="s">
        <v>126</v>
      </c>
      <c r="D9" s="9" t="s">
        <v>127</v>
      </c>
      <c r="E9" s="9" t="s">
        <v>118</v>
      </c>
      <c r="F9" s="10" t="n">
        <v>1.09</v>
      </c>
      <c r="G9" s="11"/>
      <c r="H9" s="10" t="n">
        <v>7.28</v>
      </c>
      <c r="I9" s="10" t="n">
        <v>-0.02</v>
      </c>
      <c r="J9" s="9"/>
      <c r="K9" s="12" t="n">
        <f aca="false">IF(AND($E9="STEADY",ISNUMBER($F9),$F9&gt;0),$F9,"")</f>
        <v>1.09</v>
      </c>
      <c r="L9" s="12" t="str">
        <f aca="false">IF(AND($E9="INDEX PEAK",ISNUMBER($F9),$F9&gt;0,ISNUMBER($G9),$G9&gt;0),$F9,"")</f>
        <v/>
      </c>
      <c r="M9" s="12" t="n">
        <f aca="false">IF(AND(ISNUMBER($H9),$J9=""),$H9,"")</f>
        <v>7.28</v>
      </c>
      <c r="N9" s="12" t="n">
        <f aca="false">IF(AND(ISNUMBER($I9),$J9=""),ABS($I9),"")</f>
        <v>0.02</v>
      </c>
    </row>
    <row r="10" customFormat="false" ht="15" hidden="false" customHeight="false" outlineLevel="0" collapsed="false">
      <c r="A10" s="9" t="s">
        <v>128</v>
      </c>
      <c r="B10" s="9" t="s">
        <v>63</v>
      </c>
      <c r="C10" s="9" t="s">
        <v>129</v>
      </c>
      <c r="D10" s="9" t="s">
        <v>130</v>
      </c>
      <c r="E10" s="9" t="s">
        <v>118</v>
      </c>
      <c r="F10" s="10" t="n">
        <v>1.11</v>
      </c>
      <c r="G10" s="11"/>
      <c r="H10" s="10" t="n">
        <v>7.22</v>
      </c>
      <c r="I10" s="10" t="n">
        <v>0.11</v>
      </c>
      <c r="J10" s="9"/>
      <c r="K10" s="12" t="n">
        <f aca="false">IF(AND($E10="STEADY",ISNUMBER($F10),$F10&gt;0),$F10,"")</f>
        <v>1.11</v>
      </c>
      <c r="L10" s="12" t="str">
        <f aca="false">IF(AND($E10="INDEX PEAK",ISNUMBER($F10),$F10&gt;0,ISNUMBER($G10),$G10&gt;0),$F10,"")</f>
        <v/>
      </c>
      <c r="M10" s="12" t="n">
        <f aca="false">IF(AND(ISNUMBER($H10),$J10=""),$H10,"")</f>
        <v>7.22</v>
      </c>
      <c r="N10" s="12" t="n">
        <f aca="false">IF(AND(ISNUMBER($I10),$J10=""),ABS($I10),"")</f>
        <v>0.11</v>
      </c>
    </row>
    <row r="11" customFormat="false" ht="15" hidden="false" customHeight="false" outlineLevel="0" collapsed="false">
      <c r="A11" s="9" t="s">
        <v>131</v>
      </c>
      <c r="B11" s="9" t="s">
        <v>63</v>
      </c>
      <c r="C11" s="9" t="s">
        <v>132</v>
      </c>
      <c r="D11" s="9" t="s">
        <v>133</v>
      </c>
      <c r="E11" s="9" t="s">
        <v>134</v>
      </c>
      <c r="F11" s="10" t="n">
        <v>1.3</v>
      </c>
      <c r="G11" s="11"/>
      <c r="H11" s="10" t="n">
        <v>7.2</v>
      </c>
      <c r="I11" s="10" t="n">
        <v>0.16</v>
      </c>
      <c r="J11" s="9"/>
      <c r="K11" s="12" t="str">
        <f aca="false">IF(AND($E11="STEADY",ISNUMBER($F11),$F11&gt;0),$F11,"")</f>
        <v/>
      </c>
      <c r="L11" s="12" t="str">
        <f aca="false">IF(AND($E11="INDEX PEAK",ISNUMBER($F11),$F11&gt;0,ISNUMBER($G11),$G11&gt;0),$F11,"")</f>
        <v/>
      </c>
      <c r="M11" s="12" t="n">
        <f aca="false">IF(AND(ISNUMBER($H11),$J11=""),$H11,"")</f>
        <v>7.2</v>
      </c>
      <c r="N11" s="12" t="n">
        <f aca="false">IF(AND(ISNUMBER($I11),$J11=""),ABS($I11),"")</f>
        <v>0.16</v>
      </c>
    </row>
    <row r="12" customFormat="false" ht="15" hidden="false" customHeight="false" outlineLevel="0" collapsed="false">
      <c r="A12" s="13" t="s">
        <v>135</v>
      </c>
      <c r="B12" s="13" t="s">
        <v>63</v>
      </c>
      <c r="C12" s="13" t="s">
        <v>136</v>
      </c>
      <c r="D12" s="13" t="s">
        <v>137</v>
      </c>
      <c r="E12" s="13" t="s">
        <v>138</v>
      </c>
      <c r="F12" s="14" t="n">
        <v>1.38</v>
      </c>
      <c r="G12" s="15" t="n">
        <v>120</v>
      </c>
      <c r="H12" s="14" t="n">
        <v>7.18</v>
      </c>
      <c r="I12" s="14" t="n">
        <v>0.14</v>
      </c>
      <c r="J12" s="13"/>
      <c r="K12" s="12" t="str">
        <f aca="false">IF(AND($E12="STEADY",ISNUMBER($F12),$F12&gt;0),$F12,"")</f>
        <v/>
      </c>
      <c r="L12" s="12" t="n">
        <f aca="false">IF(AND($E12="INDEX PEAK",ISNUMBER($F12),$F12&gt;0,ISNUMBER($G12),$G12&gt;0),$F12,"")</f>
        <v>1.38</v>
      </c>
      <c r="M12" s="12" t="n">
        <f aca="false">IF(AND(ISNUMBER($H12),$J12=""),$H12,"")</f>
        <v>7.18</v>
      </c>
      <c r="N12" s="12" t="n">
        <f aca="false">IF(AND(ISNUMBER($I12),$J12=""),ABS($I12),"")</f>
        <v>0.14</v>
      </c>
    </row>
    <row r="13" customFormat="false" ht="15" hidden="false" customHeight="false" outlineLevel="0" collapsed="false">
      <c r="A13" s="9" t="s">
        <v>139</v>
      </c>
      <c r="B13" s="9" t="s">
        <v>63</v>
      </c>
      <c r="C13" s="9" t="s">
        <v>140</v>
      </c>
      <c r="D13" s="9" t="s">
        <v>141</v>
      </c>
      <c r="E13" s="9" t="s">
        <v>118</v>
      </c>
      <c r="F13" s="10" t="n">
        <v>1.1</v>
      </c>
      <c r="G13" s="11"/>
      <c r="H13" s="10"/>
      <c r="I13" s="10"/>
      <c r="J13" s="9" t="s">
        <v>142</v>
      </c>
      <c r="K13" s="12" t="n">
        <f aca="false">IF(AND($E13="STEADY",ISNUMBER($F13),$F13&gt;0),$F13,"")</f>
        <v>1.1</v>
      </c>
      <c r="L13" s="12" t="str">
        <f aca="false">IF(AND($E13="INDEX PEAK",ISNUMBER($F13),$F13&gt;0,ISNUMBER($G13),$G13&gt;0),$F13,"")</f>
        <v/>
      </c>
      <c r="M13" s="12" t="str">
        <f aca="false">IF(AND(ISNUMBER($H13),$J13=""),$H13,"")</f>
        <v/>
      </c>
      <c r="N13" s="12" t="str">
        <f aca="false">IF(AND(ISNUMBER($I13),$J13=""),ABS($I13),"")</f>
        <v/>
      </c>
    </row>
    <row r="14" customFormat="false" ht="15" hidden="false" customHeight="false" outlineLevel="0" collapsed="false">
      <c r="A14" s="9" t="s">
        <v>143</v>
      </c>
      <c r="B14" s="9" t="s">
        <v>63</v>
      </c>
      <c r="C14" s="9" t="s">
        <v>144</v>
      </c>
      <c r="D14" s="9" t="s">
        <v>145</v>
      </c>
      <c r="E14" s="9" t="s">
        <v>118</v>
      </c>
      <c r="F14" s="10" t="n">
        <v>1.13</v>
      </c>
      <c r="G14" s="11"/>
      <c r="H14" s="10" t="n">
        <v>7.24</v>
      </c>
      <c r="I14" s="10" t="n">
        <v>0.07</v>
      </c>
      <c r="J14" s="9"/>
      <c r="K14" s="12" t="n">
        <f aca="false">IF(AND($E14="STEADY",ISNUMBER($F14),$F14&gt;0),$F14,"")</f>
        <v>1.13</v>
      </c>
      <c r="L14" s="12" t="str">
        <f aca="false">IF(AND($E14="INDEX PEAK",ISNUMBER($F14),$F14&gt;0,ISNUMBER($G14),$G14&gt;0),$F14,"")</f>
        <v/>
      </c>
      <c r="M14" s="12" t="n">
        <f aca="false">IF(AND(ISNUMBER($H14),$J14=""),$H14,"")</f>
        <v>7.24</v>
      </c>
      <c r="N14" s="12" t="n">
        <f aca="false">IF(AND(ISNUMBER($I14),$J14=""),ABS($I14),"")</f>
        <v>0.07</v>
      </c>
    </row>
    <row r="15" customFormat="false" ht="15" hidden="false" customHeight="false" outlineLevel="0" collapsed="false">
      <c r="A15" s="13" t="s">
        <v>146</v>
      </c>
      <c r="B15" s="13" t="s">
        <v>63</v>
      </c>
      <c r="C15" s="13" t="s">
        <v>147</v>
      </c>
      <c r="D15" s="13" t="s">
        <v>148</v>
      </c>
      <c r="E15" s="13" t="s">
        <v>138</v>
      </c>
      <c r="F15" s="14" t="n">
        <v>1.42</v>
      </c>
      <c r="G15" s="15" t="n">
        <v>90</v>
      </c>
      <c r="H15" s="14" t="n">
        <v>7.16</v>
      </c>
      <c r="I15" s="14" t="n">
        <v>0.15</v>
      </c>
      <c r="J15" s="13"/>
      <c r="K15" s="12" t="str">
        <f aca="false">IF(AND($E15="STEADY",ISNUMBER($F15),$F15&gt;0),$F15,"")</f>
        <v/>
      </c>
      <c r="L15" s="12" t="n">
        <f aca="false">IF(AND($E15="INDEX PEAK",ISNUMBER($F15),$F15&gt;0,ISNUMBER($G15),$G15&gt;0),$F15,"")</f>
        <v>1.42</v>
      </c>
      <c r="M15" s="12" t="n">
        <f aca="false">IF(AND(ISNUMBER($H15),$J15=""),$H15,"")</f>
        <v>7.16</v>
      </c>
      <c r="N15" s="12" t="n">
        <f aca="false">IF(AND(ISNUMBER($I15),$J15=""),ABS($I15),"")</f>
        <v>0.15</v>
      </c>
    </row>
    <row r="16" customFormat="false" ht="15" hidden="false" customHeight="false" outlineLevel="0" collapsed="false">
      <c r="A16" s="9" t="s">
        <v>149</v>
      </c>
      <c r="B16" s="9" t="s">
        <v>77</v>
      </c>
      <c r="C16" s="9" t="s">
        <v>150</v>
      </c>
      <c r="D16" s="9" t="s">
        <v>151</v>
      </c>
      <c r="E16" s="9" t="s">
        <v>118</v>
      </c>
      <c r="F16" s="10" t="n">
        <v>1.11</v>
      </c>
      <c r="G16" s="11"/>
      <c r="H16" s="10" t="n">
        <v>7.26</v>
      </c>
      <c r="I16" s="10" t="n">
        <v>0.05</v>
      </c>
      <c r="J16" s="9"/>
      <c r="K16" s="12" t="n">
        <f aca="false">IF(AND($E16="STEADY",ISNUMBER($F16),$F16&gt;0),$F16,"")</f>
        <v>1.11</v>
      </c>
      <c r="L16" s="12" t="str">
        <f aca="false">IF(AND($E16="INDEX PEAK",ISNUMBER($F16),$F16&gt;0,ISNUMBER($G16),$G16&gt;0),$F16,"")</f>
        <v/>
      </c>
      <c r="M16" s="12" t="n">
        <f aca="false">IF(AND(ISNUMBER($H16),$J16=""),$H16,"")</f>
        <v>7.26</v>
      </c>
      <c r="N16" s="12" t="n">
        <f aca="false">IF(AND(ISNUMBER($I16),$J16=""),ABS($I16),"")</f>
        <v>0.05</v>
      </c>
    </row>
    <row r="17" customFormat="false" ht="15" hidden="false" customHeight="false" outlineLevel="0" collapsed="false">
      <c r="A17" s="9" t="s">
        <v>152</v>
      </c>
      <c r="B17" s="9" t="s">
        <v>77</v>
      </c>
      <c r="C17" s="9" t="s">
        <v>153</v>
      </c>
      <c r="D17" s="9" t="s">
        <v>154</v>
      </c>
      <c r="E17" s="9" t="s">
        <v>118</v>
      </c>
      <c r="F17" s="10" t="n">
        <v>1.12</v>
      </c>
      <c r="G17" s="11"/>
      <c r="H17" s="10" t="n">
        <v>7.24</v>
      </c>
      <c r="I17" s="10" t="n">
        <v>-0.06</v>
      </c>
      <c r="J17" s="9"/>
      <c r="K17" s="12" t="n">
        <f aca="false">IF(AND($E17="STEADY",ISNUMBER($F17),$F17&gt;0),$F17,"")</f>
        <v>1.12</v>
      </c>
      <c r="L17" s="12" t="str">
        <f aca="false">IF(AND($E17="INDEX PEAK",ISNUMBER($F17),$F17&gt;0,ISNUMBER($G17),$G17&gt;0),$F17,"")</f>
        <v/>
      </c>
      <c r="M17" s="12" t="n">
        <f aca="false">IF(AND(ISNUMBER($H17),$J17=""),$H17,"")</f>
        <v>7.24</v>
      </c>
      <c r="N17" s="12" t="n">
        <f aca="false">IF(AND(ISNUMBER($I17),$J17=""),ABS($I17),"")</f>
        <v>0.06</v>
      </c>
    </row>
    <row r="18" customFormat="false" ht="15" hidden="false" customHeight="false" outlineLevel="0" collapsed="false">
      <c r="A18" s="9" t="s">
        <v>155</v>
      </c>
      <c r="B18" s="9" t="s">
        <v>77</v>
      </c>
      <c r="C18" s="9" t="s">
        <v>156</v>
      </c>
      <c r="D18" s="9" t="s">
        <v>157</v>
      </c>
      <c r="E18" s="9" t="s">
        <v>118</v>
      </c>
      <c r="F18" s="10" t="n">
        <v>1.1</v>
      </c>
      <c r="G18" s="11"/>
      <c r="H18" s="10" t="n">
        <v>7.29</v>
      </c>
      <c r="I18" s="10" t="n">
        <v>0.03</v>
      </c>
      <c r="J18" s="9"/>
      <c r="K18" s="12" t="n">
        <f aca="false">IF(AND($E18="STEADY",ISNUMBER($F18),$F18&gt;0),$F18,"")</f>
        <v>1.1</v>
      </c>
      <c r="L18" s="12" t="str">
        <f aca="false">IF(AND($E18="INDEX PEAK",ISNUMBER($F18),$F18&gt;0,ISNUMBER($G18),$G18&gt;0),$F18,"")</f>
        <v/>
      </c>
      <c r="M18" s="12" t="n">
        <f aca="false">IF(AND(ISNUMBER($H18),$J18=""),$H18,"")</f>
        <v>7.29</v>
      </c>
      <c r="N18" s="12" t="n">
        <f aca="false">IF(AND(ISNUMBER($I18),$J18=""),ABS($I18),"")</f>
        <v>0.03</v>
      </c>
    </row>
    <row r="19" customFormat="false" ht="15" hidden="false" customHeight="false" outlineLevel="0" collapsed="false">
      <c r="A19" s="13" t="s">
        <v>158</v>
      </c>
      <c r="B19" s="13" t="s">
        <v>77</v>
      </c>
      <c r="C19" s="13" t="s">
        <v>159</v>
      </c>
      <c r="D19" s="13" t="s">
        <v>160</v>
      </c>
      <c r="E19" s="13" t="s">
        <v>138</v>
      </c>
      <c r="F19" s="14" t="n">
        <v>1.48</v>
      </c>
      <c r="G19" s="15" t="n">
        <v>110</v>
      </c>
      <c r="H19" s="14" t="n">
        <v>7.19</v>
      </c>
      <c r="I19" s="14" t="n">
        <v>0.13</v>
      </c>
      <c r="J19" s="13"/>
      <c r="K19" s="12" t="str">
        <f aca="false">IF(AND($E19="STEADY",ISNUMBER($F19),$F19&gt;0),$F19,"")</f>
        <v/>
      </c>
      <c r="L19" s="12" t="n">
        <f aca="false">IF(AND($E19="INDEX PEAK",ISNUMBER($F19),$F19&gt;0,ISNUMBER($G19),$G19&gt;0),$F19,"")</f>
        <v>1.48</v>
      </c>
      <c r="M19" s="12" t="n">
        <f aca="false">IF(AND(ISNUMBER($H19),$J19=""),$H19,"")</f>
        <v>7.19</v>
      </c>
      <c r="N19" s="12" t="n">
        <f aca="false">IF(AND(ISNUMBER($I19),$J19=""),ABS($I19),"")</f>
        <v>0.13</v>
      </c>
    </row>
    <row r="20" customFormat="false" ht="15" hidden="false" customHeight="false" outlineLevel="0" collapsed="false">
      <c r="A20" s="9" t="s">
        <v>161</v>
      </c>
      <c r="B20" s="9" t="s">
        <v>77</v>
      </c>
      <c r="C20" s="9" t="s">
        <v>162</v>
      </c>
      <c r="D20" s="9" t="s">
        <v>163</v>
      </c>
      <c r="E20" s="9" t="s">
        <v>118</v>
      </c>
      <c r="F20" s="10" t="n">
        <v>1.11</v>
      </c>
      <c r="G20" s="11"/>
      <c r="H20" s="10" t="n">
        <v>7.21</v>
      </c>
      <c r="I20" s="10" t="n">
        <v>0.09</v>
      </c>
      <c r="J20" s="9"/>
      <c r="K20" s="12" t="n">
        <f aca="false">IF(AND($E20="STEADY",ISNUMBER($F20),$F20&gt;0),$F20,"")</f>
        <v>1.11</v>
      </c>
      <c r="L20" s="12" t="str">
        <f aca="false">IF(AND($E20="INDEX PEAK",ISNUMBER($F20),$F20&gt;0,ISNUMBER($G20),$G20&gt;0),$F20,"")</f>
        <v/>
      </c>
      <c r="M20" s="12" t="n">
        <f aca="false">IF(AND(ISNUMBER($H20),$J20=""),$H20,"")</f>
        <v>7.21</v>
      </c>
      <c r="N20" s="12" t="n">
        <f aca="false">IF(AND(ISNUMBER($I20),$J20=""),ABS($I20),"")</f>
        <v>0.09</v>
      </c>
    </row>
    <row r="21" customFormat="false" ht="15" hidden="false" customHeight="false" outlineLevel="0" collapsed="false">
      <c r="A21" s="13" t="s">
        <v>164</v>
      </c>
      <c r="B21" s="13" t="s">
        <v>77</v>
      </c>
      <c r="C21" s="13" t="s">
        <v>165</v>
      </c>
      <c r="D21" s="13" t="s">
        <v>166</v>
      </c>
      <c r="E21" s="13" t="s">
        <v>138</v>
      </c>
      <c r="F21" s="14" t="n">
        <v>1.65</v>
      </c>
      <c r="G21" s="15" t="n">
        <v>80</v>
      </c>
      <c r="H21" s="14"/>
      <c r="I21" s="14"/>
      <c r="J21" s="13" t="s">
        <v>142</v>
      </c>
      <c r="K21" s="12" t="str">
        <f aca="false">IF(AND($E21="STEADY",ISNUMBER($F21),$F21&gt;0),$F21,"")</f>
        <v/>
      </c>
      <c r="L21" s="12" t="n">
        <f aca="false">IF(AND($E21="INDEX PEAK",ISNUMBER($F21),$F21&gt;0,ISNUMBER($G21),$G21&gt;0),$F21,"")</f>
        <v>1.65</v>
      </c>
      <c r="M21" s="12" t="str">
        <f aca="false">IF(AND(ISNUMBER($H21),$J21=""),$H21,"")</f>
        <v/>
      </c>
      <c r="N21" s="12" t="str">
        <f aca="false">IF(AND(ISNUMBER($I21),$J21=""),ABS($I21),"")</f>
        <v/>
      </c>
    </row>
    <row r="22" customFormat="false" ht="15" hidden="false" customHeight="false" outlineLevel="0" collapsed="false">
      <c r="A22" s="9" t="s">
        <v>167</v>
      </c>
      <c r="B22" s="9" t="s">
        <v>77</v>
      </c>
      <c r="C22" s="9" t="s">
        <v>168</v>
      </c>
      <c r="D22" s="9" t="s">
        <v>169</v>
      </c>
      <c r="E22" s="9" t="s">
        <v>118</v>
      </c>
      <c r="F22" s="10" t="n">
        <v>1.09</v>
      </c>
      <c r="G22" s="11"/>
      <c r="H22" s="10" t="n">
        <v>7.27</v>
      </c>
      <c r="I22" s="10" t="n">
        <v>-0.02</v>
      </c>
      <c r="J22" s="9"/>
      <c r="K22" s="12" t="n">
        <f aca="false">IF(AND($E22="STEADY",ISNUMBER($F22),$F22&gt;0),$F22,"")</f>
        <v>1.09</v>
      </c>
      <c r="L22" s="12" t="str">
        <f aca="false">IF(AND($E22="INDEX PEAK",ISNUMBER($F22),$F22&gt;0,ISNUMBER($G22),$G22&gt;0),$F22,"")</f>
        <v/>
      </c>
      <c r="M22" s="12" t="n">
        <f aca="false">IF(AND(ISNUMBER($H22),$J22=""),$H22,"")</f>
        <v>7.27</v>
      </c>
      <c r="N22" s="12" t="n">
        <f aca="false">IF(AND(ISNUMBER($I22),$J22=""),ABS($I22),"")</f>
        <v>0.02</v>
      </c>
    </row>
    <row r="23" customFormat="false" ht="15" hidden="false" customHeight="false" outlineLevel="0" collapsed="false">
      <c r="A23" s="9" t="s">
        <v>170</v>
      </c>
      <c r="B23" s="9" t="s">
        <v>77</v>
      </c>
      <c r="C23" s="9" t="s">
        <v>171</v>
      </c>
      <c r="D23" s="9" t="s">
        <v>172</v>
      </c>
      <c r="E23" s="9" t="s">
        <v>134</v>
      </c>
      <c r="F23" s="10" t="n">
        <v>1.24</v>
      </c>
      <c r="G23" s="11"/>
      <c r="H23" s="10" t="n">
        <v>7.23</v>
      </c>
      <c r="I23" s="10" t="n">
        <v>0.12</v>
      </c>
      <c r="J23" s="9"/>
      <c r="K23" s="12" t="str">
        <f aca="false">IF(AND($E23="STEADY",ISNUMBER($F23),$F23&gt;0),$F23,"")</f>
        <v/>
      </c>
      <c r="L23" s="12" t="str">
        <f aca="false">IF(AND($E23="INDEX PEAK",ISNUMBER($F23),$F23&gt;0,ISNUMBER($G23),$G23&gt;0),$F23,"")</f>
        <v/>
      </c>
      <c r="M23" s="12" t="n">
        <f aca="false">IF(AND(ISNUMBER($H23),$J23=""),$H23,"")</f>
        <v>7.23</v>
      </c>
      <c r="N23" s="12" t="n">
        <f aca="false">IF(AND(ISNUMBER($I23),$J23=""),ABS($I23),"")</f>
        <v>0.12</v>
      </c>
    </row>
  </sheetData>
  <autoFilter ref="A5:N23"/>
  <mergeCells count="3">
    <mergeCell ref="A1:N1"/>
    <mergeCell ref="A2:N2"/>
    <mergeCell ref="A3:N3"/>
  </mergeCells>
  <conditionalFormatting sqref="E6:E23">
    <cfRule type="expression" priority="2" aboveAverage="0" equalAverage="0" bottom="0" percent="0" rank="0" text="" dxfId="5">
      <formula>$E6="INDEX PEAK"</formula>
    </cfRule>
  </conditionalFormatting>
  <printOptions headings="false" gridLines="false" gridLinesSet="true" horizontalCentered="false" verticalCentered="false"/>
  <pageMargins left="0.279861111111111" right="0.279861111111111" top="0.35" bottom="0.35" header="0.511811023622047" footer="0.179861111111111"/>
  <pageSetup paperSize="9" scale="100" fitToWidth="1" fitToHeight="0"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32"/>
    <col collapsed="false" customWidth="true" hidden="false" outlineLevel="0" max="3" min="3" style="0" width="12"/>
    <col collapsed="false" customWidth="true" hidden="false" outlineLevel="0" max="4" min="4" style="0" width="10"/>
    <col collapsed="false" customWidth="true" hidden="false" outlineLevel="0" max="5" min="5" style="0" width="18"/>
    <col collapsed="false" customWidth="true" hidden="false" outlineLevel="0" max="6" min="6" style="0" width="19"/>
    <col collapsed="false" customWidth="true" hidden="false" outlineLevel="0" max="7" min="7" style="0" width="17"/>
    <col collapsed="false" customWidth="true" hidden="false" outlineLevel="0" max="8" min="8" style="0" width="20"/>
    <col collapsed="false" customWidth="true" hidden="false" outlineLevel="0" max="9" min="9" style="0" width="18"/>
    <col collapsed="false" customWidth="true" hidden="false" outlineLevel="0" max="10" min="10" style="0" width="28"/>
    <col collapsed="false" customWidth="true" hidden="false" outlineLevel="0" max="11" min="11" style="0" width="48"/>
    <col collapsed="false" customWidth="true" hidden="false" outlineLevel="0" max="12" min="12" style="0" width="41"/>
    <col collapsed="false" customWidth="true" hidden="false" outlineLevel="0" max="13" min="13" style="0" width="25"/>
    <col collapsed="false" customWidth="true" hidden="false" outlineLevel="0" max="14" min="14" style="0" width="45"/>
  </cols>
  <sheetData>
    <row r="1" customFormat="false" ht="27.75" hidden="false" customHeight="true" outlineLevel="0" collapsed="false">
      <c r="A1" s="1" t="s">
        <v>173</v>
      </c>
      <c r="B1" s="1"/>
      <c r="C1" s="1"/>
      <c r="D1" s="1"/>
      <c r="E1" s="1"/>
      <c r="F1" s="1"/>
      <c r="G1" s="1"/>
      <c r="H1" s="1"/>
      <c r="I1" s="1"/>
      <c r="J1" s="1"/>
      <c r="K1" s="1"/>
      <c r="L1" s="1"/>
      <c r="M1" s="1"/>
      <c r="N1" s="1"/>
    </row>
    <row r="2" customFormat="false" ht="24" hidden="false" customHeight="true" outlineLevel="0" collapsed="false">
      <c r="A2" s="2" t="s">
        <v>174</v>
      </c>
      <c r="B2" s="2"/>
      <c r="C2" s="2"/>
      <c r="D2" s="2"/>
      <c r="E2" s="2"/>
      <c r="F2" s="2"/>
      <c r="G2" s="2"/>
      <c r="H2" s="2"/>
      <c r="I2" s="2"/>
      <c r="J2" s="2"/>
      <c r="K2" s="2"/>
      <c r="L2" s="2"/>
      <c r="M2" s="2"/>
      <c r="N2" s="2"/>
    </row>
    <row r="3" customFormat="false" ht="15" hidden="false" customHeight="false" outlineLevel="0" collapsed="false">
      <c r="A3" s="8" t="s">
        <v>175</v>
      </c>
      <c r="B3" s="8"/>
      <c r="C3" s="8"/>
      <c r="D3" s="8"/>
      <c r="E3" s="8"/>
      <c r="F3" s="8"/>
      <c r="G3" s="8"/>
      <c r="H3" s="8"/>
      <c r="I3" s="8"/>
      <c r="J3" s="8"/>
      <c r="K3" s="8"/>
      <c r="L3" s="8"/>
      <c r="M3" s="8"/>
      <c r="N3" s="8"/>
    </row>
    <row r="5" customFormat="false" ht="33.75" hidden="false" customHeight="true" outlineLevel="0" collapsed="false">
      <c r="A5" s="6" t="s">
        <v>176</v>
      </c>
      <c r="B5" s="6" t="s">
        <v>177</v>
      </c>
      <c r="C5" s="6" t="s">
        <v>178</v>
      </c>
      <c r="D5" s="6" t="s">
        <v>179</v>
      </c>
      <c r="E5" s="6" t="s">
        <v>180</v>
      </c>
      <c r="F5" s="6" t="s">
        <v>181</v>
      </c>
      <c r="G5" s="6" t="s">
        <v>182</v>
      </c>
      <c r="H5" s="6" t="s">
        <v>183</v>
      </c>
      <c r="I5" s="6" t="s">
        <v>184</v>
      </c>
      <c r="J5" s="6" t="s">
        <v>185</v>
      </c>
      <c r="K5" s="6" t="s">
        <v>186</v>
      </c>
      <c r="L5" s="6" t="s">
        <v>187</v>
      </c>
      <c r="M5" s="6" t="s">
        <v>188</v>
      </c>
      <c r="N5" s="6" t="s">
        <v>189</v>
      </c>
    </row>
    <row r="6" customFormat="false" ht="54" hidden="false" customHeight="true" outlineLevel="0" collapsed="false">
      <c r="A6" s="7" t="s">
        <v>190</v>
      </c>
      <c r="B6" s="7" t="s">
        <v>191</v>
      </c>
      <c r="C6" s="7" t="s">
        <v>192</v>
      </c>
      <c r="D6" s="7" t="s">
        <v>193</v>
      </c>
      <c r="E6" s="16" t="n">
        <v>1.2</v>
      </c>
      <c r="F6" s="16"/>
      <c r="G6" s="16" t="n">
        <v>1.25</v>
      </c>
      <c r="H6" s="16" t="n">
        <v>1.25</v>
      </c>
      <c r="I6" s="16" t="n">
        <f aca="false">IF(COUNT(E6:H6)=0,"",IF(C6="MIN",MAX(IF(ISNUMBER(E6),E6,-1E+099),IF(ISNUMBER(F6),F6,-1E+099),IF(ISNUMBER(G6),G6,-1E+099),IF(ISNUMBER(H6),H6,-1E+099)),MIN(IF(ISNUMBER(E6),E6,1E+099),IF(ISNUMBER(F6),F6,1E+099),IF(ISNUMBER(G6),G6,1E+099),IF(ISNUMBER(H6),H6,1E+099))))</f>
        <v>1.2</v>
      </c>
      <c r="J6" s="7" t="str">
        <f aca="false">IF(M6="NOT SUPPLIED","INCOMPARABLE / CONFLICT",IF(COUNT(E6:H6)=0,"MISSING / INCOMPARABLE",IF(MAX(E6:H6)&lt;&gt;MIN(E6:H6),"CONFLICT","AGREEMENT")))</f>
        <v>CONFLICT</v>
      </c>
      <c r="K6" s="7" t="s">
        <v>194</v>
      </c>
      <c r="L6" s="7"/>
      <c r="M6" s="7" t="s">
        <v>58</v>
      </c>
      <c r="N6" s="7" t="s">
        <v>195</v>
      </c>
    </row>
    <row r="7" customFormat="false" ht="54" hidden="false" customHeight="true" outlineLevel="0" collapsed="false">
      <c r="A7" s="7" t="s">
        <v>196</v>
      </c>
      <c r="B7" s="7" t="s">
        <v>197</v>
      </c>
      <c r="C7" s="7" t="s">
        <v>198</v>
      </c>
      <c r="D7" s="7" t="s">
        <v>199</v>
      </c>
      <c r="E7" s="16"/>
      <c r="F7" s="16" t="n">
        <f aca="false">'Drawing Check'!$L$18</f>
        <v>7.2</v>
      </c>
      <c r="G7" s="16" t="n">
        <v>6</v>
      </c>
      <c r="H7" s="16" t="n">
        <v>7.8</v>
      </c>
      <c r="I7" s="16" t="n">
        <f aca="false">IF(COUNT(E7:H7)=0,"",IF(C7="MIN",MAX(IF(ISNUMBER(E7),E7,-1E+099),IF(ISNUMBER(F7),F7,-1E+099),IF(ISNUMBER(G7),G7,-1E+099),IF(ISNUMBER(H7),H7,-1E+099)),MIN(IF(ISNUMBER(E7),E7,1E+099),IF(ISNUMBER(F7),F7,1E+099),IF(ISNUMBER(G7),G7,1E+099),IF(ISNUMBER(H7),H7,1E+099))))</f>
        <v>7.8</v>
      </c>
      <c r="J7" s="7" t="str">
        <f aca="false">IF(M7="NOT SUPPLIED","INCOMPARABLE / CONFLICT",IF(COUNT(E7:H7)=0,"MISSING / INCOMPARABLE",IF(MAX(E7:H7)&lt;&gt;MIN(E7:H7),"CONFLICT","AGREEMENT")))</f>
        <v>INCOMPARABLE / CONFLICT</v>
      </c>
      <c r="K7" s="7" t="s">
        <v>200</v>
      </c>
      <c r="L7" s="7" t="s">
        <v>201</v>
      </c>
      <c r="M7" s="7" t="s">
        <v>202</v>
      </c>
      <c r="N7" s="7" t="s">
        <v>203</v>
      </c>
    </row>
    <row r="8" customFormat="false" ht="54" hidden="false" customHeight="true" outlineLevel="0" collapsed="false">
      <c r="A8" s="7" t="s">
        <v>204</v>
      </c>
      <c r="B8" s="7" t="s">
        <v>205</v>
      </c>
      <c r="C8" s="7" t="s">
        <v>192</v>
      </c>
      <c r="D8" s="7" t="s">
        <v>199</v>
      </c>
      <c r="E8" s="16" t="n">
        <v>0.2</v>
      </c>
      <c r="F8" s="16" t="n">
        <f aca="false">MAX('Drawing Check'!$E$6:$F$17)</f>
        <v>0.2</v>
      </c>
      <c r="G8" s="16" t="n">
        <v>0.3</v>
      </c>
      <c r="H8" s="16" t="n">
        <v>0.3</v>
      </c>
      <c r="I8" s="16" t="n">
        <f aca="false">IF(COUNT(E8:H8)=0,"",IF(C8="MIN",MAX(IF(ISNUMBER(E8),E8,-1E+099),IF(ISNUMBER(F8),F8,-1E+099),IF(ISNUMBER(G8),G8,-1E+099),IF(ISNUMBER(H8),H8,-1E+099)),MIN(IF(ISNUMBER(E8),E8,1E+099),IF(ISNUMBER(F8),F8,1E+099),IF(ISNUMBER(G8),G8,1E+099),IF(ISNUMBER(H8),H8,1E+099))))</f>
        <v>0.2</v>
      </c>
      <c r="J8" s="7" t="str">
        <f aca="false">IF(M8="NOT SUPPLIED","INCOMPARABLE / CONFLICT",IF(COUNT(E8:H8)=0,"MISSING / INCOMPARABLE",IF(MAX(E8:H8)&lt;&gt;MIN(E8:H8),"CONFLICT","AGREEMENT")))</f>
        <v>CONFLICT</v>
      </c>
      <c r="K8" s="7" t="s">
        <v>206</v>
      </c>
      <c r="L8" s="7"/>
      <c r="M8" s="7" t="s">
        <v>58</v>
      </c>
      <c r="N8" s="7" t="s">
        <v>195</v>
      </c>
    </row>
    <row r="9" customFormat="false" ht="54" hidden="false" customHeight="true" outlineLevel="0" collapsed="false">
      <c r="A9" s="7" t="s">
        <v>207</v>
      </c>
      <c r="B9" s="7" t="s">
        <v>208</v>
      </c>
      <c r="C9" s="7" t="s">
        <v>192</v>
      </c>
      <c r="D9" s="7" t="s">
        <v>199</v>
      </c>
      <c r="E9" s="16" t="n">
        <v>0.2</v>
      </c>
      <c r="F9" s="16" t="n">
        <f aca="false">MAX('Drawing Check'!$E$6:$F$6)</f>
        <v>0.2</v>
      </c>
      <c r="G9" s="16"/>
      <c r="H9" s="16"/>
      <c r="I9" s="16" t="n">
        <f aca="false">IF(COUNT(E9:H9)=0,"",IF(C9="MIN",MAX(IF(ISNUMBER(E9),E9,-1E+099),IF(ISNUMBER(F9),F9,-1E+099),IF(ISNUMBER(G9),G9,-1E+099),IF(ISNUMBER(H9),H9,-1E+099)),MIN(IF(ISNUMBER(E9),E9,1E+099),IF(ISNUMBER(F9),F9,1E+099),IF(ISNUMBER(G9),G9,1E+099),IF(ISNUMBER(H9),H9,1E+099))))</f>
        <v>0.2</v>
      </c>
      <c r="J9" s="7" t="str">
        <f aca="false">IF(M9="NOT SUPPLIED","INCOMPARABLE / CONFLICT",IF(COUNT(E9:H9)=0,"MISSING / INCOMPARABLE",IF(MAX(E9:H9)&lt;&gt;MIN(E9:H9),"CONFLICT","AGREEMENT")))</f>
        <v>AGREEMENT</v>
      </c>
      <c r="K9" s="7" t="s">
        <v>209</v>
      </c>
      <c r="L9" s="7"/>
      <c r="M9" s="7" t="s">
        <v>58</v>
      </c>
      <c r="N9" s="7" t="s">
        <v>210</v>
      </c>
    </row>
    <row r="10" customFormat="false" ht="54" hidden="false" customHeight="true" outlineLevel="0" collapsed="false">
      <c r="A10" s="7" t="s">
        <v>211</v>
      </c>
      <c r="B10" s="7" t="s">
        <v>212</v>
      </c>
      <c r="C10" s="7" t="s">
        <v>192</v>
      </c>
      <c r="D10" s="7" t="s">
        <v>199</v>
      </c>
      <c r="E10" s="16" t="n">
        <v>0.1</v>
      </c>
      <c r="F10" s="16" t="n">
        <f aca="false">MAX('Drawing Check'!$E$7:$F$7)</f>
        <v>0.1</v>
      </c>
      <c r="G10" s="16"/>
      <c r="H10" s="16"/>
      <c r="I10" s="16" t="n">
        <f aca="false">IF(COUNT(E10:H10)=0,"",IF(C10="MIN",MAX(IF(ISNUMBER(E10),E10,-1E+099),IF(ISNUMBER(F10),F10,-1E+099),IF(ISNUMBER(G10),G10,-1E+099),IF(ISNUMBER(H10),H10,-1E+099)),MIN(IF(ISNUMBER(E10),E10,1E+099),IF(ISNUMBER(F10),F10,1E+099),IF(ISNUMBER(G10),G10,1E+099),IF(ISNUMBER(H10),H10,1E+099))))</f>
        <v>0.1</v>
      </c>
      <c r="J10" s="7" t="str">
        <f aca="false">IF(M10="NOT SUPPLIED","INCOMPARABLE / CONFLICT",IF(COUNT(E10:H10)=0,"MISSING / INCOMPARABLE",IF(MAX(E10:H10)&lt;&gt;MIN(E10:H10),"CONFLICT","AGREEMENT")))</f>
        <v>AGREEMENT</v>
      </c>
      <c r="K10" s="7" t="s">
        <v>213</v>
      </c>
      <c r="L10" s="7"/>
      <c r="M10" s="7" t="s">
        <v>58</v>
      </c>
      <c r="N10" s="7" t="s">
        <v>210</v>
      </c>
    </row>
  </sheetData>
  <mergeCells count="3">
    <mergeCell ref="A1:N1"/>
    <mergeCell ref="A2:N2"/>
    <mergeCell ref="A3:N3"/>
  </mergeCells>
  <printOptions headings="false" gridLines="false" gridLinesSet="true" horizontalCentered="false" verticalCentered="false"/>
  <pageMargins left="0.279861111111111" right="0.279861111111111" top="0.35" bottom="0.35" header="0.511811023622047" footer="0.179861111111111"/>
  <pageSetup paperSize="9" scale="100" fitToWidth="1" fitToHeight="1"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7"/>
    <col collapsed="false" customWidth="true" hidden="false" outlineLevel="0" max="2" min="2" style="0" width="22"/>
    <col collapsed="false" customWidth="true" hidden="false" outlineLevel="0" max="3" min="3" style="0" width="12"/>
    <col collapsed="false" customWidth="true" hidden="false" outlineLevel="0" max="4" min="4" style="0" width="22"/>
    <col collapsed="false" customWidth="true" hidden="false" outlineLevel="0" max="6" min="5" style="0" width="18"/>
    <col collapsed="false" customWidth="true" hidden="false" outlineLevel="0" max="8" min="7" style="0" width="17"/>
    <col collapsed="false" customWidth="true" hidden="false" outlineLevel="0" max="10" min="9" style="0" width="19"/>
    <col collapsed="false" customWidth="true" hidden="false" outlineLevel="0" max="11" min="11" style="0" width="23"/>
    <col collapsed="false" customWidth="true" hidden="false" outlineLevel="0" max="13" min="12" style="0" width="21"/>
    <col collapsed="false" customWidth="true" hidden="false" outlineLevel="0" max="14" min="14" style="0" width="20"/>
    <col collapsed="false" customWidth="true" hidden="false" outlineLevel="0" max="15" min="15" style="0" width="18"/>
    <col collapsed="false" customWidth="true" hidden="false" outlineLevel="0" max="16" min="16" style="0" width="34"/>
    <col collapsed="false" customWidth="true" hidden="false" outlineLevel="0" max="17" min="17" style="0" width="42"/>
    <col collapsed="false" customWidth="true" hidden="false" outlineLevel="0" max="18" min="18" style="0" width="24"/>
    <col collapsed="false" customWidth="true" hidden="false" outlineLevel="0" max="19" min="19" style="0" width="10"/>
  </cols>
  <sheetData>
    <row r="1" customFormat="false" ht="27.75" hidden="false" customHeight="true" outlineLevel="0" collapsed="false">
      <c r="A1" s="1" t="s">
        <v>214</v>
      </c>
      <c r="B1" s="1"/>
      <c r="C1" s="1"/>
      <c r="D1" s="1"/>
      <c r="E1" s="1"/>
      <c r="F1" s="1"/>
      <c r="G1" s="1"/>
      <c r="H1" s="1"/>
      <c r="I1" s="1"/>
      <c r="J1" s="1"/>
      <c r="K1" s="1"/>
      <c r="L1" s="1"/>
      <c r="M1" s="1"/>
      <c r="N1" s="1"/>
      <c r="O1" s="1"/>
      <c r="P1" s="1"/>
      <c r="Q1" s="1"/>
      <c r="R1" s="1"/>
      <c r="S1" s="1"/>
    </row>
    <row r="2" customFormat="false" ht="24" hidden="false" customHeight="true" outlineLevel="0" collapsed="false">
      <c r="A2" s="2" t="s">
        <v>215</v>
      </c>
      <c r="B2" s="2"/>
      <c r="C2" s="2"/>
      <c r="D2" s="2"/>
      <c r="E2" s="2"/>
      <c r="F2" s="2"/>
      <c r="G2" s="2"/>
      <c r="H2" s="2"/>
      <c r="I2" s="2"/>
      <c r="J2" s="2"/>
      <c r="K2" s="2"/>
      <c r="L2" s="2"/>
      <c r="M2" s="2"/>
      <c r="N2" s="2"/>
      <c r="O2" s="2"/>
      <c r="P2" s="2"/>
      <c r="Q2" s="2"/>
      <c r="R2" s="2"/>
      <c r="S2" s="2"/>
    </row>
    <row r="3" customFormat="false" ht="15" hidden="false" customHeight="false" outlineLevel="0" collapsed="false">
      <c r="A3" s="8" t="s">
        <v>216</v>
      </c>
      <c r="B3" s="8"/>
      <c r="C3" s="8"/>
      <c r="D3" s="8"/>
      <c r="E3" s="8"/>
      <c r="F3" s="8"/>
      <c r="G3" s="8"/>
      <c r="H3" s="8"/>
      <c r="I3" s="8"/>
      <c r="J3" s="8"/>
      <c r="K3" s="8"/>
      <c r="L3" s="8"/>
      <c r="M3" s="8"/>
      <c r="N3" s="8"/>
      <c r="O3" s="8"/>
      <c r="P3" s="8"/>
      <c r="Q3" s="8"/>
      <c r="R3" s="8"/>
      <c r="S3" s="8"/>
    </row>
    <row r="5" customFormat="false" ht="33.75" hidden="false" customHeight="true" outlineLevel="0" collapsed="false">
      <c r="A5" s="6" t="s">
        <v>217</v>
      </c>
      <c r="B5" s="6" t="s">
        <v>218</v>
      </c>
      <c r="C5" s="6" t="s">
        <v>219</v>
      </c>
      <c r="D5" s="6" t="s">
        <v>220</v>
      </c>
      <c r="E5" s="6" t="s">
        <v>221</v>
      </c>
      <c r="F5" s="6" t="s">
        <v>222</v>
      </c>
      <c r="G5" s="6" t="s">
        <v>223</v>
      </c>
      <c r="H5" s="6" t="s">
        <v>224</v>
      </c>
      <c r="I5" s="6" t="s">
        <v>225</v>
      </c>
      <c r="J5" s="6" t="s">
        <v>226</v>
      </c>
      <c r="K5" s="6" t="s">
        <v>227</v>
      </c>
      <c r="L5" s="6" t="s">
        <v>228</v>
      </c>
      <c r="M5" s="6" t="s">
        <v>229</v>
      </c>
      <c r="N5" s="6" t="s">
        <v>230</v>
      </c>
      <c r="O5" s="6" t="s">
        <v>110</v>
      </c>
      <c r="P5" s="6" t="s">
        <v>186</v>
      </c>
      <c r="Q5" s="6" t="s">
        <v>231</v>
      </c>
      <c r="R5" s="6" t="s">
        <v>50</v>
      </c>
      <c r="S5" s="6" t="s">
        <v>232</v>
      </c>
    </row>
    <row r="6" customFormat="false" ht="30" hidden="false" customHeight="true" outlineLevel="0" collapsed="false">
      <c r="A6" s="17" t="s">
        <v>233</v>
      </c>
      <c r="B6" s="17" t="s">
        <v>234</v>
      </c>
      <c r="C6" s="17" t="s">
        <v>235</v>
      </c>
      <c r="D6" s="18" t="n">
        <v>52</v>
      </c>
      <c r="E6" s="18" t="n">
        <v>0.2</v>
      </c>
      <c r="F6" s="18" t="n">
        <v>0.2</v>
      </c>
      <c r="G6" s="18" t="n">
        <f aca="false">IF(OR(D6="",E6=""),"",D6-E6)</f>
        <v>51.8</v>
      </c>
      <c r="H6" s="18" t="n">
        <f aca="false">IF(OR(D6="",F6=""),"",D6+F6)</f>
        <v>52.2</v>
      </c>
      <c r="I6" s="17" t="s">
        <v>236</v>
      </c>
      <c r="J6" s="18" t="n">
        <f aca="false">IFERROR(INDEX($D$6:$D$17,MATCH(I6,$A$6:$A$17,0)),"")</f>
        <v>52</v>
      </c>
      <c r="K6" s="17" t="str">
        <f aca="false">IF(I6="","NOT APPLICABLE",IFERROR(IF(AND(C6=INDEX($C$6:$C$17,MATCH(I6,$A$6:$A$17,0)),S6=INDEX($S$6:$S$17,MATCH(I6,$A$6:$A$17,0)),D6=INDEX($D$6:$D$17,MATCH(I6,$A$6:$A$17,0)),E6=INDEX($E$6:$E$17,MATCH(I6,$A$6:$A$17,0)),F6=INDEX($F$6:$F$17,MATCH(I6,$A$6:$A$17,0))),"AGREE","DOES NOT AGREE"),"NOT FOUND"))</f>
        <v>AGREE</v>
      </c>
      <c r="L6" s="18"/>
      <c r="M6" s="18"/>
      <c r="N6" s="18"/>
      <c r="O6" s="17"/>
      <c r="P6" s="17" t="s">
        <v>237</v>
      </c>
      <c r="Q6" s="17" t="s">
        <v>238</v>
      </c>
      <c r="R6" s="17" t="s">
        <v>58</v>
      </c>
      <c r="S6" s="17" t="s">
        <v>199</v>
      </c>
    </row>
    <row r="7" customFormat="false" ht="30" hidden="false" customHeight="true" outlineLevel="0" collapsed="false">
      <c r="A7" s="17" t="s">
        <v>239</v>
      </c>
      <c r="B7" s="17" t="s">
        <v>234</v>
      </c>
      <c r="C7" s="17" t="s">
        <v>235</v>
      </c>
      <c r="D7" s="18" t="n">
        <v>44.5</v>
      </c>
      <c r="E7" s="18" t="n">
        <v>0.1</v>
      </c>
      <c r="F7" s="18" t="n">
        <v>0.1</v>
      </c>
      <c r="G7" s="18" t="n">
        <f aca="false">IF(OR(D7="",E7=""),"",D7-E7)</f>
        <v>44.4</v>
      </c>
      <c r="H7" s="18" t="n">
        <f aca="false">IF(OR(D7="",F7=""),"",D7+F7)</f>
        <v>44.6</v>
      </c>
      <c r="I7" s="17" t="s">
        <v>240</v>
      </c>
      <c r="J7" s="18" t="n">
        <f aca="false">IFERROR(INDEX($D$6:$D$17,MATCH(I7,$A$6:$A$17,0)),"")</f>
        <v>44.5</v>
      </c>
      <c r="K7" s="17" t="str">
        <f aca="false">IF(I7="","NOT APPLICABLE",IFERROR(IF(AND(C7=INDEX($C$6:$C$17,MATCH(I7,$A$6:$A$17,0)),S7=INDEX($S$6:$S$17,MATCH(I7,$A$6:$A$17,0)),D7=INDEX($D$6:$D$17,MATCH(I7,$A$6:$A$17,0)),E7=INDEX($E$6:$E$17,MATCH(I7,$A$6:$A$17,0)),F7=INDEX($F$6:$F$17,MATCH(I7,$A$6:$A$17,0))),"AGREE","DOES NOT AGREE"),"NOT FOUND"))</f>
        <v>AGREE</v>
      </c>
      <c r="L7" s="18"/>
      <c r="M7" s="18"/>
      <c r="N7" s="18"/>
      <c r="O7" s="17"/>
      <c r="P7" s="17" t="s">
        <v>241</v>
      </c>
      <c r="Q7" s="17" t="s">
        <v>242</v>
      </c>
      <c r="R7" s="17" t="s">
        <v>58</v>
      </c>
      <c r="S7" s="17" t="s">
        <v>199</v>
      </c>
    </row>
    <row r="8" customFormat="false" ht="30" hidden="false" customHeight="true" outlineLevel="0" collapsed="false">
      <c r="A8" s="17" t="s">
        <v>243</v>
      </c>
      <c r="B8" s="17" t="s">
        <v>234</v>
      </c>
      <c r="C8" s="17" t="s">
        <v>244</v>
      </c>
      <c r="D8" s="18" t="n">
        <v>30</v>
      </c>
      <c r="E8" s="18" t="n">
        <v>0.15</v>
      </c>
      <c r="F8" s="18" t="n">
        <v>0.15</v>
      </c>
      <c r="G8" s="18" t="n">
        <f aca="false">IF(OR(D8="",E8=""),"",D8-E8)</f>
        <v>29.85</v>
      </c>
      <c r="H8" s="18" t="n">
        <f aca="false">IF(OR(D8="",F8=""),"",D8+F8)</f>
        <v>30.15</v>
      </c>
      <c r="I8" s="17" t="s">
        <v>245</v>
      </c>
      <c r="J8" s="18" t="n">
        <f aca="false">IFERROR(INDEX($D$6:$D$17,MATCH(I8,$A$6:$A$17,0)),"")</f>
        <v>30</v>
      </c>
      <c r="K8" s="17" t="str">
        <f aca="false">IF(I8="","NOT APPLICABLE",IFERROR(IF(AND(C8=INDEX($C$6:$C$17,MATCH(I8,$A$6:$A$17,0)),S8=INDEX($S$6:$S$17,MATCH(I8,$A$6:$A$17,0)),D8=INDEX($D$6:$D$17,MATCH(I8,$A$6:$A$17,0)),E8=INDEX($E$6:$E$17,MATCH(I8,$A$6:$A$17,0)),F8=INDEX($F$6:$F$17,MATCH(I8,$A$6:$A$17,0))),"AGREE","DOES NOT AGREE"),"NOT FOUND"))</f>
        <v>AGREE</v>
      </c>
      <c r="L8" s="18"/>
      <c r="M8" s="18"/>
      <c r="N8" s="18"/>
      <c r="O8" s="17"/>
      <c r="P8" s="17" t="s">
        <v>246</v>
      </c>
      <c r="Q8" s="17" t="s">
        <v>247</v>
      </c>
      <c r="R8" s="17" t="s">
        <v>58</v>
      </c>
      <c r="S8" s="17" t="s">
        <v>199</v>
      </c>
    </row>
    <row r="9" customFormat="false" ht="30" hidden="false" customHeight="true" outlineLevel="0" collapsed="false">
      <c r="A9" s="17" t="s">
        <v>248</v>
      </c>
      <c r="B9" s="17" t="s">
        <v>234</v>
      </c>
      <c r="C9" s="17" t="s">
        <v>244</v>
      </c>
      <c r="D9" s="18" t="n">
        <v>22</v>
      </c>
      <c r="E9" s="18" t="n">
        <v>0.05</v>
      </c>
      <c r="F9" s="18" t="n">
        <v>0.05</v>
      </c>
      <c r="G9" s="18" t="n">
        <f aca="false">IF(OR(D9="",E9=""),"",D9-E9)</f>
        <v>21.95</v>
      </c>
      <c r="H9" s="18" t="n">
        <f aca="false">IF(OR(D9="",F9=""),"",D9+F9)</f>
        <v>22.05</v>
      </c>
      <c r="I9" s="17" t="s">
        <v>249</v>
      </c>
      <c r="J9" s="18" t="n">
        <f aca="false">IFERROR(INDEX($D$6:$D$17,MATCH(I9,$A$6:$A$17,0)),"")</f>
        <v>22</v>
      </c>
      <c r="K9" s="17" t="str">
        <f aca="false">IF(I9="","NOT APPLICABLE",IFERROR(IF(AND(C9=INDEX($C$6:$C$17,MATCH(I9,$A$6:$A$17,0)),S9=INDEX($S$6:$S$17,MATCH(I9,$A$6:$A$17,0)),D9=INDEX($D$6:$D$17,MATCH(I9,$A$6:$A$17,0)),E9=INDEX($E$6:$E$17,MATCH(I9,$A$6:$A$17,0)),F9=INDEX($F$6:$F$17,MATCH(I9,$A$6:$A$17,0))),"AGREE","DOES NOT AGREE"),"NOT FOUND"))</f>
        <v>AGREE</v>
      </c>
      <c r="L9" s="18"/>
      <c r="M9" s="18"/>
      <c r="N9" s="18"/>
      <c r="O9" s="17"/>
      <c r="P9" s="17" t="s">
        <v>250</v>
      </c>
      <c r="Q9" s="17" t="s">
        <v>251</v>
      </c>
      <c r="R9" s="17" t="s">
        <v>58</v>
      </c>
      <c r="S9" s="17" t="s">
        <v>199</v>
      </c>
    </row>
    <row r="10" customFormat="false" ht="30" hidden="false" customHeight="true" outlineLevel="0" collapsed="false">
      <c r="A10" s="17" t="s">
        <v>252</v>
      </c>
      <c r="B10" s="17" t="s">
        <v>253</v>
      </c>
      <c r="C10" s="17" t="s">
        <v>254</v>
      </c>
      <c r="D10" s="18" t="n">
        <v>18</v>
      </c>
      <c r="E10" s="18" t="n">
        <v>0.1</v>
      </c>
      <c r="F10" s="18" t="n">
        <v>0.1</v>
      </c>
      <c r="G10" s="18" t="n">
        <f aca="false">IF(OR(D10="",E10=""),"",D10-E10)</f>
        <v>17.9</v>
      </c>
      <c r="H10" s="18" t="n">
        <f aca="false">IF(OR(D10="",F10=""),"",D10+F10)</f>
        <v>18.1</v>
      </c>
      <c r="I10" s="17" t="s">
        <v>255</v>
      </c>
      <c r="J10" s="18" t="n">
        <f aca="false">IFERROR(INDEX($D$6:$D$17,MATCH(I10,$A$6:$A$17,0)),"")</f>
        <v>18</v>
      </c>
      <c r="K10" s="17" t="str">
        <f aca="false">IF(I10="","NOT APPLICABLE",IFERROR(IF(AND(C10=INDEX($C$6:$C$17,MATCH(I10,$A$6:$A$17,0)),S10=INDEX($S$6:$S$17,MATCH(I10,$A$6:$A$17,0)),D10=INDEX($D$6:$D$17,MATCH(I10,$A$6:$A$17,0)),E10=INDEX($E$6:$E$17,MATCH(I10,$A$6:$A$17,0)),F10=INDEX($F$6:$F$17,MATCH(I10,$A$6:$A$17,0))),"AGREE","DOES NOT AGREE"),"NOT FOUND"))</f>
        <v>AGREE</v>
      </c>
      <c r="L10" s="18"/>
      <c r="M10" s="18"/>
      <c r="N10" s="18"/>
      <c r="O10" s="17"/>
      <c r="P10" s="17" t="s">
        <v>256</v>
      </c>
      <c r="Q10" s="17" t="s">
        <v>257</v>
      </c>
      <c r="R10" s="17" t="s">
        <v>58</v>
      </c>
      <c r="S10" s="17" t="s">
        <v>199</v>
      </c>
    </row>
    <row r="11" customFormat="false" ht="30" hidden="false" customHeight="true" outlineLevel="0" collapsed="false">
      <c r="A11" s="17" t="s">
        <v>258</v>
      </c>
      <c r="B11" s="17" t="s">
        <v>253</v>
      </c>
      <c r="C11" s="17" t="s">
        <v>254</v>
      </c>
      <c r="D11" s="18" t="n">
        <v>10</v>
      </c>
      <c r="E11" s="18" t="n">
        <v>0.05</v>
      </c>
      <c r="F11" s="18" t="n">
        <v>0.05</v>
      </c>
      <c r="G11" s="18" t="n">
        <f aca="false">IF(OR(D11="",E11=""),"",D11-E11)</f>
        <v>9.95</v>
      </c>
      <c r="H11" s="18" t="n">
        <f aca="false">IF(OR(D11="",F11=""),"",D11+F11)</f>
        <v>10.05</v>
      </c>
      <c r="I11" s="17" t="s">
        <v>259</v>
      </c>
      <c r="J11" s="18" t="n">
        <f aca="false">IFERROR(INDEX($D$6:$D$17,MATCH(I11,$A$6:$A$17,0)),"")</f>
        <v>10</v>
      </c>
      <c r="K11" s="17" t="str">
        <f aca="false">IF(I11="","NOT APPLICABLE",IFERROR(IF(AND(C11=INDEX($C$6:$C$17,MATCH(I11,$A$6:$A$17,0)),S11=INDEX($S$6:$S$17,MATCH(I11,$A$6:$A$17,0)),D11=INDEX($D$6:$D$17,MATCH(I11,$A$6:$A$17,0)),E11=INDEX($E$6:$E$17,MATCH(I11,$A$6:$A$17,0)),F11=INDEX($F$6:$F$17,MATCH(I11,$A$6:$A$17,0))),"AGREE","DOES NOT AGREE"),"NOT FOUND"))</f>
        <v>AGREE</v>
      </c>
      <c r="L11" s="18"/>
      <c r="M11" s="18"/>
      <c r="N11" s="18"/>
      <c r="O11" s="17"/>
      <c r="P11" s="17" t="s">
        <v>260</v>
      </c>
      <c r="Q11" s="17" t="s">
        <v>261</v>
      </c>
      <c r="R11" s="17" t="s">
        <v>58</v>
      </c>
      <c r="S11" s="17" t="s">
        <v>199</v>
      </c>
    </row>
    <row r="12" customFormat="false" ht="30" hidden="false" customHeight="true" outlineLevel="0" collapsed="false">
      <c r="A12" s="17" t="s">
        <v>236</v>
      </c>
      <c r="B12" s="17" t="s">
        <v>253</v>
      </c>
      <c r="C12" s="17" t="s">
        <v>235</v>
      </c>
      <c r="D12" s="18" t="n">
        <v>52</v>
      </c>
      <c r="E12" s="18" t="n">
        <v>0.2</v>
      </c>
      <c r="F12" s="18" t="n">
        <v>0.2</v>
      </c>
      <c r="G12" s="18" t="n">
        <f aca="false">IF(OR(D12="",E12=""),"",D12-E12)</f>
        <v>51.8</v>
      </c>
      <c r="H12" s="18" t="n">
        <f aca="false">IF(OR(D12="",F12=""),"",D12+F12)</f>
        <v>52.2</v>
      </c>
      <c r="I12" s="17" t="s">
        <v>233</v>
      </c>
      <c r="J12" s="18" t="n">
        <f aca="false">IFERROR(INDEX($D$6:$D$17,MATCH(I12,$A$6:$A$17,0)),"")</f>
        <v>52</v>
      </c>
      <c r="K12" s="17" t="str">
        <f aca="false">IF(I12="","NOT APPLICABLE",IFERROR(IF(AND(C12=INDEX($C$6:$C$17,MATCH(I12,$A$6:$A$17,0)),S12=INDEX($S$6:$S$17,MATCH(I12,$A$6:$A$17,0)),D12=INDEX($D$6:$D$17,MATCH(I12,$A$6:$A$17,0)),E12=INDEX($E$6:$E$17,MATCH(I12,$A$6:$A$17,0)),F12=INDEX($F$6:$F$17,MATCH(I12,$A$6:$A$17,0))),"AGREE","DOES NOT AGREE"),"NOT FOUND"))</f>
        <v>AGREE</v>
      </c>
      <c r="L12" s="18"/>
      <c r="M12" s="18"/>
      <c r="N12" s="18"/>
      <c r="O12" s="17"/>
      <c r="P12" s="17" t="s">
        <v>262</v>
      </c>
      <c r="Q12" s="17" t="s">
        <v>263</v>
      </c>
      <c r="R12" s="17" t="s">
        <v>58</v>
      </c>
      <c r="S12" s="17" t="s">
        <v>199</v>
      </c>
    </row>
    <row r="13" customFormat="false" ht="30" hidden="false" customHeight="true" outlineLevel="0" collapsed="false">
      <c r="A13" s="17" t="s">
        <v>240</v>
      </c>
      <c r="B13" s="17" t="s">
        <v>253</v>
      </c>
      <c r="C13" s="17" t="s">
        <v>235</v>
      </c>
      <c r="D13" s="18" t="n">
        <v>44.5</v>
      </c>
      <c r="E13" s="18" t="n">
        <v>0.1</v>
      </c>
      <c r="F13" s="18" t="n">
        <v>0.1</v>
      </c>
      <c r="G13" s="18" t="n">
        <f aca="false">IF(OR(D13="",E13=""),"",D13-E13)</f>
        <v>44.4</v>
      </c>
      <c r="H13" s="18" t="n">
        <f aca="false">IF(OR(D13="",F13=""),"",D13+F13)</f>
        <v>44.6</v>
      </c>
      <c r="I13" s="17" t="s">
        <v>239</v>
      </c>
      <c r="J13" s="18" t="n">
        <f aca="false">IFERROR(INDEX($D$6:$D$17,MATCH(I13,$A$6:$A$17,0)),"")</f>
        <v>44.5</v>
      </c>
      <c r="K13" s="17" t="str">
        <f aca="false">IF(I13="","NOT APPLICABLE",IFERROR(IF(AND(C13=INDEX($C$6:$C$17,MATCH(I13,$A$6:$A$17,0)),S13=INDEX($S$6:$S$17,MATCH(I13,$A$6:$A$17,0)),D13=INDEX($D$6:$D$17,MATCH(I13,$A$6:$A$17,0)),E13=INDEX($E$6:$E$17,MATCH(I13,$A$6:$A$17,0)),F13=INDEX($F$6:$F$17,MATCH(I13,$A$6:$A$17,0))),"AGREE","DOES NOT AGREE"),"NOT FOUND"))</f>
        <v>AGREE</v>
      </c>
      <c r="L13" s="18"/>
      <c r="M13" s="18"/>
      <c r="N13" s="18"/>
      <c r="O13" s="17"/>
      <c r="P13" s="17" t="s">
        <v>264</v>
      </c>
      <c r="Q13" s="17" t="s">
        <v>265</v>
      </c>
      <c r="R13" s="17" t="s">
        <v>58</v>
      </c>
      <c r="S13" s="17" t="s">
        <v>199</v>
      </c>
    </row>
    <row r="14" customFormat="false" ht="30" hidden="false" customHeight="true" outlineLevel="0" collapsed="false">
      <c r="A14" s="17" t="s">
        <v>245</v>
      </c>
      <c r="B14" s="17" t="s">
        <v>266</v>
      </c>
      <c r="C14" s="17" t="s">
        <v>244</v>
      </c>
      <c r="D14" s="18" t="n">
        <v>30</v>
      </c>
      <c r="E14" s="18" t="n">
        <v>0.15</v>
      </c>
      <c r="F14" s="18" t="n">
        <v>0.15</v>
      </c>
      <c r="G14" s="18" t="n">
        <f aca="false">IF(OR(D14="",E14=""),"",D14-E14)</f>
        <v>29.85</v>
      </c>
      <c r="H14" s="18" t="n">
        <f aca="false">IF(OR(D14="",F14=""),"",D14+F14)</f>
        <v>30.15</v>
      </c>
      <c r="I14" s="17" t="s">
        <v>243</v>
      </c>
      <c r="J14" s="18" t="n">
        <f aca="false">IFERROR(INDEX($D$6:$D$17,MATCH(I14,$A$6:$A$17,0)),"")</f>
        <v>30</v>
      </c>
      <c r="K14" s="17" t="str">
        <f aca="false">IF(I14="","NOT APPLICABLE",IFERROR(IF(AND(C14=INDEX($C$6:$C$17,MATCH(I14,$A$6:$A$17,0)),S14=INDEX($S$6:$S$17,MATCH(I14,$A$6:$A$17,0)),D14=INDEX($D$6:$D$17,MATCH(I14,$A$6:$A$17,0)),E14=INDEX($E$6:$E$17,MATCH(I14,$A$6:$A$17,0)),F14=INDEX($F$6:$F$17,MATCH(I14,$A$6:$A$17,0))),"AGREE","DOES NOT AGREE"),"NOT FOUND"))</f>
        <v>AGREE</v>
      </c>
      <c r="L14" s="18"/>
      <c r="M14" s="18"/>
      <c r="N14" s="18"/>
      <c r="O14" s="17"/>
      <c r="P14" s="17" t="s">
        <v>267</v>
      </c>
      <c r="Q14" s="17" t="s">
        <v>268</v>
      </c>
      <c r="R14" s="17" t="s">
        <v>58</v>
      </c>
      <c r="S14" s="17" t="s">
        <v>199</v>
      </c>
    </row>
    <row r="15" customFormat="false" ht="30" hidden="false" customHeight="true" outlineLevel="0" collapsed="false">
      <c r="A15" s="17" t="s">
        <v>249</v>
      </c>
      <c r="B15" s="17" t="s">
        <v>266</v>
      </c>
      <c r="C15" s="17" t="s">
        <v>244</v>
      </c>
      <c r="D15" s="18" t="n">
        <v>22</v>
      </c>
      <c r="E15" s="18" t="n">
        <v>0.05</v>
      </c>
      <c r="F15" s="18" t="n">
        <v>0.05</v>
      </c>
      <c r="G15" s="18" t="n">
        <f aca="false">IF(OR(D15="",E15=""),"",D15-E15)</f>
        <v>21.95</v>
      </c>
      <c r="H15" s="18" t="n">
        <f aca="false">IF(OR(D15="",F15=""),"",D15+F15)</f>
        <v>22.05</v>
      </c>
      <c r="I15" s="17" t="s">
        <v>248</v>
      </c>
      <c r="J15" s="18" t="n">
        <f aca="false">IFERROR(INDEX($D$6:$D$17,MATCH(I15,$A$6:$A$17,0)),"")</f>
        <v>22</v>
      </c>
      <c r="K15" s="17" t="str">
        <f aca="false">IF(I15="","NOT APPLICABLE",IFERROR(IF(AND(C15=INDEX($C$6:$C$17,MATCH(I15,$A$6:$A$17,0)),S15=INDEX($S$6:$S$17,MATCH(I15,$A$6:$A$17,0)),D15=INDEX($D$6:$D$17,MATCH(I15,$A$6:$A$17,0)),E15=INDEX($E$6:$E$17,MATCH(I15,$A$6:$A$17,0)),F15=INDEX($F$6:$F$17,MATCH(I15,$A$6:$A$17,0))),"AGREE","DOES NOT AGREE"),"NOT FOUND"))</f>
        <v>AGREE</v>
      </c>
      <c r="L15" s="18"/>
      <c r="M15" s="18"/>
      <c r="N15" s="18"/>
      <c r="O15" s="17"/>
      <c r="P15" s="17" t="s">
        <v>269</v>
      </c>
      <c r="Q15" s="17" t="s">
        <v>270</v>
      </c>
      <c r="R15" s="17" t="s">
        <v>58</v>
      </c>
      <c r="S15" s="17" t="s">
        <v>199</v>
      </c>
    </row>
    <row r="16" customFormat="false" ht="30" hidden="false" customHeight="true" outlineLevel="0" collapsed="false">
      <c r="A16" s="17" t="s">
        <v>255</v>
      </c>
      <c r="B16" s="17" t="s">
        <v>266</v>
      </c>
      <c r="C16" s="17" t="s">
        <v>254</v>
      </c>
      <c r="D16" s="18" t="n">
        <v>18</v>
      </c>
      <c r="E16" s="18" t="n">
        <v>0.1</v>
      </c>
      <c r="F16" s="18" t="n">
        <v>0.1</v>
      </c>
      <c r="G16" s="18" t="n">
        <f aca="false">IF(OR(D16="",E16=""),"",D16-E16)</f>
        <v>17.9</v>
      </c>
      <c r="H16" s="18" t="n">
        <f aca="false">IF(OR(D16="",F16=""),"",D16+F16)</f>
        <v>18.1</v>
      </c>
      <c r="I16" s="17" t="s">
        <v>252</v>
      </c>
      <c r="J16" s="18" t="n">
        <f aca="false">IFERROR(INDEX($D$6:$D$17,MATCH(I16,$A$6:$A$17,0)),"")</f>
        <v>18</v>
      </c>
      <c r="K16" s="17" t="str">
        <f aca="false">IF(I16="","NOT APPLICABLE",IFERROR(IF(AND(C16=INDEX($C$6:$C$17,MATCH(I16,$A$6:$A$17,0)),S16=INDEX($S$6:$S$17,MATCH(I16,$A$6:$A$17,0)),D16=INDEX($D$6:$D$17,MATCH(I16,$A$6:$A$17,0)),E16=INDEX($E$6:$E$17,MATCH(I16,$A$6:$A$17,0)),F16=INDEX($F$6:$F$17,MATCH(I16,$A$6:$A$17,0))),"AGREE","DOES NOT AGREE"),"NOT FOUND"))</f>
        <v>AGREE</v>
      </c>
      <c r="L16" s="18"/>
      <c r="M16" s="18"/>
      <c r="N16" s="18"/>
      <c r="O16" s="17"/>
      <c r="P16" s="17" t="s">
        <v>271</v>
      </c>
      <c r="Q16" s="17" t="s">
        <v>272</v>
      </c>
      <c r="R16" s="17" t="s">
        <v>58</v>
      </c>
      <c r="S16" s="17" t="s">
        <v>199</v>
      </c>
    </row>
    <row r="17" customFormat="false" ht="30" hidden="false" customHeight="true" outlineLevel="0" collapsed="false">
      <c r="A17" s="17" t="s">
        <v>259</v>
      </c>
      <c r="B17" s="17" t="s">
        <v>266</v>
      </c>
      <c r="C17" s="17" t="s">
        <v>254</v>
      </c>
      <c r="D17" s="18" t="n">
        <v>10</v>
      </c>
      <c r="E17" s="18" t="n">
        <v>0.05</v>
      </c>
      <c r="F17" s="18" t="n">
        <v>0.05</v>
      </c>
      <c r="G17" s="18" t="n">
        <f aca="false">IF(OR(D17="",E17=""),"",D17-E17)</f>
        <v>9.95</v>
      </c>
      <c r="H17" s="18" t="n">
        <f aca="false">IF(OR(D17="",F17=""),"",D17+F17)</f>
        <v>10.05</v>
      </c>
      <c r="I17" s="17" t="s">
        <v>258</v>
      </c>
      <c r="J17" s="18" t="n">
        <f aca="false">IFERROR(INDEX($D$6:$D$17,MATCH(I17,$A$6:$A$17,0)),"")</f>
        <v>10</v>
      </c>
      <c r="K17" s="17" t="str">
        <f aca="false">IF(I17="","NOT APPLICABLE",IFERROR(IF(AND(C17=INDEX($C$6:$C$17,MATCH(I17,$A$6:$A$17,0)),S17=INDEX($S$6:$S$17,MATCH(I17,$A$6:$A$17,0)),D17=INDEX($D$6:$D$17,MATCH(I17,$A$6:$A$17,0)),E17=INDEX($E$6:$E$17,MATCH(I17,$A$6:$A$17,0)),F17=INDEX($F$6:$F$17,MATCH(I17,$A$6:$A$17,0))),"AGREE","DOES NOT AGREE"),"NOT FOUND"))</f>
        <v>AGREE</v>
      </c>
      <c r="L17" s="18"/>
      <c r="M17" s="18"/>
      <c r="N17" s="18"/>
      <c r="O17" s="17"/>
      <c r="P17" s="17" t="s">
        <v>273</v>
      </c>
      <c r="Q17" s="17" t="s">
        <v>274</v>
      </c>
      <c r="R17" s="17" t="s">
        <v>58</v>
      </c>
      <c r="S17" s="17" t="s">
        <v>199</v>
      </c>
    </row>
    <row r="18" customFormat="false" ht="15" hidden="false" customHeight="false" outlineLevel="0" collapsed="false">
      <c r="A18" s="17" t="s">
        <v>275</v>
      </c>
      <c r="B18" s="17" t="s">
        <v>276</v>
      </c>
      <c r="C18" s="17" t="s">
        <v>235</v>
      </c>
      <c r="D18" s="18" t="s">
        <v>277</v>
      </c>
      <c r="E18" s="18"/>
      <c r="F18" s="18"/>
      <c r="G18" s="18"/>
      <c r="H18" s="18"/>
      <c r="I18" s="17" t="s">
        <v>278</v>
      </c>
      <c r="J18" s="18" t="n">
        <f aca="false">IFERROR(AVERAGE(INDEX($D$6:$D$17,MATCH(LEFT(I18,5),$A$6:$A$17,0)),INDEX($D$6:$D$17,MATCH(RIGHT(I18,5),$A$6:$A$17,0))),"")</f>
        <v>48.25</v>
      </c>
      <c r="K18" s="17" t="s">
        <v>279</v>
      </c>
      <c r="L18" s="18" t="n">
        <f aca="false">G6-H7</f>
        <v>7.2</v>
      </c>
      <c r="M18" s="18"/>
      <c r="N18" s="18"/>
      <c r="O18" s="17"/>
      <c r="P18" s="17" t="s">
        <v>280</v>
      </c>
      <c r="Q18" s="17" t="s">
        <v>281</v>
      </c>
      <c r="R18" s="17" t="s">
        <v>58</v>
      </c>
      <c r="S18" s="17" t="s">
        <v>199</v>
      </c>
    </row>
    <row r="19" customFormat="false" ht="15" hidden="false" customHeight="false" outlineLevel="0" collapsed="false">
      <c r="A19" s="17" t="s">
        <v>282</v>
      </c>
      <c r="B19" s="17" t="s">
        <v>283</v>
      </c>
      <c r="C19" s="17" t="s">
        <v>244</v>
      </c>
      <c r="D19" s="18" t="s">
        <v>284</v>
      </c>
      <c r="E19" s="18"/>
      <c r="F19" s="18"/>
      <c r="G19" s="18"/>
      <c r="H19" s="18"/>
      <c r="I19" s="17" t="s">
        <v>285</v>
      </c>
      <c r="J19" s="18" t="n">
        <f aca="false">IFERROR(AVERAGE(INDEX($D$6:$D$17,MATCH(LEFT(I19,5),$A$6:$A$17,0)),INDEX($D$6:$D$17,MATCH(RIGHT(I19,5),$A$6:$A$17,0))),"")</f>
        <v>26</v>
      </c>
      <c r="K19" s="17" t="s">
        <v>279</v>
      </c>
      <c r="L19" s="18" t="n">
        <f aca="false">G8-H9</f>
        <v>7.8</v>
      </c>
      <c r="M19" s="18"/>
      <c r="N19" s="18"/>
      <c r="O19" s="17"/>
      <c r="P19" s="17" t="s">
        <v>286</v>
      </c>
      <c r="Q19" s="17" t="s">
        <v>287</v>
      </c>
      <c r="R19" s="17" t="s">
        <v>58</v>
      </c>
      <c r="S19" s="17" t="s">
        <v>199</v>
      </c>
    </row>
    <row r="20" customFormat="false" ht="15" hidden="false" customHeight="false" outlineLevel="0" collapsed="false">
      <c r="A20" s="17" t="s">
        <v>288</v>
      </c>
      <c r="B20" s="17" t="s">
        <v>289</v>
      </c>
      <c r="C20" s="17" t="s">
        <v>254</v>
      </c>
      <c r="D20" s="18" t="s">
        <v>290</v>
      </c>
      <c r="E20" s="18"/>
      <c r="F20" s="18"/>
      <c r="G20" s="18"/>
      <c r="H20" s="18"/>
      <c r="I20" s="17" t="s">
        <v>291</v>
      </c>
      <c r="J20" s="18" t="n">
        <f aca="false">IFERROR(AVERAGE(INDEX($D$6:$D$17,MATCH(LEFT(I20,5),$A$6:$A$17,0)),INDEX($D$6:$D$17,MATCH(RIGHT(I20,5),$A$6:$A$17,0))),"")</f>
        <v>14</v>
      </c>
      <c r="K20" s="17" t="s">
        <v>279</v>
      </c>
      <c r="L20" s="18" t="n">
        <f aca="false">G10-H11</f>
        <v>7.85</v>
      </c>
      <c r="M20" s="18"/>
      <c r="N20" s="18"/>
      <c r="O20" s="17"/>
      <c r="P20" s="17" t="s">
        <v>292</v>
      </c>
      <c r="Q20" s="17" t="s">
        <v>293</v>
      </c>
      <c r="R20" s="17" t="s">
        <v>58</v>
      </c>
      <c r="S20" s="17" t="s">
        <v>199</v>
      </c>
    </row>
    <row r="21" customFormat="false" ht="31.5" hidden="false" customHeight="true" outlineLevel="0" collapsed="false">
      <c r="A21" s="17" t="s">
        <v>294</v>
      </c>
      <c r="B21" s="17" t="s">
        <v>295</v>
      </c>
      <c r="C21" s="17"/>
      <c r="D21" s="17"/>
      <c r="E21" s="17"/>
      <c r="F21" s="17"/>
      <c r="G21" s="17"/>
      <c r="H21" s="17"/>
      <c r="I21" s="17"/>
      <c r="J21" s="17"/>
      <c r="K21" s="17" t="str">
        <f aca="false">IF(O21="NOT SUPPLIED","INDETERMINATE / DATUM NOT SUPPLIED","NOT APPLICABLE")</f>
        <v>INDETERMINATE / DATUM NOT SUPPLIED</v>
      </c>
      <c r="L21" s="17"/>
      <c r="M21" s="17"/>
      <c r="N21" s="17"/>
      <c r="O21" s="17" t="s">
        <v>202</v>
      </c>
      <c r="P21" s="17" t="s">
        <v>296</v>
      </c>
      <c r="Q21" s="17" t="s">
        <v>297</v>
      </c>
      <c r="R21" s="17" t="s">
        <v>58</v>
      </c>
      <c r="S21" s="17" t="s">
        <v>199</v>
      </c>
    </row>
    <row r="22" customFormat="false" ht="33.75" hidden="false" customHeight="true" outlineLevel="0" collapsed="false">
      <c r="A22" s="17" t="s">
        <v>298</v>
      </c>
      <c r="B22" s="17" t="s">
        <v>299</v>
      </c>
      <c r="C22" s="17" t="s">
        <v>235</v>
      </c>
      <c r="D22" s="17" t="s">
        <v>182</v>
      </c>
      <c r="E22" s="17"/>
      <c r="F22" s="17"/>
      <c r="G22" s="17"/>
      <c r="H22" s="17"/>
      <c r="I22" s="17" t="s">
        <v>275</v>
      </c>
      <c r="J22" s="17"/>
      <c r="K22" s="17" t="s">
        <v>300</v>
      </c>
      <c r="L22" s="18" t="n">
        <f aca="false">L18</f>
        <v>7.2</v>
      </c>
      <c r="M22" s="18" t="n">
        <f aca="false">Limits!$G$7</f>
        <v>6</v>
      </c>
      <c r="N22" s="18" t="n">
        <f aca="false">L22-M22</f>
        <v>1.2</v>
      </c>
      <c r="O22" s="17"/>
      <c r="P22" s="17" t="s">
        <v>301</v>
      </c>
      <c r="Q22" s="17" t="s">
        <v>302</v>
      </c>
      <c r="R22" s="17" t="s">
        <v>182</v>
      </c>
      <c r="S22" s="17" t="s">
        <v>199</v>
      </c>
    </row>
    <row r="23" customFormat="false" ht="33.75" hidden="false" customHeight="true" outlineLevel="0" collapsed="false">
      <c r="A23" s="17" t="s">
        <v>303</v>
      </c>
      <c r="B23" s="17" t="s">
        <v>299</v>
      </c>
      <c r="C23" s="17" t="s">
        <v>235</v>
      </c>
      <c r="D23" s="17" t="s">
        <v>183</v>
      </c>
      <c r="E23" s="17"/>
      <c r="F23" s="17"/>
      <c r="G23" s="17"/>
      <c r="H23" s="17"/>
      <c r="I23" s="17" t="s">
        <v>275</v>
      </c>
      <c r="J23" s="17"/>
      <c r="K23" s="17" t="s">
        <v>300</v>
      </c>
      <c r="L23" s="18" t="n">
        <f aca="false">L18</f>
        <v>7.2</v>
      </c>
      <c r="M23" s="18" t="n">
        <f aca="false">Limits!$H$7</f>
        <v>7.8</v>
      </c>
      <c r="N23" s="18" t="n">
        <f aca="false">L23-M23</f>
        <v>-0.600000000000004</v>
      </c>
      <c r="O23" s="17"/>
      <c r="P23" s="17" t="s">
        <v>304</v>
      </c>
      <c r="Q23" s="17" t="s">
        <v>302</v>
      </c>
      <c r="R23" s="17" t="s">
        <v>183</v>
      </c>
      <c r="S23" s="17" t="s">
        <v>199</v>
      </c>
    </row>
  </sheetData>
  <mergeCells count="3">
    <mergeCell ref="A1:S1"/>
    <mergeCell ref="A2:S2"/>
    <mergeCell ref="A3:S3"/>
  </mergeCells>
  <conditionalFormatting sqref="K6:K23">
    <cfRule type="cellIs" priority="2" operator="equal" aboveAverage="0" equalAverage="0" bottom="0" percent="0" rank="0" text="" dxfId="8">
      <formula>"AGREE"</formula>
    </cfRule>
    <cfRule type="expression" priority="3" aboveAverage="0" equalAverage="0" bottom="0" percent="0" rank="0" text="" dxfId="9">
      <formula>OR($K6="DOES NOT AGREE",LEFT($K6,11)="INDETERMINATE")</formula>
    </cfRule>
  </conditionalFormatting>
  <conditionalFormatting sqref="N22:N23">
    <cfRule type="cellIs" priority="4" operator="lessThan" aboveAverage="0" equalAverage="0" bottom="0" percent="0" rank="0" text="" dxfId="9">
      <formula>0</formula>
    </cfRule>
  </conditionalFormatting>
  <printOptions headings="false" gridLines="false" gridLinesSet="true" horizontalCentered="false" verticalCentered="false"/>
  <pageMargins left="0.279861111111111" right="0.279861111111111" top="0.35" bottom="0.35" header="0.511811023622047" footer="0.179861111111111"/>
  <pageSetup paperSize="9" scale="100" fitToWidth="1" fitToHeight="0"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3"/>
    <col collapsed="false" customWidth="true" hidden="false" outlineLevel="0" max="3" min="3" style="0" width="15"/>
    <col collapsed="false" customWidth="true" hidden="false" outlineLevel="0" max="4" min="4" style="0" width="16"/>
    <col collapsed="false" customWidth="true" hidden="false" outlineLevel="0" max="5" min="5" style="0" width="18"/>
    <col collapsed="false" customWidth="true" hidden="false" outlineLevel="0" max="8" min="6" style="0" width="17"/>
    <col collapsed="false" customWidth="true" hidden="false" outlineLevel="0" max="9" min="9" style="0" width="23"/>
    <col collapsed="false" customWidth="true" hidden="false" outlineLevel="0" max="10" min="10" style="0" width="24"/>
    <col collapsed="false" customWidth="true" hidden="false" outlineLevel="0" max="11" min="11" style="0" width="19"/>
    <col collapsed="false" customWidth="true" hidden="false" outlineLevel="0" max="12" min="12" style="0" width="30"/>
    <col collapsed="false" customWidth="true" hidden="false" outlineLevel="0" max="13" min="13" style="0" width="14"/>
    <col collapsed="false" customWidth="true" hidden="false" outlineLevel="0" max="15" min="14" style="0" width="16"/>
    <col collapsed="false" customWidth="true" hidden="true" outlineLevel="0" max="16" min="16" style="0" width="19"/>
    <col collapsed="false" customWidth="true" hidden="true" outlineLevel="0" max="17" min="17" style="0" width="18"/>
    <col collapsed="false" customWidth="true" hidden="true" outlineLevel="0" max="18" min="18" style="0" width="24"/>
    <col collapsed="false" customWidth="true" hidden="true" outlineLevel="0" max="19" min="19" style="0" width="20"/>
  </cols>
  <sheetData>
    <row r="1" customFormat="false" ht="27.75" hidden="false" customHeight="true" outlineLevel="0" collapsed="false">
      <c r="A1" s="1" t="s">
        <v>305</v>
      </c>
      <c r="B1" s="1"/>
      <c r="C1" s="1"/>
      <c r="D1" s="1"/>
      <c r="E1" s="1"/>
      <c r="F1" s="1"/>
      <c r="G1" s="1"/>
      <c r="H1" s="1"/>
      <c r="I1" s="1"/>
      <c r="J1" s="1"/>
      <c r="K1" s="1"/>
      <c r="L1" s="1"/>
      <c r="M1" s="1"/>
      <c r="N1" s="1"/>
      <c r="O1" s="1"/>
      <c r="P1" s="1"/>
      <c r="Q1" s="1"/>
      <c r="R1" s="1"/>
      <c r="S1" s="1"/>
    </row>
    <row r="2" customFormat="false" ht="24" hidden="false" customHeight="true" outlineLevel="0" collapsed="false">
      <c r="A2" s="2" t="s">
        <v>306</v>
      </c>
      <c r="B2" s="2"/>
      <c r="C2" s="2"/>
      <c r="D2" s="2"/>
      <c r="E2" s="2"/>
      <c r="F2" s="2"/>
      <c r="G2" s="2"/>
      <c r="H2" s="2"/>
      <c r="I2" s="2"/>
      <c r="J2" s="2"/>
      <c r="K2" s="2"/>
      <c r="L2" s="2"/>
      <c r="M2" s="2"/>
      <c r="N2" s="2"/>
      <c r="O2" s="2"/>
      <c r="P2" s="2"/>
      <c r="Q2" s="2"/>
      <c r="R2" s="2"/>
      <c r="S2" s="2"/>
    </row>
    <row r="3" customFormat="false" ht="15" hidden="false" customHeight="false" outlineLevel="0" collapsed="false">
      <c r="A3" s="8" t="s">
        <v>307</v>
      </c>
      <c r="B3" s="8"/>
      <c r="C3" s="8"/>
      <c r="D3" s="8"/>
      <c r="E3" s="8"/>
      <c r="F3" s="8"/>
      <c r="G3" s="8"/>
      <c r="H3" s="8"/>
      <c r="I3" s="8"/>
      <c r="J3" s="8"/>
      <c r="K3" s="8"/>
      <c r="L3" s="8"/>
      <c r="M3" s="8"/>
      <c r="N3" s="8"/>
      <c r="O3" s="8"/>
      <c r="P3" s="8"/>
      <c r="Q3" s="8"/>
      <c r="R3" s="8"/>
      <c r="S3" s="8"/>
    </row>
    <row r="5" customFormat="false" ht="33.75" hidden="false" customHeight="true" outlineLevel="0" collapsed="false">
      <c r="A5" s="6" t="s">
        <v>308</v>
      </c>
      <c r="B5" s="6" t="s">
        <v>104</v>
      </c>
      <c r="C5" s="6" t="s">
        <v>105</v>
      </c>
      <c r="D5" s="6" t="s">
        <v>106</v>
      </c>
      <c r="E5" s="6" t="s">
        <v>107</v>
      </c>
      <c r="F5" s="6" t="s">
        <v>309</v>
      </c>
      <c r="G5" s="6" t="s">
        <v>310</v>
      </c>
      <c r="H5" s="6" t="s">
        <v>311</v>
      </c>
      <c r="I5" s="6" t="s">
        <v>108</v>
      </c>
      <c r="J5" s="6" t="s">
        <v>109</v>
      </c>
      <c r="K5" s="6" t="s">
        <v>110</v>
      </c>
      <c r="L5" s="6" t="s">
        <v>312</v>
      </c>
      <c r="M5" s="6" t="s">
        <v>313</v>
      </c>
      <c r="N5" s="6" t="s">
        <v>314</v>
      </c>
      <c r="O5" s="6" t="s">
        <v>315</v>
      </c>
      <c r="P5" s="6" t="s">
        <v>111</v>
      </c>
      <c r="Q5" s="6" t="s">
        <v>112</v>
      </c>
      <c r="R5" s="6" t="s">
        <v>113</v>
      </c>
      <c r="S5" s="6" t="s">
        <v>114</v>
      </c>
    </row>
    <row r="6" customFormat="false" ht="15" hidden="false" customHeight="false" outlineLevel="0" collapsed="false">
      <c r="A6" s="13"/>
      <c r="B6" s="13"/>
      <c r="C6" s="13"/>
      <c r="D6" s="14"/>
      <c r="E6" s="15"/>
      <c r="F6" s="14"/>
      <c r="G6" s="14"/>
      <c r="H6" s="14"/>
      <c r="I6" s="14"/>
      <c r="J6" s="14"/>
      <c r="K6" s="13"/>
      <c r="L6" s="13"/>
      <c r="M6" s="9" t="str">
        <f aca="false">IF(OR($D6="",$K6&lt;&gt;""),"",IF($D6&lt;=Limits!$I$6,"PASS","FAIL"))</f>
        <v/>
      </c>
      <c r="N6" s="9" t="str">
        <f aca="false">IF(OR($I6="",$K6&lt;&gt;""),"",IF($I6&gt;=Limits!$I$7,"PASS","FAIL"))</f>
        <v/>
      </c>
      <c r="O6" s="9" t="str">
        <f aca="false">IF(OR($J6="",$K6&lt;&gt;""),"",IF(ABS($J6)&lt;=Limits!$I$8,"PASS","FAIL"))</f>
        <v/>
      </c>
      <c r="P6" s="10" t="str">
        <f aca="false">IF(AND($C6="STEADY",ISNUMBER($D6),$D6&gt;0),$D6,"")</f>
        <v/>
      </c>
      <c r="Q6" s="10" t="str">
        <f aca="false">IF(AND($C6="INDEX PEAK",ISNUMBER($D6),$D6&gt;0,ISNUMBER($E6),$E6&gt;0),$D6,"")</f>
        <v/>
      </c>
      <c r="R6" s="10" t="str">
        <f aca="false">IF(AND(ISNUMBER($I6),$K6=""),$I6,"")</f>
        <v/>
      </c>
      <c r="S6" s="10" t="str">
        <f aca="false">IF(AND(ISNUMBER($J6),$K6=""),ABS($J6),"")</f>
        <v/>
      </c>
    </row>
    <row r="7" customFormat="false" ht="15" hidden="false" customHeight="false" outlineLevel="0" collapsed="false">
      <c r="A7" s="13"/>
      <c r="B7" s="13"/>
      <c r="C7" s="13"/>
      <c r="D7" s="14"/>
      <c r="E7" s="15"/>
      <c r="F7" s="14"/>
      <c r="G7" s="14"/>
      <c r="H7" s="14"/>
      <c r="I7" s="14"/>
      <c r="J7" s="14"/>
      <c r="K7" s="13"/>
      <c r="L7" s="13"/>
      <c r="M7" s="9" t="str">
        <f aca="false">IF(OR($D7="",$K7&lt;&gt;""),"",IF($D7&lt;=Limits!$I$6,"PASS","FAIL"))</f>
        <v/>
      </c>
      <c r="N7" s="9" t="str">
        <f aca="false">IF(OR($I7="",$K7&lt;&gt;""),"",IF($I7&gt;=Limits!$I$7,"PASS","FAIL"))</f>
        <v/>
      </c>
      <c r="O7" s="9" t="str">
        <f aca="false">IF(OR($J7="",$K7&lt;&gt;""),"",IF(ABS($J7)&lt;=Limits!$I$8,"PASS","FAIL"))</f>
        <v/>
      </c>
      <c r="P7" s="10" t="str">
        <f aca="false">IF(AND($C7="STEADY",ISNUMBER($D7),$D7&gt;0),$D7,"")</f>
        <v/>
      </c>
      <c r="Q7" s="10" t="str">
        <f aca="false">IF(AND($C7="INDEX PEAK",ISNUMBER($D7),$D7&gt;0,ISNUMBER($E7),$E7&gt;0),$D7,"")</f>
        <v/>
      </c>
      <c r="R7" s="10" t="str">
        <f aca="false">IF(AND(ISNUMBER($I7),$K7=""),$I7,"")</f>
        <v/>
      </c>
      <c r="S7" s="10" t="str">
        <f aca="false">IF(AND(ISNUMBER($J7),$K7=""),ABS($J7),"")</f>
        <v/>
      </c>
    </row>
    <row r="8" customFormat="false" ht="15" hidden="false" customHeight="false" outlineLevel="0" collapsed="false">
      <c r="A8" s="13"/>
      <c r="B8" s="13"/>
      <c r="C8" s="13"/>
      <c r="D8" s="14"/>
      <c r="E8" s="15"/>
      <c r="F8" s="14"/>
      <c r="G8" s="14"/>
      <c r="H8" s="14"/>
      <c r="I8" s="14"/>
      <c r="J8" s="14"/>
      <c r="K8" s="13"/>
      <c r="L8" s="13"/>
      <c r="M8" s="9" t="str">
        <f aca="false">IF(OR($D8="",$K8&lt;&gt;""),"",IF($D8&lt;=Limits!$I$6,"PASS","FAIL"))</f>
        <v/>
      </c>
      <c r="N8" s="9" t="str">
        <f aca="false">IF(OR($I8="",$K8&lt;&gt;""),"",IF($I8&gt;=Limits!$I$7,"PASS","FAIL"))</f>
        <v/>
      </c>
      <c r="O8" s="9" t="str">
        <f aca="false">IF(OR($J8="",$K8&lt;&gt;""),"",IF(ABS($J8)&lt;=Limits!$I$8,"PASS","FAIL"))</f>
        <v/>
      </c>
      <c r="P8" s="10" t="str">
        <f aca="false">IF(AND($C8="STEADY",ISNUMBER($D8),$D8&gt;0),$D8,"")</f>
        <v/>
      </c>
      <c r="Q8" s="10" t="str">
        <f aca="false">IF(AND($C8="INDEX PEAK",ISNUMBER($D8),$D8&gt;0,ISNUMBER($E8),$E8&gt;0),$D8,"")</f>
        <v/>
      </c>
      <c r="R8" s="10" t="str">
        <f aca="false">IF(AND(ISNUMBER($I8),$K8=""),$I8,"")</f>
        <v/>
      </c>
      <c r="S8" s="10" t="str">
        <f aca="false">IF(AND(ISNUMBER($J8),$K8=""),ABS($J8),"")</f>
        <v/>
      </c>
    </row>
    <row r="9" customFormat="false" ht="15" hidden="false" customHeight="false" outlineLevel="0" collapsed="false">
      <c r="A9" s="13"/>
      <c r="B9" s="13"/>
      <c r="C9" s="13"/>
      <c r="D9" s="14"/>
      <c r="E9" s="15"/>
      <c r="F9" s="14"/>
      <c r="G9" s="14"/>
      <c r="H9" s="14"/>
      <c r="I9" s="14"/>
      <c r="J9" s="14"/>
      <c r="K9" s="13"/>
      <c r="L9" s="13"/>
      <c r="M9" s="9" t="str">
        <f aca="false">IF(OR($D9="",$K9&lt;&gt;""),"",IF($D9&lt;=Limits!$I$6,"PASS","FAIL"))</f>
        <v/>
      </c>
      <c r="N9" s="9" t="str">
        <f aca="false">IF(OR($I9="",$K9&lt;&gt;""),"",IF($I9&gt;=Limits!$I$7,"PASS","FAIL"))</f>
        <v/>
      </c>
      <c r="O9" s="9" t="str">
        <f aca="false">IF(OR($J9="",$K9&lt;&gt;""),"",IF(ABS($J9)&lt;=Limits!$I$8,"PASS","FAIL"))</f>
        <v/>
      </c>
      <c r="P9" s="10" t="str">
        <f aca="false">IF(AND($C9="STEADY",ISNUMBER($D9),$D9&gt;0),$D9,"")</f>
        <v/>
      </c>
      <c r="Q9" s="10" t="str">
        <f aca="false">IF(AND($C9="INDEX PEAK",ISNUMBER($D9),$D9&gt;0,ISNUMBER($E9),$E9&gt;0),$D9,"")</f>
        <v/>
      </c>
      <c r="R9" s="10" t="str">
        <f aca="false">IF(AND(ISNUMBER($I9),$K9=""),$I9,"")</f>
        <v/>
      </c>
      <c r="S9" s="10" t="str">
        <f aca="false">IF(AND(ISNUMBER($J9),$K9=""),ABS($J9),"")</f>
        <v/>
      </c>
    </row>
    <row r="10" customFormat="false" ht="15" hidden="false" customHeight="false" outlineLevel="0" collapsed="false">
      <c r="A10" s="13"/>
      <c r="B10" s="13"/>
      <c r="C10" s="13"/>
      <c r="D10" s="14"/>
      <c r="E10" s="15"/>
      <c r="F10" s="14"/>
      <c r="G10" s="14"/>
      <c r="H10" s="14"/>
      <c r="I10" s="14"/>
      <c r="J10" s="14"/>
      <c r="K10" s="13"/>
      <c r="L10" s="13"/>
      <c r="M10" s="9" t="str">
        <f aca="false">IF(OR($D10="",$K10&lt;&gt;""),"",IF($D10&lt;=Limits!$I$6,"PASS","FAIL"))</f>
        <v/>
      </c>
      <c r="N10" s="9" t="str">
        <f aca="false">IF(OR($I10="",$K10&lt;&gt;""),"",IF($I10&gt;=Limits!$I$7,"PASS","FAIL"))</f>
        <v/>
      </c>
      <c r="O10" s="9" t="str">
        <f aca="false">IF(OR($J10="",$K10&lt;&gt;""),"",IF(ABS($J10)&lt;=Limits!$I$8,"PASS","FAIL"))</f>
        <v/>
      </c>
      <c r="P10" s="10" t="str">
        <f aca="false">IF(AND($C10="STEADY",ISNUMBER($D10),$D10&gt;0),$D10,"")</f>
        <v/>
      </c>
      <c r="Q10" s="10" t="str">
        <f aca="false">IF(AND($C10="INDEX PEAK",ISNUMBER($D10),$D10&gt;0,ISNUMBER($E10),$E10&gt;0),$D10,"")</f>
        <v/>
      </c>
      <c r="R10" s="10" t="str">
        <f aca="false">IF(AND(ISNUMBER($I10),$K10=""),$I10,"")</f>
        <v/>
      </c>
      <c r="S10" s="10" t="str">
        <f aca="false">IF(AND(ISNUMBER($J10),$K10=""),ABS($J10),"")</f>
        <v/>
      </c>
    </row>
    <row r="11" customFormat="false" ht="15" hidden="false" customHeight="false" outlineLevel="0" collapsed="false">
      <c r="A11" s="13"/>
      <c r="B11" s="13"/>
      <c r="C11" s="13"/>
      <c r="D11" s="14"/>
      <c r="E11" s="15"/>
      <c r="F11" s="14"/>
      <c r="G11" s="14"/>
      <c r="H11" s="14"/>
      <c r="I11" s="14"/>
      <c r="J11" s="14"/>
      <c r="K11" s="13"/>
      <c r="L11" s="13"/>
      <c r="M11" s="9" t="str">
        <f aca="false">IF(OR($D11="",$K11&lt;&gt;""),"",IF($D11&lt;=Limits!$I$6,"PASS","FAIL"))</f>
        <v/>
      </c>
      <c r="N11" s="9" t="str">
        <f aca="false">IF(OR($I11="",$K11&lt;&gt;""),"",IF($I11&gt;=Limits!$I$7,"PASS","FAIL"))</f>
        <v/>
      </c>
      <c r="O11" s="9" t="str">
        <f aca="false">IF(OR($J11="",$K11&lt;&gt;""),"",IF(ABS($J11)&lt;=Limits!$I$8,"PASS","FAIL"))</f>
        <v/>
      </c>
      <c r="P11" s="10" t="str">
        <f aca="false">IF(AND($C11="STEADY",ISNUMBER($D11),$D11&gt;0),$D11,"")</f>
        <v/>
      </c>
      <c r="Q11" s="10" t="str">
        <f aca="false">IF(AND($C11="INDEX PEAK",ISNUMBER($D11),$D11&gt;0,ISNUMBER($E11),$E11&gt;0),$D11,"")</f>
        <v/>
      </c>
      <c r="R11" s="10" t="str">
        <f aca="false">IF(AND(ISNUMBER($I11),$K11=""),$I11,"")</f>
        <v/>
      </c>
      <c r="S11" s="10" t="str">
        <f aca="false">IF(AND(ISNUMBER($J11),$K11=""),ABS($J11),"")</f>
        <v/>
      </c>
    </row>
    <row r="12" customFormat="false" ht="15" hidden="false" customHeight="false" outlineLevel="0" collapsed="false">
      <c r="A12" s="13"/>
      <c r="B12" s="13"/>
      <c r="C12" s="13"/>
      <c r="D12" s="14"/>
      <c r="E12" s="15"/>
      <c r="F12" s="14"/>
      <c r="G12" s="14"/>
      <c r="H12" s="14"/>
      <c r="I12" s="14"/>
      <c r="J12" s="14"/>
      <c r="K12" s="13"/>
      <c r="L12" s="13"/>
      <c r="M12" s="9" t="str">
        <f aca="false">IF(OR($D12="",$K12&lt;&gt;""),"",IF($D12&lt;=Limits!$I$6,"PASS","FAIL"))</f>
        <v/>
      </c>
      <c r="N12" s="9" t="str">
        <f aca="false">IF(OR($I12="",$K12&lt;&gt;""),"",IF($I12&gt;=Limits!$I$7,"PASS","FAIL"))</f>
        <v/>
      </c>
      <c r="O12" s="9" t="str">
        <f aca="false">IF(OR($J12="",$K12&lt;&gt;""),"",IF(ABS($J12)&lt;=Limits!$I$8,"PASS","FAIL"))</f>
        <v/>
      </c>
      <c r="P12" s="10" t="str">
        <f aca="false">IF(AND($C12="STEADY",ISNUMBER($D12),$D12&gt;0),$D12,"")</f>
        <v/>
      </c>
      <c r="Q12" s="10" t="str">
        <f aca="false">IF(AND($C12="INDEX PEAK",ISNUMBER($D12),$D12&gt;0,ISNUMBER($E12),$E12&gt;0),$D12,"")</f>
        <v/>
      </c>
      <c r="R12" s="10" t="str">
        <f aca="false">IF(AND(ISNUMBER($I12),$K12=""),$I12,"")</f>
        <v/>
      </c>
      <c r="S12" s="10" t="str">
        <f aca="false">IF(AND(ISNUMBER($J12),$K12=""),ABS($J12),"")</f>
        <v/>
      </c>
    </row>
    <row r="13" customFormat="false" ht="15" hidden="false" customHeight="false" outlineLevel="0" collapsed="false">
      <c r="A13" s="13"/>
      <c r="B13" s="13"/>
      <c r="C13" s="13"/>
      <c r="D13" s="14"/>
      <c r="E13" s="15"/>
      <c r="F13" s="14"/>
      <c r="G13" s="14"/>
      <c r="H13" s="14"/>
      <c r="I13" s="14"/>
      <c r="J13" s="14"/>
      <c r="K13" s="13"/>
      <c r="L13" s="13"/>
      <c r="M13" s="9" t="str">
        <f aca="false">IF(OR($D13="",$K13&lt;&gt;""),"",IF($D13&lt;=Limits!$I$6,"PASS","FAIL"))</f>
        <v/>
      </c>
      <c r="N13" s="9" t="str">
        <f aca="false">IF(OR($I13="",$K13&lt;&gt;""),"",IF($I13&gt;=Limits!$I$7,"PASS","FAIL"))</f>
        <v/>
      </c>
      <c r="O13" s="9" t="str">
        <f aca="false">IF(OR($J13="",$K13&lt;&gt;""),"",IF(ABS($J13)&lt;=Limits!$I$8,"PASS","FAIL"))</f>
        <v/>
      </c>
      <c r="P13" s="10" t="str">
        <f aca="false">IF(AND($C13="STEADY",ISNUMBER($D13),$D13&gt;0),$D13,"")</f>
        <v/>
      </c>
      <c r="Q13" s="10" t="str">
        <f aca="false">IF(AND($C13="INDEX PEAK",ISNUMBER($D13),$D13&gt;0,ISNUMBER($E13),$E13&gt;0),$D13,"")</f>
        <v/>
      </c>
      <c r="R13" s="10" t="str">
        <f aca="false">IF(AND(ISNUMBER($I13),$K13=""),$I13,"")</f>
        <v/>
      </c>
      <c r="S13" s="10" t="str">
        <f aca="false">IF(AND(ISNUMBER($J13),$K13=""),ABS($J13),"")</f>
        <v/>
      </c>
    </row>
    <row r="14" customFormat="false" ht="15" hidden="false" customHeight="false" outlineLevel="0" collapsed="false">
      <c r="A14" s="13"/>
      <c r="B14" s="13"/>
      <c r="C14" s="13"/>
      <c r="D14" s="14"/>
      <c r="E14" s="15"/>
      <c r="F14" s="14"/>
      <c r="G14" s="14"/>
      <c r="H14" s="14"/>
      <c r="I14" s="14"/>
      <c r="J14" s="14"/>
      <c r="K14" s="13"/>
      <c r="L14" s="13"/>
      <c r="M14" s="9" t="str">
        <f aca="false">IF(OR($D14="",$K14&lt;&gt;""),"",IF($D14&lt;=Limits!$I$6,"PASS","FAIL"))</f>
        <v/>
      </c>
      <c r="N14" s="9" t="str">
        <f aca="false">IF(OR($I14="",$K14&lt;&gt;""),"",IF($I14&gt;=Limits!$I$7,"PASS","FAIL"))</f>
        <v/>
      </c>
      <c r="O14" s="9" t="str">
        <f aca="false">IF(OR($J14="",$K14&lt;&gt;""),"",IF(ABS($J14)&lt;=Limits!$I$8,"PASS","FAIL"))</f>
        <v/>
      </c>
      <c r="P14" s="10" t="str">
        <f aca="false">IF(AND($C14="STEADY",ISNUMBER($D14),$D14&gt;0),$D14,"")</f>
        <v/>
      </c>
      <c r="Q14" s="10" t="str">
        <f aca="false">IF(AND($C14="INDEX PEAK",ISNUMBER($D14),$D14&gt;0,ISNUMBER($E14),$E14&gt;0),$D14,"")</f>
        <v/>
      </c>
      <c r="R14" s="10" t="str">
        <f aca="false">IF(AND(ISNUMBER($I14),$K14=""),$I14,"")</f>
        <v/>
      </c>
      <c r="S14" s="10" t="str">
        <f aca="false">IF(AND(ISNUMBER($J14),$K14=""),ABS($J14),"")</f>
        <v/>
      </c>
    </row>
    <row r="15" customFormat="false" ht="15" hidden="false" customHeight="false" outlineLevel="0" collapsed="false">
      <c r="A15" s="13"/>
      <c r="B15" s="13"/>
      <c r="C15" s="13"/>
      <c r="D15" s="14"/>
      <c r="E15" s="15"/>
      <c r="F15" s="14"/>
      <c r="G15" s="14"/>
      <c r="H15" s="14"/>
      <c r="I15" s="14"/>
      <c r="J15" s="14"/>
      <c r="K15" s="13"/>
      <c r="L15" s="13"/>
      <c r="M15" s="9" t="str">
        <f aca="false">IF(OR($D15="",$K15&lt;&gt;""),"",IF($D15&lt;=Limits!$I$6,"PASS","FAIL"))</f>
        <v/>
      </c>
      <c r="N15" s="9" t="str">
        <f aca="false">IF(OR($I15="",$K15&lt;&gt;""),"",IF($I15&gt;=Limits!$I$7,"PASS","FAIL"))</f>
        <v/>
      </c>
      <c r="O15" s="9" t="str">
        <f aca="false">IF(OR($J15="",$K15&lt;&gt;""),"",IF(ABS($J15)&lt;=Limits!$I$8,"PASS","FAIL"))</f>
        <v/>
      </c>
      <c r="P15" s="10" t="str">
        <f aca="false">IF(AND($C15="STEADY",ISNUMBER($D15),$D15&gt;0),$D15,"")</f>
        <v/>
      </c>
      <c r="Q15" s="10" t="str">
        <f aca="false">IF(AND($C15="INDEX PEAK",ISNUMBER($D15),$D15&gt;0,ISNUMBER($E15),$E15&gt;0),$D15,"")</f>
        <v/>
      </c>
      <c r="R15" s="10" t="str">
        <f aca="false">IF(AND(ISNUMBER($I15),$K15=""),$I15,"")</f>
        <v/>
      </c>
      <c r="S15" s="10" t="str">
        <f aca="false">IF(AND(ISNUMBER($J15),$K15=""),ABS($J15),"")</f>
        <v/>
      </c>
    </row>
    <row r="16" customFormat="false" ht="15" hidden="false" customHeight="false" outlineLevel="0" collapsed="false">
      <c r="A16" s="13"/>
      <c r="B16" s="13"/>
      <c r="C16" s="13"/>
      <c r="D16" s="14"/>
      <c r="E16" s="15"/>
      <c r="F16" s="14"/>
      <c r="G16" s="14"/>
      <c r="H16" s="14"/>
      <c r="I16" s="14"/>
      <c r="J16" s="14"/>
      <c r="K16" s="13"/>
      <c r="L16" s="13"/>
      <c r="M16" s="9" t="str">
        <f aca="false">IF(OR($D16="",$K16&lt;&gt;""),"",IF($D16&lt;=Limits!$I$6,"PASS","FAIL"))</f>
        <v/>
      </c>
      <c r="N16" s="9" t="str">
        <f aca="false">IF(OR($I16="",$K16&lt;&gt;""),"",IF($I16&gt;=Limits!$I$7,"PASS","FAIL"))</f>
        <v/>
      </c>
      <c r="O16" s="9" t="str">
        <f aca="false">IF(OR($J16="",$K16&lt;&gt;""),"",IF(ABS($J16)&lt;=Limits!$I$8,"PASS","FAIL"))</f>
        <v/>
      </c>
      <c r="P16" s="10" t="str">
        <f aca="false">IF(AND($C16="STEADY",ISNUMBER($D16),$D16&gt;0),$D16,"")</f>
        <v/>
      </c>
      <c r="Q16" s="10" t="str">
        <f aca="false">IF(AND($C16="INDEX PEAK",ISNUMBER($D16),$D16&gt;0,ISNUMBER($E16),$E16&gt;0),$D16,"")</f>
        <v/>
      </c>
      <c r="R16" s="10" t="str">
        <f aca="false">IF(AND(ISNUMBER($I16),$K16=""),$I16,"")</f>
        <v/>
      </c>
      <c r="S16" s="10" t="str">
        <f aca="false">IF(AND(ISNUMBER($J16),$K16=""),ABS($J16),"")</f>
        <v/>
      </c>
    </row>
    <row r="17" customFormat="false" ht="15" hidden="false" customHeight="false" outlineLevel="0" collapsed="false">
      <c r="A17" s="13"/>
      <c r="B17" s="13"/>
      <c r="C17" s="13"/>
      <c r="D17" s="14"/>
      <c r="E17" s="15"/>
      <c r="F17" s="14"/>
      <c r="G17" s="14"/>
      <c r="H17" s="14"/>
      <c r="I17" s="14"/>
      <c r="J17" s="14"/>
      <c r="K17" s="13"/>
      <c r="L17" s="13"/>
      <c r="M17" s="9" t="str">
        <f aca="false">IF(OR($D17="",$K17&lt;&gt;""),"",IF($D17&lt;=Limits!$I$6,"PASS","FAIL"))</f>
        <v/>
      </c>
      <c r="N17" s="9" t="str">
        <f aca="false">IF(OR($I17="",$K17&lt;&gt;""),"",IF($I17&gt;=Limits!$I$7,"PASS","FAIL"))</f>
        <v/>
      </c>
      <c r="O17" s="9" t="str">
        <f aca="false">IF(OR($J17="",$K17&lt;&gt;""),"",IF(ABS($J17)&lt;=Limits!$I$8,"PASS","FAIL"))</f>
        <v/>
      </c>
      <c r="P17" s="10" t="str">
        <f aca="false">IF(AND($C17="STEADY",ISNUMBER($D17),$D17&gt;0),$D17,"")</f>
        <v/>
      </c>
      <c r="Q17" s="10" t="str">
        <f aca="false">IF(AND($C17="INDEX PEAK",ISNUMBER($D17),$D17&gt;0,ISNUMBER($E17),$E17&gt;0),$D17,"")</f>
        <v/>
      </c>
      <c r="R17" s="10" t="str">
        <f aca="false">IF(AND(ISNUMBER($I17),$K17=""),$I17,"")</f>
        <v/>
      </c>
      <c r="S17" s="10" t="str">
        <f aca="false">IF(AND(ISNUMBER($J17),$K17=""),ABS($J17),"")</f>
        <v/>
      </c>
    </row>
    <row r="18" customFormat="false" ht="15" hidden="false" customHeight="false" outlineLevel="0" collapsed="false">
      <c r="A18" s="13"/>
      <c r="B18" s="13"/>
      <c r="C18" s="13"/>
      <c r="D18" s="14"/>
      <c r="E18" s="15"/>
      <c r="F18" s="14"/>
      <c r="G18" s="14"/>
      <c r="H18" s="14"/>
      <c r="I18" s="14"/>
      <c r="J18" s="14"/>
      <c r="K18" s="13"/>
      <c r="L18" s="13"/>
      <c r="M18" s="9" t="str">
        <f aca="false">IF(OR($D18="",$K18&lt;&gt;""),"",IF($D18&lt;=Limits!$I$6,"PASS","FAIL"))</f>
        <v/>
      </c>
      <c r="N18" s="9" t="str">
        <f aca="false">IF(OR($I18="",$K18&lt;&gt;""),"",IF($I18&gt;=Limits!$I$7,"PASS","FAIL"))</f>
        <v/>
      </c>
      <c r="O18" s="9" t="str">
        <f aca="false">IF(OR($J18="",$K18&lt;&gt;""),"",IF(ABS($J18)&lt;=Limits!$I$8,"PASS","FAIL"))</f>
        <v/>
      </c>
      <c r="P18" s="10" t="str">
        <f aca="false">IF(AND($C18="STEADY",ISNUMBER($D18),$D18&gt;0),$D18,"")</f>
        <v/>
      </c>
      <c r="Q18" s="10" t="str">
        <f aca="false">IF(AND($C18="INDEX PEAK",ISNUMBER($D18),$D18&gt;0,ISNUMBER($E18),$E18&gt;0),$D18,"")</f>
        <v/>
      </c>
      <c r="R18" s="10" t="str">
        <f aca="false">IF(AND(ISNUMBER($I18),$K18=""),$I18,"")</f>
        <v/>
      </c>
      <c r="S18" s="10" t="str">
        <f aca="false">IF(AND(ISNUMBER($J18),$K18=""),ABS($J18),"")</f>
        <v/>
      </c>
    </row>
    <row r="19" customFormat="false" ht="15" hidden="false" customHeight="false" outlineLevel="0" collapsed="false">
      <c r="A19" s="13"/>
      <c r="B19" s="13"/>
      <c r="C19" s="13"/>
      <c r="D19" s="14"/>
      <c r="E19" s="15"/>
      <c r="F19" s="14"/>
      <c r="G19" s="14"/>
      <c r="H19" s="14"/>
      <c r="I19" s="14"/>
      <c r="J19" s="14"/>
      <c r="K19" s="13"/>
      <c r="L19" s="13"/>
      <c r="M19" s="9" t="str">
        <f aca="false">IF(OR($D19="",$K19&lt;&gt;""),"",IF($D19&lt;=Limits!$I$6,"PASS","FAIL"))</f>
        <v/>
      </c>
      <c r="N19" s="9" t="str">
        <f aca="false">IF(OR($I19="",$K19&lt;&gt;""),"",IF($I19&gt;=Limits!$I$7,"PASS","FAIL"))</f>
        <v/>
      </c>
      <c r="O19" s="9" t="str">
        <f aca="false">IF(OR($J19="",$K19&lt;&gt;""),"",IF(ABS($J19)&lt;=Limits!$I$8,"PASS","FAIL"))</f>
        <v/>
      </c>
      <c r="P19" s="10" t="str">
        <f aca="false">IF(AND($C19="STEADY",ISNUMBER($D19),$D19&gt;0),$D19,"")</f>
        <v/>
      </c>
      <c r="Q19" s="10" t="str">
        <f aca="false">IF(AND($C19="INDEX PEAK",ISNUMBER($D19),$D19&gt;0,ISNUMBER($E19),$E19&gt;0),$D19,"")</f>
        <v/>
      </c>
      <c r="R19" s="10" t="str">
        <f aca="false">IF(AND(ISNUMBER($I19),$K19=""),$I19,"")</f>
        <v/>
      </c>
      <c r="S19" s="10" t="str">
        <f aca="false">IF(AND(ISNUMBER($J19),$K19=""),ABS($J19),"")</f>
        <v/>
      </c>
    </row>
    <row r="20" customFormat="false" ht="15" hidden="false" customHeight="false" outlineLevel="0" collapsed="false">
      <c r="A20" s="13"/>
      <c r="B20" s="13"/>
      <c r="C20" s="13"/>
      <c r="D20" s="14"/>
      <c r="E20" s="15"/>
      <c r="F20" s="14"/>
      <c r="G20" s="14"/>
      <c r="H20" s="14"/>
      <c r="I20" s="14"/>
      <c r="J20" s="14"/>
      <c r="K20" s="13"/>
      <c r="L20" s="13"/>
      <c r="M20" s="9" t="str">
        <f aca="false">IF(OR($D20="",$K20&lt;&gt;""),"",IF($D20&lt;=Limits!$I$6,"PASS","FAIL"))</f>
        <v/>
      </c>
      <c r="N20" s="9" t="str">
        <f aca="false">IF(OR($I20="",$K20&lt;&gt;""),"",IF($I20&gt;=Limits!$I$7,"PASS","FAIL"))</f>
        <v/>
      </c>
      <c r="O20" s="9" t="str">
        <f aca="false">IF(OR($J20="",$K20&lt;&gt;""),"",IF(ABS($J20)&lt;=Limits!$I$8,"PASS","FAIL"))</f>
        <v/>
      </c>
      <c r="P20" s="10" t="str">
        <f aca="false">IF(AND($C20="STEADY",ISNUMBER($D20),$D20&gt;0),$D20,"")</f>
        <v/>
      </c>
      <c r="Q20" s="10" t="str">
        <f aca="false">IF(AND($C20="INDEX PEAK",ISNUMBER($D20),$D20&gt;0,ISNUMBER($E20),$E20&gt;0),$D20,"")</f>
        <v/>
      </c>
      <c r="R20" s="10" t="str">
        <f aca="false">IF(AND(ISNUMBER($I20),$K20=""),$I20,"")</f>
        <v/>
      </c>
      <c r="S20" s="10" t="str">
        <f aca="false">IF(AND(ISNUMBER($J20),$K20=""),ABS($J20),"")</f>
        <v/>
      </c>
    </row>
    <row r="21" customFormat="false" ht="15" hidden="false" customHeight="false" outlineLevel="0" collapsed="false">
      <c r="A21" s="13"/>
      <c r="B21" s="13"/>
      <c r="C21" s="13"/>
      <c r="D21" s="14"/>
      <c r="E21" s="15"/>
      <c r="F21" s="14"/>
      <c r="G21" s="14"/>
      <c r="H21" s="14"/>
      <c r="I21" s="14"/>
      <c r="J21" s="14"/>
      <c r="K21" s="13"/>
      <c r="L21" s="13"/>
      <c r="M21" s="9" t="str">
        <f aca="false">IF(OR($D21="",$K21&lt;&gt;""),"",IF($D21&lt;=Limits!$I$6,"PASS","FAIL"))</f>
        <v/>
      </c>
      <c r="N21" s="9" t="str">
        <f aca="false">IF(OR($I21="",$K21&lt;&gt;""),"",IF($I21&gt;=Limits!$I$7,"PASS","FAIL"))</f>
        <v/>
      </c>
      <c r="O21" s="9" t="str">
        <f aca="false">IF(OR($J21="",$K21&lt;&gt;""),"",IF(ABS($J21)&lt;=Limits!$I$8,"PASS","FAIL"))</f>
        <v/>
      </c>
      <c r="P21" s="10" t="str">
        <f aca="false">IF(AND($C21="STEADY",ISNUMBER($D21),$D21&gt;0),$D21,"")</f>
        <v/>
      </c>
      <c r="Q21" s="10" t="str">
        <f aca="false">IF(AND($C21="INDEX PEAK",ISNUMBER($D21),$D21&gt;0,ISNUMBER($E21),$E21&gt;0),$D21,"")</f>
        <v/>
      </c>
      <c r="R21" s="10" t="str">
        <f aca="false">IF(AND(ISNUMBER($I21),$K21=""),$I21,"")</f>
        <v/>
      </c>
      <c r="S21" s="10" t="str">
        <f aca="false">IF(AND(ISNUMBER($J21),$K21=""),ABS($J21),"")</f>
        <v/>
      </c>
    </row>
    <row r="22" customFormat="false" ht="15" hidden="false" customHeight="false" outlineLevel="0" collapsed="false">
      <c r="A22" s="13"/>
      <c r="B22" s="13"/>
      <c r="C22" s="13"/>
      <c r="D22" s="14"/>
      <c r="E22" s="15"/>
      <c r="F22" s="14"/>
      <c r="G22" s="14"/>
      <c r="H22" s="14"/>
      <c r="I22" s="14"/>
      <c r="J22" s="14"/>
      <c r="K22" s="13"/>
      <c r="L22" s="13"/>
      <c r="M22" s="9" t="str">
        <f aca="false">IF(OR($D22="",$K22&lt;&gt;""),"",IF($D22&lt;=Limits!$I$6,"PASS","FAIL"))</f>
        <v/>
      </c>
      <c r="N22" s="9" t="str">
        <f aca="false">IF(OR($I22="",$K22&lt;&gt;""),"",IF($I22&gt;=Limits!$I$7,"PASS","FAIL"))</f>
        <v/>
      </c>
      <c r="O22" s="9" t="str">
        <f aca="false">IF(OR($J22="",$K22&lt;&gt;""),"",IF(ABS($J22)&lt;=Limits!$I$8,"PASS","FAIL"))</f>
        <v/>
      </c>
      <c r="P22" s="10" t="str">
        <f aca="false">IF(AND($C22="STEADY",ISNUMBER($D22),$D22&gt;0),$D22,"")</f>
        <v/>
      </c>
      <c r="Q22" s="10" t="str">
        <f aca="false">IF(AND($C22="INDEX PEAK",ISNUMBER($D22),$D22&gt;0,ISNUMBER($E22),$E22&gt;0),$D22,"")</f>
        <v/>
      </c>
      <c r="R22" s="10" t="str">
        <f aca="false">IF(AND(ISNUMBER($I22),$K22=""),$I22,"")</f>
        <v/>
      </c>
      <c r="S22" s="10" t="str">
        <f aca="false">IF(AND(ISNUMBER($J22),$K22=""),ABS($J22),"")</f>
        <v/>
      </c>
    </row>
    <row r="23" customFormat="false" ht="15" hidden="false" customHeight="false" outlineLevel="0" collapsed="false">
      <c r="A23" s="13"/>
      <c r="B23" s="13"/>
      <c r="C23" s="13"/>
      <c r="D23" s="14"/>
      <c r="E23" s="15"/>
      <c r="F23" s="14"/>
      <c r="G23" s="14"/>
      <c r="H23" s="14"/>
      <c r="I23" s="14"/>
      <c r="J23" s="14"/>
      <c r="K23" s="13"/>
      <c r="L23" s="13"/>
      <c r="M23" s="9" t="str">
        <f aca="false">IF(OR($D23="",$K23&lt;&gt;""),"",IF($D23&lt;=Limits!$I$6,"PASS","FAIL"))</f>
        <v/>
      </c>
      <c r="N23" s="9" t="str">
        <f aca="false">IF(OR($I23="",$K23&lt;&gt;""),"",IF($I23&gt;=Limits!$I$7,"PASS","FAIL"))</f>
        <v/>
      </c>
      <c r="O23" s="9" t="str">
        <f aca="false">IF(OR($J23="",$K23&lt;&gt;""),"",IF(ABS($J23)&lt;=Limits!$I$8,"PASS","FAIL"))</f>
        <v/>
      </c>
      <c r="P23" s="10" t="str">
        <f aca="false">IF(AND($C23="STEADY",ISNUMBER($D23),$D23&gt;0),$D23,"")</f>
        <v/>
      </c>
      <c r="Q23" s="10" t="str">
        <f aca="false">IF(AND($C23="INDEX PEAK",ISNUMBER($D23),$D23&gt;0,ISNUMBER($E23),$E23&gt;0),$D23,"")</f>
        <v/>
      </c>
      <c r="R23" s="10" t="str">
        <f aca="false">IF(AND(ISNUMBER($I23),$K23=""),$I23,"")</f>
        <v/>
      </c>
      <c r="S23" s="10" t="str">
        <f aca="false">IF(AND(ISNUMBER($J23),$K23=""),ABS($J23),"")</f>
        <v/>
      </c>
    </row>
    <row r="24" customFormat="false" ht="15" hidden="false" customHeight="false" outlineLevel="0" collapsed="false">
      <c r="A24" s="13"/>
      <c r="B24" s="13"/>
      <c r="C24" s="13"/>
      <c r="D24" s="14"/>
      <c r="E24" s="15"/>
      <c r="F24" s="14"/>
      <c r="G24" s="14"/>
      <c r="H24" s="14"/>
      <c r="I24" s="14"/>
      <c r="J24" s="14"/>
      <c r="K24" s="13"/>
      <c r="L24" s="13"/>
      <c r="M24" s="9" t="str">
        <f aca="false">IF(OR($D24="",$K24&lt;&gt;""),"",IF($D24&lt;=Limits!$I$6,"PASS","FAIL"))</f>
        <v/>
      </c>
      <c r="N24" s="9" t="str">
        <f aca="false">IF(OR($I24="",$K24&lt;&gt;""),"",IF($I24&gt;=Limits!$I$7,"PASS","FAIL"))</f>
        <v/>
      </c>
      <c r="O24" s="9" t="str">
        <f aca="false">IF(OR($J24="",$K24&lt;&gt;""),"",IF(ABS($J24)&lt;=Limits!$I$8,"PASS","FAIL"))</f>
        <v/>
      </c>
      <c r="P24" s="10" t="str">
        <f aca="false">IF(AND($C24="STEADY",ISNUMBER($D24),$D24&gt;0),$D24,"")</f>
        <v/>
      </c>
      <c r="Q24" s="10" t="str">
        <f aca="false">IF(AND($C24="INDEX PEAK",ISNUMBER($D24),$D24&gt;0,ISNUMBER($E24),$E24&gt;0),$D24,"")</f>
        <v/>
      </c>
      <c r="R24" s="10" t="str">
        <f aca="false">IF(AND(ISNUMBER($I24),$K24=""),$I24,"")</f>
        <v/>
      </c>
      <c r="S24" s="10" t="str">
        <f aca="false">IF(AND(ISNUMBER($J24),$K24=""),ABS($J24),"")</f>
        <v/>
      </c>
    </row>
    <row r="25" customFormat="false" ht="15" hidden="false" customHeight="false" outlineLevel="0" collapsed="false">
      <c r="A25" s="13"/>
      <c r="B25" s="13"/>
      <c r="C25" s="13"/>
      <c r="D25" s="14"/>
      <c r="E25" s="15"/>
      <c r="F25" s="14"/>
      <c r="G25" s="14"/>
      <c r="H25" s="14"/>
      <c r="I25" s="14"/>
      <c r="J25" s="14"/>
      <c r="K25" s="13"/>
      <c r="L25" s="13"/>
      <c r="M25" s="9" t="str">
        <f aca="false">IF(OR($D25="",$K25&lt;&gt;""),"",IF($D25&lt;=Limits!$I$6,"PASS","FAIL"))</f>
        <v/>
      </c>
      <c r="N25" s="9" t="str">
        <f aca="false">IF(OR($I25="",$K25&lt;&gt;""),"",IF($I25&gt;=Limits!$I$7,"PASS","FAIL"))</f>
        <v/>
      </c>
      <c r="O25" s="9" t="str">
        <f aca="false">IF(OR($J25="",$K25&lt;&gt;""),"",IF(ABS($J25)&lt;=Limits!$I$8,"PASS","FAIL"))</f>
        <v/>
      </c>
      <c r="P25" s="10" t="str">
        <f aca="false">IF(AND($C25="STEADY",ISNUMBER($D25),$D25&gt;0),$D25,"")</f>
        <v/>
      </c>
      <c r="Q25" s="10" t="str">
        <f aca="false">IF(AND($C25="INDEX PEAK",ISNUMBER($D25),$D25&gt;0,ISNUMBER($E25),$E25&gt;0),$D25,"")</f>
        <v/>
      </c>
      <c r="R25" s="10" t="str">
        <f aca="false">IF(AND(ISNUMBER($I25),$K25=""),$I25,"")</f>
        <v/>
      </c>
      <c r="S25" s="10" t="str">
        <f aca="false">IF(AND(ISNUMBER($J25),$K25=""),ABS($J25),"")</f>
        <v/>
      </c>
    </row>
    <row r="26" customFormat="false" ht="15" hidden="false" customHeight="false" outlineLevel="0" collapsed="false">
      <c r="A26" s="13"/>
      <c r="B26" s="13"/>
      <c r="C26" s="13"/>
      <c r="D26" s="14"/>
      <c r="E26" s="15"/>
      <c r="F26" s="14"/>
      <c r="G26" s="14"/>
      <c r="H26" s="14"/>
      <c r="I26" s="14"/>
      <c r="J26" s="14"/>
      <c r="K26" s="13"/>
      <c r="L26" s="13"/>
      <c r="M26" s="9" t="str">
        <f aca="false">IF(OR($D26="",$K26&lt;&gt;""),"",IF($D26&lt;=Limits!$I$6,"PASS","FAIL"))</f>
        <v/>
      </c>
      <c r="N26" s="9" t="str">
        <f aca="false">IF(OR($I26="",$K26&lt;&gt;""),"",IF($I26&gt;=Limits!$I$7,"PASS","FAIL"))</f>
        <v/>
      </c>
      <c r="O26" s="9" t="str">
        <f aca="false">IF(OR($J26="",$K26&lt;&gt;""),"",IF(ABS($J26)&lt;=Limits!$I$8,"PASS","FAIL"))</f>
        <v/>
      </c>
      <c r="P26" s="10" t="str">
        <f aca="false">IF(AND($C26="STEADY",ISNUMBER($D26),$D26&gt;0),$D26,"")</f>
        <v/>
      </c>
      <c r="Q26" s="10" t="str">
        <f aca="false">IF(AND($C26="INDEX PEAK",ISNUMBER($D26),$D26&gt;0,ISNUMBER($E26),$E26&gt;0),$D26,"")</f>
        <v/>
      </c>
      <c r="R26" s="10" t="str">
        <f aca="false">IF(AND(ISNUMBER($I26),$K26=""),$I26,"")</f>
        <v/>
      </c>
      <c r="S26" s="10" t="str">
        <f aca="false">IF(AND(ISNUMBER($J26),$K26=""),ABS($J26),"")</f>
        <v/>
      </c>
    </row>
    <row r="27" customFormat="false" ht="15" hidden="false" customHeight="false" outlineLevel="0" collapsed="false">
      <c r="A27" s="13"/>
      <c r="B27" s="13"/>
      <c r="C27" s="13"/>
      <c r="D27" s="14"/>
      <c r="E27" s="15"/>
      <c r="F27" s="14"/>
      <c r="G27" s="14"/>
      <c r="H27" s="14"/>
      <c r="I27" s="14"/>
      <c r="J27" s="14"/>
      <c r="K27" s="13"/>
      <c r="L27" s="13"/>
      <c r="M27" s="9" t="str">
        <f aca="false">IF(OR($D27="",$K27&lt;&gt;""),"",IF($D27&lt;=Limits!$I$6,"PASS","FAIL"))</f>
        <v/>
      </c>
      <c r="N27" s="9" t="str">
        <f aca="false">IF(OR($I27="",$K27&lt;&gt;""),"",IF($I27&gt;=Limits!$I$7,"PASS","FAIL"))</f>
        <v/>
      </c>
      <c r="O27" s="9" t="str">
        <f aca="false">IF(OR($J27="",$K27&lt;&gt;""),"",IF(ABS($J27)&lt;=Limits!$I$8,"PASS","FAIL"))</f>
        <v/>
      </c>
      <c r="P27" s="10" t="str">
        <f aca="false">IF(AND($C27="STEADY",ISNUMBER($D27),$D27&gt;0),$D27,"")</f>
        <v/>
      </c>
      <c r="Q27" s="10" t="str">
        <f aca="false">IF(AND($C27="INDEX PEAK",ISNUMBER($D27),$D27&gt;0,ISNUMBER($E27),$E27&gt;0),$D27,"")</f>
        <v/>
      </c>
      <c r="R27" s="10" t="str">
        <f aca="false">IF(AND(ISNUMBER($I27),$K27=""),$I27,"")</f>
        <v/>
      </c>
      <c r="S27" s="10" t="str">
        <f aca="false">IF(AND(ISNUMBER($J27),$K27=""),ABS($J27),"")</f>
        <v/>
      </c>
    </row>
    <row r="28" customFormat="false" ht="15" hidden="false" customHeight="false" outlineLevel="0" collapsed="false">
      <c r="A28" s="13"/>
      <c r="B28" s="13"/>
      <c r="C28" s="13"/>
      <c r="D28" s="14"/>
      <c r="E28" s="15"/>
      <c r="F28" s="14"/>
      <c r="G28" s="14"/>
      <c r="H28" s="14"/>
      <c r="I28" s="14"/>
      <c r="J28" s="14"/>
      <c r="K28" s="13"/>
      <c r="L28" s="13"/>
      <c r="M28" s="9" t="str">
        <f aca="false">IF(OR($D28="",$K28&lt;&gt;""),"",IF($D28&lt;=Limits!$I$6,"PASS","FAIL"))</f>
        <v/>
      </c>
      <c r="N28" s="9" t="str">
        <f aca="false">IF(OR($I28="",$K28&lt;&gt;""),"",IF($I28&gt;=Limits!$I$7,"PASS","FAIL"))</f>
        <v/>
      </c>
      <c r="O28" s="9" t="str">
        <f aca="false">IF(OR($J28="",$K28&lt;&gt;""),"",IF(ABS($J28)&lt;=Limits!$I$8,"PASS","FAIL"))</f>
        <v/>
      </c>
      <c r="P28" s="10" t="str">
        <f aca="false">IF(AND($C28="STEADY",ISNUMBER($D28),$D28&gt;0),$D28,"")</f>
        <v/>
      </c>
      <c r="Q28" s="10" t="str">
        <f aca="false">IF(AND($C28="INDEX PEAK",ISNUMBER($D28),$D28&gt;0,ISNUMBER($E28),$E28&gt;0),$D28,"")</f>
        <v/>
      </c>
      <c r="R28" s="10" t="str">
        <f aca="false">IF(AND(ISNUMBER($I28),$K28=""),$I28,"")</f>
        <v/>
      </c>
      <c r="S28" s="10" t="str">
        <f aca="false">IF(AND(ISNUMBER($J28),$K28=""),ABS($J28),"")</f>
        <v/>
      </c>
    </row>
    <row r="29" customFormat="false" ht="15" hidden="false" customHeight="false" outlineLevel="0" collapsed="false">
      <c r="A29" s="13"/>
      <c r="B29" s="13"/>
      <c r="C29" s="13"/>
      <c r="D29" s="14"/>
      <c r="E29" s="15"/>
      <c r="F29" s="14"/>
      <c r="G29" s="14"/>
      <c r="H29" s="14"/>
      <c r="I29" s="14"/>
      <c r="J29" s="14"/>
      <c r="K29" s="13"/>
      <c r="L29" s="13"/>
      <c r="M29" s="9" t="str">
        <f aca="false">IF(OR($D29="",$K29&lt;&gt;""),"",IF($D29&lt;=Limits!$I$6,"PASS","FAIL"))</f>
        <v/>
      </c>
      <c r="N29" s="9" t="str">
        <f aca="false">IF(OR($I29="",$K29&lt;&gt;""),"",IF($I29&gt;=Limits!$I$7,"PASS","FAIL"))</f>
        <v/>
      </c>
      <c r="O29" s="9" t="str">
        <f aca="false">IF(OR($J29="",$K29&lt;&gt;""),"",IF(ABS($J29)&lt;=Limits!$I$8,"PASS","FAIL"))</f>
        <v/>
      </c>
      <c r="P29" s="10" t="str">
        <f aca="false">IF(AND($C29="STEADY",ISNUMBER($D29),$D29&gt;0),$D29,"")</f>
        <v/>
      </c>
      <c r="Q29" s="10" t="str">
        <f aca="false">IF(AND($C29="INDEX PEAK",ISNUMBER($D29),$D29&gt;0,ISNUMBER($E29),$E29&gt;0),$D29,"")</f>
        <v/>
      </c>
      <c r="R29" s="10" t="str">
        <f aca="false">IF(AND(ISNUMBER($I29),$K29=""),$I29,"")</f>
        <v/>
      </c>
      <c r="S29" s="10" t="str">
        <f aca="false">IF(AND(ISNUMBER($J29),$K29=""),ABS($J29),"")</f>
        <v/>
      </c>
    </row>
    <row r="30" customFormat="false" ht="15" hidden="false" customHeight="false" outlineLevel="0" collapsed="false">
      <c r="A30" s="13"/>
      <c r="B30" s="13"/>
      <c r="C30" s="13"/>
      <c r="D30" s="14"/>
      <c r="E30" s="15"/>
      <c r="F30" s="14"/>
      <c r="G30" s="14"/>
      <c r="H30" s="14"/>
      <c r="I30" s="14"/>
      <c r="J30" s="14"/>
      <c r="K30" s="13"/>
      <c r="L30" s="13"/>
      <c r="M30" s="9" t="str">
        <f aca="false">IF(OR($D30="",$K30&lt;&gt;""),"",IF($D30&lt;=Limits!$I$6,"PASS","FAIL"))</f>
        <v/>
      </c>
      <c r="N30" s="9" t="str">
        <f aca="false">IF(OR($I30="",$K30&lt;&gt;""),"",IF($I30&gt;=Limits!$I$7,"PASS","FAIL"))</f>
        <v/>
      </c>
      <c r="O30" s="9" t="str">
        <f aca="false">IF(OR($J30="",$K30&lt;&gt;""),"",IF(ABS($J30)&lt;=Limits!$I$8,"PASS","FAIL"))</f>
        <v/>
      </c>
      <c r="P30" s="10" t="str">
        <f aca="false">IF(AND($C30="STEADY",ISNUMBER($D30),$D30&gt;0),$D30,"")</f>
        <v/>
      </c>
      <c r="Q30" s="10" t="str">
        <f aca="false">IF(AND($C30="INDEX PEAK",ISNUMBER($D30),$D30&gt;0,ISNUMBER($E30),$E30&gt;0),$D30,"")</f>
        <v/>
      </c>
      <c r="R30" s="10" t="str">
        <f aca="false">IF(AND(ISNUMBER($I30),$K30=""),$I30,"")</f>
        <v/>
      </c>
      <c r="S30" s="10" t="str">
        <f aca="false">IF(AND(ISNUMBER($J30),$K30=""),ABS($J30),"")</f>
        <v/>
      </c>
    </row>
  </sheetData>
  <mergeCells count="3">
    <mergeCell ref="A1:S1"/>
    <mergeCell ref="A2:S2"/>
    <mergeCell ref="A3:S3"/>
  </mergeCells>
  <conditionalFormatting sqref="M6:O1000">
    <cfRule type="cellIs" priority="2" operator="equal" aboveAverage="0" equalAverage="0" bottom="0" percent="0" rank="0" text="" dxfId="8">
      <formula>"PASS"</formula>
    </cfRule>
    <cfRule type="cellIs" priority="3" operator="equal" aboveAverage="0" equalAverage="0" bottom="0" percent="0" rank="0" text="" dxfId="9">
      <formula>"FAIL"</formula>
    </cfRule>
  </conditionalFormatting>
  <conditionalFormatting sqref="A6:L1000">
    <cfRule type="expression" priority="4" aboveAverage="0" equalAverage="0" bottom="0" percent="0" rank="0" text="" dxfId="5">
      <formula>AND(A6="",COLUMN()&lt;=12)</formula>
    </cfRule>
  </conditionalFormatting>
  <dataValidations count="9">
    <dataValidation allowBlank="true" error="Choose SETUP, STEADY or INDEX PEAK." errorStyle="stop" errorTitle="Controlled phase" operator="between" prompt="Select a controlled phase or leave blank until the reading is entered." promptTitle="Phase" showDropDown="false" showErrorMessage="true" showInputMessage="true" sqref="C6:C1000" type="list">
      <formula1>"SETUP,STEADY,INDEX PEAK"</formula1>
      <formula2>0</formula2>
    </dataValidation>
    <dataValidation allowBlank="true" error="Choose NOT OBSERVED, NOT APPLICABLE or NOT SUPPLIED." errorStyle="stop" errorTitle="Controlled missing status" operator="between" prompt="Leave blank when the datum is present; otherwise choose one controlled status." promptTitle="Missing Status" showDropDown="false" showErrorMessage="true" showInputMessage="true" sqref="K6:K1000" type="list">
      <formula1>"NOT OBSERVED,NOT APPLICABLE,NOT SUPPLIED"</formula1>
      <formula2>0</formula2>
    </dataValidation>
    <dataValidation allowBlank="true" error="Index time must be positive when entered." errorStyle="stop" errorTitle="Invalid numeric entry" operator="between" showDropDown="false" showErrorMessage="true" showInputMessage="false" sqref="D6:D1000" type="custom">
      <formula1>OR(D6="",AND(ISNUMBER(D6),D6&gt;0,$K6=""))</formula1>
      <formula2>0</formula2>
    </dataValidation>
    <dataValidation allowBlank="true" error="Peak duration must be positive when entered." errorStyle="stop" errorTitle="Invalid numeric entry" operator="between" showDropDown="false" showErrorMessage="true" showInputMessage="false" sqref="E6:E1000" type="custom">
      <formula1>OR(E6="",AND(ISNUMBER(E6),E6&gt;0,$K6=""))</formula1>
      <formula2>0</formula2>
    </dataValidation>
    <dataValidation allowBlank="true" error="Fixture X must be positive when entered." errorStyle="stop" errorTitle="Invalid numeric entry" operator="between" showDropDown="false" showErrorMessage="true" showInputMessage="false" sqref="F6:F1000" type="custom">
      <formula1>OR(F6="",AND(ISNUMBER(F6),F6&gt;0,$K6=""))</formula1>
      <formula2>0</formula2>
    </dataValidation>
    <dataValidation allowBlank="true" error="Fixture Y must be positive when entered." errorStyle="stop" errorTitle="Invalid numeric entry" operator="between" showDropDown="false" showErrorMessage="true" showInputMessage="false" sqref="G6:G1000" type="custom">
      <formula1>OR(G6="",AND(ISNUMBER(G6),G6&gt;0,$K6=""))</formula1>
      <formula2>0</formula2>
    </dataValidation>
    <dataValidation allowBlank="true" error="Fixture Z must be positive when entered." errorStyle="stop" errorTitle="Invalid numeric entry" operator="between" showDropDown="false" showErrorMessage="true" showInputMessage="false" sqref="H6:H1000" type="custom">
      <formula1>OR(H6="",AND(ISNUMBER(H6),H6&gt;0,$K6=""))</formula1>
      <formula2>0</formula2>
    </dataValidation>
    <dataValidation allowBlank="true" error="Measured clearance must be positive when entered." errorStyle="stop" errorTitle="Invalid numeric entry" operator="between" showDropDown="false" showErrorMessage="true" showInputMessage="false" sqref="I6:I1000" type="custom">
      <formula1>OR(I6="",AND(ISNUMBER(I6),I6&gt;0,$K6=""))</formula1>
      <formula2>0</formula2>
    </dataValidation>
    <dataValidation allowBlank="true" error="Dimensional deviation may be signed, but cannot coexist with Missing Status." errorStyle="stop" errorTitle="Invalid deviation entry" operator="between" showDropDown="false" showErrorMessage="true" showInputMessage="false" sqref="J6:J1000" type="custom">
      <formula1>OR(J6="",AND(ISNUMBER(J6),$K6=""))</formula1>
      <formula2>0</formula2>
    </dataValidation>
  </dataValidations>
  <printOptions headings="false" gridLines="false" gridLinesSet="true" horizontalCentered="false" verticalCentered="false"/>
  <pageMargins left="0.279861111111111" right="0.279861111111111" top="0.35" bottom="0.35" header="0.511811023622047" footer="0.179861111111111"/>
  <pageSetup paperSize="9" scale="100" fitToWidth="1" fitToHeight="0"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10"/>
    <col collapsed="false" customWidth="true" hidden="false" outlineLevel="0" max="6" min="6" style="0" width="13"/>
    <col collapsed="false" customWidth="true" hidden="false" outlineLevel="0" max="9" min="7" style="0" width="12"/>
    <col collapsed="false" customWidth="true" hidden="false" outlineLevel="0" max="10" min="10" style="0" width="15"/>
    <col collapsed="false" customWidth="true" hidden="false" outlineLevel="0" max="11" min="11" style="0" width="20"/>
    <col collapsed="false" customWidth="true" hidden="true" outlineLevel="0" max="16" min="13" style="0" width="13"/>
  </cols>
  <sheetData>
    <row r="1" customFormat="false" ht="27.75" hidden="false" customHeight="true" outlineLevel="0" collapsed="false">
      <c r="A1" s="1" t="s">
        <v>316</v>
      </c>
      <c r="B1" s="1"/>
      <c r="C1" s="1"/>
      <c r="D1" s="1"/>
      <c r="E1" s="1"/>
      <c r="F1" s="1"/>
      <c r="G1" s="1"/>
      <c r="H1" s="1"/>
      <c r="I1" s="1"/>
      <c r="J1" s="1"/>
      <c r="K1" s="1"/>
    </row>
    <row r="2" customFormat="false" ht="24" hidden="false" customHeight="true" outlineLevel="0" collapsed="false">
      <c r="A2" s="2" t="s">
        <v>317</v>
      </c>
      <c r="B2" s="2"/>
      <c r="C2" s="2"/>
      <c r="D2" s="2"/>
      <c r="E2" s="2"/>
      <c r="F2" s="2"/>
      <c r="G2" s="2"/>
      <c r="H2" s="2"/>
      <c r="I2" s="2"/>
      <c r="J2" s="2"/>
      <c r="K2" s="2"/>
    </row>
    <row r="3" customFormat="false" ht="15" hidden="false" customHeight="false" outlineLevel="0" collapsed="false">
      <c r="A3" s="8" t="s">
        <v>318</v>
      </c>
      <c r="B3" s="8"/>
      <c r="C3" s="8"/>
      <c r="D3" s="8"/>
      <c r="E3" s="8"/>
      <c r="F3" s="8"/>
      <c r="G3" s="8"/>
      <c r="H3" s="8"/>
      <c r="I3" s="8"/>
      <c r="J3" s="8"/>
      <c r="K3" s="8"/>
    </row>
    <row r="5" customFormat="false" ht="15" hidden="false" customHeight="false" outlineLevel="0" collapsed="false">
      <c r="A5" s="19" t="s">
        <v>28</v>
      </c>
      <c r="B5" s="19"/>
      <c r="C5" s="19"/>
      <c r="D5" s="19"/>
      <c r="M5" s="20" t="s">
        <v>319</v>
      </c>
      <c r="N5" s="20" t="s">
        <v>320</v>
      </c>
      <c r="O5" s="20" t="s">
        <v>321</v>
      </c>
      <c r="P5" s="20" t="s">
        <v>322</v>
      </c>
    </row>
    <row r="6" customFormat="false" ht="24.75" hidden="false" customHeight="true" outlineLevel="0" collapsed="false">
      <c r="A6" s="21" t="s">
        <v>323</v>
      </c>
      <c r="B6" s="22" t="n">
        <v>270</v>
      </c>
      <c r="C6" s="22"/>
      <c r="D6" s="5" t="s">
        <v>324</v>
      </c>
      <c r="M6" s="23" t="s">
        <v>325</v>
      </c>
      <c r="N6" s="24" t="n">
        <f aca="false">IF($A$16="Peak stress","",$F$16)</f>
        <v>13500</v>
      </c>
      <c r="O6" s="23" t="str">
        <f aca="false">IF($A$16="Peak stress",$F$16,"")</f>
        <v/>
      </c>
      <c r="P6" s="25" t="n">
        <f aca="false">$E$16</f>
        <v>12000</v>
      </c>
    </row>
    <row r="7" customFormat="false" ht="24.75" hidden="false" customHeight="true" outlineLevel="0" collapsed="false">
      <c r="A7" s="21" t="s">
        <v>326</v>
      </c>
      <c r="B7" s="22" t="n">
        <v>12000</v>
      </c>
      <c r="C7" s="22"/>
      <c r="D7" s="5" t="s">
        <v>324</v>
      </c>
      <c r="M7" s="23" t="s">
        <v>327</v>
      </c>
      <c r="N7" s="24" t="n">
        <f aca="false">IF($A$18="Peak stress","",$F$18)</f>
        <v>14336.2831858407</v>
      </c>
      <c r="O7" s="23" t="str">
        <f aca="false">IF($A$18="Peak stress",$F$18,"")</f>
        <v/>
      </c>
      <c r="P7" s="25" t="n">
        <f aca="false">$E$18</f>
        <v>12000</v>
      </c>
    </row>
    <row r="8" customFormat="false" ht="24.75" hidden="false" customHeight="true" outlineLevel="0" collapsed="false">
      <c r="A8" s="21" t="s">
        <v>328</v>
      </c>
      <c r="B8" s="26" t="n">
        <f aca="false">Limits!$E$6</f>
        <v>1.2</v>
      </c>
      <c r="C8" s="26"/>
      <c r="D8" s="5" t="s">
        <v>329</v>
      </c>
      <c r="M8" s="23" t="s">
        <v>330</v>
      </c>
      <c r="N8" s="23" t="str">
        <f aca="false">IF($A$20="Peak stress","",$F$20)</f>
        <v/>
      </c>
      <c r="O8" s="24" t="n">
        <f aca="false">IF($A$20="Peak stress",$F$20,"")</f>
        <v>9818.18181818182</v>
      </c>
      <c r="P8" s="25" t="n">
        <f aca="false">$E$20</f>
        <v>12000</v>
      </c>
    </row>
    <row r="9" customFormat="false" ht="24.75" hidden="false" customHeight="true" outlineLevel="0" collapsed="false">
      <c r="A9" s="21" t="s">
        <v>331</v>
      </c>
      <c r="B9" s="26" t="n">
        <f aca="false">IF(COUNT(tblEvidence[Steady Candidate (s)])+COUNT(tblObservations[Steady Candidate (s)])=0,"",MAX(tblEvidence[Steady Candidate (s)],tblObservations[Steady Candidate (s)]))</f>
        <v>1.13</v>
      </c>
      <c r="C9" s="26"/>
      <c r="D9" s="5" t="s">
        <v>332</v>
      </c>
    </row>
    <row r="10" customFormat="false" ht="24.75" hidden="false" customHeight="true" outlineLevel="0" collapsed="false">
      <c r="A10" s="21" t="s">
        <v>333</v>
      </c>
      <c r="B10" s="26" t="n">
        <f aca="false">IF(COUNT(tblEvidence[Peak Candidate (s)])+COUNT(tblObservations[Peak Candidate (s)])=0,"",MAX(tblEvidence[Peak Candidate (s)],tblObservations[Peak Candidate (s)]))</f>
        <v>1.65</v>
      </c>
      <c r="C10" s="26"/>
      <c r="D10" s="5" t="s">
        <v>334</v>
      </c>
    </row>
    <row r="11" customFormat="false" ht="24.75" hidden="false" customHeight="true" outlineLevel="0" collapsed="false">
      <c r="A11" s="21" t="s">
        <v>335</v>
      </c>
      <c r="B11" s="26" t="n">
        <f aca="false">Limits!$I$8</f>
        <v>0.2</v>
      </c>
      <c r="C11" s="26"/>
      <c r="D11" s="5" t="s">
        <v>336</v>
      </c>
    </row>
    <row r="12" customFormat="false" ht="24.75" hidden="false" customHeight="true" outlineLevel="0" collapsed="false">
      <c r="A12" s="21" t="s">
        <v>337</v>
      </c>
      <c r="B12" s="26" t="n">
        <f aca="false">'Drawing Check'!$L$18</f>
        <v>7.2</v>
      </c>
      <c r="C12" s="26"/>
      <c r="D12" s="5" t="s">
        <v>280</v>
      </c>
    </row>
    <row r="13" customFormat="false" ht="24.75" hidden="false" customHeight="true" outlineLevel="0" collapsed="false">
      <c r="A13" s="21" t="s">
        <v>338</v>
      </c>
      <c r="B13" s="26" t="n">
        <f aca="false">IF(COUNT(tblEvidence[Peak Duration (ms)])+COUNT(tblObservations[Peak Duration (ms)])=0,"",MAX(tblEvidence[Peak Duration (ms)],tblObservations[Peak Duration (ms)]))</f>
        <v>120</v>
      </c>
      <c r="C13" s="26"/>
      <c r="D13" s="5" t="s">
        <v>339</v>
      </c>
    </row>
    <row r="15" customFormat="false" ht="33.75" hidden="false" customHeight="true" outlineLevel="0" collapsed="false">
      <c r="A15" s="6" t="s">
        <v>319</v>
      </c>
      <c r="B15" s="6" t="s">
        <v>50</v>
      </c>
      <c r="C15" s="6" t="s">
        <v>340</v>
      </c>
      <c r="D15" s="6" t="s">
        <v>341</v>
      </c>
      <c r="E15" s="6" t="s">
        <v>342</v>
      </c>
      <c r="F15" s="6" t="s">
        <v>343</v>
      </c>
      <c r="G15" s="6" t="s">
        <v>344</v>
      </c>
      <c r="H15" s="6" t="s">
        <v>345</v>
      </c>
      <c r="I15" s="6" t="s">
        <v>346</v>
      </c>
      <c r="J15" s="6" t="s">
        <v>347</v>
      </c>
      <c r="K15" s="6" t="s">
        <v>348</v>
      </c>
    </row>
    <row r="16" customFormat="false" ht="37.5" hidden="false" customHeight="true" outlineLevel="0" collapsed="false">
      <c r="A16" s="9" t="s">
        <v>325</v>
      </c>
      <c r="B16" s="9" t="s">
        <v>182</v>
      </c>
      <c r="C16" s="10" t="n">
        <f aca="false">$B$8</f>
        <v>1.2</v>
      </c>
      <c r="D16" s="10" t="n">
        <f aca="false">$B$6</f>
        <v>270</v>
      </c>
      <c r="E16" s="11" t="n">
        <f aca="false">$B$7</f>
        <v>12000</v>
      </c>
      <c r="F16" s="10" t="n">
        <f aca="false">IF(OR(C16="",D16="",C16&lt;=0),"",D16*60/C16)</f>
        <v>13500</v>
      </c>
      <c r="G16" s="10" t="n">
        <f aca="false">IF(F16="","",F16-E16)</f>
        <v>1500</v>
      </c>
      <c r="H16" s="10" t="n">
        <f aca="false">'Drawing Check'!$N$22</f>
        <v>1.2</v>
      </c>
      <c r="I16" s="10" t="n">
        <f aca="false">IF(COUNT(tblEvidence[Deviation Abs (mm)])+COUNT(tblObservations[Deviation Abs (mm)])=0,"",$B$11-MAX(tblEvidence[Deviation Abs (mm)],tblObservations[Deviation Abs (mm)]))</f>
        <v>0.04</v>
      </c>
      <c r="J16" s="27" t="str">
        <f aca="false">IF(OR(F16="",H16="",I16=""),"INDETERMINATE",IF(OR(G16&lt;0,H16&lt;0,I16&lt;0),"DOES NOT MEET","MEETS"))</f>
        <v>MEETS</v>
      </c>
      <c r="K16" s="9" t="str">
        <f aca="false">"SRC-01; SRC-02; SRC-03; SRC-05/GB-02; SRC-06"</f>
        <v>SRC-01; SRC-02; SRC-03; SRC-05/GB-02; SRC-06</v>
      </c>
    </row>
    <row r="17" customFormat="false" ht="37.5" hidden="false" customHeight="true" outlineLevel="0" collapsed="false">
      <c r="A17" s="9" t="s">
        <v>325</v>
      </c>
      <c r="B17" s="9" t="s">
        <v>183</v>
      </c>
      <c r="C17" s="10" t="n">
        <f aca="false">$B$8</f>
        <v>1.2</v>
      </c>
      <c r="D17" s="10" t="n">
        <f aca="false">$B$6</f>
        <v>270</v>
      </c>
      <c r="E17" s="11" t="n">
        <f aca="false">$B$7</f>
        <v>12000</v>
      </c>
      <c r="F17" s="10" t="n">
        <f aca="false">IF(OR(C17="",D17="",C17&lt;=0),"",D17*60/C17)</f>
        <v>13500</v>
      </c>
      <c r="G17" s="10" t="n">
        <f aca="false">IF(F17="","",F17-E17)</f>
        <v>1500</v>
      </c>
      <c r="H17" s="10" t="n">
        <f aca="false">'Drawing Check'!$N$23</f>
        <v>-0.600000000000004</v>
      </c>
      <c r="I17" s="10" t="n">
        <f aca="false">IF(COUNT(tblEvidence[Deviation Abs (mm)])+COUNT(tblObservations[Deviation Abs (mm)])=0,"",$B$11-MAX(tblEvidence[Deviation Abs (mm)],tblObservations[Deviation Abs (mm)]))</f>
        <v>0.04</v>
      </c>
      <c r="J17" s="27" t="str">
        <f aca="false">IF(OR(F17="",H17="",I17=""),"INDETERMINATE",IF(OR(G17&lt;0,H17&lt;0,I17&lt;0),"DOES NOT MEET","MEETS"))</f>
        <v>DOES NOT MEET</v>
      </c>
      <c r="K17" s="9" t="str">
        <f aca="false">"SRC-01; SRC-02; SRC-03; SRC-05/ROI-02; SRC-06"</f>
        <v>SRC-01; SRC-02; SRC-03; SRC-05/ROI-02; SRC-06</v>
      </c>
    </row>
    <row r="18" customFormat="false" ht="37.5" hidden="false" customHeight="true" outlineLevel="0" collapsed="false">
      <c r="A18" s="9" t="s">
        <v>327</v>
      </c>
      <c r="B18" s="9" t="s">
        <v>182</v>
      </c>
      <c r="C18" s="10" t="n">
        <f aca="false">$B$9</f>
        <v>1.13</v>
      </c>
      <c r="D18" s="10" t="n">
        <f aca="false">$B$6</f>
        <v>270</v>
      </c>
      <c r="E18" s="11" t="n">
        <f aca="false">$B$7</f>
        <v>12000</v>
      </c>
      <c r="F18" s="10" t="n">
        <f aca="false">IF(OR(C18="",D18="",C18&lt;=0),"",D18*60/C18)</f>
        <v>14336.2831858407</v>
      </c>
      <c r="G18" s="10" t="n">
        <f aca="false">IF(F18="","",F18-E18)</f>
        <v>2336.28318584071</v>
      </c>
      <c r="H18" s="10" t="n">
        <f aca="false">'Drawing Check'!$N$22</f>
        <v>1.2</v>
      </c>
      <c r="I18" s="10" t="n">
        <f aca="false">IF(COUNT(tblEvidence[Deviation Abs (mm)])+COUNT(tblObservations[Deviation Abs (mm)])=0,"",$B$11-MAX(tblEvidence[Deviation Abs (mm)],tblObservations[Deviation Abs (mm)]))</f>
        <v>0.04</v>
      </c>
      <c r="J18" s="27" t="str">
        <f aca="false">IF(OR(F18="",H18="",I18=""),"INDETERMINATE",IF(OR(G18&lt;0,H18&lt;0,I18&lt;0),"DOES NOT MEET","MEETS"))</f>
        <v>MEETS</v>
      </c>
      <c r="K18" s="9" t="str">
        <f aca="false">"SRC-01; SRC-02; SRC-03; SRC-05/GB-02; SRC-06"</f>
        <v>SRC-01; SRC-02; SRC-03; SRC-05/GB-02; SRC-06</v>
      </c>
    </row>
    <row r="19" customFormat="false" ht="37.5" hidden="false" customHeight="true" outlineLevel="0" collapsed="false">
      <c r="A19" s="9" t="s">
        <v>327</v>
      </c>
      <c r="B19" s="9" t="s">
        <v>183</v>
      </c>
      <c r="C19" s="10" t="n">
        <f aca="false">$B$9</f>
        <v>1.13</v>
      </c>
      <c r="D19" s="10" t="n">
        <f aca="false">$B$6</f>
        <v>270</v>
      </c>
      <c r="E19" s="11" t="n">
        <f aca="false">$B$7</f>
        <v>12000</v>
      </c>
      <c r="F19" s="10" t="n">
        <f aca="false">IF(OR(C19="",D19="",C19&lt;=0),"",D19*60/C19)</f>
        <v>14336.2831858407</v>
      </c>
      <c r="G19" s="10" t="n">
        <f aca="false">IF(F19="","",F19-E19)</f>
        <v>2336.28318584071</v>
      </c>
      <c r="H19" s="10" t="n">
        <f aca="false">'Drawing Check'!$N$23</f>
        <v>-0.600000000000004</v>
      </c>
      <c r="I19" s="10" t="n">
        <f aca="false">IF(COUNT(tblEvidence[Deviation Abs (mm)])+COUNT(tblObservations[Deviation Abs (mm)])=0,"",$B$11-MAX(tblEvidence[Deviation Abs (mm)],tblObservations[Deviation Abs (mm)]))</f>
        <v>0.04</v>
      </c>
      <c r="J19" s="27" t="str">
        <f aca="false">IF(OR(F19="",H19="",I19=""),"INDETERMINATE",IF(OR(G19&lt;0,H19&lt;0,I19&lt;0),"DOES NOT MEET","MEETS"))</f>
        <v>DOES NOT MEET</v>
      </c>
      <c r="K19" s="9" t="str">
        <f aca="false">"SRC-01; SRC-02; SRC-03; SRC-05/ROI-02; SRC-06"</f>
        <v>SRC-01; SRC-02; SRC-03; SRC-05/ROI-02; SRC-06</v>
      </c>
    </row>
    <row r="20" customFormat="false" ht="37.5" hidden="false" customHeight="true" outlineLevel="0" collapsed="false">
      <c r="A20" s="9" t="s">
        <v>330</v>
      </c>
      <c r="B20" s="9" t="s">
        <v>182</v>
      </c>
      <c r="C20" s="10" t="n">
        <f aca="false">$B$10</f>
        <v>1.65</v>
      </c>
      <c r="D20" s="10" t="n">
        <f aca="false">$B$6</f>
        <v>270</v>
      </c>
      <c r="E20" s="11" t="n">
        <f aca="false">$B$7</f>
        <v>12000</v>
      </c>
      <c r="F20" s="10" t="n">
        <f aca="false">IF(OR(C20="",D20="",C20&lt;=0),"",D20*60/C20)</f>
        <v>9818.18181818182</v>
      </c>
      <c r="G20" s="10" t="n">
        <f aca="false">IF(F20="","",F20-E20)</f>
        <v>-2181.81818181818</v>
      </c>
      <c r="H20" s="10" t="n">
        <f aca="false">'Drawing Check'!$N$22</f>
        <v>1.2</v>
      </c>
      <c r="I20" s="10" t="n">
        <f aca="false">IF(COUNT(tblEvidence[Deviation Abs (mm)])+COUNT(tblObservations[Deviation Abs (mm)])=0,"",$B$11-MAX(tblEvidence[Deviation Abs (mm)],tblObservations[Deviation Abs (mm)]))</f>
        <v>0.04</v>
      </c>
      <c r="J20" s="27" t="str">
        <f aca="false">IF(OR(F20="",H20="",I20=""),"INDETERMINATE",IF(OR(G20&lt;0,H20&lt;0,I20&lt;0),"DOES NOT MEET","MEETS"))</f>
        <v>DOES NOT MEET</v>
      </c>
      <c r="K20" s="9" t="str">
        <f aca="false">"SRC-01; SRC-02; SRC-03; SRC-05/GB-02; SRC-06"</f>
        <v>SRC-01; SRC-02; SRC-03; SRC-05/GB-02; SRC-06</v>
      </c>
    </row>
    <row r="21" customFormat="false" ht="37.5" hidden="false" customHeight="true" outlineLevel="0" collapsed="false">
      <c r="A21" s="9" t="s">
        <v>330</v>
      </c>
      <c r="B21" s="9" t="s">
        <v>183</v>
      </c>
      <c r="C21" s="10" t="n">
        <f aca="false">$B$10</f>
        <v>1.65</v>
      </c>
      <c r="D21" s="10" t="n">
        <f aca="false">$B$6</f>
        <v>270</v>
      </c>
      <c r="E21" s="11" t="n">
        <f aca="false">$B$7</f>
        <v>12000</v>
      </c>
      <c r="F21" s="10" t="n">
        <f aca="false">IF(OR(C21="",D21="",C21&lt;=0),"",D21*60/C21)</f>
        <v>9818.18181818182</v>
      </c>
      <c r="G21" s="10" t="n">
        <f aca="false">IF(F21="","",F21-E21)</f>
        <v>-2181.81818181818</v>
      </c>
      <c r="H21" s="10" t="n">
        <f aca="false">'Drawing Check'!$N$23</f>
        <v>-0.600000000000004</v>
      </c>
      <c r="I21" s="10" t="n">
        <f aca="false">IF(COUNT(tblEvidence[Deviation Abs (mm)])+COUNT(tblObservations[Deviation Abs (mm)])=0,"",$B$11-MAX(tblEvidence[Deviation Abs (mm)],tblObservations[Deviation Abs (mm)]))</f>
        <v>0.04</v>
      </c>
      <c r="J21" s="27" t="str">
        <f aca="false">IF(OR(F21="",H21="",I21=""),"INDETERMINATE",IF(OR(G21&lt;0,H21&lt;0,I21&lt;0),"DOES NOT MEET","MEETS"))</f>
        <v>DOES NOT MEET</v>
      </c>
      <c r="K21" s="9" t="str">
        <f aca="false">"SRC-01; SRC-02; SRC-03; SRC-05/ROI-02; SRC-06"</f>
        <v>SRC-01; SRC-02; SRC-03; SRC-05/ROI-02; SRC-06</v>
      </c>
    </row>
    <row r="22" customFormat="false" ht="21.75" hidden="false" customHeight="true" outlineLevel="0" collapsed="false">
      <c r="A22" s="28" t="s">
        <v>349</v>
      </c>
      <c r="B22" s="28"/>
      <c r="C22" s="28"/>
      <c r="D22" s="28"/>
      <c r="E22" s="28"/>
      <c r="F22" s="28"/>
      <c r="G22" s="28"/>
      <c r="H22" s="28"/>
      <c r="I22" s="28"/>
      <c r="J22" s="28"/>
      <c r="K22" s="28"/>
    </row>
  </sheetData>
  <mergeCells count="13">
    <mergeCell ref="A1:K1"/>
    <mergeCell ref="A2:K2"/>
    <mergeCell ref="A3:K3"/>
    <mergeCell ref="A5:D5"/>
    <mergeCell ref="B6:C6"/>
    <mergeCell ref="B7:C7"/>
    <mergeCell ref="B8:C8"/>
    <mergeCell ref="B9:C9"/>
    <mergeCell ref="B10:C10"/>
    <mergeCell ref="B11:C11"/>
    <mergeCell ref="B12:C12"/>
    <mergeCell ref="B13:C13"/>
    <mergeCell ref="A22:K22"/>
  </mergeCells>
  <printOptions headings="false" gridLines="false" gridLinesSet="true" horizontalCentered="false" verticalCentered="false"/>
  <pageMargins left="0.279861111111111" right="0.279861111111111" top="0.35" bottom="0.35" header="0.511811023622047" footer="0.179861111111111"/>
  <pageSetup paperSize="9" scale="100" fitToWidth="1" fitToHeight="1"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16"/>
    <col collapsed="false" customWidth="true" hidden="false" outlineLevel="0" max="4" min="4" style="0" width="37"/>
    <col collapsed="false" customWidth="true" hidden="false" outlineLevel="0" max="5" min="5" style="0" width="20"/>
    <col collapsed="false" customWidth="true" hidden="false" outlineLevel="0" max="6" min="6" style="0" width="13"/>
  </cols>
  <sheetData>
    <row r="1" customFormat="false" ht="27.75" hidden="false" customHeight="true" outlineLevel="0" collapsed="false">
      <c r="A1" s="1" t="s">
        <v>350</v>
      </c>
      <c r="B1" s="1"/>
      <c r="C1" s="1"/>
      <c r="D1" s="1"/>
      <c r="E1" s="1"/>
      <c r="F1" s="1"/>
    </row>
    <row r="2" customFormat="false" ht="24" hidden="false" customHeight="true" outlineLevel="0" collapsed="false">
      <c r="A2" s="2" t="s">
        <v>351</v>
      </c>
      <c r="B2" s="2"/>
      <c r="C2" s="2"/>
      <c r="D2" s="2"/>
      <c r="E2" s="2"/>
      <c r="F2" s="2"/>
    </row>
    <row r="3" customFormat="false" ht="25.5" hidden="false" customHeight="true" outlineLevel="0" collapsed="false">
      <c r="A3" s="29" t="s">
        <v>352</v>
      </c>
      <c r="B3" s="29"/>
      <c r="C3" s="29"/>
      <c r="D3" s="29"/>
      <c r="E3" s="29"/>
      <c r="F3" s="29"/>
    </row>
    <row r="5" customFormat="false" ht="15" hidden="false" customHeight="false" outlineLevel="0" collapsed="false">
      <c r="A5" s="19" t="s">
        <v>353</v>
      </c>
      <c r="B5" s="19"/>
      <c r="C5" s="19"/>
      <c r="D5" s="19"/>
      <c r="E5" s="19"/>
      <c r="F5" s="19"/>
    </row>
    <row r="7" customFormat="false" ht="15" hidden="false" customHeight="false" outlineLevel="0" collapsed="false">
      <c r="A7" s="30" t="s">
        <v>319</v>
      </c>
      <c r="B7" s="30" t="s">
        <v>182</v>
      </c>
      <c r="C7" s="30" t="s">
        <v>183</v>
      </c>
      <c r="D7" s="30" t="s">
        <v>354</v>
      </c>
      <c r="E7" s="30" t="s">
        <v>355</v>
      </c>
    </row>
    <row r="8" customFormat="false" ht="43.5" hidden="false" customHeight="true" outlineLevel="0" collapsed="false">
      <c r="A8" s="7" t="s">
        <v>325</v>
      </c>
      <c r="B8" s="7" t="str">
        <f aca="false">'Scenario Check'!$J$16</f>
        <v>MEETS</v>
      </c>
      <c r="C8" s="7" t="str">
        <f aca="false">'Scenario Check'!$J$17</f>
        <v>DOES NOT MEET</v>
      </c>
      <c r="D8" s="7" t="str">
        <f aca="false">"Throughput "&amp;TEXT('Scenario Check'!$G$16,"+0.0;-0.0;0.0")&amp;" units; clearance GB "&amp;TEXT('Scenario Check'!$H$16,"+0.00;-0.00;0.00")&amp;" mm, ROI "&amp;TEXT('Scenario Check'!$H$17,"+0.00;-0.00;0.00")&amp;" mm; tolerance "&amp;TEXT('Scenario Check'!$I$16,"+0.00;-0.00;0.00")&amp;" mm"</f>
        <v>Throughput +1500.0 units; clearance GB +1.20 mm, ROI -0.60 mm; tolerance +0.04 mm</v>
      </c>
      <c r="E8" s="7" t="s">
        <v>356</v>
      </c>
    </row>
    <row r="9" customFormat="false" ht="43.5" hidden="false" customHeight="true" outlineLevel="0" collapsed="false">
      <c r="A9" s="7" t="s">
        <v>327</v>
      </c>
      <c r="B9" s="7" t="str">
        <f aca="false">'Scenario Check'!$J$18</f>
        <v>MEETS</v>
      </c>
      <c r="C9" s="7" t="str">
        <f aca="false">'Scenario Check'!$J$19</f>
        <v>DOES NOT MEET</v>
      </c>
      <c r="D9" s="7" t="str">
        <f aca="false">"Throughput "&amp;TEXT('Scenario Check'!$G$18,"+0.0;-0.0;0.0")&amp;" units; clearance GB "&amp;TEXT('Scenario Check'!$H$18,"+0.00;-0.00;0.00")&amp;" mm, ROI "&amp;TEXT('Scenario Check'!$H$19,"+0.00;-0.00;0.00")&amp;" mm; tolerance "&amp;TEXT('Scenario Check'!$I$18,"+0.00;-0.00;0.00")&amp;" mm"</f>
        <v>Throughput +2336.3 units; clearance GB +1.20 mm, ROI -0.60 mm; tolerance +0.04 mm</v>
      </c>
      <c r="E9" s="7" t="s">
        <v>356</v>
      </c>
    </row>
    <row r="10" customFormat="false" ht="43.5" hidden="false" customHeight="true" outlineLevel="0" collapsed="false">
      <c r="A10" s="7" t="s">
        <v>330</v>
      </c>
      <c r="B10" s="7" t="str">
        <f aca="false">'Scenario Check'!$J$20</f>
        <v>DOES NOT MEET</v>
      </c>
      <c r="C10" s="7" t="str">
        <f aca="false">'Scenario Check'!$J$21</f>
        <v>DOES NOT MEET</v>
      </c>
      <c r="D10" s="7" t="str">
        <f aca="false">"Throughput "&amp;TEXT('Scenario Check'!$G$20,"+0.0;-0.0;0.0")&amp;" units; clearance GB "&amp;TEXT('Scenario Check'!$H$20,"+0.00;-0.00;0.00")&amp;" mm, ROI "&amp;TEXT('Scenario Check'!$H$21,"+0.00;-0.00;0.00")&amp;" mm; tolerance "&amp;TEXT('Scenario Check'!$I$20,"+0.00;-0.00;0.00")&amp;" mm"</f>
        <v>Throughput -2181.8 units; clearance GB +1.20 mm, ROI -0.60 mm; tolerance +0.04 mm</v>
      </c>
      <c r="E10" s="7" t="s">
        <v>356</v>
      </c>
    </row>
    <row r="12" customFormat="false" ht="15" hidden="false" customHeight="false" outlineLevel="0" collapsed="false">
      <c r="A12" s="31" t="s">
        <v>357</v>
      </c>
      <c r="B12" s="31"/>
      <c r="C12" s="31"/>
      <c r="D12" s="31"/>
      <c r="E12" s="31"/>
      <c r="F12" s="31"/>
    </row>
    <row r="13" customFormat="false" ht="34.5" hidden="false" customHeight="true" outlineLevel="0" collapsed="false">
      <c r="A13" s="32" t="str">
        <f aca="false">IF(COUNTIF(B8:C10,"DOES NOT MEET")&gt;0,"DOES NOT MEET",IF(COUNTIF(B8:C10,"INDETERMINATE")&gt;0,"INDETERMINATE","MEETS"))</f>
        <v>DOES NOT MEET</v>
      </c>
      <c r="B13" s="32"/>
      <c r="C13" s="33" t="s">
        <v>358</v>
      </c>
      <c r="D13" s="33"/>
      <c r="E13" s="33"/>
      <c r="F13" s="33"/>
    </row>
    <row r="15" customFormat="false" ht="36" hidden="false" customHeight="true" outlineLevel="0" collapsed="false">
      <c r="A15" s="21" t="s">
        <v>359</v>
      </c>
      <c r="B15" s="34" t="s">
        <v>360</v>
      </c>
      <c r="C15" s="34"/>
      <c r="D15" s="34"/>
      <c r="E15" s="35" t="s">
        <v>361</v>
      </c>
      <c r="F15" s="35"/>
    </row>
    <row r="16" customFormat="false" ht="36" hidden="false" customHeight="true" outlineLevel="0" collapsed="false">
      <c r="A16" s="21" t="s">
        <v>362</v>
      </c>
      <c r="B16" s="34" t="s">
        <v>363</v>
      </c>
      <c r="C16" s="34"/>
      <c r="D16" s="34"/>
      <c r="E16" s="35" t="s">
        <v>364</v>
      </c>
      <c r="F16" s="35"/>
    </row>
    <row r="17" customFormat="false" ht="36" hidden="false" customHeight="true" outlineLevel="0" collapsed="false">
      <c r="A17" s="21" t="s">
        <v>365</v>
      </c>
      <c r="B17" s="34" t="s">
        <v>366</v>
      </c>
      <c r="C17" s="34"/>
      <c r="D17" s="34"/>
      <c r="E17" s="35" t="s">
        <v>367</v>
      </c>
      <c r="F17" s="35"/>
    </row>
    <row r="18" customFormat="false" ht="36" hidden="false" customHeight="true" outlineLevel="0" collapsed="false">
      <c r="A18" s="21" t="s">
        <v>368</v>
      </c>
      <c r="B18" s="34" t="s">
        <v>369</v>
      </c>
      <c r="C18" s="34"/>
      <c r="D18" s="34"/>
      <c r="E18" s="35" t="s">
        <v>370</v>
      </c>
      <c r="F18" s="35"/>
    </row>
    <row r="20" customFormat="false" ht="15" hidden="false" customHeight="false" outlineLevel="0" collapsed="false">
      <c r="A20" s="31" t="s">
        <v>371</v>
      </c>
      <c r="B20" s="31"/>
      <c r="C20" s="31"/>
      <c r="D20" s="31"/>
      <c r="E20" s="31"/>
      <c r="F20" s="31"/>
    </row>
    <row r="21" customFormat="false" ht="27.75" hidden="false" customHeight="true" outlineLevel="0" collapsed="false">
      <c r="A21" s="21" t="s">
        <v>372</v>
      </c>
      <c r="B21" s="36"/>
      <c r="C21" s="36"/>
      <c r="D21" s="36"/>
      <c r="E21" s="36"/>
      <c r="F21" s="36"/>
    </row>
    <row r="22" customFormat="false" ht="27.75" hidden="false" customHeight="true" outlineLevel="0" collapsed="false">
      <c r="A22" s="21" t="s">
        <v>373</v>
      </c>
      <c r="B22" s="36"/>
      <c r="C22" s="36"/>
      <c r="D22" s="21" t="s">
        <v>374</v>
      </c>
      <c r="E22" s="36"/>
      <c r="F22" s="36"/>
    </row>
    <row r="23" customFormat="false" ht="27.75" hidden="false" customHeight="true" outlineLevel="0" collapsed="false">
      <c r="A23" s="21" t="s">
        <v>375</v>
      </c>
      <c r="B23" s="36"/>
      <c r="C23" s="36"/>
    </row>
    <row r="24" customFormat="false" ht="30" hidden="false" customHeight="true" outlineLevel="0" collapsed="false">
      <c r="A24" s="21" t="s">
        <v>376</v>
      </c>
      <c r="B24" s="36"/>
      <c r="C24" s="36"/>
      <c r="D24" s="36"/>
      <c r="E24" s="36"/>
      <c r="F24" s="36"/>
    </row>
    <row r="25" customFormat="false" ht="30" hidden="false" customHeight="true" outlineLevel="0" collapsed="false">
      <c r="B25" s="36"/>
      <c r="C25" s="36"/>
      <c r="D25" s="36"/>
      <c r="E25" s="36"/>
      <c r="F25" s="36"/>
    </row>
    <row r="27" customFormat="false" ht="15" hidden="false" customHeight="true" outlineLevel="0" collapsed="false">
      <c r="A27" s="28" t="s">
        <v>377</v>
      </c>
      <c r="B27" s="28"/>
      <c r="C27" s="28"/>
      <c r="D27" s="28"/>
      <c r="E27" s="28"/>
      <c r="F27" s="28"/>
    </row>
  </sheetData>
  <mergeCells count="17">
    <mergeCell ref="A1:F1"/>
    <mergeCell ref="A2:F2"/>
    <mergeCell ref="A3:F3"/>
    <mergeCell ref="A5:F5"/>
    <mergeCell ref="A12:F12"/>
    <mergeCell ref="A13:B13"/>
    <mergeCell ref="C13:F13"/>
    <mergeCell ref="B15:D15"/>
    <mergeCell ref="E15:F15"/>
    <mergeCell ref="B16:D16"/>
    <mergeCell ref="E16:F16"/>
    <mergeCell ref="B17:D17"/>
    <mergeCell ref="E17:F17"/>
    <mergeCell ref="B18:D18"/>
    <mergeCell ref="E18:F18"/>
    <mergeCell ref="A20:F20"/>
    <mergeCell ref="A27:F27"/>
  </mergeCells>
  <printOptions headings="false" gridLines="false" gridLinesSet="true" horizontalCentered="false" verticalCentered="false"/>
  <pageMargins left="0.279861111111111" right="0.279861111111111" top="0.35" bottom="0.35" header="0.511811023622047" footer="0.179861111111111"/>
  <pageSetup paperSize="9" scale="100" fitToWidth="1" fitToHeight="1" pageOrder="downThenOver" orientation="landscape" blackAndWhite="false" draft="false" cellComments="none" horizontalDpi="300" verticalDpi="300" copies="1"/>
  <headerFooter differentFirst="false" differentOddEven="false">
    <oddHeader/>
    <oddFooter>&amp;C&amp;"Aptos,Regular"&amp;8 Lampwick Instruments | Controlled engineering package | Page &amp;P of &amp;N&amp;R&amp;8 Evidence cut 03 Nov 2025</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2026-08-16T15:35:01Z</dcterms:created>
  <dc:creator>Lampwick Instruments - Production Engineering</dc:creator>
  <dc:description>Approval-ready technical evidence package for the Latchford Engineering production cell.</dc:description>
  <dc:language>en-US</dc:language>
  <cp:lastModifiedBy/>
  <dcterms:modified xsi:type="dcterms:W3CDTF">2026-08-16T15:35:01Z</dcterms:modified>
  <cp:revision>0</cp:revision>
  <dc:subject>Current evidence package and controlled commissioning instrument</dc:subject>
  <dc:title>Production Cell Engineering Specification</dc:title>
</cp:coreProperties>
</file>

<file path=docProps/custom.xml><?xml version="1.0" encoding="utf-8"?>
<Properties xmlns="http://schemas.openxmlformats.org/officeDocument/2006/custom-properties" xmlns:vt="http://schemas.openxmlformats.org/officeDocument/2006/docPropsVTypes"/>
</file>