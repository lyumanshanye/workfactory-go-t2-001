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osure Summary" sheetId="1" state="visible" r:id="rId3"/>
    <sheet name="Inspection Source" sheetId="2" state="visible" r:id="rId4"/>
    <sheet name="Dispatch Source" sheetId="3" state="visible" r:id="rId5"/>
    <sheet name="Residual Calc" sheetId="4" state="visible" r:id="rId6"/>
  </sheets>
  <definedNames>
    <definedName function="false" hidden="false" localSheetId="2" name="_xlnm.Print_Area" vbProcedure="false">'Dispatch Source'!$A$1:$I$12</definedName>
    <definedName function="false" hidden="true" localSheetId="2" name="_xlnm._FilterDatabase" vbProcedure="false">'Dispatch Source'!$A$4:$I$12</definedName>
    <definedName function="false" hidden="false" localSheetId="0" name="_xlnm.Print_Area" vbProcedure="false">'Exposure Summary'!$A$1:$N$47</definedName>
    <definedName function="false" hidden="false" localSheetId="0" name="_xlnm.Print_Titles" vbProcedure="false">'Exposure Summary'!$1:$8</definedName>
    <definedName function="false" hidden="true" localSheetId="0" name="_xlnm._FilterDatabase" vbProcedure="false">'Exposure Summary'!$A$8:$L$11</definedName>
    <definedName function="false" hidden="false" localSheetId="1" name="_xlnm.Print_Area" vbProcedure="false">'Inspection Source'!$A$1:$J$12</definedName>
    <definedName function="false" hidden="true" localSheetId="1" name="_xlnm._FilterDatabase" vbProcedure="false">'Inspection Source'!$A$4:$J$12</definedName>
    <definedName function="false" hidden="false" localSheetId="3" name="_xlnm.Print_Area" vbProcedure="false">'Residual Calc'!$A$1:$E$12</definedName>
    <definedName function="false" hidden="true" localSheetId="3" name="_xlnm._FilterDatabase" vbProcedure="false">'Residual Calc'!$A$4:$E$12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<sst xmlns="http://schemas.openxmlformats.org/spreadsheetml/2006/main" count="313" uniqueCount="144">
  <si>
    <t xml:space="preserve">Dalefield Industries | Coupling failure exposure review</t>
  </si>
  <si>
    <t xml:space="preserve">Existing review workbook | Ontario and Michigan Friday run</t>
  </si>
  <si>
    <t xml:space="preserve">Run ID</t>
  </si>
  <si>
    <t xml:space="preserve">FRI-ONT-MI-2026-08-21</t>
  </si>
  <si>
    <t xml:space="preserve">Run date</t>
  </si>
  <si>
    <t xml:space="preserve">Pieces/carton</t>
  </si>
  <si>
    <t xml:space="preserve">Review threshold (%)</t>
  </si>
  <si>
    <t xml:space="preserve">Rate comparison precision</t>
  </si>
  <si>
    <t xml:space="preserve">2 decimal percentage points</t>
  </si>
  <si>
    <t xml:space="preserve">Exposure basis</t>
  </si>
  <si>
    <t xml:space="preserve">Dispatched cartons (pending correction)</t>
  </si>
  <si>
    <t xml:space="preserve">Key treatment</t>
  </si>
  <si>
    <t xml:space="preserve">Source presentation</t>
  </si>
  <si>
    <t xml:space="preserve">Analyst decision / recommendation</t>
  </si>
  <si>
    <t xml:space="preserve">Current summary uses dispatched cartons and prior residual values pending reconciliation. Source rate is shown as recorded.</t>
  </si>
  <si>
    <t xml:space="preserve">Current exposure | Friday run</t>
  </si>
  <si>
    <t xml:space="preserve">Jurisdiction</t>
  </si>
  <si>
    <t xml:space="preserve">Population cartons</t>
  </si>
  <si>
    <t xml:space="preserve">Population coupling pieces</t>
  </si>
  <si>
    <t xml:space="preserve">Source rate (%) raw</t>
  </si>
  <si>
    <t xml:space="preserve">Normalised rate (%)</t>
  </si>
  <si>
    <t xml:space="preserve">Threshold (%)</t>
  </si>
  <si>
    <t xml:space="preserve">Rate status</t>
  </si>
  <si>
    <t xml:space="preserve">Expected exposed coupling-equivalent</t>
  </si>
  <si>
    <t xml:space="preserve">Matched record count</t>
  </si>
  <si>
    <t xml:space="preserve">Ontario</t>
  </si>
  <si>
    <t xml:space="preserve">Michigan</t>
  </si>
  <si>
    <t xml:space="preserve">Combined</t>
  </si>
  <si>
    <t xml:space="preserve">Mixed legacy view</t>
  </si>
  <si>
    <t xml:space="preserve">n/a</t>
  </si>
  <si>
    <t xml:space="preserve">Friday scenario projection | supplied cartons and rate assumptions</t>
  </si>
  <si>
    <t xml:space="preserve">Scenario</t>
  </si>
  <si>
    <t xml:space="preserve">Supplied cartons</t>
  </si>
  <si>
    <t xml:space="preserve">Projected coupling pieces</t>
  </si>
  <si>
    <t xml:space="preserve">Scenario rate (%) raw</t>
  </si>
  <si>
    <t xml:space="preserve">Calculation logic</t>
  </si>
  <si>
    <t xml:space="preserve">Steady release</t>
  </si>
  <si>
    <t xml:space="preserve">Cartons x rate</t>
  </si>
  <si>
    <t xml:space="preserve">Sum of jurisdiction rows</t>
  </si>
  <si>
    <t xml:space="preserve">Expedited replenishment</t>
  </si>
  <si>
    <t xml:space="preserve">Contained rework</t>
  </si>
  <si>
    <t xml:space="preserve">Reconciliation trail | record grain: one coupling key</t>
  </si>
  <si>
    <t xml:space="preserve">Normalised key</t>
  </si>
  <si>
    <t xml:space="preserve">Inspection record</t>
  </si>
  <si>
    <t xml:space="preserve">Dispatch record</t>
  </si>
  <si>
    <t xml:space="preserve">Disposition</t>
  </si>
  <si>
    <t xml:space="preserve">Shipment status</t>
  </si>
  <si>
    <t xml:space="preserve">Accepted cartons</t>
  </si>
  <si>
    <t xml:space="preserve">Dispatched cartons</t>
  </si>
  <si>
    <t xml:space="preserve">Chosen cartons</t>
  </si>
  <si>
    <t xml:space="preserve">Chosen coupling pieces</t>
  </si>
  <si>
    <t xml:space="preserve">Scope / match</t>
  </si>
  <si>
    <t xml:space="preserve">DF-ONT-041</t>
  </si>
  <si>
    <t xml:space="preserve">INSP-2401</t>
  </si>
  <si>
    <t xml:space="preserve">Accepted</t>
  </si>
  <si>
    <t xml:space="preserve">Pending reconciliation</t>
  </si>
  <si>
    <t xml:space="preserve">df-ont-042 </t>
  </si>
  <si>
    <t xml:space="preserve">INSP-2402</t>
  </si>
  <si>
    <t xml:space="preserve"> DF-ONT-043</t>
  </si>
  <si>
    <t xml:space="preserve">INSP-2403</t>
  </si>
  <si>
    <t xml:space="preserve">DF-MI-051</t>
  </si>
  <si>
    <t xml:space="preserve">INSP-2404</t>
  </si>
  <si>
    <t xml:space="preserve">df-mi-052 </t>
  </si>
  <si>
    <t xml:space="preserve">INSP-2405</t>
  </si>
  <si>
    <t xml:space="preserve"> DF-MI-053 </t>
  </si>
  <si>
    <t xml:space="preserve">INSP-2406</t>
  </si>
  <si>
    <t xml:space="preserve">DF-QC-061</t>
  </si>
  <si>
    <t xml:space="preserve">INSP-2407</t>
  </si>
  <si>
    <t xml:space="preserve">Quebec</t>
  </si>
  <si>
    <t xml:space="preserve">DF-OH-071</t>
  </si>
  <si>
    <t xml:space="preserve">INSP-2408</t>
  </si>
  <si>
    <t xml:space="preserve">THU-OH-2026-08-20</t>
  </si>
  <si>
    <t xml:space="preserve">Ohio</t>
  </si>
  <si>
    <t xml:space="preserve">Authorised change log</t>
  </si>
  <si>
    <t xml:space="preserve">Cell / range</t>
  </si>
  <si>
    <t xml:space="preserve">Prior value or formula</t>
  </si>
  <si>
    <t xml:space="preserve">Replacement value or formula</t>
  </si>
  <si>
    <t xml:space="preserve">Source or calculation basis</t>
  </si>
  <si>
    <t xml:space="preserve">Authority status</t>
  </si>
  <si>
    <t xml:space="preserve">Dalefield Industries | Coupling inspection extract</t>
  </si>
  <si>
    <t xml:space="preserve">Exported 2026-08-16 14:30 UTC | Quality inspection ledger</t>
  </si>
  <si>
    <t xml:space="preserve">Inspection ID</t>
  </si>
  <si>
    <t xml:space="preserve">Coupling Key</t>
  </si>
  <si>
    <t xml:space="preserve">Inspection Date</t>
  </si>
  <si>
    <t xml:space="preserve">Accepted qty</t>
  </si>
  <si>
    <t xml:space="preserve">Observed defect rate (%)</t>
  </si>
  <si>
    <t xml:space="preserve">Inspector</t>
  </si>
  <si>
    <t xml:space="preserve">Workcell</t>
  </si>
  <si>
    <t xml:space="preserve">A. Patel</t>
  </si>
  <si>
    <t xml:space="preserve">Cell 3</t>
  </si>
  <si>
    <t xml:space="preserve">N. Cho</t>
  </si>
  <si>
    <t xml:space="preserve">Cell 5</t>
  </si>
  <si>
    <t xml:space="preserve">R. Bell</t>
  </si>
  <si>
    <t xml:space="preserve">Cell 2</t>
  </si>
  <si>
    <t xml:space="preserve">M. Osei</t>
  </si>
  <si>
    <t xml:space="preserve">Cell 1</t>
  </si>
  <si>
    <t xml:space="preserve">Dalefield Industries | Coupling dispatch extract</t>
  </si>
  <si>
    <t xml:space="preserve">Exported 2026-08-16 14:36 UTC | Distribution dispatch ledger</t>
  </si>
  <si>
    <t xml:space="preserve">Dispatch No</t>
  </si>
  <si>
    <t xml:space="preserve">Dispatch Date</t>
  </si>
  <si>
    <t xml:space="preserve">Destination</t>
  </si>
  <si>
    <t xml:space="preserve">Qty Shipped</t>
  </si>
  <si>
    <t xml:space="preserve">Dock</t>
  </si>
  <si>
    <t xml:space="preserve">Customer Ref</t>
  </si>
  <si>
    <t xml:space="preserve">DSP-8101</t>
  </si>
  <si>
    <t xml:space="preserve"> df-ont-041 </t>
  </si>
  <si>
    <t xml:space="preserve">Released</t>
  </si>
  <si>
    <t xml:space="preserve">D-04</t>
  </si>
  <si>
    <t xml:space="preserve">ON-P4-118</t>
  </si>
  <si>
    <t xml:space="preserve">DSP-8102</t>
  </si>
  <si>
    <t xml:space="preserve">DF-ONT-042</t>
  </si>
  <si>
    <t xml:space="preserve">DSP-8103</t>
  </si>
  <si>
    <t xml:space="preserve">df-ont-043</t>
  </si>
  <si>
    <t xml:space="preserve">D-06</t>
  </si>
  <si>
    <t xml:space="preserve">ON-P4-119</t>
  </si>
  <si>
    <t xml:space="preserve">DSP-8104</t>
  </si>
  <si>
    <t xml:space="preserve">DF-MI-051 </t>
  </si>
  <si>
    <t xml:space="preserve">D-02</t>
  </si>
  <si>
    <t xml:space="preserve">MI-A2-404</t>
  </si>
  <si>
    <t xml:space="preserve">DSP-8105</t>
  </si>
  <si>
    <t xml:space="preserve"> DF-MI-052</t>
  </si>
  <si>
    <t xml:space="preserve">DSP-8106</t>
  </si>
  <si>
    <t xml:space="preserve">df-mi-053</t>
  </si>
  <si>
    <t xml:space="preserve">D-03</t>
  </si>
  <si>
    <t xml:space="preserve">MI-A2-405</t>
  </si>
  <si>
    <t xml:space="preserve">DSP-8107</t>
  </si>
  <si>
    <t xml:space="preserve">DF-QC-061 </t>
  </si>
  <si>
    <t xml:space="preserve">D-07</t>
  </si>
  <si>
    <t xml:space="preserve">QC-M8-021</t>
  </si>
  <si>
    <t xml:space="preserve">DSP-8108</t>
  </si>
  <si>
    <t xml:space="preserve"> DF-OH-071 </t>
  </si>
  <si>
    <t xml:space="preserve">D-01</t>
  </si>
  <si>
    <t xml:space="preserve">OH-R1-077</t>
  </si>
  <si>
    <t xml:space="preserve">Coupling residual calculation export</t>
  </si>
  <si>
    <t xml:space="preserve">Extracted 2026-08-14 17:05 UTC | Prior review calculation</t>
  </si>
  <si>
    <t xml:space="preserve">Coupling key</t>
  </si>
  <si>
    <t xml:space="preserve">Region</t>
  </si>
  <si>
    <t xml:space="preserve">Cartons</t>
  </si>
  <si>
    <t xml:space="preserve">Residual helper</t>
  </si>
  <si>
    <t xml:space="preserve">Review label</t>
  </si>
  <si>
    <t xml:space="preserve">Run review</t>
  </si>
  <si>
    <t xml:space="preserve">DF-ONT-043</t>
  </si>
  <si>
    <t xml:space="preserve">DF-MI-052</t>
  </si>
  <si>
    <t xml:space="preserve">DF-MI-053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</si>
</sst>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d&quot;, &quot;dd\ mmm\ yyyy"/>
    <numFmt numFmtId="166" formatCode="0"/>
    <numFmt numFmtId="167" formatCode="0.00"/>
    <numFmt numFmtId="168" formatCode="0.0000000000"/>
    <numFmt numFmtId="169" formatCode="yyyy\-mm\-dd"/>
    <numFmt numFmtId="170" formatCode="dd\-mmm\-yy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i val="true"/>
      <sz val="10"/>
      <color rgb="FF243447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9"/>
      <color rgb="FFFFFFFF"/>
      <name val="Aptos Display"/>
      <family val="0"/>
      <charset val="1"/>
    </font>
    <font>
      <sz val="9"/>
      <color rgb="FF000000"/>
      <name val="Aptos"/>
      <family val="0"/>
      <charset val="1"/>
    </font>
    <font>
      <b val="true"/>
      <sz val="9"/>
      <color rgb="FF000000"/>
      <name val="Aptos"/>
      <family val="0"/>
      <charset val="1"/>
    </font>
    <font>
      <i val="true"/>
      <sz val="9"/>
      <color rgb="FF5B6570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43447"/>
      </patternFill>
    </fill>
    <fill>
      <patternFill patternType="solid">
        <fgColor rgb="FFD9EAF7"/>
        <bgColor rgb="FFEAF3F8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AF3F8"/>
        <bgColor rgb="FFD9EAF7"/>
      </patternFill>
    </fill>
    <fill>
      <patternFill patternType="solid">
        <fgColor rgb="FFD9EAD3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2434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8" min="7" style="0" width="1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3" t="s">
        <v>2</v>
      </c>
      <c r="B3" s="4" t="s">
        <v>3</v>
      </c>
      <c r="D3" s="3" t="s">
        <v>4</v>
      </c>
      <c r="E3" s="5" t="n">
        <v>46255</v>
      </c>
      <c r="G3" s="3" t="s">
        <v>5</v>
      </c>
      <c r="H3" s="6" t="n">
        <v>43</v>
      </c>
      <c r="J3" s="3" t="s">
        <v>6</v>
      </c>
      <c r="K3" s="7" t="n">
        <v>20</v>
      </c>
    </row>
    <row r="4" customFormat="false" ht="35.05" hidden="false" customHeight="false" outlineLevel="0" collapsed="false">
      <c r="A4" s="3" t="s">
        <v>7</v>
      </c>
      <c r="B4" s="4" t="s">
        <v>8</v>
      </c>
      <c r="D4" s="3" t="s">
        <v>9</v>
      </c>
      <c r="E4" s="4" t="s">
        <v>10</v>
      </c>
      <c r="G4" s="3" t="s">
        <v>11</v>
      </c>
      <c r="H4" s="4" t="s">
        <v>12</v>
      </c>
      <c r="J4" s="3" t="s">
        <v>13</v>
      </c>
      <c r="K4" s="8"/>
    </row>
    <row r="5" customFormat="false" ht="30" hidden="false" customHeight="true" outlineLevel="0" collapsed="false">
      <c r="A5" s="9" t="s">
        <v>14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customFormat="false" ht="15" hidden="false" customHeight="false" outlineLevel="0" collapsed="false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33.75" hidden="false" customHeight="true" outlineLevel="0" collapsed="false">
      <c r="A8" s="10" t="s">
        <v>2</v>
      </c>
      <c r="B8" s="10" t="s">
        <v>16</v>
      </c>
      <c r="C8" s="10" t="s">
        <v>9</v>
      </c>
      <c r="D8" s="10" t="s">
        <v>17</v>
      </c>
      <c r="E8" s="10" t="s">
        <v>5</v>
      </c>
      <c r="F8" s="10" t="s">
        <v>18</v>
      </c>
      <c r="G8" s="10" t="s">
        <v>19</v>
      </c>
      <c r="H8" s="10" t="s">
        <v>20</v>
      </c>
      <c r="I8" s="10" t="s">
        <v>21</v>
      </c>
      <c r="J8" s="10" t="s">
        <v>22</v>
      </c>
      <c r="K8" s="10" t="s">
        <v>23</v>
      </c>
      <c r="L8" s="10" t="s">
        <v>24</v>
      </c>
    </row>
    <row r="9" customFormat="false" ht="15" hidden="false" customHeight="false" outlineLevel="0" collapsed="false">
      <c r="A9" s="11" t="s">
        <v>3</v>
      </c>
      <c r="B9" s="11" t="s">
        <v>25</v>
      </c>
      <c r="C9" s="11" t="str">
        <f aca="false">'Dispatch Source'!E5</f>
        <v>Ontario</v>
      </c>
      <c r="D9" s="12" t="n">
        <f aca="false">SUMIF('Dispatch Source'!E$5:E$12,B9,'Dispatch Source'!F$5:F$12)</f>
        <v>38</v>
      </c>
      <c r="E9" s="12" t="n">
        <f aca="false">1</f>
        <v>1</v>
      </c>
      <c r="F9" s="12" t="n">
        <f aca="false">D9*E9</f>
        <v>38</v>
      </c>
      <c r="G9" s="13" t="n">
        <f aca="false">AVERAGEIF('Inspection Source'!E$5:E$12,B9,'Inspection Source'!H$5:H$12)</f>
        <v>22.6000000004</v>
      </c>
      <c r="H9" s="13" t="n">
        <f aca="false">ROUND(G9,1)</f>
        <v>22.6</v>
      </c>
      <c r="I9" s="13" t="n">
        <f aca="false">$K$3</f>
        <v>20</v>
      </c>
      <c r="J9" s="11" t="str">
        <f aca="false">IF(H9&gt;I9,"Above threshold","Below threshold")</f>
        <v>Above threshold</v>
      </c>
      <c r="K9" s="14" t="n">
        <f aca="false">'Residual Calc'!D5</f>
        <v>56.9</v>
      </c>
      <c r="L9" s="12" t="n">
        <f aca="false">COUNTIF('Dispatch Source'!E$5:E$12,B9)</f>
        <v>3</v>
      </c>
    </row>
    <row r="10" customFormat="false" ht="15" hidden="false" customHeight="false" outlineLevel="0" collapsed="false">
      <c r="A10" s="15" t="s">
        <v>3</v>
      </c>
      <c r="B10" s="15" t="s">
        <v>26</v>
      </c>
      <c r="C10" s="15" t="str">
        <f aca="false">'Dispatch Source'!E8</f>
        <v>Michigan</v>
      </c>
      <c r="D10" s="16" t="n">
        <f aca="false">SUMIF('Dispatch Source'!E$5:E$12,B10,'Dispatch Source'!F$5:F$12)</f>
        <v>34</v>
      </c>
      <c r="E10" s="16" t="n">
        <f aca="false">1</f>
        <v>1</v>
      </c>
      <c r="F10" s="16" t="n">
        <f aca="false">D10*E10</f>
        <v>34</v>
      </c>
      <c r="G10" s="17" t="n">
        <f aca="false">AVERAGEIF('Inspection Source'!E$5:E$12,B10,'Inspection Source'!H$5:H$12)</f>
        <v>18.4000000003</v>
      </c>
      <c r="H10" s="17" t="n">
        <f aca="false">ROUND(G10,1)</f>
        <v>18.4</v>
      </c>
      <c r="I10" s="17" t="n">
        <f aca="false">$K$3</f>
        <v>20</v>
      </c>
      <c r="J10" s="15" t="str">
        <f aca="false">IF(H10&gt;I10,"Above threshold","Below threshold")</f>
        <v>Below threshold</v>
      </c>
      <c r="K10" s="18" t="n">
        <f aca="false">'Residual Calc'!D8</f>
        <v>25.3</v>
      </c>
      <c r="L10" s="16" t="n">
        <f aca="false">COUNTIF('Dispatch Source'!E$5:E$12,B10)</f>
        <v>3</v>
      </c>
    </row>
    <row r="11" customFormat="false" ht="15" hidden="false" customHeight="false" outlineLevel="0" collapsed="false">
      <c r="A11" s="11" t="s">
        <v>3</v>
      </c>
      <c r="B11" s="11" t="s">
        <v>27</v>
      </c>
      <c r="C11" s="11" t="s">
        <v>28</v>
      </c>
      <c r="D11" s="12" t="n">
        <f aca="false">SUM(D9:D10)</f>
        <v>72</v>
      </c>
      <c r="E11" s="12" t="n">
        <f aca="false">1</f>
        <v>1</v>
      </c>
      <c r="F11" s="12" t="n">
        <f aca="false">SUM(F9:F10)</f>
        <v>72</v>
      </c>
      <c r="G11" s="13"/>
      <c r="H11" s="13"/>
      <c r="I11" s="13"/>
      <c r="J11" s="11" t="s">
        <v>29</v>
      </c>
      <c r="K11" s="14" t="n">
        <f aca="false">SUM(K9:K10)</f>
        <v>82.2</v>
      </c>
      <c r="L11" s="12" t="n">
        <f aca="false">SUM(L9:L10)</f>
        <v>6</v>
      </c>
    </row>
    <row r="14" customFormat="false" ht="15" hidden="false" customHeight="false" outlineLevel="0" collapsed="false">
      <c r="A14" s="1" t="s">
        <v>30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37.5" hidden="false" customHeight="true" outlineLevel="0" collapsed="false">
      <c r="A15" s="10" t="s">
        <v>31</v>
      </c>
      <c r="B15" s="10" t="s">
        <v>16</v>
      </c>
      <c r="C15" s="10" t="s">
        <v>32</v>
      </c>
      <c r="D15" s="10" t="s">
        <v>5</v>
      </c>
      <c r="E15" s="10" t="s">
        <v>33</v>
      </c>
      <c r="F15" s="10" t="s">
        <v>34</v>
      </c>
      <c r="G15" s="10" t="s">
        <v>20</v>
      </c>
      <c r="H15" s="10" t="s">
        <v>21</v>
      </c>
      <c r="I15" s="10" t="s">
        <v>22</v>
      </c>
      <c r="J15" s="10" t="s">
        <v>23</v>
      </c>
      <c r="K15" s="10" t="s">
        <v>35</v>
      </c>
    </row>
    <row r="16" customFormat="false" ht="15" hidden="false" customHeight="false" outlineLevel="0" collapsed="false">
      <c r="A16" s="11" t="s">
        <v>36</v>
      </c>
      <c r="B16" s="11" t="s">
        <v>25</v>
      </c>
      <c r="C16" s="12" t="n">
        <v>40</v>
      </c>
      <c r="D16" s="12" t="n">
        <v>43</v>
      </c>
      <c r="E16" s="12" t="n">
        <f aca="false">C16</f>
        <v>40</v>
      </c>
      <c r="F16" s="13" t="n">
        <v>21.2500000002</v>
      </c>
      <c r="G16" s="13" t="n">
        <f aca="false">ROUND(F16,1)</f>
        <v>21.3</v>
      </c>
      <c r="H16" s="13" t="n">
        <f aca="false">$K$3</f>
        <v>20</v>
      </c>
      <c r="I16" s="11" t="str">
        <f aca="false">IF(G16&gt;H16,"Above threshold","Below threshold")</f>
        <v>Above threshold</v>
      </c>
      <c r="J16" s="14" t="n">
        <f aca="false">E16*G16/100</f>
        <v>8.52</v>
      </c>
      <c r="K16" s="11" t="s">
        <v>37</v>
      </c>
    </row>
    <row r="17" customFormat="false" ht="15" hidden="false" customHeight="false" outlineLevel="0" collapsed="false">
      <c r="A17" s="15" t="s">
        <v>36</v>
      </c>
      <c r="B17" s="15" t="s">
        <v>26</v>
      </c>
      <c r="C17" s="16" t="n">
        <v>36</v>
      </c>
      <c r="D17" s="16" t="n">
        <v>43</v>
      </c>
      <c r="E17" s="16" t="n">
        <f aca="false">C17</f>
        <v>36</v>
      </c>
      <c r="F17" s="17" t="n">
        <v>17.9000000001</v>
      </c>
      <c r="G17" s="17" t="n">
        <f aca="false">ROUND(F17,1)</f>
        <v>17.9</v>
      </c>
      <c r="H17" s="17" t="n">
        <f aca="false">$K$3</f>
        <v>20</v>
      </c>
      <c r="I17" s="15" t="str">
        <f aca="false">IF(G17&gt;H17,"Above threshold","Below threshold")</f>
        <v>Below threshold</v>
      </c>
      <c r="J17" s="18" t="n">
        <f aca="false">E17*G17/100</f>
        <v>6.444</v>
      </c>
      <c r="K17" s="15" t="s">
        <v>37</v>
      </c>
    </row>
    <row r="18" customFormat="false" ht="15" hidden="false" customHeight="false" outlineLevel="0" collapsed="false">
      <c r="A18" s="19" t="s">
        <v>36</v>
      </c>
      <c r="B18" s="19" t="s">
        <v>27</v>
      </c>
      <c r="C18" s="20" t="n">
        <f aca="false">SUM(C16:C17)</f>
        <v>76</v>
      </c>
      <c r="D18" s="20" t="n">
        <v>43</v>
      </c>
      <c r="E18" s="20" t="n">
        <f aca="false">SUM(E16:E17)</f>
        <v>76</v>
      </c>
      <c r="F18" s="21"/>
      <c r="G18" s="21"/>
      <c r="H18" s="21"/>
      <c r="I18" s="19" t="s">
        <v>29</v>
      </c>
      <c r="J18" s="22" t="n">
        <f aca="false">SUM(J16:J17)</f>
        <v>14.964</v>
      </c>
      <c r="K18" s="19" t="s">
        <v>38</v>
      </c>
    </row>
    <row r="19" customFormat="false" ht="15" hidden="false" customHeight="false" outlineLevel="0" collapsed="false">
      <c r="A19" s="15" t="s">
        <v>39</v>
      </c>
      <c r="B19" s="15" t="s">
        <v>25</v>
      </c>
      <c r="C19" s="16" t="n">
        <v>52</v>
      </c>
      <c r="D19" s="16" t="n">
        <v>43</v>
      </c>
      <c r="E19" s="16" t="n">
        <f aca="false">C19</f>
        <v>52</v>
      </c>
      <c r="F19" s="17" t="n">
        <v>24.1000000003</v>
      </c>
      <c r="G19" s="17" t="n">
        <f aca="false">ROUND(F19,1)</f>
        <v>24.1</v>
      </c>
      <c r="H19" s="17" t="n">
        <f aca="false">$K$3</f>
        <v>20</v>
      </c>
      <c r="I19" s="15" t="str">
        <f aca="false">IF(G19&gt;H19,"Above threshold","Below threshold")</f>
        <v>Above threshold</v>
      </c>
      <c r="J19" s="18" t="n">
        <f aca="false">E19*G19/100</f>
        <v>12.532</v>
      </c>
      <c r="K19" s="15" t="s">
        <v>37</v>
      </c>
    </row>
    <row r="20" customFormat="false" ht="15" hidden="false" customHeight="false" outlineLevel="0" collapsed="false">
      <c r="A20" s="11" t="s">
        <v>39</v>
      </c>
      <c r="B20" s="11" t="s">
        <v>26</v>
      </c>
      <c r="C20" s="12" t="n">
        <v>48</v>
      </c>
      <c r="D20" s="12" t="n">
        <v>43</v>
      </c>
      <c r="E20" s="12" t="n">
        <f aca="false">C20</f>
        <v>48</v>
      </c>
      <c r="F20" s="13" t="n">
        <v>19.2000000002</v>
      </c>
      <c r="G20" s="13" t="n">
        <f aca="false">ROUND(F20,1)</f>
        <v>19.2</v>
      </c>
      <c r="H20" s="13" t="n">
        <f aca="false">$K$3</f>
        <v>20</v>
      </c>
      <c r="I20" s="11" t="str">
        <f aca="false">IF(G20&gt;H20,"Above threshold","Below threshold")</f>
        <v>Below threshold</v>
      </c>
      <c r="J20" s="14" t="n">
        <f aca="false">E20*G20/100</f>
        <v>9.216</v>
      </c>
      <c r="K20" s="11" t="s">
        <v>37</v>
      </c>
    </row>
    <row r="21" customFormat="false" ht="15" hidden="false" customHeight="false" outlineLevel="0" collapsed="false">
      <c r="A21" s="19" t="s">
        <v>39</v>
      </c>
      <c r="B21" s="19" t="s">
        <v>27</v>
      </c>
      <c r="C21" s="20" t="n">
        <f aca="false">SUM(C19:C20)</f>
        <v>100</v>
      </c>
      <c r="D21" s="20" t="n">
        <v>43</v>
      </c>
      <c r="E21" s="20" t="n">
        <f aca="false">SUM(E19:E20)</f>
        <v>100</v>
      </c>
      <c r="F21" s="21"/>
      <c r="G21" s="21"/>
      <c r="H21" s="21"/>
      <c r="I21" s="19" t="s">
        <v>29</v>
      </c>
      <c r="J21" s="22" t="n">
        <f aca="false">SUM(J19:J20)</f>
        <v>21.748</v>
      </c>
      <c r="K21" s="19" t="s">
        <v>38</v>
      </c>
    </row>
    <row r="22" customFormat="false" ht="15" hidden="false" customHeight="false" outlineLevel="0" collapsed="false">
      <c r="A22" s="11" t="s">
        <v>40</v>
      </c>
      <c r="B22" s="11" t="s">
        <v>25</v>
      </c>
      <c r="C22" s="12" t="n">
        <v>28</v>
      </c>
      <c r="D22" s="12" t="n">
        <v>43</v>
      </c>
      <c r="E22" s="12" t="n">
        <f aca="false">C22</f>
        <v>28</v>
      </c>
      <c r="F22" s="13" t="n">
        <v>16.7500000001</v>
      </c>
      <c r="G22" s="13" t="n">
        <f aca="false">ROUND(F22,1)</f>
        <v>16.8</v>
      </c>
      <c r="H22" s="13" t="n">
        <f aca="false">$K$3</f>
        <v>20</v>
      </c>
      <c r="I22" s="11" t="str">
        <f aca="false">IF(G22&gt;H22,"Above threshold","Below threshold")</f>
        <v>Below threshold</v>
      </c>
      <c r="J22" s="14" t="n">
        <f aca="false">E22*G22/100</f>
        <v>4.704</v>
      </c>
      <c r="K22" s="11" t="s">
        <v>37</v>
      </c>
    </row>
    <row r="23" customFormat="false" ht="15" hidden="false" customHeight="false" outlineLevel="0" collapsed="false">
      <c r="A23" s="15" t="s">
        <v>40</v>
      </c>
      <c r="B23" s="15" t="s">
        <v>26</v>
      </c>
      <c r="C23" s="16" t="n">
        <v>24</v>
      </c>
      <c r="D23" s="16" t="n">
        <v>43</v>
      </c>
      <c r="E23" s="16" t="n">
        <f aca="false">C23</f>
        <v>24</v>
      </c>
      <c r="F23" s="17" t="n">
        <v>14.4000000002</v>
      </c>
      <c r="G23" s="17" t="n">
        <f aca="false">ROUND(F23,1)</f>
        <v>14.4</v>
      </c>
      <c r="H23" s="17" t="n">
        <f aca="false">$K$3</f>
        <v>20</v>
      </c>
      <c r="I23" s="15" t="str">
        <f aca="false">IF(G23&gt;H23,"Above threshold","Below threshold")</f>
        <v>Below threshold</v>
      </c>
      <c r="J23" s="18" t="n">
        <f aca="false">E23*G23/100</f>
        <v>3.456</v>
      </c>
      <c r="K23" s="15" t="s">
        <v>37</v>
      </c>
    </row>
    <row r="24" customFormat="false" ht="15" hidden="false" customHeight="false" outlineLevel="0" collapsed="false">
      <c r="A24" s="19" t="s">
        <v>40</v>
      </c>
      <c r="B24" s="19" t="s">
        <v>27</v>
      </c>
      <c r="C24" s="20" t="n">
        <f aca="false">SUM(C22:C23)</f>
        <v>52</v>
      </c>
      <c r="D24" s="20" t="n">
        <v>43</v>
      </c>
      <c r="E24" s="20" t="n">
        <f aca="false">SUM(E22:E23)</f>
        <v>52</v>
      </c>
      <c r="F24" s="21"/>
      <c r="G24" s="21"/>
      <c r="H24" s="21"/>
      <c r="I24" s="19" t="s">
        <v>29</v>
      </c>
      <c r="J24" s="22" t="n">
        <f aca="false">SUM(J22:J23)</f>
        <v>8.16</v>
      </c>
      <c r="K24" s="19" t="s">
        <v>38</v>
      </c>
    </row>
    <row r="28" customFormat="false" ht="15" hidden="false" customHeight="false" outlineLevel="0" collapsed="false">
      <c r="A28" s="1" t="s">
        <v>41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37.5" hidden="false" customHeight="true" outlineLevel="0" collapsed="false">
      <c r="A29" s="10" t="s">
        <v>42</v>
      </c>
      <c r="B29" s="10" t="s">
        <v>43</v>
      </c>
      <c r="C29" s="10" t="s">
        <v>44</v>
      </c>
      <c r="D29" s="10" t="s">
        <v>2</v>
      </c>
      <c r="E29" s="10" t="s">
        <v>16</v>
      </c>
      <c r="F29" s="10" t="s">
        <v>45</v>
      </c>
      <c r="G29" s="10" t="s">
        <v>46</v>
      </c>
      <c r="H29" s="10" t="s">
        <v>47</v>
      </c>
      <c r="I29" s="10" t="s">
        <v>48</v>
      </c>
      <c r="J29" s="10" t="s">
        <v>49</v>
      </c>
      <c r="K29" s="10" t="s">
        <v>50</v>
      </c>
      <c r="L29" s="10" t="s">
        <v>19</v>
      </c>
      <c r="M29" s="10" t="s">
        <v>20</v>
      </c>
      <c r="N29" s="10" t="s">
        <v>51</v>
      </c>
    </row>
    <row r="30" customFormat="false" ht="22.35" hidden="false" customHeight="false" outlineLevel="0" collapsed="false">
      <c r="A30" s="11" t="s">
        <v>52</v>
      </c>
      <c r="B30" s="11" t="s">
        <v>53</v>
      </c>
      <c r="C30" s="11"/>
      <c r="D30" s="11" t="s">
        <v>3</v>
      </c>
      <c r="E30" s="11" t="s">
        <v>25</v>
      </c>
      <c r="F30" s="11" t="s">
        <v>54</v>
      </c>
      <c r="G30" s="11"/>
      <c r="H30" s="12" t="n">
        <v>12</v>
      </c>
      <c r="I30" s="12"/>
      <c r="J30" s="12"/>
      <c r="K30" s="12"/>
      <c r="L30" s="13" t="n">
        <v>22.6000000004</v>
      </c>
      <c r="M30" s="14"/>
      <c r="N30" s="11" t="s">
        <v>55</v>
      </c>
    </row>
    <row r="31" customFormat="false" ht="22.35" hidden="false" customHeight="false" outlineLevel="0" collapsed="false">
      <c r="A31" s="15" t="s">
        <v>56</v>
      </c>
      <c r="B31" s="15" t="s">
        <v>57</v>
      </c>
      <c r="C31" s="15"/>
      <c r="D31" s="15" t="s">
        <v>3</v>
      </c>
      <c r="E31" s="15" t="s">
        <v>25</v>
      </c>
      <c r="F31" s="15" t="s">
        <v>54</v>
      </c>
      <c r="G31" s="15"/>
      <c r="H31" s="16" t="n">
        <v>9</v>
      </c>
      <c r="I31" s="16"/>
      <c r="J31" s="16"/>
      <c r="K31" s="16"/>
      <c r="L31" s="17" t="n">
        <v>22.6000000004</v>
      </c>
      <c r="M31" s="18"/>
      <c r="N31" s="15" t="s">
        <v>55</v>
      </c>
    </row>
    <row r="32" customFormat="false" ht="22.35" hidden="false" customHeight="false" outlineLevel="0" collapsed="false">
      <c r="A32" s="11" t="s">
        <v>58</v>
      </c>
      <c r="B32" s="11" t="s">
        <v>59</v>
      </c>
      <c r="C32" s="11"/>
      <c r="D32" s="11" t="s">
        <v>3</v>
      </c>
      <c r="E32" s="11" t="s">
        <v>25</v>
      </c>
      <c r="F32" s="11" t="s">
        <v>54</v>
      </c>
      <c r="G32" s="11"/>
      <c r="H32" s="12" t="n">
        <v>15</v>
      </c>
      <c r="I32" s="12"/>
      <c r="J32" s="12"/>
      <c r="K32" s="12"/>
      <c r="L32" s="13" t="n">
        <v>22.6000000004</v>
      </c>
      <c r="M32" s="14"/>
      <c r="N32" s="11" t="s">
        <v>55</v>
      </c>
    </row>
    <row r="33" customFormat="false" ht="22.35" hidden="false" customHeight="false" outlineLevel="0" collapsed="false">
      <c r="A33" s="15" t="s">
        <v>60</v>
      </c>
      <c r="B33" s="15" t="s">
        <v>61</v>
      </c>
      <c r="C33" s="15"/>
      <c r="D33" s="15" t="s">
        <v>3</v>
      </c>
      <c r="E33" s="15" t="s">
        <v>26</v>
      </c>
      <c r="F33" s="15" t="s">
        <v>54</v>
      </c>
      <c r="G33" s="15"/>
      <c r="H33" s="16" t="n">
        <v>10</v>
      </c>
      <c r="I33" s="16"/>
      <c r="J33" s="16"/>
      <c r="K33" s="16"/>
      <c r="L33" s="17" t="n">
        <v>18.4000000003</v>
      </c>
      <c r="M33" s="18"/>
      <c r="N33" s="15" t="s">
        <v>55</v>
      </c>
    </row>
    <row r="34" customFormat="false" ht="22.35" hidden="false" customHeight="false" outlineLevel="0" collapsed="false">
      <c r="A34" s="11" t="s">
        <v>62</v>
      </c>
      <c r="B34" s="11" t="s">
        <v>63</v>
      </c>
      <c r="C34" s="11"/>
      <c r="D34" s="11" t="s">
        <v>3</v>
      </c>
      <c r="E34" s="11" t="s">
        <v>26</v>
      </c>
      <c r="F34" s="11" t="s">
        <v>54</v>
      </c>
      <c r="G34" s="11"/>
      <c r="H34" s="12" t="n">
        <v>14</v>
      </c>
      <c r="I34" s="12"/>
      <c r="J34" s="12"/>
      <c r="K34" s="12"/>
      <c r="L34" s="13" t="n">
        <v>18.4000000003</v>
      </c>
      <c r="M34" s="14"/>
      <c r="N34" s="11" t="s">
        <v>55</v>
      </c>
    </row>
    <row r="35" customFormat="false" ht="22.35" hidden="false" customHeight="false" outlineLevel="0" collapsed="false">
      <c r="A35" s="15" t="s">
        <v>64</v>
      </c>
      <c r="B35" s="15" t="s">
        <v>65</v>
      </c>
      <c r="C35" s="15"/>
      <c r="D35" s="15" t="s">
        <v>3</v>
      </c>
      <c r="E35" s="15" t="s">
        <v>26</v>
      </c>
      <c r="F35" s="15" t="s">
        <v>54</v>
      </c>
      <c r="G35" s="15"/>
      <c r="H35" s="16" t="n">
        <v>8</v>
      </c>
      <c r="I35" s="16"/>
      <c r="J35" s="16"/>
      <c r="K35" s="16"/>
      <c r="L35" s="17" t="n">
        <v>18.4000000003</v>
      </c>
      <c r="M35" s="18"/>
      <c r="N35" s="15" t="s">
        <v>55</v>
      </c>
    </row>
    <row r="36" customFormat="false" ht="22.35" hidden="false" customHeight="false" outlineLevel="0" collapsed="false">
      <c r="A36" s="11" t="s">
        <v>66</v>
      </c>
      <c r="B36" s="11" t="s">
        <v>67</v>
      </c>
      <c r="C36" s="11"/>
      <c r="D36" s="11" t="s">
        <v>3</v>
      </c>
      <c r="E36" s="11" t="s">
        <v>68</v>
      </c>
      <c r="F36" s="11" t="s">
        <v>54</v>
      </c>
      <c r="G36" s="11"/>
      <c r="H36" s="12" t="n">
        <v>20</v>
      </c>
      <c r="I36" s="12"/>
      <c r="J36" s="12"/>
      <c r="K36" s="12"/>
      <c r="L36" s="13" t="n">
        <v>7.5000000001</v>
      </c>
      <c r="M36" s="14"/>
      <c r="N36" s="11" t="s">
        <v>55</v>
      </c>
    </row>
    <row r="37" customFormat="false" ht="15" hidden="false" customHeight="false" outlineLevel="0" collapsed="false">
      <c r="A37" s="15" t="s">
        <v>69</v>
      </c>
      <c r="B37" s="15" t="s">
        <v>70</v>
      </c>
      <c r="C37" s="15"/>
      <c r="D37" s="15" t="s">
        <v>71</v>
      </c>
      <c r="E37" s="15" t="s">
        <v>72</v>
      </c>
      <c r="F37" s="15" t="s">
        <v>54</v>
      </c>
      <c r="G37" s="15"/>
      <c r="H37" s="16" t="n">
        <v>6</v>
      </c>
      <c r="I37" s="16"/>
      <c r="J37" s="16"/>
      <c r="K37" s="16"/>
      <c r="L37" s="17" t="n">
        <v>11.3000000002</v>
      </c>
      <c r="M37" s="18"/>
      <c r="N37" s="15" t="s">
        <v>55</v>
      </c>
    </row>
    <row r="41" customFormat="false" ht="15" hidden="false" customHeight="false" outlineLevel="0" collapsed="false">
      <c r="A41" s="1" t="s">
        <v>73</v>
      </c>
      <c r="B41" s="1"/>
      <c r="C41" s="1"/>
      <c r="D41" s="1"/>
      <c r="E41" s="1"/>
    </row>
    <row r="42" customFormat="false" ht="33.75" hidden="false" customHeight="true" outlineLevel="0" collapsed="false">
      <c r="A42" s="10" t="s">
        <v>74</v>
      </c>
      <c r="B42" s="10" t="s">
        <v>75</v>
      </c>
      <c r="C42" s="10" t="s">
        <v>76</v>
      </c>
      <c r="D42" s="10" t="s">
        <v>77</v>
      </c>
      <c r="E42" s="10" t="s">
        <v>78</v>
      </c>
    </row>
    <row r="43" customFormat="false" ht="36" hidden="false" customHeight="true" outlineLevel="0" collapsed="false">
      <c r="A43" s="11"/>
      <c r="B43" s="11"/>
      <c r="C43" s="11"/>
      <c r="D43" s="11"/>
      <c r="E43" s="11"/>
    </row>
    <row r="44" customFormat="false" ht="36" hidden="false" customHeight="true" outlineLevel="0" collapsed="false">
      <c r="A44" s="11"/>
      <c r="B44" s="11"/>
      <c r="C44" s="11"/>
      <c r="D44" s="11"/>
      <c r="E44" s="11"/>
    </row>
    <row r="45" customFormat="false" ht="36" hidden="false" customHeight="true" outlineLevel="0" collapsed="false">
      <c r="A45" s="11"/>
      <c r="B45" s="11"/>
      <c r="C45" s="11"/>
      <c r="D45" s="11"/>
      <c r="E45" s="11"/>
    </row>
    <row r="46" customFormat="false" ht="36" hidden="false" customHeight="true" outlineLevel="0" collapsed="false">
      <c r="A46" s="11"/>
      <c r="B46" s="11"/>
      <c r="C46" s="11"/>
      <c r="D46" s="11"/>
      <c r="E46" s="11"/>
    </row>
    <row r="47" customFormat="false" ht="36" hidden="false" customHeight="true" outlineLevel="0" collapsed="false">
      <c r="A47" s="11"/>
      <c r="B47" s="11"/>
      <c r="C47" s="11"/>
      <c r="D47" s="11"/>
      <c r="E47" s="11"/>
    </row>
  </sheetData>
  <autoFilter ref="A8:L11"/>
  <mergeCells count="7">
    <mergeCell ref="A1:N1"/>
    <mergeCell ref="A2:N2"/>
    <mergeCell ref="A5:N5"/>
    <mergeCell ref="A7:N7"/>
    <mergeCell ref="A14:K14"/>
    <mergeCell ref="A28:N28"/>
    <mergeCell ref="A41:E41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3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3" t="s">
        <v>80</v>
      </c>
    </row>
    <row r="4" customFormat="false" ht="15" hidden="false" customHeight="false" outlineLevel="0" collapsed="false">
      <c r="A4" s="24" t="s">
        <v>81</v>
      </c>
      <c r="B4" s="24" t="s">
        <v>82</v>
      </c>
      <c r="C4" s="24" t="s">
        <v>2</v>
      </c>
      <c r="D4" s="24" t="s">
        <v>83</v>
      </c>
      <c r="E4" s="24" t="s">
        <v>16</v>
      </c>
      <c r="F4" s="24" t="s">
        <v>84</v>
      </c>
      <c r="G4" s="24" t="s">
        <v>45</v>
      </c>
      <c r="H4" s="24" t="s">
        <v>85</v>
      </c>
      <c r="I4" s="24" t="s">
        <v>86</v>
      </c>
      <c r="J4" s="24" t="s">
        <v>87</v>
      </c>
    </row>
    <row r="5" customFormat="false" ht="15" hidden="false" customHeight="false" outlineLevel="0" collapsed="false">
      <c r="A5" s="25" t="s">
        <v>53</v>
      </c>
      <c r="B5" s="25" t="s">
        <v>52</v>
      </c>
      <c r="C5" s="25" t="s">
        <v>3</v>
      </c>
      <c r="D5" s="26" t="n">
        <v>46255</v>
      </c>
      <c r="E5" s="25" t="s">
        <v>25</v>
      </c>
      <c r="F5" s="27" t="n">
        <v>12</v>
      </c>
      <c r="G5" s="25" t="s">
        <v>54</v>
      </c>
      <c r="H5" s="28" t="n">
        <v>22.6000000004</v>
      </c>
      <c r="I5" s="25" t="s">
        <v>88</v>
      </c>
      <c r="J5" s="25" t="s">
        <v>89</v>
      </c>
    </row>
    <row r="6" customFormat="false" ht="15" hidden="false" customHeight="false" outlineLevel="0" collapsed="false">
      <c r="A6" s="29" t="s">
        <v>57</v>
      </c>
      <c r="B6" s="29" t="s">
        <v>56</v>
      </c>
      <c r="C6" s="29" t="s">
        <v>3</v>
      </c>
      <c r="D6" s="30" t="n">
        <v>46255</v>
      </c>
      <c r="E6" s="29" t="s">
        <v>25</v>
      </c>
      <c r="F6" s="31" t="n">
        <v>9</v>
      </c>
      <c r="G6" s="29" t="s">
        <v>54</v>
      </c>
      <c r="H6" s="32" t="n">
        <v>22.6000000004</v>
      </c>
      <c r="I6" s="29" t="s">
        <v>88</v>
      </c>
      <c r="J6" s="29" t="s">
        <v>89</v>
      </c>
    </row>
    <row r="7" customFormat="false" ht="15" hidden="false" customHeight="false" outlineLevel="0" collapsed="false">
      <c r="A7" s="25" t="s">
        <v>59</v>
      </c>
      <c r="B7" s="25" t="s">
        <v>58</v>
      </c>
      <c r="C7" s="25" t="s">
        <v>3</v>
      </c>
      <c r="D7" s="26" t="n">
        <v>46255</v>
      </c>
      <c r="E7" s="25" t="s">
        <v>25</v>
      </c>
      <c r="F7" s="27" t="n">
        <v>15</v>
      </c>
      <c r="G7" s="25" t="s">
        <v>54</v>
      </c>
      <c r="H7" s="28" t="n">
        <v>22.6000000004</v>
      </c>
      <c r="I7" s="25" t="s">
        <v>90</v>
      </c>
      <c r="J7" s="25" t="s">
        <v>91</v>
      </c>
    </row>
    <row r="8" customFormat="false" ht="15" hidden="false" customHeight="false" outlineLevel="0" collapsed="false">
      <c r="A8" s="29" t="s">
        <v>61</v>
      </c>
      <c r="B8" s="29" t="s">
        <v>60</v>
      </c>
      <c r="C8" s="29" t="s">
        <v>3</v>
      </c>
      <c r="D8" s="30" t="n">
        <v>46255</v>
      </c>
      <c r="E8" s="29" t="s">
        <v>26</v>
      </c>
      <c r="F8" s="31" t="n">
        <v>10</v>
      </c>
      <c r="G8" s="29" t="s">
        <v>54</v>
      </c>
      <c r="H8" s="32" t="n">
        <v>18.4000000003</v>
      </c>
      <c r="I8" s="29" t="s">
        <v>90</v>
      </c>
      <c r="J8" s="29" t="s">
        <v>91</v>
      </c>
    </row>
    <row r="9" customFormat="false" ht="15" hidden="false" customHeight="false" outlineLevel="0" collapsed="false">
      <c r="A9" s="25" t="s">
        <v>63</v>
      </c>
      <c r="B9" s="25" t="s">
        <v>62</v>
      </c>
      <c r="C9" s="25" t="s">
        <v>3</v>
      </c>
      <c r="D9" s="26" t="n">
        <v>46255</v>
      </c>
      <c r="E9" s="25" t="s">
        <v>26</v>
      </c>
      <c r="F9" s="27" t="n">
        <v>14</v>
      </c>
      <c r="G9" s="25" t="s">
        <v>54</v>
      </c>
      <c r="H9" s="28" t="n">
        <v>18.4000000003</v>
      </c>
      <c r="I9" s="25" t="s">
        <v>92</v>
      </c>
      <c r="J9" s="25" t="s">
        <v>93</v>
      </c>
    </row>
    <row r="10" customFormat="false" ht="15" hidden="false" customHeight="false" outlineLevel="0" collapsed="false">
      <c r="A10" s="29" t="s">
        <v>65</v>
      </c>
      <c r="B10" s="29" t="s">
        <v>64</v>
      </c>
      <c r="C10" s="29" t="s">
        <v>3</v>
      </c>
      <c r="D10" s="30" t="n">
        <v>46255</v>
      </c>
      <c r="E10" s="29" t="s">
        <v>26</v>
      </c>
      <c r="F10" s="31" t="n">
        <v>8</v>
      </c>
      <c r="G10" s="29" t="s">
        <v>54</v>
      </c>
      <c r="H10" s="32" t="n">
        <v>18.4000000003</v>
      </c>
      <c r="I10" s="29" t="s">
        <v>92</v>
      </c>
      <c r="J10" s="29" t="s">
        <v>93</v>
      </c>
    </row>
    <row r="11" customFormat="false" ht="15" hidden="false" customHeight="false" outlineLevel="0" collapsed="false">
      <c r="A11" s="25" t="s">
        <v>67</v>
      </c>
      <c r="B11" s="25" t="s">
        <v>66</v>
      </c>
      <c r="C11" s="25" t="s">
        <v>3</v>
      </c>
      <c r="D11" s="26" t="n">
        <v>46255</v>
      </c>
      <c r="E11" s="25" t="s">
        <v>68</v>
      </c>
      <c r="F11" s="27" t="n">
        <v>20</v>
      </c>
      <c r="G11" s="25" t="s">
        <v>54</v>
      </c>
      <c r="H11" s="28" t="n">
        <v>7.5000000001</v>
      </c>
      <c r="I11" s="25" t="s">
        <v>88</v>
      </c>
      <c r="J11" s="25" t="s">
        <v>89</v>
      </c>
    </row>
    <row r="12" customFormat="false" ht="15" hidden="false" customHeight="false" outlineLevel="0" collapsed="false">
      <c r="A12" s="29" t="s">
        <v>70</v>
      </c>
      <c r="B12" s="29" t="s">
        <v>69</v>
      </c>
      <c r="C12" s="29" t="s">
        <v>71</v>
      </c>
      <c r="D12" s="30" t="n">
        <v>46254</v>
      </c>
      <c r="E12" s="29" t="s">
        <v>72</v>
      </c>
      <c r="F12" s="31" t="n">
        <v>6</v>
      </c>
      <c r="G12" s="29" t="s">
        <v>54</v>
      </c>
      <c r="H12" s="32" t="n">
        <v>11.3000000002</v>
      </c>
      <c r="I12" s="29" t="s">
        <v>94</v>
      </c>
      <c r="J12" s="29" t="s">
        <v>95</v>
      </c>
    </row>
  </sheetData>
  <autoFilter ref="A4:J1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</cols>
  <sheetData>
    <row r="1" customFormat="false" ht="24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3" t="s">
        <v>97</v>
      </c>
    </row>
    <row r="4" customFormat="false" ht="15" hidden="false" customHeight="false" outlineLevel="0" collapsed="false">
      <c r="A4" s="24" t="s">
        <v>98</v>
      </c>
      <c r="B4" s="24" t="s">
        <v>82</v>
      </c>
      <c r="C4" s="24" t="s">
        <v>2</v>
      </c>
      <c r="D4" s="24" t="s">
        <v>99</v>
      </c>
      <c r="E4" s="24" t="s">
        <v>100</v>
      </c>
      <c r="F4" s="24" t="s">
        <v>101</v>
      </c>
      <c r="G4" s="24" t="s">
        <v>46</v>
      </c>
      <c r="H4" s="24" t="s">
        <v>102</v>
      </c>
      <c r="I4" s="24" t="s">
        <v>103</v>
      </c>
    </row>
    <row r="5" customFormat="false" ht="15" hidden="false" customHeight="false" outlineLevel="0" collapsed="false">
      <c r="A5" s="25" t="s">
        <v>104</v>
      </c>
      <c r="B5" s="25" t="s">
        <v>105</v>
      </c>
      <c r="C5" s="25" t="s">
        <v>3</v>
      </c>
      <c r="D5" s="33" t="n">
        <v>46255</v>
      </c>
      <c r="E5" s="25" t="s">
        <v>25</v>
      </c>
      <c r="F5" s="27" t="n">
        <v>13</v>
      </c>
      <c r="G5" s="25" t="s">
        <v>106</v>
      </c>
      <c r="H5" s="25" t="s">
        <v>107</v>
      </c>
      <c r="I5" s="25" t="s">
        <v>108</v>
      </c>
    </row>
    <row r="6" customFormat="false" ht="15" hidden="false" customHeight="false" outlineLevel="0" collapsed="false">
      <c r="A6" s="29" t="s">
        <v>109</v>
      </c>
      <c r="B6" s="29" t="s">
        <v>110</v>
      </c>
      <c r="C6" s="29" t="s">
        <v>3</v>
      </c>
      <c r="D6" s="34" t="n">
        <v>46255</v>
      </c>
      <c r="E6" s="29" t="s">
        <v>25</v>
      </c>
      <c r="F6" s="31" t="n">
        <v>9</v>
      </c>
      <c r="G6" s="29" t="s">
        <v>106</v>
      </c>
      <c r="H6" s="29" t="s">
        <v>107</v>
      </c>
      <c r="I6" s="29" t="s">
        <v>108</v>
      </c>
    </row>
    <row r="7" customFormat="false" ht="15" hidden="false" customHeight="false" outlineLevel="0" collapsed="false">
      <c r="A7" s="25" t="s">
        <v>111</v>
      </c>
      <c r="B7" s="25" t="s">
        <v>112</v>
      </c>
      <c r="C7" s="25" t="s">
        <v>3</v>
      </c>
      <c r="D7" s="33" t="n">
        <v>46255</v>
      </c>
      <c r="E7" s="25" t="s">
        <v>25</v>
      </c>
      <c r="F7" s="27" t="n">
        <v>16</v>
      </c>
      <c r="G7" s="25" t="s">
        <v>106</v>
      </c>
      <c r="H7" s="25" t="s">
        <v>113</v>
      </c>
      <c r="I7" s="25" t="s">
        <v>114</v>
      </c>
    </row>
    <row r="8" customFormat="false" ht="15" hidden="false" customHeight="false" outlineLevel="0" collapsed="false">
      <c r="A8" s="29" t="s">
        <v>115</v>
      </c>
      <c r="B8" s="29" t="s">
        <v>116</v>
      </c>
      <c r="C8" s="29" t="s">
        <v>3</v>
      </c>
      <c r="D8" s="34" t="n">
        <v>46255</v>
      </c>
      <c r="E8" s="29" t="s">
        <v>26</v>
      </c>
      <c r="F8" s="31" t="n">
        <v>11</v>
      </c>
      <c r="G8" s="29" t="s">
        <v>106</v>
      </c>
      <c r="H8" s="29" t="s">
        <v>117</v>
      </c>
      <c r="I8" s="29" t="s">
        <v>118</v>
      </c>
    </row>
    <row r="9" customFormat="false" ht="15" hidden="false" customHeight="false" outlineLevel="0" collapsed="false">
      <c r="A9" s="25" t="s">
        <v>119</v>
      </c>
      <c r="B9" s="25" t="s">
        <v>120</v>
      </c>
      <c r="C9" s="25" t="s">
        <v>3</v>
      </c>
      <c r="D9" s="33" t="n">
        <v>46255</v>
      </c>
      <c r="E9" s="25" t="s">
        <v>26</v>
      </c>
      <c r="F9" s="27" t="n">
        <v>14</v>
      </c>
      <c r="G9" s="25" t="s">
        <v>106</v>
      </c>
      <c r="H9" s="25" t="s">
        <v>117</v>
      </c>
      <c r="I9" s="25" t="s">
        <v>118</v>
      </c>
    </row>
    <row r="10" customFormat="false" ht="15" hidden="false" customHeight="false" outlineLevel="0" collapsed="false">
      <c r="A10" s="29" t="s">
        <v>121</v>
      </c>
      <c r="B10" s="29" t="s">
        <v>122</v>
      </c>
      <c r="C10" s="29" t="s">
        <v>3</v>
      </c>
      <c r="D10" s="34" t="n">
        <v>46255</v>
      </c>
      <c r="E10" s="29" t="s">
        <v>26</v>
      </c>
      <c r="F10" s="31" t="n">
        <v>9</v>
      </c>
      <c r="G10" s="29" t="s">
        <v>106</v>
      </c>
      <c r="H10" s="29" t="s">
        <v>123</v>
      </c>
      <c r="I10" s="29" t="s">
        <v>124</v>
      </c>
    </row>
    <row r="11" customFormat="false" ht="15" hidden="false" customHeight="false" outlineLevel="0" collapsed="false">
      <c r="A11" s="25" t="s">
        <v>125</v>
      </c>
      <c r="B11" s="25" t="s">
        <v>126</v>
      </c>
      <c r="C11" s="25" t="s">
        <v>3</v>
      </c>
      <c r="D11" s="33" t="n">
        <v>46255</v>
      </c>
      <c r="E11" s="25" t="s">
        <v>68</v>
      </c>
      <c r="F11" s="27" t="n">
        <v>20</v>
      </c>
      <c r="G11" s="25" t="s">
        <v>106</v>
      </c>
      <c r="H11" s="25" t="s">
        <v>127</v>
      </c>
      <c r="I11" s="25" t="s">
        <v>128</v>
      </c>
    </row>
    <row r="12" customFormat="false" ht="15" hidden="false" customHeight="false" outlineLevel="0" collapsed="false">
      <c r="A12" s="29" t="s">
        <v>129</v>
      </c>
      <c r="B12" s="29" t="s">
        <v>130</v>
      </c>
      <c r="C12" s="29" t="s">
        <v>71</v>
      </c>
      <c r="D12" s="34" t="n">
        <v>46254</v>
      </c>
      <c r="E12" s="29" t="s">
        <v>72</v>
      </c>
      <c r="F12" s="31" t="n">
        <v>6</v>
      </c>
      <c r="G12" s="29" t="s">
        <v>106</v>
      </c>
      <c r="H12" s="29" t="s">
        <v>131</v>
      </c>
      <c r="I12" s="29" t="s">
        <v>132</v>
      </c>
    </row>
  </sheetData>
  <autoFilter ref="A4:I1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133</v>
      </c>
      <c r="B1" s="1"/>
      <c r="C1" s="1"/>
      <c r="D1" s="1"/>
      <c r="E1" s="1"/>
    </row>
    <row r="3" customFormat="false" ht="15" hidden="false" customHeight="false" outlineLevel="0" collapsed="false">
      <c r="A3" s="35" t="s">
        <v>134</v>
      </c>
    </row>
    <row r="4" customFormat="false" ht="15" hidden="false" customHeight="false" outlineLevel="0" collapsed="false">
      <c r="A4" s="10" t="s">
        <v>135</v>
      </c>
      <c r="B4" s="10" t="s">
        <v>136</v>
      </c>
      <c r="C4" s="10" t="s">
        <v>137</v>
      </c>
      <c r="D4" s="10" t="s">
        <v>138</v>
      </c>
      <c r="E4" s="10" t="s">
        <v>139</v>
      </c>
    </row>
    <row r="5" customFormat="false" ht="15" hidden="false" customHeight="false" outlineLevel="0" collapsed="false">
      <c r="A5" s="11" t="s">
        <v>52</v>
      </c>
      <c r="B5" s="11" t="s">
        <v>25</v>
      </c>
      <c r="C5" s="12" t="n">
        <v>13</v>
      </c>
      <c r="D5" s="36" t="n">
        <v>56.9</v>
      </c>
      <c r="E5" s="11" t="s">
        <v>140</v>
      </c>
    </row>
    <row r="6" customFormat="false" ht="15" hidden="false" customHeight="false" outlineLevel="0" collapsed="false">
      <c r="A6" s="15" t="s">
        <v>110</v>
      </c>
      <c r="B6" s="15" t="s">
        <v>25</v>
      </c>
      <c r="C6" s="16" t="n">
        <v>9</v>
      </c>
      <c r="D6" s="37" t="n">
        <v>11.2</v>
      </c>
      <c r="E6" s="15" t="s">
        <v>140</v>
      </c>
    </row>
    <row r="7" customFormat="false" ht="15" hidden="false" customHeight="false" outlineLevel="0" collapsed="false">
      <c r="A7" s="11" t="s">
        <v>141</v>
      </c>
      <c r="B7" s="11" t="s">
        <v>25</v>
      </c>
      <c r="C7" s="12" t="n">
        <v>16</v>
      </c>
      <c r="D7" s="36" t="n">
        <v>15.7</v>
      </c>
      <c r="E7" s="11" t="s">
        <v>140</v>
      </c>
    </row>
    <row r="8" customFormat="false" ht="15" hidden="false" customHeight="false" outlineLevel="0" collapsed="false">
      <c r="A8" s="15" t="s">
        <v>60</v>
      </c>
      <c r="B8" s="15" t="s">
        <v>26</v>
      </c>
      <c r="C8" s="16" t="n">
        <v>11</v>
      </c>
      <c r="D8" s="37" t="n">
        <v>25.3</v>
      </c>
      <c r="E8" s="15" t="s">
        <v>140</v>
      </c>
    </row>
    <row r="9" customFormat="false" ht="15" hidden="false" customHeight="false" outlineLevel="0" collapsed="false">
      <c r="A9" s="11" t="s">
        <v>142</v>
      </c>
      <c r="B9" s="11" t="s">
        <v>26</v>
      </c>
      <c r="C9" s="12" t="n">
        <v>14</v>
      </c>
      <c r="D9" s="36" t="n">
        <v>18.5</v>
      </c>
      <c r="E9" s="11" t="s">
        <v>140</v>
      </c>
    </row>
    <row r="10" customFormat="false" ht="15" hidden="false" customHeight="false" outlineLevel="0" collapsed="false">
      <c r="A10" s="15" t="s">
        <v>143</v>
      </c>
      <c r="B10" s="15" t="s">
        <v>26</v>
      </c>
      <c r="C10" s="16" t="n">
        <v>9</v>
      </c>
      <c r="D10" s="37" t="n">
        <v>13.8</v>
      </c>
      <c r="E10" s="15" t="s">
        <v>140</v>
      </c>
    </row>
    <row r="11" customFormat="false" ht="15" hidden="false" customHeight="false" outlineLevel="0" collapsed="false">
      <c r="A11" s="11" t="s">
        <v>66</v>
      </c>
      <c r="B11" s="11" t="s">
        <v>68</v>
      </c>
      <c r="C11" s="12" t="n">
        <v>20</v>
      </c>
      <c r="D11" s="36" t="n">
        <v>7.1</v>
      </c>
      <c r="E11" s="11" t="s">
        <v>140</v>
      </c>
    </row>
    <row r="12" customFormat="false" ht="15" hidden="false" customHeight="false" outlineLevel="0" collapsed="false">
      <c r="A12" s="15" t="s">
        <v>69</v>
      </c>
      <c r="B12" s="15" t="s">
        <v>72</v>
      </c>
      <c r="C12" s="16" t="n">
        <v>6</v>
      </c>
      <c r="D12" s="37" t="n">
        <v>3.6</v>
      </c>
      <c r="E12" s="15" t="s">
        <v>140</v>
      </c>
    </row>
  </sheetData>
  <autoFilter ref="A4:E1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2026-08-16T15:00:00Z</dcterms:created>
  <dc:creator>openpyxl</dc:creator>
  <dc:description/>
  <dc:language>en-US</dc:language>
  <cp:lastModifiedBy/>
  <dcterms:modified xsi:type="dcterms:W3CDTF">2026-08-16T15:00:01Z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