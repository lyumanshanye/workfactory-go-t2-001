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ignal Log" sheetId="2" state="visible" r:id="rId2"/>
    <sheet xmlns:r="http://schemas.openxmlformats.org/officeDocument/2006/relationships" name="Scenario Model" sheetId="3" state="visible" r:id="rId3"/>
    <sheet xmlns:r="http://schemas.openxmlformats.org/officeDocument/2006/relationships" name="Regional Forecast" sheetId="4" state="visible" r:id="rId4"/>
    <sheet xmlns:r="http://schemas.openxmlformats.org/officeDocument/2006/relationships" name="Monitoring Register" sheetId="5" state="visible" r:id="rId5"/>
    <sheet xmlns:r="http://schemas.openxmlformats.org/officeDocument/2006/relationships" name="Decision Log" sheetId="6" state="visible" r:id="rId6"/>
  </sheets>
  <definedNames>
    <definedName name="ScenarioLabels">'Scenario Model'!$H$5:$H$7</definedName>
    <definedName name="ReviewStatusList">'Scenario Model'!$I$5:$I$8</definedName>
    <definedName name="OriginalityList">'Scenario Model'!$J$5:$J$7</definedName>
    <definedName name="RegionList">'Scenario Model'!$K$5:$K$7</definedName>
    <definedName name="PlannedLaunchDate">'Scenario Model'!$B$4</definedName>
    <definedName name="DelayDays">'Scenario Model'!$B$5</definedName>
    <definedName name="_xlnm._FilterDatabase" localSheetId="1" hidden="1">'Signal Log'!$A$5:$Q$36</definedName>
    <definedName name="_xlnm.Print_Area" localSheetId="3">'Regional Forecast'!$A$1:$T$24</definedName>
    <definedName name="_xlnm._FilterDatabase" localSheetId="4" hidden="1">'Monitoring Register'!$A$5:$I$6</definedName>
    <definedName name="_xlnm.Print_Titles" localSheetId="4">'Monitoring Register'!$5:$5</definedName>
    <definedName name="_xlnm._FilterDatabase" localSheetId="5" hidden="1">'Decision Log'!$A$5:$H$6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-mmm-yy"/>
    <numFmt numFmtId="166" formatCode="dd-mmm-yyyy"/>
    <numFmt numFmtId="167" formatCode="0.0x"/>
    <numFmt numFmtId="168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263238"/>
      <sz val="10"/>
    </font>
    <font>
      <name val="Aptos"/>
      <i val="1"/>
      <color rgb="005F6B73"/>
      <sz val="8"/>
    </font>
    <font>
      <name val="Aptos"/>
      <i val="1"/>
      <color rgb="005F6B73"/>
      <sz val="9"/>
    </font>
    <font>
      <name val="Aptos"/>
      <color rgb="005F6B73"/>
      <sz val="8"/>
    </font>
    <font>
      <name val="Aptos"/>
      <b val="1"/>
      <color rgb="00000000"/>
      <sz val="10"/>
    </font>
    <font>
      <name val="Aptos"/>
      <color rgb="00000000"/>
      <sz val="10"/>
    </font>
    <font>
      <name val="Aptos"/>
      <i val="1"/>
      <color rgb="00263238"/>
      <sz val="9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2D7F7B"/>
      </patternFill>
    </fill>
    <fill>
      <patternFill patternType="solid">
        <fgColor rgb="00F4F7F8"/>
      </patternFill>
    </fill>
    <fill>
      <patternFill patternType="solid">
        <fgColor rgb="00FFF9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4" borderId="0" applyAlignment="1" pivotButton="0" quotePrefix="0" xfId="0">
      <alignment vertical="center" wrapText="1"/>
    </xf>
    <xf numFmtId="166" fontId="7" fillId="5" borderId="0" applyAlignment="1" pivotButton="0" quotePrefix="0" xfId="0">
      <alignment vertical="center" wrapText="1"/>
    </xf>
    <xf numFmtId="0" fontId="7" fillId="5" borderId="0" applyAlignment="1" pivotButton="0" quotePrefix="0" xfId="0">
      <alignment vertical="center" wrapText="1"/>
    </xf>
    <xf numFmtId="9" fontId="7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0" fontId="8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  <xf numFmtId="168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F1C9"/>
        </patternFill>
      </fill>
    </dxf>
    <dxf>
      <fill>
        <patternFill patternType="solid">
          <fgColor rgb="00F8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Forecast by region - draft visual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'Regional Forecast'!E11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'Regional Forecast'!$A$12:$A$14</f>
            </numRef>
          </cat>
          <val>
            <numRef>
              <f>'Regional Forecast'!$E$12:$E$14</f>
            </numRef>
          </val>
        </ser>
        <ser>
          <idx val="1"/>
          <order val="1"/>
          <tx>
            <strRef>
              <f>'Regional Forecast'!F11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'Regional Forecast'!$A$12:$A$14</f>
            </numRef>
          </cat>
          <val>
            <numRef>
              <f>'Regional Forecast'!$F$12:$F$14</f>
            </numRef>
          </val>
        </ser>
        <ser>
          <idx val="2"/>
          <order val="2"/>
          <tx>
            <strRef>
              <f>'Regional Forecast'!G11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'Regional Forecast'!$A$12:$A$14</f>
            </numRef>
          </cat>
          <val>
            <numRef>
              <f>'Regional Forecast'!$G$12:$G$14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Planning mentions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Communications Planning</author>
  </authors>
  <commentList>
    <comment ref="B4" authorId="0" shapeId="0">
      <text>
        <t>Shared planning date for the September announcement.</t>
      </text>
    </comment>
    <comment ref="B5" authorId="0" shapeId="0">
      <text>
        <t>Shift the delayed monitoring window forward by this many calendar days.</t>
      </text>
    </comment>
    <comment ref="B6" authorId="0" shapeId="0">
      <text>
        <t>Planning retention applied to Baseline after the timing shift; not an observed decline.</t>
      </text>
    </comment>
    <comment ref="B7" authorId="0" shapeId="0">
      <text>
        <t>Multiplier applied to each Baseline before the regional hook increment.</t>
      </text>
    </comment>
    <comment ref="B8" authorId="0" shapeId="0">
      <text>
        <t>Expected whole-mention contribution per confirmed pitch in the Baseline convention.</t>
      </text>
    </comment>
    <comment ref="B9" authorId="0" shapeId="0">
      <text>
        <t>Start intensive monitoring this many days before the planned launch date.</t>
      </text>
    </comment>
    <comment ref="B10" authorId="0" shapeId="0">
      <text>
        <t>Inclusive length of the principal monitoring window.</t>
      </text>
    </comment>
    <comment ref="B15" authorId="0" shapeId="0">
      <text>
        <t>Readiness adjusts the median eligible analogue count in the Baseline formula.</t>
      </text>
    </comment>
    <comment ref="C15" authorId="0" shapeId="0">
      <text>
        <t>Use only the confirmed-pitch counts agreed for the planning meeting.</t>
      </text>
    </comment>
    <comment ref="D15" authorId="0" shapeId="0">
      <text>
        <t>Add this regional hook after applying the High-interest uplift.</t>
      </text>
    </comment>
  </commentList>
</comments>
</file>

<file path=xl/comments/comment2.xml><?xml version="1.0" encoding="utf-8"?>
<comments xmlns="http://schemas.openxmlformats.org/spreadsheetml/2006/main">
  <authors>
    <author>Communications Planning</author>
  </authors>
  <commentList>
    <comment ref="E12" authorId="0" shapeId="0">
      <text>
        <t>Use the formula sketch on Scenario Model. The completed output must retain live formulas and whole-mention rounding.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3</row>
      <rowOff>0</rowOff>
    </from>
    <ext cx="432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Signals" displayName="tblSignals" ref="A5:Q36" headerRowCount="1">
  <autoFilter ref="A5:Q36"/>
  <tableColumns count="17">
    <tableColumn id="1" name="Signal ID"/>
    <tableColumn id="2" name="Analogue announcement"/>
    <tableColumn id="3" name="Published date (source)"/>
    <tableColumn id="4" name="Publication date (used)"/>
    <tableColumn id="5" name="Outlet"/>
    <tableColumn id="6" name="Region (source)"/>
    <tableColumn id="7" name="Region (used)"/>
    <tableColumn id="8" name="Headline"/>
    <tableColumn id="9" name="Item type"/>
    <tableColumn id="10" name="Syndication marker"/>
    <tableColumn id="11" name="Audience / relevance"/>
    <tableColumn id="12" name="Source-evidence note"/>
    <tableColumn id="13" name="Inclusion decision"/>
    <tableColumn id="14" name="Group identifier"/>
    <tableColumn id="15" name="Canonical record"/>
    <tableColumn id="16" name="Count in model"/>
    <tableColumn id="17" name="Decision rationa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Assumptions" displayName="tblAssumptions" ref="A14:D17" headerRowCount="1">
  <autoFilter ref="A14:D17"/>
  <tableColumns count="4">
    <tableColumn id="1" name="Region"/>
    <tableColumn id="2" name="Readiness index"/>
    <tableColumn id="3" name="Confirmed pitches"/>
    <tableColumn id="4" name="Regional-hook increment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tblRegionalForecast" displayName="tblRegionalForecast" ref="A11:J14" headerRowCount="1">
  <autoFilter ref="A11:J14"/>
  <tableColumns count="10">
    <tableColumn id="1" name="Region"/>
    <tableColumn id="2" name="April 2024 eligible"/>
    <tableColumn id="3" name="September 2024 eligible"/>
    <tableColumn id="4" name="Median eligible"/>
    <tableColumn id="5" name="Baseline"/>
    <tableColumn id="6" name="Delayed-launch"/>
    <tableColumn id="7" name="High-interest"/>
    <tableColumn id="8" name="Baseline allocation"/>
    <tableColumn id="9" name="Delayed allocation"/>
    <tableColumn id="10" name="High-interest alloc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Monitoring" displayName="tblMonitoring" ref="A5:I6" headerRowCount="1">
  <autoFilter ref="A5:I6"/>
  <tableColumns count="9">
    <tableColumn id="1" name="Observed date"/>
    <tableColumn id="2" name="Outlet"/>
    <tableColumn id="3" name="Region"/>
    <tableColumn id="4" name="Headline"/>
    <tableColumn id="5" name="URL or reference"/>
    <tableColumn id="6" name="Scenario Window"/>
    <tableColumn id="7" name="Review Status"/>
    <tableColumn id="8" name="Originality"/>
    <tableColumn id="9" name="Not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Decisions" displayName="tblDecisions" ref="A5:H6" headerRowCount="1">
  <autoFilter ref="A5:H6"/>
  <tableColumns count="8">
    <tableColumn id="1" name="Decision ID"/>
    <tableColumn id="2" name="Decision type"/>
    <tableColumn id="3" name="Affected ID / model area"/>
    <tableColumn id="4" name="Action"/>
    <tableColumn id="5" name="Original value"/>
    <tableColumn id="6" name="Corrected / applied value"/>
    <tableColumn id="7" name="Evidence / rationale"/>
    <tableColumn id="8" name="Impact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3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Amberfield Works media signals - planning workbook</t>
        </is>
      </c>
    </row>
    <row r="3">
      <c r="A3" s="2" t="inlineStr">
        <is>
          <t>Working use</t>
        </is>
      </c>
    </row>
    <row r="4">
      <c r="A4" t="inlineStr">
        <is>
          <t>This log is the evidence base for internal communications planning around the September announcement. It contains source-level records, not a finished count.</t>
        </is>
      </c>
    </row>
    <row r="6">
      <c r="A6" s="2" t="inlineStr">
        <is>
          <t>Review notes</t>
        </is>
      </c>
    </row>
    <row r="7" ht="32" customHeight="1">
      <c r="A7" s="3" t="inlineStr">
        <is>
          <t>Reconcile earned editorial items before using the forecast table. Network copies, owned activity, paid activity, calendars and administrative listings do not necessarily carry the same weight.</t>
        </is>
      </c>
    </row>
    <row r="8" ht="32" customHeight="1">
      <c r="A8" s="3" t="inlineStr">
        <is>
          <t>A source date or regional tag may only be changed when the source-evidence note supports it. Leave a missing metadata item open when the log does not support a correction.</t>
        </is>
      </c>
    </row>
    <row r="9" ht="32" customHeight="1">
      <c r="A9" s="3" t="inlineStr">
        <is>
          <t>The model inputs are agreed planning assumptions. Complete the live formula structure in the forecast rather than typing output values.</t>
        </is>
      </c>
    </row>
    <row r="10" ht="32" customHeight="1">
      <c r="A10" s="3" t="inlineStr">
        <is>
          <t>The Monitoring Register is deliberately empty for use after the announcement. Keep its controlled fields and table structure intact.</t>
        </is>
      </c>
    </row>
    <row r="13">
      <c r="A13" s="4" t="inlineStr">
        <is>
          <t>Exported from Communications Planning / 14-Aug-26 16:40 UTC</t>
        </is>
      </c>
    </row>
  </sheetData>
  <mergeCells count="9">
    <mergeCell ref="A10:F10"/>
    <mergeCell ref="A13:F13"/>
    <mergeCell ref="A1:F1"/>
    <mergeCell ref="A9:F9"/>
    <mergeCell ref="A8:F8"/>
    <mergeCell ref="A6:F6"/>
    <mergeCell ref="A4:F4"/>
    <mergeCell ref="A3:F3"/>
    <mergeCell ref="A7:F7"/>
  </mergeCells>
  <pageMargins left="0.3" right="0.3" top="0.45" bottom="0.45" header="0.5" footer="0.5"/>
  <headerFooter>
    <oddHeader/>
    <oddFooter>&amp;C&amp;"Aptos"&amp;8 Amberfield Works | internal communications planning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3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5" customWidth="1" min="3" max="3"/>
    <col width="15" customWidth="1" min="4" max="4"/>
    <col width="24" customWidth="1" min="5" max="5"/>
    <col width="18" customWidth="1" min="6" max="6"/>
    <col width="18" customWidth="1" min="7" max="7"/>
    <col width="40" customWidth="1" min="8" max="8"/>
    <col width="21" customWidth="1" min="9" max="9"/>
    <col width="24" customWidth="1" min="10" max="10"/>
    <col width="19" customWidth="1" min="11" max="11"/>
    <col width="54" customWidth="1" min="12" max="12"/>
    <col width="18" customWidth="1" min="13" max="13"/>
    <col width="18" customWidth="1" min="14" max="14"/>
    <col width="16" customWidth="1" min="15" max="15"/>
    <col width="14" customWidth="1" min="16" max="16"/>
    <col width="40" customWidth="1" min="17" max="17"/>
  </cols>
  <sheetData>
    <row r="1">
      <c r="A1" s="1" t="inlineStr">
        <is>
          <t>Historical media signal log</t>
        </is>
      </c>
    </row>
    <row r="2">
      <c r="A2" s="5" t="inlineStr">
        <is>
          <t>Source entries for two comparable apprenticeship announcements; reconciliation fields are intentionally unfinished.</t>
        </is>
      </c>
    </row>
    <row r="4">
      <c r="A4" s="6" t="inlineStr">
        <is>
          <t>Captured 14-Aug-26 | source titles and labels as retained in the planning log</t>
        </is>
      </c>
    </row>
    <row r="5" ht="34" customHeight="1">
      <c r="A5" s="1" t="inlineStr">
        <is>
          <t>Signal ID</t>
        </is>
      </c>
      <c r="B5" s="1" t="inlineStr">
        <is>
          <t>Analogue announcement</t>
        </is>
      </c>
      <c r="C5" s="1" t="inlineStr">
        <is>
          <t>Published date (source)</t>
        </is>
      </c>
      <c r="D5" s="1" t="inlineStr">
        <is>
          <t>Publication date (used)</t>
        </is>
      </c>
      <c r="E5" s="1" t="inlineStr">
        <is>
          <t>Outlet</t>
        </is>
      </c>
      <c r="F5" s="1" t="inlineStr">
        <is>
          <t>Region (source)</t>
        </is>
      </c>
      <c r="G5" s="1" t="inlineStr">
        <is>
          <t>Region (used)</t>
        </is>
      </c>
      <c r="H5" s="1" t="inlineStr">
        <is>
          <t>Headline</t>
        </is>
      </c>
      <c r="I5" s="1" t="inlineStr">
        <is>
          <t>Item type</t>
        </is>
      </c>
      <c r="J5" s="1" t="inlineStr">
        <is>
          <t>Syndication marker</t>
        </is>
      </c>
      <c r="K5" s="1" t="inlineStr">
        <is>
          <t>Audience / relevance</t>
        </is>
      </c>
      <c r="L5" s="1" t="inlineStr">
        <is>
          <t>Source-evidence note</t>
        </is>
      </c>
      <c r="M5" s="1" t="inlineStr">
        <is>
          <t>Inclusion decision</t>
        </is>
      </c>
      <c r="N5" s="1" t="inlineStr">
        <is>
          <t>Group identifier</t>
        </is>
      </c>
      <c r="O5" s="1" t="inlineStr">
        <is>
          <t>Canonical record</t>
        </is>
      </c>
      <c r="P5" s="1" t="inlineStr">
        <is>
          <t>Count in model</t>
        </is>
      </c>
      <c r="Q5" s="1" t="inlineStr">
        <is>
          <t>Decision rationale</t>
        </is>
      </c>
    </row>
    <row r="6">
      <c r="A6" t="inlineStr">
        <is>
          <t>SIG-001</t>
        </is>
      </c>
      <c r="B6" t="inlineStr">
        <is>
          <t>April 2024 intake</t>
        </is>
      </c>
      <c r="C6" s="7" t="n">
        <v>45390</v>
      </c>
      <c r="E6" t="inlineStr">
        <is>
          <t>North March Chronicle</t>
        </is>
      </c>
      <c r="F6" t="inlineStr">
        <is>
          <t>North &amp; Borders</t>
        </is>
      </c>
      <c r="H6" s="8" t="inlineStr">
        <is>
          <t>Amberfield opens applications for trainee places</t>
        </is>
      </c>
      <c r="I6" t="inlineStr">
        <is>
          <t>Earned editorial</t>
        </is>
      </c>
      <c r="J6" t="inlineStr">
        <is>
          <t>Standalone</t>
        </is>
      </c>
      <c r="K6" t="inlineStr">
        <is>
          <t>Regional business</t>
        </is>
      </c>
      <c r="L6" s="8" t="inlineStr">
        <is>
          <t>Article page carries a reporter byline and local workforce context.</t>
        </is>
      </c>
    </row>
    <row r="7">
      <c r="A7" t="inlineStr">
        <is>
          <t>SIG-002</t>
        </is>
      </c>
      <c r="B7" t="inlineStr">
        <is>
          <t>April 2024 intake</t>
        </is>
      </c>
      <c r="C7" s="7" t="n">
        <v>45391</v>
      </c>
      <c r="E7" t="inlineStr">
        <is>
          <t>North March Chronicle</t>
        </is>
      </c>
      <c r="F7" t="inlineStr">
        <is>
          <t>North &amp; Borders</t>
        </is>
      </c>
      <c r="H7" s="8" t="inlineStr">
        <is>
          <t>Amberfield confirms spring apprenticeship intake</t>
        </is>
      </c>
      <c r="I7" t="inlineStr">
        <is>
          <t>Earned editorial</t>
        </is>
      </c>
      <c r="J7" t="inlineStr">
        <is>
          <t>Network feed A-17 / lead</t>
        </is>
      </c>
      <c r="K7" t="inlineStr">
        <is>
          <t>Regional news</t>
        </is>
      </c>
      <c r="L7" s="8" t="inlineStr">
        <is>
          <t>Lead record; copy carries a Network Service byline.</t>
        </is>
      </c>
    </row>
    <row r="8">
      <c r="A8" t="inlineStr">
        <is>
          <t>SIG-003</t>
        </is>
      </c>
      <c r="B8" t="inlineStr">
        <is>
          <t>April 2024 intake</t>
        </is>
      </c>
      <c r="C8" s="7" t="n">
        <v>45391</v>
      </c>
      <c r="E8" t="inlineStr">
        <is>
          <t>Rillford Gazette</t>
        </is>
      </c>
      <c r="F8" t="inlineStr">
        <is>
          <t>North &amp; Borders</t>
        </is>
      </c>
      <c r="H8" s="8" t="inlineStr">
        <is>
          <t>Amberfield confirms spring apprenticeship intake</t>
        </is>
      </c>
      <c r="I8" t="inlineStr">
        <is>
          <t>Earned editorial</t>
        </is>
      </c>
      <c r="J8" t="inlineStr">
        <is>
          <t>Network feed A-17 / pickup</t>
        </is>
      </c>
      <c r="K8" t="inlineStr">
        <is>
          <t>Community news</t>
        </is>
      </c>
      <c r="L8" s="8" t="inlineStr">
        <is>
          <t>Body and wire attribution match Network feed A-17.</t>
        </is>
      </c>
    </row>
    <row r="9">
      <c r="A9" t="inlineStr">
        <is>
          <t>SIG-004</t>
        </is>
      </c>
      <c r="B9" t="inlineStr">
        <is>
          <t>April 2024 intake</t>
        </is>
      </c>
      <c r="C9" s="7" t="n">
        <v>45392</v>
      </c>
      <c r="E9" t="inlineStr">
        <is>
          <t>Westbank Evening</t>
        </is>
      </c>
      <c r="F9" t="inlineStr">
        <is>
          <t>North &amp; Borders</t>
        </is>
      </c>
      <c r="H9" s="8" t="inlineStr">
        <is>
          <t>Amberfield confirms spring apprenticeship intake</t>
        </is>
      </c>
      <c r="I9" t="inlineStr">
        <is>
          <t>Earned editorial</t>
        </is>
      </c>
      <c r="J9" t="inlineStr">
        <is>
          <t>Network feed A-17 / pickup</t>
        </is>
      </c>
      <c r="K9" t="inlineStr">
        <is>
          <t>Local news</t>
        </is>
      </c>
      <c r="L9" s="8" t="inlineStr">
        <is>
          <t>Body and wire attribution match Network feed A-17. Screenshot footer records 11 Apr 2024, 08:11 UTC; use 11 Apr 2024.</t>
        </is>
      </c>
    </row>
    <row r="10">
      <c r="A10" t="inlineStr">
        <is>
          <t>SIG-005</t>
        </is>
      </c>
      <c r="B10" t="inlineStr">
        <is>
          <t>April 2024 intake</t>
        </is>
      </c>
      <c r="C10" s="7" t="n">
        <v>45393</v>
      </c>
      <c r="E10" t="inlineStr">
        <is>
          <t>Rivergate Journal</t>
        </is>
      </c>
      <c r="F10" t="inlineStr">
        <is>
          <t>North &amp; Borders</t>
        </is>
      </c>
      <c r="H10" s="8" t="inlineStr">
        <is>
          <t>Amberfield spring intake: one workshop's local view</t>
        </is>
      </c>
      <c r="I10" t="inlineStr">
        <is>
          <t>Earned editorial</t>
        </is>
      </c>
      <c r="J10" t="inlineStr">
        <is>
          <t>Local rewrite</t>
        </is>
      </c>
      <c r="K10" t="inlineStr">
        <is>
          <t>Skills and work</t>
        </is>
      </c>
      <c r="L10" s="8" t="inlineStr">
        <is>
          <t>Byline follows a Rivergate workshop visit and adds a local training-coordinator comment and site detail absent from Network feed A-17.</t>
        </is>
      </c>
    </row>
    <row r="11">
      <c r="A11" t="inlineStr">
        <is>
          <t>SIG-006</t>
        </is>
      </c>
      <c r="B11" t="inlineStr">
        <is>
          <t>April 2024 intake</t>
        </is>
      </c>
      <c r="C11" s="7" t="n">
        <v>45394</v>
      </c>
      <c r="E11" t="inlineStr">
        <is>
          <t>North March Business</t>
        </is>
      </c>
      <c r="F11" t="inlineStr">
        <is>
          <t>North &amp; Borders</t>
        </is>
      </c>
      <c r="H11" s="8" t="inlineStr">
        <is>
          <t>Employers note Amberfield training route</t>
        </is>
      </c>
      <c r="I11" t="inlineStr">
        <is>
          <t>Earned editorial</t>
        </is>
      </c>
      <c r="J11" t="inlineStr">
        <is>
          <t>Standalone</t>
        </is>
      </c>
      <c r="K11" t="inlineStr">
        <is>
          <t>Business</t>
        </is>
      </c>
      <c r="L11" s="8" t="inlineStr">
        <is>
          <t>Short original business report with a separate reporter byline.</t>
        </is>
      </c>
    </row>
    <row r="12">
      <c r="A12" t="inlineStr">
        <is>
          <t>SIG-007</t>
        </is>
      </c>
      <c r="B12" t="inlineStr">
        <is>
          <t>April 2024 intake</t>
        </is>
      </c>
      <c r="C12" s="7" t="n">
        <v>45390</v>
      </c>
      <c r="E12" t="inlineStr">
        <is>
          <t>Central Ledger</t>
        </is>
      </c>
      <c r="F12" t="inlineStr">
        <is>
          <t>Central Counties</t>
        </is>
      </c>
      <c r="H12" s="8" t="inlineStr">
        <is>
          <t>Career route announced by Amberfield</t>
        </is>
      </c>
      <c r="I12" t="inlineStr">
        <is>
          <t>Earned editorial</t>
        </is>
      </c>
      <c r="J12" t="inlineStr">
        <is>
          <t>Standalone</t>
        </is>
      </c>
      <c r="K12" t="inlineStr">
        <is>
          <t>County news</t>
        </is>
      </c>
      <c r="L12" s="8" t="inlineStr">
        <is>
          <t>Original county desk copy.</t>
        </is>
      </c>
    </row>
    <row r="13">
      <c r="A13" t="inlineStr">
        <is>
          <t>SIG-008</t>
        </is>
      </c>
      <c r="B13" t="inlineStr">
        <is>
          <t>April 2024 intake</t>
        </is>
      </c>
      <c r="C13" s="7" t="n">
        <v>45392</v>
      </c>
      <c r="E13" t="inlineStr">
        <is>
          <t>Vale Business Ledger</t>
        </is>
      </c>
      <c r="F13" t="inlineStr">
        <is>
          <t>Central Counties</t>
        </is>
      </c>
      <c r="H13" s="8" t="inlineStr">
        <is>
          <t>Workshop places open for spring</t>
        </is>
      </c>
      <c r="I13" t="inlineStr">
        <is>
          <t>Earned editorial</t>
        </is>
      </c>
      <c r="J13" t="inlineStr">
        <is>
          <t>Standalone</t>
        </is>
      </c>
      <c r="K13" t="inlineStr">
        <is>
          <t>Business</t>
        </is>
      </c>
      <c r="L13" s="8" t="inlineStr">
        <is>
          <t>Original business feature with county labour-market context.</t>
        </is>
      </c>
    </row>
    <row r="14">
      <c r="A14" t="inlineStr">
        <is>
          <t>SIG-009</t>
        </is>
      </c>
      <c r="B14" t="inlineStr">
        <is>
          <t>April 2024 intake</t>
        </is>
      </c>
      <c r="C14" s="7" t="n">
        <v>45395</v>
      </c>
      <c r="E14" t="inlineStr">
        <is>
          <t>Bramley Post</t>
        </is>
      </c>
      <c r="F14" t="inlineStr">
        <is>
          <t>Central Counties</t>
        </is>
      </c>
      <c r="H14" s="8" t="inlineStr">
        <is>
          <t>Training routes in the weekly education round-up</t>
        </is>
      </c>
      <c r="I14" t="inlineStr">
        <is>
          <t>Earned editorial</t>
        </is>
      </c>
      <c r="J14" t="inlineStr">
        <is>
          <t>Standalone</t>
        </is>
      </c>
      <c r="K14" t="inlineStr">
        <is>
          <t>Education</t>
        </is>
      </c>
      <c r="L14" s="8" t="inlineStr">
        <is>
          <t>Editorial round-up; Amberfield item is independently written.</t>
        </is>
      </c>
    </row>
    <row r="15">
      <c r="A15" t="inlineStr">
        <is>
          <t>SIG-010</t>
        </is>
      </c>
      <c r="B15" t="inlineStr">
        <is>
          <t>April 2024 intake</t>
        </is>
      </c>
      <c r="C15" s="7" t="n">
        <v>45390</v>
      </c>
      <c r="E15" t="inlineStr">
        <is>
          <t>Amberfield Works newsroom</t>
        </is>
      </c>
      <c r="F15" t="inlineStr">
        <is>
          <t>Central Counties</t>
        </is>
      </c>
      <c r="H15" s="8" t="inlineStr">
        <is>
          <t>New intake on Amberfield Works newsdesk</t>
        </is>
      </c>
      <c r="I15" t="inlineStr">
        <is>
          <t>Owned channel</t>
        </is>
      </c>
      <c r="J15" t="inlineStr">
        <is>
          <t>Amberfield owned site</t>
        </is>
      </c>
      <c r="K15" t="inlineStr">
        <is>
          <t>Company update</t>
        </is>
      </c>
      <c r="L15" s="8" t="inlineStr">
        <is>
          <t>Company-hosted update.</t>
        </is>
      </c>
    </row>
    <row r="16">
      <c r="A16" t="inlineStr">
        <is>
          <t>SIG-011</t>
        </is>
      </c>
      <c r="B16" t="inlineStr">
        <is>
          <t>April 2024 intake</t>
        </is>
      </c>
      <c r="C16" s="7" t="n">
        <v>45391</v>
      </c>
      <c r="E16" t="inlineStr">
        <is>
          <t>Coastal Dispatch</t>
        </is>
      </c>
      <c r="F16" t="inlineStr">
        <is>
          <t>Coastal South</t>
        </is>
      </c>
      <c r="H16" s="8" t="inlineStr">
        <is>
          <t>Amberfield programme offers new workshop route</t>
        </is>
      </c>
      <c r="I16" t="inlineStr">
        <is>
          <t>Earned editorial</t>
        </is>
      </c>
      <c r="J16" t="inlineStr">
        <is>
          <t>Standalone</t>
        </is>
      </c>
      <c r="K16" t="inlineStr">
        <is>
          <t>Coastal business</t>
        </is>
      </c>
      <c r="L16" s="8" t="inlineStr">
        <is>
          <t>Original dispatch report.</t>
        </is>
      </c>
    </row>
    <row r="17">
      <c r="A17" t="inlineStr">
        <is>
          <t>SIG-012</t>
        </is>
      </c>
      <c r="B17" t="inlineStr">
        <is>
          <t>April 2024 intake</t>
        </is>
      </c>
      <c r="C17" s="7" t="n">
        <v>45396</v>
      </c>
      <c r="E17" t="inlineStr">
        <is>
          <t>Southport Times</t>
        </is>
      </c>
      <c r="F17" t="inlineStr">
        <is>
          <t>Coastal South</t>
        </is>
      </c>
      <c r="H17" s="8" t="inlineStr">
        <is>
          <t>Placement routes open for applicants</t>
        </is>
      </c>
      <c r="I17" t="inlineStr">
        <is>
          <t>Earned editorial</t>
        </is>
      </c>
      <c r="J17" t="inlineStr">
        <is>
          <t>Standalone</t>
        </is>
      </c>
      <c r="K17" t="inlineStr">
        <is>
          <t>Local news</t>
        </is>
      </c>
      <c r="L17" s="8" t="inlineStr">
        <is>
          <t>Original local-news item.</t>
        </is>
      </c>
    </row>
    <row r="18">
      <c r="A18" t="inlineStr">
        <is>
          <t>SIG-013</t>
        </is>
      </c>
      <c r="B18" t="inlineStr">
        <is>
          <t>April 2024 intake</t>
        </is>
      </c>
      <c r="C18" s="7" t="n">
        <v>45397</v>
      </c>
      <c r="E18" t="inlineStr">
        <is>
          <t>Harbour Noticeboard</t>
        </is>
      </c>
      <c r="F18" t="inlineStr">
        <is>
          <t>Coastal South</t>
        </is>
      </c>
      <c r="H18" s="8" t="inlineStr">
        <is>
          <t>September skills diary</t>
        </is>
      </c>
      <c r="I18" t="inlineStr">
        <is>
          <t>Calendar / administrative</t>
        </is>
      </c>
      <c r="J18" t="inlineStr">
        <is>
          <t>Community listing</t>
        </is>
      </c>
      <c r="K18" t="inlineStr">
        <is>
          <t>Community diary</t>
        </is>
      </c>
      <c r="L18" s="8" t="inlineStr">
        <is>
          <t>Community diary entry without editorial reporting.</t>
        </is>
      </c>
    </row>
    <row r="19">
      <c r="A19" t="inlineStr">
        <is>
          <t>SIG-014</t>
        </is>
      </c>
      <c r="B19" t="inlineStr">
        <is>
          <t>April 2024 intake</t>
        </is>
      </c>
      <c r="C19" s="7" t="n">
        <v>45398</v>
      </c>
      <c r="E19" t="inlineStr">
        <is>
          <t>Vale Business Ledger</t>
        </is>
      </c>
      <c r="F19" t="inlineStr">
        <is>
          <t>Central Counties</t>
        </is>
      </c>
      <c r="H19" s="8" t="inlineStr">
        <is>
          <t>Amberfield training route</t>
        </is>
      </c>
      <c r="I19" t="inlineStr">
        <is>
          <t>Paid placement</t>
        </is>
      </c>
      <c r="J19" t="inlineStr">
        <is>
          <t>Advertiser-disclosed slot</t>
        </is>
      </c>
      <c r="K19" t="inlineStr">
        <is>
          <t>Business</t>
        </is>
      </c>
      <c r="L19" s="8" t="inlineStr">
        <is>
          <t>Paid content label is visible on the captured page.</t>
        </is>
      </c>
    </row>
    <row r="20">
      <c r="A20" t="inlineStr">
        <is>
          <t>SIG-015</t>
        </is>
      </c>
      <c r="B20" t="inlineStr">
        <is>
          <t>September 2024 workshop intake</t>
        </is>
      </c>
      <c r="C20" s="7" t="n">
        <v>45539</v>
      </c>
      <c r="E20" t="inlineStr">
        <is>
          <t>North March Chronicle</t>
        </is>
      </c>
      <c r="F20" t="inlineStr">
        <is>
          <t>North &amp; Borders</t>
        </is>
      </c>
      <c r="H20" s="8" t="inlineStr">
        <is>
          <t>Amberfield workshop apprenticeship intake opens</t>
        </is>
      </c>
      <c r="I20" t="inlineStr">
        <is>
          <t>Earned editorial</t>
        </is>
      </c>
      <c r="J20" t="inlineStr">
        <is>
          <t>Standalone</t>
        </is>
      </c>
      <c r="K20" t="inlineStr">
        <is>
          <t>Regional business</t>
        </is>
      </c>
      <c r="L20" s="8" t="inlineStr">
        <is>
          <t>Original reporter byline.</t>
        </is>
      </c>
    </row>
    <row r="21">
      <c r="A21" t="inlineStr">
        <is>
          <t>SIG-016</t>
        </is>
      </c>
      <c r="B21" t="inlineStr">
        <is>
          <t>September 2024 workshop intake</t>
        </is>
      </c>
      <c r="C21" s="7" t="n">
        <v>45540</v>
      </c>
      <c r="E21" t="inlineStr">
        <is>
          <t>Rillford Gazette</t>
        </is>
      </c>
      <c r="F21" t="inlineStr">
        <is>
          <t>North &amp; Borders</t>
        </is>
      </c>
      <c r="H21" s="8" t="inlineStr">
        <is>
          <t>New route brings workshop training places</t>
        </is>
      </c>
      <c r="I21" t="inlineStr">
        <is>
          <t>Earned editorial</t>
        </is>
      </c>
      <c r="J21" t="inlineStr">
        <is>
          <t>Standalone</t>
        </is>
      </c>
      <c r="K21" t="inlineStr">
        <is>
          <t>Community news</t>
        </is>
      </c>
      <c r="L21" s="8" t="inlineStr">
        <is>
          <t>Local reporter copy.</t>
        </is>
      </c>
    </row>
    <row r="22">
      <c r="A22" t="inlineStr">
        <is>
          <t>SIG-017</t>
        </is>
      </c>
      <c r="B22" t="inlineStr">
        <is>
          <t>September 2024 workshop intake</t>
        </is>
      </c>
      <c r="C22" s="7" t="n">
        <v>45541</v>
      </c>
      <c r="E22" t="inlineStr">
        <is>
          <t>Rivergate Journal</t>
        </is>
      </c>
      <c r="F22" t="inlineStr">
        <is>
          <t>North &amp; Borders</t>
        </is>
      </c>
      <c r="H22" s="8" t="inlineStr">
        <is>
          <t>Amberfield adds apprenticeship route</t>
        </is>
      </c>
      <c r="I22" t="inlineStr">
        <is>
          <t>Earned editorial</t>
        </is>
      </c>
      <c r="J22" t="inlineStr">
        <is>
          <t>Standalone</t>
        </is>
      </c>
      <c r="K22" t="inlineStr">
        <is>
          <t>Skills and work</t>
        </is>
      </c>
      <c r="L22" s="8" t="inlineStr">
        <is>
          <t>Original local report.</t>
        </is>
      </c>
    </row>
    <row r="23">
      <c r="A23" t="inlineStr">
        <is>
          <t>SIG-018</t>
        </is>
      </c>
      <c r="B23" t="inlineStr">
        <is>
          <t>September 2024 workshop intake</t>
        </is>
      </c>
      <c r="C23" s="7" t="n">
        <v>45543</v>
      </c>
      <c r="E23" t="inlineStr">
        <is>
          <t>North March Business</t>
        </is>
      </c>
      <c r="F23" t="inlineStr">
        <is>
          <t>North &amp; Borders</t>
        </is>
      </c>
      <c r="H23" s="8" t="inlineStr">
        <is>
          <t>Business brief: Amberfield training intake</t>
        </is>
      </c>
      <c r="I23" t="inlineStr">
        <is>
          <t>Earned editorial</t>
        </is>
      </c>
      <c r="J23" t="inlineStr">
        <is>
          <t>Standalone</t>
        </is>
      </c>
      <c r="K23" t="inlineStr">
        <is>
          <t>Business</t>
        </is>
      </c>
      <c r="L23" s="8" t="inlineStr">
        <is>
          <t>Editorial brief with a named reporter.</t>
        </is>
      </c>
    </row>
    <row r="24">
      <c r="A24" t="inlineStr">
        <is>
          <t>SIG-019</t>
        </is>
      </c>
      <c r="B24" t="inlineStr">
        <is>
          <t>September 2024 workshop intake</t>
        </is>
      </c>
      <c r="C24" s="7" t="n">
        <v>45544</v>
      </c>
      <c r="E24" t="inlineStr">
        <is>
          <t>North March Journal</t>
        </is>
      </c>
      <c r="F24" t="inlineStr">
        <is>
          <t>Central Counties</t>
        </is>
      </c>
      <c r="H24" s="8" t="inlineStr">
        <is>
          <t>Workshop apprenticeships extend at Amberfield</t>
        </is>
      </c>
      <c r="I24" t="inlineStr">
        <is>
          <t>Earned editorial</t>
        </is>
      </c>
      <c r="J24" t="inlineStr">
        <is>
          <t>Standalone</t>
        </is>
      </c>
      <c r="K24" t="inlineStr">
        <is>
          <t>Regional news</t>
        </is>
      </c>
      <c r="L24" s="8" t="inlineStr">
        <is>
          <t>Outlet-location record assigns North March Journal to North &amp; Borders; use North &amp; Borders. Article page has no separate location tag.</t>
        </is>
      </c>
    </row>
    <row r="25">
      <c r="A25" t="inlineStr">
        <is>
          <t>SIG-020</t>
        </is>
      </c>
      <c r="B25" t="inlineStr">
        <is>
          <t>September 2024 workshop intake</t>
        </is>
      </c>
      <c r="C25" s="7" t="n">
        <v>45546</v>
      </c>
      <c r="E25" t="inlineStr">
        <is>
          <t>Borderline Weekly</t>
        </is>
      </c>
      <c r="F25" t="inlineStr">
        <is>
          <t>North &amp; Borders</t>
        </is>
      </c>
      <c r="H25" s="8" t="inlineStr">
        <is>
          <t>Training places draw local interest</t>
        </is>
      </c>
      <c r="I25" t="inlineStr">
        <is>
          <t>Earned editorial</t>
        </is>
      </c>
      <c r="J25" t="inlineStr">
        <is>
          <t>Standalone</t>
        </is>
      </c>
      <c r="K25" t="inlineStr">
        <is>
          <t>Local news</t>
        </is>
      </c>
      <c r="L25" s="8" t="inlineStr">
        <is>
          <t>Original weekly report.</t>
        </is>
      </c>
    </row>
    <row r="26">
      <c r="A26" t="inlineStr">
        <is>
          <t>SIG-021</t>
        </is>
      </c>
      <c r="B26" t="inlineStr">
        <is>
          <t>September 2024 workshop intake</t>
        </is>
      </c>
      <c r="C26" s="7" t="n">
        <v>45539</v>
      </c>
      <c r="E26" t="inlineStr">
        <is>
          <t>Central Ledger</t>
        </is>
      </c>
      <c r="F26" t="inlineStr">
        <is>
          <t>Central Counties</t>
        </is>
      </c>
      <c r="H26" s="8" t="inlineStr">
        <is>
          <t>Amberfield confirms workshop apprenticeship intake</t>
        </is>
      </c>
      <c r="I26" t="inlineStr">
        <is>
          <t>Earned editorial</t>
        </is>
      </c>
      <c r="J26" t="inlineStr">
        <is>
          <t>Network feed S-04 / lead</t>
        </is>
      </c>
      <c r="K26" t="inlineStr">
        <is>
          <t>County news</t>
        </is>
      </c>
      <c r="L26" s="8" t="inlineStr">
        <is>
          <t>Lead record; copy carries a Network Service byline.</t>
        </is>
      </c>
    </row>
    <row r="27">
      <c r="A27" t="inlineStr">
        <is>
          <t>SIG-022</t>
        </is>
      </c>
      <c r="B27" t="inlineStr">
        <is>
          <t>September 2024 workshop intake</t>
        </is>
      </c>
      <c r="C27" s="7" t="n">
        <v>45539</v>
      </c>
      <c r="E27" t="inlineStr">
        <is>
          <t>Bramley Post</t>
        </is>
      </c>
      <c r="F27" t="inlineStr">
        <is>
          <t>Central Counties</t>
        </is>
      </c>
      <c r="H27" s="8" t="inlineStr">
        <is>
          <t>Amberfield confirms workshop apprenticeship intake</t>
        </is>
      </c>
      <c r="I27" t="inlineStr">
        <is>
          <t>Earned editorial</t>
        </is>
      </c>
      <c r="J27" t="inlineStr">
        <is>
          <t>Network feed S-04 / pickup</t>
        </is>
      </c>
      <c r="K27" t="inlineStr">
        <is>
          <t>Community news</t>
        </is>
      </c>
      <c r="L27" s="8" t="inlineStr">
        <is>
          <t>Body and wire attribution match Network feed S-04.</t>
        </is>
      </c>
    </row>
    <row r="28">
      <c r="A28" t="inlineStr">
        <is>
          <t>SIG-023</t>
        </is>
      </c>
      <c r="B28" t="inlineStr">
        <is>
          <t>September 2024 workshop intake</t>
        </is>
      </c>
      <c r="C28" s="7" t="n">
        <v>45540</v>
      </c>
      <c r="E28" t="inlineStr">
        <is>
          <t>Vale Business Ledger</t>
        </is>
      </c>
      <c r="F28" t="inlineStr">
        <is>
          <t>Central Counties</t>
        </is>
      </c>
      <c r="H28" s="8" t="inlineStr">
        <is>
          <t>Amberfield confirms workshop apprenticeship intake</t>
        </is>
      </c>
      <c r="I28" t="inlineStr">
        <is>
          <t>Earned editorial</t>
        </is>
      </c>
      <c r="J28" t="inlineStr">
        <is>
          <t>Network feed S-04 / pickup</t>
        </is>
      </c>
      <c r="K28" t="inlineStr">
        <is>
          <t>Business</t>
        </is>
      </c>
      <c r="L28" s="8" t="inlineStr">
        <is>
          <t>Body and wire attribution match Network feed S-04.</t>
        </is>
      </c>
    </row>
    <row r="29">
      <c r="A29" t="inlineStr">
        <is>
          <t>SIG-024</t>
        </is>
      </c>
      <c r="B29" t="inlineStr">
        <is>
          <t>September 2024 workshop intake</t>
        </is>
      </c>
      <c r="C29" s="7" t="n">
        <v>45541</v>
      </c>
      <c r="E29" t="inlineStr">
        <is>
          <t>Central Ledger</t>
        </is>
      </c>
      <c r="F29" t="inlineStr">
        <is>
          <t>Central Counties</t>
        </is>
      </c>
      <c r="H29" s="8" t="inlineStr">
        <is>
          <t>Training intake makes room for new workshop route</t>
        </is>
      </c>
      <c r="I29" t="inlineStr">
        <is>
          <t>Earned editorial</t>
        </is>
      </c>
      <c r="J29" t="inlineStr">
        <is>
          <t>Standalone</t>
        </is>
      </c>
      <c r="K29" t="inlineStr">
        <is>
          <t>County news</t>
        </is>
      </c>
      <c r="L29" s="8" t="inlineStr">
        <is>
          <t>Original desk report.</t>
        </is>
      </c>
    </row>
    <row r="30">
      <c r="A30" t="inlineStr">
        <is>
          <t>SIG-025</t>
        </is>
      </c>
      <c r="B30" t="inlineStr">
        <is>
          <t>September 2024 workshop intake</t>
        </is>
      </c>
      <c r="C30" s="7" t="n">
        <v>45543</v>
      </c>
      <c r="E30" t="inlineStr">
        <is>
          <t>Vale Business Ledger</t>
        </is>
      </c>
      <c r="F30" t="inlineStr">
        <is>
          <t>Central Counties</t>
        </is>
      </c>
      <c r="H30" s="8" t="inlineStr">
        <is>
          <t>Employers prepare for autumn apprentice intake</t>
        </is>
      </c>
      <c r="I30" t="inlineStr">
        <is>
          <t>Earned editorial</t>
        </is>
      </c>
      <c r="J30" t="inlineStr">
        <is>
          <t>Standalone</t>
        </is>
      </c>
      <c r="K30" t="inlineStr">
        <is>
          <t>Business</t>
        </is>
      </c>
      <c r="L30" s="8" t="inlineStr">
        <is>
          <t>Original business report.</t>
        </is>
      </c>
    </row>
    <row r="31">
      <c r="A31" t="inlineStr">
        <is>
          <t>SIG-026</t>
        </is>
      </c>
      <c r="B31" t="inlineStr">
        <is>
          <t>September 2024 workshop intake</t>
        </is>
      </c>
      <c r="C31" s="7" t="n">
        <v>45547</v>
      </c>
      <c r="E31" t="inlineStr">
        <is>
          <t>Bramley Post</t>
        </is>
      </c>
      <c r="F31" t="inlineStr">
        <is>
          <t>Central Counties</t>
        </is>
      </c>
      <c r="H31" s="8" t="inlineStr">
        <is>
          <t>Local employers discuss apprenticeship pathways</t>
        </is>
      </c>
      <c r="I31" t="inlineStr">
        <is>
          <t>Earned editorial</t>
        </is>
      </c>
      <c r="J31" t="inlineStr">
        <is>
          <t>Standalone</t>
        </is>
      </c>
      <c r="K31" t="inlineStr">
        <is>
          <t>Education</t>
        </is>
      </c>
      <c r="L31" s="8" t="inlineStr">
        <is>
          <t>Original education desk report.</t>
        </is>
      </c>
    </row>
    <row r="32">
      <c r="A32" t="inlineStr">
        <is>
          <t>SIG-027</t>
        </is>
      </c>
      <c r="B32" t="inlineStr">
        <is>
          <t>September 2024 workshop intake</t>
        </is>
      </c>
      <c r="C32" s="7" t="n">
        <v>45542</v>
      </c>
      <c r="F32" t="inlineStr">
        <is>
          <t>Coastal South</t>
        </is>
      </c>
      <c r="H32" s="8" t="inlineStr">
        <is>
          <t>Autumn careers calendar</t>
        </is>
      </c>
      <c r="I32" t="inlineStr">
        <is>
          <t>Calendar / administrative</t>
        </is>
      </c>
      <c r="J32" t="inlineStr">
        <is>
          <t>Archive clipping</t>
        </is>
      </c>
      <c r="K32" t="inlineStr">
        <is>
          <t>Community diary</t>
        </is>
      </c>
      <c r="L32" s="8" t="inlineStr">
        <is>
          <t>Archive capture has an event date and partial title only; masthead and original page are unavailable.</t>
        </is>
      </c>
    </row>
    <row r="33">
      <c r="A33" t="inlineStr">
        <is>
          <t>SIG-028</t>
        </is>
      </c>
      <c r="B33" t="inlineStr">
        <is>
          <t>September 2024 workshop intake</t>
        </is>
      </c>
      <c r="C33" s="7" t="n">
        <v>45539</v>
      </c>
      <c r="E33" t="inlineStr">
        <is>
          <t>Coastal Dispatch</t>
        </is>
      </c>
      <c r="F33" t="inlineStr">
        <is>
          <t>Coastal South</t>
        </is>
      </c>
      <c r="H33" s="8" t="inlineStr">
        <is>
          <t>Amberfield apprenticeship route returns for autumn</t>
        </is>
      </c>
      <c r="I33" t="inlineStr">
        <is>
          <t>Earned editorial</t>
        </is>
      </c>
      <c r="J33" t="inlineStr">
        <is>
          <t>Standalone</t>
        </is>
      </c>
      <c r="K33" t="inlineStr">
        <is>
          <t>Coastal business</t>
        </is>
      </c>
      <c r="L33" s="8" t="inlineStr">
        <is>
          <t>Original dispatch report.</t>
        </is>
      </c>
    </row>
    <row r="34">
      <c r="A34" t="inlineStr">
        <is>
          <t>SIG-029</t>
        </is>
      </c>
      <c r="B34" t="inlineStr">
        <is>
          <t>September 2024 workshop intake</t>
        </is>
      </c>
      <c r="C34" s="7" t="n">
        <v>45542</v>
      </c>
      <c r="E34" t="inlineStr">
        <is>
          <t>Southport Times</t>
        </is>
      </c>
      <c r="F34" t="inlineStr">
        <is>
          <t>Coastal South</t>
        </is>
      </c>
      <c r="H34" s="8" t="inlineStr">
        <is>
          <t>Workshop intake offers more local training places</t>
        </is>
      </c>
      <c r="I34" t="inlineStr">
        <is>
          <t>Earned editorial</t>
        </is>
      </c>
      <c r="J34" t="inlineStr">
        <is>
          <t>Standalone</t>
        </is>
      </c>
      <c r="K34" t="inlineStr">
        <is>
          <t>Local news</t>
        </is>
      </c>
      <c r="L34" s="8" t="inlineStr">
        <is>
          <t>Original local-news report.</t>
        </is>
      </c>
    </row>
    <row r="35">
      <c r="A35" t="inlineStr">
        <is>
          <t>SIG-030</t>
        </is>
      </c>
      <c r="B35" t="inlineStr">
        <is>
          <t>September 2024 workshop intake</t>
        </is>
      </c>
      <c r="C35" s="7" t="n">
        <v>45545</v>
      </c>
      <c r="E35" t="inlineStr">
        <is>
          <t>Harbour Ledger</t>
        </is>
      </c>
      <c r="F35" t="inlineStr">
        <is>
          <t>Coastal South</t>
        </is>
      </c>
      <c r="H35" s="8" t="inlineStr">
        <is>
          <t>Apprenticeship route features in work supplement</t>
        </is>
      </c>
      <c r="I35" t="inlineStr">
        <is>
          <t>Earned editorial</t>
        </is>
      </c>
      <c r="J35" t="inlineStr">
        <is>
          <t>Standalone</t>
        </is>
      </c>
      <c r="K35" t="inlineStr">
        <is>
          <t>Work and skills</t>
        </is>
      </c>
      <c r="L35" s="8" t="inlineStr">
        <is>
          <t>Original supplement report.</t>
        </is>
      </c>
    </row>
    <row r="36">
      <c r="A36" t="inlineStr">
        <is>
          <t>SIG-031</t>
        </is>
      </c>
      <c r="B36" t="inlineStr">
        <is>
          <t>September 2024 workshop intake</t>
        </is>
      </c>
      <c r="C36" s="7" t="n">
        <v>45546</v>
      </c>
      <c r="E36" t="inlineStr">
        <is>
          <t>Coastal Dispatch</t>
        </is>
      </c>
      <c r="F36" t="inlineStr">
        <is>
          <t>Coastal South</t>
        </is>
      </c>
      <c r="H36" s="8" t="inlineStr">
        <is>
          <t>Amberfield apprenticeship route</t>
        </is>
      </c>
      <c r="I36" t="inlineStr">
        <is>
          <t>Paid placement</t>
        </is>
      </c>
      <c r="J36" t="inlineStr">
        <is>
          <t>Advertiser-disclosed slot</t>
        </is>
      </c>
      <c r="K36" t="inlineStr">
        <is>
          <t>Coastal business</t>
        </is>
      </c>
      <c r="L36" s="8" t="inlineStr">
        <is>
          <t>Paid content label is visible on the captured page.</t>
        </is>
      </c>
    </row>
  </sheetData>
  <autoFilter ref="A5:Q36"/>
  <mergeCells count="3">
    <mergeCell ref="A2:Q2"/>
    <mergeCell ref="A1:Q1"/>
    <mergeCell ref="A4:Q4"/>
  </mergeCells>
  <pageMargins left="0.3" right="0.3" top="0.45" bottom="0.45" header="0.5" footer="0.5"/>
  <headerFooter>
    <oddHeader/>
    <oddFooter>&amp;C&amp;"Aptos"&amp;8 Amberfield Works | internal communications planning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25" customWidth="1" min="4" max="4"/>
    <col width="3" customWidth="1" min="5" max="5"/>
    <col width="3" customWidth="1" min="6" max="6"/>
    <col width="3" customWidth="1" min="7" max="7"/>
    <col width="20" customWidth="1" min="8" max="8"/>
    <col width="20" customWidth="1" min="9" max="9"/>
    <col width="16" customWidth="1" min="10" max="10"/>
    <col width="20" customWidth="1" min="11" max="11"/>
  </cols>
  <sheetData>
    <row r="1">
      <c r="A1" s="1" t="inlineStr">
        <is>
          <t>Scenario model - working inputs</t>
        </is>
      </c>
    </row>
    <row r="2">
      <c r="A2" s="5" t="inlineStr">
        <is>
          <t>Inputs support planning cases; they are not post-announcement observations.</t>
        </is>
      </c>
    </row>
    <row r="3">
      <c r="H3" s="2" t="inlineStr">
        <is>
          <t>Controlled values</t>
        </is>
      </c>
    </row>
    <row r="4">
      <c r="A4" s="9" t="inlineStr">
        <is>
          <t>Planned launch date</t>
        </is>
      </c>
      <c r="B4" s="10" t="n">
        <v>46283</v>
      </c>
      <c r="C4" s="5" t="inlineStr">
        <is>
          <t>Planning input</t>
        </is>
      </c>
      <c r="H4" s="9" t="inlineStr">
        <is>
          <t>Scenario labels</t>
        </is>
      </c>
      <c r="I4" s="9" t="inlineStr">
        <is>
          <t>Review Status</t>
        </is>
      </c>
      <c r="J4" s="9" t="inlineStr">
        <is>
          <t>Originality</t>
        </is>
      </c>
      <c r="K4" s="9" t="inlineStr">
        <is>
          <t>Region</t>
        </is>
      </c>
    </row>
    <row r="5">
      <c r="A5" s="9" t="inlineStr">
        <is>
          <t>Delay interval (days)</t>
        </is>
      </c>
      <c r="B5" s="11" t="n">
        <v>14</v>
      </c>
      <c r="C5" s="5" t="inlineStr">
        <is>
          <t>Planning input</t>
        </is>
      </c>
      <c r="H5" t="inlineStr">
        <is>
          <t>Baseline</t>
        </is>
      </c>
      <c r="I5" t="inlineStr">
        <is>
          <t>Not reviewed</t>
        </is>
      </c>
      <c r="J5" t="inlineStr">
        <is>
          <t>Original</t>
        </is>
      </c>
      <c r="K5" t="inlineStr">
        <is>
          <t>North &amp; Borders</t>
        </is>
      </c>
    </row>
    <row r="6">
      <c r="A6" s="9" t="inlineStr">
        <is>
          <t>Delayed attention retention</t>
        </is>
      </c>
      <c r="B6" s="12" t="n">
        <v>0.65</v>
      </c>
      <c r="C6" s="5" t="inlineStr">
        <is>
          <t>Planning input</t>
        </is>
      </c>
      <c r="H6" t="inlineStr">
        <is>
          <t>Delayed-launch</t>
        </is>
      </c>
      <c r="I6" t="inlineStr">
        <is>
          <t>Relevant</t>
        </is>
      </c>
      <c r="J6" t="inlineStr">
        <is>
          <t>Syndicated</t>
        </is>
      </c>
      <c r="K6" t="inlineStr">
        <is>
          <t>Central Counties</t>
        </is>
      </c>
    </row>
    <row r="7">
      <c r="A7" s="9" t="inlineStr">
        <is>
          <t>High-interest uplift</t>
        </is>
      </c>
      <c r="B7" s="12" t="n">
        <v>2.1</v>
      </c>
      <c r="C7" s="5" t="inlineStr">
        <is>
          <t>Planning input</t>
        </is>
      </c>
      <c r="H7" t="inlineStr">
        <is>
          <t>High-interest</t>
        </is>
      </c>
      <c r="I7" t="inlineStr">
        <is>
          <t>Duplicate</t>
        </is>
      </c>
      <c r="J7" t="inlineStr">
        <is>
          <t>Unclear</t>
        </is>
      </c>
      <c r="K7" t="inlineStr">
        <is>
          <t>Coastal South</t>
        </is>
      </c>
    </row>
    <row r="8">
      <c r="A8" s="9" t="inlineStr">
        <is>
          <t>Confirmed-pitch conversion</t>
        </is>
      </c>
      <c r="B8" s="12" t="n">
        <v>0.5</v>
      </c>
      <c r="C8" s="5" t="inlineStr">
        <is>
          <t>Planning input</t>
        </is>
      </c>
      <c r="I8" t="inlineStr">
        <is>
          <t>Out of scope</t>
        </is>
      </c>
    </row>
    <row r="9">
      <c r="A9" s="9" t="inlineStr">
        <is>
          <t>Window lead-in (days)</t>
        </is>
      </c>
      <c r="B9" s="11" t="n">
        <v>1</v>
      </c>
      <c r="C9" s="5" t="inlineStr">
        <is>
          <t>Planning input</t>
        </is>
      </c>
    </row>
    <row r="10">
      <c r="A10" s="9" t="inlineStr">
        <is>
          <t>Intensive window length (days)</t>
        </is>
      </c>
      <c r="B10" s="11" t="n">
        <v>8</v>
      </c>
      <c r="C10" s="5" t="inlineStr">
        <is>
          <t>Planning input</t>
        </is>
      </c>
    </row>
    <row r="13">
      <c r="A13" s="2" t="inlineStr">
        <is>
          <t>Regional planning inputs</t>
        </is>
      </c>
    </row>
    <row r="14">
      <c r="A14" s="1" t="inlineStr">
        <is>
          <t>Region</t>
        </is>
      </c>
      <c r="B14" s="1" t="inlineStr">
        <is>
          <t>Readiness index</t>
        </is>
      </c>
      <c r="C14" s="1" t="inlineStr">
        <is>
          <t>Confirmed pitches</t>
        </is>
      </c>
      <c r="D14" s="1" t="inlineStr">
        <is>
          <t>Regional-hook increment</t>
        </is>
      </c>
    </row>
    <row r="15">
      <c r="A15" s="13" t="inlineStr">
        <is>
          <t>North &amp; Borders</t>
        </is>
      </c>
      <c r="B15" s="14" t="n">
        <v>1.2</v>
      </c>
      <c r="C15" s="13" t="n">
        <v>2</v>
      </c>
      <c r="D15" s="13" t="n">
        <v>5</v>
      </c>
    </row>
    <row r="16">
      <c r="A16" s="13" t="inlineStr">
        <is>
          <t>Central Counties</t>
        </is>
      </c>
      <c r="B16" s="14" t="n">
        <v>0.9</v>
      </c>
      <c r="C16" s="13" t="n">
        <v>2</v>
      </c>
      <c r="D16" s="13" t="n">
        <v>2</v>
      </c>
    </row>
    <row r="17">
      <c r="A17" s="13" t="inlineStr">
        <is>
          <t>Coastal South</t>
        </is>
      </c>
      <c r="B17" s="14" t="n">
        <v>1</v>
      </c>
      <c r="C17" s="13" t="n">
        <v>1</v>
      </c>
      <c r="D17" s="13" t="n">
        <v>1</v>
      </c>
    </row>
    <row r="20">
      <c r="A20" s="2" t="inlineStr">
        <is>
          <t>Formula sketch</t>
        </is>
      </c>
    </row>
    <row r="21">
      <c r="A21" s="15" t="inlineStr">
        <is>
          <t>Baseline = ROUND(median eligible analogue count x regional readiness + confirmed pitches x confirmed-pitch conversion, 0)</t>
        </is>
      </c>
    </row>
    <row r="22">
      <c r="A22" s="15" t="inlineStr">
        <is>
          <t>Delayed-launch = ROUND(Baseline x delayed attention retention, 0); move the monitoring window by the delay interval.</t>
        </is>
      </c>
    </row>
    <row r="23">
      <c r="A23" s="15" t="inlineStr">
        <is>
          <t>High-interest = ROUND(Baseline x high-interest uplift + regional-hook increment, 0).</t>
        </is>
      </c>
    </row>
  </sheetData>
  <mergeCells count="7">
    <mergeCell ref="A22:K22"/>
    <mergeCell ref="A21:K21"/>
    <mergeCell ref="A20:D20"/>
    <mergeCell ref="A2:K2"/>
    <mergeCell ref="A1:K1"/>
    <mergeCell ref="A23:K23"/>
    <mergeCell ref="A13:D13"/>
  </mergeCells>
  <pageMargins left="0.3" right="0.3" top="0.45" bottom="0.45" header="0.5" footer="0.5"/>
  <headerFooter>
    <oddHeader/>
    <oddFooter>&amp;C&amp;"Aptos"&amp;8 Amberfield Works | internal communications planning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16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23" customWidth="1" min="3" max="3"/>
    <col width="16" customWidth="1" min="4" max="4"/>
    <col width="14" customWidth="1" min="5" max="5"/>
    <col width="17" customWidth="1" min="6" max="6"/>
    <col width="16" customWidth="1" min="7" max="7"/>
    <col width="19" customWidth="1" min="8" max="8"/>
    <col width="19" customWidth="1" min="9" max="9"/>
    <col width="22" customWidth="1" min="10" max="10"/>
    <col width="3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Regional Forecast - internal planning model</t>
        </is>
      </c>
    </row>
    <row r="2">
      <c r="A2" s="5" t="inlineStr">
        <is>
          <t>Complete after source decisions are reconciled. Forecast figures are planning scenarios, not a claim about coverage.</t>
        </is>
      </c>
    </row>
    <row r="4">
      <c r="A4" s="2" t="inlineStr">
        <is>
          <t>Scenario</t>
        </is>
      </c>
      <c r="B4" s="2" t="inlineStr">
        <is>
          <t>Window start</t>
        </is>
      </c>
      <c r="C4" s="2" t="inlineStr">
        <is>
          <t>Window end</t>
        </is>
      </c>
      <c r="D4" s="2" t="inlineStr">
        <is>
          <t>Package total</t>
        </is>
      </c>
      <c r="E4" s="2" t="inlineStr">
        <is>
          <t>Planning use</t>
        </is>
      </c>
    </row>
    <row r="5" ht="28" customHeight="1">
      <c r="A5" s="16" t="inlineStr">
        <is>
          <t>Baseline</t>
        </is>
      </c>
      <c r="B5" s="17" t="n"/>
      <c r="C5" s="17" t="n"/>
      <c r="D5" s="16" t="n"/>
      <c r="E5" s="16" t="inlineStr">
        <is>
          <t>Primary staffing case</t>
        </is>
      </c>
    </row>
    <row r="6" ht="28" customHeight="1">
      <c r="A6" s="16" t="inlineStr">
        <is>
          <t>Delayed-launch</t>
        </is>
      </c>
      <c r="B6" s="17" t="n"/>
      <c r="C6" s="17" t="n"/>
      <c r="D6" s="16" t="n"/>
      <c r="E6" s="16" t="inlineStr">
        <is>
          <t>Shift timing; apply retention</t>
        </is>
      </c>
    </row>
    <row r="7" ht="28" customHeight="1">
      <c r="A7" s="16" t="inlineStr">
        <is>
          <t>High-interest</t>
        </is>
      </c>
      <c r="B7" s="17" t="n"/>
      <c r="C7" s="17" t="n"/>
      <c r="D7" s="16" t="n"/>
      <c r="E7" s="16" t="inlineStr">
        <is>
          <t>Capacity case with local hooks</t>
        </is>
      </c>
    </row>
    <row r="11" ht="34" customHeight="1">
      <c r="A11" s="1" t="inlineStr">
        <is>
          <t>Region</t>
        </is>
      </c>
      <c r="B11" s="1" t="inlineStr">
        <is>
          <t>April 2024 eligible</t>
        </is>
      </c>
      <c r="C11" s="1" t="inlineStr">
        <is>
          <t>September 2024 eligible</t>
        </is>
      </c>
      <c r="D11" s="1" t="inlineStr">
        <is>
          <t>Median eligible</t>
        </is>
      </c>
      <c r="E11" s="1" t="inlineStr">
        <is>
          <t>Baseline</t>
        </is>
      </c>
      <c r="F11" s="1" t="inlineStr">
        <is>
          <t>Delayed-launch</t>
        </is>
      </c>
      <c r="G11" s="1" t="inlineStr">
        <is>
          <t>High-interest</t>
        </is>
      </c>
      <c r="H11" s="1" t="inlineStr">
        <is>
          <t>Baseline allocation</t>
        </is>
      </c>
      <c r="I11" s="1" t="inlineStr">
        <is>
          <t>Delayed allocation</t>
        </is>
      </c>
      <c r="J11" s="1" t="inlineStr">
        <is>
          <t>High-interest allocation</t>
        </is>
      </c>
    </row>
    <row r="12">
      <c r="A12" t="inlineStr">
        <is>
          <t>North &amp; Borders</t>
        </is>
      </c>
      <c r="E12" t="n"/>
      <c r="H12" s="18" t="n"/>
      <c r="I12" s="18" t="n"/>
      <c r="J12" s="18" t="n"/>
    </row>
    <row r="13">
      <c r="A13" t="inlineStr">
        <is>
          <t>Central Counties</t>
        </is>
      </c>
      <c r="H13" s="18" t="n"/>
      <c r="I13" s="18" t="n"/>
      <c r="J13" s="18" t="n"/>
    </row>
    <row r="14">
      <c r="A14" t="inlineStr">
        <is>
          <t>Coastal South</t>
        </is>
      </c>
      <c r="H14" s="18" t="n"/>
      <c r="I14" s="18" t="n"/>
      <c r="J14" s="18" t="n"/>
    </row>
    <row r="16">
      <c r="A16" s="5" t="inlineStr">
        <is>
          <t>Formula pattern still to complete: =ROUND(MEDIAN(eligible A, eligible B)*readiness + confirmed pitches*pitch conversion,0)</t>
        </is>
      </c>
    </row>
  </sheetData>
  <mergeCells count="3">
    <mergeCell ref="A1:T1"/>
    <mergeCell ref="A2:T2"/>
    <mergeCell ref="A16:J16"/>
  </mergeCells>
  <pageMargins left="0.3" right="0.3" top="0.45" bottom="0.45" header="0.5" footer="0.5"/>
  <pageSetup orientation="landscape" paperSize="9" fitToHeight="1" fitToWidth="1"/>
  <headerFooter>
    <oddHeader/>
    <oddFooter>&amp;C&amp;"Aptos"&amp;8 Amberfield Works | internal communications planning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40" customWidth="1" min="4" max="4"/>
    <col width="38" customWidth="1" min="5" max="5"/>
    <col width="18" customWidth="1" min="6" max="6"/>
    <col width="18" customWidth="1" min="7" max="7"/>
    <col width="16" customWidth="1" min="8" max="8"/>
    <col width="35" customWidth="1" min="9" max="9"/>
    <col width="3" customWidth="1" min="10" max="10"/>
    <col width="22" customWidth="1" min="11" max="11"/>
    <col width="14" customWidth="1" min="12" max="12"/>
  </cols>
  <sheetData>
    <row r="1">
      <c r="A1" s="1" t="inlineStr">
        <is>
          <t>Monitoring Register</t>
        </is>
      </c>
    </row>
    <row r="2">
      <c r="A2" s="5" t="inlineStr">
        <is>
          <t>Enter observed records after the announcement. Leave the table blank until then; summaries update from the table.</t>
        </is>
      </c>
      <c r="K2" s="2" t="inlineStr">
        <is>
          <t>Live summary</t>
        </is>
      </c>
    </row>
    <row r="3">
      <c r="K3" t="inlineStr">
        <is>
          <t>Relevant</t>
        </is>
      </c>
      <c r="L3">
        <f>COUNTIF(tblMonitoring[Review Status],"Relevant")</f>
        <v/>
      </c>
    </row>
    <row r="4">
      <c r="K4" t="inlineStr">
        <is>
          <t>Not reviewed</t>
        </is>
      </c>
      <c r="L4">
        <f>COUNTIF(tblMonitoring[Review Status],"Not reviewed")</f>
        <v/>
      </c>
    </row>
    <row r="5" ht="32" customHeight="1">
      <c r="A5" s="1" t="inlineStr">
        <is>
          <t>Observed date</t>
        </is>
      </c>
      <c r="B5" s="1" t="inlineStr">
        <is>
          <t>Outlet</t>
        </is>
      </c>
      <c r="C5" s="1" t="inlineStr">
        <is>
          <t>Region</t>
        </is>
      </c>
      <c r="D5" s="1" t="inlineStr">
        <is>
          <t>Headline</t>
        </is>
      </c>
      <c r="E5" s="1" t="inlineStr">
        <is>
          <t>URL or reference</t>
        </is>
      </c>
      <c r="F5" s="1" t="inlineStr">
        <is>
          <t>Scenario Window</t>
        </is>
      </c>
      <c r="G5" s="1" t="inlineStr">
        <is>
          <t>Review Status</t>
        </is>
      </c>
      <c r="H5" s="1" t="inlineStr">
        <is>
          <t>Originality</t>
        </is>
      </c>
      <c r="I5" s="1" t="inlineStr">
        <is>
          <t>Notes</t>
        </is>
      </c>
      <c r="K5" t="inlineStr">
        <is>
          <t>Unclear originality</t>
        </is>
      </c>
      <c r="L5">
        <f>COUNTIF(tblMonitoring[Originality],"Unclear")</f>
        <v/>
      </c>
    </row>
    <row r="6"/>
  </sheetData>
  <autoFilter ref="A5:I6"/>
  <mergeCells count="2">
    <mergeCell ref="A1:I1"/>
    <mergeCell ref="A2:I2"/>
  </mergeCells>
  <conditionalFormatting sqref="A6:I1048576">
    <cfRule type="expression" priority="1" dxfId="0">
      <formula>AND($A6&lt;&gt;"",$G6="Not reviewed")</formula>
    </cfRule>
    <cfRule type="expression" priority="2" dxfId="1">
      <formula>AND($A6&lt;&gt;"",$H6="Unclear")</formula>
    </cfRule>
  </conditionalFormatting>
  <dataValidations count="5">
    <dataValidation sqref="A6:A1048576" showDropDown="0" showInputMessage="0" showErrorMessage="0" allowBlank="1" errorTitle="Observed date" error="Enter a calendar date." type="date" operator="between">
      <formula1>DATE(2020,1,1)</formula1>
      <formula2>DATE(2035,12,31)</formula2>
    </dataValidation>
    <dataValidation sqref="C6:C1048576" showDropDown="0" showInputMessage="0" showErrorMessage="0" allowBlank="1" errorTitle="Controlled value" error="Choose a value from the controlled list." type="list">
      <formula1>=RegionList</formula1>
    </dataValidation>
    <dataValidation sqref="F6:F1048576" showDropDown="0" showInputMessage="0" showErrorMessage="0" allowBlank="1" errorTitle="Controlled value" error="Choose a value from the controlled list." type="list">
      <formula1>=ScenarioLabels</formula1>
    </dataValidation>
    <dataValidation sqref="G6:G1048576" showDropDown="0" showInputMessage="0" showErrorMessage="0" allowBlank="1" errorTitle="Controlled value" error="Choose a value from the controlled list." type="list">
      <formula1>=ReviewStatusList</formula1>
    </dataValidation>
    <dataValidation sqref="H6:H1048576" showDropDown="0" showInputMessage="0" showErrorMessage="0" allowBlank="1" errorTitle="Controlled value" error="Choose a value from the controlled list." type="list">
      <formula1>=OriginalityList</formula1>
    </dataValidation>
  </dataValidations>
  <pageMargins left="0.3" right="0.3" top="0.45" bottom="0.45" header="0.5" footer="0.5"/>
  <pageSetup orientation="landscape" paperSize="9" fitToHeight="0" fitToWidth="1"/>
  <headerFooter>
    <oddHeader/>
    <oddFooter>&amp;C&amp;"Aptos"&amp;8 Amberfield Works | internal communications planning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8" customWidth="1" min="3" max="3"/>
    <col width="34" customWidth="1" min="4" max="4"/>
    <col width="22" customWidth="1" min="5" max="5"/>
    <col width="26" customWidth="1" min="6" max="6"/>
    <col width="50" customWidth="1" min="7" max="7"/>
    <col width="28" customWidth="1" min="8" max="8"/>
  </cols>
  <sheetData>
    <row r="1">
      <c r="A1" s="1" t="inlineStr">
        <is>
          <t>Decision Log</t>
        </is>
      </c>
    </row>
    <row r="2">
      <c r="A2" s="5" t="inlineStr">
        <is>
          <t>Record consequential inclusion, correction, model, timing, and display decisions here.</t>
        </is>
      </c>
    </row>
    <row r="5" ht="32" customHeight="1">
      <c r="A5" s="1" t="inlineStr">
        <is>
          <t>Decision ID</t>
        </is>
      </c>
      <c r="B5" s="1" t="inlineStr">
        <is>
          <t>Decision type</t>
        </is>
      </c>
      <c r="C5" s="1" t="inlineStr">
        <is>
          <t>Affected ID / model area</t>
        </is>
      </c>
      <c r="D5" s="1" t="inlineStr">
        <is>
          <t>Action</t>
        </is>
      </c>
      <c r="E5" s="1" t="inlineStr">
        <is>
          <t>Original value</t>
        </is>
      </c>
      <c r="F5" s="1" t="inlineStr">
        <is>
          <t>Corrected / applied value</t>
        </is>
      </c>
      <c r="G5" s="1" t="inlineStr">
        <is>
          <t>Evidence / rationale</t>
        </is>
      </c>
      <c r="H5" s="1" t="inlineStr">
        <is>
          <t>Impact</t>
        </is>
      </c>
    </row>
  </sheetData>
  <autoFilter ref="A5:H6"/>
  <mergeCells count="2">
    <mergeCell ref="A2:H2"/>
    <mergeCell ref="A1:H1"/>
  </mergeCells>
  <pageMargins left="0.3" right="0.3" top="0.45" bottom="0.45" header="0.5" footer="0.5"/>
  <headerFooter>
    <oddHeader/>
    <oddFooter>&amp;C&amp;"Aptos"&amp;8 Amberfield Works | internal communications planning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Larkmead Collective Communications</dc:creator>
  <dc:title xmlns:dc="http://purl.org/dc/elements/1.1/">Amberfield Works media signals template</dc:title>
  <dc:subject xmlns:dc="http://purl.org/dc/elements/1.1/">Internal communications planning evidence</dc:subject>
  <dcterms:created xmlns:dcterms="http://purl.org/dc/terms/" xmlns:xsi="http://www.w3.org/2001/XMLSchema-instance" xsi:type="dcterms:W3CDTF">2026-08-16T16:23:23Z</dcterms:created>
  <dcterms:modified xmlns:dcterms="http://purl.org/dc/terms/" xmlns:xsi="http://www.w3.org/2001/XMLSchema-instance" xsi:type="dcterms:W3CDTF">2026-08-16T16:23:23Z</dcterms:modified>
</cp:coreProperties>
</file>