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Dock Booking" sheetId="2" state="visible" r:id="rId4"/>
    <sheet name="Oversight Review" sheetId="3" state="visible" r:id="rId5"/>
    <sheet name="Lists" sheetId="4" state="hidden" r:id="rId6"/>
  </sheets>
  <definedNames>
    <definedName function="false" hidden="false" localSheetId="1" name="_xlnm.Print_Area" vbProcedure="false">'Dock Booking'!$A$1:$C$39</definedName>
    <definedName function="false" hidden="false" localSheetId="1" name="_xlnm.Print_Titles" vbProcedure="false">'Dock Booking'!$1:$6</definedName>
    <definedName function="false" hidden="false" localSheetId="2" name="_xlnm.Print_Area" vbProcedure="false">'Oversight Review'!$A$1:$D$42</definedName>
    <definedName function="false" hidden="false" localSheetId="2" name="_xlnm.Print_Titles" vbProcedure="false">'Oversight Review'!$1:$7</definedName>
    <definedName function="false" hidden="false" localSheetId="0" name="_xlnm.Print_Area" vbProcedure="false">'Read Me'!$B$1:$F$37</definedName>
    <definedName function="false" hidden="false" localSheetId="0" name="_xlnm.Print_Titles" vbProcedure="false">'Read Me'!$1:$4</definedName>
    <definedName function="false" hidden="false" name="MaterialDimThreshold" vbProcedure="false">'Read Me'!$C$17</definedName>
    <definedName function="false" hidden="false" name="MaterialQtyThreshold" vbProcedure="false">'Read Me'!$C$16</definedName>
    <definedName function="false" hidden="false" name="MaxHeightMm" vbProcedure="false">'Read Me'!$C$15</definedName>
    <definedName function="false" hidden="false" name="MaxLengthMm" vbProcedure="false">'Read Me'!$C$13</definedName>
    <definedName function="false" hidden="false" name="MaxWidthMm" vbProcedure="false">'Read Me'!$C$14</definedName>
    <definedName function="false" hidden="false" name="MeasurementBasis" vbProcedure="false">'Read Me'!$C$11</definedName>
    <definedName function="false" hidden="false" name="SpecificationEffectiveDate" vbProcedure="false">'Read Me'!$C$12</definedName>
    <definedName function="false" hidden="false" name="UnitFactors" vbProcedure="false">Lists!$A$2:$B$4</definedName>
    <definedName function="false" hidden="false" name="UnitList" vbProcedure="false">Lists!$A$2:$A$4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<sst xmlns="http://schemas.openxmlformats.org/spreadsheetml/2006/main" count="121" uniqueCount="90">
  <si>
    <t xml:space="preserve">Wardenby Utilities | Dock Booking Reconciliation</t>
  </si>
  <si>
    <t xml:space="preserve">Reusable blank instrument | fixed specification effective 31 July 2026</t>
  </si>
  <si>
    <t xml:space="preserve">Purpose and boundaries</t>
  </si>
  <si>
    <t xml:space="preserve">Record booking and measurement facts for Prior period and Current period. Each period has one declared-pallet entry; reconciliation quantities link back to that entry.</t>
  </si>
  <si>
    <t xml:space="preserve">Measurement basis: Maximum loaded-pallet envelope. This directly describes the complete pallet envelope being compared with terminal intake maximums, so one consistent physical boundary is used throughout.</t>
  </si>
  <si>
    <t xml:space="preserve">This workbook reports facts and does not approve, reject, release, or decide whether a booking proceeds.</t>
  </si>
  <si>
    <t xml:space="preserve">Fixed configuration and frozen terminal specification</t>
  </si>
  <si>
    <t xml:space="preserve">Configuration</t>
  </si>
  <si>
    <t xml:space="preserve">Value</t>
  </si>
  <si>
    <t xml:space="preserve">Measurement basis</t>
  </si>
  <si>
    <t xml:space="preserve">Maximum loaded-pallet envelope</t>
  </si>
  <si>
    <t xml:space="preserve">Specification effective date</t>
  </si>
  <si>
    <t xml:space="preserve">Maximum length (mm)</t>
  </si>
  <si>
    <t xml:space="preserve">Maximum width (mm)</t>
  </si>
  <si>
    <t xml:space="preserve">Maximum height (mm)</t>
  </si>
  <si>
    <t xml:space="preserve">Material quantity threshold</t>
  </si>
  <si>
    <t xml:space="preserve">Material dimension threshold (mm)</t>
  </si>
  <si>
    <t xml:space="preserve">Unit conversion reference</t>
  </si>
  <si>
    <t xml:space="preserve">Entry unit</t>
  </si>
  <si>
    <t xml:space="preserve">Millimetres per unit</t>
  </si>
  <si>
    <t xml:space="preserve">Reading the outputs</t>
  </si>
  <si>
    <t xml:space="preserve">Dimensional variance = normalized millimetres minus the applicable maximum. A positive variance is over the maximum; zero or negative is at or below the maximum.</t>
  </si>
  <si>
    <t xml:space="preserve">Dimension and overall statuses are factual limit comparisons. They remain blank until the required measurements and unit are present.</t>
  </si>
  <si>
    <t xml:space="preserve">Material Change is Yes when the absolute declared-pallet percentage change is at least 10% OR any absolute normalized-dimension change is at least 50 mm. It remains blank until both periods are complete.</t>
  </si>
  <si>
    <t xml:space="preserve">When the flag is Yes, complete the blank Material Change Explanation with factual context only. Do not enter a booking recommendation there.</t>
  </si>
  <si>
    <t xml:space="preserve">Key</t>
  </si>
  <si>
    <t xml:space="preserve">Pale yellow = later-entry field; leave empty until facts are available.</t>
  </si>
  <si>
    <t xml:space="preserve">Pale blue = calculated field; live formula and protected.</t>
  </si>
  <si>
    <t xml:space="preserve">Navigation</t>
  </si>
  <si>
    <t xml:space="preserve">Dock Booking: enter facts only in pale-yellow cells; the reconciliation area is formula-driven.</t>
  </si>
  <si>
    <t xml:space="preserve">Oversight Review: read the linked prior-versus-current factual comparison and complete the explanation only when required.</t>
  </si>
  <si>
    <t xml:space="preserve">Dock Booking | Booking and Reconciliation</t>
  </si>
  <si>
    <t xml:space="preserve">Measurement basis (both periods)</t>
  </si>
  <si>
    <t xml:space="preserve">Enter each period's declared pallet quantity once in Booking details. The reconciliation quantity is linked automatically.</t>
  </si>
  <si>
    <t xml:space="preserve">Booking details</t>
  </si>
  <si>
    <t xml:space="preserve">Field</t>
  </si>
  <si>
    <t xml:space="preserve">Prior period</t>
  </si>
  <si>
    <t xml:space="preserve">Current period</t>
  </si>
  <si>
    <t xml:space="preserve">Booking ID</t>
  </si>
  <si>
    <t xml:space="preserve">Order reference</t>
  </si>
  <si>
    <t xml:space="preserve">Requested dock date</t>
  </si>
  <si>
    <t xml:space="preserve">Carrier</t>
  </si>
  <si>
    <t xml:space="preserve">Load description</t>
  </si>
  <si>
    <t xml:space="preserve">Declared pallet quantity</t>
  </si>
  <si>
    <t xml:space="preserve">Reconciliation inputs</t>
  </si>
  <si>
    <t xml:space="preserve">Counted pallet quantity</t>
  </si>
  <si>
    <t xml:space="preserve">Measurement date</t>
  </si>
  <si>
    <t xml:space="preserve">Length</t>
  </si>
  <si>
    <t xml:space="preserve">Width</t>
  </si>
  <si>
    <t xml:space="preserve">Height</t>
  </si>
  <si>
    <t xml:space="preserve">Unit</t>
  </si>
  <si>
    <t xml:space="preserve">Calculated reconciliation | normalized millimetres</t>
  </si>
  <si>
    <t xml:space="preserve">Metric</t>
  </si>
  <si>
    <t xml:space="preserve">Declared pallet quantity (linked from booking)</t>
  </si>
  <si>
    <t xml:space="preserve">Quantity variance (counted - declared)</t>
  </si>
  <si>
    <t xml:space="preserve">Normalized length (mm)</t>
  </si>
  <si>
    <t xml:space="preserve">Length variance (mm)</t>
  </si>
  <si>
    <t xml:space="preserve">Length status</t>
  </si>
  <si>
    <t xml:space="preserve">Normalized width (mm)</t>
  </si>
  <si>
    <t xml:space="preserve">Width variance (mm)</t>
  </si>
  <si>
    <t xml:space="preserve">Width status</t>
  </si>
  <si>
    <t xml:space="preserve">Normalized height (mm)</t>
  </si>
  <si>
    <t xml:space="preserve">Height variance (mm)</t>
  </si>
  <si>
    <t xml:space="preserve">Height status</t>
  </si>
  <si>
    <t xml:space="preserve">Overall dimensional status</t>
  </si>
  <si>
    <t xml:space="preserve">Positive dimensional variance is an over-limit fact; status does not express whether a booking should proceed.</t>
  </si>
  <si>
    <t xml:space="preserve">Oversight Review | Prior versus Current</t>
  </si>
  <si>
    <t xml:space="preserve">Specification effective</t>
  </si>
  <si>
    <t xml:space="preserve">Factual comparison only. Values remain blank until the required period inputs are complete.</t>
  </si>
  <si>
    <t xml:space="preserve">Booking and quantity facts</t>
  </si>
  <si>
    <t xml:space="preserve">Current - Prior</t>
  </si>
  <si>
    <t xml:space="preserve">Quantity variance</t>
  </si>
  <si>
    <t xml:space="preserve">Dimensional facts | Maximum loaded-pallet envelope | normalized millimetres</t>
  </si>
  <si>
    <t xml:space="preserve">Length (normalized mm)</t>
  </si>
  <si>
    <t xml:space="preserve">Width (normalized mm)</t>
  </si>
  <si>
    <t xml:space="preserve">Height (normalized mm)</t>
  </si>
  <si>
    <t xml:space="preserve">Material change assessment</t>
  </si>
  <si>
    <t xml:space="preserve">Declared pallet change (pallets)</t>
  </si>
  <si>
    <t xml:space="preserve">Declared pallet percentage change</t>
  </si>
  <si>
    <t xml:space="preserve">Length change (mm)</t>
  </si>
  <si>
    <t xml:space="preserve">Width change (mm)</t>
  </si>
  <si>
    <t xml:space="preserve">Height change (mm)</t>
  </si>
  <si>
    <t xml:space="preserve">Material Change Flag</t>
  </si>
  <si>
    <t xml:space="preserve">Factual completion</t>
  </si>
  <si>
    <t xml:space="preserve">Material Change Explanation</t>
  </si>
  <si>
    <t xml:space="preserve">Complete only when the Material Change Flag is Yes. Enter factual context; do not enter a booking recommendation.</t>
  </si>
  <si>
    <t xml:space="preserve">Millimetre factor</t>
  </si>
  <si>
    <t xml:space="preserve">mm</t>
  </si>
  <si>
    <t xml:space="preserve">cm</t>
  </si>
  <si>
    <t xml:space="preserve">in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</si>
</sst>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 mmm\ yyyy"/>
    <numFmt numFmtId="166" formatCode="0.00"/>
    <numFmt numFmtId="167" formatCode="0.0%"/>
    <numFmt numFmtId="168" formatCode="0.0#"/>
    <numFmt numFmtId="169" formatCode="0"/>
    <numFmt numFmtId="170" formatCode="0.0#&quot; mm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EAF3F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43447"/>
      <name val="Arial"/>
      <family val="0"/>
      <charset val="1"/>
    </font>
    <font>
      <b val="true"/>
      <sz val="10"/>
      <color rgb="FF243447"/>
      <name val="Arial"/>
      <family val="0"/>
      <charset val="1"/>
    </font>
    <font>
      <sz val="9"/>
      <color rgb="FF5B657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243447"/>
      </patternFill>
    </fill>
    <fill>
      <patternFill patternType="solid">
        <fgColor rgb="FF2F75B5"/>
        <bgColor rgb="FF0066CC"/>
      </patternFill>
    </fill>
    <fill>
      <patternFill patternType="solid">
        <fgColor rgb="FFD9EAF7"/>
        <bgColor rgb="FFDDEBF7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D1"/>
      </left>
      <right style="thin">
        <color rgb="FFB7C4D1"/>
      </right>
      <top style="thin">
        <color rgb="FFB7C4D1"/>
      </top>
      <bottom style="thin">
        <color rgb="FFB7C4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7" fillId="7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7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9" fontId="7" fillId="7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7" fillId="7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  <sz val="10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C4D1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AF3F8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FF6600"/>
      <rgbColor rgb="FF5B6573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5"/>
    <col collapsed="false" customWidth="true" hidden="false" outlineLevel="0" max="4" min="4" style="0" width="4"/>
    <col collapsed="false" customWidth="true" hidden="false" outlineLevel="0" max="5" min="5" style="0" width="28"/>
    <col collapsed="false" customWidth="true" hidden="false" outlineLevel="0" max="6" min="6" style="0" width="25"/>
    <col collapsed="false" customWidth="true" hidden="false" outlineLevel="0" max="7" min="7" style="0" width="3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</row>
    <row r="2" customFormat="false" ht="18.75" hidden="false" customHeight="true" outlineLevel="0" collapsed="false">
      <c r="B2" s="2" t="s">
        <v>1</v>
      </c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3" hidden="false" customHeight="true" outlineLevel="0" collapsed="false">
      <c r="B5" s="4" t="s">
        <v>3</v>
      </c>
      <c r="C5" s="4"/>
      <c r="D5" s="4"/>
      <c r="E5" s="4"/>
      <c r="F5" s="4"/>
    </row>
    <row r="6" customFormat="false" ht="33" hidden="false" customHeight="true" outlineLevel="0" collapsed="false">
      <c r="B6" s="4" t="s">
        <v>4</v>
      </c>
      <c r="C6" s="4"/>
      <c r="D6" s="4"/>
      <c r="E6" s="4"/>
      <c r="F6" s="4"/>
    </row>
    <row r="7" customFormat="false" ht="33" hidden="false" customHeight="true" outlineLevel="0" collapsed="false">
      <c r="B7" s="4" t="s">
        <v>5</v>
      </c>
      <c r="C7" s="4"/>
      <c r="D7" s="4"/>
      <c r="E7" s="4"/>
      <c r="F7" s="4"/>
    </row>
    <row r="9" customFormat="false" ht="19.5" hidden="false" customHeight="true" outlineLevel="0" collapsed="false">
      <c r="A9" s="3" t="s">
        <v>6</v>
      </c>
      <c r="B9" s="3"/>
      <c r="C9" s="3"/>
      <c r="D9" s="3"/>
      <c r="E9" s="3"/>
      <c r="F9" s="3"/>
    </row>
    <row r="10" customFormat="false" ht="27.75" hidden="false" customHeight="true" outlineLevel="0" collapsed="false">
      <c r="B10" s="5" t="s">
        <v>7</v>
      </c>
      <c r="C10" s="5" t="s">
        <v>8</v>
      </c>
    </row>
    <row r="11" customFormat="false" ht="15" hidden="false" customHeight="false" outlineLevel="0" collapsed="false">
      <c r="B11" s="6" t="s">
        <v>9</v>
      </c>
      <c r="C11" s="7" t="s">
        <v>10</v>
      </c>
    </row>
    <row r="12" customFormat="false" ht="15" hidden="false" customHeight="false" outlineLevel="0" collapsed="false">
      <c r="B12" s="6" t="s">
        <v>11</v>
      </c>
      <c r="C12" s="8" t="n">
        <v>46234</v>
      </c>
    </row>
    <row r="13" customFormat="false" ht="15" hidden="false" customHeight="false" outlineLevel="0" collapsed="false">
      <c r="B13" s="6" t="s">
        <v>12</v>
      </c>
      <c r="C13" s="9" t="n">
        <v>1200</v>
      </c>
    </row>
    <row r="14" customFormat="false" ht="15" hidden="false" customHeight="false" outlineLevel="0" collapsed="false">
      <c r="B14" s="6" t="s">
        <v>13</v>
      </c>
      <c r="C14" s="9" t="n">
        <v>1000</v>
      </c>
    </row>
    <row r="15" customFormat="false" ht="15" hidden="false" customHeight="false" outlineLevel="0" collapsed="false">
      <c r="B15" s="6" t="s">
        <v>14</v>
      </c>
      <c r="C15" s="9" t="n">
        <v>1600</v>
      </c>
    </row>
    <row r="16" customFormat="false" ht="15" hidden="false" customHeight="false" outlineLevel="0" collapsed="false">
      <c r="B16" s="6" t="s">
        <v>15</v>
      </c>
      <c r="C16" s="10" t="n">
        <v>0.1</v>
      </c>
    </row>
    <row r="17" customFormat="false" ht="15" hidden="false" customHeight="false" outlineLevel="0" collapsed="false">
      <c r="B17" s="6" t="s">
        <v>16</v>
      </c>
      <c r="C17" s="9" t="n">
        <v>50</v>
      </c>
    </row>
    <row r="19" customFormat="false" ht="19.5" hidden="false" customHeight="true" outlineLevel="0" collapsed="false">
      <c r="A19" s="3" t="s">
        <v>17</v>
      </c>
      <c r="B19" s="3"/>
      <c r="C19" s="3"/>
      <c r="D19" s="3"/>
      <c r="E19" s="3"/>
      <c r="F19" s="3"/>
    </row>
    <row r="20" customFormat="false" ht="27.75" hidden="false" customHeight="true" outlineLevel="0" collapsed="false">
      <c r="B20" s="5" t="s">
        <v>18</v>
      </c>
      <c r="C20" s="5" t="s">
        <v>19</v>
      </c>
    </row>
    <row r="21" customFormat="false" ht="15" hidden="false" customHeight="false" outlineLevel="0" collapsed="false">
      <c r="B21" s="11" t="str">
        <f aca="false">Lists!A2</f>
        <v>mm</v>
      </c>
      <c r="C21" s="12" t="n">
        <f aca="false">Lists!B2</f>
        <v>1</v>
      </c>
    </row>
    <row r="22" customFormat="false" ht="15" hidden="false" customHeight="false" outlineLevel="0" collapsed="false">
      <c r="B22" s="11" t="str">
        <f aca="false">Lists!A3</f>
        <v>cm</v>
      </c>
      <c r="C22" s="12" t="n">
        <f aca="false">Lists!B3</f>
        <v>10</v>
      </c>
    </row>
    <row r="23" customFormat="false" ht="15" hidden="false" customHeight="false" outlineLevel="0" collapsed="false">
      <c r="B23" s="11" t="str">
        <f aca="false">Lists!A4</f>
        <v>in</v>
      </c>
      <c r="C23" s="12" t="n">
        <f aca="false">Lists!B4</f>
        <v>25.4</v>
      </c>
    </row>
    <row r="25" customFormat="false" ht="19.5" hidden="false" customHeight="true" outlineLevel="0" collapsed="false">
      <c r="A25" s="3" t="s">
        <v>20</v>
      </c>
      <c r="B25" s="3"/>
      <c r="C25" s="3"/>
      <c r="D25" s="3"/>
      <c r="E25" s="3"/>
      <c r="F25" s="3"/>
    </row>
    <row r="26" customFormat="false" ht="30" hidden="false" customHeight="true" outlineLevel="0" collapsed="false">
      <c r="B26" s="4" t="s">
        <v>21</v>
      </c>
      <c r="C26" s="4"/>
      <c r="D26" s="4"/>
      <c r="E26" s="4"/>
      <c r="F26" s="4"/>
    </row>
    <row r="27" customFormat="false" ht="30" hidden="false" customHeight="true" outlineLevel="0" collapsed="false">
      <c r="B27" s="4" t="s">
        <v>22</v>
      </c>
      <c r="C27" s="4"/>
      <c r="D27" s="4"/>
      <c r="E27" s="4"/>
      <c r="F27" s="4"/>
    </row>
    <row r="28" customFormat="false" ht="30" hidden="false" customHeight="true" outlineLevel="0" collapsed="false">
      <c r="B28" s="4" t="s">
        <v>23</v>
      </c>
      <c r="C28" s="4"/>
      <c r="D28" s="4"/>
      <c r="E28" s="4"/>
      <c r="F28" s="4"/>
    </row>
    <row r="29" customFormat="false" ht="30" hidden="false" customHeight="true" outlineLevel="0" collapsed="false">
      <c r="B29" s="4" t="s">
        <v>24</v>
      </c>
      <c r="C29" s="4"/>
      <c r="D29" s="4"/>
      <c r="E29" s="4"/>
      <c r="F29" s="4"/>
    </row>
    <row r="31" customFormat="false" ht="19.5" hidden="false" customHeight="true" outlineLevel="0" collapsed="false">
      <c r="A31" s="3" t="s">
        <v>25</v>
      </c>
      <c r="B31" s="3"/>
      <c r="C31" s="3"/>
      <c r="D31" s="3"/>
      <c r="E31" s="3"/>
      <c r="F31" s="3"/>
    </row>
    <row r="32" customFormat="false" ht="24" hidden="false" customHeight="true" outlineLevel="0" collapsed="false">
      <c r="B32" s="13"/>
      <c r="C32" s="6" t="s">
        <v>26</v>
      </c>
      <c r="D32" s="14"/>
      <c r="E32" s="14"/>
      <c r="F32" s="14"/>
    </row>
    <row r="33" customFormat="false" ht="24" hidden="false" customHeight="true" outlineLevel="0" collapsed="false">
      <c r="B33" s="11"/>
      <c r="C33" s="6" t="s">
        <v>27</v>
      </c>
      <c r="D33" s="14"/>
      <c r="E33" s="14"/>
      <c r="F33" s="14"/>
    </row>
    <row r="35" customFormat="false" ht="19.5" hidden="false" customHeight="true" outlineLevel="0" collapsed="false">
      <c r="A35" s="3" t="s">
        <v>28</v>
      </c>
      <c r="B35" s="3"/>
      <c r="C35" s="3"/>
      <c r="D35" s="3"/>
      <c r="E35" s="3"/>
      <c r="F35" s="3"/>
    </row>
    <row r="36" customFormat="false" ht="25.5" hidden="false" customHeight="true" outlineLevel="0" collapsed="false">
      <c r="B36" s="4" t="s">
        <v>29</v>
      </c>
      <c r="C36" s="4"/>
      <c r="D36" s="4"/>
      <c r="E36" s="4"/>
      <c r="F36" s="4"/>
    </row>
    <row r="37" customFormat="false" ht="25.5" hidden="false" customHeight="true" outlineLevel="0" collapsed="false">
      <c r="B37" s="4" t="s">
        <v>30</v>
      </c>
      <c r="C37" s="4"/>
      <c r="D37" s="4"/>
      <c r="E37" s="4"/>
      <c r="F37" s="4"/>
    </row>
  </sheetData>
  <sheetProtection sheet="true" password="ce4b" formatCells="false" formatColumns="false" formatRows="false" insertColumns="false" insertRows="false" deleteColumns="false" deleteRows="false" sort="false" autoFilter="false" selectUnlockedCells="true"/>
  <mergeCells count="17">
    <mergeCell ref="B1:F1"/>
    <mergeCell ref="B2:F2"/>
    <mergeCell ref="A4:F4"/>
    <mergeCell ref="B5:F5"/>
    <mergeCell ref="B6:F6"/>
    <mergeCell ref="B7:F7"/>
    <mergeCell ref="A9:F9"/>
    <mergeCell ref="A19:F19"/>
    <mergeCell ref="A25:F25"/>
    <mergeCell ref="B26:F26"/>
    <mergeCell ref="B27:F27"/>
    <mergeCell ref="B28:F28"/>
    <mergeCell ref="B29:F29"/>
    <mergeCell ref="A31:F31"/>
    <mergeCell ref="A35:F35"/>
    <mergeCell ref="B36:F36"/>
    <mergeCell ref="B37:F37"/>
  </mergeCells>
  <printOptions headings="false" gridLines="false" gridLinesSet="true" horizontalCentered="false" verticalCentered="false"/>
  <pageMargins left="0.25" right="0.25" top="0.45" bottom="0.45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Internal working instrument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9"/>
  </cols>
  <sheetData>
    <row r="1" customFormat="false" ht="27.75" hidden="false" customHeight="true" outlineLevel="0" collapsed="false">
      <c r="A1" s="1" t="s">
        <v>31</v>
      </c>
      <c r="B1" s="1"/>
      <c r="C1" s="1"/>
    </row>
    <row r="2" customFormat="false" ht="15" hidden="false" customHeight="false" outlineLevel="0" collapsed="false">
      <c r="A2" s="6" t="s">
        <v>32</v>
      </c>
      <c r="B2" s="15" t="str">
        <f aca="false">'Read Me'!$C$11</f>
        <v>Maximum loaded-pallet envelope</v>
      </c>
      <c r="C2" s="6"/>
    </row>
    <row r="3" customFormat="false" ht="25.5" hidden="false" customHeight="true" outlineLevel="0" collapsed="false">
      <c r="A3" s="16" t="s">
        <v>33</v>
      </c>
      <c r="B3" s="16"/>
      <c r="C3" s="16"/>
    </row>
    <row r="5" customFormat="false" ht="19.5" hidden="false" customHeight="true" outlineLevel="0" collapsed="false">
      <c r="A5" s="3" t="s">
        <v>34</v>
      </c>
      <c r="B5" s="3"/>
      <c r="C5" s="3"/>
    </row>
    <row r="6" customFormat="false" ht="30" hidden="false" customHeight="true" outlineLevel="0" collapsed="false">
      <c r="A6" s="5" t="s">
        <v>35</v>
      </c>
      <c r="B6" s="5" t="s">
        <v>36</v>
      </c>
      <c r="C6" s="5" t="s">
        <v>37</v>
      </c>
    </row>
    <row r="7" customFormat="false" ht="15" hidden="false" customHeight="false" outlineLevel="0" collapsed="false">
      <c r="A7" s="6" t="s">
        <v>38</v>
      </c>
      <c r="B7" s="17"/>
      <c r="C7" s="17"/>
    </row>
    <row r="8" customFormat="false" ht="15" hidden="false" customHeight="false" outlineLevel="0" collapsed="false">
      <c r="A8" s="6" t="s">
        <v>39</v>
      </c>
      <c r="B8" s="17"/>
      <c r="C8" s="17"/>
    </row>
    <row r="9" customFormat="false" ht="15" hidden="false" customHeight="false" outlineLevel="0" collapsed="false">
      <c r="A9" s="6" t="s">
        <v>40</v>
      </c>
      <c r="B9" s="18"/>
      <c r="C9" s="18"/>
    </row>
    <row r="10" customFormat="false" ht="15" hidden="false" customHeight="false" outlineLevel="0" collapsed="false">
      <c r="A10" s="6" t="s">
        <v>41</v>
      </c>
      <c r="B10" s="17"/>
      <c r="C10" s="17"/>
    </row>
    <row r="11" customFormat="false" ht="31.5" hidden="false" customHeight="true" outlineLevel="0" collapsed="false">
      <c r="A11" s="6" t="s">
        <v>42</v>
      </c>
      <c r="B11" s="19"/>
      <c r="C11" s="19"/>
    </row>
    <row r="12" customFormat="false" ht="15" hidden="false" customHeight="false" outlineLevel="0" collapsed="false">
      <c r="A12" s="6" t="s">
        <v>43</v>
      </c>
      <c r="B12" s="20"/>
      <c r="C12" s="20"/>
    </row>
    <row r="14" customFormat="false" ht="19.5" hidden="false" customHeight="true" outlineLevel="0" collapsed="false">
      <c r="A14" s="3" t="s">
        <v>44</v>
      </c>
      <c r="B14" s="3"/>
      <c r="C14" s="3"/>
    </row>
    <row r="15" customFormat="false" ht="30" hidden="false" customHeight="true" outlineLevel="0" collapsed="false">
      <c r="A15" s="5" t="s">
        <v>35</v>
      </c>
      <c r="B15" s="5" t="s">
        <v>36</v>
      </c>
      <c r="C15" s="5" t="s">
        <v>37</v>
      </c>
    </row>
    <row r="16" customFormat="false" ht="15" hidden="false" customHeight="false" outlineLevel="0" collapsed="false">
      <c r="A16" s="6" t="s">
        <v>9</v>
      </c>
      <c r="B16" s="15" t="str">
        <f aca="false">'Read Me'!$C$11</f>
        <v>Maximum loaded-pallet envelope</v>
      </c>
      <c r="C16" s="15" t="str">
        <f aca="false">'Read Me'!$C$11</f>
        <v>Maximum loaded-pallet envelope</v>
      </c>
    </row>
    <row r="17" customFormat="false" ht="15" hidden="false" customHeight="false" outlineLevel="0" collapsed="false">
      <c r="A17" s="6" t="s">
        <v>45</v>
      </c>
      <c r="B17" s="20"/>
      <c r="C17" s="20"/>
    </row>
    <row r="18" customFormat="false" ht="15" hidden="false" customHeight="false" outlineLevel="0" collapsed="false">
      <c r="A18" s="6" t="s">
        <v>46</v>
      </c>
      <c r="B18" s="18"/>
      <c r="C18" s="18"/>
    </row>
    <row r="19" customFormat="false" ht="15" hidden="false" customHeight="false" outlineLevel="0" collapsed="false">
      <c r="A19" s="6" t="s">
        <v>47</v>
      </c>
      <c r="B19" s="21"/>
      <c r="C19" s="21"/>
    </row>
    <row r="20" customFormat="false" ht="15" hidden="false" customHeight="false" outlineLevel="0" collapsed="false">
      <c r="A20" s="6" t="s">
        <v>48</v>
      </c>
      <c r="B20" s="21"/>
      <c r="C20" s="21"/>
    </row>
    <row r="21" customFormat="false" ht="15" hidden="false" customHeight="false" outlineLevel="0" collapsed="false">
      <c r="A21" s="6" t="s">
        <v>49</v>
      </c>
      <c r="B21" s="21"/>
      <c r="C21" s="21"/>
    </row>
    <row r="22" customFormat="false" ht="15" hidden="false" customHeight="false" outlineLevel="0" collapsed="false">
      <c r="A22" s="6" t="s">
        <v>50</v>
      </c>
      <c r="B22" s="17"/>
      <c r="C22" s="17"/>
    </row>
    <row r="24" customFormat="false" ht="19.5" hidden="false" customHeight="true" outlineLevel="0" collapsed="false">
      <c r="A24" s="3" t="s">
        <v>51</v>
      </c>
      <c r="B24" s="3"/>
      <c r="C24" s="3"/>
    </row>
    <row r="25" customFormat="false" ht="30" hidden="false" customHeight="true" outlineLevel="0" collapsed="false">
      <c r="A25" s="5" t="s">
        <v>52</v>
      </c>
      <c r="B25" s="5" t="s">
        <v>36</v>
      </c>
      <c r="C25" s="5" t="s">
        <v>37</v>
      </c>
    </row>
    <row r="26" customFormat="false" ht="15" hidden="false" customHeight="false" outlineLevel="0" collapsed="false">
      <c r="A26" s="6" t="s">
        <v>53</v>
      </c>
      <c r="B26" s="22" t="str">
        <f aca="false">IF(B12="","",B12)</f>
        <v/>
      </c>
      <c r="C26" s="22" t="str">
        <f aca="false">IF(C12="","",C12)</f>
        <v/>
      </c>
    </row>
    <row r="27" customFormat="false" ht="15" hidden="false" customHeight="false" outlineLevel="0" collapsed="false">
      <c r="A27" s="6" t="s">
        <v>54</v>
      </c>
      <c r="B27" s="22" t="str">
        <f aca="false">IF(OR(B17="",B26=""),"",B17-B26)</f>
        <v/>
      </c>
      <c r="C27" s="22" t="str">
        <f aca="false">IF(OR(C17="",C26=""),"",C17-C26)</f>
        <v/>
      </c>
    </row>
    <row r="28" customFormat="false" ht="15" hidden="false" customHeight="false" outlineLevel="0" collapsed="false">
      <c r="A28" s="6" t="s">
        <v>55</v>
      </c>
      <c r="B28" s="23" t="str">
        <f aca="false">IF(OR(B19="",B22=""),"",IFERROR(B19*VLOOKUP(B22,UnitFactors,2,FALSE()),""))</f>
        <v/>
      </c>
      <c r="C28" s="23" t="str">
        <f aca="false">IF(OR(C19="",C22=""),"",IFERROR(C19*VLOOKUP(C22,UnitFactors,2,FALSE()),""))</f>
        <v/>
      </c>
    </row>
    <row r="29" customFormat="false" ht="15" hidden="false" customHeight="false" outlineLevel="0" collapsed="false">
      <c r="A29" s="6" t="s">
        <v>56</v>
      </c>
      <c r="B29" s="23" t="str">
        <f aca="false">IF(B28="","",B28-'Read Me'!$C$13)</f>
        <v/>
      </c>
      <c r="C29" s="23" t="str">
        <f aca="false">IF(C28="","",C28-'Read Me'!$C$13)</f>
        <v/>
      </c>
    </row>
    <row r="30" customFormat="false" ht="15" hidden="false" customHeight="false" outlineLevel="0" collapsed="false">
      <c r="A30" s="6" t="s">
        <v>57</v>
      </c>
      <c r="B30" s="15" t="str">
        <f aca="false">IF(B29="","",IF(B29&gt;0,"Over limit","Within limit"))</f>
        <v/>
      </c>
      <c r="C30" s="15" t="str">
        <f aca="false">IF(C29="","",IF(C29&gt;0,"Over limit","Within limit"))</f>
        <v/>
      </c>
    </row>
    <row r="31" customFormat="false" ht="15" hidden="false" customHeight="false" outlineLevel="0" collapsed="false">
      <c r="A31" s="6" t="s">
        <v>58</v>
      </c>
      <c r="B31" s="23" t="str">
        <f aca="false">IF(OR(B20="",B22=""),"",IFERROR(B20*VLOOKUP(B22,UnitFactors,2,FALSE()),""))</f>
        <v/>
      </c>
      <c r="C31" s="23" t="str">
        <f aca="false">IF(OR(C20="",C22=""),"",IFERROR(C20*VLOOKUP(C22,UnitFactors,2,FALSE()),""))</f>
        <v/>
      </c>
    </row>
    <row r="32" customFormat="false" ht="15" hidden="false" customHeight="false" outlineLevel="0" collapsed="false">
      <c r="A32" s="6" t="s">
        <v>59</v>
      </c>
      <c r="B32" s="23" t="str">
        <f aca="false">IF(B31="","",B31-'Read Me'!$C$14)</f>
        <v/>
      </c>
      <c r="C32" s="23" t="str">
        <f aca="false">IF(C31="","",C31-'Read Me'!$C$14)</f>
        <v/>
      </c>
    </row>
    <row r="33" customFormat="false" ht="15" hidden="false" customHeight="false" outlineLevel="0" collapsed="false">
      <c r="A33" s="6" t="s">
        <v>60</v>
      </c>
      <c r="B33" s="15" t="str">
        <f aca="false">IF(B32="","",IF(B32&gt;0,"Over limit","Within limit"))</f>
        <v/>
      </c>
      <c r="C33" s="15" t="str">
        <f aca="false">IF(C32="","",IF(C32&gt;0,"Over limit","Within limit"))</f>
        <v/>
      </c>
    </row>
    <row r="34" customFormat="false" ht="15" hidden="false" customHeight="false" outlineLevel="0" collapsed="false">
      <c r="A34" s="6" t="s">
        <v>61</v>
      </c>
      <c r="B34" s="23" t="str">
        <f aca="false">IF(OR(B21="",B22=""),"",IFERROR(B21*VLOOKUP(B22,UnitFactors,2,FALSE()),""))</f>
        <v/>
      </c>
      <c r="C34" s="23" t="str">
        <f aca="false">IF(OR(C21="",C22=""),"",IFERROR(C21*VLOOKUP(C22,UnitFactors,2,FALSE()),""))</f>
        <v/>
      </c>
    </row>
    <row r="35" customFormat="false" ht="15" hidden="false" customHeight="false" outlineLevel="0" collapsed="false">
      <c r="A35" s="6" t="s">
        <v>62</v>
      </c>
      <c r="B35" s="23" t="str">
        <f aca="false">IF(B34="","",B34-'Read Me'!$C$15)</f>
        <v/>
      </c>
      <c r="C35" s="23" t="str">
        <f aca="false">IF(C34="","",C34-'Read Me'!$C$15)</f>
        <v/>
      </c>
    </row>
    <row r="36" customFormat="false" ht="15" hidden="false" customHeight="false" outlineLevel="0" collapsed="false">
      <c r="A36" s="6" t="s">
        <v>63</v>
      </c>
      <c r="B36" s="15" t="str">
        <f aca="false">IF(B35="","",IF(B35&gt;0,"Over limit","Within limit"))</f>
        <v/>
      </c>
      <c r="C36" s="15" t="str">
        <f aca="false">IF(C35="","",IF(C35&gt;0,"Over limit","Within limit"))</f>
        <v/>
      </c>
    </row>
    <row r="37" customFormat="false" ht="15" hidden="false" customHeight="false" outlineLevel="0" collapsed="false">
      <c r="A37" s="6" t="s">
        <v>64</v>
      </c>
      <c r="B37" s="15" t="str">
        <f aca="false">IF(OR(B30="",B33="",B36=""),"",IF(OR(B30="Over limit",B33="Over limit",B36="Over limit"),"Over limit","Within limit"))</f>
        <v/>
      </c>
      <c r="C37" s="15" t="str">
        <f aca="false">IF(OR(C30="",C33="",C36=""),"",IF(OR(C30="Over limit",C33="Over limit",C36="Over limit"),"Over limit","Within limit"))</f>
        <v/>
      </c>
    </row>
    <row r="39" customFormat="false" ht="25.5" hidden="false" customHeight="true" outlineLevel="0" collapsed="false">
      <c r="A39" s="16" t="s">
        <v>65</v>
      </c>
      <c r="B39" s="16"/>
      <c r="C39" s="16"/>
    </row>
  </sheetData>
  <sheetProtection sheet="true" password="ce4b" formatCells="false" formatColumns="false" formatRows="false" insertColumns="false" insertRows="false" deleteColumns="false" deleteRows="false" sort="false" autoFilter="false" selectUnlockedCells="true"/>
  <mergeCells count="6">
    <mergeCell ref="A1:C1"/>
    <mergeCell ref="A3:C3"/>
    <mergeCell ref="A5:C5"/>
    <mergeCell ref="A14:C14"/>
    <mergeCell ref="A24:C24"/>
    <mergeCell ref="A39:C39"/>
  </mergeCells>
  <conditionalFormatting sqref="B29:C29">
    <cfRule type="cellIs" priority="2" operator="greaterThan" aboveAverage="0" equalAverage="0" bottom="0" percent="0" rank="0" text="" dxfId="0">
      <formula>0</formula>
    </cfRule>
  </conditionalFormatting>
  <conditionalFormatting sqref="B32:C32">
    <cfRule type="cellIs" priority="3" operator="greaterThan" aboveAverage="0" equalAverage="0" bottom="0" percent="0" rank="0" text="" dxfId="0">
      <formula>0</formula>
    </cfRule>
  </conditionalFormatting>
  <conditionalFormatting sqref="B35:C35">
    <cfRule type="cellIs" priority="4" operator="greaterThan" aboveAverage="0" equalAverage="0" bottom="0" percent="0" rank="0" text="" dxfId="0">
      <formula>0</formula>
    </cfRule>
  </conditionalFormatting>
  <conditionalFormatting sqref="B30:C30">
    <cfRule type="expression" priority="5" aboveAverage="0" equalAverage="0" bottom="0" percent="0" rank="0" text="" dxfId="0">
      <formula>B30="Over limit"</formula>
    </cfRule>
  </conditionalFormatting>
  <conditionalFormatting sqref="B33:C33">
    <cfRule type="expression" priority="6" aboveAverage="0" equalAverage="0" bottom="0" percent="0" rank="0" text="" dxfId="0">
      <formula>B33="Over limit"</formula>
    </cfRule>
  </conditionalFormatting>
  <conditionalFormatting sqref="B36:C36">
    <cfRule type="expression" priority="7" aboveAverage="0" equalAverage="0" bottom="0" percent="0" rank="0" text="" dxfId="0">
      <formula>B36="Over limit"</formula>
    </cfRule>
  </conditionalFormatting>
  <conditionalFormatting sqref="B37:C37">
    <cfRule type="expression" priority="8" aboveAverage="0" equalAverage="0" bottom="0" percent="0" rank="0" text="" dxfId="0">
      <formula>B37="Over limit"</formula>
    </cfRule>
  </conditionalFormatting>
  <dataValidations count="5">
    <dataValidation allowBlank="true" error="Enter a valid date between 1 Jan 2000 and 31 Dec 2100." errorStyle="stop" errorTitle="Enter a date" operator="between" prompt="Enter a calendar date." promptTitle="Date field" showDropDown="false" showErrorMessage="true" showInputMessage="true" sqref="B9:C9 B18:C18" type="date">
      <formula1>DATE(2000,1,1)</formula1>
      <formula2>DATE(2100,12,31)</formula2>
    </dataValidation>
    <dataValidation allowBlank="true" error="Enter a whole-number pallet quantity of 1 or greater." errorStyle="stop" errorTitle="Whole pallets only" operator="greaterThanOrEqual" prompt="Enter a whole-number pallet quantity." promptTitle="Pallet quantity" showDropDown="false" showErrorMessage="true" showInputMessage="true" sqref="B12:C12" type="whole">
      <formula1>1</formula1>
      <formula2>0</formula2>
    </dataValidation>
    <dataValidation allowBlank="true" error="Enter a whole-number pallet quantity of 0 or greater." errorStyle="stop" errorTitle="Whole pallets only" operator="greaterThanOrEqual" prompt="Enter a whole-number pallet quantity." promptTitle="Pallet quantity" showDropDown="false" showErrorMessage="true" showInputMessage="true" sqref="B17:C17" type="whole">
      <formula1>0</formula1>
      <formula2>0</formula2>
    </dataValidation>
    <dataValidation allowBlank="true" error="Enter a positive dimension." errorStyle="stop" errorTitle="Positive measurement only" operator="greaterThan" prompt="Enter a positive maximum loaded-pallet envelope dimension in the selected unit." promptTitle="Dimension" showDropDown="false" showErrorMessage="true" showInputMessage="true" sqref="B19:C21" type="decimal">
      <formula1>0</formula1>
      <formula2>0</formula2>
    </dataValidation>
    <dataValidation allowBlank="true" error="Select mm, cm, or in from the list." errorStyle="stop" errorTitle="Select a listed unit" operator="between" prompt="Select the unit used for all three dimensions in this period." promptTitle="Dimension unit" showDropDown="false" showErrorMessage="true" showInputMessage="true" sqref="B22:C22" type="list">
      <formula1>UnitList</formula1>
      <formula2>0</formula2>
    </dataValidation>
  </dataValidations>
  <printOptions headings="false" gridLines="false" gridLinesSet="true" horizontalCentered="false" verticalCentered="false"/>
  <pageMargins left="0.25" right="0.25" top="0.45" bottom="0.45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Internal working instrument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3" min="2" style="0" width="22"/>
    <col collapsed="false" customWidth="true" hidden="false" outlineLevel="0" max="4" min="4" style="0" width="24"/>
  </cols>
  <sheetData>
    <row r="1" customFormat="false" ht="27.75" hidden="false" customHeight="true" outlineLevel="0" collapsed="false">
      <c r="A1" s="1" t="s">
        <v>66</v>
      </c>
      <c r="B1" s="1"/>
      <c r="C1" s="1"/>
      <c r="D1" s="1"/>
    </row>
    <row r="2" customFormat="false" ht="15" hidden="false" customHeight="false" outlineLevel="0" collapsed="false">
      <c r="A2" s="6" t="s">
        <v>9</v>
      </c>
      <c r="B2" s="15" t="str">
        <f aca="false">'Read Me'!$C$11</f>
        <v>Maximum loaded-pallet envelope</v>
      </c>
      <c r="C2" s="15"/>
      <c r="D2" s="15"/>
    </row>
    <row r="3" customFormat="false" ht="15" hidden="false" customHeight="false" outlineLevel="0" collapsed="false">
      <c r="A3" s="6" t="s">
        <v>67</v>
      </c>
      <c r="B3" s="24" t="n">
        <f aca="false">'Read Me'!$C$12</f>
        <v>46234</v>
      </c>
    </row>
    <row r="4" customFormat="false" ht="24.75" hidden="false" customHeight="true" outlineLevel="0" collapsed="false">
      <c r="A4" s="16" t="s">
        <v>68</v>
      </c>
      <c r="B4" s="16"/>
      <c r="C4" s="16"/>
      <c r="D4" s="16"/>
    </row>
    <row r="6" customFormat="false" ht="19.5" hidden="false" customHeight="true" outlineLevel="0" collapsed="false">
      <c r="A6" s="3" t="s">
        <v>69</v>
      </c>
      <c r="B6" s="3"/>
      <c r="C6" s="3"/>
      <c r="D6" s="3"/>
    </row>
    <row r="7" customFormat="false" ht="30" hidden="false" customHeight="true" outlineLevel="0" collapsed="false">
      <c r="A7" s="5" t="s">
        <v>35</v>
      </c>
      <c r="B7" s="5" t="s">
        <v>36</v>
      </c>
      <c r="C7" s="5" t="s">
        <v>37</v>
      </c>
      <c r="D7" s="5" t="s">
        <v>70</v>
      </c>
    </row>
    <row r="8" customFormat="false" ht="15" hidden="false" customHeight="false" outlineLevel="0" collapsed="false">
      <c r="A8" s="6" t="s">
        <v>38</v>
      </c>
      <c r="B8" s="15" t="str">
        <f aca="false">IF('Dock Booking'!B7="","",'Dock Booking'!B7)</f>
        <v/>
      </c>
      <c r="C8" s="15" t="str">
        <f aca="false">IF('Dock Booking'!C7="","",'Dock Booking'!C7)</f>
        <v/>
      </c>
    </row>
    <row r="9" customFormat="false" ht="15" hidden="false" customHeight="false" outlineLevel="0" collapsed="false">
      <c r="A9" s="6" t="s">
        <v>39</v>
      </c>
      <c r="B9" s="15" t="str">
        <f aca="false">IF('Dock Booking'!B8="","",'Dock Booking'!B8)</f>
        <v/>
      </c>
      <c r="C9" s="15" t="str">
        <f aca="false">IF('Dock Booking'!C8="","",'Dock Booking'!C8)</f>
        <v/>
      </c>
    </row>
    <row r="10" customFormat="false" ht="15" hidden="false" customHeight="false" outlineLevel="0" collapsed="false">
      <c r="A10" s="6" t="s">
        <v>40</v>
      </c>
      <c r="B10" s="24" t="str">
        <f aca="false">IF('Dock Booking'!B9="","",'Dock Booking'!B9)</f>
        <v/>
      </c>
      <c r="C10" s="24" t="str">
        <f aca="false">IF('Dock Booking'!C9="","",'Dock Booking'!C9)</f>
        <v/>
      </c>
    </row>
    <row r="11" customFormat="false" ht="15" hidden="false" customHeight="false" outlineLevel="0" collapsed="false">
      <c r="A11" s="6" t="s">
        <v>41</v>
      </c>
      <c r="B11" s="15" t="str">
        <f aca="false">IF('Dock Booking'!B10="","",'Dock Booking'!B10)</f>
        <v/>
      </c>
      <c r="C11" s="15" t="str">
        <f aca="false">IF('Dock Booking'!C10="","",'Dock Booking'!C10)</f>
        <v/>
      </c>
    </row>
    <row r="12" customFormat="false" ht="15" hidden="false" customHeight="false" outlineLevel="0" collapsed="false">
      <c r="A12" s="6" t="s">
        <v>42</v>
      </c>
      <c r="B12" s="15" t="str">
        <f aca="false">IF('Dock Booking'!B11="","",'Dock Booking'!B11)</f>
        <v/>
      </c>
      <c r="C12" s="15" t="str">
        <f aca="false">IF('Dock Booking'!C11="","",'Dock Booking'!C11)</f>
        <v/>
      </c>
    </row>
    <row r="13" customFormat="false" ht="15" hidden="false" customHeight="false" outlineLevel="0" collapsed="false">
      <c r="A13" s="6" t="s">
        <v>43</v>
      </c>
      <c r="B13" s="22" t="str">
        <f aca="false">IF('Dock Booking'!B12="","",'Dock Booking'!B12)</f>
        <v/>
      </c>
      <c r="C13" s="22" t="str">
        <f aca="false">IF('Dock Booking'!C12="","",'Dock Booking'!C12)</f>
        <v/>
      </c>
      <c r="D13" s="22" t="str">
        <f aca="false">IF(OR(B13="",C13=""),"",C13-B13)</f>
        <v/>
      </c>
    </row>
    <row r="14" customFormat="false" ht="15" hidden="false" customHeight="false" outlineLevel="0" collapsed="false">
      <c r="A14" s="6" t="s">
        <v>45</v>
      </c>
      <c r="B14" s="22" t="str">
        <f aca="false">IF('Dock Booking'!B17="","",'Dock Booking'!B17)</f>
        <v/>
      </c>
      <c r="C14" s="22" t="str">
        <f aca="false">IF('Dock Booking'!C17="","",'Dock Booking'!C17)</f>
        <v/>
      </c>
      <c r="D14" s="22" t="str">
        <f aca="false">IF(OR(B14="",C14=""),"",C14-B14)</f>
        <v/>
      </c>
    </row>
    <row r="15" customFormat="false" ht="15" hidden="false" customHeight="false" outlineLevel="0" collapsed="false">
      <c r="A15" s="6" t="s">
        <v>71</v>
      </c>
      <c r="B15" s="22" t="str">
        <f aca="false">IF('Dock Booking'!B27="","",'Dock Booking'!B27)</f>
        <v/>
      </c>
      <c r="C15" s="22" t="str">
        <f aca="false">IF('Dock Booking'!C27="","",'Dock Booking'!C27)</f>
        <v/>
      </c>
      <c r="D15" s="22" t="str">
        <f aca="false">IF(OR(B15="",C15=""),"",C15-B15)</f>
        <v/>
      </c>
    </row>
    <row r="17" customFormat="false" ht="19.5" hidden="false" customHeight="true" outlineLevel="0" collapsed="false">
      <c r="A17" s="3" t="s">
        <v>72</v>
      </c>
      <c r="B17" s="3"/>
      <c r="C17" s="3"/>
      <c r="D17" s="3"/>
    </row>
    <row r="18" customFormat="false" ht="30" hidden="false" customHeight="true" outlineLevel="0" collapsed="false">
      <c r="A18" s="5" t="s">
        <v>52</v>
      </c>
      <c r="B18" s="5" t="s">
        <v>36</v>
      </c>
      <c r="C18" s="5" t="s">
        <v>37</v>
      </c>
      <c r="D18" s="5" t="s">
        <v>70</v>
      </c>
    </row>
    <row r="19" customFormat="false" ht="15" hidden="false" customHeight="false" outlineLevel="0" collapsed="false">
      <c r="A19" s="6" t="s">
        <v>73</v>
      </c>
      <c r="B19" s="23" t="str">
        <f aca="false">IF('Dock Booking'!B28="","",'Dock Booking'!B28)</f>
        <v/>
      </c>
      <c r="C19" s="23" t="str">
        <f aca="false">IF('Dock Booking'!C28="","",'Dock Booking'!C28)</f>
        <v/>
      </c>
      <c r="D19" s="23" t="str">
        <f aca="false">IF(OR(B19="",C19=""),"",C19-B19)</f>
        <v/>
      </c>
    </row>
    <row r="20" customFormat="false" ht="15" hidden="false" customHeight="false" outlineLevel="0" collapsed="false">
      <c r="A20" s="6" t="s">
        <v>56</v>
      </c>
      <c r="B20" s="23" t="str">
        <f aca="false">IF('Dock Booking'!B29="","",'Dock Booking'!B29)</f>
        <v/>
      </c>
      <c r="C20" s="23" t="str">
        <f aca="false">IF('Dock Booking'!C29="","",'Dock Booking'!C29)</f>
        <v/>
      </c>
    </row>
    <row r="21" customFormat="false" ht="15" hidden="false" customHeight="false" outlineLevel="0" collapsed="false">
      <c r="A21" s="6" t="s">
        <v>57</v>
      </c>
      <c r="B21" s="15" t="str">
        <f aca="false">IF('Dock Booking'!B30="","",'Dock Booking'!B30)</f>
        <v/>
      </c>
      <c r="C21" s="15" t="str">
        <f aca="false">IF('Dock Booking'!C30="","",'Dock Booking'!C30)</f>
        <v/>
      </c>
    </row>
    <row r="22" customFormat="false" ht="15" hidden="false" customHeight="false" outlineLevel="0" collapsed="false">
      <c r="A22" s="6" t="s">
        <v>74</v>
      </c>
      <c r="B22" s="23" t="str">
        <f aca="false">IF('Dock Booking'!B31="","",'Dock Booking'!B31)</f>
        <v/>
      </c>
      <c r="C22" s="23" t="str">
        <f aca="false">IF('Dock Booking'!C31="","",'Dock Booking'!C31)</f>
        <v/>
      </c>
      <c r="D22" s="23" t="str">
        <f aca="false">IF(OR(B22="",C22=""),"",C22-B22)</f>
        <v/>
      </c>
    </row>
    <row r="23" customFormat="false" ht="15" hidden="false" customHeight="false" outlineLevel="0" collapsed="false">
      <c r="A23" s="6" t="s">
        <v>59</v>
      </c>
      <c r="B23" s="23" t="str">
        <f aca="false">IF('Dock Booking'!B32="","",'Dock Booking'!B32)</f>
        <v/>
      </c>
      <c r="C23" s="23" t="str">
        <f aca="false">IF('Dock Booking'!C32="","",'Dock Booking'!C32)</f>
        <v/>
      </c>
    </row>
    <row r="24" customFormat="false" ht="15" hidden="false" customHeight="false" outlineLevel="0" collapsed="false">
      <c r="A24" s="6" t="s">
        <v>60</v>
      </c>
      <c r="B24" s="15" t="str">
        <f aca="false">IF('Dock Booking'!B33="","",'Dock Booking'!B33)</f>
        <v/>
      </c>
      <c r="C24" s="15" t="str">
        <f aca="false">IF('Dock Booking'!C33="","",'Dock Booking'!C33)</f>
        <v/>
      </c>
    </row>
    <row r="25" customFormat="false" ht="15" hidden="false" customHeight="false" outlineLevel="0" collapsed="false">
      <c r="A25" s="6" t="s">
        <v>75</v>
      </c>
      <c r="B25" s="23" t="str">
        <f aca="false">IF('Dock Booking'!B34="","",'Dock Booking'!B34)</f>
        <v/>
      </c>
      <c r="C25" s="23" t="str">
        <f aca="false">IF('Dock Booking'!C34="","",'Dock Booking'!C34)</f>
        <v/>
      </c>
      <c r="D25" s="23" t="str">
        <f aca="false">IF(OR(B25="",C25=""),"",C25-B25)</f>
        <v/>
      </c>
    </row>
    <row r="26" customFormat="false" ht="15" hidden="false" customHeight="false" outlineLevel="0" collapsed="false">
      <c r="A26" s="6" t="s">
        <v>62</v>
      </c>
      <c r="B26" s="23" t="str">
        <f aca="false">IF('Dock Booking'!B35="","",'Dock Booking'!B35)</f>
        <v/>
      </c>
      <c r="C26" s="23" t="str">
        <f aca="false">IF('Dock Booking'!C35="","",'Dock Booking'!C35)</f>
        <v/>
      </c>
    </row>
    <row r="27" customFormat="false" ht="15" hidden="false" customHeight="false" outlineLevel="0" collapsed="false">
      <c r="A27" s="6" t="s">
        <v>63</v>
      </c>
      <c r="B27" s="15" t="str">
        <f aca="false">IF('Dock Booking'!B36="","",'Dock Booking'!B36)</f>
        <v/>
      </c>
      <c r="C27" s="15" t="str">
        <f aca="false">IF('Dock Booking'!C36="","",'Dock Booking'!C36)</f>
        <v/>
      </c>
    </row>
    <row r="28" customFormat="false" ht="15" hidden="false" customHeight="false" outlineLevel="0" collapsed="false">
      <c r="A28" s="6" t="s">
        <v>64</v>
      </c>
      <c r="B28" s="15" t="str">
        <f aca="false">IF('Dock Booking'!B37="","",'Dock Booking'!B37)</f>
        <v/>
      </c>
      <c r="C28" s="15" t="str">
        <f aca="false">IF('Dock Booking'!C37="","",'Dock Booking'!C37)</f>
        <v/>
      </c>
    </row>
    <row r="30" customFormat="false" ht="19.5" hidden="false" customHeight="true" outlineLevel="0" collapsed="false">
      <c r="A30" s="3" t="s">
        <v>76</v>
      </c>
      <c r="B30" s="3"/>
      <c r="C30" s="3"/>
      <c r="D30" s="3"/>
    </row>
    <row r="31" customFormat="false" ht="30" hidden="false" customHeight="true" outlineLevel="0" collapsed="false">
      <c r="A31" s="5" t="s">
        <v>52</v>
      </c>
      <c r="B31" s="5" t="s">
        <v>8</v>
      </c>
      <c r="C31" s="5"/>
      <c r="D31" s="5"/>
    </row>
    <row r="32" customFormat="false" ht="15" hidden="false" customHeight="false" outlineLevel="0" collapsed="false">
      <c r="A32" s="6" t="s">
        <v>77</v>
      </c>
      <c r="B32" s="22" t="str">
        <f aca="false">IF(OR(B13="",C13=""),"",C13-B13)</f>
        <v/>
      </c>
    </row>
    <row r="33" customFormat="false" ht="15" hidden="false" customHeight="false" outlineLevel="0" collapsed="false">
      <c r="A33" s="6" t="s">
        <v>78</v>
      </c>
      <c r="B33" s="25" t="str">
        <f aca="false">IF(OR(B13="",C13="",B13=0,B32=""),"",B32/B13)</f>
        <v/>
      </c>
    </row>
    <row r="34" customFormat="false" ht="15" hidden="false" customHeight="false" outlineLevel="0" collapsed="false">
      <c r="A34" s="6" t="s">
        <v>79</v>
      </c>
      <c r="B34" s="23" t="str">
        <f aca="false">IF(OR(B19="",C19=""),"",C19-B19)</f>
        <v/>
      </c>
    </row>
    <row r="35" customFormat="false" ht="15" hidden="false" customHeight="false" outlineLevel="0" collapsed="false">
      <c r="A35" s="6" t="s">
        <v>80</v>
      </c>
      <c r="B35" s="23" t="str">
        <f aca="false">IF(OR(B22="",C22=""),"",C22-B22)</f>
        <v/>
      </c>
    </row>
    <row r="36" customFormat="false" ht="15" hidden="false" customHeight="false" outlineLevel="0" collapsed="false">
      <c r="A36" s="6" t="s">
        <v>81</v>
      </c>
      <c r="B36" s="23" t="str">
        <f aca="false">IF(OR(B25="",C25=""),"",C25-B25)</f>
        <v/>
      </c>
    </row>
    <row r="37" customFormat="false" ht="15" hidden="false" customHeight="false" outlineLevel="0" collapsed="false">
      <c r="A37" s="6" t="s">
        <v>82</v>
      </c>
      <c r="B37" s="15" t="str">
        <f aca="false">IF(OR(B13="",C13="",B13&lt;1,C13&lt;1,B33="",B19="",C19="",B22="",C22="",B25="",C25=""),"",IF(OR(ABS(B33)&gt;='Read Me'!$C$16,ABS(B34)&gt;='Read Me'!$C$17,ABS(B35)&gt;='Read Me'!$C$17,ABS(B36)&gt;='Read Me'!$C$17),"Yes","No"))</f>
        <v/>
      </c>
    </row>
    <row r="39" customFormat="false" ht="19.5" hidden="false" customHeight="true" outlineLevel="0" collapsed="false">
      <c r="A39" s="3" t="s">
        <v>83</v>
      </c>
      <c r="B39" s="3"/>
      <c r="C39" s="3"/>
      <c r="D39" s="3"/>
    </row>
    <row r="40" customFormat="false" ht="30" hidden="false" customHeight="true" outlineLevel="0" collapsed="false">
      <c r="A40" s="6" t="s">
        <v>84</v>
      </c>
      <c r="B40" s="19"/>
      <c r="C40" s="19"/>
      <c r="D40" s="19"/>
    </row>
    <row r="41" customFormat="false" ht="24" hidden="false" customHeight="true" outlineLevel="0" collapsed="false">
      <c r="B41" s="19"/>
      <c r="C41" s="19"/>
      <c r="D41" s="19"/>
    </row>
    <row r="42" customFormat="false" ht="27.75" hidden="false" customHeight="true" outlineLevel="0" collapsed="false">
      <c r="A42" s="16" t="s">
        <v>85</v>
      </c>
      <c r="B42" s="16"/>
      <c r="C42" s="16"/>
      <c r="D42" s="16"/>
    </row>
  </sheetData>
  <sheetProtection sheet="true" password="ce4b" formatCells="false" formatColumns="false" formatRows="false" insertColumns="false" insertRows="false" deleteColumns="false" deleteRows="false" sort="false" autoFilter="false" selectUnlockedCells="true"/>
  <mergeCells count="9">
    <mergeCell ref="A1:D1"/>
    <mergeCell ref="B2:D2"/>
    <mergeCell ref="A4:D4"/>
    <mergeCell ref="A6:D6"/>
    <mergeCell ref="A17:D17"/>
    <mergeCell ref="A30:D30"/>
    <mergeCell ref="A39:D39"/>
    <mergeCell ref="B40:D41"/>
    <mergeCell ref="A42:D42"/>
  </mergeCells>
  <conditionalFormatting sqref="B20:C20">
    <cfRule type="cellIs" priority="2" operator="greaterThan" aboveAverage="0" equalAverage="0" bottom="0" percent="0" rank="0" text="" dxfId="0">
      <formula>0</formula>
    </cfRule>
  </conditionalFormatting>
  <conditionalFormatting sqref="B23:C23">
    <cfRule type="cellIs" priority="3" operator="greaterThan" aboveAverage="0" equalAverage="0" bottom="0" percent="0" rank="0" text="" dxfId="0">
      <formula>0</formula>
    </cfRule>
  </conditionalFormatting>
  <conditionalFormatting sqref="B26:C26">
    <cfRule type="cellIs" priority="4" operator="greaterThan" aboveAverage="0" equalAverage="0" bottom="0" percent="0" rank="0" text="" dxfId="0">
      <formula>0</formula>
    </cfRule>
  </conditionalFormatting>
  <conditionalFormatting sqref="D19">
    <cfRule type="cellIs" priority="5" operator="greaterThan" aboveAverage="0" equalAverage="0" bottom="0" percent="0" rank="0" text="" dxfId="0">
      <formula>0</formula>
    </cfRule>
  </conditionalFormatting>
  <conditionalFormatting sqref="D22">
    <cfRule type="cellIs" priority="6" operator="greaterThan" aboveAverage="0" equalAverage="0" bottom="0" percent="0" rank="0" text="" dxfId="0">
      <formula>0</formula>
    </cfRule>
  </conditionalFormatting>
  <conditionalFormatting sqref="D25">
    <cfRule type="cellIs" priority="7" operator="greaterThan" aboveAverage="0" equalAverage="0" bottom="0" percent="0" rank="0" text="" dxfId="0">
      <formula>0</formula>
    </cfRule>
  </conditionalFormatting>
  <conditionalFormatting sqref="B21:C21">
    <cfRule type="expression" priority="8" aboveAverage="0" equalAverage="0" bottom="0" percent="0" rank="0" text="" dxfId="0">
      <formula>B21="Over limit"</formula>
    </cfRule>
  </conditionalFormatting>
  <conditionalFormatting sqref="B24:C24">
    <cfRule type="expression" priority="9" aboveAverage="0" equalAverage="0" bottom="0" percent="0" rank="0" text="" dxfId="0">
      <formula>B24="Over limit"</formula>
    </cfRule>
  </conditionalFormatting>
  <conditionalFormatting sqref="B27:C27">
    <cfRule type="expression" priority="10" aboveAverage="0" equalAverage="0" bottom="0" percent="0" rank="0" text="" dxfId="0">
      <formula>B27="Over limit"</formula>
    </cfRule>
  </conditionalFormatting>
  <conditionalFormatting sqref="B28:C28">
    <cfRule type="expression" priority="11" aboveAverage="0" equalAverage="0" bottom="0" percent="0" rank="0" text="" dxfId="0">
      <formula>B28="Over limit"</formula>
    </cfRule>
  </conditionalFormatting>
  <conditionalFormatting sqref="B37">
    <cfRule type="expression" priority="12" aboveAverage="0" equalAverage="0" bottom="0" percent="0" rank="0" text="" dxfId="0">
      <formula>B37="Yes"</formula>
    </cfRule>
  </conditionalFormatting>
  <dataValidations count="1">
    <dataValidation allowBlank="true" error="Leave blank until the flag is Yes, then enter factual context only; no booking recommendation." errorStyle="stop" errorTitle="Factual explanation only" operator="between" prompt="Required when Material Change Flag is Yes. Enter factual context only; no booking recommendation." promptTitle="Material Change Explanation" showDropDown="false" showErrorMessage="true" showInputMessage="true" sqref="B40" type="custom">
      <formula1>OR(B40="",$B$37="Yes")</formula1>
      <formula2>0</formula2>
    </dataValidation>
  </dataValidations>
  <printOptions headings="false" gridLines="false" gridLinesSet="true" horizontalCentered="false" verticalCentered="false"/>
  <pageMargins left="0.25" right="0.25" top="0.45" bottom="0.45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Internal working instrument |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</cols>
  <sheetData>
    <row r="1" customFormat="false" ht="30" hidden="false" customHeight="true" outlineLevel="0" collapsed="false">
      <c r="A1" s="5" t="s">
        <v>50</v>
      </c>
      <c r="B1" s="5" t="s">
        <v>86</v>
      </c>
    </row>
    <row r="2" customFormat="false" ht="15" hidden="false" customHeight="false" outlineLevel="0" collapsed="false">
      <c r="A2" s="26" t="s">
        <v>87</v>
      </c>
      <c r="B2" s="27" t="n">
        <v>1</v>
      </c>
    </row>
    <row r="3" customFormat="false" ht="15" hidden="false" customHeight="false" outlineLevel="0" collapsed="false">
      <c r="A3" s="26" t="s">
        <v>88</v>
      </c>
      <c r="B3" s="27" t="n">
        <v>10</v>
      </c>
    </row>
    <row r="4" customFormat="false" ht="15" hidden="false" customHeight="false" outlineLevel="0" collapsed="false">
      <c r="A4" s="26" t="s">
        <v>89</v>
      </c>
      <c r="B4" s="27" t="n">
        <v>25.4</v>
      </c>
    </row>
  </sheetData>
  <sheetProtection sheet="true" password="ce4b" formatCells="false" formatColumns="false" formatRows="false" insertColumns="false" insertRows="false" deleteColumns="false" deleteRows="false" sort="false" autoFilter="false" selectUnlockedCell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2026-08-16T15:11:58Z</dcterms:created>
  <dc:creator>Wardenby Utilities</dc:creator>
  <dc:description>Self-contained prior-versus-current dock booking factual record</dc:description>
  <cp:keywords>dock booking pallet envelope reconciliation oversight</cp:keywords>
  <dc:language>en-US</dc:language>
  <cp:lastModifiedBy/>
  <dcterms:modified xsi:type="dcterms:W3CDTF">2026-08-16T15:11:58Z</dcterms:modified>
  <cp:revision>0</cp:revision>
  <dc:subject>Protected blank booking and dimensional reconciliation instrument</dc:subject>
  <dc:title>Dock Booking Reconciliation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