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<sst xmlns="http://schemas.openxmlformats.org/spreadsheetml/2006/main" count="205" uniqueCount="139">
  <si>
    <t xml:space="preserve">Saltcombe Fiduciary Analysis</t>
  </si>
  <si>
    <t xml:space="preserve">Supporting calculations for trustee memo | source-limited analysis | as at 2026-08-24</t>
  </si>
  <si>
    <t xml:space="preserve">Headline</t>
  </si>
  <si>
    <t xml:space="preserve">Value</t>
  </si>
  <si>
    <t xml:space="preserve">Formula / treatment</t>
  </si>
  <si>
    <t xml:space="preserve">Source</t>
  </si>
  <si>
    <t xml:space="preserve">Proposed subscription</t>
  </si>
  <si>
    <t xml:space="preserve">Sourced subscription amount; USD</t>
  </si>
  <si>
    <t xml:space="preserve">Exhibit B / C — subscription materials</t>
  </si>
  <si>
    <t xml:space="preserve">Pre-subscription Class I commitments</t>
  </si>
  <si>
    <t xml:space="preserve">SUM active Current commitment; USD</t>
  </si>
  <si>
    <t xml:space="preserve">Exhibit C — Class I schedule</t>
  </si>
  <si>
    <t xml:space="preserve">Existing benefit-plan commitments</t>
  </si>
  <si>
    <t xml:space="preserve">Cedar Pension Trust active commitment</t>
  </si>
  <si>
    <t xml:space="preserve">Post-subscription Class I denominator</t>
  </si>
  <si>
    <t xml:space="preserve">Pre-subscription Class I + proposed subscription</t>
  </si>
  <si>
    <t xml:space="preserve">Exhibit B + Exhibit C</t>
  </si>
  <si>
    <t xml:space="preserve">Benefit-plan ownership %</t>
  </si>
  <si>
    <t xml:space="preserve">(Existing benefit-plan + proposed subscription) ÷ post-subscription Class I</t>
  </si>
  <si>
    <t xml:space="preserve">Exhibits A–C</t>
  </si>
  <si>
    <t xml:space="preserve">DOL threshold</t>
  </si>
  <si>
    <t xml:space="preserve">25.00%</t>
  </si>
  <si>
    <t xml:space="preserve">Supplied text threshold</t>
  </si>
  <si>
    <t xml:space="preserve">Exhibit A</t>
  </si>
  <si>
    <t xml:space="preserve">Completed redemption amount</t>
  </si>
  <si>
    <t xml:space="preserve">SUM Outcome status = Completed</t>
  </si>
  <si>
    <t xml:space="preserve">Exhibit D</t>
  </si>
  <si>
    <t xml:space="preserve">Total requested amount</t>
  </si>
  <si>
    <t xml:space="preserve">SUM all request records</t>
  </si>
  <si>
    <t xml:space="preserve">Completed amount / requested amount</t>
  </si>
  <si>
    <t xml:space="preserve">Completed amount ÷ all requested amount; includes same-day completed edge</t>
  </si>
  <si>
    <t xml:space="preserve">Excluding same-day edge (sensitivity)</t>
  </si>
  <si>
    <t xml:space="preserve">Completed non-same-day ÷ non-same-day requested</t>
  </si>
  <si>
    <t xml:space="preserve">Active Class I records (normalised join output)</t>
  </si>
  <si>
    <t xml:space="preserve">Raw Investor ID</t>
  </si>
  <si>
    <t xml:space="preserve">Normalised key</t>
  </si>
  <si>
    <t xml:space="preserve">Investor name</t>
  </si>
  <si>
    <t xml:space="preserve">Class</t>
  </si>
  <si>
    <t xml:space="preserve">Current commitment</t>
  </si>
  <si>
    <t xml:space="preserve">Plan investor?</t>
  </si>
  <si>
    <t xml:space="preserve">Legacy ownership % (retired)</t>
  </si>
  <si>
    <t xml:space="preserve">Matched?</t>
  </si>
  <si>
    <t xml:space="preserve">NDL-I-001</t>
  </si>
  <si>
    <t xml:space="preserve">ndl-i-001</t>
  </si>
  <si>
    <t xml:space="preserve">Alpine Capital Partners</t>
  </si>
  <si>
    <t xml:space="preserve">Class I</t>
  </si>
  <si>
    <t xml:space="preserve">No</t>
  </si>
  <si>
    <t xml:space="preserve">4.20%</t>
  </si>
  <si>
    <t xml:space="preserve">Yes</t>
  </si>
  <si>
    <t xml:space="preserve">ndl-i-002 </t>
  </si>
  <si>
    <t xml:space="preserve">ndl-i-002</t>
  </si>
  <si>
    <t xml:space="preserve">Bright Harbor Insurance</t>
  </si>
  <si>
    <t xml:space="preserve">5.10%</t>
  </si>
  <si>
    <t xml:space="preserve">NDL-I-003</t>
  </si>
  <si>
    <t xml:space="preserve">ndl-i-003</t>
  </si>
  <si>
    <t xml:space="preserve">Cedar Pension Trust</t>
  </si>
  <si>
    <t xml:space="preserve">3.30%</t>
  </si>
  <si>
    <t xml:space="preserve">NDL-I-004</t>
  </si>
  <si>
    <t xml:space="preserve">ndl-i-004</t>
  </si>
  <si>
    <t xml:space="preserve">Moorland University Endowment</t>
  </si>
  <si>
    <t xml:space="preserve">4.65%</t>
  </si>
  <si>
    <t xml:space="preserve">ndl-i-005</t>
  </si>
  <si>
    <t xml:space="preserve">Northfield Endowment</t>
  </si>
  <si>
    <t xml:space="preserve">2.90%</t>
  </si>
  <si>
    <t xml:space="preserve">NDL-I-006 </t>
  </si>
  <si>
    <t xml:space="preserve">ndl-i-006</t>
  </si>
  <si>
    <t xml:space="preserve">Oakline Benefits Cooperative</t>
  </si>
  <si>
    <t xml:space="preserve">4.80%</t>
  </si>
  <si>
    <t xml:space="preserve">NDL-I-007</t>
  </si>
  <si>
    <t xml:space="preserve">ndl-i-007</t>
  </si>
  <si>
    <t xml:space="preserve">Peregrine Family Office</t>
  </si>
  <si>
    <t xml:space="preserve">2.15%</t>
  </si>
  <si>
    <t xml:space="preserve">NDL-I-008</t>
  </si>
  <si>
    <t xml:space="preserve">ndl-i-008</t>
  </si>
  <si>
    <t xml:space="preserve">Ridgeway Insurance Group</t>
  </si>
  <si>
    <t xml:space="preserve">3.90%</t>
  </si>
  <si>
    <t xml:space="preserve">NDL-I-009</t>
  </si>
  <si>
    <t xml:space="preserve">ndl-i-009</t>
  </si>
  <si>
    <t xml:space="preserve">Southmere Charitable Trust</t>
  </si>
  <si>
    <t xml:space="preserve">0.00%</t>
  </si>
  <si>
    <t xml:space="preserve">Join key normalisation</t>
  </si>
  <si>
    <t xml:space="preserve">LOWER(TRIM(raw account reference))</t>
  </si>
  <si>
    <t xml:space="preserve">Schedule “Cedar Plan ” → “cedar plan” matches registry “cedar plan”; ticket “saltcombe plan” → “saltcombe plan” matches registry “SALTCOMBE PLAN ”.</t>
  </si>
  <si>
    <t xml:space="preserve">Retired helper treatment</t>
  </si>
  <si>
    <t xml:space="preserve">Excluded</t>
  </si>
  <si>
    <t xml:space="preserve">Legacy ownership % is stale export metadata; ownership uses active commitments only.</t>
  </si>
  <si>
    <t xml:space="preserve">Edge-case treatment</t>
  </si>
  <si>
    <t xml:space="preserve">Included in headline</t>
  </si>
  <si>
    <t xml:space="preserve">Same-day request/completion is counted as Completed for amount metric; sensitivity shown above.</t>
  </si>
  <si>
    <t xml:space="preserve">Benefit-plan account-reference reconciliation</t>
  </si>
  <si>
    <t xml:space="preserve">Schedule / ticket raw key</t>
  </si>
  <si>
    <t xml:space="preserve">Registry raw key</t>
  </si>
  <si>
    <t xml:space="preserve">Registry normalised key</t>
  </si>
  <si>
    <t xml:space="preserve">Investor / plan</t>
  </si>
  <si>
    <t xml:space="preserve">Classification</t>
  </si>
  <si>
    <t xml:space="preserve">Cedar Plan </t>
  </si>
  <si>
    <t xml:space="preserve">cedar plan</t>
  </si>
  <si>
    <t xml:space="preserve">Benefit-plan investor</t>
  </si>
  <si>
    <t xml:space="preserve">Exhibit C</t>
  </si>
  <si>
    <t xml:space="preserve">saltcombe plan</t>
  </si>
  <si>
    <t xml:space="preserve">SALTCOMBE PLAN </t>
  </si>
  <si>
    <t xml:space="preserve">Saltcombe Alliance Retirement Benefit Plan</t>
  </si>
  <si>
    <t xml:space="preserve">Redemption history (source periods preserved)</t>
  </si>
  <si>
    <t xml:space="preserve">Request date</t>
  </si>
  <si>
    <t xml:space="preserve">Completion date</t>
  </si>
  <si>
    <t xml:space="preserve">Request ID</t>
  </si>
  <si>
    <t xml:space="preserve">Request status</t>
  </si>
  <si>
    <t xml:space="preserve">Outcome status</t>
  </si>
  <si>
    <t xml:space="preserve">Amount</t>
  </si>
  <si>
    <t xml:space="preserve">Same-day?</t>
  </si>
  <si>
    <t xml:space="preserve">Included in completed amount?</t>
  </si>
  <si>
    <t xml:space="preserve">2024-03-15</t>
  </si>
  <si>
    <t xml:space="preserve">2024-04-10</t>
  </si>
  <si>
    <t xml:space="preserve">R-240315-01</t>
  </si>
  <si>
    <t xml:space="preserve">Requested</t>
  </si>
  <si>
    <t xml:space="preserve">Completed</t>
  </si>
  <si>
    <t xml:space="preserve">2024-06-20</t>
  </si>
  <si>
    <t xml:space="preserve">R-240620-02</t>
  </si>
  <si>
    <t xml:space="preserve">Pending</t>
  </si>
  <si>
    <t xml:space="preserve">2024-09-01</t>
  </si>
  <si>
    <t xml:space="preserve">R-240901-03</t>
  </si>
  <si>
    <t xml:space="preserve">Cancelled</t>
  </si>
  <si>
    <t xml:space="preserve">2025-01-10</t>
  </si>
  <si>
    <t xml:space="preserve">2025-02-14</t>
  </si>
  <si>
    <t xml:space="preserve">R-250110-04</t>
  </si>
  <si>
    <t xml:space="preserve">2025-04-05</t>
  </si>
  <si>
    <t xml:space="preserve">R-250405-05</t>
  </si>
  <si>
    <t xml:space="preserve">2025-07-18</t>
  </si>
  <si>
    <t xml:space="preserve">R-250718-06</t>
  </si>
  <si>
    <t xml:space="preserve">Source and assumption trail</t>
  </si>
  <si>
    <t xml:space="preserve">Supplied DOL text; 25% class test and private vehicle treatment.</t>
  </si>
  <si>
    <t xml:space="preserve">Exhibit B</t>
  </si>
  <si>
    <t xml:space="preserve">Saltcombe plan status, proposed $7,650,000 commitment, decision date.</t>
  </si>
  <si>
    <t xml:space="preserve">Pre-subscription Class I commitments $31,000,000; Cedar’s $3,300,000 benefit-plan commitment; raw account-reference variants.</t>
  </si>
  <si>
    <t xml:space="preserve">Six redemption observations; statuses and dates retained.</t>
  </si>
  <si>
    <t xml:space="preserve">Exhibit E</t>
  </si>
  <si>
    <t xml:space="preserve">Affiliate placement fee of 1.00%; available controls.</t>
  </si>
  <si>
    <t xml:space="preserve">Assumption</t>
  </si>
  <si>
    <t xml:space="preserve">Use post-subscription Class I commitments and all identified benefit-plan investor interests for immediately-after-acquisition calculation; no external law or market data added.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</si>
</sst>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29"/>
    <col collapsed="false" customWidth="true" hidden="false" outlineLevel="0" max="4" min="4" style="0" width="18"/>
    <col collapsed="false" customWidth="true" hidden="false" outlineLevel="0" max="5" min="5" style="0" width="19"/>
    <col collapsed="false" customWidth="true" hidden="false" outlineLevel="0" max="6" min="6" style="0" width="18"/>
    <col collapsed="false" customWidth="true" hidden="false" outlineLevel="0" max="7" min="7" style="0" width="25"/>
    <col collapsed="false" customWidth="true" hidden="false" outlineLevel="0" max="8" min="8" style="0" width="30"/>
  </cols>
  <sheetData>
    <row r="1" customFormat="false" ht="19.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3"/>
      <c r="F4" s="3"/>
      <c r="G4" s="3"/>
      <c r="H4" s="3"/>
    </row>
    <row r="5" customFormat="false" ht="41.75" hidden="false" customHeight="false" outlineLevel="0" collapsed="false">
      <c r="A5" s="5" t="s">
        <v>6</v>
      </c>
      <c r="B5" s="6" t="n">
        <v>7650000</v>
      </c>
      <c r="C5" s="5" t="s">
        <v>7</v>
      </c>
      <c r="D5" s="5" t="s">
        <v>8</v>
      </c>
      <c r="E5" s="3"/>
      <c r="F5" s="3"/>
      <c r="G5" s="3"/>
      <c r="H5" s="3"/>
    </row>
    <row r="6" customFormat="false" ht="28.35" hidden="false" customHeight="false" outlineLevel="0" collapsed="false">
      <c r="A6" s="5" t="s">
        <v>9</v>
      </c>
      <c r="B6" s="6" t="n">
        <f aca="false">SUM(E17:E25)</f>
        <v>31000000</v>
      </c>
      <c r="C6" s="5" t="s">
        <v>10</v>
      </c>
      <c r="D6" s="5" t="s">
        <v>11</v>
      </c>
      <c r="E6" s="3"/>
      <c r="F6" s="3"/>
      <c r="G6" s="3"/>
      <c r="H6" s="3"/>
    </row>
    <row r="7" customFormat="false" ht="28.35" hidden="false" customHeight="false" outlineLevel="0" collapsed="false">
      <c r="A7" s="5" t="s">
        <v>12</v>
      </c>
      <c r="B7" s="6" t="n">
        <f aca="false">E19</f>
        <v>3300000</v>
      </c>
      <c r="C7" s="5" t="s">
        <v>13</v>
      </c>
      <c r="D7" s="5" t="s">
        <v>11</v>
      </c>
      <c r="E7" s="3"/>
      <c r="F7" s="3"/>
      <c r="G7" s="3"/>
      <c r="H7" s="3"/>
    </row>
    <row r="8" customFormat="false" ht="28.35" hidden="false" customHeight="false" outlineLevel="0" collapsed="false">
      <c r="A8" s="5" t="s">
        <v>14</v>
      </c>
      <c r="B8" s="6" t="n">
        <f aca="false">B6+B5</f>
        <v>38650000</v>
      </c>
      <c r="C8" s="5" t="s">
        <v>15</v>
      </c>
      <c r="D8" s="5" t="s">
        <v>16</v>
      </c>
      <c r="E8" s="3"/>
      <c r="F8" s="3"/>
      <c r="G8" s="3"/>
      <c r="H8" s="3"/>
    </row>
    <row r="9" customFormat="false" ht="41.75" hidden="false" customHeight="false" outlineLevel="0" collapsed="false">
      <c r="A9" s="5" t="s">
        <v>17</v>
      </c>
      <c r="B9" s="7" t="n">
        <f aca="false">(B7+B5)/B8</f>
        <v>0.283311772315653</v>
      </c>
      <c r="C9" s="5" t="s">
        <v>18</v>
      </c>
      <c r="D9" s="5" t="s">
        <v>19</v>
      </c>
      <c r="E9" s="3"/>
      <c r="F9" s="3"/>
      <c r="G9" s="3"/>
      <c r="H9" s="3"/>
    </row>
    <row r="10" customFormat="false" ht="15" hidden="false" customHeight="false" outlineLevel="0" collapsed="false">
      <c r="A10" s="5" t="s">
        <v>20</v>
      </c>
      <c r="B10" s="7" t="s">
        <v>21</v>
      </c>
      <c r="C10" s="5" t="s">
        <v>22</v>
      </c>
      <c r="D10" s="5" t="s">
        <v>23</v>
      </c>
      <c r="E10" s="3"/>
      <c r="F10" s="3"/>
      <c r="G10" s="3"/>
      <c r="H10" s="3"/>
    </row>
    <row r="11" customFormat="false" ht="28.35" hidden="false" customHeight="false" outlineLevel="0" collapsed="false">
      <c r="A11" s="5" t="s">
        <v>24</v>
      </c>
      <c r="B11" s="6" t="n">
        <f aca="false">SUMIF(E38:E43,"Completed",F38:F43)</f>
        <v>2500000</v>
      </c>
      <c r="C11" s="5" t="s">
        <v>25</v>
      </c>
      <c r="D11" s="5" t="s">
        <v>26</v>
      </c>
      <c r="E11" s="3"/>
      <c r="F11" s="3"/>
      <c r="G11" s="3"/>
      <c r="H11" s="3"/>
    </row>
    <row r="12" customFormat="false" ht="15" hidden="false" customHeight="false" outlineLevel="0" collapsed="false">
      <c r="A12" s="5" t="s">
        <v>27</v>
      </c>
      <c r="B12" s="6" t="n">
        <f aca="false">SUM(F38:F43)</f>
        <v>4400000</v>
      </c>
      <c r="C12" s="5" t="s">
        <v>28</v>
      </c>
      <c r="D12" s="5" t="s">
        <v>26</v>
      </c>
      <c r="E12" s="3"/>
      <c r="F12" s="3"/>
      <c r="G12" s="3"/>
      <c r="H12" s="3"/>
    </row>
    <row r="13" customFormat="false" ht="41.75" hidden="false" customHeight="false" outlineLevel="0" collapsed="false">
      <c r="A13" s="5" t="s">
        <v>29</v>
      </c>
      <c r="B13" s="7" t="n">
        <f aca="false">B11/B12</f>
        <v>0.568181818181818</v>
      </c>
      <c r="C13" s="5" t="s">
        <v>30</v>
      </c>
      <c r="D13" s="5" t="s">
        <v>26</v>
      </c>
      <c r="E13" s="3"/>
      <c r="F13" s="3"/>
      <c r="G13" s="3"/>
      <c r="H13" s="3"/>
    </row>
    <row r="14" customFormat="false" ht="28.35" hidden="false" customHeight="false" outlineLevel="0" collapsed="false">
      <c r="A14" s="5" t="s">
        <v>31</v>
      </c>
      <c r="B14" s="7" t="n">
        <f aca="false">(B11-400000)/(B12-400000)</f>
        <v>0.525</v>
      </c>
      <c r="C14" s="5" t="s">
        <v>32</v>
      </c>
      <c r="D14" s="5" t="s">
        <v>26</v>
      </c>
      <c r="E14" s="3"/>
      <c r="F14" s="3"/>
      <c r="G14" s="3"/>
      <c r="H14" s="3"/>
    </row>
    <row r="15" customFormat="false" ht="15" hidden="false" customHeight="true" outlineLevel="0" collapsed="false">
      <c r="A15" s="8" t="s">
        <v>33</v>
      </c>
      <c r="B15" s="8"/>
      <c r="C15" s="8"/>
      <c r="D15" s="8"/>
      <c r="E15" s="8"/>
      <c r="F15" s="8"/>
      <c r="G15" s="8"/>
      <c r="H15" s="8"/>
    </row>
    <row r="16" customFormat="false" ht="28.35" hidden="false" customHeight="false" outlineLevel="0" collapsed="false">
      <c r="A16" s="4" t="s">
        <v>34</v>
      </c>
      <c r="B16" s="4" t="s">
        <v>35</v>
      </c>
      <c r="C16" s="4" t="s">
        <v>36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41</v>
      </c>
    </row>
    <row r="17" customFormat="false" ht="15" hidden="false" customHeight="false" outlineLevel="0" collapsed="false">
      <c r="A17" s="5" t="s">
        <v>42</v>
      </c>
      <c r="B17" s="5" t="s">
        <v>43</v>
      </c>
      <c r="C17" s="5" t="s">
        <v>44</v>
      </c>
      <c r="D17" s="5" t="s">
        <v>45</v>
      </c>
      <c r="E17" s="6" t="n">
        <v>4200000</v>
      </c>
      <c r="F17" s="5" t="s">
        <v>46</v>
      </c>
      <c r="G17" s="7" t="s">
        <v>47</v>
      </c>
      <c r="H17" s="5" t="s">
        <v>48</v>
      </c>
    </row>
    <row r="18" customFormat="false" ht="15" hidden="false" customHeight="false" outlineLevel="0" collapsed="false">
      <c r="A18" s="5" t="s">
        <v>49</v>
      </c>
      <c r="B18" s="5" t="s">
        <v>50</v>
      </c>
      <c r="C18" s="5" t="s">
        <v>51</v>
      </c>
      <c r="D18" s="5" t="s">
        <v>45</v>
      </c>
      <c r="E18" s="6" t="n">
        <v>5100000</v>
      </c>
      <c r="F18" s="5" t="s">
        <v>46</v>
      </c>
      <c r="G18" s="7" t="s">
        <v>52</v>
      </c>
      <c r="H18" s="5" t="s">
        <v>48</v>
      </c>
    </row>
    <row r="19" customFormat="false" ht="15" hidden="false" customHeight="false" outlineLevel="0" collapsed="false">
      <c r="A19" s="5" t="s">
        <v>53</v>
      </c>
      <c r="B19" s="5" t="s">
        <v>54</v>
      </c>
      <c r="C19" s="5" t="s">
        <v>55</v>
      </c>
      <c r="D19" s="5" t="s">
        <v>45</v>
      </c>
      <c r="E19" s="6" t="n">
        <v>3300000</v>
      </c>
      <c r="F19" s="5" t="s">
        <v>48</v>
      </c>
      <c r="G19" s="7" t="s">
        <v>56</v>
      </c>
      <c r="H19" s="5" t="s">
        <v>48</v>
      </c>
    </row>
    <row r="20" customFormat="false" ht="15" hidden="false" customHeight="false" outlineLevel="0" collapsed="false">
      <c r="A20" s="5" t="s">
        <v>57</v>
      </c>
      <c r="B20" s="5" t="s">
        <v>58</v>
      </c>
      <c r="C20" s="5" t="s">
        <v>59</v>
      </c>
      <c r="D20" s="5" t="s">
        <v>45</v>
      </c>
      <c r="E20" s="6" t="n">
        <v>4650000</v>
      </c>
      <c r="F20" s="5" t="s">
        <v>46</v>
      </c>
      <c r="G20" s="7" t="s">
        <v>60</v>
      </c>
      <c r="H20" s="5" t="s">
        <v>48</v>
      </c>
    </row>
    <row r="21" customFormat="false" ht="15" hidden="false" customHeight="false" outlineLevel="0" collapsed="false">
      <c r="A21" s="5" t="s">
        <v>61</v>
      </c>
      <c r="B21" s="5" t="s">
        <v>61</v>
      </c>
      <c r="C21" s="5" t="s">
        <v>62</v>
      </c>
      <c r="D21" s="5" t="s">
        <v>45</v>
      </c>
      <c r="E21" s="6" t="n">
        <v>2900000</v>
      </c>
      <c r="F21" s="5" t="s">
        <v>46</v>
      </c>
      <c r="G21" s="7" t="s">
        <v>63</v>
      </c>
      <c r="H21" s="5" t="s">
        <v>48</v>
      </c>
    </row>
    <row r="22" customFormat="false" ht="15" hidden="false" customHeight="false" outlineLevel="0" collapsed="false">
      <c r="A22" s="5" t="s">
        <v>64</v>
      </c>
      <c r="B22" s="5" t="s">
        <v>65</v>
      </c>
      <c r="C22" s="5" t="s">
        <v>66</v>
      </c>
      <c r="D22" s="5" t="s">
        <v>45</v>
      </c>
      <c r="E22" s="6" t="n">
        <v>4800000</v>
      </c>
      <c r="F22" s="5" t="s">
        <v>46</v>
      </c>
      <c r="G22" s="7" t="s">
        <v>67</v>
      </c>
      <c r="H22" s="5" t="s">
        <v>48</v>
      </c>
    </row>
    <row r="23" customFormat="false" ht="15" hidden="false" customHeight="false" outlineLevel="0" collapsed="false">
      <c r="A23" s="5" t="s">
        <v>68</v>
      </c>
      <c r="B23" s="5" t="s">
        <v>69</v>
      </c>
      <c r="C23" s="5" t="s">
        <v>70</v>
      </c>
      <c r="D23" s="5" t="s">
        <v>45</v>
      </c>
      <c r="E23" s="6" t="n">
        <v>2150000</v>
      </c>
      <c r="F23" s="5" t="s">
        <v>46</v>
      </c>
      <c r="G23" s="7" t="s">
        <v>71</v>
      </c>
      <c r="H23" s="5" t="s">
        <v>48</v>
      </c>
    </row>
    <row r="24" customFormat="false" ht="15" hidden="false" customHeight="false" outlineLevel="0" collapsed="false">
      <c r="A24" s="5" t="s">
        <v>72</v>
      </c>
      <c r="B24" s="5" t="s">
        <v>73</v>
      </c>
      <c r="C24" s="5" t="s">
        <v>74</v>
      </c>
      <c r="D24" s="5" t="s">
        <v>45</v>
      </c>
      <c r="E24" s="6" t="n">
        <v>3900000</v>
      </c>
      <c r="F24" s="5" t="s">
        <v>46</v>
      </c>
      <c r="G24" s="7" t="s">
        <v>75</v>
      </c>
      <c r="H24" s="5" t="s">
        <v>48</v>
      </c>
    </row>
    <row r="25" customFormat="false" ht="15" hidden="false" customHeight="false" outlineLevel="0" collapsed="false">
      <c r="A25" s="5" t="s">
        <v>76</v>
      </c>
      <c r="B25" s="5" t="s">
        <v>77</v>
      </c>
      <c r="C25" s="5" t="s">
        <v>78</v>
      </c>
      <c r="D25" s="5" t="s">
        <v>45</v>
      </c>
      <c r="E25" s="6" t="n">
        <v>0</v>
      </c>
      <c r="F25" s="5" t="s">
        <v>46</v>
      </c>
      <c r="G25" s="7" t="s">
        <v>79</v>
      </c>
      <c r="H25" s="5" t="s">
        <v>48</v>
      </c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</row>
    <row r="27" customFormat="false" ht="68.65" hidden="false" customHeight="false" outlineLevel="0" collapsed="false">
      <c r="A27" s="9" t="s">
        <v>80</v>
      </c>
      <c r="B27" s="5" t="s">
        <v>81</v>
      </c>
      <c r="C27" s="5" t="s">
        <v>82</v>
      </c>
      <c r="D27" s="3"/>
      <c r="E27" s="3"/>
      <c r="F27" s="3"/>
      <c r="G27" s="3"/>
      <c r="H27" s="3"/>
    </row>
    <row r="28" customFormat="false" ht="41.75" hidden="false" customHeight="false" outlineLevel="0" collapsed="false">
      <c r="A28" s="5" t="s">
        <v>83</v>
      </c>
      <c r="B28" s="5" t="s">
        <v>84</v>
      </c>
      <c r="C28" s="5" t="s">
        <v>85</v>
      </c>
      <c r="D28" s="3"/>
      <c r="E28" s="3"/>
      <c r="F28" s="3"/>
      <c r="G28" s="3"/>
      <c r="H28" s="3"/>
    </row>
    <row r="29" customFormat="false" ht="41.75" hidden="false" customHeight="false" outlineLevel="0" collapsed="false">
      <c r="A29" s="5" t="s">
        <v>86</v>
      </c>
      <c r="B29" s="5" t="s">
        <v>87</v>
      </c>
      <c r="C29" s="5" t="s">
        <v>88</v>
      </c>
      <c r="D29" s="3"/>
      <c r="E29" s="3"/>
      <c r="F29" s="3"/>
      <c r="G29" s="3"/>
      <c r="H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</row>
    <row r="31" customFormat="false" ht="15" hidden="false" customHeight="true" outlineLevel="0" collapsed="false">
      <c r="A31" s="8" t="s">
        <v>89</v>
      </c>
      <c r="B31" s="8"/>
      <c r="C31" s="8"/>
      <c r="D31" s="8"/>
      <c r="E31" s="8"/>
      <c r="F31" s="8"/>
      <c r="G31" s="8"/>
      <c r="H31" s="8"/>
    </row>
    <row r="32" customFormat="false" ht="28.35" hidden="false" customHeight="false" outlineLevel="0" collapsed="false">
      <c r="A32" s="4" t="s">
        <v>90</v>
      </c>
      <c r="B32" s="4" t="s">
        <v>35</v>
      </c>
      <c r="C32" s="4" t="s">
        <v>91</v>
      </c>
      <c r="D32" s="4" t="s">
        <v>92</v>
      </c>
      <c r="E32" s="4" t="s">
        <v>93</v>
      </c>
      <c r="F32" s="4" t="s">
        <v>94</v>
      </c>
      <c r="G32" s="4" t="s">
        <v>41</v>
      </c>
      <c r="H32" s="4" t="s">
        <v>5</v>
      </c>
    </row>
    <row r="33" customFormat="false" ht="15" hidden="false" customHeight="false" outlineLevel="0" collapsed="false">
      <c r="A33" s="5" t="s">
        <v>95</v>
      </c>
      <c r="B33" s="5" t="s">
        <v>96</v>
      </c>
      <c r="C33" s="5" t="s">
        <v>96</v>
      </c>
      <c r="D33" s="5" t="s">
        <v>96</v>
      </c>
      <c r="E33" s="5" t="s">
        <v>55</v>
      </c>
      <c r="F33" s="5" t="s">
        <v>97</v>
      </c>
      <c r="G33" s="5" t="s">
        <v>48</v>
      </c>
      <c r="H33" s="5" t="s">
        <v>98</v>
      </c>
    </row>
    <row r="34" customFormat="false" ht="41.75" hidden="false" customHeight="false" outlineLevel="0" collapsed="false">
      <c r="A34" s="5" t="s">
        <v>99</v>
      </c>
      <c r="B34" s="5" t="s">
        <v>99</v>
      </c>
      <c r="C34" s="5" t="s">
        <v>100</v>
      </c>
      <c r="D34" s="5" t="s">
        <v>99</v>
      </c>
      <c r="E34" s="5" t="s">
        <v>101</v>
      </c>
      <c r="F34" s="5" t="s">
        <v>97</v>
      </c>
      <c r="G34" s="5" t="s">
        <v>48</v>
      </c>
      <c r="H34" s="5" t="s">
        <v>98</v>
      </c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15" hidden="false" customHeight="true" outlineLevel="0" collapsed="false">
      <c r="A36" s="8" t="s">
        <v>102</v>
      </c>
      <c r="B36" s="8"/>
      <c r="C36" s="8"/>
      <c r="D36" s="8"/>
      <c r="E36" s="8"/>
      <c r="F36" s="8"/>
      <c r="G36" s="8"/>
      <c r="H36" s="8"/>
    </row>
    <row r="37" customFormat="false" ht="15" hidden="false" customHeight="false" outlineLevel="0" collapsed="false">
      <c r="A37" s="4" t="s">
        <v>103</v>
      </c>
      <c r="B37" s="4" t="s">
        <v>104</v>
      </c>
      <c r="C37" s="4" t="s">
        <v>105</v>
      </c>
      <c r="D37" s="4" t="s">
        <v>106</v>
      </c>
      <c r="E37" s="4" t="s">
        <v>107</v>
      </c>
      <c r="F37" s="4" t="s">
        <v>108</v>
      </c>
      <c r="G37" s="4" t="s">
        <v>109</v>
      </c>
      <c r="H37" s="4" t="s">
        <v>110</v>
      </c>
    </row>
    <row r="38" customFormat="false" ht="15" hidden="false" customHeight="false" outlineLevel="0" collapsed="false">
      <c r="A38" s="5" t="s">
        <v>111</v>
      </c>
      <c r="B38" s="5" t="s">
        <v>112</v>
      </c>
      <c r="C38" s="5" t="s">
        <v>113</v>
      </c>
      <c r="D38" s="5" t="s">
        <v>114</v>
      </c>
      <c r="E38" s="5" t="s">
        <v>115</v>
      </c>
      <c r="F38" s="6" t="n">
        <v>1200000</v>
      </c>
      <c r="G38" s="5" t="s">
        <v>46</v>
      </c>
      <c r="H38" s="5" t="s">
        <v>48</v>
      </c>
    </row>
    <row r="39" customFormat="false" ht="15" hidden="false" customHeight="false" outlineLevel="0" collapsed="false">
      <c r="A39" s="5" t="s">
        <v>116</v>
      </c>
      <c r="B39" s="5"/>
      <c r="C39" s="5" t="s">
        <v>117</v>
      </c>
      <c r="D39" s="5" t="s">
        <v>114</v>
      </c>
      <c r="E39" s="5" t="s">
        <v>118</v>
      </c>
      <c r="F39" s="6" t="n">
        <v>800000</v>
      </c>
      <c r="G39" s="5" t="s">
        <v>46</v>
      </c>
      <c r="H39" s="5" t="s">
        <v>46</v>
      </c>
    </row>
    <row r="40" customFormat="false" ht="15" hidden="false" customHeight="false" outlineLevel="0" collapsed="false">
      <c r="A40" s="5" t="s">
        <v>119</v>
      </c>
      <c r="B40" s="5" t="s">
        <v>119</v>
      </c>
      <c r="C40" s="5" t="s">
        <v>120</v>
      </c>
      <c r="D40" s="5" t="s">
        <v>114</v>
      </c>
      <c r="E40" s="5" t="s">
        <v>121</v>
      </c>
      <c r="F40" s="6" t="n">
        <v>500000</v>
      </c>
      <c r="G40" s="5" t="s">
        <v>48</v>
      </c>
      <c r="H40" s="5" t="s">
        <v>46</v>
      </c>
    </row>
    <row r="41" customFormat="false" ht="15" hidden="false" customHeight="false" outlineLevel="0" collapsed="false">
      <c r="A41" s="5" t="s">
        <v>122</v>
      </c>
      <c r="B41" s="5" t="s">
        <v>123</v>
      </c>
      <c r="C41" s="5" t="s">
        <v>124</v>
      </c>
      <c r="D41" s="5" t="s">
        <v>114</v>
      </c>
      <c r="E41" s="5" t="s">
        <v>115</v>
      </c>
      <c r="F41" s="6" t="n">
        <v>900000</v>
      </c>
      <c r="G41" s="5" t="s">
        <v>46</v>
      </c>
      <c r="H41" s="5" t="s">
        <v>48</v>
      </c>
    </row>
    <row r="42" customFormat="false" ht="15" hidden="false" customHeight="false" outlineLevel="0" collapsed="false">
      <c r="A42" s="5" t="s">
        <v>125</v>
      </c>
      <c r="B42" s="5" t="s">
        <v>125</v>
      </c>
      <c r="C42" s="5" t="s">
        <v>126</v>
      </c>
      <c r="D42" s="5" t="s">
        <v>114</v>
      </c>
      <c r="E42" s="5" t="s">
        <v>115</v>
      </c>
      <c r="F42" s="6" t="n">
        <v>400000</v>
      </c>
      <c r="G42" s="5" t="s">
        <v>48</v>
      </c>
      <c r="H42" s="5" t="s">
        <v>48</v>
      </c>
    </row>
    <row r="43" customFormat="false" ht="15" hidden="false" customHeight="false" outlineLevel="0" collapsed="false">
      <c r="A43" s="5" t="s">
        <v>127</v>
      </c>
      <c r="B43" s="5"/>
      <c r="C43" s="5" t="s">
        <v>128</v>
      </c>
      <c r="D43" s="5" t="s">
        <v>114</v>
      </c>
      <c r="E43" s="5" t="s">
        <v>118</v>
      </c>
      <c r="F43" s="6" t="n">
        <v>600000</v>
      </c>
      <c r="G43" s="5" t="s">
        <v>46</v>
      </c>
      <c r="H43" s="5" t="s">
        <v>46</v>
      </c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</row>
    <row r="46" customFormat="false" ht="15" hidden="false" customHeight="true" outlineLevel="0" collapsed="false">
      <c r="A46" s="8" t="s">
        <v>129</v>
      </c>
      <c r="B46" s="8"/>
      <c r="C46" s="8"/>
      <c r="D46" s="8"/>
      <c r="E46" s="8"/>
      <c r="F46" s="8"/>
      <c r="G46" s="8"/>
      <c r="H46" s="8"/>
    </row>
    <row r="47" customFormat="false" ht="15" hidden="false" customHeight="true" outlineLevel="0" collapsed="false">
      <c r="A47" s="5" t="s">
        <v>23</v>
      </c>
      <c r="B47" s="5" t="s">
        <v>130</v>
      </c>
      <c r="C47" s="5"/>
      <c r="D47" s="5"/>
      <c r="E47" s="5"/>
      <c r="F47" s="5"/>
      <c r="G47" s="5"/>
      <c r="H47" s="5"/>
    </row>
    <row r="48" customFormat="false" ht="15" hidden="false" customHeight="true" outlineLevel="0" collapsed="false">
      <c r="A48" s="5" t="s">
        <v>131</v>
      </c>
      <c r="B48" s="5" t="s">
        <v>132</v>
      </c>
      <c r="C48" s="5"/>
      <c r="D48" s="5"/>
      <c r="E48" s="5"/>
      <c r="F48" s="5"/>
      <c r="G48" s="5"/>
      <c r="H48" s="5"/>
    </row>
    <row r="49" customFormat="false" ht="15" hidden="false" customHeight="true" outlineLevel="0" collapsed="false">
      <c r="A49" s="5" t="s">
        <v>98</v>
      </c>
      <c r="B49" s="5" t="s">
        <v>133</v>
      </c>
      <c r="C49" s="5"/>
      <c r="D49" s="5"/>
      <c r="E49" s="5"/>
      <c r="F49" s="5"/>
      <c r="G49" s="5"/>
      <c r="H49" s="5"/>
    </row>
    <row r="50" customFormat="false" ht="15" hidden="false" customHeight="true" outlineLevel="0" collapsed="false">
      <c r="A50" s="5" t="s">
        <v>26</v>
      </c>
      <c r="B50" s="5" t="s">
        <v>134</v>
      </c>
      <c r="C50" s="5"/>
      <c r="D50" s="5"/>
      <c r="E50" s="5"/>
      <c r="F50" s="5"/>
      <c r="G50" s="5"/>
      <c r="H50" s="5"/>
    </row>
    <row r="51" customFormat="false" ht="15" hidden="false" customHeight="true" outlineLevel="0" collapsed="false">
      <c r="A51" s="5" t="s">
        <v>135</v>
      </c>
      <c r="B51" s="5" t="s">
        <v>136</v>
      </c>
      <c r="C51" s="5"/>
      <c r="D51" s="5"/>
      <c r="E51" s="5"/>
      <c r="F51" s="5"/>
      <c r="G51" s="5"/>
      <c r="H51" s="5"/>
    </row>
    <row r="52" customFormat="false" ht="15" hidden="false" customHeight="true" outlineLevel="0" collapsed="false">
      <c r="A52" s="5" t="s">
        <v>137</v>
      </c>
      <c r="B52" s="5" t="s">
        <v>138</v>
      </c>
      <c r="C52" s="5"/>
      <c r="D52" s="5"/>
      <c r="E52" s="5"/>
      <c r="F52" s="5"/>
      <c r="G52" s="5"/>
      <c r="H52" s="5"/>
    </row>
  </sheetData>
  <mergeCells count="12">
    <mergeCell ref="A1:H1"/>
    <mergeCell ref="A2:H2"/>
    <mergeCell ref="A15:H15"/>
    <mergeCell ref="A31:H31"/>
    <mergeCell ref="A36:H36"/>
    <mergeCell ref="A46:H46"/>
    <mergeCell ref="B47:H47"/>
    <mergeCell ref="B48:H48"/>
    <mergeCell ref="B49:H49"/>
    <mergeCell ref="B50:H50"/>
    <mergeCell ref="B51:H51"/>
    <mergeCell ref="B52:H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2026-08-24T13:23:04Z</dcterms:created>
  <dc:creator>openpyxl</dc:creator>
  <dc:description/>
  <dc:language>en-US</dc:language>
  <cp:lastModifiedBy/>
  <dcterms:modified xsi:type="dcterms:W3CDTF">2026-08-24T13:23:04Z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