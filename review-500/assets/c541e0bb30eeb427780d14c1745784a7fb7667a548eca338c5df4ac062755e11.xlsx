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iew workings" sheetId="1" state="visible" r:id="rId3"/>
  </sheets>
  <definedNames>
    <definedName function="false" hidden="true" localSheetId="0" name="_xlnm._FilterDatabase" vbProcedure="false">'Review workings'!$A$30:$R$55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<sst xmlns="http://schemas.openxmlformats.org/spreadsheetml/2006/main" count="396" uniqueCount="128">
  <si>
    <t xml:space="preserve">Sandpiper Field Services | Western financial workings</t>
  </si>
  <si>
    <t xml:space="preserve">Review file | FY2024 Actual, FY2025 Actual, FY2026 Forecast | All source amounts in dollars unless stated</t>
  </si>
  <si>
    <t xml:space="preserve">Calculated metrics - directly supporting the town hall deck</t>
  </si>
  <si>
    <t xml:space="preserve">Metric</t>
  </si>
  <si>
    <t xml:space="preserve">Unit</t>
  </si>
  <si>
    <t xml:space="preserve">FY2024 Actual</t>
  </si>
  <si>
    <t xml:space="preserve">FY2025 Actual</t>
  </si>
  <si>
    <t xml:space="preserve">FY2026 Forecast</t>
  </si>
  <si>
    <t xml:space="preserve">FY25 YoY</t>
  </si>
  <si>
    <t xml:space="preserve">FY26 YoY</t>
  </si>
  <si>
    <t xml:space="preserve">Calculation basis</t>
  </si>
  <si>
    <t xml:space="preserve">Revenue</t>
  </si>
  <si>
    <t xml:space="preserve">$m</t>
  </si>
  <si>
    <t xml:space="preserve">Flow; retained branch records</t>
  </si>
  <si>
    <t xml:space="preserve">Operating expense</t>
  </si>
  <si>
    <t xml:space="preserve">Components + accounts x rounded rate</t>
  </si>
  <si>
    <t xml:space="preserve">Operating contribution</t>
  </si>
  <si>
    <t xml:space="preserve">Revenue less operating expense</t>
  </si>
  <si>
    <t xml:space="preserve">Operating margin</t>
  </si>
  <si>
    <t xml:space="preserve">%</t>
  </si>
  <si>
    <t xml:space="preserve">Contribution / revenue</t>
  </si>
  <si>
    <t xml:space="preserve">Deposit balance</t>
  </si>
  <si>
    <t xml:space="preserve">Retained period-end balances</t>
  </si>
  <si>
    <t xml:space="preserve">Lending balance</t>
  </si>
  <si>
    <t xml:space="preserve">Opened accounts</t>
  </si>
  <si>
    <t xml:space="preserve">accounts</t>
  </si>
  <si>
    <t xml:space="preserve">Onboarding packs x 48</t>
  </si>
  <si>
    <t xml:space="preserve">Servicing expense</t>
  </si>
  <si>
    <t xml:space="preserve">Accounts x rounded rate</t>
  </si>
  <si>
    <t xml:space="preserve">Approved servicing rate</t>
  </si>
  <si>
    <t xml:space="preserve">$ / account</t>
  </si>
  <si>
    <t xml:space="preserve">Rate rounded to cents</t>
  </si>
  <si>
    <t xml:space="preserve">Active branches</t>
  </si>
  <si>
    <t xml:space="preserve">branches</t>
  </si>
  <si>
    <t xml:space="preserve">Distinct retained active branch IDs</t>
  </si>
  <si>
    <t xml:space="preserve">FTE</t>
  </si>
  <si>
    <t xml:space="preserve">Retained active-branch FTE</t>
  </si>
  <si>
    <t xml:space="preserve">Contribution per FTE</t>
  </si>
  <si>
    <t xml:space="preserve">$m / FTE</t>
  </si>
  <si>
    <t xml:space="preserve">Contribution / FTE</t>
  </si>
  <si>
    <t xml:space="preserve">Forecast bridge - operating contribution</t>
  </si>
  <si>
    <t xml:space="preserve">Bridge item</t>
  </si>
  <si>
    <t xml:space="preserve">FY2026 movement ($m)</t>
  </si>
  <si>
    <t xml:space="preserve">Calculation / source basis</t>
  </si>
  <si>
    <t xml:space="preserve">FY2025 Actual operating contribution</t>
  </si>
  <si>
    <t xml:space="preserve">Validated metric</t>
  </si>
  <si>
    <t xml:space="preserve">Revenue growth</t>
  </si>
  <si>
    <t xml:space="preserve">Validated revenue movement</t>
  </si>
  <si>
    <t xml:space="preserve">Payroll and occupancy</t>
  </si>
  <si>
    <t xml:space="preserve">Validated retained component movement</t>
  </si>
  <si>
    <t xml:space="preserve">Other operating expense</t>
  </si>
  <si>
    <t xml:space="preserve">Accounts x rounded rate movement</t>
  </si>
  <si>
    <t xml:space="preserve">FY2026 Forecast operating contribution</t>
  </si>
  <si>
    <t xml:space="preserve">Reconciles to FY2026 validated metric</t>
  </si>
  <si>
    <t xml:space="preserve">Retained source records (latest Load Timestamp per Source Record ID)</t>
  </si>
  <si>
    <t xml:space="preserve">Source Record ID</t>
  </si>
  <si>
    <t xml:space="preserve">Load Timestamp</t>
  </si>
  <si>
    <t xml:space="preserve">Record Type</t>
  </si>
  <si>
    <t xml:space="preserve">Period</t>
  </si>
  <si>
    <t xml:space="preserve">Status</t>
  </si>
  <si>
    <t xml:space="preserve">Branch ID</t>
  </si>
  <si>
    <t xml:space="preserve">Branch name</t>
  </si>
  <si>
    <t xml:space="preserve">Branch status</t>
  </si>
  <si>
    <t xml:space="preserve">Service revenue ($)</t>
  </si>
  <si>
    <t xml:space="preserve">Interest revenue ($)</t>
  </si>
  <si>
    <t xml:space="preserve">Payroll expense ($)</t>
  </si>
  <si>
    <t xml:space="preserve">Occupancy expense ($)</t>
  </si>
  <si>
    <t xml:space="preserve">Other operating expense ($)</t>
  </si>
  <si>
    <t xml:space="preserve">Deposit balance ($)</t>
  </si>
  <si>
    <t xml:space="preserve">Lending balance ($)</t>
  </si>
  <si>
    <t xml:space="preserve">Onboarding packs</t>
  </si>
  <si>
    <t xml:space="preserve">Per-account servicing rate ($)</t>
  </si>
  <si>
    <t xml:space="preserve">FY2024-W01-CLOSE</t>
  </si>
  <si>
    <t xml:space="preserve">Branch close</t>
  </si>
  <si>
    <t xml:space="preserve">FY2024</t>
  </si>
  <si>
    <t xml:space="preserve">Actual</t>
  </si>
  <si>
    <t xml:space="preserve">W01</t>
  </si>
  <si>
    <t xml:space="preserve">Cedar Mesa</t>
  </si>
  <si>
    <t xml:space="preserve">Active</t>
  </si>
  <si>
    <t xml:space="preserve">FY2024-W02-CLOSE</t>
  </si>
  <si>
    <t xml:space="preserve">W02</t>
  </si>
  <si>
    <t xml:space="preserve">Juniper Crossing</t>
  </si>
  <si>
    <t xml:space="preserve">FY2024-W03-CLOSE</t>
  </si>
  <si>
    <t xml:space="preserve">W03</t>
  </si>
  <si>
    <t xml:space="preserve">Westgate</t>
  </si>
  <si>
    <t xml:space="preserve">FY2024-W04-CLOSE</t>
  </si>
  <si>
    <t xml:space="preserve">W04</t>
  </si>
  <si>
    <t xml:space="preserve">Arroyo Center</t>
  </si>
  <si>
    <t xml:space="preserve">FY2024-W05-CLOSE</t>
  </si>
  <si>
    <t xml:space="preserve">W05</t>
  </si>
  <si>
    <t xml:space="preserve">Palisade</t>
  </si>
  <si>
    <t xml:space="preserve">FY2024-W06-CLOSE</t>
  </si>
  <si>
    <t xml:space="preserve">W06</t>
  </si>
  <si>
    <t xml:space="preserve">Redcliff</t>
  </si>
  <si>
    <t xml:space="preserve">FY2024-W07-CLOSE</t>
  </si>
  <si>
    <t xml:space="preserve">W07</t>
  </si>
  <si>
    <t xml:space="preserve">North Basin</t>
  </si>
  <si>
    <t xml:space="preserve">FY2024-W08-CLOSE</t>
  </si>
  <si>
    <t xml:space="preserve">W08</t>
  </si>
  <si>
    <t xml:space="preserve">Larkspur Point</t>
  </si>
  <si>
    <t xml:space="preserve">FY2025-W01-CLOSE</t>
  </si>
  <si>
    <t xml:space="preserve">FY2025</t>
  </si>
  <si>
    <t xml:space="preserve">FY2025-W02-CLOSE</t>
  </si>
  <si>
    <t xml:space="preserve">FY2025-W03-CLOSE</t>
  </si>
  <si>
    <t xml:space="preserve">FY2025-W04-CLOSE</t>
  </si>
  <si>
    <t xml:space="preserve">FY2025-W05-CLOSE</t>
  </si>
  <si>
    <t xml:space="preserve">FY2025-W06-CLOSE</t>
  </si>
  <si>
    <t xml:space="preserve">FY2025-W07-CLOSE</t>
  </si>
  <si>
    <t xml:space="preserve">FY2025-W08-CLOSE</t>
  </si>
  <si>
    <t xml:space="preserve">FY2026-W01-CLOSE</t>
  </si>
  <si>
    <t xml:space="preserve">FY2026</t>
  </si>
  <si>
    <t xml:space="preserve">Forecast</t>
  </si>
  <si>
    <t xml:space="preserve">FY2026-W02-CLOSE</t>
  </si>
  <si>
    <t xml:space="preserve">FY2026-W03-CLOSE</t>
  </si>
  <si>
    <t xml:space="preserve">FY2026-W04-CLOSE</t>
  </si>
  <si>
    <t xml:space="preserve">Consolidated</t>
  </si>
  <si>
    <t xml:space="preserve">FY2026-W05-CLOSE</t>
  </si>
  <si>
    <t xml:space="preserve">FY2026-W06-CLOSE</t>
  </si>
  <si>
    <t xml:space="preserve">FY2026-W07-CLOSE</t>
  </si>
  <si>
    <t xml:space="preserve">FY2026-W08-CLOSE</t>
  </si>
  <si>
    <t xml:space="preserve">Export completed 06 Nov 2026 08:40 UTC</t>
  </si>
  <si>
    <t xml:space="preserve">Occurrence</t>
  </si>
  <si>
    <t xml:space="preserve">Retained?</t>
  </si>
  <si>
    <t xml:space="preserve">Review note</t>
  </si>
  <si>
    <t xml:space="preserve">Yes</t>
  </si>
  <si>
    <t xml:space="preserve">Single occurrence</t>
  </si>
  <si>
    <t xml:space="preserve">No</t>
  </si>
  <si>
    <t xml:space="preserve">Latest load retained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</si>
</sst>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yyyy\-mm\-dd\ 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mbria"/>
      <family val="0"/>
      <charset val="1"/>
    </font>
    <font>
      <sz val="9"/>
      <color rgb="FF172B4D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172B4D"/>
      </patternFill>
    </fill>
    <fill>
      <patternFill patternType="solid">
        <fgColor rgb="FF1579B8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579B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B4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79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339966"/>
      <rgbColor rgb="FF0B1F3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9"/>
    <col collapsed="false" customWidth="true" hidden="false" outlineLevel="0" max="12" min="12" style="0" width="20"/>
    <col collapsed="false" customWidth="true" hidden="false" outlineLevel="0" max="13" min="13" style="0" width="23"/>
    <col collapsed="false" customWidth="true" hidden="false" outlineLevel="0" max="15" min="14" style="0" width="18"/>
    <col collapsed="false" customWidth="true" hidden="false" outlineLevel="0" max="16" min="16" style="0" width="17"/>
    <col collapsed="false" customWidth="true" hidden="false" outlineLevel="0" max="17" min="17" style="0" width="24"/>
    <col collapsed="false" customWidth="true" hidden="false" outlineLevel="0" max="18" min="18" style="0" width="10"/>
  </cols>
  <sheetData>
    <row r="1" customFormat="false" ht="19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3"/>
      <c r="B3" s="4"/>
      <c r="C3" s="4"/>
      <c r="D3" s="4"/>
      <c r="E3" s="4"/>
      <c r="F3" s="4"/>
      <c r="G3" s="4"/>
      <c r="H3" s="3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22.3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3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28.35" hidden="false" customHeight="fals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5" t="s">
        <v>10</v>
      </c>
      <c r="I5" s="7"/>
      <c r="J5" s="7"/>
      <c r="K5" s="7"/>
      <c r="L5" s="7"/>
      <c r="M5" s="7"/>
      <c r="N5" s="7"/>
      <c r="O5" s="7"/>
      <c r="P5" s="7"/>
      <c r="Q5" s="7"/>
      <c r="R5" s="7"/>
    </row>
    <row r="6" customFormat="false" ht="22.35" hidden="false" customHeight="false" outlineLevel="0" collapsed="false">
      <c r="A6" s="3" t="s">
        <v>11</v>
      </c>
      <c r="B6" s="4" t="s">
        <v>12</v>
      </c>
      <c r="C6" s="8" t="n">
        <f aca="false">(SUMIFS($I$31:$I$54,$D$31:$D$54,"FY2024")+SUMIFS($J$31:$J$54,$D$31:$D$54,"FY2024"))/1000000</f>
        <v>53</v>
      </c>
      <c r="D6" s="8" t="n">
        <f aca="false">(SUMIFS($I$31:$I$54,$D$31:$D$54,"FY2025")+SUMIFS($J$31:$J$54,$D$31:$D$54,"FY2025"))/1000000</f>
        <v>56</v>
      </c>
      <c r="E6" s="8" t="n">
        <f aca="false">(SUMIFS($I$31:$I$54,$D$31:$D$54,"FY2026")+SUMIFS($J$31:$J$54,$D$31:$D$54,"FY2026"))/1000000</f>
        <v>58.5</v>
      </c>
      <c r="F6" s="9" t="n">
        <f aca="false">D6/C6-1</f>
        <v>0.0566037735849057</v>
      </c>
      <c r="G6" s="9" t="n">
        <f aca="false">E6/D6-1</f>
        <v>0.0446428571428572</v>
      </c>
      <c r="H6" s="3" t="s">
        <v>13</v>
      </c>
      <c r="I6" s="4"/>
      <c r="J6" s="4"/>
      <c r="K6" s="4"/>
      <c r="L6" s="4"/>
      <c r="M6" s="4"/>
      <c r="N6" s="4"/>
      <c r="O6" s="4"/>
      <c r="P6" s="4"/>
      <c r="Q6" s="4"/>
      <c r="R6" s="4"/>
    </row>
    <row r="7" customFormat="false" ht="32.8" hidden="false" customHeight="false" outlineLevel="0" collapsed="false">
      <c r="A7" s="3" t="s">
        <v>14</v>
      </c>
      <c r="B7" s="4" t="s">
        <v>12</v>
      </c>
      <c r="C7" s="8" t="n">
        <f aca="false">(SUMIFS($K$31:$K$54,$D$31:$D$54,"FY2024")+SUMIFS($L$31:$L$54,$D$31:$D$54,"FY2024")+SUMIFS($M$31:$M$54,$D$31:$D$54,"FY2024")+SUMPRODUCT(($D$31:$D$54="FY2024")*$P$31:$P$54*48*ROUND($Q$31:$Q$54,2)))/1000000</f>
        <v>27.4</v>
      </c>
      <c r="D7" s="8" t="n">
        <f aca="false">(SUMIFS($K$31:$K$54,$D$31:$D$54,"FY2025")+SUMIFS($L$31:$L$54,$D$31:$D$54,"FY2025")+SUMIFS($M$31:$M$54,$D$31:$D$54,"FY2025")+SUMPRODUCT(($D$31:$D$54="FY2025")*$P$31:$P$54*48*ROUND($Q$31:$Q$54,2)))/1000000</f>
        <v>28.55</v>
      </c>
      <c r="E7" s="8" t="n">
        <f aca="false">(SUMIFS($K$31:$K$54,$D$31:$D$54,"FY2026")+SUMIFS($L$31:$L$54,$D$31:$D$54,"FY2026")+SUMIFS($M$31:$M$54,$D$31:$D$54,"FY2026")+SUMPRODUCT(($D$31:$D$54="FY2026")*$P$31:$P$54*48*ROUND($Q$31:$Q$54,2)))/1000000</f>
        <v>30.31</v>
      </c>
      <c r="F7" s="9" t="n">
        <f aca="false">D7/C7-1</f>
        <v>0.0419708029197081</v>
      </c>
      <c r="G7" s="9" t="n">
        <f aca="false">E7/D7-1</f>
        <v>0.0616462346760069</v>
      </c>
      <c r="H7" s="3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</row>
    <row r="8" customFormat="false" ht="22.35" hidden="false" customHeight="false" outlineLevel="0" collapsed="false">
      <c r="A8" s="3" t="s">
        <v>16</v>
      </c>
      <c r="B8" s="4" t="s">
        <v>12</v>
      </c>
      <c r="C8" s="8" t="n">
        <f aca="false">C6-C7</f>
        <v>25.6</v>
      </c>
      <c r="D8" s="8" t="n">
        <f aca="false">D6-D7</f>
        <v>27.45</v>
      </c>
      <c r="E8" s="8" t="n">
        <f aca="false">E6-E7</f>
        <v>28.19</v>
      </c>
      <c r="F8" s="9" t="n">
        <f aca="false">D8/C8-1</f>
        <v>0.072265625</v>
      </c>
      <c r="G8" s="9" t="n">
        <f aca="false">E8/D8-1</f>
        <v>0.0269581056466304</v>
      </c>
      <c r="H8" s="3" t="s">
        <v>17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customFormat="false" ht="15" hidden="false" customHeight="false" outlineLevel="0" collapsed="false">
      <c r="A9" s="3" t="s">
        <v>18</v>
      </c>
      <c r="B9" s="4" t="s">
        <v>19</v>
      </c>
      <c r="C9" s="8" t="n">
        <f aca="false">C8/C6</f>
        <v>0.483018867924528</v>
      </c>
      <c r="D9" s="8" t="n">
        <f aca="false">D8/D6</f>
        <v>0.490178571428571</v>
      </c>
      <c r="E9" s="8" t="n">
        <f aca="false">E8/E6</f>
        <v>0.481880341880342</v>
      </c>
      <c r="F9" s="9" t="n">
        <f aca="false">D9/C9-1</f>
        <v>0.0148228236607142</v>
      </c>
      <c r="G9" s="9" t="n">
        <f aca="false">E9/D9-1</f>
        <v>-0.0169289928852769</v>
      </c>
      <c r="H9" s="3" t="s">
        <v>20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 customFormat="false" ht="22.35" hidden="false" customHeight="false" outlineLevel="0" collapsed="false">
      <c r="A10" s="3" t="s">
        <v>21</v>
      </c>
      <c r="B10" s="4" t="s">
        <v>12</v>
      </c>
      <c r="C10" s="8" t="n">
        <f aca="false">SUMIFS($N$31:$N$54,$D$31:$D$54,"FY2024")/1000000</f>
        <v>1056</v>
      </c>
      <c r="D10" s="8" t="n">
        <f aca="false">SUMIFS($N$31:$N$54,$D$31:$D$54,"FY2025")/1000000</f>
        <v>1136</v>
      </c>
      <c r="E10" s="8" t="n">
        <f aca="false">SUMIFS($N$31:$N$54,$D$31:$D$54,"FY2026")/1000000</f>
        <v>1207</v>
      </c>
      <c r="F10" s="9" t="n">
        <f aca="false">D10/C10-1</f>
        <v>0.0757575757575757</v>
      </c>
      <c r="G10" s="9" t="n">
        <f aca="false">E10/D10-1</f>
        <v>0.0625</v>
      </c>
      <c r="H10" s="3" t="s">
        <v>22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customFormat="false" ht="22.35" hidden="false" customHeight="false" outlineLevel="0" collapsed="false">
      <c r="A11" s="3" t="s">
        <v>23</v>
      </c>
      <c r="B11" s="4" t="s">
        <v>12</v>
      </c>
      <c r="C11" s="8" t="n">
        <f aca="false">SUMIFS($O$31:$O$54,$D$31:$D$54,"FY2024")/1000000</f>
        <v>789</v>
      </c>
      <c r="D11" s="8" t="n">
        <f aca="false">SUMIFS($O$31:$O$54,$D$31:$D$54,"FY2025")/1000000</f>
        <v>861</v>
      </c>
      <c r="E11" s="8" t="n">
        <f aca="false">SUMIFS($O$31:$O$54,$D$31:$D$54,"FY2026")/1000000</f>
        <v>929</v>
      </c>
      <c r="F11" s="9" t="n">
        <f aca="false">D11/C11-1</f>
        <v>0.0912547528517109</v>
      </c>
      <c r="G11" s="9" t="n">
        <f aca="false">E11/D11-1</f>
        <v>0.0789779326364692</v>
      </c>
      <c r="H11" s="3" t="s">
        <v>22</v>
      </c>
      <c r="I11" s="4"/>
      <c r="J11" s="4"/>
      <c r="K11" s="4"/>
      <c r="L11" s="4"/>
      <c r="M11" s="4"/>
      <c r="N11" s="4"/>
      <c r="O11" s="4"/>
      <c r="P11" s="4"/>
      <c r="Q11" s="4"/>
      <c r="R11" s="4"/>
    </row>
    <row r="12" customFormat="false" ht="15" hidden="false" customHeight="false" outlineLevel="0" collapsed="false">
      <c r="A12" s="3" t="s">
        <v>24</v>
      </c>
      <c r="B12" s="4" t="s">
        <v>25</v>
      </c>
      <c r="C12" s="8" t="n">
        <f aca="false">SUMIFS($P$31:$P$54,$D$31:$D$54,"FY2024")*48</f>
        <v>210960</v>
      </c>
      <c r="D12" s="8" t="n">
        <f aca="false">SUMIFS($P$31:$P$54,$D$31:$D$54,"FY2025")*48</f>
        <v>227280</v>
      </c>
      <c r="E12" s="8" t="n">
        <f aca="false">SUMIFS($P$31:$P$54,$D$31:$D$54,"FY2026")*48</f>
        <v>241680</v>
      </c>
      <c r="F12" s="9" t="n">
        <f aca="false">D12/C12-1</f>
        <v>0.0773606370875994</v>
      </c>
      <c r="G12" s="9" t="n">
        <f aca="false">E12/D12-1</f>
        <v>0.0633579725448785</v>
      </c>
      <c r="H12" s="3" t="s">
        <v>26</v>
      </c>
      <c r="I12" s="4"/>
      <c r="J12" s="4"/>
      <c r="K12" s="4"/>
      <c r="L12" s="4"/>
      <c r="M12" s="4"/>
      <c r="N12" s="4"/>
      <c r="O12" s="4"/>
      <c r="P12" s="4"/>
      <c r="Q12" s="4"/>
      <c r="R12" s="4"/>
    </row>
    <row r="13" customFormat="false" ht="22.35" hidden="false" customHeight="false" outlineLevel="0" collapsed="false">
      <c r="A13" s="3" t="s">
        <v>27</v>
      </c>
      <c r="B13" s="4" t="s">
        <v>12</v>
      </c>
      <c r="C13" s="8" t="n">
        <f aca="false">C12*ROUND(AVERAGEIFS($Q$31:$Q$54,$D$31:$D$54,"FY2024"),2)/1000000</f>
        <v>1.550556</v>
      </c>
      <c r="D13" s="8" t="n">
        <f aca="false">D12*ROUND(AVERAGEIFS($Q$31:$Q$54,$D$31:$D$54,"FY2025"),2)/1000000</f>
        <v>1.670508</v>
      </c>
      <c r="E13" s="8" t="n">
        <f aca="false">E12*ROUND(AVERAGEIFS($Q$31:$Q$54,$D$31:$D$54,"FY2026"),2)/1000000</f>
        <v>1.776348</v>
      </c>
      <c r="F13" s="9" t="n">
        <f aca="false">D13/C13-1</f>
        <v>0.0773606370875997</v>
      </c>
      <c r="G13" s="9" t="n">
        <f aca="false">E13/D13-1</f>
        <v>0.0633579725448785</v>
      </c>
      <c r="H13" s="3" t="s">
        <v>28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customFormat="false" ht="15" hidden="false" customHeight="false" outlineLevel="0" collapsed="false">
      <c r="A14" s="3" t="s">
        <v>29</v>
      </c>
      <c r="B14" s="4" t="s">
        <v>30</v>
      </c>
      <c r="C14" s="8" t="n">
        <f aca="false">ROUND(AVERAGEIFS($Q$31:$Q$54,$D$31:$D$54,"FY2024"),2)</f>
        <v>7.35</v>
      </c>
      <c r="D14" s="8" t="n">
        <f aca="false">ROUND(AVERAGEIFS($Q$31:$Q$54,$D$31:$D$54,"FY2025"),2)</f>
        <v>7.35</v>
      </c>
      <c r="E14" s="8" t="n">
        <f aca="false">ROUND(AVERAGEIFS($Q$31:$Q$54,$D$31:$D$54,"FY2026"),2)</f>
        <v>7.35</v>
      </c>
      <c r="F14" s="9" t="n">
        <f aca="false">D14/C14-1</f>
        <v>0</v>
      </c>
      <c r="G14" s="9" t="n">
        <f aca="false">E14/D14-1</f>
        <v>0</v>
      </c>
      <c r="H14" s="3" t="s">
        <v>31</v>
      </c>
      <c r="I14" s="4"/>
      <c r="J14" s="4"/>
      <c r="K14" s="4"/>
      <c r="L14" s="4"/>
      <c r="M14" s="4"/>
      <c r="N14" s="4"/>
      <c r="O14" s="4"/>
      <c r="P14" s="4"/>
      <c r="Q14" s="4"/>
      <c r="R14" s="4"/>
    </row>
    <row r="15" customFormat="false" ht="22.35" hidden="false" customHeight="false" outlineLevel="0" collapsed="false">
      <c r="A15" s="3" t="s">
        <v>32</v>
      </c>
      <c r="B15" s="4" t="s">
        <v>33</v>
      </c>
      <c r="C15" s="8" t="n">
        <f aca="false">COUNTIFS($D$31:$D$54,"FY2024",$H$31:$H$54,"Active")</f>
        <v>8</v>
      </c>
      <c r="D15" s="8" t="n">
        <f aca="false">COUNTIFS($D$31:$D$54,"FY2025",$H$31:$H$54,"Active")</f>
        <v>8</v>
      </c>
      <c r="E15" s="8" t="n">
        <f aca="false">COUNTIFS($D$31:$D$54,"FY2026",$H$31:$H$54,"Active")</f>
        <v>7</v>
      </c>
      <c r="F15" s="9" t="n">
        <f aca="false">D15/C15-1</f>
        <v>0</v>
      </c>
      <c r="G15" s="9" t="n">
        <f aca="false">E15/D15-1</f>
        <v>-0.125</v>
      </c>
      <c r="H15" s="3" t="s">
        <v>34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customFormat="false" ht="22.35" hidden="false" customHeight="false" outlineLevel="0" collapsed="false">
      <c r="A16" s="3" t="s">
        <v>35</v>
      </c>
      <c r="B16" s="4" t="s">
        <v>35</v>
      </c>
      <c r="C16" s="8" t="n">
        <f aca="false">SUMIFS($R$31:$R$54,$D$31:$D$54,"FY2024",$H$31:$H$54,"Active")</f>
        <v>229</v>
      </c>
      <c r="D16" s="8" t="n">
        <f aca="false">SUMIFS($R$31:$R$54,$D$31:$D$54,"FY2025",$H$31:$H$54,"Active")</f>
        <v>234.5</v>
      </c>
      <c r="E16" s="8" t="n">
        <f aca="false">SUMIFS($R$31:$R$54,$D$31:$D$54,"FY2026",$H$31:$H$54,"Active")</f>
        <v>209.5</v>
      </c>
      <c r="F16" s="9" t="n">
        <f aca="false">D16/C16-1</f>
        <v>0.0240174672489082</v>
      </c>
      <c r="G16" s="9" t="n">
        <f aca="false">E16/D16-1</f>
        <v>-0.106609808102345</v>
      </c>
      <c r="H16" s="3" t="s">
        <v>36</v>
      </c>
      <c r="I16" s="4"/>
      <c r="J16" s="4"/>
      <c r="K16" s="4"/>
      <c r="L16" s="4"/>
      <c r="M16" s="4"/>
      <c r="N16" s="4"/>
      <c r="O16" s="4"/>
      <c r="P16" s="4"/>
      <c r="Q16" s="4"/>
      <c r="R16" s="4"/>
    </row>
    <row r="17" customFormat="false" ht="15" hidden="false" customHeight="false" outlineLevel="0" collapsed="false">
      <c r="A17" s="3" t="s">
        <v>37</v>
      </c>
      <c r="B17" s="4" t="s">
        <v>38</v>
      </c>
      <c r="C17" s="8" t="n">
        <f aca="false">C8/C15</f>
        <v>3.2</v>
      </c>
      <c r="D17" s="8" t="n">
        <f aca="false">D8/D15</f>
        <v>3.43125</v>
      </c>
      <c r="E17" s="8" t="n">
        <f aca="false">E8/E15</f>
        <v>4.02714285714286</v>
      </c>
      <c r="F17" s="9" t="n">
        <f aca="false">D17/C17-1</f>
        <v>0.072265625</v>
      </c>
      <c r="G17" s="9" t="n">
        <f aca="false">E17/D17-1</f>
        <v>0.173666406453292</v>
      </c>
      <c r="H17" s="3" t="s">
        <v>39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customFormat="false" ht="15" hidden="false" customHeight="false" outlineLevel="0" collapsed="false">
      <c r="A18" s="3"/>
      <c r="B18" s="4"/>
      <c r="C18" s="4"/>
      <c r="D18" s="4"/>
      <c r="E18" s="4"/>
      <c r="F18" s="4"/>
      <c r="G18" s="4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customFormat="false" ht="15" hidden="false" customHeight="false" outlineLevel="0" collapsed="false">
      <c r="A19" s="3"/>
      <c r="B19" s="4"/>
      <c r="C19" s="4"/>
      <c r="D19" s="4"/>
      <c r="E19" s="4"/>
      <c r="F19" s="4"/>
      <c r="G19" s="4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customFormat="false" ht="22.35" hidden="false" customHeight="false" outlineLevel="0" collapsed="false">
      <c r="A20" s="3" t="s">
        <v>40</v>
      </c>
      <c r="B20" s="4"/>
      <c r="C20" s="4"/>
      <c r="D20" s="4"/>
      <c r="E20" s="4"/>
      <c r="F20" s="4"/>
      <c r="G20" s="4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customFormat="false" ht="15" hidden="false" customHeight="false" outlineLevel="0" collapsed="false">
      <c r="A21" s="5" t="s">
        <v>41</v>
      </c>
      <c r="B21" s="6" t="s">
        <v>42</v>
      </c>
      <c r="C21" s="6" t="s">
        <v>43</v>
      </c>
      <c r="D21" s="7"/>
      <c r="E21" s="7"/>
      <c r="F21" s="7"/>
      <c r="G21" s="7"/>
      <c r="H21" s="10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customFormat="false" ht="22.35" hidden="false" customHeight="false" outlineLevel="0" collapsed="false">
      <c r="A22" s="3" t="s">
        <v>44</v>
      </c>
      <c r="B22" s="8" t="n">
        <f aca="false">D8</f>
        <v>27.45</v>
      </c>
      <c r="C22" s="4" t="s">
        <v>45</v>
      </c>
      <c r="D22" s="4"/>
      <c r="E22" s="4"/>
      <c r="F22" s="4"/>
      <c r="G22" s="4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customFormat="false" ht="15" hidden="false" customHeight="false" outlineLevel="0" collapsed="false">
      <c r="A23" s="3" t="s">
        <v>46</v>
      </c>
      <c r="B23" s="8" t="n">
        <f aca="false">2500000/1000000</f>
        <v>2.5</v>
      </c>
      <c r="C23" s="4" t="s">
        <v>47</v>
      </c>
      <c r="D23" s="4"/>
      <c r="E23" s="4"/>
      <c r="F23" s="4"/>
      <c r="G23" s="4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customFormat="false" ht="15" hidden="false" customHeight="false" outlineLevel="0" collapsed="false">
      <c r="A24" s="3" t="s">
        <v>48</v>
      </c>
      <c r="B24" s="8" t="n">
        <f aca="false">-1320000/1000000</f>
        <v>-1.32</v>
      </c>
      <c r="C24" s="4" t="s">
        <v>49</v>
      </c>
      <c r="D24" s="4"/>
      <c r="E24" s="4"/>
      <c r="F24" s="4"/>
      <c r="G24" s="4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customFormat="false" ht="15" hidden="false" customHeight="false" outlineLevel="0" collapsed="false">
      <c r="A25" s="3" t="s">
        <v>50</v>
      </c>
      <c r="B25" s="8" t="n">
        <f aca="false">-334160/1000000</f>
        <v>-0.33416</v>
      </c>
      <c r="C25" s="4" t="s">
        <v>49</v>
      </c>
      <c r="D25" s="4"/>
      <c r="E25" s="4"/>
      <c r="F25" s="4"/>
      <c r="G25" s="4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customFormat="false" ht="15" hidden="false" customHeight="false" outlineLevel="0" collapsed="false">
      <c r="A26" s="3" t="s">
        <v>27</v>
      </c>
      <c r="B26" s="8" t="n">
        <f aca="false">-105840/1000000</f>
        <v>-0.10584</v>
      </c>
      <c r="C26" s="4" t="s">
        <v>51</v>
      </c>
      <c r="D26" s="4"/>
      <c r="E26" s="4"/>
      <c r="F26" s="4"/>
      <c r="G26" s="4"/>
      <c r="H26" s="3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customFormat="false" ht="22.35" hidden="false" customHeight="false" outlineLevel="0" collapsed="false">
      <c r="A27" s="3" t="s">
        <v>52</v>
      </c>
      <c r="B27" s="8" t="n">
        <f aca="false">SUM(B22:B26)</f>
        <v>28.19</v>
      </c>
      <c r="C27" s="4" t="s">
        <v>53</v>
      </c>
      <c r="D27" s="4"/>
      <c r="E27" s="4"/>
      <c r="F27" s="4"/>
      <c r="G27" s="4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customFormat="false" ht="15" hidden="false" customHeight="false" outlineLevel="0" collapsed="false">
      <c r="A28" s="3"/>
      <c r="B28" s="4"/>
      <c r="C28" s="4"/>
      <c r="D28" s="4"/>
      <c r="E28" s="4"/>
      <c r="F28" s="4"/>
      <c r="G28" s="4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customFormat="false" ht="32.8" hidden="false" customHeight="false" outlineLevel="0" collapsed="false">
      <c r="A29" s="3" t="s">
        <v>54</v>
      </c>
      <c r="B29" s="4"/>
      <c r="C29" s="4"/>
      <c r="D29" s="4"/>
      <c r="E29" s="4"/>
      <c r="F29" s="4"/>
      <c r="G29" s="4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customFormat="false" ht="15" hidden="false" customHeight="false" outlineLevel="0" collapsed="false">
      <c r="A30" s="5" t="s">
        <v>55</v>
      </c>
      <c r="B30" s="6" t="s">
        <v>56</v>
      </c>
      <c r="C30" s="6" t="s">
        <v>57</v>
      </c>
      <c r="D30" s="6" t="s">
        <v>58</v>
      </c>
      <c r="E30" s="6" t="s">
        <v>59</v>
      </c>
      <c r="F30" s="6" t="s">
        <v>60</v>
      </c>
      <c r="G30" s="6" t="s">
        <v>61</v>
      </c>
      <c r="H30" s="5" t="s">
        <v>62</v>
      </c>
      <c r="I30" s="6" t="s">
        <v>63</v>
      </c>
      <c r="J30" s="6" t="s">
        <v>64</v>
      </c>
      <c r="K30" s="6" t="s">
        <v>65</v>
      </c>
      <c r="L30" s="6" t="s">
        <v>66</v>
      </c>
      <c r="M30" s="6" t="s">
        <v>67</v>
      </c>
      <c r="N30" s="6" t="s">
        <v>68</v>
      </c>
      <c r="O30" s="6" t="s">
        <v>69</v>
      </c>
      <c r="P30" s="6" t="s">
        <v>70</v>
      </c>
      <c r="Q30" s="6" t="s">
        <v>71</v>
      </c>
      <c r="R30" s="6" t="s">
        <v>35</v>
      </c>
    </row>
    <row r="31" customFormat="false" ht="15" hidden="false" customHeight="false" outlineLevel="0" collapsed="false">
      <c r="A31" s="3" t="s">
        <v>72</v>
      </c>
      <c r="B31" s="11" t="n">
        <v>45596.75</v>
      </c>
      <c r="C31" s="4" t="s">
        <v>73</v>
      </c>
      <c r="D31" s="4" t="s">
        <v>74</v>
      </c>
      <c r="E31" s="4" t="s">
        <v>75</v>
      </c>
      <c r="F31" s="4" t="s">
        <v>76</v>
      </c>
      <c r="G31" s="4" t="s">
        <v>77</v>
      </c>
      <c r="H31" s="3" t="s">
        <v>78</v>
      </c>
      <c r="I31" s="4" t="n">
        <v>3872000</v>
      </c>
      <c r="J31" s="4" t="n">
        <v>4928000</v>
      </c>
      <c r="K31" s="4" t="n">
        <v>2552000</v>
      </c>
      <c r="L31" s="4" t="n">
        <v>748000</v>
      </c>
      <c r="M31" s="4" t="n">
        <v>842456</v>
      </c>
      <c r="N31" s="4" t="n">
        <v>185000000</v>
      </c>
      <c r="O31" s="4" t="n">
        <v>139000000</v>
      </c>
      <c r="P31" s="4" t="n">
        <v>730</v>
      </c>
      <c r="Q31" s="4" t="n">
        <v>7.3499999998</v>
      </c>
      <c r="R31" s="4" t="n">
        <v>38</v>
      </c>
    </row>
    <row r="32" customFormat="false" ht="15" hidden="false" customHeight="false" outlineLevel="0" collapsed="false">
      <c r="A32" s="3" t="s">
        <v>79</v>
      </c>
      <c r="B32" s="11" t="n">
        <v>45596.75</v>
      </c>
      <c r="C32" s="4" t="s">
        <v>73</v>
      </c>
      <c r="D32" s="4" t="s">
        <v>74</v>
      </c>
      <c r="E32" s="4" t="s">
        <v>75</v>
      </c>
      <c r="F32" s="4" t="s">
        <v>80</v>
      </c>
      <c r="G32" s="4" t="s">
        <v>81</v>
      </c>
      <c r="H32" s="3" t="s">
        <v>78</v>
      </c>
      <c r="I32" s="4" t="n">
        <v>3432000</v>
      </c>
      <c r="J32" s="4" t="n">
        <v>4368000</v>
      </c>
      <c r="K32" s="4" t="n">
        <v>2320000</v>
      </c>
      <c r="L32" s="4" t="n">
        <v>680000</v>
      </c>
      <c r="M32" s="4" t="n">
        <v>768916</v>
      </c>
      <c r="N32" s="4" t="n">
        <v>164000000</v>
      </c>
      <c r="O32" s="4" t="n">
        <v>121000000</v>
      </c>
      <c r="P32" s="4" t="n">
        <v>655</v>
      </c>
      <c r="Q32" s="4" t="n">
        <v>7.3499999998</v>
      </c>
      <c r="R32" s="4" t="n">
        <v>34</v>
      </c>
    </row>
    <row r="33" customFormat="false" ht="15" hidden="false" customHeight="false" outlineLevel="0" collapsed="false">
      <c r="A33" s="3" t="s">
        <v>82</v>
      </c>
      <c r="B33" s="11" t="n">
        <v>45596.75</v>
      </c>
      <c r="C33" s="4" t="s">
        <v>73</v>
      </c>
      <c r="D33" s="4" t="s">
        <v>74</v>
      </c>
      <c r="E33" s="4" t="s">
        <v>75</v>
      </c>
      <c r="F33" s="4" t="s">
        <v>83</v>
      </c>
      <c r="G33" s="4" t="s">
        <v>84</v>
      </c>
      <c r="H33" s="3" t="s">
        <v>78</v>
      </c>
      <c r="I33" s="4" t="n">
        <v>3124000</v>
      </c>
      <c r="J33" s="4" t="n">
        <v>3976000</v>
      </c>
      <c r="K33" s="4" t="n">
        <v>2204000</v>
      </c>
      <c r="L33" s="4" t="n">
        <v>646000</v>
      </c>
      <c r="M33" s="4" t="n">
        <v>741848</v>
      </c>
      <c r="N33" s="4" t="n">
        <v>143000000</v>
      </c>
      <c r="O33" s="4" t="n">
        <v>108000000</v>
      </c>
      <c r="P33" s="4" t="n">
        <v>590</v>
      </c>
      <c r="Q33" s="4" t="n">
        <v>7.3499999998</v>
      </c>
      <c r="R33" s="4" t="n">
        <v>31</v>
      </c>
    </row>
    <row r="34" customFormat="false" ht="15" hidden="false" customHeight="false" outlineLevel="0" collapsed="false">
      <c r="A34" s="3" t="s">
        <v>85</v>
      </c>
      <c r="B34" s="11" t="n">
        <v>45596.75</v>
      </c>
      <c r="C34" s="4" t="s">
        <v>73</v>
      </c>
      <c r="D34" s="4" t="s">
        <v>74</v>
      </c>
      <c r="E34" s="4" t="s">
        <v>75</v>
      </c>
      <c r="F34" s="4" t="s">
        <v>86</v>
      </c>
      <c r="G34" s="4" t="s">
        <v>87</v>
      </c>
      <c r="H34" s="3" t="s">
        <v>78</v>
      </c>
      <c r="I34" s="4" t="n">
        <v>2816000</v>
      </c>
      <c r="J34" s="4" t="n">
        <v>3584000</v>
      </c>
      <c r="K34" s="4" t="n">
        <v>1972000</v>
      </c>
      <c r="L34" s="4" t="n">
        <v>578000</v>
      </c>
      <c r="M34" s="4" t="n">
        <v>663016</v>
      </c>
      <c r="N34" s="4" t="n">
        <v>126000000</v>
      </c>
      <c r="O34" s="4" t="n">
        <v>95000000</v>
      </c>
      <c r="P34" s="4" t="n">
        <v>530</v>
      </c>
      <c r="Q34" s="4" t="n">
        <v>7.3499999998</v>
      </c>
      <c r="R34" s="4" t="n">
        <v>28</v>
      </c>
    </row>
    <row r="35" customFormat="false" ht="15" hidden="false" customHeight="false" outlineLevel="0" collapsed="false">
      <c r="A35" s="3" t="s">
        <v>88</v>
      </c>
      <c r="B35" s="11" t="n">
        <v>45596.75</v>
      </c>
      <c r="C35" s="4" t="s">
        <v>73</v>
      </c>
      <c r="D35" s="4" t="s">
        <v>74</v>
      </c>
      <c r="E35" s="4" t="s">
        <v>75</v>
      </c>
      <c r="F35" s="4" t="s">
        <v>89</v>
      </c>
      <c r="G35" s="4" t="s">
        <v>90</v>
      </c>
      <c r="H35" s="3" t="s">
        <v>78</v>
      </c>
      <c r="I35" s="4" t="n">
        <v>3036000</v>
      </c>
      <c r="J35" s="4" t="n">
        <v>3864000</v>
      </c>
      <c r="K35" s="4" t="n">
        <v>2030000</v>
      </c>
      <c r="L35" s="4" t="n">
        <v>595000</v>
      </c>
      <c r="M35" s="4" t="n">
        <v>673904</v>
      </c>
      <c r="N35" s="4" t="n">
        <v>138000000</v>
      </c>
      <c r="O35" s="4" t="n">
        <v>102000000</v>
      </c>
      <c r="P35" s="4" t="n">
        <v>570</v>
      </c>
      <c r="Q35" s="4" t="n">
        <v>7.3499999998</v>
      </c>
      <c r="R35" s="4" t="n">
        <v>29</v>
      </c>
    </row>
    <row r="36" customFormat="false" ht="15" hidden="false" customHeight="false" outlineLevel="0" collapsed="false">
      <c r="A36" s="3" t="s">
        <v>91</v>
      </c>
      <c r="B36" s="11" t="n">
        <v>45596.75</v>
      </c>
      <c r="C36" s="4" t="s">
        <v>73</v>
      </c>
      <c r="D36" s="4" t="s">
        <v>74</v>
      </c>
      <c r="E36" s="4" t="s">
        <v>75</v>
      </c>
      <c r="F36" s="4" t="s">
        <v>92</v>
      </c>
      <c r="G36" s="4" t="s">
        <v>93</v>
      </c>
      <c r="H36" s="3" t="s">
        <v>78</v>
      </c>
      <c r="I36" s="4" t="n">
        <v>2552000</v>
      </c>
      <c r="J36" s="4" t="n">
        <v>3248000</v>
      </c>
      <c r="K36" s="4" t="n">
        <v>1740000</v>
      </c>
      <c r="L36" s="4" t="n">
        <v>510000</v>
      </c>
      <c r="M36" s="4" t="n">
        <v>580656</v>
      </c>
      <c r="N36" s="4" t="n">
        <v>111000000</v>
      </c>
      <c r="O36" s="4" t="n">
        <v>83000000</v>
      </c>
      <c r="P36" s="4" t="n">
        <v>480</v>
      </c>
      <c r="Q36" s="4" t="n">
        <v>7.3499999998</v>
      </c>
      <c r="R36" s="4" t="n">
        <v>25</v>
      </c>
    </row>
    <row r="37" customFormat="false" ht="15" hidden="false" customHeight="false" outlineLevel="0" collapsed="false">
      <c r="A37" s="3" t="s">
        <v>94</v>
      </c>
      <c r="B37" s="11" t="n">
        <v>45596.75</v>
      </c>
      <c r="C37" s="4" t="s">
        <v>73</v>
      </c>
      <c r="D37" s="4" t="s">
        <v>74</v>
      </c>
      <c r="E37" s="4" t="s">
        <v>75</v>
      </c>
      <c r="F37" s="4" t="s">
        <v>95</v>
      </c>
      <c r="G37" s="4" t="s">
        <v>96</v>
      </c>
      <c r="H37" s="3" t="s">
        <v>78</v>
      </c>
      <c r="I37" s="4" t="n">
        <v>2332000</v>
      </c>
      <c r="J37" s="4" t="n">
        <v>2968000</v>
      </c>
      <c r="K37" s="4" t="n">
        <v>1624000</v>
      </c>
      <c r="L37" s="4" t="n">
        <v>476000</v>
      </c>
      <c r="M37" s="4" t="n">
        <v>546532</v>
      </c>
      <c r="N37" s="4" t="n">
        <v>99000000</v>
      </c>
      <c r="O37" s="4" t="n">
        <v>75000000</v>
      </c>
      <c r="P37" s="4" t="n">
        <v>435</v>
      </c>
      <c r="Q37" s="4" t="n">
        <v>7.3499999998</v>
      </c>
      <c r="R37" s="4" t="n">
        <v>23</v>
      </c>
    </row>
    <row r="38" customFormat="false" ht="15" hidden="false" customHeight="false" outlineLevel="0" collapsed="false">
      <c r="A38" s="3" t="s">
        <v>97</v>
      </c>
      <c r="B38" s="11" t="n">
        <v>45596.75</v>
      </c>
      <c r="C38" s="4" t="s">
        <v>73</v>
      </c>
      <c r="D38" s="4" t="s">
        <v>74</v>
      </c>
      <c r="E38" s="4" t="s">
        <v>75</v>
      </c>
      <c r="F38" s="4" t="s">
        <v>98</v>
      </c>
      <c r="G38" s="4" t="s">
        <v>99</v>
      </c>
      <c r="H38" s="3" t="s">
        <v>78</v>
      </c>
      <c r="I38" s="4" t="n">
        <v>2156000</v>
      </c>
      <c r="J38" s="4" t="n">
        <v>2744000</v>
      </c>
      <c r="K38" s="4" t="n">
        <v>1450000</v>
      </c>
      <c r="L38" s="4" t="n">
        <v>425000</v>
      </c>
      <c r="M38" s="4" t="n">
        <v>482116</v>
      </c>
      <c r="N38" s="4" t="n">
        <v>90000000</v>
      </c>
      <c r="O38" s="4" t="n">
        <v>66000000</v>
      </c>
      <c r="P38" s="4" t="n">
        <v>405</v>
      </c>
      <c r="Q38" s="4" t="n">
        <v>7.3499999998</v>
      </c>
      <c r="R38" s="4" t="n">
        <v>21</v>
      </c>
    </row>
    <row r="39" customFormat="false" ht="15" hidden="false" customHeight="false" outlineLevel="0" collapsed="false">
      <c r="A39" s="3" t="s">
        <v>100</v>
      </c>
      <c r="B39" s="11" t="n">
        <v>45961.75</v>
      </c>
      <c r="C39" s="4" t="s">
        <v>73</v>
      </c>
      <c r="D39" s="4" t="s">
        <v>101</v>
      </c>
      <c r="E39" s="4" t="s">
        <v>75</v>
      </c>
      <c r="F39" s="4" t="s">
        <v>76</v>
      </c>
      <c r="G39" s="4" t="s">
        <v>77</v>
      </c>
      <c r="H39" s="3" t="s">
        <v>78</v>
      </c>
      <c r="I39" s="4" t="n">
        <v>4092000</v>
      </c>
      <c r="J39" s="4" t="n">
        <v>5208000</v>
      </c>
      <c r="K39" s="4" t="n">
        <v>2639000</v>
      </c>
      <c r="L39" s="4" t="n">
        <v>773500</v>
      </c>
      <c r="M39" s="4" t="n">
        <v>860552</v>
      </c>
      <c r="N39" s="4" t="n">
        <v>198000000</v>
      </c>
      <c r="O39" s="4" t="n">
        <v>151000000</v>
      </c>
      <c r="P39" s="4" t="n">
        <v>785</v>
      </c>
      <c r="Q39" s="4" t="n">
        <v>7.3499999998</v>
      </c>
      <c r="R39" s="4" t="n">
        <v>39</v>
      </c>
    </row>
    <row r="40" customFormat="false" ht="15" hidden="false" customHeight="false" outlineLevel="0" collapsed="false">
      <c r="A40" s="3" t="s">
        <v>102</v>
      </c>
      <c r="B40" s="11" t="n">
        <v>45961.75</v>
      </c>
      <c r="C40" s="4" t="s">
        <v>73</v>
      </c>
      <c r="D40" s="4" t="s">
        <v>101</v>
      </c>
      <c r="E40" s="4" t="s">
        <v>75</v>
      </c>
      <c r="F40" s="4" t="s">
        <v>80</v>
      </c>
      <c r="G40" s="4" t="s">
        <v>81</v>
      </c>
      <c r="H40" s="3" t="s">
        <v>78</v>
      </c>
      <c r="I40" s="4" t="n">
        <v>3608000</v>
      </c>
      <c r="J40" s="4" t="n">
        <v>4592000</v>
      </c>
      <c r="K40" s="4" t="n">
        <v>2407000</v>
      </c>
      <c r="L40" s="4" t="n">
        <v>705500</v>
      </c>
      <c r="M40" s="4" t="n">
        <v>790540</v>
      </c>
      <c r="N40" s="4" t="n">
        <v>174000000</v>
      </c>
      <c r="O40" s="4" t="n">
        <v>132000000</v>
      </c>
      <c r="P40" s="4" t="n">
        <v>700</v>
      </c>
      <c r="Q40" s="4" t="n">
        <v>7.3499999998</v>
      </c>
      <c r="R40" s="4" t="n">
        <v>35</v>
      </c>
    </row>
    <row r="41" customFormat="false" ht="15" hidden="false" customHeight="false" outlineLevel="0" collapsed="false">
      <c r="A41" s="3" t="s">
        <v>103</v>
      </c>
      <c r="B41" s="11" t="n">
        <v>45961.75</v>
      </c>
      <c r="C41" s="4" t="s">
        <v>73</v>
      </c>
      <c r="D41" s="4" t="s">
        <v>101</v>
      </c>
      <c r="E41" s="4" t="s">
        <v>75</v>
      </c>
      <c r="F41" s="4" t="s">
        <v>83</v>
      </c>
      <c r="G41" s="4" t="s">
        <v>84</v>
      </c>
      <c r="H41" s="3" t="s">
        <v>78</v>
      </c>
      <c r="I41" s="4" t="n">
        <v>3300000</v>
      </c>
      <c r="J41" s="4" t="n">
        <v>4200000</v>
      </c>
      <c r="K41" s="4" t="n">
        <v>2262000</v>
      </c>
      <c r="L41" s="4" t="n">
        <v>663000</v>
      </c>
      <c r="M41" s="4" t="n">
        <v>750972</v>
      </c>
      <c r="N41" s="4" t="n">
        <v>153000000</v>
      </c>
      <c r="O41" s="4" t="n">
        <v>117000000</v>
      </c>
      <c r="P41" s="4" t="n">
        <v>635</v>
      </c>
      <c r="Q41" s="4" t="n">
        <v>7.3499999998</v>
      </c>
      <c r="R41" s="4" t="n">
        <v>31.5</v>
      </c>
    </row>
    <row r="42" customFormat="false" ht="15" hidden="false" customHeight="false" outlineLevel="0" collapsed="false">
      <c r="A42" s="3" t="s">
        <v>104</v>
      </c>
      <c r="B42" s="11" t="n">
        <v>45961.75</v>
      </c>
      <c r="C42" s="4" t="s">
        <v>73</v>
      </c>
      <c r="D42" s="4" t="s">
        <v>101</v>
      </c>
      <c r="E42" s="4" t="s">
        <v>75</v>
      </c>
      <c r="F42" s="4" t="s">
        <v>86</v>
      </c>
      <c r="G42" s="4" t="s">
        <v>87</v>
      </c>
      <c r="H42" s="3" t="s">
        <v>78</v>
      </c>
      <c r="I42" s="4" t="n">
        <v>2992000</v>
      </c>
      <c r="J42" s="4" t="n">
        <v>3808000</v>
      </c>
      <c r="K42" s="4" t="n">
        <v>2059000</v>
      </c>
      <c r="L42" s="4" t="n">
        <v>603500</v>
      </c>
      <c r="M42" s="4" t="n">
        <v>686404</v>
      </c>
      <c r="N42" s="4" t="n">
        <v>136000000</v>
      </c>
      <c r="O42" s="4" t="n">
        <v>104000000</v>
      </c>
      <c r="P42" s="4" t="n">
        <v>570</v>
      </c>
      <c r="Q42" s="4" t="n">
        <v>7.3499999998</v>
      </c>
      <c r="R42" s="4" t="n">
        <v>28.5</v>
      </c>
    </row>
    <row r="43" customFormat="false" ht="15" hidden="false" customHeight="false" outlineLevel="0" collapsed="false">
      <c r="A43" s="3" t="s">
        <v>105</v>
      </c>
      <c r="B43" s="11" t="n">
        <v>45961.75</v>
      </c>
      <c r="C43" s="4" t="s">
        <v>73</v>
      </c>
      <c r="D43" s="4" t="s">
        <v>101</v>
      </c>
      <c r="E43" s="4" t="s">
        <v>75</v>
      </c>
      <c r="F43" s="4" t="s">
        <v>89</v>
      </c>
      <c r="G43" s="4" t="s">
        <v>90</v>
      </c>
      <c r="H43" s="3" t="s">
        <v>78</v>
      </c>
      <c r="I43" s="4" t="n">
        <v>3212000</v>
      </c>
      <c r="J43" s="4" t="n">
        <v>4088000</v>
      </c>
      <c r="K43" s="4" t="n">
        <v>2117000</v>
      </c>
      <c r="L43" s="4" t="n">
        <v>620500</v>
      </c>
      <c r="M43" s="4" t="n">
        <v>695528</v>
      </c>
      <c r="N43" s="4" t="n">
        <v>149000000</v>
      </c>
      <c r="O43" s="4" t="n">
        <v>111000000</v>
      </c>
      <c r="P43" s="4" t="n">
        <v>615</v>
      </c>
      <c r="Q43" s="4" t="n">
        <v>7.3499999998</v>
      </c>
      <c r="R43" s="4" t="n">
        <v>30</v>
      </c>
    </row>
    <row r="44" customFormat="false" ht="15" hidden="false" customHeight="false" outlineLevel="0" collapsed="false">
      <c r="A44" s="3" t="s">
        <v>106</v>
      </c>
      <c r="B44" s="11" t="n">
        <v>45961.75</v>
      </c>
      <c r="C44" s="4" t="s">
        <v>73</v>
      </c>
      <c r="D44" s="4" t="s">
        <v>101</v>
      </c>
      <c r="E44" s="4" t="s">
        <v>75</v>
      </c>
      <c r="F44" s="4" t="s">
        <v>92</v>
      </c>
      <c r="G44" s="4" t="s">
        <v>93</v>
      </c>
      <c r="H44" s="3" t="s">
        <v>78</v>
      </c>
      <c r="I44" s="4" t="n">
        <v>2684000</v>
      </c>
      <c r="J44" s="4" t="n">
        <v>3416000</v>
      </c>
      <c r="K44" s="4" t="n">
        <v>1827000</v>
      </c>
      <c r="L44" s="4" t="n">
        <v>535500</v>
      </c>
      <c r="M44" s="4" t="n">
        <v>604044</v>
      </c>
      <c r="N44" s="4" t="n">
        <v>120000000</v>
      </c>
      <c r="O44" s="4" t="n">
        <v>91000000</v>
      </c>
      <c r="P44" s="4" t="n">
        <v>520</v>
      </c>
      <c r="Q44" s="4" t="n">
        <v>7.3499999998</v>
      </c>
      <c r="R44" s="4" t="n">
        <v>25.5</v>
      </c>
    </row>
    <row r="45" customFormat="false" ht="15" hidden="false" customHeight="false" outlineLevel="0" collapsed="false">
      <c r="A45" s="3" t="s">
        <v>107</v>
      </c>
      <c r="B45" s="11" t="n">
        <v>45961.75</v>
      </c>
      <c r="C45" s="4" t="s">
        <v>73</v>
      </c>
      <c r="D45" s="4" t="s">
        <v>101</v>
      </c>
      <c r="E45" s="4" t="s">
        <v>75</v>
      </c>
      <c r="F45" s="4" t="s">
        <v>95</v>
      </c>
      <c r="G45" s="4" t="s">
        <v>96</v>
      </c>
      <c r="H45" s="3" t="s">
        <v>78</v>
      </c>
      <c r="I45" s="4" t="n">
        <v>2464000</v>
      </c>
      <c r="J45" s="4" t="n">
        <v>3136000</v>
      </c>
      <c r="K45" s="4" t="n">
        <v>1711000</v>
      </c>
      <c r="L45" s="4" t="n">
        <v>501500</v>
      </c>
      <c r="M45" s="4" t="n">
        <v>571684</v>
      </c>
      <c r="N45" s="4" t="n">
        <v>108000000</v>
      </c>
      <c r="O45" s="4" t="n">
        <v>82000000</v>
      </c>
      <c r="P45" s="4" t="n">
        <v>470</v>
      </c>
      <c r="Q45" s="4" t="n">
        <v>7.3499999998</v>
      </c>
      <c r="R45" s="4" t="n">
        <v>23.5</v>
      </c>
    </row>
    <row r="46" customFormat="false" ht="15" hidden="false" customHeight="false" outlineLevel="0" collapsed="false">
      <c r="A46" s="3" t="s">
        <v>108</v>
      </c>
      <c r="B46" s="11" t="n">
        <v>45961.75</v>
      </c>
      <c r="C46" s="4" t="s">
        <v>73</v>
      </c>
      <c r="D46" s="4" t="s">
        <v>101</v>
      </c>
      <c r="E46" s="4" t="s">
        <v>75</v>
      </c>
      <c r="F46" s="4" t="s">
        <v>98</v>
      </c>
      <c r="G46" s="4" t="s">
        <v>99</v>
      </c>
      <c r="H46" s="3" t="s">
        <v>78</v>
      </c>
      <c r="I46" s="4" t="n">
        <v>2288000</v>
      </c>
      <c r="J46" s="4" t="n">
        <v>2912000</v>
      </c>
      <c r="K46" s="4" t="n">
        <v>1537000</v>
      </c>
      <c r="L46" s="4" t="n">
        <v>450500</v>
      </c>
      <c r="M46" s="4" t="n">
        <v>507268</v>
      </c>
      <c r="N46" s="4" t="n">
        <v>98000000</v>
      </c>
      <c r="O46" s="4" t="n">
        <v>73000000</v>
      </c>
      <c r="P46" s="4" t="n">
        <v>440</v>
      </c>
      <c r="Q46" s="4" t="n">
        <v>7.3499999998</v>
      </c>
      <c r="R46" s="4" t="n">
        <v>21.5</v>
      </c>
    </row>
    <row r="47" customFormat="false" ht="15" hidden="false" customHeight="false" outlineLevel="0" collapsed="false">
      <c r="A47" s="3" t="s">
        <v>109</v>
      </c>
      <c r="B47" s="11" t="n">
        <v>46326.75</v>
      </c>
      <c r="C47" s="4" t="s">
        <v>73</v>
      </c>
      <c r="D47" s="4" t="s">
        <v>110</v>
      </c>
      <c r="E47" s="4" t="s">
        <v>111</v>
      </c>
      <c r="F47" s="4" t="s">
        <v>76</v>
      </c>
      <c r="G47" s="4" t="s">
        <v>77</v>
      </c>
      <c r="H47" s="3" t="s">
        <v>78</v>
      </c>
      <c r="I47" s="4" t="n">
        <v>4312000</v>
      </c>
      <c r="J47" s="4" t="n">
        <v>5488000</v>
      </c>
      <c r="K47" s="4" t="n">
        <v>2772400</v>
      </c>
      <c r="L47" s="4" t="n">
        <v>812600</v>
      </c>
      <c r="M47" s="4" t="n">
        <v>903940</v>
      </c>
      <c r="N47" s="4" t="n">
        <v>209000000</v>
      </c>
      <c r="O47" s="4" t="n">
        <v>161000000</v>
      </c>
      <c r="P47" s="4" t="n">
        <v>825</v>
      </c>
      <c r="Q47" s="4" t="n">
        <v>7.3499999998</v>
      </c>
      <c r="R47" s="4" t="n">
        <v>39.5</v>
      </c>
    </row>
    <row r="48" customFormat="false" ht="15" hidden="false" customHeight="false" outlineLevel="0" collapsed="false">
      <c r="A48" s="3" t="s">
        <v>112</v>
      </c>
      <c r="B48" s="11" t="n">
        <v>46326.75</v>
      </c>
      <c r="C48" s="4" t="s">
        <v>73</v>
      </c>
      <c r="D48" s="4" t="s">
        <v>110</v>
      </c>
      <c r="E48" s="4" t="s">
        <v>111</v>
      </c>
      <c r="F48" s="4" t="s">
        <v>80</v>
      </c>
      <c r="G48" s="4" t="s">
        <v>81</v>
      </c>
      <c r="H48" s="3" t="s">
        <v>78</v>
      </c>
      <c r="I48" s="4" t="n">
        <v>3784000</v>
      </c>
      <c r="J48" s="4" t="n">
        <v>4816000</v>
      </c>
      <c r="K48" s="4" t="n">
        <v>2528800</v>
      </c>
      <c r="L48" s="4" t="n">
        <v>741200</v>
      </c>
      <c r="M48" s="4" t="n">
        <v>828928</v>
      </c>
      <c r="N48" s="4" t="n">
        <v>184000000</v>
      </c>
      <c r="O48" s="4" t="n">
        <v>142000000</v>
      </c>
      <c r="P48" s="4" t="n">
        <v>740</v>
      </c>
      <c r="Q48" s="4" t="n">
        <v>7.3499999998</v>
      </c>
      <c r="R48" s="4" t="n">
        <v>35.5</v>
      </c>
    </row>
    <row r="49" customFormat="false" ht="15" hidden="false" customHeight="false" outlineLevel="0" collapsed="false">
      <c r="A49" s="3" t="s">
        <v>113</v>
      </c>
      <c r="B49" s="11" t="n">
        <v>46326.75</v>
      </c>
      <c r="C49" s="4" t="s">
        <v>73</v>
      </c>
      <c r="D49" s="4" t="s">
        <v>110</v>
      </c>
      <c r="E49" s="4" t="s">
        <v>111</v>
      </c>
      <c r="F49" s="4" t="s">
        <v>83</v>
      </c>
      <c r="G49" s="4" t="s">
        <v>84</v>
      </c>
      <c r="H49" s="3" t="s">
        <v>78</v>
      </c>
      <c r="I49" s="4" t="n">
        <v>3388000</v>
      </c>
      <c r="J49" s="4" t="n">
        <v>4312000</v>
      </c>
      <c r="K49" s="4" t="n">
        <v>2337400</v>
      </c>
      <c r="L49" s="4" t="n">
        <v>685100</v>
      </c>
      <c r="M49" s="4" t="n">
        <v>769360</v>
      </c>
      <c r="N49" s="4" t="n">
        <v>162000000</v>
      </c>
      <c r="O49" s="4" t="n">
        <v>126000000</v>
      </c>
      <c r="P49" s="4" t="n">
        <v>675</v>
      </c>
      <c r="Q49" s="4" t="n">
        <v>7.3499999998</v>
      </c>
      <c r="R49" s="4" t="n">
        <v>32</v>
      </c>
    </row>
    <row r="50" customFormat="false" ht="15" hidden="false" customHeight="false" outlineLevel="0" collapsed="false">
      <c r="A50" s="3" t="s">
        <v>114</v>
      </c>
      <c r="B50" s="11" t="n">
        <v>46326.75</v>
      </c>
      <c r="C50" s="4" t="s">
        <v>73</v>
      </c>
      <c r="D50" s="4" t="s">
        <v>110</v>
      </c>
      <c r="E50" s="4" t="s">
        <v>111</v>
      </c>
      <c r="F50" s="4" t="s">
        <v>86</v>
      </c>
      <c r="G50" s="4" t="s">
        <v>87</v>
      </c>
      <c r="H50" s="3" t="s">
        <v>115</v>
      </c>
      <c r="I50" s="4" t="n">
        <v>2948000</v>
      </c>
      <c r="J50" s="4" t="n">
        <v>3752000</v>
      </c>
      <c r="K50" s="4" t="n">
        <v>2134400</v>
      </c>
      <c r="L50" s="4" t="n">
        <v>625600</v>
      </c>
      <c r="M50" s="4" t="n">
        <v>706556</v>
      </c>
      <c r="N50" s="4" t="n">
        <v>145000000</v>
      </c>
      <c r="O50" s="4" t="n">
        <v>112000000</v>
      </c>
      <c r="P50" s="4" t="n">
        <v>605</v>
      </c>
      <c r="Q50" s="4" t="n">
        <v>7.3499999998</v>
      </c>
      <c r="R50" s="4" t="n">
        <v>0</v>
      </c>
    </row>
    <row r="51" customFormat="false" ht="15" hidden="false" customHeight="false" outlineLevel="0" collapsed="false">
      <c r="A51" s="3" t="s">
        <v>116</v>
      </c>
      <c r="B51" s="11" t="n">
        <v>46326.75</v>
      </c>
      <c r="C51" s="4" t="s">
        <v>73</v>
      </c>
      <c r="D51" s="4" t="s">
        <v>110</v>
      </c>
      <c r="E51" s="4" t="s">
        <v>111</v>
      </c>
      <c r="F51" s="4" t="s">
        <v>89</v>
      </c>
      <c r="G51" s="4" t="s">
        <v>90</v>
      </c>
      <c r="H51" s="3" t="s">
        <v>78</v>
      </c>
      <c r="I51" s="4" t="n">
        <v>3388000</v>
      </c>
      <c r="J51" s="4" t="n">
        <v>4312000</v>
      </c>
      <c r="K51" s="4" t="n">
        <v>2273600</v>
      </c>
      <c r="L51" s="4" t="n">
        <v>666400</v>
      </c>
      <c r="M51" s="4" t="n">
        <v>747152</v>
      </c>
      <c r="N51" s="4" t="n">
        <v>158000000</v>
      </c>
      <c r="O51" s="4" t="n">
        <v>120000000</v>
      </c>
      <c r="P51" s="4" t="n">
        <v>660</v>
      </c>
      <c r="Q51" s="4" t="n">
        <v>7.3499999998</v>
      </c>
      <c r="R51" s="4" t="n">
        <v>30.5</v>
      </c>
    </row>
    <row r="52" customFormat="false" ht="15" hidden="false" customHeight="false" outlineLevel="0" collapsed="false">
      <c r="A52" s="3" t="s">
        <v>117</v>
      </c>
      <c r="B52" s="11" t="n">
        <v>46326.75</v>
      </c>
      <c r="C52" s="4" t="s">
        <v>73</v>
      </c>
      <c r="D52" s="4" t="s">
        <v>110</v>
      </c>
      <c r="E52" s="4" t="s">
        <v>111</v>
      </c>
      <c r="F52" s="4" t="s">
        <v>92</v>
      </c>
      <c r="G52" s="4" t="s">
        <v>93</v>
      </c>
      <c r="H52" s="3" t="s">
        <v>78</v>
      </c>
      <c r="I52" s="4" t="n">
        <v>2860000</v>
      </c>
      <c r="J52" s="4" t="n">
        <v>3640000</v>
      </c>
      <c r="K52" s="4" t="n">
        <v>1972000</v>
      </c>
      <c r="L52" s="4" t="n">
        <v>578000</v>
      </c>
      <c r="M52" s="4" t="n">
        <v>654196</v>
      </c>
      <c r="N52" s="4" t="n">
        <v>128000000</v>
      </c>
      <c r="O52" s="4" t="n">
        <v>99000000</v>
      </c>
      <c r="P52" s="4" t="n">
        <v>555</v>
      </c>
      <c r="Q52" s="4" t="n">
        <v>7.3499999998</v>
      </c>
      <c r="R52" s="4" t="n">
        <v>26</v>
      </c>
    </row>
    <row r="53" customFormat="false" ht="15" hidden="false" customHeight="false" outlineLevel="0" collapsed="false">
      <c r="A53" s="3" t="s">
        <v>118</v>
      </c>
      <c r="B53" s="11" t="n">
        <v>46326.75</v>
      </c>
      <c r="C53" s="4" t="s">
        <v>73</v>
      </c>
      <c r="D53" s="4" t="s">
        <v>110</v>
      </c>
      <c r="E53" s="4" t="s">
        <v>111</v>
      </c>
      <c r="F53" s="4" t="s">
        <v>95</v>
      </c>
      <c r="G53" s="4" t="s">
        <v>96</v>
      </c>
      <c r="H53" s="3" t="s">
        <v>78</v>
      </c>
      <c r="I53" s="4" t="n">
        <v>2640000</v>
      </c>
      <c r="J53" s="4" t="n">
        <v>3360000</v>
      </c>
      <c r="K53" s="4" t="n">
        <v>1861800</v>
      </c>
      <c r="L53" s="4" t="n">
        <v>545700</v>
      </c>
      <c r="M53" s="4" t="n">
        <v>624336</v>
      </c>
      <c r="N53" s="4" t="n">
        <v>116000000</v>
      </c>
      <c r="O53" s="4" t="n">
        <v>89000000</v>
      </c>
      <c r="P53" s="4" t="n">
        <v>505</v>
      </c>
      <c r="Q53" s="4" t="n">
        <v>7.3499999998</v>
      </c>
      <c r="R53" s="4" t="n">
        <v>24</v>
      </c>
    </row>
    <row r="54" customFormat="false" ht="15" hidden="false" customHeight="false" outlineLevel="0" collapsed="false">
      <c r="A54" s="3" t="s">
        <v>119</v>
      </c>
      <c r="B54" s="11" t="n">
        <v>46326.75</v>
      </c>
      <c r="C54" s="4" t="s">
        <v>73</v>
      </c>
      <c r="D54" s="4" t="s">
        <v>110</v>
      </c>
      <c r="E54" s="4" t="s">
        <v>111</v>
      </c>
      <c r="F54" s="4" t="s">
        <v>98</v>
      </c>
      <c r="G54" s="4" t="s">
        <v>99</v>
      </c>
      <c r="H54" s="3" t="s">
        <v>78</v>
      </c>
      <c r="I54" s="4" t="n">
        <v>2420000</v>
      </c>
      <c r="J54" s="4" t="n">
        <v>3080000</v>
      </c>
      <c r="K54" s="4" t="n">
        <v>1699400</v>
      </c>
      <c r="L54" s="4" t="n">
        <v>498100</v>
      </c>
      <c r="M54" s="4" t="n">
        <v>566684</v>
      </c>
      <c r="N54" s="4" t="n">
        <v>105000000</v>
      </c>
      <c r="O54" s="4" t="n">
        <v>80000000</v>
      </c>
      <c r="P54" s="4" t="n">
        <v>470</v>
      </c>
      <c r="Q54" s="4" t="n">
        <v>7.3499999998</v>
      </c>
      <c r="R54" s="4" t="n">
        <v>22</v>
      </c>
    </row>
    <row r="55" customFormat="false" ht="22.35" hidden="false" customHeight="false" outlineLevel="0" collapsed="false">
      <c r="A55" s="3" t="s">
        <v>120</v>
      </c>
      <c r="B55" s="4"/>
      <c r="C55" s="4"/>
      <c r="D55" s="4"/>
      <c r="E55" s="4"/>
      <c r="F55" s="4"/>
      <c r="G55" s="4"/>
      <c r="H55" s="3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customFormat="false" ht="15" hidden="false" customHeight="false" outlineLevel="0" collapsed="false">
      <c r="A56" s="3"/>
      <c r="B56" s="4"/>
      <c r="C56" s="4"/>
      <c r="D56" s="4"/>
      <c r="E56" s="4"/>
      <c r="F56" s="4"/>
      <c r="G56" s="4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customFormat="false" ht="15" hidden="false" customHeight="false" outlineLevel="0" collapsed="false">
      <c r="A57" s="5" t="s">
        <v>55</v>
      </c>
      <c r="B57" s="6" t="s">
        <v>56</v>
      </c>
      <c r="C57" s="6" t="s">
        <v>58</v>
      </c>
      <c r="D57" s="6" t="s">
        <v>60</v>
      </c>
      <c r="E57" s="6" t="s">
        <v>121</v>
      </c>
      <c r="F57" s="6" t="s">
        <v>122</v>
      </c>
      <c r="G57" s="6" t="s">
        <v>123</v>
      </c>
      <c r="H57" s="10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customFormat="false" ht="15" hidden="false" customHeight="false" outlineLevel="0" collapsed="false">
      <c r="A58" s="3" t="s">
        <v>72</v>
      </c>
      <c r="B58" s="11" t="n">
        <v>45596.75</v>
      </c>
      <c r="C58" s="4" t="s">
        <v>74</v>
      </c>
      <c r="D58" s="4" t="s">
        <v>76</v>
      </c>
      <c r="E58" s="4" t="n">
        <v>1</v>
      </c>
      <c r="F58" s="4" t="s">
        <v>124</v>
      </c>
      <c r="G58" s="4" t="s">
        <v>125</v>
      </c>
      <c r="H58" s="3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customFormat="false" ht="15" hidden="false" customHeight="false" outlineLevel="0" collapsed="false">
      <c r="A59" s="3" t="s">
        <v>79</v>
      </c>
      <c r="B59" s="11" t="n">
        <v>45595.5729166667</v>
      </c>
      <c r="C59" s="4" t="s">
        <v>74</v>
      </c>
      <c r="D59" s="4" t="s">
        <v>80</v>
      </c>
      <c r="E59" s="4" t="n">
        <v>1</v>
      </c>
      <c r="F59" s="4" t="s">
        <v>126</v>
      </c>
      <c r="G59" s="4" t="s">
        <v>127</v>
      </c>
      <c r="H59" s="3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customFormat="false" ht="15" hidden="false" customHeight="false" outlineLevel="0" collapsed="false">
      <c r="A60" s="3" t="s">
        <v>79</v>
      </c>
      <c r="B60" s="11" t="n">
        <v>45596.75</v>
      </c>
      <c r="C60" s="4" t="s">
        <v>74</v>
      </c>
      <c r="D60" s="4" t="s">
        <v>80</v>
      </c>
      <c r="E60" s="4" t="n">
        <v>2</v>
      </c>
      <c r="F60" s="4" t="s">
        <v>124</v>
      </c>
      <c r="G60" s="4" t="s">
        <v>127</v>
      </c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customFormat="false" ht="15" hidden="false" customHeight="false" outlineLevel="0" collapsed="false">
      <c r="A61" s="3" t="s">
        <v>82</v>
      </c>
      <c r="B61" s="11" t="n">
        <v>45596.75</v>
      </c>
      <c r="C61" s="4" t="s">
        <v>74</v>
      </c>
      <c r="D61" s="4" t="s">
        <v>83</v>
      </c>
      <c r="E61" s="4" t="n">
        <v>1</v>
      </c>
      <c r="F61" s="4" t="s">
        <v>124</v>
      </c>
      <c r="G61" s="4" t="s">
        <v>125</v>
      </c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customFormat="false" ht="15" hidden="false" customHeight="false" outlineLevel="0" collapsed="false">
      <c r="A62" s="3" t="s">
        <v>85</v>
      </c>
      <c r="B62" s="11" t="n">
        <v>45596.75</v>
      </c>
      <c r="C62" s="4" t="s">
        <v>74</v>
      </c>
      <c r="D62" s="4" t="s">
        <v>86</v>
      </c>
      <c r="E62" s="4" t="n">
        <v>1</v>
      </c>
      <c r="F62" s="4" t="s">
        <v>124</v>
      </c>
      <c r="G62" s="4" t="s">
        <v>125</v>
      </c>
      <c r="H62" s="3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customFormat="false" ht="15" hidden="false" customHeight="false" outlineLevel="0" collapsed="false">
      <c r="A63" s="3" t="s">
        <v>88</v>
      </c>
      <c r="B63" s="11" t="n">
        <v>45596.75</v>
      </c>
      <c r="C63" s="4" t="s">
        <v>74</v>
      </c>
      <c r="D63" s="4" t="s">
        <v>89</v>
      </c>
      <c r="E63" s="4" t="n">
        <v>1</v>
      </c>
      <c r="F63" s="4" t="s">
        <v>124</v>
      </c>
      <c r="G63" s="4" t="s">
        <v>125</v>
      </c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customFormat="false" ht="15" hidden="false" customHeight="false" outlineLevel="0" collapsed="false">
      <c r="A64" s="3" t="s">
        <v>91</v>
      </c>
      <c r="B64" s="11" t="n">
        <v>45596.75</v>
      </c>
      <c r="C64" s="4" t="s">
        <v>74</v>
      </c>
      <c r="D64" s="4" t="s">
        <v>92</v>
      </c>
      <c r="E64" s="4" t="n">
        <v>1</v>
      </c>
      <c r="F64" s="4" t="s">
        <v>124</v>
      </c>
      <c r="G64" s="4" t="s">
        <v>125</v>
      </c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customFormat="false" ht="15" hidden="false" customHeight="false" outlineLevel="0" collapsed="false">
      <c r="A65" s="3" t="s">
        <v>94</v>
      </c>
      <c r="B65" s="11" t="n">
        <v>45596.75</v>
      </c>
      <c r="C65" s="4" t="s">
        <v>74</v>
      </c>
      <c r="D65" s="4" t="s">
        <v>95</v>
      </c>
      <c r="E65" s="4" t="n">
        <v>1</v>
      </c>
      <c r="F65" s="4" t="s">
        <v>124</v>
      </c>
      <c r="G65" s="4" t="s">
        <v>125</v>
      </c>
      <c r="H65" s="3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customFormat="false" ht="15" hidden="false" customHeight="false" outlineLevel="0" collapsed="false">
      <c r="A66" s="3" t="s">
        <v>97</v>
      </c>
      <c r="B66" s="11" t="n">
        <v>45596.75</v>
      </c>
      <c r="C66" s="4" t="s">
        <v>74</v>
      </c>
      <c r="D66" s="4" t="s">
        <v>98</v>
      </c>
      <c r="E66" s="4" t="n">
        <v>1</v>
      </c>
      <c r="F66" s="4" t="s">
        <v>124</v>
      </c>
      <c r="G66" s="4" t="s">
        <v>125</v>
      </c>
      <c r="H66" s="3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customFormat="false" ht="15" hidden="false" customHeight="false" outlineLevel="0" collapsed="false">
      <c r="A67" s="3" t="s">
        <v>100</v>
      </c>
      <c r="B67" s="11" t="n">
        <v>45961.75</v>
      </c>
      <c r="C67" s="4" t="s">
        <v>101</v>
      </c>
      <c r="D67" s="4" t="s">
        <v>76</v>
      </c>
      <c r="E67" s="4" t="n">
        <v>1</v>
      </c>
      <c r="F67" s="4" t="s">
        <v>124</v>
      </c>
      <c r="G67" s="4" t="s">
        <v>125</v>
      </c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customFormat="false" ht="15" hidden="false" customHeight="false" outlineLevel="0" collapsed="false">
      <c r="A68" s="3" t="s">
        <v>102</v>
      </c>
      <c r="B68" s="11" t="n">
        <v>45961.75</v>
      </c>
      <c r="C68" s="4" t="s">
        <v>101</v>
      </c>
      <c r="D68" s="4" t="s">
        <v>80</v>
      </c>
      <c r="E68" s="4" t="n">
        <v>1</v>
      </c>
      <c r="F68" s="4" t="s">
        <v>124</v>
      </c>
      <c r="G68" s="4" t="s">
        <v>125</v>
      </c>
      <c r="H68" s="3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customFormat="false" ht="15" hidden="false" customHeight="false" outlineLevel="0" collapsed="false">
      <c r="A69" s="3" t="s">
        <v>103</v>
      </c>
      <c r="B69" s="11" t="n">
        <v>45961.75</v>
      </c>
      <c r="C69" s="4" t="s">
        <v>101</v>
      </c>
      <c r="D69" s="4" t="s">
        <v>83</v>
      </c>
      <c r="E69" s="4" t="n">
        <v>1</v>
      </c>
      <c r="F69" s="4" t="s">
        <v>124</v>
      </c>
      <c r="G69" s="4" t="s">
        <v>125</v>
      </c>
      <c r="H69" s="3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customFormat="false" ht="15" hidden="false" customHeight="false" outlineLevel="0" collapsed="false">
      <c r="A70" s="3" t="s">
        <v>104</v>
      </c>
      <c r="B70" s="11" t="n">
        <v>45961.75</v>
      </c>
      <c r="C70" s="4" t="s">
        <v>101</v>
      </c>
      <c r="D70" s="4" t="s">
        <v>86</v>
      </c>
      <c r="E70" s="4" t="n">
        <v>1</v>
      </c>
      <c r="F70" s="4" t="s">
        <v>124</v>
      </c>
      <c r="G70" s="4" t="s">
        <v>125</v>
      </c>
      <c r="H70" s="3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customFormat="false" ht="15" hidden="false" customHeight="false" outlineLevel="0" collapsed="false">
      <c r="A71" s="3" t="s">
        <v>105</v>
      </c>
      <c r="B71" s="11" t="n">
        <v>45959.3854166667</v>
      </c>
      <c r="C71" s="4" t="s">
        <v>101</v>
      </c>
      <c r="D71" s="4" t="s">
        <v>89</v>
      </c>
      <c r="E71" s="4" t="n">
        <v>1</v>
      </c>
      <c r="F71" s="4" t="s">
        <v>126</v>
      </c>
      <c r="G71" s="4" t="s">
        <v>127</v>
      </c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customFormat="false" ht="15" hidden="false" customHeight="false" outlineLevel="0" collapsed="false">
      <c r="A72" s="3" t="s">
        <v>105</v>
      </c>
      <c r="B72" s="11" t="n">
        <v>45961.75</v>
      </c>
      <c r="C72" s="4" t="s">
        <v>101</v>
      </c>
      <c r="D72" s="4" t="s">
        <v>89</v>
      </c>
      <c r="E72" s="4" t="n">
        <v>2</v>
      </c>
      <c r="F72" s="4" t="s">
        <v>124</v>
      </c>
      <c r="G72" s="4" t="s">
        <v>127</v>
      </c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customFormat="false" ht="15" hidden="false" customHeight="false" outlineLevel="0" collapsed="false">
      <c r="A73" s="3" t="s">
        <v>106</v>
      </c>
      <c r="B73" s="11" t="n">
        <v>45961.75</v>
      </c>
      <c r="C73" s="4" t="s">
        <v>101</v>
      </c>
      <c r="D73" s="4" t="s">
        <v>92</v>
      </c>
      <c r="E73" s="4" t="n">
        <v>1</v>
      </c>
      <c r="F73" s="4" t="s">
        <v>124</v>
      </c>
      <c r="G73" s="4" t="s">
        <v>125</v>
      </c>
      <c r="H73" s="3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customFormat="false" ht="15" hidden="false" customHeight="false" outlineLevel="0" collapsed="false">
      <c r="A74" s="3" t="s">
        <v>107</v>
      </c>
      <c r="B74" s="11" t="n">
        <v>45961.75</v>
      </c>
      <c r="C74" s="4" t="s">
        <v>101</v>
      </c>
      <c r="D74" s="4" t="s">
        <v>95</v>
      </c>
      <c r="E74" s="4" t="n">
        <v>1</v>
      </c>
      <c r="F74" s="4" t="s">
        <v>124</v>
      </c>
      <c r="G74" s="4" t="s">
        <v>125</v>
      </c>
      <c r="H74" s="3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customFormat="false" ht="15" hidden="false" customHeight="false" outlineLevel="0" collapsed="false">
      <c r="A75" s="3" t="s">
        <v>108</v>
      </c>
      <c r="B75" s="11" t="n">
        <v>45961.75</v>
      </c>
      <c r="C75" s="4" t="s">
        <v>101</v>
      </c>
      <c r="D75" s="4" t="s">
        <v>98</v>
      </c>
      <c r="E75" s="4" t="n">
        <v>1</v>
      </c>
      <c r="F75" s="4" t="s">
        <v>124</v>
      </c>
      <c r="G75" s="4" t="s">
        <v>125</v>
      </c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customFormat="false" ht="15" hidden="false" customHeight="false" outlineLevel="0" collapsed="false">
      <c r="A76" s="3" t="s">
        <v>109</v>
      </c>
      <c r="B76" s="11" t="n">
        <v>46326.75</v>
      </c>
      <c r="C76" s="4" t="s">
        <v>110</v>
      </c>
      <c r="D76" s="4" t="s">
        <v>76</v>
      </c>
      <c r="E76" s="4" t="n">
        <v>1</v>
      </c>
      <c r="F76" s="4" t="s">
        <v>124</v>
      </c>
      <c r="G76" s="4" t="s">
        <v>125</v>
      </c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customFormat="false" ht="15" hidden="false" customHeight="false" outlineLevel="0" collapsed="false">
      <c r="A77" s="3" t="s">
        <v>112</v>
      </c>
      <c r="B77" s="11" t="n">
        <v>46326.75</v>
      </c>
      <c r="C77" s="4" t="s">
        <v>110</v>
      </c>
      <c r="D77" s="4" t="s">
        <v>80</v>
      </c>
      <c r="E77" s="4" t="n">
        <v>1</v>
      </c>
      <c r="F77" s="4" t="s">
        <v>124</v>
      </c>
      <c r="G77" s="4" t="s">
        <v>125</v>
      </c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customFormat="false" ht="15" hidden="false" customHeight="false" outlineLevel="0" collapsed="false">
      <c r="A78" s="3" t="s">
        <v>113</v>
      </c>
      <c r="B78" s="11" t="n">
        <v>46325.6458333333</v>
      </c>
      <c r="C78" s="4" t="s">
        <v>110</v>
      </c>
      <c r="D78" s="4" t="s">
        <v>83</v>
      </c>
      <c r="E78" s="4" t="n">
        <v>1</v>
      </c>
      <c r="F78" s="4" t="s">
        <v>126</v>
      </c>
      <c r="G78" s="4" t="s">
        <v>127</v>
      </c>
      <c r="H78" s="3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customFormat="false" ht="15" hidden="false" customHeight="false" outlineLevel="0" collapsed="false">
      <c r="A79" s="3" t="s">
        <v>113</v>
      </c>
      <c r="B79" s="11" t="n">
        <v>46326.75</v>
      </c>
      <c r="C79" s="4" t="s">
        <v>110</v>
      </c>
      <c r="D79" s="4" t="s">
        <v>83</v>
      </c>
      <c r="E79" s="4" t="n">
        <v>2</v>
      </c>
      <c r="F79" s="4" t="s">
        <v>124</v>
      </c>
      <c r="G79" s="4" t="s">
        <v>127</v>
      </c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customFormat="false" ht="15" hidden="false" customHeight="false" outlineLevel="0" collapsed="false">
      <c r="A80" s="3" t="s">
        <v>114</v>
      </c>
      <c r="B80" s="11" t="n">
        <v>46326.75</v>
      </c>
      <c r="C80" s="4" t="s">
        <v>110</v>
      </c>
      <c r="D80" s="4" t="s">
        <v>86</v>
      </c>
      <c r="E80" s="4" t="n">
        <v>1</v>
      </c>
      <c r="F80" s="4" t="s">
        <v>124</v>
      </c>
      <c r="G80" s="4" t="s">
        <v>125</v>
      </c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customFormat="false" ht="15" hidden="false" customHeight="false" outlineLevel="0" collapsed="false">
      <c r="A81" s="3" t="s">
        <v>116</v>
      </c>
      <c r="B81" s="11" t="n">
        <v>46326.75</v>
      </c>
      <c r="C81" s="4" t="s">
        <v>110</v>
      </c>
      <c r="D81" s="4" t="s">
        <v>89</v>
      </c>
      <c r="E81" s="4" t="n">
        <v>1</v>
      </c>
      <c r="F81" s="4" t="s">
        <v>124</v>
      </c>
      <c r="G81" s="4" t="s">
        <v>125</v>
      </c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customFormat="false" ht="15" hidden="false" customHeight="false" outlineLevel="0" collapsed="false">
      <c r="A82" s="3" t="s">
        <v>117</v>
      </c>
      <c r="B82" s="11" t="n">
        <v>46326.75</v>
      </c>
      <c r="C82" s="4" t="s">
        <v>110</v>
      </c>
      <c r="D82" s="4" t="s">
        <v>92</v>
      </c>
      <c r="E82" s="4" t="n">
        <v>1</v>
      </c>
      <c r="F82" s="4" t="s">
        <v>124</v>
      </c>
      <c r="G82" s="4" t="s">
        <v>125</v>
      </c>
      <c r="H82" s="3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customFormat="false" ht="15" hidden="false" customHeight="false" outlineLevel="0" collapsed="false">
      <c r="A83" s="3" t="s">
        <v>118</v>
      </c>
      <c r="B83" s="11" t="n">
        <v>46326.75</v>
      </c>
      <c r="C83" s="4" t="s">
        <v>110</v>
      </c>
      <c r="D83" s="4" t="s">
        <v>95</v>
      </c>
      <c r="E83" s="4" t="n">
        <v>1</v>
      </c>
      <c r="F83" s="4" t="s">
        <v>124</v>
      </c>
      <c r="G83" s="4" t="s">
        <v>125</v>
      </c>
      <c r="H83" s="3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customFormat="false" ht="15" hidden="false" customHeight="false" outlineLevel="0" collapsed="false">
      <c r="A84" s="3" t="s">
        <v>119</v>
      </c>
      <c r="B84" s="11" t="n">
        <v>46326.75</v>
      </c>
      <c r="C84" s="4" t="s">
        <v>110</v>
      </c>
      <c r="D84" s="4" t="s">
        <v>98</v>
      </c>
      <c r="E84" s="4" t="n">
        <v>1</v>
      </c>
      <c r="F84" s="4" t="s">
        <v>124</v>
      </c>
      <c r="G84" s="4" t="s">
        <v>125</v>
      </c>
      <c r="H84" s="3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customFormat="false" ht="22.35" hidden="false" customHeight="false" outlineLevel="0" collapsed="false">
      <c r="A85" s="3" t="s">
        <v>120</v>
      </c>
      <c r="B85" s="4"/>
      <c r="C85" s="4"/>
      <c r="D85" s="4"/>
      <c r="E85" s="4" t="n">
        <v>1</v>
      </c>
      <c r="F85" s="4" t="s">
        <v>124</v>
      </c>
      <c r="G85" s="4" t="s">
        <v>125</v>
      </c>
      <c r="H85" s="3"/>
      <c r="I85" s="4"/>
      <c r="J85" s="4"/>
      <c r="K85" s="4"/>
      <c r="L85" s="4"/>
      <c r="M85" s="4"/>
      <c r="N85" s="4"/>
      <c r="O85" s="4"/>
      <c r="P85" s="4"/>
      <c r="Q85" s="4"/>
      <c r="R85" s="4"/>
    </row>
  </sheetData>
  <autoFilter ref="A30:R55"/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2026-08-24T21:21:05Z</dcterms:created>
  <dc:creator>openpyxl</dc:creator>
  <dc:description/>
  <dc:language>en-US</dc:language>
  <cp:lastModifiedBy/>
  <dcterms:modified xsi:type="dcterms:W3CDTF">2026-08-24T21:21:05Z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