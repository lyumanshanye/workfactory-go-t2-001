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or plan &amp; log" sheetId="1" state="visible" r:id="rId1"/>
    <sheet xmlns:r="http://schemas.openxmlformats.org/officeDocument/2006/relationships" name="Evidence &amp; Key" sheetId="2" state="visible" r:id="rId2"/>
  </sheets>
  <definedNames>
    <definedName name="_xlnm.Print_Titles" localSheetId="0">'Operator plan &amp; log'!$1:$4</definedName>
    <definedName name="_xlnm.Print_Area" localSheetId="0">'Operator plan &amp; log'!$A$1:$G$37</definedName>
    <definedName name="_xlnm.Print_Area" localSheetId="1">'Evidence &amp; Key'!$A$1:$G$19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7">
    <numFmt numFmtId="164" formatCode="0 &quot;eligible ordinary-running readings&quot;"/>
    <numFmt numFmtId="165" formatCode="0.0"/>
    <numFmt numFmtId="166" formatCode="0.0 &quot; mg&quot;"/>
    <numFmt numFmtId="167" formatCode="0.000"/>
    <numFmt numFmtId="168" formatCode="0.000 &quot; N&quot;"/>
    <numFmt numFmtId="169" formatCode="yyyy-mm-dd h:mm:ss"/>
    <numFmt numFmtId="170" formatCode="dd-mmm-yy hh:mm"/>
  </numFmts>
  <fonts count="9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44546A"/>
      <sz val="10"/>
    </font>
    <font>
      <name val="Aptos"/>
      <b val="1"/>
      <color rgb="00FFFFFF"/>
      <sz val="10"/>
    </font>
    <font>
      <name val="Aptos"/>
      <color rgb="001F1F1F"/>
      <sz val="9"/>
    </font>
    <font>
      <name val="Aptos"/>
      <b val="1"/>
      <color rgb="00FFFFFF"/>
      <sz val="12"/>
    </font>
    <font>
      <name val="Aptos"/>
      <b val="1"/>
      <color rgb="001F1F1F"/>
      <sz val="10"/>
    </font>
    <font>
      <name val="Aptos"/>
      <color rgb="001F1F1F"/>
      <sz val="10"/>
    </font>
    <font>
      <name val="Aptos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83A5A"/>
      </patternFill>
    </fill>
    <fill>
      <patternFill patternType="solid">
        <fgColor rgb="00EAF2F8"/>
      </patternFill>
    </fill>
    <fill>
      <patternFill patternType="solid">
        <fgColor rgb="00D9EAF7"/>
      </patternFill>
    </fill>
    <fill>
      <patternFill patternType="solid">
        <fgColor rgb="00F4CCCC"/>
      </patternFill>
    </fill>
    <fill>
      <patternFill patternType="solid">
        <fgColor rgb="00FCE4D6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EADBA"/>
      </left>
      <right style="thin">
        <color rgb="009EADBA"/>
      </right>
      <top style="thin">
        <color rgb="009EADBA"/>
      </top>
      <bottom style="thin">
        <color rgb="009EADBA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164" fontId="4" fillId="3" borderId="1" applyAlignment="1" pivotButton="0" quotePrefix="0" xfId="0">
      <alignment vertical="center" wrapText="1"/>
    </xf>
    <xf numFmtId="0" fontId="5" fillId="2" borderId="0" pivotButton="0" quotePrefix="0" xfId="0"/>
    <xf numFmtId="0" fontId="3" fillId="2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165" fontId="7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166" fontId="7" fillId="0" borderId="1" applyAlignment="1" pivotButton="0" quotePrefix="0" xfId="0">
      <alignment vertical="top" wrapText="1"/>
    </xf>
    <xf numFmtId="167" fontId="7" fillId="0" borderId="1" applyAlignment="1" pivotButton="0" quotePrefix="0" xfId="0">
      <alignment vertical="top" wrapText="1"/>
    </xf>
    <xf numFmtId="168" fontId="7" fillId="0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7" fillId="8" borderId="1" applyAlignment="1" applyProtection="1" pivotButton="0" quotePrefix="0" xfId="0">
      <alignment vertical="top" wrapText="1"/>
      <protection locked="0" hidden="0"/>
    </xf>
    <xf numFmtId="0" fontId="5" fillId="2" borderId="1" applyAlignment="1" pivotButton="0" quotePrefix="0" xfId="0">
      <alignment vertical="top" wrapText="1"/>
    </xf>
    <xf numFmtId="0" fontId="8" fillId="2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1" fontId="6" fillId="4" borderId="1" applyAlignment="1" pivotButton="0" quotePrefix="0" xfId="0">
      <alignment vertical="top" wrapText="1"/>
    </xf>
    <xf numFmtId="165" fontId="7" fillId="4" borderId="1" applyAlignment="1" pivotButton="0" quotePrefix="0" xfId="0">
      <alignment vertical="top" wrapText="1"/>
    </xf>
    <xf numFmtId="166" fontId="7" fillId="4" borderId="1" applyAlignment="1" pivotButton="0" quotePrefix="0" xfId="0">
      <alignment vertical="top" wrapText="1"/>
    </xf>
    <xf numFmtId="167" fontId="7" fillId="4" borderId="1" applyAlignment="1" pivotButton="0" quotePrefix="0" xfId="0">
      <alignment vertical="top" wrapText="1"/>
    </xf>
    <xf numFmtId="168" fontId="7" fillId="4" borderId="1" applyAlignment="1" pivotButton="0" quotePrefix="0" xfId="0">
      <alignment vertical="top" wrapText="1"/>
    </xf>
    <xf numFmtId="170" fontId="7" fillId="0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F4CC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D9EA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28" customWidth="1" min="4" max="4"/>
    <col width="19" customWidth="1" min="5" max="5"/>
    <col width="30" customWidth="1" min="6" max="6"/>
    <col width="23" customWidth="1" min="7" max="7"/>
  </cols>
  <sheetData>
    <row r="1" ht="27" customHeight="1">
      <c r="A1" s="1" t="inlineStr">
        <is>
          <t>Pellworth Nutraceuticals | Blister Line 3 — Operator Alert &amp; Reaction Plan</t>
        </is>
      </c>
    </row>
    <row r="2" ht="28" customHeight="1">
      <c r="A2" s="2" t="inlineStr">
        <is>
          <t>Provisional commissioning aid • Use the action table first. An alert is a prompt to check and contain; it does not by itself confirm product failure.</t>
        </is>
      </c>
    </row>
    <row r="4">
      <c r="A4" s="3" t="inlineStr">
        <is>
          <t>Plan status</t>
        </is>
      </c>
      <c r="C4" s="3" t="inlineStr">
        <is>
          <t>Review due</t>
        </is>
      </c>
      <c r="E4" s="3" t="inlineStr">
        <is>
          <t>Derived evidence count</t>
        </is>
      </c>
    </row>
    <row r="5" ht="29" customHeight="1">
      <c r="A5" s="4" t="inlineStr">
        <is>
          <t>Provisional — commissioning only</t>
        </is>
      </c>
      <c r="C5" s="4" t="inlineStr">
        <is>
          <t>30-Jan-2026 or earlier after recurring alert / setting change</t>
        </is>
      </c>
      <c r="E5" s="5">
        <f>'Evidence &amp; Key'!B13</f>
        <v/>
      </c>
    </row>
    <row r="7">
      <c r="A7" s="6" t="inlineStr">
        <is>
          <t>1. TAKE THE MACHINE ACTION</t>
        </is>
      </c>
    </row>
    <row r="8" ht="30" customHeight="1">
      <c r="A8" s="7" t="inlineStr">
        <is>
          <t>Measure</t>
        </is>
      </c>
      <c r="B8" s="7" t="inlineStr">
        <is>
          <t>Unit</t>
        </is>
      </c>
      <c r="C8" s="7" t="inlineStr">
        <is>
          <t>Alert — check before release</t>
        </is>
      </c>
      <c r="D8" s="7" t="inlineStr">
        <is>
          <t>Stop and escalate — contain</t>
        </is>
      </c>
      <c r="E8" s="7" t="inlineStr">
        <is>
          <t>Immediate operator reaction</t>
        </is>
      </c>
      <c r="F8" s="7" t="inlineStr">
        <is>
          <t>Contact</t>
        </is>
      </c>
      <c r="G8" s="7" t="inlineStr">
        <is>
          <t>Derived band width</t>
        </is>
      </c>
    </row>
    <row r="9" ht="48" customHeight="1">
      <c r="A9" s="8" t="inlineStr">
        <is>
          <t>Checkweigher</t>
        </is>
      </c>
      <c r="B9" s="9" t="inlineStr">
        <is>
          <t>mg</t>
        </is>
      </c>
      <c r="C9" s="10">
        <f>'Evidence &amp; Key'!E18</f>
        <v/>
      </c>
      <c r="D9" s="10">
        <f>'Evidence &amp; Key'!F18</f>
        <v/>
      </c>
      <c r="E9" s="11" t="inlineStr">
        <is>
          <t>Keep line running only while you verify the reading. Recheck the next 5 packs and check feeder / checkweigher set-up. Log the result; call the shift supervisor if any recheck remains Alert.</t>
        </is>
      </c>
      <c r="F9" s="11" t="inlineStr">
        <is>
          <t>Shift supervisor; Quality if repeated</t>
        </is>
      </c>
      <c r="G9" s="12">
        <f>'Evidence &amp; Key'!G18</f>
        <v/>
      </c>
    </row>
    <row r="10" ht="48" customHeight="1">
      <c r="A10" s="8" t="inlineStr">
        <is>
          <t>Seal integrity</t>
        </is>
      </c>
      <c r="B10" s="9" t="inlineStr">
        <is>
          <t>N</t>
        </is>
      </c>
      <c r="C10" s="13">
        <f>'Evidence &amp; Key'!E19</f>
        <v/>
      </c>
      <c r="D10" s="13">
        <f>'Evidence &amp; Key'!F19</f>
        <v/>
      </c>
      <c r="E10" s="11" t="inlineStr">
        <is>
          <t>Visually check the next 5 blisters and verify sensor position / sealing settings. Log the result; call the shift supervisor if any recheck remains Alert.</t>
        </is>
      </c>
      <c r="F10" s="11" t="inlineStr">
        <is>
          <t>Shift supervisor; Quality if repeated</t>
        </is>
      </c>
      <c r="G10" s="14">
        <f>'Evidence &amp; Key'!G19</f>
        <v/>
      </c>
    </row>
    <row r="12" ht="38" customHeight="1">
      <c r="A12" s="15" t="inlineStr">
        <is>
          <t>STOP AND ESCALATE ACTION: Stop the line; segregate packs since the last confirmed acceptable check; identify the batch/run; notify the shift supervisor and Quality. Do not release held material until Quality disposition. A sensor alarm is not proof of product failure.</t>
        </is>
      </c>
    </row>
    <row r="14">
      <c r="A14" s="6" t="inlineStr">
        <is>
          <t>2. EXCEPTIONS — DO NOT CLASSIFY THESE AS NORMAL</t>
        </is>
      </c>
    </row>
    <row r="15" ht="30" customHeight="1">
      <c r="A15" s="7" t="inlineStr">
        <is>
          <t>Situation</t>
        </is>
      </c>
      <c r="B15" s="7" t="inlineStr">
        <is>
          <t>Select this status</t>
        </is>
      </c>
      <c r="C15" s="7" t="inlineStr">
        <is>
          <t>What to do now</t>
        </is>
      </c>
      <c r="D15" s="7" t="inlineStr"/>
      <c r="E15" s="7" t="inlineStr"/>
      <c r="F15" s="7" t="inlineStr"/>
      <c r="G15" s="7" t="inlineStr"/>
    </row>
    <row r="16" ht="32" customHeight="1">
      <c r="A16" s="16" t="inlineStr">
        <is>
          <t>Reading missing / display unavailable</t>
        </is>
      </c>
      <c r="B16" s="17" t="inlineStr">
        <is>
          <t>Unable to assess</t>
        </is>
      </c>
      <c r="C16" s="18" t="inlineStr">
        <is>
          <t>Pause affected checks, record the missing reading and run/batch reference, and call the shift supervisor. Do not assume Normal; escalate to Quality if product cannot be traced.</t>
        </is>
      </c>
      <c r="D16" s="18" t="n"/>
      <c r="E16" s="18" t="n"/>
      <c r="F16" s="18" t="n"/>
      <c r="G16" s="18" t="n"/>
    </row>
    <row r="17" ht="32" customHeight="1">
      <c r="A17" s="16" t="inlineStr">
        <is>
          <t>Warm start / first packs after start</t>
        </is>
      </c>
      <c r="B17" s="17" t="inlineStr">
        <is>
          <t>Unable to assess</t>
        </is>
      </c>
      <c r="C17" s="18" t="inlineStr">
        <is>
          <t>Record warm-start context. Obtain the scheduled start-up verification before routine classification; use Stop and escalate if an out-of-band reading occurs or verification is unavailable.</t>
        </is>
      </c>
      <c r="D17" s="18" t="n"/>
      <c r="E17" s="18" t="n"/>
      <c r="F17" s="18" t="n"/>
      <c r="G17" s="18" t="n"/>
    </row>
    <row r="18" ht="32" customHeight="1">
      <c r="A18" s="16" t="inlineStr">
        <is>
          <t>Immediately after tooling change</t>
        </is>
      </c>
      <c r="B18" s="17" t="inlineStr">
        <is>
          <t>Unable to assess</t>
        </is>
      </c>
      <c r="C18" s="18" t="inlineStr">
        <is>
          <t>Record tooling-change context. Use approved changeover verification before routine classification; call the shift supervisor and Quality for any Alert or Stop condition.</t>
        </is>
      </c>
      <c r="D18" s="18" t="n"/>
      <c r="E18" s="18" t="n"/>
      <c r="F18" s="18" t="n"/>
      <c r="G18" s="18" t="n"/>
    </row>
    <row r="20">
      <c r="A20" s="6" t="inlineStr">
        <is>
          <t>3. STATUS KEY — choose exactly one status in the log</t>
        </is>
      </c>
    </row>
    <row r="21" ht="30" customHeight="1">
      <c r="A21" s="7" t="inlineStr">
        <is>
          <t>Status</t>
        </is>
      </c>
      <c r="B21" s="7" t="inlineStr">
        <is>
          <t>Colour meaning</t>
        </is>
      </c>
      <c r="C21" s="7" t="inlineStr">
        <is>
          <t>Use when</t>
        </is>
      </c>
      <c r="D21" s="7" t="inlineStr">
        <is>
          <t>Required response</t>
        </is>
      </c>
      <c r="E21" s="7" t="inlineStr"/>
      <c r="F21" s="7" t="inlineStr"/>
      <c r="G21" s="7" t="inlineStr"/>
    </row>
    <row r="22" ht="27" customHeight="1">
      <c r="A22" s="19" t="inlineStr">
        <is>
          <t>Normal</t>
        </is>
      </c>
      <c r="B22" s="20" t="inlineStr">
        <is>
          <t>Green</t>
        </is>
      </c>
      <c r="C22" s="11" t="inlineStr">
        <is>
          <t>Routine reading within the alert band; no exception context.</t>
        </is>
      </c>
      <c r="D22" s="11" t="inlineStr">
        <is>
          <t>Record only if this check is being logged; continue normal checks.</t>
        </is>
      </c>
      <c r="E22" s="11" t="n"/>
      <c r="F22" s="11" t="n"/>
      <c r="G22" s="11" t="n"/>
    </row>
    <row r="23" ht="27" customHeight="1">
      <c r="A23" s="17" t="inlineStr">
        <is>
          <t>Alert</t>
        </is>
      </c>
      <c r="B23" s="21" t="inlineStr">
        <is>
          <t>Amber</t>
        </is>
      </c>
      <c r="C23" s="11" t="inlineStr">
        <is>
          <t>Outside alert band but not stop band; or a recheck remains alert.</t>
        </is>
      </c>
      <c r="D23" s="11" t="inlineStr">
        <is>
          <t>Take the measure-specific five-pack check and notify the shift supervisor if repeated.</t>
        </is>
      </c>
      <c r="E23" s="11" t="n"/>
      <c r="F23" s="11" t="n"/>
      <c r="G23" s="11" t="n"/>
    </row>
    <row r="24" ht="27" customHeight="1">
      <c r="A24" s="15" t="inlineStr">
        <is>
          <t>Stop and escalate</t>
        </is>
      </c>
      <c r="B24" s="22" t="inlineStr">
        <is>
          <t>Red</t>
        </is>
      </c>
      <c r="C24" s="11" t="inlineStr">
        <is>
          <t>Outside the stop band or directed by the exception instruction.</t>
        </is>
      </c>
      <c r="D24" s="11" t="inlineStr">
        <is>
          <t>Stop, contain since last confirmed acceptable check, and notify Shift Supervisor + Quality.</t>
        </is>
      </c>
      <c r="E24" s="11" t="n"/>
      <c r="F24" s="11" t="n"/>
      <c r="G24" s="11" t="n"/>
    </row>
    <row r="25" ht="27" customHeight="1">
      <c r="A25" s="8" t="inlineStr">
        <is>
          <t>Unable to assess</t>
        </is>
      </c>
      <c r="B25" s="9" t="inlineStr">
        <is>
          <t>Blue</t>
        </is>
      </c>
      <c r="C25" s="11" t="inlineStr">
        <is>
          <t>Reading missing, warm start, or immediately after tooling change.</t>
        </is>
      </c>
      <c r="D25" s="11" t="inlineStr">
        <is>
          <t>Do not call it Normal. Record context and obtain the required verification / supervisor help.</t>
        </is>
      </c>
      <c r="E25" s="11" t="n"/>
      <c r="F25" s="11" t="n"/>
      <c r="G25" s="11" t="n"/>
    </row>
    <row r="27">
      <c r="A27" s="6" t="inlineStr">
        <is>
          <t>4. OPERATOR RESPONSE LOG — pale yellow cells are blank entry fields; blue cells are instructions or linked/derived values</t>
        </is>
      </c>
    </row>
    <row r="28" ht="30" customHeight="1">
      <c r="A28" s="7" t="inlineStr">
        <is>
          <t>Time / batch reference</t>
        </is>
      </c>
      <c r="B28" s="7" t="inlineStr">
        <is>
          <t>Measure</t>
        </is>
      </c>
      <c r="C28" s="7" t="inlineStr">
        <is>
          <t>Reading + unit</t>
        </is>
      </c>
      <c r="D28" s="7" t="inlineStr">
        <is>
          <t>Observation</t>
        </is>
      </c>
      <c r="E28" s="7" t="inlineStr">
        <is>
          <t>Selected status</t>
        </is>
      </c>
      <c r="F28" s="7" t="inlineStr">
        <is>
          <t>Action taken</t>
        </is>
      </c>
      <c r="G28" s="7" t="inlineStr">
        <is>
          <t>Disposition</t>
        </is>
      </c>
    </row>
    <row r="29" ht="25" customHeight="1">
      <c r="A29" s="23" t="n"/>
      <c r="B29" s="23" t="n"/>
      <c r="C29" s="23" t="n"/>
      <c r="D29" s="23" t="n"/>
      <c r="E29" s="23" t="n"/>
      <c r="F29" s="23" t="n"/>
      <c r="G29" s="23" t="n"/>
    </row>
    <row r="30" ht="25" customHeight="1">
      <c r="A30" s="23" t="n"/>
      <c r="B30" s="23" t="n"/>
      <c r="C30" s="23" t="n"/>
      <c r="D30" s="23" t="n"/>
      <c r="E30" s="23" t="n"/>
      <c r="F30" s="23" t="n"/>
      <c r="G30" s="23" t="n"/>
    </row>
    <row r="31" ht="25" customHeight="1">
      <c r="A31" s="23" t="n"/>
      <c r="B31" s="23" t="n"/>
      <c r="C31" s="23" t="n"/>
      <c r="D31" s="23" t="n"/>
      <c r="E31" s="23" t="n"/>
      <c r="F31" s="23" t="n"/>
      <c r="G31" s="23" t="n"/>
    </row>
    <row r="32" ht="25" customHeight="1">
      <c r="A32" s="23" t="n"/>
      <c r="B32" s="23" t="n"/>
      <c r="C32" s="23" t="n"/>
      <c r="D32" s="23" t="n"/>
      <c r="E32" s="23" t="n"/>
      <c r="F32" s="23" t="n"/>
      <c r="G32" s="23" t="n"/>
    </row>
    <row r="33" ht="25" customHeight="1">
      <c r="A33" s="23" t="n"/>
      <c r="B33" s="23" t="n"/>
      <c r="C33" s="23" t="n"/>
      <c r="D33" s="23" t="n"/>
      <c r="E33" s="23" t="n"/>
      <c r="F33" s="23" t="n"/>
      <c r="G33" s="23" t="n"/>
    </row>
    <row r="34" ht="25" customHeight="1">
      <c r="A34" s="23" t="n"/>
      <c r="B34" s="23" t="n"/>
      <c r="C34" s="23" t="n"/>
      <c r="D34" s="23" t="n"/>
      <c r="E34" s="23" t="n"/>
      <c r="F34" s="23" t="n"/>
      <c r="G34" s="23" t="n"/>
    </row>
    <row r="35" ht="25" customHeight="1">
      <c r="A35" s="23" t="n"/>
      <c r="B35" s="23" t="n"/>
      <c r="C35" s="23" t="n"/>
      <c r="D35" s="23" t="n"/>
      <c r="E35" s="23" t="n"/>
      <c r="F35" s="23" t="n"/>
      <c r="G35" s="23" t="n"/>
    </row>
    <row r="36" ht="25" customHeight="1">
      <c r="A36" s="23" t="n"/>
      <c r="B36" s="23" t="n"/>
      <c r="C36" s="23" t="n"/>
      <c r="D36" s="23" t="n"/>
      <c r="E36" s="23" t="n"/>
      <c r="F36" s="23" t="n"/>
      <c r="G36" s="23" t="n"/>
    </row>
  </sheetData>
  <sheetProtection selectLockedCells="0" selectUnlockedCells="1" sheet="1" objects="0" insertRows="1" insertHyperlinks="1" autoFilter="1" scenarios="0" formatColumns="1" deleteColumns="1" insertColumns="1" pivotTables="1" deleteRows="1" formatCells="0" formatRows="1" sort="1"/>
  <mergeCells count="20">
    <mergeCell ref="A14:G14"/>
    <mergeCell ref="D25:G25"/>
    <mergeCell ref="C5:D5"/>
    <mergeCell ref="A20:G20"/>
    <mergeCell ref="D24:G24"/>
    <mergeCell ref="C4:D4"/>
    <mergeCell ref="D23:G23"/>
    <mergeCell ref="C16:G16"/>
    <mergeCell ref="D22:G22"/>
    <mergeCell ref="A1:G1"/>
    <mergeCell ref="A5:B5"/>
    <mergeCell ref="A7:G7"/>
    <mergeCell ref="C17:G17"/>
    <mergeCell ref="A4:B4"/>
    <mergeCell ref="A27:G27"/>
    <mergeCell ref="E5:G5"/>
    <mergeCell ref="A12:G12"/>
    <mergeCell ref="A2:G2"/>
    <mergeCell ref="E4:G4"/>
    <mergeCell ref="C18:G18"/>
  </mergeCells>
  <conditionalFormatting sqref="E29:E36">
    <cfRule type="expression" priority="1" dxfId="0">
      <formula>E29="Stop and escalate"</formula>
    </cfRule>
    <cfRule type="expression" priority="2" dxfId="1">
      <formula>E29="Alert"</formula>
    </cfRule>
    <cfRule type="expression" priority="3" dxfId="2">
      <formula>E29="Normal"</formula>
    </cfRule>
    <cfRule type="expression" priority="4" dxfId="3">
      <formula>E29="Unable to assess"</formula>
    </cfRule>
  </conditionalFormatting>
  <dataValidations count="1">
    <dataValidation sqref="E29:E36" showDropDown="0" showInputMessage="1" showErrorMessage="1" allowBlank="1" errorTitle="Choose a listed status" error="Select Normal, Alert, Stop and escalate, or Unable to assess." promptTitle="Status key" prompt="Use the visible Status Key above before choosing." type="list">
      <formula1>"Normal,Alert,Stop and escalate,Unable to assess"</formula1>
    </dataValidation>
  </dataValidations>
  <pageMargins left="0.25" right="0.25" top="0.35" bottom="0.35" header="0.15" footer="0.18"/>
  <pageSetup orientation="landscape" paperSize="9" fitToHeight="0" fitToWidth="1"/>
  <headerFooter>
    <oddHeader/>
    <oddFooter>&amp;C&amp;BLine 3 Operator Alert &amp; Reaction Plan&amp;B | Rev 0 — review 30-Jan-2026 | Page &amp;P of &amp;N</oddFooter>
    <evenHeader/>
    <evenFooter/>
    <firstHeader/>
    <firstFooter/>
  </headerFooter>
  <rowBreaks count="1" manualBreakCount="1">
    <brk id="26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2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4" customWidth="1" min="3" max="3"/>
    <col width="13" customWidth="1" min="4" max="4"/>
    <col width="20" customWidth="1" min="5" max="5"/>
    <col width="19" customWidth="1" min="6" max="6"/>
    <col width="29" customWidth="1" min="7" max="7"/>
    <col width="18" customWidth="1" min="8" max="8"/>
    <col width="12" customWidth="1" min="9" max="9"/>
  </cols>
  <sheetData>
    <row r="1" ht="27" customHeight="1">
      <c r="A1" s="1" t="inlineStr">
        <is>
          <t>Evidence &amp; Key — Line 3 provisional alert bands</t>
        </is>
      </c>
    </row>
    <row r="2" ht="28" customHeight="1">
      <c r="A2" s="2" t="inlineStr">
        <is>
          <t>Traceability for the operator plan. Values are derived only from line3_sensor_readings.xlsx.</t>
        </is>
      </c>
    </row>
    <row r="4">
      <c r="A4" s="24" t="inlineStr">
        <is>
          <t>Scope and limitation</t>
        </is>
      </c>
    </row>
    <row r="5" ht="44" customHeight="1">
      <c r="A5" s="18" t="inlineStr">
        <is>
          <t>This three-week commissioning extract shows ramp-up drift during the first week and includes warm-start readings plus a 15-Jan tooling change. It is not a validated long-term distribution or a released process-capability study. Provisional bands use ordinary running after 09-Jan only, excluding warm starts and changeover-verification readings; Quality must review them on 30-Jan-2026 or earlier after a recurring alert, setting change, or additional tooling work.</t>
        </is>
      </c>
    </row>
    <row r="6"/>
    <row r="8" ht="30" customHeight="1">
      <c r="A8" s="7" t="inlineStr">
        <is>
          <t>Source</t>
        </is>
      </c>
      <c r="B8" s="7" t="inlineStr">
        <is>
          <t>Definition / condition</t>
        </is>
      </c>
      <c r="C8" s="7" t="inlineStr">
        <is>
          <t>Ordinary running</t>
        </is>
      </c>
      <c r="D8" s="7" t="inlineStr">
        <is>
          <t>Ramp-up / warm-start / tooling treatment</t>
        </is>
      </c>
      <c r="E8" s="7" t="inlineStr">
        <is>
          <t>Review trigger</t>
        </is>
      </c>
      <c r="F8" s="7" t="inlineStr">
        <is>
          <t>Owner</t>
        </is>
      </c>
      <c r="G8" s="7" t="inlineStr"/>
    </row>
    <row r="9" ht="62" customHeight="1">
      <c r="A9" s="18" t="inlineStr">
        <is>
          <t>line3_sensor_readings.xlsx</t>
        </is>
      </c>
      <c r="B9" s="11" t="inlineStr">
        <is>
          <t>Source supplied with this task; Readings export + Commissioning notes inspected.</t>
        </is>
      </c>
      <c r="C9" s="11" t="inlineStr">
        <is>
          <t>Routine context; warm start = No; date from 12-Jan-2026; no changeover verification.</t>
        </is>
      </c>
      <c r="D9" s="11" t="inlineStr">
        <is>
          <t>First week is ramp-up drift; warm starts and 15-Jan verification are excluded from band basis and handled as Unable to assess.</t>
        </is>
      </c>
      <c r="E9" s="11" t="inlineStr">
        <is>
          <t>30-Jan-2026, recurring alert, setting change, or tooling work.</t>
        </is>
      </c>
      <c r="F9" s="11" t="inlineStr">
        <is>
          <t>Quality head / shift supervisor</t>
        </is>
      </c>
      <c r="G9" s="11" t="inlineStr"/>
    </row>
    <row r="11">
      <c r="A11" s="25" t="inlineStr">
        <is>
          <t>Derived source summary (formula cells are blue; these are not operator inputs)</t>
        </is>
      </c>
    </row>
    <row r="12" ht="30" customHeight="1">
      <c r="A12" s="7" t="inlineStr">
        <is>
          <t>Metric</t>
        </is>
      </c>
      <c r="B12" s="7" t="inlineStr">
        <is>
          <t>Value</t>
        </is>
      </c>
      <c r="C12" s="7" t="inlineStr">
        <is>
          <t>Formula / inclusion definition</t>
        </is>
      </c>
      <c r="D12" s="7" t="inlineStr">
        <is>
          <t>Use in plan</t>
        </is>
      </c>
      <c r="E12" s="7" t="inlineStr"/>
      <c r="F12" s="7" t="inlineStr"/>
      <c r="G12" s="7" t="inlineStr"/>
    </row>
    <row r="13">
      <c r="A13" s="26" t="inlineStr">
        <is>
          <t>Eligible ordinary-running readings</t>
        </is>
      </c>
      <c r="B13" s="27">
        <f>COUNTIF(H23:H112,"Eligible")</f>
        <v/>
      </c>
      <c r="C13" s="11" t="inlineStr">
        <is>
          <t>Count of copied source rows classified Eligible</t>
        </is>
      </c>
      <c r="D13" s="18" t="inlineStr">
        <is>
          <t>Repeated on operator plan as a linked formula.</t>
        </is>
      </c>
    </row>
    <row r="14">
      <c r="A14" s="26" t="inlineStr">
        <is>
          <t>Contextual readings</t>
        </is>
      </c>
      <c r="B14" s="27">
        <f>COUNTIF(H23:H112,"Contextual")</f>
        <v/>
      </c>
      <c r="C14" s="11" t="inlineStr">
        <is>
          <t>All copied source rows not eligible for band basis</t>
        </is>
      </c>
      <c r="D14" s="18" t="inlineStr">
        <is>
          <t>Kept separate so mixed commissioning behaviour is not treated as routine.</t>
        </is>
      </c>
    </row>
    <row r="16">
      <c r="A16" s="25" t="inlineStr">
        <is>
          <t>Threshold basis and key (all thresholds are provisional action bands, not product-release specifications)</t>
        </is>
      </c>
    </row>
    <row r="17" ht="30" customHeight="1">
      <c r="A17" s="7" t="inlineStr">
        <is>
          <t>Measure</t>
        </is>
      </c>
      <c r="B17" s="7" t="inlineStr">
        <is>
          <t>Unit</t>
        </is>
      </c>
      <c r="C17" s="7" t="inlineStr">
        <is>
          <t>Basis</t>
        </is>
      </c>
      <c r="D17" s="7" t="inlineStr">
        <is>
          <t>Centre</t>
        </is>
      </c>
      <c r="E17" s="7" t="inlineStr">
        <is>
          <t>Alert condition</t>
        </is>
      </c>
      <c r="F17" s="7" t="inlineStr">
        <is>
          <t>Stop / escalate condition</t>
        </is>
      </c>
      <c r="G17" s="7" t="inlineStr">
        <is>
          <t>Derived alert width</t>
        </is>
      </c>
    </row>
    <row r="18" ht="43" customHeight="1">
      <c r="A18" s="26" t="inlineStr">
        <is>
          <t>Checkweigher</t>
        </is>
      </c>
      <c r="B18" s="11" t="inlineStr">
        <is>
          <t>mg</t>
        </is>
      </c>
      <c r="C18" s="11" t="inlineStr">
        <is>
          <t>Mean ± 3 sample SD of eligible ordinary-running readings</t>
        </is>
      </c>
      <c r="D18" s="28" t="n">
        <v>502.6708333333333</v>
      </c>
      <c r="E18" s="11" t="inlineStr">
        <is>
          <t>500.2 to 505.1</t>
        </is>
      </c>
      <c r="F18" s="11" t="inlineStr">
        <is>
          <t>499.4 to 506.0</t>
        </is>
      </c>
      <c r="G18" s="29">
        <f>4.900000000000034</f>
        <v/>
      </c>
    </row>
    <row r="19" ht="43" customHeight="1">
      <c r="A19" s="26" t="inlineStr">
        <is>
          <t>Seal integrity</t>
        </is>
      </c>
      <c r="B19" s="11" t="inlineStr">
        <is>
          <t>N</t>
        </is>
      </c>
      <c r="C19" s="11" t="inlineStr">
        <is>
          <t>Mean ± 3 sample SD of eligible ordinary-running readings</t>
        </is>
      </c>
      <c r="D19" s="30" t="n">
        <v>1.679333333333333</v>
      </c>
      <c r="E19" s="11" t="inlineStr">
        <is>
          <t>1.581 to 1.778</t>
        </is>
      </c>
      <c r="F19" s="11" t="inlineStr">
        <is>
          <t>1.548 to 1.811</t>
        </is>
      </c>
      <c r="G19" s="31">
        <f>0.19700000000000006</f>
        <v/>
      </c>
    </row>
    <row r="21">
      <c r="A21" s="25" t="inlineStr">
        <is>
          <t>Copied reading classifications — copied from supplied readings for audit; “Eligible” is the definition used above</t>
        </is>
      </c>
    </row>
    <row r="22" ht="30" customHeight="1">
      <c r="A22" s="7" t="inlineStr">
        <is>
          <t>Timestamp</t>
        </is>
      </c>
      <c r="B22" s="7" t="inlineStr">
        <is>
          <t>Run ref</t>
        </is>
      </c>
      <c r="C22" s="7" t="inlineStr">
        <is>
          <t>Tooling state</t>
        </is>
      </c>
      <c r="D22" s="7" t="inlineStr">
        <is>
          <t>Warm start</t>
        </is>
      </c>
      <c r="E22" s="7" t="inlineStr">
        <is>
          <t>Checkweigher (mg)</t>
        </is>
      </c>
      <c r="F22" s="7" t="inlineStr">
        <is>
          <t>Seal integrity (N)</t>
        </is>
      </c>
      <c r="G22" s="7" t="inlineStr">
        <is>
          <t>Observation / context</t>
        </is>
      </c>
      <c r="H22" s="7" t="inlineStr">
        <is>
          <t>Band-basis class</t>
        </is>
      </c>
      <c r="I22" s="7" t="inlineStr">
        <is>
          <t>Source row</t>
        </is>
      </c>
    </row>
    <row r="23">
      <c r="A23" s="32" t="n">
        <v>46027.25694444445</v>
      </c>
      <c r="B23" s="11" t="inlineStr">
        <is>
          <t>L3-0105-01</t>
        </is>
      </c>
      <c r="C23" s="11" t="inlineStr">
        <is>
          <t>Tool A</t>
        </is>
      </c>
      <c r="D23" s="11" t="inlineStr">
        <is>
          <t>Yes</t>
        </is>
      </c>
      <c r="E23" s="10" t="n">
        <v>499.5</v>
      </c>
      <c r="F23" s="13" t="n">
        <v>1.559</v>
      </c>
      <c r="G23" s="11" t="inlineStr">
        <is>
          <t>Warm start</t>
        </is>
      </c>
      <c r="H23" s="21" t="inlineStr">
        <is>
          <t>Contextual</t>
        </is>
      </c>
      <c r="I23" s="11" t="n">
        <v>5</v>
      </c>
    </row>
    <row r="24">
      <c r="A24" s="32" t="n">
        <v>46027.35069444445</v>
      </c>
      <c r="B24" s="11" t="inlineStr">
        <is>
          <t>L3-0105-02</t>
        </is>
      </c>
      <c r="C24" s="11" t="inlineStr">
        <is>
          <t>Tool A</t>
        </is>
      </c>
      <c r="D24" s="11" t="inlineStr">
        <is>
          <t>No</t>
        </is>
      </c>
      <c r="E24" s="10" t="n">
        <v>501.1</v>
      </c>
      <c r="F24" s="13" t="n">
        <v>1.614</v>
      </c>
      <c r="G24" s="11" t="inlineStr">
        <is>
          <t>Running</t>
        </is>
      </c>
      <c r="H24" s="21" t="inlineStr">
        <is>
          <t>Contextual</t>
        </is>
      </c>
      <c r="I24" s="11" t="n">
        <v>6</v>
      </c>
    </row>
    <row r="25">
      <c r="A25" s="32" t="n">
        <v>46027.43402777778</v>
      </c>
      <c r="B25" s="11" t="inlineStr">
        <is>
          <t>L3-0105-03</t>
        </is>
      </c>
      <c r="C25" s="11" t="inlineStr">
        <is>
          <t>Tool A</t>
        </is>
      </c>
      <c r="D25" s="11" t="inlineStr">
        <is>
          <t>No</t>
        </is>
      </c>
      <c r="E25" s="10" t="n">
        <v>500.3</v>
      </c>
      <c r="F25" s="13" t="n">
        <v>1.625</v>
      </c>
      <c r="G25" s="11" t="inlineStr">
        <is>
          <t>Running</t>
        </is>
      </c>
      <c r="H25" s="21" t="inlineStr">
        <is>
          <t>Contextual</t>
        </is>
      </c>
      <c r="I25" s="11" t="n">
        <v>7</v>
      </c>
    </row>
    <row r="26">
      <c r="A26" s="32" t="n">
        <v>46027.51736111111</v>
      </c>
      <c r="B26" s="11" t="inlineStr">
        <is>
          <t>L3-0105-04</t>
        </is>
      </c>
      <c r="C26" s="11" t="inlineStr">
        <is>
          <t>Tool A</t>
        </is>
      </c>
      <c r="D26" s="11" t="inlineStr">
        <is>
          <t>No</t>
        </is>
      </c>
      <c r="E26" s="10" t="n">
        <v>500.6</v>
      </c>
      <c r="F26" s="13" t="n">
        <v>1.676</v>
      </c>
      <c r="G26" s="11" t="inlineStr">
        <is>
          <t>Running</t>
        </is>
      </c>
      <c r="H26" s="21" t="inlineStr">
        <is>
          <t>Contextual</t>
        </is>
      </c>
      <c r="I26" s="11" t="n">
        <v>8</v>
      </c>
    </row>
    <row r="27">
      <c r="A27" s="32" t="n">
        <v>46027.60069444445</v>
      </c>
      <c r="B27" s="11" t="inlineStr">
        <is>
          <t>L3-0105-05</t>
        </is>
      </c>
      <c r="C27" s="11" t="inlineStr">
        <is>
          <t>Tool A</t>
        </is>
      </c>
      <c r="D27" s="11" t="inlineStr">
        <is>
          <t>No</t>
        </is>
      </c>
      <c r="E27" s="10" t="n">
        <v>501.8</v>
      </c>
      <c r="F27" s="13" t="n">
        <v>1.674</v>
      </c>
      <c r="G27" s="11" t="inlineStr">
        <is>
          <t>Running</t>
        </is>
      </c>
      <c r="H27" s="21" t="inlineStr">
        <is>
          <t>Contextual</t>
        </is>
      </c>
      <c r="I27" s="11" t="n">
        <v>9</v>
      </c>
    </row>
    <row r="28">
      <c r="A28" s="32" t="n">
        <v>46027.68402777778</v>
      </c>
      <c r="B28" s="11" t="inlineStr">
        <is>
          <t>L3-0105-06</t>
        </is>
      </c>
      <c r="C28" s="11" t="inlineStr">
        <is>
          <t>Tool A</t>
        </is>
      </c>
      <c r="D28" s="11" t="inlineStr">
        <is>
          <t>No</t>
        </is>
      </c>
      <c r="E28" s="10" t="n">
        <v>501.8</v>
      </c>
      <c r="F28" s="13" t="n">
        <v>1.622</v>
      </c>
      <c r="G28" s="11" t="inlineStr">
        <is>
          <t>Running</t>
        </is>
      </c>
      <c r="H28" s="21" t="inlineStr">
        <is>
          <t>Contextual</t>
        </is>
      </c>
      <c r="I28" s="11" t="n">
        <v>10</v>
      </c>
    </row>
    <row r="29">
      <c r="A29" s="32" t="n">
        <v>46028.25694444445</v>
      </c>
      <c r="B29" s="11" t="inlineStr">
        <is>
          <t>L3-0106-01</t>
        </is>
      </c>
      <c r="C29" s="11" t="inlineStr">
        <is>
          <t>Tool A</t>
        </is>
      </c>
      <c r="D29" s="11" t="inlineStr">
        <is>
          <t>Yes</t>
        </is>
      </c>
      <c r="E29" s="10" t="n">
        <v>498.6</v>
      </c>
      <c r="F29" s="13" t="n">
        <v>1.523</v>
      </c>
      <c r="G29" s="11" t="inlineStr">
        <is>
          <t>Warm start</t>
        </is>
      </c>
      <c r="H29" s="21" t="inlineStr">
        <is>
          <t>Contextual</t>
        </is>
      </c>
      <c r="I29" s="11" t="n">
        <v>11</v>
      </c>
    </row>
    <row r="30">
      <c r="A30" s="32" t="n">
        <v>46028.35069444445</v>
      </c>
      <c r="B30" s="11" t="inlineStr">
        <is>
          <t>L3-0106-02</t>
        </is>
      </c>
      <c r="C30" s="11" t="inlineStr">
        <is>
          <t>Tool A</t>
        </is>
      </c>
      <c r="D30" s="11" t="inlineStr">
        <is>
          <t>No</t>
        </is>
      </c>
      <c r="E30" s="10" t="n">
        <v>500.6</v>
      </c>
      <c r="F30" s="13" t="n">
        <v>1.619</v>
      </c>
      <c r="G30" s="11" t="inlineStr">
        <is>
          <t>Running</t>
        </is>
      </c>
      <c r="H30" s="21" t="inlineStr">
        <is>
          <t>Contextual</t>
        </is>
      </c>
      <c r="I30" s="11" t="n">
        <v>12</v>
      </c>
    </row>
    <row r="31">
      <c r="A31" s="32" t="n">
        <v>46028.43402777778</v>
      </c>
      <c r="B31" s="11" t="inlineStr">
        <is>
          <t>L3-0106-03</t>
        </is>
      </c>
      <c r="C31" s="11" t="inlineStr">
        <is>
          <t>Tool A</t>
        </is>
      </c>
      <c r="D31" s="11" t="inlineStr">
        <is>
          <t>No</t>
        </is>
      </c>
      <c r="E31" s="10" t="n">
        <v>501.2</v>
      </c>
      <c r="F31" s="13" t="n">
        <v>1.669</v>
      </c>
      <c r="G31" s="11" t="inlineStr">
        <is>
          <t>Running</t>
        </is>
      </c>
      <c r="H31" s="21" t="inlineStr">
        <is>
          <t>Contextual</t>
        </is>
      </c>
      <c r="I31" s="11" t="n">
        <v>13</v>
      </c>
    </row>
    <row r="32">
      <c r="A32" s="32" t="n">
        <v>46028.51736111111</v>
      </c>
      <c r="B32" s="11" t="inlineStr">
        <is>
          <t>L3-0106-04</t>
        </is>
      </c>
      <c r="C32" s="11" t="inlineStr">
        <is>
          <t>Tool A</t>
        </is>
      </c>
      <c r="D32" s="11" t="inlineStr">
        <is>
          <t>No</t>
        </is>
      </c>
      <c r="E32" s="10" t="n">
        <v>502.1</v>
      </c>
      <c r="F32" s="13" t="n">
        <v>1.686</v>
      </c>
      <c r="G32" s="11" t="inlineStr">
        <is>
          <t>Running</t>
        </is>
      </c>
      <c r="H32" s="21" t="inlineStr">
        <is>
          <t>Contextual</t>
        </is>
      </c>
      <c r="I32" s="11" t="n">
        <v>14</v>
      </c>
    </row>
    <row r="33">
      <c r="A33" s="32" t="n">
        <v>46028.60069444445</v>
      </c>
      <c r="B33" s="11" t="inlineStr">
        <is>
          <t>L3-0106-05</t>
        </is>
      </c>
      <c r="C33" s="11" t="inlineStr">
        <is>
          <t>Tool A</t>
        </is>
      </c>
      <c r="D33" s="11" t="inlineStr">
        <is>
          <t>No</t>
        </is>
      </c>
      <c r="E33" s="10" t="n">
        <v>502.2</v>
      </c>
      <c r="F33" s="13" t="n">
        <v>1.639</v>
      </c>
      <c r="G33" s="11" t="inlineStr">
        <is>
          <t>Running</t>
        </is>
      </c>
      <c r="H33" s="21" t="inlineStr">
        <is>
          <t>Contextual</t>
        </is>
      </c>
      <c r="I33" s="11" t="n">
        <v>15</v>
      </c>
    </row>
    <row r="34">
      <c r="A34" s="32" t="n">
        <v>46028.68402777778</v>
      </c>
      <c r="B34" s="11" t="inlineStr">
        <is>
          <t>L3-0106-06</t>
        </is>
      </c>
      <c r="C34" s="11" t="inlineStr">
        <is>
          <t>Tool A</t>
        </is>
      </c>
      <c r="D34" s="11" t="inlineStr">
        <is>
          <t>No</t>
        </is>
      </c>
      <c r="E34" s="10" t="n">
        <v>501</v>
      </c>
      <c r="F34" s="13" t="n">
        <v>1.614</v>
      </c>
      <c r="G34" s="11" t="inlineStr">
        <is>
          <t>Running</t>
        </is>
      </c>
      <c r="H34" s="21" t="inlineStr">
        <is>
          <t>Contextual</t>
        </is>
      </c>
      <c r="I34" s="11" t="n">
        <v>16</v>
      </c>
    </row>
    <row r="35">
      <c r="A35" s="32" t="n">
        <v>46029.25694444445</v>
      </c>
      <c r="B35" s="11" t="inlineStr">
        <is>
          <t>L3-0107-01</t>
        </is>
      </c>
      <c r="C35" s="11" t="inlineStr">
        <is>
          <t>Tool A</t>
        </is>
      </c>
      <c r="D35" s="11" t="inlineStr">
        <is>
          <t>Yes</t>
        </is>
      </c>
      <c r="E35" s="10" t="n">
        <v>498.7</v>
      </c>
      <c r="F35" s="13" t="n">
        <v>1.513</v>
      </c>
      <c r="G35" s="11" t="inlineStr">
        <is>
          <t>Warm start</t>
        </is>
      </c>
      <c r="H35" s="21" t="inlineStr">
        <is>
          <t>Contextual</t>
        </is>
      </c>
      <c r="I35" s="11" t="n">
        <v>17</v>
      </c>
    </row>
    <row r="36">
      <c r="A36" s="32" t="n">
        <v>46029.35069444445</v>
      </c>
      <c r="B36" s="11" t="inlineStr">
        <is>
          <t>L3-0107-02</t>
        </is>
      </c>
      <c r="C36" s="11" t="inlineStr">
        <is>
          <t>Tool A</t>
        </is>
      </c>
      <c r="D36" s="11" t="inlineStr">
        <is>
          <t>No</t>
        </is>
      </c>
      <c r="E36" s="10" t="n">
        <v>501.8</v>
      </c>
      <c r="F36" s="13" t="n">
        <v>1.659</v>
      </c>
      <c r="G36" s="11" t="inlineStr">
        <is>
          <t>Running</t>
        </is>
      </c>
      <c r="H36" s="21" t="inlineStr">
        <is>
          <t>Contextual</t>
        </is>
      </c>
      <c r="I36" s="11" t="n">
        <v>18</v>
      </c>
    </row>
    <row r="37">
      <c r="A37" s="32" t="n">
        <v>46029.43402777778</v>
      </c>
      <c r="B37" s="11" t="inlineStr">
        <is>
          <t>L3-0107-03</t>
        </is>
      </c>
      <c r="C37" s="11" t="inlineStr">
        <is>
          <t>Tool A</t>
        </is>
      </c>
      <c r="D37" s="11" t="inlineStr">
        <is>
          <t>No</t>
        </is>
      </c>
      <c r="E37" s="10" t="n">
        <v>502.5</v>
      </c>
      <c r="F37" s="13" t="n">
        <v>1.693</v>
      </c>
      <c r="G37" s="11" t="inlineStr">
        <is>
          <t>Running</t>
        </is>
      </c>
      <c r="H37" s="21" t="inlineStr">
        <is>
          <t>Contextual</t>
        </is>
      </c>
      <c r="I37" s="11" t="n">
        <v>19</v>
      </c>
    </row>
    <row r="38">
      <c r="A38" s="32" t="n">
        <v>46029.51736111111</v>
      </c>
      <c r="B38" s="11" t="inlineStr">
        <is>
          <t>L3-0107-04</t>
        </is>
      </c>
      <c r="C38" s="11" t="inlineStr">
        <is>
          <t>Tool A</t>
        </is>
      </c>
      <c r="D38" s="11" t="inlineStr">
        <is>
          <t>No</t>
        </is>
      </c>
      <c r="E38" s="10" t="n">
        <v>502</v>
      </c>
      <c r="F38" s="13" t="n">
        <v>1.657</v>
      </c>
      <c r="G38" s="11" t="inlineStr">
        <is>
          <t>Running</t>
        </is>
      </c>
      <c r="H38" s="21" t="inlineStr">
        <is>
          <t>Contextual</t>
        </is>
      </c>
      <c r="I38" s="11" t="n">
        <v>20</v>
      </c>
    </row>
    <row r="39">
      <c r="A39" s="32" t="n">
        <v>46029.60069444445</v>
      </c>
      <c r="B39" s="11" t="inlineStr">
        <is>
          <t>L3-0107-05</t>
        </is>
      </c>
      <c r="C39" s="11" t="inlineStr">
        <is>
          <t>Tool A</t>
        </is>
      </c>
      <c r="D39" s="11" t="inlineStr">
        <is>
          <t>No</t>
        </is>
      </c>
      <c r="E39" s="10" t="n">
        <v>501.3</v>
      </c>
      <c r="F39" s="13" t="n">
        <v>1.617</v>
      </c>
      <c r="G39" s="11" t="inlineStr">
        <is>
          <t>Running</t>
        </is>
      </c>
      <c r="H39" s="21" t="inlineStr">
        <is>
          <t>Contextual</t>
        </is>
      </c>
      <c r="I39" s="11" t="n">
        <v>21</v>
      </c>
    </row>
    <row r="40">
      <c r="A40" s="32" t="n">
        <v>46029.68402777778</v>
      </c>
      <c r="B40" s="11" t="inlineStr">
        <is>
          <t>L3-0107-06</t>
        </is>
      </c>
      <c r="C40" s="11" t="inlineStr">
        <is>
          <t>Tool A</t>
        </is>
      </c>
      <c r="D40" s="11" t="inlineStr">
        <is>
          <t>No</t>
        </is>
      </c>
      <c r="E40" s="10" t="n">
        <v>501.1</v>
      </c>
      <c r="F40" s="13" t="n">
        <v>1.647</v>
      </c>
      <c r="G40" s="11" t="inlineStr">
        <is>
          <t>Running</t>
        </is>
      </c>
      <c r="H40" s="21" t="inlineStr">
        <is>
          <t>Contextual</t>
        </is>
      </c>
      <c r="I40" s="11" t="n">
        <v>22</v>
      </c>
    </row>
    <row r="41">
      <c r="A41" s="32" t="n">
        <v>46030.25694444445</v>
      </c>
      <c r="B41" s="11" t="inlineStr">
        <is>
          <t>L3-0108-01</t>
        </is>
      </c>
      <c r="C41" s="11" t="inlineStr">
        <is>
          <t>Tool A</t>
        </is>
      </c>
      <c r="D41" s="11" t="inlineStr">
        <is>
          <t>Yes</t>
        </is>
      </c>
      <c r="E41" s="10" t="n">
        <v>499.9</v>
      </c>
      <c r="F41" s="13" t="n">
        <v>1.544</v>
      </c>
      <c r="G41" s="11" t="inlineStr">
        <is>
          <t>Warm start</t>
        </is>
      </c>
      <c r="H41" s="21" t="inlineStr">
        <is>
          <t>Contextual</t>
        </is>
      </c>
      <c r="I41" s="11" t="n">
        <v>23</v>
      </c>
    </row>
    <row r="42">
      <c r="A42" s="32" t="n">
        <v>46030.35069444445</v>
      </c>
      <c r="B42" s="11" t="inlineStr">
        <is>
          <t>L3-0108-02</t>
        </is>
      </c>
      <c r="C42" s="11" t="inlineStr">
        <is>
          <t>Tool A</t>
        </is>
      </c>
      <c r="D42" s="11" t="inlineStr">
        <is>
          <t>No</t>
        </is>
      </c>
      <c r="E42" s="10" t="n">
        <v>502.8</v>
      </c>
      <c r="F42" s="13" t="n">
        <v>1.695</v>
      </c>
      <c r="G42" s="11" t="inlineStr">
        <is>
          <t>Running</t>
        </is>
      </c>
      <c r="H42" s="21" t="inlineStr">
        <is>
          <t>Contextual</t>
        </is>
      </c>
      <c r="I42" s="11" t="n">
        <v>24</v>
      </c>
    </row>
    <row r="43">
      <c r="A43" s="32" t="n">
        <v>46030.43402777778</v>
      </c>
      <c r="B43" s="11" t="inlineStr">
        <is>
          <t>L3-0108-03</t>
        </is>
      </c>
      <c r="C43" s="11" t="inlineStr">
        <is>
          <t>Tool A</t>
        </is>
      </c>
      <c r="D43" s="11" t="inlineStr">
        <is>
          <t>No</t>
        </is>
      </c>
      <c r="E43" s="10" t="n">
        <v>502</v>
      </c>
      <c r="F43" s="13" t="n">
        <v>1.675</v>
      </c>
      <c r="G43" s="11" t="inlineStr">
        <is>
          <t>Running</t>
        </is>
      </c>
      <c r="H43" s="21" t="inlineStr">
        <is>
          <t>Contextual</t>
        </is>
      </c>
      <c r="I43" s="11" t="n">
        <v>25</v>
      </c>
    </row>
    <row r="44">
      <c r="A44" s="32" t="n">
        <v>46030.51736111111</v>
      </c>
      <c r="B44" s="11" t="inlineStr">
        <is>
          <t>L3-0108-04</t>
        </is>
      </c>
      <c r="C44" s="11" t="inlineStr">
        <is>
          <t>Tool A</t>
        </is>
      </c>
      <c r="D44" s="11" t="inlineStr">
        <is>
          <t>No</t>
        </is>
      </c>
      <c r="E44" s="10" t="n">
        <v>501.3</v>
      </c>
      <c r="F44" s="13" t="n">
        <v>1.626</v>
      </c>
      <c r="G44" s="11" t="inlineStr">
        <is>
          <t>Running</t>
        </is>
      </c>
      <c r="H44" s="21" t="inlineStr">
        <is>
          <t>Contextual</t>
        </is>
      </c>
      <c r="I44" s="11" t="n">
        <v>26</v>
      </c>
    </row>
    <row r="45">
      <c r="A45" s="32" t="n">
        <v>46030.60069444445</v>
      </c>
      <c r="B45" s="11" t="inlineStr">
        <is>
          <t>L3-0108-05</t>
        </is>
      </c>
      <c r="C45" s="11" t="inlineStr">
        <is>
          <t>Tool A</t>
        </is>
      </c>
      <c r="D45" s="11" t="inlineStr">
        <is>
          <t>No</t>
        </is>
      </c>
      <c r="E45" s="10" t="n">
        <v>502</v>
      </c>
      <c r="F45" s="13" t="n">
        <v>1.638</v>
      </c>
      <c r="G45" s="11" t="inlineStr">
        <is>
          <t>Running</t>
        </is>
      </c>
      <c r="H45" s="21" t="inlineStr">
        <is>
          <t>Contextual</t>
        </is>
      </c>
      <c r="I45" s="11" t="n">
        <v>27</v>
      </c>
    </row>
    <row r="46">
      <c r="A46" s="32" t="n">
        <v>46030.68402777778</v>
      </c>
      <c r="B46" s="11" t="inlineStr">
        <is>
          <t>L3-0108-06</t>
        </is>
      </c>
      <c r="C46" s="11" t="inlineStr">
        <is>
          <t>Tool A</t>
        </is>
      </c>
      <c r="D46" s="11" t="inlineStr">
        <is>
          <t>No</t>
        </is>
      </c>
      <c r="E46" s="10" t="n">
        <v>502.6</v>
      </c>
      <c r="F46" s="13" t="n">
        <v>1.689</v>
      </c>
      <c r="G46" s="11" t="inlineStr">
        <is>
          <t>Running</t>
        </is>
      </c>
      <c r="H46" s="21" t="inlineStr">
        <is>
          <t>Contextual</t>
        </is>
      </c>
      <c r="I46" s="11" t="n">
        <v>28</v>
      </c>
    </row>
    <row r="47">
      <c r="A47" s="32" t="n">
        <v>46031.25694444445</v>
      </c>
      <c r="B47" s="11" t="inlineStr">
        <is>
          <t>L3-0109-01</t>
        </is>
      </c>
      <c r="C47" s="11" t="inlineStr">
        <is>
          <t>Tool A</t>
        </is>
      </c>
      <c r="D47" s="11" t="inlineStr">
        <is>
          <t>Yes</t>
        </is>
      </c>
      <c r="E47" s="10" t="n">
        <v>500.6</v>
      </c>
      <c r="F47" s="13" t="n">
        <v>1.586</v>
      </c>
      <c r="G47" s="11" t="inlineStr">
        <is>
          <t>Warm start</t>
        </is>
      </c>
      <c r="H47" s="21" t="inlineStr">
        <is>
          <t>Contextual</t>
        </is>
      </c>
      <c r="I47" s="11" t="n">
        <v>29</v>
      </c>
    </row>
    <row r="48">
      <c r="A48" s="32" t="n">
        <v>46031.35069444445</v>
      </c>
      <c r="B48" s="11" t="inlineStr">
        <is>
          <t>L3-0109-02</t>
        </is>
      </c>
      <c r="C48" s="11" t="inlineStr">
        <is>
          <t>Tool A</t>
        </is>
      </c>
      <c r="D48" s="11" t="inlineStr">
        <is>
          <t>No</t>
        </is>
      </c>
      <c r="E48" s="10" t="n">
        <v>502.1</v>
      </c>
      <c r="F48" s="13" t="n">
        <v>1.691</v>
      </c>
      <c r="G48" s="11" t="inlineStr">
        <is>
          <t>Running</t>
        </is>
      </c>
      <c r="H48" s="21" t="inlineStr">
        <is>
          <t>Contextual</t>
        </is>
      </c>
      <c r="I48" s="11" t="n">
        <v>30</v>
      </c>
    </row>
    <row r="49">
      <c r="A49" s="32" t="n">
        <v>46031.43402777778</v>
      </c>
      <c r="B49" s="11" t="inlineStr">
        <is>
          <t>L3-0109-03</t>
        </is>
      </c>
      <c r="C49" s="11" t="inlineStr">
        <is>
          <t>Tool A</t>
        </is>
      </c>
      <c r="D49" s="11" t="inlineStr">
        <is>
          <t>No</t>
        </is>
      </c>
      <c r="E49" s="10" t="n">
        <v>501.6</v>
      </c>
      <c r="F49" s="13" t="n">
        <v>1.639</v>
      </c>
      <c r="G49" s="11" t="inlineStr">
        <is>
          <t>Running</t>
        </is>
      </c>
      <c r="H49" s="21" t="inlineStr">
        <is>
          <t>Contextual</t>
        </is>
      </c>
      <c r="I49" s="11" t="n">
        <v>31</v>
      </c>
    </row>
    <row r="50">
      <c r="A50" s="32" t="n">
        <v>46031.51736111111</v>
      </c>
      <c r="B50" s="11" t="inlineStr">
        <is>
          <t>L3-0109-04</t>
        </is>
      </c>
      <c r="C50" s="11" t="inlineStr">
        <is>
          <t>Tool A</t>
        </is>
      </c>
      <c r="D50" s="11" t="inlineStr">
        <is>
          <t>No</t>
        </is>
      </c>
      <c r="E50" s="10" t="n">
        <v>502.3</v>
      </c>
      <c r="F50" s="13" t="n">
        <v>1.632</v>
      </c>
      <c r="G50" s="11" t="inlineStr">
        <is>
          <t>Running</t>
        </is>
      </c>
      <c r="H50" s="21" t="inlineStr">
        <is>
          <t>Contextual</t>
        </is>
      </c>
      <c r="I50" s="11" t="n">
        <v>32</v>
      </c>
    </row>
    <row r="51">
      <c r="A51" s="32" t="n">
        <v>46031.60069444445</v>
      </c>
      <c r="B51" s="11" t="inlineStr">
        <is>
          <t>L3-0109-05</t>
        </is>
      </c>
      <c r="C51" s="11" t="inlineStr">
        <is>
          <t>Tool A</t>
        </is>
      </c>
      <c r="D51" s="11" t="inlineStr">
        <is>
          <t>No</t>
        </is>
      </c>
      <c r="E51" s="10" t="n">
        <v>503.4</v>
      </c>
      <c r="F51" s="13" t="n">
        <v>1.682</v>
      </c>
      <c r="G51" s="11" t="inlineStr">
        <is>
          <t>Running</t>
        </is>
      </c>
      <c r="H51" s="21" t="inlineStr">
        <is>
          <t>Contextual</t>
        </is>
      </c>
      <c r="I51" s="11" t="n">
        <v>33</v>
      </c>
    </row>
    <row r="52">
      <c r="A52" s="32" t="n">
        <v>46031.68402777778</v>
      </c>
      <c r="B52" s="11" t="inlineStr">
        <is>
          <t>L3-0109-06</t>
        </is>
      </c>
      <c r="C52" s="11" t="inlineStr">
        <is>
          <t>Tool A</t>
        </is>
      </c>
      <c r="D52" s="11" t="inlineStr">
        <is>
          <t>No</t>
        </is>
      </c>
      <c r="E52" s="10" t="n">
        <v>502.8</v>
      </c>
      <c r="F52" s="13" t="n">
        <v>1.698</v>
      </c>
      <c r="G52" s="11" t="inlineStr">
        <is>
          <t>Running</t>
        </is>
      </c>
      <c r="H52" s="21" t="inlineStr">
        <is>
          <t>Contextual</t>
        </is>
      </c>
      <c r="I52" s="11" t="n">
        <v>34</v>
      </c>
    </row>
    <row r="53">
      <c r="A53" s="32" t="n">
        <v>46034.25694444445</v>
      </c>
      <c r="B53" s="11" t="inlineStr">
        <is>
          <t>L3-0112-01</t>
        </is>
      </c>
      <c r="C53" s="11" t="inlineStr">
        <is>
          <t>Tool A</t>
        </is>
      </c>
      <c r="D53" s="11" t="inlineStr">
        <is>
          <t>Yes</t>
        </is>
      </c>
      <c r="E53" s="10" t="n">
        <v>498.6</v>
      </c>
      <c r="F53" s="13" t="n">
        <v>1.585</v>
      </c>
      <c r="G53" s="11" t="inlineStr">
        <is>
          <t>Warm start</t>
        </is>
      </c>
      <c r="H53" s="21" t="inlineStr">
        <is>
          <t>Contextual</t>
        </is>
      </c>
      <c r="I53" s="11" t="n">
        <v>35</v>
      </c>
    </row>
    <row r="54">
      <c r="A54" s="32" t="n">
        <v>46034.35069444445</v>
      </c>
      <c r="B54" s="11" t="inlineStr">
        <is>
          <t>L3-0112-02</t>
        </is>
      </c>
      <c r="C54" s="11" t="inlineStr">
        <is>
          <t>Tool A</t>
        </is>
      </c>
      <c r="D54" s="11" t="inlineStr">
        <is>
          <t>No</t>
        </is>
      </c>
      <c r="E54" s="10" t="n">
        <v>501.1</v>
      </c>
      <c r="F54" s="13" t="n">
        <v>1.644</v>
      </c>
      <c r="G54" s="11" t="inlineStr">
        <is>
          <t>Running</t>
        </is>
      </c>
      <c r="H54" s="20" t="inlineStr">
        <is>
          <t>Eligible</t>
        </is>
      </c>
      <c r="I54" s="11" t="n">
        <v>36</v>
      </c>
    </row>
    <row r="55">
      <c r="A55" s="32" t="n">
        <v>46034.43402777778</v>
      </c>
      <c r="B55" s="11" t="inlineStr">
        <is>
          <t>L3-0112-03</t>
        </is>
      </c>
      <c r="C55" s="11" t="inlineStr">
        <is>
          <t>Tool A</t>
        </is>
      </c>
      <c r="D55" s="11" t="inlineStr">
        <is>
          <t>No</t>
        </is>
      </c>
      <c r="E55" s="10" t="n">
        <v>502</v>
      </c>
      <c r="F55" s="13" t="n">
        <v>1.618</v>
      </c>
      <c r="G55" s="11" t="inlineStr">
        <is>
          <t>Running</t>
        </is>
      </c>
      <c r="H55" s="20" t="inlineStr">
        <is>
          <t>Eligible</t>
        </is>
      </c>
      <c r="I55" s="11" t="n">
        <v>37</v>
      </c>
    </row>
    <row r="56">
      <c r="A56" s="32" t="n">
        <v>46034.51736111111</v>
      </c>
      <c r="B56" s="11" t="inlineStr">
        <is>
          <t>L3-0112-04</t>
        </is>
      </c>
      <c r="C56" s="11" t="inlineStr">
        <is>
          <t>Tool A</t>
        </is>
      </c>
      <c r="D56" s="11" t="inlineStr">
        <is>
          <t>No</t>
        </is>
      </c>
      <c r="E56" s="10" t="n">
        <v>502.5</v>
      </c>
      <c r="F56" s="13" t="n">
        <v>1.66</v>
      </c>
      <c r="G56" s="11" t="inlineStr">
        <is>
          <t>Running</t>
        </is>
      </c>
      <c r="H56" s="20" t="inlineStr">
        <is>
          <t>Eligible</t>
        </is>
      </c>
      <c r="I56" s="11" t="n">
        <v>38</v>
      </c>
    </row>
    <row r="57">
      <c r="A57" s="32" t="n">
        <v>46034.60069444445</v>
      </c>
      <c r="B57" s="11" t="inlineStr">
        <is>
          <t>L3-0112-05</t>
        </is>
      </c>
      <c r="C57" s="11" t="inlineStr">
        <is>
          <t>Tool A</t>
        </is>
      </c>
      <c r="D57" s="11" t="inlineStr">
        <is>
          <t>No</t>
        </is>
      </c>
      <c r="E57" s="10" t="n">
        <v>502.1</v>
      </c>
      <c r="F57" s="13" t="n">
        <v>1.693</v>
      </c>
      <c r="G57" s="11" t="inlineStr">
        <is>
          <t>Running</t>
        </is>
      </c>
      <c r="H57" s="20" t="inlineStr">
        <is>
          <t>Eligible</t>
        </is>
      </c>
      <c r="I57" s="11" t="n">
        <v>39</v>
      </c>
    </row>
    <row r="58">
      <c r="A58" s="32" t="n">
        <v>46034.68402777778</v>
      </c>
      <c r="B58" s="11" t="inlineStr">
        <is>
          <t>L3-0112-06</t>
        </is>
      </c>
      <c r="C58" s="11" t="inlineStr">
        <is>
          <t>Tool A</t>
        </is>
      </c>
      <c r="D58" s="11" t="inlineStr">
        <is>
          <t>No</t>
        </is>
      </c>
      <c r="E58" s="10" t="n">
        <v>501</v>
      </c>
      <c r="F58" s="13" t="n">
        <v>1.656</v>
      </c>
      <c r="G58" s="11" t="inlineStr">
        <is>
          <t>Running</t>
        </is>
      </c>
      <c r="H58" s="20" t="inlineStr">
        <is>
          <t>Eligible</t>
        </is>
      </c>
      <c r="I58" s="11" t="n">
        <v>40</v>
      </c>
    </row>
    <row r="59">
      <c r="A59" s="32" t="n">
        <v>46035.25694444445</v>
      </c>
      <c r="B59" s="11" t="inlineStr">
        <is>
          <t>L3-0113-01</t>
        </is>
      </c>
      <c r="C59" s="11" t="inlineStr">
        <is>
          <t>Tool A</t>
        </is>
      </c>
      <c r="D59" s="11" t="inlineStr">
        <is>
          <t>Yes</t>
        </is>
      </c>
      <c r="E59" s="10" t="n">
        <v>498.9</v>
      </c>
      <c r="F59" s="13" t="n">
        <v>1.553</v>
      </c>
      <c r="G59" s="11" t="inlineStr">
        <is>
          <t>Warm start</t>
        </is>
      </c>
      <c r="H59" s="21" t="inlineStr">
        <is>
          <t>Contextual</t>
        </is>
      </c>
      <c r="I59" s="11" t="n">
        <v>41</v>
      </c>
    </row>
    <row r="60">
      <c r="A60" s="32" t="n">
        <v>46035.35069444445</v>
      </c>
      <c r="B60" s="11" t="inlineStr">
        <is>
          <t>L3-0113-02</t>
        </is>
      </c>
      <c r="C60" s="11" t="inlineStr">
        <is>
          <t>Tool A</t>
        </is>
      </c>
      <c r="D60" s="11" t="inlineStr">
        <is>
          <t>No</t>
        </is>
      </c>
      <c r="E60" s="10" t="n">
        <v>502.2</v>
      </c>
      <c r="F60" s="13" t="n">
        <v>1.618</v>
      </c>
      <c r="G60" s="11" t="inlineStr">
        <is>
          <t>Running</t>
        </is>
      </c>
      <c r="H60" s="20" t="inlineStr">
        <is>
          <t>Eligible</t>
        </is>
      </c>
      <c r="I60" s="11" t="n">
        <v>42</v>
      </c>
    </row>
    <row r="61">
      <c r="A61" s="32" t="n">
        <v>46035.43402777778</v>
      </c>
      <c r="B61" s="11" t="inlineStr">
        <is>
          <t>L3-0113-03</t>
        </is>
      </c>
      <c r="C61" s="11" t="inlineStr">
        <is>
          <t>Tool A</t>
        </is>
      </c>
      <c r="D61" s="11" t="inlineStr">
        <is>
          <t>No</t>
        </is>
      </c>
      <c r="E61" s="10" t="n">
        <v>502.4</v>
      </c>
      <c r="F61" s="13" t="n">
        <v>1.646</v>
      </c>
      <c r="G61" s="11" t="inlineStr">
        <is>
          <t>Running</t>
        </is>
      </c>
      <c r="H61" s="20" t="inlineStr">
        <is>
          <t>Eligible</t>
        </is>
      </c>
      <c r="I61" s="11" t="n">
        <v>43</v>
      </c>
    </row>
    <row r="62">
      <c r="A62" s="32" t="n">
        <v>46035.51736111111</v>
      </c>
      <c r="B62" s="11" t="inlineStr">
        <is>
          <t>L3-0113-04</t>
        </is>
      </c>
      <c r="C62" s="11" t="inlineStr">
        <is>
          <t>Tool A</t>
        </is>
      </c>
      <c r="D62" s="11" t="inlineStr">
        <is>
          <t>No</t>
        </is>
      </c>
      <c r="E62" s="10" t="n">
        <v>501.6</v>
      </c>
      <c r="F62" s="13" t="n">
        <v>1.691</v>
      </c>
      <c r="G62" s="11" t="inlineStr">
        <is>
          <t>Running</t>
        </is>
      </c>
      <c r="H62" s="20" t="inlineStr">
        <is>
          <t>Eligible</t>
        </is>
      </c>
      <c r="I62" s="11" t="n">
        <v>44</v>
      </c>
    </row>
    <row r="63">
      <c r="A63" s="32" t="n">
        <v>46035.60069444445</v>
      </c>
      <c r="B63" s="11" t="inlineStr">
        <is>
          <t>L3-0113-05</t>
        </is>
      </c>
      <c r="C63" s="11" t="inlineStr">
        <is>
          <t>Tool A</t>
        </is>
      </c>
      <c r="D63" s="11" t="inlineStr">
        <is>
          <t>No</t>
        </is>
      </c>
      <c r="E63" s="10" t="n">
        <v>501.2</v>
      </c>
      <c r="F63" s="13" t="n">
        <v>1.67</v>
      </c>
      <c r="G63" s="11" t="inlineStr">
        <is>
          <t>Running</t>
        </is>
      </c>
      <c r="H63" s="20" t="inlineStr">
        <is>
          <t>Eligible</t>
        </is>
      </c>
      <c r="I63" s="11" t="n">
        <v>45</v>
      </c>
    </row>
    <row r="64">
      <c r="A64" s="32" t="n">
        <v>46035.68402777778</v>
      </c>
      <c r="B64" s="11" t="inlineStr">
        <is>
          <t>L3-0113-06</t>
        </is>
      </c>
      <c r="C64" s="11" t="inlineStr">
        <is>
          <t>Tool A</t>
        </is>
      </c>
      <c r="D64" s="11" t="inlineStr">
        <is>
          <t>No</t>
        </is>
      </c>
      <c r="E64" s="10" t="n">
        <v>501.5</v>
      </c>
      <c r="F64" s="13" t="n">
        <v>1.621</v>
      </c>
      <c r="G64" s="11" t="inlineStr">
        <is>
          <t>Running</t>
        </is>
      </c>
      <c r="H64" s="20" t="inlineStr">
        <is>
          <t>Eligible</t>
        </is>
      </c>
      <c r="I64" s="11" t="n">
        <v>46</v>
      </c>
    </row>
    <row r="65">
      <c r="A65" s="32" t="n">
        <v>46036.25694444445</v>
      </c>
      <c r="B65" s="11" t="inlineStr">
        <is>
          <t>L3-0114-01</t>
        </is>
      </c>
      <c r="C65" s="11" t="inlineStr">
        <is>
          <t>Tool A</t>
        </is>
      </c>
      <c r="D65" s="11" t="inlineStr">
        <is>
          <t>Yes</t>
        </is>
      </c>
      <c r="E65" s="10" t="n">
        <v>499.9</v>
      </c>
      <c r="F65" s="13" t="n">
        <v>1.518</v>
      </c>
      <c r="G65" s="11" t="inlineStr">
        <is>
          <t>Warm start</t>
        </is>
      </c>
      <c r="H65" s="21" t="inlineStr">
        <is>
          <t>Contextual</t>
        </is>
      </c>
      <c r="I65" s="11" t="n">
        <v>47</v>
      </c>
    </row>
    <row r="66">
      <c r="A66" s="32" t="n">
        <v>46036.35069444445</v>
      </c>
      <c r="B66" s="11" t="inlineStr">
        <is>
          <t>L3-0114-02</t>
        </is>
      </c>
      <c r="C66" s="11" t="inlineStr">
        <is>
          <t>Tool A</t>
        </is>
      </c>
      <c r="D66" s="11" t="inlineStr">
        <is>
          <t>No</t>
        </is>
      </c>
      <c r="E66" s="10" t="n">
        <v>502.2</v>
      </c>
      <c r="F66" s="13" t="n">
        <v>1.633</v>
      </c>
      <c r="G66" s="11" t="inlineStr">
        <is>
          <t>Running</t>
        </is>
      </c>
      <c r="H66" s="20" t="inlineStr">
        <is>
          <t>Eligible</t>
        </is>
      </c>
      <c r="I66" s="11" t="n">
        <v>48</v>
      </c>
    </row>
    <row r="67">
      <c r="A67" s="32" t="n">
        <v>46036.43402777778</v>
      </c>
      <c r="B67" s="11" t="inlineStr">
        <is>
          <t>L3-0114-03</t>
        </is>
      </c>
      <c r="C67" s="11" t="inlineStr">
        <is>
          <t>Tool A</t>
        </is>
      </c>
      <c r="D67" s="11" t="inlineStr">
        <is>
          <t>No</t>
        </is>
      </c>
      <c r="E67" s="10" t="n">
        <v>501.3</v>
      </c>
      <c r="F67" s="13" t="n">
        <v>1.684</v>
      </c>
      <c r="G67" s="11" t="inlineStr">
        <is>
          <t>Running</t>
        </is>
      </c>
      <c r="H67" s="20" t="inlineStr">
        <is>
          <t>Eligible</t>
        </is>
      </c>
      <c r="I67" s="11" t="n">
        <v>49</v>
      </c>
    </row>
    <row r="68">
      <c r="A68" s="32" t="n">
        <v>46036.51736111111</v>
      </c>
      <c r="B68" s="11" t="inlineStr">
        <is>
          <t>L3-0114-04</t>
        </is>
      </c>
      <c r="C68" s="11" t="inlineStr">
        <is>
          <t>Tool A</t>
        </is>
      </c>
      <c r="D68" s="11" t="inlineStr">
        <is>
          <t>No</t>
        </is>
      </c>
      <c r="E68" s="10" t="n">
        <v>501</v>
      </c>
      <c r="F68" s="13" t="n">
        <v>1.682</v>
      </c>
      <c r="G68" s="11" t="inlineStr">
        <is>
          <t>Running</t>
        </is>
      </c>
      <c r="H68" s="20" t="inlineStr">
        <is>
          <t>Eligible</t>
        </is>
      </c>
      <c r="I68" s="11" t="n">
        <v>50</v>
      </c>
    </row>
    <row r="69">
      <c r="A69" s="32" t="n">
        <v>46036.60069444445</v>
      </c>
      <c r="B69" s="11" t="inlineStr">
        <is>
          <t>L3-0114-05</t>
        </is>
      </c>
      <c r="C69" s="11" t="inlineStr">
        <is>
          <t>Tool A</t>
        </is>
      </c>
      <c r="D69" s="11" t="inlineStr">
        <is>
          <t>No</t>
        </is>
      </c>
      <c r="E69" s="10" t="n">
        <v>502</v>
      </c>
      <c r="F69" s="13" t="n">
        <v>1.63</v>
      </c>
      <c r="G69" s="11" t="inlineStr">
        <is>
          <t>Running</t>
        </is>
      </c>
      <c r="H69" s="20" t="inlineStr">
        <is>
          <t>Eligible</t>
        </is>
      </c>
      <c r="I69" s="11" t="n">
        <v>51</v>
      </c>
    </row>
    <row r="70">
      <c r="A70" s="32" t="n">
        <v>46036.68402777778</v>
      </c>
      <c r="B70" s="11" t="inlineStr">
        <is>
          <t>L3-0114-06</t>
        </is>
      </c>
      <c r="C70" s="11" t="inlineStr">
        <is>
          <t>Tool A</t>
        </is>
      </c>
      <c r="D70" s="11" t="inlineStr">
        <is>
          <t>No</t>
        </is>
      </c>
      <c r="E70" s="10" t="n">
        <v>502.5</v>
      </c>
      <c r="F70" s="13" t="n">
        <v>1.624</v>
      </c>
      <c r="G70" s="11" t="inlineStr">
        <is>
          <t>Running</t>
        </is>
      </c>
      <c r="H70" s="20" t="inlineStr">
        <is>
          <t>Eligible</t>
        </is>
      </c>
      <c r="I70" s="11" t="n">
        <v>52</v>
      </c>
    </row>
    <row r="71">
      <c r="A71" s="32" t="n">
        <v>46037.25694444445</v>
      </c>
      <c r="B71" s="11" t="inlineStr">
        <is>
          <t>L3-0115-01</t>
        </is>
      </c>
      <c r="C71" s="11" t="inlineStr">
        <is>
          <t>Tool B</t>
        </is>
      </c>
      <c r="D71" s="11" t="inlineStr">
        <is>
          <t>Yes</t>
        </is>
      </c>
      <c r="E71" s="10" t="n">
        <v>501</v>
      </c>
      <c r="F71" s="13" t="n">
        <v>1.553</v>
      </c>
      <c r="G71" s="11" t="inlineStr">
        <is>
          <t>Warm start</t>
        </is>
      </c>
      <c r="H71" s="21" t="inlineStr">
        <is>
          <t>Contextual</t>
        </is>
      </c>
      <c r="I71" s="11" t="n">
        <v>53</v>
      </c>
    </row>
    <row r="72">
      <c r="A72" s="32" t="n">
        <v>46037.35069444445</v>
      </c>
      <c r="B72" s="11" t="inlineStr">
        <is>
          <t>L3-0115-02</t>
        </is>
      </c>
      <c r="C72" s="11" t="inlineStr">
        <is>
          <t>Tool B</t>
        </is>
      </c>
      <c r="D72" s="11" t="inlineStr">
        <is>
          <t>No</t>
        </is>
      </c>
      <c r="E72" s="10" t="n">
        <v>502.4</v>
      </c>
      <c r="F72" s="13" t="n">
        <v>1.708</v>
      </c>
      <c r="G72" s="11" t="inlineStr">
        <is>
          <t>Running</t>
        </is>
      </c>
      <c r="H72" s="20" t="inlineStr">
        <is>
          <t>Eligible</t>
        </is>
      </c>
      <c r="I72" s="11" t="n">
        <v>54</v>
      </c>
    </row>
    <row r="73">
      <c r="A73" s="32" t="n">
        <v>46037.43402777778</v>
      </c>
      <c r="B73" s="11" t="inlineStr">
        <is>
          <t>L3-0115-03</t>
        </is>
      </c>
      <c r="C73" s="11" t="inlineStr">
        <is>
          <t>Tool B</t>
        </is>
      </c>
      <c r="D73" s="11" t="inlineStr">
        <is>
          <t>No</t>
        </is>
      </c>
      <c r="E73" s="10" t="n">
        <v>502.5</v>
      </c>
      <c r="F73" s="13" t="n">
        <v>1.725</v>
      </c>
      <c r="G73" s="11" t="inlineStr">
        <is>
          <t>Running</t>
        </is>
      </c>
      <c r="H73" s="20" t="inlineStr">
        <is>
          <t>Eligible</t>
        </is>
      </c>
      <c r="I73" s="11" t="n">
        <v>55</v>
      </c>
    </row>
    <row r="74">
      <c r="A74" s="32" t="n">
        <v>46037.51736111111</v>
      </c>
      <c r="B74" s="11" t="inlineStr">
        <is>
          <t>L3-0115-04</t>
        </is>
      </c>
      <c r="C74" s="11" t="inlineStr">
        <is>
          <t>Tool B — changeover</t>
        </is>
      </c>
      <c r="D74" s="11" t="inlineStr">
        <is>
          <t>No</t>
        </is>
      </c>
      <c r="E74" s="10" t="n">
        <v>505</v>
      </c>
      <c r="F74" s="13" t="n">
        <v>1.793</v>
      </c>
      <c r="G74" s="11" t="inlineStr">
        <is>
          <t>Tooling change verification</t>
        </is>
      </c>
      <c r="H74" s="21" t="inlineStr">
        <is>
          <t>Contextual</t>
        </is>
      </c>
      <c r="I74" s="11" t="n">
        <v>56</v>
      </c>
    </row>
    <row r="75">
      <c r="A75" s="32" t="n">
        <v>46037.60069444445</v>
      </c>
      <c r="B75" s="11" t="inlineStr">
        <is>
          <t>L3-0115-05</t>
        </is>
      </c>
      <c r="C75" s="11" t="inlineStr">
        <is>
          <t>Tool B — changeover</t>
        </is>
      </c>
      <c r="D75" s="11" t="inlineStr">
        <is>
          <t>No</t>
        </is>
      </c>
      <c r="E75" s="10" t="n">
        <v>502.7</v>
      </c>
      <c r="F75" s="13" t="n">
        <v>1.548</v>
      </c>
      <c r="G75" s="11" t="inlineStr">
        <is>
          <t>Tooling change verification</t>
        </is>
      </c>
      <c r="H75" s="21" t="inlineStr">
        <is>
          <t>Contextual</t>
        </is>
      </c>
      <c r="I75" s="11" t="n">
        <v>57</v>
      </c>
    </row>
    <row r="76">
      <c r="A76" s="32" t="n">
        <v>46037.68402777778</v>
      </c>
      <c r="B76" s="11" t="inlineStr">
        <is>
          <t>L3-0115-06</t>
        </is>
      </c>
      <c r="C76" s="11" t="inlineStr">
        <is>
          <t>Tool B</t>
        </is>
      </c>
      <c r="D76" s="11" t="inlineStr">
        <is>
          <t>No</t>
        </is>
      </c>
      <c r="E76" s="10" t="n">
        <v>503.1</v>
      </c>
      <c r="F76" s="13" t="n">
        <v>1.696</v>
      </c>
      <c r="G76" s="11" t="inlineStr">
        <is>
          <t>Running</t>
        </is>
      </c>
      <c r="H76" s="20" t="inlineStr">
        <is>
          <t>Eligible</t>
        </is>
      </c>
      <c r="I76" s="11" t="n">
        <v>58</v>
      </c>
    </row>
    <row r="77">
      <c r="A77" s="32" t="n">
        <v>46038.25694444445</v>
      </c>
      <c r="B77" s="11" t="inlineStr">
        <is>
          <t>L3-0116-01</t>
        </is>
      </c>
      <c r="C77" s="11" t="inlineStr">
        <is>
          <t>Tool B</t>
        </is>
      </c>
      <c r="D77" s="11" t="inlineStr">
        <is>
          <t>Yes</t>
        </is>
      </c>
      <c r="E77" s="10" t="n">
        <v>499.8</v>
      </c>
      <c r="F77" s="13" t="n">
        <v>1.589</v>
      </c>
      <c r="G77" s="11" t="inlineStr">
        <is>
          <t>Warm start</t>
        </is>
      </c>
      <c r="H77" s="21" t="inlineStr">
        <is>
          <t>Contextual</t>
        </is>
      </c>
      <c r="I77" s="11" t="n">
        <v>59</v>
      </c>
    </row>
    <row r="78">
      <c r="A78" s="32" t="n">
        <v>46038.35069444445</v>
      </c>
      <c r="B78" s="11" t="inlineStr">
        <is>
          <t>L3-0116-02</t>
        </is>
      </c>
      <c r="C78" s="11" t="inlineStr">
        <is>
          <t>Tool B</t>
        </is>
      </c>
      <c r="D78" s="11" t="inlineStr">
        <is>
          <t>No</t>
        </is>
      </c>
      <c r="E78" s="10" t="n">
        <v>502.7</v>
      </c>
      <c r="F78" s="13" t="n">
        <v>1.728</v>
      </c>
      <c r="G78" s="11" t="inlineStr">
        <is>
          <t>Running</t>
        </is>
      </c>
      <c r="H78" s="20" t="inlineStr">
        <is>
          <t>Eligible</t>
        </is>
      </c>
      <c r="I78" s="11" t="n">
        <v>60</v>
      </c>
    </row>
    <row r="79">
      <c r="A79" s="32" t="n">
        <v>46038.43402777778</v>
      </c>
      <c r="B79" s="11" t="inlineStr">
        <is>
          <t>L3-0116-03</t>
        </is>
      </c>
      <c r="C79" s="11" t="inlineStr">
        <is>
          <t>Tool B</t>
        </is>
      </c>
      <c r="D79" s="11" t="inlineStr">
        <is>
          <t>No</t>
        </is>
      </c>
      <c r="E79" s="10" t="n">
        <v>503.7</v>
      </c>
      <c r="F79" s="13" t="n">
        <v>1.692</v>
      </c>
      <c r="G79" s="11" t="inlineStr">
        <is>
          <t>Running</t>
        </is>
      </c>
      <c r="H79" s="20" t="inlineStr">
        <is>
          <t>Eligible</t>
        </is>
      </c>
      <c r="I79" s="11" t="n">
        <v>61</v>
      </c>
    </row>
    <row r="80">
      <c r="A80" s="32" t="n">
        <v>46038.51736111111</v>
      </c>
      <c r="B80" s="11" t="inlineStr">
        <is>
          <t>L3-0116-04</t>
        </is>
      </c>
      <c r="C80" s="11" t="inlineStr">
        <is>
          <t>Tool B</t>
        </is>
      </c>
      <c r="D80" s="11" t="inlineStr">
        <is>
          <t>No</t>
        </is>
      </c>
      <c r="E80" s="10" t="n">
        <v>503.7</v>
      </c>
      <c r="F80" s="13" t="n">
        <v>1.652</v>
      </c>
      <c r="G80" s="11" t="inlineStr">
        <is>
          <t>Running</t>
        </is>
      </c>
      <c r="H80" s="20" t="inlineStr">
        <is>
          <t>Eligible</t>
        </is>
      </c>
      <c r="I80" s="11" t="n">
        <v>62</v>
      </c>
    </row>
    <row r="81">
      <c r="A81" s="32" t="n">
        <v>46038.60069444445</v>
      </c>
      <c r="B81" s="11" t="inlineStr">
        <is>
          <t>L3-0116-05</t>
        </is>
      </c>
      <c r="C81" s="11" t="inlineStr">
        <is>
          <t>Tool B</t>
        </is>
      </c>
      <c r="D81" s="11" t="inlineStr">
        <is>
          <t>No</t>
        </is>
      </c>
      <c r="E81" s="10" t="n">
        <v>503.1</v>
      </c>
      <c r="F81" s="13" t="n">
        <v>1.682</v>
      </c>
      <c r="G81" s="11" t="inlineStr">
        <is>
          <t>Running</t>
        </is>
      </c>
      <c r="H81" s="20" t="inlineStr">
        <is>
          <t>Eligible</t>
        </is>
      </c>
      <c r="I81" s="11" t="n">
        <v>63</v>
      </c>
    </row>
    <row r="82">
      <c r="A82" s="32" t="n">
        <v>46038.68402777778</v>
      </c>
      <c r="B82" s="11" t="inlineStr">
        <is>
          <t>L3-0116-06</t>
        </is>
      </c>
      <c r="C82" s="11" t="inlineStr">
        <is>
          <t>Tool B</t>
        </is>
      </c>
      <c r="D82" s="11" t="inlineStr">
        <is>
          <t>No</t>
        </is>
      </c>
      <c r="E82" s="10" t="n">
        <v>502.3</v>
      </c>
      <c r="F82" s="13" t="n">
        <v>1.726</v>
      </c>
      <c r="G82" s="11" t="inlineStr">
        <is>
          <t>Running</t>
        </is>
      </c>
      <c r="H82" s="20" t="inlineStr">
        <is>
          <t>Eligible</t>
        </is>
      </c>
      <c r="I82" s="11" t="n">
        <v>64</v>
      </c>
    </row>
    <row r="83">
      <c r="A83" s="32" t="n">
        <v>46041.25694444445</v>
      </c>
      <c r="B83" s="11" t="inlineStr">
        <is>
          <t>L3-0119-01</t>
        </is>
      </c>
      <c r="C83" s="11" t="inlineStr">
        <is>
          <t>Tool B</t>
        </is>
      </c>
      <c r="D83" s="11" t="inlineStr">
        <is>
          <t>Yes</t>
        </is>
      </c>
      <c r="E83" s="10" t="n">
        <v>500.7</v>
      </c>
      <c r="F83" s="13" t="n">
        <v>1.621</v>
      </c>
      <c r="G83" s="11" t="inlineStr">
        <is>
          <t>Warm start</t>
        </is>
      </c>
      <c r="H83" s="21" t="inlineStr">
        <is>
          <t>Contextual</t>
        </is>
      </c>
      <c r="I83" s="11" t="n">
        <v>65</v>
      </c>
    </row>
    <row r="84">
      <c r="A84" s="32" t="n">
        <v>46041.35069444445</v>
      </c>
      <c r="B84" s="11" t="inlineStr">
        <is>
          <t>L3-0119-02</t>
        </is>
      </c>
      <c r="C84" s="11" t="inlineStr">
        <is>
          <t>Tool B</t>
        </is>
      </c>
      <c r="D84" s="11" t="inlineStr">
        <is>
          <t>No</t>
        </is>
      </c>
      <c r="E84" s="10" t="n">
        <v>503.8</v>
      </c>
      <c r="F84" s="13" t="n">
        <v>1.706</v>
      </c>
      <c r="G84" s="11" t="inlineStr">
        <is>
          <t>Running</t>
        </is>
      </c>
      <c r="H84" s="20" t="inlineStr">
        <is>
          <t>Eligible</t>
        </is>
      </c>
      <c r="I84" s="11" t="n">
        <v>66</v>
      </c>
    </row>
    <row r="85">
      <c r="A85" s="32" t="n">
        <v>46041.43402777778</v>
      </c>
      <c r="B85" s="11" t="inlineStr">
        <is>
          <t>L3-0119-03</t>
        </is>
      </c>
      <c r="C85" s="11" t="inlineStr">
        <is>
          <t>Tool B</t>
        </is>
      </c>
      <c r="D85" s="11" t="inlineStr">
        <is>
          <t>No</t>
        </is>
      </c>
      <c r="E85" s="10" t="n">
        <v>503.5</v>
      </c>
      <c r="F85" s="13" t="n">
        <v>1.657</v>
      </c>
      <c r="G85" s="11" t="inlineStr">
        <is>
          <t>Running</t>
        </is>
      </c>
      <c r="H85" s="20" t="inlineStr">
        <is>
          <t>Eligible</t>
        </is>
      </c>
      <c r="I85" s="11" t="n">
        <v>67</v>
      </c>
    </row>
    <row r="86">
      <c r="A86" s="32" t="n">
        <v>46041.51736111111</v>
      </c>
      <c r="B86" s="11" t="inlineStr">
        <is>
          <t>L3-0119-04</t>
        </is>
      </c>
      <c r="C86" s="11" t="inlineStr">
        <is>
          <t>Tool B</t>
        </is>
      </c>
      <c r="D86" s="11" t="inlineStr">
        <is>
          <t>No</t>
        </is>
      </c>
      <c r="E86" s="10" t="n">
        <v>502.5</v>
      </c>
      <c r="F86" s="13" t="n">
        <v>1.669</v>
      </c>
      <c r="G86" s="11" t="inlineStr">
        <is>
          <t>Running</t>
        </is>
      </c>
      <c r="H86" s="20" t="inlineStr">
        <is>
          <t>Eligible</t>
        </is>
      </c>
      <c r="I86" s="11" t="n">
        <v>68</v>
      </c>
    </row>
    <row r="87">
      <c r="A87" s="32" t="n">
        <v>46041.60069444445</v>
      </c>
      <c r="B87" s="11" t="inlineStr">
        <is>
          <t>L3-0119-05</t>
        </is>
      </c>
      <c r="C87" s="11" t="inlineStr">
        <is>
          <t>Tool B</t>
        </is>
      </c>
      <c r="D87" s="11" t="inlineStr">
        <is>
          <t>No</t>
        </is>
      </c>
      <c r="E87" s="10" t="n">
        <v>502.6</v>
      </c>
      <c r="F87" s="13" t="n">
        <v>1.72</v>
      </c>
      <c r="G87" s="11" t="inlineStr">
        <is>
          <t>Running</t>
        </is>
      </c>
      <c r="H87" s="20" t="inlineStr">
        <is>
          <t>Eligible</t>
        </is>
      </c>
      <c r="I87" s="11" t="n">
        <v>69</v>
      </c>
    </row>
    <row r="88">
      <c r="A88" s="32" t="n">
        <v>46041.68402777778</v>
      </c>
      <c r="B88" s="11" t="inlineStr">
        <is>
          <t>L3-0119-06</t>
        </is>
      </c>
      <c r="C88" s="11" t="inlineStr">
        <is>
          <t>Tool B</t>
        </is>
      </c>
      <c r="D88" s="11" t="inlineStr">
        <is>
          <t>No</t>
        </is>
      </c>
      <c r="E88" s="10" t="n">
        <v>503.2</v>
      </c>
      <c r="F88" s="13" t="n">
        <v>1.716</v>
      </c>
      <c r="G88" s="11" t="inlineStr">
        <is>
          <t>Running</t>
        </is>
      </c>
      <c r="H88" s="20" t="inlineStr">
        <is>
          <t>Eligible</t>
        </is>
      </c>
      <c r="I88" s="11" t="n">
        <v>70</v>
      </c>
    </row>
    <row r="89">
      <c r="A89" s="32" t="n">
        <v>46042.25694444445</v>
      </c>
      <c r="B89" s="11" t="inlineStr">
        <is>
          <t>L3-0120-01</t>
        </is>
      </c>
      <c r="C89" s="11" t="inlineStr">
        <is>
          <t>Tool B</t>
        </is>
      </c>
      <c r="D89" s="11" t="inlineStr">
        <is>
          <t>Yes</t>
        </is>
      </c>
      <c r="E89" s="10" t="n">
        <v>501.3</v>
      </c>
      <c r="F89" s="13" t="n">
        <v>1.613</v>
      </c>
      <c r="G89" s="11" t="inlineStr">
        <is>
          <t>Warm start</t>
        </is>
      </c>
      <c r="H89" s="21" t="inlineStr">
        <is>
          <t>Contextual</t>
        </is>
      </c>
      <c r="I89" s="11" t="n">
        <v>71</v>
      </c>
    </row>
    <row r="90">
      <c r="A90" s="32" t="n">
        <v>46042.35069444445</v>
      </c>
      <c r="B90" s="11" t="inlineStr">
        <is>
          <t>L3-0120-02</t>
        </is>
      </c>
      <c r="C90" s="11" t="inlineStr">
        <is>
          <t>Tool B</t>
        </is>
      </c>
      <c r="D90" s="11" t="inlineStr">
        <is>
          <t>No</t>
        </is>
      </c>
      <c r="E90" s="10" t="n">
        <v>503.2</v>
      </c>
      <c r="F90" s="13" t="n">
        <v>1.666</v>
      </c>
      <c r="G90" s="11" t="inlineStr">
        <is>
          <t>Running</t>
        </is>
      </c>
      <c r="H90" s="20" t="inlineStr">
        <is>
          <t>Eligible</t>
        </is>
      </c>
      <c r="I90" s="11" t="n">
        <v>72</v>
      </c>
    </row>
    <row r="91">
      <c r="A91" s="32" t="n">
        <v>46042.43402777778</v>
      </c>
      <c r="B91" s="11" t="inlineStr">
        <is>
          <t>L3-0120-03</t>
        </is>
      </c>
      <c r="C91" s="11" t="inlineStr">
        <is>
          <t>Tool B</t>
        </is>
      </c>
      <c r="D91" s="11" t="inlineStr">
        <is>
          <t>No</t>
        </is>
      </c>
      <c r="E91" s="10" t="n">
        <v>502.4</v>
      </c>
      <c r="F91" s="13" t="n">
        <v>1.658</v>
      </c>
      <c r="G91" s="11" t="inlineStr">
        <is>
          <t>Running</t>
        </is>
      </c>
      <c r="H91" s="20" t="inlineStr">
        <is>
          <t>Eligible</t>
        </is>
      </c>
      <c r="I91" s="11" t="n">
        <v>73</v>
      </c>
    </row>
    <row r="92">
      <c r="A92" s="32" t="n">
        <v>46042.51736111111</v>
      </c>
      <c r="B92" s="11" t="inlineStr">
        <is>
          <t>L3-0120-04</t>
        </is>
      </c>
      <c r="C92" s="11" t="inlineStr">
        <is>
          <t>Tool B</t>
        </is>
      </c>
      <c r="D92" s="11" t="inlineStr">
        <is>
          <t>No</t>
        </is>
      </c>
      <c r="E92" s="10" t="n">
        <v>502.6</v>
      </c>
      <c r="F92" s="13" t="n">
        <v>1.709</v>
      </c>
      <c r="G92" s="11" t="inlineStr">
        <is>
          <t>Running</t>
        </is>
      </c>
      <c r="H92" s="20" t="inlineStr">
        <is>
          <t>Eligible</t>
        </is>
      </c>
      <c r="I92" s="11" t="n">
        <v>74</v>
      </c>
    </row>
    <row r="93">
      <c r="A93" s="32" t="n">
        <v>46042.60069444445</v>
      </c>
      <c r="B93" s="11" t="inlineStr">
        <is>
          <t>L3-0120-05</t>
        </is>
      </c>
      <c r="C93" s="11" t="inlineStr">
        <is>
          <t>Tool B</t>
        </is>
      </c>
      <c r="D93" s="11" t="inlineStr">
        <is>
          <t>No</t>
        </is>
      </c>
      <c r="E93" s="10" t="n">
        <v>503.8</v>
      </c>
      <c r="F93" s="13" t="n">
        <v>1.725</v>
      </c>
      <c r="G93" s="11" t="inlineStr">
        <is>
          <t>Running</t>
        </is>
      </c>
      <c r="H93" s="20" t="inlineStr">
        <is>
          <t>Eligible</t>
        </is>
      </c>
      <c r="I93" s="11" t="n">
        <v>75</v>
      </c>
    </row>
    <row r="94">
      <c r="A94" s="32" t="n">
        <v>46042.68402777778</v>
      </c>
      <c r="B94" s="11" t="inlineStr">
        <is>
          <t>L3-0120-06</t>
        </is>
      </c>
      <c r="C94" s="11" t="inlineStr">
        <is>
          <t>Tool B</t>
        </is>
      </c>
      <c r="D94" s="11" t="inlineStr">
        <is>
          <t>No</t>
        </is>
      </c>
      <c r="E94" s="10" t="n">
        <v>503.8</v>
      </c>
      <c r="F94" s="13" t="n">
        <v>1.677</v>
      </c>
      <c r="G94" s="11" t="inlineStr">
        <is>
          <t>Running</t>
        </is>
      </c>
      <c r="H94" s="20" t="inlineStr">
        <is>
          <t>Eligible</t>
        </is>
      </c>
      <c r="I94" s="11" t="n">
        <v>76</v>
      </c>
    </row>
    <row r="95">
      <c r="A95" s="32" t="n">
        <v>46043.25694444445</v>
      </c>
      <c r="B95" s="11" t="inlineStr">
        <is>
          <t>L3-0121-01</t>
        </is>
      </c>
      <c r="C95" s="11" t="inlineStr">
        <is>
          <t>Tool B</t>
        </is>
      </c>
      <c r="D95" s="11" t="inlineStr">
        <is>
          <t>Yes</t>
        </is>
      </c>
      <c r="E95" s="10" t="n">
        <v>500.5</v>
      </c>
      <c r="F95" s="13" t="n">
        <v>1.574</v>
      </c>
      <c r="G95" s="11" t="inlineStr">
        <is>
          <t>Warm start</t>
        </is>
      </c>
      <c r="H95" s="21" t="inlineStr">
        <is>
          <t>Contextual</t>
        </is>
      </c>
      <c r="I95" s="11" t="n">
        <v>77</v>
      </c>
    </row>
    <row r="96">
      <c r="A96" s="32" t="n">
        <v>46043.35069444445</v>
      </c>
      <c r="B96" s="11" t="inlineStr">
        <is>
          <t>L3-0121-02</t>
        </is>
      </c>
      <c r="C96" s="11" t="inlineStr">
        <is>
          <t>Tool B</t>
        </is>
      </c>
      <c r="D96" s="11" t="inlineStr">
        <is>
          <t>No</t>
        </is>
      </c>
      <c r="E96" s="10" t="n">
        <v>502.3</v>
      </c>
      <c r="F96" s="13" t="n">
        <v>1.653</v>
      </c>
      <c r="G96" s="11" t="inlineStr">
        <is>
          <t>Running</t>
        </is>
      </c>
      <c r="H96" s="20" t="inlineStr">
        <is>
          <t>Eligible</t>
        </is>
      </c>
      <c r="I96" s="11" t="n">
        <v>78</v>
      </c>
    </row>
    <row r="97">
      <c r="A97" s="32" t="n">
        <v>46043.43402777778</v>
      </c>
      <c r="B97" s="11" t="inlineStr">
        <is>
          <t>L3-0121-03</t>
        </is>
      </c>
      <c r="C97" s="11" t="inlineStr">
        <is>
          <t>Tool B</t>
        </is>
      </c>
      <c r="D97" s="11" t="inlineStr">
        <is>
          <t>No</t>
        </is>
      </c>
      <c r="E97" s="10" t="n">
        <v>502.9</v>
      </c>
      <c r="F97" s="13" t="n">
        <v>1.695</v>
      </c>
      <c r="G97" s="11" t="inlineStr">
        <is>
          <t>Running</t>
        </is>
      </c>
      <c r="H97" s="20" t="inlineStr">
        <is>
          <t>Eligible</t>
        </is>
      </c>
      <c r="I97" s="11" t="n">
        <v>79</v>
      </c>
    </row>
    <row r="98">
      <c r="A98" s="32" t="n">
        <v>46043.51736111111</v>
      </c>
      <c r="B98" s="11" t="inlineStr">
        <is>
          <t>L3-0121-04</t>
        </is>
      </c>
      <c r="C98" s="11" t="inlineStr">
        <is>
          <t>Tool B</t>
        </is>
      </c>
      <c r="D98" s="11" t="inlineStr">
        <is>
          <t>No</t>
        </is>
      </c>
      <c r="E98" s="10" t="n">
        <v>503.7</v>
      </c>
      <c r="F98" s="13" t="n">
        <v>1.728</v>
      </c>
      <c r="G98" s="11" t="inlineStr">
        <is>
          <t>Running</t>
        </is>
      </c>
      <c r="H98" s="20" t="inlineStr">
        <is>
          <t>Eligible</t>
        </is>
      </c>
      <c r="I98" s="11" t="n">
        <v>80</v>
      </c>
    </row>
    <row r="99">
      <c r="A99" s="32" t="n">
        <v>46043.60069444445</v>
      </c>
      <c r="B99" s="11" t="inlineStr">
        <is>
          <t>L3-0121-05</t>
        </is>
      </c>
      <c r="C99" s="11" t="inlineStr">
        <is>
          <t>Tool B</t>
        </is>
      </c>
      <c r="D99" s="11" t="inlineStr">
        <is>
          <t>No</t>
        </is>
      </c>
      <c r="E99" s="10" t="n">
        <v>503.9</v>
      </c>
      <c r="F99" s="13" t="n">
        <v>1.691</v>
      </c>
      <c r="G99" s="11" t="inlineStr">
        <is>
          <t>Running</t>
        </is>
      </c>
      <c r="H99" s="20" t="inlineStr">
        <is>
          <t>Eligible</t>
        </is>
      </c>
      <c r="I99" s="11" t="n">
        <v>81</v>
      </c>
    </row>
    <row r="100">
      <c r="A100" s="32" t="n">
        <v>46043.68402777778</v>
      </c>
      <c r="B100" s="11" t="inlineStr">
        <is>
          <t>L3-0121-06</t>
        </is>
      </c>
      <c r="C100" s="11" t="inlineStr">
        <is>
          <t>Tool B</t>
        </is>
      </c>
      <c r="D100" s="11" t="inlineStr">
        <is>
          <t>No</t>
        </is>
      </c>
      <c r="E100" s="10" t="n">
        <v>502.7</v>
      </c>
      <c r="F100" s="13" t="n">
        <v>1.652</v>
      </c>
      <c r="G100" s="11" t="inlineStr">
        <is>
          <t>Running</t>
        </is>
      </c>
      <c r="H100" s="20" t="inlineStr">
        <is>
          <t>Eligible</t>
        </is>
      </c>
      <c r="I100" s="11" t="n">
        <v>82</v>
      </c>
    </row>
    <row r="101">
      <c r="A101" s="32" t="n">
        <v>46044.25694444445</v>
      </c>
      <c r="B101" s="11" t="inlineStr">
        <is>
          <t>L3-0122-01</t>
        </is>
      </c>
      <c r="C101" s="11" t="inlineStr">
        <is>
          <t>Tool B</t>
        </is>
      </c>
      <c r="D101" s="11" t="inlineStr">
        <is>
          <t>Yes</t>
        </is>
      </c>
      <c r="E101" s="10" t="n">
        <v>499.8</v>
      </c>
      <c r="F101" s="13" t="n">
        <v>1.548</v>
      </c>
      <c r="G101" s="11" t="inlineStr">
        <is>
          <t>Warm start</t>
        </is>
      </c>
      <c r="H101" s="21" t="inlineStr">
        <is>
          <t>Contextual</t>
        </is>
      </c>
      <c r="I101" s="11" t="n">
        <v>83</v>
      </c>
    </row>
    <row r="102">
      <c r="A102" s="32" t="n">
        <v>46044.35069444445</v>
      </c>
      <c r="B102" s="11" t="inlineStr">
        <is>
          <t>L3-0122-02</t>
        </is>
      </c>
      <c r="C102" s="11" t="inlineStr">
        <is>
          <t>Tool B</t>
        </is>
      </c>
      <c r="D102" s="11" t="inlineStr">
        <is>
          <t>No</t>
        </is>
      </c>
      <c r="E102" s="10" t="n">
        <v>503.2</v>
      </c>
      <c r="F102" s="13" t="n">
        <v>1.681</v>
      </c>
      <c r="G102" s="11" t="inlineStr">
        <is>
          <t>Running</t>
        </is>
      </c>
      <c r="H102" s="20" t="inlineStr">
        <is>
          <t>Eligible</t>
        </is>
      </c>
      <c r="I102" s="11" t="n">
        <v>84</v>
      </c>
    </row>
    <row r="103">
      <c r="A103" s="32" t="n">
        <v>46044.43402777778</v>
      </c>
      <c r="B103" s="11" t="inlineStr">
        <is>
          <t>L3-0122-03</t>
        </is>
      </c>
      <c r="C103" s="11" t="inlineStr">
        <is>
          <t>Tool B</t>
        </is>
      </c>
      <c r="D103" s="11" t="inlineStr">
        <is>
          <t>No</t>
        </is>
      </c>
      <c r="E103" s="10" t="n">
        <v>503.8</v>
      </c>
      <c r="F103" s="13" t="n">
        <v>1.726</v>
      </c>
      <c r="G103" s="11" t="inlineStr">
        <is>
          <t>Running</t>
        </is>
      </c>
      <c r="H103" s="20" t="inlineStr">
        <is>
          <t>Eligible</t>
        </is>
      </c>
      <c r="I103" s="11" t="n">
        <v>85</v>
      </c>
    </row>
    <row r="104">
      <c r="A104" s="32" t="n">
        <v>46044.51736111111</v>
      </c>
      <c r="B104" s="11" t="inlineStr">
        <is>
          <t>L3-0122-04</t>
        </is>
      </c>
      <c r="C104" s="11" t="inlineStr">
        <is>
          <t>Tool B</t>
        </is>
      </c>
      <c r="D104" s="11" t="inlineStr">
        <is>
          <t>No</t>
        </is>
      </c>
      <c r="E104" s="10" t="n">
        <v>503.4</v>
      </c>
      <c r="F104" s="13" t="n">
        <v>1.705</v>
      </c>
      <c r="G104" s="11" t="inlineStr">
        <is>
          <t>Running</t>
        </is>
      </c>
      <c r="H104" s="20" t="inlineStr">
        <is>
          <t>Eligible</t>
        </is>
      </c>
      <c r="I104" s="11" t="n">
        <v>86</v>
      </c>
    </row>
    <row r="105">
      <c r="A105" s="32" t="n">
        <v>46044.60069444445</v>
      </c>
      <c r="B105" s="11" t="inlineStr">
        <is>
          <t>L3-0122-05</t>
        </is>
      </c>
      <c r="C105" s="11" t="inlineStr">
        <is>
          <t>Tool B</t>
        </is>
      </c>
      <c r="D105" s="11" t="inlineStr">
        <is>
          <t>No</t>
        </is>
      </c>
      <c r="E105" s="10" t="n">
        <v>502.7</v>
      </c>
      <c r="F105" s="13" t="n">
        <v>1.656</v>
      </c>
      <c r="G105" s="11" t="inlineStr">
        <is>
          <t>Running</t>
        </is>
      </c>
      <c r="H105" s="20" t="inlineStr">
        <is>
          <t>Eligible</t>
        </is>
      </c>
      <c r="I105" s="11" t="n">
        <v>87</v>
      </c>
    </row>
    <row r="106">
      <c r="A106" s="32" t="n">
        <v>46044.68402777778</v>
      </c>
      <c r="B106" s="11" t="inlineStr">
        <is>
          <t>L3-0122-06</t>
        </is>
      </c>
      <c r="C106" s="11" t="inlineStr">
        <is>
          <t>Tool B</t>
        </is>
      </c>
      <c r="D106" s="11" t="inlineStr">
        <is>
          <t>No</t>
        </is>
      </c>
      <c r="E106" s="10" t="n">
        <v>502.4</v>
      </c>
      <c r="F106" s="13" t="n">
        <v>1.669</v>
      </c>
      <c r="G106" s="11" t="inlineStr">
        <is>
          <t>Running</t>
        </is>
      </c>
      <c r="H106" s="20" t="inlineStr">
        <is>
          <t>Eligible</t>
        </is>
      </c>
      <c r="I106" s="11" t="n">
        <v>88</v>
      </c>
    </row>
    <row r="107">
      <c r="A107" s="32" t="n">
        <v>46045.25694444445</v>
      </c>
      <c r="B107" s="11" t="inlineStr">
        <is>
          <t>L3-0123-01</t>
        </is>
      </c>
      <c r="C107" s="11" t="inlineStr">
        <is>
          <t>Tool B</t>
        </is>
      </c>
      <c r="D107" s="11" t="inlineStr">
        <is>
          <t>Yes</t>
        </is>
      </c>
      <c r="E107" s="10" t="n">
        <v>501.1</v>
      </c>
      <c r="F107" s="13" t="n">
        <v>1.563</v>
      </c>
      <c r="G107" s="11" t="inlineStr">
        <is>
          <t>Warm start</t>
        </is>
      </c>
      <c r="H107" s="21" t="inlineStr">
        <is>
          <t>Contextual</t>
        </is>
      </c>
      <c r="I107" s="11" t="n">
        <v>89</v>
      </c>
    </row>
    <row r="108">
      <c r="A108" s="32" t="n">
        <v>46045.35069444445</v>
      </c>
      <c r="B108" s="11" t="inlineStr">
        <is>
          <t>L3-0123-02</t>
        </is>
      </c>
      <c r="C108" s="11" t="inlineStr">
        <is>
          <t>Tool B</t>
        </is>
      </c>
      <c r="D108" s="11" t="inlineStr">
        <is>
          <t>No</t>
        </is>
      </c>
      <c r="E108" s="10" t="n">
        <v>503.8</v>
      </c>
      <c r="F108" s="13" t="n">
        <v>1.719</v>
      </c>
      <c r="G108" s="11" t="inlineStr">
        <is>
          <t>Running</t>
        </is>
      </c>
      <c r="H108" s="20" t="inlineStr">
        <is>
          <t>Eligible</t>
        </is>
      </c>
      <c r="I108" s="11" t="n">
        <v>90</v>
      </c>
    </row>
    <row r="109">
      <c r="A109" s="32" t="n">
        <v>46045.43402777778</v>
      </c>
      <c r="B109" s="11" t="inlineStr">
        <is>
          <t>L3-0123-03</t>
        </is>
      </c>
      <c r="C109" s="11" t="inlineStr">
        <is>
          <t>Tool B</t>
        </is>
      </c>
      <c r="D109" s="11" t="inlineStr">
        <is>
          <t>No</t>
        </is>
      </c>
      <c r="E109" s="10" t="n">
        <v>503.1</v>
      </c>
      <c r="F109" s="13" t="n">
        <v>1.717</v>
      </c>
      <c r="G109" s="11" t="inlineStr">
        <is>
          <t>Running</t>
        </is>
      </c>
      <c r="H109" s="20" t="inlineStr">
        <is>
          <t>Eligible</t>
        </is>
      </c>
      <c r="I109" s="11" t="n">
        <v>91</v>
      </c>
    </row>
    <row r="110">
      <c r="A110" s="32" t="n">
        <v>46045.51736111111</v>
      </c>
      <c r="B110" s="11" t="inlineStr">
        <is>
          <t>L3-0123-04</t>
        </is>
      </c>
      <c r="C110" s="11" t="inlineStr">
        <is>
          <t>Tool B</t>
        </is>
      </c>
      <c r="D110" s="11" t="inlineStr">
        <is>
          <t>No</t>
        </is>
      </c>
      <c r="E110" s="10" t="n">
        <v>502.3</v>
      </c>
      <c r="F110" s="13" t="n">
        <v>1.666</v>
      </c>
      <c r="G110" s="11" t="inlineStr">
        <is>
          <t>Running</t>
        </is>
      </c>
      <c r="H110" s="20" t="inlineStr">
        <is>
          <t>Eligible</t>
        </is>
      </c>
      <c r="I110" s="11" t="n">
        <v>92</v>
      </c>
    </row>
    <row r="111">
      <c r="A111" s="32" t="n">
        <v>46045.60069444445</v>
      </c>
      <c r="B111" s="11" t="inlineStr">
        <is>
          <t>L3-0123-05</t>
        </is>
      </c>
      <c r="C111" s="11" t="inlineStr">
        <is>
          <t>Tool B</t>
        </is>
      </c>
      <c r="D111" s="11" t="inlineStr">
        <is>
          <t>No</t>
        </is>
      </c>
      <c r="E111" s="10" t="n">
        <v>502.9</v>
      </c>
      <c r="F111" s="13" t="n">
        <v>1.659</v>
      </c>
      <c r="G111" s="11" t="inlineStr">
        <is>
          <t>Running</t>
        </is>
      </c>
      <c r="H111" s="20" t="inlineStr">
        <is>
          <t>Eligible</t>
        </is>
      </c>
      <c r="I111" s="11" t="n">
        <v>93</v>
      </c>
    </row>
    <row r="112">
      <c r="A112" s="32" t="n">
        <v>46045.68402777778</v>
      </c>
      <c r="B112" s="11" t="inlineStr">
        <is>
          <t>L3-0123-06</t>
        </is>
      </c>
      <c r="C112" s="11" t="inlineStr">
        <is>
          <t>Tool B</t>
        </is>
      </c>
      <c r="D112" s="11" t="inlineStr">
        <is>
          <t>No</t>
        </is>
      </c>
      <c r="E112" s="10" t="n">
        <v>503.6</v>
      </c>
      <c r="F112" s="13" t="n">
        <v>1.709</v>
      </c>
      <c r="G112" s="11" t="inlineStr">
        <is>
          <t>Running</t>
        </is>
      </c>
      <c r="H112" s="20" t="inlineStr">
        <is>
          <t>Eligible</t>
        </is>
      </c>
      <c r="I112" s="11" t="n">
        <v>94</v>
      </c>
    </row>
  </sheetData>
  <sheetProtection selectLockedCells="1" selectUnlockedCells="0" sheet="1" objects="0" insertRows="1" insertHyperlinks="1" autoFilter="1" scenarios="0" formatColumns="1" deleteColumns="1" insertColumns="1" pivotTables="1" deleteRows="1" formatCells="1" formatRows="1" sort="1"/>
  <mergeCells count="10">
    <mergeCell ref="G9"/>
    <mergeCell ref="A5:G6"/>
    <mergeCell ref="A1:G1"/>
    <mergeCell ref="A21:G21"/>
    <mergeCell ref="A4:G4"/>
    <mergeCell ref="A2:G2"/>
    <mergeCell ref="A16:G16"/>
    <mergeCell ref="D13:G13"/>
    <mergeCell ref="A11:G11"/>
    <mergeCell ref="D14:G14"/>
  </mergeCells>
  <pageMargins left="0.75" right="0.75" top="1" bottom="1" header="0.5" footer="0.5"/>
  <pageSetup orientation="landscape" fitToHeight="0" fitToWidth="1"/>
  <headerFooter>
    <oddHeader/>
    <oddFooter>&amp;C&amp;BLine 3 Operator Alert &amp; Reaction Plan&amp;B | Evidence key | Rev 0 — review 30-Jan-2026 |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2026-08-20T18:50:30Z</dcterms:created>
  <dcterms:modified xmlns:dcterms="http://purl.org/dc/terms/" xmlns:xsi="http://www.w3.org/2001/XMLSchema-instance" xsi:type="dcterms:W3CDTF">2026-08-20T18:50:30Z</dcterms:modified>
</cp:coreProperties>
</file>