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 model" sheetId="1" state="visible" r:id="rId3"/>
  </sheets>
  <definedNames>
    <definedName function="false" hidden="false" localSheetId="0" name="_xlnm.Print_Titles" vbProcedure="false">'Decision model'!$1:$8</definedName>
    <definedName function="false" hidden="true" localSheetId="0" name="_xlnm._FilterDatabase" vbProcedure="false">'Decision model'!$B$8:$G$15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<sst xmlns="http://schemas.openxmlformats.org/spreadsheetml/2006/main" count="136" uniqueCount="113">
  <si>
    <t xml:space="preserve">Everstead Group | options &amp; assumptions model</t>
  </si>
  <si>
    <t xml:space="preserve">Internal decision support — assessed 12 June 2025 | Source: everstead_case_notes.docx</t>
  </si>
  <si>
    <t xml:space="preserve">Selected option (formula-driven):</t>
  </si>
  <si>
    <t xml:space="preserve">1. SUPPLIED FACTS — extracted from case notes (not scenario assumptions)</t>
  </si>
  <si>
    <t xml:space="preserve">Input</t>
  </si>
  <si>
    <t xml:space="preserve">Value</t>
  </si>
  <si>
    <t xml:space="preserve">Status</t>
  </si>
  <si>
    <t xml:space="preserve">Source wording / arithmetic</t>
  </si>
  <si>
    <t xml:space="preserve">Decision use</t>
  </si>
  <si>
    <t xml:space="preserve">Units in scope</t>
  </si>
  <si>
    <t xml:space="preserve">Fixed fact</t>
  </si>
  <si>
    <t xml:space="preserve">18 units across three dispatch lots</t>
  </si>
  <si>
    <t xml:space="preserve">Impact baseline</t>
  </si>
  <si>
    <t xml:space="preserve">Reconciled units</t>
  </si>
  <si>
    <t xml:space="preserve">11 reconciled to authorised destinations</t>
  </si>
  <si>
    <t xml:space="preserve">Unaccounted units</t>
  </si>
  <si>
    <t xml:space="preserve">Derived fact</t>
  </si>
  <si>
    <t xml:space="preserve">18 − 11 = 7</t>
  </si>
  <si>
    <t xml:space="preserve">Replacement exposure</t>
  </si>
  <si>
    <t xml:space="preserve">Client recorded replacement exposure</t>
  </si>
  <si>
    <t xml:space="preserve">Record position</t>
  </si>
  <si>
    <t xml:space="preserve">No named perpetrator or completed offence established</t>
  </si>
  <si>
    <t xml:space="preserve">Case notes current record position</t>
  </si>
  <si>
    <t xml:space="preserve">No immediate identity disclosure basis</t>
  </si>
  <si>
    <t xml:space="preserve">Active concern</t>
  </si>
  <si>
    <t xml:space="preserve">Access permission active through scheduled collection on 16 June</t>
  </si>
  <si>
    <t xml:space="preserve">Last known event: 4 June</t>
  </si>
  <si>
    <t xml:space="preserve">Requires timely, proportionate control</t>
  </si>
  <si>
    <t xml:space="preserve">Evidence status</t>
  </si>
  <si>
    <t xml:space="preserve">Second-hand interview account; badge overlap; common exception code</t>
  </si>
  <si>
    <t xml:space="preserve">Records do not establish handling/redirection</t>
  </si>
  <si>
    <t xml:space="preserve">Lead/intelligence to preserve and test</t>
  </si>
  <si>
    <t xml:space="preserve">2. PLANNING ASSUMPTIONS — transparent scenario inputs, not case facts</t>
  </si>
  <si>
    <t xml:space="preserve">Criterion</t>
  </si>
  <si>
    <t xml:space="preserve">Weight (1–5)</t>
  </si>
  <si>
    <t xml:space="preserve">Rapid targeted interviews rating (1–5)</t>
  </si>
  <si>
    <t xml:space="preserve">Staged intelligence-led rating (1–5)</t>
  </si>
  <si>
    <t xml:space="preserve">Why this assumption matters</t>
  </si>
  <si>
    <t xml:space="preserve">Scale</t>
  </si>
  <si>
    <t xml:space="preserve">Speed to initial account</t>
  </si>
  <si>
    <t xml:space="preserve">Rapid questioning is likely quicker; staged work still starts preservation now.</t>
  </si>
  <si>
    <t xml:space="preserve">1 low / 5 high</t>
  </si>
  <si>
    <t xml:space="preserve">Evidence quality / provenance</t>
  </si>
  <si>
    <t xml:space="preserve">Preserving and comparing original records before a person-specific step improves auditability.</t>
  </si>
  <si>
    <t xml:space="preserve">1 weak / 5 strong</t>
  </si>
  <si>
    <t xml:space="preserve">Fairness / reviewability</t>
  </si>
  <si>
    <t xml:space="preserve">Early interview on a second-hand account carries a higher avoidable fairness risk.</t>
  </si>
  <si>
    <t xml:space="preserve">Client confidence over time</t>
  </si>
  <si>
    <t xml:space="preserve">A candid reset may be slower but reduces risk of an unsupported disclosure.</t>
  </si>
  <si>
    <t xml:space="preserve">Operational control</t>
  </si>
  <si>
    <t xml:space="preserve">Both can address the 16 Jun concern; staged route requires custody review now.</t>
  </si>
  <si>
    <t xml:space="preserve">Rework / escalation resilience</t>
  </si>
  <si>
    <t xml:space="preserve">Premature action may require repair; documented gating reduces rework.</t>
  </si>
  <si>
    <t xml:space="preserve">3. OPTION COMPARISON — formulas use the assumptions above</t>
  </si>
  <si>
    <t xml:space="preserve">Option</t>
  </si>
  <si>
    <t xml:space="preserve">Speed</t>
  </si>
  <si>
    <t xml:space="preserve">Evidence / fairness</t>
  </si>
  <si>
    <t xml:space="preserve">Client / disclosure</t>
  </si>
  <si>
    <t xml:space="preserve">Operational effect</t>
  </si>
  <si>
    <t xml:space="preserve">Principal downside</t>
  </si>
  <si>
    <t xml:space="preserve">Rapid targeted interviews</t>
  </si>
  <si>
    <t xml:space="preserve">Initial accounts quickly; may disrupt concern.</t>
  </si>
  <si>
    <t xml:space="preserve">Lead may develop, but allegation not cured; recollection/alerting risk.</t>
  </si>
  <si>
    <t xml:space="preserve">Pressure for names; risk of premature disclosure/adverse action.</t>
  </si>
  <si>
    <t xml:space="preserve">Potential immediate disruption.</t>
  </si>
  <si>
    <t xml:space="preserve">Unfair or unreliable process; rework and harm if allegation is misused.</t>
  </si>
  <si>
    <t xml:space="preserve">Staged intelligence-led investigation</t>
  </si>
  <si>
    <t xml:space="preserve">Preserve now; evidence checkpoint by 13 June.</t>
  </si>
  <si>
    <t xml:space="preserve">Records tested for provenance, timing and alternative explanations.</t>
  </si>
  <si>
    <t xml:space="preserve">Status update rather than unsupported name.</t>
  </si>
  <si>
    <t xml:space="preserve">Control assessment before 16 June collection.</t>
  </si>
  <si>
    <t xml:space="preserve">Exposure if control/review drifts or records cannot be secured.</t>
  </si>
  <si>
    <t xml:space="preserve">4. AUDITABLE SCENARIO OUTPUT — selected result is connected to formula comparison</t>
  </si>
  <si>
    <t xml:space="preserve">Weighted score</t>
  </si>
  <si>
    <t xml:space="preserve">Formula / result</t>
  </si>
  <si>
    <t xml:space="preserve">Projection label</t>
  </si>
  <si>
    <t xml:space="preserve">Assumption-based score / 105</t>
  </si>
  <si>
    <t xml:space="preserve">Comparable scenario result</t>
  </si>
  <si>
    <t xml:space="preserve">Projection only</t>
  </si>
  <si>
    <t xml:space="preserve">Model rationale</t>
  </si>
  <si>
    <t xml:space="preserve">Staged score is expected to lead because integrity, fairness and resilience are weighted more heavily than immediate speed.</t>
  </si>
  <si>
    <t xml:space="preserve">Do not use model score as proof or a legal threshold.</t>
  </si>
  <si>
    <t xml:space="preserve">Recommendation support only</t>
  </si>
  <si>
    <t xml:space="preserve">Professional scenario</t>
  </si>
  <si>
    <t xml:space="preserve">5. NON-NEGOTIABLE DECISION GATES / AUTHORISATION</t>
  </si>
  <si>
    <t xml:space="preserve">Control / owner</t>
  </si>
  <si>
    <t xml:space="preserve">Required action</t>
  </si>
  <si>
    <t xml:space="preserve">Timing / stop condition</t>
  </si>
  <si>
    <t xml:space="preserve">Karin Sheridan — decision owner</t>
  </si>
  <si>
    <t xml:space="preserve">Authorise staged posture; review preserved material and necessity for a person-specific step.</t>
  </si>
  <si>
    <t xml:space="preserve">By 16:00 Fri 13 Jun. HOLD interview, disclosure, adverse action or guilt conclusion if only allegation + badge overlap, or fairness/integrity is not assured.</t>
  </si>
  <si>
    <t xml:space="preserve">Authorised</t>
  </si>
  <si>
    <t xml:space="preserve">Records custodian — role owner</t>
  </si>
  <si>
    <t xml:space="preserve">Preserve original CB-EXC ledger, relevant access records, interview note and metadata; log source, collector, access and copies. Assess existing operational arrangements for 16 Jun.</t>
  </si>
  <si>
    <t xml:space="preserve">By 12:00 Fri 13 Jun. Escalate if record/control cannot be secured.</t>
  </si>
  <si>
    <t xml:space="preserve">Chidi Trevelyan — client liaison</t>
  </si>
  <si>
    <t xml:space="preserve">Reset promise: status/safeguarding update only; no suspected identity without substantiated, necessary and appropriately authorised basis.</t>
  </si>
  <si>
    <t xml:space="preserve">By 13:00 Fri 13 Jun. Log contact; refer challenge to Karin and HR/Legal.</t>
  </si>
  <si>
    <t xml:space="preserve">Evidence / disclosure gate</t>
  </si>
  <si>
    <t xml:space="preserve">No identity disclosure, disciplinary/adverse action or guilt conclusion based solely on second-hand allegation or access overlap. Need independently verified/corroborated material relevant to the proposed step; obtain HR/Legal advice where applicable.</t>
  </si>
  <si>
    <t xml:space="preserve">Applies now and through any escalation.</t>
  </si>
  <si>
    <t xml:space="preserve">Mandatory</t>
  </si>
  <si>
    <t xml:space="preserve">Fairness / jurisdiction</t>
  </si>
  <si>
    <t xml:space="preserve">Any later interview: impartial questions, opportunity to respond, reliable record, appropriate HR advice/representation safeguards. Private inquiry has no automatic police powers. Apply UK GDPR / DPA 2018 principles: lawful, fair, proportionate, minimised, need-to-know.</t>
  </si>
  <si>
    <t xml:space="preserve">Before any person-specific step.</t>
  </si>
  <si>
    <t xml:space="preserve">6. CHANGED OPERATING POSITION</t>
  </si>
  <si>
    <t xml:space="preserve">From</t>
  </si>
  <si>
    <t xml:space="preserve">“Share suspected staff identities quickly.”</t>
  </si>
  <si>
    <t xml:space="preserve">Prior client expectation recorded in case notes.</t>
  </si>
  <si>
    <t xml:space="preserve">To</t>
  </si>
  <si>
    <t xml:space="preserve">“Preserve and test intelligence; give Everstead a status update only; hold identities, adverse action and conclusions behind corroboration, necessity and authority gate.”</t>
  </si>
  <si>
    <t xml:space="preserve">Selected operating position.</t>
  </si>
  <si>
    <t xml:space="preserve">Model note: edit only the yellow planning ratings/weights to test a scenario. Fixed facts and mandatory gates are not score inputs.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</si>
</sst>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£#,##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B5B"/>
      <name val="Cambria"/>
      <family val="0"/>
      <charset val="1"/>
    </font>
    <font>
      <i val="true"/>
      <sz val="10"/>
      <color rgb="FF5C6975"/>
      <name val="Cambria"/>
      <family val="0"/>
      <charset val="1"/>
    </font>
    <font>
      <b val="true"/>
      <sz val="11"/>
      <color rgb="FF183B5B"/>
      <name val="Cambria"/>
      <family val="0"/>
      <charset val="1"/>
    </font>
    <font>
      <b val="true"/>
      <sz val="11"/>
      <color rgb="FF3D7A5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202B33"/>
      <name val="Cambria"/>
      <family val="0"/>
      <charset val="1"/>
    </font>
    <font>
      <i val="true"/>
      <sz val="9"/>
      <color rgb="FF5C6975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AF2F5"/>
        <bgColor rgb="FFF7F9FB"/>
      </patternFill>
    </fill>
    <fill>
      <patternFill patternType="solid">
        <fgColor rgb="FF183B5B"/>
        <bgColor rgb="FF202B33"/>
      </patternFill>
    </fill>
    <fill>
      <patternFill patternType="solid">
        <fgColor rgb="FF147D8D"/>
        <bgColor rgb="FF008080"/>
      </patternFill>
    </fill>
    <fill>
      <patternFill patternType="solid">
        <fgColor rgb="FFF7F9FB"/>
        <bgColor rgb="FFFFFFFF"/>
      </patternFill>
    </fill>
    <fill>
      <patternFill patternType="solid">
        <fgColor rgb="FFFFF5DC"/>
        <bgColor rgb="FFF7F9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7D8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B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7D8D"/>
      <rgbColor rgb="FFC0C0C0"/>
      <rgbColor rgb="FF808080"/>
      <rgbColor rgb="FF9999FF"/>
      <rgbColor rgb="FF993366"/>
      <rgbColor rgb="FFFFF5DC"/>
      <rgbColor rgb="FFEAF2F5"/>
      <rgbColor rgb="FF660066"/>
      <rgbColor rgb="FFFF8080"/>
      <rgbColor rgb="FF0066CC"/>
      <rgbColor rgb="FFC8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975"/>
      <rgbColor rgb="FF969696"/>
      <rgbColor rgb="FF183B5B"/>
      <rgbColor rgb="FF3D7A54"/>
      <rgbColor rgb="FF003300"/>
      <rgbColor rgb="FF333300"/>
      <rgbColor rgb="FF993300"/>
      <rgbColor rgb="FF993366"/>
      <rgbColor rgb="FF333399"/>
      <rgbColor rgb="FF202B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31"/>
    <col collapsed="false" customWidth="true" hidden="false" outlineLevel="0" max="5" min="4" style="0" width="22"/>
    <col collapsed="false" customWidth="true" hidden="false" outlineLevel="0" max="6" min="6" style="0" width="25"/>
    <col collapsed="false" customWidth="true" hidden="false" outlineLevel="0" max="7" min="7" style="0" width="22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</row>
    <row r="2" customFormat="false" ht="20.1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15" hidden="false" customHeight="false" outlineLevel="0" collapsed="false">
      <c r="B4" s="1"/>
      <c r="C4" s="1"/>
      <c r="D4" s="1"/>
      <c r="E4" s="1"/>
      <c r="F4" s="1"/>
      <c r="G4" s="1"/>
    </row>
    <row r="5" customFormat="false" ht="15" hidden="false" customHeight="true" outlineLevel="0" collapsed="false">
      <c r="B5" s="4" t="s">
        <v>2</v>
      </c>
      <c r="C5" s="4"/>
      <c r="D5" s="5" t="str">
        <f aca="false">IF(C34&gt;C33,"Staged intelligence-led investigation","Rapid targeted interviews")</f>
        <v>Staged intelligence-led investigation</v>
      </c>
      <c r="E5" s="5"/>
      <c r="F5" s="5"/>
      <c r="G5" s="5"/>
    </row>
    <row r="6" customFormat="false" ht="15" hidden="false" customHeight="false" outlineLevel="0" collapsed="false">
      <c r="B6" s="1"/>
      <c r="C6" s="1"/>
      <c r="D6" s="1"/>
      <c r="E6" s="1"/>
      <c r="F6" s="1"/>
      <c r="G6" s="1"/>
    </row>
    <row r="7" customFormat="false" ht="19.5" hidden="false" customHeight="true" outlineLevel="0" collapsed="false">
      <c r="B7" s="6" t="s">
        <v>3</v>
      </c>
      <c r="C7" s="6"/>
      <c r="D7" s="6"/>
      <c r="E7" s="6"/>
      <c r="F7" s="6"/>
      <c r="G7" s="6"/>
    </row>
    <row r="8" customFormat="false" ht="30" hidden="false" customHeight="true" outlineLevel="0" collapsed="false"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7"/>
    </row>
    <row r="9" customFormat="false" ht="30" hidden="false" customHeight="true" outlineLevel="0" collapsed="false">
      <c r="B9" s="8" t="s">
        <v>9</v>
      </c>
      <c r="C9" s="9" t="n">
        <v>18</v>
      </c>
      <c r="D9" s="8" t="s">
        <v>10</v>
      </c>
      <c r="E9" s="8" t="s">
        <v>11</v>
      </c>
      <c r="F9" s="8" t="s">
        <v>12</v>
      </c>
      <c r="G9" s="8"/>
    </row>
    <row r="10" customFormat="false" ht="30" hidden="false" customHeight="true" outlineLevel="0" collapsed="false">
      <c r="B10" s="8" t="s">
        <v>13</v>
      </c>
      <c r="C10" s="9" t="n">
        <v>11</v>
      </c>
      <c r="D10" s="8" t="s">
        <v>10</v>
      </c>
      <c r="E10" s="8" t="s">
        <v>14</v>
      </c>
      <c r="F10" s="8" t="s">
        <v>12</v>
      </c>
      <c r="G10" s="8"/>
    </row>
    <row r="11" customFormat="false" ht="30" hidden="false" customHeight="true" outlineLevel="0" collapsed="false">
      <c r="B11" s="8" t="s">
        <v>15</v>
      </c>
      <c r="C11" s="9" t="n">
        <f aca="false">C9-C10</f>
        <v>7</v>
      </c>
      <c r="D11" s="8" t="s">
        <v>16</v>
      </c>
      <c r="E11" s="8" t="s">
        <v>17</v>
      </c>
      <c r="F11" s="8" t="s">
        <v>12</v>
      </c>
      <c r="G11" s="8"/>
    </row>
    <row r="12" customFormat="false" ht="30" hidden="false" customHeight="true" outlineLevel="0" collapsed="false">
      <c r="B12" s="8" t="s">
        <v>18</v>
      </c>
      <c r="C12" s="10" t="n">
        <v>31800</v>
      </c>
      <c r="D12" s="8" t="s">
        <v>10</v>
      </c>
      <c r="E12" s="8" t="s">
        <v>19</v>
      </c>
      <c r="F12" s="8" t="s">
        <v>12</v>
      </c>
      <c r="G12" s="8"/>
    </row>
    <row r="13" customFormat="false" ht="30" hidden="false" customHeight="true" outlineLevel="0" collapsed="false">
      <c r="B13" s="8" t="s">
        <v>20</v>
      </c>
      <c r="C13" s="8" t="s">
        <v>21</v>
      </c>
      <c r="D13" s="8" t="s">
        <v>10</v>
      </c>
      <c r="E13" s="8" t="s">
        <v>22</v>
      </c>
      <c r="F13" s="8" t="s">
        <v>23</v>
      </c>
      <c r="G13" s="8"/>
    </row>
    <row r="14" customFormat="false" ht="30" hidden="false" customHeight="true" outlineLevel="0" collapsed="false">
      <c r="B14" s="8" t="s">
        <v>24</v>
      </c>
      <c r="C14" s="8" t="s">
        <v>25</v>
      </c>
      <c r="D14" s="8" t="s">
        <v>10</v>
      </c>
      <c r="E14" s="8" t="s">
        <v>26</v>
      </c>
      <c r="F14" s="8" t="s">
        <v>27</v>
      </c>
      <c r="G14" s="8"/>
    </row>
    <row r="15" customFormat="false" ht="30" hidden="false" customHeight="true" outlineLevel="0" collapsed="false">
      <c r="B15" s="8" t="s">
        <v>28</v>
      </c>
      <c r="C15" s="8" t="s">
        <v>29</v>
      </c>
      <c r="D15" s="8" t="s">
        <v>10</v>
      </c>
      <c r="E15" s="8" t="s">
        <v>30</v>
      </c>
      <c r="F15" s="8" t="s">
        <v>31</v>
      </c>
      <c r="G15" s="8"/>
    </row>
    <row r="16" customFormat="false" ht="15" hidden="false" customHeight="false" outlineLevel="0" collapsed="false">
      <c r="B16" s="1"/>
      <c r="C16" s="1"/>
      <c r="D16" s="1"/>
      <c r="E16" s="1"/>
      <c r="F16" s="1"/>
      <c r="G16" s="1"/>
    </row>
    <row r="17" customFormat="false" ht="19.5" hidden="false" customHeight="true" outlineLevel="0" collapsed="false">
      <c r="B17" s="6" t="s">
        <v>32</v>
      </c>
      <c r="C17" s="6"/>
      <c r="D17" s="6"/>
      <c r="E17" s="6"/>
      <c r="F17" s="6"/>
      <c r="G17" s="6"/>
    </row>
    <row r="18" customFormat="false" ht="30" hidden="false" customHeight="true" outlineLevel="0" collapsed="false">
      <c r="B18" s="7" t="s">
        <v>33</v>
      </c>
      <c r="C18" s="7" t="s">
        <v>34</v>
      </c>
      <c r="D18" s="7" t="s">
        <v>35</v>
      </c>
      <c r="E18" s="7" t="s">
        <v>36</v>
      </c>
      <c r="F18" s="7" t="s">
        <v>37</v>
      </c>
      <c r="G18" s="7" t="s">
        <v>38</v>
      </c>
    </row>
    <row r="19" customFormat="false" ht="30" hidden="false" customHeight="true" outlineLevel="0" collapsed="false">
      <c r="B19" s="11" t="s">
        <v>39</v>
      </c>
      <c r="C19" s="11" t="n">
        <v>3</v>
      </c>
      <c r="D19" s="11" t="n">
        <v>5</v>
      </c>
      <c r="E19" s="11" t="n">
        <v>3</v>
      </c>
      <c r="F19" s="11" t="s">
        <v>40</v>
      </c>
      <c r="G19" s="11" t="s">
        <v>41</v>
      </c>
    </row>
    <row r="20" customFormat="false" ht="30" hidden="false" customHeight="true" outlineLevel="0" collapsed="false">
      <c r="B20" s="8" t="s">
        <v>42</v>
      </c>
      <c r="C20" s="8" t="n">
        <v>4</v>
      </c>
      <c r="D20" s="8" t="n">
        <v>2</v>
      </c>
      <c r="E20" s="8" t="n">
        <v>5</v>
      </c>
      <c r="F20" s="8" t="s">
        <v>43</v>
      </c>
      <c r="G20" s="8" t="s">
        <v>44</v>
      </c>
    </row>
    <row r="21" customFormat="false" ht="30" hidden="false" customHeight="true" outlineLevel="0" collapsed="false">
      <c r="B21" s="11" t="s">
        <v>45</v>
      </c>
      <c r="C21" s="11" t="n">
        <v>4</v>
      </c>
      <c r="D21" s="11" t="n">
        <v>2</v>
      </c>
      <c r="E21" s="11" t="n">
        <v>5</v>
      </c>
      <c r="F21" s="11" t="s">
        <v>46</v>
      </c>
      <c r="G21" s="11" t="s">
        <v>44</v>
      </c>
    </row>
    <row r="22" customFormat="false" ht="30" hidden="false" customHeight="true" outlineLevel="0" collapsed="false">
      <c r="B22" s="8" t="s">
        <v>47</v>
      </c>
      <c r="C22" s="8" t="n">
        <v>3</v>
      </c>
      <c r="D22" s="8" t="n">
        <v>3</v>
      </c>
      <c r="E22" s="8" t="n">
        <v>4</v>
      </c>
      <c r="F22" s="8" t="s">
        <v>48</v>
      </c>
      <c r="G22" s="8" t="s">
        <v>44</v>
      </c>
    </row>
    <row r="23" customFormat="false" ht="30" hidden="false" customHeight="true" outlineLevel="0" collapsed="false">
      <c r="B23" s="11" t="s">
        <v>49</v>
      </c>
      <c r="C23" s="11" t="n">
        <v>4</v>
      </c>
      <c r="D23" s="11" t="n">
        <v>4</v>
      </c>
      <c r="E23" s="11" t="n">
        <v>4</v>
      </c>
      <c r="F23" s="11" t="s">
        <v>50</v>
      </c>
      <c r="G23" s="11" t="s">
        <v>44</v>
      </c>
    </row>
    <row r="24" customFormat="false" ht="30" hidden="false" customHeight="true" outlineLevel="0" collapsed="false">
      <c r="B24" s="8" t="s">
        <v>51</v>
      </c>
      <c r="C24" s="8" t="n">
        <v>3</v>
      </c>
      <c r="D24" s="8" t="n">
        <v>2</v>
      </c>
      <c r="E24" s="8" t="n">
        <v>5</v>
      </c>
      <c r="F24" s="8" t="s">
        <v>52</v>
      </c>
      <c r="G24" s="8" t="s">
        <v>44</v>
      </c>
    </row>
    <row r="25" customFormat="false" ht="15" hidden="false" customHeight="false" outlineLevel="0" collapsed="false">
      <c r="B25" s="1"/>
      <c r="C25" s="1"/>
      <c r="D25" s="1"/>
      <c r="E25" s="1"/>
      <c r="F25" s="1"/>
      <c r="G25" s="1"/>
    </row>
    <row r="26" customFormat="false" ht="19.5" hidden="false" customHeight="true" outlineLevel="0" collapsed="false">
      <c r="B26" s="6" t="s">
        <v>53</v>
      </c>
      <c r="C26" s="6"/>
      <c r="D26" s="6"/>
      <c r="E26" s="6"/>
      <c r="F26" s="6"/>
      <c r="G26" s="6"/>
    </row>
    <row r="27" customFormat="false" ht="30" hidden="false" customHeight="true" outlineLevel="0" collapsed="false">
      <c r="B27" s="7" t="s">
        <v>54</v>
      </c>
      <c r="C27" s="7" t="s">
        <v>55</v>
      </c>
      <c r="D27" s="7" t="s">
        <v>56</v>
      </c>
      <c r="E27" s="7" t="s">
        <v>57</v>
      </c>
      <c r="F27" s="7" t="s">
        <v>58</v>
      </c>
      <c r="G27" s="7" t="s">
        <v>59</v>
      </c>
    </row>
    <row r="28" customFormat="false" ht="30" hidden="false" customHeight="true" outlineLevel="0" collapsed="false">
      <c r="B28" s="8" t="s">
        <v>60</v>
      </c>
      <c r="C28" s="8" t="s">
        <v>61</v>
      </c>
      <c r="D28" s="8" t="s">
        <v>62</v>
      </c>
      <c r="E28" s="8" t="s">
        <v>63</v>
      </c>
      <c r="F28" s="8" t="s">
        <v>64</v>
      </c>
      <c r="G28" s="8" t="s">
        <v>65</v>
      </c>
    </row>
    <row r="29" customFormat="false" ht="30" hidden="false" customHeight="true" outlineLevel="0" collapsed="false">
      <c r="B29" s="8" t="s">
        <v>66</v>
      </c>
      <c r="C29" s="8" t="s">
        <v>67</v>
      </c>
      <c r="D29" s="8" t="s">
        <v>68</v>
      </c>
      <c r="E29" s="8" t="s">
        <v>69</v>
      </c>
      <c r="F29" s="8" t="s">
        <v>70</v>
      </c>
      <c r="G29" s="8" t="s">
        <v>71</v>
      </c>
    </row>
    <row r="30" customFormat="false" ht="15" hidden="false" customHeight="false" outlineLevel="0" collapsed="false">
      <c r="B30" s="1"/>
      <c r="C30" s="1"/>
      <c r="D30" s="1"/>
      <c r="E30" s="1"/>
      <c r="F30" s="1"/>
      <c r="G30" s="1"/>
    </row>
    <row r="31" customFormat="false" ht="19.5" hidden="false" customHeight="true" outlineLevel="0" collapsed="false">
      <c r="B31" s="6" t="s">
        <v>72</v>
      </c>
      <c r="C31" s="6"/>
      <c r="D31" s="6"/>
      <c r="E31" s="6"/>
      <c r="F31" s="6"/>
      <c r="G31" s="6"/>
    </row>
    <row r="32" customFormat="false" ht="30" hidden="false" customHeight="true" outlineLevel="0" collapsed="false">
      <c r="B32" s="7" t="s">
        <v>54</v>
      </c>
      <c r="C32" s="7" t="s">
        <v>73</v>
      </c>
      <c r="D32" s="7" t="s">
        <v>74</v>
      </c>
      <c r="E32" s="7" t="s">
        <v>8</v>
      </c>
      <c r="F32" s="7" t="s">
        <v>75</v>
      </c>
      <c r="G32" s="7"/>
    </row>
    <row r="33" customFormat="false" ht="30" hidden="false" customHeight="true" outlineLevel="0" collapsed="false">
      <c r="B33" s="8" t="s">
        <v>60</v>
      </c>
      <c r="C33" s="12" t="n">
        <f aca="false">SUMPRODUCT($C$19:$C$24,$D$19:$D$24)</f>
        <v>62</v>
      </c>
      <c r="D33" s="8" t="s">
        <v>76</v>
      </c>
      <c r="E33" s="8" t="s">
        <v>77</v>
      </c>
      <c r="F33" s="8" t="s">
        <v>78</v>
      </c>
      <c r="G33" s="8"/>
    </row>
    <row r="34" customFormat="false" ht="30" hidden="false" customHeight="true" outlineLevel="0" collapsed="false">
      <c r="B34" s="8" t="s">
        <v>66</v>
      </c>
      <c r="C34" s="12" t="n">
        <f aca="false">SUMPRODUCT($C$19:$C$24,$E$19:$E$24)</f>
        <v>92</v>
      </c>
      <c r="D34" s="8" t="s">
        <v>76</v>
      </c>
      <c r="E34" s="8" t="s">
        <v>77</v>
      </c>
      <c r="F34" s="8" t="s">
        <v>78</v>
      </c>
      <c r="G34" s="8"/>
    </row>
    <row r="35" customFormat="false" ht="30" hidden="false" customHeight="true" outlineLevel="0" collapsed="false">
      <c r="B35" s="8" t="s">
        <v>79</v>
      </c>
      <c r="C35" s="8" t="s">
        <v>80</v>
      </c>
      <c r="D35" s="8" t="s">
        <v>81</v>
      </c>
      <c r="E35" s="8" t="s">
        <v>82</v>
      </c>
      <c r="F35" s="8" t="s">
        <v>83</v>
      </c>
      <c r="G35" s="8"/>
    </row>
    <row r="36" customFormat="false" ht="15" hidden="false" customHeight="false" outlineLevel="0" collapsed="false">
      <c r="B36" s="1"/>
      <c r="C36" s="1"/>
      <c r="D36" s="1"/>
      <c r="E36" s="1"/>
      <c r="F36" s="1"/>
      <c r="G36" s="1"/>
    </row>
    <row r="37" customFormat="false" ht="19.5" hidden="false" customHeight="true" outlineLevel="0" collapsed="false">
      <c r="B37" s="6" t="s">
        <v>84</v>
      </c>
      <c r="C37" s="6"/>
      <c r="D37" s="6"/>
      <c r="E37" s="6"/>
      <c r="F37" s="6"/>
      <c r="G37" s="6"/>
    </row>
    <row r="38" customFormat="false" ht="30" hidden="false" customHeight="true" outlineLevel="0" collapsed="false">
      <c r="B38" s="7" t="s">
        <v>85</v>
      </c>
      <c r="C38" s="7" t="s">
        <v>86</v>
      </c>
      <c r="D38" s="7" t="s">
        <v>87</v>
      </c>
      <c r="E38" s="7" t="s">
        <v>6</v>
      </c>
      <c r="F38" s="7"/>
      <c r="G38" s="7"/>
    </row>
    <row r="39" customFormat="false" ht="30" hidden="false" customHeight="true" outlineLevel="0" collapsed="false">
      <c r="B39" s="13" t="s">
        <v>88</v>
      </c>
      <c r="C39" s="13" t="s">
        <v>89</v>
      </c>
      <c r="D39" s="13" t="s">
        <v>90</v>
      </c>
      <c r="E39" s="13" t="s">
        <v>91</v>
      </c>
      <c r="F39" s="13"/>
      <c r="G39" s="13"/>
    </row>
    <row r="40" customFormat="false" ht="30" hidden="false" customHeight="true" outlineLevel="0" collapsed="false">
      <c r="B40" s="8" t="s">
        <v>92</v>
      </c>
      <c r="C40" s="8" t="s">
        <v>93</v>
      </c>
      <c r="D40" s="8" t="s">
        <v>94</v>
      </c>
      <c r="E40" s="8" t="s">
        <v>91</v>
      </c>
      <c r="F40" s="8"/>
      <c r="G40" s="8"/>
    </row>
    <row r="41" customFormat="false" ht="30" hidden="false" customHeight="true" outlineLevel="0" collapsed="false">
      <c r="B41" s="13" t="s">
        <v>95</v>
      </c>
      <c r="C41" s="13" t="s">
        <v>96</v>
      </c>
      <c r="D41" s="13" t="s">
        <v>97</v>
      </c>
      <c r="E41" s="13" t="s">
        <v>91</v>
      </c>
      <c r="F41" s="13"/>
      <c r="G41" s="13"/>
    </row>
    <row r="42" customFormat="false" ht="30" hidden="false" customHeight="true" outlineLevel="0" collapsed="false">
      <c r="B42" s="8" t="s">
        <v>98</v>
      </c>
      <c r="C42" s="8" t="s">
        <v>99</v>
      </c>
      <c r="D42" s="8" t="s">
        <v>100</v>
      </c>
      <c r="E42" s="8" t="s">
        <v>101</v>
      </c>
      <c r="F42" s="8"/>
      <c r="G42" s="8"/>
    </row>
    <row r="43" customFormat="false" ht="30" hidden="false" customHeight="true" outlineLevel="0" collapsed="false">
      <c r="B43" s="8" t="s">
        <v>102</v>
      </c>
      <c r="C43" s="8" t="s">
        <v>103</v>
      </c>
      <c r="D43" s="8" t="s">
        <v>104</v>
      </c>
      <c r="E43" s="8" t="s">
        <v>101</v>
      </c>
      <c r="F43" s="8"/>
      <c r="G43" s="8"/>
    </row>
    <row r="44" customFormat="false" ht="15" hidden="false" customHeight="false" outlineLevel="0" collapsed="false">
      <c r="B44" s="1"/>
      <c r="C44" s="1"/>
      <c r="D44" s="1"/>
      <c r="E44" s="1"/>
      <c r="F44" s="1"/>
      <c r="G44" s="1"/>
    </row>
    <row r="45" customFormat="false" ht="19.5" hidden="false" customHeight="true" outlineLevel="0" collapsed="false">
      <c r="B45" s="6" t="s">
        <v>105</v>
      </c>
      <c r="C45" s="6"/>
      <c r="D45" s="6"/>
      <c r="E45" s="6"/>
      <c r="F45" s="6"/>
      <c r="G45" s="6"/>
    </row>
    <row r="46" customFormat="false" ht="30" hidden="false" customHeight="true" outlineLevel="0" collapsed="false">
      <c r="B46" s="13" t="s">
        <v>106</v>
      </c>
      <c r="C46" s="13" t="s">
        <v>107</v>
      </c>
      <c r="D46" s="13" t="s">
        <v>108</v>
      </c>
      <c r="E46" s="13"/>
      <c r="F46" s="13"/>
      <c r="G46" s="13"/>
    </row>
    <row r="47" customFormat="false" ht="30" hidden="false" customHeight="true" outlineLevel="0" collapsed="false">
      <c r="B47" s="14" t="s">
        <v>109</v>
      </c>
      <c r="C47" s="14" t="s">
        <v>110</v>
      </c>
      <c r="D47" s="14" t="s">
        <v>111</v>
      </c>
      <c r="E47" s="14"/>
      <c r="F47" s="14"/>
      <c r="G47" s="14"/>
    </row>
    <row r="48" customFormat="false" ht="15" hidden="false" customHeight="false" outlineLevel="0" collapsed="false">
      <c r="B48" s="1"/>
      <c r="C48" s="1"/>
      <c r="D48" s="1"/>
      <c r="E48" s="1"/>
      <c r="F48" s="1"/>
      <c r="G48" s="1"/>
    </row>
    <row r="49" customFormat="false" ht="15" hidden="false" customHeight="true" outlineLevel="0" collapsed="false">
      <c r="B49" s="15" t="s">
        <v>112</v>
      </c>
      <c r="C49" s="15"/>
      <c r="D49" s="15"/>
      <c r="E49" s="15"/>
      <c r="F49" s="15"/>
      <c r="G49" s="15"/>
    </row>
  </sheetData>
  <autoFilter ref="B8:G15"/>
  <mergeCells count="11">
    <mergeCell ref="B2:G2"/>
    <mergeCell ref="B3:G3"/>
    <mergeCell ref="B5:C5"/>
    <mergeCell ref="D5:G5"/>
    <mergeCell ref="B7:G7"/>
    <mergeCell ref="B17:G17"/>
    <mergeCell ref="B26:G26"/>
    <mergeCell ref="B31:G31"/>
    <mergeCell ref="B37:G37"/>
    <mergeCell ref="B45:G45"/>
    <mergeCell ref="B49:G49"/>
  </mergeCells>
  <conditionalFormatting sqref="C33:C34">
    <cfRule type="colorScale" priority="2">
      <colorScale>
        <cfvo type="min" val="0"/>
        <cfvo type="max" val="0"/>
        <color rgb="FFF7C7C7"/>
        <color rgb="FFC6E0B4"/>
      </colorScale>
    </cfRule>
  </conditionalFormatting>
  <dataValidations count="1">
    <dataValidation allowBlank="false" error="Use an integer from 1 to 5." errorStyle="stop" errorTitle="Allowed range 1–5" operator="between" prompt="Scenario rating only — 1 (low) to 5 (high)." promptTitle="Planning rating" showDropDown="false" showErrorMessage="true" showInputMessage="false" sqref="C19:D2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&amp;CInternal | 12 Jun 2025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2026-08-17T08:19:32Z</dcterms:created>
  <dc:creator>openpyxl</dc:creator>
  <dc:description/>
  <dc:language>en-US</dc:language>
  <cp:lastModifiedBy/>
  <dcterms:modified xsi:type="dcterms:W3CDTF">2026-08-17T08:19:32Z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