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l-off Budget" sheetId="1" state="visible" r:id="rId3"/>
  </sheets>
  <definedNames>
    <definedName function="false" hidden="false" localSheetId="0" name="_xlnm.Print_Area" vbProcedure="false">'Call-off Budget'!$A$1:$L$73</definedName>
    <definedName function="false" hidden="false" localSheetId="0" name="_xlnm.Print_Titles" vbProcedure="false">'Call-off Budget'!$1:$6</definedName>
    <definedName function="false" hidden="true" localSheetId="0" name="_xlnm._FilterDatabase" vbProcedure="false">'Call-off Budget'!$A$6:$L$41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H7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P01;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P02;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P03;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P04;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P05;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P06;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P07;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P08;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P09;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P10;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P11;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P12;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P13;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P14;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P15;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P16;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C01;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C02;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C03;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C04;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C05;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C06;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C07;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C08;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C09;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C10;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C11;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C12;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C13;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C14;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C15;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C16;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9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C17;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C18;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C19; quantity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P01;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P02;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P03;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P04;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P05;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P06;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P07;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P08;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P09;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P10;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P11;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P12;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19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P13;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20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P14;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21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P15;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22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P16;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23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C01;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24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C02;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25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C03;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26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C04;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27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C05;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28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C06;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29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C07;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30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C08;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31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C09;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32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C10;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33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C11;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34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C12;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35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C13;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36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C14;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37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C15;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38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C16;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39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C17;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40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C18;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  <comment ref="I41" authorId="0">
      <text>
        <r>
          <rPr>
            <sz val="10"/>
            <rFont val="DejaVu Sans"/>
            <family val="2"/>
          </rPr>
          <t xml:space="preserve">Loaded from redcliffe_press_control_pack.pdf, Appendix A cost record export. Line C19; rate is editable for a future update.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<sst xmlns="http://schemas.openxmlformats.org/spreadsheetml/2006/main" count="385" uniqueCount="184">
  <si>
    <t xml:space="preserve">Redcliffe Press call-off budget and control checks</t>
  </si>
  <si>
    <t xml:space="preserve">Source controls and update rules</t>
  </si>
  <si>
    <t xml:space="preserve">Source basis: redcliffe_press_control_pack.pdf | as at 20 June 2026 | GBP excluding VAT</t>
  </si>
  <si>
    <t xml:space="preserve">As-of date</t>
  </si>
  <si>
    <t xml:space="preserve">2026-06-20</t>
  </si>
  <si>
    <t xml:space="preserve">Static source date; no external market check</t>
  </si>
  <si>
    <t xml:space="preserve">Pale yellow = source-loaded editable inputs. Pale green = calculated formula. Change Qty or Rate/fixed GBP to update totals and controls.</t>
  </si>
  <si>
    <t xml:space="preserve">Preceding period</t>
  </si>
  <si>
    <t xml:space="preserve">2026-04-01 to 2026-06-30</t>
  </si>
  <si>
    <t xml:space="preserve">PRE label in detailed register</t>
  </si>
  <si>
    <t xml:space="preserve">Period definitions: PRE = 1 Apr-30 Jun 2026; CALL = 1 Jul-30 Sep 2026. Source totals use the local 7.5% contingency reserve convention.</t>
  </si>
  <si>
    <t xml:space="preserve">Call-off period</t>
  </si>
  <si>
    <t xml:space="preserve">2026-07-01 to 2026-09-30</t>
  </si>
  <si>
    <t xml:space="preserve">CALL label in detailed register</t>
  </si>
  <si>
    <t xml:space="preserve">Contingency rate</t>
  </si>
  <si>
    <t xml:space="preserve">Editable source input; applies only to eligible base</t>
  </si>
  <si>
    <t xml:space="preserve">Line ID</t>
  </si>
  <si>
    <t xml:space="preserve">Period</t>
  </si>
  <si>
    <t xml:space="preserve">Month</t>
  </si>
  <si>
    <t xml:space="preserve">Cost category</t>
  </si>
  <si>
    <t xml:space="preserve">Activity class</t>
  </si>
  <si>
    <t xml:space="preserve">Work item</t>
  </si>
  <si>
    <t xml:space="preserve">Unit</t>
  </si>
  <si>
    <t xml:space="preserve">Qty</t>
  </si>
  <si>
    <t xml:space="preserve">Rate / fixed GBP</t>
  </si>
  <si>
    <t xml:space="preserve">Line cost GBP</t>
  </si>
  <si>
    <t xml:space="preserve">Contingency eligible?</t>
  </si>
  <si>
    <t xml:space="preserve">Source trace</t>
  </si>
  <si>
    <t xml:space="preserve">Eligible categories</t>
  </si>
  <si>
    <t xml:space="preserve">Production,Setup,Delivery</t>
  </si>
  <si>
    <t xml:space="preserve">Production, Setup and Delivery</t>
  </si>
  <si>
    <t xml:space="preserve">P01</t>
  </si>
  <si>
    <t xml:space="preserve">PRE</t>
  </si>
  <si>
    <t xml:space="preserve">Apr-26</t>
  </si>
  <si>
    <t xml:space="preserve">Production</t>
  </si>
  <si>
    <t xml:space="preserve">Recurring</t>
  </si>
  <si>
    <t xml:space="preserve">Community Update A5 16pp</t>
  </si>
  <si>
    <t xml:space="preserve">copies</t>
  </si>
  <si>
    <t xml:space="preserve">Control pack Appendix A | P01</t>
  </si>
  <si>
    <t xml:space="preserve">Excluded category</t>
  </si>
  <si>
    <t xml:space="preserve">Pass-through</t>
  </si>
  <si>
    <t xml:space="preserve">Postal distribution pass-through</t>
  </si>
  <si>
    <t xml:space="preserve">P02</t>
  </si>
  <si>
    <t xml:space="preserve">May-26</t>
  </si>
  <si>
    <t xml:space="preserve">Control pack Appendix A | P02</t>
  </si>
  <si>
    <t xml:space="preserve">Material variance %</t>
  </si>
  <si>
    <t xml:space="preserve">Both percentage and GBP threshold apply</t>
  </si>
  <si>
    <t xml:space="preserve">P03</t>
  </si>
  <si>
    <t xml:space="preserve">Jun-26</t>
  </si>
  <si>
    <t xml:space="preserve">Control pack Appendix A | P03</t>
  </si>
  <si>
    <t xml:space="preserve">Material variance GBP</t>
  </si>
  <si>
    <t xml:space="preserve">P04</t>
  </si>
  <si>
    <t xml:space="preserve">Committee papers inserts A4 mono</t>
  </si>
  <si>
    <t xml:space="preserve">Control pack Appendix A | P04</t>
  </si>
  <si>
    <t xml:space="preserve">Call-off ceiling GBP</t>
  </si>
  <si>
    <t xml:space="preserve">Includes the defined contingency reserve</t>
  </si>
  <si>
    <t xml:space="preserve">P05</t>
  </si>
  <si>
    <t xml:space="preserve">Control pack Appendix A | P05</t>
  </si>
  <si>
    <t xml:space="preserve">Source control total</t>
  </si>
  <si>
    <t xml:space="preserve">Control pack financial summary; use for cross-file review</t>
  </si>
  <si>
    <t xml:space="preserve">P06</t>
  </si>
  <si>
    <t xml:space="preserve">Control pack Appendix A | P06</t>
  </si>
  <si>
    <t xml:space="preserve">Zero denominator</t>
  </si>
  <si>
    <t xml:space="preserve">n/a</t>
  </si>
  <si>
    <t xml:space="preserve">Explain a new/specialist line; do not divide by zero</t>
  </si>
  <si>
    <t xml:space="preserve">P07</t>
  </si>
  <si>
    <t xml:space="preserve">Large-print community packs 18pt</t>
  </si>
  <si>
    <t xml:space="preserve">packs</t>
  </si>
  <si>
    <t xml:space="preserve">Control pack Appendix A | P07</t>
  </si>
  <si>
    <t xml:space="preserve">Update owner</t>
  </si>
  <si>
    <t xml:space="preserve">Administrative Services Manager</t>
  </si>
  <si>
    <t xml:space="preserve">Update when scope, quantity, rate, route, release or timing changes</t>
  </si>
  <si>
    <t xml:space="preserve">P08</t>
  </si>
  <si>
    <t xml:space="preserve">Control pack Appendix A | P08</t>
  </si>
  <si>
    <t xml:space="preserve">P09</t>
  </si>
  <si>
    <t xml:space="preserve">Control pack Appendix A | P09</t>
  </si>
  <si>
    <t xml:space="preserve">P10</t>
  </si>
  <si>
    <t xml:space="preserve">Setup</t>
  </si>
  <si>
    <t xml:space="preserve">One-off</t>
  </si>
  <si>
    <t xml:space="preserve">Pre-press and proof PDF package</t>
  </si>
  <si>
    <t xml:space="preserve">fixed</t>
  </si>
  <si>
    <t xml:space="preserve">Control pack Appendix A | P10</t>
  </si>
  <si>
    <t xml:space="preserve">P11</t>
  </si>
  <si>
    <t xml:space="preserve">Delivery</t>
  </si>
  <si>
    <t xml:space="preserve">Council-site delivery slot</t>
  </si>
  <si>
    <t xml:space="preserve">slot</t>
  </si>
  <si>
    <t xml:space="preserve">Control pack Appendix A | P11</t>
  </si>
  <si>
    <t xml:space="preserve">P12</t>
  </si>
  <si>
    <t xml:space="preserve">Control pack Appendix A | P12</t>
  </si>
  <si>
    <t xml:space="preserve">P13</t>
  </si>
  <si>
    <t xml:space="preserve">Control pack Appendix A | P13</t>
  </si>
  <si>
    <t xml:space="preserve">P14</t>
  </si>
  <si>
    <t xml:space="preserve">month</t>
  </si>
  <si>
    <t xml:space="preserve">Control pack Appendix A | P14</t>
  </si>
  <si>
    <t xml:space="preserve">P15</t>
  </si>
  <si>
    <t xml:space="preserve">Control pack Appendix A | P15</t>
  </si>
  <si>
    <t xml:space="preserve">P16</t>
  </si>
  <si>
    <t xml:space="preserve">Control pack Appendix A | P16</t>
  </si>
  <si>
    <t xml:space="preserve">C01</t>
  </si>
  <si>
    <t xml:space="preserve">CALL</t>
  </si>
  <si>
    <t xml:space="preserve">Jul-26</t>
  </si>
  <si>
    <t xml:space="preserve">Control pack Appendix A | C01</t>
  </si>
  <si>
    <t xml:space="preserve">C02</t>
  </si>
  <si>
    <t xml:space="preserve">Aug-26</t>
  </si>
  <si>
    <t xml:space="preserve">Control pack Appendix A | C02</t>
  </si>
  <si>
    <t xml:space="preserve">C03</t>
  </si>
  <si>
    <t xml:space="preserve">Sep-26</t>
  </si>
  <si>
    <t xml:space="preserve">Control pack Appendix A | C03</t>
  </si>
  <si>
    <t xml:space="preserve">C04</t>
  </si>
  <si>
    <t xml:space="preserve">Control pack Appendix A | C04</t>
  </si>
  <si>
    <t xml:space="preserve">C05</t>
  </si>
  <si>
    <t xml:space="preserve">Control pack Appendix A | C05</t>
  </si>
  <si>
    <t xml:space="preserve">C06</t>
  </si>
  <si>
    <t xml:space="preserve">Control pack Appendix A | C06</t>
  </si>
  <si>
    <t xml:space="preserve">C07</t>
  </si>
  <si>
    <t xml:space="preserve">Control pack Appendix A | C07</t>
  </si>
  <si>
    <t xml:space="preserve">C08</t>
  </si>
  <si>
    <t xml:space="preserve">Control pack Appendix A | C08</t>
  </si>
  <si>
    <t xml:space="preserve">C09</t>
  </si>
  <si>
    <t xml:space="preserve">Control pack Appendix A | C09</t>
  </si>
  <si>
    <t xml:space="preserve">C10</t>
  </si>
  <si>
    <t xml:space="preserve">Control pack Appendix A | C10</t>
  </si>
  <si>
    <t xml:space="preserve">C11</t>
  </si>
  <si>
    <t xml:space="preserve">Specialist</t>
  </si>
  <si>
    <t xml:space="preserve">Tactile emergency-route foldout raised-line braille</t>
  </si>
  <si>
    <t xml:space="preserve">Control pack Appendix A | C11</t>
  </si>
  <si>
    <t xml:space="preserve">C12</t>
  </si>
  <si>
    <t xml:space="preserve">Tactile master and braille tooling</t>
  </si>
  <si>
    <t xml:space="preserve">Control pack Appendix A | C12</t>
  </si>
  <si>
    <t xml:space="preserve">C13</t>
  </si>
  <si>
    <t xml:space="preserve">Control pack Appendix A | C13</t>
  </si>
  <si>
    <t xml:space="preserve">C14</t>
  </si>
  <si>
    <t xml:space="preserve">Control pack Appendix A | C14</t>
  </si>
  <si>
    <t xml:space="preserve">C15</t>
  </si>
  <si>
    <t xml:space="preserve">Control pack Appendix A | C15</t>
  </si>
  <si>
    <t xml:space="preserve">C16</t>
  </si>
  <si>
    <t xml:space="preserve">Secure courier tactile foldouts</t>
  </si>
  <si>
    <t xml:space="preserve">journey</t>
  </si>
  <si>
    <t xml:space="preserve">Control pack Appendix A | C16</t>
  </si>
  <si>
    <t xml:space="preserve">C17</t>
  </si>
  <si>
    <t xml:space="preserve">Control pack Appendix A | C17</t>
  </si>
  <si>
    <t xml:space="preserve">C18</t>
  </si>
  <si>
    <t xml:space="preserve">Control pack Appendix A | C18</t>
  </si>
  <si>
    <t xml:space="preserve">C19</t>
  </si>
  <si>
    <t xml:space="preserve">Control pack Appendix A | C19</t>
  </si>
  <si>
    <t xml:space="preserve">Period summary and variance analysis</t>
  </si>
  <si>
    <t xml:space="preserve">Basis</t>
  </si>
  <si>
    <t xml:space="preserve">Preceding period (PRE)</t>
  </si>
  <si>
    <t xml:space="preserve">Call-off period (CALL)</t>
  </si>
  <si>
    <t xml:space="preserve">Variance GBP</t>
  </si>
  <si>
    <t xml:space="preserve">Variance %</t>
  </si>
  <si>
    <t xml:space="preserve">Control interpretation</t>
  </si>
  <si>
    <t xml:space="preserve">Eligible supplier cost: Production + Setup + Delivery</t>
  </si>
  <si>
    <t xml:space="preserve">Supplier cost subtotal</t>
  </si>
  <si>
    <t xml:space="preserve">Excluded from contingency</t>
  </si>
  <si>
    <t xml:space="preserve">Contingency reserve at source rate</t>
  </si>
  <si>
    <t xml:space="preserve">7.5% of eligible supplier cost only</t>
  </si>
  <si>
    <t xml:space="preserve">Period control total</t>
  </si>
  <si>
    <t xml:space="preserve">Call-off control value; not an invoice total</t>
  </si>
  <si>
    <t xml:space="preserve">Approved call-off ceiling</t>
  </si>
  <si>
    <t xml:space="preserve">Source control ceiling including contingency</t>
  </si>
  <si>
    <t xml:space="preserve">Headroom to approved ceiling</t>
  </si>
  <si>
    <t xml:space="preserve">Do not treat as authority for optional scope</t>
  </si>
  <si>
    <t xml:space="preserve">Material variance decision</t>
  </si>
  <si>
    <t xml:space="preserve">Threshold: both 15.0% and GBP 1,000.00</t>
  </si>
  <si>
    <t xml:space="preserve">Monthly control-total roll-up</t>
  </si>
  <si>
    <t xml:space="preserve">Eligible supplier cost</t>
  </si>
  <si>
    <t xml:space="preserve">Contingency</t>
  </si>
  <si>
    <t xml:space="preserve">Control total</t>
  </si>
  <si>
    <t xml:space="preserve">Arithmetic check</t>
  </si>
  <si>
    <t xml:space="preserve">Visible control checks</t>
  </si>
  <si>
    <t xml:space="preserve">Detailed line arithmetic</t>
  </si>
  <si>
    <t xml:space="preserve">Each detail line cost is Qty x Rate/fixed.</t>
  </si>
  <si>
    <t xml:space="preserve">Preceding period roll-up</t>
  </si>
  <si>
    <t xml:space="preserve">Monthly PRE control totals reconcile to summary.</t>
  </si>
  <si>
    <t xml:space="preserve">Call-off period roll-up</t>
  </si>
  <si>
    <t xml:space="preserve">Monthly CALL control totals reconcile to summary.</t>
  </si>
  <si>
    <t xml:space="preserve">Contingency formula</t>
  </si>
  <si>
    <t xml:space="preserve">Rate applies only to eligible supplier cost.</t>
  </si>
  <si>
    <t xml:space="preserve">Source/cross-file control total</t>
  </si>
  <si>
    <t xml:space="preserve">Compare operating plan call-off total to source control total.</t>
  </si>
  <si>
    <t xml:space="preserve">Ceiling/headroom</t>
  </si>
  <si>
    <t xml:space="preserve">Headroom must remain non-negative.</t>
  </si>
  <si>
    <t xml:space="preserve">Notes: This workbook contains source-loaded cost inputs and local control values only. It contains no external links, market estimates, tax, quotation result or supplier commitment. For a changed future input, retain the revised source/approval record with the updated workbook.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</si>
</sst>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.00"/>
    <numFmt numFmtId="167" formatCode="&quot;GBP &quot;#,##0.00"/>
    <numFmt numFmtId="168" formatCode="&quot;GBP &quot;#,##0.00;[RED]&quot;-GBP &quot;#,##0.00"/>
    <numFmt numFmtId="169" formatCode="0.0%;[RED]\-0.0%"/>
    <numFmt numFmtId="170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3B4D"/>
      <name val="Aptos Display"/>
      <family val="0"/>
      <charset val="1"/>
    </font>
    <font>
      <b val="true"/>
      <sz val="8.5"/>
      <color rgb="FFFFFFFF"/>
      <name val="Aptos"/>
      <family val="0"/>
      <charset val="1"/>
    </font>
    <font>
      <i val="true"/>
      <sz val="9"/>
      <color rgb="FF40515D"/>
      <name val="Aptos"/>
      <family val="0"/>
      <charset val="1"/>
    </font>
    <font>
      <b val="true"/>
      <sz val="8.5"/>
      <name val="Aptos"/>
      <family val="0"/>
      <charset val="1"/>
    </font>
    <font>
      <sz val="8"/>
      <name val="Aptos"/>
      <family val="0"/>
      <charset val="1"/>
    </font>
    <font>
      <sz val="8.5"/>
      <color rgb="FF40515D"/>
      <name val="Aptos"/>
      <family val="0"/>
      <charset val="1"/>
    </font>
    <font>
      <sz val="8.5"/>
      <name val="Aptos"/>
      <family val="0"/>
      <charset val="1"/>
    </font>
    <font>
      <sz val="10"/>
      <name val="DejaVu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63"/>
        <bgColor rgb="FF173B4D"/>
      </patternFill>
    </fill>
    <fill>
      <patternFill patternType="solid">
        <fgColor rgb="FFF3F6F8"/>
        <bgColor rgb="FFFFFFFF"/>
      </patternFill>
    </fill>
    <fill>
      <patternFill patternType="solid">
        <fgColor rgb="FFFFFFFF"/>
        <bgColor rgb="FFF3F6F8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D9EAF0"/>
      </patternFill>
    </fill>
    <fill>
      <patternFill patternType="solid">
        <fgColor rgb="FFD9EAF0"/>
        <bgColor rgb="FFDDEBF7"/>
      </patternFill>
    </fill>
    <fill>
      <patternFill patternType="solid">
        <fgColor rgb="FFDDEBF7"/>
        <bgColor rgb="FFD9EAF0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5CC"/>
      </left>
      <right style="thin">
        <color rgb="FFB7C5CC"/>
      </right>
      <top style="thin">
        <color rgb="FFB7C5CC"/>
      </top>
      <bottom style="thin">
        <color rgb="FFB7C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5C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0"/>
      <rgbColor rgb="FFE2F0D9"/>
      <rgbColor rgb="FFF3F6F8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B4D"/>
      <rgbColor rgb="FF339966"/>
      <rgbColor rgb="FF003300"/>
      <rgbColor rgb="FF333300"/>
      <rgbColor rgb="FF993300"/>
      <rgbColor rgb="FF993366"/>
      <rgbColor rgb="FF1F4E63"/>
      <rgbColor rgb="FF40515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5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1" min="10" style="0" width="14"/>
    <col collapsed="false" customWidth="true" hidden="false" outlineLevel="0" max="12" min="12" style="0" width="20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16" min="16" style="0" width="32"/>
    <col collapsed="false" customWidth="true" hidden="false" outlineLevel="0" max="17" min="17" style="0" width="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 t="s">
        <v>1</v>
      </c>
      <c r="O1" s="2"/>
      <c r="P1" s="2"/>
      <c r="Q1" s="2"/>
    </row>
    <row r="2" customFormat="false" ht="1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N2" s="4" t="s">
        <v>3</v>
      </c>
      <c r="O2" s="5" t="s">
        <v>4</v>
      </c>
      <c r="P2" s="5" t="s">
        <v>5</v>
      </c>
      <c r="Q2" s="5"/>
    </row>
    <row r="3" customFormat="false" ht="15" hidden="false" customHeight="true" outlineLevel="0" collapsed="false">
      <c r="A3" s="6" t="s">
        <v>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N3" s="7" t="s">
        <v>7</v>
      </c>
      <c r="O3" s="8" t="s">
        <v>8</v>
      </c>
      <c r="P3" s="8" t="s">
        <v>9</v>
      </c>
      <c r="Q3" s="8"/>
    </row>
    <row r="4" customFormat="false" ht="15" hidden="false" customHeight="true" outlineLevel="0" collapsed="false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N4" s="4" t="s">
        <v>11</v>
      </c>
      <c r="O4" s="5" t="s">
        <v>12</v>
      </c>
      <c r="P4" s="5" t="s">
        <v>13</v>
      </c>
      <c r="Q4" s="5"/>
    </row>
    <row r="5" customFormat="false" ht="15" hidden="false" customHeight="true" outlineLevel="0" collapsed="false">
      <c r="N5" s="7" t="s">
        <v>14</v>
      </c>
      <c r="O5" s="10" t="n">
        <v>0.075</v>
      </c>
      <c r="P5" s="8" t="s">
        <v>15</v>
      </c>
      <c r="Q5" s="8"/>
    </row>
    <row r="6" customFormat="false" ht="31.5" hidden="false" customHeight="true" outlineLevel="0" collapsed="false">
      <c r="A6" s="11" t="s">
        <v>16</v>
      </c>
      <c r="B6" s="11" t="s">
        <v>17</v>
      </c>
      <c r="C6" s="11" t="s">
        <v>18</v>
      </c>
      <c r="D6" s="11" t="s">
        <v>19</v>
      </c>
      <c r="E6" s="11" t="s">
        <v>20</v>
      </c>
      <c r="F6" s="11" t="s">
        <v>21</v>
      </c>
      <c r="G6" s="11" t="s">
        <v>22</v>
      </c>
      <c r="H6" s="11" t="s">
        <v>23</v>
      </c>
      <c r="I6" s="11" t="s">
        <v>24</v>
      </c>
      <c r="J6" s="11" t="s">
        <v>25</v>
      </c>
      <c r="K6" s="11" t="s">
        <v>26</v>
      </c>
      <c r="L6" s="11" t="s">
        <v>27</v>
      </c>
      <c r="N6" s="4" t="s">
        <v>28</v>
      </c>
      <c r="O6" s="5" t="s">
        <v>29</v>
      </c>
      <c r="P6" s="5" t="s">
        <v>30</v>
      </c>
      <c r="Q6" s="5"/>
    </row>
    <row r="7" customFormat="false" ht="19.5" hidden="false" customHeight="true" outlineLevel="0" collapsed="false">
      <c r="A7" s="12" t="s">
        <v>31</v>
      </c>
      <c r="B7" s="12" t="s">
        <v>32</v>
      </c>
      <c r="C7" s="12" t="s">
        <v>33</v>
      </c>
      <c r="D7" s="13" t="s">
        <v>34</v>
      </c>
      <c r="E7" s="13" t="s">
        <v>35</v>
      </c>
      <c r="F7" s="13" t="s">
        <v>36</v>
      </c>
      <c r="G7" s="13" t="s">
        <v>37</v>
      </c>
      <c r="H7" s="14" t="n">
        <v>3250</v>
      </c>
      <c r="I7" s="15" t="n">
        <v>0.4</v>
      </c>
      <c r="J7" s="16" t="n">
        <f aca="false">H7*I7</f>
        <v>1300</v>
      </c>
      <c r="K7" s="17" t="str">
        <f aca="false">IF(OR(D7="Production",D7="Setup",D7="Delivery"),"Yes","No")</f>
        <v>Yes</v>
      </c>
      <c r="L7" s="18" t="s">
        <v>38</v>
      </c>
      <c r="N7" s="7" t="s">
        <v>39</v>
      </c>
      <c r="O7" s="8" t="s">
        <v>40</v>
      </c>
      <c r="P7" s="8" t="s">
        <v>41</v>
      </c>
      <c r="Q7" s="8"/>
    </row>
    <row r="8" customFormat="false" ht="19.5" hidden="false" customHeight="true" outlineLevel="0" collapsed="false">
      <c r="A8" s="12" t="s">
        <v>42</v>
      </c>
      <c r="B8" s="12" t="s">
        <v>32</v>
      </c>
      <c r="C8" s="12" t="s">
        <v>43</v>
      </c>
      <c r="D8" s="13" t="s">
        <v>34</v>
      </c>
      <c r="E8" s="13" t="s">
        <v>35</v>
      </c>
      <c r="F8" s="13" t="s">
        <v>36</v>
      </c>
      <c r="G8" s="13" t="s">
        <v>37</v>
      </c>
      <c r="H8" s="14" t="n">
        <v>3250</v>
      </c>
      <c r="I8" s="15" t="n">
        <v>0.4</v>
      </c>
      <c r="J8" s="16" t="n">
        <f aca="false">H8*I8</f>
        <v>1300</v>
      </c>
      <c r="K8" s="17" t="str">
        <f aca="false">IF(OR(D8="Production",D8="Setup",D8="Delivery"),"Yes","No")</f>
        <v>Yes</v>
      </c>
      <c r="L8" s="18" t="s">
        <v>44</v>
      </c>
      <c r="N8" s="4" t="s">
        <v>45</v>
      </c>
      <c r="O8" s="10" t="n">
        <v>0.15</v>
      </c>
      <c r="P8" s="5" t="s">
        <v>46</v>
      </c>
      <c r="Q8" s="5"/>
    </row>
    <row r="9" customFormat="false" ht="19.5" hidden="false" customHeight="true" outlineLevel="0" collapsed="false">
      <c r="A9" s="12" t="s">
        <v>47</v>
      </c>
      <c r="B9" s="12" t="s">
        <v>32</v>
      </c>
      <c r="C9" s="12" t="s">
        <v>48</v>
      </c>
      <c r="D9" s="13" t="s">
        <v>34</v>
      </c>
      <c r="E9" s="13" t="s">
        <v>35</v>
      </c>
      <c r="F9" s="13" t="s">
        <v>36</v>
      </c>
      <c r="G9" s="13" t="s">
        <v>37</v>
      </c>
      <c r="H9" s="14" t="n">
        <v>3250</v>
      </c>
      <c r="I9" s="15" t="n">
        <v>0.4</v>
      </c>
      <c r="J9" s="16" t="n">
        <f aca="false">H9*I9</f>
        <v>1300</v>
      </c>
      <c r="K9" s="17" t="str">
        <f aca="false">IF(OR(D9="Production",D9="Setup",D9="Delivery"),"Yes","No")</f>
        <v>Yes</v>
      </c>
      <c r="L9" s="18" t="s">
        <v>49</v>
      </c>
      <c r="N9" s="7" t="s">
        <v>50</v>
      </c>
      <c r="O9" s="19" t="n">
        <v>1000</v>
      </c>
      <c r="P9" s="8" t="s">
        <v>46</v>
      </c>
      <c r="Q9" s="8"/>
    </row>
    <row r="10" customFormat="false" ht="19.5" hidden="false" customHeight="true" outlineLevel="0" collapsed="false">
      <c r="A10" s="12" t="s">
        <v>51</v>
      </c>
      <c r="B10" s="12" t="s">
        <v>32</v>
      </c>
      <c r="C10" s="12" t="s">
        <v>33</v>
      </c>
      <c r="D10" s="13" t="s">
        <v>34</v>
      </c>
      <c r="E10" s="13" t="s">
        <v>35</v>
      </c>
      <c r="F10" s="13" t="s">
        <v>52</v>
      </c>
      <c r="G10" s="13" t="s">
        <v>37</v>
      </c>
      <c r="H10" s="14" t="n">
        <v>1000</v>
      </c>
      <c r="I10" s="15" t="n">
        <v>0.08</v>
      </c>
      <c r="J10" s="16" t="n">
        <f aca="false">H10*I10</f>
        <v>80</v>
      </c>
      <c r="K10" s="17" t="str">
        <f aca="false">IF(OR(D10="Production",D10="Setup",D10="Delivery"),"Yes","No")</f>
        <v>Yes</v>
      </c>
      <c r="L10" s="18" t="s">
        <v>53</v>
      </c>
      <c r="N10" s="4" t="s">
        <v>54</v>
      </c>
      <c r="O10" s="19" t="n">
        <v>14000</v>
      </c>
      <c r="P10" s="5" t="s">
        <v>55</v>
      </c>
      <c r="Q10" s="5"/>
    </row>
    <row r="11" customFormat="false" ht="19.5" hidden="false" customHeight="true" outlineLevel="0" collapsed="false">
      <c r="A11" s="12" t="s">
        <v>56</v>
      </c>
      <c r="B11" s="12" t="s">
        <v>32</v>
      </c>
      <c r="C11" s="12" t="s">
        <v>43</v>
      </c>
      <c r="D11" s="13" t="s">
        <v>34</v>
      </c>
      <c r="E11" s="13" t="s">
        <v>35</v>
      </c>
      <c r="F11" s="13" t="s">
        <v>52</v>
      </c>
      <c r="G11" s="13" t="s">
        <v>37</v>
      </c>
      <c r="H11" s="14" t="n">
        <v>1000</v>
      </c>
      <c r="I11" s="15" t="n">
        <v>0.08</v>
      </c>
      <c r="J11" s="16" t="n">
        <f aca="false">H11*I11</f>
        <v>80</v>
      </c>
      <c r="K11" s="17" t="str">
        <f aca="false">IF(OR(D11="Production",D11="Setup",D11="Delivery"),"Yes","No")</f>
        <v>Yes</v>
      </c>
      <c r="L11" s="18" t="s">
        <v>57</v>
      </c>
      <c r="N11" s="7" t="s">
        <v>58</v>
      </c>
      <c r="O11" s="20" t="n">
        <v>13158.1</v>
      </c>
      <c r="P11" s="8" t="s">
        <v>59</v>
      </c>
      <c r="Q11" s="8"/>
    </row>
    <row r="12" customFormat="false" ht="19.5" hidden="false" customHeight="true" outlineLevel="0" collapsed="false">
      <c r="A12" s="12" t="s">
        <v>60</v>
      </c>
      <c r="B12" s="12" t="s">
        <v>32</v>
      </c>
      <c r="C12" s="12" t="s">
        <v>48</v>
      </c>
      <c r="D12" s="13" t="s">
        <v>34</v>
      </c>
      <c r="E12" s="13" t="s">
        <v>35</v>
      </c>
      <c r="F12" s="13" t="s">
        <v>52</v>
      </c>
      <c r="G12" s="13" t="s">
        <v>37</v>
      </c>
      <c r="H12" s="14" t="n">
        <v>1000</v>
      </c>
      <c r="I12" s="15" t="n">
        <v>0.08</v>
      </c>
      <c r="J12" s="16" t="n">
        <f aca="false">H12*I12</f>
        <v>80</v>
      </c>
      <c r="K12" s="17" t="str">
        <f aca="false">IF(OR(D12="Production",D12="Setup",D12="Delivery"),"Yes","No")</f>
        <v>Yes</v>
      </c>
      <c r="L12" s="18" t="s">
        <v>61</v>
      </c>
      <c r="N12" s="4" t="s">
        <v>62</v>
      </c>
      <c r="O12" s="5" t="s">
        <v>63</v>
      </c>
      <c r="P12" s="5" t="s">
        <v>64</v>
      </c>
      <c r="Q12" s="5"/>
    </row>
    <row r="13" customFormat="false" ht="19.5" hidden="false" customHeight="true" outlineLevel="0" collapsed="false">
      <c r="A13" s="12" t="s">
        <v>65</v>
      </c>
      <c r="B13" s="12" t="s">
        <v>32</v>
      </c>
      <c r="C13" s="12" t="s">
        <v>33</v>
      </c>
      <c r="D13" s="13" t="s">
        <v>34</v>
      </c>
      <c r="E13" s="13" t="s">
        <v>35</v>
      </c>
      <c r="F13" s="13" t="s">
        <v>66</v>
      </c>
      <c r="G13" s="13" t="s">
        <v>67</v>
      </c>
      <c r="H13" s="14" t="n">
        <v>30</v>
      </c>
      <c r="I13" s="15" t="n">
        <v>3.4</v>
      </c>
      <c r="J13" s="16" t="n">
        <f aca="false">H13*I13</f>
        <v>102</v>
      </c>
      <c r="K13" s="17" t="str">
        <f aca="false">IF(OR(D13="Production",D13="Setup",D13="Delivery"),"Yes","No")</f>
        <v>Yes</v>
      </c>
      <c r="L13" s="18" t="s">
        <v>68</v>
      </c>
      <c r="N13" s="7" t="s">
        <v>69</v>
      </c>
      <c r="O13" s="8" t="s">
        <v>70</v>
      </c>
      <c r="P13" s="8" t="s">
        <v>71</v>
      </c>
      <c r="Q13" s="8"/>
    </row>
    <row r="14" customFormat="false" ht="19.5" hidden="false" customHeight="true" outlineLevel="0" collapsed="false">
      <c r="A14" s="12" t="s">
        <v>72</v>
      </c>
      <c r="B14" s="12" t="s">
        <v>32</v>
      </c>
      <c r="C14" s="12" t="s">
        <v>43</v>
      </c>
      <c r="D14" s="13" t="s">
        <v>34</v>
      </c>
      <c r="E14" s="13" t="s">
        <v>35</v>
      </c>
      <c r="F14" s="13" t="s">
        <v>66</v>
      </c>
      <c r="G14" s="13" t="s">
        <v>67</v>
      </c>
      <c r="H14" s="14" t="n">
        <v>30</v>
      </c>
      <c r="I14" s="15" t="n">
        <v>3.4</v>
      </c>
      <c r="J14" s="16" t="n">
        <f aca="false">H14*I14</f>
        <v>102</v>
      </c>
      <c r="K14" s="17" t="str">
        <f aca="false">IF(OR(D14="Production",D14="Setup",D14="Delivery"),"Yes","No")</f>
        <v>Yes</v>
      </c>
      <c r="L14" s="18" t="s">
        <v>73</v>
      </c>
    </row>
    <row r="15" customFormat="false" ht="19.5" hidden="false" customHeight="true" outlineLevel="0" collapsed="false">
      <c r="A15" s="12" t="s">
        <v>74</v>
      </c>
      <c r="B15" s="12" t="s">
        <v>32</v>
      </c>
      <c r="C15" s="12" t="s">
        <v>48</v>
      </c>
      <c r="D15" s="13" t="s">
        <v>34</v>
      </c>
      <c r="E15" s="13" t="s">
        <v>35</v>
      </c>
      <c r="F15" s="13" t="s">
        <v>66</v>
      </c>
      <c r="G15" s="13" t="s">
        <v>67</v>
      </c>
      <c r="H15" s="14" t="n">
        <v>30</v>
      </c>
      <c r="I15" s="15" t="n">
        <v>3.4</v>
      </c>
      <c r="J15" s="16" t="n">
        <f aca="false">H15*I15</f>
        <v>102</v>
      </c>
      <c r="K15" s="17" t="str">
        <f aca="false">IF(OR(D15="Production",D15="Setup",D15="Delivery"),"Yes","No")</f>
        <v>Yes</v>
      </c>
      <c r="L15" s="18" t="s">
        <v>75</v>
      </c>
    </row>
    <row r="16" customFormat="false" ht="19.5" hidden="false" customHeight="true" outlineLevel="0" collapsed="false">
      <c r="A16" s="12" t="s">
        <v>76</v>
      </c>
      <c r="B16" s="12" t="s">
        <v>32</v>
      </c>
      <c r="C16" s="12" t="s">
        <v>33</v>
      </c>
      <c r="D16" s="13" t="s">
        <v>77</v>
      </c>
      <c r="E16" s="13" t="s">
        <v>78</v>
      </c>
      <c r="F16" s="13" t="s">
        <v>79</v>
      </c>
      <c r="G16" s="13" t="s">
        <v>80</v>
      </c>
      <c r="H16" s="14" t="n">
        <v>1</v>
      </c>
      <c r="I16" s="15" t="n">
        <v>540</v>
      </c>
      <c r="J16" s="16" t="n">
        <f aca="false">H16*I16</f>
        <v>540</v>
      </c>
      <c r="K16" s="17" t="str">
        <f aca="false">IF(OR(D16="Production",D16="Setup",D16="Delivery"),"Yes","No")</f>
        <v>Yes</v>
      </c>
      <c r="L16" s="18" t="s">
        <v>81</v>
      </c>
    </row>
    <row r="17" customFormat="false" ht="19.5" hidden="false" customHeight="true" outlineLevel="0" collapsed="false">
      <c r="A17" s="12" t="s">
        <v>82</v>
      </c>
      <c r="B17" s="12" t="s">
        <v>32</v>
      </c>
      <c r="C17" s="12" t="s">
        <v>33</v>
      </c>
      <c r="D17" s="13" t="s">
        <v>83</v>
      </c>
      <c r="E17" s="13" t="s">
        <v>35</v>
      </c>
      <c r="F17" s="13" t="s">
        <v>84</v>
      </c>
      <c r="G17" s="13" t="s">
        <v>85</v>
      </c>
      <c r="H17" s="14" t="n">
        <v>1</v>
      </c>
      <c r="I17" s="15" t="n">
        <v>160</v>
      </c>
      <c r="J17" s="16" t="n">
        <f aca="false">H17*I17</f>
        <v>160</v>
      </c>
      <c r="K17" s="17" t="str">
        <f aca="false">IF(OR(D17="Production",D17="Setup",D17="Delivery"),"Yes","No")</f>
        <v>Yes</v>
      </c>
      <c r="L17" s="18" t="s">
        <v>86</v>
      </c>
    </row>
    <row r="18" customFormat="false" ht="19.5" hidden="false" customHeight="true" outlineLevel="0" collapsed="false">
      <c r="A18" s="12" t="s">
        <v>87</v>
      </c>
      <c r="B18" s="12" t="s">
        <v>32</v>
      </c>
      <c r="C18" s="12" t="s">
        <v>43</v>
      </c>
      <c r="D18" s="13" t="s">
        <v>83</v>
      </c>
      <c r="E18" s="13" t="s">
        <v>35</v>
      </c>
      <c r="F18" s="13" t="s">
        <v>84</v>
      </c>
      <c r="G18" s="13" t="s">
        <v>85</v>
      </c>
      <c r="H18" s="14" t="n">
        <v>1</v>
      </c>
      <c r="I18" s="15" t="n">
        <v>160</v>
      </c>
      <c r="J18" s="16" t="n">
        <f aca="false">H18*I18</f>
        <v>160</v>
      </c>
      <c r="K18" s="17" t="str">
        <f aca="false">IF(OR(D18="Production",D18="Setup",D18="Delivery"),"Yes","No")</f>
        <v>Yes</v>
      </c>
      <c r="L18" s="18" t="s">
        <v>88</v>
      </c>
    </row>
    <row r="19" customFormat="false" ht="19.5" hidden="false" customHeight="true" outlineLevel="0" collapsed="false">
      <c r="A19" s="12" t="s">
        <v>89</v>
      </c>
      <c r="B19" s="12" t="s">
        <v>32</v>
      </c>
      <c r="C19" s="12" t="s">
        <v>48</v>
      </c>
      <c r="D19" s="13" t="s">
        <v>83</v>
      </c>
      <c r="E19" s="13" t="s">
        <v>35</v>
      </c>
      <c r="F19" s="13" t="s">
        <v>84</v>
      </c>
      <c r="G19" s="13" t="s">
        <v>85</v>
      </c>
      <c r="H19" s="14" t="n">
        <v>1</v>
      </c>
      <c r="I19" s="15" t="n">
        <v>160</v>
      </c>
      <c r="J19" s="16" t="n">
        <f aca="false">H19*I19</f>
        <v>160</v>
      </c>
      <c r="K19" s="17" t="str">
        <f aca="false">IF(OR(D19="Production",D19="Setup",D19="Delivery"),"Yes","No")</f>
        <v>Yes</v>
      </c>
      <c r="L19" s="18" t="s">
        <v>90</v>
      </c>
    </row>
    <row r="20" customFormat="false" ht="19.5" hidden="false" customHeight="true" outlineLevel="0" collapsed="false">
      <c r="A20" s="12" t="s">
        <v>91</v>
      </c>
      <c r="B20" s="12" t="s">
        <v>32</v>
      </c>
      <c r="C20" s="12" t="s">
        <v>33</v>
      </c>
      <c r="D20" s="13" t="s">
        <v>40</v>
      </c>
      <c r="E20" s="13" t="s">
        <v>35</v>
      </c>
      <c r="F20" s="13" t="s">
        <v>41</v>
      </c>
      <c r="G20" s="13" t="s">
        <v>92</v>
      </c>
      <c r="H20" s="14" t="n">
        <v>1</v>
      </c>
      <c r="I20" s="15" t="n">
        <v>300</v>
      </c>
      <c r="J20" s="16" t="n">
        <f aca="false">H20*I20</f>
        <v>300</v>
      </c>
      <c r="K20" s="17" t="str">
        <f aca="false">IF(OR(D20="Production",D20="Setup",D20="Delivery"),"Yes","No")</f>
        <v>No</v>
      </c>
      <c r="L20" s="18" t="s">
        <v>93</v>
      </c>
    </row>
    <row r="21" customFormat="false" ht="19.5" hidden="false" customHeight="true" outlineLevel="0" collapsed="false">
      <c r="A21" s="12" t="s">
        <v>94</v>
      </c>
      <c r="B21" s="12" t="s">
        <v>32</v>
      </c>
      <c r="C21" s="12" t="s">
        <v>43</v>
      </c>
      <c r="D21" s="13" t="s">
        <v>40</v>
      </c>
      <c r="E21" s="13" t="s">
        <v>35</v>
      </c>
      <c r="F21" s="13" t="s">
        <v>41</v>
      </c>
      <c r="G21" s="13" t="s">
        <v>92</v>
      </c>
      <c r="H21" s="14" t="n">
        <v>1</v>
      </c>
      <c r="I21" s="15" t="n">
        <v>300</v>
      </c>
      <c r="J21" s="16" t="n">
        <f aca="false">H21*I21</f>
        <v>300</v>
      </c>
      <c r="K21" s="17" t="str">
        <f aca="false">IF(OR(D21="Production",D21="Setup",D21="Delivery"),"Yes","No")</f>
        <v>No</v>
      </c>
      <c r="L21" s="18" t="s">
        <v>95</v>
      </c>
    </row>
    <row r="22" customFormat="false" ht="19.5" hidden="false" customHeight="true" outlineLevel="0" collapsed="false">
      <c r="A22" s="12" t="s">
        <v>96</v>
      </c>
      <c r="B22" s="12" t="s">
        <v>32</v>
      </c>
      <c r="C22" s="12" t="s">
        <v>48</v>
      </c>
      <c r="D22" s="13" t="s">
        <v>40</v>
      </c>
      <c r="E22" s="13" t="s">
        <v>35</v>
      </c>
      <c r="F22" s="13" t="s">
        <v>41</v>
      </c>
      <c r="G22" s="13" t="s">
        <v>92</v>
      </c>
      <c r="H22" s="14" t="n">
        <v>1</v>
      </c>
      <c r="I22" s="15" t="n">
        <v>300</v>
      </c>
      <c r="J22" s="16" t="n">
        <f aca="false">H22*I22</f>
        <v>300</v>
      </c>
      <c r="K22" s="17" t="str">
        <f aca="false">IF(OR(D22="Production",D22="Setup",D22="Delivery"),"Yes","No")</f>
        <v>No</v>
      </c>
      <c r="L22" s="18" t="s">
        <v>97</v>
      </c>
    </row>
    <row r="23" customFormat="false" ht="19.5" hidden="false" customHeight="true" outlineLevel="0" collapsed="false">
      <c r="A23" s="12" t="s">
        <v>98</v>
      </c>
      <c r="B23" s="12" t="s">
        <v>99</v>
      </c>
      <c r="C23" s="12" t="s">
        <v>100</v>
      </c>
      <c r="D23" s="13" t="s">
        <v>34</v>
      </c>
      <c r="E23" s="13" t="s">
        <v>35</v>
      </c>
      <c r="F23" s="13" t="s">
        <v>36</v>
      </c>
      <c r="G23" s="13" t="s">
        <v>37</v>
      </c>
      <c r="H23" s="14" t="n">
        <v>4000</v>
      </c>
      <c r="I23" s="15" t="n">
        <v>0.44</v>
      </c>
      <c r="J23" s="16" t="n">
        <f aca="false">H23*I23</f>
        <v>1760</v>
      </c>
      <c r="K23" s="17" t="str">
        <f aca="false">IF(OR(D23="Production",D23="Setup",D23="Delivery"),"Yes","No")</f>
        <v>Yes</v>
      </c>
      <c r="L23" s="18" t="s">
        <v>101</v>
      </c>
    </row>
    <row r="24" customFormat="false" ht="19.5" hidden="false" customHeight="true" outlineLevel="0" collapsed="false">
      <c r="A24" s="12" t="s">
        <v>102</v>
      </c>
      <c r="B24" s="12" t="s">
        <v>99</v>
      </c>
      <c r="C24" s="12" t="s">
        <v>103</v>
      </c>
      <c r="D24" s="13" t="s">
        <v>34</v>
      </c>
      <c r="E24" s="13" t="s">
        <v>35</v>
      </c>
      <c r="F24" s="13" t="s">
        <v>36</v>
      </c>
      <c r="G24" s="13" t="s">
        <v>37</v>
      </c>
      <c r="H24" s="14" t="n">
        <v>4000</v>
      </c>
      <c r="I24" s="15" t="n">
        <v>0.44</v>
      </c>
      <c r="J24" s="16" t="n">
        <f aca="false">H24*I24</f>
        <v>1760</v>
      </c>
      <c r="K24" s="17" t="str">
        <f aca="false">IF(OR(D24="Production",D24="Setup",D24="Delivery"),"Yes","No")</f>
        <v>Yes</v>
      </c>
      <c r="L24" s="18" t="s">
        <v>104</v>
      </c>
    </row>
    <row r="25" customFormat="false" ht="19.5" hidden="false" customHeight="true" outlineLevel="0" collapsed="false">
      <c r="A25" s="12" t="s">
        <v>105</v>
      </c>
      <c r="B25" s="12" t="s">
        <v>99</v>
      </c>
      <c r="C25" s="12" t="s">
        <v>106</v>
      </c>
      <c r="D25" s="13" t="s">
        <v>34</v>
      </c>
      <c r="E25" s="13" t="s">
        <v>35</v>
      </c>
      <c r="F25" s="13" t="s">
        <v>36</v>
      </c>
      <c r="G25" s="13" t="s">
        <v>37</v>
      </c>
      <c r="H25" s="14" t="n">
        <v>4000</v>
      </c>
      <c r="I25" s="15" t="n">
        <v>0.44</v>
      </c>
      <c r="J25" s="16" t="n">
        <f aca="false">H25*I25</f>
        <v>1760</v>
      </c>
      <c r="K25" s="17" t="str">
        <f aca="false">IF(OR(D25="Production",D25="Setup",D25="Delivery"),"Yes","No")</f>
        <v>Yes</v>
      </c>
      <c r="L25" s="18" t="s">
        <v>107</v>
      </c>
    </row>
    <row r="26" customFormat="false" ht="19.5" hidden="false" customHeight="true" outlineLevel="0" collapsed="false">
      <c r="A26" s="12" t="s">
        <v>108</v>
      </c>
      <c r="B26" s="12" t="s">
        <v>99</v>
      </c>
      <c r="C26" s="12" t="s">
        <v>100</v>
      </c>
      <c r="D26" s="13" t="s">
        <v>34</v>
      </c>
      <c r="E26" s="13" t="s">
        <v>35</v>
      </c>
      <c r="F26" s="13" t="s">
        <v>52</v>
      </c>
      <c r="G26" s="13" t="s">
        <v>37</v>
      </c>
      <c r="H26" s="14" t="n">
        <v>1200</v>
      </c>
      <c r="I26" s="15" t="n">
        <v>0.085</v>
      </c>
      <c r="J26" s="16" t="n">
        <f aca="false">H26*I26</f>
        <v>102</v>
      </c>
      <c r="K26" s="17" t="str">
        <f aca="false">IF(OR(D26="Production",D26="Setup",D26="Delivery"),"Yes","No")</f>
        <v>Yes</v>
      </c>
      <c r="L26" s="18" t="s">
        <v>109</v>
      </c>
    </row>
    <row r="27" customFormat="false" ht="19.5" hidden="false" customHeight="true" outlineLevel="0" collapsed="false">
      <c r="A27" s="12" t="s">
        <v>110</v>
      </c>
      <c r="B27" s="12" t="s">
        <v>99</v>
      </c>
      <c r="C27" s="12" t="s">
        <v>103</v>
      </c>
      <c r="D27" s="13" t="s">
        <v>34</v>
      </c>
      <c r="E27" s="13" t="s">
        <v>35</v>
      </c>
      <c r="F27" s="13" t="s">
        <v>52</v>
      </c>
      <c r="G27" s="13" t="s">
        <v>37</v>
      </c>
      <c r="H27" s="14" t="n">
        <v>1200</v>
      </c>
      <c r="I27" s="15" t="n">
        <v>0.085</v>
      </c>
      <c r="J27" s="16" t="n">
        <f aca="false">H27*I27</f>
        <v>102</v>
      </c>
      <c r="K27" s="17" t="str">
        <f aca="false">IF(OR(D27="Production",D27="Setup",D27="Delivery"),"Yes","No")</f>
        <v>Yes</v>
      </c>
      <c r="L27" s="18" t="s">
        <v>111</v>
      </c>
    </row>
    <row r="28" customFormat="false" ht="19.5" hidden="false" customHeight="true" outlineLevel="0" collapsed="false">
      <c r="A28" s="12" t="s">
        <v>112</v>
      </c>
      <c r="B28" s="12" t="s">
        <v>99</v>
      </c>
      <c r="C28" s="12" t="s">
        <v>106</v>
      </c>
      <c r="D28" s="13" t="s">
        <v>34</v>
      </c>
      <c r="E28" s="13" t="s">
        <v>35</v>
      </c>
      <c r="F28" s="13" t="s">
        <v>52</v>
      </c>
      <c r="G28" s="13" t="s">
        <v>37</v>
      </c>
      <c r="H28" s="14" t="n">
        <v>1200</v>
      </c>
      <c r="I28" s="15" t="n">
        <v>0.085</v>
      </c>
      <c r="J28" s="16" t="n">
        <f aca="false">H28*I28</f>
        <v>102</v>
      </c>
      <c r="K28" s="17" t="str">
        <f aca="false">IF(OR(D28="Production",D28="Setup",D28="Delivery"),"Yes","No")</f>
        <v>Yes</v>
      </c>
      <c r="L28" s="18" t="s">
        <v>113</v>
      </c>
    </row>
    <row r="29" customFormat="false" ht="19.5" hidden="false" customHeight="true" outlineLevel="0" collapsed="false">
      <c r="A29" s="12" t="s">
        <v>114</v>
      </c>
      <c r="B29" s="12" t="s">
        <v>99</v>
      </c>
      <c r="C29" s="12" t="s">
        <v>100</v>
      </c>
      <c r="D29" s="13" t="s">
        <v>34</v>
      </c>
      <c r="E29" s="13" t="s">
        <v>35</v>
      </c>
      <c r="F29" s="13" t="s">
        <v>66</v>
      </c>
      <c r="G29" s="13" t="s">
        <v>67</v>
      </c>
      <c r="H29" s="14" t="n">
        <v>40</v>
      </c>
      <c r="I29" s="15" t="n">
        <v>3.6</v>
      </c>
      <c r="J29" s="16" t="n">
        <f aca="false">H29*I29</f>
        <v>144</v>
      </c>
      <c r="K29" s="17" t="str">
        <f aca="false">IF(OR(D29="Production",D29="Setup",D29="Delivery"),"Yes","No")</f>
        <v>Yes</v>
      </c>
      <c r="L29" s="18" t="s">
        <v>115</v>
      </c>
    </row>
    <row r="30" customFormat="false" ht="19.5" hidden="false" customHeight="true" outlineLevel="0" collapsed="false">
      <c r="A30" s="12" t="s">
        <v>116</v>
      </c>
      <c r="B30" s="12" t="s">
        <v>99</v>
      </c>
      <c r="C30" s="12" t="s">
        <v>103</v>
      </c>
      <c r="D30" s="13" t="s">
        <v>34</v>
      </c>
      <c r="E30" s="13" t="s">
        <v>35</v>
      </c>
      <c r="F30" s="13" t="s">
        <v>66</v>
      </c>
      <c r="G30" s="13" t="s">
        <v>67</v>
      </c>
      <c r="H30" s="14" t="n">
        <v>40</v>
      </c>
      <c r="I30" s="15" t="n">
        <v>3.6</v>
      </c>
      <c r="J30" s="16" t="n">
        <f aca="false">H30*I30</f>
        <v>144</v>
      </c>
      <c r="K30" s="17" t="str">
        <f aca="false">IF(OR(D30="Production",D30="Setup",D30="Delivery"),"Yes","No")</f>
        <v>Yes</v>
      </c>
      <c r="L30" s="18" t="s">
        <v>117</v>
      </c>
    </row>
    <row r="31" customFormat="false" ht="19.5" hidden="false" customHeight="true" outlineLevel="0" collapsed="false">
      <c r="A31" s="12" t="s">
        <v>118</v>
      </c>
      <c r="B31" s="12" t="s">
        <v>99</v>
      </c>
      <c r="C31" s="12" t="s">
        <v>106</v>
      </c>
      <c r="D31" s="13" t="s">
        <v>34</v>
      </c>
      <c r="E31" s="13" t="s">
        <v>35</v>
      </c>
      <c r="F31" s="13" t="s">
        <v>66</v>
      </c>
      <c r="G31" s="13" t="s">
        <v>67</v>
      </c>
      <c r="H31" s="14" t="n">
        <v>40</v>
      </c>
      <c r="I31" s="15" t="n">
        <v>3.6</v>
      </c>
      <c r="J31" s="16" t="n">
        <f aca="false">H31*I31</f>
        <v>144</v>
      </c>
      <c r="K31" s="17" t="str">
        <f aca="false">IF(OR(D31="Production",D31="Setup",D31="Delivery"),"Yes","No")</f>
        <v>Yes</v>
      </c>
      <c r="L31" s="18" t="s">
        <v>119</v>
      </c>
    </row>
    <row r="32" customFormat="false" ht="19.5" hidden="false" customHeight="true" outlineLevel="0" collapsed="false">
      <c r="A32" s="12" t="s">
        <v>120</v>
      </c>
      <c r="B32" s="12" t="s">
        <v>99</v>
      </c>
      <c r="C32" s="12" t="s">
        <v>100</v>
      </c>
      <c r="D32" s="13" t="s">
        <v>77</v>
      </c>
      <c r="E32" s="13" t="s">
        <v>78</v>
      </c>
      <c r="F32" s="13" t="s">
        <v>79</v>
      </c>
      <c r="G32" s="13" t="s">
        <v>80</v>
      </c>
      <c r="H32" s="14" t="n">
        <v>1</v>
      </c>
      <c r="I32" s="15" t="n">
        <v>720</v>
      </c>
      <c r="J32" s="16" t="n">
        <f aca="false">H32*I32</f>
        <v>720</v>
      </c>
      <c r="K32" s="17" t="str">
        <f aca="false">IF(OR(D32="Production",D32="Setup",D32="Delivery"),"Yes","No")</f>
        <v>Yes</v>
      </c>
      <c r="L32" s="18" t="s">
        <v>121</v>
      </c>
    </row>
    <row r="33" customFormat="false" ht="28.5" hidden="false" customHeight="true" outlineLevel="0" collapsed="false">
      <c r="A33" s="12" t="s">
        <v>122</v>
      </c>
      <c r="B33" s="12" t="s">
        <v>99</v>
      </c>
      <c r="C33" s="12" t="s">
        <v>106</v>
      </c>
      <c r="D33" s="13" t="s">
        <v>34</v>
      </c>
      <c r="E33" s="13" t="s">
        <v>123</v>
      </c>
      <c r="F33" s="13" t="s">
        <v>124</v>
      </c>
      <c r="G33" s="13" t="s">
        <v>37</v>
      </c>
      <c r="H33" s="14" t="n">
        <v>180</v>
      </c>
      <c r="I33" s="15" t="n">
        <v>15.5</v>
      </c>
      <c r="J33" s="16" t="n">
        <f aca="false">H33*I33</f>
        <v>2790</v>
      </c>
      <c r="K33" s="17" t="str">
        <f aca="false">IF(OR(D33="Production",D33="Setup",D33="Delivery"),"Yes","No")</f>
        <v>Yes</v>
      </c>
      <c r="L33" s="18" t="s">
        <v>125</v>
      </c>
    </row>
    <row r="34" customFormat="false" ht="28.5" hidden="false" customHeight="true" outlineLevel="0" collapsed="false">
      <c r="A34" s="12" t="s">
        <v>126</v>
      </c>
      <c r="B34" s="12" t="s">
        <v>99</v>
      </c>
      <c r="C34" s="12" t="s">
        <v>106</v>
      </c>
      <c r="D34" s="13" t="s">
        <v>77</v>
      </c>
      <c r="E34" s="13" t="s">
        <v>123</v>
      </c>
      <c r="F34" s="13" t="s">
        <v>127</v>
      </c>
      <c r="G34" s="13" t="s">
        <v>80</v>
      </c>
      <c r="H34" s="14" t="n">
        <v>1</v>
      </c>
      <c r="I34" s="15" t="n">
        <v>875</v>
      </c>
      <c r="J34" s="16" t="n">
        <f aca="false">H34*I34</f>
        <v>875</v>
      </c>
      <c r="K34" s="17" t="str">
        <f aca="false">IF(OR(D34="Production",D34="Setup",D34="Delivery"),"Yes","No")</f>
        <v>Yes</v>
      </c>
      <c r="L34" s="18" t="s">
        <v>128</v>
      </c>
    </row>
    <row r="35" customFormat="false" ht="19.5" hidden="false" customHeight="true" outlineLevel="0" collapsed="false">
      <c r="A35" s="12" t="s">
        <v>129</v>
      </c>
      <c r="B35" s="12" t="s">
        <v>99</v>
      </c>
      <c r="C35" s="12" t="s">
        <v>100</v>
      </c>
      <c r="D35" s="13" t="s">
        <v>83</v>
      </c>
      <c r="E35" s="13" t="s">
        <v>35</v>
      </c>
      <c r="F35" s="13" t="s">
        <v>84</v>
      </c>
      <c r="G35" s="13" t="s">
        <v>85</v>
      </c>
      <c r="H35" s="14" t="n">
        <v>1</v>
      </c>
      <c r="I35" s="15" t="n">
        <v>185</v>
      </c>
      <c r="J35" s="16" t="n">
        <f aca="false">H35*I35</f>
        <v>185</v>
      </c>
      <c r="K35" s="17" t="str">
        <f aca="false">IF(OR(D35="Production",D35="Setup",D35="Delivery"),"Yes","No")</f>
        <v>Yes</v>
      </c>
      <c r="L35" s="18" t="s">
        <v>130</v>
      </c>
    </row>
    <row r="36" customFormat="false" ht="19.5" hidden="false" customHeight="true" outlineLevel="0" collapsed="false">
      <c r="A36" s="12" t="s">
        <v>131</v>
      </c>
      <c r="B36" s="12" t="s">
        <v>99</v>
      </c>
      <c r="C36" s="12" t="s">
        <v>103</v>
      </c>
      <c r="D36" s="13" t="s">
        <v>83</v>
      </c>
      <c r="E36" s="13" t="s">
        <v>35</v>
      </c>
      <c r="F36" s="13" t="s">
        <v>84</v>
      </c>
      <c r="G36" s="13" t="s">
        <v>85</v>
      </c>
      <c r="H36" s="14" t="n">
        <v>1</v>
      </c>
      <c r="I36" s="15" t="n">
        <v>185</v>
      </c>
      <c r="J36" s="16" t="n">
        <f aca="false">H36*I36</f>
        <v>185</v>
      </c>
      <c r="K36" s="17" t="str">
        <f aca="false">IF(OR(D36="Production",D36="Setup",D36="Delivery"),"Yes","No")</f>
        <v>Yes</v>
      </c>
      <c r="L36" s="18" t="s">
        <v>132</v>
      </c>
    </row>
    <row r="37" customFormat="false" ht="19.5" hidden="false" customHeight="true" outlineLevel="0" collapsed="false">
      <c r="A37" s="12" t="s">
        <v>133</v>
      </c>
      <c r="B37" s="12" t="s">
        <v>99</v>
      </c>
      <c r="C37" s="12" t="s">
        <v>106</v>
      </c>
      <c r="D37" s="13" t="s">
        <v>83</v>
      </c>
      <c r="E37" s="13" t="s">
        <v>35</v>
      </c>
      <c r="F37" s="13" t="s">
        <v>84</v>
      </c>
      <c r="G37" s="13" t="s">
        <v>85</v>
      </c>
      <c r="H37" s="14" t="n">
        <v>1</v>
      </c>
      <c r="I37" s="15" t="n">
        <v>185</v>
      </c>
      <c r="J37" s="16" t="n">
        <f aca="false">H37*I37</f>
        <v>185</v>
      </c>
      <c r="K37" s="17" t="str">
        <f aca="false">IF(OR(D37="Production",D37="Setup",D37="Delivery"),"Yes","No")</f>
        <v>Yes</v>
      </c>
      <c r="L37" s="18" t="s">
        <v>134</v>
      </c>
    </row>
    <row r="38" customFormat="false" ht="19.5" hidden="false" customHeight="true" outlineLevel="0" collapsed="false">
      <c r="A38" s="12" t="s">
        <v>135</v>
      </c>
      <c r="B38" s="12" t="s">
        <v>99</v>
      </c>
      <c r="C38" s="12" t="s">
        <v>106</v>
      </c>
      <c r="D38" s="13" t="s">
        <v>83</v>
      </c>
      <c r="E38" s="13" t="s">
        <v>123</v>
      </c>
      <c r="F38" s="13" t="s">
        <v>136</v>
      </c>
      <c r="G38" s="13" t="s">
        <v>137</v>
      </c>
      <c r="H38" s="14" t="n">
        <v>1</v>
      </c>
      <c r="I38" s="15" t="n">
        <v>110</v>
      </c>
      <c r="J38" s="16" t="n">
        <f aca="false">H38*I38</f>
        <v>110</v>
      </c>
      <c r="K38" s="17" t="str">
        <f aca="false">IF(OR(D38="Production",D38="Setup",D38="Delivery"),"Yes","No")</f>
        <v>Yes</v>
      </c>
      <c r="L38" s="18" t="s">
        <v>138</v>
      </c>
    </row>
    <row r="39" customFormat="false" ht="19.5" hidden="false" customHeight="true" outlineLevel="0" collapsed="false">
      <c r="A39" s="12" t="s">
        <v>139</v>
      </c>
      <c r="B39" s="12" t="s">
        <v>99</v>
      </c>
      <c r="C39" s="12" t="s">
        <v>100</v>
      </c>
      <c r="D39" s="13" t="s">
        <v>40</v>
      </c>
      <c r="E39" s="13" t="s">
        <v>35</v>
      </c>
      <c r="F39" s="13" t="s">
        <v>41</v>
      </c>
      <c r="G39" s="13" t="s">
        <v>92</v>
      </c>
      <c r="H39" s="14" t="n">
        <v>1</v>
      </c>
      <c r="I39" s="15" t="n">
        <v>420</v>
      </c>
      <c r="J39" s="16" t="n">
        <f aca="false">H39*I39</f>
        <v>420</v>
      </c>
      <c r="K39" s="17" t="str">
        <f aca="false">IF(OR(D39="Production",D39="Setup",D39="Delivery"),"Yes","No")</f>
        <v>No</v>
      </c>
      <c r="L39" s="18" t="s">
        <v>140</v>
      </c>
    </row>
    <row r="40" customFormat="false" ht="19.5" hidden="false" customHeight="true" outlineLevel="0" collapsed="false">
      <c r="A40" s="12" t="s">
        <v>141</v>
      </c>
      <c r="B40" s="12" t="s">
        <v>99</v>
      </c>
      <c r="C40" s="12" t="s">
        <v>103</v>
      </c>
      <c r="D40" s="13" t="s">
        <v>40</v>
      </c>
      <c r="E40" s="13" t="s">
        <v>35</v>
      </c>
      <c r="F40" s="13" t="s">
        <v>41</v>
      </c>
      <c r="G40" s="13" t="s">
        <v>92</v>
      </c>
      <c r="H40" s="14" t="n">
        <v>1</v>
      </c>
      <c r="I40" s="15" t="n">
        <v>420</v>
      </c>
      <c r="J40" s="16" t="n">
        <f aca="false">H40*I40</f>
        <v>420</v>
      </c>
      <c r="K40" s="17" t="str">
        <f aca="false">IF(OR(D40="Production",D40="Setup",D40="Delivery"),"Yes","No")</f>
        <v>No</v>
      </c>
      <c r="L40" s="18" t="s">
        <v>142</v>
      </c>
    </row>
    <row r="41" customFormat="false" ht="19.5" hidden="false" customHeight="true" outlineLevel="0" collapsed="false">
      <c r="A41" s="12" t="s">
        <v>143</v>
      </c>
      <c r="B41" s="12" t="s">
        <v>99</v>
      </c>
      <c r="C41" s="12" t="s">
        <v>106</v>
      </c>
      <c r="D41" s="13" t="s">
        <v>40</v>
      </c>
      <c r="E41" s="13" t="s">
        <v>35</v>
      </c>
      <c r="F41" s="13" t="s">
        <v>41</v>
      </c>
      <c r="G41" s="13" t="s">
        <v>92</v>
      </c>
      <c r="H41" s="14" t="n">
        <v>1</v>
      </c>
      <c r="I41" s="15" t="n">
        <v>420</v>
      </c>
      <c r="J41" s="16" t="n">
        <f aca="false">H41*I41</f>
        <v>420</v>
      </c>
      <c r="K41" s="17" t="str">
        <f aca="false">IF(OR(D41="Production",D41="Setup",D41="Delivery"),"Yes","No")</f>
        <v>No</v>
      </c>
      <c r="L41" s="18" t="s">
        <v>144</v>
      </c>
    </row>
    <row r="44" customFormat="false" ht="21.75" hidden="false" customHeight="true" outlineLevel="0" collapsed="false">
      <c r="A44" s="2" t="s">
        <v>145</v>
      </c>
      <c r="B44" s="2"/>
      <c r="C44" s="2"/>
      <c r="D44" s="2"/>
      <c r="E44" s="2"/>
      <c r="F44" s="2"/>
    </row>
    <row r="45" customFormat="false" ht="21.75" hidden="false" customHeight="true" outlineLevel="0" collapsed="false">
      <c r="A45" s="21" t="s">
        <v>146</v>
      </c>
      <c r="B45" s="21" t="s">
        <v>147</v>
      </c>
      <c r="C45" s="21" t="s">
        <v>148</v>
      </c>
      <c r="D45" s="21" t="s">
        <v>149</v>
      </c>
      <c r="E45" s="21" t="s">
        <v>150</v>
      </c>
      <c r="F45" s="21" t="s">
        <v>151</v>
      </c>
    </row>
    <row r="46" customFormat="false" ht="21.75" hidden="false" customHeight="true" outlineLevel="0" collapsed="false">
      <c r="A46" s="22" t="s">
        <v>152</v>
      </c>
      <c r="B46" s="23" t="n">
        <f aca="false">SUMIFS($J$7:$J$41,$B$7:$B$41,"PRE",$K$7:$K$41,"Yes")</f>
        <v>5466</v>
      </c>
      <c r="C46" s="23" t="n">
        <f aca="false">SUMIFS($J$7:$J$41,$B$7:$B$41,"CALL",$K$7:$K$41,"Yes")</f>
        <v>11068</v>
      </c>
      <c r="D46" s="23" t="n">
        <f aca="false">C46-B46</f>
        <v>5602</v>
      </c>
      <c r="E46" s="24" t="n">
        <f aca="false">IF(B46=0,"n/a",D46/B46)</f>
        <v>1.02488108305891</v>
      </c>
      <c r="F46" s="22" t="s">
        <v>153</v>
      </c>
    </row>
    <row r="47" customFormat="false" ht="21.75" hidden="false" customHeight="true" outlineLevel="0" collapsed="false">
      <c r="A47" s="22" t="s">
        <v>41</v>
      </c>
      <c r="B47" s="23" t="n">
        <f aca="false">SUMIFS($J$7:$J$41,$B$7:$B$41,"PRE",$D$7:$D$41,"Pass-through")</f>
        <v>900</v>
      </c>
      <c r="C47" s="23" t="n">
        <f aca="false">SUMIFS($J$7:$J$41,$B$7:$B$41,"CALL",$D$7:$D$41,"Pass-through")</f>
        <v>1260</v>
      </c>
      <c r="D47" s="23" t="n">
        <f aca="false">C47-B47</f>
        <v>360</v>
      </c>
      <c r="E47" s="24" t="n">
        <f aca="false">IF(B47=0,"n/a",D47/B47)</f>
        <v>0.4</v>
      </c>
      <c r="F47" s="22" t="s">
        <v>154</v>
      </c>
    </row>
    <row r="48" customFormat="false" ht="21.75" hidden="false" customHeight="true" outlineLevel="0" collapsed="false">
      <c r="A48" s="22" t="s">
        <v>155</v>
      </c>
      <c r="B48" s="23" t="n">
        <f aca="false">B46*$O$5</f>
        <v>409.95</v>
      </c>
      <c r="C48" s="23" t="n">
        <f aca="false">C46*$O$5</f>
        <v>830.1</v>
      </c>
      <c r="D48" s="23" t="n">
        <f aca="false">C48-B48</f>
        <v>420.15</v>
      </c>
      <c r="E48" s="24" t="n">
        <f aca="false">IF(B48=0,"n/a",D48/B48)</f>
        <v>1.02488108305891</v>
      </c>
      <c r="F48" s="22" t="s">
        <v>156</v>
      </c>
    </row>
    <row r="49" customFormat="false" ht="21.75" hidden="false" customHeight="true" outlineLevel="0" collapsed="false">
      <c r="A49" s="25" t="s">
        <v>157</v>
      </c>
      <c r="B49" s="26" t="n">
        <f aca="false">SUM(B46:B48)</f>
        <v>6775.95</v>
      </c>
      <c r="C49" s="26" t="n">
        <f aca="false">SUM(C46:C48)</f>
        <v>13158.1</v>
      </c>
      <c r="D49" s="26" t="n">
        <f aca="false">C49-B49</f>
        <v>6382.15</v>
      </c>
      <c r="E49" s="27" t="n">
        <f aca="false">IF(B49=0,"n/a",D49/B49)</f>
        <v>0.941882688036364</v>
      </c>
      <c r="F49" s="25" t="s">
        <v>158</v>
      </c>
    </row>
    <row r="50" customFormat="false" ht="21.75" hidden="false" customHeight="true" outlineLevel="0" collapsed="false">
      <c r="A50" s="4" t="s">
        <v>159</v>
      </c>
      <c r="B50" s="28" t="s">
        <v>63</v>
      </c>
      <c r="C50" s="29" t="n">
        <f aca="false">$O$10</f>
        <v>14000</v>
      </c>
      <c r="D50" s="29"/>
      <c r="E50" s="30"/>
      <c r="F50" s="4" t="s">
        <v>160</v>
      </c>
    </row>
    <row r="51" customFormat="false" ht="21.75" hidden="false" customHeight="true" outlineLevel="0" collapsed="false">
      <c r="A51" s="4" t="s">
        <v>161</v>
      </c>
      <c r="B51" s="28" t="s">
        <v>63</v>
      </c>
      <c r="C51" s="29" t="n">
        <f aca="false">C50-C49</f>
        <v>841.9</v>
      </c>
      <c r="D51" s="29"/>
      <c r="E51" s="30"/>
      <c r="F51" s="4" t="s">
        <v>162</v>
      </c>
    </row>
    <row r="52" customFormat="false" ht="21.75" hidden="false" customHeight="true" outlineLevel="0" collapsed="false">
      <c r="A52" s="4" t="s">
        <v>163</v>
      </c>
      <c r="B52" s="31"/>
      <c r="C52" s="29" t="str">
        <f aca="false">IF(AND(ABS(D49)&gt;=$O$9,ABS(E49)&gt;=$O$8),"YES - ESCALATE","NO")</f>
        <v>YES - ESCALATE</v>
      </c>
      <c r="D52" s="23" t="n">
        <f aca="false">D49</f>
        <v>6382.15</v>
      </c>
      <c r="E52" s="24" t="n">
        <f aca="false">E49</f>
        <v>0.941882688036364</v>
      </c>
      <c r="F52" s="32" t="s">
        <v>164</v>
      </c>
    </row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>
      <c r="A55" s="33" t="s">
        <v>165</v>
      </c>
      <c r="B55" s="33"/>
      <c r="C55" s="33"/>
      <c r="D55" s="33"/>
      <c r="E55" s="33"/>
      <c r="F55" s="33"/>
      <c r="G55" s="33"/>
    </row>
    <row r="56" customFormat="false" ht="21.75" hidden="false" customHeight="true" outlineLevel="0" collapsed="false">
      <c r="A56" s="21" t="s">
        <v>17</v>
      </c>
      <c r="B56" s="21" t="s">
        <v>18</v>
      </c>
      <c r="C56" s="21" t="s">
        <v>166</v>
      </c>
      <c r="D56" s="21" t="s">
        <v>40</v>
      </c>
      <c r="E56" s="21" t="s">
        <v>167</v>
      </c>
      <c r="F56" s="21" t="s">
        <v>168</v>
      </c>
      <c r="G56" s="21" t="s">
        <v>169</v>
      </c>
    </row>
    <row r="57" customFormat="false" ht="21.75" hidden="false" customHeight="true" outlineLevel="0" collapsed="false">
      <c r="A57" s="34" t="s">
        <v>32</v>
      </c>
      <c r="B57" s="22" t="s">
        <v>33</v>
      </c>
      <c r="C57" s="35" t="n">
        <f aca="false">SUMIFS($J$7:$J$41,$B$7:$B$41,A57,$C$7:$C$41,B57,$K$7:$K$41,"Yes")</f>
        <v>2182</v>
      </c>
      <c r="D57" s="35" t="n">
        <f aca="false">SUMIFS($J$7:$J$41,$B$7:$B$41,A57,$C$7:$C$41,B57,$D$7:$D$41,"Pass-through")</f>
        <v>300</v>
      </c>
      <c r="E57" s="35" t="n">
        <f aca="false">C57*$O$5</f>
        <v>163.65</v>
      </c>
      <c r="F57" s="35" t="n">
        <f aca="false">SUM(C57:E57)</f>
        <v>2645.65</v>
      </c>
      <c r="G57" s="17" t="str">
        <f aca="false">IF(F57=C57+D57+E57,"PASS","CHECK")</f>
        <v>PASS</v>
      </c>
    </row>
    <row r="58" customFormat="false" ht="21.75" hidden="false" customHeight="true" outlineLevel="0" collapsed="false">
      <c r="A58" s="34" t="s">
        <v>32</v>
      </c>
      <c r="B58" s="22" t="s">
        <v>43</v>
      </c>
      <c r="C58" s="35" t="n">
        <f aca="false">SUMIFS($J$7:$J$41,$B$7:$B$41,A58,$C$7:$C$41,B58,$K$7:$K$41,"Yes")</f>
        <v>1642</v>
      </c>
      <c r="D58" s="35" t="n">
        <f aca="false">SUMIFS($J$7:$J$41,$B$7:$B$41,A58,$C$7:$C$41,B58,$D$7:$D$41,"Pass-through")</f>
        <v>300</v>
      </c>
      <c r="E58" s="35" t="n">
        <f aca="false">C58*$O$5</f>
        <v>123.15</v>
      </c>
      <c r="F58" s="35" t="n">
        <f aca="false">SUM(C58:E58)</f>
        <v>2065.15</v>
      </c>
      <c r="G58" s="17" t="str">
        <f aca="false">IF(F58=C58+D58+E58,"PASS","CHECK")</f>
        <v>PASS</v>
      </c>
    </row>
    <row r="59" customFormat="false" ht="21.75" hidden="false" customHeight="true" outlineLevel="0" collapsed="false">
      <c r="A59" s="34" t="s">
        <v>32</v>
      </c>
      <c r="B59" s="22" t="s">
        <v>48</v>
      </c>
      <c r="C59" s="35" t="n">
        <f aca="false">SUMIFS($J$7:$J$41,$B$7:$B$41,A59,$C$7:$C$41,B59,$K$7:$K$41,"Yes")</f>
        <v>1642</v>
      </c>
      <c r="D59" s="35" t="n">
        <f aca="false">SUMIFS($J$7:$J$41,$B$7:$B$41,A59,$C$7:$C$41,B59,$D$7:$D$41,"Pass-through")</f>
        <v>300</v>
      </c>
      <c r="E59" s="35" t="n">
        <f aca="false">C59*$O$5</f>
        <v>123.15</v>
      </c>
      <c r="F59" s="35" t="n">
        <f aca="false">SUM(C59:E59)</f>
        <v>2065.15</v>
      </c>
      <c r="G59" s="17" t="str">
        <f aca="false">IF(F59=C59+D59+E59,"PASS","CHECK")</f>
        <v>PASS</v>
      </c>
    </row>
    <row r="60" customFormat="false" ht="21.75" hidden="false" customHeight="true" outlineLevel="0" collapsed="false">
      <c r="A60" s="34" t="s">
        <v>99</v>
      </c>
      <c r="B60" s="22" t="s">
        <v>100</v>
      </c>
      <c r="C60" s="35" t="n">
        <f aca="false">SUMIFS($J$7:$J$41,$B$7:$B$41,A60,$C$7:$C$41,B60,$K$7:$K$41,"Yes")</f>
        <v>2911</v>
      </c>
      <c r="D60" s="35" t="n">
        <f aca="false">SUMIFS($J$7:$J$41,$B$7:$B$41,A60,$C$7:$C$41,B60,$D$7:$D$41,"Pass-through")</f>
        <v>420</v>
      </c>
      <c r="E60" s="35" t="n">
        <f aca="false">C60*$O$5</f>
        <v>218.325</v>
      </c>
      <c r="F60" s="35" t="n">
        <f aca="false">SUM(C60:E60)</f>
        <v>3549.325</v>
      </c>
      <c r="G60" s="17" t="str">
        <f aca="false">IF(F60=C60+D60+E60,"PASS","CHECK")</f>
        <v>PASS</v>
      </c>
    </row>
    <row r="61" customFormat="false" ht="21.75" hidden="false" customHeight="true" outlineLevel="0" collapsed="false">
      <c r="A61" s="34" t="s">
        <v>99</v>
      </c>
      <c r="B61" s="22" t="s">
        <v>103</v>
      </c>
      <c r="C61" s="35" t="n">
        <f aca="false">SUMIFS($J$7:$J$41,$B$7:$B$41,A61,$C$7:$C$41,B61,$K$7:$K$41,"Yes")</f>
        <v>2191</v>
      </c>
      <c r="D61" s="35" t="n">
        <f aca="false">SUMIFS($J$7:$J$41,$B$7:$B$41,A61,$C$7:$C$41,B61,$D$7:$D$41,"Pass-through")</f>
        <v>420</v>
      </c>
      <c r="E61" s="35" t="n">
        <f aca="false">C61*$O$5</f>
        <v>164.325</v>
      </c>
      <c r="F61" s="35" t="n">
        <f aca="false">SUM(C61:E61)</f>
        <v>2775.325</v>
      </c>
      <c r="G61" s="17" t="str">
        <f aca="false">IF(F61=C61+D61+E61,"PASS","CHECK")</f>
        <v>PASS</v>
      </c>
    </row>
    <row r="62" customFormat="false" ht="21.75" hidden="false" customHeight="true" outlineLevel="0" collapsed="false">
      <c r="A62" s="34" t="s">
        <v>99</v>
      </c>
      <c r="B62" s="22" t="s">
        <v>106</v>
      </c>
      <c r="C62" s="35" t="n">
        <f aca="false">SUMIFS($J$7:$J$41,$B$7:$B$41,A62,$C$7:$C$41,B62,$K$7:$K$41,"Yes")</f>
        <v>5966</v>
      </c>
      <c r="D62" s="35" t="n">
        <f aca="false">SUMIFS($J$7:$J$41,$B$7:$B$41,A62,$C$7:$C$41,B62,$D$7:$D$41,"Pass-through")</f>
        <v>420</v>
      </c>
      <c r="E62" s="35" t="n">
        <f aca="false">C62*$O$5</f>
        <v>447.45</v>
      </c>
      <c r="F62" s="35" t="n">
        <f aca="false">SUM(C62:E62)</f>
        <v>6833.45</v>
      </c>
      <c r="G62" s="17" t="str">
        <f aca="false">IF(F62=C62+D62+E62,"PASS","CHECK")</f>
        <v>PASS</v>
      </c>
    </row>
    <row r="63" customFormat="false" ht="21.75" hidden="false" customHeight="true" outlineLevel="0" collapsed="false"/>
    <row r="64" customFormat="false" ht="21.75" hidden="false" customHeight="true" outlineLevel="0" collapsed="false"/>
    <row r="65" customFormat="false" ht="21.75" hidden="false" customHeight="true" outlineLevel="0" collapsed="false">
      <c r="A65" s="33" t="s">
        <v>170</v>
      </c>
      <c r="B65" s="33"/>
      <c r="C65" s="33"/>
      <c r="D65" s="33"/>
    </row>
    <row r="66" customFormat="false" ht="21.75" hidden="false" customHeight="true" outlineLevel="0" collapsed="false">
      <c r="A66" s="4" t="s">
        <v>171</v>
      </c>
      <c r="B66" s="36" t="str">
        <f aca="false">IF(ABS(SUM($J$7:$J$41)-SUMPRODUCT($H$7:$H$41,$I$7:$I$41))&lt;0.01,"PASS","CHECK")</f>
        <v>PASS</v>
      </c>
      <c r="C66" s="5" t="s">
        <v>172</v>
      </c>
      <c r="D66" s="5"/>
    </row>
    <row r="67" customFormat="false" ht="21.75" hidden="false" customHeight="true" outlineLevel="0" collapsed="false">
      <c r="A67" s="4" t="s">
        <v>173</v>
      </c>
      <c r="B67" s="36" t="str">
        <f aca="false">IF(ABS($B$49-SUMIFS($F$57:$F$62,$A$57:$A$62,"PRE"))&lt;0.01,"PASS","CHECK")</f>
        <v>PASS</v>
      </c>
      <c r="C67" s="5" t="s">
        <v>174</v>
      </c>
      <c r="D67" s="5"/>
    </row>
    <row r="68" customFormat="false" ht="21.75" hidden="false" customHeight="true" outlineLevel="0" collapsed="false">
      <c r="A68" s="4" t="s">
        <v>175</v>
      </c>
      <c r="B68" s="36" t="str">
        <f aca="false">IF(ABS($C$49-SUMIFS($F$57:$F$62,$A$57:$A$62,"CALL"))&lt;0.01,"PASS","CHECK")</f>
        <v>PASS</v>
      </c>
      <c r="C68" s="5" t="s">
        <v>176</v>
      </c>
      <c r="D68" s="5"/>
    </row>
    <row r="69" customFormat="false" ht="21.75" hidden="false" customHeight="true" outlineLevel="0" collapsed="false">
      <c r="A69" s="4" t="s">
        <v>177</v>
      </c>
      <c r="B69" s="36" t="str">
        <f aca="false">IF(ABS($C$48-$C$46*$O$5)&lt;0.01,"PASS","CHECK")</f>
        <v>PASS</v>
      </c>
      <c r="C69" s="5" t="s">
        <v>178</v>
      </c>
      <c r="D69" s="5"/>
    </row>
    <row r="70" customFormat="false" ht="21.75" hidden="false" customHeight="true" outlineLevel="0" collapsed="false">
      <c r="A70" s="4" t="s">
        <v>179</v>
      </c>
      <c r="B70" s="36" t="str">
        <f aca="false">IF(ABS($C$49-$O$11)&lt;0.01,"PASS","CHECK")</f>
        <v>PASS</v>
      </c>
      <c r="C70" s="5" t="s">
        <v>180</v>
      </c>
      <c r="D70" s="5"/>
    </row>
    <row r="71" customFormat="false" ht="21.75" hidden="false" customHeight="true" outlineLevel="0" collapsed="false">
      <c r="A71" s="4" t="s">
        <v>181</v>
      </c>
      <c r="B71" s="36" t="str">
        <f aca="false">IF($C$51&gt;=0,"PASS","OVER CEILING")</f>
        <v>PASS</v>
      </c>
      <c r="C71" s="5" t="s">
        <v>182</v>
      </c>
      <c r="D71" s="5"/>
    </row>
    <row r="72" customFormat="false" ht="21.75" hidden="false" customHeight="true" outlineLevel="0" collapsed="false"/>
    <row r="73" customFormat="false" ht="31.5" hidden="false" customHeight="true" outlineLevel="0" collapsed="false">
      <c r="A73" s="37" t="s">
        <v>183</v>
      </c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</row>
  </sheetData>
  <autoFilter ref="A6:L41"/>
  <mergeCells count="27">
    <mergeCell ref="A1:L1"/>
    <mergeCell ref="N1:Q1"/>
    <mergeCell ref="A2:L2"/>
    <mergeCell ref="P2:Q2"/>
    <mergeCell ref="A3:L3"/>
    <mergeCell ref="P3:Q3"/>
    <mergeCell ref="A4:L4"/>
    <mergeCell ref="P4:Q4"/>
    <mergeCell ref="P5:Q5"/>
    <mergeCell ref="P6:Q6"/>
    <mergeCell ref="P7:Q7"/>
    <mergeCell ref="P8:Q8"/>
    <mergeCell ref="P9:Q9"/>
    <mergeCell ref="P10:Q10"/>
    <mergeCell ref="P11:Q11"/>
    <mergeCell ref="P12:Q12"/>
    <mergeCell ref="P13:Q13"/>
    <mergeCell ref="A44:F44"/>
    <mergeCell ref="A55:G55"/>
    <mergeCell ref="A65:D65"/>
    <mergeCell ref="C66:D66"/>
    <mergeCell ref="C67:D67"/>
    <mergeCell ref="C68:D68"/>
    <mergeCell ref="C69:D69"/>
    <mergeCell ref="C70:D70"/>
    <mergeCell ref="C71:D71"/>
    <mergeCell ref="A73:L73"/>
  </mergeCells>
  <dataValidations count="2">
    <dataValidation allowBlank="false" errorStyle="stop" operator="greaterThanOrEqual" prompt="Enter a zero or positive quantity. Dependent costs and totals are formulas." promptTitle="Editable quantity" showDropDown="false" showErrorMessage="false" showInputMessage="false" sqref="H7:H41" type="decimal">
      <formula1>0</formula1>
      <formula2>0</formula2>
    </dataValidation>
    <dataValidation allowBlank="false" errorStyle="stop" operator="greaterThanOrEqual" prompt="Enter a zero or positive GBP rate/fixed charge. Dependent costs and totals are formulas." promptTitle="Editable rate or fixed charge" showDropDown="false" showErrorMessage="false" showInputMessage="false" sqref="I7:I4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Redcliffe Press call-off budget | source as at 20 June 2026 | Page &amp;P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2026-08-16T16:16:10Z</dcterms:created>
  <dc:creator>openpyxl</dc:creator>
  <dc:description/>
  <dc:language>en-US</dc:language>
  <cp:lastModifiedBy/>
  <dcterms:modified xsi:type="dcterms:W3CDTF">2026-08-16T16:16:10Z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